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1" defaultThemeVersion="124226"/>
  <mc:AlternateContent xmlns:mc="http://schemas.openxmlformats.org/markup-compatibility/2006">
    <mc:Choice Requires="x15">
      <x15ac:absPath xmlns:x15ac="http://schemas.microsoft.com/office/spreadsheetml/2010/11/ac" url="X:\r72_pcc_gitMpeg128_v26\F32_QPCC_gitMpeg128+tm2_r72_17+dis-integration+CTC\MacroXlsm\"/>
    </mc:Choice>
  </mc:AlternateContent>
  <xr:revisionPtr revIDLastSave="0" documentId="13_ncr:1_{A16F5672-DE9F-45DA-8DDC-9C654BE0F469}" xr6:coauthVersionLast="45" xr6:coauthVersionMax="45" xr10:uidLastSave="{00000000-0000-0000-0000-000000000000}"/>
  <bookViews>
    <workbookView xWindow="-108" yWindow="-108" windowWidth="23256" windowHeight="12768"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 name="Results" sheetId="8" r:id="rId8"/>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0" i="8" l="1"/>
  <c r="F60" i="8"/>
  <c r="E60" i="8"/>
  <c r="D60" i="8"/>
  <c r="G59" i="8"/>
  <c r="F59" i="8"/>
  <c r="E59" i="8"/>
  <c r="D59" i="8"/>
  <c r="G58" i="8"/>
  <c r="F58" i="8"/>
  <c r="E58" i="8"/>
  <c r="D58" i="8"/>
  <c r="G57" i="8"/>
  <c r="F57" i="8"/>
  <c r="E57" i="8"/>
  <c r="D57" i="8"/>
  <c r="S46" i="8"/>
  <c r="R46" i="8"/>
  <c r="Q46" i="8"/>
  <c r="E30" i="8" s="1"/>
  <c r="P46" i="8"/>
  <c r="D30" i="8" s="1"/>
  <c r="O46" i="8"/>
  <c r="N46" i="8"/>
  <c r="M46" i="8"/>
  <c r="E29" i="8" s="1"/>
  <c r="L46" i="8"/>
  <c r="D29" i="8" s="1"/>
  <c r="K46" i="8"/>
  <c r="J46" i="8"/>
  <c r="I46" i="8"/>
  <c r="E28" i="8" s="1"/>
  <c r="H46" i="8"/>
  <c r="D28" i="8" s="1"/>
  <c r="G46" i="8"/>
  <c r="F46" i="8"/>
  <c r="E46" i="8"/>
  <c r="E27" i="8" s="1"/>
  <c r="E31" i="8" s="1"/>
  <c r="D46" i="8"/>
  <c r="D27" i="8" s="1"/>
  <c r="D31" i="8" s="1"/>
  <c r="S45" i="8"/>
  <c r="R45" i="8"/>
  <c r="Q45" i="8"/>
  <c r="P45" i="8"/>
  <c r="O45" i="8"/>
  <c r="N45" i="8"/>
  <c r="M45" i="8"/>
  <c r="L45" i="8"/>
  <c r="K45" i="8"/>
  <c r="J45" i="8"/>
  <c r="I45" i="8"/>
  <c r="H45" i="8"/>
  <c r="G45" i="8"/>
  <c r="F45" i="8"/>
  <c r="E45" i="8"/>
  <c r="D45" i="8"/>
  <c r="S44" i="8"/>
  <c r="R44" i="8"/>
  <c r="Q44" i="8"/>
  <c r="P44" i="8"/>
  <c r="O44" i="8"/>
  <c r="N44" i="8"/>
  <c r="M44" i="8"/>
  <c r="L44" i="8"/>
  <c r="K44" i="8"/>
  <c r="J44" i="8"/>
  <c r="I44" i="8"/>
  <c r="H44" i="8"/>
  <c r="G44" i="8"/>
  <c r="F44" i="8"/>
  <c r="E44" i="8"/>
  <c r="D44" i="8"/>
  <c r="S43" i="8"/>
  <c r="R43" i="8"/>
  <c r="Q43" i="8"/>
  <c r="P43" i="8"/>
  <c r="O43" i="8"/>
  <c r="N43" i="8"/>
  <c r="M43" i="8"/>
  <c r="L43" i="8"/>
  <c r="K43" i="8"/>
  <c r="J43" i="8"/>
  <c r="I43" i="8"/>
  <c r="H43" i="8"/>
  <c r="G43" i="8"/>
  <c r="F43" i="8"/>
  <c r="E43" i="8"/>
  <c r="D43" i="8"/>
  <c r="G30" i="8"/>
  <c r="F30" i="8"/>
  <c r="G29" i="8"/>
  <c r="F29" i="8"/>
  <c r="G28" i="8"/>
  <c r="F28" i="8"/>
  <c r="G27" i="8"/>
  <c r="G31" i="8" s="1"/>
  <c r="F27" i="8"/>
  <c r="F31" i="8" s="1"/>
  <c r="BC46" i="7"/>
  <c r="BB46" i="7"/>
  <c r="BA46" i="7"/>
  <c r="AZ46" i="7"/>
  <c r="AE46" i="7"/>
  <c r="BC47" i="7" s="1"/>
  <c r="G22" i="8" s="1"/>
  <c r="AD46" i="7"/>
  <c r="BB47" i="7" s="1"/>
  <c r="AC46" i="7"/>
  <c r="AB46" i="7"/>
  <c r="BC44" i="7"/>
  <c r="BB44" i="7"/>
  <c r="BA44" i="7"/>
  <c r="AZ44" i="7"/>
  <c r="AE44" i="7"/>
  <c r="AD44" i="7"/>
  <c r="AC44" i="7"/>
  <c r="AB44" i="7"/>
  <c r="BF39" i="7"/>
  <c r="AL39" i="7"/>
  <c r="AI39" i="7" s="1"/>
  <c r="AK39" i="7"/>
  <c r="AJ39" i="7"/>
  <c r="AH39" i="7"/>
  <c r="AG39" i="7"/>
  <c r="N39" i="7"/>
  <c r="K39" i="7" s="1"/>
  <c r="M39" i="7"/>
  <c r="L39" i="7"/>
  <c r="J39" i="7"/>
  <c r="I39" i="7"/>
  <c r="BF38" i="7"/>
  <c r="AL38" i="7"/>
  <c r="AI38" i="7" s="1"/>
  <c r="AK38" i="7"/>
  <c r="AJ38" i="7"/>
  <c r="AH38" i="7"/>
  <c r="AG38" i="7"/>
  <c r="N38" i="7"/>
  <c r="M38" i="7"/>
  <c r="L38" i="7"/>
  <c r="J38" i="7"/>
  <c r="I38" i="7"/>
  <c r="BF37" i="7"/>
  <c r="AL37" i="7"/>
  <c r="AK37" i="7"/>
  <c r="AJ37" i="7"/>
  <c r="AH37" i="7"/>
  <c r="AG37" i="7"/>
  <c r="N37" i="7"/>
  <c r="K37" i="7" s="1"/>
  <c r="M37" i="7"/>
  <c r="L37" i="7"/>
  <c r="J37" i="7"/>
  <c r="I37" i="7"/>
  <c r="BF36" i="7"/>
  <c r="AL36" i="7"/>
  <c r="AK36" i="7"/>
  <c r="AJ36" i="7"/>
  <c r="AH36" i="7"/>
  <c r="AG36" i="7"/>
  <c r="N36" i="7"/>
  <c r="K36" i="7" s="1"/>
  <c r="M36" i="7"/>
  <c r="L36" i="7"/>
  <c r="J36" i="7"/>
  <c r="I36" i="7"/>
  <c r="BF35" i="7"/>
  <c r="AL35" i="7"/>
  <c r="AK35" i="7"/>
  <c r="AJ35" i="7"/>
  <c r="AI35" i="7"/>
  <c r="AH35" i="7"/>
  <c r="AG35" i="7"/>
  <c r="N35" i="7"/>
  <c r="K35" i="7" s="1"/>
  <c r="M35" i="7"/>
  <c r="L35" i="7"/>
  <c r="J35" i="7"/>
  <c r="I35" i="7"/>
  <c r="BF34" i="7"/>
  <c r="AL34" i="7"/>
  <c r="AK34" i="7"/>
  <c r="AJ34" i="7"/>
  <c r="AI34" i="7"/>
  <c r="AH34" i="7"/>
  <c r="AG34" i="7"/>
  <c r="N34" i="7"/>
  <c r="K34" i="7" s="1"/>
  <c r="M34" i="7"/>
  <c r="L34" i="7"/>
  <c r="J34" i="7"/>
  <c r="I34" i="7"/>
  <c r="BF33" i="7"/>
  <c r="AL33" i="7"/>
  <c r="BG33" i="7" s="1"/>
  <c r="AK33" i="7"/>
  <c r="AJ33" i="7"/>
  <c r="AI33" i="7"/>
  <c r="AH33" i="7"/>
  <c r="AG33" i="7"/>
  <c r="N33" i="7"/>
  <c r="M33" i="7"/>
  <c r="L33" i="7"/>
  <c r="K33" i="7"/>
  <c r="J33" i="7"/>
  <c r="I33" i="7"/>
  <c r="BF32" i="7"/>
  <c r="AL32" i="7"/>
  <c r="AK32" i="7"/>
  <c r="AJ32" i="7"/>
  <c r="AH32" i="7"/>
  <c r="AG32" i="7"/>
  <c r="N32" i="7"/>
  <c r="M32" i="7"/>
  <c r="L32" i="7"/>
  <c r="K32" i="7"/>
  <c r="J32" i="7"/>
  <c r="I32" i="7"/>
  <c r="BF31" i="7"/>
  <c r="AL31" i="7"/>
  <c r="AK31" i="7"/>
  <c r="AJ31" i="7"/>
  <c r="AI31" i="7"/>
  <c r="BE31" i="7" s="1"/>
  <c r="AH31" i="7"/>
  <c r="AG31" i="7"/>
  <c r="N31" i="7"/>
  <c r="K31" i="7" s="1"/>
  <c r="M31" i="7"/>
  <c r="L31" i="7"/>
  <c r="J31" i="7"/>
  <c r="I31" i="7"/>
  <c r="BF30" i="7"/>
  <c r="AL30" i="7"/>
  <c r="AK30" i="7"/>
  <c r="AK42" i="7" s="1"/>
  <c r="AJ30" i="7"/>
  <c r="AI30" i="7"/>
  <c r="AH30" i="7"/>
  <c r="AG30" i="7"/>
  <c r="N30" i="7"/>
  <c r="M30" i="7"/>
  <c r="L30" i="7"/>
  <c r="J30" i="7"/>
  <c r="I30" i="7"/>
  <c r="BF29" i="7"/>
  <c r="AL29" i="7"/>
  <c r="BG29" i="7" s="1"/>
  <c r="AK29" i="7"/>
  <c r="AJ29" i="7"/>
  <c r="AH29" i="7"/>
  <c r="AG29" i="7"/>
  <c r="N29" i="7"/>
  <c r="M29" i="7"/>
  <c r="L29" i="7"/>
  <c r="K29" i="7"/>
  <c r="J29" i="7"/>
  <c r="I29" i="7"/>
  <c r="BF28" i="7"/>
  <c r="AL28" i="7"/>
  <c r="AK28" i="7"/>
  <c r="AJ28" i="7"/>
  <c r="AH28" i="7"/>
  <c r="AG28" i="7"/>
  <c r="N28" i="7"/>
  <c r="M28" i="7"/>
  <c r="L28" i="7"/>
  <c r="K28" i="7"/>
  <c r="J28" i="7"/>
  <c r="I28" i="7"/>
  <c r="BF27" i="7"/>
  <c r="AL27" i="7"/>
  <c r="AK27" i="7"/>
  <c r="AJ27" i="7"/>
  <c r="AI27" i="7"/>
  <c r="AH27" i="7"/>
  <c r="AG27" i="7"/>
  <c r="N27" i="7"/>
  <c r="K27" i="7" s="1"/>
  <c r="M27" i="7"/>
  <c r="L27" i="7"/>
  <c r="J27" i="7"/>
  <c r="I27" i="7"/>
  <c r="BF26" i="7"/>
  <c r="AL26" i="7"/>
  <c r="BG26" i="7" s="1"/>
  <c r="AK26" i="7"/>
  <c r="AJ26" i="7"/>
  <c r="AI26" i="7"/>
  <c r="BE26" i="7" s="1"/>
  <c r="AH26" i="7"/>
  <c r="AG26" i="7"/>
  <c r="N26" i="7"/>
  <c r="K26" i="7" s="1"/>
  <c r="M26" i="7"/>
  <c r="L26" i="7"/>
  <c r="J26" i="7"/>
  <c r="I26" i="7"/>
  <c r="BF25" i="7"/>
  <c r="AL25" i="7"/>
  <c r="AK25" i="7"/>
  <c r="AK41" i="7" s="1"/>
  <c r="AJ25" i="7"/>
  <c r="AH25" i="7"/>
  <c r="AG25" i="7"/>
  <c r="N25" i="7"/>
  <c r="M25" i="7"/>
  <c r="L25" i="7"/>
  <c r="K25" i="7"/>
  <c r="J25" i="7"/>
  <c r="I25" i="7"/>
  <c r="BF24" i="7"/>
  <c r="AL24" i="7"/>
  <c r="AK24" i="7"/>
  <c r="AJ24" i="7"/>
  <c r="AH24" i="7"/>
  <c r="AG24" i="7"/>
  <c r="N24" i="7"/>
  <c r="M24" i="7"/>
  <c r="L24" i="7"/>
  <c r="K24" i="7"/>
  <c r="J24" i="7"/>
  <c r="I24" i="7"/>
  <c r="BF23" i="7"/>
  <c r="AL23" i="7"/>
  <c r="AI23" i="7" s="1"/>
  <c r="BE23" i="7" s="1"/>
  <c r="AK23" i="7"/>
  <c r="AJ23" i="7"/>
  <c r="AH23" i="7"/>
  <c r="AG23" i="7"/>
  <c r="N23" i="7"/>
  <c r="K23" i="7" s="1"/>
  <c r="M23" i="7"/>
  <c r="L23" i="7"/>
  <c r="J23" i="7"/>
  <c r="I23" i="7"/>
  <c r="BF22" i="7"/>
  <c r="AL22" i="7"/>
  <c r="BG22" i="7" s="1"/>
  <c r="AK22" i="7"/>
  <c r="AJ22" i="7"/>
  <c r="AH22" i="7"/>
  <c r="AG22" i="7"/>
  <c r="N22" i="7"/>
  <c r="K22" i="7" s="1"/>
  <c r="M22" i="7"/>
  <c r="L22" i="7"/>
  <c r="J22" i="7"/>
  <c r="I22" i="7"/>
  <c r="BF21" i="7"/>
  <c r="AL21" i="7"/>
  <c r="BG21" i="7" s="1"/>
  <c r="AK21" i="7"/>
  <c r="AJ21" i="7"/>
  <c r="AH21" i="7"/>
  <c r="AG21" i="7"/>
  <c r="N21" i="7"/>
  <c r="K21" i="7" s="1"/>
  <c r="M21" i="7"/>
  <c r="L21" i="7"/>
  <c r="J21" i="7"/>
  <c r="I21" i="7"/>
  <c r="BF20" i="7"/>
  <c r="AL20" i="7"/>
  <c r="AK20" i="7"/>
  <c r="AJ20" i="7"/>
  <c r="AH20" i="7"/>
  <c r="AG20" i="7"/>
  <c r="N20" i="7"/>
  <c r="K20" i="7" s="1"/>
  <c r="M20" i="7"/>
  <c r="L20" i="7"/>
  <c r="J20" i="7"/>
  <c r="I20" i="7"/>
  <c r="BG19" i="7"/>
  <c r="BF19" i="7"/>
  <c r="AL19" i="7"/>
  <c r="AI19" i="7" s="1"/>
  <c r="AK19" i="7"/>
  <c r="AJ19" i="7"/>
  <c r="AH19" i="7"/>
  <c r="AG19" i="7"/>
  <c r="N19" i="7"/>
  <c r="K19" i="7" s="1"/>
  <c r="M19" i="7"/>
  <c r="L19" i="7"/>
  <c r="J19" i="7"/>
  <c r="I19" i="7"/>
  <c r="BF18" i="7"/>
  <c r="AL18" i="7"/>
  <c r="AK18" i="7"/>
  <c r="AJ18" i="7"/>
  <c r="AI18" i="7"/>
  <c r="AH18" i="7"/>
  <c r="AG18" i="7"/>
  <c r="N18" i="7"/>
  <c r="K18" i="7" s="1"/>
  <c r="M18" i="7"/>
  <c r="L18" i="7"/>
  <c r="J18" i="7"/>
  <c r="I18" i="7"/>
  <c r="BF17" i="7"/>
  <c r="AL17" i="7"/>
  <c r="AK17" i="7"/>
  <c r="AJ17" i="7"/>
  <c r="AH17" i="7"/>
  <c r="AG17" i="7"/>
  <c r="N17" i="7"/>
  <c r="K17" i="7" s="1"/>
  <c r="M17" i="7"/>
  <c r="L17" i="7"/>
  <c r="J17" i="7"/>
  <c r="I17" i="7"/>
  <c r="BF16" i="7"/>
  <c r="AL16" i="7"/>
  <c r="AK16" i="7"/>
  <c r="AJ16" i="7"/>
  <c r="AH16" i="7"/>
  <c r="AG16" i="7"/>
  <c r="N16" i="7"/>
  <c r="M16" i="7"/>
  <c r="L16" i="7"/>
  <c r="K16" i="7"/>
  <c r="J16" i="7"/>
  <c r="I16" i="7"/>
  <c r="BF15" i="7"/>
  <c r="AL15" i="7"/>
  <c r="BH15" i="7" s="1" a="1"/>
  <c r="BH15" i="7" s="1"/>
  <c r="AK15" i="7"/>
  <c r="AJ15" i="7"/>
  <c r="AH15" i="7"/>
  <c r="AG15" i="7"/>
  <c r="N15" i="7"/>
  <c r="M15" i="7"/>
  <c r="L15" i="7"/>
  <c r="J15" i="7"/>
  <c r="I15" i="7"/>
  <c r="BF14" i="7"/>
  <c r="AL14" i="7"/>
  <c r="AI14" i="7" s="1"/>
  <c r="BE14" i="7" s="1"/>
  <c r="AK14" i="7"/>
  <c r="AJ14" i="7"/>
  <c r="AH14" i="7"/>
  <c r="AG14" i="7"/>
  <c r="N14" i="7"/>
  <c r="K14" i="7" s="1"/>
  <c r="M14" i="7"/>
  <c r="L14" i="7"/>
  <c r="J14" i="7"/>
  <c r="I14" i="7"/>
  <c r="BF13" i="7"/>
  <c r="AL13" i="7"/>
  <c r="AK13" i="7"/>
  <c r="AJ13" i="7"/>
  <c r="AH13" i="7"/>
  <c r="AG13" i="7"/>
  <c r="N13" i="7"/>
  <c r="K13" i="7" s="1"/>
  <c r="M13" i="7"/>
  <c r="L13" i="7"/>
  <c r="J13" i="7"/>
  <c r="I13" i="7"/>
  <c r="BF12" i="7"/>
  <c r="AL12" i="7"/>
  <c r="AK12" i="7"/>
  <c r="AJ12" i="7"/>
  <c r="AH12" i="7"/>
  <c r="AG12" i="7"/>
  <c r="N12" i="7"/>
  <c r="K12" i="7" s="1"/>
  <c r="M12" i="7"/>
  <c r="L12" i="7"/>
  <c r="J12" i="7"/>
  <c r="I12" i="7"/>
  <c r="BF11" i="7"/>
  <c r="AL11" i="7"/>
  <c r="AI11" i="7" s="1"/>
  <c r="AK11" i="7"/>
  <c r="AJ11" i="7"/>
  <c r="AH11" i="7"/>
  <c r="AG11" i="7"/>
  <c r="N11" i="7"/>
  <c r="K11" i="7" s="1"/>
  <c r="M11" i="7"/>
  <c r="L11" i="7"/>
  <c r="J11" i="7"/>
  <c r="I11" i="7"/>
  <c r="BF10" i="7"/>
  <c r="AL10" i="7"/>
  <c r="AI10" i="7" s="1"/>
  <c r="AK10" i="7"/>
  <c r="AJ10" i="7"/>
  <c r="AH10" i="7"/>
  <c r="AG10" i="7"/>
  <c r="N10" i="7"/>
  <c r="M10" i="7"/>
  <c r="L10" i="7"/>
  <c r="J10" i="7"/>
  <c r="I10" i="7"/>
  <c r="BF9" i="7"/>
  <c r="AL9" i="7"/>
  <c r="AK9" i="7"/>
  <c r="AJ9" i="7"/>
  <c r="AH9" i="7"/>
  <c r="AG9" i="7"/>
  <c r="N9" i="7"/>
  <c r="K9" i="7" s="1"/>
  <c r="M9" i="7"/>
  <c r="L9" i="7"/>
  <c r="J9" i="7"/>
  <c r="I9" i="7"/>
  <c r="BF8" i="7"/>
  <c r="AL8" i="7"/>
  <c r="AK8" i="7"/>
  <c r="AJ8" i="7"/>
  <c r="AH8" i="7"/>
  <c r="AG8" i="7"/>
  <c r="N8" i="7"/>
  <c r="K8" i="7" s="1"/>
  <c r="M8" i="7"/>
  <c r="L8" i="7"/>
  <c r="J8" i="7"/>
  <c r="I8" i="7"/>
  <c r="BF7" i="7"/>
  <c r="AL7" i="7"/>
  <c r="AI7" i="7" s="1"/>
  <c r="BE7" i="7" s="1"/>
  <c r="AK7" i="7"/>
  <c r="AJ7" i="7"/>
  <c r="AH7" i="7"/>
  <c r="AG7" i="7"/>
  <c r="N7" i="7"/>
  <c r="K7" i="7" s="1"/>
  <c r="M7" i="7"/>
  <c r="L7" i="7"/>
  <c r="J7" i="7"/>
  <c r="I7" i="7"/>
  <c r="BF6" i="7"/>
  <c r="AL6" i="7"/>
  <c r="AI6" i="7" s="1"/>
  <c r="BE6" i="7" s="1"/>
  <c r="AK6" i="7"/>
  <c r="AJ6" i="7"/>
  <c r="AH6" i="7"/>
  <c r="AG6" i="7"/>
  <c r="N6" i="7"/>
  <c r="K6" i="7" s="1"/>
  <c r="M6" i="7"/>
  <c r="L6" i="7"/>
  <c r="J6" i="7"/>
  <c r="I6" i="7"/>
  <c r="BF5" i="7"/>
  <c r="AL5" i="7"/>
  <c r="AK5" i="7"/>
  <c r="AJ5" i="7"/>
  <c r="AH5" i="7"/>
  <c r="AG5" i="7"/>
  <c r="N5" i="7"/>
  <c r="K5" i="7" s="1"/>
  <c r="M5" i="7"/>
  <c r="L5" i="7"/>
  <c r="J5" i="7"/>
  <c r="I5" i="7"/>
  <c r="AG1" i="7"/>
  <c r="I1" i="7"/>
  <c r="AZ18" i="6"/>
  <c r="AY18" i="6"/>
  <c r="AX18" i="6"/>
  <c r="AW18" i="6"/>
  <c r="AC18" i="6"/>
  <c r="AB18" i="6"/>
  <c r="AA18" i="6"/>
  <c r="Z18" i="6"/>
  <c r="AX17" i="6"/>
  <c r="AZ16" i="6"/>
  <c r="AY16" i="6"/>
  <c r="AX16" i="6"/>
  <c r="AW16" i="6"/>
  <c r="AC16" i="6"/>
  <c r="AB16" i="6"/>
  <c r="AY17" i="6" s="1"/>
  <c r="AA16" i="6"/>
  <c r="Z16" i="6"/>
  <c r="J13" i="6"/>
  <c r="AK11" i="6"/>
  <c r="AH11" i="6" s="1"/>
  <c r="AJ11" i="6"/>
  <c r="AI11" i="6"/>
  <c r="BD11" i="6" s="1"/>
  <c r="J11" i="8" s="1"/>
  <c r="AG11" i="6"/>
  <c r="AF11" i="6"/>
  <c r="AE11" i="6"/>
  <c r="N11" i="6"/>
  <c r="K11" i="6" s="1"/>
  <c r="M11" i="6"/>
  <c r="L11" i="6"/>
  <c r="J11" i="6"/>
  <c r="J14" i="6" s="1"/>
  <c r="I11" i="6"/>
  <c r="H11" i="6"/>
  <c r="AK10" i="6"/>
  <c r="AH10" i="6" s="1"/>
  <c r="AJ10" i="6"/>
  <c r="AJ14" i="6" s="1"/>
  <c r="AI10" i="6"/>
  <c r="AG10" i="6"/>
  <c r="AF10" i="6"/>
  <c r="AE10" i="6"/>
  <c r="N10" i="6"/>
  <c r="BG10" i="6" s="1" a="1"/>
  <c r="M10" i="6"/>
  <c r="L10" i="6"/>
  <c r="J10" i="6"/>
  <c r="I10" i="6"/>
  <c r="H10" i="6"/>
  <c r="BG9" i="6" a="1"/>
  <c r="AK9" i="6"/>
  <c r="BF9" i="6" s="1"/>
  <c r="AJ9" i="6"/>
  <c r="AI9" i="6"/>
  <c r="AI13" i="6" s="1"/>
  <c r="AG9" i="6"/>
  <c r="AG13" i="6" s="1"/>
  <c r="AF9" i="6"/>
  <c r="AE9" i="6"/>
  <c r="N9" i="6"/>
  <c r="M9" i="6"/>
  <c r="M13" i="6" s="1"/>
  <c r="L9" i="6"/>
  <c r="L13" i="6" s="1"/>
  <c r="K9" i="6"/>
  <c r="K13" i="6" s="1"/>
  <c r="J9" i="6"/>
  <c r="I9" i="6"/>
  <c r="H9" i="6"/>
  <c r="BD8" i="6"/>
  <c r="J8" i="8" s="1"/>
  <c r="AK8" i="6"/>
  <c r="AJ8" i="6"/>
  <c r="AI8" i="6"/>
  <c r="AG8" i="6"/>
  <c r="BB8" i="6" s="1"/>
  <c r="H8" i="8" s="1"/>
  <c r="AF8" i="6"/>
  <c r="AE8" i="6"/>
  <c r="N8" i="6"/>
  <c r="K8" i="6" s="1"/>
  <c r="M8" i="6"/>
  <c r="L8" i="6"/>
  <c r="J8" i="6"/>
  <c r="I8" i="6"/>
  <c r="H8" i="6"/>
  <c r="AK7" i="6"/>
  <c r="BG7" i="6" s="1" a="1"/>
  <c r="AJ7" i="6"/>
  <c r="AI7" i="6"/>
  <c r="BD7" i="6" s="1"/>
  <c r="J7" i="8" s="1"/>
  <c r="AG7" i="6"/>
  <c r="BB7" i="6" s="1"/>
  <c r="H7" i="8" s="1"/>
  <c r="AF7" i="6"/>
  <c r="AE7" i="6"/>
  <c r="N7" i="6"/>
  <c r="K7" i="6" s="1"/>
  <c r="M7" i="6"/>
  <c r="L7" i="6"/>
  <c r="J7" i="6"/>
  <c r="I7" i="6"/>
  <c r="H7" i="6"/>
  <c r="AK6" i="6"/>
  <c r="AH6" i="6" s="1"/>
  <c r="AJ6" i="6"/>
  <c r="BE6" i="6" s="1"/>
  <c r="K6" i="8" s="1"/>
  <c r="AI6" i="6"/>
  <c r="BD6" i="6" s="1"/>
  <c r="J6" i="8" s="1"/>
  <c r="AG6" i="6"/>
  <c r="AF6" i="6"/>
  <c r="AE6" i="6"/>
  <c r="N6" i="6"/>
  <c r="BG6" i="6" s="1" a="1"/>
  <c r="M6" i="6"/>
  <c r="L6" i="6"/>
  <c r="J6" i="6"/>
  <c r="I6" i="6"/>
  <c r="H6" i="6"/>
  <c r="BG5" i="6" a="1"/>
  <c r="AK5" i="6"/>
  <c r="BF5" i="6" s="1"/>
  <c r="AJ5" i="6"/>
  <c r="AI5" i="6"/>
  <c r="AI12" i="6" s="1"/>
  <c r="AG5" i="6"/>
  <c r="AF5" i="6"/>
  <c r="AE5" i="6"/>
  <c r="N5" i="6"/>
  <c r="M5" i="6"/>
  <c r="L5" i="6"/>
  <c r="K5" i="6"/>
  <c r="J5" i="6"/>
  <c r="I5" i="6"/>
  <c r="H5" i="6"/>
  <c r="AE1" i="6"/>
  <c r="H1" i="6"/>
  <c r="AZ18" i="5"/>
  <c r="AY18" i="5"/>
  <c r="AX18" i="5"/>
  <c r="AW18" i="5"/>
  <c r="AC18" i="5"/>
  <c r="AB18" i="5"/>
  <c r="AA18" i="5"/>
  <c r="AX19" i="5" s="1"/>
  <c r="E19" i="8" s="1"/>
  <c r="Z18" i="5"/>
  <c r="AY17" i="5"/>
  <c r="AZ16" i="5"/>
  <c r="AY16" i="5"/>
  <c r="AX16" i="5"/>
  <c r="AW16" i="5"/>
  <c r="AC16" i="5"/>
  <c r="AB16" i="5"/>
  <c r="AA16" i="5"/>
  <c r="Z16" i="5"/>
  <c r="J13" i="5"/>
  <c r="AK11" i="5"/>
  <c r="AH11" i="5" s="1"/>
  <c r="AJ11" i="5"/>
  <c r="BE11" i="5" s="1"/>
  <c r="G11" i="8" s="1"/>
  <c r="AI11" i="5"/>
  <c r="AG11" i="5"/>
  <c r="AF11" i="5"/>
  <c r="AE11" i="5"/>
  <c r="N11" i="5"/>
  <c r="BG11" i="5" s="1" a="1"/>
  <c r="M11" i="5"/>
  <c r="L11" i="5"/>
  <c r="J11" i="5"/>
  <c r="I11" i="5"/>
  <c r="H11" i="5"/>
  <c r="BG10" i="5" a="1"/>
  <c r="AK10" i="5"/>
  <c r="AJ10" i="5"/>
  <c r="AI10" i="5"/>
  <c r="AI14" i="5" s="1"/>
  <c r="AG10" i="5"/>
  <c r="AG14" i="5" s="1"/>
  <c r="AF10" i="5"/>
  <c r="AE10" i="5"/>
  <c r="N10" i="5"/>
  <c r="K10" i="5" s="1"/>
  <c r="M10" i="5"/>
  <c r="M14" i="5" s="1"/>
  <c r="L10" i="5"/>
  <c r="J10" i="5"/>
  <c r="I10" i="5"/>
  <c r="H10" i="5"/>
  <c r="BG9" i="5" a="1"/>
  <c r="AK9" i="5"/>
  <c r="AJ9" i="5"/>
  <c r="AJ13" i="5" s="1"/>
  <c r="AI9" i="5"/>
  <c r="AI13" i="5" s="1"/>
  <c r="BD13" i="5" s="1"/>
  <c r="F13" i="8" s="1"/>
  <c r="AG9" i="5"/>
  <c r="BB9" i="5" s="1"/>
  <c r="D9" i="8" s="1"/>
  <c r="AF9" i="5"/>
  <c r="AE9" i="5"/>
  <c r="N9" i="5"/>
  <c r="K9" i="5" s="1"/>
  <c r="K13" i="5" s="1"/>
  <c r="M9" i="5"/>
  <c r="M13" i="5" s="1"/>
  <c r="L9" i="5"/>
  <c r="L13" i="5" s="1"/>
  <c r="J9" i="5"/>
  <c r="I9" i="5"/>
  <c r="H9" i="5"/>
  <c r="AK8" i="5"/>
  <c r="AH8" i="5" s="1"/>
  <c r="AJ8" i="5"/>
  <c r="AI8" i="5"/>
  <c r="AG8" i="5"/>
  <c r="BB8" i="5" s="1"/>
  <c r="D8" i="8" s="1"/>
  <c r="AF8" i="5"/>
  <c r="AE8" i="5"/>
  <c r="N8" i="5"/>
  <c r="K8" i="5" s="1"/>
  <c r="M8" i="5"/>
  <c r="BE8" i="5" s="1"/>
  <c r="G8" i="8" s="1"/>
  <c r="L8" i="5"/>
  <c r="J8" i="5"/>
  <c r="I8" i="5"/>
  <c r="H8" i="5"/>
  <c r="AK7" i="5"/>
  <c r="AJ7" i="5"/>
  <c r="AI7" i="5"/>
  <c r="BD7" i="5" s="1"/>
  <c r="F7" i="8" s="1"/>
  <c r="AH7" i="5"/>
  <c r="AG7" i="5"/>
  <c r="AF7" i="5"/>
  <c r="AE7" i="5"/>
  <c r="N7" i="5"/>
  <c r="BF7" i="5" s="1"/>
  <c r="M7" i="5"/>
  <c r="L7" i="5"/>
  <c r="K7" i="5"/>
  <c r="J7" i="5"/>
  <c r="BB7" i="5" s="1"/>
  <c r="D7" i="8" s="1"/>
  <c r="I7" i="5"/>
  <c r="H7" i="5"/>
  <c r="BG6" i="5" a="1"/>
  <c r="AK6" i="5"/>
  <c r="AH6" i="5" s="1"/>
  <c r="AJ6" i="5"/>
  <c r="AI6" i="5"/>
  <c r="BD6" i="5" s="1"/>
  <c r="F6" i="8" s="1"/>
  <c r="AG6" i="5"/>
  <c r="AF6" i="5"/>
  <c r="AE6" i="5"/>
  <c r="N6" i="5"/>
  <c r="M6" i="5"/>
  <c r="L6" i="5"/>
  <c r="K6" i="5"/>
  <c r="J6" i="5"/>
  <c r="I6" i="5"/>
  <c r="H6" i="5"/>
  <c r="BD5" i="5"/>
  <c r="F5" i="8" s="1"/>
  <c r="AK5" i="5"/>
  <c r="AJ5" i="5"/>
  <c r="AJ15" i="5" s="1"/>
  <c r="AI5" i="5"/>
  <c r="AG5" i="5"/>
  <c r="AF5" i="5"/>
  <c r="AE5" i="5"/>
  <c r="N5" i="5"/>
  <c r="M5" i="5"/>
  <c r="M12" i="5" s="1"/>
  <c r="L5" i="5"/>
  <c r="K5" i="5"/>
  <c r="J5" i="5"/>
  <c r="I5" i="5"/>
  <c r="H5" i="5"/>
  <c r="AE1" i="5"/>
  <c r="H1" i="5"/>
  <c r="BB47" i="3"/>
  <c r="F21" i="8" s="1"/>
  <c r="BC46" i="3"/>
  <c r="BC47" i="3" s="1"/>
  <c r="G21" i="8" s="1"/>
  <c r="BB46" i="3"/>
  <c r="BA46" i="3"/>
  <c r="AZ46" i="3"/>
  <c r="AE46" i="3"/>
  <c r="AD46" i="3"/>
  <c r="AC46" i="3"/>
  <c r="AB46" i="3"/>
  <c r="BC44" i="3"/>
  <c r="BB44" i="3"/>
  <c r="BA44" i="3"/>
  <c r="AZ44" i="3"/>
  <c r="AE44" i="3"/>
  <c r="AD44" i="3"/>
  <c r="AC44" i="3"/>
  <c r="AB44" i="3"/>
  <c r="BF39" i="3"/>
  <c r="AL39" i="3"/>
  <c r="AI39" i="3" s="1"/>
  <c r="AK39" i="3"/>
  <c r="AJ39" i="3"/>
  <c r="AH39" i="3"/>
  <c r="AG39" i="3"/>
  <c r="N39" i="3"/>
  <c r="K39" i="3" s="1"/>
  <c r="M39" i="3"/>
  <c r="L39" i="3"/>
  <c r="J39" i="3"/>
  <c r="I39" i="3"/>
  <c r="BF38" i="3"/>
  <c r="AL38" i="3"/>
  <c r="AK38" i="3"/>
  <c r="AJ38" i="3"/>
  <c r="AI38" i="3"/>
  <c r="AH38" i="3"/>
  <c r="AG38" i="3"/>
  <c r="N38" i="3"/>
  <c r="K38" i="3" s="1"/>
  <c r="M38" i="3"/>
  <c r="L38" i="3"/>
  <c r="J38" i="3"/>
  <c r="I38" i="3"/>
  <c r="BF37" i="3"/>
  <c r="AL37" i="3"/>
  <c r="AK37" i="3"/>
  <c r="AJ37" i="3"/>
  <c r="AH37" i="3"/>
  <c r="AG37" i="3"/>
  <c r="N37" i="3"/>
  <c r="K37" i="3" s="1"/>
  <c r="M37" i="3"/>
  <c r="L37" i="3"/>
  <c r="J37" i="3"/>
  <c r="I37" i="3"/>
  <c r="BF36" i="3"/>
  <c r="AL36" i="3"/>
  <c r="AK36" i="3"/>
  <c r="AJ36" i="3"/>
  <c r="AH36" i="3"/>
  <c r="AG36" i="3"/>
  <c r="N36" i="3"/>
  <c r="M36" i="3"/>
  <c r="L36" i="3"/>
  <c r="J36" i="3"/>
  <c r="I36" i="3"/>
  <c r="BF35" i="3"/>
  <c r="AL35" i="3"/>
  <c r="AK35" i="3"/>
  <c r="AJ35" i="3"/>
  <c r="AI35" i="3"/>
  <c r="AH35" i="3"/>
  <c r="AG35" i="3"/>
  <c r="N35" i="3"/>
  <c r="M35" i="3"/>
  <c r="L35" i="3"/>
  <c r="J35" i="3"/>
  <c r="I35" i="3"/>
  <c r="BF34" i="3"/>
  <c r="AL34" i="3"/>
  <c r="AK34" i="3"/>
  <c r="AJ34" i="3"/>
  <c r="AI34" i="3"/>
  <c r="BE34" i="3" s="1"/>
  <c r="AH34" i="3"/>
  <c r="AG34" i="3"/>
  <c r="N34" i="3"/>
  <c r="K34" i="3" s="1"/>
  <c r="M34" i="3"/>
  <c r="L34" i="3"/>
  <c r="J34" i="3"/>
  <c r="I34" i="3"/>
  <c r="BF33" i="3"/>
  <c r="AL33" i="3"/>
  <c r="AK33" i="3"/>
  <c r="AJ33" i="3"/>
  <c r="AH33" i="3"/>
  <c r="AG33" i="3"/>
  <c r="N33" i="3"/>
  <c r="K33" i="3" s="1"/>
  <c r="M33" i="3"/>
  <c r="L33" i="3"/>
  <c r="J33" i="3"/>
  <c r="I33" i="3"/>
  <c r="BF32" i="3"/>
  <c r="AL32" i="3"/>
  <c r="AI32" i="3" s="1"/>
  <c r="AK32" i="3"/>
  <c r="AJ32" i="3"/>
  <c r="AH32" i="3"/>
  <c r="AG32" i="3"/>
  <c r="N32" i="3"/>
  <c r="M32" i="3"/>
  <c r="L32" i="3"/>
  <c r="K32" i="3"/>
  <c r="J32" i="3"/>
  <c r="I32" i="3"/>
  <c r="BF31" i="3"/>
  <c r="AL31" i="3"/>
  <c r="AK31" i="3"/>
  <c r="AK42" i="3" s="1"/>
  <c r="AJ31" i="3"/>
  <c r="AI31" i="3"/>
  <c r="AH31" i="3"/>
  <c r="AG31" i="3"/>
  <c r="N31" i="3"/>
  <c r="M31" i="3"/>
  <c r="L31" i="3"/>
  <c r="J31" i="3"/>
  <c r="I31" i="3"/>
  <c r="BH30" i="3" a="1"/>
  <c r="BF30" i="3"/>
  <c r="AL30" i="3"/>
  <c r="AI30" i="3" s="1"/>
  <c r="AK30" i="3"/>
  <c r="AJ30" i="3"/>
  <c r="AH30" i="3"/>
  <c r="AG30" i="3"/>
  <c r="N30" i="3"/>
  <c r="M30" i="3"/>
  <c r="L30" i="3"/>
  <c r="J30" i="3"/>
  <c r="I30" i="3"/>
  <c r="BF29" i="3"/>
  <c r="AL29" i="3"/>
  <c r="AK29" i="3"/>
  <c r="AJ29" i="3"/>
  <c r="AH29" i="3"/>
  <c r="AG29" i="3"/>
  <c r="N29" i="3"/>
  <c r="K29" i="3" s="1"/>
  <c r="M29" i="3"/>
  <c r="L29" i="3"/>
  <c r="J29" i="3"/>
  <c r="I29" i="3"/>
  <c r="BF28" i="3"/>
  <c r="AL28" i="3"/>
  <c r="AI28" i="3" s="1"/>
  <c r="AK28" i="3"/>
  <c r="AJ28" i="3"/>
  <c r="AH28" i="3"/>
  <c r="AG28" i="3"/>
  <c r="N28" i="3"/>
  <c r="BG28" i="3" s="1"/>
  <c r="M28" i="3"/>
  <c r="L28" i="3"/>
  <c r="J28" i="3"/>
  <c r="I28" i="3"/>
  <c r="BF27" i="3"/>
  <c r="AL27" i="3"/>
  <c r="AI27" i="3" s="1"/>
  <c r="AK27" i="3"/>
  <c r="AJ27" i="3"/>
  <c r="AH27" i="3"/>
  <c r="AG27" i="3"/>
  <c r="N27" i="3"/>
  <c r="BG27" i="3" s="1"/>
  <c r="M27" i="3"/>
  <c r="L27" i="3"/>
  <c r="K27" i="3"/>
  <c r="J27" i="3"/>
  <c r="I27" i="3"/>
  <c r="BF26" i="3"/>
  <c r="AL26" i="3"/>
  <c r="BG26" i="3" s="1"/>
  <c r="AK26" i="3"/>
  <c r="AJ26" i="3"/>
  <c r="AI26" i="3"/>
  <c r="BE26" i="3" s="1"/>
  <c r="AH26" i="3"/>
  <c r="AG26" i="3"/>
  <c r="N26" i="3"/>
  <c r="K26" i="3" s="1"/>
  <c r="M26" i="3"/>
  <c r="L26" i="3"/>
  <c r="J26" i="3"/>
  <c r="I26" i="3"/>
  <c r="BF25" i="3"/>
  <c r="AL25" i="3"/>
  <c r="AK25" i="3"/>
  <c r="AJ25" i="3"/>
  <c r="AH25" i="3"/>
  <c r="AH41" i="3" s="1"/>
  <c r="AG25" i="3"/>
  <c r="N25" i="3"/>
  <c r="M25" i="3"/>
  <c r="L25" i="3"/>
  <c r="K25" i="3"/>
  <c r="J25" i="3"/>
  <c r="I25" i="3"/>
  <c r="BF24" i="3"/>
  <c r="AL24" i="3"/>
  <c r="AI24" i="3" s="1"/>
  <c r="AK24" i="3"/>
  <c r="AJ24" i="3"/>
  <c r="AH24" i="3"/>
  <c r="AG24" i="3"/>
  <c r="N24" i="3"/>
  <c r="K24" i="3" s="1"/>
  <c r="M24" i="3"/>
  <c r="L24" i="3"/>
  <c r="J24" i="3"/>
  <c r="I24" i="3"/>
  <c r="BF23" i="3"/>
  <c r="AL23" i="3"/>
  <c r="AK23" i="3"/>
  <c r="AJ23" i="3"/>
  <c r="AI23" i="3"/>
  <c r="AH23" i="3"/>
  <c r="AG23" i="3"/>
  <c r="N23" i="3"/>
  <c r="M23" i="3"/>
  <c r="L23" i="3"/>
  <c r="J23" i="3"/>
  <c r="I23" i="3"/>
  <c r="BF22" i="3"/>
  <c r="AL22" i="3"/>
  <c r="AK22" i="3"/>
  <c r="AJ22" i="3"/>
  <c r="AI22" i="3"/>
  <c r="AH22" i="3"/>
  <c r="AG22" i="3"/>
  <c r="N22" i="3"/>
  <c r="K22" i="3" s="1"/>
  <c r="M22" i="3"/>
  <c r="L22" i="3"/>
  <c r="J22" i="3"/>
  <c r="I22" i="3"/>
  <c r="BF21" i="3"/>
  <c r="AL21" i="3"/>
  <c r="AK21" i="3"/>
  <c r="AJ21" i="3"/>
  <c r="AI21" i="3"/>
  <c r="AH21" i="3"/>
  <c r="AG21" i="3"/>
  <c r="N21" i="3"/>
  <c r="K21" i="3" s="1"/>
  <c r="M21" i="3"/>
  <c r="L21" i="3"/>
  <c r="J21" i="3"/>
  <c r="I21" i="3"/>
  <c r="BF20" i="3"/>
  <c r="AL20" i="3"/>
  <c r="BG20" i="3" s="1"/>
  <c r="AK20" i="3"/>
  <c r="AJ20" i="3"/>
  <c r="AH20" i="3"/>
  <c r="AG20" i="3"/>
  <c r="N20" i="3"/>
  <c r="M20" i="3"/>
  <c r="L20" i="3"/>
  <c r="K20" i="3"/>
  <c r="J20" i="3"/>
  <c r="I20" i="3"/>
  <c r="BF19" i="3"/>
  <c r="AL19" i="3"/>
  <c r="AI19" i="3" s="1"/>
  <c r="AK19" i="3"/>
  <c r="AJ19" i="3"/>
  <c r="AH19" i="3"/>
  <c r="AG19" i="3"/>
  <c r="N19" i="3"/>
  <c r="M19" i="3"/>
  <c r="L19" i="3"/>
  <c r="J19" i="3"/>
  <c r="I19" i="3"/>
  <c r="BF18" i="3"/>
  <c r="AL18" i="3"/>
  <c r="AI18" i="3" s="1"/>
  <c r="BE18" i="3" s="1"/>
  <c r="AK18" i="3"/>
  <c r="AJ18" i="3"/>
  <c r="AH18" i="3"/>
  <c r="AG18" i="3"/>
  <c r="N18" i="3"/>
  <c r="K18" i="3" s="1"/>
  <c r="M18" i="3"/>
  <c r="L18" i="3"/>
  <c r="J18" i="3"/>
  <c r="I18" i="3"/>
  <c r="BF17" i="3"/>
  <c r="AL17" i="3"/>
  <c r="AI17" i="3" s="1"/>
  <c r="AK17" i="3"/>
  <c r="AJ17" i="3"/>
  <c r="AH17" i="3"/>
  <c r="AG17" i="3"/>
  <c r="N17" i="3"/>
  <c r="K17" i="3" s="1"/>
  <c r="M17" i="3"/>
  <c r="L17" i="3"/>
  <c r="J17" i="3"/>
  <c r="I17" i="3"/>
  <c r="BF16" i="3"/>
  <c r="AL16" i="3"/>
  <c r="AK16" i="3"/>
  <c r="AJ16" i="3"/>
  <c r="AH16" i="3"/>
  <c r="AG16" i="3"/>
  <c r="N16" i="3"/>
  <c r="K16" i="3" s="1"/>
  <c r="M16" i="3"/>
  <c r="L16" i="3"/>
  <c r="J16" i="3"/>
  <c r="I16" i="3"/>
  <c r="BF15" i="3"/>
  <c r="AL15" i="3"/>
  <c r="AK15" i="3"/>
  <c r="AJ15" i="3"/>
  <c r="AI15" i="3"/>
  <c r="AH15" i="3"/>
  <c r="AG15" i="3"/>
  <c r="N15" i="3"/>
  <c r="K15" i="3" s="1"/>
  <c r="M15" i="3"/>
  <c r="L15" i="3"/>
  <c r="J15" i="3"/>
  <c r="I15" i="3"/>
  <c r="BF14" i="3"/>
  <c r="AL14" i="3"/>
  <c r="BG14" i="3" s="1"/>
  <c r="AK14" i="3"/>
  <c r="AJ14" i="3"/>
  <c r="AI14" i="3"/>
  <c r="BE14" i="3" s="1"/>
  <c r="AH14" i="3"/>
  <c r="AG14" i="3"/>
  <c r="N14" i="3"/>
  <c r="K14" i="3" s="1"/>
  <c r="M14" i="3"/>
  <c r="L14" i="3"/>
  <c r="J14" i="3"/>
  <c r="I14" i="3"/>
  <c r="BF13" i="3"/>
  <c r="AL13" i="3"/>
  <c r="BG13" i="3" s="1"/>
  <c r="AK13" i="3"/>
  <c r="AJ13" i="3"/>
  <c r="AI13" i="3"/>
  <c r="AH13" i="3"/>
  <c r="AG13" i="3"/>
  <c r="N13" i="3"/>
  <c r="M13" i="3"/>
  <c r="L13" i="3"/>
  <c r="K13" i="3"/>
  <c r="J13" i="3"/>
  <c r="I13" i="3"/>
  <c r="BF12" i="3"/>
  <c r="AL12" i="3"/>
  <c r="AI12" i="3" s="1"/>
  <c r="AK12" i="3"/>
  <c r="AJ12" i="3"/>
  <c r="AH12" i="3"/>
  <c r="AG12" i="3"/>
  <c r="N12" i="3"/>
  <c r="M12" i="3"/>
  <c r="L12" i="3"/>
  <c r="K12" i="3"/>
  <c r="J12" i="3"/>
  <c r="I12" i="3"/>
  <c r="BF11" i="3"/>
  <c r="AL11" i="3"/>
  <c r="AI11" i="3" s="1"/>
  <c r="AK11" i="3"/>
  <c r="AJ11" i="3"/>
  <c r="AH11" i="3"/>
  <c r="AG11" i="3"/>
  <c r="N11" i="3"/>
  <c r="K11" i="3" s="1"/>
  <c r="M11" i="3"/>
  <c r="L11" i="3"/>
  <c r="J11" i="3"/>
  <c r="I11" i="3"/>
  <c r="BF10" i="3"/>
  <c r="AL10" i="3"/>
  <c r="BG10" i="3" s="1"/>
  <c r="AK10" i="3"/>
  <c r="AJ10" i="3"/>
  <c r="AH10" i="3"/>
  <c r="AG10" i="3"/>
  <c r="N10" i="3"/>
  <c r="M10" i="3"/>
  <c r="L10" i="3"/>
  <c r="J10" i="3"/>
  <c r="I10" i="3"/>
  <c r="BF9" i="3"/>
  <c r="AL9" i="3"/>
  <c r="BG9" i="3" s="1"/>
  <c r="AK9" i="3"/>
  <c r="AJ9" i="3"/>
  <c r="AH9" i="3"/>
  <c r="AG9" i="3"/>
  <c r="N9" i="3"/>
  <c r="K9" i="3" s="1"/>
  <c r="M9" i="3"/>
  <c r="L9" i="3"/>
  <c r="J9" i="3"/>
  <c r="I9" i="3"/>
  <c r="BF8" i="3"/>
  <c r="AL8" i="3"/>
  <c r="AI8" i="3" s="1"/>
  <c r="AK8" i="3"/>
  <c r="AJ8" i="3"/>
  <c r="AH8" i="3"/>
  <c r="AG8" i="3"/>
  <c r="N8" i="3"/>
  <c r="K8" i="3" s="1"/>
  <c r="M8" i="3"/>
  <c r="L8" i="3"/>
  <c r="J8" i="3"/>
  <c r="I8" i="3"/>
  <c r="BF7" i="3"/>
  <c r="AL7" i="3"/>
  <c r="AK7" i="3"/>
  <c r="AJ7" i="3"/>
  <c r="AI7" i="3"/>
  <c r="AH7" i="3"/>
  <c r="AG7" i="3"/>
  <c r="N7" i="3"/>
  <c r="M7" i="3"/>
  <c r="L7" i="3"/>
  <c r="J7" i="3"/>
  <c r="I7" i="3"/>
  <c r="BF6" i="3"/>
  <c r="AL6" i="3"/>
  <c r="AK6" i="3"/>
  <c r="AJ6" i="3"/>
  <c r="AH6" i="3"/>
  <c r="AG6" i="3"/>
  <c r="N6" i="3"/>
  <c r="K6" i="3" s="1"/>
  <c r="M6" i="3"/>
  <c r="L6" i="3"/>
  <c r="J6" i="3"/>
  <c r="I6" i="3"/>
  <c r="BH5" i="3" a="1"/>
  <c r="BF5" i="3"/>
  <c r="AL5" i="3"/>
  <c r="AK5" i="3"/>
  <c r="AK43" i="3" s="1"/>
  <c r="AJ5" i="3"/>
  <c r="AI5" i="3"/>
  <c r="AH5" i="3"/>
  <c r="AG5" i="3"/>
  <c r="N5" i="3"/>
  <c r="K5" i="3" s="1"/>
  <c r="M5" i="3"/>
  <c r="M40" i="3" s="1"/>
  <c r="L5" i="3"/>
  <c r="J5" i="3"/>
  <c r="I5" i="3"/>
  <c r="AG1" i="3"/>
  <c r="I1" i="3"/>
  <c r="B1" i="2"/>
  <c r="B2" i="2" s="1"/>
  <c r="BS35" i="7"/>
  <c r="BN35" i="7"/>
  <c r="BJ35" i="7"/>
  <c r="BT30" i="7"/>
  <c r="BP30" i="7"/>
  <c r="BT25" i="7"/>
  <c r="BP25" i="7"/>
  <c r="BQ20" i="7"/>
  <c r="BL20" i="7"/>
  <c r="BQ15" i="7"/>
  <c r="BL15" i="7"/>
  <c r="BT10" i="7"/>
  <c r="BP10" i="7"/>
  <c r="BT5" i="7"/>
  <c r="BP5" i="7"/>
  <c r="BQ35" i="3"/>
  <c r="BL35" i="3"/>
  <c r="BT30" i="3"/>
  <c r="BP30" i="3"/>
  <c r="BS25" i="3"/>
  <c r="BN25" i="3"/>
  <c r="BR20" i="3"/>
  <c r="BM20" i="3"/>
  <c r="BQ15" i="3"/>
  <c r="BL15" i="3"/>
  <c r="BT10" i="3"/>
  <c r="BP10" i="3"/>
  <c r="BJ10" i="3"/>
  <c r="BQ5" i="3"/>
  <c r="BL5" i="3"/>
  <c r="BR35" i="7"/>
  <c r="BM35" i="7"/>
  <c r="BS30" i="7"/>
  <c r="BN30" i="7"/>
  <c r="BS25" i="7"/>
  <c r="BN25" i="7"/>
  <c r="BT20" i="7"/>
  <c r="BP20" i="7"/>
  <c r="BK20" i="7"/>
  <c r="BT15" i="7"/>
  <c r="BP15" i="7"/>
  <c r="BK15" i="7"/>
  <c r="BS10" i="7"/>
  <c r="BN10" i="7"/>
  <c r="BS5" i="7"/>
  <c r="BN5" i="7"/>
  <c r="BT35" i="3"/>
  <c r="BP35" i="3"/>
  <c r="BK35" i="3"/>
  <c r="BJ35" i="3"/>
  <c r="BS30" i="3"/>
  <c r="BN30" i="3"/>
  <c r="BR25" i="3"/>
  <c r="BM25" i="3"/>
  <c r="BQ20" i="3"/>
  <c r="BJ20" i="3"/>
  <c r="BT15" i="3"/>
  <c r="BP15" i="3"/>
  <c r="BJ15" i="3"/>
  <c r="BK15" i="3"/>
  <c r="BS10" i="3"/>
  <c r="BN10" i="3"/>
  <c r="BT5" i="3"/>
  <c r="BP5" i="3"/>
  <c r="BQ35" i="7"/>
  <c r="BR30" i="7"/>
  <c r="BR25" i="7"/>
  <c r="BJ25" i="7"/>
  <c r="BN20" i="7"/>
  <c r="BN15" i="7"/>
  <c r="BR10" i="7"/>
  <c r="BR5" i="7"/>
  <c r="BJ5" i="7"/>
  <c r="BL20" i="3"/>
  <c r="BL35" i="7"/>
  <c r="BM30" i="7"/>
  <c r="BM25" i="7"/>
  <c r="BS20" i="7"/>
  <c r="BS15" i="7"/>
  <c r="BJ15" i="7"/>
  <c r="BM10" i="7"/>
  <c r="BM5" i="7"/>
  <c r="BT35" i="7"/>
  <c r="BQ25" i="7"/>
  <c r="BM20" i="7"/>
  <c r="BR15" i="7"/>
  <c r="BL10" i="7"/>
  <c r="BS35" i="3"/>
  <c r="BM30" i="3"/>
  <c r="BL25" i="3"/>
  <c r="BT20" i="3"/>
  <c r="BR15" i="3"/>
  <c r="BL10" i="3"/>
  <c r="BM5" i="3"/>
  <c r="BP35" i="7"/>
  <c r="BL25" i="7"/>
  <c r="BM15" i="7"/>
  <c r="BQ5" i="7"/>
  <c r="BR35" i="3"/>
  <c r="BL30" i="3"/>
  <c r="BT25" i="3"/>
  <c r="BS20" i="3"/>
  <c r="BN15" i="3"/>
  <c r="BR10" i="3"/>
  <c r="BS5" i="3"/>
  <c r="BM35" i="3"/>
  <c r="BN20" i="3"/>
  <c r="BS15" i="3"/>
  <c r="BN5" i="3"/>
  <c r="BK35" i="7"/>
  <c r="BQ30" i="7"/>
  <c r="BL5" i="7"/>
  <c r="BN35" i="3"/>
  <c r="BR30" i="3"/>
  <c r="BQ25" i="3"/>
  <c r="BP20" i="3"/>
  <c r="BM15" i="3"/>
  <c r="BQ10" i="3"/>
  <c r="BR5" i="3"/>
  <c r="BL30" i="7"/>
  <c r="BR20" i="7"/>
  <c r="BQ10" i="7"/>
  <c r="BQ30" i="3"/>
  <c r="BP25" i="3"/>
  <c r="BM10" i="3"/>
  <c r="BG19" i="3" l="1"/>
  <c r="BG24" i="3"/>
  <c r="AJ42" i="3"/>
  <c r="C14" i="1"/>
  <c r="BG7" i="3"/>
  <c r="AJ43" i="3"/>
  <c r="AK40" i="3"/>
  <c r="BG23" i="3"/>
  <c r="AJ41" i="3"/>
  <c r="BG31" i="3"/>
  <c r="BG32" i="3"/>
  <c r="BG36" i="3"/>
  <c r="AI9" i="3"/>
  <c r="AI10" i="3"/>
  <c r="AK41" i="3"/>
  <c r="BE17" i="3"/>
  <c r="BH30" i="3"/>
  <c r="BH42" i="3" s="1"/>
  <c r="AZ45" i="3"/>
  <c r="AZ47" i="3"/>
  <c r="BH5" i="3"/>
  <c r="BE9" i="3"/>
  <c r="L41" i="3"/>
  <c r="M41" i="3"/>
  <c r="K28" i="3"/>
  <c r="J42" i="3"/>
  <c r="L42" i="3"/>
  <c r="BG33" i="3"/>
  <c r="K36" i="3"/>
  <c r="BA45" i="3"/>
  <c r="BA47" i="3"/>
  <c r="E21" i="8" s="1"/>
  <c r="BE13" i="3"/>
  <c r="BG21" i="3"/>
  <c r="BG22" i="3"/>
  <c r="K23" i="3"/>
  <c r="BG29" i="3"/>
  <c r="BG37" i="3"/>
  <c r="BB45" i="3"/>
  <c r="L40" i="3"/>
  <c r="BG5" i="3"/>
  <c r="BG6" i="3"/>
  <c r="BG17" i="3"/>
  <c r="BG18" i="3"/>
  <c r="K19" i="3"/>
  <c r="BE21" i="3"/>
  <c r="BE22" i="3"/>
  <c r="M42" i="3"/>
  <c r="K31" i="3"/>
  <c r="BE38" i="3"/>
  <c r="BG39" i="3"/>
  <c r="BC45" i="3"/>
  <c r="BB6" i="5"/>
  <c r="D6" i="8" s="1"/>
  <c r="BF6" i="5"/>
  <c r="BG6" i="5"/>
  <c r="BC6" i="5"/>
  <c r="E6" i="8" s="1"/>
  <c r="BE9" i="5"/>
  <c r="G9" i="8" s="1"/>
  <c r="BE7" i="5"/>
  <c r="G7" i="8" s="1"/>
  <c r="K12" i="5"/>
  <c r="L14" i="5"/>
  <c r="BF10" i="5"/>
  <c r="BF11" i="5"/>
  <c r="BE6" i="5"/>
  <c r="G6" i="8" s="1"/>
  <c r="BD8" i="5"/>
  <c r="F8" i="8" s="1"/>
  <c r="BD9" i="5"/>
  <c r="F9" i="8" s="1"/>
  <c r="BB10" i="5"/>
  <c r="D10" i="8" s="1"/>
  <c r="BG10" i="5"/>
  <c r="J14" i="5"/>
  <c r="BB14" i="5" s="1"/>
  <c r="BD11" i="5"/>
  <c r="F11" i="8" s="1"/>
  <c r="BG11" i="5"/>
  <c r="AZ17" i="5"/>
  <c r="AY19" i="5"/>
  <c r="F19" i="8" s="1"/>
  <c r="BD14" i="5"/>
  <c r="F14" i="8" s="1"/>
  <c r="AW17" i="5"/>
  <c r="AZ19" i="5"/>
  <c r="G19" i="8" s="1"/>
  <c r="L12" i="5"/>
  <c r="BG9" i="5"/>
  <c r="BG13" i="5" s="1"/>
  <c r="BE10" i="5"/>
  <c r="G10" i="8" s="1"/>
  <c r="AX17" i="5"/>
  <c r="AW19" i="5"/>
  <c r="BG6" i="6"/>
  <c r="BE7" i="6"/>
  <c r="K7" i="8" s="1"/>
  <c r="BG10" i="6"/>
  <c r="BE11" i="6"/>
  <c r="K11" i="8" s="1"/>
  <c r="BG5" i="6"/>
  <c r="BB6" i="6"/>
  <c r="H6" i="8" s="1"/>
  <c r="BB10" i="6"/>
  <c r="H10" i="8" s="1"/>
  <c r="AW17" i="6"/>
  <c r="AY19" i="6"/>
  <c r="C36" i="1" s="1"/>
  <c r="BE8" i="6"/>
  <c r="K8" i="8" s="1"/>
  <c r="BB13" i="6"/>
  <c r="H13" i="8" s="1"/>
  <c r="BG9" i="6"/>
  <c r="BG13" i="6" s="1"/>
  <c r="K10" i="6"/>
  <c r="K14" i="6" s="1"/>
  <c r="AZ19" i="6"/>
  <c r="G20" i="8" s="1"/>
  <c r="AZ17" i="6"/>
  <c r="BF10" i="6"/>
  <c r="BG7" i="6"/>
  <c r="L14" i="6"/>
  <c r="BF11" i="6"/>
  <c r="AW19" i="6"/>
  <c r="AI15" i="7"/>
  <c r="AJ43" i="7"/>
  <c r="BG15" i="7"/>
  <c r="BG39" i="7"/>
  <c r="AJ42" i="7"/>
  <c r="AI21" i="7"/>
  <c r="AI22" i="7"/>
  <c r="BE22" i="7" s="1"/>
  <c r="F22" i="8"/>
  <c r="C48" i="1"/>
  <c r="L43" i="7"/>
  <c r="M43" i="7"/>
  <c r="BG35" i="7"/>
  <c r="BE21" i="7"/>
  <c r="M42" i="7"/>
  <c r="M41" i="7"/>
  <c r="BE33" i="7"/>
  <c r="AZ45" i="7"/>
  <c r="AZ47" i="7"/>
  <c r="BG6" i="7"/>
  <c r="BG9" i="7"/>
  <c r="BG13" i="7"/>
  <c r="K15" i="7"/>
  <c r="BE35" i="7"/>
  <c r="BA45" i="7"/>
  <c r="BA47" i="7"/>
  <c r="E22" i="8" s="1"/>
  <c r="L9" i="8"/>
  <c r="BP41" i="3"/>
  <c r="M10" i="8"/>
  <c r="R6" i="8"/>
  <c r="S8" i="8"/>
  <c r="BL42" i="7"/>
  <c r="E45" i="1" s="1"/>
  <c r="M6" i="8"/>
  <c r="L8" i="8"/>
  <c r="BN43" i="3"/>
  <c r="G12" i="1" s="1"/>
  <c r="BN40" i="3"/>
  <c r="G9" i="1" s="1"/>
  <c r="O7" i="8"/>
  <c r="O5" i="8"/>
  <c r="BS43" i="3"/>
  <c r="BS40" i="3"/>
  <c r="N6" i="8"/>
  <c r="O8" i="8"/>
  <c r="P9" i="8"/>
  <c r="BT41" i="3"/>
  <c r="P13" i="8" s="1"/>
  <c r="BL42" i="3"/>
  <c r="E11" i="1" s="1"/>
  <c r="N11" i="8"/>
  <c r="R5" i="8"/>
  <c r="BL41" i="7"/>
  <c r="E44" i="1" s="1"/>
  <c r="Q11" i="8"/>
  <c r="N7" i="8"/>
  <c r="P8" i="8"/>
  <c r="BL41" i="3"/>
  <c r="E10" i="1" s="1"/>
  <c r="BM42" i="3"/>
  <c r="F11" i="1" s="1"/>
  <c r="O11" i="8"/>
  <c r="S7" i="8"/>
  <c r="BQ41" i="7"/>
  <c r="R9" i="8"/>
  <c r="U11" i="8"/>
  <c r="T7" i="8"/>
  <c r="T8" i="8"/>
  <c r="BM41" i="7"/>
  <c r="F44" i="1" s="1"/>
  <c r="BM42" i="7"/>
  <c r="F45" i="1" s="1"/>
  <c r="S6" i="8"/>
  <c r="BJ41" i="7"/>
  <c r="C44" i="1" s="1"/>
  <c r="BR41" i="7"/>
  <c r="S9" i="8"/>
  <c r="R11" i="8"/>
  <c r="L5" i="8"/>
  <c r="BP40" i="3"/>
  <c r="P5" i="8"/>
  <c r="BT43" i="3"/>
  <c r="P15" i="8" s="1"/>
  <c r="O6" i="8"/>
  <c r="L7" i="8"/>
  <c r="P7" i="8"/>
  <c r="M8" i="8"/>
  <c r="BM41" i="3"/>
  <c r="F10" i="1" s="1"/>
  <c r="BN42" i="3"/>
  <c r="G11" i="1" s="1"/>
  <c r="O10" i="8"/>
  <c r="L11" i="8"/>
  <c r="P11" i="8"/>
  <c r="BN43" i="7"/>
  <c r="G46" i="1" s="1"/>
  <c r="BN40" i="7"/>
  <c r="G43" i="1" s="1"/>
  <c r="T5" i="8"/>
  <c r="BS43" i="7"/>
  <c r="T15" i="8" s="1"/>
  <c r="T6" i="8"/>
  <c r="Q7" i="8"/>
  <c r="U7" i="8"/>
  <c r="Q8" i="8"/>
  <c r="U8" i="8"/>
  <c r="BN41" i="7"/>
  <c r="G44" i="1" s="1"/>
  <c r="T9" i="8"/>
  <c r="BS41" i="7"/>
  <c r="BN42" i="7"/>
  <c r="G45" i="1" s="1"/>
  <c r="S11" i="8"/>
  <c r="L6" i="8"/>
  <c r="P6" i="8"/>
  <c r="M7" i="8"/>
  <c r="N8" i="8"/>
  <c r="BN41" i="3"/>
  <c r="G10" i="1" s="1"/>
  <c r="O9" i="8"/>
  <c r="BS41" i="3"/>
  <c r="L10" i="8"/>
  <c r="BP42" i="3"/>
  <c r="P10" i="8"/>
  <c r="BT42" i="3"/>
  <c r="M11" i="8"/>
  <c r="Q5" i="8"/>
  <c r="BP40" i="7"/>
  <c r="U5" i="8"/>
  <c r="BT43" i="7"/>
  <c r="U15" i="8" s="1"/>
  <c r="Q6" i="8"/>
  <c r="U6" i="8"/>
  <c r="R7" i="8"/>
  <c r="R8" i="8"/>
  <c r="Q9" i="8"/>
  <c r="U9" i="8"/>
  <c r="BT41" i="7"/>
  <c r="BP42" i="7"/>
  <c r="Q10" i="8"/>
  <c r="U10" i="8"/>
  <c r="T11" i="8"/>
  <c r="F20" i="8"/>
  <c r="C24" i="1"/>
  <c r="E32" i="1"/>
  <c r="AH43" i="3"/>
  <c r="AH40" i="3"/>
  <c r="BM43" i="3"/>
  <c r="F12" i="1" s="1"/>
  <c r="BM40" i="3"/>
  <c r="F9" i="1" s="1"/>
  <c r="N5" i="8"/>
  <c r="BR43" i="3"/>
  <c r="BR40" i="3"/>
  <c r="BG15" i="3"/>
  <c r="K41" i="3"/>
  <c r="K30" i="3"/>
  <c r="BE30" i="3" s="1"/>
  <c r="N10" i="8"/>
  <c r="BR42" i="3"/>
  <c r="AJ40" i="3"/>
  <c r="L43" i="3"/>
  <c r="BF5" i="5"/>
  <c r="AH5" i="5"/>
  <c r="BG8" i="5" a="1"/>
  <c r="BG8" i="5" s="1"/>
  <c r="AI15" i="5"/>
  <c r="J12" i="6"/>
  <c r="BD5" i="6"/>
  <c r="J5" i="8" s="1"/>
  <c r="BF7" i="6"/>
  <c r="BF8" i="6"/>
  <c r="AH8" i="6"/>
  <c r="BC8" i="6" s="1"/>
  <c r="I8" i="8" s="1"/>
  <c r="AI14" i="6"/>
  <c r="BD14" i="6" s="1"/>
  <c r="J14" i="8" s="1"/>
  <c r="BD10" i="6"/>
  <c r="J10" i="8" s="1"/>
  <c r="BC11" i="6"/>
  <c r="I11" i="8" s="1"/>
  <c r="BB11" i="6"/>
  <c r="H11" i="8" s="1"/>
  <c r="BG11" i="7"/>
  <c r="AJ41" i="7"/>
  <c r="BE27" i="7"/>
  <c r="AI28" i="7"/>
  <c r="BE28" i="7" s="1"/>
  <c r="BG28" i="7"/>
  <c r="S10" i="8"/>
  <c r="BR42" i="7"/>
  <c r="BE34" i="7"/>
  <c r="BH35" i="7" a="1"/>
  <c r="BH35" i="7" s="1"/>
  <c r="AI36" i="7"/>
  <c r="BE36" i="7" s="1"/>
  <c r="BG36" i="7"/>
  <c r="BE38" i="7"/>
  <c r="BE5" i="3"/>
  <c r="BE8" i="3"/>
  <c r="BE11" i="3"/>
  <c r="BE12" i="3"/>
  <c r="BH15" i="3" a="1"/>
  <c r="BH15" i="3" s="1"/>
  <c r="AI16" i="3"/>
  <c r="BE16" i="3" s="1"/>
  <c r="BG25" i="3"/>
  <c r="BH25" i="3" a="1"/>
  <c r="BH25" i="3" s="1"/>
  <c r="BH41" i="3" s="1"/>
  <c r="M43" i="3"/>
  <c r="AG12" i="5"/>
  <c r="AG15" i="5"/>
  <c r="BB15" i="5" s="1"/>
  <c r="BB5" i="5"/>
  <c r="D5" i="8" s="1"/>
  <c r="BC7" i="5"/>
  <c r="E7" i="8" s="1"/>
  <c r="BC8" i="5"/>
  <c r="E8" i="8" s="1"/>
  <c r="BD10" i="5"/>
  <c r="F10" i="8" s="1"/>
  <c r="AI12" i="5"/>
  <c r="BD12" i="5" s="1"/>
  <c r="F12" i="8" s="1"/>
  <c r="K12" i="6"/>
  <c r="AJ12" i="6"/>
  <c r="AJ15" i="6"/>
  <c r="BE5" i="6"/>
  <c r="K5" i="8" s="1"/>
  <c r="BG12" i="6"/>
  <c r="M15" i="6"/>
  <c r="AI8" i="7"/>
  <c r="BE8" i="7" s="1"/>
  <c r="BG8" i="7"/>
  <c r="BG27" i="7"/>
  <c r="BG38" i="7"/>
  <c r="K38" i="7"/>
  <c r="BB45" i="7"/>
  <c r="AH7" i="6"/>
  <c r="BC7" i="6" s="1"/>
  <c r="I7" i="8" s="1"/>
  <c r="BD13" i="6"/>
  <c r="J13" i="8" s="1"/>
  <c r="BD9" i="6"/>
  <c r="J9" i="8" s="1"/>
  <c r="AG14" i="6"/>
  <c r="BB14" i="6" s="1"/>
  <c r="M14" i="6"/>
  <c r="BE14" i="6" s="1"/>
  <c r="AI15" i="6"/>
  <c r="AK43" i="7"/>
  <c r="AJ40" i="7"/>
  <c r="BG7" i="7"/>
  <c r="BG17" i="7"/>
  <c r="AI17" i="7"/>
  <c r="BE17" i="7" s="1"/>
  <c r="BH20" i="7" a="1"/>
  <c r="BH20" i="7" s="1"/>
  <c r="AI20" i="7"/>
  <c r="BE20" i="7" s="1"/>
  <c r="BG20" i="7"/>
  <c r="AI24" i="7"/>
  <c r="BE24" i="7" s="1"/>
  <c r="BG24" i="7"/>
  <c r="K30" i="7"/>
  <c r="BE30" i="7" s="1"/>
  <c r="AI32" i="7"/>
  <c r="BE32" i="7" s="1"/>
  <c r="BG32" i="7"/>
  <c r="BH30" i="7" a="1"/>
  <c r="BH30" i="7" s="1"/>
  <c r="L46" i="1"/>
  <c r="BC45" i="7"/>
  <c r="J43" i="3"/>
  <c r="AI6" i="3"/>
  <c r="BE6" i="3" s="1"/>
  <c r="K7" i="3"/>
  <c r="BE7" i="3" s="1"/>
  <c r="K10" i="3"/>
  <c r="BG11" i="3"/>
  <c r="AI25" i="3"/>
  <c r="M9" i="8"/>
  <c r="BQ41" i="3"/>
  <c r="AI29" i="3"/>
  <c r="BE29" i="3" s="1"/>
  <c r="AH42" i="3"/>
  <c r="BG30" i="3"/>
  <c r="AI33" i="3"/>
  <c r="BE33" i="3" s="1"/>
  <c r="BG34" i="3"/>
  <c r="BG35" i="3"/>
  <c r="AI37" i="3"/>
  <c r="BE37" i="3" s="1"/>
  <c r="BG38" i="3"/>
  <c r="BS42" i="3"/>
  <c r="J12" i="5"/>
  <c r="BE5" i="5"/>
  <c r="G5" i="8" s="1"/>
  <c r="BE13" i="5"/>
  <c r="BB11" i="5"/>
  <c r="D11" i="8" s="1"/>
  <c r="AG13" i="5"/>
  <c r="BB13" i="5" s="1"/>
  <c r="AJ14" i="5"/>
  <c r="BE14" i="5" s="1"/>
  <c r="L15" i="5"/>
  <c r="L15" i="6"/>
  <c r="K6" i="6"/>
  <c r="BC6" i="6" s="1"/>
  <c r="I6" i="8" s="1"/>
  <c r="BL43" i="3"/>
  <c r="E12" i="1" s="1"/>
  <c r="BL40" i="3"/>
  <c r="E9" i="1" s="1"/>
  <c r="M5" i="8"/>
  <c r="BQ43" i="3"/>
  <c r="BQ40" i="3"/>
  <c r="BG8" i="3"/>
  <c r="BH10" i="3" a="1"/>
  <c r="BH10" i="3" s="1"/>
  <c r="BG12" i="3"/>
  <c r="BE15" i="3"/>
  <c r="BG16" i="3"/>
  <c r="BE19" i="3"/>
  <c r="BH20" i="3" a="1"/>
  <c r="BH20" i="3" s="1"/>
  <c r="AI20" i="3"/>
  <c r="BE20" i="3" s="1"/>
  <c r="BE23" i="3"/>
  <c r="BE24" i="3"/>
  <c r="J41" i="3"/>
  <c r="N9" i="8"/>
  <c r="BR41" i="3"/>
  <c r="BE27" i="3"/>
  <c r="BE28" i="3"/>
  <c r="BE31" i="3"/>
  <c r="BE32" i="3"/>
  <c r="K35" i="3"/>
  <c r="BE35" i="3" s="1"/>
  <c r="BH35" i="3" a="1"/>
  <c r="BH35" i="3" s="1"/>
  <c r="AI36" i="3"/>
  <c r="BE36" i="3" s="1"/>
  <c r="BE39" i="3"/>
  <c r="BT40" i="3"/>
  <c r="BP43" i="3"/>
  <c r="AJ12" i="5"/>
  <c r="BE12" i="5" s="1"/>
  <c r="BG5" i="5" a="1"/>
  <c r="BG5" i="5" s="1"/>
  <c r="BG7" i="5" a="1"/>
  <c r="BG7" i="5" s="1"/>
  <c r="BF8" i="5"/>
  <c r="BF9" i="5"/>
  <c r="AH9" i="5"/>
  <c r="K11" i="5"/>
  <c r="K14" i="5" s="1"/>
  <c r="M15" i="5"/>
  <c r="BE15" i="5" s="1"/>
  <c r="BF6" i="6"/>
  <c r="BG8" i="6" a="1"/>
  <c r="BG8" i="6" s="1"/>
  <c r="AJ13" i="6"/>
  <c r="BE13" i="6" s="1"/>
  <c r="BE9" i="6"/>
  <c r="K9" i="8" s="1"/>
  <c r="AH14" i="6"/>
  <c r="BC14" i="6" s="1"/>
  <c r="BG11" i="6" a="1"/>
  <c r="BG11" i="6" s="1"/>
  <c r="BG14" i="6" s="1"/>
  <c r="L12" i="6"/>
  <c r="BD12" i="6" s="1"/>
  <c r="J12" i="8" s="1"/>
  <c r="AX19" i="6"/>
  <c r="E20" i="8" s="1"/>
  <c r="E23" i="8" s="1"/>
  <c r="BM43" i="7"/>
  <c r="F46" i="1" s="1"/>
  <c r="BM40" i="7"/>
  <c r="F43" i="1" s="1"/>
  <c r="BR43" i="7"/>
  <c r="BR40" i="7"/>
  <c r="S5" i="8"/>
  <c r="AK40" i="7"/>
  <c r="K10" i="7"/>
  <c r="BE10" i="7" s="1"/>
  <c r="BE11" i="7"/>
  <c r="AI12" i="7"/>
  <c r="BE12" i="7" s="1"/>
  <c r="BG12" i="7"/>
  <c r="BH10" i="7" a="1"/>
  <c r="BH10" i="7" s="1"/>
  <c r="AI16" i="7"/>
  <c r="BE16" i="7" s="1"/>
  <c r="BG16" i="7"/>
  <c r="BE18" i="7"/>
  <c r="BG23" i="7"/>
  <c r="L41" i="7"/>
  <c r="BG31" i="7"/>
  <c r="J40" i="3"/>
  <c r="BQ42" i="3"/>
  <c r="J15" i="5"/>
  <c r="M12" i="6"/>
  <c r="AG12" i="6"/>
  <c r="AG15" i="6"/>
  <c r="L40" i="7"/>
  <c r="AH43" i="7"/>
  <c r="AH40" i="7"/>
  <c r="BG5" i="7"/>
  <c r="BH5" i="7" a="1"/>
  <c r="BH5" i="7" s="1"/>
  <c r="BG18" i="7"/>
  <c r="AH41" i="7"/>
  <c r="BG25" i="7"/>
  <c r="BH25" i="7" a="1"/>
  <c r="BH25" i="7" s="1"/>
  <c r="BH41" i="7" s="1"/>
  <c r="J42" i="7"/>
  <c r="T10" i="8"/>
  <c r="BS42" i="7"/>
  <c r="AH10" i="5"/>
  <c r="J15" i="6"/>
  <c r="AH5" i="6"/>
  <c r="BB5" i="6"/>
  <c r="H5" i="8" s="1"/>
  <c r="AH9" i="6"/>
  <c r="BB9" i="6"/>
  <c r="H9" i="8" s="1"/>
  <c r="BE10" i="6"/>
  <c r="K10" i="8" s="1"/>
  <c r="M40" i="7"/>
  <c r="AI5" i="7"/>
  <c r="BL43" i="7"/>
  <c r="E46" i="1" s="1"/>
  <c r="BL40" i="7"/>
  <c r="E43" i="1" s="1"/>
  <c r="BQ43" i="7"/>
  <c r="BQ40" i="7"/>
  <c r="AI9" i="7"/>
  <c r="BE9" i="7" s="1"/>
  <c r="BG10" i="7"/>
  <c r="AI13" i="7"/>
  <c r="BE13" i="7" s="1"/>
  <c r="BG14" i="7"/>
  <c r="BE19" i="7"/>
  <c r="AI25" i="7"/>
  <c r="AI29" i="7"/>
  <c r="BE29" i="7" s="1"/>
  <c r="L42" i="7"/>
  <c r="BG30" i="7"/>
  <c r="BG37" i="7"/>
  <c r="AI37" i="7"/>
  <c r="BE37" i="7" s="1"/>
  <c r="J43" i="7"/>
  <c r="J40" i="7"/>
  <c r="J41" i="7"/>
  <c r="BG34" i="7"/>
  <c r="BS40" i="7"/>
  <c r="K41" i="7"/>
  <c r="AH42" i="7"/>
  <c r="R10" i="8"/>
  <c r="BQ42" i="7"/>
  <c r="BE39" i="7"/>
  <c r="BT40" i="7"/>
  <c r="BP41" i="7"/>
  <c r="BT42" i="7"/>
  <c r="BP43" i="7"/>
  <c r="BK25" i="3"/>
  <c r="BK30" i="7"/>
  <c r="BK20" i="3"/>
  <c r="BJ25" i="3"/>
  <c r="BJ20" i="7"/>
  <c r="BK30" i="3"/>
  <c r="BJ5" i="3"/>
  <c r="BK10" i="3"/>
  <c r="BJ30" i="3"/>
  <c r="BK5" i="7"/>
  <c r="BK10" i="7"/>
  <c r="BK25" i="7"/>
  <c r="BJ30" i="7"/>
  <c r="BK5" i="3"/>
  <c r="BJ10" i="7"/>
  <c r="L12" i="1" l="1"/>
  <c r="K43" i="3"/>
  <c r="BH43" i="3"/>
  <c r="L10" i="1"/>
  <c r="BH40" i="3"/>
  <c r="D21" i="8"/>
  <c r="C13" i="1"/>
  <c r="E21" i="1"/>
  <c r="D14" i="8"/>
  <c r="K15" i="5"/>
  <c r="D19" i="8"/>
  <c r="C23" i="1"/>
  <c r="G23" i="8"/>
  <c r="BG14" i="5"/>
  <c r="BB12" i="6"/>
  <c r="BG15" i="6"/>
  <c r="BD15" i="6"/>
  <c r="J15" i="8" s="1"/>
  <c r="BC10" i="6"/>
  <c r="I10" i="8" s="1"/>
  <c r="F23" i="8"/>
  <c r="D20" i="8"/>
  <c r="C35" i="1"/>
  <c r="BE15" i="7"/>
  <c r="D22" i="8"/>
  <c r="C47" i="1"/>
  <c r="K40" i="7"/>
  <c r="K46" i="1"/>
  <c r="BH42" i="7"/>
  <c r="BJ40" i="7"/>
  <c r="C43" i="1" s="1"/>
  <c r="BJ43" i="7"/>
  <c r="C46" i="1" s="1"/>
  <c r="BJ42" i="7"/>
  <c r="C45" i="1" s="1"/>
  <c r="BK41" i="7"/>
  <c r="D44" i="1" s="1"/>
  <c r="BJ42" i="3"/>
  <c r="C11" i="1" s="1"/>
  <c r="BK42" i="3"/>
  <c r="D11" i="1" s="1"/>
  <c r="BJ41" i="3"/>
  <c r="C10" i="1" s="1"/>
  <c r="BK42" i="7"/>
  <c r="D45" i="1" s="1"/>
  <c r="BK41" i="3"/>
  <c r="D10" i="1" s="1"/>
  <c r="O13" i="8"/>
  <c r="K10" i="1"/>
  <c r="L12" i="8"/>
  <c r="H9" i="1"/>
  <c r="Q12" i="8"/>
  <c r="H43" i="1"/>
  <c r="T13" i="8"/>
  <c r="K44" i="1"/>
  <c r="R13" i="8"/>
  <c r="I44" i="1"/>
  <c r="O12" i="8"/>
  <c r="K9" i="1"/>
  <c r="L13" i="8"/>
  <c r="H10" i="1"/>
  <c r="Q14" i="8"/>
  <c r="H45" i="1"/>
  <c r="U13" i="8"/>
  <c r="L44" i="1"/>
  <c r="P14" i="8"/>
  <c r="L11" i="1"/>
  <c r="S13" i="8"/>
  <c r="J44" i="1"/>
  <c r="L14" i="8"/>
  <c r="H11" i="1"/>
  <c r="O15" i="8"/>
  <c r="K12" i="1"/>
  <c r="G15" i="8"/>
  <c r="D22" i="1"/>
  <c r="K14" i="8"/>
  <c r="D33" i="1"/>
  <c r="H12" i="8"/>
  <c r="E31" i="1"/>
  <c r="BK40" i="3"/>
  <c r="D9" i="1" s="1"/>
  <c r="BK43" i="3"/>
  <c r="D12" i="1" s="1"/>
  <c r="D15" i="8"/>
  <c r="E22" i="1"/>
  <c r="Q13" i="8"/>
  <c r="H44" i="1"/>
  <c r="Q15" i="8"/>
  <c r="H46" i="1"/>
  <c r="R12" i="8"/>
  <c r="I43" i="1"/>
  <c r="AI43" i="7"/>
  <c r="AI40" i="7"/>
  <c r="BE5" i="7"/>
  <c r="AH13" i="6"/>
  <c r="BC13" i="6" s="1"/>
  <c r="BC9" i="6"/>
  <c r="I9" i="8" s="1"/>
  <c r="AH14" i="5"/>
  <c r="BC14" i="5" s="1"/>
  <c r="BC10" i="5"/>
  <c r="E10" i="8" s="1"/>
  <c r="BK40" i="7"/>
  <c r="D43" i="1" s="1"/>
  <c r="BK43" i="7"/>
  <c r="D46" i="1" s="1"/>
  <c r="BB15" i="6"/>
  <c r="M14" i="8"/>
  <c r="I11" i="1"/>
  <c r="I14" i="8"/>
  <c r="C33" i="1"/>
  <c r="G12" i="8"/>
  <c r="D19" i="1"/>
  <c r="G14" i="8"/>
  <c r="D21" i="1"/>
  <c r="G13" i="8"/>
  <c r="D20" i="1"/>
  <c r="BE12" i="6"/>
  <c r="AI43" i="3"/>
  <c r="J12" i="1"/>
  <c r="N15" i="8"/>
  <c r="BE10" i="3"/>
  <c r="BC11" i="5"/>
  <c r="E11" i="8" s="1"/>
  <c r="U14" i="8"/>
  <c r="L45" i="1"/>
  <c r="R15" i="8"/>
  <c r="I46" i="1"/>
  <c r="T14" i="8"/>
  <c r="K45" i="1"/>
  <c r="AH15" i="5"/>
  <c r="BC15" i="5" s="1"/>
  <c r="BC5" i="5"/>
  <c r="E5" i="8" s="1"/>
  <c r="AH12" i="5"/>
  <c r="BC12" i="5" s="1"/>
  <c r="N14" i="8"/>
  <c r="J11" i="1"/>
  <c r="K43" i="7"/>
  <c r="AH15" i="6"/>
  <c r="BC5" i="6"/>
  <c r="I5" i="8" s="1"/>
  <c r="AH12" i="6"/>
  <c r="BC12" i="6" s="1"/>
  <c r="BH43" i="7"/>
  <c r="BH40" i="7"/>
  <c r="S15" i="8"/>
  <c r="J46" i="1"/>
  <c r="K13" i="8"/>
  <c r="D32" i="1"/>
  <c r="L15" i="8"/>
  <c r="H12" i="1"/>
  <c r="N13" i="8"/>
  <c r="J10" i="1"/>
  <c r="M15" i="8"/>
  <c r="I12" i="1"/>
  <c r="K40" i="3"/>
  <c r="BJ40" i="3"/>
  <c r="C9" i="1" s="1"/>
  <c r="BJ43" i="3"/>
  <c r="C12" i="1" s="1"/>
  <c r="K15" i="6"/>
  <c r="BB12" i="5"/>
  <c r="S14" i="8"/>
  <c r="J45" i="1"/>
  <c r="R14" i="8"/>
  <c r="I45" i="1"/>
  <c r="AI41" i="7"/>
  <c r="BE41" i="7" s="1"/>
  <c r="BE25" i="7"/>
  <c r="S12" i="8"/>
  <c r="J43" i="1"/>
  <c r="M12" i="8"/>
  <c r="I9" i="1"/>
  <c r="D13" i="8"/>
  <c r="E20" i="1"/>
  <c r="M13" i="8"/>
  <c r="I10" i="1"/>
  <c r="U12" i="8"/>
  <c r="L43" i="1"/>
  <c r="K43" i="1"/>
  <c r="T12" i="8"/>
  <c r="BC9" i="5"/>
  <c r="E9" i="8" s="1"/>
  <c r="AH13" i="5"/>
  <c r="BC13" i="5" s="1"/>
  <c r="BG12" i="5"/>
  <c r="BG15" i="5"/>
  <c r="P12" i="8"/>
  <c r="L9" i="1"/>
  <c r="AI42" i="3"/>
  <c r="O14" i="8"/>
  <c r="K11" i="1"/>
  <c r="AI41" i="3"/>
  <c r="BE41" i="3" s="1"/>
  <c r="BE25" i="3"/>
  <c r="K42" i="7"/>
  <c r="H14" i="8"/>
  <c r="E33" i="1"/>
  <c r="AI42" i="7"/>
  <c r="BE15" i="6"/>
  <c r="AI40" i="3"/>
  <c r="BE40" i="3" s="1"/>
  <c r="BD15" i="5"/>
  <c r="F15" i="8" s="1"/>
  <c r="K42" i="3"/>
  <c r="N12" i="8"/>
  <c r="J9" i="1"/>
  <c r="BE43" i="3" l="1"/>
  <c r="BC15" i="6"/>
  <c r="C34" i="1" s="1"/>
  <c r="D23" i="8"/>
  <c r="BE42" i="7"/>
  <c r="BE40" i="7"/>
  <c r="BE42" i="3"/>
  <c r="I15" i="8"/>
  <c r="K15" i="8"/>
  <c r="D34" i="1"/>
  <c r="I13" i="8"/>
  <c r="C32" i="1"/>
  <c r="E12" i="8"/>
  <c r="C19" i="1"/>
  <c r="E13" i="8"/>
  <c r="C20" i="1"/>
  <c r="D12" i="8"/>
  <c r="E19" i="1"/>
  <c r="H15" i="8"/>
  <c r="E34" i="1"/>
  <c r="E14" i="8"/>
  <c r="C21" i="1"/>
  <c r="I12" i="8"/>
  <c r="C31" i="1"/>
  <c r="E15" i="8"/>
  <c r="C22" i="1"/>
  <c r="K12" i="8"/>
  <c r="D31" i="1"/>
  <c r="BE43" i="7"/>
</calcChain>
</file>

<file path=xl/sharedStrings.xml><?xml version="1.0" encoding="utf-8"?>
<sst xmlns="http://schemas.openxmlformats.org/spreadsheetml/2006/main" count="1593" uniqueCount="608">
  <si>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</si>
  <si>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</si>
  <si>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</si>
  <si>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</si>
  <si>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</si>
  <si>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</si>
  <si>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</si>
  <si>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</si>
  <si>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</si>
  <si>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</si>
  <si>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</si>
  <si>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</si>
  <si>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</si>
  <si>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</si>
  <si>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</si>
  <si>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</si>
  <si>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</si>
  <si>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</si>
  <si>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</si>
  <si>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</si>
  <si>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</si>
  <si>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</si>
  <si>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</si>
  <si>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</si>
  <si>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</si>
  <si>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</si>
  <si>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</si>
  <si>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</si>
  <si>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</si>
  <si>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</si>
  <si>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</si>
  <si>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</si>
  <si>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</si>
  <si>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</si>
  <si>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</si>
  <si>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</si>
  <si>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</si>
  <si>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</si>
  <si>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</si>
  <si>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</si>
  <si>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</si>
  <si>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</si>
  <si>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</si>
  <si>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</si>
  <si>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</si>
  <si>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</si>
  <si>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</si>
  <si>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</si>
  <si>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</si>
  <si>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</si>
  <si>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</si>
  <si>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</si>
  <si>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</si>
  <si>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</si>
  <si>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</si>
  <si>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</si>
  <si>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</si>
  <si>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</si>
  <si>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</si>
  <si>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</si>
  <si>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</si>
  <si>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</si>
  <si>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</si>
  <si>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</si>
  <si>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</si>
  <si>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</si>
  <si>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</si>
  <si>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</si>
  <si>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</si>
  <si>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</si>
  <si>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</si>
  <si>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</si>
  <si>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</si>
  <si>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</si>
  <si>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</si>
  <si>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</si>
  <si>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</si>
  <si>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</si>
  <si>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</si>
  <si>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</si>
  <si>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</si>
  <si>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</si>
  <si>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</si>
  <si>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</si>
  <si>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</si>
  <si>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</si>
  <si>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</si>
  <si>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</si>
  <si>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</si>
  <si>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</si>
  <si>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</si>
  <si>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</si>
  <si>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</si>
  <si>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</si>
  <si>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</si>
  <si>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</si>
  <si>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</si>
  <si>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</si>
  <si>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</si>
  <si>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</si>
  <si>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</si>
  <si>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</si>
  <si>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</si>
  <si>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</si>
  <si>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</si>
  <si>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</si>
  <si>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</si>
  <si>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</si>
  <si>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</si>
  <si>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</si>
  <si>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</si>
  <si>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</si>
  <si>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</si>
  <si>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</si>
  <si>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</si>
  <si>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</si>
  <si>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</si>
  <si>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</si>
  <si>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</si>
  <si>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</si>
  <si>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</si>
  <si>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</si>
  <si>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</si>
  <si>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</si>
  <si>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</si>
  <si>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</si>
  <si>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</si>
  <si>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</si>
  <si>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</si>
  <si>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</si>
  <si>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</si>
  <si>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</si>
  <si>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</si>
  <si>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</si>
  <si>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</si>
  <si>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</si>
  <si>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</si>
  <si>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</si>
  <si>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</si>
  <si>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</si>
  <si>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</si>
  <si>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</si>
  <si>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</si>
  <si>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</si>
  <si>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</si>
  <si>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</si>
  <si>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</si>
  <si>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</si>
  <si>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</si>
  <si>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</si>
  <si>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</si>
  <si>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</si>
  <si>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</si>
  <si>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</si>
  <si>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</si>
  <si>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</si>
  <si>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</si>
  <si>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</si>
  <si>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</si>
  <si>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</si>
  <si>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</si>
  <si>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</si>
  <si>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</si>
  <si>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</si>
  <si>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</si>
  <si>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</si>
  <si>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</si>
  <si>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</si>
  <si>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</si>
  <si>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</si>
  <si>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</si>
  <si>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</si>
  <si>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</si>
  <si>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</si>
  <si>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</si>
  <si>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</si>
  <si>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</si>
  <si>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</si>
  <si>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</si>
  <si>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</si>
  <si>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</si>
  <si>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</si>
  <si>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</si>
  <si>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</si>
  <si>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</si>
  <si>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</si>
  <si>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</si>
  <si>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</si>
  <si>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</si>
  <si>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</si>
  <si>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</si>
  <si>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</si>
  <si>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</si>
  <si>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</si>
  <si>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</si>
  <si>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</si>
  <si>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</si>
  <si>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</si>
  <si>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</si>
  <si>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</si>
  <si>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</si>
  <si>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</si>
  <si>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</si>
  <si>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</si>
  <si>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</si>
  <si>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</si>
  <si>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</si>
  <si>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</si>
  <si>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</si>
  <si>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</si>
  <si>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</si>
  <si>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</si>
  <si>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</si>
  <si>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</si>
  <si>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</si>
  <si>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</si>
  <si>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</si>
  <si>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</si>
  <si>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</si>
  <si>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</si>
  <si>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</si>
  <si>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</si>
  <si>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</si>
  <si>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</si>
  <si>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</si>
  <si>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</si>
  <si>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</si>
  <si>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</si>
  <si>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</si>
  <si>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</si>
  <si>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</si>
  <si>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</si>
  <si>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</si>
  <si>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</si>
  <si>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</si>
  <si>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</si>
  <si>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</si>
  <si>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</si>
  <si>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</si>
  <si>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</si>
  <si>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</si>
  <si>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</si>
  <si>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</si>
  <si>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</si>
  <si>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</si>
  <si>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</si>
  <si>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</si>
  <si>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</si>
  <si>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</si>
  <si>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</si>
  <si>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</si>
  <si>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</si>
  <si>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</si>
  <si>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</si>
  <si>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</si>
  <si>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</si>
  <si>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</si>
  <si>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</si>
  <si>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</si>
  <si>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</si>
  <si>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</si>
  <si>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</si>
  <si>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</si>
  <si>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</si>
  <si>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</si>
  <si>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</si>
  <si>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</si>
  <si>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</si>
  <si>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</si>
  <si>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</si>
  <si>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</si>
  <si>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</si>
  <si>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</si>
  <si>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</si>
  <si>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</si>
  <si>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</si>
  <si>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</si>
  <si>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</si>
  <si>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</si>
  <si>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</si>
  <si>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</si>
  <si>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</si>
  <si>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</si>
  <si>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</si>
  <si>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</si>
  <si>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</si>
  <si>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</si>
  <si>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</si>
  <si>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</si>
  <si>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</si>
  <si>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</si>
  <si>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</si>
  <si>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</si>
  <si>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</si>
  <si>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</si>
  <si>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</si>
  <si>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</si>
  <si>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</si>
  <si>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</si>
  <si>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</si>
  <si>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</si>
  <si>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</si>
  <si>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</si>
  <si>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</si>
  <si>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</si>
  <si>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</si>
  <si>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</si>
  <si>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</si>
  <si>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</si>
  <si>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</si>
  <si>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</si>
  <si>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</si>
  <si>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</si>
  <si>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</si>
  <si>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</si>
  <si>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</si>
  <si>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</si>
  <si>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</si>
  <si>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</si>
  <si>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</si>
  <si>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</si>
  <si>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</si>
  <si>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</si>
  <si>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</si>
  <si>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</si>
  <si>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</si>
  <si>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</si>
  <si>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</si>
  <si>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</si>
  <si>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</si>
  <si>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</si>
  <si>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</si>
  <si>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</si>
  <si>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</si>
  <si>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</si>
  <si>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</si>
  <si>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</si>
  <si>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</si>
  <si>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</si>
  <si>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</si>
  <si>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</si>
  <si>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</si>
  <si>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</si>
  <si>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</si>
  <si>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</si>
  <si>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</si>
  <si>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</si>
  <si>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</si>
  <si>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</si>
  <si>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</si>
  <si>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</si>
  <si>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</si>
  <si>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</si>
  <si>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</si>
  <si>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</si>
  <si>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</si>
  <si>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</si>
  <si>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</si>
  <si>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</si>
  <si>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</si>
  <si>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</si>
  <si>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</si>
  <si>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</si>
  <si>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</si>
  <si>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</si>
  <si>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</si>
  <si>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</si>
  <si>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</si>
  <si>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</si>
  <si>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</si>
  <si>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</si>
  <si>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</si>
  <si>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</si>
  <si>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</si>
  <si>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</si>
  <si>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</si>
  <si>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</si>
  <si>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</si>
  <si>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</si>
  <si>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</si>
  <si>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</si>
  <si>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</si>
  <si>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</si>
  <si>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</si>
  <si>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</si>
  <si>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</si>
  <si>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</si>
  <si>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</si>
  <si>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</si>
  <si>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</si>
  <si>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</si>
  <si>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</si>
  <si>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</si>
  <si>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</si>
  <si>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</si>
  <si>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</si>
  <si>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</si>
  <si>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</si>
  <si>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</si>
  <si>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</si>
  <si>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</si>
  <si>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</si>
  <si>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</si>
  <si>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</si>
  <si>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</si>
  <si>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</si>
  <si>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</si>
  <si>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</si>
  <si>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</si>
  <si>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</si>
  <si>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</si>
  <si>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</si>
  <si>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</si>
  <si>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</si>
  <si>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</si>
  <si>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</si>
  <si>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</si>
  <si>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</si>
  <si>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</si>
  <si>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</si>
  <si>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</si>
  <si>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</si>
  <si>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</si>
  <si>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</si>
  <si>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</si>
  <si>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</si>
  <si>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</si>
  <si>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</si>
  <si>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</si>
  <si>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</si>
  <si>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</si>
  <si>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</si>
  <si>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</si>
  <si>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</si>
  <si>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</si>
  <si>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</si>
  <si>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</si>
  <si>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</si>
  <si>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</si>
  <si>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</si>
  <si>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</si>
  <si>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</si>
  <si>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</si>
  <si>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</si>
  <si>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</si>
  <si>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</si>
  <si>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</si>
  <si>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</si>
  <si>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</si>
  <si>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</si>
  <si>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</si>
  <si>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</si>
  <si>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</si>
  <si>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</si>
  <si>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</si>
  <si>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</si>
  <si>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</si>
  <si>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</si>
  <si>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</si>
  <si>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</si>
  <si>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</si>
  <si>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</si>
  <si>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</si>
  <si>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</si>
  <si>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</si>
  <si>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</si>
  <si>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</si>
  <si>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</si>
  <si>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</si>
  <si>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</si>
  <si>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</si>
  <si>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</si>
  <si>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</si>
  <si>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</si>
  <si>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</si>
  <si>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</si>
  <si>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</si>
  <si>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</si>
  <si>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</si>
  <si>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</si>
  <si>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</si>
  <si>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</si>
  <si>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</si>
  <si>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</si>
  <si>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</si>
  <si>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</si>
  <si>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</si>
  <si>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</si>
  <si>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</si>
  <si>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</si>
  <si>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</si>
  <si>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</si>
  <si>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</si>
  <si>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</si>
  <si>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</si>
  <si>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</si>
  <si>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</si>
  <si>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</si>
  <si>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</si>
  <si>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</si>
  <si>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</si>
  <si>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</si>
  <si>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</si>
  <si>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</si>
  <si>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</si>
  <si>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</si>
  <si>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</si>
  <si>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</si>
  <si>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</si>
  <si>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</si>
  <si>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</si>
  <si>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</si>
  <si>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</si>
  <si>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</si>
  <si>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</si>
  <si>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</si>
  <si>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</si>
  <si>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</si>
  <si>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</si>
  <si>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</si>
  <si>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</si>
  <si>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</si>
  <si>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</si>
  <si>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</si>
  <si>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</si>
  <si>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</si>
  <si>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</si>
  <si>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</si>
  <si>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</si>
  <si>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</si>
  <si>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</si>
  <si>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</si>
  <si>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</si>
  <si>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</si>
  <si>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</si>
  <si>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</si>
  <si>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</si>
  <si>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</si>
  <si>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</si>
  <si>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</si>
  <si>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</si>
  <si>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</si>
  <si>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</si>
  <si>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</si>
  <si>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</si>
  <si>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</si>
  <si>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</si>
  <si>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</si>
  <si>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</si>
  <si>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</si>
  <si>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</si>
  <si>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</si>
  <si>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</si>
  <si>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</si>
  <si>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</si>
  <si>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</si>
  <si>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</si>
  <si>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</si>
  <si>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</si>
  <si>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</si>
  <si>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</si>
  <si>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</si>
  <si>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</si>
  <si>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</si>
  <si>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</si>
  <si>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</si>
  <si>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</si>
  <si>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</si>
  <si>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</si>
  <si>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</si>
  <si>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</si>
  <si>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</si>
  <si>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</si>
  <si>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</si>
  <si>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Seq.</t>
  </si>
  <si>
    <t>CWAI</t>
  </si>
  <si>
    <t>CWLD</t>
  </si>
  <si>
    <t>C2AI</t>
  </si>
  <si>
    <t>C2RA</t>
  </si>
  <si>
    <t>T.Geom</t>
  </si>
  <si>
    <t>Geom.</t>
  </si>
  <si>
    <t xml:space="preserve"> Cb</t>
  </si>
  <si>
    <t>Cr</t>
  </si>
  <si>
    <t>Cb</t>
  </si>
  <si>
    <t>A</t>
  </si>
  <si>
    <t>Loot</t>
  </si>
  <si>
    <t>R&amp;B</t>
  </si>
  <si>
    <t>Soldier</t>
  </si>
  <si>
    <t>Queen</t>
  </si>
  <si>
    <t>B</t>
  </si>
  <si>
    <t>Long.</t>
  </si>
  <si>
    <t xml:space="preserve">C </t>
  </si>
  <si>
    <t>Basket</t>
  </si>
  <si>
    <t>Dancer</t>
  </si>
  <si>
    <t>A avg</t>
  </si>
  <si>
    <t>B avg</t>
  </si>
  <si>
    <t>C avg</t>
  </si>
  <si>
    <t>Cond.</t>
  </si>
  <si>
    <t>Encoder runtime [%]</t>
  </si>
  <si>
    <t>Decoder runtime [%]</t>
  </si>
  <si>
    <t>Avg.</t>
  </si>
  <si>
    <t>Encoder Memory (Go)</t>
  </si>
  <si>
    <t>Decoder Memory (Go)</t>
  </si>
  <si>
    <t>Anchor</t>
  </si>
  <si>
    <t>Tested</t>
  </si>
  <si>
    <t>Memory Enc (Go)</t>
  </si>
  <si>
    <t>Memory Dec (Go)</t>
  </si>
  <si>
    <t>ALL_master+r8.0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</si>
</sst>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5">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s>
  <borders count="20">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bottom/>
      <diagonal/>
    </border>
    <border>
      <left/>
      <right style="medium">
        <color indexed="64"/>
      </right>
      <top/>
      <bottom/>
      <diagonal/>
    </border>
    <border>
      <left style="medium">
        <color indexed="64"/>
      </left>
      <right/>
      <top/>
      <bottom style="medium">
        <color auto="1"/>
      </bottom>
      <diagonal/>
    </border>
    <border>
      <left/>
      <right style="medium">
        <color indexed="64"/>
      </right>
      <top/>
      <bottom style="medium">
        <color auto="1"/>
      </bottom>
      <diagonal/>
    </border>
    <border>
      <left style="medium">
        <color indexed="64"/>
      </left>
      <right style="medium">
        <color indexed="64"/>
      </right>
      <top style="medium">
        <color indexed="64"/>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auto="1"/>
      </bottom>
      <diagonal/>
    </border>
    <border>
      <left/>
      <right/>
      <top style="medium">
        <color indexed="64"/>
      </top>
      <bottom/>
      <diagonal/>
    </border>
    <border>
      <left/>
      <right/>
      <top style="medium">
        <color indexed="64"/>
      </top>
      <bottom style="medium">
        <color auto="1"/>
      </bottom>
      <diagonal/>
    </border>
    <border>
      <left/>
      <right style="medium">
        <color indexed="64"/>
      </right>
      <top style="medium">
        <color auto="1"/>
      </top>
      <bottom/>
      <diagonal/>
    </border>
  </borders>
  <cellStyleXfs count="1">
    <xf numFmtId="0" fontId="0" fillId="0" borderId="0"/>
  </cellStyleXfs>
  <cellXfs count="195">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12" borderId="9" xfId="0" applyFont="1" applyFill="1" applyBorder="1" applyAlignment="1">
      <alignment horizontal="center" wrapText="1"/>
    </xf>
    <xf numFmtId="0" fontId="1" fillId="12" borderId="10" xfId="0" applyFont="1" applyFill="1" applyBorder="1" applyAlignment="1">
      <alignment horizontal="center" wrapText="1"/>
    </xf>
    <xf numFmtId="0" fontId="0" fillId="8" borderId="5" xfId="0" applyFill="1" applyBorder="1"/>
    <xf numFmtId="164" fontId="0" fillId="8" borderId="5" xfId="0" applyNumberFormat="1" applyFill="1" applyBorder="1" applyAlignment="1">
      <alignment horizontal="center"/>
    </xf>
    <xf numFmtId="164" fontId="0" fillId="8" borderId="2" xfId="0" applyNumberFormat="1" applyFill="1" applyBorder="1" applyAlignment="1">
      <alignment horizontal="center"/>
    </xf>
    <xf numFmtId="164" fontId="0" fillId="8" borderId="6" xfId="0" applyNumberFormat="1" applyFill="1" applyBorder="1" applyAlignment="1">
      <alignment horizontal="center"/>
    </xf>
    <xf numFmtId="0" fontId="0" fillId="10" borderId="9" xfId="0" applyFill="1" applyBorder="1"/>
    <xf numFmtId="164" fontId="0" fillId="10" borderId="9" xfId="0" applyNumberFormat="1" applyFill="1" applyBorder="1" applyAlignment="1">
      <alignment horizontal="center"/>
    </xf>
    <xf numFmtId="164" fontId="0" fillId="10" borderId="0" xfId="0" applyNumberFormat="1" applyFill="1" applyAlignment="1">
      <alignment horizontal="center"/>
    </xf>
    <xf numFmtId="164" fontId="0" fillId="10" borderId="10" xfId="0" applyNumberFormat="1" applyFill="1" applyBorder="1" applyAlignment="1">
      <alignment horizontal="center"/>
    </xf>
    <xf numFmtId="0" fontId="0" fillId="8" borderId="9" xfId="0" applyFill="1" applyBorder="1"/>
    <xf numFmtId="164" fontId="0" fillId="8" borderId="9" xfId="0" applyNumberFormat="1" applyFill="1" applyBorder="1" applyAlignment="1">
      <alignment horizontal="center"/>
    </xf>
    <xf numFmtId="164" fontId="0" fillId="8" borderId="0" xfId="0" applyNumberFormat="1" applyFill="1" applyAlignment="1">
      <alignment horizontal="center"/>
    </xf>
    <xf numFmtId="164" fontId="0" fillId="8" borderId="10" xfId="0" applyNumberFormat="1" applyFill="1" applyBorder="1" applyAlignment="1">
      <alignment horizontal="center"/>
    </xf>
    <xf numFmtId="0" fontId="0" fillId="10" borderId="11" xfId="0" applyFill="1" applyBorder="1"/>
    <xf numFmtId="164" fontId="0" fillId="10" borderId="11" xfId="0" applyNumberFormat="1" applyFill="1" applyBorder="1" applyAlignment="1">
      <alignment horizontal="center"/>
    </xf>
    <xf numFmtId="164" fontId="0" fillId="10" borderId="12" xfId="0" applyNumberFormat="1" applyFill="1" applyBorder="1" applyAlignment="1">
      <alignment horizontal="center"/>
    </xf>
    <xf numFmtId="0" fontId="0" fillId="8" borderId="11" xfId="0" applyFill="1" applyBorder="1"/>
    <xf numFmtId="164" fontId="0" fillId="8" borderId="11" xfId="0" applyNumberFormat="1" applyFill="1" applyBorder="1" applyAlignment="1">
      <alignment horizontal="center"/>
    </xf>
    <xf numFmtId="164" fontId="0" fillId="8" borderId="12" xfId="0" applyNumberFormat="1" applyFill="1" applyBorder="1" applyAlignment="1">
      <alignment horizontal="center"/>
    </xf>
    <xf numFmtId="164" fontId="0" fillId="0" borderId="9" xfId="0" applyNumberFormat="1" applyBorder="1" applyAlignment="1">
      <alignment horizontal="center"/>
    </xf>
    <xf numFmtId="164" fontId="0" fillId="0" borderId="0" xfId="0" applyNumberFormat="1" applyAlignment="1">
      <alignment horizontal="center"/>
    </xf>
    <xf numFmtId="164" fontId="0" fillId="0" borderId="10" xfId="0" applyNumberFormat="1" applyBorder="1" applyAlignment="1">
      <alignment horizontal="center"/>
    </xf>
    <xf numFmtId="164" fontId="0" fillId="0" borderId="11" xfId="0" applyNumberFormat="1" applyBorder="1" applyAlignment="1">
      <alignment horizontal="center"/>
    </xf>
    <xf numFmtId="164" fontId="0" fillId="0" borderId="3" xfId="0" applyNumberFormat="1" applyBorder="1" applyAlignment="1">
      <alignment horizontal="center"/>
    </xf>
    <xf numFmtId="164" fontId="0" fillId="0" borderId="12" xfId="0" applyNumberFormat="1" applyBorder="1" applyAlignment="1">
      <alignment horizontal="center"/>
    </xf>
    <xf numFmtId="0" fontId="0" fillId="0" borderId="0" xfId="0"/>
    <xf numFmtId="0" fontId="1" fillId="5" borderId="11" xfId="0" applyFont="1" applyFill="1" applyBorder="1" applyAlignment="1">
      <alignment horizontal="center" wrapText="1"/>
    </xf>
    <xf numFmtId="0" fontId="1" fillId="5" borderId="12" xfId="0" applyFont="1" applyFill="1" applyBorder="1" applyAlignment="1">
      <alignment horizontal="center" wrapText="1"/>
    </xf>
    <xf numFmtId="0" fontId="1" fillId="12" borderId="0" xfId="0" applyFont="1" applyFill="1" applyAlignment="1">
      <alignment horizontal="center" wrapText="1"/>
    </xf>
    <xf numFmtId="0" fontId="0" fillId="8" borderId="6" xfId="0" applyFill="1" applyBorder="1"/>
    <xf numFmtId="0" fontId="0" fillId="10" borderId="10" xfId="0" applyFill="1" applyBorder="1"/>
    <xf numFmtId="0" fontId="0" fillId="8" borderId="10" xfId="0" applyFill="1" applyBorder="1"/>
    <xf numFmtId="0" fontId="0" fillId="10" borderId="12" xfId="0" applyFill="1" applyBorder="1"/>
    <xf numFmtId="0" fontId="0" fillId="8" borderId="12" xfId="0" applyFill="1" applyBorder="1"/>
    <xf numFmtId="164" fontId="0" fillId="8" borderId="1" xfId="0" applyNumberFormat="1" applyFill="1" applyBorder="1" applyAlignment="1">
      <alignment horizontal="center"/>
    </xf>
    <xf numFmtId="164" fontId="0" fillId="8" borderId="8" xfId="0" applyNumberFormat="1" applyFill="1" applyBorder="1" applyAlignment="1">
      <alignment horizontal="center"/>
    </xf>
    <xf numFmtId="164" fontId="0" fillId="0" borderId="5" xfId="0" applyNumberFormat="1" applyBorder="1" applyAlignment="1">
      <alignment horizontal="center"/>
    </xf>
    <xf numFmtId="164" fontId="0" fillId="0" borderId="2" xfId="0" applyNumberFormat="1" applyBorder="1" applyAlignment="1">
      <alignment horizontal="center"/>
    </xf>
    <xf numFmtId="164" fontId="0" fillId="0" borderId="6" xfId="0" applyNumberFormat="1" applyBorder="1" applyAlignment="1">
      <alignment horizontal="center"/>
    </xf>
    <xf numFmtId="164" fontId="0" fillId="0" borderId="7" xfId="0" applyNumberFormat="1" applyBorder="1" applyAlignment="1">
      <alignment horizontal="center"/>
    </xf>
    <xf numFmtId="164" fontId="0" fillId="0" borderId="1" xfId="0" applyNumberFormat="1" applyBorder="1" applyAlignment="1">
      <alignment horizontal="center"/>
    </xf>
    <xf numFmtId="164" fontId="0" fillId="0" borderId="8" xfId="0" applyNumberFormat="1" applyBorder="1" applyAlignment="1">
      <alignment horizontal="center"/>
    </xf>
    <xf numFmtId="0" fontId="0" fillId="12" borderId="10" xfId="0" applyFill="1" applyBorder="1"/>
    <xf numFmtId="0" fontId="0" fillId="14" borderId="9" xfId="0" applyFill="1" applyBorder="1"/>
    <xf numFmtId="9" fontId="0" fillId="14" borderId="10" xfId="0" applyNumberFormat="1" applyFill="1" applyBorder="1"/>
    <xf numFmtId="0" fontId="0" fillId="13" borderId="9" xfId="0" applyFill="1" applyBorder="1"/>
    <xf numFmtId="9" fontId="0" fillId="13" borderId="10" xfId="0" applyNumberFormat="1" applyFill="1" applyBorder="1"/>
    <xf numFmtId="9" fontId="0" fillId="0" borderId="3" xfId="0" applyNumberFormat="1" applyBorder="1"/>
    <xf numFmtId="9" fontId="0" fillId="0" borderId="12" xfId="0" applyNumberFormat="1" applyBorder="1"/>
    <xf numFmtId="0" fontId="0" fillId="13" borderId="5" xfId="0" applyFill="1" applyBorder="1"/>
    <xf numFmtId="9" fontId="0" fillId="0" borderId="6" xfId="0" applyNumberFormat="1" applyBorder="1"/>
    <xf numFmtId="0" fontId="0" fillId="14" borderId="11" xfId="0" applyFill="1" applyBorder="1"/>
    <xf numFmtId="9" fontId="0" fillId="14" borderId="12" xfId="0" applyNumberFormat="1" applyFill="1" applyBorder="1"/>
    <xf numFmtId="0" fontId="0" fillId="12" borderId="5" xfId="0" applyFill="1" applyBorder="1" applyAlignment="1">
      <alignment horizontal="center" vertical="center"/>
    </xf>
    <xf numFmtId="0" fontId="0" fillId="12" borderId="9" xfId="0" applyFill="1" applyBorder="1" applyAlignment="1">
      <alignment horizontal="center" vertical="center"/>
    </xf>
    <xf numFmtId="9" fontId="0" fillId="0" borderId="2" xfId="0" applyNumberFormat="1" applyBorder="1"/>
    <xf numFmtId="9" fontId="0" fillId="14" borderId="3" xfId="0" applyNumberFormat="1" applyFill="1" applyBorder="1"/>
    <xf numFmtId="0" fontId="0" fillId="12" borderId="9" xfId="0" applyFill="1" applyBorder="1" applyAlignment="1">
      <alignment horizontal="center"/>
    </xf>
    <xf numFmtId="9" fontId="0" fillId="0" borderId="5" xfId="0" applyNumberFormat="1" applyBorder="1"/>
    <xf numFmtId="9" fontId="0" fillId="14" borderId="9" xfId="0" applyNumberFormat="1" applyFill="1" applyBorder="1"/>
    <xf numFmtId="9" fontId="0" fillId="13" borderId="9" xfId="0" applyNumberFormat="1" applyFill="1" applyBorder="1"/>
    <xf numFmtId="9" fontId="0" fillId="14" borderId="11" xfId="0" applyNumberFormat="1" applyFill="1" applyBorder="1"/>
    <xf numFmtId="9" fontId="0" fillId="0" borderId="11" xfId="0" applyNumberFormat="1" applyBorder="1"/>
    <xf numFmtId="2" fontId="0" fillId="0" borderId="5" xfId="0" applyNumberFormat="1" applyBorder="1"/>
    <xf numFmtId="2" fontId="0" fillId="0" borderId="6" xfId="0" applyNumberFormat="1" applyBorder="1"/>
    <xf numFmtId="2" fontId="0" fillId="0" borderId="2" xfId="0" applyNumberFormat="1" applyBorder="1"/>
    <xf numFmtId="2" fontId="0" fillId="14" borderId="9" xfId="0" applyNumberFormat="1" applyFill="1" applyBorder="1"/>
    <xf numFmtId="2" fontId="0" fillId="14" borderId="10" xfId="0" applyNumberFormat="1" applyFill="1" applyBorder="1"/>
    <xf numFmtId="2" fontId="0" fillId="13" borderId="9" xfId="0" applyNumberFormat="1" applyFill="1" applyBorder="1"/>
    <xf numFmtId="2" fontId="0" fillId="13" borderId="10" xfId="0" applyNumberFormat="1" applyFill="1" applyBorder="1"/>
    <xf numFmtId="2" fontId="0" fillId="14" borderId="11" xfId="0" applyNumberFormat="1" applyFill="1" applyBorder="1"/>
    <xf numFmtId="2" fontId="0" fillId="14" borderId="12" xfId="0" applyNumberFormat="1" applyFill="1" applyBorder="1"/>
    <xf numFmtId="2" fontId="0" fillId="14" borderId="3" xfId="0" applyNumberFormat="1" applyFill="1" applyBorder="1"/>
    <xf numFmtId="2" fontId="0" fillId="0" borderId="11" xfId="0" applyNumberFormat="1" applyBorder="1"/>
    <xf numFmtId="2" fontId="0" fillId="0" borderId="12" xfId="0" applyNumberFormat="1" applyBorder="1"/>
    <xf numFmtId="2" fontId="0" fillId="0" borderId="3" xfId="0" applyNumberFormat="1" applyBorder="1"/>
    <xf numFmtId="0" fontId="0" fillId="12" borderId="0" xfId="0" applyFill="1" applyAlignment="1">
      <alignment horizontal="center"/>
    </xf>
    <xf numFmtId="0" fontId="0" fillId="8" borderId="2" xfId="0" applyFill="1" applyBorder="1"/>
    <xf numFmtId="0" fontId="0" fillId="8" borderId="0" xfId="0" applyFill="1"/>
    <xf numFmtId="2" fontId="0" fillId="0" borderId="9" xfId="0" applyNumberFormat="1" applyBorder="1"/>
    <xf numFmtId="2" fontId="0" fillId="0" borderId="10" xfId="0" applyNumberFormat="1" applyBorder="1"/>
    <xf numFmtId="2" fontId="0" fillId="0" borderId="7" xfId="0" applyNumberFormat="1" applyBorder="1"/>
    <xf numFmtId="2" fontId="0" fillId="0" borderId="1" xfId="0" applyNumberFormat="1" applyBorder="1"/>
    <xf numFmtId="2" fontId="0" fillId="0" borderId="8" xfId="0" applyNumberFormat="1" applyBorder="1"/>
    <xf numFmtId="2" fontId="0" fillId="14" borderId="5" xfId="0" applyNumberFormat="1" applyFill="1" applyBorder="1"/>
    <xf numFmtId="2" fontId="0" fillId="14" borderId="6" xfId="0" applyNumberFormat="1" applyFill="1" applyBorder="1"/>
    <xf numFmtId="2" fontId="0" fillId="14" borderId="2" xfId="0" applyNumberFormat="1" applyFill="1" applyBorder="1"/>
    <xf numFmtId="2" fontId="0" fillId="13" borderId="11" xfId="0" applyNumberFormat="1" applyFill="1" applyBorder="1"/>
    <xf numFmtId="2" fontId="0" fillId="13" borderId="12" xfId="0" applyNumberFormat="1" applyFill="1" applyBorder="1"/>
    <xf numFmtId="2" fontId="0" fillId="13" borderId="3" xfId="0" applyNumberFormat="1" applyFill="1" applyBorder="1"/>
    <xf numFmtId="0" fontId="0" fillId="12" borderId="11" xfId="0" applyFill="1" applyBorder="1" applyAlignment="1">
      <alignment horizontal="center"/>
    </xf>
    <xf numFmtId="0" fontId="0" fillId="12" borderId="12" xfId="0" applyFill="1" applyBorder="1"/>
    <xf numFmtId="2" fontId="0" fillId="13" borderId="0" xfId="0" applyNumberFormat="1" applyFill="1"/>
    <xf numFmtId="2" fontId="0" fillId="14" borderId="0" xfId="0" applyNumberFormat="1" applyFill="1"/>
    <xf numFmtId="9" fontId="0" fillId="14" borderId="0" xfId="0" applyNumberFormat="1" applyFill="1"/>
    <xf numFmtId="9" fontId="0" fillId="13" borderId="0" xfId="0" applyNumberFormat="1" applyFill="1"/>
    <xf numFmtId="0" fontId="0" fillId="10" borderId="5" xfId="0" applyFill="1" applyBorder="1"/>
    <xf numFmtId="0" fontId="0" fillId="10" borderId="6" xfId="0" applyFill="1" applyBorder="1"/>
    <xf numFmtId="0" fontId="0" fillId="12" borderId="0" xfId="0" applyFill="1"/>
    <xf numFmtId="2" fontId="0" fillId="0" borderId="0" xfId="0" applyNumberFormat="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11" xfId="0" applyBorder="1"/>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0" fillId="12" borderId="13" xfId="0" applyFill="1" applyBorder="1" applyAlignment="1">
      <alignment horizontal="center"/>
    </xf>
    <xf numFmtId="0" fontId="0" fillId="0" borderId="18" xfId="0" applyBorder="1"/>
    <xf numFmtId="0" fontId="0" fillId="0" borderId="8" xfId="0" applyBorder="1"/>
    <xf numFmtId="0" fontId="0" fillId="12" borderId="7" xfId="0" applyFill="1" applyBorder="1" applyAlignment="1">
      <alignment horizontal="center"/>
    </xf>
    <xf numFmtId="0" fontId="1" fillId="12" borderId="7" xfId="0" applyFont="1" applyFill="1" applyBorder="1" applyAlignment="1">
      <alignment horizontal="center" vertical="top" textRotation="180" wrapText="1"/>
    </xf>
    <xf numFmtId="0" fontId="0" fillId="0" borderId="11" xfId="0" applyBorder="1"/>
    <xf numFmtId="0" fontId="1" fillId="12" borderId="8" xfId="0" applyFont="1" applyFill="1" applyBorder="1" applyAlignment="1">
      <alignment horizontal="center" vertical="top" textRotation="180"/>
    </xf>
    <xf numFmtId="0" fontId="0" fillId="0" borderId="12" xfId="0" applyBorder="1"/>
    <xf numFmtId="0" fontId="0" fillId="12" borderId="14" xfId="0" applyFill="1" applyBorder="1" applyAlignment="1">
      <alignment horizontal="center"/>
    </xf>
    <xf numFmtId="0" fontId="0" fillId="0" borderId="6" xfId="0" applyBorder="1"/>
    <xf numFmtId="0" fontId="0" fillId="12" borderId="8" xfId="0" applyFill="1" applyBorder="1" applyAlignment="1">
      <alignment horizontal="center"/>
    </xf>
    <xf numFmtId="0" fontId="1" fillId="12" borderId="6" xfId="0" applyFont="1" applyFill="1" applyBorder="1" applyAlignment="1">
      <alignment horizontal="center" wrapText="1"/>
    </xf>
    <xf numFmtId="0" fontId="0" fillId="0" borderId="17" xfId="0" applyBorder="1"/>
    <xf numFmtId="0" fontId="1" fillId="12" borderId="14" xfId="0" applyFont="1" applyFill="1" applyBorder="1" applyAlignment="1">
      <alignment horizontal="center" wrapText="1"/>
    </xf>
    <xf numFmtId="0" fontId="1" fillId="12" borderId="2" xfId="0" applyFont="1" applyFill="1" applyBorder="1" applyAlignment="1">
      <alignment horizontal="center" wrapText="1"/>
    </xf>
    <xf numFmtId="0" fontId="1" fillId="12" borderId="5" xfId="0" applyFont="1" applyFill="1" applyBorder="1" applyAlignment="1">
      <alignment horizontal="center" wrapText="1"/>
    </xf>
    <xf numFmtId="0" fontId="0" fillId="0" borderId="9" xfId="0" applyBorder="1"/>
    <xf numFmtId="0" fontId="0" fillId="0" borderId="10" xfId="0" applyBorder="1"/>
    <xf numFmtId="0" fontId="1" fillId="0" borderId="15" xfId="0" applyFont="1" applyBorder="1" applyAlignment="1">
      <alignment horizontal="left" wrapText="1"/>
    </xf>
    <xf numFmtId="0" fontId="1" fillId="0" borderId="13" xfId="0" applyFont="1" applyBorder="1" applyAlignment="1">
      <alignment horizontal="left" wrapText="1"/>
    </xf>
    <xf numFmtId="0" fontId="0" fillId="12" borderId="19" xfId="0" applyFill="1" applyBorder="1" applyAlignment="1">
      <alignment horizontal="center"/>
    </xf>
    <xf numFmtId="0" fontId="0" fillId="0" borderId="19" xfId="0" applyBorder="1"/>
    <xf numFmtId="0" fontId="0" fillId="0" borderId="15" xfId="0" applyBorder="1" applyAlignment="1">
      <alignment horizontal="left" wrapText="1"/>
    </xf>
    <xf numFmtId="0" fontId="1" fillId="0" borderId="16" xfId="0" applyFont="1" applyBorder="1" applyAlignment="1">
      <alignment horizontal="left" wrapText="1"/>
    </xf>
  </cellXfs>
  <cellStyles count="1">
    <cellStyle name="Normal" xfId="0" builtinId="0"/>
  </cellStyles>
  <dxfs count="17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ALL_master+r8.0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E5C8-45D3-B8B4-6879C63E4BEA}"/>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E5C8-45D3-B8B4-6879C63E4BEA}"/>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ALL_master+r8.0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0-AE23-41FF-9E51-2CBFE82642F9}"/>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AE23-41FF-9E51-2CBFE82642F9}"/>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ALL_master+r8.0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32.104728125000001</c:v>
                </c:pt>
                <c:pt idx="1">
                  <c:v>34.355628125000003</c:v>
                </c:pt>
                <c:pt idx="2">
                  <c:v>36.897065625000003</c:v>
                </c:pt>
                <c:pt idx="3">
                  <c:v>39.525215625000001</c:v>
                </c:pt>
                <c:pt idx="4">
                  <c:v>42.1278875</c:v>
                </c:pt>
              </c:numCache>
            </c:numRef>
          </c:yVal>
          <c:smooth val="1"/>
          <c:extLst>
            <c:ext xmlns:c16="http://schemas.microsoft.com/office/drawing/2014/chart" uri="{C3380CC4-5D6E-409C-BE32-E72D297353CC}">
              <c16:uniqueId val="{00000000-360D-483E-8BD6-F48B22A871CA}"/>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360D-483E-8BD6-F48B22A871CA}"/>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ALL_master+r8.0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44.160262500000002</c:v>
                </c:pt>
                <c:pt idx="1">
                  <c:v>45.457171875</c:v>
                </c:pt>
                <c:pt idx="2">
                  <c:v>46.589962499999999</c:v>
                </c:pt>
                <c:pt idx="3">
                  <c:v>47.905425000000001</c:v>
                </c:pt>
                <c:pt idx="4">
                  <c:v>49.411659374999999</c:v>
                </c:pt>
              </c:numCache>
            </c:numRef>
          </c:yVal>
          <c:smooth val="1"/>
          <c:extLst>
            <c:ext xmlns:c16="http://schemas.microsoft.com/office/drawing/2014/chart" uri="{C3380CC4-5D6E-409C-BE32-E72D297353CC}">
              <c16:uniqueId val="{00000000-6E81-4922-874A-BDAEECF44D84}"/>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6E81-4922-874A-BDAEECF44D8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ALL_master+r8.0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43.841843750000002</c:v>
                </c:pt>
                <c:pt idx="1">
                  <c:v>45.25540625</c:v>
                </c:pt>
                <c:pt idx="2">
                  <c:v>46.485678125</c:v>
                </c:pt>
                <c:pt idx="3">
                  <c:v>47.942124999999997</c:v>
                </c:pt>
                <c:pt idx="4">
                  <c:v>49.554578124999999</c:v>
                </c:pt>
              </c:numCache>
            </c:numRef>
          </c:yVal>
          <c:smooth val="1"/>
          <c:extLst>
            <c:ext xmlns:c16="http://schemas.microsoft.com/office/drawing/2014/chart" uri="{C3380CC4-5D6E-409C-BE32-E72D297353CC}">
              <c16:uniqueId val="{00000000-9147-460D-B4FA-478EA337E430}"/>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9147-460D-B4FA-478EA337E430}"/>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ALL_master+r8.0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67E1-42BC-9CA6-8F3E45A3CD43}"/>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67E1-42BC-9CA6-8F3E45A3CD43}"/>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I4" sqref="I4"/>
    </sheetView>
  </sheetViews>
  <sheetFormatPr defaultRowHeight="14.4" x14ac:dyDescent="0.3"/>
  <cols>
    <col min="2" max="2" width="16.6640625" style="76" customWidth="1"/>
    <col min="3" max="12" width="24.6640625" style="76" customWidth="1"/>
  </cols>
  <sheetData>
    <row r="1" spans="2:12" x14ac:dyDescent="0.3">
      <c r="B1" t="s">
        <v>0</v>
      </c>
      <c r="C1" s="164" t="s">
        <v>607</v>
      </c>
      <c r="D1" s="156"/>
      <c r="E1" s="156"/>
    </row>
    <row r="2" spans="2:12" x14ac:dyDescent="0.3">
      <c r="B2" t="s">
        <v>1</v>
      </c>
      <c r="C2" s="165"/>
      <c r="D2" s="156"/>
      <c r="E2" s="156"/>
    </row>
    <row r="4" spans="2:12" s="1" customFormat="1" x14ac:dyDescent="0.3">
      <c r="B4" s="1" t="s">
        <v>2</v>
      </c>
    </row>
    <row r="6" spans="2:12" x14ac:dyDescent="0.3">
      <c r="B6" s="159" t="s">
        <v>3</v>
      </c>
      <c r="C6" s="160" t="s">
        <v>4</v>
      </c>
      <c r="D6" s="161"/>
      <c r="E6" s="161"/>
      <c r="F6" s="161"/>
      <c r="G6" s="161"/>
      <c r="H6" s="161"/>
      <c r="I6" s="161"/>
      <c r="J6" s="161"/>
      <c r="K6" s="161"/>
      <c r="L6" s="161"/>
    </row>
    <row r="7" spans="2:12" x14ac:dyDescent="0.3">
      <c r="B7" s="156"/>
      <c r="C7" s="162" t="s">
        <v>5</v>
      </c>
      <c r="D7" s="156"/>
      <c r="E7" s="163" t="s">
        <v>6</v>
      </c>
      <c r="F7" s="156"/>
      <c r="G7" s="156"/>
      <c r="H7" s="162" t="s">
        <v>7</v>
      </c>
      <c r="I7" s="156"/>
      <c r="J7" s="163" t="s">
        <v>8</v>
      </c>
      <c r="K7" s="156"/>
      <c r="L7" s="156"/>
    </row>
    <row r="8" spans="2:12" x14ac:dyDescent="0.3">
      <c r="B8" s="158"/>
      <c r="C8" s="2" t="s">
        <v>9</v>
      </c>
      <c r="D8" s="2" t="s">
        <v>10</v>
      </c>
      <c r="E8" s="3" t="s">
        <v>11</v>
      </c>
      <c r="F8" s="3" t="s">
        <v>12</v>
      </c>
      <c r="G8" s="3" t="s">
        <v>13</v>
      </c>
      <c r="H8" s="2" t="s">
        <v>9</v>
      </c>
      <c r="I8" s="2" t="s">
        <v>10</v>
      </c>
      <c r="J8" s="3" t="s">
        <v>11</v>
      </c>
      <c r="K8" s="3" t="s">
        <v>12</v>
      </c>
      <c r="L8" s="3" t="s">
        <v>13</v>
      </c>
    </row>
    <row r="9" spans="2:12" x14ac:dyDescent="0.3">
      <c r="B9" t="s">
        <v>14</v>
      </c>
      <c r="C9" s="71" t="e">
        <f>'C2 lossyG,lossyA,intra'!$BJ$40:$BJ$40</f>
        <v>#DIV/0!</v>
      </c>
      <c r="D9" s="71" t="e">
        <f>'C2 lossyG,lossyA,intra'!$BK$40:$BK$40</f>
        <v>#DIV/0!</v>
      </c>
      <c r="E9" s="71" t="e">
        <f>'C2 lossyG,lossyA,intra'!$BL$40:$BL$40</f>
        <v>#DIV/0!</v>
      </c>
      <c r="F9" s="71" t="e">
        <f>'C2 lossyG,lossyA,intra'!$BM$40:$BM$40</f>
        <v>#DIV/0!</v>
      </c>
      <c r="G9" s="71" t="e">
        <f>'C2 lossyG,lossyA,intra'!$BN$40:$BN$40</f>
        <v>#DIV/0!</v>
      </c>
      <c r="H9" s="71" t="e">
        <f>'C2 lossyG,lossyA,intra'!$BP$40:$BP$40</f>
        <v>#DIV/0!</v>
      </c>
      <c r="I9" s="71" t="e">
        <f>'C2 lossyG,lossyA,intra'!$BQ$40:$BQ$40</f>
        <v>#DIV/0!</v>
      </c>
      <c r="J9" s="71" t="e">
        <f>'C2 lossyG,lossyA,intra'!$BR$40:$BR$40</f>
        <v>#DIV/0!</v>
      </c>
      <c r="K9" s="71" t="e">
        <f>'C2 lossyG,lossyA,intra'!$BS$40:$BS$40</f>
        <v>#DIV/0!</v>
      </c>
      <c r="L9" s="71" t="e">
        <f>'C2 lossyG,lossyA,intra'!$BT$40:$BT$40</f>
        <v>#DIV/0!</v>
      </c>
    </row>
    <row r="10" spans="2:12" x14ac:dyDescent="0.3">
      <c r="B10" t="s">
        <v>15</v>
      </c>
      <c r="C10" s="71" t="e">
        <f>'C2 lossyG,lossyA,intra'!$BJ$41:$BJ$41</f>
        <v>#DIV/0!</v>
      </c>
      <c r="D10" s="71" t="e">
        <f>'C2 lossyG,lossyA,intra'!$BK$41:$BK$41</f>
        <v>#DIV/0!</v>
      </c>
      <c r="E10" s="71" t="e">
        <f>'C2 lossyG,lossyA,intra'!$BL$41:$BL$41</f>
        <v>#DIV/0!</v>
      </c>
      <c r="F10" s="71" t="e">
        <f>'C2 lossyG,lossyA,intra'!$BM$41:$BM$41</f>
        <v>#DIV/0!</v>
      </c>
      <c r="G10" s="71" t="e">
        <f>'C2 lossyG,lossyA,intra'!$BN$41:$BN$41</f>
        <v>#DIV/0!</v>
      </c>
      <c r="H10" s="71" t="e">
        <f>'C2 lossyG,lossyA,intra'!$BP$41:$BP$41</f>
        <v>#DIV/0!</v>
      </c>
      <c r="I10" s="71" t="e">
        <f>'C2 lossyG,lossyA,intra'!$BQ$41:$BQ$41</f>
        <v>#DIV/0!</v>
      </c>
      <c r="J10" s="71" t="e">
        <f>'C2 lossyG,lossyA,intra'!$BR$41:$BR$41</f>
        <v>#DIV/0!</v>
      </c>
      <c r="K10" s="71" t="e">
        <f>'C2 lossyG,lossyA,intra'!$BS$41:$BS$41</f>
        <v>#DIV/0!</v>
      </c>
      <c r="L10" s="71" t="e">
        <f>'C2 lossyG,lossyA,intra'!$BT$41:$BT$41</f>
        <v>#DIV/0!</v>
      </c>
    </row>
    <row r="11" spans="2:12" x14ac:dyDescent="0.3">
      <c r="B11" t="s">
        <v>16</v>
      </c>
      <c r="C11" s="71" t="e">
        <f>'C2 lossyG,lossyA,intra'!$BJ$42:$BJ$42</f>
        <v>#DIV/0!</v>
      </c>
      <c r="D11" s="71" t="e">
        <f>'C2 lossyG,lossyA,intra'!$BK$42:$BK$42</f>
        <v>#DIV/0!</v>
      </c>
      <c r="E11" s="71" t="e">
        <f>'C2 lossyG,lossyA,intra'!$BL$42:$BL$42</f>
        <v>#DIV/0!</v>
      </c>
      <c r="F11" s="71" t="e">
        <f>'C2 lossyG,lossyA,intra'!$BM$42:$BM$42</f>
        <v>#DIV/0!</v>
      </c>
      <c r="G11" s="71" t="e">
        <f>'C2 lossyG,lossyA,intra'!$BN$42:$BN$42</f>
        <v>#DIV/0!</v>
      </c>
      <c r="H11" s="71" t="e">
        <f>'C2 lossyG,lossyA,intra'!$BP$42:$BP$42</f>
        <v>#DIV/0!</v>
      </c>
      <c r="I11" s="71" t="e">
        <f>'C2 lossyG,lossyA,intra'!$BQ$42:$BQ$42</f>
        <v>#DIV/0!</v>
      </c>
      <c r="J11" s="71" t="e">
        <f>'C2 lossyG,lossyA,intra'!$BR$42:$BR$42</f>
        <v>#DIV/0!</v>
      </c>
      <c r="K11" s="71" t="e">
        <f>'C2 lossyG,lossyA,intra'!$BS$42:$BS$42</f>
        <v>#DIV/0!</v>
      </c>
      <c r="L11" s="71" t="e">
        <f>'C2 lossyG,lossyA,intra'!$BT$42:$BT$42</f>
        <v>#DIV/0!</v>
      </c>
    </row>
    <row r="12" spans="2:12" x14ac:dyDescent="0.3">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3">
      <c r="B13" t="s">
        <v>18</v>
      </c>
      <c r="C13" s="155" t="e">
        <f>'C2 lossyG,lossyA,intra'!AZ47</f>
        <v>#NUM!</v>
      </c>
      <c r="D13" s="156"/>
      <c r="E13" s="156"/>
      <c r="F13" s="156"/>
      <c r="G13" s="156"/>
      <c r="H13" s="156"/>
      <c r="I13" s="156"/>
      <c r="J13" s="156"/>
      <c r="K13" s="156"/>
      <c r="L13" s="156"/>
    </row>
    <row r="14" spans="2:12" x14ac:dyDescent="0.3">
      <c r="B14" s="6" t="s">
        <v>19</v>
      </c>
      <c r="C14" s="157" t="e">
        <f>'C2 lossyG,lossyA,intra'!BB47</f>
        <v>#NUM!</v>
      </c>
      <c r="D14" s="158"/>
      <c r="E14" s="158"/>
      <c r="F14" s="158"/>
      <c r="G14" s="158"/>
      <c r="H14" s="158"/>
      <c r="I14" s="158"/>
      <c r="J14" s="158"/>
      <c r="K14" s="158"/>
      <c r="L14" s="158"/>
    </row>
    <row r="16" spans="2:12" x14ac:dyDescent="0.3">
      <c r="B16" s="159" t="s">
        <v>20</v>
      </c>
      <c r="C16" s="160" t="s">
        <v>21</v>
      </c>
      <c r="D16" s="161"/>
      <c r="E16" s="161"/>
    </row>
    <row r="17" spans="2:5" x14ac:dyDescent="0.3">
      <c r="B17" s="156"/>
      <c r="C17" s="162" t="s">
        <v>22</v>
      </c>
      <c r="D17" s="156"/>
      <c r="E17" s="156"/>
    </row>
    <row r="18" spans="2:5" x14ac:dyDescent="0.3">
      <c r="B18" s="158"/>
      <c r="C18" s="2" t="s">
        <v>23</v>
      </c>
      <c r="D18" s="2" t="s">
        <v>24</v>
      </c>
      <c r="E18" s="2" t="s">
        <v>25</v>
      </c>
    </row>
    <row r="19" spans="2:5" x14ac:dyDescent="0.3">
      <c r="B19" t="s">
        <v>14</v>
      </c>
      <c r="C19" s="71" t="e">
        <f>'CW losslG,losslA,intra'!BC12</f>
        <v>#DIV/0!</v>
      </c>
      <c r="D19" s="71" t="e">
        <f>'CW losslG,losslA,intra'!BE12</f>
        <v>#DIV/0!</v>
      </c>
      <c r="E19" s="71" t="e">
        <f>'CW losslG,losslA,intra'!BB12</f>
        <v>#DIV/0!</v>
      </c>
    </row>
    <row r="20" spans="2:5" x14ac:dyDescent="0.3">
      <c r="B20" t="s">
        <v>15</v>
      </c>
      <c r="C20" s="71" t="e">
        <f>'CW losslG,losslA,intra'!BC13</f>
        <v>#DIV/0!</v>
      </c>
      <c r="D20" s="71" t="e">
        <f>'CW losslG,losslA,intra'!BE13</f>
        <v>#DIV/0!</v>
      </c>
      <c r="E20" s="71" t="e">
        <f>'CW losslG,losslA,intra'!BB13</f>
        <v>#DIV/0!</v>
      </c>
    </row>
    <row r="21" spans="2:5" x14ac:dyDescent="0.3">
      <c r="B21" t="s">
        <v>16</v>
      </c>
      <c r="C21" s="71" t="e">
        <f>'CW losslG,losslA,intra'!BC14</f>
        <v>#DIV/0!</v>
      </c>
      <c r="D21" s="71" t="e">
        <f>'CW losslG,losslA,intra'!BE14</f>
        <v>#DIV/0!</v>
      </c>
      <c r="E21" s="71" t="e">
        <f>'CW losslG,losslA,intra'!BB14</f>
        <v>#DIV/0!</v>
      </c>
    </row>
    <row r="22" spans="2:5" x14ac:dyDescent="0.3">
      <c r="B22" s="4" t="s">
        <v>17</v>
      </c>
      <c r="C22" s="5" t="e">
        <f>'CW losslG,losslA,intra'!BC15</f>
        <v>#DIV/0!</v>
      </c>
      <c r="D22" s="5" t="e">
        <f>'CW losslG,losslA,intra'!BE15</f>
        <v>#DIV/0!</v>
      </c>
      <c r="E22" s="5" t="e">
        <f>'CW losslG,losslA,intra'!BB15</f>
        <v>#DIV/0!</v>
      </c>
    </row>
    <row r="23" spans="2:5" x14ac:dyDescent="0.3">
      <c r="B23" t="s">
        <v>18</v>
      </c>
      <c r="C23" s="155" t="e">
        <f>'CW losslG,losslA,intra'!AW19</f>
        <v>#NUM!</v>
      </c>
      <c r="D23" s="156"/>
      <c r="E23" s="156"/>
    </row>
    <row r="24" spans="2:5" x14ac:dyDescent="0.3">
      <c r="B24" s="6" t="s">
        <v>19</v>
      </c>
      <c r="C24" s="157" t="e">
        <f>'CW losslG,losslA,intra'!AY19</f>
        <v>#NUM!</v>
      </c>
      <c r="D24" s="158"/>
      <c r="E24" s="158"/>
    </row>
    <row r="26" spans="2:5" s="1" customFormat="1" x14ac:dyDescent="0.3">
      <c r="B26" s="1" t="s">
        <v>26</v>
      </c>
    </row>
    <row r="28" spans="2:5" x14ac:dyDescent="0.3">
      <c r="B28" s="159" t="s">
        <v>27</v>
      </c>
      <c r="C28" s="160" t="s">
        <v>28</v>
      </c>
      <c r="D28" s="161"/>
      <c r="E28" s="161"/>
    </row>
    <row r="29" spans="2:5" x14ac:dyDescent="0.3">
      <c r="B29" s="156"/>
      <c r="C29" s="162" t="s">
        <v>22</v>
      </c>
      <c r="D29" s="156"/>
      <c r="E29" s="156"/>
    </row>
    <row r="30" spans="2:5" x14ac:dyDescent="0.3">
      <c r="B30" s="158"/>
      <c r="C30" s="2" t="s">
        <v>23</v>
      </c>
      <c r="D30" s="2" t="s">
        <v>24</v>
      </c>
      <c r="E30" s="2" t="s">
        <v>25</v>
      </c>
    </row>
    <row r="31" spans="2:5" x14ac:dyDescent="0.3">
      <c r="B31" t="s">
        <v>14</v>
      </c>
      <c r="C31" s="71" t="e">
        <f>'CW losslG,losslA,interLD'!BC12</f>
        <v>#DIV/0!</v>
      </c>
      <c r="D31" s="71" t="e">
        <f>'CW losslG,losslA,interLD'!BE12</f>
        <v>#DIV/0!</v>
      </c>
      <c r="E31" s="71" t="e">
        <f>'CW losslG,losslA,interLD'!BB12</f>
        <v>#DIV/0!</v>
      </c>
    </row>
    <row r="32" spans="2:5" x14ac:dyDescent="0.3">
      <c r="B32" t="s">
        <v>15</v>
      </c>
      <c r="C32" s="71" t="e">
        <f>'CW losslG,losslA,interLD'!BC13</f>
        <v>#DIV/0!</v>
      </c>
      <c r="D32" s="71" t="e">
        <f>'CW losslG,losslA,interLD'!BE13</f>
        <v>#DIV/0!</v>
      </c>
      <c r="E32" s="71" t="e">
        <f>'CW losslG,losslA,interLD'!BB13</f>
        <v>#DIV/0!</v>
      </c>
    </row>
    <row r="33" spans="2:12" x14ac:dyDescent="0.3">
      <c r="B33" t="s">
        <v>16</v>
      </c>
      <c r="C33" s="71" t="e">
        <f>'CW losslG,losslA,interLD'!BC14</f>
        <v>#DIV/0!</v>
      </c>
      <c r="D33" s="71" t="e">
        <f>'CW losslG,losslA,interLD'!BE14</f>
        <v>#DIV/0!</v>
      </c>
      <c r="E33" s="71" t="e">
        <f>'CW losslG,losslA,interLD'!BB14</f>
        <v>#DIV/0!</v>
      </c>
    </row>
    <row r="34" spans="2:12" x14ac:dyDescent="0.3">
      <c r="B34" s="4" t="s">
        <v>17</v>
      </c>
      <c r="C34" s="5" t="e">
        <f>'CW losslG,losslA,interLD'!BC15</f>
        <v>#DIV/0!</v>
      </c>
      <c r="D34" s="5" t="e">
        <f>'CW losslG,losslA,interLD'!BE15</f>
        <v>#DIV/0!</v>
      </c>
      <c r="E34" s="5" t="e">
        <f>'CW losslG,losslA,interLD'!BB15</f>
        <v>#DIV/0!</v>
      </c>
    </row>
    <row r="35" spans="2:12" x14ac:dyDescent="0.3">
      <c r="B35" t="s">
        <v>18</v>
      </c>
      <c r="C35" s="155" t="e">
        <f>'CW losslG,losslA,interLD'!AW19</f>
        <v>#NUM!</v>
      </c>
      <c r="D35" s="156"/>
      <c r="E35" s="156"/>
    </row>
    <row r="36" spans="2:12" x14ac:dyDescent="0.3">
      <c r="B36" s="6" t="s">
        <v>19</v>
      </c>
      <c r="C36" s="157" t="e">
        <f>'CW losslG,losslA,interLD'!AY19</f>
        <v>#NUM!</v>
      </c>
      <c r="D36" s="158"/>
      <c r="E36" s="158"/>
    </row>
    <row r="38" spans="2:12" s="1" customFormat="1" x14ac:dyDescent="0.3">
      <c r="B38" s="1" t="s">
        <v>29</v>
      </c>
    </row>
    <row r="40" spans="2:12" x14ac:dyDescent="0.3">
      <c r="B40" s="159" t="s">
        <v>30</v>
      </c>
      <c r="C40" s="160" t="s">
        <v>31</v>
      </c>
      <c r="D40" s="161"/>
      <c r="E40" s="161"/>
      <c r="F40" s="161"/>
      <c r="G40" s="161"/>
      <c r="H40" s="161"/>
      <c r="I40" s="161"/>
      <c r="J40" s="161"/>
      <c r="K40" s="161"/>
      <c r="L40" s="161"/>
    </row>
    <row r="41" spans="2:12" x14ac:dyDescent="0.3">
      <c r="B41" s="156"/>
      <c r="C41" s="162" t="s">
        <v>5</v>
      </c>
      <c r="D41" s="156"/>
      <c r="E41" s="163" t="s">
        <v>6</v>
      </c>
      <c r="F41" s="156"/>
      <c r="G41" s="156"/>
      <c r="H41" s="162" t="s">
        <v>7</v>
      </c>
      <c r="I41" s="156"/>
      <c r="J41" s="163" t="s">
        <v>8</v>
      </c>
      <c r="K41" s="156"/>
      <c r="L41" s="156"/>
    </row>
    <row r="42" spans="2:12" x14ac:dyDescent="0.3">
      <c r="B42" s="158"/>
      <c r="C42" s="2" t="s">
        <v>9</v>
      </c>
      <c r="D42" s="2" t="s">
        <v>10</v>
      </c>
      <c r="E42" s="3" t="s">
        <v>11</v>
      </c>
      <c r="F42" s="3" t="s">
        <v>12</v>
      </c>
      <c r="G42" s="3" t="s">
        <v>13</v>
      </c>
      <c r="H42" s="2" t="s">
        <v>9</v>
      </c>
      <c r="I42" s="2" t="s">
        <v>10</v>
      </c>
      <c r="J42" s="3" t="s">
        <v>11</v>
      </c>
      <c r="K42" s="3" t="s">
        <v>12</v>
      </c>
      <c r="L42" s="3" t="s">
        <v>13</v>
      </c>
    </row>
    <row r="43" spans="2:12" x14ac:dyDescent="0.3">
      <c r="B43" t="s">
        <v>14</v>
      </c>
      <c r="C43" s="71" t="e">
        <f>'C2 lossyG,lossyA,interRA'!$BJ$40:$BJ$40</f>
        <v>#DIV/0!</v>
      </c>
      <c r="D43" s="71" t="e">
        <f>'C2 lossyG,lossyA,interRA'!$BK$40:$BK$40</f>
        <v>#DIV/0!</v>
      </c>
      <c r="E43" s="71" t="e">
        <f>'C2 lossyG,lossyA,interRA'!$BL$40:$BL$40</f>
        <v>#DIV/0!</v>
      </c>
      <c r="F43" s="71" t="e">
        <f>'C2 lossyG,lossyA,interRA'!$BM$40:$BM$40</f>
        <v>#DIV/0!</v>
      </c>
      <c r="G43" s="71" t="e">
        <f>'C2 lossyG,lossyA,interRA'!$BN$40:$BN$40</f>
        <v>#DIV/0!</v>
      </c>
      <c r="H43" s="71" t="e">
        <f>'C2 lossyG,lossyA,interRA'!$BP$40:$BP$40</f>
        <v>#DIV/0!</v>
      </c>
      <c r="I43" s="71" t="e">
        <f>'C2 lossyG,lossyA,interRA'!$BQ$40:$BQ$40</f>
        <v>#DIV/0!</v>
      </c>
      <c r="J43" s="71" t="e">
        <f>'C2 lossyG,lossyA,interRA'!$BR$40:$BR$40</f>
        <v>#DIV/0!</v>
      </c>
      <c r="K43" s="71" t="e">
        <f>'C2 lossyG,lossyA,interRA'!$BS$40:$BS$40</f>
        <v>#DIV/0!</v>
      </c>
      <c r="L43" s="71" t="e">
        <f>'C2 lossyG,lossyA,interRA'!$BT$40:$BT$40</f>
        <v>#DIV/0!</v>
      </c>
    </row>
    <row r="44" spans="2:12" x14ac:dyDescent="0.3">
      <c r="B44" t="s">
        <v>15</v>
      </c>
      <c r="C44" s="71" t="e">
        <f>'C2 lossyG,lossyA,interRA'!$BJ$41:$BJ$41</f>
        <v>#DIV/0!</v>
      </c>
      <c r="D44" s="71" t="e">
        <f>'C2 lossyG,lossyA,interRA'!$BK$41:$BK$41</f>
        <v>#DIV/0!</v>
      </c>
      <c r="E44" s="71" t="e">
        <f>'C2 lossyG,lossyA,interRA'!$BL$41:$BL$41</f>
        <v>#DIV/0!</v>
      </c>
      <c r="F44" s="71" t="e">
        <f>'C2 lossyG,lossyA,interRA'!$BM$41:$BM$41</f>
        <v>#DIV/0!</v>
      </c>
      <c r="G44" s="71" t="e">
        <f>'C2 lossyG,lossyA,interRA'!$BN$41:$BN$41</f>
        <v>#DIV/0!</v>
      </c>
      <c r="H44" s="71" t="e">
        <f>'C2 lossyG,lossyA,interRA'!$BP$41:$BP$41</f>
        <v>#DIV/0!</v>
      </c>
      <c r="I44" s="71" t="e">
        <f>'C2 lossyG,lossyA,interRA'!$BQ$41:$BQ$41</f>
        <v>#DIV/0!</v>
      </c>
      <c r="J44" s="71" t="e">
        <f>'C2 lossyG,lossyA,interRA'!$BR$41:$BR$41</f>
        <v>#DIV/0!</v>
      </c>
      <c r="K44" s="71" t="e">
        <f>'C2 lossyG,lossyA,interRA'!$BS$41:$BS$41</f>
        <v>#DIV/0!</v>
      </c>
      <c r="L44" s="71" t="e">
        <f>'C2 lossyG,lossyA,interRA'!$BT$41:$BT$41</f>
        <v>#DIV/0!</v>
      </c>
    </row>
    <row r="45" spans="2:12" x14ac:dyDescent="0.3">
      <c r="B45" t="s">
        <v>16</v>
      </c>
      <c r="C45" s="71" t="e">
        <f>'C2 lossyG,lossyA,interRA'!$BJ$42:$BJ$42</f>
        <v>#DIV/0!</v>
      </c>
      <c r="D45" s="71" t="e">
        <f>'C2 lossyG,lossyA,interRA'!$BK$42:$BK$42</f>
        <v>#DIV/0!</v>
      </c>
      <c r="E45" s="71" t="e">
        <f>'C2 lossyG,lossyA,interRA'!$BL$42:$BL$42</f>
        <v>#DIV/0!</v>
      </c>
      <c r="F45" s="71" t="e">
        <f>'C2 lossyG,lossyA,interRA'!$BM$42:$BM$42</f>
        <v>#DIV/0!</v>
      </c>
      <c r="G45" s="71" t="e">
        <f>'C2 lossyG,lossyA,interRA'!$BN$42:$BN$42</f>
        <v>#DIV/0!</v>
      </c>
      <c r="H45" s="71" t="e">
        <f>'C2 lossyG,lossyA,interRA'!$BP$42:$BP$42</f>
        <v>#DIV/0!</v>
      </c>
      <c r="I45" s="71" t="e">
        <f>'C2 lossyG,lossyA,interRA'!$BQ$42:$BQ$42</f>
        <v>#DIV/0!</v>
      </c>
      <c r="J45" s="71" t="e">
        <f>'C2 lossyG,lossyA,interRA'!$BR$42:$BR$42</f>
        <v>#DIV/0!</v>
      </c>
      <c r="K45" s="71" t="e">
        <f>'C2 lossyG,lossyA,interRA'!$BS$42:$BS$42</f>
        <v>#DIV/0!</v>
      </c>
      <c r="L45" s="71" t="e">
        <f>'C2 lossyG,lossyA,interRA'!$BT$42:$BT$42</f>
        <v>#DIV/0!</v>
      </c>
    </row>
    <row r="46" spans="2:12" x14ac:dyDescent="0.3">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3">
      <c r="B47" t="s">
        <v>18</v>
      </c>
      <c r="C47" s="155" t="e">
        <f>'C2 lossyG,lossyA,interRA'!AZ47</f>
        <v>#NUM!</v>
      </c>
      <c r="D47" s="156"/>
      <c r="E47" s="156"/>
      <c r="F47" s="156"/>
      <c r="G47" s="156"/>
      <c r="H47" s="156"/>
      <c r="I47" s="156"/>
      <c r="J47" s="156"/>
      <c r="K47" s="156"/>
      <c r="L47" s="156"/>
    </row>
    <row r="48" spans="2:12" x14ac:dyDescent="0.3">
      <c r="B48" s="6" t="s">
        <v>19</v>
      </c>
      <c r="C48" s="157" t="e">
        <f>'C2 lossyG,lossyA,interRA'!BB47</f>
        <v>#NUM!</v>
      </c>
      <c r="D48" s="158"/>
      <c r="E48" s="158"/>
      <c r="F48" s="158"/>
      <c r="G48" s="158"/>
      <c r="H48" s="158"/>
      <c r="I48" s="158"/>
      <c r="J48" s="158"/>
      <c r="K48" s="158"/>
      <c r="L48" s="158"/>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73" priority="23" operator="greaterThanOrEqual">
      <formula>1.03</formula>
    </cfRule>
    <cfRule type="cellIs" dxfId="172" priority="24" operator="lessThanOrEqual">
      <formula>0.97</formula>
    </cfRule>
  </conditionalFormatting>
  <conditionalFormatting sqref="C31 C32 C33 C34">
    <cfRule type="cellIs" dxfId="171" priority="27" operator="greaterThanOrEqual">
      <formula>1.03</formula>
    </cfRule>
    <cfRule type="cellIs" dxfId="170" priority="28" operator="lessThanOrEqual">
      <formula>0.97</formula>
    </cfRule>
  </conditionalFormatting>
  <conditionalFormatting sqref="C43 C44 C45 C46">
    <cfRule type="cellIs" dxfId="169" priority="51" operator="greaterThanOrEqual">
      <formula>0.03</formula>
    </cfRule>
    <cfRule type="cellIs" dxfId="168" priority="52" operator="lessThanOrEqual">
      <formula>-0.03</formula>
    </cfRule>
  </conditionalFormatting>
  <conditionalFormatting sqref="C9 C10 C11 C12">
    <cfRule type="cellIs" dxfId="167" priority="15" operator="greaterThanOrEqual">
      <formula>0.03</formula>
    </cfRule>
    <cfRule type="cellIs" dxfId="166" priority="16" operator="lessThanOrEqual">
      <formula>-0.03</formula>
    </cfRule>
  </conditionalFormatting>
  <conditionalFormatting sqref="D19 D20 D21 D22">
    <cfRule type="cellIs" dxfId="165" priority="25" operator="greaterThanOrEqual">
      <formula>1.03</formula>
    </cfRule>
    <cfRule type="cellIs" dxfId="164" priority="26" operator="lessThanOrEqual">
      <formula>0.97</formula>
    </cfRule>
  </conditionalFormatting>
  <conditionalFormatting sqref="D31 D32 D33 D34">
    <cfRule type="cellIs" dxfId="163" priority="29" operator="greaterThanOrEqual">
      <formula>1.03</formula>
    </cfRule>
    <cfRule type="cellIs" dxfId="162" priority="30" operator="lessThanOrEqual">
      <formula>0.97</formula>
    </cfRule>
  </conditionalFormatting>
  <conditionalFormatting sqref="D43 D44 D45 D46">
    <cfRule type="cellIs" dxfId="161" priority="35" operator="greaterThanOrEqual">
      <formula>0.03</formula>
    </cfRule>
    <cfRule type="cellIs" dxfId="160" priority="36" operator="lessThanOrEqual">
      <formula>-0.03</formula>
    </cfRule>
  </conditionalFormatting>
  <conditionalFormatting sqref="D9 D10 D11 D12">
    <cfRule type="cellIs" dxfId="159" priority="7" operator="greaterThanOrEqual">
      <formula>0.03</formula>
    </cfRule>
    <cfRule type="cellIs" dxfId="158" priority="8" operator="lessThanOrEqual">
      <formula>-0.03</formula>
    </cfRule>
  </conditionalFormatting>
  <conditionalFormatting sqref="E19 E20 E21 E22">
    <cfRule type="cellIs" dxfId="157" priority="21" operator="greaterThanOrEqual">
      <formula>1.03</formula>
    </cfRule>
    <cfRule type="cellIs" dxfId="156" priority="22" operator="lessThanOrEqual">
      <formula>0.97</formula>
    </cfRule>
  </conditionalFormatting>
  <conditionalFormatting sqref="E31 E32 E33 E34">
    <cfRule type="cellIs" dxfId="155" priority="31" operator="greaterThanOrEqual">
      <formula>1.03</formula>
    </cfRule>
    <cfRule type="cellIs" dxfId="154" priority="32" operator="lessThanOrEqual">
      <formula>0.97</formula>
    </cfRule>
  </conditionalFormatting>
  <conditionalFormatting sqref="E43 E44 E45 E46">
    <cfRule type="cellIs" dxfId="153" priority="37" operator="greaterThanOrEqual">
      <formula>0.03</formula>
    </cfRule>
    <cfRule type="cellIs" dxfId="152" priority="38" operator="lessThanOrEqual">
      <formula>-0.03</formula>
    </cfRule>
  </conditionalFormatting>
  <conditionalFormatting sqref="E9 E10 E11 E12">
    <cfRule type="cellIs" dxfId="151" priority="9" operator="greaterThanOrEqual">
      <formula>0.03</formula>
    </cfRule>
    <cfRule type="cellIs" dxfId="150" priority="10" operator="lessThanOrEqual">
      <formula>-0.03</formula>
    </cfRule>
  </conditionalFormatting>
  <conditionalFormatting sqref="F43 F44 F45 F46">
    <cfRule type="cellIs" dxfId="149" priority="47" operator="greaterThanOrEqual">
      <formula>0.03</formula>
    </cfRule>
    <cfRule type="cellIs" dxfId="148" priority="48" operator="lessThanOrEqual">
      <formula>-0.03</formula>
    </cfRule>
  </conditionalFormatting>
  <conditionalFormatting sqref="F9 F10 F11 F12">
    <cfRule type="cellIs" dxfId="147" priority="11" operator="greaterThanOrEqual">
      <formula>0.03</formula>
    </cfRule>
    <cfRule type="cellIs" dxfId="146" priority="12" operator="lessThanOrEqual">
      <formula>-0.03</formula>
    </cfRule>
  </conditionalFormatting>
  <conditionalFormatting sqref="G43 G44 G45 G46">
    <cfRule type="cellIs" dxfId="145" priority="49" operator="greaterThanOrEqual">
      <formula>0.03</formula>
    </cfRule>
    <cfRule type="cellIs" dxfId="144" priority="50" operator="lessThanOrEqual">
      <formula>-0.03</formula>
    </cfRule>
  </conditionalFormatting>
  <conditionalFormatting sqref="G9 G10 G11 G12">
    <cfRule type="cellIs" dxfId="143" priority="13" operator="greaterThanOrEqual">
      <formula>0.03</formula>
    </cfRule>
    <cfRule type="cellIs" dxfId="142" priority="14" operator="lessThanOrEqual">
      <formula>-0.03</formula>
    </cfRule>
  </conditionalFormatting>
  <conditionalFormatting sqref="H43 H44 H45 H46">
    <cfRule type="cellIs" dxfId="141" priority="39" operator="greaterThanOrEqual">
      <formula>0.03</formula>
    </cfRule>
    <cfRule type="cellIs" dxfId="140" priority="40" operator="lessThanOrEqual">
      <formula>-0.03</formula>
    </cfRule>
  </conditionalFormatting>
  <conditionalFormatting sqref="H9 H10 H11 H12">
    <cfRule type="cellIs" dxfId="139" priority="5" operator="greaterThanOrEqual">
      <formula>0.03</formula>
    </cfRule>
    <cfRule type="cellIs" dxfId="138" priority="6" operator="lessThanOrEqual">
      <formula>-0.03</formula>
    </cfRule>
  </conditionalFormatting>
  <conditionalFormatting sqref="I43 I44 I45 I46">
    <cfRule type="cellIs" dxfId="137" priority="45" operator="greaterThanOrEqual">
      <formula>0.03</formula>
    </cfRule>
    <cfRule type="cellIs" dxfId="136" priority="46" operator="lessThanOrEqual">
      <formula>-0.03</formula>
    </cfRule>
  </conditionalFormatting>
  <conditionalFormatting sqref="I9 I10 I11 I12">
    <cfRule type="cellIs" dxfId="135" priority="19" operator="greaterThanOrEqual">
      <formula>0.03</formula>
    </cfRule>
    <cfRule type="cellIs" dxfId="134" priority="20" operator="lessThanOrEqual">
      <formula>-0.03</formula>
    </cfRule>
  </conditionalFormatting>
  <conditionalFormatting sqref="J43 J44 J45 J46">
    <cfRule type="cellIs" dxfId="133" priority="41" operator="greaterThanOrEqual">
      <formula>0.03</formula>
    </cfRule>
    <cfRule type="cellIs" dxfId="132" priority="42" operator="lessThanOrEqual">
      <formula>-0.03</formula>
    </cfRule>
  </conditionalFormatting>
  <conditionalFormatting sqref="J9 J10 J11 J12">
    <cfRule type="cellIs" dxfId="131" priority="1" operator="greaterThanOrEqual">
      <formula>0.03</formula>
    </cfRule>
    <cfRule type="cellIs" dxfId="130" priority="2" operator="lessThanOrEqual">
      <formula>-0.03</formula>
    </cfRule>
  </conditionalFormatting>
  <conditionalFormatting sqref="K43 K44 K45 K46">
    <cfRule type="cellIs" dxfId="129" priority="43" operator="greaterThanOrEqual">
      <formula>0.03</formula>
    </cfRule>
    <cfRule type="cellIs" dxfId="128" priority="44" operator="lessThanOrEqual">
      <formula>-0.03</formula>
    </cfRule>
  </conditionalFormatting>
  <conditionalFormatting sqref="K9 K10 K11 K12">
    <cfRule type="cellIs" dxfId="127" priority="17" operator="greaterThanOrEqual">
      <formula>0.03</formula>
    </cfRule>
    <cfRule type="cellIs" dxfId="126" priority="18" operator="lessThanOrEqual">
      <formula>-0.03</formula>
    </cfRule>
  </conditionalFormatting>
  <conditionalFormatting sqref="L43 L44 L45 L46">
    <cfRule type="cellIs" dxfId="125" priority="33" operator="greaterThanOrEqual">
      <formula>0.03</formula>
    </cfRule>
    <cfRule type="cellIs" dxfId="124" priority="34" operator="lessThanOrEqual">
      <formula>-0.03</formula>
    </cfRule>
  </conditionalFormatting>
  <conditionalFormatting sqref="L9 L10 L11 L12">
    <cfRule type="cellIs" dxfId="123" priority="3" operator="greaterThanOrEqual">
      <formula>0.03</formula>
    </cfRule>
    <cfRule type="cellIs" dxfId="12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4.4" x14ac:dyDescent="0.3"/>
  <cols>
    <col min="1" max="1" width="12.6640625" style="76" customWidth="1"/>
    <col min="2" max="2" width="24.6640625" style="76" customWidth="1"/>
    <col min="4" max="4" width="24.6640625" style="76" customWidth="1"/>
    <col min="9" max="9" width="16.6640625" style="76" customWidth="1"/>
  </cols>
  <sheetData>
    <row r="1" spans="1:16" x14ac:dyDescent="0.3">
      <c r="A1" t="s">
        <v>32</v>
      </c>
      <c r="B1" s="7" t="str">
        <f>M1</f>
        <v>C2 lossyG,lossyA,intra</v>
      </c>
      <c r="C1" t="s">
        <v>33</v>
      </c>
      <c r="I1" t="s">
        <v>34</v>
      </c>
      <c r="M1" t="s">
        <v>35</v>
      </c>
      <c r="N1" t="s">
        <v>36</v>
      </c>
      <c r="O1" t="s">
        <v>37</v>
      </c>
      <c r="P1" t="s">
        <v>38</v>
      </c>
    </row>
    <row r="2" spans="1:16" x14ac:dyDescent="0.3">
      <c r="A2" t="s">
        <v>39</v>
      </c>
      <c r="B2" s="7" t="str">
        <f>HLOOKUP(B1,M1:ZZ3,3,0)</f>
        <v>8ivfbv2_loot_vox10</v>
      </c>
      <c r="C2" t="s">
        <v>40</v>
      </c>
      <c r="I2" t="s">
        <v>41</v>
      </c>
      <c r="J2" t="s">
        <v>42</v>
      </c>
      <c r="M2" t="s">
        <v>43</v>
      </c>
      <c r="N2" t="s">
        <v>44</v>
      </c>
      <c r="O2" t="s">
        <v>45</v>
      </c>
      <c r="P2" t="s">
        <v>46</v>
      </c>
    </row>
    <row r="3" spans="1:16" x14ac:dyDescent="0.3">
      <c r="I3" t="s">
        <v>47</v>
      </c>
      <c r="J3" t="s">
        <v>48</v>
      </c>
      <c r="M3" t="s">
        <v>49</v>
      </c>
      <c r="N3" t="s">
        <v>49</v>
      </c>
      <c r="O3" t="s">
        <v>49</v>
      </c>
      <c r="P3" t="s">
        <v>49</v>
      </c>
    </row>
    <row r="4" spans="1:16" x14ac:dyDescent="0.3">
      <c r="A4" t="s">
        <v>50</v>
      </c>
      <c r="B4" s="7" t="s">
        <v>51</v>
      </c>
      <c r="C4" t="s">
        <v>52</v>
      </c>
      <c r="D4" s="7" t="s">
        <v>53</v>
      </c>
      <c r="E4" t="s">
        <v>54</v>
      </c>
      <c r="I4" t="s">
        <v>55</v>
      </c>
      <c r="J4" t="s">
        <v>56</v>
      </c>
      <c r="M4" t="s">
        <v>57</v>
      </c>
      <c r="N4" t="s">
        <v>57</v>
      </c>
      <c r="O4" t="s">
        <v>57</v>
      </c>
      <c r="P4" t="s">
        <v>57</v>
      </c>
    </row>
    <row r="5" spans="1:16" x14ac:dyDescent="0.3">
      <c r="A5" t="s">
        <v>50</v>
      </c>
      <c r="B5" s="7" t="s">
        <v>51</v>
      </c>
      <c r="C5" t="s">
        <v>52</v>
      </c>
      <c r="D5" s="7" t="s">
        <v>58</v>
      </c>
      <c r="E5" t="s">
        <v>59</v>
      </c>
      <c r="I5" t="s">
        <v>60</v>
      </c>
      <c r="J5" t="s">
        <v>61</v>
      </c>
      <c r="M5" t="s">
        <v>62</v>
      </c>
      <c r="N5" t="s">
        <v>62</v>
      </c>
      <c r="O5" t="s">
        <v>62</v>
      </c>
      <c r="P5" t="s">
        <v>62</v>
      </c>
    </row>
    <row r="6" spans="1:16" x14ac:dyDescent="0.3">
      <c r="A6" t="s">
        <v>50</v>
      </c>
      <c r="B6" s="7" t="s">
        <v>63</v>
      </c>
      <c r="C6" t="s">
        <v>52</v>
      </c>
      <c r="D6" s="7" t="s">
        <v>64</v>
      </c>
      <c r="E6" t="s">
        <v>65</v>
      </c>
      <c r="I6" t="s">
        <v>66</v>
      </c>
      <c r="J6" t="s">
        <v>67</v>
      </c>
      <c r="M6" t="s">
        <v>68</v>
      </c>
      <c r="N6" t="s">
        <v>68</v>
      </c>
      <c r="O6" t="s">
        <v>68</v>
      </c>
      <c r="P6" t="s">
        <v>68</v>
      </c>
    </row>
    <row r="7" spans="1:16" x14ac:dyDescent="0.3">
      <c r="A7" t="s">
        <v>50</v>
      </c>
      <c r="B7" s="7" t="s">
        <v>63</v>
      </c>
      <c r="C7" t="s">
        <v>52</v>
      </c>
      <c r="D7" s="7" t="s">
        <v>47</v>
      </c>
      <c r="E7" t="s">
        <v>69</v>
      </c>
      <c r="I7" t="s">
        <v>53</v>
      </c>
      <c r="J7" t="s">
        <v>70</v>
      </c>
      <c r="M7" t="s">
        <v>71</v>
      </c>
      <c r="N7" t="s">
        <v>71</v>
      </c>
      <c r="O7" t="s">
        <v>71</v>
      </c>
      <c r="P7" t="s">
        <v>71</v>
      </c>
    </row>
    <row r="8" spans="1:16" x14ac:dyDescent="0.3">
      <c r="A8" t="s">
        <v>50</v>
      </c>
      <c r="B8" s="7" t="s">
        <v>63</v>
      </c>
      <c r="C8" t="s">
        <v>52</v>
      </c>
      <c r="D8" s="7" t="s">
        <v>60</v>
      </c>
      <c r="E8" t="s">
        <v>72</v>
      </c>
      <c r="I8" t="s">
        <v>73</v>
      </c>
      <c r="J8" t="s">
        <v>74</v>
      </c>
      <c r="M8" t="s">
        <v>75</v>
      </c>
      <c r="N8" t="s">
        <v>75</v>
      </c>
      <c r="O8" t="s">
        <v>75</v>
      </c>
      <c r="P8" t="s">
        <v>75</v>
      </c>
    </row>
    <row r="9" spans="1:16" x14ac:dyDescent="0.3">
      <c r="A9" t="s">
        <v>50</v>
      </c>
      <c r="B9" s="7" t="s">
        <v>76</v>
      </c>
      <c r="C9" t="s">
        <v>52</v>
      </c>
      <c r="D9" s="7" t="s">
        <v>77</v>
      </c>
      <c r="E9" t="s">
        <v>78</v>
      </c>
      <c r="I9" t="s">
        <v>58</v>
      </c>
      <c r="J9" t="s">
        <v>79</v>
      </c>
      <c r="M9" t="s">
        <v>80</v>
      </c>
      <c r="N9" t="s">
        <v>80</v>
      </c>
      <c r="O9" t="s">
        <v>80</v>
      </c>
      <c r="P9" t="s">
        <v>80</v>
      </c>
    </row>
    <row r="10" spans="1:16" x14ac:dyDescent="0.3">
      <c r="I10" t="s">
        <v>81</v>
      </c>
      <c r="J10" t="s">
        <v>82</v>
      </c>
    </row>
    <row r="11" spans="1:16" x14ac:dyDescent="0.3">
      <c r="I11" t="s">
        <v>83</v>
      </c>
      <c r="J11" t="s">
        <v>84</v>
      </c>
    </row>
    <row r="12" spans="1:16" x14ac:dyDescent="0.3">
      <c r="I12" t="s">
        <v>85</v>
      </c>
      <c r="J12" t="s">
        <v>86</v>
      </c>
    </row>
    <row r="13" spans="1:16" x14ac:dyDescent="0.3">
      <c r="I13" t="s">
        <v>87</v>
      </c>
      <c r="J13" t="s">
        <v>88</v>
      </c>
    </row>
    <row r="14" spans="1:16" x14ac:dyDescent="0.3">
      <c r="I14" t="s">
        <v>89</v>
      </c>
      <c r="J14" t="s">
        <v>90</v>
      </c>
    </row>
    <row r="15" spans="1:16" x14ac:dyDescent="0.3">
      <c r="I15" t="s">
        <v>91</v>
      </c>
      <c r="J15" t="s">
        <v>92</v>
      </c>
    </row>
    <row r="16" spans="1:16" x14ac:dyDescent="0.3">
      <c r="I16" t="s">
        <v>93</v>
      </c>
      <c r="J16" t="s">
        <v>94</v>
      </c>
    </row>
    <row r="17" spans="9:10" x14ac:dyDescent="0.3">
      <c r="I17" t="s">
        <v>77</v>
      </c>
      <c r="J17" t="s">
        <v>95</v>
      </c>
    </row>
    <row r="18" spans="9:10" x14ac:dyDescent="0.3">
      <c r="I18" t="s">
        <v>96</v>
      </c>
      <c r="J18" t="s">
        <v>97</v>
      </c>
    </row>
    <row r="19" spans="9:10" x14ac:dyDescent="0.3">
      <c r="I19" t="s">
        <v>98</v>
      </c>
      <c r="J19" t="s">
        <v>99</v>
      </c>
    </row>
    <row r="20" spans="9:10" x14ac:dyDescent="0.3">
      <c r="I20" t="s">
        <v>100</v>
      </c>
      <c r="J20" t="s">
        <v>101</v>
      </c>
    </row>
    <row r="21" spans="9:10" x14ac:dyDescent="0.3">
      <c r="I21" t="s">
        <v>102</v>
      </c>
      <c r="J21" t="s">
        <v>103</v>
      </c>
    </row>
    <row r="22" spans="9:10" x14ac:dyDescent="0.3">
      <c r="I22" t="s">
        <v>64</v>
      </c>
      <c r="J22" t="s">
        <v>104</v>
      </c>
    </row>
    <row r="23" spans="9:10" x14ac:dyDescent="0.3">
      <c r="I23" t="s">
        <v>105</v>
      </c>
      <c r="J23" t="s">
        <v>106</v>
      </c>
    </row>
    <row r="24" spans="9:10" x14ac:dyDescent="0.3">
      <c r="I24" t="s">
        <v>107</v>
      </c>
      <c r="J24" t="s">
        <v>108</v>
      </c>
    </row>
    <row r="25" spans="9:10" x14ac:dyDescent="0.3">
      <c r="I25" t="s">
        <v>109</v>
      </c>
      <c r="J25" t="s">
        <v>110</v>
      </c>
    </row>
    <row r="26" spans="9:10" x14ac:dyDescent="0.3">
      <c r="I26" t="s">
        <v>111</v>
      </c>
      <c r="J26" t="s">
        <v>112</v>
      </c>
    </row>
    <row r="27" spans="9:10" x14ac:dyDescent="0.3">
      <c r="I27" t="s">
        <v>113</v>
      </c>
      <c r="J27" t="s">
        <v>114</v>
      </c>
    </row>
    <row r="28" spans="9:10" x14ac:dyDescent="0.3">
      <c r="I28" t="s">
        <v>115</v>
      </c>
      <c r="J28" t="s">
        <v>116</v>
      </c>
    </row>
    <row r="29" spans="9:10" x14ac:dyDescent="0.3">
      <c r="I29" t="s">
        <v>117</v>
      </c>
      <c r="J29" t="s">
        <v>118</v>
      </c>
    </row>
    <row r="30" spans="9:10" x14ac:dyDescent="0.3">
      <c r="I30" t="s">
        <v>119</v>
      </c>
      <c r="J30" t="s">
        <v>120</v>
      </c>
    </row>
    <row r="31" spans="9:10" x14ac:dyDescent="0.3">
      <c r="I31" t="s">
        <v>121</v>
      </c>
      <c r="J31" t="s">
        <v>122</v>
      </c>
    </row>
    <row r="32" spans="9:10" x14ac:dyDescent="0.3">
      <c r="I32" t="s">
        <v>123</v>
      </c>
      <c r="J32" t="s">
        <v>124</v>
      </c>
    </row>
    <row r="33" spans="9:10" x14ac:dyDescent="0.3">
      <c r="I33" t="s">
        <v>125</v>
      </c>
      <c r="J33" t="s">
        <v>126</v>
      </c>
    </row>
    <row r="34" spans="9:10" x14ac:dyDescent="0.3">
      <c r="I34" t="s">
        <v>127</v>
      </c>
      <c r="J34" t="s">
        <v>128</v>
      </c>
    </row>
    <row r="35" spans="9:10" x14ac:dyDescent="0.3">
      <c r="I35" t="s">
        <v>63</v>
      </c>
      <c r="J35" t="s">
        <v>129</v>
      </c>
    </row>
    <row r="36" spans="9:10" x14ac:dyDescent="0.3">
      <c r="I36" t="s">
        <v>51</v>
      </c>
      <c r="J36" t="s">
        <v>130</v>
      </c>
    </row>
    <row r="37" spans="9:10" x14ac:dyDescent="0.3">
      <c r="I37" t="s">
        <v>131</v>
      </c>
      <c r="J37" t="s">
        <v>132</v>
      </c>
    </row>
    <row r="38" spans="9:10" x14ac:dyDescent="0.3">
      <c r="I38" t="s">
        <v>76</v>
      </c>
      <c r="J38" t="s">
        <v>133</v>
      </c>
    </row>
    <row r="39" spans="9:10" x14ac:dyDescent="0.3">
      <c r="I39" t="s">
        <v>134</v>
      </c>
      <c r="J39" t="s">
        <v>135</v>
      </c>
    </row>
  </sheetData>
  <conditionalFormatting sqref="B2">
    <cfRule type="expression" dxfId="121" priority="1">
      <formula>ISNA(MATCH(B2,OFFSET(M:M,2,MATCH(B1,M1:ZZ1,0)-1,COUNTA(INDEX(M:ZZ,,MATCH(B1,M1:ZZ1,0)))-2),0))</formula>
    </cfRule>
  </conditionalFormatting>
  <conditionalFormatting sqref="B4 D4 B5 D5 B6 D6 B7 D7 B8 D8 B9 D9">
    <cfRule type="expression" dxfId="12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AN5" sqref="AN5:BC39"/>
    </sheetView>
  </sheetViews>
  <sheetFormatPr defaultRowHeight="14.4" outlineLevelRow="2" x14ac:dyDescent="0.3"/>
  <cols>
    <col min="2" max="2" width="24.6640625" style="76" customWidth="1"/>
    <col min="4" max="5" width="10.6640625" style="76" customWidth="1"/>
    <col min="8" max="8" width="1.6640625" style="76" customWidth="1"/>
    <col min="10" max="13" width="10.6640625" style="76" customWidth="1"/>
    <col min="14" max="14" width="24.6640625" style="76" hidden="1" customWidth="1"/>
    <col min="15" max="15" width="12.6640625" style="76" customWidth="1"/>
    <col min="16" max="16" width="10.6640625" style="76" customWidth="1"/>
    <col min="19" max="22" width="12.6640625" style="76" customWidth="1"/>
    <col min="23" max="27" width="11.6640625" style="76" customWidth="1"/>
    <col min="32" max="32" width="1.6640625" style="76" customWidth="1"/>
    <col min="34" max="37" width="10.6640625" style="76" customWidth="1"/>
    <col min="38" max="38" width="24.6640625" style="76" hidden="1" customWidth="1"/>
    <col min="39" max="39" width="12.6640625" style="76" customWidth="1"/>
    <col min="40" max="40" width="10.6640625" style="76" customWidth="1"/>
    <col min="43" max="46" width="12.6640625" style="76" customWidth="1"/>
    <col min="47" max="51" width="11.6640625" style="76" customWidth="1"/>
    <col min="56" max="56" width="1.6640625" style="76" customWidth="1"/>
    <col min="61" max="61" width="1.6640625" style="76" customWidth="1"/>
    <col min="64" max="66" width="11.6640625" style="76" customWidth="1"/>
    <col min="67" max="67" width="1.6640625" style="76" customWidth="1"/>
    <col min="70" max="72" width="11.6640625" style="76" customWidth="1"/>
    <col min="73" max="73" width="1.6640625" style="76" customWidth="1"/>
  </cols>
  <sheetData>
    <row r="1" spans="1:72" x14ac:dyDescent="0.3">
      <c r="A1" s="168" t="s">
        <v>136</v>
      </c>
      <c r="B1" s="156"/>
      <c r="C1" s="156"/>
      <c r="D1" s="156"/>
      <c r="E1" s="156"/>
      <c r="F1" s="156"/>
      <c r="G1" s="156"/>
      <c r="I1" s="164" t="str">
        <f>Summary!$C$1</f>
        <v>ALL_master+r8.0</v>
      </c>
      <c r="J1" s="156"/>
      <c r="K1" s="156"/>
      <c r="L1" s="156"/>
      <c r="M1" s="156"/>
      <c r="N1" s="156"/>
      <c r="O1" s="156"/>
      <c r="P1" s="156"/>
      <c r="Q1" s="156"/>
      <c r="R1" s="156"/>
      <c r="S1" s="156"/>
      <c r="T1" s="156"/>
      <c r="U1" s="156"/>
      <c r="V1" s="156"/>
      <c r="W1" s="156"/>
      <c r="X1" s="156"/>
      <c r="Y1" s="156"/>
      <c r="Z1" s="156"/>
      <c r="AA1" s="156"/>
      <c r="AB1" s="156"/>
      <c r="AC1" s="156"/>
      <c r="AD1" s="156"/>
      <c r="AE1" s="156"/>
      <c r="AG1" s="165">
        <f>Summary!$C$2</f>
        <v>0</v>
      </c>
      <c r="AH1" s="156"/>
      <c r="AI1" s="156"/>
      <c r="AJ1" s="156"/>
      <c r="AK1" s="156"/>
      <c r="AL1" s="156"/>
      <c r="AM1" s="156"/>
      <c r="AN1" s="156"/>
      <c r="AO1" s="156"/>
      <c r="AP1" s="156"/>
      <c r="AQ1" s="156"/>
      <c r="AR1" s="156"/>
      <c r="AS1" s="156"/>
      <c r="AT1" s="156"/>
      <c r="AU1" s="156"/>
      <c r="AV1" s="156"/>
      <c r="AW1" s="156"/>
      <c r="AX1" s="156"/>
      <c r="AY1" s="156"/>
      <c r="AZ1" s="156"/>
      <c r="BA1" s="156"/>
      <c r="BB1" s="156"/>
      <c r="BC1" s="156"/>
    </row>
    <row r="2" spans="1:72" ht="30" customHeight="1" x14ac:dyDescent="0.3">
      <c r="A2" s="170" t="s">
        <v>137</v>
      </c>
      <c r="B2" s="169" t="s">
        <v>138</v>
      </c>
      <c r="C2" s="170" t="s">
        <v>139</v>
      </c>
      <c r="D2" s="169" t="s">
        <v>140</v>
      </c>
      <c r="E2" s="170" t="s">
        <v>141</v>
      </c>
      <c r="F2" s="169" t="s">
        <v>142</v>
      </c>
      <c r="G2" s="170" t="s">
        <v>143</v>
      </c>
      <c r="I2" s="169" t="s">
        <v>144</v>
      </c>
      <c r="J2" s="167" t="s">
        <v>145</v>
      </c>
      <c r="K2" s="156"/>
      <c r="L2" s="156"/>
      <c r="M2" s="156"/>
      <c r="N2" s="170" t="s">
        <v>146</v>
      </c>
      <c r="O2" s="169" t="s">
        <v>147</v>
      </c>
      <c r="P2" s="170" t="s">
        <v>84</v>
      </c>
      <c r="Q2" s="169" t="s">
        <v>86</v>
      </c>
      <c r="R2" s="170" t="s">
        <v>82</v>
      </c>
      <c r="S2" s="166" t="s">
        <v>148</v>
      </c>
      <c r="T2" s="156"/>
      <c r="U2" s="156"/>
      <c r="V2" s="156"/>
      <c r="W2" s="167" t="s">
        <v>149</v>
      </c>
      <c r="X2" s="156"/>
      <c r="Y2" s="166" t="s">
        <v>150</v>
      </c>
      <c r="Z2" s="156"/>
      <c r="AA2" s="156"/>
      <c r="AB2" s="167" t="s">
        <v>151</v>
      </c>
      <c r="AC2" s="156"/>
      <c r="AD2" s="166" t="s">
        <v>152</v>
      </c>
      <c r="AE2" s="156"/>
      <c r="AG2" s="170" t="s">
        <v>144</v>
      </c>
      <c r="AH2" s="166" t="s">
        <v>145</v>
      </c>
      <c r="AI2" s="156"/>
      <c r="AJ2" s="156"/>
      <c r="AK2" s="156"/>
      <c r="AL2" s="169" t="s">
        <v>153</v>
      </c>
      <c r="AM2" s="170" t="s">
        <v>147</v>
      </c>
      <c r="AN2" s="169" t="s">
        <v>84</v>
      </c>
      <c r="AO2" s="170" t="s">
        <v>86</v>
      </c>
      <c r="AP2" s="169" t="s">
        <v>82</v>
      </c>
      <c r="AQ2" s="167" t="s">
        <v>148</v>
      </c>
      <c r="AR2" s="156"/>
      <c r="AS2" s="156"/>
      <c r="AT2" s="156"/>
      <c r="AU2" s="166" t="s">
        <v>149</v>
      </c>
      <c r="AV2" s="156"/>
      <c r="AW2" s="167" t="s">
        <v>150</v>
      </c>
      <c r="AX2" s="156"/>
      <c r="AY2" s="156"/>
      <c r="AZ2" s="166" t="s">
        <v>151</v>
      </c>
      <c r="BA2" s="156"/>
      <c r="BB2" s="167" t="s">
        <v>152</v>
      </c>
      <c r="BC2" s="156"/>
      <c r="BE2" s="169" t="s">
        <v>154</v>
      </c>
      <c r="BF2" s="170" t="s">
        <v>155</v>
      </c>
      <c r="BG2" s="169" t="s">
        <v>156</v>
      </c>
      <c r="BH2" s="170" t="s">
        <v>156</v>
      </c>
      <c r="BJ2" s="166" t="s">
        <v>5</v>
      </c>
      <c r="BK2" s="156"/>
      <c r="BL2" s="167" t="s">
        <v>6</v>
      </c>
      <c r="BM2" s="156"/>
      <c r="BN2" s="156"/>
      <c r="BP2" s="166" t="s">
        <v>7</v>
      </c>
      <c r="BQ2" s="156"/>
      <c r="BR2" s="167" t="s">
        <v>8</v>
      </c>
      <c r="BS2" s="156"/>
      <c r="BT2" s="156"/>
    </row>
    <row r="3" spans="1:72" x14ac:dyDescent="0.3">
      <c r="A3" s="158"/>
      <c r="B3" s="158"/>
      <c r="C3" s="158"/>
      <c r="D3" s="158"/>
      <c r="E3" s="158"/>
      <c r="F3" s="158"/>
      <c r="G3" s="158"/>
      <c r="I3" s="158"/>
      <c r="J3" s="152" t="s">
        <v>25</v>
      </c>
      <c r="K3" s="152" t="s">
        <v>23</v>
      </c>
      <c r="L3" s="152" t="s">
        <v>157</v>
      </c>
      <c r="M3" s="152" t="s">
        <v>158</v>
      </c>
      <c r="N3" s="158"/>
      <c r="O3" s="158"/>
      <c r="P3" s="158"/>
      <c r="Q3" s="158"/>
      <c r="R3" s="158"/>
      <c r="S3" s="153" t="s">
        <v>25</v>
      </c>
      <c r="T3" s="153" t="s">
        <v>157</v>
      </c>
      <c r="U3" s="153" t="s">
        <v>159</v>
      </c>
      <c r="V3" s="153" t="s">
        <v>24</v>
      </c>
      <c r="W3" s="152" t="s">
        <v>9</v>
      </c>
      <c r="X3" s="152" t="s">
        <v>10</v>
      </c>
      <c r="Y3" s="153" t="s">
        <v>11</v>
      </c>
      <c r="Z3" s="153" t="s">
        <v>12</v>
      </c>
      <c r="AA3" s="153" t="s">
        <v>13</v>
      </c>
      <c r="AB3" s="152" t="s">
        <v>160</v>
      </c>
      <c r="AC3" s="152" t="s">
        <v>161</v>
      </c>
      <c r="AD3" s="153" t="s">
        <v>160</v>
      </c>
      <c r="AE3" s="153" t="s">
        <v>161</v>
      </c>
      <c r="AG3" s="158"/>
      <c r="AH3" s="153" t="s">
        <v>25</v>
      </c>
      <c r="AI3" s="153" t="s">
        <v>23</v>
      </c>
      <c r="AJ3" s="153" t="s">
        <v>157</v>
      </c>
      <c r="AK3" s="153" t="s">
        <v>158</v>
      </c>
      <c r="AL3" s="158"/>
      <c r="AM3" s="158"/>
      <c r="AN3" s="158"/>
      <c r="AO3" s="158"/>
      <c r="AP3" s="158"/>
      <c r="AQ3" s="152" t="s">
        <v>25</v>
      </c>
      <c r="AR3" s="152" t="s">
        <v>157</v>
      </c>
      <c r="AS3" s="152" t="s">
        <v>159</v>
      </c>
      <c r="AT3" s="152" t="s">
        <v>24</v>
      </c>
      <c r="AU3" s="153" t="s">
        <v>9</v>
      </c>
      <c r="AV3" s="153" t="s">
        <v>10</v>
      </c>
      <c r="AW3" s="152" t="s">
        <v>11</v>
      </c>
      <c r="AX3" s="152" t="s">
        <v>12</v>
      </c>
      <c r="AY3" s="152" t="s">
        <v>13</v>
      </c>
      <c r="AZ3" s="153" t="s">
        <v>160</v>
      </c>
      <c r="BA3" s="153" t="s">
        <v>161</v>
      </c>
      <c r="BB3" s="152" t="s">
        <v>160</v>
      </c>
      <c r="BC3" s="152" t="s">
        <v>161</v>
      </c>
      <c r="BE3" s="158"/>
      <c r="BF3" s="158"/>
      <c r="BG3" s="158"/>
      <c r="BH3" s="158"/>
      <c r="BJ3" s="153" t="s">
        <v>9</v>
      </c>
      <c r="BK3" s="153" t="s">
        <v>10</v>
      </c>
      <c r="BL3" s="152" t="s">
        <v>11</v>
      </c>
      <c r="BM3" s="152" t="s">
        <v>12</v>
      </c>
      <c r="BN3" s="152" t="s">
        <v>13</v>
      </c>
      <c r="BP3" s="153" t="s">
        <v>9</v>
      </c>
      <c r="BQ3" s="153" t="s">
        <v>10</v>
      </c>
      <c r="BR3" s="152" t="s">
        <v>11</v>
      </c>
      <c r="BS3" s="152" t="s">
        <v>12</v>
      </c>
      <c r="BT3" s="152"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129" t="s">
        <v>229</v>
      </c>
      <c r="B5" s="129" t="s">
        <v>49</v>
      </c>
      <c r="C5" s="10" t="s">
        <v>230</v>
      </c>
      <c r="D5" s="129">
        <v>238146391</v>
      </c>
      <c r="E5" s="10">
        <v>10</v>
      </c>
      <c r="F5" s="10">
        <v>32</v>
      </c>
      <c r="G5" s="10">
        <v>30</v>
      </c>
      <c r="I5" s="11">
        <f t="shared" ref="I5:I39" si="0">IF(OR(ISBLANK(S5),ISBLANK(G5)),"·",S5*G5/F5/1000000)</f>
        <v>2.1746025000000002</v>
      </c>
      <c r="J5" s="12">
        <f t="shared" ref="J5:J39" si="1">IF(ISBLANK(S5),"·",S5/D5)</f>
        <v>9.7401266097708779E-3</v>
      </c>
      <c r="K5" s="12">
        <f t="shared" ref="K5:K39" si="2">IF(N5="","·",N5/D5)</f>
        <v>6.1615882308289948E-3</v>
      </c>
      <c r="L5" s="12">
        <f t="shared" ref="L5:L39" si="3">IF(T5="","·",T5/D5)</f>
        <v>3.5272086067430685E-3</v>
      </c>
      <c r="M5" s="12">
        <f t="shared" ref="M5:M39" si="4">IF(ISBLANK(V5),"·",V5/D5)</f>
        <v>3.5785383789418835E-3</v>
      </c>
      <c r="N5" s="129">
        <f t="shared" ref="N5:N39" si="5">IF(OR(ISBLANK(T5),ISBLANK(U5)),"",T5+U5)</f>
        <v>1467360</v>
      </c>
      <c r="O5" s="12">
        <v>16</v>
      </c>
      <c r="P5" s="13">
        <v>21785839</v>
      </c>
      <c r="Q5" s="13">
        <v>680807.46875</v>
      </c>
      <c r="R5" s="13">
        <v>13493.8125</v>
      </c>
      <c r="S5" s="14">
        <v>2319576</v>
      </c>
      <c r="T5" s="14">
        <v>839992</v>
      </c>
      <c r="U5" s="14">
        <v>627368</v>
      </c>
      <c r="V5" s="14">
        <v>852216</v>
      </c>
      <c r="W5" s="15">
        <v>66.354628125000005</v>
      </c>
      <c r="X5" s="15">
        <v>68.478525000000005</v>
      </c>
      <c r="Y5" s="15">
        <v>32.104728125000001</v>
      </c>
      <c r="Z5" s="15">
        <v>44.160262500000002</v>
      </c>
      <c r="AA5" s="15">
        <v>43.841843750000002</v>
      </c>
      <c r="AB5" s="16">
        <v>3600.23</v>
      </c>
      <c r="AC5" s="16">
        <v>1675.17</v>
      </c>
      <c r="AD5" s="16">
        <v>48.868000000000002</v>
      </c>
      <c r="AE5" s="16">
        <v>28.306999999999999</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129" t="str">
        <f t="shared" ref="AL5:AL39" si="11">IF(OR(ISBLANK(AR5),ISBLANK(AS5)),"",AR5+AS5)</f>
        <v/>
      </c>
      <c r="AM5" s="12">
        <v>16</v>
      </c>
      <c r="AN5" s="13"/>
      <c r="AO5" s="13"/>
      <c r="AP5" s="13"/>
      <c r="AQ5" s="14"/>
      <c r="AR5" s="14"/>
      <c r="AS5" s="14"/>
      <c r="AT5" s="14"/>
      <c r="AU5" s="15"/>
      <c r="AV5" s="15"/>
      <c r="AW5" s="15"/>
      <c r="AX5" s="15"/>
      <c r="AY5" s="15"/>
      <c r="AZ5" s="16"/>
      <c r="BA5" s="16"/>
      <c r="BB5" s="16"/>
      <c r="BC5" s="16"/>
      <c r="BE5" s="62" t="e">
        <f t="shared" ref="BE5:BE43" si="12">AI5/K5</f>
        <v>#VALUE!</v>
      </c>
      <c r="BF5" s="17" t="e">
        <f t="shared" ref="BF5:BF39" si="13">(AP5/AO5) - (R5/Q5)</f>
        <v>#DIV/0!</v>
      </c>
      <c r="BG5" s="17" t="e">
        <f t="shared" ref="BG5:BG39" si="14">(AL5/AQ5) - (N5/S5)</f>
        <v>#VALUE!</v>
      </c>
      <c r="BH5" s="17" t="e">
        <f t="array" ref="BH5">AVERAGE(AL5:AL9/AQ5:AQ9) - AVERAGE(N5:N9/S5:S9)</f>
        <v>#VALUE!</v>
      </c>
      <c r="BJ5" s="62" t="str">
        <f>IF( OR(ISBLANK(N5:N9),ISBLANK(AL5:AL9), ISBLANK(W5:W9),ISBLANK(AU5:AU9)), "·", bdRateExtend( N5:N9,W5:W9, AL5:AL9,AU5:AU9))</f>
        <v>·</v>
      </c>
      <c r="BK5" s="62" t="str">
        <f>IF( OR(ISBLANK(N5:N9),ISBLANK(AL5:AL9), ISBLANK(X5:X9),ISBLANK(AV5:AV9)), "·", bdRateExtend( N5:N9,X5:X9, AL5:AL9,AV5:AV9))</f>
        <v>·</v>
      </c>
      <c r="BL5" s="62" t="str">
        <f>IF( OR(ISBLANK(V5:V9),ISBLANK(AT5:AT9), ISBLANK(Y5:Y9),ISBLANK(AW5:AW9)), "·", bdRateExtend( V5:V9,Y5:Y9, AT5:AT9,AW5:AW9))</f>
        <v>·</v>
      </c>
      <c r="BM5" s="62" t="str">
        <f>IF( OR(ISBLANK(V5:V9),ISBLANK(AT5:AT9), ISBLANK(Z5:Z9),ISBLANK(AX5:AX9)), "·", bdRateExtend( V5:V9,Z5:Z9, AT5:AT9,AX5:AX9))</f>
        <v>·</v>
      </c>
      <c r="BN5" s="62" t="str">
        <f>IF( OR(ISBLANK(V5:V9),ISBLANK(AT5:AT9), ISBLANK(AA5:AA9),ISBLANK(AY5:AY9)), "·", bdRateExtend( V5:V9,AA5:AA9, AT5:AT9,AY5:AY9))</f>
        <v>·</v>
      </c>
      <c r="BP5" s="62" t="str">
        <f>IF( OR(ISBLANK(S5:S9),ISBLANK(AQ5:AQ9), ISBLANK(W5:W9),ISBLANK(AU5:AU9)), "·", bdRateExtend( S5:S9,W5:W9, AQ5:AQ9,AU5:AU9))</f>
        <v>·</v>
      </c>
      <c r="BQ5" s="62" t="str">
        <f>IF( OR(ISBLANK(S5:S9),ISBLANK(AQ5:AQ9), ISBLANK(X5:X9),ISBLANK(AV5:AV9)), "·", bdRateExtend( S5:S9,X5:X9, AQ5:AQ9,AV5:AV9))</f>
        <v>·</v>
      </c>
      <c r="BR5" s="62" t="str">
        <f>IF( OR(ISBLANK(S5:S9),ISBLANK(AQ5:AQ9), ISBLANK(Y5:Y9),ISBLANK(AW5:AW9)), "·", bdRateExtend( S5:S9,Y5:Y9, AQ5:AQ9,AW5:AW9))</f>
        <v>·</v>
      </c>
      <c r="BS5" s="62" t="str">
        <f>IF( OR(ISBLANK(S5:S9),ISBLANK(AQ5:AQ9), ISBLANK(Z5:Z9),ISBLANK(AX5:AX9)), "·", bdRateExtend( S5:S9,Z5:Z9, AQ5:AQ9,AX5:AX9))</f>
        <v>·</v>
      </c>
      <c r="BT5" s="62" t="str">
        <f>IF( OR(ISBLANK(S5:S9),ISBLANK(AQ5:AQ9), ISBLANK(AA5:AA9),ISBLANK(AY5:AY9)), "·", bdRateExtend( S5:S9,AA5:AA9, AQ5:AQ9,AY5:AY9))</f>
        <v>·</v>
      </c>
    </row>
    <row r="6" spans="1:72" outlineLevel="1" x14ac:dyDescent="0.3">
      <c r="A6" s="18"/>
      <c r="B6" s="18" t="s">
        <v>49</v>
      </c>
      <c r="C6" s="19" t="s">
        <v>231</v>
      </c>
      <c r="D6" s="18">
        <v>238146391</v>
      </c>
      <c r="E6" s="19">
        <v>10</v>
      </c>
      <c r="F6" s="19">
        <v>32</v>
      </c>
      <c r="G6" s="19">
        <v>30</v>
      </c>
      <c r="I6" s="20">
        <f t="shared" si="0"/>
        <v>3.3904125000000001</v>
      </c>
      <c r="J6" s="21">
        <f t="shared" si="1"/>
        <v>1.5185785452444669E-2</v>
      </c>
      <c r="K6" s="21">
        <f t="shared" si="2"/>
        <v>7.5257911424742099E-3</v>
      </c>
      <c r="L6" s="21">
        <f t="shared" si="3"/>
        <v>4.8914115183882837E-3</v>
      </c>
      <c r="M6" s="21">
        <f t="shared" si="4"/>
        <v>7.6599943099704589E-3</v>
      </c>
      <c r="N6" s="18">
        <f t="shared" si="5"/>
        <v>1792240</v>
      </c>
      <c r="O6" s="21">
        <v>16</v>
      </c>
      <c r="P6" s="22">
        <v>24191962</v>
      </c>
      <c r="Q6" s="22">
        <v>755998.8125</v>
      </c>
      <c r="R6" s="22">
        <v>19085.96875</v>
      </c>
      <c r="S6" s="23">
        <v>3616440</v>
      </c>
      <c r="T6" s="23">
        <v>1164872</v>
      </c>
      <c r="U6" s="23">
        <v>627368</v>
      </c>
      <c r="V6" s="23">
        <v>1824200</v>
      </c>
      <c r="W6" s="24">
        <v>68.255978124999999</v>
      </c>
      <c r="X6" s="24">
        <v>70.438459374999994</v>
      </c>
      <c r="Y6" s="24">
        <v>34.355628125000003</v>
      </c>
      <c r="Z6" s="24">
        <v>45.457171875</v>
      </c>
      <c r="AA6" s="24">
        <v>45.25540625</v>
      </c>
      <c r="AB6" s="25">
        <v>3609.81</v>
      </c>
      <c r="AC6" s="25">
        <v>1775.38</v>
      </c>
      <c r="AD6" s="25">
        <v>54.18</v>
      </c>
      <c r="AE6" s="25">
        <v>28.832000000000001</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8" t="e">
        <f t="shared" si="12"/>
        <v>#VALUE!</v>
      </c>
      <c r="BF6" s="26" t="e">
        <f t="shared" si="13"/>
        <v>#DIV/0!</v>
      </c>
      <c r="BG6" s="26" t="e">
        <f t="shared" si="14"/>
        <v>#VALUE!</v>
      </c>
      <c r="BH6" s="26"/>
      <c r="BJ6" s="58"/>
      <c r="BK6" s="58"/>
      <c r="BL6" s="58"/>
      <c r="BM6" s="58"/>
      <c r="BN6" s="58"/>
      <c r="BP6" s="58"/>
      <c r="BQ6" s="58"/>
      <c r="BR6" s="58"/>
      <c r="BS6" s="58"/>
      <c r="BT6" s="58"/>
    </row>
    <row r="7" spans="1:72" outlineLevel="1" x14ac:dyDescent="0.3">
      <c r="A7" s="129"/>
      <c r="B7" s="129" t="s">
        <v>49</v>
      </c>
      <c r="C7" s="10" t="s">
        <v>232</v>
      </c>
      <c r="D7" s="129">
        <v>238146391</v>
      </c>
      <c r="E7" s="10">
        <v>10</v>
      </c>
      <c r="F7" s="10">
        <v>32</v>
      </c>
      <c r="G7" s="10">
        <v>30</v>
      </c>
      <c r="I7" s="11">
        <f t="shared" si="0"/>
        <v>5.566065</v>
      </c>
      <c r="J7" s="12">
        <f t="shared" si="1"/>
        <v>2.4930615051814917E-2</v>
      </c>
      <c r="K7" s="12">
        <f t="shared" si="2"/>
        <v>9.4730975788753398E-3</v>
      </c>
      <c r="L7" s="12">
        <f t="shared" si="3"/>
        <v>6.8387179547894136E-3</v>
      </c>
      <c r="M7" s="12">
        <f t="shared" si="4"/>
        <v>1.5457517472939575E-2</v>
      </c>
      <c r="N7" s="129">
        <f t="shared" si="5"/>
        <v>2255984</v>
      </c>
      <c r="O7" s="12">
        <v>16</v>
      </c>
      <c r="P7" s="13">
        <v>24808216</v>
      </c>
      <c r="Q7" s="13">
        <v>775256.75</v>
      </c>
      <c r="R7" s="13">
        <v>20954.78125</v>
      </c>
      <c r="S7" s="14">
        <v>5937136</v>
      </c>
      <c r="T7" s="14">
        <v>1628616</v>
      </c>
      <c r="U7" s="14">
        <v>627368</v>
      </c>
      <c r="V7" s="14">
        <v>3681152</v>
      </c>
      <c r="W7" s="15">
        <v>69.683724999999995</v>
      </c>
      <c r="X7" s="15">
        <v>72.129403124999996</v>
      </c>
      <c r="Y7" s="15">
        <v>36.897065625000003</v>
      </c>
      <c r="Z7" s="15">
        <v>46.589962499999999</v>
      </c>
      <c r="AA7" s="15">
        <v>46.485678125</v>
      </c>
      <c r="AB7" s="16">
        <v>3607.94</v>
      </c>
      <c r="AC7" s="16">
        <v>1860.97</v>
      </c>
      <c r="AD7" s="16">
        <v>55.927</v>
      </c>
      <c r="AE7" s="16">
        <v>29.117000000000001</v>
      </c>
      <c r="AG7" s="11" t="str">
        <f t="shared" si="6"/>
        <v>·</v>
      </c>
      <c r="AH7" s="12" t="str">
        <f t="shared" si="7"/>
        <v>·</v>
      </c>
      <c r="AI7" s="12" t="str">
        <f t="shared" si="8"/>
        <v>·</v>
      </c>
      <c r="AJ7" s="12" t="str">
        <f t="shared" si="9"/>
        <v>·</v>
      </c>
      <c r="AK7" s="12" t="str">
        <f t="shared" si="10"/>
        <v>·</v>
      </c>
      <c r="AL7" s="129" t="str">
        <f t="shared" si="11"/>
        <v/>
      </c>
      <c r="AM7" s="12">
        <v>16</v>
      </c>
      <c r="AN7" s="13"/>
      <c r="AO7" s="13"/>
      <c r="AP7" s="13"/>
      <c r="AQ7" s="14"/>
      <c r="AR7" s="14"/>
      <c r="AS7" s="14"/>
      <c r="AT7" s="14"/>
      <c r="AU7" s="15"/>
      <c r="AV7" s="15"/>
      <c r="AW7" s="15"/>
      <c r="AX7" s="15"/>
      <c r="AY7" s="15"/>
      <c r="AZ7" s="16"/>
      <c r="BA7" s="16"/>
      <c r="BB7" s="16"/>
      <c r="BC7" s="16"/>
      <c r="BE7" s="62" t="e">
        <f t="shared" si="12"/>
        <v>#VALUE!</v>
      </c>
      <c r="BF7" s="17" t="e">
        <f t="shared" si="13"/>
        <v>#DIV/0!</v>
      </c>
      <c r="BG7" s="17" t="e">
        <f t="shared" si="14"/>
        <v>#VALUE!</v>
      </c>
      <c r="BH7" s="17"/>
      <c r="BJ7" s="62"/>
      <c r="BK7" s="62"/>
      <c r="BL7" s="62"/>
      <c r="BM7" s="62"/>
      <c r="BN7" s="62"/>
      <c r="BP7" s="62"/>
      <c r="BQ7" s="62"/>
      <c r="BR7" s="62"/>
      <c r="BS7" s="62"/>
      <c r="BT7" s="62"/>
    </row>
    <row r="8" spans="1:72" outlineLevel="1" x14ac:dyDescent="0.3">
      <c r="A8" s="18"/>
      <c r="B8" s="18" t="s">
        <v>49</v>
      </c>
      <c r="C8" s="19" t="s">
        <v>233</v>
      </c>
      <c r="D8" s="18">
        <v>238146391</v>
      </c>
      <c r="E8" s="19">
        <v>10</v>
      </c>
      <c r="F8" s="19">
        <v>32</v>
      </c>
      <c r="G8" s="19">
        <v>30</v>
      </c>
      <c r="I8" s="20">
        <f t="shared" si="0"/>
        <v>9.4302375000000005</v>
      </c>
      <c r="J8" s="21">
        <f t="shared" si="1"/>
        <v>4.2238389411494374E-2</v>
      </c>
      <c r="K8" s="21">
        <f t="shared" si="2"/>
        <v>1.2735124757779765E-2</v>
      </c>
      <c r="L8" s="21">
        <f t="shared" si="3"/>
        <v>1.0100745133693839E-2</v>
      </c>
      <c r="M8" s="21">
        <f t="shared" si="4"/>
        <v>2.9503264653714615E-2</v>
      </c>
      <c r="N8" s="18">
        <f t="shared" si="5"/>
        <v>3032824</v>
      </c>
      <c r="O8" s="21">
        <v>16</v>
      </c>
      <c r="P8" s="22">
        <v>25797809</v>
      </c>
      <c r="Q8" s="22">
        <v>806181.53125</v>
      </c>
      <c r="R8" s="22">
        <v>24199.8125</v>
      </c>
      <c r="S8" s="23">
        <v>10058920</v>
      </c>
      <c r="T8" s="23">
        <v>2405456</v>
      </c>
      <c r="U8" s="23">
        <v>627368</v>
      </c>
      <c r="V8" s="23">
        <v>7026096</v>
      </c>
      <c r="W8" s="24">
        <v>70.836840624999994</v>
      </c>
      <c r="X8" s="24">
        <v>73.406981250000001</v>
      </c>
      <c r="Y8" s="24">
        <v>39.525215625000001</v>
      </c>
      <c r="Z8" s="24">
        <v>47.905425000000001</v>
      </c>
      <c r="AA8" s="24">
        <v>47.942124999999997</v>
      </c>
      <c r="AB8" s="25">
        <v>3616.34</v>
      </c>
      <c r="AC8" s="25">
        <v>1989.23</v>
      </c>
      <c r="AD8" s="25">
        <v>57.783999999999999</v>
      </c>
      <c r="AE8" s="25">
        <v>30.655000000000001</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8" t="e">
        <f t="shared" si="12"/>
        <v>#VALUE!</v>
      </c>
      <c r="BF8" s="26" t="e">
        <f t="shared" si="13"/>
        <v>#DIV/0!</v>
      </c>
      <c r="BG8" s="26" t="e">
        <f t="shared" si="14"/>
        <v>#VALUE!</v>
      </c>
      <c r="BH8" s="26"/>
      <c r="BJ8" s="58"/>
      <c r="BK8" s="58"/>
      <c r="BL8" s="58"/>
      <c r="BM8" s="58"/>
      <c r="BN8" s="58"/>
      <c r="BP8" s="58"/>
      <c r="BQ8" s="58"/>
      <c r="BR8" s="58"/>
      <c r="BS8" s="58"/>
      <c r="BT8" s="58"/>
    </row>
    <row r="9" spans="1:72" outlineLevel="1" x14ac:dyDescent="0.3">
      <c r="A9" s="129"/>
      <c r="B9" s="27" t="s">
        <v>49</v>
      </c>
      <c r="C9" s="28" t="s">
        <v>234</v>
      </c>
      <c r="D9" s="27">
        <v>238146391</v>
      </c>
      <c r="E9" s="28">
        <v>10</v>
      </c>
      <c r="F9" s="28">
        <v>32</v>
      </c>
      <c r="G9" s="28">
        <v>30</v>
      </c>
      <c r="I9" s="29">
        <f t="shared" si="0"/>
        <v>16.8077775</v>
      </c>
      <c r="J9" s="30">
        <f t="shared" si="1"/>
        <v>7.5282669305704486E-2</v>
      </c>
      <c r="K9" s="30">
        <f t="shared" si="2"/>
        <v>2.0640346382574407E-2</v>
      </c>
      <c r="L9" s="30">
        <f t="shared" si="3"/>
        <v>1.5547781280464586E-2</v>
      </c>
      <c r="M9" s="30">
        <f t="shared" si="4"/>
        <v>5.4642322923130086E-2</v>
      </c>
      <c r="N9" s="27">
        <f t="shared" si="5"/>
        <v>4915424</v>
      </c>
      <c r="O9" s="30">
        <v>16</v>
      </c>
      <c r="P9" s="31">
        <v>24868389</v>
      </c>
      <c r="Q9" s="31">
        <v>777137.15625</v>
      </c>
      <c r="R9" s="31">
        <v>10635.96875</v>
      </c>
      <c r="S9" s="32">
        <v>17928296</v>
      </c>
      <c r="T9" s="32">
        <v>3702648</v>
      </c>
      <c r="U9" s="32">
        <v>1212776</v>
      </c>
      <c r="V9" s="32">
        <v>13012872</v>
      </c>
      <c r="W9" s="33">
        <v>71.945243750000003</v>
      </c>
      <c r="X9" s="33">
        <v>75.319240625000006</v>
      </c>
      <c r="Y9" s="33">
        <v>42.1278875</v>
      </c>
      <c r="Z9" s="33">
        <v>49.411659374999999</v>
      </c>
      <c r="AA9" s="33">
        <v>49.554578124999999</v>
      </c>
      <c r="AB9" s="34">
        <v>3625.25</v>
      </c>
      <c r="AC9" s="34">
        <v>2192.23</v>
      </c>
      <c r="AD9" s="34">
        <v>55.731000000000002</v>
      </c>
      <c r="AE9" s="34">
        <v>31.760999999999999</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3">
      <c r="A10" s="18"/>
      <c r="B10" s="18" t="s">
        <v>57</v>
      </c>
      <c r="C10" s="19" t="s">
        <v>230</v>
      </c>
      <c r="D10" s="18">
        <v>218121242</v>
      </c>
      <c r="E10" s="19">
        <v>10</v>
      </c>
      <c r="F10" s="19">
        <v>32</v>
      </c>
      <c r="G10" s="19">
        <v>30</v>
      </c>
      <c r="I10" s="20">
        <f t="shared" si="0"/>
        <v>3.1810425000000002</v>
      </c>
      <c r="J10" s="21">
        <f t="shared" si="1"/>
        <v>1.5556082336996778E-2</v>
      </c>
      <c r="K10" s="21">
        <f t="shared" si="2"/>
        <v>8.035127546174527E-3</v>
      </c>
      <c r="L10" s="21">
        <f t="shared" si="3"/>
        <v>4.2806284772576161E-3</v>
      </c>
      <c r="M10" s="21">
        <f t="shared" si="4"/>
        <v>7.520954790822253E-3</v>
      </c>
      <c r="N10" s="18">
        <f t="shared" si="5"/>
        <v>1752632</v>
      </c>
      <c r="O10" s="21">
        <v>16</v>
      </c>
      <c r="P10" s="22">
        <v>20666971</v>
      </c>
      <c r="Q10" s="22">
        <v>645842.84375</v>
      </c>
      <c r="R10" s="22">
        <v>18163.46875</v>
      </c>
      <c r="S10" s="23">
        <v>3393112</v>
      </c>
      <c r="T10" s="23">
        <v>933696</v>
      </c>
      <c r="U10" s="23">
        <v>818936</v>
      </c>
      <c r="V10" s="23">
        <v>1640480</v>
      </c>
      <c r="W10" s="24">
        <v>65.904412500000007</v>
      </c>
      <c r="X10" s="24">
        <v>67.822759375000004</v>
      </c>
      <c r="Y10" s="24">
        <v>32.386865624999999</v>
      </c>
      <c r="Z10" s="24">
        <v>39.175778125000001</v>
      </c>
      <c r="AA10" s="24">
        <v>32.086631250000003</v>
      </c>
      <c r="AB10" s="25">
        <v>3310.57</v>
      </c>
      <c r="AC10" s="25">
        <v>1795.85</v>
      </c>
      <c r="AD10" s="25">
        <v>46.869</v>
      </c>
      <c r="AE10" s="25">
        <v>29.768999999999998</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8" t="e">
        <f t="shared" si="12"/>
        <v>#VALUE!</v>
      </c>
      <c r="BF10" s="26" t="e">
        <f t="shared" si="13"/>
        <v>#DIV/0!</v>
      </c>
      <c r="BG10" s="26" t="e">
        <f t="shared" si="14"/>
        <v>#VALUE!</v>
      </c>
      <c r="BH10" s="26" t="e">
        <f t="array" ref="BH10">AVERAGE(AL10:AL14/AQ10:AQ14) - AVERAGE(N10:N14/S10:S14)</f>
        <v>#VALUE!</v>
      </c>
      <c r="BJ10" s="58" t="str">
        <f>IF( OR(ISBLANK(N10:N14),ISBLANK(AL10:AL14), ISBLANK(W10:W14),ISBLANK(AU10:AU14)), "·", bdRateExtend( N10:N14,W10:W14, AL10:AL14,AU10:AU14))</f>
        <v>·</v>
      </c>
      <c r="BK10" s="58" t="str">
        <f>IF( OR(ISBLANK(N10:N14),ISBLANK(AL10:AL14), ISBLANK(X10:X14),ISBLANK(AV10:AV14)), "·", bdRateExtend( N10:N14,X10:X14, AL10:AL14,AV10:AV14))</f>
        <v>·</v>
      </c>
      <c r="BL10" s="58" t="str">
        <f>IF( OR(ISBLANK(V10:V14),ISBLANK(AT10:AT14), ISBLANK(Y10:Y14),ISBLANK(AW10:AW14)), "·", bdRateExtend( V10:V14,Y10:Y14, AT10:AT14,AW10:AW14))</f>
        <v>·</v>
      </c>
      <c r="BM10" s="58" t="str">
        <f>IF( OR(ISBLANK(V10:V14),ISBLANK(AT10:AT14), ISBLANK(Z10:Z14),ISBLANK(AX10:AX14)), "·", bdRateExtend( V10:V14,Z10:Z14, AT10:AT14,AX10:AX14))</f>
        <v>·</v>
      </c>
      <c r="BN10" s="58" t="str">
        <f>IF( OR(ISBLANK(V10:V14),ISBLANK(AT10:AT14), ISBLANK(AA10:AA14),ISBLANK(AY10:AY14)), "·", bdRateExtend( V10:V14,AA10:AA14, AT10:AT14,AY10:AY14))</f>
        <v>·</v>
      </c>
      <c r="BP10" s="58" t="str">
        <f>IF( OR(ISBLANK(S10:S14),ISBLANK(AQ10:AQ14), ISBLANK(W10:W14),ISBLANK(AU10:AU14)), "·", bdRateExtend( S10:S14,W10:W14, AQ10:AQ14,AU10:AU14))</f>
        <v>·</v>
      </c>
      <c r="BQ10" s="58" t="str">
        <f>IF( OR(ISBLANK(S10:S14),ISBLANK(AQ10:AQ14), ISBLANK(X10:X14),ISBLANK(AV10:AV14)), "·", bdRateExtend( S10:S14,X10:X14, AQ10:AQ14,AV10:AV14))</f>
        <v>·</v>
      </c>
      <c r="BR10" s="58" t="str">
        <f>IF( OR(ISBLANK(S10:S14),ISBLANK(AQ10:AQ14), ISBLANK(Y10:Y14),ISBLANK(AW10:AW14)), "·", bdRateExtend( S10:S14,Y10:Y14, AQ10:AQ14,AW10:AW14))</f>
        <v>·</v>
      </c>
      <c r="BS10" s="58" t="str">
        <f>IF( OR(ISBLANK(S10:S14),ISBLANK(AQ10:AQ14), ISBLANK(Z10:Z14),ISBLANK(AX10:AX14)), "·", bdRateExtend( S10:S14,Z10:Z14, AQ10:AQ14,AX10:AX14))</f>
        <v>·</v>
      </c>
      <c r="BT10" s="58" t="str">
        <f>IF( OR(ISBLANK(S10:S14),ISBLANK(AQ10:AQ14), ISBLANK(AA10:AA14),ISBLANK(AY10:AY14)), "·", bdRateExtend( S10:S14,AA10:AA14, AQ10:AQ14,AY10:AY14))</f>
        <v>·</v>
      </c>
    </row>
    <row r="11" spans="1:72" outlineLevel="1" x14ac:dyDescent="0.3">
      <c r="A11" s="129"/>
      <c r="B11" s="129" t="s">
        <v>57</v>
      </c>
      <c r="C11" s="10" t="s">
        <v>231</v>
      </c>
      <c r="D11" s="129">
        <v>218121242</v>
      </c>
      <c r="E11" s="10">
        <v>10</v>
      </c>
      <c r="F11" s="10">
        <v>32</v>
      </c>
      <c r="G11" s="10">
        <v>30</v>
      </c>
      <c r="I11" s="11">
        <f t="shared" si="0"/>
        <v>4.5967349999999998</v>
      </c>
      <c r="J11" s="12">
        <f t="shared" si="1"/>
        <v>2.2479167801547729E-2</v>
      </c>
      <c r="K11" s="12">
        <f t="shared" si="2"/>
        <v>9.7850533970460334E-3</v>
      </c>
      <c r="L11" s="12">
        <f t="shared" si="3"/>
        <v>6.0305543281291233E-3</v>
      </c>
      <c r="M11" s="12">
        <f t="shared" si="4"/>
        <v>1.2694114404501694E-2</v>
      </c>
      <c r="N11" s="129">
        <f t="shared" si="5"/>
        <v>2134328</v>
      </c>
      <c r="O11" s="12">
        <v>16</v>
      </c>
      <c r="P11" s="13">
        <v>22097663</v>
      </c>
      <c r="Q11" s="13">
        <v>690551.96875</v>
      </c>
      <c r="R11" s="13">
        <v>22957.28125</v>
      </c>
      <c r="S11" s="14">
        <v>4903184</v>
      </c>
      <c r="T11" s="14">
        <v>1315392</v>
      </c>
      <c r="U11" s="14">
        <v>818936</v>
      </c>
      <c r="V11" s="14">
        <v>2768856</v>
      </c>
      <c r="W11" s="15">
        <v>67.607918749999996</v>
      </c>
      <c r="X11" s="15">
        <v>69.699943750000003</v>
      </c>
      <c r="Y11" s="15">
        <v>34.247959375000001</v>
      </c>
      <c r="Z11" s="15">
        <v>40.027190625000003</v>
      </c>
      <c r="AA11" s="15">
        <v>33.861478124999998</v>
      </c>
      <c r="AB11" s="16">
        <v>3315.48</v>
      </c>
      <c r="AC11" s="16">
        <v>1863.91</v>
      </c>
      <c r="AD11" s="16">
        <v>49.579000000000001</v>
      </c>
      <c r="AE11" s="16">
        <v>30.472000000000001</v>
      </c>
      <c r="AG11" s="11" t="str">
        <f t="shared" si="6"/>
        <v>·</v>
      </c>
      <c r="AH11" s="12" t="str">
        <f t="shared" si="7"/>
        <v>·</v>
      </c>
      <c r="AI11" s="12" t="str">
        <f t="shared" si="8"/>
        <v>·</v>
      </c>
      <c r="AJ11" s="12" t="str">
        <f t="shared" si="9"/>
        <v>·</v>
      </c>
      <c r="AK11" s="12" t="str">
        <f t="shared" si="10"/>
        <v>·</v>
      </c>
      <c r="AL11" s="129" t="str">
        <f t="shared" si="11"/>
        <v/>
      </c>
      <c r="AM11" s="12">
        <v>16</v>
      </c>
      <c r="AN11" s="13"/>
      <c r="AO11" s="13"/>
      <c r="AP11" s="13"/>
      <c r="AQ11" s="14"/>
      <c r="AR11" s="14"/>
      <c r="AS11" s="14"/>
      <c r="AT11" s="14"/>
      <c r="AU11" s="15"/>
      <c r="AV11" s="15"/>
      <c r="AW11" s="15"/>
      <c r="AX11" s="15"/>
      <c r="AY11" s="15"/>
      <c r="AZ11" s="16"/>
      <c r="BA11" s="16"/>
      <c r="BB11" s="16"/>
      <c r="BC11" s="16"/>
      <c r="BE11" s="62" t="e">
        <f t="shared" si="12"/>
        <v>#VALUE!</v>
      </c>
      <c r="BF11" s="17" t="e">
        <f t="shared" si="13"/>
        <v>#DIV/0!</v>
      </c>
      <c r="BG11" s="17" t="e">
        <f t="shared" si="14"/>
        <v>#VALUE!</v>
      </c>
      <c r="BH11" s="17"/>
      <c r="BJ11" s="62"/>
      <c r="BK11" s="62"/>
      <c r="BL11" s="62"/>
      <c r="BM11" s="62"/>
      <c r="BN11" s="62"/>
      <c r="BP11" s="62"/>
      <c r="BQ11" s="62"/>
      <c r="BR11" s="62"/>
      <c r="BS11" s="62"/>
      <c r="BT11" s="62"/>
    </row>
    <row r="12" spans="1:72" outlineLevel="1" x14ac:dyDescent="0.3">
      <c r="A12" s="18"/>
      <c r="B12" s="18" t="s">
        <v>57</v>
      </c>
      <c r="C12" s="19" t="s">
        <v>232</v>
      </c>
      <c r="D12" s="18">
        <v>218121242</v>
      </c>
      <c r="E12" s="19">
        <v>10</v>
      </c>
      <c r="F12" s="19">
        <v>32</v>
      </c>
      <c r="G12" s="19">
        <v>30</v>
      </c>
      <c r="I12" s="20">
        <f t="shared" si="0"/>
        <v>7.1164500000000004</v>
      </c>
      <c r="J12" s="21">
        <f t="shared" si="1"/>
        <v>3.4801195566271349E-2</v>
      </c>
      <c r="K12" s="21">
        <f t="shared" si="2"/>
        <v>1.2468625132805727E-2</v>
      </c>
      <c r="L12" s="21">
        <f t="shared" si="3"/>
        <v>8.714126063888817E-3</v>
      </c>
      <c r="M12" s="21">
        <f t="shared" si="4"/>
        <v>2.2332570433465624E-2</v>
      </c>
      <c r="N12" s="18">
        <f t="shared" si="5"/>
        <v>2719672</v>
      </c>
      <c r="O12" s="21">
        <v>16</v>
      </c>
      <c r="P12" s="22">
        <v>22510846</v>
      </c>
      <c r="Q12" s="22">
        <v>703463.9375</v>
      </c>
      <c r="R12" s="22">
        <v>24709.6875</v>
      </c>
      <c r="S12" s="23">
        <v>7590880</v>
      </c>
      <c r="T12" s="23">
        <v>1900736</v>
      </c>
      <c r="U12" s="23">
        <v>818936</v>
      </c>
      <c r="V12" s="23">
        <v>4871208</v>
      </c>
      <c r="W12" s="24">
        <v>68.956062500000002</v>
      </c>
      <c r="X12" s="24">
        <v>71.331965624999995</v>
      </c>
      <c r="Y12" s="24">
        <v>36.351884374999997</v>
      </c>
      <c r="Z12" s="24">
        <v>40.928596874999997</v>
      </c>
      <c r="AA12" s="24">
        <v>35.641468750000001</v>
      </c>
      <c r="AB12" s="25">
        <v>3313.26</v>
      </c>
      <c r="AC12" s="25">
        <v>1946.61</v>
      </c>
      <c r="AD12" s="25">
        <v>50.332999999999998</v>
      </c>
      <c r="AE12" s="25">
        <v>31.004999999999999</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8" t="e">
        <f t="shared" si="12"/>
        <v>#VALUE!</v>
      </c>
      <c r="BF12" s="26" t="e">
        <f t="shared" si="13"/>
        <v>#DIV/0!</v>
      </c>
      <c r="BG12" s="26" t="e">
        <f t="shared" si="14"/>
        <v>#VALUE!</v>
      </c>
      <c r="BH12" s="26"/>
      <c r="BJ12" s="58"/>
      <c r="BK12" s="58"/>
      <c r="BL12" s="58"/>
      <c r="BM12" s="58"/>
      <c r="BN12" s="58"/>
      <c r="BP12" s="58"/>
      <c r="BQ12" s="58"/>
      <c r="BR12" s="58"/>
      <c r="BS12" s="58"/>
      <c r="BT12" s="58"/>
    </row>
    <row r="13" spans="1:72" outlineLevel="1" x14ac:dyDescent="0.3">
      <c r="A13" s="129"/>
      <c r="B13" s="129" t="s">
        <v>57</v>
      </c>
      <c r="C13" s="10" t="s">
        <v>233</v>
      </c>
      <c r="D13" s="129">
        <v>218121242</v>
      </c>
      <c r="E13" s="10">
        <v>10</v>
      </c>
      <c r="F13" s="10">
        <v>32</v>
      </c>
      <c r="G13" s="10">
        <v>30</v>
      </c>
      <c r="I13" s="11">
        <f t="shared" si="0"/>
        <v>11.999257500000001</v>
      </c>
      <c r="J13" s="12">
        <f t="shared" si="1"/>
        <v>5.8679328444315386E-2</v>
      </c>
      <c r="K13" s="12">
        <f t="shared" si="2"/>
        <v>1.715005822312345E-2</v>
      </c>
      <c r="L13" s="12">
        <f t="shared" si="3"/>
        <v>1.3395559154206539E-2</v>
      </c>
      <c r="M13" s="12">
        <f t="shared" si="4"/>
        <v>4.152927022119194E-2</v>
      </c>
      <c r="N13" s="129">
        <f t="shared" si="5"/>
        <v>3740792</v>
      </c>
      <c r="O13" s="12">
        <v>16</v>
      </c>
      <c r="P13" s="13">
        <v>23291739</v>
      </c>
      <c r="Q13" s="13">
        <v>727866.84375</v>
      </c>
      <c r="R13" s="13">
        <v>28062.03125</v>
      </c>
      <c r="S13" s="14">
        <v>12799208</v>
      </c>
      <c r="T13" s="14">
        <v>2921856</v>
      </c>
      <c r="U13" s="14">
        <v>818936</v>
      </c>
      <c r="V13" s="14">
        <v>9058416</v>
      </c>
      <c r="W13" s="15">
        <v>70.072275000000005</v>
      </c>
      <c r="X13" s="15">
        <v>72.590206249999994</v>
      </c>
      <c r="Y13" s="15">
        <v>38.665965624999998</v>
      </c>
      <c r="Z13" s="15">
        <v>42.107503125000001</v>
      </c>
      <c r="AA13" s="15">
        <v>37.689275000000002</v>
      </c>
      <c r="AB13" s="16">
        <v>3331.36</v>
      </c>
      <c r="AC13" s="16">
        <v>2101.77</v>
      </c>
      <c r="AD13" s="16">
        <v>52.249000000000002</v>
      </c>
      <c r="AE13" s="16">
        <v>32.198999999999998</v>
      </c>
      <c r="AG13" s="11" t="str">
        <f t="shared" si="6"/>
        <v>·</v>
      </c>
      <c r="AH13" s="12" t="str">
        <f t="shared" si="7"/>
        <v>·</v>
      </c>
      <c r="AI13" s="12" t="str">
        <f t="shared" si="8"/>
        <v>·</v>
      </c>
      <c r="AJ13" s="12" t="str">
        <f t="shared" si="9"/>
        <v>·</v>
      </c>
      <c r="AK13" s="12" t="str">
        <f t="shared" si="10"/>
        <v>·</v>
      </c>
      <c r="AL13" s="129" t="str">
        <f t="shared" si="11"/>
        <v/>
      </c>
      <c r="AM13" s="12">
        <v>16</v>
      </c>
      <c r="AN13" s="13"/>
      <c r="AO13" s="13"/>
      <c r="AP13" s="13"/>
      <c r="AQ13" s="14"/>
      <c r="AR13" s="14"/>
      <c r="AS13" s="14"/>
      <c r="AT13" s="14"/>
      <c r="AU13" s="15"/>
      <c r="AV13" s="15"/>
      <c r="AW13" s="15"/>
      <c r="AX13" s="15"/>
      <c r="AY13" s="15"/>
      <c r="AZ13" s="16"/>
      <c r="BA13" s="16"/>
      <c r="BB13" s="16"/>
      <c r="BC13" s="16"/>
      <c r="BE13" s="62" t="e">
        <f t="shared" si="12"/>
        <v>#VALUE!</v>
      </c>
      <c r="BF13" s="17" t="e">
        <f t="shared" si="13"/>
        <v>#DIV/0!</v>
      </c>
      <c r="BG13" s="17" t="e">
        <f t="shared" si="14"/>
        <v>#VALUE!</v>
      </c>
      <c r="BH13" s="17"/>
      <c r="BJ13" s="62"/>
      <c r="BK13" s="62"/>
      <c r="BL13" s="62"/>
      <c r="BM13" s="62"/>
      <c r="BN13" s="62"/>
      <c r="BP13" s="62"/>
      <c r="BQ13" s="62"/>
      <c r="BR13" s="62"/>
      <c r="BS13" s="62"/>
      <c r="BT13" s="62"/>
    </row>
    <row r="14" spans="1:72" outlineLevel="1" x14ac:dyDescent="0.3">
      <c r="A14" s="18"/>
      <c r="B14" s="37" t="s">
        <v>57</v>
      </c>
      <c r="C14" s="38" t="s">
        <v>234</v>
      </c>
      <c r="D14" s="37">
        <v>218121242</v>
      </c>
      <c r="E14" s="38">
        <v>10</v>
      </c>
      <c r="F14" s="38">
        <v>32</v>
      </c>
      <c r="G14" s="38">
        <v>30</v>
      </c>
      <c r="I14" s="39">
        <f t="shared" si="0"/>
        <v>21.556582500000001</v>
      </c>
      <c r="J14" s="40">
        <f t="shared" si="1"/>
        <v>0.10541700473170788</v>
      </c>
      <c r="K14" s="40">
        <f t="shared" si="2"/>
        <v>2.8229841089938413E-2</v>
      </c>
      <c r="L14" s="40">
        <f t="shared" si="3"/>
        <v>2.1154363315059429E-2</v>
      </c>
      <c r="M14" s="40">
        <f t="shared" si="4"/>
        <v>7.7187163641769474E-2</v>
      </c>
      <c r="N14" s="37">
        <f t="shared" si="5"/>
        <v>6157528</v>
      </c>
      <c r="O14" s="40">
        <v>16</v>
      </c>
      <c r="P14" s="41">
        <v>22124056</v>
      </c>
      <c r="Q14" s="41">
        <v>691376.75</v>
      </c>
      <c r="R14" s="41">
        <v>13278.71875</v>
      </c>
      <c r="S14" s="42">
        <v>22993688</v>
      </c>
      <c r="T14" s="42">
        <v>4614216</v>
      </c>
      <c r="U14" s="42">
        <v>1543312</v>
      </c>
      <c r="V14" s="42">
        <v>16836160</v>
      </c>
      <c r="W14" s="43">
        <v>70.923046874999997</v>
      </c>
      <c r="X14" s="43">
        <v>74.675603124999995</v>
      </c>
      <c r="Y14" s="43">
        <v>40.962909375000002</v>
      </c>
      <c r="Z14" s="43">
        <v>43.423146875</v>
      </c>
      <c r="AA14" s="43">
        <v>39.504384375000001</v>
      </c>
      <c r="AB14" s="44">
        <v>3310.84</v>
      </c>
      <c r="AC14" s="44">
        <v>2339.8200000000002</v>
      </c>
      <c r="AD14" s="44">
        <v>49.45</v>
      </c>
      <c r="AE14" s="44">
        <v>34.655999999999999</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3">
      <c r="A15" s="129"/>
      <c r="B15" s="129" t="s">
        <v>62</v>
      </c>
      <c r="C15" s="10" t="s">
        <v>230</v>
      </c>
      <c r="D15" s="129">
        <v>322589704</v>
      </c>
      <c r="E15" s="10">
        <v>10</v>
      </c>
      <c r="F15" s="10">
        <v>32</v>
      </c>
      <c r="G15" s="10">
        <v>30</v>
      </c>
      <c r="I15" s="11">
        <f t="shared" si="0"/>
        <v>4.3821824999999999</v>
      </c>
      <c r="J15" s="12">
        <f t="shared" si="1"/>
        <v>1.4490009885746384E-2</v>
      </c>
      <c r="K15" s="12">
        <f t="shared" si="2"/>
        <v>8.1689153972502489E-3</v>
      </c>
      <c r="L15" s="12">
        <f t="shared" si="3"/>
        <v>4.3923534521734149E-3</v>
      </c>
      <c r="M15" s="12">
        <f t="shared" si="4"/>
        <v>6.3210944884961361E-3</v>
      </c>
      <c r="N15" s="129">
        <f t="shared" si="5"/>
        <v>2635208</v>
      </c>
      <c r="O15" s="12">
        <v>16</v>
      </c>
      <c r="P15" s="13">
        <v>31086837</v>
      </c>
      <c r="Q15" s="13">
        <v>971463.65625</v>
      </c>
      <c r="R15" s="13">
        <v>27944.21875</v>
      </c>
      <c r="S15" s="14">
        <v>4674328</v>
      </c>
      <c r="T15" s="14">
        <v>1416928</v>
      </c>
      <c r="U15" s="14">
        <v>1218280</v>
      </c>
      <c r="V15" s="14">
        <v>2039120</v>
      </c>
      <c r="W15" s="15">
        <v>65.923106250000004</v>
      </c>
      <c r="X15" s="15">
        <v>67.661793750000001</v>
      </c>
      <c r="Y15" s="15">
        <v>29.414640625000001</v>
      </c>
      <c r="Z15" s="15">
        <v>43.125696875000003</v>
      </c>
      <c r="AA15" s="15">
        <v>43.263359375</v>
      </c>
      <c r="AB15" s="16">
        <v>4773.99</v>
      </c>
      <c r="AC15" s="16">
        <v>1779.15</v>
      </c>
      <c r="AD15" s="16">
        <v>68.885999999999996</v>
      </c>
      <c r="AE15" s="16">
        <v>28.882999999999999</v>
      </c>
      <c r="AG15" s="11" t="str">
        <f t="shared" si="6"/>
        <v>·</v>
      </c>
      <c r="AH15" s="12" t="str">
        <f t="shared" si="7"/>
        <v>·</v>
      </c>
      <c r="AI15" s="12" t="str">
        <f t="shared" si="8"/>
        <v>·</v>
      </c>
      <c r="AJ15" s="12" t="str">
        <f t="shared" si="9"/>
        <v>·</v>
      </c>
      <c r="AK15" s="12" t="str">
        <f t="shared" si="10"/>
        <v>·</v>
      </c>
      <c r="AL15" s="129" t="str">
        <f t="shared" si="11"/>
        <v/>
      </c>
      <c r="AM15" s="12">
        <v>16</v>
      </c>
      <c r="AN15" s="13"/>
      <c r="AO15" s="13"/>
      <c r="AP15" s="13"/>
      <c r="AQ15" s="14"/>
      <c r="AR15" s="14"/>
      <c r="AS15" s="14"/>
      <c r="AT15" s="14"/>
      <c r="AU15" s="15"/>
      <c r="AV15" s="15"/>
      <c r="AW15" s="15"/>
      <c r="AX15" s="15"/>
      <c r="AY15" s="15"/>
      <c r="AZ15" s="16"/>
      <c r="BA15" s="16"/>
      <c r="BB15" s="16"/>
      <c r="BC15" s="16"/>
      <c r="BE15" s="62" t="e">
        <f t="shared" si="12"/>
        <v>#VALUE!</v>
      </c>
      <c r="BF15" s="17" t="e">
        <f t="shared" si="13"/>
        <v>#DIV/0!</v>
      </c>
      <c r="BG15" s="17" t="e">
        <f t="shared" si="14"/>
        <v>#VALUE!</v>
      </c>
      <c r="BH15" s="17" t="e">
        <f t="array" ref="BH15">AVERAGE(AL15:AL19/AQ15:AQ19) - AVERAGE(N15:N19/S15:S19)</f>
        <v>#VALUE!</v>
      </c>
      <c r="BJ15" s="62" t="str">
        <f>IF( OR(ISBLANK(N15:N19),ISBLANK(AL15:AL19), ISBLANK(W15:W19),ISBLANK(AU15:AU19)), "·", bdRateExtend( N15:N19,W15:W19, AL15:AL19,AU15:AU19))</f>
        <v>·</v>
      </c>
      <c r="BK15" s="62" t="str">
        <f>IF( OR(ISBLANK(N15:N19),ISBLANK(AL15:AL19), ISBLANK(X15:X19),ISBLANK(AV15:AV19)), "·", bdRateExtend( N15:N19,X15:X19, AL15:AL19,AV15:AV19))</f>
        <v>·</v>
      </c>
      <c r="BL15" s="62" t="str">
        <f>IF( OR(ISBLANK(V15:V19),ISBLANK(AT15:AT19), ISBLANK(Y15:Y19),ISBLANK(AW15:AW19)), "·", bdRateExtend( V15:V19,Y15:Y19, AT15:AT19,AW15:AW19))</f>
        <v>·</v>
      </c>
      <c r="BM15" s="62" t="str">
        <f>IF( OR(ISBLANK(V15:V19),ISBLANK(AT15:AT19), ISBLANK(Z15:Z19),ISBLANK(AX15:AX19)), "·", bdRateExtend( V15:V19,Z15:Z19, AT15:AT19,AX15:AX19))</f>
        <v>·</v>
      </c>
      <c r="BN15" s="62" t="str">
        <f>IF( OR(ISBLANK(V15:V19),ISBLANK(AT15:AT19), ISBLANK(AA15:AA19),ISBLANK(AY15:AY19)), "·", bdRateExtend( V15:V19,AA15:AA19, AT15:AT19,AY15:AY19))</f>
        <v>·</v>
      </c>
      <c r="BP15" s="62" t="str">
        <f>IF( OR(ISBLANK(S15:S19),ISBLANK(AQ15:AQ19), ISBLANK(W15:W19),ISBLANK(AU15:AU19)), "·", bdRateExtend( S15:S19,W15:W19, AQ15:AQ19,AU15:AU19))</f>
        <v>·</v>
      </c>
      <c r="BQ15" s="62" t="str">
        <f>IF( OR(ISBLANK(S15:S19),ISBLANK(AQ15:AQ19), ISBLANK(X15:X19),ISBLANK(AV15:AV19)), "·", bdRateExtend( S15:S19,X15:X19, AQ15:AQ19,AV15:AV19))</f>
        <v>·</v>
      </c>
      <c r="BR15" s="62" t="str">
        <f>IF( OR(ISBLANK(S15:S19),ISBLANK(AQ15:AQ19), ISBLANK(Y15:Y19),ISBLANK(AW15:AW19)), "·", bdRateExtend( S15:S19,Y15:Y19, AQ15:AQ19,AW15:AW19))</f>
        <v>·</v>
      </c>
      <c r="BS15" s="62" t="str">
        <f>IF( OR(ISBLANK(S15:S19),ISBLANK(AQ15:AQ19), ISBLANK(Z15:Z19),ISBLANK(AX15:AX19)), "·", bdRateExtend( S15:S19,Z15:Z19, AQ15:AQ19,AX15:AX19))</f>
        <v>·</v>
      </c>
      <c r="BT15" s="62" t="str">
        <f>IF( OR(ISBLANK(S15:S19),ISBLANK(AQ15:AQ19), ISBLANK(AA15:AA19),ISBLANK(AY15:AY19)), "·", bdRateExtend( S15:S19,AA15:AA19, AQ15:AQ19,AY15:AY19))</f>
        <v>·</v>
      </c>
    </row>
    <row r="16" spans="1:72" outlineLevel="1" x14ac:dyDescent="0.3">
      <c r="A16" s="18"/>
      <c r="B16" s="18" t="s">
        <v>62</v>
      </c>
      <c r="C16" s="19" t="s">
        <v>231</v>
      </c>
      <c r="D16" s="18">
        <v>322589704</v>
      </c>
      <c r="E16" s="19">
        <v>10</v>
      </c>
      <c r="F16" s="19">
        <v>32</v>
      </c>
      <c r="G16" s="19">
        <v>30</v>
      </c>
      <c r="I16" s="20">
        <f t="shared" si="0"/>
        <v>6.9782250000000001</v>
      </c>
      <c r="J16" s="21">
        <f t="shared" si="1"/>
        <v>2.3074016026252343E-2</v>
      </c>
      <c r="K16" s="21">
        <f t="shared" si="2"/>
        <v>9.9743046975857598E-3</v>
      </c>
      <c r="L16" s="21">
        <f t="shared" si="3"/>
        <v>6.1977427525089267E-3</v>
      </c>
      <c r="M16" s="21">
        <f t="shared" si="4"/>
        <v>1.3099711328666584E-2</v>
      </c>
      <c r="N16" s="18">
        <f t="shared" si="5"/>
        <v>3217608</v>
      </c>
      <c r="O16" s="21">
        <v>16</v>
      </c>
      <c r="P16" s="22">
        <v>33185472</v>
      </c>
      <c r="Q16" s="22">
        <v>1037046</v>
      </c>
      <c r="R16" s="22">
        <v>34748.59375</v>
      </c>
      <c r="S16" s="23">
        <v>7443440</v>
      </c>
      <c r="T16" s="23">
        <v>1999328</v>
      </c>
      <c r="U16" s="23">
        <v>1218280</v>
      </c>
      <c r="V16" s="23">
        <v>4225832</v>
      </c>
      <c r="W16" s="24">
        <v>67.712850000000003</v>
      </c>
      <c r="X16" s="24">
        <v>69.741403125000005</v>
      </c>
      <c r="Y16" s="24">
        <v>31.808309375</v>
      </c>
      <c r="Z16" s="24">
        <v>43.976703125</v>
      </c>
      <c r="AA16" s="24">
        <v>44.262890624999997</v>
      </c>
      <c r="AB16" s="25">
        <v>4784.16</v>
      </c>
      <c r="AC16" s="25">
        <v>1902.84</v>
      </c>
      <c r="AD16" s="25">
        <v>73.462999999999994</v>
      </c>
      <c r="AE16" s="25">
        <v>29.771999999999998</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8" t="e">
        <f t="shared" si="12"/>
        <v>#VALUE!</v>
      </c>
      <c r="BF16" s="26" t="e">
        <f t="shared" si="13"/>
        <v>#DIV/0!</v>
      </c>
      <c r="BG16" s="26" t="e">
        <f t="shared" si="14"/>
        <v>#VALUE!</v>
      </c>
      <c r="BH16" s="26"/>
      <c r="BJ16" s="58"/>
      <c r="BK16" s="58"/>
      <c r="BL16" s="58"/>
      <c r="BM16" s="58"/>
      <c r="BN16" s="58"/>
      <c r="BP16" s="58"/>
      <c r="BQ16" s="58"/>
      <c r="BR16" s="58"/>
      <c r="BS16" s="58"/>
      <c r="BT16" s="58"/>
    </row>
    <row r="17" spans="1:72" outlineLevel="1" x14ac:dyDescent="0.3">
      <c r="A17" s="129"/>
      <c r="B17" s="129" t="s">
        <v>62</v>
      </c>
      <c r="C17" s="10" t="s">
        <v>232</v>
      </c>
      <c r="D17" s="129">
        <v>322589704</v>
      </c>
      <c r="E17" s="10">
        <v>10</v>
      </c>
      <c r="F17" s="10">
        <v>32</v>
      </c>
      <c r="G17" s="10">
        <v>30</v>
      </c>
      <c r="I17" s="11">
        <f t="shared" si="0"/>
        <v>11.6648175</v>
      </c>
      <c r="J17" s="12">
        <f t="shared" si="1"/>
        <v>3.8570580045542931E-2</v>
      </c>
      <c r="K17" s="12">
        <f t="shared" si="2"/>
        <v>1.2733648808580697E-2</v>
      </c>
      <c r="L17" s="12">
        <f t="shared" si="3"/>
        <v>8.9570868635038652E-3</v>
      </c>
      <c r="M17" s="12">
        <f t="shared" si="4"/>
        <v>2.5836931236962232E-2</v>
      </c>
      <c r="N17" s="129">
        <f t="shared" si="5"/>
        <v>4107744</v>
      </c>
      <c r="O17" s="12">
        <v>16</v>
      </c>
      <c r="P17" s="13">
        <v>33604345</v>
      </c>
      <c r="Q17" s="13">
        <v>1050135.78125</v>
      </c>
      <c r="R17" s="13">
        <v>36572.96875</v>
      </c>
      <c r="S17" s="14">
        <v>12442472</v>
      </c>
      <c r="T17" s="14">
        <v>2889464</v>
      </c>
      <c r="U17" s="14">
        <v>1218280</v>
      </c>
      <c r="V17" s="14">
        <v>8334728</v>
      </c>
      <c r="W17" s="15">
        <v>69.134437500000004</v>
      </c>
      <c r="X17" s="15">
        <v>71.597096875000005</v>
      </c>
      <c r="Y17" s="15">
        <v>34.352062500000002</v>
      </c>
      <c r="Z17" s="15">
        <v>44.796078125000001</v>
      </c>
      <c r="AA17" s="15">
        <v>45.206768750000002</v>
      </c>
      <c r="AB17" s="16">
        <v>4768.8599999999997</v>
      </c>
      <c r="AC17" s="16">
        <v>2043.56</v>
      </c>
      <c r="AD17" s="16">
        <v>74.906000000000006</v>
      </c>
      <c r="AE17" s="16">
        <v>30.85</v>
      </c>
      <c r="AG17" s="11" t="str">
        <f t="shared" si="6"/>
        <v>·</v>
      </c>
      <c r="AH17" s="12" t="str">
        <f t="shared" si="7"/>
        <v>·</v>
      </c>
      <c r="AI17" s="12" t="str">
        <f t="shared" si="8"/>
        <v>·</v>
      </c>
      <c r="AJ17" s="12" t="str">
        <f t="shared" si="9"/>
        <v>·</v>
      </c>
      <c r="AK17" s="12" t="str">
        <f t="shared" si="10"/>
        <v>·</v>
      </c>
      <c r="AL17" s="129" t="str">
        <f t="shared" si="11"/>
        <v/>
      </c>
      <c r="AM17" s="12">
        <v>16</v>
      </c>
      <c r="AN17" s="13"/>
      <c r="AO17" s="13"/>
      <c r="AP17" s="13"/>
      <c r="AQ17" s="14"/>
      <c r="AR17" s="14"/>
      <c r="AS17" s="14"/>
      <c r="AT17" s="14"/>
      <c r="AU17" s="15"/>
      <c r="AV17" s="15"/>
      <c r="AW17" s="15"/>
      <c r="AX17" s="15"/>
      <c r="AY17" s="15"/>
      <c r="AZ17" s="16"/>
      <c r="BA17" s="16"/>
      <c r="BB17" s="16"/>
      <c r="BC17" s="16"/>
      <c r="BE17" s="62" t="e">
        <f t="shared" si="12"/>
        <v>#VALUE!</v>
      </c>
      <c r="BF17" s="17" t="e">
        <f t="shared" si="13"/>
        <v>#DIV/0!</v>
      </c>
      <c r="BG17" s="17" t="e">
        <f t="shared" si="14"/>
        <v>#VALUE!</v>
      </c>
      <c r="BH17" s="17"/>
      <c r="BJ17" s="62"/>
      <c r="BK17" s="62"/>
      <c r="BL17" s="62"/>
      <c r="BM17" s="62"/>
      <c r="BN17" s="62"/>
      <c r="BP17" s="62"/>
      <c r="BQ17" s="62"/>
      <c r="BR17" s="62"/>
      <c r="BS17" s="62"/>
      <c r="BT17" s="62"/>
    </row>
    <row r="18" spans="1:72" outlineLevel="1" x14ac:dyDescent="0.3">
      <c r="A18" s="18"/>
      <c r="B18" s="18" t="s">
        <v>62</v>
      </c>
      <c r="C18" s="19" t="s">
        <v>233</v>
      </c>
      <c r="D18" s="18">
        <v>322589704</v>
      </c>
      <c r="E18" s="19">
        <v>10</v>
      </c>
      <c r="F18" s="19">
        <v>32</v>
      </c>
      <c r="G18" s="19">
        <v>30</v>
      </c>
      <c r="I18" s="20">
        <f t="shared" si="0"/>
        <v>20.151824999999999</v>
      </c>
      <c r="J18" s="21">
        <f t="shared" si="1"/>
        <v>6.6633496771490261E-2</v>
      </c>
      <c r="K18" s="21">
        <f t="shared" si="2"/>
        <v>1.7236631954006813E-2</v>
      </c>
      <c r="L18" s="21">
        <f t="shared" si="3"/>
        <v>1.3460070008929981E-2</v>
      </c>
      <c r="M18" s="21">
        <f t="shared" si="4"/>
        <v>4.9396864817483448E-2</v>
      </c>
      <c r="N18" s="18">
        <f t="shared" si="5"/>
        <v>5560360</v>
      </c>
      <c r="O18" s="21">
        <v>16</v>
      </c>
      <c r="P18" s="22">
        <v>34799418</v>
      </c>
      <c r="Q18" s="22">
        <v>1087481.8125</v>
      </c>
      <c r="R18" s="22">
        <v>40860.15625</v>
      </c>
      <c r="S18" s="23">
        <v>21495280</v>
      </c>
      <c r="T18" s="23">
        <v>4342080</v>
      </c>
      <c r="U18" s="23">
        <v>1218280</v>
      </c>
      <c r="V18" s="23">
        <v>15934920</v>
      </c>
      <c r="W18" s="24">
        <v>70.372874999999993</v>
      </c>
      <c r="X18" s="24">
        <v>72.951281249999994</v>
      </c>
      <c r="Y18" s="24">
        <v>37.033181249999998</v>
      </c>
      <c r="Z18" s="24">
        <v>46.138034374999997</v>
      </c>
      <c r="AA18" s="24">
        <v>46.638800000000003</v>
      </c>
      <c r="AB18" s="25">
        <v>4781.79</v>
      </c>
      <c r="AC18" s="25">
        <v>2288.4699999999998</v>
      </c>
      <c r="AD18" s="25">
        <v>77.802000000000007</v>
      </c>
      <c r="AE18" s="25">
        <v>32.840000000000003</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8" t="e">
        <f t="shared" si="12"/>
        <v>#VALUE!</v>
      </c>
      <c r="BF18" s="26" t="e">
        <f t="shared" si="13"/>
        <v>#DIV/0!</v>
      </c>
      <c r="BG18" s="26" t="e">
        <f t="shared" si="14"/>
        <v>#VALUE!</v>
      </c>
      <c r="BH18" s="26"/>
      <c r="BJ18" s="58"/>
      <c r="BK18" s="58"/>
      <c r="BL18" s="58"/>
      <c r="BM18" s="58"/>
      <c r="BN18" s="58"/>
      <c r="BP18" s="58"/>
      <c r="BQ18" s="58"/>
      <c r="BR18" s="58"/>
      <c r="BS18" s="58"/>
      <c r="BT18" s="58"/>
    </row>
    <row r="19" spans="1:72" outlineLevel="1" x14ac:dyDescent="0.3">
      <c r="A19" s="129"/>
      <c r="B19" s="27" t="s">
        <v>62</v>
      </c>
      <c r="C19" s="28" t="s">
        <v>234</v>
      </c>
      <c r="D19" s="27">
        <v>322589704</v>
      </c>
      <c r="E19" s="28">
        <v>10</v>
      </c>
      <c r="F19" s="28">
        <v>32</v>
      </c>
      <c r="G19" s="28">
        <v>30</v>
      </c>
      <c r="I19" s="29">
        <f t="shared" si="0"/>
        <v>35.668627499999999</v>
      </c>
      <c r="J19" s="30">
        <f t="shared" si="1"/>
        <v>0.11794094953507878</v>
      </c>
      <c r="K19" s="30">
        <f t="shared" si="2"/>
        <v>2.7706401937738222E-2</v>
      </c>
      <c r="L19" s="30">
        <f t="shared" si="3"/>
        <v>2.0647974555319349E-2</v>
      </c>
      <c r="M19" s="30">
        <f t="shared" si="4"/>
        <v>9.023454759734055E-2</v>
      </c>
      <c r="N19" s="27">
        <f t="shared" si="5"/>
        <v>8937800</v>
      </c>
      <c r="O19" s="30">
        <v>16</v>
      </c>
      <c r="P19" s="31">
        <v>33039030</v>
      </c>
      <c r="Q19" s="31">
        <v>1032469.6875</v>
      </c>
      <c r="R19" s="31">
        <v>17754.53125</v>
      </c>
      <c r="S19" s="32">
        <v>38046536</v>
      </c>
      <c r="T19" s="32">
        <v>6660824</v>
      </c>
      <c r="U19" s="32">
        <v>2276976</v>
      </c>
      <c r="V19" s="32">
        <v>29108736</v>
      </c>
      <c r="W19" s="33">
        <v>71.149228124999993</v>
      </c>
      <c r="X19" s="33">
        <v>75.004365625000005</v>
      </c>
      <c r="Y19" s="33">
        <v>39.53954375</v>
      </c>
      <c r="Z19" s="33">
        <v>47.871559374999997</v>
      </c>
      <c r="AA19" s="33">
        <v>48.474975000000001</v>
      </c>
      <c r="AB19" s="34">
        <v>4756.54</v>
      </c>
      <c r="AC19" s="34">
        <v>2649.7</v>
      </c>
      <c r="AD19" s="34">
        <v>72.790999999999997</v>
      </c>
      <c r="AE19" s="34">
        <v>35.433999999999997</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32</v>
      </c>
      <c r="G20" s="19">
        <v>50</v>
      </c>
      <c r="I20" s="20">
        <f t="shared" si="0"/>
        <v>5.0816875000000001</v>
      </c>
      <c r="J20" s="21">
        <f t="shared" si="1"/>
        <v>1.2977823148895756E-2</v>
      </c>
      <c r="K20" s="21">
        <f t="shared" si="2"/>
        <v>7.5532089532039754E-3</v>
      </c>
      <c r="L20" s="21">
        <f t="shared" si="3"/>
        <v>3.7835477324960308E-3</v>
      </c>
      <c r="M20" s="21">
        <f t="shared" si="4"/>
        <v>5.4246141956917808E-3</v>
      </c>
      <c r="N20" s="18">
        <f t="shared" si="5"/>
        <v>1892856</v>
      </c>
      <c r="O20" s="21">
        <v>16</v>
      </c>
      <c r="P20" s="22">
        <v>30274532</v>
      </c>
      <c r="Q20" s="22">
        <v>946079.125</v>
      </c>
      <c r="R20" s="22">
        <v>27842.25</v>
      </c>
      <c r="S20" s="23">
        <v>3252280</v>
      </c>
      <c r="T20" s="23">
        <v>948168</v>
      </c>
      <c r="U20" s="23">
        <v>944688</v>
      </c>
      <c r="V20" s="23">
        <v>1359424</v>
      </c>
      <c r="W20" s="24">
        <v>67.105800000000002</v>
      </c>
      <c r="X20" s="24">
        <v>68.817099999999996</v>
      </c>
      <c r="Y20" s="24">
        <v>30.700693749999999</v>
      </c>
      <c r="Z20" s="24">
        <v>39.522634375000003</v>
      </c>
      <c r="AA20" s="24">
        <v>38.268193750000002</v>
      </c>
      <c r="AB20" s="25">
        <v>4579.67</v>
      </c>
      <c r="AC20" s="25">
        <v>1955.48</v>
      </c>
      <c r="AD20" s="25">
        <v>68.521000000000001</v>
      </c>
      <c r="AE20" s="25">
        <v>31.884</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8" t="e">
        <f t="shared" si="12"/>
        <v>#VALUE!</v>
      </c>
      <c r="BF20" s="26" t="e">
        <f t="shared" si="13"/>
        <v>#DIV/0!</v>
      </c>
      <c r="BG20" s="26" t="e">
        <f t="shared" si="14"/>
        <v>#VALUE!</v>
      </c>
      <c r="BH20" s="26" t="e">
        <f t="array" ref="BH20">AVERAGE(AL20:AL24/AQ20:AQ24) - AVERAGE(N20:N24/S20:S24)</f>
        <v>#VALUE!</v>
      </c>
      <c r="BJ20" s="58" t="str">
        <f>IF( OR(ISBLANK(N20:N24),ISBLANK(AL20:AL24), ISBLANK(W20:W24),ISBLANK(AU20:AU24)), "·", bdRateExtend( N20:N24,W20:W24, AL20:AL24,AU20:AU24))</f>
        <v>·</v>
      </c>
      <c r="BK20" s="58" t="str">
        <f>IF( OR(ISBLANK(N20:N24),ISBLANK(AL20:AL24), ISBLANK(X20:X24),ISBLANK(AV20:AV24)), "·", bdRateExtend( N20:N24,X20:X24, AL20:AL24,AV20:AV24))</f>
        <v>·</v>
      </c>
      <c r="BL20" s="58" t="str">
        <f>IF( OR(ISBLANK(V20:V24),ISBLANK(AT20:AT24), ISBLANK(Y20:Y24),ISBLANK(AW20:AW24)), "·", bdRateExtend( V20:V24,Y20:Y24, AT20:AT24,AW20:AW24))</f>
        <v>·</v>
      </c>
      <c r="BM20" s="58" t="str">
        <f>IF( OR(ISBLANK(V20:V24),ISBLANK(AT20:AT24), ISBLANK(Z20:Z24),ISBLANK(AX20:AX24)), "·", bdRateExtend( V20:V24,Z20:Z24, AT20:AT24,AX20:AX24))</f>
        <v>·</v>
      </c>
      <c r="BN20" s="58" t="str">
        <f>IF( OR(ISBLANK(V20:V24),ISBLANK(AT20:AT24), ISBLANK(AA20:AA24),ISBLANK(AY20:AY24)), "·", bdRateExtend( V20:V24,AA20:AA24, AT20:AT24,AY20:AY24))</f>
        <v>·</v>
      </c>
      <c r="BP20" s="58" t="str">
        <f>IF( OR(ISBLANK(S20:S24),ISBLANK(AQ20:AQ24), ISBLANK(W20:W24),ISBLANK(AU20:AU24)), "·", bdRateExtend( S20:S24,W20:W24, AQ20:AQ24,AU20:AU24))</f>
        <v>·</v>
      </c>
      <c r="BQ20" s="58" t="str">
        <f>IF( OR(ISBLANK(S20:S24),ISBLANK(AQ20:AQ24), ISBLANK(X20:X24),ISBLANK(AV20:AV24)), "·", bdRateExtend( S20:S24,X20:X24, AQ20:AQ24,AV20:AV24))</f>
        <v>·</v>
      </c>
      <c r="BR20" s="58" t="str">
        <f>IF( OR(ISBLANK(S20:S24),ISBLANK(AQ20:AQ24), ISBLANK(Y20:Y24),ISBLANK(AW20:AW24)), "·", bdRateExtend( S20:S24,Y20:Y24, AQ20:AQ24,AW20:AW24))</f>
        <v>·</v>
      </c>
      <c r="BS20" s="58" t="str">
        <f>IF( OR(ISBLANK(S20:S24),ISBLANK(AQ20:AQ24), ISBLANK(Z20:Z24),ISBLANK(AX20:AX24)), "·", bdRateExtend( S20:S24,Z20:Z24, AQ20:AQ24,AX20:AX24))</f>
        <v>·</v>
      </c>
      <c r="BT20" s="58" t="str">
        <f>IF( OR(ISBLANK(S20:S24),ISBLANK(AQ20:AQ24), ISBLANK(AA20:AA24),ISBLANK(AY20:AY24)), "·", bdRateExtend( S20:S24,AA20:AA24, AQ20:AQ24,AY20:AY24))</f>
        <v>·</v>
      </c>
    </row>
    <row r="21" spans="1:72" outlineLevel="1" x14ac:dyDescent="0.3">
      <c r="A21" s="129"/>
      <c r="B21" s="129" t="s">
        <v>68</v>
      </c>
      <c r="C21" s="10" t="s">
        <v>231</v>
      </c>
      <c r="D21" s="129">
        <v>250602891</v>
      </c>
      <c r="E21" s="10">
        <v>10</v>
      </c>
      <c r="F21" s="10">
        <v>32</v>
      </c>
      <c r="G21" s="10">
        <v>50</v>
      </c>
      <c r="I21" s="11">
        <f t="shared" si="0"/>
        <v>7.5675375000000003</v>
      </c>
      <c r="J21" s="12">
        <f t="shared" si="1"/>
        <v>1.9326289416190336E-2</v>
      </c>
      <c r="K21" s="12">
        <f t="shared" si="2"/>
        <v>8.9965761807592227E-3</v>
      </c>
      <c r="L21" s="12">
        <f t="shared" si="3"/>
        <v>5.226914960051279E-3</v>
      </c>
      <c r="M21" s="12">
        <f t="shared" si="4"/>
        <v>1.0329713235431111E-2</v>
      </c>
      <c r="N21" s="129">
        <f t="shared" si="5"/>
        <v>2254568</v>
      </c>
      <c r="O21" s="12">
        <v>16</v>
      </c>
      <c r="P21" s="13">
        <v>31505484</v>
      </c>
      <c r="Q21" s="13">
        <v>984546.375</v>
      </c>
      <c r="R21" s="13">
        <v>33029.375</v>
      </c>
      <c r="S21" s="14">
        <v>4843224</v>
      </c>
      <c r="T21" s="14">
        <v>1309880</v>
      </c>
      <c r="U21" s="14">
        <v>944688</v>
      </c>
      <c r="V21" s="14">
        <v>2588656</v>
      </c>
      <c r="W21" s="15">
        <v>68.686528124999995</v>
      </c>
      <c r="X21" s="15">
        <v>70.761815624999997</v>
      </c>
      <c r="Y21" s="15">
        <v>32.514737500000003</v>
      </c>
      <c r="Z21" s="15">
        <v>40.675965625000003</v>
      </c>
      <c r="AA21" s="15">
        <v>39.602231250000003</v>
      </c>
      <c r="AB21" s="16">
        <v>4576.53</v>
      </c>
      <c r="AC21" s="16">
        <v>2077.71</v>
      </c>
      <c r="AD21" s="16">
        <v>71.010999999999996</v>
      </c>
      <c r="AE21" s="16">
        <v>32.49</v>
      </c>
      <c r="AG21" s="11" t="str">
        <f t="shared" si="6"/>
        <v>·</v>
      </c>
      <c r="AH21" s="12" t="str">
        <f t="shared" si="7"/>
        <v>·</v>
      </c>
      <c r="AI21" s="12" t="str">
        <f t="shared" si="8"/>
        <v>·</v>
      </c>
      <c r="AJ21" s="12" t="str">
        <f t="shared" si="9"/>
        <v>·</v>
      </c>
      <c r="AK21" s="12" t="str">
        <f t="shared" si="10"/>
        <v>·</v>
      </c>
      <c r="AL21" s="129" t="str">
        <f t="shared" si="11"/>
        <v/>
      </c>
      <c r="AM21" s="12">
        <v>16</v>
      </c>
      <c r="AN21" s="13"/>
      <c r="AO21" s="13"/>
      <c r="AP21" s="13"/>
      <c r="AQ21" s="14"/>
      <c r="AR21" s="14"/>
      <c r="AS21" s="14"/>
      <c r="AT21" s="14"/>
      <c r="AU21" s="15"/>
      <c r="AV21" s="15"/>
      <c r="AW21" s="15"/>
      <c r="AX21" s="15"/>
      <c r="AY21" s="15"/>
      <c r="AZ21" s="16"/>
      <c r="BA21" s="16"/>
      <c r="BB21" s="16"/>
      <c r="BC21" s="16"/>
      <c r="BE21" s="62" t="e">
        <f t="shared" si="12"/>
        <v>#VALUE!</v>
      </c>
      <c r="BF21" s="17" t="e">
        <f t="shared" si="13"/>
        <v>#DIV/0!</v>
      </c>
      <c r="BG21" s="17" t="e">
        <f t="shared" si="14"/>
        <v>#VALUE!</v>
      </c>
      <c r="BH21" s="17"/>
      <c r="BJ21" s="62"/>
      <c r="BK21" s="62"/>
      <c r="BL21" s="62"/>
      <c r="BM21" s="62"/>
      <c r="BN21" s="62"/>
      <c r="BP21" s="62"/>
      <c r="BQ21" s="62"/>
      <c r="BR21" s="62"/>
      <c r="BS21" s="62"/>
      <c r="BT21" s="62"/>
    </row>
    <row r="22" spans="1:72" outlineLevel="1" x14ac:dyDescent="0.3">
      <c r="A22" s="18"/>
      <c r="B22" s="18" t="s">
        <v>68</v>
      </c>
      <c r="C22" s="19" t="s">
        <v>232</v>
      </c>
      <c r="D22" s="18">
        <v>250602891</v>
      </c>
      <c r="E22" s="19">
        <v>10</v>
      </c>
      <c r="F22" s="19">
        <v>32</v>
      </c>
      <c r="G22" s="19">
        <v>50</v>
      </c>
      <c r="I22" s="20">
        <f t="shared" si="0"/>
        <v>12.326275000000001</v>
      </c>
      <c r="J22" s="21">
        <f t="shared" si="1"/>
        <v>3.1479349533920578E-2</v>
      </c>
      <c r="K22" s="21">
        <f t="shared" si="2"/>
        <v>1.1241626099197714E-2</v>
      </c>
      <c r="L22" s="21">
        <f t="shared" si="3"/>
        <v>7.4719648784897699E-3</v>
      </c>
      <c r="M22" s="21">
        <f t="shared" si="4"/>
        <v>2.0237723434722864E-2</v>
      </c>
      <c r="N22" s="18">
        <f t="shared" si="5"/>
        <v>2817184</v>
      </c>
      <c r="O22" s="21">
        <v>16</v>
      </c>
      <c r="P22" s="22">
        <v>32735750</v>
      </c>
      <c r="Q22" s="22">
        <v>1022992.1875</v>
      </c>
      <c r="R22" s="22">
        <v>35066.4375</v>
      </c>
      <c r="S22" s="23">
        <v>7888816</v>
      </c>
      <c r="T22" s="23">
        <v>1872496</v>
      </c>
      <c r="U22" s="23">
        <v>944688</v>
      </c>
      <c r="V22" s="23">
        <v>5071632</v>
      </c>
      <c r="W22" s="24">
        <v>69.861821875000004</v>
      </c>
      <c r="X22" s="24">
        <v>72.258756250000005</v>
      </c>
      <c r="Y22" s="24">
        <v>34.267000000000003</v>
      </c>
      <c r="Z22" s="24">
        <v>41.728212499999998</v>
      </c>
      <c r="AA22" s="24">
        <v>40.647271875000001</v>
      </c>
      <c r="AB22" s="25">
        <v>4592.1099999999997</v>
      </c>
      <c r="AC22" s="25">
        <v>2181.61</v>
      </c>
      <c r="AD22" s="25">
        <v>73.528000000000006</v>
      </c>
      <c r="AE22" s="25">
        <v>32.295999999999999</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8" t="e">
        <f t="shared" si="12"/>
        <v>#VALUE!</v>
      </c>
      <c r="BF22" s="26" t="e">
        <f t="shared" si="13"/>
        <v>#DIV/0!</v>
      </c>
      <c r="BG22" s="26" t="e">
        <f t="shared" si="14"/>
        <v>#VALUE!</v>
      </c>
      <c r="BH22" s="26"/>
      <c r="BJ22" s="58"/>
      <c r="BK22" s="58"/>
      <c r="BL22" s="58"/>
      <c r="BM22" s="58"/>
      <c r="BN22" s="58"/>
      <c r="BP22" s="58"/>
      <c r="BQ22" s="58"/>
      <c r="BR22" s="58"/>
      <c r="BS22" s="58"/>
      <c r="BT22" s="58"/>
    </row>
    <row r="23" spans="1:72" outlineLevel="1" x14ac:dyDescent="0.3">
      <c r="A23" s="129"/>
      <c r="B23" s="129" t="s">
        <v>68</v>
      </c>
      <c r="C23" s="10" t="s">
        <v>233</v>
      </c>
      <c r="D23" s="129">
        <v>250602891</v>
      </c>
      <c r="E23" s="10">
        <v>10</v>
      </c>
      <c r="F23" s="10">
        <v>32</v>
      </c>
      <c r="G23" s="10">
        <v>50</v>
      </c>
      <c r="I23" s="11">
        <f t="shared" si="0"/>
        <v>21.976575</v>
      </c>
      <c r="J23" s="12">
        <f t="shared" si="1"/>
        <v>5.6124683733197636E-2</v>
      </c>
      <c r="K23" s="12">
        <f t="shared" si="2"/>
        <v>1.5169689323336656E-2</v>
      </c>
      <c r="L23" s="12">
        <f t="shared" si="3"/>
        <v>1.1400028102628712E-2</v>
      </c>
      <c r="M23" s="12">
        <f t="shared" si="4"/>
        <v>4.095499440986098E-2</v>
      </c>
      <c r="N23" s="129">
        <f t="shared" si="5"/>
        <v>3801568</v>
      </c>
      <c r="O23" s="12">
        <v>16</v>
      </c>
      <c r="P23" s="13">
        <v>32798890</v>
      </c>
      <c r="Q23" s="13">
        <v>1024965.3125</v>
      </c>
      <c r="R23" s="13">
        <v>36962.65625</v>
      </c>
      <c r="S23" s="14">
        <v>14065008</v>
      </c>
      <c r="T23" s="14">
        <v>2856880</v>
      </c>
      <c r="U23" s="14">
        <v>944688</v>
      </c>
      <c r="V23" s="14">
        <v>10263440</v>
      </c>
      <c r="W23" s="15">
        <v>70.888134375000007</v>
      </c>
      <c r="X23" s="15">
        <v>73.610840624999994</v>
      </c>
      <c r="Y23" s="15">
        <v>35.678378125000002</v>
      </c>
      <c r="Z23" s="15">
        <v>42.882853124999997</v>
      </c>
      <c r="AA23" s="15">
        <v>41.708515624999997</v>
      </c>
      <c r="AB23" s="16">
        <v>4560.6000000000004</v>
      </c>
      <c r="AC23" s="16">
        <v>2377.0700000000002</v>
      </c>
      <c r="AD23" s="16">
        <v>73.718999999999994</v>
      </c>
      <c r="AE23" s="16">
        <v>32.640999999999998</v>
      </c>
      <c r="AG23" s="11" t="str">
        <f t="shared" si="6"/>
        <v>·</v>
      </c>
      <c r="AH23" s="12" t="str">
        <f t="shared" si="7"/>
        <v>·</v>
      </c>
      <c r="AI23" s="12" t="str">
        <f t="shared" si="8"/>
        <v>·</v>
      </c>
      <c r="AJ23" s="12" t="str">
        <f t="shared" si="9"/>
        <v>·</v>
      </c>
      <c r="AK23" s="12" t="str">
        <f t="shared" si="10"/>
        <v>·</v>
      </c>
      <c r="AL23" s="129" t="str">
        <f t="shared" si="11"/>
        <v/>
      </c>
      <c r="AM23" s="12">
        <v>16</v>
      </c>
      <c r="AN23" s="13"/>
      <c r="AO23" s="13"/>
      <c r="AP23" s="13"/>
      <c r="AQ23" s="14"/>
      <c r="AR23" s="14"/>
      <c r="AS23" s="14"/>
      <c r="AT23" s="14"/>
      <c r="AU23" s="15"/>
      <c r="AV23" s="15"/>
      <c r="AW23" s="15"/>
      <c r="AX23" s="15"/>
      <c r="AY23" s="15"/>
      <c r="AZ23" s="16"/>
      <c r="BA23" s="16"/>
      <c r="BB23" s="16"/>
      <c r="BC23" s="16"/>
      <c r="BE23" s="62" t="e">
        <f t="shared" si="12"/>
        <v>#VALUE!</v>
      </c>
      <c r="BF23" s="17" t="e">
        <f t="shared" si="13"/>
        <v>#DIV/0!</v>
      </c>
      <c r="BG23" s="17" t="e">
        <f t="shared" si="14"/>
        <v>#VALUE!</v>
      </c>
      <c r="BH23" s="17"/>
      <c r="BJ23" s="62"/>
      <c r="BK23" s="62"/>
      <c r="BL23" s="62"/>
      <c r="BM23" s="62"/>
      <c r="BN23" s="62"/>
      <c r="BP23" s="62"/>
      <c r="BQ23" s="62"/>
      <c r="BR23" s="62"/>
      <c r="BS23" s="62"/>
      <c r="BT23" s="62"/>
    </row>
    <row r="24" spans="1:72" outlineLevel="1" x14ac:dyDescent="0.3">
      <c r="A24" s="37"/>
      <c r="B24" s="37" t="s">
        <v>68</v>
      </c>
      <c r="C24" s="38" t="s">
        <v>234</v>
      </c>
      <c r="D24" s="37">
        <v>250602891</v>
      </c>
      <c r="E24" s="38">
        <v>10</v>
      </c>
      <c r="F24" s="38">
        <v>32</v>
      </c>
      <c r="G24" s="38">
        <v>50</v>
      </c>
      <c r="I24" s="39">
        <f t="shared" si="0"/>
        <v>38.577237500000003</v>
      </c>
      <c r="J24" s="40">
        <f t="shared" si="1"/>
        <v>9.8520140376193818E-2</v>
      </c>
      <c r="K24" s="40">
        <f t="shared" si="2"/>
        <v>2.519217545658721E-2</v>
      </c>
      <c r="L24" s="40">
        <f t="shared" si="3"/>
        <v>1.7906609066213844E-2</v>
      </c>
      <c r="M24" s="40">
        <f t="shared" si="4"/>
        <v>7.3327964919606609E-2</v>
      </c>
      <c r="N24" s="37">
        <f t="shared" si="5"/>
        <v>6313232</v>
      </c>
      <c r="O24" s="40">
        <v>16</v>
      </c>
      <c r="P24" s="41">
        <v>31426902</v>
      </c>
      <c r="Q24" s="41">
        <v>982090.6875</v>
      </c>
      <c r="R24" s="41">
        <v>18270.09375</v>
      </c>
      <c r="S24" s="42">
        <v>24689432</v>
      </c>
      <c r="T24" s="42">
        <v>4487448</v>
      </c>
      <c r="U24" s="42">
        <v>1825784</v>
      </c>
      <c r="V24" s="42">
        <v>18376200</v>
      </c>
      <c r="W24" s="43">
        <v>71.730803124999994</v>
      </c>
      <c r="X24" s="43">
        <v>75.625753125000003</v>
      </c>
      <c r="Y24" s="43">
        <v>36.930334375000001</v>
      </c>
      <c r="Z24" s="43">
        <v>43.832703125000002</v>
      </c>
      <c r="AA24" s="43">
        <v>42.397631250000003</v>
      </c>
      <c r="AB24" s="44">
        <v>4558.53</v>
      </c>
      <c r="AC24" s="44">
        <v>2630.97</v>
      </c>
      <c r="AD24" s="44">
        <v>70.405000000000001</v>
      </c>
      <c r="AE24" s="44">
        <v>34.314999999999998</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3">
      <c r="A25" s="129" t="s">
        <v>235</v>
      </c>
      <c r="B25" s="129" t="s">
        <v>71</v>
      </c>
      <c r="C25" s="10" t="s">
        <v>230</v>
      </c>
      <c r="D25" s="129">
        <v>250294582</v>
      </c>
      <c r="E25" s="10">
        <v>10</v>
      </c>
      <c r="F25" s="10">
        <v>32</v>
      </c>
      <c r="G25" s="10">
        <v>30</v>
      </c>
      <c r="I25" s="11">
        <f t="shared" si="0"/>
        <v>4.3662599999999996</v>
      </c>
      <c r="J25" s="12">
        <f t="shared" si="1"/>
        <v>1.8607450320279006E-2</v>
      </c>
      <c r="K25" s="12">
        <f t="shared" si="2"/>
        <v>6.4765924497718454E-3</v>
      </c>
      <c r="L25" s="12">
        <f t="shared" si="3"/>
        <v>3.7261054256460093E-3</v>
      </c>
      <c r="M25" s="12">
        <f t="shared" si="4"/>
        <v>1.2130857870507161E-2</v>
      </c>
      <c r="N25" s="129">
        <f t="shared" si="5"/>
        <v>1621056</v>
      </c>
      <c r="O25" s="12">
        <v>16</v>
      </c>
      <c r="P25" s="13">
        <v>23156910</v>
      </c>
      <c r="Q25" s="13">
        <v>723653.4375</v>
      </c>
      <c r="R25" s="13">
        <v>14060.625</v>
      </c>
      <c r="S25" s="14">
        <v>4657344</v>
      </c>
      <c r="T25" s="14">
        <v>932624</v>
      </c>
      <c r="U25" s="14">
        <v>688432</v>
      </c>
      <c r="V25" s="14">
        <v>3036288</v>
      </c>
      <c r="W25" s="15">
        <v>66.208681249999998</v>
      </c>
      <c r="X25" s="15">
        <v>67.982928125000001</v>
      </c>
      <c r="Y25" s="15">
        <v>27.335812499999999</v>
      </c>
      <c r="Z25" s="15">
        <v>33.167050000000003</v>
      </c>
      <c r="AA25" s="15">
        <v>32.594690624999998</v>
      </c>
      <c r="AB25" s="16">
        <v>1546.16</v>
      </c>
      <c r="AC25" s="16">
        <v>1751.13</v>
      </c>
      <c r="AD25" s="16">
        <v>51.545999999999999</v>
      </c>
      <c r="AE25" s="16">
        <v>28.158999999999999</v>
      </c>
      <c r="AG25" s="11" t="str">
        <f t="shared" si="6"/>
        <v>·</v>
      </c>
      <c r="AH25" s="12" t="str">
        <f t="shared" si="7"/>
        <v>·</v>
      </c>
      <c r="AI25" s="12" t="str">
        <f t="shared" si="8"/>
        <v>·</v>
      </c>
      <c r="AJ25" s="12" t="str">
        <f t="shared" si="9"/>
        <v>·</v>
      </c>
      <c r="AK25" s="12" t="str">
        <f t="shared" si="10"/>
        <v>·</v>
      </c>
      <c r="AL25" s="129" t="str">
        <f t="shared" si="11"/>
        <v/>
      </c>
      <c r="AM25" s="12">
        <v>16</v>
      </c>
      <c r="AN25" s="13"/>
      <c r="AO25" s="13"/>
      <c r="AP25" s="13"/>
      <c r="AQ25" s="14"/>
      <c r="AR25" s="14"/>
      <c r="AS25" s="14"/>
      <c r="AT25" s="14"/>
      <c r="AU25" s="15"/>
      <c r="AV25" s="15"/>
      <c r="AW25" s="15"/>
      <c r="AX25" s="15"/>
      <c r="AY25" s="15"/>
      <c r="AZ25" s="16"/>
      <c r="BA25" s="16"/>
      <c r="BB25" s="16"/>
      <c r="BC25" s="16"/>
      <c r="BE25" s="62" t="e">
        <f t="shared" si="12"/>
        <v>#VALUE!</v>
      </c>
      <c r="BF25" s="17" t="e">
        <f t="shared" si="13"/>
        <v>#DIV/0!</v>
      </c>
      <c r="BG25" s="17" t="e">
        <f t="shared" si="14"/>
        <v>#VALUE!</v>
      </c>
      <c r="BH25" s="17" t="e">
        <f t="array" ref="BH25">AVERAGE(AL25:AL29/AQ25:AQ29) - AVERAGE(N25:N29/S25:S29)</f>
        <v>#VALUE!</v>
      </c>
      <c r="BJ25" s="62" t="str">
        <f>IF( OR(ISBLANK(N25:N29),ISBLANK(AL25:AL29), ISBLANK(W25:W29),ISBLANK(AU25:AU29)), "·", bdRateExtend( N25:N29,W25:W29, AL25:AL29,AU25:AU29))</f>
        <v>·</v>
      </c>
      <c r="BK25" s="62" t="str">
        <f>IF( OR(ISBLANK(N25:N29),ISBLANK(AL25:AL29), ISBLANK(X25:X29),ISBLANK(AV25:AV29)), "·", bdRateExtend( N25:N29,X25:X29, AL25:AL29,AV25:AV29))</f>
        <v>·</v>
      </c>
      <c r="BL25" s="62" t="str">
        <f>IF( OR(ISBLANK(V25:V29),ISBLANK(AT25:AT29), ISBLANK(Y25:Y29),ISBLANK(AW25:AW29)), "·", bdRateExtend( V25:V29,Y25:Y29, AT25:AT29,AW25:AW29))</f>
        <v>·</v>
      </c>
      <c r="BM25" s="62" t="str">
        <f>IF( OR(ISBLANK(V25:V29),ISBLANK(AT25:AT29), ISBLANK(Z25:Z29),ISBLANK(AX25:AX29)), "·", bdRateExtend( V25:V29,Z25:Z29, AT25:AT29,AX25:AX29))</f>
        <v>·</v>
      </c>
      <c r="BN25" s="62" t="str">
        <f>IF( OR(ISBLANK(V25:V29),ISBLANK(AT25:AT29), ISBLANK(AA25:AA29),ISBLANK(AY25:AY29)), "·", bdRateExtend( V25:V29,AA25:AA29, AT25:AT29,AY25:AY29))</f>
        <v>·</v>
      </c>
      <c r="BP25" s="62" t="str">
        <f>IF( OR(ISBLANK(S25:S29),ISBLANK(AQ25:AQ29), ISBLANK(W25:W29),ISBLANK(AU25:AU29)), "·", bdRateExtend( S25:S29,W25:W29, AQ25:AQ29,AU25:AU29))</f>
        <v>·</v>
      </c>
      <c r="BQ25" s="62" t="str">
        <f>IF( OR(ISBLANK(S25:S29),ISBLANK(AQ25:AQ29), ISBLANK(X25:X29),ISBLANK(AV25:AV29)), "·", bdRateExtend( S25:S29,X25:X29, AQ25:AQ29,AV25:AV29))</f>
        <v>·</v>
      </c>
      <c r="BR25" s="62" t="str">
        <f>IF( OR(ISBLANK(S25:S29),ISBLANK(AQ25:AQ29), ISBLANK(Y25:Y29),ISBLANK(AW25:AW29)), "·", bdRateExtend( S25:S29,Y25:Y29, AQ25:AQ29,AW25:AW29))</f>
        <v>·</v>
      </c>
      <c r="BS25" s="62" t="str">
        <f>IF( OR(ISBLANK(S25:S29),ISBLANK(AQ25:AQ29), ISBLANK(Z25:Z29),ISBLANK(AX25:AX29)), "·", bdRateExtend( S25:S29,Z25:Z29, AQ25:AQ29,AX25:AX29))</f>
        <v>·</v>
      </c>
      <c r="BT25" s="62" t="str">
        <f>IF( OR(ISBLANK(S25:S29),ISBLANK(AQ25:AQ29), ISBLANK(AA25:AA29),ISBLANK(AY25:AY29)), "·", bdRateExtend( S25:S29,AA25:AA29, AQ25:AQ29,AY25:AY29))</f>
        <v>·</v>
      </c>
    </row>
    <row r="26" spans="1:72" outlineLevel="1" x14ac:dyDescent="0.3">
      <c r="A26" s="18"/>
      <c r="B26" s="18" t="s">
        <v>71</v>
      </c>
      <c r="C26" s="19" t="s">
        <v>231</v>
      </c>
      <c r="D26" s="18">
        <v>250294582</v>
      </c>
      <c r="E26" s="19">
        <v>10</v>
      </c>
      <c r="F26" s="19">
        <v>32</v>
      </c>
      <c r="G26" s="19">
        <v>30</v>
      </c>
      <c r="I26" s="20">
        <f t="shared" si="0"/>
        <v>7.4938874999999996</v>
      </c>
      <c r="J26" s="21">
        <f t="shared" si="1"/>
        <v>3.1936288576953693E-2</v>
      </c>
      <c r="K26" s="21">
        <f t="shared" si="2"/>
        <v>8.0030817446939389E-3</v>
      </c>
      <c r="L26" s="21">
        <f t="shared" si="3"/>
        <v>5.2525947205681028E-3</v>
      </c>
      <c r="M26" s="21">
        <f t="shared" si="4"/>
        <v>2.3933206832259756E-2</v>
      </c>
      <c r="N26" s="18">
        <f t="shared" si="5"/>
        <v>2003128</v>
      </c>
      <c r="O26" s="21">
        <v>16</v>
      </c>
      <c r="P26" s="22">
        <v>24564301</v>
      </c>
      <c r="Q26" s="22">
        <v>767634.40625</v>
      </c>
      <c r="R26" s="22">
        <v>17714.59375</v>
      </c>
      <c r="S26" s="23">
        <v>7993480</v>
      </c>
      <c r="T26" s="23">
        <v>1314696</v>
      </c>
      <c r="U26" s="23">
        <v>688432</v>
      </c>
      <c r="V26" s="23">
        <v>5990352</v>
      </c>
      <c r="W26" s="24">
        <v>67.941556250000005</v>
      </c>
      <c r="X26" s="24">
        <v>69.941896874999998</v>
      </c>
      <c r="Y26" s="24">
        <v>29.713653125</v>
      </c>
      <c r="Z26" s="24">
        <v>34.339921875000002</v>
      </c>
      <c r="AA26" s="24">
        <v>33.891993749999997</v>
      </c>
      <c r="AB26" s="25">
        <v>1556.56</v>
      </c>
      <c r="AC26" s="25">
        <v>1852.03</v>
      </c>
      <c r="AD26" s="25">
        <v>54.506</v>
      </c>
      <c r="AE26" s="25">
        <v>28.841000000000001</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8" t="e">
        <f t="shared" si="12"/>
        <v>#VALUE!</v>
      </c>
      <c r="BF26" s="26" t="e">
        <f t="shared" si="13"/>
        <v>#DIV/0!</v>
      </c>
      <c r="BG26" s="26" t="e">
        <f t="shared" si="14"/>
        <v>#VALUE!</v>
      </c>
      <c r="BH26" s="26"/>
      <c r="BJ26" s="58"/>
      <c r="BK26" s="58"/>
      <c r="BL26" s="58"/>
      <c r="BM26" s="58"/>
      <c r="BN26" s="58"/>
      <c r="BP26" s="58"/>
      <c r="BQ26" s="58"/>
      <c r="BR26" s="58"/>
      <c r="BS26" s="58"/>
      <c r="BT26" s="58"/>
    </row>
    <row r="27" spans="1:72" outlineLevel="1" x14ac:dyDescent="0.3">
      <c r="A27" s="129"/>
      <c r="B27" s="129" t="s">
        <v>71</v>
      </c>
      <c r="C27" s="10" t="s">
        <v>232</v>
      </c>
      <c r="D27" s="129">
        <v>250294582</v>
      </c>
      <c r="E27" s="10">
        <v>10</v>
      </c>
      <c r="F27" s="10">
        <v>32</v>
      </c>
      <c r="G27" s="10">
        <v>30</v>
      </c>
      <c r="I27" s="11">
        <f t="shared" si="0"/>
        <v>13.193339999999999</v>
      </c>
      <c r="J27" s="12">
        <f t="shared" si="1"/>
        <v>5.6225332116857409E-2</v>
      </c>
      <c r="K27" s="12">
        <f t="shared" si="2"/>
        <v>1.0299511796863425E-2</v>
      </c>
      <c r="L27" s="12">
        <f t="shared" si="3"/>
        <v>7.5490247727375897E-3</v>
      </c>
      <c r="M27" s="12">
        <f t="shared" si="4"/>
        <v>4.5925820319993982E-2</v>
      </c>
      <c r="N27" s="129">
        <f t="shared" si="5"/>
        <v>2577912</v>
      </c>
      <c r="O27" s="12">
        <v>16</v>
      </c>
      <c r="P27" s="13">
        <v>24852477</v>
      </c>
      <c r="Q27" s="13">
        <v>776639.90625</v>
      </c>
      <c r="R27" s="13">
        <v>18688.75</v>
      </c>
      <c r="S27" s="14">
        <v>14072896</v>
      </c>
      <c r="T27" s="14">
        <v>1889480</v>
      </c>
      <c r="U27" s="14">
        <v>688432</v>
      </c>
      <c r="V27" s="14">
        <v>11494984</v>
      </c>
      <c r="W27" s="15">
        <v>69.263743750000003</v>
      </c>
      <c r="X27" s="15">
        <v>71.649234375000006</v>
      </c>
      <c r="Y27" s="15">
        <v>32.212887500000001</v>
      </c>
      <c r="Z27" s="15">
        <v>35.580181250000003</v>
      </c>
      <c r="AA27" s="15">
        <v>35.204984375000002</v>
      </c>
      <c r="AB27" s="16">
        <v>1554.65</v>
      </c>
      <c r="AC27" s="16">
        <v>1980.62</v>
      </c>
      <c r="AD27" s="16">
        <v>54.951000000000001</v>
      </c>
      <c r="AE27" s="16">
        <v>29.725000000000001</v>
      </c>
      <c r="AG27" s="11" t="str">
        <f t="shared" si="6"/>
        <v>·</v>
      </c>
      <c r="AH27" s="12" t="str">
        <f t="shared" si="7"/>
        <v>·</v>
      </c>
      <c r="AI27" s="12" t="str">
        <f t="shared" si="8"/>
        <v>·</v>
      </c>
      <c r="AJ27" s="12" t="str">
        <f t="shared" si="9"/>
        <v>·</v>
      </c>
      <c r="AK27" s="12" t="str">
        <f t="shared" si="10"/>
        <v>·</v>
      </c>
      <c r="AL27" s="129" t="str">
        <f t="shared" si="11"/>
        <v/>
      </c>
      <c r="AM27" s="12">
        <v>16</v>
      </c>
      <c r="AN27" s="13"/>
      <c r="AO27" s="13"/>
      <c r="AP27" s="13"/>
      <c r="AQ27" s="14"/>
      <c r="AR27" s="14"/>
      <c r="AS27" s="14"/>
      <c r="AT27" s="14"/>
      <c r="AU27" s="15"/>
      <c r="AV27" s="15"/>
      <c r="AW27" s="15"/>
      <c r="AX27" s="15"/>
      <c r="AY27" s="15"/>
      <c r="AZ27" s="16"/>
      <c r="BA27" s="16"/>
      <c r="BB27" s="16"/>
      <c r="BC27" s="16"/>
      <c r="BE27" s="62" t="e">
        <f t="shared" si="12"/>
        <v>#VALUE!</v>
      </c>
      <c r="BF27" s="17" t="e">
        <f t="shared" si="13"/>
        <v>#DIV/0!</v>
      </c>
      <c r="BG27" s="17" t="e">
        <f t="shared" si="14"/>
        <v>#VALUE!</v>
      </c>
      <c r="BH27" s="17"/>
      <c r="BJ27" s="62"/>
      <c r="BK27" s="62"/>
      <c r="BL27" s="62"/>
      <c r="BM27" s="62"/>
      <c r="BN27" s="62"/>
      <c r="BP27" s="62"/>
      <c r="BQ27" s="62"/>
      <c r="BR27" s="62"/>
      <c r="BS27" s="62"/>
      <c r="BT27" s="62"/>
    </row>
    <row r="28" spans="1:72" outlineLevel="1" x14ac:dyDescent="0.3">
      <c r="A28" s="18"/>
      <c r="B28" s="18" t="s">
        <v>71</v>
      </c>
      <c r="C28" s="19" t="s">
        <v>233</v>
      </c>
      <c r="D28" s="18">
        <v>250294582</v>
      </c>
      <c r="E28" s="19">
        <v>10</v>
      </c>
      <c r="F28" s="19">
        <v>32</v>
      </c>
      <c r="G28" s="19">
        <v>30</v>
      </c>
      <c r="I28" s="20">
        <f t="shared" si="0"/>
        <v>24.46209</v>
      </c>
      <c r="J28" s="21">
        <f t="shared" si="1"/>
        <v>0.10424874478505491</v>
      </c>
      <c r="K28" s="21">
        <f t="shared" si="2"/>
        <v>1.4156630845489097E-2</v>
      </c>
      <c r="L28" s="21">
        <f t="shared" si="3"/>
        <v>1.1406143821363261E-2</v>
      </c>
      <c r="M28" s="21">
        <f t="shared" si="4"/>
        <v>9.0092113939565815E-2</v>
      </c>
      <c r="N28" s="18">
        <f t="shared" si="5"/>
        <v>3543328</v>
      </c>
      <c r="O28" s="21">
        <v>16</v>
      </c>
      <c r="P28" s="22">
        <v>25521142</v>
      </c>
      <c r="Q28" s="22">
        <v>797535.6875</v>
      </c>
      <c r="R28" s="22">
        <v>20922.53125</v>
      </c>
      <c r="S28" s="23">
        <v>26092896</v>
      </c>
      <c r="T28" s="23">
        <v>2854896</v>
      </c>
      <c r="U28" s="23">
        <v>688432</v>
      </c>
      <c r="V28" s="23">
        <v>22549568</v>
      </c>
      <c r="W28" s="24">
        <v>70.432471875000005</v>
      </c>
      <c r="X28" s="24">
        <v>72.970200000000006</v>
      </c>
      <c r="Y28" s="24">
        <v>34.910971875000001</v>
      </c>
      <c r="Z28" s="24">
        <v>37.373078124999999</v>
      </c>
      <c r="AA28" s="24">
        <v>36.936612500000003</v>
      </c>
      <c r="AB28" s="25">
        <v>1549.75</v>
      </c>
      <c r="AC28" s="25">
        <v>2215.96</v>
      </c>
      <c r="AD28" s="25">
        <v>56.386000000000003</v>
      </c>
      <c r="AE28" s="25">
        <v>31.21</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8" t="e">
        <f t="shared" si="12"/>
        <v>#VALUE!</v>
      </c>
      <c r="BF28" s="26" t="e">
        <f t="shared" si="13"/>
        <v>#DIV/0!</v>
      </c>
      <c r="BG28" s="26" t="e">
        <f t="shared" si="14"/>
        <v>#VALUE!</v>
      </c>
      <c r="BH28" s="26"/>
      <c r="BJ28" s="58"/>
      <c r="BK28" s="58"/>
      <c r="BL28" s="58"/>
      <c r="BM28" s="58"/>
      <c r="BN28" s="58"/>
      <c r="BP28" s="58"/>
      <c r="BQ28" s="58"/>
      <c r="BR28" s="58"/>
      <c r="BS28" s="58"/>
      <c r="BT28" s="58"/>
    </row>
    <row r="29" spans="1:72" outlineLevel="1" x14ac:dyDescent="0.3">
      <c r="A29" s="27"/>
      <c r="B29" s="27" t="s">
        <v>71</v>
      </c>
      <c r="C29" s="28" t="s">
        <v>234</v>
      </c>
      <c r="D29" s="27">
        <v>250294582</v>
      </c>
      <c r="E29" s="28">
        <v>10</v>
      </c>
      <c r="F29" s="28">
        <v>32</v>
      </c>
      <c r="G29" s="28">
        <v>30</v>
      </c>
      <c r="I29" s="29">
        <f t="shared" si="0"/>
        <v>44.176447500000002</v>
      </c>
      <c r="J29" s="30">
        <f t="shared" si="1"/>
        <v>0.18826433885812199</v>
      </c>
      <c r="K29" s="30">
        <f t="shared" si="2"/>
        <v>2.289478243680081E-2</v>
      </c>
      <c r="L29" s="30">
        <f t="shared" si="3"/>
        <v>1.7641772205840237E-2</v>
      </c>
      <c r="M29" s="30">
        <f t="shared" si="4"/>
        <v>0.16536955642132117</v>
      </c>
      <c r="N29" s="27">
        <f t="shared" si="5"/>
        <v>5730440</v>
      </c>
      <c r="O29" s="30">
        <v>16</v>
      </c>
      <c r="P29" s="31">
        <v>24571358</v>
      </c>
      <c r="Q29" s="31">
        <v>767854.9375</v>
      </c>
      <c r="R29" s="31">
        <v>9744.125</v>
      </c>
      <c r="S29" s="32">
        <v>47121544</v>
      </c>
      <c r="T29" s="32">
        <v>4415640</v>
      </c>
      <c r="U29" s="32">
        <v>1314800</v>
      </c>
      <c r="V29" s="32">
        <v>41391104</v>
      </c>
      <c r="W29" s="33">
        <v>71.152737500000001</v>
      </c>
      <c r="X29" s="33">
        <v>74.9055125</v>
      </c>
      <c r="Y29" s="33">
        <v>37.369268750000003</v>
      </c>
      <c r="Z29" s="33">
        <v>39.408925000000004</v>
      </c>
      <c r="AA29" s="33">
        <v>38.766100000000002</v>
      </c>
      <c r="AB29" s="34">
        <v>1551.91</v>
      </c>
      <c r="AC29" s="34">
        <v>2559.58</v>
      </c>
      <c r="AD29" s="34">
        <v>54.137999999999998</v>
      </c>
      <c r="AE29" s="34">
        <v>32.972000000000001</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32</v>
      </c>
      <c r="G30" s="19">
        <v>30</v>
      </c>
      <c r="I30" s="20">
        <f t="shared" si="0"/>
        <v>5.7084599999999996</v>
      </c>
      <c r="J30" s="21">
        <f t="shared" si="1"/>
        <v>1.6219122102309365E-2</v>
      </c>
      <c r="K30" s="21">
        <f t="shared" si="2"/>
        <v>9.9078334772010057E-3</v>
      </c>
      <c r="L30" s="21">
        <f t="shared" si="3"/>
        <v>6.1752286002199775E-3</v>
      </c>
      <c r="M30" s="21">
        <f t="shared" si="4"/>
        <v>6.3112886251083609E-3</v>
      </c>
      <c r="N30" s="18">
        <f t="shared" si="5"/>
        <v>3719624</v>
      </c>
      <c r="O30" s="21">
        <v>16</v>
      </c>
      <c r="P30" s="22">
        <v>84258322</v>
      </c>
      <c r="Q30" s="22">
        <v>2633072.5625</v>
      </c>
      <c r="R30" s="22">
        <v>32425.28125</v>
      </c>
      <c r="S30" s="23">
        <v>6089024</v>
      </c>
      <c r="T30" s="23">
        <v>2318320</v>
      </c>
      <c r="U30" s="23">
        <v>1401304</v>
      </c>
      <c r="V30" s="23">
        <v>2369400</v>
      </c>
      <c r="W30" s="24">
        <v>73.460731249999995</v>
      </c>
      <c r="X30" s="24">
        <v>75.713606249999998</v>
      </c>
      <c r="Y30" s="24">
        <v>34.745109374999998</v>
      </c>
      <c r="Z30" s="24">
        <v>42.167359374999997</v>
      </c>
      <c r="AA30" s="24">
        <v>43.793906249999999</v>
      </c>
      <c r="AB30" s="25">
        <v>3397.8</v>
      </c>
      <c r="AC30" s="25">
        <v>5308.25</v>
      </c>
      <c r="AD30" s="25">
        <v>192.209</v>
      </c>
      <c r="AE30" s="25">
        <v>89.275999999999996</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8" t="e">
        <f t="shared" si="12"/>
        <v>#VALUE!</v>
      </c>
      <c r="BF30" s="26" t="e">
        <f t="shared" si="13"/>
        <v>#DIV/0!</v>
      </c>
      <c r="BG30" s="26" t="e">
        <f t="shared" si="14"/>
        <v>#VALUE!</v>
      </c>
      <c r="BH30" s="26" t="e">
        <f t="array" ref="BH30">AVERAGE(AL30:AL34/AQ30:AQ34) - AVERAGE(N30:N34/S30:S34)</f>
        <v>#VALUE!</v>
      </c>
      <c r="BJ30" s="58" t="str">
        <f>IF( OR(ISBLANK(N30:N34),ISBLANK(AL30:AL34), ISBLANK(W30:W34),ISBLANK(AU30:AU34)), "·", bdRateExtend( N30:N34,W30:W34, AL30:AL34,AU30:AU34))</f>
        <v>·</v>
      </c>
      <c r="BK30" s="58" t="str">
        <f>IF( OR(ISBLANK(N30:N34),ISBLANK(AL30:AL34), ISBLANK(X30:X34),ISBLANK(AV30:AV34)), "·", bdRateExtend( N30:N34,X30:X34, AL30:AL34,AV30:AV34))</f>
        <v>·</v>
      </c>
      <c r="BL30" s="58" t="str">
        <f>IF( OR(ISBLANK(V30:V34),ISBLANK(AT30:AT34), ISBLANK(Y30:Y34),ISBLANK(AW30:AW34)), "·", bdRateExtend( V30:V34,Y30:Y34, AT30:AT34,AW30:AW34))</f>
        <v>·</v>
      </c>
      <c r="BM30" s="58" t="str">
        <f>IF( OR(ISBLANK(V30:V34),ISBLANK(AT30:AT34), ISBLANK(Z30:Z34),ISBLANK(AX30:AX34)), "·", bdRateExtend( V30:V34,Z30:Z34, AT30:AT34,AX30:AX34))</f>
        <v>·</v>
      </c>
      <c r="BN30" s="58" t="str">
        <f>IF( OR(ISBLANK(V30:V34),ISBLANK(AT30:AT34), ISBLANK(AA30:AA34),ISBLANK(AY30:AY34)), "·", bdRateExtend( V30:V34,AA30:AA34, AT30:AT34,AY30:AY34))</f>
        <v>·</v>
      </c>
      <c r="BP30" s="58" t="str">
        <f>IF( OR(ISBLANK(S30:S34),ISBLANK(AQ30:AQ34), ISBLANK(W30:W34),ISBLANK(AU30:AU34)), "·", bdRateExtend( S30:S34,W30:W34, AQ30:AQ34,AU30:AU34))</f>
        <v>·</v>
      </c>
      <c r="BQ30" s="58" t="str">
        <f>IF( OR(ISBLANK(S30:S34),ISBLANK(AQ30:AQ34), ISBLANK(X30:X34),ISBLANK(AV30:AV34)), "·", bdRateExtend( S30:S34,X30:X34, AQ30:AQ34,AV30:AV34))</f>
        <v>·</v>
      </c>
      <c r="BR30" s="58" t="str">
        <f>IF( OR(ISBLANK(S30:S34),ISBLANK(AQ30:AQ34), ISBLANK(Y30:Y34),ISBLANK(AW30:AW34)), "·", bdRateExtend( S30:S34,Y30:Y34, AQ30:AQ34,AW30:AW34))</f>
        <v>·</v>
      </c>
      <c r="BS30" s="58" t="str">
        <f>IF( OR(ISBLANK(S30:S34),ISBLANK(AQ30:AQ34), ISBLANK(Z30:Z34),ISBLANK(AX30:AX34)), "·", bdRateExtend( S30:S34,Z30:Z34, AQ30:AQ34,AX30:AX34))</f>
        <v>·</v>
      </c>
      <c r="BT30" s="58" t="str">
        <f>IF( OR(ISBLANK(S30:S34),ISBLANK(AQ30:AQ34), ISBLANK(AA30:AA34),ISBLANK(AY30:AY34)), "·", bdRateExtend( S30:S34,AA30:AA34, AQ30:AQ34,AY30:AY34))</f>
        <v>·</v>
      </c>
    </row>
    <row r="31" spans="1:72" outlineLevel="1" x14ac:dyDescent="0.3">
      <c r="A31" s="129"/>
      <c r="B31" s="129" t="s">
        <v>75</v>
      </c>
      <c r="C31" s="10" t="s">
        <v>231</v>
      </c>
      <c r="D31" s="129">
        <v>375422539</v>
      </c>
      <c r="E31" s="10">
        <v>11</v>
      </c>
      <c r="F31" s="10">
        <v>32</v>
      </c>
      <c r="G31" s="10">
        <v>30</v>
      </c>
      <c r="I31" s="11">
        <f t="shared" si="0"/>
        <v>8.15076</v>
      </c>
      <c r="J31" s="12">
        <f t="shared" si="1"/>
        <v>2.3158289918229977E-2</v>
      </c>
      <c r="K31" s="12">
        <f t="shared" si="2"/>
        <v>1.2203614658309048E-2</v>
      </c>
      <c r="L31" s="12">
        <f t="shared" si="3"/>
        <v>8.4710097813280195E-3</v>
      </c>
      <c r="M31" s="12">
        <f t="shared" si="4"/>
        <v>1.0954675259920929E-2</v>
      </c>
      <c r="N31" s="129">
        <f t="shared" si="5"/>
        <v>4581512</v>
      </c>
      <c r="O31" s="12">
        <v>16</v>
      </c>
      <c r="P31" s="13">
        <v>89857639</v>
      </c>
      <c r="Q31" s="13">
        <v>2808051.21875</v>
      </c>
      <c r="R31" s="13">
        <v>41097.03125</v>
      </c>
      <c r="S31" s="14">
        <v>8694144</v>
      </c>
      <c r="T31" s="14">
        <v>3180208</v>
      </c>
      <c r="U31" s="14">
        <v>1401304</v>
      </c>
      <c r="V31" s="14">
        <v>4112632</v>
      </c>
      <c r="W31" s="15">
        <v>75.170684374999993</v>
      </c>
      <c r="X31" s="15">
        <v>77.575240625000006</v>
      </c>
      <c r="Y31" s="15">
        <v>36.650725000000001</v>
      </c>
      <c r="Z31" s="15">
        <v>42.678503124999999</v>
      </c>
      <c r="AA31" s="15">
        <v>45.052521874999996</v>
      </c>
      <c r="AB31" s="16">
        <v>3400.78</v>
      </c>
      <c r="AC31" s="16">
        <v>5536.83</v>
      </c>
      <c r="AD31" s="16">
        <v>204.279</v>
      </c>
      <c r="AE31" s="16">
        <v>88.79</v>
      </c>
      <c r="AG31" s="11" t="str">
        <f t="shared" si="6"/>
        <v>·</v>
      </c>
      <c r="AH31" s="12" t="str">
        <f t="shared" si="7"/>
        <v>·</v>
      </c>
      <c r="AI31" s="12" t="str">
        <f t="shared" si="8"/>
        <v>·</v>
      </c>
      <c r="AJ31" s="12" t="str">
        <f t="shared" si="9"/>
        <v>·</v>
      </c>
      <c r="AK31" s="12" t="str">
        <f t="shared" si="10"/>
        <v>·</v>
      </c>
      <c r="AL31" s="129" t="str">
        <f t="shared" si="11"/>
        <v/>
      </c>
      <c r="AM31" s="12">
        <v>16</v>
      </c>
      <c r="AN31" s="13"/>
      <c r="AO31" s="13"/>
      <c r="AP31" s="13"/>
      <c r="AQ31" s="14"/>
      <c r="AR31" s="14"/>
      <c r="AS31" s="14"/>
      <c r="AT31" s="14"/>
      <c r="AU31" s="15"/>
      <c r="AV31" s="15"/>
      <c r="AW31" s="15"/>
      <c r="AX31" s="15"/>
      <c r="AY31" s="15"/>
      <c r="AZ31" s="16"/>
      <c r="BA31" s="16"/>
      <c r="BB31" s="16"/>
      <c r="BC31" s="16"/>
      <c r="BE31" s="62" t="e">
        <f t="shared" si="12"/>
        <v>#VALUE!</v>
      </c>
      <c r="BF31" s="17" t="e">
        <f t="shared" si="13"/>
        <v>#DIV/0!</v>
      </c>
      <c r="BG31" s="17" t="e">
        <f t="shared" si="14"/>
        <v>#VALUE!</v>
      </c>
      <c r="BH31" s="17"/>
      <c r="BJ31" s="62"/>
      <c r="BK31" s="62"/>
      <c r="BL31" s="62"/>
      <c r="BM31" s="62"/>
      <c r="BN31" s="62"/>
      <c r="BP31" s="62"/>
      <c r="BQ31" s="62"/>
      <c r="BR31" s="62"/>
      <c r="BS31" s="62"/>
      <c r="BT31" s="62"/>
    </row>
    <row r="32" spans="1:72" outlineLevel="1" x14ac:dyDescent="0.3">
      <c r="A32" s="18"/>
      <c r="B32" s="18" t="s">
        <v>75</v>
      </c>
      <c r="C32" s="19" t="s">
        <v>232</v>
      </c>
      <c r="D32" s="18">
        <v>375422539</v>
      </c>
      <c r="E32" s="19">
        <v>11</v>
      </c>
      <c r="F32" s="19">
        <v>32</v>
      </c>
      <c r="G32" s="19">
        <v>30</v>
      </c>
      <c r="I32" s="20">
        <f t="shared" si="0"/>
        <v>12.6393825</v>
      </c>
      <c r="J32" s="21">
        <f t="shared" si="1"/>
        <v>3.5911557244036434E-2</v>
      </c>
      <c r="K32" s="21">
        <f t="shared" si="2"/>
        <v>1.5510075701661588E-2</v>
      </c>
      <c r="L32" s="21">
        <f t="shared" si="3"/>
        <v>1.1777470824680562E-2</v>
      </c>
      <c r="M32" s="21">
        <f t="shared" si="4"/>
        <v>2.0401481542374846E-2</v>
      </c>
      <c r="N32" s="18">
        <f t="shared" si="5"/>
        <v>5822832</v>
      </c>
      <c r="O32" s="21">
        <v>16</v>
      </c>
      <c r="P32" s="22">
        <v>91814344</v>
      </c>
      <c r="Q32" s="22">
        <v>2869198.25</v>
      </c>
      <c r="R32" s="22">
        <v>44687.40625</v>
      </c>
      <c r="S32" s="23">
        <v>13482008</v>
      </c>
      <c r="T32" s="23">
        <v>4421528</v>
      </c>
      <c r="U32" s="23">
        <v>1401304</v>
      </c>
      <c r="V32" s="23">
        <v>7659176</v>
      </c>
      <c r="W32" s="24">
        <v>76.466315624999993</v>
      </c>
      <c r="X32" s="24">
        <v>79.123750000000001</v>
      </c>
      <c r="Y32" s="24">
        <v>38.406484374999998</v>
      </c>
      <c r="Z32" s="24">
        <v>43.205109374999999</v>
      </c>
      <c r="AA32" s="24">
        <v>46.226287499999998</v>
      </c>
      <c r="AB32" s="25">
        <v>3420.93</v>
      </c>
      <c r="AC32" s="25">
        <v>5749.15</v>
      </c>
      <c r="AD32" s="25">
        <v>208.06</v>
      </c>
      <c r="AE32" s="25">
        <v>89.891999999999996</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8" t="e">
        <f t="shared" si="12"/>
        <v>#VALUE!</v>
      </c>
      <c r="BF32" s="26" t="e">
        <f t="shared" si="13"/>
        <v>#DIV/0!</v>
      </c>
      <c r="BG32" s="26" t="e">
        <f t="shared" si="14"/>
        <v>#VALUE!</v>
      </c>
      <c r="BH32" s="26"/>
      <c r="BJ32" s="58"/>
      <c r="BK32" s="58"/>
      <c r="BL32" s="58"/>
      <c r="BM32" s="58"/>
      <c r="BN32" s="58"/>
      <c r="BP32" s="58"/>
      <c r="BQ32" s="58"/>
      <c r="BR32" s="58"/>
      <c r="BS32" s="58"/>
      <c r="BT32" s="58"/>
    </row>
    <row r="33" spans="1:72" outlineLevel="1" x14ac:dyDescent="0.3">
      <c r="A33" s="129"/>
      <c r="B33" s="129" t="s">
        <v>75</v>
      </c>
      <c r="C33" s="10" t="s">
        <v>233</v>
      </c>
      <c r="D33" s="129">
        <v>375422539</v>
      </c>
      <c r="E33" s="10">
        <v>11</v>
      </c>
      <c r="F33" s="10">
        <v>32</v>
      </c>
      <c r="G33" s="10">
        <v>30</v>
      </c>
      <c r="I33" s="11">
        <f t="shared" si="0"/>
        <v>21.138787499999999</v>
      </c>
      <c r="J33" s="12">
        <f t="shared" si="1"/>
        <v>6.0060432333286201E-2</v>
      </c>
      <c r="K33" s="12">
        <f t="shared" si="2"/>
        <v>2.0979710011497205E-2</v>
      </c>
      <c r="L33" s="12">
        <f t="shared" si="3"/>
        <v>1.7247105134516178E-2</v>
      </c>
      <c r="M33" s="12">
        <f t="shared" si="4"/>
        <v>3.9080722321788997E-2</v>
      </c>
      <c r="N33" s="129">
        <f t="shared" si="5"/>
        <v>7876256</v>
      </c>
      <c r="O33" s="12">
        <v>16</v>
      </c>
      <c r="P33" s="13">
        <v>93918250</v>
      </c>
      <c r="Q33" s="13">
        <v>2934945.3125</v>
      </c>
      <c r="R33" s="13">
        <v>49412.375</v>
      </c>
      <c r="S33" s="14">
        <v>22548040</v>
      </c>
      <c r="T33" s="14">
        <v>6474952</v>
      </c>
      <c r="U33" s="14">
        <v>1401304</v>
      </c>
      <c r="V33" s="14">
        <v>14671784</v>
      </c>
      <c r="W33" s="15">
        <v>77.598421875</v>
      </c>
      <c r="X33" s="15">
        <v>80.328506250000004</v>
      </c>
      <c r="Y33" s="15">
        <v>40.000678125</v>
      </c>
      <c r="Z33" s="15">
        <v>43.908221875000002</v>
      </c>
      <c r="AA33" s="15">
        <v>47.816415624999998</v>
      </c>
      <c r="AB33" s="16">
        <v>3437.42</v>
      </c>
      <c r="AC33" s="16">
        <v>6125.92</v>
      </c>
      <c r="AD33" s="16">
        <v>212.69300000000001</v>
      </c>
      <c r="AE33" s="16">
        <v>91.739000000000004</v>
      </c>
      <c r="AG33" s="11" t="str">
        <f t="shared" si="6"/>
        <v>·</v>
      </c>
      <c r="AH33" s="12" t="str">
        <f t="shared" si="7"/>
        <v>·</v>
      </c>
      <c r="AI33" s="12" t="str">
        <f t="shared" si="8"/>
        <v>·</v>
      </c>
      <c r="AJ33" s="12" t="str">
        <f t="shared" si="9"/>
        <v>·</v>
      </c>
      <c r="AK33" s="12" t="str">
        <f t="shared" si="10"/>
        <v>·</v>
      </c>
      <c r="AL33" s="129" t="str">
        <f t="shared" si="11"/>
        <v/>
      </c>
      <c r="AM33" s="12">
        <v>16</v>
      </c>
      <c r="AN33" s="13"/>
      <c r="AO33" s="13"/>
      <c r="AP33" s="13"/>
      <c r="AQ33" s="14"/>
      <c r="AR33" s="14"/>
      <c r="AS33" s="14"/>
      <c r="AT33" s="14"/>
      <c r="AU33" s="15"/>
      <c r="AV33" s="15"/>
      <c r="AW33" s="15"/>
      <c r="AX33" s="15"/>
      <c r="AY33" s="15"/>
      <c r="AZ33" s="16"/>
      <c r="BA33" s="16"/>
      <c r="BB33" s="16"/>
      <c r="BC33" s="16"/>
      <c r="BE33" s="62" t="e">
        <f t="shared" si="12"/>
        <v>#VALUE!</v>
      </c>
      <c r="BF33" s="17" t="e">
        <f t="shared" si="13"/>
        <v>#DIV/0!</v>
      </c>
      <c r="BG33" s="17" t="e">
        <f t="shared" si="14"/>
        <v>#VALUE!</v>
      </c>
      <c r="BH33" s="17"/>
      <c r="BJ33" s="62"/>
      <c r="BK33" s="62"/>
      <c r="BL33" s="62"/>
      <c r="BM33" s="62"/>
      <c r="BN33" s="62"/>
      <c r="BP33" s="62"/>
      <c r="BQ33" s="62"/>
      <c r="BR33" s="62"/>
      <c r="BS33" s="62"/>
      <c r="BT33" s="62"/>
    </row>
    <row r="34" spans="1:72" outlineLevel="1" x14ac:dyDescent="0.3">
      <c r="A34" s="18"/>
      <c r="B34" s="37" t="s">
        <v>75</v>
      </c>
      <c r="C34" s="38" t="s">
        <v>234</v>
      </c>
      <c r="D34" s="37">
        <v>375422539</v>
      </c>
      <c r="E34" s="38">
        <v>11</v>
      </c>
      <c r="F34" s="38">
        <v>32</v>
      </c>
      <c r="G34" s="38">
        <v>30</v>
      </c>
      <c r="I34" s="39">
        <f t="shared" si="0"/>
        <v>39.806055000000001</v>
      </c>
      <c r="J34" s="40">
        <f t="shared" si="1"/>
        <v>0.11309867572974887</v>
      </c>
      <c r="K34" s="40">
        <f t="shared" si="2"/>
        <v>3.3647526953622782E-2</v>
      </c>
      <c r="L34" s="40">
        <f t="shared" si="3"/>
        <v>2.6181230424207429E-2</v>
      </c>
      <c r="M34" s="40">
        <f t="shared" si="4"/>
        <v>7.9451148776126093E-2</v>
      </c>
      <c r="N34" s="37">
        <f t="shared" si="5"/>
        <v>12632040</v>
      </c>
      <c r="O34" s="40">
        <v>16</v>
      </c>
      <c r="P34" s="41">
        <v>92079625</v>
      </c>
      <c r="Q34" s="41">
        <v>2877488.28125</v>
      </c>
      <c r="R34" s="41">
        <v>21318.28125</v>
      </c>
      <c r="S34" s="42">
        <v>42459792</v>
      </c>
      <c r="T34" s="42">
        <v>9829024</v>
      </c>
      <c r="U34" s="42">
        <v>2803016</v>
      </c>
      <c r="V34" s="42">
        <v>29827752</v>
      </c>
      <c r="W34" s="43">
        <v>78.535987500000005</v>
      </c>
      <c r="X34" s="43">
        <v>81.998384375000001</v>
      </c>
      <c r="Y34" s="43">
        <v>41.515903125000001</v>
      </c>
      <c r="Z34" s="43">
        <v>44.700215624999998</v>
      </c>
      <c r="AA34" s="43">
        <v>49.230596875000003</v>
      </c>
      <c r="AB34" s="44">
        <v>3414.67</v>
      </c>
      <c r="AC34" s="44">
        <v>6686.11</v>
      </c>
      <c r="AD34" s="44">
        <v>207.86199999999999</v>
      </c>
      <c r="AE34" s="44">
        <v>96.98</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3">
      <c r="A35" s="129"/>
      <c r="B35" s="129" t="s">
        <v>80</v>
      </c>
      <c r="C35" s="10" t="s">
        <v>230</v>
      </c>
      <c r="D35" s="129">
        <v>333190689</v>
      </c>
      <c r="E35" s="10">
        <v>11</v>
      </c>
      <c r="F35" s="10">
        <v>32</v>
      </c>
      <c r="G35" s="10">
        <v>30</v>
      </c>
      <c r="I35" s="11">
        <f t="shared" si="0"/>
        <v>6.3476774999999996</v>
      </c>
      <c r="J35" s="12">
        <f t="shared" si="1"/>
        <v>2.032126413952702E-2</v>
      </c>
      <c r="K35" s="12">
        <f t="shared" si="2"/>
        <v>1.1738623344303598E-2</v>
      </c>
      <c r="L35" s="12">
        <f t="shared" si="3"/>
        <v>7.2102134882886838E-3</v>
      </c>
      <c r="M35" s="12">
        <f t="shared" si="4"/>
        <v>8.5826407952234226E-3</v>
      </c>
      <c r="N35" s="129">
        <f t="shared" si="5"/>
        <v>3911200</v>
      </c>
      <c r="O35" s="12">
        <v>16</v>
      </c>
      <c r="P35" s="13">
        <v>74688855</v>
      </c>
      <c r="Q35" s="13">
        <v>2334026.71875</v>
      </c>
      <c r="R35" s="13">
        <v>31011.90625</v>
      </c>
      <c r="S35" s="14">
        <v>6770856</v>
      </c>
      <c r="T35" s="14">
        <v>2402376</v>
      </c>
      <c r="U35" s="14">
        <v>1508824</v>
      </c>
      <c r="V35" s="14">
        <v>2859656</v>
      </c>
      <c r="W35" s="15">
        <v>73.191281250000003</v>
      </c>
      <c r="X35" s="15">
        <v>75.430568750000006</v>
      </c>
      <c r="Y35" s="15">
        <v>33.996271874999998</v>
      </c>
      <c r="Z35" s="15">
        <v>42.563065625</v>
      </c>
      <c r="AA35" s="15">
        <v>44.049106250000001</v>
      </c>
      <c r="AB35" s="16">
        <v>3109.8</v>
      </c>
      <c r="AC35" s="16">
        <v>7853.53</v>
      </c>
      <c r="AD35" s="16">
        <v>174.95</v>
      </c>
      <c r="AE35" s="16">
        <v>138.65199999999999</v>
      </c>
      <c r="AG35" s="11" t="str">
        <f t="shared" si="6"/>
        <v>·</v>
      </c>
      <c r="AH35" s="12" t="str">
        <f t="shared" si="7"/>
        <v>·</v>
      </c>
      <c r="AI35" s="12" t="str">
        <f t="shared" si="8"/>
        <v>·</v>
      </c>
      <c r="AJ35" s="12" t="str">
        <f t="shared" si="9"/>
        <v>·</v>
      </c>
      <c r="AK35" s="12" t="str">
        <f t="shared" si="10"/>
        <v>·</v>
      </c>
      <c r="AL35" s="129" t="str">
        <f t="shared" si="11"/>
        <v/>
      </c>
      <c r="AM35" s="12">
        <v>16</v>
      </c>
      <c r="AN35" s="13"/>
      <c r="AO35" s="13"/>
      <c r="AP35" s="13"/>
      <c r="AQ35" s="14"/>
      <c r="AR35" s="14"/>
      <c r="AS35" s="14"/>
      <c r="AT35" s="14"/>
      <c r="AU35" s="15"/>
      <c r="AV35" s="15"/>
      <c r="AW35" s="15"/>
      <c r="AX35" s="15"/>
      <c r="AY35" s="15"/>
      <c r="AZ35" s="16"/>
      <c r="BA35" s="16"/>
      <c r="BB35" s="16"/>
      <c r="BC35" s="16"/>
      <c r="BE35" s="62" t="e">
        <f t="shared" si="12"/>
        <v>#VALUE!</v>
      </c>
      <c r="BF35" s="17" t="e">
        <f t="shared" si="13"/>
        <v>#DIV/0!</v>
      </c>
      <c r="BG35" s="17" t="e">
        <f t="shared" si="14"/>
        <v>#VALUE!</v>
      </c>
      <c r="BH35" s="17" t="e">
        <f t="array" ref="BH35">AVERAGE(AL35:AL39/AQ35:AQ39) - AVERAGE(N35:N39/S35:S39)</f>
        <v>#VALUE!</v>
      </c>
      <c r="BJ35" s="62" t="str">
        <f>IF( OR(ISBLANK(N35:N39),ISBLANK(AL35:AL39), ISBLANK(W35:W39),ISBLANK(AU35:AU39)), "·", bdRateExtend( N35:N39,W35:W39, AL35:AL39,AU35:AU39))</f>
        <v>·</v>
      </c>
      <c r="BK35" s="62" t="str">
        <f>IF( OR(ISBLANK(N35:N39),ISBLANK(AL35:AL39), ISBLANK(X35:X39),ISBLANK(AV35:AV39)), "·", bdRateExtend( N35:N39,X35:X39, AL35:AL39,AV35:AV39))</f>
        <v>·</v>
      </c>
      <c r="BL35" s="62" t="str">
        <f>IF( OR(ISBLANK(V35:V39),ISBLANK(AT35:AT39), ISBLANK(Y35:Y39),ISBLANK(AW35:AW39)), "·", bdRateExtend( V35:V39,Y35:Y39, AT35:AT39,AW35:AW39))</f>
        <v>·</v>
      </c>
      <c r="BM35" s="62" t="str">
        <f>IF( OR(ISBLANK(V35:V39),ISBLANK(AT35:AT39), ISBLANK(Z35:Z39),ISBLANK(AX35:AX39)), "·", bdRateExtend( V35:V39,Z35:Z39, AT35:AT39,AX35:AX39))</f>
        <v>·</v>
      </c>
      <c r="BN35" s="62" t="str">
        <f>IF( OR(ISBLANK(V35:V39),ISBLANK(AT35:AT39), ISBLANK(AA35:AA39),ISBLANK(AY35:AY39)), "·", bdRateExtend( V35:V39,AA35:AA39, AT35:AT39,AY35:AY39))</f>
        <v>·</v>
      </c>
      <c r="BP35" s="62" t="str">
        <f>IF( OR(ISBLANK(S35:S39),ISBLANK(AQ35:AQ39), ISBLANK(W35:W39),ISBLANK(AU35:AU39)), "·", bdRateExtend( S35:S39,W35:W39, AQ35:AQ39,AU35:AU39))</f>
        <v>·</v>
      </c>
      <c r="BQ35" s="62" t="str">
        <f>IF( OR(ISBLANK(S35:S39),ISBLANK(AQ35:AQ39), ISBLANK(X35:X39),ISBLANK(AV35:AV39)), "·", bdRateExtend( S35:S39,X35:X39, AQ35:AQ39,AV35:AV39))</f>
        <v>·</v>
      </c>
      <c r="BR35" s="62" t="str">
        <f>IF( OR(ISBLANK(S35:S39),ISBLANK(AQ35:AQ39), ISBLANK(Y35:Y39),ISBLANK(AW35:AW39)), "·", bdRateExtend( S35:S39,Y35:Y39, AQ35:AQ39,AW35:AW39))</f>
        <v>·</v>
      </c>
      <c r="BS35" s="62" t="str">
        <f>IF( OR(ISBLANK(S35:S39),ISBLANK(AQ35:AQ39), ISBLANK(Z35:Z39),ISBLANK(AX35:AX39)), "·", bdRateExtend( S35:S39,Z35:Z39, AQ35:AQ39,AX35:AX39))</f>
        <v>·</v>
      </c>
      <c r="BT35" s="62" t="str">
        <f>IF( OR(ISBLANK(S35:S39),ISBLANK(AQ35:AQ39), ISBLANK(AA35:AA39),ISBLANK(AY35:AY39)), "·", bdRateExtend( S35:S39,AA35:AA39, AQ35:AQ39,AY35:AY39))</f>
        <v>·</v>
      </c>
    </row>
    <row r="36" spans="1:72" outlineLevel="1" x14ac:dyDescent="0.3">
      <c r="A36" s="18"/>
      <c r="B36" s="18" t="s">
        <v>80</v>
      </c>
      <c r="C36" s="19" t="s">
        <v>231</v>
      </c>
      <c r="D36" s="18">
        <v>333190689</v>
      </c>
      <c r="E36" s="19">
        <v>11</v>
      </c>
      <c r="F36" s="19">
        <v>32</v>
      </c>
      <c r="G36" s="19">
        <v>30</v>
      </c>
      <c r="I36" s="20">
        <f t="shared" si="0"/>
        <v>9.0438150000000004</v>
      </c>
      <c r="J36" s="21">
        <f t="shared" si="1"/>
        <v>2.8952597772022373E-2</v>
      </c>
      <c r="K36" s="21">
        <f t="shared" si="2"/>
        <v>1.4334206079810351E-2</v>
      </c>
      <c r="L36" s="21">
        <f t="shared" si="3"/>
        <v>9.8057962237954373E-3</v>
      </c>
      <c r="M36" s="21">
        <f t="shared" si="4"/>
        <v>1.4618391692212023E-2</v>
      </c>
      <c r="N36" s="18">
        <f t="shared" si="5"/>
        <v>4776024</v>
      </c>
      <c r="O36" s="21">
        <v>16</v>
      </c>
      <c r="P36" s="22">
        <v>79945808</v>
      </c>
      <c r="Q36" s="22">
        <v>2498306.5</v>
      </c>
      <c r="R36" s="22">
        <v>39523.15625</v>
      </c>
      <c r="S36" s="23">
        <v>9646736</v>
      </c>
      <c r="T36" s="23">
        <v>3267200</v>
      </c>
      <c r="U36" s="23">
        <v>1508824</v>
      </c>
      <c r="V36" s="23">
        <v>4870712</v>
      </c>
      <c r="W36" s="24">
        <v>74.930581250000003</v>
      </c>
      <c r="X36" s="24">
        <v>77.358815625000005</v>
      </c>
      <c r="Y36" s="24">
        <v>36.098925000000001</v>
      </c>
      <c r="Z36" s="24">
        <v>43.168593749999999</v>
      </c>
      <c r="AA36" s="24">
        <v>45.335743749999999</v>
      </c>
      <c r="AB36" s="25">
        <v>3146.32</v>
      </c>
      <c r="AC36" s="25">
        <v>8116.93</v>
      </c>
      <c r="AD36" s="25">
        <v>187.005</v>
      </c>
      <c r="AE36" s="25">
        <v>131.297</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8" t="e">
        <f t="shared" si="12"/>
        <v>#VALUE!</v>
      </c>
      <c r="BF36" s="26" t="e">
        <f t="shared" si="13"/>
        <v>#DIV/0!</v>
      </c>
      <c r="BG36" s="26" t="e">
        <f t="shared" si="14"/>
        <v>#VALUE!</v>
      </c>
      <c r="BH36" s="26"/>
      <c r="BJ36" s="58"/>
      <c r="BK36" s="58"/>
      <c r="BL36" s="58"/>
      <c r="BM36" s="58"/>
      <c r="BN36" s="58"/>
      <c r="BP36" s="58"/>
      <c r="BQ36" s="58"/>
      <c r="BR36" s="58"/>
      <c r="BS36" s="58"/>
      <c r="BT36" s="58"/>
    </row>
    <row r="37" spans="1:72" outlineLevel="1" x14ac:dyDescent="0.3">
      <c r="A37" s="129"/>
      <c r="B37" s="129" t="s">
        <v>80</v>
      </c>
      <c r="C37" s="10" t="s">
        <v>232</v>
      </c>
      <c r="D37" s="129">
        <v>333190689</v>
      </c>
      <c r="E37" s="10">
        <v>11</v>
      </c>
      <c r="F37" s="10">
        <v>32</v>
      </c>
      <c r="G37" s="10">
        <v>30</v>
      </c>
      <c r="I37" s="11">
        <f t="shared" si="0"/>
        <v>13.752202499999999</v>
      </c>
      <c r="J37" s="12">
        <f t="shared" si="1"/>
        <v>4.4025888130385299E-2</v>
      </c>
      <c r="K37" s="12">
        <f t="shared" si="2"/>
        <v>1.8133303839111783E-2</v>
      </c>
      <c r="L37" s="12">
        <f t="shared" si="3"/>
        <v>1.3604893983096869E-2</v>
      </c>
      <c r="M37" s="12">
        <f t="shared" si="4"/>
        <v>2.5892584291273519E-2</v>
      </c>
      <c r="N37" s="129">
        <f t="shared" si="5"/>
        <v>6041848</v>
      </c>
      <c r="O37" s="12">
        <v>16</v>
      </c>
      <c r="P37" s="13">
        <v>81780101</v>
      </c>
      <c r="Q37" s="13">
        <v>2555628.15625</v>
      </c>
      <c r="R37" s="13">
        <v>43014.71875</v>
      </c>
      <c r="S37" s="14">
        <v>14669016</v>
      </c>
      <c r="T37" s="14">
        <v>4533024</v>
      </c>
      <c r="U37" s="14">
        <v>1508824</v>
      </c>
      <c r="V37" s="14">
        <v>8627168</v>
      </c>
      <c r="W37" s="15">
        <v>76.238812499999995</v>
      </c>
      <c r="X37" s="15">
        <v>78.941209375</v>
      </c>
      <c r="Y37" s="15">
        <v>37.928059374999997</v>
      </c>
      <c r="Z37" s="15">
        <v>43.745262500000003</v>
      </c>
      <c r="AA37" s="15">
        <v>46.49266875</v>
      </c>
      <c r="AB37" s="16">
        <v>3135.73</v>
      </c>
      <c r="AC37" s="16">
        <v>8322.07</v>
      </c>
      <c r="AD37" s="16">
        <v>190.392</v>
      </c>
      <c r="AE37" s="16">
        <v>132.68100000000001</v>
      </c>
      <c r="AG37" s="11" t="str">
        <f t="shared" si="6"/>
        <v>·</v>
      </c>
      <c r="AH37" s="12" t="str">
        <f t="shared" si="7"/>
        <v>·</v>
      </c>
      <c r="AI37" s="12" t="str">
        <f t="shared" si="8"/>
        <v>·</v>
      </c>
      <c r="AJ37" s="12" t="str">
        <f t="shared" si="9"/>
        <v>·</v>
      </c>
      <c r="AK37" s="12" t="str">
        <f t="shared" si="10"/>
        <v>·</v>
      </c>
      <c r="AL37" s="129" t="str">
        <f t="shared" si="11"/>
        <v/>
      </c>
      <c r="AM37" s="12">
        <v>16</v>
      </c>
      <c r="AN37" s="13"/>
      <c r="AO37" s="13"/>
      <c r="AP37" s="13"/>
      <c r="AQ37" s="14"/>
      <c r="AR37" s="14"/>
      <c r="AS37" s="14"/>
      <c r="AT37" s="14"/>
      <c r="AU37" s="15"/>
      <c r="AV37" s="15"/>
      <c r="AW37" s="15"/>
      <c r="AX37" s="15"/>
      <c r="AY37" s="15"/>
      <c r="AZ37" s="16"/>
      <c r="BA37" s="16"/>
      <c r="BB37" s="16"/>
      <c r="BC37" s="16"/>
      <c r="BE37" s="62" t="e">
        <f t="shared" si="12"/>
        <v>#VALUE!</v>
      </c>
      <c r="BF37" s="17" t="e">
        <f t="shared" si="13"/>
        <v>#DIV/0!</v>
      </c>
      <c r="BG37" s="17" t="e">
        <f t="shared" si="14"/>
        <v>#VALUE!</v>
      </c>
      <c r="BH37" s="17"/>
      <c r="BJ37" s="62"/>
      <c r="BK37" s="62"/>
      <c r="BL37" s="62"/>
      <c r="BM37" s="62"/>
      <c r="BN37" s="62"/>
      <c r="BP37" s="62"/>
      <c r="BQ37" s="62"/>
      <c r="BR37" s="62"/>
      <c r="BS37" s="62"/>
      <c r="BT37" s="62"/>
    </row>
    <row r="38" spans="1:72" outlineLevel="1" x14ac:dyDescent="0.3">
      <c r="A38" s="18"/>
      <c r="B38" s="18" t="s">
        <v>80</v>
      </c>
      <c r="C38" s="19" t="s">
        <v>233</v>
      </c>
      <c r="D38" s="18">
        <v>333190689</v>
      </c>
      <c r="E38" s="19">
        <v>11</v>
      </c>
      <c r="F38" s="19">
        <v>32</v>
      </c>
      <c r="G38" s="19">
        <v>30</v>
      </c>
      <c r="I38" s="20">
        <f t="shared" si="0"/>
        <v>22.9923225</v>
      </c>
      <c r="J38" s="21">
        <f t="shared" si="1"/>
        <v>7.3606930834732895E-2</v>
      </c>
      <c r="K38" s="21">
        <f t="shared" si="2"/>
        <v>2.4327834683279519E-2</v>
      </c>
      <c r="L38" s="21">
        <f t="shared" si="3"/>
        <v>1.9799424827264607E-2</v>
      </c>
      <c r="M38" s="21">
        <f t="shared" si="4"/>
        <v>4.9279096151453379E-2</v>
      </c>
      <c r="N38" s="18">
        <f t="shared" si="5"/>
        <v>8105808</v>
      </c>
      <c r="O38" s="21">
        <v>16</v>
      </c>
      <c r="P38" s="22">
        <v>83963908</v>
      </c>
      <c r="Q38" s="22">
        <v>2623872.125</v>
      </c>
      <c r="R38" s="22">
        <v>48278.125</v>
      </c>
      <c r="S38" s="23">
        <v>24525144</v>
      </c>
      <c r="T38" s="23">
        <v>6596984</v>
      </c>
      <c r="U38" s="23">
        <v>1508824</v>
      </c>
      <c r="V38" s="23">
        <v>16419336</v>
      </c>
      <c r="W38" s="24">
        <v>77.418415624999994</v>
      </c>
      <c r="X38" s="24">
        <v>80.140518749999998</v>
      </c>
      <c r="Y38" s="24">
        <v>39.696712499999997</v>
      </c>
      <c r="Z38" s="24">
        <v>44.531153125000003</v>
      </c>
      <c r="AA38" s="24">
        <v>47.804796875000001</v>
      </c>
      <c r="AB38" s="25">
        <v>3135.73</v>
      </c>
      <c r="AC38" s="25">
        <v>8717.61</v>
      </c>
      <c r="AD38" s="25">
        <v>195.68700000000001</v>
      </c>
      <c r="AE38" s="25">
        <v>137.18600000000001</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8" t="e">
        <f t="shared" si="12"/>
        <v>#VALUE!</v>
      </c>
      <c r="BF38" s="26" t="e">
        <f t="shared" si="13"/>
        <v>#DIV/0!</v>
      </c>
      <c r="BG38" s="26" t="e">
        <f t="shared" si="14"/>
        <v>#VALUE!</v>
      </c>
      <c r="BH38" s="26"/>
      <c r="BJ38" s="58"/>
      <c r="BK38" s="58"/>
      <c r="BL38" s="58"/>
      <c r="BM38" s="58"/>
      <c r="BN38" s="58"/>
      <c r="BP38" s="58"/>
      <c r="BQ38" s="58"/>
      <c r="BR38" s="58"/>
      <c r="BS38" s="58"/>
      <c r="BT38" s="58"/>
    </row>
    <row r="39" spans="1:72" outlineLevel="1" x14ac:dyDescent="0.3">
      <c r="A39" s="27"/>
      <c r="B39" s="27" t="s">
        <v>80</v>
      </c>
      <c r="C39" s="28" t="s">
        <v>234</v>
      </c>
      <c r="D39" s="27">
        <v>333190689</v>
      </c>
      <c r="E39" s="28">
        <v>11</v>
      </c>
      <c r="F39" s="28">
        <v>32</v>
      </c>
      <c r="G39" s="28">
        <v>30</v>
      </c>
      <c r="I39" s="29">
        <f t="shared" si="0"/>
        <v>42.363232500000002</v>
      </c>
      <c r="J39" s="30">
        <f t="shared" si="1"/>
        <v>0.13562038043626123</v>
      </c>
      <c r="K39" s="30">
        <f t="shared" si="2"/>
        <v>3.9399492342956796E-2</v>
      </c>
      <c r="L39" s="30">
        <f t="shared" si="3"/>
        <v>3.0117168130109423E-2</v>
      </c>
      <c r="M39" s="30">
        <f t="shared" si="4"/>
        <v>9.6220888093304438E-2</v>
      </c>
      <c r="N39" s="27">
        <f t="shared" si="5"/>
        <v>13127544</v>
      </c>
      <c r="O39" s="30">
        <v>16</v>
      </c>
      <c r="P39" s="31">
        <v>82025858</v>
      </c>
      <c r="Q39" s="31">
        <v>2563308.0625</v>
      </c>
      <c r="R39" s="31">
        <v>19366.5625</v>
      </c>
      <c r="S39" s="32">
        <v>45187448</v>
      </c>
      <c r="T39" s="32">
        <v>10034760</v>
      </c>
      <c r="U39" s="32">
        <v>3092784</v>
      </c>
      <c r="V39" s="32">
        <v>32059904</v>
      </c>
      <c r="W39" s="33">
        <v>78.318231249999997</v>
      </c>
      <c r="X39" s="33">
        <v>81.877509375000002</v>
      </c>
      <c r="Y39" s="33">
        <v>41.297906249999997</v>
      </c>
      <c r="Z39" s="33">
        <v>45.537006249999997</v>
      </c>
      <c r="AA39" s="33">
        <v>49.137196875000001</v>
      </c>
      <c r="AB39" s="34">
        <v>3131.14</v>
      </c>
      <c r="AC39" s="34">
        <v>9400.06</v>
      </c>
      <c r="AD39" s="34">
        <v>190.839</v>
      </c>
      <c r="AE39" s="34">
        <v>141.93799999999999</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3">
      <c r="B40" s="47" t="s">
        <v>14</v>
      </c>
      <c r="J40" s="48">
        <f>AVERAGE(J5:J24)</f>
        <v>4.4172385159228868E-2</v>
      </c>
      <c r="K40" s="48">
        <f>AVERAGE(K5:K24)</f>
        <v>1.3808891614493368E-2</v>
      </c>
      <c r="L40" s="48">
        <f>AVERAGE(L5:L24)</f>
        <v>9.696269410246797E-3</v>
      </c>
      <c r="M40" s="48">
        <f>AVERAGE(M5:M24)</f>
        <v>3.0363493544735498E-2</v>
      </c>
      <c r="AH40" s="48" t="e">
        <f>AVERAGE(AH5:AH24)</f>
        <v>#DIV/0!</v>
      </c>
      <c r="AI40" s="48" t="e">
        <f>AVERAGE(AI5:AI24)</f>
        <v>#DIV/0!</v>
      </c>
      <c r="AJ40" s="48" t="e">
        <f>AVERAGE(AJ5:AJ24)</f>
        <v>#DIV/0!</v>
      </c>
      <c r="AK40" s="48" t="e">
        <f>AVERAGE(AK5:AK24)</f>
        <v>#DIV/0!</v>
      </c>
      <c r="BE40" s="71" t="e">
        <f t="shared" si="12"/>
        <v>#DIV/0!</v>
      </c>
      <c r="BH40" s="151" t="e">
        <f>AVERAGE(BH5:BH24)</f>
        <v>#VALUE!</v>
      </c>
      <c r="BJ40" s="71" t="e">
        <f>AVERAGE(BJ5:BJ24)</f>
        <v>#DIV/0!</v>
      </c>
      <c r="BK40" s="71" t="e">
        <f>AVERAGE(BK5:BK24)</f>
        <v>#DIV/0!</v>
      </c>
      <c r="BL40" s="71" t="e">
        <f>AVERAGE(BL5:BL24)</f>
        <v>#DIV/0!</v>
      </c>
      <c r="BM40" s="71" t="e">
        <f>AVERAGE(BM5:BM24)</f>
        <v>#DIV/0!</v>
      </c>
      <c r="BN40" s="71" t="e">
        <f>AVERAGE(BN5:BN24)</f>
        <v>#DIV/0!</v>
      </c>
      <c r="BP40" s="71" t="e">
        <f>AVERAGE(BP5:BP24)</f>
        <v>#DIV/0!</v>
      </c>
      <c r="BQ40" s="71" t="e">
        <f>AVERAGE(BQ5:BQ24)</f>
        <v>#DIV/0!</v>
      </c>
      <c r="BR40" s="71" t="e">
        <f>AVERAGE(BR5:BR24)</f>
        <v>#DIV/0!</v>
      </c>
      <c r="BS40" s="71" t="e">
        <f>AVERAGE(BS5:BS24)</f>
        <v>#DIV/0!</v>
      </c>
      <c r="BT40" s="71" t="e">
        <f>AVERAGE(BT5:BT24)</f>
        <v>#DIV/0!</v>
      </c>
    </row>
    <row r="41" spans="1:72" x14ac:dyDescent="0.3">
      <c r="B41" s="47" t="s">
        <v>15</v>
      </c>
      <c r="J41" s="48">
        <f>AVERAGE(J25:J29)</f>
        <v>7.9856430931453407E-2</v>
      </c>
      <c r="K41" s="48">
        <f>AVERAGE(K25:K29)</f>
        <v>1.2366119854723823E-2</v>
      </c>
      <c r="L41" s="48">
        <f>AVERAGE(L25:L29)</f>
        <v>9.1151281892310389E-3</v>
      </c>
      <c r="M41" s="48">
        <f>AVERAGE(M25:M29)</f>
        <v>6.7490311076729578E-2</v>
      </c>
      <c r="AH41" s="48" t="e">
        <f>AVERAGE(AH25:AH29)</f>
        <v>#DIV/0!</v>
      </c>
      <c r="AI41" s="48" t="e">
        <f>AVERAGE(AI25:AI29)</f>
        <v>#DIV/0!</v>
      </c>
      <c r="AJ41" s="48" t="e">
        <f>AVERAGE(AJ25:AJ29)</f>
        <v>#DIV/0!</v>
      </c>
      <c r="AK41" s="48" t="e">
        <f>AVERAGE(AK25:AK29)</f>
        <v>#DIV/0!</v>
      </c>
      <c r="BE41" s="71" t="e">
        <f t="shared" si="12"/>
        <v>#DIV/0!</v>
      </c>
      <c r="BH41" s="151" t="e">
        <f>AVERAGE(BH25:BH29)</f>
        <v>#VALUE!</v>
      </c>
      <c r="BJ41" s="71" t="e">
        <f>AVERAGE(BJ25:BJ29)</f>
        <v>#DIV/0!</v>
      </c>
      <c r="BK41" s="71" t="e">
        <f>AVERAGE(BK25:BK29)</f>
        <v>#DIV/0!</v>
      </c>
      <c r="BL41" s="71" t="e">
        <f>AVERAGE(BL25:BL29)</f>
        <v>#DIV/0!</v>
      </c>
      <c r="BM41" s="71" t="e">
        <f>AVERAGE(BM25:BM29)</f>
        <v>#DIV/0!</v>
      </c>
      <c r="BN41" s="71" t="e">
        <f>AVERAGE(BN25:BN29)</f>
        <v>#DIV/0!</v>
      </c>
      <c r="BP41" s="71" t="e">
        <f>AVERAGE(BP25:BP29)</f>
        <v>#DIV/0!</v>
      </c>
      <c r="BQ41" s="71" t="e">
        <f>AVERAGE(BQ25:BQ29)</f>
        <v>#DIV/0!</v>
      </c>
      <c r="BR41" s="71" t="e">
        <f>AVERAGE(BR25:BR29)</f>
        <v>#DIV/0!</v>
      </c>
      <c r="BS41" s="71" t="e">
        <f>AVERAGE(BS25:BS29)</f>
        <v>#DIV/0!</v>
      </c>
      <c r="BT41" s="71" t="e">
        <f>AVERAGE(BT25:BT29)</f>
        <v>#DIV/0!</v>
      </c>
    </row>
    <row r="42" spans="1:72" x14ac:dyDescent="0.3">
      <c r="B42" s="47" t="s">
        <v>16</v>
      </c>
      <c r="J42" s="48">
        <f>AVERAGE(J30:J39)</f>
        <v>5.5097513864053961E-2</v>
      </c>
      <c r="K42" s="48">
        <f>AVERAGE(K30:K39)</f>
        <v>2.0018222109175365E-2</v>
      </c>
      <c r="L42" s="48">
        <f>AVERAGE(L30:L39)</f>
        <v>1.5038954141750719E-2</v>
      </c>
      <c r="M42" s="48">
        <f>AVERAGE(M30:M39)</f>
        <v>3.5079291754878603E-2</v>
      </c>
      <c r="AH42" s="48" t="e">
        <f>AVERAGE(AH30:AH39)</f>
        <v>#DIV/0!</v>
      </c>
      <c r="AI42" s="48" t="e">
        <f>AVERAGE(AI30:AI39)</f>
        <v>#DIV/0!</v>
      </c>
      <c r="AJ42" s="48" t="e">
        <f>AVERAGE(AJ30:AJ39)</f>
        <v>#DIV/0!</v>
      </c>
      <c r="AK42" s="48" t="e">
        <f>AVERAGE(AK30:AK39)</f>
        <v>#DIV/0!</v>
      </c>
      <c r="BE42" s="71" t="e">
        <f t="shared" si="12"/>
        <v>#DIV/0!</v>
      </c>
      <c r="BH42" s="151" t="e">
        <f>AVERAGE(BH30:BH39)</f>
        <v>#VALUE!</v>
      </c>
      <c r="BJ42" s="71" t="e">
        <f>AVERAGE(BJ30:BJ39)</f>
        <v>#DIV/0!</v>
      </c>
      <c r="BK42" s="71" t="e">
        <f>AVERAGE(BK30:BK39)</f>
        <v>#DIV/0!</v>
      </c>
      <c r="BL42" s="71" t="e">
        <f>AVERAGE(BL30:BL39)</f>
        <v>#DIV/0!</v>
      </c>
      <c r="BM42" s="71" t="e">
        <f>AVERAGE(BM30:BM39)</f>
        <v>#DIV/0!</v>
      </c>
      <c r="BN42" s="71" t="e">
        <f>AVERAGE(BN30:BN39)</f>
        <v>#DIV/0!</v>
      </c>
      <c r="BP42" s="71" t="e">
        <f>AVERAGE(BP30:BP39)</f>
        <v>#DIV/0!</v>
      </c>
      <c r="BQ42" s="71" t="e">
        <f>AVERAGE(BQ30:BQ39)</f>
        <v>#DIV/0!</v>
      </c>
      <c r="BR42" s="71" t="e">
        <f>AVERAGE(BR30:BR39)</f>
        <v>#DIV/0!</v>
      </c>
      <c r="BS42" s="71" t="e">
        <f>AVERAGE(BS30:BS39)</f>
        <v>#DIV/0!</v>
      </c>
      <c r="BT42" s="71" t="e">
        <f>AVERAGE(BT30:BT39)</f>
        <v>#DIV/0!</v>
      </c>
    </row>
    <row r="43" spans="1:72" x14ac:dyDescent="0.3">
      <c r="B43" s="47" t="s">
        <v>17</v>
      </c>
      <c r="J43" s="48">
        <f>AVERAGE(J5:J39)</f>
        <v>5.2391571328068119E-2</v>
      </c>
      <c r="K43" s="48">
        <f>AVERAGE(K5:K39)</f>
        <v>1.5376875790149718E-2</v>
      </c>
      <c r="L43" s="48">
        <f>AVERAGE(L5:L39)</f>
        <v>1.1139730587674238E-2</v>
      </c>
      <c r="M43" s="48">
        <f>AVERAGE(M5:M39)</f>
        <v>3.7014695537918391E-2</v>
      </c>
      <c r="AH43" s="48" t="e">
        <f>AVERAGE(AH5:AH39)</f>
        <v>#DIV/0!</v>
      </c>
      <c r="AI43" s="48" t="e">
        <f>AVERAGE(AI5:AI39)</f>
        <v>#DIV/0!</v>
      </c>
      <c r="AJ43" s="48" t="e">
        <f>AVERAGE(AJ5:AJ39)</f>
        <v>#DIV/0!</v>
      </c>
      <c r="AK43" s="48" t="e">
        <f>AVERAGE(AK5:AK39)</f>
        <v>#DIV/0!</v>
      </c>
      <c r="BE43" s="71" t="e">
        <f t="shared" si="12"/>
        <v>#DIV/0!</v>
      </c>
      <c r="BH43" s="151" t="e">
        <f>AVERAGE(BH5:BH39)</f>
        <v>#VALUE!</v>
      </c>
      <c r="BJ43" s="71" t="e">
        <f>AVERAGE(BJ5:BJ39)</f>
        <v>#DIV/0!</v>
      </c>
      <c r="BK43" s="71" t="e">
        <f>AVERAGE(BK5:BK39)</f>
        <v>#DIV/0!</v>
      </c>
      <c r="BL43" s="71" t="e">
        <f>AVERAGE(BL5:BL39)</f>
        <v>#DIV/0!</v>
      </c>
      <c r="BM43" s="71" t="e">
        <f>AVERAGE(BM5:BM39)</f>
        <v>#DIV/0!</v>
      </c>
      <c r="BN43" s="71" t="e">
        <f>AVERAGE(BN5:BN39)</f>
        <v>#DIV/0!</v>
      </c>
      <c r="BP43" s="71" t="e">
        <f>AVERAGE(BP5:BP39)</f>
        <v>#DIV/0!</v>
      </c>
      <c r="BQ43" s="71" t="e">
        <f>AVERAGE(BQ5:BQ39)</f>
        <v>#DIV/0!</v>
      </c>
      <c r="BR43" s="71" t="e">
        <f>AVERAGE(BR5:BR39)</f>
        <v>#DIV/0!</v>
      </c>
      <c r="BS43" s="71" t="e">
        <f>AVERAGE(BS5:BS39)</f>
        <v>#DIV/0!</v>
      </c>
      <c r="BT43" s="71" t="e">
        <f>AVERAGE(BT5:BT39)</f>
        <v>#DIV/0!</v>
      </c>
    </row>
    <row r="44" spans="1:72" hidden="1" outlineLevel="2" x14ac:dyDescent="0.3">
      <c r="A44" s="47" t="s">
        <v>237</v>
      </c>
      <c r="B44" s="47" t="s">
        <v>238</v>
      </c>
      <c r="AB44" s="49">
        <f>SUM(AB5:AB24,AB25:AB29,AB30:AB39)</f>
        <v>121863.20999999999</v>
      </c>
      <c r="AC44" s="49">
        <f>SUM(AC5:AC24,AC25:AC29,AC30:AC39)</f>
        <v>123603.28000000001</v>
      </c>
      <c r="AD44" s="49">
        <f>SUM(AD5:AD24,AD25:AD29,AD30:AD39)</f>
        <v>3481.5050000000001</v>
      </c>
      <c r="AE44" s="49">
        <f>SUM(AE5:AE24,AE25:AE29,AE30:AE39)</f>
        <v>1917.5160000000001</v>
      </c>
      <c r="AZ44" s="49">
        <f>SUM(AZ5:AZ24,AZ25:AZ29,AZ30:AZ39)</f>
        <v>0</v>
      </c>
      <c r="BA44" s="49">
        <f>SUM(BA5:BA24,BA25:BA29,BA30:BA39)</f>
        <v>0</v>
      </c>
      <c r="BB44" s="49">
        <f>SUM(BB5:BB24,BB25:BB29,BB30:BB39)</f>
        <v>0</v>
      </c>
      <c r="BC44" s="49">
        <f>SUM(BC5:BC24,BC25:BC29,BC30:BC39)</f>
        <v>0</v>
      </c>
    </row>
    <row r="45" spans="1:72" hidden="1" outlineLevel="2" x14ac:dyDescent="0.3">
      <c r="B45" s="47" t="s">
        <v>239</v>
      </c>
      <c r="AZ45" s="151">
        <f>AZ44/AB44</f>
        <v>0</v>
      </c>
      <c r="BA45" s="151">
        <f>BA44/AC44</f>
        <v>0</v>
      </c>
      <c r="BB45" s="151">
        <f>BB44/AD44</f>
        <v>0</v>
      </c>
      <c r="BC45" s="151">
        <f>BC44/AE44</f>
        <v>0</v>
      </c>
    </row>
    <row r="46" spans="1:72" hidden="1" outlineLevel="2" x14ac:dyDescent="0.3">
      <c r="B46" s="47" t="s">
        <v>240</v>
      </c>
      <c r="AB46" s="49">
        <f>GEOMEAN(AB5:AB24,AB25:AB29,AB30:AB39)</f>
        <v>3308.4274903174946</v>
      </c>
      <c r="AC46" s="49">
        <f>GEOMEAN(AC5:AC24,AC25:AC29,AC30:AC39)</f>
        <v>2921.2288034815729</v>
      </c>
      <c r="AD46" s="49">
        <f>GEOMEAN(AD5:AD24,AD25:AD29,AD30:AD39)</f>
        <v>84.039313956960314</v>
      </c>
      <c r="AE46" s="49">
        <f>GEOMEAN(AE5:AE24,AE25:AE29,AE30:AE39)</f>
        <v>44.797607251682123</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3">
      <c r="B47" s="47" t="s">
        <v>241</v>
      </c>
      <c r="AZ47" s="151" t="e">
        <f>AZ46/AB46</f>
        <v>#NUM!</v>
      </c>
      <c r="BA47" s="151" t="e">
        <f>BA46/AC46</f>
        <v>#NUM!</v>
      </c>
      <c r="BB47" s="151" t="e">
        <f>BB46/AD46</f>
        <v>#NUM!</v>
      </c>
      <c r="BC47" s="151"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119" priority="1" operator="greaterThanOrEqual">
      <formula>1.03</formula>
    </cfRule>
    <cfRule type="cellIs" dxfId="11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17" priority="21" operator="greaterThanOrEqual">
      <formula>0.03</formula>
    </cfRule>
    <cfRule type="cellIs" dxfId="11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15" priority="19" operator="greaterThanOrEqual">
      <formula>0.03</formula>
    </cfRule>
    <cfRule type="cellIs" dxfId="11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13" priority="5" operator="greaterThanOrEqual">
      <formula>0.03</formula>
    </cfRule>
    <cfRule type="cellIs" dxfId="11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11" priority="9" operator="greaterThanOrEqual">
      <formula>0.03</formula>
    </cfRule>
    <cfRule type="cellIs" dxfId="11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09" priority="11" operator="greaterThanOrEqual">
      <formula>0.03</formula>
    </cfRule>
    <cfRule type="cellIs" dxfId="10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107" priority="7" operator="greaterThanOrEqual">
      <formula>0.03</formula>
    </cfRule>
    <cfRule type="cellIs" dxfId="10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105" priority="13" operator="greaterThanOrEqual">
      <formula>0.03</formula>
    </cfRule>
    <cfRule type="cellIs" dxfId="10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103" priority="3" operator="greaterThanOrEqual">
      <formula>0.03</formula>
    </cfRule>
    <cfRule type="cellIs" dxfId="10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01" priority="15" operator="greaterThanOrEqual">
      <formula>0.03</formula>
    </cfRule>
    <cfRule type="cellIs" dxfId="10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99" priority="17" operator="greaterThanOrEqual">
      <formula>0.03</formula>
    </cfRule>
    <cfRule type="cellIs" dxfId="9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4.4" x14ac:dyDescent="0.3"/>
  <sheetData>
    <row r="1" spans="1:2" x14ac:dyDescent="0.3">
      <c r="A1" t="s">
        <v>242</v>
      </c>
      <c r="B1">
        <v>1</v>
      </c>
    </row>
    <row r="2" spans="1:2" x14ac:dyDescent="0.3">
      <c r="A2" t="s">
        <v>243</v>
      </c>
      <c r="B2">
        <v>2</v>
      </c>
    </row>
    <row r="3" spans="1:2" x14ac:dyDescent="0.3">
      <c r="A3" t="s">
        <v>244</v>
      </c>
      <c r="B3">
        <v>3</v>
      </c>
    </row>
    <row r="4" spans="1:2" x14ac:dyDescent="0.3">
      <c r="A4" t="s">
        <v>245</v>
      </c>
      <c r="B4">
        <v>4</v>
      </c>
    </row>
    <row r="5" spans="1:2" x14ac:dyDescent="0.3">
      <c r="A5" t="s">
        <v>246</v>
      </c>
      <c r="B5">
        <v>5</v>
      </c>
    </row>
    <row r="6" spans="1:2" x14ac:dyDescent="0.3">
      <c r="A6" t="s">
        <v>247</v>
      </c>
      <c r="B6">
        <v>6</v>
      </c>
    </row>
    <row r="7" spans="1:2" x14ac:dyDescent="0.3">
      <c r="A7" t="s">
        <v>248</v>
      </c>
      <c r="B7">
        <v>7</v>
      </c>
    </row>
    <row r="8" spans="1:2" x14ac:dyDescent="0.3">
      <c r="A8" t="s">
        <v>249</v>
      </c>
      <c r="B8">
        <v>9</v>
      </c>
    </row>
    <row r="9" spans="1:2" x14ac:dyDescent="0.3">
      <c r="A9" t="s">
        <v>250</v>
      </c>
      <c r="B9">
        <v>10</v>
      </c>
    </row>
    <row r="10" spans="1:2" x14ac:dyDescent="0.3">
      <c r="A10" t="s">
        <v>251</v>
      </c>
      <c r="B10">
        <v>11</v>
      </c>
    </row>
    <row r="11" spans="1:2" x14ac:dyDescent="0.3">
      <c r="A11" t="s">
        <v>252</v>
      </c>
      <c r="B11">
        <v>12</v>
      </c>
    </row>
    <row r="12" spans="1:2" x14ac:dyDescent="0.3">
      <c r="A12" t="s">
        <v>253</v>
      </c>
      <c r="B12">
        <v>13</v>
      </c>
    </row>
    <row r="13" spans="1:2" x14ac:dyDescent="0.3">
      <c r="A13" t="s">
        <v>254</v>
      </c>
      <c r="B13">
        <v>14</v>
      </c>
    </row>
    <row r="14" spans="1:2" x14ac:dyDescent="0.3">
      <c r="A14" t="s">
        <v>255</v>
      </c>
      <c r="B14">
        <v>15</v>
      </c>
    </row>
    <row r="15" spans="1:2" x14ac:dyDescent="0.3">
      <c r="A15" t="s">
        <v>256</v>
      </c>
      <c r="B15">
        <v>16</v>
      </c>
    </row>
    <row r="16" spans="1:2" x14ac:dyDescent="0.3">
      <c r="A16" t="s">
        <v>257</v>
      </c>
      <c r="B16">
        <v>17</v>
      </c>
    </row>
    <row r="17" spans="1:2" x14ac:dyDescent="0.3">
      <c r="A17" t="s">
        <v>258</v>
      </c>
      <c r="B17">
        <v>18</v>
      </c>
    </row>
    <row r="18" spans="1:2" x14ac:dyDescent="0.3">
      <c r="A18" t="s">
        <v>259</v>
      </c>
      <c r="B18">
        <v>19</v>
      </c>
    </row>
    <row r="19" spans="1:2" x14ac:dyDescent="0.3">
      <c r="A19" t="s">
        <v>260</v>
      </c>
      <c r="B19">
        <v>20</v>
      </c>
    </row>
    <row r="20" spans="1:2" x14ac:dyDescent="0.3">
      <c r="A20" t="s">
        <v>261</v>
      </c>
      <c r="B20">
        <v>21</v>
      </c>
    </row>
    <row r="21" spans="1:2" x14ac:dyDescent="0.3">
      <c r="A21" t="s">
        <v>262</v>
      </c>
      <c r="B21">
        <v>22</v>
      </c>
    </row>
    <row r="22" spans="1:2" x14ac:dyDescent="0.3">
      <c r="A22" t="s">
        <v>263</v>
      </c>
      <c r="B22">
        <v>23</v>
      </c>
    </row>
    <row r="23" spans="1:2" x14ac:dyDescent="0.3">
      <c r="A23" t="s">
        <v>264</v>
      </c>
      <c r="B23">
        <v>24</v>
      </c>
    </row>
    <row r="24" spans="1:2" x14ac:dyDescent="0.3">
      <c r="A24" t="s">
        <v>265</v>
      </c>
      <c r="B24">
        <v>25</v>
      </c>
    </row>
    <row r="25" spans="1:2" x14ac:dyDescent="0.3">
      <c r="A25" t="s">
        <v>266</v>
      </c>
      <c r="B25">
        <v>26</v>
      </c>
    </row>
    <row r="26" spans="1:2" x14ac:dyDescent="0.3">
      <c r="A26" t="s">
        <v>267</v>
      </c>
      <c r="B26">
        <v>27</v>
      </c>
    </row>
    <row r="27" spans="1:2" x14ac:dyDescent="0.3">
      <c r="A27" t="s">
        <v>268</v>
      </c>
      <c r="B27">
        <v>28</v>
      </c>
    </row>
    <row r="28" spans="1:2" x14ac:dyDescent="0.3">
      <c r="A28" t="s">
        <v>269</v>
      </c>
      <c r="B28">
        <v>29</v>
      </c>
    </row>
    <row r="29" spans="1:2" x14ac:dyDescent="0.3">
      <c r="A29" t="s">
        <v>270</v>
      </c>
      <c r="B29">
        <v>30</v>
      </c>
    </row>
    <row r="30" spans="1:2" x14ac:dyDescent="0.3">
      <c r="A30" t="s">
        <v>271</v>
      </c>
      <c r="B30">
        <v>31</v>
      </c>
    </row>
    <row r="31" spans="1:2" x14ac:dyDescent="0.3">
      <c r="A31" t="s">
        <v>272</v>
      </c>
      <c r="B31">
        <v>33</v>
      </c>
    </row>
    <row r="32" spans="1:2" x14ac:dyDescent="0.3">
      <c r="A32" t="s">
        <v>273</v>
      </c>
      <c r="B32">
        <v>34</v>
      </c>
    </row>
    <row r="33" spans="1:2" x14ac:dyDescent="0.3">
      <c r="A33" t="s">
        <v>274</v>
      </c>
      <c r="B33">
        <v>35</v>
      </c>
    </row>
    <row r="34" spans="1:2" x14ac:dyDescent="0.3">
      <c r="A34" t="s">
        <v>275</v>
      </c>
      <c r="B34">
        <v>36</v>
      </c>
    </row>
    <row r="35" spans="1:2" x14ac:dyDescent="0.3">
      <c r="A35" t="s">
        <v>276</v>
      </c>
      <c r="B35">
        <v>37</v>
      </c>
    </row>
    <row r="36" spans="1:2" x14ac:dyDescent="0.3">
      <c r="A36" t="s">
        <v>277</v>
      </c>
      <c r="B36">
        <v>38</v>
      </c>
    </row>
    <row r="37" spans="1:2" x14ac:dyDescent="0.3">
      <c r="A37" t="s">
        <v>278</v>
      </c>
      <c r="B37">
        <v>39</v>
      </c>
    </row>
    <row r="38" spans="1:2" x14ac:dyDescent="0.3">
      <c r="A38" t="s">
        <v>279</v>
      </c>
      <c r="B38">
        <v>40</v>
      </c>
    </row>
    <row r="39" spans="1:2" x14ac:dyDescent="0.3">
      <c r="A39" t="s">
        <v>280</v>
      </c>
      <c r="B39">
        <v>41</v>
      </c>
    </row>
    <row r="40" spans="1:2" x14ac:dyDescent="0.3">
      <c r="A40" t="s">
        <v>281</v>
      </c>
      <c r="B40">
        <v>42</v>
      </c>
    </row>
    <row r="41" spans="1:2" x14ac:dyDescent="0.3">
      <c r="A41" t="s">
        <v>282</v>
      </c>
      <c r="B41">
        <v>43</v>
      </c>
    </row>
    <row r="42" spans="1:2" x14ac:dyDescent="0.3">
      <c r="A42" t="s">
        <v>283</v>
      </c>
      <c r="B42">
        <v>44</v>
      </c>
    </row>
    <row r="43" spans="1:2" x14ac:dyDescent="0.3">
      <c r="A43" t="s">
        <v>284</v>
      </c>
      <c r="B43">
        <v>45</v>
      </c>
    </row>
    <row r="44" spans="1:2" x14ac:dyDescent="0.3">
      <c r="A44" t="s">
        <v>285</v>
      </c>
      <c r="B44">
        <v>46</v>
      </c>
    </row>
    <row r="45" spans="1:2" x14ac:dyDescent="0.3">
      <c r="A45" t="s">
        <v>286</v>
      </c>
      <c r="B45">
        <v>47</v>
      </c>
    </row>
    <row r="46" spans="1:2" x14ac:dyDescent="0.3">
      <c r="A46" t="s">
        <v>287</v>
      </c>
      <c r="B46">
        <v>48</v>
      </c>
    </row>
    <row r="47" spans="1:2" x14ac:dyDescent="0.3">
      <c r="A47" t="s">
        <v>288</v>
      </c>
      <c r="B47">
        <v>49</v>
      </c>
    </row>
    <row r="48" spans="1:2" x14ac:dyDescent="0.3">
      <c r="A48" t="s">
        <v>289</v>
      </c>
      <c r="B48">
        <v>50</v>
      </c>
    </row>
    <row r="49" spans="1:2" x14ac:dyDescent="0.3">
      <c r="A49" t="s">
        <v>290</v>
      </c>
      <c r="B49">
        <v>51</v>
      </c>
    </row>
    <row r="50" spans="1:2" x14ac:dyDescent="0.3">
      <c r="A50" t="s">
        <v>291</v>
      </c>
      <c r="B50">
        <v>52</v>
      </c>
    </row>
    <row r="51" spans="1:2" x14ac:dyDescent="0.3">
      <c r="A51" t="s">
        <v>292</v>
      </c>
      <c r="B51">
        <v>53</v>
      </c>
    </row>
    <row r="52" spans="1:2" x14ac:dyDescent="0.3">
      <c r="A52" t="s">
        <v>293</v>
      </c>
      <c r="B52">
        <v>54</v>
      </c>
    </row>
    <row r="53" spans="1:2" x14ac:dyDescent="0.3">
      <c r="A53" t="s">
        <v>294</v>
      </c>
      <c r="B53">
        <v>55</v>
      </c>
    </row>
    <row r="54" spans="1:2" x14ac:dyDescent="0.3">
      <c r="A54" t="s">
        <v>295</v>
      </c>
      <c r="B54">
        <v>57</v>
      </c>
    </row>
    <row r="55" spans="1:2" x14ac:dyDescent="0.3">
      <c r="A55" t="s">
        <v>296</v>
      </c>
      <c r="B55">
        <v>58</v>
      </c>
    </row>
    <row r="56" spans="1:2" x14ac:dyDescent="0.3">
      <c r="A56" t="s">
        <v>297</v>
      </c>
      <c r="B56">
        <v>59</v>
      </c>
    </row>
    <row r="57" spans="1:2" x14ac:dyDescent="0.3">
      <c r="A57" t="s">
        <v>298</v>
      </c>
      <c r="B57">
        <v>60</v>
      </c>
    </row>
    <row r="58" spans="1:2" x14ac:dyDescent="0.3">
      <c r="A58" t="s">
        <v>299</v>
      </c>
      <c r="B58">
        <v>62</v>
      </c>
    </row>
    <row r="59" spans="1:2" x14ac:dyDescent="0.3">
      <c r="A59" t="s">
        <v>300</v>
      </c>
      <c r="B59">
        <v>63</v>
      </c>
    </row>
    <row r="60" spans="1:2" x14ac:dyDescent="0.3">
      <c r="A60" t="s">
        <v>301</v>
      </c>
      <c r="B60">
        <v>64</v>
      </c>
    </row>
    <row r="61" spans="1:2" x14ac:dyDescent="0.3">
      <c r="A61" t="s">
        <v>302</v>
      </c>
      <c r="B61">
        <v>65</v>
      </c>
    </row>
    <row r="62" spans="1:2" x14ac:dyDescent="0.3">
      <c r="A62" t="s">
        <v>303</v>
      </c>
      <c r="B62">
        <v>66</v>
      </c>
    </row>
    <row r="63" spans="1:2" x14ac:dyDescent="0.3">
      <c r="A63" t="s">
        <v>304</v>
      </c>
      <c r="B63">
        <v>68</v>
      </c>
    </row>
    <row r="64" spans="1:2" x14ac:dyDescent="0.3">
      <c r="A64" t="s">
        <v>305</v>
      </c>
      <c r="B64">
        <v>69</v>
      </c>
    </row>
    <row r="65" spans="1:24" x14ac:dyDescent="0.3">
      <c r="A65" t="s">
        <v>306</v>
      </c>
      <c r="B65">
        <v>70</v>
      </c>
    </row>
    <row r="66" spans="1:24" x14ac:dyDescent="0.3">
      <c r="A66" t="s">
        <v>307</v>
      </c>
      <c r="B66">
        <v>71</v>
      </c>
    </row>
    <row r="67" spans="1:24" x14ac:dyDescent="0.3">
      <c r="A67" t="s">
        <v>308</v>
      </c>
      <c r="B67">
        <v>72</v>
      </c>
    </row>
    <row r="68" spans="1:24" x14ac:dyDescent="0.3">
      <c r="A68" t="s">
        <v>309</v>
      </c>
      <c r="B68" t="s">
        <v>310</v>
      </c>
    </row>
    <row r="69" spans="1:24" x14ac:dyDescent="0.3">
      <c r="A69" t="s">
        <v>311</v>
      </c>
      <c r="B69" t="s">
        <v>312</v>
      </c>
    </row>
    <row r="70" spans="1:24" x14ac:dyDescent="0.3">
      <c r="A70" t="s">
        <v>313</v>
      </c>
      <c r="B70" t="s">
        <v>314</v>
      </c>
    </row>
    <row r="71" spans="1:24" x14ac:dyDescent="0.3">
      <c r="A71" t="s">
        <v>315</v>
      </c>
      <c r="B71" t="s">
        <v>316</v>
      </c>
    </row>
    <row r="72" spans="1:24" x14ac:dyDescent="0.3">
      <c r="A72" t="s">
        <v>317</v>
      </c>
      <c r="B72" t="s">
        <v>318</v>
      </c>
    </row>
    <row r="73" spans="1:24" x14ac:dyDescent="0.3">
      <c r="A73" t="s">
        <v>319</v>
      </c>
      <c r="B73" t="s">
        <v>320</v>
      </c>
    </row>
    <row r="74" spans="1:24" x14ac:dyDescent="0.3">
      <c r="A74" t="s">
        <v>321</v>
      </c>
      <c r="B74" t="s">
        <v>322</v>
      </c>
    </row>
    <row r="75" spans="1:24" x14ac:dyDescent="0.3">
      <c r="A75" t="s">
        <v>323</v>
      </c>
      <c r="B75" t="s">
        <v>324</v>
      </c>
    </row>
    <row r="76" spans="1:24" x14ac:dyDescent="0.3">
      <c r="A76" t="s">
        <v>325</v>
      </c>
      <c r="B76" t="s">
        <v>326</v>
      </c>
    </row>
    <row r="77" spans="1:24" x14ac:dyDescent="0.3">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3">
      <c r="A78" t="s">
        <v>328</v>
      </c>
      <c r="B78">
        <v>1</v>
      </c>
    </row>
    <row r="79" spans="1:24" x14ac:dyDescent="0.3">
      <c r="A79" t="s">
        <v>329</v>
      </c>
      <c r="B79">
        <v>2</v>
      </c>
    </row>
    <row r="80" spans="1:24" x14ac:dyDescent="0.3">
      <c r="A80" t="s">
        <v>330</v>
      </c>
      <c r="B80">
        <v>3</v>
      </c>
    </row>
    <row r="81" spans="1:2" x14ac:dyDescent="0.3">
      <c r="A81" t="s">
        <v>331</v>
      </c>
      <c r="B81">
        <v>4</v>
      </c>
    </row>
    <row r="82" spans="1:2" x14ac:dyDescent="0.3">
      <c r="A82" t="s">
        <v>332</v>
      </c>
      <c r="B82">
        <v>5</v>
      </c>
    </row>
    <row r="83" spans="1:2" x14ac:dyDescent="0.3">
      <c r="A83" t="s">
        <v>333</v>
      </c>
      <c r="B83">
        <v>6</v>
      </c>
    </row>
    <row r="84" spans="1:2" x14ac:dyDescent="0.3">
      <c r="A84" t="s">
        <v>334</v>
      </c>
      <c r="B84">
        <v>8</v>
      </c>
    </row>
    <row r="85" spans="1:2" x14ac:dyDescent="0.3">
      <c r="A85" t="s">
        <v>335</v>
      </c>
      <c r="B85">
        <v>9</v>
      </c>
    </row>
    <row r="86" spans="1:2" x14ac:dyDescent="0.3">
      <c r="A86" t="s">
        <v>336</v>
      </c>
      <c r="B86">
        <v>10</v>
      </c>
    </row>
    <row r="87" spans="1:2" x14ac:dyDescent="0.3">
      <c r="A87" t="s">
        <v>337</v>
      </c>
      <c r="B87">
        <v>11</v>
      </c>
    </row>
    <row r="88" spans="1:2" x14ac:dyDescent="0.3">
      <c r="A88" t="s">
        <v>338</v>
      </c>
      <c r="B88">
        <v>12</v>
      </c>
    </row>
    <row r="89" spans="1:2" x14ac:dyDescent="0.3">
      <c r="A89" t="s">
        <v>339</v>
      </c>
      <c r="B89">
        <v>13</v>
      </c>
    </row>
    <row r="90" spans="1:2" x14ac:dyDescent="0.3">
      <c r="A90" t="s">
        <v>340</v>
      </c>
      <c r="B90">
        <v>14</v>
      </c>
    </row>
    <row r="91" spans="1:2" x14ac:dyDescent="0.3">
      <c r="A91" t="s">
        <v>341</v>
      </c>
      <c r="B91">
        <v>15</v>
      </c>
    </row>
    <row r="92" spans="1:2" x14ac:dyDescent="0.3">
      <c r="A92" t="s">
        <v>342</v>
      </c>
      <c r="B92">
        <v>16</v>
      </c>
    </row>
    <row r="93" spans="1:2" x14ac:dyDescent="0.3">
      <c r="A93" t="s">
        <v>343</v>
      </c>
      <c r="B93">
        <v>17</v>
      </c>
    </row>
    <row r="94" spans="1:2" x14ac:dyDescent="0.3">
      <c r="A94" t="s">
        <v>344</v>
      </c>
      <c r="B94">
        <v>18</v>
      </c>
    </row>
    <row r="95" spans="1:2" x14ac:dyDescent="0.3">
      <c r="A95" t="s">
        <v>345</v>
      </c>
      <c r="B95">
        <v>19</v>
      </c>
    </row>
    <row r="96" spans="1:2" x14ac:dyDescent="0.3">
      <c r="A96" t="s">
        <v>346</v>
      </c>
      <c r="B96">
        <v>20</v>
      </c>
    </row>
    <row r="97" spans="1:2" x14ac:dyDescent="0.3">
      <c r="A97" t="s">
        <v>347</v>
      </c>
      <c r="B97">
        <v>21</v>
      </c>
    </row>
    <row r="98" spans="1:2" x14ac:dyDescent="0.3">
      <c r="A98" t="s">
        <v>348</v>
      </c>
      <c r="B98">
        <v>22</v>
      </c>
    </row>
    <row r="99" spans="1:2" x14ac:dyDescent="0.3">
      <c r="A99" t="s">
        <v>349</v>
      </c>
      <c r="B99">
        <v>23</v>
      </c>
    </row>
    <row r="100" spans="1:2" x14ac:dyDescent="0.3">
      <c r="A100" t="s">
        <v>350</v>
      </c>
      <c r="B100">
        <v>24</v>
      </c>
    </row>
    <row r="101" spans="1:2" x14ac:dyDescent="0.3">
      <c r="A101" t="s">
        <v>351</v>
      </c>
      <c r="B101">
        <v>25</v>
      </c>
    </row>
    <row r="102" spans="1:2" x14ac:dyDescent="0.3">
      <c r="A102" t="s">
        <v>352</v>
      </c>
      <c r="B102">
        <v>26</v>
      </c>
    </row>
    <row r="103" spans="1:2" x14ac:dyDescent="0.3">
      <c r="A103" t="s">
        <v>353</v>
      </c>
      <c r="B103">
        <v>27</v>
      </c>
    </row>
    <row r="104" spans="1:2" x14ac:dyDescent="0.3">
      <c r="A104" t="s">
        <v>354</v>
      </c>
      <c r="B104">
        <v>28</v>
      </c>
    </row>
    <row r="105" spans="1:2" x14ac:dyDescent="0.3">
      <c r="A105" t="s">
        <v>355</v>
      </c>
      <c r="B105">
        <v>29</v>
      </c>
    </row>
    <row r="106" spans="1:2" x14ac:dyDescent="0.3">
      <c r="A106" t="s">
        <v>356</v>
      </c>
      <c r="B106">
        <v>31</v>
      </c>
    </row>
    <row r="107" spans="1:2" x14ac:dyDescent="0.3">
      <c r="A107" t="s">
        <v>357</v>
      </c>
      <c r="B107">
        <v>32</v>
      </c>
    </row>
    <row r="108" spans="1:2" x14ac:dyDescent="0.3">
      <c r="A108" t="s">
        <v>358</v>
      </c>
      <c r="B108">
        <v>33</v>
      </c>
    </row>
    <row r="109" spans="1:2" x14ac:dyDescent="0.3">
      <c r="A109" t="s">
        <v>359</v>
      </c>
      <c r="B109">
        <v>34</v>
      </c>
    </row>
    <row r="110" spans="1:2" x14ac:dyDescent="0.3">
      <c r="A110" t="s">
        <v>360</v>
      </c>
      <c r="B110">
        <v>35</v>
      </c>
    </row>
    <row r="111" spans="1:2" x14ac:dyDescent="0.3">
      <c r="A111" t="s">
        <v>361</v>
      </c>
      <c r="B111">
        <v>36</v>
      </c>
    </row>
    <row r="112" spans="1:2" x14ac:dyDescent="0.3">
      <c r="A112" t="s">
        <v>362</v>
      </c>
      <c r="B112">
        <v>37</v>
      </c>
    </row>
    <row r="113" spans="1:2" x14ac:dyDescent="0.3">
      <c r="A113" t="s">
        <v>363</v>
      </c>
      <c r="B113">
        <v>38</v>
      </c>
    </row>
    <row r="114" spans="1:2" x14ac:dyDescent="0.3">
      <c r="A114" t="s">
        <v>364</v>
      </c>
      <c r="B114">
        <v>39</v>
      </c>
    </row>
    <row r="115" spans="1:2" x14ac:dyDescent="0.3">
      <c r="A115" t="s">
        <v>365</v>
      </c>
      <c r="B115">
        <v>40</v>
      </c>
    </row>
    <row r="116" spans="1:2" x14ac:dyDescent="0.3">
      <c r="A116" t="s">
        <v>366</v>
      </c>
      <c r="B116">
        <v>41</v>
      </c>
    </row>
    <row r="117" spans="1:2" x14ac:dyDescent="0.3">
      <c r="A117" t="s">
        <v>367</v>
      </c>
      <c r="B117">
        <v>42</v>
      </c>
    </row>
    <row r="118" spans="1:2" x14ac:dyDescent="0.3">
      <c r="A118" t="s">
        <v>368</v>
      </c>
      <c r="B118">
        <v>43</v>
      </c>
    </row>
    <row r="119" spans="1:2" x14ac:dyDescent="0.3">
      <c r="A119" t="s">
        <v>369</v>
      </c>
      <c r="B119">
        <v>44</v>
      </c>
    </row>
    <row r="120" spans="1:2" x14ac:dyDescent="0.3">
      <c r="A120" t="s">
        <v>370</v>
      </c>
      <c r="B120">
        <v>45</v>
      </c>
    </row>
    <row r="121" spans="1:2" x14ac:dyDescent="0.3">
      <c r="A121" t="s">
        <v>371</v>
      </c>
      <c r="B121">
        <v>46</v>
      </c>
    </row>
    <row r="122" spans="1:2" x14ac:dyDescent="0.3">
      <c r="A122" t="s">
        <v>372</v>
      </c>
      <c r="B122">
        <v>47</v>
      </c>
    </row>
    <row r="123" spans="1:2" x14ac:dyDescent="0.3">
      <c r="A123" t="s">
        <v>373</v>
      </c>
      <c r="B123">
        <v>48</v>
      </c>
    </row>
    <row r="124" spans="1:2" x14ac:dyDescent="0.3">
      <c r="A124" t="s">
        <v>374</v>
      </c>
      <c r="B124">
        <v>49</v>
      </c>
    </row>
    <row r="125" spans="1:2" x14ac:dyDescent="0.3">
      <c r="A125" t="s">
        <v>375</v>
      </c>
      <c r="B125">
        <v>50</v>
      </c>
    </row>
    <row r="126" spans="1:2" x14ac:dyDescent="0.3">
      <c r="A126" t="s">
        <v>376</v>
      </c>
      <c r="B126">
        <v>51</v>
      </c>
    </row>
    <row r="127" spans="1:2" x14ac:dyDescent="0.3">
      <c r="A127" t="s">
        <v>377</v>
      </c>
      <c r="B127">
        <v>52</v>
      </c>
    </row>
    <row r="128" spans="1:2" x14ac:dyDescent="0.3">
      <c r="A128" t="s">
        <v>378</v>
      </c>
      <c r="B128">
        <v>54</v>
      </c>
    </row>
    <row r="129" spans="1:23" x14ac:dyDescent="0.3">
      <c r="A129" t="s">
        <v>379</v>
      </c>
      <c r="B129">
        <v>55</v>
      </c>
    </row>
    <row r="130" spans="1:23" x14ac:dyDescent="0.3">
      <c r="A130" t="s">
        <v>380</v>
      </c>
      <c r="B130">
        <v>56</v>
      </c>
    </row>
    <row r="131" spans="1:23" x14ac:dyDescent="0.3">
      <c r="A131" t="s">
        <v>381</v>
      </c>
      <c r="B131">
        <v>57</v>
      </c>
    </row>
    <row r="132" spans="1:23" x14ac:dyDescent="0.3">
      <c r="A132" t="s">
        <v>382</v>
      </c>
      <c r="B132">
        <v>58</v>
      </c>
    </row>
    <row r="133" spans="1:23" x14ac:dyDescent="0.3">
      <c r="A133" t="s">
        <v>383</v>
      </c>
      <c r="B133">
        <v>59</v>
      </c>
    </row>
    <row r="134" spans="1:23" x14ac:dyDescent="0.3">
      <c r="A134" t="s">
        <v>384</v>
      </c>
      <c r="B134" t="s">
        <v>385</v>
      </c>
    </row>
    <row r="135" spans="1:23" x14ac:dyDescent="0.3">
      <c r="A135" t="s">
        <v>386</v>
      </c>
      <c r="B135" t="s">
        <v>387</v>
      </c>
    </row>
    <row r="136" spans="1:23" x14ac:dyDescent="0.3">
      <c r="A136" t="s">
        <v>388</v>
      </c>
      <c r="B136" t="s">
        <v>389</v>
      </c>
    </row>
    <row r="137" spans="1:23" x14ac:dyDescent="0.3">
      <c r="A137" t="s">
        <v>390</v>
      </c>
      <c r="B137" t="s">
        <v>391</v>
      </c>
    </row>
    <row r="138" spans="1:23" x14ac:dyDescent="0.3">
      <c r="A138" t="s">
        <v>392</v>
      </c>
      <c r="B138" t="s">
        <v>393</v>
      </c>
    </row>
    <row r="139" spans="1:23" x14ac:dyDescent="0.3">
      <c r="A139" t="s">
        <v>394</v>
      </c>
      <c r="B139" t="s">
        <v>395</v>
      </c>
    </row>
    <row r="140" spans="1:23" x14ac:dyDescent="0.3">
      <c r="A140" t="s">
        <v>396</v>
      </c>
      <c r="B140" t="s">
        <v>397</v>
      </c>
    </row>
    <row r="141" spans="1:23" x14ac:dyDescent="0.3">
      <c r="A141" t="s">
        <v>398</v>
      </c>
      <c r="B141" t="s">
        <v>399</v>
      </c>
    </row>
    <row r="142" spans="1:23" x14ac:dyDescent="0.3">
      <c r="A142" t="s">
        <v>400</v>
      </c>
      <c r="B142" t="s">
        <v>401</v>
      </c>
    </row>
    <row r="143" spans="1:23" x14ac:dyDescent="0.3">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3">
      <c r="A144" t="s">
        <v>403</v>
      </c>
      <c r="B144">
        <v>1</v>
      </c>
    </row>
    <row r="145" spans="1:2" x14ac:dyDescent="0.3">
      <c r="A145" t="s">
        <v>404</v>
      </c>
      <c r="B145">
        <v>2</v>
      </c>
    </row>
    <row r="146" spans="1:2" x14ac:dyDescent="0.3">
      <c r="A146" t="s">
        <v>405</v>
      </c>
      <c r="B146">
        <v>3</v>
      </c>
    </row>
    <row r="147" spans="1:2" x14ac:dyDescent="0.3">
      <c r="A147" t="s">
        <v>406</v>
      </c>
      <c r="B147">
        <v>4</v>
      </c>
    </row>
    <row r="148" spans="1:2" x14ac:dyDescent="0.3">
      <c r="A148" t="s">
        <v>407</v>
      </c>
      <c r="B148">
        <v>5</v>
      </c>
    </row>
    <row r="149" spans="1:2" x14ac:dyDescent="0.3">
      <c r="A149" t="s">
        <v>408</v>
      </c>
      <c r="B149">
        <v>6</v>
      </c>
    </row>
    <row r="150" spans="1:2" x14ac:dyDescent="0.3">
      <c r="A150" t="s">
        <v>409</v>
      </c>
      <c r="B150">
        <v>8</v>
      </c>
    </row>
    <row r="151" spans="1:2" x14ac:dyDescent="0.3">
      <c r="A151" t="s">
        <v>410</v>
      </c>
      <c r="B151">
        <v>9</v>
      </c>
    </row>
    <row r="152" spans="1:2" x14ac:dyDescent="0.3">
      <c r="A152" t="s">
        <v>411</v>
      </c>
      <c r="B152">
        <v>10</v>
      </c>
    </row>
    <row r="153" spans="1:2" x14ac:dyDescent="0.3">
      <c r="A153" t="s">
        <v>412</v>
      </c>
      <c r="B153">
        <v>11</v>
      </c>
    </row>
    <row r="154" spans="1:2" x14ac:dyDescent="0.3">
      <c r="A154" t="s">
        <v>413</v>
      </c>
      <c r="B154">
        <v>12</v>
      </c>
    </row>
    <row r="155" spans="1:2" x14ac:dyDescent="0.3">
      <c r="A155" t="s">
        <v>414</v>
      </c>
      <c r="B155">
        <v>13</v>
      </c>
    </row>
    <row r="156" spans="1:2" x14ac:dyDescent="0.3">
      <c r="A156" t="s">
        <v>415</v>
      </c>
      <c r="B156">
        <v>14</v>
      </c>
    </row>
    <row r="157" spans="1:2" x14ac:dyDescent="0.3">
      <c r="A157" t="s">
        <v>416</v>
      </c>
      <c r="B157">
        <v>15</v>
      </c>
    </row>
    <row r="158" spans="1:2" x14ac:dyDescent="0.3">
      <c r="A158" t="s">
        <v>417</v>
      </c>
      <c r="B158">
        <v>16</v>
      </c>
    </row>
    <row r="159" spans="1:2" x14ac:dyDescent="0.3">
      <c r="A159" t="s">
        <v>418</v>
      </c>
      <c r="B159">
        <v>17</v>
      </c>
    </row>
    <row r="160" spans="1:2" x14ac:dyDescent="0.3">
      <c r="A160" t="s">
        <v>419</v>
      </c>
      <c r="B160">
        <v>18</v>
      </c>
    </row>
    <row r="161" spans="1:2" x14ac:dyDescent="0.3">
      <c r="A161" t="s">
        <v>420</v>
      </c>
      <c r="B161">
        <v>19</v>
      </c>
    </row>
    <row r="162" spans="1:2" x14ac:dyDescent="0.3">
      <c r="A162" t="s">
        <v>421</v>
      </c>
      <c r="B162">
        <v>20</v>
      </c>
    </row>
    <row r="163" spans="1:2" x14ac:dyDescent="0.3">
      <c r="A163" t="s">
        <v>422</v>
      </c>
      <c r="B163">
        <v>21</v>
      </c>
    </row>
    <row r="164" spans="1:2" x14ac:dyDescent="0.3">
      <c r="A164" t="s">
        <v>423</v>
      </c>
      <c r="B164">
        <v>22</v>
      </c>
    </row>
    <row r="165" spans="1:2" x14ac:dyDescent="0.3">
      <c r="A165" t="s">
        <v>424</v>
      </c>
      <c r="B165">
        <v>23</v>
      </c>
    </row>
    <row r="166" spans="1:2" x14ac:dyDescent="0.3">
      <c r="A166" t="s">
        <v>425</v>
      </c>
      <c r="B166">
        <v>24</v>
      </c>
    </row>
    <row r="167" spans="1:2" x14ac:dyDescent="0.3">
      <c r="A167" t="s">
        <v>426</v>
      </c>
      <c r="B167">
        <v>25</v>
      </c>
    </row>
    <row r="168" spans="1:2" x14ac:dyDescent="0.3">
      <c r="A168" t="s">
        <v>427</v>
      </c>
      <c r="B168">
        <v>26</v>
      </c>
    </row>
    <row r="169" spans="1:2" x14ac:dyDescent="0.3">
      <c r="A169" t="s">
        <v>428</v>
      </c>
      <c r="B169">
        <v>27</v>
      </c>
    </row>
    <row r="170" spans="1:2" x14ac:dyDescent="0.3">
      <c r="A170" t="s">
        <v>429</v>
      </c>
      <c r="B170">
        <v>28</v>
      </c>
    </row>
    <row r="171" spans="1:2" x14ac:dyDescent="0.3">
      <c r="A171" t="s">
        <v>430</v>
      </c>
      <c r="B171">
        <v>29</v>
      </c>
    </row>
    <row r="172" spans="1:2" x14ac:dyDescent="0.3">
      <c r="A172" t="s">
        <v>431</v>
      </c>
      <c r="B172">
        <v>31</v>
      </c>
    </row>
    <row r="173" spans="1:2" x14ac:dyDescent="0.3">
      <c r="A173" t="s">
        <v>432</v>
      </c>
      <c r="B173">
        <v>32</v>
      </c>
    </row>
    <row r="174" spans="1:2" x14ac:dyDescent="0.3">
      <c r="A174" t="s">
        <v>433</v>
      </c>
      <c r="B174">
        <v>33</v>
      </c>
    </row>
    <row r="175" spans="1:2" x14ac:dyDescent="0.3">
      <c r="A175" t="s">
        <v>434</v>
      </c>
      <c r="B175">
        <v>34</v>
      </c>
    </row>
    <row r="176" spans="1:2" x14ac:dyDescent="0.3">
      <c r="A176" t="s">
        <v>435</v>
      </c>
      <c r="B176">
        <v>35</v>
      </c>
    </row>
    <row r="177" spans="1:2" x14ac:dyDescent="0.3">
      <c r="A177" t="s">
        <v>436</v>
      </c>
      <c r="B177">
        <v>36</v>
      </c>
    </row>
    <row r="178" spans="1:2" x14ac:dyDescent="0.3">
      <c r="A178" t="s">
        <v>437</v>
      </c>
      <c r="B178">
        <v>37</v>
      </c>
    </row>
    <row r="179" spans="1:2" x14ac:dyDescent="0.3">
      <c r="A179" t="s">
        <v>438</v>
      </c>
      <c r="B179">
        <v>38</v>
      </c>
    </row>
    <row r="180" spans="1:2" x14ac:dyDescent="0.3">
      <c r="A180" t="s">
        <v>439</v>
      </c>
      <c r="B180">
        <v>39</v>
      </c>
    </row>
    <row r="181" spans="1:2" x14ac:dyDescent="0.3">
      <c r="A181" t="s">
        <v>440</v>
      </c>
      <c r="B181">
        <v>40</v>
      </c>
    </row>
    <row r="182" spans="1:2" x14ac:dyDescent="0.3">
      <c r="A182" t="s">
        <v>441</v>
      </c>
      <c r="B182">
        <v>41</v>
      </c>
    </row>
    <row r="183" spans="1:2" x14ac:dyDescent="0.3">
      <c r="A183" t="s">
        <v>442</v>
      </c>
      <c r="B183">
        <v>42</v>
      </c>
    </row>
    <row r="184" spans="1:2" x14ac:dyDescent="0.3">
      <c r="A184" t="s">
        <v>443</v>
      </c>
      <c r="B184">
        <v>43</v>
      </c>
    </row>
    <row r="185" spans="1:2" x14ac:dyDescent="0.3">
      <c r="A185" t="s">
        <v>444</v>
      </c>
      <c r="B185">
        <v>44</v>
      </c>
    </row>
    <row r="186" spans="1:2" x14ac:dyDescent="0.3">
      <c r="A186" t="s">
        <v>445</v>
      </c>
      <c r="B186">
        <v>45</v>
      </c>
    </row>
    <row r="187" spans="1:2" x14ac:dyDescent="0.3">
      <c r="A187" t="s">
        <v>446</v>
      </c>
      <c r="B187">
        <v>46</v>
      </c>
    </row>
    <row r="188" spans="1:2" x14ac:dyDescent="0.3">
      <c r="A188" t="s">
        <v>447</v>
      </c>
      <c r="B188">
        <v>47</v>
      </c>
    </row>
    <row r="189" spans="1:2" x14ac:dyDescent="0.3">
      <c r="A189" t="s">
        <v>448</v>
      </c>
      <c r="B189">
        <v>48</v>
      </c>
    </row>
    <row r="190" spans="1:2" x14ac:dyDescent="0.3">
      <c r="A190" t="s">
        <v>449</v>
      </c>
      <c r="B190">
        <v>49</v>
      </c>
    </row>
    <row r="191" spans="1:2" x14ac:dyDescent="0.3">
      <c r="A191" t="s">
        <v>450</v>
      </c>
      <c r="B191">
        <v>50</v>
      </c>
    </row>
    <row r="192" spans="1:2" x14ac:dyDescent="0.3">
      <c r="A192" t="s">
        <v>451</v>
      </c>
      <c r="B192">
        <v>51</v>
      </c>
    </row>
    <row r="193" spans="1:2" x14ac:dyDescent="0.3">
      <c r="A193" t="s">
        <v>452</v>
      </c>
      <c r="B193">
        <v>52</v>
      </c>
    </row>
    <row r="194" spans="1:2" x14ac:dyDescent="0.3">
      <c r="A194" t="s">
        <v>453</v>
      </c>
      <c r="B194">
        <v>54</v>
      </c>
    </row>
    <row r="195" spans="1:2" x14ac:dyDescent="0.3">
      <c r="A195" t="s">
        <v>454</v>
      </c>
      <c r="B195">
        <v>55</v>
      </c>
    </row>
    <row r="196" spans="1:2" x14ac:dyDescent="0.3">
      <c r="A196" t="s">
        <v>455</v>
      </c>
      <c r="B196">
        <v>56</v>
      </c>
    </row>
    <row r="197" spans="1:2" x14ac:dyDescent="0.3">
      <c r="A197" t="s">
        <v>456</v>
      </c>
      <c r="B197">
        <v>57</v>
      </c>
    </row>
    <row r="198" spans="1:2" x14ac:dyDescent="0.3">
      <c r="A198" t="s">
        <v>457</v>
      </c>
      <c r="B198">
        <v>58</v>
      </c>
    </row>
    <row r="199" spans="1:2" x14ac:dyDescent="0.3">
      <c r="A199" t="s">
        <v>458</v>
      </c>
      <c r="B199">
        <v>59</v>
      </c>
    </row>
    <row r="200" spans="1:2" x14ac:dyDescent="0.3">
      <c r="A200" t="s">
        <v>459</v>
      </c>
      <c r="B200" t="s">
        <v>460</v>
      </c>
    </row>
    <row r="201" spans="1:2" x14ac:dyDescent="0.3">
      <c r="A201" t="s">
        <v>461</v>
      </c>
      <c r="B201" t="s">
        <v>462</v>
      </c>
    </row>
    <row r="202" spans="1:2" x14ac:dyDescent="0.3">
      <c r="A202" t="s">
        <v>463</v>
      </c>
      <c r="B202" t="s">
        <v>464</v>
      </c>
    </row>
    <row r="203" spans="1:2" x14ac:dyDescent="0.3">
      <c r="A203" t="s">
        <v>465</v>
      </c>
      <c r="B203" t="s">
        <v>466</v>
      </c>
    </row>
    <row r="204" spans="1:2" x14ac:dyDescent="0.3">
      <c r="A204" t="s">
        <v>467</v>
      </c>
      <c r="B204" t="s">
        <v>468</v>
      </c>
    </row>
    <row r="205" spans="1:2" x14ac:dyDescent="0.3">
      <c r="A205" t="s">
        <v>469</v>
      </c>
      <c r="B205" t="s">
        <v>470</v>
      </c>
    </row>
    <row r="206" spans="1:2" x14ac:dyDescent="0.3">
      <c r="A206" t="s">
        <v>471</v>
      </c>
      <c r="B206" t="s">
        <v>472</v>
      </c>
    </row>
    <row r="207" spans="1:2" x14ac:dyDescent="0.3">
      <c r="A207" t="s">
        <v>473</v>
      </c>
      <c r="B207" t="s">
        <v>474</v>
      </c>
    </row>
    <row r="208" spans="1:2" x14ac:dyDescent="0.3">
      <c r="A208" t="s">
        <v>475</v>
      </c>
      <c r="B208" t="s">
        <v>476</v>
      </c>
    </row>
    <row r="209" spans="1:23" x14ac:dyDescent="0.3">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3">
      <c r="A210" t="s">
        <v>478</v>
      </c>
      <c r="B210">
        <v>1</v>
      </c>
    </row>
    <row r="211" spans="1:23" x14ac:dyDescent="0.3">
      <c r="A211" t="s">
        <v>479</v>
      </c>
      <c r="B211">
        <v>2</v>
      </c>
    </row>
    <row r="212" spans="1:23" x14ac:dyDescent="0.3">
      <c r="A212" t="s">
        <v>480</v>
      </c>
      <c r="B212">
        <v>3</v>
      </c>
    </row>
    <row r="213" spans="1:23" x14ac:dyDescent="0.3">
      <c r="A213" t="s">
        <v>481</v>
      </c>
      <c r="B213">
        <v>4</v>
      </c>
    </row>
    <row r="214" spans="1:23" x14ac:dyDescent="0.3">
      <c r="A214" t="s">
        <v>482</v>
      </c>
      <c r="B214">
        <v>5</v>
      </c>
    </row>
    <row r="215" spans="1:23" x14ac:dyDescent="0.3">
      <c r="A215" t="s">
        <v>483</v>
      </c>
      <c r="B215">
        <v>6</v>
      </c>
    </row>
    <row r="216" spans="1:23" x14ac:dyDescent="0.3">
      <c r="A216" t="s">
        <v>484</v>
      </c>
      <c r="B216">
        <v>7</v>
      </c>
    </row>
    <row r="217" spans="1:23" x14ac:dyDescent="0.3">
      <c r="A217" t="s">
        <v>485</v>
      </c>
      <c r="B217">
        <v>9</v>
      </c>
    </row>
    <row r="218" spans="1:23" x14ac:dyDescent="0.3">
      <c r="A218" t="s">
        <v>486</v>
      </c>
      <c r="B218">
        <v>10</v>
      </c>
    </row>
    <row r="219" spans="1:23" x14ac:dyDescent="0.3">
      <c r="A219" t="s">
        <v>487</v>
      </c>
      <c r="B219">
        <v>11</v>
      </c>
    </row>
    <row r="220" spans="1:23" x14ac:dyDescent="0.3">
      <c r="A220" t="s">
        <v>488</v>
      </c>
      <c r="B220">
        <v>12</v>
      </c>
    </row>
    <row r="221" spans="1:23" x14ac:dyDescent="0.3">
      <c r="A221" t="s">
        <v>489</v>
      </c>
      <c r="B221">
        <v>13</v>
      </c>
    </row>
    <row r="222" spans="1:23" x14ac:dyDescent="0.3">
      <c r="A222" t="s">
        <v>490</v>
      </c>
      <c r="B222">
        <v>14</v>
      </c>
    </row>
    <row r="223" spans="1:23" x14ac:dyDescent="0.3">
      <c r="A223" t="s">
        <v>491</v>
      </c>
      <c r="B223">
        <v>15</v>
      </c>
    </row>
    <row r="224" spans="1:23" x14ac:dyDescent="0.3">
      <c r="A224" t="s">
        <v>492</v>
      </c>
      <c r="B224">
        <v>16</v>
      </c>
    </row>
    <row r="225" spans="1:2" x14ac:dyDescent="0.3">
      <c r="A225" t="s">
        <v>493</v>
      </c>
      <c r="B225">
        <v>17</v>
      </c>
    </row>
    <row r="226" spans="1:2" x14ac:dyDescent="0.3">
      <c r="A226" t="s">
        <v>494</v>
      </c>
      <c r="B226">
        <v>18</v>
      </c>
    </row>
    <row r="227" spans="1:2" x14ac:dyDescent="0.3">
      <c r="A227" t="s">
        <v>495</v>
      </c>
      <c r="B227">
        <v>19</v>
      </c>
    </row>
    <row r="228" spans="1:2" x14ac:dyDescent="0.3">
      <c r="A228" t="s">
        <v>496</v>
      </c>
      <c r="B228">
        <v>20</v>
      </c>
    </row>
    <row r="229" spans="1:2" x14ac:dyDescent="0.3">
      <c r="A229" t="s">
        <v>497</v>
      </c>
      <c r="B229">
        <v>21</v>
      </c>
    </row>
    <row r="230" spans="1:2" x14ac:dyDescent="0.3">
      <c r="A230" t="s">
        <v>498</v>
      </c>
      <c r="B230">
        <v>22</v>
      </c>
    </row>
    <row r="231" spans="1:2" x14ac:dyDescent="0.3">
      <c r="A231" t="s">
        <v>499</v>
      </c>
      <c r="B231">
        <v>23</v>
      </c>
    </row>
    <row r="232" spans="1:2" x14ac:dyDescent="0.3">
      <c r="A232" t="s">
        <v>500</v>
      </c>
      <c r="B232">
        <v>24</v>
      </c>
    </row>
    <row r="233" spans="1:2" x14ac:dyDescent="0.3">
      <c r="A233" t="s">
        <v>501</v>
      </c>
      <c r="B233">
        <v>25</v>
      </c>
    </row>
    <row r="234" spans="1:2" x14ac:dyDescent="0.3">
      <c r="A234" t="s">
        <v>502</v>
      </c>
      <c r="B234">
        <v>26</v>
      </c>
    </row>
    <row r="235" spans="1:2" x14ac:dyDescent="0.3">
      <c r="A235" t="s">
        <v>503</v>
      </c>
      <c r="B235">
        <v>27</v>
      </c>
    </row>
    <row r="236" spans="1:2" x14ac:dyDescent="0.3">
      <c r="A236" t="s">
        <v>504</v>
      </c>
      <c r="B236">
        <v>28</v>
      </c>
    </row>
    <row r="237" spans="1:2" x14ac:dyDescent="0.3">
      <c r="A237" t="s">
        <v>505</v>
      </c>
      <c r="B237">
        <v>29</v>
      </c>
    </row>
    <row r="238" spans="1:2" x14ac:dyDescent="0.3">
      <c r="A238" t="s">
        <v>506</v>
      </c>
      <c r="B238">
        <v>30</v>
      </c>
    </row>
    <row r="239" spans="1:2" x14ac:dyDescent="0.3">
      <c r="A239" t="s">
        <v>507</v>
      </c>
      <c r="B239">
        <v>31</v>
      </c>
    </row>
    <row r="240" spans="1:2" x14ac:dyDescent="0.3">
      <c r="A240" t="s">
        <v>508</v>
      </c>
      <c r="B240">
        <v>33</v>
      </c>
    </row>
    <row r="241" spans="1:2" x14ac:dyDescent="0.3">
      <c r="A241" t="s">
        <v>509</v>
      </c>
      <c r="B241">
        <v>34</v>
      </c>
    </row>
    <row r="242" spans="1:2" x14ac:dyDescent="0.3">
      <c r="A242" t="s">
        <v>510</v>
      </c>
      <c r="B242">
        <v>35</v>
      </c>
    </row>
    <row r="243" spans="1:2" x14ac:dyDescent="0.3">
      <c r="A243" t="s">
        <v>511</v>
      </c>
      <c r="B243">
        <v>36</v>
      </c>
    </row>
    <row r="244" spans="1:2" x14ac:dyDescent="0.3">
      <c r="A244" t="s">
        <v>512</v>
      </c>
      <c r="B244">
        <v>37</v>
      </c>
    </row>
    <row r="245" spans="1:2" x14ac:dyDescent="0.3">
      <c r="A245" t="s">
        <v>513</v>
      </c>
      <c r="B245">
        <v>38</v>
      </c>
    </row>
    <row r="246" spans="1:2" x14ac:dyDescent="0.3">
      <c r="A246" t="s">
        <v>514</v>
      </c>
      <c r="B246">
        <v>39</v>
      </c>
    </row>
    <row r="247" spans="1:2" x14ac:dyDescent="0.3">
      <c r="A247" t="s">
        <v>515</v>
      </c>
      <c r="B247">
        <v>40</v>
      </c>
    </row>
    <row r="248" spans="1:2" x14ac:dyDescent="0.3">
      <c r="A248" t="s">
        <v>516</v>
      </c>
      <c r="B248">
        <v>41</v>
      </c>
    </row>
    <row r="249" spans="1:2" x14ac:dyDescent="0.3">
      <c r="A249" t="s">
        <v>517</v>
      </c>
      <c r="B249">
        <v>42</v>
      </c>
    </row>
    <row r="250" spans="1:2" x14ac:dyDescent="0.3">
      <c r="A250" t="s">
        <v>518</v>
      </c>
      <c r="B250">
        <v>43</v>
      </c>
    </row>
    <row r="251" spans="1:2" x14ac:dyDescent="0.3">
      <c r="A251" t="s">
        <v>519</v>
      </c>
      <c r="B251">
        <v>44</v>
      </c>
    </row>
    <row r="252" spans="1:2" x14ac:dyDescent="0.3">
      <c r="A252" t="s">
        <v>520</v>
      </c>
      <c r="B252">
        <v>45</v>
      </c>
    </row>
    <row r="253" spans="1:2" x14ac:dyDescent="0.3">
      <c r="A253" t="s">
        <v>521</v>
      </c>
      <c r="B253">
        <v>46</v>
      </c>
    </row>
    <row r="254" spans="1:2" x14ac:dyDescent="0.3">
      <c r="A254" t="s">
        <v>522</v>
      </c>
      <c r="B254">
        <v>47</v>
      </c>
    </row>
    <row r="255" spans="1:2" x14ac:dyDescent="0.3">
      <c r="A255" t="s">
        <v>523</v>
      </c>
      <c r="B255">
        <v>48</v>
      </c>
    </row>
    <row r="256" spans="1:2" x14ac:dyDescent="0.3">
      <c r="A256" t="s">
        <v>524</v>
      </c>
      <c r="B256">
        <v>49</v>
      </c>
    </row>
    <row r="257" spans="1:2" x14ac:dyDescent="0.3">
      <c r="A257" t="s">
        <v>525</v>
      </c>
      <c r="B257">
        <v>50</v>
      </c>
    </row>
    <row r="258" spans="1:2" x14ac:dyDescent="0.3">
      <c r="A258" t="s">
        <v>526</v>
      </c>
      <c r="B258">
        <v>51</v>
      </c>
    </row>
    <row r="259" spans="1:2" x14ac:dyDescent="0.3">
      <c r="A259" t="s">
        <v>527</v>
      </c>
      <c r="B259">
        <v>52</v>
      </c>
    </row>
    <row r="260" spans="1:2" x14ac:dyDescent="0.3">
      <c r="A260" t="s">
        <v>528</v>
      </c>
      <c r="B260">
        <v>53</v>
      </c>
    </row>
    <row r="261" spans="1:2" x14ac:dyDescent="0.3">
      <c r="A261" t="s">
        <v>529</v>
      </c>
      <c r="B261">
        <v>54</v>
      </c>
    </row>
    <row r="262" spans="1:2" x14ac:dyDescent="0.3">
      <c r="A262" t="s">
        <v>530</v>
      </c>
      <c r="B262">
        <v>55</v>
      </c>
    </row>
    <row r="263" spans="1:2" x14ac:dyDescent="0.3">
      <c r="A263" t="s">
        <v>531</v>
      </c>
      <c r="B263">
        <v>57</v>
      </c>
    </row>
    <row r="264" spans="1:2" x14ac:dyDescent="0.3">
      <c r="A264" t="s">
        <v>532</v>
      </c>
      <c r="B264">
        <v>58</v>
      </c>
    </row>
    <row r="265" spans="1:2" x14ac:dyDescent="0.3">
      <c r="A265" t="s">
        <v>533</v>
      </c>
      <c r="B265">
        <v>59</v>
      </c>
    </row>
    <row r="266" spans="1:2" x14ac:dyDescent="0.3">
      <c r="A266" t="s">
        <v>534</v>
      </c>
      <c r="B266">
        <v>60</v>
      </c>
    </row>
    <row r="267" spans="1:2" x14ac:dyDescent="0.3">
      <c r="A267" t="s">
        <v>535</v>
      </c>
      <c r="B267">
        <v>62</v>
      </c>
    </row>
    <row r="268" spans="1:2" x14ac:dyDescent="0.3">
      <c r="A268" t="s">
        <v>536</v>
      </c>
      <c r="B268">
        <v>63</v>
      </c>
    </row>
    <row r="269" spans="1:2" x14ac:dyDescent="0.3">
      <c r="A269" t="s">
        <v>537</v>
      </c>
      <c r="B269">
        <v>64</v>
      </c>
    </row>
    <row r="270" spans="1:2" x14ac:dyDescent="0.3">
      <c r="A270" t="s">
        <v>538</v>
      </c>
      <c r="B270">
        <v>65</v>
      </c>
    </row>
    <row r="271" spans="1:2" x14ac:dyDescent="0.3">
      <c r="A271" t="s">
        <v>539</v>
      </c>
      <c r="B271">
        <v>66</v>
      </c>
    </row>
    <row r="272" spans="1:2" x14ac:dyDescent="0.3">
      <c r="A272" t="s">
        <v>540</v>
      </c>
      <c r="B272">
        <v>68</v>
      </c>
    </row>
    <row r="273" spans="1:24" x14ac:dyDescent="0.3">
      <c r="A273" t="s">
        <v>541</v>
      </c>
      <c r="B273">
        <v>69</v>
      </c>
    </row>
    <row r="274" spans="1:24" x14ac:dyDescent="0.3">
      <c r="A274" t="s">
        <v>542</v>
      </c>
      <c r="B274">
        <v>70</v>
      </c>
    </row>
    <row r="275" spans="1:24" x14ac:dyDescent="0.3">
      <c r="A275" t="s">
        <v>543</v>
      </c>
      <c r="B275">
        <v>71</v>
      </c>
    </row>
    <row r="276" spans="1:24" x14ac:dyDescent="0.3">
      <c r="A276" t="s">
        <v>544</v>
      </c>
      <c r="B276">
        <v>72</v>
      </c>
    </row>
    <row r="277" spans="1:24" x14ac:dyDescent="0.3">
      <c r="A277" t="s">
        <v>545</v>
      </c>
      <c r="B277" t="s">
        <v>546</v>
      </c>
    </row>
    <row r="278" spans="1:24" x14ac:dyDescent="0.3">
      <c r="A278" t="s">
        <v>547</v>
      </c>
      <c r="B278" t="s">
        <v>548</v>
      </c>
    </row>
    <row r="279" spans="1:24" x14ac:dyDescent="0.3">
      <c r="A279" t="s">
        <v>549</v>
      </c>
      <c r="B279" t="s">
        <v>550</v>
      </c>
    </row>
    <row r="280" spans="1:24" x14ac:dyDescent="0.3">
      <c r="A280" t="s">
        <v>551</v>
      </c>
      <c r="B280" t="s">
        <v>552</v>
      </c>
    </row>
    <row r="281" spans="1:24" x14ac:dyDescent="0.3">
      <c r="A281" t="s">
        <v>553</v>
      </c>
      <c r="B281" t="s">
        <v>554</v>
      </c>
    </row>
    <row r="282" spans="1:24" x14ac:dyDescent="0.3">
      <c r="A282" t="s">
        <v>555</v>
      </c>
      <c r="B282" t="s">
        <v>556</v>
      </c>
    </row>
    <row r="283" spans="1:24" x14ac:dyDescent="0.3">
      <c r="A283" t="s">
        <v>557</v>
      </c>
      <c r="B283" t="s">
        <v>558</v>
      </c>
    </row>
    <row r="284" spans="1:24" x14ac:dyDescent="0.3">
      <c r="A284" t="s">
        <v>559</v>
      </c>
      <c r="B284" t="s">
        <v>560</v>
      </c>
    </row>
    <row r="285" spans="1:24" x14ac:dyDescent="0.3">
      <c r="A285" t="s">
        <v>561</v>
      </c>
      <c r="B285" t="s">
        <v>562</v>
      </c>
    </row>
    <row r="286" spans="1:24" x14ac:dyDescent="0.3">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Y5" activePane="bottomRight" state="frozen"/>
      <selection pane="topRight" activeCell="C1" sqref="C1"/>
      <selection pane="bottomLeft" activeCell="A5" sqref="A5"/>
      <selection pane="bottomRight" activeCell="AM5" sqref="AM5:AZ11"/>
    </sheetView>
  </sheetViews>
  <sheetFormatPr defaultRowHeight="14.4" outlineLevelRow="2" x14ac:dyDescent="0.3"/>
  <cols>
    <col min="2" max="2" width="24.6640625" style="76" customWidth="1"/>
    <col min="3" max="4" width="10.6640625" style="76" customWidth="1"/>
    <col min="7" max="7" width="1.6640625" style="76" customWidth="1"/>
    <col min="10" max="13" width="10.6640625" style="76" customWidth="1"/>
    <col min="14" max="14" width="24.6640625" style="76" hidden="1" customWidth="1"/>
    <col min="15" max="15" width="12.6640625" style="76" customWidth="1"/>
    <col min="16" max="16" width="10.6640625" style="76" customWidth="1"/>
    <col min="17" max="20" width="12.6640625" style="76" customWidth="1"/>
    <col min="21" max="25" width="11.6640625" style="76" customWidth="1"/>
    <col min="30" max="30" width="1.6640625" style="76" customWidth="1"/>
    <col min="33" max="36" width="10.6640625" style="76" customWidth="1"/>
    <col min="37" max="37" width="24.6640625" style="76" hidden="1" customWidth="1"/>
    <col min="38" max="38" width="12.6640625" style="76" customWidth="1"/>
    <col min="39" max="39" width="10.6640625" style="76" customWidth="1"/>
    <col min="40" max="43" width="12.6640625" style="76" customWidth="1"/>
    <col min="44" max="48" width="11.6640625" style="76" customWidth="1"/>
    <col min="53" max="53" width="1.6640625" style="76" customWidth="1"/>
    <col min="60" max="60" width="1.6640625" style="76" customWidth="1"/>
  </cols>
  <sheetData>
    <row r="1" spans="1:59" x14ac:dyDescent="0.3">
      <c r="A1" s="168" t="s">
        <v>564</v>
      </c>
      <c r="B1" s="156"/>
      <c r="C1" s="156"/>
      <c r="D1" s="156"/>
      <c r="E1" s="156"/>
      <c r="F1" s="156"/>
      <c r="H1" s="164" t="str">
        <f>Summary!$C$1</f>
        <v>ALL_master+r8.0</v>
      </c>
      <c r="I1" s="156"/>
      <c r="J1" s="156"/>
      <c r="K1" s="156"/>
      <c r="L1" s="156"/>
      <c r="M1" s="156"/>
      <c r="N1" s="156"/>
      <c r="O1" s="156"/>
      <c r="P1" s="156"/>
      <c r="Q1" s="156"/>
      <c r="R1" s="156"/>
      <c r="S1" s="156"/>
      <c r="T1" s="156"/>
      <c r="U1" s="156"/>
      <c r="V1" s="156"/>
      <c r="W1" s="156"/>
      <c r="X1" s="156"/>
      <c r="Y1" s="156"/>
      <c r="Z1" s="156"/>
      <c r="AA1" s="156"/>
      <c r="AB1" s="156"/>
      <c r="AC1" s="156"/>
      <c r="AE1" s="165">
        <f>Summary!$C$2</f>
        <v>0</v>
      </c>
      <c r="AF1" s="156"/>
      <c r="AG1" s="156"/>
      <c r="AH1" s="156"/>
      <c r="AI1" s="156"/>
      <c r="AJ1" s="156"/>
      <c r="AK1" s="156"/>
      <c r="AL1" s="156"/>
      <c r="AM1" s="156"/>
      <c r="AN1" s="156"/>
      <c r="AO1" s="156"/>
      <c r="AP1" s="156"/>
      <c r="AQ1" s="156"/>
      <c r="AR1" s="156"/>
      <c r="AS1" s="156"/>
      <c r="AT1" s="156"/>
      <c r="AU1" s="156"/>
      <c r="AV1" s="156"/>
      <c r="AW1" s="156"/>
      <c r="AX1" s="156"/>
      <c r="AY1" s="156"/>
      <c r="AZ1" s="156"/>
    </row>
    <row r="2" spans="1:59" ht="30" customHeight="1" x14ac:dyDescent="0.3">
      <c r="A2" s="170" t="s">
        <v>137</v>
      </c>
      <c r="B2" s="169" t="s">
        <v>138</v>
      </c>
      <c r="C2" s="170" t="s">
        <v>140</v>
      </c>
      <c r="D2" s="169" t="s">
        <v>141</v>
      </c>
      <c r="E2" s="170" t="s">
        <v>142</v>
      </c>
      <c r="F2" s="169" t="s">
        <v>143</v>
      </c>
      <c r="H2" s="170" t="s">
        <v>565</v>
      </c>
      <c r="I2" s="169" t="s">
        <v>144</v>
      </c>
      <c r="J2" s="167" t="s">
        <v>145</v>
      </c>
      <c r="K2" s="156"/>
      <c r="L2" s="156"/>
      <c r="M2" s="156"/>
      <c r="N2" s="170" t="s">
        <v>146</v>
      </c>
      <c r="O2" s="169" t="s">
        <v>147</v>
      </c>
      <c r="P2" s="170" t="s">
        <v>84</v>
      </c>
      <c r="Q2" s="166" t="s">
        <v>148</v>
      </c>
      <c r="R2" s="156"/>
      <c r="S2" s="156"/>
      <c r="T2" s="156"/>
      <c r="U2" s="167" t="s">
        <v>149</v>
      </c>
      <c r="V2" s="156"/>
      <c r="W2" s="166" t="s">
        <v>150</v>
      </c>
      <c r="X2" s="156"/>
      <c r="Y2" s="156"/>
      <c r="Z2" s="167" t="s">
        <v>151</v>
      </c>
      <c r="AA2" s="156"/>
      <c r="AB2" s="166" t="s">
        <v>152</v>
      </c>
      <c r="AC2" s="156"/>
      <c r="AE2" s="170" t="s">
        <v>565</v>
      </c>
      <c r="AF2" s="169" t="s">
        <v>144</v>
      </c>
      <c r="AG2" s="167" t="s">
        <v>145</v>
      </c>
      <c r="AH2" s="156"/>
      <c r="AI2" s="156"/>
      <c r="AJ2" s="156"/>
      <c r="AK2" s="170" t="s">
        <v>153</v>
      </c>
      <c r="AL2" s="169" t="s">
        <v>147</v>
      </c>
      <c r="AM2" s="170" t="s">
        <v>84</v>
      </c>
      <c r="AN2" s="166" t="s">
        <v>148</v>
      </c>
      <c r="AO2" s="156"/>
      <c r="AP2" s="156"/>
      <c r="AQ2" s="156"/>
      <c r="AR2" s="167" t="s">
        <v>149</v>
      </c>
      <c r="AS2" s="156"/>
      <c r="AT2" s="166" t="s">
        <v>150</v>
      </c>
      <c r="AU2" s="156"/>
      <c r="AV2" s="156"/>
      <c r="AW2" s="167" t="s">
        <v>151</v>
      </c>
      <c r="AX2" s="156"/>
      <c r="AY2" s="166" t="s">
        <v>152</v>
      </c>
      <c r="AZ2" s="156"/>
      <c r="BB2" s="167" t="s">
        <v>22</v>
      </c>
      <c r="BC2" s="156"/>
      <c r="BD2" s="156"/>
      <c r="BE2" s="156"/>
      <c r="BF2" s="169" t="s">
        <v>156</v>
      </c>
      <c r="BG2" s="170" t="s">
        <v>156</v>
      </c>
    </row>
    <row r="3" spans="1:59" ht="28.8" customHeight="1" x14ac:dyDescent="0.3">
      <c r="A3" s="158"/>
      <c r="B3" s="158"/>
      <c r="C3" s="158"/>
      <c r="D3" s="158"/>
      <c r="E3" s="158"/>
      <c r="F3" s="158"/>
      <c r="H3" s="158"/>
      <c r="I3" s="158"/>
      <c r="J3" s="152" t="s">
        <v>25</v>
      </c>
      <c r="K3" s="152" t="s">
        <v>23</v>
      </c>
      <c r="L3" s="152" t="s">
        <v>157</v>
      </c>
      <c r="M3" s="152" t="s">
        <v>158</v>
      </c>
      <c r="N3" s="158"/>
      <c r="O3" s="158"/>
      <c r="P3" s="158"/>
      <c r="Q3" s="153" t="s">
        <v>25</v>
      </c>
      <c r="R3" s="153" t="s">
        <v>157</v>
      </c>
      <c r="S3" s="153" t="s">
        <v>159</v>
      </c>
      <c r="T3" s="153" t="s">
        <v>24</v>
      </c>
      <c r="U3" s="152" t="s">
        <v>9</v>
      </c>
      <c r="V3" s="152" t="s">
        <v>10</v>
      </c>
      <c r="W3" s="153" t="s">
        <v>11</v>
      </c>
      <c r="X3" s="153" t="s">
        <v>12</v>
      </c>
      <c r="Y3" s="153" t="s">
        <v>13</v>
      </c>
      <c r="Z3" s="152" t="s">
        <v>160</v>
      </c>
      <c r="AA3" s="152" t="s">
        <v>161</v>
      </c>
      <c r="AB3" s="153" t="s">
        <v>160</v>
      </c>
      <c r="AC3" s="153" t="s">
        <v>161</v>
      </c>
      <c r="AE3" s="158"/>
      <c r="AF3" s="158"/>
      <c r="AG3" s="152" t="s">
        <v>25</v>
      </c>
      <c r="AH3" s="152" t="s">
        <v>23</v>
      </c>
      <c r="AI3" s="152" t="s">
        <v>157</v>
      </c>
      <c r="AJ3" s="152" t="s">
        <v>158</v>
      </c>
      <c r="AK3" s="158"/>
      <c r="AL3" s="158"/>
      <c r="AM3" s="158"/>
      <c r="AN3" s="153" t="s">
        <v>25</v>
      </c>
      <c r="AO3" s="153" t="s">
        <v>157</v>
      </c>
      <c r="AP3" s="153" t="s">
        <v>159</v>
      </c>
      <c r="AQ3" s="153" t="s">
        <v>24</v>
      </c>
      <c r="AR3" s="152" t="s">
        <v>9</v>
      </c>
      <c r="AS3" s="152" t="s">
        <v>10</v>
      </c>
      <c r="AT3" s="153" t="s">
        <v>11</v>
      </c>
      <c r="AU3" s="153" t="s">
        <v>12</v>
      </c>
      <c r="AV3" s="153" t="s">
        <v>13</v>
      </c>
      <c r="AW3" s="152" t="s">
        <v>160</v>
      </c>
      <c r="AX3" s="152" t="s">
        <v>161</v>
      </c>
      <c r="AY3" s="153" t="s">
        <v>160</v>
      </c>
      <c r="AZ3" s="153" t="s">
        <v>161</v>
      </c>
      <c r="BB3" s="152" t="s">
        <v>25</v>
      </c>
      <c r="BC3" s="152" t="s">
        <v>23</v>
      </c>
      <c r="BD3" s="152" t="s">
        <v>157</v>
      </c>
      <c r="BE3" s="152" t="s">
        <v>24</v>
      </c>
      <c r="BF3" s="158"/>
      <c r="BG3" s="158"/>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129" t="s">
        <v>229</v>
      </c>
      <c r="B5" s="129" t="s">
        <v>49</v>
      </c>
      <c r="C5" s="129">
        <v>238146391</v>
      </c>
      <c r="D5" s="10">
        <v>10</v>
      </c>
      <c r="E5" s="10">
        <v>32</v>
      </c>
      <c r="F5" s="10">
        <v>30</v>
      </c>
      <c r="H5" s="17">
        <f t="shared" ref="H5:H11" si="0">IF(ISBLANK(Q5),"·",Q5/(C5*(D5*3+IF(AND(ISNUMBER(T5),T5&gt;0),24,0))))</f>
        <v>1.7308520243876507E-2</v>
      </c>
      <c r="I5" s="11">
        <f t="shared" ref="I5:I11" si="1">IF(OR(ISBLANK(Q5),ISBLANK(F5)),"·",Q5*F5/E5/1000000)</f>
        <v>208.6743075</v>
      </c>
      <c r="J5" s="12">
        <f t="shared" ref="J5:J11" si="2">IF(ISBLANK(Q5),"·",Q5/C5)</f>
        <v>0.9346600931693313</v>
      </c>
      <c r="K5" s="12">
        <f t="shared" ref="K5:K11" si="3">IF(N5="","·",N5/C5)</f>
        <v>0.14560667434174973</v>
      </c>
      <c r="L5" s="12">
        <f t="shared" ref="L5:L11" si="4">IF(R5="","·",R5/C5)</f>
        <v>0.13670905472592276</v>
      </c>
      <c r="M5" s="12">
        <f t="shared" ref="M5:M11" si="5">IF(ISBLANK(T5),"·",T5/C5)</f>
        <v>0.78905341882758151</v>
      </c>
      <c r="N5" s="129">
        <f t="shared" ref="N5:N11" si="6">IF(OR(ISBLANK(R5),ISBLANK(S5)),"",R5+S5)</f>
        <v>34675704</v>
      </c>
      <c r="O5" s="12">
        <v>16</v>
      </c>
      <c r="P5" s="13">
        <v>24964341</v>
      </c>
      <c r="Q5" s="14">
        <v>222585928</v>
      </c>
      <c r="R5" s="14">
        <v>32556768</v>
      </c>
      <c r="S5" s="14">
        <v>2118936</v>
      </c>
      <c r="T5" s="14">
        <v>187910224</v>
      </c>
      <c r="U5" s="15" t="s">
        <v>571</v>
      </c>
      <c r="V5" s="15" t="s">
        <v>571</v>
      </c>
      <c r="W5" s="15" t="s">
        <v>571</v>
      </c>
      <c r="X5" s="15" t="s">
        <v>571</v>
      </c>
      <c r="Y5" s="15" t="s">
        <v>571</v>
      </c>
      <c r="Z5" s="16">
        <v>3472.84</v>
      </c>
      <c r="AA5" s="16">
        <v>5831.63</v>
      </c>
      <c r="AB5" s="16">
        <v>5.375</v>
      </c>
      <c r="AC5" s="16">
        <v>26</v>
      </c>
      <c r="AE5" s="17">
        <f t="shared" ref="AE5:AE11" si="7">IF(ISBLANK(Q5),"·",Q5/(C5*(D5*3+IF(AND(ISNUMBER(T5),T5&gt;0),24,0))))</f>
        <v>1.7308520243876507E-2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129" t="str">
        <f t="shared" ref="AK5:AK11" si="13">IF(OR(ISBLANK(AO5),ISBLANK(AP5)),"",AO5+AP5)</f>
        <v/>
      </c>
      <c r="AL5" s="12">
        <v>16</v>
      </c>
      <c r="AM5" s="13"/>
      <c r="AN5" s="14"/>
      <c r="AO5" s="14"/>
      <c r="AP5" s="14"/>
      <c r="AQ5" s="14"/>
      <c r="AR5" s="15"/>
      <c r="AS5" s="15"/>
      <c r="AT5" s="15"/>
      <c r="AU5" s="15"/>
      <c r="AV5" s="15"/>
      <c r="AW5" s="16"/>
      <c r="AX5" s="16"/>
      <c r="AY5" s="16"/>
      <c r="AZ5" s="16"/>
      <c r="BB5" s="62" t="e">
        <f t="shared" ref="BB5:BB15" si="14">AG5/J5</f>
        <v>#VALUE!</v>
      </c>
      <c r="BC5" s="62" t="e">
        <f t="shared" ref="BC5:BC15" si="15">AH5/K5</f>
        <v>#VALUE!</v>
      </c>
      <c r="BD5" s="62" t="e">
        <f t="shared" ref="BD5:BD15" si="16">AI5/L5</f>
        <v>#VALUE!</v>
      </c>
      <c r="BE5" s="62"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32</v>
      </c>
      <c r="F6" s="19">
        <v>30</v>
      </c>
      <c r="H6" s="26">
        <f t="shared" si="0"/>
        <v>2.4675696783487185E-2</v>
      </c>
      <c r="I6" s="20">
        <f t="shared" si="1"/>
        <v>272.47861499999999</v>
      </c>
      <c r="J6" s="21">
        <f t="shared" si="2"/>
        <v>1.3324876263083079</v>
      </c>
      <c r="K6" s="21">
        <f t="shared" si="3"/>
        <v>0.17684905718627808</v>
      </c>
      <c r="L6" s="21">
        <f t="shared" si="4"/>
        <v>0.16167694478834849</v>
      </c>
      <c r="M6" s="21">
        <f t="shared" si="5"/>
        <v>1.1556385691220299</v>
      </c>
      <c r="N6" s="18">
        <f t="shared" si="6"/>
        <v>38574536</v>
      </c>
      <c r="O6" s="21">
        <v>16</v>
      </c>
      <c r="P6" s="22">
        <v>22654789</v>
      </c>
      <c r="Q6" s="23">
        <v>290643856</v>
      </c>
      <c r="R6" s="23">
        <v>35265176</v>
      </c>
      <c r="S6" s="23">
        <v>3309360</v>
      </c>
      <c r="T6" s="23">
        <v>252069320</v>
      </c>
      <c r="U6" s="24" t="s">
        <v>571</v>
      </c>
      <c r="V6" s="24" t="s">
        <v>571</v>
      </c>
      <c r="W6" s="24" t="s">
        <v>571</v>
      </c>
      <c r="X6" s="24" t="s">
        <v>571</v>
      </c>
      <c r="Y6" s="24" t="s">
        <v>571</v>
      </c>
      <c r="Z6" s="25">
        <v>3186.91</v>
      </c>
      <c r="AA6" s="25">
        <v>5871.41</v>
      </c>
      <c r="AB6" s="25">
        <v>5.2910000000000004</v>
      </c>
      <c r="AC6" s="25">
        <v>27.663</v>
      </c>
      <c r="AE6" s="26">
        <f t="shared" si="7"/>
        <v>2.4675696783487185E-2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8" t="e">
        <f t="shared" si="14"/>
        <v>#VALUE!</v>
      </c>
      <c r="BC6" s="58" t="e">
        <f t="shared" si="15"/>
        <v>#VALUE!</v>
      </c>
      <c r="BD6" s="58" t="e">
        <f t="shared" si="16"/>
        <v>#VALUE!</v>
      </c>
      <c r="BE6" s="58" t="e">
        <f t="shared" si="17"/>
        <v>#VALUE!</v>
      </c>
      <c r="BF6" s="26" t="e">
        <f t="shared" si="18"/>
        <v>#VALUE!</v>
      </c>
      <c r="BG6" s="26" t="e">
        <f t="array" ref="BG6">AVERAGE(AK6:AK6/AN6:AN6) - AVERAGE(N6:N6/Q6:Q6)</f>
        <v>#VALUE!</v>
      </c>
    </row>
    <row r="7" spans="1:59" collapsed="1" x14ac:dyDescent="0.3">
      <c r="A7" s="129"/>
      <c r="B7" s="129" t="s">
        <v>62</v>
      </c>
      <c r="C7" s="129">
        <v>322589704</v>
      </c>
      <c r="D7" s="10">
        <v>10</v>
      </c>
      <c r="E7" s="10">
        <v>32</v>
      </c>
      <c r="F7" s="10">
        <v>30</v>
      </c>
      <c r="H7" s="17">
        <f t="shared" si="0"/>
        <v>1.9520231736155403E-2</v>
      </c>
      <c r="I7" s="11">
        <f t="shared" si="1"/>
        <v>318.78692999999998</v>
      </c>
      <c r="J7" s="12">
        <f t="shared" si="2"/>
        <v>1.0540925137523918</v>
      </c>
      <c r="K7" s="12">
        <f t="shared" si="3"/>
        <v>0.17326598867519963</v>
      </c>
      <c r="L7" s="12">
        <f t="shared" si="4"/>
        <v>0.16060016596189938</v>
      </c>
      <c r="M7" s="12">
        <f t="shared" si="5"/>
        <v>0.88082652507719217</v>
      </c>
      <c r="N7" s="129">
        <f t="shared" si="6"/>
        <v>55893824</v>
      </c>
      <c r="O7" s="12">
        <v>16</v>
      </c>
      <c r="P7" s="13">
        <v>33947718</v>
      </c>
      <c r="Q7" s="14">
        <v>340039392</v>
      </c>
      <c r="R7" s="14">
        <v>51807960</v>
      </c>
      <c r="S7" s="14">
        <v>4085864</v>
      </c>
      <c r="T7" s="14">
        <v>284145568</v>
      </c>
      <c r="U7" s="15" t="s">
        <v>571</v>
      </c>
      <c r="V7" s="15" t="s">
        <v>571</v>
      </c>
      <c r="W7" s="15" t="s">
        <v>571</v>
      </c>
      <c r="X7" s="15" t="s">
        <v>571</v>
      </c>
      <c r="Y7" s="15" t="s">
        <v>571</v>
      </c>
      <c r="Z7" s="16">
        <v>4636.7</v>
      </c>
      <c r="AA7" s="16">
        <v>7895.51</v>
      </c>
      <c r="AB7" s="16">
        <v>7.0620000000000003</v>
      </c>
      <c r="AC7" s="16">
        <v>32.771000000000001</v>
      </c>
      <c r="AE7" s="17">
        <f t="shared" si="7"/>
        <v>1.9520231736155403E-2</v>
      </c>
      <c r="AF7" s="11" t="str">
        <f t="shared" si="8"/>
        <v>·</v>
      </c>
      <c r="AG7" s="12" t="str">
        <f t="shared" si="9"/>
        <v>·</v>
      </c>
      <c r="AH7" s="12" t="str">
        <f t="shared" si="10"/>
        <v>·</v>
      </c>
      <c r="AI7" s="12" t="str">
        <f t="shared" si="11"/>
        <v>·</v>
      </c>
      <c r="AJ7" s="12" t="str">
        <f t="shared" si="12"/>
        <v>·</v>
      </c>
      <c r="AK7" s="129" t="str">
        <f t="shared" si="13"/>
        <v/>
      </c>
      <c r="AL7" s="12">
        <v>16</v>
      </c>
      <c r="AM7" s="13"/>
      <c r="AN7" s="14"/>
      <c r="AO7" s="14"/>
      <c r="AP7" s="14"/>
      <c r="AQ7" s="14"/>
      <c r="AR7" s="15"/>
      <c r="AS7" s="15"/>
      <c r="AT7" s="15"/>
      <c r="AU7" s="15"/>
      <c r="AV7" s="15"/>
      <c r="AW7" s="16"/>
      <c r="AX7" s="16"/>
      <c r="AY7" s="16"/>
      <c r="AZ7" s="16"/>
      <c r="BB7" s="62" t="e">
        <f t="shared" si="14"/>
        <v>#VALUE!</v>
      </c>
      <c r="BC7" s="62" t="e">
        <f t="shared" si="15"/>
        <v>#VALUE!</v>
      </c>
      <c r="BD7" s="62" t="e">
        <f t="shared" si="16"/>
        <v>#VALUE!</v>
      </c>
      <c r="BE7" s="62" t="e">
        <f t="shared" si="17"/>
        <v>#VALUE!</v>
      </c>
      <c r="BF7" s="17" t="e">
        <f t="shared" si="18"/>
        <v>#VALUE!</v>
      </c>
      <c r="BG7" s="17" t="e">
        <f t="array" ref="BG7">AVERAGE(AK7:AK7/AN7:AN7) - AVERAGE(N7:N7/Q7:Q7)</f>
        <v>#VALUE!</v>
      </c>
    </row>
    <row r="8" spans="1:59" collapsed="1" x14ac:dyDescent="0.3">
      <c r="A8" s="37"/>
      <c r="B8" s="37" t="s">
        <v>68</v>
      </c>
      <c r="C8" s="37">
        <v>250602891</v>
      </c>
      <c r="D8" s="38">
        <v>10</v>
      </c>
      <c r="E8" s="38">
        <v>32</v>
      </c>
      <c r="F8" s="38">
        <v>50</v>
      </c>
      <c r="H8" s="46">
        <f t="shared" si="0"/>
        <v>1.948279850302936E-2</v>
      </c>
      <c r="I8" s="39">
        <f t="shared" si="1"/>
        <v>411.95634999999999</v>
      </c>
      <c r="J8" s="40">
        <f t="shared" si="2"/>
        <v>1.0520711191635854</v>
      </c>
      <c r="K8" s="40">
        <f t="shared" si="3"/>
        <v>0.16357742656687868</v>
      </c>
      <c r="L8" s="40">
        <f t="shared" si="4"/>
        <v>0.14309820551910551</v>
      </c>
      <c r="M8" s="40">
        <f t="shared" si="5"/>
        <v>0.88849369259670674</v>
      </c>
      <c r="N8" s="37">
        <f t="shared" si="6"/>
        <v>40992976</v>
      </c>
      <c r="O8" s="40">
        <v>16</v>
      </c>
      <c r="P8" s="41">
        <v>32209643</v>
      </c>
      <c r="Q8" s="42">
        <v>263652064</v>
      </c>
      <c r="R8" s="42">
        <v>35860824</v>
      </c>
      <c r="S8" s="42">
        <v>5132152</v>
      </c>
      <c r="T8" s="42">
        <v>222659088</v>
      </c>
      <c r="U8" s="43" t="s">
        <v>571</v>
      </c>
      <c r="V8" s="43" t="s">
        <v>571</v>
      </c>
      <c r="W8" s="43" t="s">
        <v>571</v>
      </c>
      <c r="X8" s="43" t="s">
        <v>571</v>
      </c>
      <c r="Y8" s="43" t="s">
        <v>571</v>
      </c>
      <c r="Z8" s="44">
        <v>4547.8500000000004</v>
      </c>
      <c r="AA8" s="44">
        <v>6320.8</v>
      </c>
      <c r="AB8" s="44">
        <v>6.62</v>
      </c>
      <c r="AC8" s="44">
        <v>29.651</v>
      </c>
      <c r="AE8" s="46">
        <f t="shared" si="7"/>
        <v>1.948279850302936E-2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3">
      <c r="A9" s="27" t="s">
        <v>235</v>
      </c>
      <c r="B9" s="27" t="s">
        <v>71</v>
      </c>
      <c r="C9" s="27">
        <v>250294582</v>
      </c>
      <c r="D9" s="28">
        <v>10</v>
      </c>
      <c r="E9" s="28">
        <v>32</v>
      </c>
      <c r="F9" s="28">
        <v>30</v>
      </c>
      <c r="H9" s="36">
        <f t="shared" si="0"/>
        <v>2.8067708662616625E-2</v>
      </c>
      <c r="I9" s="29">
        <f t="shared" si="1"/>
        <v>355.65051749999998</v>
      </c>
      <c r="J9" s="30">
        <f t="shared" si="2"/>
        <v>1.5156562677812977</v>
      </c>
      <c r="K9" s="30">
        <f t="shared" si="3"/>
        <v>0.15207389507136834</v>
      </c>
      <c r="L9" s="30">
        <f t="shared" si="4"/>
        <v>0.14248046328066341</v>
      </c>
      <c r="M9" s="30">
        <f t="shared" si="5"/>
        <v>1.3635823727099294</v>
      </c>
      <c r="N9" s="27">
        <f t="shared" si="6"/>
        <v>38063272</v>
      </c>
      <c r="O9" s="30">
        <v>16</v>
      </c>
      <c r="P9" s="31">
        <v>25312408</v>
      </c>
      <c r="Q9" s="32">
        <v>379360552</v>
      </c>
      <c r="R9" s="32">
        <v>35662088</v>
      </c>
      <c r="S9" s="32">
        <v>2401184</v>
      </c>
      <c r="T9" s="32">
        <v>341297280</v>
      </c>
      <c r="U9" s="33" t="s">
        <v>571</v>
      </c>
      <c r="V9" s="33" t="s">
        <v>571</v>
      </c>
      <c r="W9" s="33" t="s">
        <v>571</v>
      </c>
      <c r="X9" s="33" t="s">
        <v>571</v>
      </c>
      <c r="Y9" s="33" t="s">
        <v>571</v>
      </c>
      <c r="Z9" s="34">
        <v>1453.03</v>
      </c>
      <c r="AA9" s="34">
        <v>6503.81</v>
      </c>
      <c r="AB9" s="34">
        <v>5.73</v>
      </c>
      <c r="AC9" s="34">
        <v>30.936</v>
      </c>
      <c r="AE9" s="36">
        <f t="shared" si="7"/>
        <v>2.8067708662616625E-2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32</v>
      </c>
      <c r="F10" s="19">
        <v>30</v>
      </c>
      <c r="H10" s="26">
        <f t="shared" si="0"/>
        <v>4.2520916935387378E-2</v>
      </c>
      <c r="I10" s="20">
        <f t="shared" si="1"/>
        <v>853.03940999999998</v>
      </c>
      <c r="J10" s="21">
        <f t="shared" si="2"/>
        <v>2.4236922653170807</v>
      </c>
      <c r="K10" s="21">
        <f t="shared" si="3"/>
        <v>0.27546435617708076</v>
      </c>
      <c r="L10" s="21">
        <f t="shared" si="4"/>
        <v>0.26326304292561403</v>
      </c>
      <c r="M10" s="21">
        <f t="shared" si="5"/>
        <v>2.1482279091399996</v>
      </c>
      <c r="N10" s="18">
        <f t="shared" si="6"/>
        <v>103415528</v>
      </c>
      <c r="O10" s="21">
        <v>16</v>
      </c>
      <c r="P10" s="22">
        <v>92854683</v>
      </c>
      <c r="Q10" s="23">
        <v>909908704</v>
      </c>
      <c r="R10" s="23">
        <v>98834880</v>
      </c>
      <c r="S10" s="23">
        <v>4580648</v>
      </c>
      <c r="T10" s="23">
        <v>806493176</v>
      </c>
      <c r="U10" s="24" t="s">
        <v>571</v>
      </c>
      <c r="V10" s="24" t="s">
        <v>571</v>
      </c>
      <c r="W10" s="24" t="s">
        <v>571</v>
      </c>
      <c r="X10" s="24" t="s">
        <v>571</v>
      </c>
      <c r="Y10" s="24" t="s">
        <v>571</v>
      </c>
      <c r="Z10" s="25">
        <v>3009.05</v>
      </c>
      <c r="AA10" s="25">
        <v>19748.8</v>
      </c>
      <c r="AB10" s="25">
        <v>18.902999999999999</v>
      </c>
      <c r="AC10" s="25">
        <v>87.421999999999997</v>
      </c>
      <c r="AE10" s="26">
        <f t="shared" si="7"/>
        <v>4.2520916935387378E-2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8" t="e">
        <f t="shared" si="14"/>
        <v>#VALUE!</v>
      </c>
      <c r="BC10" s="58" t="e">
        <f t="shared" si="15"/>
        <v>#VALUE!</v>
      </c>
      <c r="BD10" s="58" t="e">
        <f t="shared" si="16"/>
        <v>#VALUE!</v>
      </c>
      <c r="BE10" s="58" t="e">
        <f t="shared" si="17"/>
        <v>#VALUE!</v>
      </c>
      <c r="BF10" s="26" t="e">
        <f t="shared" si="18"/>
        <v>#VALUE!</v>
      </c>
      <c r="BG10" s="26" t="e">
        <f t="array" ref="BG10">AVERAGE(AK10:AK10/AN10:AN10) - AVERAGE(N10:N10/Q10:Q10)</f>
        <v>#VALUE!</v>
      </c>
    </row>
    <row r="11" spans="1:59" collapsed="1" x14ac:dyDescent="0.3">
      <c r="A11" s="27"/>
      <c r="B11" s="27" t="s">
        <v>80</v>
      </c>
      <c r="C11" s="27">
        <v>333190689</v>
      </c>
      <c r="D11" s="28">
        <v>11</v>
      </c>
      <c r="E11" s="28">
        <v>32</v>
      </c>
      <c r="F11" s="28">
        <v>30</v>
      </c>
      <c r="H11" s="36">
        <f t="shared" si="0"/>
        <v>4.3718442880206529E-2</v>
      </c>
      <c r="I11" s="29">
        <f t="shared" si="1"/>
        <v>778.40151749999995</v>
      </c>
      <c r="J11" s="30">
        <f t="shared" si="2"/>
        <v>2.4919512441717719</v>
      </c>
      <c r="K11" s="30">
        <f t="shared" si="3"/>
        <v>0.29568190004253092</v>
      </c>
      <c r="L11" s="30">
        <f t="shared" si="4"/>
        <v>0.28138445369342241</v>
      </c>
      <c r="M11" s="30">
        <f t="shared" si="5"/>
        <v>2.1962693441292411</v>
      </c>
      <c r="N11" s="27">
        <f t="shared" si="6"/>
        <v>98518456</v>
      </c>
      <c r="O11" s="30">
        <v>16</v>
      </c>
      <c r="P11" s="31">
        <v>83104648</v>
      </c>
      <c r="Q11" s="32">
        <v>830294952</v>
      </c>
      <c r="R11" s="32">
        <v>93754680</v>
      </c>
      <c r="S11" s="32">
        <v>4763776</v>
      </c>
      <c r="T11" s="32">
        <v>731776496</v>
      </c>
      <c r="U11" s="33" t="s">
        <v>571</v>
      </c>
      <c r="V11" s="33" t="s">
        <v>571</v>
      </c>
      <c r="W11" s="33" t="s">
        <v>571</v>
      </c>
      <c r="X11" s="33" t="s">
        <v>571</v>
      </c>
      <c r="Y11" s="33" t="s">
        <v>571</v>
      </c>
      <c r="Z11" s="34">
        <v>2706.17</v>
      </c>
      <c r="AA11" s="34">
        <v>22313.5</v>
      </c>
      <c r="AB11" s="34">
        <v>22.067</v>
      </c>
      <c r="AC11" s="34">
        <v>116.82599999999999</v>
      </c>
      <c r="AE11" s="36">
        <f t="shared" si="7"/>
        <v>4.3718442880206529E-2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1.0933278380984042</v>
      </c>
      <c r="K12" s="48">
        <f>AVERAGE(K5:K8)</f>
        <v>0.16482478669252654</v>
      </c>
      <c r="L12" s="48">
        <f>AVERAGE(L5:L8)</f>
        <v>0.15052109274881903</v>
      </c>
      <c r="M12" s="48">
        <f>AVERAGE(M5:M8)</f>
        <v>0.92850305140587752</v>
      </c>
      <c r="AG12" s="48" t="e">
        <f>AVERAGE(AG5:AG8)</f>
        <v>#DIV/0!</v>
      </c>
      <c r="AH12" s="48" t="e">
        <f>AVERAGE(AH5:AH8)</f>
        <v>#DIV/0!</v>
      </c>
      <c r="AI12" s="48" t="e">
        <f>AVERAGE(AI5:AI8)</f>
        <v>#DIV/0!</v>
      </c>
      <c r="AJ12" s="48" t="e">
        <f>AVERAGE(AJ5:AJ8)</f>
        <v>#DIV/0!</v>
      </c>
      <c r="BB12" s="71" t="e">
        <f t="shared" si="14"/>
        <v>#DIV/0!</v>
      </c>
      <c r="BC12" s="71" t="e">
        <f t="shared" si="15"/>
        <v>#DIV/0!</v>
      </c>
      <c r="BD12" s="71" t="e">
        <f t="shared" si="16"/>
        <v>#DIV/0!</v>
      </c>
      <c r="BE12" s="71" t="e">
        <f t="shared" si="17"/>
        <v>#DIV/0!</v>
      </c>
      <c r="BG12" s="151" t="e">
        <f>AVERAGE(BG5:BG8)</f>
        <v>#VALUE!</v>
      </c>
    </row>
    <row r="13" spans="1:59" x14ac:dyDescent="0.3">
      <c r="B13" s="47" t="s">
        <v>15</v>
      </c>
      <c r="J13" s="48">
        <f>AVERAGE(J9:J9)</f>
        <v>1.5156562677812977</v>
      </c>
      <c r="K13" s="48">
        <f>AVERAGE(K9:K9)</f>
        <v>0.15207389507136834</v>
      </c>
      <c r="L13" s="48">
        <f>AVERAGE(L9:L9)</f>
        <v>0.14248046328066341</v>
      </c>
      <c r="M13" s="48">
        <f>AVERAGE(M9:M9)</f>
        <v>1.3635823727099294</v>
      </c>
      <c r="AG13" s="48" t="e">
        <f>AVERAGE(AG9:AG9)</f>
        <v>#DIV/0!</v>
      </c>
      <c r="AH13" s="48" t="e">
        <f>AVERAGE(AH9:AH9)</f>
        <v>#DIV/0!</v>
      </c>
      <c r="AI13" s="48" t="e">
        <f>AVERAGE(AI9:AI9)</f>
        <v>#DIV/0!</v>
      </c>
      <c r="AJ13" s="48" t="e">
        <f>AVERAGE(AJ9:AJ9)</f>
        <v>#DIV/0!</v>
      </c>
      <c r="BB13" s="71" t="e">
        <f t="shared" si="14"/>
        <v>#DIV/0!</v>
      </c>
      <c r="BC13" s="71" t="e">
        <f t="shared" si="15"/>
        <v>#DIV/0!</v>
      </c>
      <c r="BD13" s="71" t="e">
        <f t="shared" si="16"/>
        <v>#DIV/0!</v>
      </c>
      <c r="BE13" s="71" t="e">
        <f t="shared" si="17"/>
        <v>#DIV/0!</v>
      </c>
      <c r="BG13" s="151" t="e">
        <f>AVERAGE(BG9:BG9)</f>
        <v>#VALUE!</v>
      </c>
    </row>
    <row r="14" spans="1:59" x14ac:dyDescent="0.3">
      <c r="B14" s="47" t="s">
        <v>16</v>
      </c>
      <c r="J14" s="48">
        <f>AVERAGE(J10:J11)</f>
        <v>2.4578217547444261</v>
      </c>
      <c r="K14" s="48">
        <f>AVERAGE(K10:K11)</f>
        <v>0.28557312810980584</v>
      </c>
      <c r="L14" s="48">
        <f>AVERAGE(L10:L11)</f>
        <v>0.27232374830951822</v>
      </c>
      <c r="M14" s="48">
        <f>AVERAGE(M10:M11)</f>
        <v>2.1722486266346204</v>
      </c>
      <c r="AG14" s="48" t="e">
        <f>AVERAGE(AG10:AG11)</f>
        <v>#DIV/0!</v>
      </c>
      <c r="AH14" s="48" t="e">
        <f>AVERAGE(AH10:AH11)</f>
        <v>#DIV/0!</v>
      </c>
      <c r="AI14" s="48" t="e">
        <f>AVERAGE(AI10:AI11)</f>
        <v>#DIV/0!</v>
      </c>
      <c r="AJ14" s="48" t="e">
        <f>AVERAGE(AJ10:AJ11)</f>
        <v>#DIV/0!</v>
      </c>
      <c r="BB14" s="71" t="e">
        <f t="shared" si="14"/>
        <v>#DIV/0!</v>
      </c>
      <c r="BC14" s="71" t="e">
        <f t="shared" si="15"/>
        <v>#DIV/0!</v>
      </c>
      <c r="BD14" s="71" t="e">
        <f t="shared" si="16"/>
        <v>#DIV/0!</v>
      </c>
      <c r="BE14" s="71" t="e">
        <f t="shared" si="17"/>
        <v>#DIV/0!</v>
      </c>
      <c r="BG14" s="151" t="e">
        <f>AVERAGE(BG10:BG11)</f>
        <v>#VALUE!</v>
      </c>
    </row>
    <row r="15" spans="1:59" x14ac:dyDescent="0.3">
      <c r="B15" s="47" t="s">
        <v>17</v>
      </c>
      <c r="J15" s="48">
        <f>AVERAGE(J5:J11)</f>
        <v>1.5435158756662521</v>
      </c>
      <c r="K15" s="48">
        <f>AVERAGE(K5:K11)</f>
        <v>0.19750275686586946</v>
      </c>
      <c r="L15" s="48">
        <f>AVERAGE(L5:L11)</f>
        <v>0.18417319012785374</v>
      </c>
      <c r="M15" s="48">
        <f>AVERAGE(M5:M11)</f>
        <v>1.3460131188003828</v>
      </c>
      <c r="AG15" s="48" t="e">
        <f>AVERAGE(AG5:AG11)</f>
        <v>#DIV/0!</v>
      </c>
      <c r="AH15" s="48" t="e">
        <f>AVERAGE(AH5:AH11)</f>
        <v>#DIV/0!</v>
      </c>
      <c r="AI15" s="48" t="e">
        <f>AVERAGE(AI5:AI11)</f>
        <v>#DIV/0!</v>
      </c>
      <c r="AJ15" s="48" t="e">
        <f>AVERAGE(AJ5:AJ11)</f>
        <v>#DIV/0!</v>
      </c>
      <c r="BB15" s="71" t="e">
        <f t="shared" si="14"/>
        <v>#DIV/0!</v>
      </c>
      <c r="BC15" s="71" t="e">
        <f t="shared" si="15"/>
        <v>#DIV/0!</v>
      </c>
      <c r="BD15" s="71" t="e">
        <f t="shared" si="16"/>
        <v>#DIV/0!</v>
      </c>
      <c r="BE15" s="71" t="e">
        <f t="shared" si="17"/>
        <v>#DIV/0!</v>
      </c>
      <c r="BG15" s="151" t="e">
        <f>AVERAGE(BG5:BG11)</f>
        <v>#VALUE!</v>
      </c>
    </row>
    <row r="16" spans="1:59" hidden="1" outlineLevel="2" x14ac:dyDescent="0.3">
      <c r="A16" s="47" t="s">
        <v>237</v>
      </c>
      <c r="B16" s="47" t="s">
        <v>238</v>
      </c>
      <c r="Z16" s="49">
        <f>SUM(Z5:Z8,Z9:Z9,Z10:Z11)</f>
        <v>23012.550000000003</v>
      </c>
      <c r="AA16" s="49">
        <f>SUM(AA5:AA8,AA9:AA9,AA10:AA11)</f>
        <v>74485.460000000006</v>
      </c>
      <c r="AB16" s="49">
        <f>SUM(AB5:AB8,AB9:AB9,AB10:AB11)</f>
        <v>71.048000000000002</v>
      </c>
      <c r="AC16" s="49">
        <f>SUM(AC5:AC8,AC9:AC9,AC10:AC11)</f>
        <v>351.26900000000001</v>
      </c>
      <c r="AW16" s="49">
        <f>SUM(AW5:AW8,AW9:AW9,AW10:AW11)</f>
        <v>0</v>
      </c>
      <c r="AX16" s="49">
        <f>SUM(AX5:AX8,AX9:AX9,AX10:AX11)</f>
        <v>0</v>
      </c>
      <c r="AY16" s="49">
        <f>SUM(AY5:AY8,AY9:AY9,AY10:AY11)</f>
        <v>0</v>
      </c>
      <c r="AZ16" s="49">
        <f>SUM(AZ5:AZ8,AZ9:AZ9,AZ10:AZ11)</f>
        <v>0</v>
      </c>
    </row>
    <row r="17" spans="2:52" hidden="1" outlineLevel="2" x14ac:dyDescent="0.3">
      <c r="B17" s="47" t="s">
        <v>239</v>
      </c>
      <c r="AW17" s="151">
        <f>AW16/Z16</f>
        <v>0</v>
      </c>
      <c r="AX17" s="151">
        <f>AX16/AA16</f>
        <v>0</v>
      </c>
      <c r="AY17" s="151">
        <f>AY16/AB16</f>
        <v>0</v>
      </c>
      <c r="AZ17" s="151">
        <f>AZ16/AC16</f>
        <v>0</v>
      </c>
    </row>
    <row r="18" spans="2:52" hidden="1" outlineLevel="2" x14ac:dyDescent="0.3">
      <c r="B18" s="47" t="s">
        <v>240</v>
      </c>
      <c r="Z18" s="49">
        <f>GEOMEAN(Z5:Z8,Z9:Z9,Z10:Z11)</f>
        <v>3101.6288200274485</v>
      </c>
      <c r="AA18" s="49">
        <f>GEOMEAN(AA5:AA8,AA9:AA9,AA10:AA11)</f>
        <v>9030.4354866817976</v>
      </c>
      <c r="AB18" s="49">
        <f>GEOMEAN(AB5:AB8,AB9:AB9,AB10:AB11)</f>
        <v>8.4893765577812044</v>
      </c>
      <c r="AC18" s="49">
        <f>GEOMEAN(AC5:AC8,AC9:AC9,AC10:AC11)</f>
        <v>41.742182500049509</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151" t="e">
        <f>AW18/Z18</f>
        <v>#NUM!</v>
      </c>
      <c r="AX19" s="151" t="e">
        <f>AX18/AA18</f>
        <v>#NUM!</v>
      </c>
      <c r="AY19" s="151" t="e">
        <f>AY18/AB18</f>
        <v>#NUM!</v>
      </c>
      <c r="AZ19" s="151"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97" priority="3" operator="greaterThanOrEqual">
      <formula>1.03</formula>
    </cfRule>
    <cfRule type="cellIs" dxfId="96" priority="4" operator="lessThanOrEqual">
      <formula>0.97</formula>
    </cfRule>
  </conditionalFormatting>
  <conditionalFormatting sqref="BC5 BC6 BC7 BC8 BC9 BC10 BC11 BC12 BC13 BC14 BC15">
    <cfRule type="cellIs" dxfId="95" priority="7" operator="greaterThanOrEqual">
      <formula>1.03</formula>
    </cfRule>
    <cfRule type="cellIs" dxfId="94" priority="8" operator="lessThanOrEqual">
      <formula>0.97</formula>
    </cfRule>
  </conditionalFormatting>
  <conditionalFormatting sqref="BD5 BD6 BD7 BD8 BD9 BD10 BD11 BD12 BD13 BD14 BD15">
    <cfRule type="cellIs" dxfId="93" priority="1" operator="greaterThanOrEqual">
      <formula>1.03</formula>
    </cfRule>
    <cfRule type="cellIs" dxfId="92" priority="2" operator="lessThanOrEqual">
      <formula>0.97</formula>
    </cfRule>
  </conditionalFormatting>
  <conditionalFormatting sqref="BE5 BE6 BE7 BE8 BE9 BE10 BE11 BE12 BE13 BE14 BE15">
    <cfRule type="cellIs" dxfId="91" priority="5" operator="greaterThanOrEqual">
      <formula>1.03</formula>
    </cfRule>
    <cfRule type="cellIs" dxfId="9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Y5" activePane="bottomRight" state="frozen"/>
      <selection pane="topRight" activeCell="C1" sqref="C1"/>
      <selection pane="bottomLeft" activeCell="A5" sqref="A5"/>
      <selection pane="bottomRight" activeCell="AM5" sqref="AM5:AZ11"/>
    </sheetView>
  </sheetViews>
  <sheetFormatPr defaultRowHeight="14.4" outlineLevelRow="2" x14ac:dyDescent="0.3"/>
  <cols>
    <col min="2" max="2" width="24.6640625" style="76" customWidth="1"/>
    <col min="3" max="4" width="10.6640625" style="76" customWidth="1"/>
    <col min="7" max="7" width="1.6640625" style="76" customWidth="1"/>
    <col min="10" max="13" width="10.6640625" style="76" customWidth="1"/>
    <col min="14" max="14" width="24.6640625" style="76" hidden="1" customWidth="1"/>
    <col min="15" max="15" width="12.6640625" style="76" customWidth="1"/>
    <col min="16" max="16" width="10.6640625" style="76" customWidth="1"/>
    <col min="17" max="20" width="12.6640625" style="76" customWidth="1"/>
    <col min="21" max="25" width="11.6640625" style="76" customWidth="1"/>
    <col min="30" max="30" width="1.6640625" style="76" customWidth="1"/>
    <col min="33" max="36" width="10.6640625" style="76" customWidth="1"/>
    <col min="37" max="37" width="24.6640625" style="76" hidden="1" customWidth="1"/>
    <col min="38" max="38" width="12.6640625" style="76" customWidth="1"/>
    <col min="39" max="39" width="10.6640625" style="76" customWidth="1"/>
    <col min="40" max="43" width="12.6640625" style="76" customWidth="1"/>
    <col min="44" max="48" width="11.6640625" style="76" customWidth="1"/>
    <col min="53" max="53" width="1.6640625" style="76" customWidth="1"/>
    <col min="60" max="60" width="1.6640625" style="76" customWidth="1"/>
  </cols>
  <sheetData>
    <row r="1" spans="1:59" x14ac:dyDescent="0.3">
      <c r="A1" s="168" t="s">
        <v>572</v>
      </c>
      <c r="B1" s="156"/>
      <c r="C1" s="156"/>
      <c r="D1" s="156"/>
      <c r="E1" s="156"/>
      <c r="F1" s="156"/>
      <c r="H1" s="164" t="str">
        <f>Summary!$C$1</f>
        <v>ALL_master+r8.0</v>
      </c>
      <c r="I1" s="156"/>
      <c r="J1" s="156"/>
      <c r="K1" s="156"/>
      <c r="L1" s="156"/>
      <c r="M1" s="156"/>
      <c r="N1" s="156"/>
      <c r="O1" s="156"/>
      <c r="P1" s="156"/>
      <c r="Q1" s="156"/>
      <c r="R1" s="156"/>
      <c r="S1" s="156"/>
      <c r="T1" s="156"/>
      <c r="U1" s="156"/>
      <c r="V1" s="156"/>
      <c r="W1" s="156"/>
      <c r="X1" s="156"/>
      <c r="Y1" s="156"/>
      <c r="Z1" s="156"/>
      <c r="AA1" s="156"/>
      <c r="AB1" s="156"/>
      <c r="AC1" s="156"/>
      <c r="AE1" s="165">
        <f>Summary!$C$2</f>
        <v>0</v>
      </c>
      <c r="AF1" s="156"/>
      <c r="AG1" s="156"/>
      <c r="AH1" s="156"/>
      <c r="AI1" s="156"/>
      <c r="AJ1" s="156"/>
      <c r="AK1" s="156"/>
      <c r="AL1" s="156"/>
      <c r="AM1" s="156"/>
      <c r="AN1" s="156"/>
      <c r="AO1" s="156"/>
      <c r="AP1" s="156"/>
      <c r="AQ1" s="156"/>
      <c r="AR1" s="156"/>
      <c r="AS1" s="156"/>
      <c r="AT1" s="156"/>
      <c r="AU1" s="156"/>
      <c r="AV1" s="156"/>
      <c r="AW1" s="156"/>
      <c r="AX1" s="156"/>
      <c r="AY1" s="156"/>
      <c r="AZ1" s="156"/>
    </row>
    <row r="2" spans="1:59" ht="30" customHeight="1" x14ac:dyDescent="0.3">
      <c r="A2" s="170" t="s">
        <v>137</v>
      </c>
      <c r="B2" s="169" t="s">
        <v>138</v>
      </c>
      <c r="C2" s="170" t="s">
        <v>140</v>
      </c>
      <c r="D2" s="169" t="s">
        <v>141</v>
      </c>
      <c r="E2" s="170" t="s">
        <v>142</v>
      </c>
      <c r="F2" s="169" t="s">
        <v>143</v>
      </c>
      <c r="H2" s="170" t="s">
        <v>565</v>
      </c>
      <c r="I2" s="169" t="s">
        <v>144</v>
      </c>
      <c r="J2" s="167" t="s">
        <v>145</v>
      </c>
      <c r="K2" s="156"/>
      <c r="L2" s="156"/>
      <c r="M2" s="156"/>
      <c r="N2" s="170" t="s">
        <v>146</v>
      </c>
      <c r="O2" s="169" t="s">
        <v>147</v>
      </c>
      <c r="P2" s="170" t="s">
        <v>84</v>
      </c>
      <c r="Q2" s="166" t="s">
        <v>148</v>
      </c>
      <c r="R2" s="156"/>
      <c r="S2" s="156"/>
      <c r="T2" s="156"/>
      <c r="U2" s="167" t="s">
        <v>149</v>
      </c>
      <c r="V2" s="156"/>
      <c r="W2" s="166" t="s">
        <v>150</v>
      </c>
      <c r="X2" s="156"/>
      <c r="Y2" s="156"/>
      <c r="Z2" s="167" t="s">
        <v>151</v>
      </c>
      <c r="AA2" s="156"/>
      <c r="AB2" s="166" t="s">
        <v>152</v>
      </c>
      <c r="AC2" s="156"/>
      <c r="AE2" s="170" t="s">
        <v>565</v>
      </c>
      <c r="AF2" s="169" t="s">
        <v>144</v>
      </c>
      <c r="AG2" s="167" t="s">
        <v>145</v>
      </c>
      <c r="AH2" s="156"/>
      <c r="AI2" s="156"/>
      <c r="AJ2" s="156"/>
      <c r="AK2" s="170" t="s">
        <v>153</v>
      </c>
      <c r="AL2" s="169" t="s">
        <v>147</v>
      </c>
      <c r="AM2" s="170" t="s">
        <v>84</v>
      </c>
      <c r="AN2" s="166" t="s">
        <v>148</v>
      </c>
      <c r="AO2" s="156"/>
      <c r="AP2" s="156"/>
      <c r="AQ2" s="156"/>
      <c r="AR2" s="167" t="s">
        <v>149</v>
      </c>
      <c r="AS2" s="156"/>
      <c r="AT2" s="166" t="s">
        <v>150</v>
      </c>
      <c r="AU2" s="156"/>
      <c r="AV2" s="156"/>
      <c r="AW2" s="167" t="s">
        <v>151</v>
      </c>
      <c r="AX2" s="156"/>
      <c r="AY2" s="166" t="s">
        <v>152</v>
      </c>
      <c r="AZ2" s="156"/>
      <c r="BB2" s="167" t="s">
        <v>22</v>
      </c>
      <c r="BC2" s="156"/>
      <c r="BD2" s="156"/>
      <c r="BE2" s="156"/>
      <c r="BF2" s="169" t="s">
        <v>156</v>
      </c>
      <c r="BG2" s="170" t="s">
        <v>156</v>
      </c>
    </row>
    <row r="3" spans="1:59" ht="28.8" customHeight="1" x14ac:dyDescent="0.3">
      <c r="A3" s="158"/>
      <c r="B3" s="158"/>
      <c r="C3" s="158"/>
      <c r="D3" s="158"/>
      <c r="E3" s="158"/>
      <c r="F3" s="158"/>
      <c r="H3" s="158"/>
      <c r="I3" s="158"/>
      <c r="J3" s="152" t="s">
        <v>25</v>
      </c>
      <c r="K3" s="152" t="s">
        <v>23</v>
      </c>
      <c r="L3" s="152" t="s">
        <v>157</v>
      </c>
      <c r="M3" s="152" t="s">
        <v>158</v>
      </c>
      <c r="N3" s="158"/>
      <c r="O3" s="158"/>
      <c r="P3" s="158"/>
      <c r="Q3" s="153" t="s">
        <v>25</v>
      </c>
      <c r="R3" s="153" t="s">
        <v>157</v>
      </c>
      <c r="S3" s="153" t="s">
        <v>159</v>
      </c>
      <c r="T3" s="153" t="s">
        <v>24</v>
      </c>
      <c r="U3" s="152" t="s">
        <v>9</v>
      </c>
      <c r="V3" s="152" t="s">
        <v>10</v>
      </c>
      <c r="W3" s="153" t="s">
        <v>11</v>
      </c>
      <c r="X3" s="153" t="s">
        <v>12</v>
      </c>
      <c r="Y3" s="153" t="s">
        <v>13</v>
      </c>
      <c r="Z3" s="152" t="s">
        <v>160</v>
      </c>
      <c r="AA3" s="152" t="s">
        <v>161</v>
      </c>
      <c r="AB3" s="153" t="s">
        <v>160</v>
      </c>
      <c r="AC3" s="153" t="s">
        <v>161</v>
      </c>
      <c r="AE3" s="158"/>
      <c r="AF3" s="158"/>
      <c r="AG3" s="152" t="s">
        <v>25</v>
      </c>
      <c r="AH3" s="152" t="s">
        <v>23</v>
      </c>
      <c r="AI3" s="152" t="s">
        <v>157</v>
      </c>
      <c r="AJ3" s="152" t="s">
        <v>158</v>
      </c>
      <c r="AK3" s="158"/>
      <c r="AL3" s="158"/>
      <c r="AM3" s="158"/>
      <c r="AN3" s="153" t="s">
        <v>25</v>
      </c>
      <c r="AO3" s="153" t="s">
        <v>157</v>
      </c>
      <c r="AP3" s="153" t="s">
        <v>159</v>
      </c>
      <c r="AQ3" s="153" t="s">
        <v>24</v>
      </c>
      <c r="AR3" s="152" t="s">
        <v>9</v>
      </c>
      <c r="AS3" s="152" t="s">
        <v>10</v>
      </c>
      <c r="AT3" s="153" t="s">
        <v>11</v>
      </c>
      <c r="AU3" s="153" t="s">
        <v>12</v>
      </c>
      <c r="AV3" s="153" t="s">
        <v>13</v>
      </c>
      <c r="AW3" s="152" t="s">
        <v>160</v>
      </c>
      <c r="AX3" s="152" t="s">
        <v>161</v>
      </c>
      <c r="AY3" s="153" t="s">
        <v>160</v>
      </c>
      <c r="AZ3" s="153" t="s">
        <v>161</v>
      </c>
      <c r="BB3" s="152" t="s">
        <v>25</v>
      </c>
      <c r="BC3" s="152" t="s">
        <v>23</v>
      </c>
      <c r="BD3" s="152" t="s">
        <v>157</v>
      </c>
      <c r="BE3" s="152" t="s">
        <v>24</v>
      </c>
      <c r="BF3" s="158"/>
      <c r="BG3" s="158"/>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129" t="s">
        <v>229</v>
      </c>
      <c r="B5" s="129" t="s">
        <v>49</v>
      </c>
      <c r="C5" s="129">
        <v>238146391</v>
      </c>
      <c r="D5" s="10">
        <v>10</v>
      </c>
      <c r="E5" s="10">
        <v>32</v>
      </c>
      <c r="F5" s="10">
        <v>30</v>
      </c>
      <c r="H5" s="17">
        <f t="shared" ref="H5:H11" si="0">IF(ISBLANK(Q5),"·",Q5/(C5*(D5*3+IF(AND(ISNUMBER(T5),T5&gt;0),24,0))))</f>
        <v>1.7166432725827033E-2</v>
      </c>
      <c r="I5" s="11">
        <f t="shared" ref="I5:I11" si="1">IF(OR(ISBLANK(Q5),ISBLANK(F5)),"·",Q5*F5/E5/1000000)</f>
        <v>206.96127749999999</v>
      </c>
      <c r="J5" s="12">
        <f t="shared" ref="J5:J11" si="2">IF(ISBLANK(Q5),"·",Q5/C5)</f>
        <v>0.92698736719465968</v>
      </c>
      <c r="K5" s="12">
        <f t="shared" ref="K5:K11" si="3">IF(N5="","·",N5/C5)</f>
        <v>0.14289778592529667</v>
      </c>
      <c r="L5" s="12">
        <f t="shared" ref="L5:L11" si="4">IF(R5="","·",R5/C5)</f>
        <v>0.13400974025258269</v>
      </c>
      <c r="M5" s="12">
        <f t="shared" ref="M5:M11" si="5">IF(ISBLANK(T5),"·",T5/C5)</f>
        <v>0.78408958126936301</v>
      </c>
      <c r="N5" s="129">
        <f t="shared" ref="N5:N11" si="6">IF(OR(ISBLANK(R5),ISBLANK(S5)),"",R5+S5)</f>
        <v>34030592</v>
      </c>
      <c r="O5" s="12">
        <v>16</v>
      </c>
      <c r="P5" s="13">
        <v>24964341</v>
      </c>
      <c r="Q5" s="14">
        <v>220758696</v>
      </c>
      <c r="R5" s="14">
        <v>31913936</v>
      </c>
      <c r="S5" s="14">
        <v>2116656</v>
      </c>
      <c r="T5" s="14">
        <v>186728104</v>
      </c>
      <c r="U5" s="15" t="s">
        <v>571</v>
      </c>
      <c r="V5" s="15" t="s">
        <v>571</v>
      </c>
      <c r="W5" s="15" t="s">
        <v>571</v>
      </c>
      <c r="X5" s="15" t="s">
        <v>571</v>
      </c>
      <c r="Y5" s="15" t="s">
        <v>571</v>
      </c>
      <c r="Z5" s="16">
        <v>3492.66</v>
      </c>
      <c r="AA5" s="16">
        <v>7891.86</v>
      </c>
      <c r="AB5" s="16">
        <v>5.524</v>
      </c>
      <c r="AC5" s="16">
        <v>25.774000000000001</v>
      </c>
      <c r="AE5" s="17">
        <f t="shared" ref="AE5:AE11" si="7">IF(ISBLANK(Q5),"·",Q5/(C5*(D5*3+IF(AND(ISNUMBER(T5),T5&gt;0),24,0))))</f>
        <v>1.7166432725827033E-2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129" t="str">
        <f t="shared" ref="AK5:AK11" si="13">IF(OR(ISBLANK(AO5),ISBLANK(AP5)),"",AO5+AP5)</f>
        <v/>
      </c>
      <c r="AL5" s="12">
        <v>16</v>
      </c>
      <c r="AM5" s="13"/>
      <c r="AN5" s="14"/>
      <c r="AO5" s="14"/>
      <c r="AP5" s="14"/>
      <c r="AQ5" s="14"/>
      <c r="AR5" s="15"/>
      <c r="AS5" s="15"/>
      <c r="AT5" s="15"/>
      <c r="AU5" s="15"/>
      <c r="AV5" s="15"/>
      <c r="AW5" s="16"/>
      <c r="AX5" s="16"/>
      <c r="AY5" s="16"/>
      <c r="AZ5" s="16"/>
      <c r="BB5" s="62" t="e">
        <f t="shared" ref="BB5:BB15" si="14">AG5/J5</f>
        <v>#VALUE!</v>
      </c>
      <c r="BC5" s="62" t="e">
        <f t="shared" ref="BC5:BC15" si="15">AH5/K5</f>
        <v>#VALUE!</v>
      </c>
      <c r="BD5" s="62" t="e">
        <f t="shared" ref="BD5:BD15" si="16">AI5/L5</f>
        <v>#VALUE!</v>
      </c>
      <c r="BE5" s="62"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32</v>
      </c>
      <c r="F6" s="19">
        <v>30</v>
      </c>
      <c r="H6" s="26">
        <f t="shared" si="0"/>
        <v>2.4554358218403648E-2</v>
      </c>
      <c r="I6" s="20">
        <f t="shared" si="1"/>
        <v>271.13874750000002</v>
      </c>
      <c r="J6" s="21">
        <f t="shared" si="2"/>
        <v>1.3259353437937971</v>
      </c>
      <c r="K6" s="21">
        <f t="shared" si="3"/>
        <v>0.17646479383241362</v>
      </c>
      <c r="L6" s="21">
        <f t="shared" si="4"/>
        <v>0.16079413301708598</v>
      </c>
      <c r="M6" s="21">
        <f t="shared" si="5"/>
        <v>1.1494705499613833</v>
      </c>
      <c r="N6" s="18">
        <f t="shared" si="6"/>
        <v>38490720</v>
      </c>
      <c r="O6" s="21">
        <v>16</v>
      </c>
      <c r="P6" s="22">
        <v>22654789</v>
      </c>
      <c r="Q6" s="23">
        <v>289214664</v>
      </c>
      <c r="R6" s="23">
        <v>35072616</v>
      </c>
      <c r="S6" s="23">
        <v>3418104</v>
      </c>
      <c r="T6" s="23">
        <v>250723944</v>
      </c>
      <c r="U6" s="24" t="s">
        <v>571</v>
      </c>
      <c r="V6" s="24" t="s">
        <v>571</v>
      </c>
      <c r="W6" s="24" t="s">
        <v>571</v>
      </c>
      <c r="X6" s="24" t="s">
        <v>571</v>
      </c>
      <c r="Y6" s="24" t="s">
        <v>571</v>
      </c>
      <c r="Z6" s="25">
        <v>3209.69</v>
      </c>
      <c r="AA6" s="25">
        <v>9914.06</v>
      </c>
      <c r="AB6" s="25">
        <v>5.33</v>
      </c>
      <c r="AC6" s="25">
        <v>27.318999999999999</v>
      </c>
      <c r="AE6" s="26">
        <f t="shared" si="7"/>
        <v>2.4554358218403648E-2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8" t="e">
        <f t="shared" si="14"/>
        <v>#VALUE!</v>
      </c>
      <c r="BC6" s="58" t="e">
        <f t="shared" si="15"/>
        <v>#VALUE!</v>
      </c>
      <c r="BD6" s="58" t="e">
        <f t="shared" si="16"/>
        <v>#VALUE!</v>
      </c>
      <c r="BE6" s="58" t="e">
        <f t="shared" si="17"/>
        <v>#VALUE!</v>
      </c>
      <c r="BF6" s="26" t="e">
        <f t="shared" si="18"/>
        <v>#VALUE!</v>
      </c>
      <c r="BG6" s="26" t="e">
        <f t="array" ref="BG6">AVERAGE(AK6:AK6/AN6:AN6) - AVERAGE(N6:N6/Q6:Q6)</f>
        <v>#VALUE!</v>
      </c>
    </row>
    <row r="7" spans="1:59" collapsed="1" x14ac:dyDescent="0.3">
      <c r="A7" s="129"/>
      <c r="B7" s="129" t="s">
        <v>62</v>
      </c>
      <c r="C7" s="129">
        <v>322589704</v>
      </c>
      <c r="D7" s="10">
        <v>10</v>
      </c>
      <c r="E7" s="10">
        <v>32</v>
      </c>
      <c r="F7" s="10">
        <v>30</v>
      </c>
      <c r="H7" s="17">
        <f t="shared" si="0"/>
        <v>1.8930403262917485E-2</v>
      </c>
      <c r="I7" s="11">
        <f t="shared" si="1"/>
        <v>309.15438</v>
      </c>
      <c r="J7" s="12">
        <f t="shared" si="2"/>
        <v>1.0222417761975442</v>
      </c>
      <c r="K7" s="12">
        <f t="shared" si="3"/>
        <v>0.15690762405733819</v>
      </c>
      <c r="L7" s="12">
        <f t="shared" si="4"/>
        <v>0.14511731595748636</v>
      </c>
      <c r="M7" s="12">
        <f t="shared" si="5"/>
        <v>0.86533415214020593</v>
      </c>
      <c r="N7" s="129">
        <f t="shared" si="6"/>
        <v>50616784</v>
      </c>
      <c r="O7" s="12">
        <v>16</v>
      </c>
      <c r="P7" s="13">
        <v>33947718</v>
      </c>
      <c r="Q7" s="14">
        <v>329764672</v>
      </c>
      <c r="R7" s="14">
        <v>46813352</v>
      </c>
      <c r="S7" s="14">
        <v>3803432</v>
      </c>
      <c r="T7" s="14">
        <v>279147888</v>
      </c>
      <c r="U7" s="15" t="s">
        <v>571</v>
      </c>
      <c r="V7" s="15" t="s">
        <v>571</v>
      </c>
      <c r="W7" s="15" t="s">
        <v>571</v>
      </c>
      <c r="X7" s="15" t="s">
        <v>571</v>
      </c>
      <c r="Y7" s="15" t="s">
        <v>571</v>
      </c>
      <c r="Z7" s="16">
        <v>4655.58</v>
      </c>
      <c r="AA7" s="16">
        <v>10209.799999999999</v>
      </c>
      <c r="AB7" s="16">
        <v>7.2169999999999996</v>
      </c>
      <c r="AC7" s="16">
        <v>32.119999999999997</v>
      </c>
      <c r="AE7" s="17">
        <f t="shared" si="7"/>
        <v>1.8930403262917485E-2</v>
      </c>
      <c r="AF7" s="11" t="str">
        <f t="shared" si="8"/>
        <v>·</v>
      </c>
      <c r="AG7" s="12" t="str">
        <f t="shared" si="9"/>
        <v>·</v>
      </c>
      <c r="AH7" s="12" t="str">
        <f t="shared" si="10"/>
        <v>·</v>
      </c>
      <c r="AI7" s="12" t="str">
        <f t="shared" si="11"/>
        <v>·</v>
      </c>
      <c r="AJ7" s="12" t="str">
        <f t="shared" si="12"/>
        <v>·</v>
      </c>
      <c r="AK7" s="129" t="str">
        <f t="shared" si="13"/>
        <v/>
      </c>
      <c r="AL7" s="12">
        <v>16</v>
      </c>
      <c r="AM7" s="13"/>
      <c r="AN7" s="14"/>
      <c r="AO7" s="14"/>
      <c r="AP7" s="14"/>
      <c r="AQ7" s="14"/>
      <c r="AR7" s="15"/>
      <c r="AS7" s="15"/>
      <c r="AT7" s="15"/>
      <c r="AU7" s="15"/>
      <c r="AV7" s="15"/>
      <c r="AW7" s="16"/>
      <c r="AX7" s="16"/>
      <c r="AY7" s="16"/>
      <c r="AZ7" s="16"/>
      <c r="BB7" s="62" t="e">
        <f t="shared" si="14"/>
        <v>#VALUE!</v>
      </c>
      <c r="BC7" s="62" t="e">
        <f t="shared" si="15"/>
        <v>#VALUE!</v>
      </c>
      <c r="BD7" s="62" t="e">
        <f t="shared" si="16"/>
        <v>#VALUE!</v>
      </c>
      <c r="BE7" s="62" t="e">
        <f t="shared" si="17"/>
        <v>#VALUE!</v>
      </c>
      <c r="BF7" s="17" t="e">
        <f t="shared" si="18"/>
        <v>#VALUE!</v>
      </c>
      <c r="BG7" s="17" t="e">
        <f t="array" ref="BG7">AVERAGE(AK7:AK7/AN7:AN7) - AVERAGE(N7:N7/Q7:Q7)</f>
        <v>#VALUE!</v>
      </c>
    </row>
    <row r="8" spans="1:59" collapsed="1" x14ac:dyDescent="0.3">
      <c r="A8" s="37"/>
      <c r="B8" s="37" t="s">
        <v>68</v>
      </c>
      <c r="C8" s="37">
        <v>250602891</v>
      </c>
      <c r="D8" s="38">
        <v>10</v>
      </c>
      <c r="E8" s="38">
        <v>32</v>
      </c>
      <c r="F8" s="38">
        <v>50</v>
      </c>
      <c r="H8" s="46">
        <f t="shared" si="0"/>
        <v>1.7500480914687897E-2</v>
      </c>
      <c r="I8" s="39">
        <f t="shared" si="1"/>
        <v>370.041</v>
      </c>
      <c r="J8" s="40">
        <f t="shared" si="2"/>
        <v>0.94502596939314643</v>
      </c>
      <c r="K8" s="40">
        <f t="shared" si="3"/>
        <v>0.11760221872300747</v>
      </c>
      <c r="L8" s="40">
        <f t="shared" si="4"/>
        <v>0.10408365161278207</v>
      </c>
      <c r="M8" s="40">
        <f t="shared" si="5"/>
        <v>0.82742375067013896</v>
      </c>
      <c r="N8" s="37">
        <f t="shared" si="6"/>
        <v>29471456</v>
      </c>
      <c r="O8" s="40">
        <v>16</v>
      </c>
      <c r="P8" s="41">
        <v>32209643</v>
      </c>
      <c r="Q8" s="42">
        <v>236826240</v>
      </c>
      <c r="R8" s="42">
        <v>26083664</v>
      </c>
      <c r="S8" s="42">
        <v>3387792</v>
      </c>
      <c r="T8" s="42">
        <v>207354784</v>
      </c>
      <c r="U8" s="43" t="s">
        <v>571</v>
      </c>
      <c r="V8" s="43" t="s">
        <v>571</v>
      </c>
      <c r="W8" s="43" t="s">
        <v>571</v>
      </c>
      <c r="X8" s="43" t="s">
        <v>571</v>
      </c>
      <c r="Y8" s="43" t="s">
        <v>571</v>
      </c>
      <c r="Z8" s="44">
        <v>4554.62</v>
      </c>
      <c r="AA8" s="44">
        <v>8014</v>
      </c>
      <c r="AB8" s="44">
        <v>6.6159999999999997</v>
      </c>
      <c r="AC8" s="44">
        <v>27.936</v>
      </c>
      <c r="AE8" s="46">
        <f t="shared" si="7"/>
        <v>1.7500480914687897E-2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3">
      <c r="A9" s="27" t="s">
        <v>235</v>
      </c>
      <c r="B9" s="27" t="s">
        <v>71</v>
      </c>
      <c r="C9" s="27">
        <v>250294582</v>
      </c>
      <c r="D9" s="28">
        <v>10</v>
      </c>
      <c r="E9" s="28">
        <v>32</v>
      </c>
      <c r="F9" s="28">
        <v>30</v>
      </c>
      <c r="H9" s="36">
        <f t="shared" si="0"/>
        <v>2.7895857825935975E-2</v>
      </c>
      <c r="I9" s="29">
        <f t="shared" si="1"/>
        <v>353.47296749999998</v>
      </c>
      <c r="J9" s="30">
        <f t="shared" si="2"/>
        <v>1.5063763226005427</v>
      </c>
      <c r="K9" s="30">
        <f t="shared" si="3"/>
        <v>0.15193338863403763</v>
      </c>
      <c r="L9" s="30">
        <f t="shared" si="4"/>
        <v>0.14210963623655265</v>
      </c>
      <c r="M9" s="30">
        <f t="shared" si="5"/>
        <v>1.3544429339665052</v>
      </c>
      <c r="N9" s="27">
        <f t="shared" si="6"/>
        <v>38028104</v>
      </c>
      <c r="O9" s="30">
        <v>16</v>
      </c>
      <c r="P9" s="31">
        <v>25312408</v>
      </c>
      <c r="Q9" s="32">
        <v>377037832</v>
      </c>
      <c r="R9" s="32">
        <v>35569272</v>
      </c>
      <c r="S9" s="32">
        <v>2458832</v>
      </c>
      <c r="T9" s="32">
        <v>339009728</v>
      </c>
      <c r="U9" s="33" t="s">
        <v>571</v>
      </c>
      <c r="V9" s="33" t="s">
        <v>571</v>
      </c>
      <c r="W9" s="33" t="s">
        <v>571</v>
      </c>
      <c r="X9" s="33" t="s">
        <v>571</v>
      </c>
      <c r="Y9" s="33" t="s">
        <v>571</v>
      </c>
      <c r="Z9" s="34">
        <v>1454.08</v>
      </c>
      <c r="AA9" s="34">
        <v>10937.7</v>
      </c>
      <c r="AB9" s="34">
        <v>6.0170000000000003</v>
      </c>
      <c r="AC9" s="34">
        <v>33.015999999999998</v>
      </c>
      <c r="AE9" s="36">
        <f t="shared" si="7"/>
        <v>2.7895857825935975E-2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32</v>
      </c>
      <c r="F10" s="19">
        <v>30</v>
      </c>
      <c r="H10" s="26">
        <f t="shared" si="0"/>
        <v>4.2498646824017251E-2</v>
      </c>
      <c r="I10" s="20">
        <f t="shared" si="1"/>
        <v>852.59263499999997</v>
      </c>
      <c r="J10" s="21">
        <f t="shared" si="2"/>
        <v>2.4224228689689831</v>
      </c>
      <c r="K10" s="21">
        <f t="shared" si="3"/>
        <v>0.27487310771184148</v>
      </c>
      <c r="L10" s="21">
        <f t="shared" si="4"/>
        <v>0.26234100984544245</v>
      </c>
      <c r="M10" s="21">
        <f t="shared" si="5"/>
        <v>2.1475497612571419</v>
      </c>
      <c r="N10" s="18">
        <f t="shared" si="6"/>
        <v>103193560</v>
      </c>
      <c r="O10" s="21">
        <v>16</v>
      </c>
      <c r="P10" s="22">
        <v>92854683</v>
      </c>
      <c r="Q10" s="23">
        <v>909432144</v>
      </c>
      <c r="R10" s="23">
        <v>98488728</v>
      </c>
      <c r="S10" s="23">
        <v>4704832</v>
      </c>
      <c r="T10" s="23">
        <v>806238584</v>
      </c>
      <c r="U10" s="24" t="s">
        <v>571</v>
      </c>
      <c r="V10" s="24" t="s">
        <v>571</v>
      </c>
      <c r="W10" s="24" t="s">
        <v>571</v>
      </c>
      <c r="X10" s="24" t="s">
        <v>571</v>
      </c>
      <c r="Y10" s="24" t="s">
        <v>571</v>
      </c>
      <c r="Z10" s="25">
        <v>3065.72</v>
      </c>
      <c r="AA10" s="25">
        <v>37206.699999999997</v>
      </c>
      <c r="AB10" s="25">
        <v>21.599</v>
      </c>
      <c r="AC10" s="25">
        <v>106.10599999999999</v>
      </c>
      <c r="AE10" s="26">
        <f t="shared" si="7"/>
        <v>4.2498646824017251E-2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8" t="e">
        <f t="shared" si="14"/>
        <v>#VALUE!</v>
      </c>
      <c r="BC10" s="58" t="e">
        <f t="shared" si="15"/>
        <v>#VALUE!</v>
      </c>
      <c r="BD10" s="58" t="e">
        <f t="shared" si="16"/>
        <v>#VALUE!</v>
      </c>
      <c r="BE10" s="58" t="e">
        <f t="shared" si="17"/>
        <v>#VALUE!</v>
      </c>
      <c r="BF10" s="26" t="e">
        <f t="shared" si="18"/>
        <v>#VALUE!</v>
      </c>
      <c r="BG10" s="26" t="e">
        <f t="array" ref="BG10">AVERAGE(AK10:AK10/AN10:AN10) - AVERAGE(N10:N10/Q10:Q10)</f>
        <v>#VALUE!</v>
      </c>
    </row>
    <row r="11" spans="1:59" collapsed="1" x14ac:dyDescent="0.3">
      <c r="A11" s="27"/>
      <c r="B11" s="27" t="s">
        <v>80</v>
      </c>
      <c r="C11" s="27">
        <v>333190689</v>
      </c>
      <c r="D11" s="28">
        <v>11</v>
      </c>
      <c r="E11" s="28">
        <v>32</v>
      </c>
      <c r="F11" s="28">
        <v>30</v>
      </c>
      <c r="H11" s="36">
        <f t="shared" si="0"/>
        <v>4.3709411225789876E-2</v>
      </c>
      <c r="I11" s="29">
        <f t="shared" si="1"/>
        <v>778.24071000000004</v>
      </c>
      <c r="J11" s="30">
        <f t="shared" si="2"/>
        <v>2.4914364398700228</v>
      </c>
      <c r="K11" s="30">
        <f t="shared" si="3"/>
        <v>0.29558511462485676</v>
      </c>
      <c r="L11" s="30">
        <f t="shared" si="4"/>
        <v>0.28100381880719361</v>
      </c>
      <c r="M11" s="30">
        <f t="shared" si="5"/>
        <v>2.1958513252451661</v>
      </c>
      <c r="N11" s="27">
        <f t="shared" si="6"/>
        <v>98486208</v>
      </c>
      <c r="O11" s="30">
        <v>16</v>
      </c>
      <c r="P11" s="31">
        <v>83104648</v>
      </c>
      <c r="Q11" s="32">
        <v>830123424</v>
      </c>
      <c r="R11" s="32">
        <v>93627856</v>
      </c>
      <c r="S11" s="32">
        <v>4858352</v>
      </c>
      <c r="T11" s="32">
        <v>731637216</v>
      </c>
      <c r="U11" s="33" t="s">
        <v>571</v>
      </c>
      <c r="V11" s="33" t="s">
        <v>571</v>
      </c>
      <c r="W11" s="33" t="s">
        <v>571</v>
      </c>
      <c r="X11" s="33" t="s">
        <v>571</v>
      </c>
      <c r="Y11" s="33" t="s">
        <v>571</v>
      </c>
      <c r="Z11" s="34">
        <v>2718.08</v>
      </c>
      <c r="AA11" s="34">
        <v>43538.1</v>
      </c>
      <c r="AB11" s="34">
        <v>21.838000000000001</v>
      </c>
      <c r="AC11" s="34">
        <v>107.13500000000001</v>
      </c>
      <c r="AE11" s="36">
        <f t="shared" si="7"/>
        <v>4.3709411225789876E-2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1.0550476141447869</v>
      </c>
      <c r="K12" s="48">
        <f>AVERAGE(K5:K8)</f>
        <v>0.14846810563451399</v>
      </c>
      <c r="L12" s="48">
        <f>AVERAGE(L5:L8)</f>
        <v>0.13600121020998429</v>
      </c>
      <c r="M12" s="48">
        <f>AVERAGE(M5:M8)</f>
        <v>0.9065795085102728</v>
      </c>
      <c r="AG12" s="48" t="e">
        <f>AVERAGE(AG5:AG8)</f>
        <v>#DIV/0!</v>
      </c>
      <c r="AH12" s="48" t="e">
        <f>AVERAGE(AH5:AH8)</f>
        <v>#DIV/0!</v>
      </c>
      <c r="AI12" s="48" t="e">
        <f>AVERAGE(AI5:AI8)</f>
        <v>#DIV/0!</v>
      </c>
      <c r="AJ12" s="48" t="e">
        <f>AVERAGE(AJ5:AJ8)</f>
        <v>#DIV/0!</v>
      </c>
      <c r="BB12" s="71" t="e">
        <f t="shared" si="14"/>
        <v>#DIV/0!</v>
      </c>
      <c r="BC12" s="71" t="e">
        <f t="shared" si="15"/>
        <v>#DIV/0!</v>
      </c>
      <c r="BD12" s="71" t="e">
        <f t="shared" si="16"/>
        <v>#DIV/0!</v>
      </c>
      <c r="BE12" s="71" t="e">
        <f t="shared" si="17"/>
        <v>#DIV/0!</v>
      </c>
      <c r="BG12" s="151" t="e">
        <f>AVERAGE(BG5:BG8)</f>
        <v>#VALUE!</v>
      </c>
    </row>
    <row r="13" spans="1:59" x14ac:dyDescent="0.3">
      <c r="B13" s="47" t="s">
        <v>15</v>
      </c>
      <c r="J13" s="48">
        <f>AVERAGE(J9:J9)</f>
        <v>1.5063763226005427</v>
      </c>
      <c r="K13" s="48">
        <f>AVERAGE(K9:K9)</f>
        <v>0.15193338863403763</v>
      </c>
      <c r="L13" s="48">
        <f>AVERAGE(L9:L9)</f>
        <v>0.14210963623655265</v>
      </c>
      <c r="M13" s="48">
        <f>AVERAGE(M9:M9)</f>
        <v>1.3544429339665052</v>
      </c>
      <c r="AG13" s="48" t="e">
        <f>AVERAGE(AG9:AG9)</f>
        <v>#DIV/0!</v>
      </c>
      <c r="AH13" s="48" t="e">
        <f>AVERAGE(AH9:AH9)</f>
        <v>#DIV/0!</v>
      </c>
      <c r="AI13" s="48" t="e">
        <f>AVERAGE(AI9:AI9)</f>
        <v>#DIV/0!</v>
      </c>
      <c r="AJ13" s="48" t="e">
        <f>AVERAGE(AJ9:AJ9)</f>
        <v>#DIV/0!</v>
      </c>
      <c r="BB13" s="71" t="e">
        <f t="shared" si="14"/>
        <v>#DIV/0!</v>
      </c>
      <c r="BC13" s="71" t="e">
        <f t="shared" si="15"/>
        <v>#DIV/0!</v>
      </c>
      <c r="BD13" s="71" t="e">
        <f t="shared" si="16"/>
        <v>#DIV/0!</v>
      </c>
      <c r="BE13" s="71" t="e">
        <f t="shared" si="17"/>
        <v>#DIV/0!</v>
      </c>
      <c r="BG13" s="151" t="e">
        <f>AVERAGE(BG9:BG9)</f>
        <v>#VALUE!</v>
      </c>
    </row>
    <row r="14" spans="1:59" x14ac:dyDescent="0.3">
      <c r="B14" s="47" t="s">
        <v>16</v>
      </c>
      <c r="J14" s="48">
        <f>AVERAGE(J10:J11)</f>
        <v>2.4569296544195032</v>
      </c>
      <c r="K14" s="48">
        <f>AVERAGE(K10:K11)</f>
        <v>0.28522911116834915</v>
      </c>
      <c r="L14" s="48">
        <f>AVERAGE(L10:L11)</f>
        <v>0.27167241432631806</v>
      </c>
      <c r="M14" s="48">
        <f>AVERAGE(M10:M11)</f>
        <v>2.1717005432511538</v>
      </c>
      <c r="AG14" s="48" t="e">
        <f>AVERAGE(AG10:AG11)</f>
        <v>#DIV/0!</v>
      </c>
      <c r="AH14" s="48" t="e">
        <f>AVERAGE(AH10:AH11)</f>
        <v>#DIV/0!</v>
      </c>
      <c r="AI14" s="48" t="e">
        <f>AVERAGE(AI10:AI11)</f>
        <v>#DIV/0!</v>
      </c>
      <c r="AJ14" s="48" t="e">
        <f>AVERAGE(AJ10:AJ11)</f>
        <v>#DIV/0!</v>
      </c>
      <c r="BB14" s="71" t="e">
        <f t="shared" si="14"/>
        <v>#DIV/0!</v>
      </c>
      <c r="BC14" s="71" t="e">
        <f t="shared" si="15"/>
        <v>#DIV/0!</v>
      </c>
      <c r="BD14" s="71" t="e">
        <f t="shared" si="16"/>
        <v>#DIV/0!</v>
      </c>
      <c r="BE14" s="71" t="e">
        <f t="shared" si="17"/>
        <v>#DIV/0!</v>
      </c>
      <c r="BG14" s="151" t="e">
        <f>AVERAGE(BG10:BG11)</f>
        <v>#VALUE!</v>
      </c>
    </row>
    <row r="15" spans="1:59" x14ac:dyDescent="0.3">
      <c r="B15" s="47" t="s">
        <v>17</v>
      </c>
      <c r="J15" s="48">
        <f>AVERAGE(J5:J11)</f>
        <v>1.5200608697169566</v>
      </c>
      <c r="K15" s="48">
        <f>AVERAGE(K5:K11)</f>
        <v>0.18803771907268452</v>
      </c>
      <c r="L15" s="48">
        <f>AVERAGE(L5:L11)</f>
        <v>0.17563704367558941</v>
      </c>
      <c r="M15" s="48">
        <f>AVERAGE(M5:M11)</f>
        <v>1.3320231506442721</v>
      </c>
      <c r="AG15" s="48" t="e">
        <f>AVERAGE(AG5:AG11)</f>
        <v>#DIV/0!</v>
      </c>
      <c r="AH15" s="48" t="e">
        <f>AVERAGE(AH5:AH11)</f>
        <v>#DIV/0!</v>
      </c>
      <c r="AI15" s="48" t="e">
        <f>AVERAGE(AI5:AI11)</f>
        <v>#DIV/0!</v>
      </c>
      <c r="AJ15" s="48" t="e">
        <f>AVERAGE(AJ5:AJ11)</f>
        <v>#DIV/0!</v>
      </c>
      <c r="BB15" s="71" t="e">
        <f t="shared" si="14"/>
        <v>#DIV/0!</v>
      </c>
      <c r="BC15" s="71" t="e">
        <f t="shared" si="15"/>
        <v>#DIV/0!</v>
      </c>
      <c r="BD15" s="71" t="e">
        <f t="shared" si="16"/>
        <v>#DIV/0!</v>
      </c>
      <c r="BE15" s="71" t="e">
        <f t="shared" si="17"/>
        <v>#DIV/0!</v>
      </c>
      <c r="BG15" s="151" t="e">
        <f>AVERAGE(BG5:BG11)</f>
        <v>#VALUE!</v>
      </c>
    </row>
    <row r="16" spans="1:59" hidden="1" outlineLevel="2" x14ac:dyDescent="0.3">
      <c r="A16" s="47" t="s">
        <v>237</v>
      </c>
      <c r="B16" s="47" t="s">
        <v>238</v>
      </c>
      <c r="Z16" s="49">
        <f>SUM(Z5:Z8,Z9:Z9,Z10:Z11)</f>
        <v>23150.43</v>
      </c>
      <c r="AA16" s="49">
        <f>SUM(AA5:AA8,AA9:AA9,AA10:AA11)</f>
        <v>127712.22</v>
      </c>
      <c r="AB16" s="49">
        <f>SUM(AB5:AB8,AB9:AB9,AB10:AB11)</f>
        <v>74.140999999999991</v>
      </c>
      <c r="AC16" s="49">
        <f>SUM(AC5:AC8,AC9:AC9,AC10:AC11)</f>
        <v>359.40600000000001</v>
      </c>
      <c r="AW16" s="49">
        <f>SUM(AW5:AW8,AW9:AW9,AW10:AW11)</f>
        <v>0</v>
      </c>
      <c r="AX16" s="49">
        <f>SUM(AX5:AX8,AX9:AX9,AX10:AX11)</f>
        <v>0</v>
      </c>
      <c r="AY16" s="49">
        <f>SUM(AY5:AY8,AY9:AY9,AY10:AY11)</f>
        <v>0</v>
      </c>
      <c r="AZ16" s="49">
        <f>SUM(AZ5:AZ8,AZ9:AZ9,AZ10:AZ11)</f>
        <v>0</v>
      </c>
    </row>
    <row r="17" spans="2:52" hidden="1" outlineLevel="2" x14ac:dyDescent="0.3">
      <c r="B17" s="47" t="s">
        <v>239</v>
      </c>
      <c r="AW17" s="151">
        <f>AW16/Z16</f>
        <v>0</v>
      </c>
      <c r="AX17" s="151">
        <f>AX16/AA16</f>
        <v>0</v>
      </c>
      <c r="AY17" s="151">
        <f>AY16/AB16</f>
        <v>0</v>
      </c>
      <c r="AZ17" s="151">
        <f>AZ16/AC16</f>
        <v>0</v>
      </c>
    </row>
    <row r="18" spans="2:52" hidden="1" outlineLevel="2" x14ac:dyDescent="0.3">
      <c r="B18" s="47" t="s">
        <v>240</v>
      </c>
      <c r="Z18" s="49">
        <f>GEOMEAN(Z5:Z8,Z9:Z9,Z10:Z11)</f>
        <v>3120.3553310407124</v>
      </c>
      <c r="AA18" s="49">
        <f>GEOMEAN(AA5:AA8,AA9:AA9,AA10:AA11)</f>
        <v>14147.296180670222</v>
      </c>
      <c r="AB18" s="49">
        <f>GEOMEAN(AB5:AB8,AB9:AB9,AB10:AB11)</f>
        <v>8.7698916611004698</v>
      </c>
      <c r="AC18" s="49">
        <f>GEOMEAN(AC5:AC8,AC9:AC9,AC10:AC11)</f>
        <v>42.169402789389892</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151" t="e">
        <f>AW18/Z18</f>
        <v>#NUM!</v>
      </c>
      <c r="AX19" s="151" t="e">
        <f>AX18/AA18</f>
        <v>#NUM!</v>
      </c>
      <c r="AY19" s="151" t="e">
        <f>AY18/AB18</f>
        <v>#NUM!</v>
      </c>
      <c r="AZ19" s="151"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89" priority="3" operator="greaterThanOrEqual">
      <formula>1.03</formula>
    </cfRule>
    <cfRule type="cellIs" dxfId="88" priority="4" operator="lessThanOrEqual">
      <formula>0.97</formula>
    </cfRule>
  </conditionalFormatting>
  <conditionalFormatting sqref="BC5 BC6 BC7 BC8 BC9 BC10 BC11 BC12 BC13 BC14 BC15">
    <cfRule type="cellIs" dxfId="87" priority="7" operator="greaterThanOrEqual">
      <formula>1.03</formula>
    </cfRule>
    <cfRule type="cellIs" dxfId="86" priority="8" operator="lessThanOrEqual">
      <formula>0.97</formula>
    </cfRule>
  </conditionalFormatting>
  <conditionalFormatting sqref="BD5 BD6 BD7 BD8 BD9 BD10 BD11 BD12 BD13 BD14 BD15">
    <cfRule type="cellIs" dxfId="85" priority="1" operator="greaterThanOrEqual">
      <formula>1.03</formula>
    </cfRule>
    <cfRule type="cellIs" dxfId="84" priority="2" operator="lessThanOrEqual">
      <formula>0.97</formula>
    </cfRule>
  </conditionalFormatting>
  <conditionalFormatting sqref="BE5 BE6 BE7 BE8 BE9 BE10 BE11 BE12 BE13 BE14 BE15">
    <cfRule type="cellIs" dxfId="83" priority="5" operator="greaterThanOrEqual">
      <formula>1.03</formula>
    </cfRule>
    <cfRule type="cellIs" dxfId="8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AF5" activePane="bottomRight" state="frozen"/>
      <selection pane="topRight" activeCell="C1" sqref="C1"/>
      <selection pane="bottomLeft" activeCell="A5" sqref="A5"/>
      <selection pane="bottomRight" activeCell="BC39" sqref="AN5:BC39"/>
    </sheetView>
  </sheetViews>
  <sheetFormatPr defaultRowHeight="14.4" outlineLevelRow="2" x14ac:dyDescent="0.3"/>
  <cols>
    <col min="2" max="2" width="24.6640625" style="76" customWidth="1"/>
    <col min="4" max="5" width="10.6640625" style="76" customWidth="1"/>
    <col min="8" max="8" width="1.6640625" style="76" customWidth="1"/>
    <col min="10" max="13" width="10.6640625" style="76" customWidth="1"/>
    <col min="14" max="14" width="24.6640625" style="76" hidden="1" customWidth="1"/>
    <col min="15" max="15" width="12.6640625" style="76" customWidth="1"/>
    <col min="16" max="16" width="10.6640625" style="76" customWidth="1"/>
    <col min="19" max="22" width="12.6640625" style="76" customWidth="1"/>
    <col min="23" max="27" width="11.6640625" style="76" customWidth="1"/>
    <col min="32" max="32" width="1.6640625" style="76" customWidth="1"/>
    <col min="34" max="37" width="10.6640625" style="76" customWidth="1"/>
    <col min="38" max="38" width="24.6640625" style="76" hidden="1" customWidth="1"/>
    <col min="39" max="39" width="12.6640625" style="76" customWidth="1"/>
    <col min="40" max="40" width="10.6640625" style="76" customWidth="1"/>
    <col min="43" max="46" width="12.6640625" style="76" customWidth="1"/>
    <col min="47" max="51" width="11.6640625" style="76" customWidth="1"/>
    <col min="56" max="56" width="1.6640625" style="76" customWidth="1"/>
    <col min="61" max="61" width="1.6640625" style="76" customWidth="1"/>
    <col min="64" max="66" width="11.6640625" style="76" customWidth="1"/>
    <col min="67" max="67" width="1.6640625" style="76" customWidth="1"/>
    <col min="70" max="72" width="11.6640625" style="76" customWidth="1"/>
    <col min="73" max="73" width="1.6640625" style="76" customWidth="1"/>
  </cols>
  <sheetData>
    <row r="1" spans="1:72" x14ac:dyDescent="0.3">
      <c r="A1" s="168" t="s">
        <v>573</v>
      </c>
      <c r="B1" s="156"/>
      <c r="C1" s="156"/>
      <c r="D1" s="156"/>
      <c r="E1" s="156"/>
      <c r="F1" s="156"/>
      <c r="G1" s="156"/>
      <c r="I1" s="164" t="str">
        <f>Summary!$C$1</f>
        <v>ALL_master+r8.0</v>
      </c>
      <c r="J1" s="156"/>
      <c r="K1" s="156"/>
      <c r="L1" s="156"/>
      <c r="M1" s="156"/>
      <c r="N1" s="156"/>
      <c r="O1" s="156"/>
      <c r="P1" s="156"/>
      <c r="Q1" s="156"/>
      <c r="R1" s="156"/>
      <c r="S1" s="156"/>
      <c r="T1" s="156"/>
      <c r="U1" s="156"/>
      <c r="V1" s="156"/>
      <c r="W1" s="156"/>
      <c r="X1" s="156"/>
      <c r="Y1" s="156"/>
      <c r="Z1" s="156"/>
      <c r="AA1" s="156"/>
      <c r="AB1" s="156"/>
      <c r="AC1" s="156"/>
      <c r="AD1" s="156"/>
      <c r="AE1" s="156"/>
      <c r="AG1" s="165">
        <f>Summary!$C$2</f>
        <v>0</v>
      </c>
      <c r="AH1" s="156"/>
      <c r="AI1" s="156"/>
      <c r="AJ1" s="156"/>
      <c r="AK1" s="156"/>
      <c r="AL1" s="156"/>
      <c r="AM1" s="156"/>
      <c r="AN1" s="156"/>
      <c r="AO1" s="156"/>
      <c r="AP1" s="156"/>
      <c r="AQ1" s="156"/>
      <c r="AR1" s="156"/>
      <c r="AS1" s="156"/>
      <c r="AT1" s="156"/>
      <c r="AU1" s="156"/>
      <c r="AV1" s="156"/>
      <c r="AW1" s="156"/>
      <c r="AX1" s="156"/>
      <c r="AY1" s="156"/>
      <c r="AZ1" s="156"/>
      <c r="BA1" s="156"/>
      <c r="BB1" s="156"/>
      <c r="BC1" s="156"/>
    </row>
    <row r="2" spans="1:72" ht="30" customHeight="1" x14ac:dyDescent="0.3">
      <c r="A2" s="170" t="s">
        <v>137</v>
      </c>
      <c r="B2" s="169" t="s">
        <v>138</v>
      </c>
      <c r="C2" s="170" t="s">
        <v>139</v>
      </c>
      <c r="D2" s="169" t="s">
        <v>140</v>
      </c>
      <c r="E2" s="170" t="s">
        <v>141</v>
      </c>
      <c r="F2" s="169" t="s">
        <v>142</v>
      </c>
      <c r="G2" s="170" t="s">
        <v>143</v>
      </c>
      <c r="I2" s="169" t="s">
        <v>144</v>
      </c>
      <c r="J2" s="167" t="s">
        <v>145</v>
      </c>
      <c r="K2" s="156"/>
      <c r="L2" s="156"/>
      <c r="M2" s="156"/>
      <c r="N2" s="170" t="s">
        <v>146</v>
      </c>
      <c r="O2" s="169" t="s">
        <v>147</v>
      </c>
      <c r="P2" s="170" t="s">
        <v>84</v>
      </c>
      <c r="Q2" s="169" t="s">
        <v>86</v>
      </c>
      <c r="R2" s="170" t="s">
        <v>82</v>
      </c>
      <c r="S2" s="166" t="s">
        <v>148</v>
      </c>
      <c r="T2" s="156"/>
      <c r="U2" s="156"/>
      <c r="V2" s="156"/>
      <c r="W2" s="167" t="s">
        <v>149</v>
      </c>
      <c r="X2" s="156"/>
      <c r="Y2" s="166" t="s">
        <v>150</v>
      </c>
      <c r="Z2" s="156"/>
      <c r="AA2" s="156"/>
      <c r="AB2" s="167" t="s">
        <v>151</v>
      </c>
      <c r="AC2" s="156"/>
      <c r="AD2" s="166" t="s">
        <v>152</v>
      </c>
      <c r="AE2" s="156"/>
      <c r="AG2" s="170" t="s">
        <v>144</v>
      </c>
      <c r="AH2" s="166" t="s">
        <v>145</v>
      </c>
      <c r="AI2" s="156"/>
      <c r="AJ2" s="156"/>
      <c r="AK2" s="156"/>
      <c r="AL2" s="169" t="s">
        <v>153</v>
      </c>
      <c r="AM2" s="170" t="s">
        <v>147</v>
      </c>
      <c r="AN2" s="169" t="s">
        <v>84</v>
      </c>
      <c r="AO2" s="170" t="s">
        <v>86</v>
      </c>
      <c r="AP2" s="169" t="s">
        <v>82</v>
      </c>
      <c r="AQ2" s="167" t="s">
        <v>148</v>
      </c>
      <c r="AR2" s="156"/>
      <c r="AS2" s="156"/>
      <c r="AT2" s="156"/>
      <c r="AU2" s="166" t="s">
        <v>149</v>
      </c>
      <c r="AV2" s="156"/>
      <c r="AW2" s="167" t="s">
        <v>150</v>
      </c>
      <c r="AX2" s="156"/>
      <c r="AY2" s="156"/>
      <c r="AZ2" s="166" t="s">
        <v>151</v>
      </c>
      <c r="BA2" s="156"/>
      <c r="BB2" s="167" t="s">
        <v>152</v>
      </c>
      <c r="BC2" s="156"/>
      <c r="BE2" s="169" t="s">
        <v>154</v>
      </c>
      <c r="BF2" s="170" t="s">
        <v>155</v>
      </c>
      <c r="BG2" s="169" t="s">
        <v>156</v>
      </c>
      <c r="BH2" s="170" t="s">
        <v>156</v>
      </c>
      <c r="BJ2" s="166" t="s">
        <v>5</v>
      </c>
      <c r="BK2" s="156"/>
      <c r="BL2" s="167" t="s">
        <v>6</v>
      </c>
      <c r="BM2" s="156"/>
      <c r="BN2" s="156"/>
      <c r="BP2" s="166" t="s">
        <v>7</v>
      </c>
      <c r="BQ2" s="156"/>
      <c r="BR2" s="167" t="s">
        <v>8</v>
      </c>
      <c r="BS2" s="156"/>
      <c r="BT2" s="156"/>
    </row>
    <row r="3" spans="1:72" x14ac:dyDescent="0.3">
      <c r="A3" s="158"/>
      <c r="B3" s="158"/>
      <c r="C3" s="158"/>
      <c r="D3" s="158"/>
      <c r="E3" s="158"/>
      <c r="F3" s="158"/>
      <c r="G3" s="158"/>
      <c r="I3" s="158"/>
      <c r="J3" s="152" t="s">
        <v>25</v>
      </c>
      <c r="K3" s="152" t="s">
        <v>23</v>
      </c>
      <c r="L3" s="152" t="s">
        <v>157</v>
      </c>
      <c r="M3" s="152" t="s">
        <v>158</v>
      </c>
      <c r="N3" s="158"/>
      <c r="O3" s="158"/>
      <c r="P3" s="158"/>
      <c r="Q3" s="158"/>
      <c r="R3" s="158"/>
      <c r="S3" s="153" t="s">
        <v>25</v>
      </c>
      <c r="T3" s="153" t="s">
        <v>157</v>
      </c>
      <c r="U3" s="153" t="s">
        <v>159</v>
      </c>
      <c r="V3" s="153" t="s">
        <v>24</v>
      </c>
      <c r="W3" s="152" t="s">
        <v>9</v>
      </c>
      <c r="X3" s="152" t="s">
        <v>10</v>
      </c>
      <c r="Y3" s="153" t="s">
        <v>11</v>
      </c>
      <c r="Z3" s="153" t="s">
        <v>12</v>
      </c>
      <c r="AA3" s="153" t="s">
        <v>13</v>
      </c>
      <c r="AB3" s="152" t="s">
        <v>160</v>
      </c>
      <c r="AC3" s="152" t="s">
        <v>161</v>
      </c>
      <c r="AD3" s="153" t="s">
        <v>160</v>
      </c>
      <c r="AE3" s="153" t="s">
        <v>161</v>
      </c>
      <c r="AG3" s="158"/>
      <c r="AH3" s="153" t="s">
        <v>25</v>
      </c>
      <c r="AI3" s="153" t="s">
        <v>23</v>
      </c>
      <c r="AJ3" s="153" t="s">
        <v>157</v>
      </c>
      <c r="AK3" s="153" t="s">
        <v>158</v>
      </c>
      <c r="AL3" s="158"/>
      <c r="AM3" s="158"/>
      <c r="AN3" s="158"/>
      <c r="AO3" s="158"/>
      <c r="AP3" s="158"/>
      <c r="AQ3" s="152" t="s">
        <v>25</v>
      </c>
      <c r="AR3" s="152" t="s">
        <v>157</v>
      </c>
      <c r="AS3" s="152" t="s">
        <v>159</v>
      </c>
      <c r="AT3" s="152" t="s">
        <v>24</v>
      </c>
      <c r="AU3" s="153" t="s">
        <v>9</v>
      </c>
      <c r="AV3" s="153" t="s">
        <v>10</v>
      </c>
      <c r="AW3" s="152" t="s">
        <v>11</v>
      </c>
      <c r="AX3" s="152" t="s">
        <v>12</v>
      </c>
      <c r="AY3" s="152" t="s">
        <v>13</v>
      </c>
      <c r="AZ3" s="153" t="s">
        <v>160</v>
      </c>
      <c r="BA3" s="153" t="s">
        <v>161</v>
      </c>
      <c r="BB3" s="152" t="s">
        <v>160</v>
      </c>
      <c r="BC3" s="152" t="s">
        <v>161</v>
      </c>
      <c r="BE3" s="158"/>
      <c r="BF3" s="158"/>
      <c r="BG3" s="158"/>
      <c r="BH3" s="158"/>
      <c r="BJ3" s="153" t="s">
        <v>9</v>
      </c>
      <c r="BK3" s="153" t="s">
        <v>10</v>
      </c>
      <c r="BL3" s="152" t="s">
        <v>11</v>
      </c>
      <c r="BM3" s="152" t="s">
        <v>12</v>
      </c>
      <c r="BN3" s="152" t="s">
        <v>13</v>
      </c>
      <c r="BP3" s="153" t="s">
        <v>9</v>
      </c>
      <c r="BQ3" s="153" t="s">
        <v>10</v>
      </c>
      <c r="BR3" s="152" t="s">
        <v>11</v>
      </c>
      <c r="BS3" s="152" t="s">
        <v>12</v>
      </c>
      <c r="BT3" s="152"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129" t="s">
        <v>229</v>
      </c>
      <c r="B5" s="129" t="s">
        <v>49</v>
      </c>
      <c r="C5" s="10" t="s">
        <v>230</v>
      </c>
      <c r="D5" s="129">
        <v>238146391</v>
      </c>
      <c r="E5" s="10">
        <v>10</v>
      </c>
      <c r="F5" s="10">
        <v>32</v>
      </c>
      <c r="G5" s="10">
        <v>30</v>
      </c>
      <c r="I5" s="11">
        <f t="shared" ref="I5:I39" si="0">IF(OR(ISBLANK(S5),ISBLANK(G5)),"·",S5*G5/F5/1000000)</f>
        <v>1.0419974999999999</v>
      </c>
      <c r="J5" s="12">
        <f t="shared" ref="J5:J39" si="1">IF(ISBLANK(S5),"·",S5/D5)</f>
        <v>4.6671461000641406E-3</v>
      </c>
      <c r="K5" s="12">
        <f t="shared" ref="K5:K39" si="2">IF(N5="","·",N5/D5)</f>
        <v>4.054749668660736E-3</v>
      </c>
      <c r="L5" s="12">
        <f t="shared" ref="L5:L39" si="3">IF(T5="","·",T5/D5)</f>
        <v>2.5510359298285567E-3</v>
      </c>
      <c r="M5" s="12">
        <f t="shared" ref="M5:M39" si="4">IF(ISBLANK(V5),"·",V5/D5)</f>
        <v>6.1239643140340516E-4</v>
      </c>
      <c r="N5" s="129">
        <f t="shared" ref="N5:N39" si="5">IF(OR(ISBLANK(T5),ISBLANK(U5)),"",T5+U5)</f>
        <v>965624</v>
      </c>
      <c r="O5" s="12">
        <v>16</v>
      </c>
      <c r="P5" s="13">
        <v>23582209</v>
      </c>
      <c r="Q5" s="13">
        <v>736944.03125</v>
      </c>
      <c r="R5" s="13">
        <v>16984.9375</v>
      </c>
      <c r="S5" s="14">
        <v>1111464</v>
      </c>
      <c r="T5" s="14">
        <v>607520</v>
      </c>
      <c r="U5" s="14">
        <v>358104</v>
      </c>
      <c r="V5" s="14">
        <v>145840</v>
      </c>
      <c r="W5" s="15">
        <v>66.845706250000006</v>
      </c>
      <c r="X5" s="15">
        <v>68.619974999999997</v>
      </c>
      <c r="Y5" s="15">
        <v>31.719309375000002</v>
      </c>
      <c r="Z5" s="15">
        <v>44.569031250000002</v>
      </c>
      <c r="AA5" s="15">
        <v>44.236403125000002</v>
      </c>
      <c r="AB5" s="16">
        <v>3596.99</v>
      </c>
      <c r="AC5" s="16">
        <v>4738.6899999999996</v>
      </c>
      <c r="AD5" s="16">
        <v>52.921999999999997</v>
      </c>
      <c r="AE5" s="16">
        <v>26.707999999999998</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129" t="str">
        <f t="shared" ref="AL5:AL39" si="11">IF(OR(ISBLANK(AR5),ISBLANK(AS5)),"",AR5+AS5)</f>
        <v/>
      </c>
      <c r="AM5" s="12">
        <v>16</v>
      </c>
      <c r="AN5" s="13"/>
      <c r="AO5" s="13"/>
      <c r="AP5" s="13"/>
      <c r="AQ5" s="14"/>
      <c r="AR5" s="14"/>
      <c r="AS5" s="14"/>
      <c r="AT5" s="14"/>
      <c r="AU5" s="15"/>
      <c r="AV5" s="15"/>
      <c r="AW5" s="15"/>
      <c r="AX5" s="15"/>
      <c r="AY5" s="15"/>
      <c r="AZ5" s="16"/>
      <c r="BA5" s="16"/>
      <c r="BB5" s="16"/>
      <c r="BC5" s="16"/>
      <c r="BE5" s="62" t="e">
        <f t="shared" ref="BE5:BE43" si="12">AI5/K5</f>
        <v>#VALUE!</v>
      </c>
      <c r="BF5" s="17" t="e">
        <f t="shared" ref="BF5:BF39" si="13">(AP5/AO5) - (R5/Q5)</f>
        <v>#DIV/0!</v>
      </c>
      <c r="BG5" s="17" t="e">
        <f t="shared" ref="BG5:BG39" si="14">(AL5/AQ5) - (N5/S5)</f>
        <v>#VALUE!</v>
      </c>
      <c r="BH5" s="17" t="e">
        <f t="array" ref="BH5">AVERAGE(AL5:AL9/AQ5:AQ9) - AVERAGE(N5:N9/S5:S9)</f>
        <v>#VALUE!</v>
      </c>
      <c r="BJ5" s="62" t="str">
        <f>IF( OR(ISBLANK(N5:N9),ISBLANK(AL5:AL9), ISBLANK(W5:W9),ISBLANK(AU5:AU9)), "·", bdRateExtend( N5:N9,W5:W9, AL5:AL9,AU5:AU9))</f>
        <v>·</v>
      </c>
      <c r="BK5" s="62" t="str">
        <f>IF( OR(ISBLANK(N5:N9),ISBLANK(AL5:AL9), ISBLANK(X5:X9),ISBLANK(AV5:AV9)), "·", bdRateExtend( N5:N9,X5:X9, AL5:AL9,AV5:AV9))</f>
        <v>·</v>
      </c>
      <c r="BL5" s="62" t="str">
        <f>IF( OR(ISBLANK(V5:V9),ISBLANK(AT5:AT9), ISBLANK(Y5:Y9),ISBLANK(AW5:AW9)), "·", bdRateExtend( V5:V9,Y5:Y9, AT5:AT9,AW5:AW9))</f>
        <v>·</v>
      </c>
      <c r="BM5" s="62" t="str">
        <f>IF( OR(ISBLANK(V5:V9),ISBLANK(AT5:AT9), ISBLANK(Z5:Z9),ISBLANK(AX5:AX9)), "·", bdRateExtend( V5:V9,Z5:Z9, AT5:AT9,AX5:AX9))</f>
        <v>·</v>
      </c>
      <c r="BN5" s="62" t="str">
        <f>IF( OR(ISBLANK(V5:V9),ISBLANK(AT5:AT9), ISBLANK(AA5:AA9),ISBLANK(AY5:AY9)), "·", bdRateExtend( V5:V9,AA5:AA9, AT5:AT9,AY5:AY9))</f>
        <v>·</v>
      </c>
      <c r="BP5" s="62" t="str">
        <f>IF( OR(ISBLANK(S5:S9),ISBLANK(AQ5:AQ9), ISBLANK(W5:W9),ISBLANK(AU5:AU9)), "·", bdRateExtend( S5:S9,W5:W9, AQ5:AQ9,AU5:AU9))</f>
        <v>·</v>
      </c>
      <c r="BQ5" s="62" t="str">
        <f>IF( OR(ISBLANK(S5:S9),ISBLANK(AQ5:AQ9), ISBLANK(X5:X9),ISBLANK(AV5:AV9)), "·", bdRateExtend( S5:S9,X5:X9, AQ5:AQ9,AV5:AV9))</f>
        <v>·</v>
      </c>
      <c r="BR5" s="62" t="str">
        <f>IF( OR(ISBLANK(S5:S9),ISBLANK(AQ5:AQ9), ISBLANK(Y5:Y9),ISBLANK(AW5:AW9)), "·", bdRateExtend( S5:S9,Y5:Y9, AQ5:AQ9,AW5:AW9))</f>
        <v>·</v>
      </c>
      <c r="BS5" s="62" t="str">
        <f>IF( OR(ISBLANK(S5:S9),ISBLANK(AQ5:AQ9), ISBLANK(Z5:Z9),ISBLANK(AX5:AX9)), "·", bdRateExtend( S5:S9,Z5:Z9, AQ5:AQ9,AX5:AX9))</f>
        <v>·</v>
      </c>
      <c r="BT5" s="62" t="str">
        <f>IF( OR(ISBLANK(S5:S9),ISBLANK(AQ5:AQ9), ISBLANK(AA5:AA9),ISBLANK(AY5:AY9)), "·", bdRateExtend( S5:S9,AA5:AA9, AQ5:AQ9,AY5:AY9))</f>
        <v>·</v>
      </c>
    </row>
    <row r="6" spans="1:72" outlineLevel="1" x14ac:dyDescent="0.3">
      <c r="A6" s="18"/>
      <c r="B6" s="18" t="s">
        <v>49</v>
      </c>
      <c r="C6" s="19" t="s">
        <v>231</v>
      </c>
      <c r="D6" s="18">
        <v>238146391</v>
      </c>
      <c r="E6" s="19">
        <v>10</v>
      </c>
      <c r="F6" s="19">
        <v>32</v>
      </c>
      <c r="G6" s="19">
        <v>30</v>
      </c>
      <c r="I6" s="20">
        <f t="shared" si="0"/>
        <v>1.3546125</v>
      </c>
      <c r="J6" s="21">
        <f t="shared" si="1"/>
        <v>6.0673604749273734E-3</v>
      </c>
      <c r="K6" s="21">
        <f t="shared" si="2"/>
        <v>4.9449920070382255E-3</v>
      </c>
      <c r="L6" s="21">
        <f t="shared" si="3"/>
        <v>3.4412782682060462E-3</v>
      </c>
      <c r="M6" s="21">
        <f t="shared" si="4"/>
        <v>1.1223684678891481E-3</v>
      </c>
      <c r="N6" s="18">
        <f t="shared" si="5"/>
        <v>1177632</v>
      </c>
      <c r="O6" s="21">
        <v>16</v>
      </c>
      <c r="P6" s="22">
        <v>24777501</v>
      </c>
      <c r="Q6" s="22">
        <v>774296.90625</v>
      </c>
      <c r="R6" s="22">
        <v>19924.3125</v>
      </c>
      <c r="S6" s="23">
        <v>1444920</v>
      </c>
      <c r="T6" s="23">
        <v>819528</v>
      </c>
      <c r="U6" s="23">
        <v>358104</v>
      </c>
      <c r="V6" s="23">
        <v>267288</v>
      </c>
      <c r="W6" s="24">
        <v>68.552896875000002</v>
      </c>
      <c r="X6" s="24">
        <v>70.622062499999998</v>
      </c>
      <c r="Y6" s="24">
        <v>33.797456250000003</v>
      </c>
      <c r="Z6" s="24">
        <v>45.493312500000002</v>
      </c>
      <c r="AA6" s="24">
        <v>45.153953125000001</v>
      </c>
      <c r="AB6" s="25">
        <v>3616.5</v>
      </c>
      <c r="AC6" s="25">
        <v>5081.07</v>
      </c>
      <c r="AD6" s="25">
        <v>55.325000000000003</v>
      </c>
      <c r="AE6" s="25">
        <v>27.503</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8" t="e">
        <f t="shared" si="12"/>
        <v>#VALUE!</v>
      </c>
      <c r="BF6" s="26" t="e">
        <f t="shared" si="13"/>
        <v>#DIV/0!</v>
      </c>
      <c r="BG6" s="26" t="e">
        <f t="shared" si="14"/>
        <v>#VALUE!</v>
      </c>
      <c r="BH6" s="26"/>
      <c r="BJ6" s="58"/>
      <c r="BK6" s="58"/>
      <c r="BL6" s="58"/>
      <c r="BM6" s="58"/>
      <c r="BN6" s="58"/>
      <c r="BP6" s="58"/>
      <c r="BQ6" s="58"/>
      <c r="BR6" s="58"/>
      <c r="BS6" s="58"/>
      <c r="BT6" s="58"/>
    </row>
    <row r="7" spans="1:72" outlineLevel="1" x14ac:dyDescent="0.3">
      <c r="A7" s="129"/>
      <c r="B7" s="129" t="s">
        <v>49</v>
      </c>
      <c r="C7" s="10" t="s">
        <v>232</v>
      </c>
      <c r="D7" s="129">
        <v>238146391</v>
      </c>
      <c r="E7" s="10">
        <v>10</v>
      </c>
      <c r="F7" s="10">
        <v>32</v>
      </c>
      <c r="G7" s="10">
        <v>30</v>
      </c>
      <c r="I7" s="11">
        <f t="shared" si="0"/>
        <v>1.8748425</v>
      </c>
      <c r="J7" s="12">
        <f t="shared" si="1"/>
        <v>8.3974902647170491E-3</v>
      </c>
      <c r="K7" s="12">
        <f t="shared" si="2"/>
        <v>6.1436160920028387E-3</v>
      </c>
      <c r="L7" s="12">
        <f t="shared" si="3"/>
        <v>4.6399023531706598E-3</v>
      </c>
      <c r="M7" s="12">
        <f t="shared" si="4"/>
        <v>2.2538741727142109E-3</v>
      </c>
      <c r="N7" s="129">
        <f t="shared" si="5"/>
        <v>1463080</v>
      </c>
      <c r="O7" s="12">
        <v>16</v>
      </c>
      <c r="P7" s="13">
        <v>24923704</v>
      </c>
      <c r="Q7" s="13">
        <v>778865.75</v>
      </c>
      <c r="R7" s="13">
        <v>21104.875</v>
      </c>
      <c r="S7" s="14">
        <v>1999832</v>
      </c>
      <c r="T7" s="14">
        <v>1104976</v>
      </c>
      <c r="U7" s="14">
        <v>358104</v>
      </c>
      <c r="V7" s="14">
        <v>536752</v>
      </c>
      <c r="W7" s="15">
        <v>69.837434375000001</v>
      </c>
      <c r="X7" s="15">
        <v>72.274171874999993</v>
      </c>
      <c r="Y7" s="15">
        <v>36.189746874999997</v>
      </c>
      <c r="Z7" s="15">
        <v>46.884203124999999</v>
      </c>
      <c r="AA7" s="15">
        <v>46.664578124999998</v>
      </c>
      <c r="AB7" s="16">
        <v>3628.39</v>
      </c>
      <c r="AC7" s="16">
        <v>5409.4</v>
      </c>
      <c r="AD7" s="16">
        <v>55.585999999999999</v>
      </c>
      <c r="AE7" s="16">
        <v>28.146000000000001</v>
      </c>
      <c r="AG7" s="11" t="str">
        <f t="shared" si="6"/>
        <v>·</v>
      </c>
      <c r="AH7" s="12" t="str">
        <f t="shared" si="7"/>
        <v>·</v>
      </c>
      <c r="AI7" s="12" t="str">
        <f t="shared" si="8"/>
        <v>·</v>
      </c>
      <c r="AJ7" s="12" t="str">
        <f t="shared" si="9"/>
        <v>·</v>
      </c>
      <c r="AK7" s="12" t="str">
        <f t="shared" si="10"/>
        <v>·</v>
      </c>
      <c r="AL7" s="129" t="str">
        <f t="shared" si="11"/>
        <v/>
      </c>
      <c r="AM7" s="12">
        <v>16</v>
      </c>
      <c r="AN7" s="13"/>
      <c r="AO7" s="13"/>
      <c r="AP7" s="13"/>
      <c r="AQ7" s="14"/>
      <c r="AR7" s="14"/>
      <c r="AS7" s="14"/>
      <c r="AT7" s="14"/>
      <c r="AU7" s="15"/>
      <c r="AV7" s="15"/>
      <c r="AW7" s="15"/>
      <c r="AX7" s="15"/>
      <c r="AY7" s="15"/>
      <c r="AZ7" s="16"/>
      <c r="BA7" s="16"/>
      <c r="BB7" s="16"/>
      <c r="BC7" s="16"/>
      <c r="BE7" s="62" t="e">
        <f t="shared" si="12"/>
        <v>#VALUE!</v>
      </c>
      <c r="BF7" s="17" t="e">
        <f t="shared" si="13"/>
        <v>#DIV/0!</v>
      </c>
      <c r="BG7" s="17" t="e">
        <f t="shared" si="14"/>
        <v>#VALUE!</v>
      </c>
      <c r="BH7" s="17"/>
      <c r="BJ7" s="62"/>
      <c r="BK7" s="62"/>
      <c r="BL7" s="62"/>
      <c r="BM7" s="62"/>
      <c r="BN7" s="62"/>
      <c r="BP7" s="62"/>
      <c r="BQ7" s="62"/>
      <c r="BR7" s="62"/>
      <c r="BS7" s="62"/>
      <c r="BT7" s="62"/>
    </row>
    <row r="8" spans="1:72" outlineLevel="1" x14ac:dyDescent="0.3">
      <c r="A8" s="18"/>
      <c r="B8" s="18" t="s">
        <v>49</v>
      </c>
      <c r="C8" s="19" t="s">
        <v>233</v>
      </c>
      <c r="D8" s="18">
        <v>238146391</v>
      </c>
      <c r="E8" s="19">
        <v>10</v>
      </c>
      <c r="F8" s="19">
        <v>32</v>
      </c>
      <c r="G8" s="19">
        <v>30</v>
      </c>
      <c r="I8" s="20">
        <f t="shared" si="0"/>
        <v>3.0923250000000002</v>
      </c>
      <c r="J8" s="21">
        <f t="shared" si="1"/>
        <v>1.3850640297966977E-2</v>
      </c>
      <c r="K8" s="21">
        <f t="shared" si="2"/>
        <v>8.8581145031922815E-3</v>
      </c>
      <c r="L8" s="21">
        <f t="shared" si="3"/>
        <v>7.3544007643601035E-3</v>
      </c>
      <c r="M8" s="21">
        <f t="shared" si="4"/>
        <v>4.9925257947746942E-3</v>
      </c>
      <c r="N8" s="18">
        <f t="shared" si="5"/>
        <v>2109528</v>
      </c>
      <c r="O8" s="21">
        <v>16</v>
      </c>
      <c r="P8" s="22">
        <v>25894561</v>
      </c>
      <c r="Q8" s="22">
        <v>809205.03125</v>
      </c>
      <c r="R8" s="22">
        <v>24362.65625</v>
      </c>
      <c r="S8" s="23">
        <v>3298480</v>
      </c>
      <c r="T8" s="23">
        <v>1751424</v>
      </c>
      <c r="U8" s="23">
        <v>358104</v>
      </c>
      <c r="V8" s="23">
        <v>1188952</v>
      </c>
      <c r="W8" s="24">
        <v>70.899381250000005</v>
      </c>
      <c r="X8" s="24">
        <v>73.460274999999996</v>
      </c>
      <c r="Y8" s="24">
        <v>38.671903125</v>
      </c>
      <c r="Z8" s="24">
        <v>48.122496875000003</v>
      </c>
      <c r="AA8" s="24">
        <v>48.141521875000002</v>
      </c>
      <c r="AB8" s="25">
        <v>3626.88</v>
      </c>
      <c r="AC8" s="25">
        <v>5836.09</v>
      </c>
      <c r="AD8" s="25">
        <v>57.765999999999998</v>
      </c>
      <c r="AE8" s="25">
        <v>28.995000000000001</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8" t="e">
        <f t="shared" si="12"/>
        <v>#VALUE!</v>
      </c>
      <c r="BF8" s="26" t="e">
        <f t="shared" si="13"/>
        <v>#DIV/0!</v>
      </c>
      <c r="BG8" s="26" t="e">
        <f t="shared" si="14"/>
        <v>#VALUE!</v>
      </c>
      <c r="BH8" s="26"/>
      <c r="BJ8" s="58"/>
      <c r="BK8" s="58"/>
      <c r="BL8" s="58"/>
      <c r="BM8" s="58"/>
      <c r="BN8" s="58"/>
      <c r="BP8" s="58"/>
      <c r="BQ8" s="58"/>
      <c r="BR8" s="58"/>
      <c r="BS8" s="58"/>
      <c r="BT8" s="58"/>
    </row>
    <row r="9" spans="1:72" outlineLevel="1" x14ac:dyDescent="0.3">
      <c r="A9" s="129"/>
      <c r="B9" s="27" t="s">
        <v>49</v>
      </c>
      <c r="C9" s="28" t="s">
        <v>234</v>
      </c>
      <c r="D9" s="27">
        <v>238146391</v>
      </c>
      <c r="E9" s="28">
        <v>10</v>
      </c>
      <c r="F9" s="28">
        <v>32</v>
      </c>
      <c r="G9" s="28">
        <v>30</v>
      </c>
      <c r="I9" s="29">
        <f t="shared" si="0"/>
        <v>6.3077100000000002</v>
      </c>
      <c r="J9" s="30">
        <f t="shared" si="1"/>
        <v>2.825247097697987E-2</v>
      </c>
      <c r="K9" s="30">
        <f t="shared" si="2"/>
        <v>1.5567164316170553E-2</v>
      </c>
      <c r="L9" s="30">
        <f t="shared" si="3"/>
        <v>1.2147654171253009E-2</v>
      </c>
      <c r="M9" s="30">
        <f t="shared" si="4"/>
        <v>1.2685306660809317E-2</v>
      </c>
      <c r="N9" s="27">
        <f t="shared" si="5"/>
        <v>3707264</v>
      </c>
      <c r="O9" s="30">
        <v>16</v>
      </c>
      <c r="P9" s="31">
        <v>24903158</v>
      </c>
      <c r="Q9" s="31">
        <v>778223.6875</v>
      </c>
      <c r="R9" s="31">
        <v>10582.96875</v>
      </c>
      <c r="S9" s="32">
        <v>6728224</v>
      </c>
      <c r="T9" s="32">
        <v>2892920</v>
      </c>
      <c r="U9" s="32">
        <v>814344</v>
      </c>
      <c r="V9" s="32">
        <v>3020960</v>
      </c>
      <c r="W9" s="33">
        <v>71.932043750000005</v>
      </c>
      <c r="X9" s="33">
        <v>75.246165625000003</v>
      </c>
      <c r="Y9" s="33">
        <v>41.135640625000001</v>
      </c>
      <c r="Z9" s="33">
        <v>49.545462499999999</v>
      </c>
      <c r="AA9" s="33">
        <v>49.686587500000002</v>
      </c>
      <c r="AB9" s="34">
        <v>3634.6</v>
      </c>
      <c r="AC9" s="34">
        <v>6503.78</v>
      </c>
      <c r="AD9" s="34">
        <v>55.469000000000001</v>
      </c>
      <c r="AE9" s="34">
        <v>32.457000000000001</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3">
      <c r="A10" s="18"/>
      <c r="B10" s="18" t="s">
        <v>57</v>
      </c>
      <c r="C10" s="19" t="s">
        <v>230</v>
      </c>
      <c r="D10" s="18">
        <v>218121242</v>
      </c>
      <c r="E10" s="19">
        <v>10</v>
      </c>
      <c r="F10" s="19">
        <v>32</v>
      </c>
      <c r="G10" s="19">
        <v>30</v>
      </c>
      <c r="I10" s="20">
        <f t="shared" si="0"/>
        <v>1.9556325000000001</v>
      </c>
      <c r="J10" s="21">
        <f t="shared" si="1"/>
        <v>9.563525225113105E-3</v>
      </c>
      <c r="K10" s="21">
        <f t="shared" si="2"/>
        <v>7.1485747362469172E-3</v>
      </c>
      <c r="L10" s="21">
        <f t="shared" si="3"/>
        <v>4.1104845716952226E-3</v>
      </c>
      <c r="M10" s="21">
        <f t="shared" si="4"/>
        <v>2.4149504888661875E-3</v>
      </c>
      <c r="N10" s="18">
        <f t="shared" si="5"/>
        <v>1559256</v>
      </c>
      <c r="O10" s="21">
        <v>16</v>
      </c>
      <c r="P10" s="22">
        <v>20942558</v>
      </c>
      <c r="Q10" s="22">
        <v>654454.9375</v>
      </c>
      <c r="R10" s="22">
        <v>18943.59375</v>
      </c>
      <c r="S10" s="23">
        <v>2086008</v>
      </c>
      <c r="T10" s="23">
        <v>896584</v>
      </c>
      <c r="U10" s="23">
        <v>662672</v>
      </c>
      <c r="V10" s="23">
        <v>526752</v>
      </c>
      <c r="W10" s="24">
        <v>65.984046875000004</v>
      </c>
      <c r="X10" s="24">
        <v>67.859693750000005</v>
      </c>
      <c r="Y10" s="24">
        <v>31.012543749999999</v>
      </c>
      <c r="Z10" s="24">
        <v>38.769037500000003</v>
      </c>
      <c r="AA10" s="24">
        <v>30.066781249999998</v>
      </c>
      <c r="AB10" s="25">
        <v>3321.51</v>
      </c>
      <c r="AC10" s="25">
        <v>5949.62</v>
      </c>
      <c r="AD10" s="25">
        <v>47.073</v>
      </c>
      <c r="AE10" s="25">
        <v>29.699000000000002</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8" t="e">
        <f t="shared" si="12"/>
        <v>#VALUE!</v>
      </c>
      <c r="BF10" s="26" t="e">
        <f t="shared" si="13"/>
        <v>#DIV/0!</v>
      </c>
      <c r="BG10" s="26" t="e">
        <f t="shared" si="14"/>
        <v>#VALUE!</v>
      </c>
      <c r="BH10" s="26" t="e">
        <f t="array" ref="BH10">AVERAGE(AL10:AL14/AQ10:AQ14) - AVERAGE(N10:N14/S10:S14)</f>
        <v>#VALUE!</v>
      </c>
      <c r="BJ10" s="58" t="str">
        <f>IF( OR(ISBLANK(N10:N14),ISBLANK(AL10:AL14), ISBLANK(W10:W14),ISBLANK(AU10:AU14)), "·", bdRateExtend( N10:N14,W10:W14, AL10:AL14,AU10:AU14))</f>
        <v>·</v>
      </c>
      <c r="BK10" s="58" t="str">
        <f>IF( OR(ISBLANK(N10:N14),ISBLANK(AL10:AL14), ISBLANK(X10:X14),ISBLANK(AV10:AV14)), "·", bdRateExtend( N10:N14,X10:X14, AL10:AL14,AV10:AV14))</f>
        <v>·</v>
      </c>
      <c r="BL10" s="58" t="str">
        <f>IF( OR(ISBLANK(V10:V14),ISBLANK(AT10:AT14), ISBLANK(Y10:Y14),ISBLANK(AW10:AW14)), "·", bdRateExtend( V10:V14,Y10:Y14, AT10:AT14,AW10:AW14))</f>
        <v>·</v>
      </c>
      <c r="BM10" s="58" t="str">
        <f>IF( OR(ISBLANK(V10:V14),ISBLANK(AT10:AT14), ISBLANK(Z10:Z14),ISBLANK(AX10:AX14)), "·", bdRateExtend( V10:V14,Z10:Z14, AT10:AT14,AX10:AX14))</f>
        <v>·</v>
      </c>
      <c r="BN10" s="58" t="str">
        <f>IF( OR(ISBLANK(V10:V14),ISBLANK(AT10:AT14), ISBLANK(AA10:AA14),ISBLANK(AY10:AY14)), "·", bdRateExtend( V10:V14,AA10:AA14, AT10:AT14,AY10:AY14))</f>
        <v>·</v>
      </c>
      <c r="BP10" s="58" t="str">
        <f>IF( OR(ISBLANK(S10:S14),ISBLANK(AQ10:AQ14), ISBLANK(W10:W14),ISBLANK(AU10:AU14)), "·", bdRateExtend( S10:S14,W10:W14, AQ10:AQ14,AU10:AU14))</f>
        <v>·</v>
      </c>
      <c r="BQ10" s="58" t="str">
        <f>IF( OR(ISBLANK(S10:S14),ISBLANK(AQ10:AQ14), ISBLANK(X10:X14),ISBLANK(AV10:AV14)), "·", bdRateExtend( S10:S14,X10:X14, AQ10:AQ14,AV10:AV14))</f>
        <v>·</v>
      </c>
      <c r="BR10" s="58" t="str">
        <f>IF( OR(ISBLANK(S10:S14),ISBLANK(AQ10:AQ14), ISBLANK(Y10:Y14),ISBLANK(AW10:AW14)), "·", bdRateExtend( S10:S14,Y10:Y14, AQ10:AQ14,AW10:AW14))</f>
        <v>·</v>
      </c>
      <c r="BS10" s="58" t="str">
        <f>IF( OR(ISBLANK(S10:S14),ISBLANK(AQ10:AQ14), ISBLANK(Z10:Z14),ISBLANK(AX10:AX14)), "·", bdRateExtend( S10:S14,Z10:Z14, AQ10:AQ14,AX10:AX14))</f>
        <v>·</v>
      </c>
      <c r="BT10" s="58" t="str">
        <f>IF( OR(ISBLANK(S10:S14),ISBLANK(AQ10:AQ14), ISBLANK(AA10:AA14),ISBLANK(AY10:AY14)), "·", bdRateExtend( S10:S14,AA10:AA14, AQ10:AQ14,AY10:AY14))</f>
        <v>·</v>
      </c>
    </row>
    <row r="11" spans="1:72" outlineLevel="1" x14ac:dyDescent="0.3">
      <c r="A11" s="129"/>
      <c r="B11" s="129" t="s">
        <v>57</v>
      </c>
      <c r="C11" s="10" t="s">
        <v>231</v>
      </c>
      <c r="D11" s="129">
        <v>218121242</v>
      </c>
      <c r="E11" s="10">
        <v>10</v>
      </c>
      <c r="F11" s="10">
        <v>32</v>
      </c>
      <c r="G11" s="10">
        <v>30</v>
      </c>
      <c r="I11" s="11">
        <f t="shared" si="0"/>
        <v>2.6788275000000001</v>
      </c>
      <c r="J11" s="12">
        <f t="shared" si="1"/>
        <v>1.3100127130213204E-2</v>
      </c>
      <c r="K11" s="12">
        <f t="shared" si="2"/>
        <v>8.7974558663112684E-3</v>
      </c>
      <c r="L11" s="12">
        <f t="shared" si="3"/>
        <v>5.7593657017595747E-3</v>
      </c>
      <c r="M11" s="12">
        <f t="shared" si="4"/>
        <v>4.302671263901936E-3</v>
      </c>
      <c r="N11" s="129">
        <f t="shared" si="5"/>
        <v>1918912</v>
      </c>
      <c r="O11" s="12">
        <v>16</v>
      </c>
      <c r="P11" s="13">
        <v>22233167</v>
      </c>
      <c r="Q11" s="13">
        <v>694786.46875</v>
      </c>
      <c r="R11" s="13">
        <v>23204.09375</v>
      </c>
      <c r="S11" s="14">
        <v>2857416</v>
      </c>
      <c r="T11" s="14">
        <v>1256240</v>
      </c>
      <c r="U11" s="14">
        <v>662672</v>
      </c>
      <c r="V11" s="14">
        <v>938504</v>
      </c>
      <c r="W11" s="15">
        <v>67.674731249999994</v>
      </c>
      <c r="X11" s="15">
        <v>69.753456249999999</v>
      </c>
      <c r="Y11" s="15">
        <v>32.861965625000003</v>
      </c>
      <c r="Z11" s="15">
        <v>39.685718749999999</v>
      </c>
      <c r="AA11" s="15">
        <v>32.24159375</v>
      </c>
      <c r="AB11" s="16">
        <v>3330.42</v>
      </c>
      <c r="AC11" s="16">
        <v>6386.96</v>
      </c>
      <c r="AD11" s="16">
        <v>49.573</v>
      </c>
      <c r="AE11" s="16">
        <v>30.004000000000001</v>
      </c>
      <c r="AG11" s="11" t="str">
        <f t="shared" si="6"/>
        <v>·</v>
      </c>
      <c r="AH11" s="12" t="str">
        <f t="shared" si="7"/>
        <v>·</v>
      </c>
      <c r="AI11" s="12" t="str">
        <f t="shared" si="8"/>
        <v>·</v>
      </c>
      <c r="AJ11" s="12" t="str">
        <f t="shared" si="9"/>
        <v>·</v>
      </c>
      <c r="AK11" s="12" t="str">
        <f t="shared" si="10"/>
        <v>·</v>
      </c>
      <c r="AL11" s="129" t="str">
        <f t="shared" si="11"/>
        <v/>
      </c>
      <c r="AM11" s="12">
        <v>16</v>
      </c>
      <c r="AN11" s="13"/>
      <c r="AO11" s="13"/>
      <c r="AP11" s="13"/>
      <c r="AQ11" s="14"/>
      <c r="AR11" s="14"/>
      <c r="AS11" s="14"/>
      <c r="AT11" s="14"/>
      <c r="AU11" s="15"/>
      <c r="AV11" s="15"/>
      <c r="AW11" s="15"/>
      <c r="AX11" s="15"/>
      <c r="AY11" s="15"/>
      <c r="AZ11" s="16"/>
      <c r="BA11" s="16"/>
      <c r="BB11" s="16"/>
      <c r="BC11" s="16"/>
      <c r="BE11" s="62" t="e">
        <f t="shared" si="12"/>
        <v>#VALUE!</v>
      </c>
      <c r="BF11" s="17" t="e">
        <f t="shared" si="13"/>
        <v>#DIV/0!</v>
      </c>
      <c r="BG11" s="17" t="e">
        <f t="shared" si="14"/>
        <v>#VALUE!</v>
      </c>
      <c r="BH11" s="17"/>
      <c r="BJ11" s="62"/>
      <c r="BK11" s="62"/>
      <c r="BL11" s="62"/>
      <c r="BM11" s="62"/>
      <c r="BN11" s="62"/>
      <c r="BP11" s="62"/>
      <c r="BQ11" s="62"/>
      <c r="BR11" s="62"/>
      <c r="BS11" s="62"/>
      <c r="BT11" s="62"/>
    </row>
    <row r="12" spans="1:72" outlineLevel="1" x14ac:dyDescent="0.3">
      <c r="A12" s="18"/>
      <c r="B12" s="18" t="s">
        <v>57</v>
      </c>
      <c r="C12" s="19" t="s">
        <v>232</v>
      </c>
      <c r="D12" s="18">
        <v>218121242</v>
      </c>
      <c r="E12" s="19">
        <v>10</v>
      </c>
      <c r="F12" s="19">
        <v>32</v>
      </c>
      <c r="G12" s="19">
        <v>30</v>
      </c>
      <c r="I12" s="20">
        <f t="shared" si="0"/>
        <v>3.8283675000000001</v>
      </c>
      <c r="J12" s="21">
        <f t="shared" si="1"/>
        <v>1.8721661230958881E-2</v>
      </c>
      <c r="K12" s="21">
        <f t="shared" si="2"/>
        <v>1.1315174887918528E-2</v>
      </c>
      <c r="L12" s="21">
        <f t="shared" si="3"/>
        <v>8.2770847233668322E-3</v>
      </c>
      <c r="M12" s="21">
        <f t="shared" si="4"/>
        <v>7.4064863430403534E-3</v>
      </c>
      <c r="N12" s="18">
        <f t="shared" si="5"/>
        <v>2468080</v>
      </c>
      <c r="O12" s="21">
        <v>16</v>
      </c>
      <c r="P12" s="22">
        <v>22569901</v>
      </c>
      <c r="Q12" s="22">
        <v>705309.40625</v>
      </c>
      <c r="R12" s="22">
        <v>24721.9375</v>
      </c>
      <c r="S12" s="23">
        <v>4083592</v>
      </c>
      <c r="T12" s="23">
        <v>1805408</v>
      </c>
      <c r="U12" s="23">
        <v>662672</v>
      </c>
      <c r="V12" s="23">
        <v>1615512</v>
      </c>
      <c r="W12" s="24">
        <v>69.009450000000001</v>
      </c>
      <c r="X12" s="24">
        <v>71.379971874999995</v>
      </c>
      <c r="Y12" s="24">
        <v>34.860587500000001</v>
      </c>
      <c r="Z12" s="24">
        <v>40.655971874999999</v>
      </c>
      <c r="AA12" s="24">
        <v>34.140081250000001</v>
      </c>
      <c r="AB12" s="25">
        <v>3328.78</v>
      </c>
      <c r="AC12" s="25">
        <v>6784.05</v>
      </c>
      <c r="AD12" s="25">
        <v>50.33</v>
      </c>
      <c r="AE12" s="25">
        <v>31.085000000000001</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8" t="e">
        <f t="shared" si="12"/>
        <v>#VALUE!</v>
      </c>
      <c r="BF12" s="26" t="e">
        <f t="shared" si="13"/>
        <v>#DIV/0!</v>
      </c>
      <c r="BG12" s="26" t="e">
        <f t="shared" si="14"/>
        <v>#VALUE!</v>
      </c>
      <c r="BH12" s="26"/>
      <c r="BJ12" s="58"/>
      <c r="BK12" s="58"/>
      <c r="BL12" s="58"/>
      <c r="BM12" s="58"/>
      <c r="BN12" s="58"/>
      <c r="BP12" s="58"/>
      <c r="BQ12" s="58"/>
      <c r="BR12" s="58"/>
      <c r="BS12" s="58"/>
      <c r="BT12" s="58"/>
    </row>
    <row r="13" spans="1:72" outlineLevel="1" x14ac:dyDescent="0.3">
      <c r="A13" s="129"/>
      <c r="B13" s="129" t="s">
        <v>57</v>
      </c>
      <c r="C13" s="10" t="s">
        <v>233</v>
      </c>
      <c r="D13" s="129">
        <v>218121242</v>
      </c>
      <c r="E13" s="10">
        <v>10</v>
      </c>
      <c r="F13" s="10">
        <v>32</v>
      </c>
      <c r="G13" s="10">
        <v>30</v>
      </c>
      <c r="I13" s="11">
        <f t="shared" si="0"/>
        <v>6.1840425000000003</v>
      </c>
      <c r="J13" s="12">
        <f t="shared" si="1"/>
        <v>3.0241492939967765E-2</v>
      </c>
      <c r="K13" s="12">
        <f t="shared" si="2"/>
        <v>1.5817588275056676E-2</v>
      </c>
      <c r="L13" s="12">
        <f t="shared" si="3"/>
        <v>1.2779498110504982E-2</v>
      </c>
      <c r="M13" s="12">
        <f t="shared" si="4"/>
        <v>1.4423904664911086E-2</v>
      </c>
      <c r="N13" s="129">
        <f t="shared" si="5"/>
        <v>3450152</v>
      </c>
      <c r="O13" s="12">
        <v>16</v>
      </c>
      <c r="P13" s="13">
        <v>23308443</v>
      </c>
      <c r="Q13" s="13">
        <v>728388.84375</v>
      </c>
      <c r="R13" s="13">
        <v>27991.21875</v>
      </c>
      <c r="S13" s="14">
        <v>6596312</v>
      </c>
      <c r="T13" s="14">
        <v>2787480</v>
      </c>
      <c r="U13" s="14">
        <v>662672</v>
      </c>
      <c r="V13" s="14">
        <v>3146160</v>
      </c>
      <c r="W13" s="15">
        <v>70.060287500000001</v>
      </c>
      <c r="X13" s="15">
        <v>72.567171875</v>
      </c>
      <c r="Y13" s="15">
        <v>37.05066875</v>
      </c>
      <c r="Z13" s="15">
        <v>41.679996875000001</v>
      </c>
      <c r="AA13" s="15">
        <v>36.076628124999999</v>
      </c>
      <c r="AB13" s="16">
        <v>3321.92</v>
      </c>
      <c r="AC13" s="16">
        <v>7276.5</v>
      </c>
      <c r="AD13" s="16">
        <v>52.243000000000002</v>
      </c>
      <c r="AE13" s="16">
        <v>31.945</v>
      </c>
      <c r="AG13" s="11" t="str">
        <f t="shared" si="6"/>
        <v>·</v>
      </c>
      <c r="AH13" s="12" t="str">
        <f t="shared" si="7"/>
        <v>·</v>
      </c>
      <c r="AI13" s="12" t="str">
        <f t="shared" si="8"/>
        <v>·</v>
      </c>
      <c r="AJ13" s="12" t="str">
        <f t="shared" si="9"/>
        <v>·</v>
      </c>
      <c r="AK13" s="12" t="str">
        <f t="shared" si="10"/>
        <v>·</v>
      </c>
      <c r="AL13" s="129" t="str">
        <f t="shared" si="11"/>
        <v/>
      </c>
      <c r="AM13" s="12">
        <v>16</v>
      </c>
      <c r="AN13" s="13"/>
      <c r="AO13" s="13"/>
      <c r="AP13" s="13"/>
      <c r="AQ13" s="14"/>
      <c r="AR13" s="14"/>
      <c r="AS13" s="14"/>
      <c r="AT13" s="14"/>
      <c r="AU13" s="15"/>
      <c r="AV13" s="15"/>
      <c r="AW13" s="15"/>
      <c r="AX13" s="15"/>
      <c r="AY13" s="15"/>
      <c r="AZ13" s="16"/>
      <c r="BA13" s="16"/>
      <c r="BB13" s="16"/>
      <c r="BC13" s="16"/>
      <c r="BE13" s="62" t="e">
        <f t="shared" si="12"/>
        <v>#VALUE!</v>
      </c>
      <c r="BF13" s="17" t="e">
        <f t="shared" si="13"/>
        <v>#DIV/0!</v>
      </c>
      <c r="BG13" s="17" t="e">
        <f t="shared" si="14"/>
        <v>#VALUE!</v>
      </c>
      <c r="BH13" s="17"/>
      <c r="BJ13" s="62"/>
      <c r="BK13" s="62"/>
      <c r="BL13" s="62"/>
      <c r="BM13" s="62"/>
      <c r="BN13" s="62"/>
      <c r="BP13" s="62"/>
      <c r="BQ13" s="62"/>
      <c r="BR13" s="62"/>
      <c r="BS13" s="62"/>
      <c r="BT13" s="62"/>
    </row>
    <row r="14" spans="1:72" outlineLevel="1" x14ac:dyDescent="0.3">
      <c r="A14" s="18"/>
      <c r="B14" s="37" t="s">
        <v>57</v>
      </c>
      <c r="C14" s="38" t="s">
        <v>234</v>
      </c>
      <c r="D14" s="37">
        <v>218121242</v>
      </c>
      <c r="E14" s="38">
        <v>10</v>
      </c>
      <c r="F14" s="38">
        <v>32</v>
      </c>
      <c r="G14" s="38">
        <v>30</v>
      </c>
      <c r="I14" s="39">
        <f t="shared" si="0"/>
        <v>12.2196</v>
      </c>
      <c r="J14" s="40">
        <f t="shared" si="1"/>
        <v>5.9756857610411003E-2</v>
      </c>
      <c r="K14" s="40">
        <f t="shared" si="2"/>
        <v>2.6721835739409554E-2</v>
      </c>
      <c r="L14" s="40">
        <f t="shared" si="3"/>
        <v>2.0741492018461916E-2</v>
      </c>
      <c r="M14" s="40">
        <f t="shared" si="4"/>
        <v>3.3035021871001449E-2</v>
      </c>
      <c r="N14" s="37">
        <f t="shared" si="5"/>
        <v>5828600</v>
      </c>
      <c r="O14" s="40">
        <v>16</v>
      </c>
      <c r="P14" s="41">
        <v>22150010</v>
      </c>
      <c r="Q14" s="41">
        <v>692187.8125</v>
      </c>
      <c r="R14" s="41">
        <v>13331.5625</v>
      </c>
      <c r="S14" s="42">
        <v>13034240</v>
      </c>
      <c r="T14" s="42">
        <v>4524160</v>
      </c>
      <c r="U14" s="42">
        <v>1304440</v>
      </c>
      <c r="V14" s="42">
        <v>7205640</v>
      </c>
      <c r="W14" s="43">
        <v>70.920671874999996</v>
      </c>
      <c r="X14" s="43">
        <v>74.632662499999995</v>
      </c>
      <c r="Y14" s="43">
        <v>39.477800000000002</v>
      </c>
      <c r="Z14" s="43">
        <v>42.980525</v>
      </c>
      <c r="AA14" s="43">
        <v>38.260321875000002</v>
      </c>
      <c r="AB14" s="44">
        <v>3305.76</v>
      </c>
      <c r="AC14" s="44">
        <v>8053.31</v>
      </c>
      <c r="AD14" s="44">
        <v>49.317</v>
      </c>
      <c r="AE14" s="44">
        <v>34.054000000000002</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3">
      <c r="A15" s="129"/>
      <c r="B15" s="129" t="s">
        <v>62</v>
      </c>
      <c r="C15" s="10" t="s">
        <v>230</v>
      </c>
      <c r="D15" s="129">
        <v>322589704</v>
      </c>
      <c r="E15" s="10">
        <v>10</v>
      </c>
      <c r="F15" s="10">
        <v>32</v>
      </c>
      <c r="G15" s="10">
        <v>30</v>
      </c>
      <c r="I15" s="11">
        <f t="shared" si="0"/>
        <v>1.6117649999999999</v>
      </c>
      <c r="J15" s="12">
        <f t="shared" si="1"/>
        <v>5.3294199370975586E-3</v>
      </c>
      <c r="K15" s="12">
        <f t="shared" si="2"/>
        <v>4.4771670704034624E-3</v>
      </c>
      <c r="L15" s="12">
        <f t="shared" si="3"/>
        <v>2.3656551667253461E-3</v>
      </c>
      <c r="M15" s="12">
        <f t="shared" si="4"/>
        <v>8.5225286669409633E-4</v>
      </c>
      <c r="N15" s="129">
        <f t="shared" si="5"/>
        <v>1444288</v>
      </c>
      <c r="O15" s="12">
        <v>16</v>
      </c>
      <c r="P15" s="13">
        <v>32415907</v>
      </c>
      <c r="Q15" s="13">
        <v>1012997.09375</v>
      </c>
      <c r="R15" s="13">
        <v>32038.09375</v>
      </c>
      <c r="S15" s="14">
        <v>1719216</v>
      </c>
      <c r="T15" s="14">
        <v>763136</v>
      </c>
      <c r="U15" s="14">
        <v>681152</v>
      </c>
      <c r="V15" s="14">
        <v>274928</v>
      </c>
      <c r="W15" s="15">
        <v>66.298768749999994</v>
      </c>
      <c r="X15" s="15">
        <v>67.850190624999996</v>
      </c>
      <c r="Y15" s="15">
        <v>29.251728125</v>
      </c>
      <c r="Z15" s="15">
        <v>43.4881125</v>
      </c>
      <c r="AA15" s="15">
        <v>43.716256250000001</v>
      </c>
      <c r="AB15" s="16">
        <v>4767.22</v>
      </c>
      <c r="AC15" s="16">
        <v>4723.92</v>
      </c>
      <c r="AD15" s="16">
        <v>72.027000000000001</v>
      </c>
      <c r="AE15" s="16">
        <v>27.181000000000001</v>
      </c>
      <c r="AG15" s="11" t="str">
        <f t="shared" si="6"/>
        <v>·</v>
      </c>
      <c r="AH15" s="12" t="str">
        <f t="shared" si="7"/>
        <v>·</v>
      </c>
      <c r="AI15" s="12" t="str">
        <f t="shared" si="8"/>
        <v>·</v>
      </c>
      <c r="AJ15" s="12" t="str">
        <f t="shared" si="9"/>
        <v>·</v>
      </c>
      <c r="AK15" s="12" t="str">
        <f t="shared" si="10"/>
        <v>·</v>
      </c>
      <c r="AL15" s="129" t="str">
        <f t="shared" si="11"/>
        <v/>
      </c>
      <c r="AM15" s="12">
        <v>16</v>
      </c>
      <c r="AN15" s="13"/>
      <c r="AO15" s="13"/>
      <c r="AP15" s="13"/>
      <c r="AQ15" s="14"/>
      <c r="AR15" s="14"/>
      <c r="AS15" s="14"/>
      <c r="AT15" s="14"/>
      <c r="AU15" s="15"/>
      <c r="AV15" s="15"/>
      <c r="AW15" s="15"/>
      <c r="AX15" s="15"/>
      <c r="AY15" s="15"/>
      <c r="AZ15" s="16"/>
      <c r="BA15" s="16"/>
      <c r="BB15" s="16"/>
      <c r="BC15" s="16"/>
      <c r="BE15" s="62" t="e">
        <f t="shared" si="12"/>
        <v>#VALUE!</v>
      </c>
      <c r="BF15" s="17" t="e">
        <f t="shared" si="13"/>
        <v>#DIV/0!</v>
      </c>
      <c r="BG15" s="17" t="e">
        <f t="shared" si="14"/>
        <v>#VALUE!</v>
      </c>
      <c r="BH15" s="17" t="e">
        <f t="array" ref="BH15">AVERAGE(AL15:AL19/AQ15:AQ19) - AVERAGE(N15:N19/S15:S19)</f>
        <v>#VALUE!</v>
      </c>
      <c r="BJ15" s="62" t="str">
        <f>IF( OR(ISBLANK(N15:N19),ISBLANK(AL15:AL19), ISBLANK(W15:W19),ISBLANK(AU15:AU19)), "·", bdRateExtend( N15:N19,W15:W19, AL15:AL19,AU15:AU19))</f>
        <v>·</v>
      </c>
      <c r="BK15" s="62" t="str">
        <f>IF( OR(ISBLANK(N15:N19),ISBLANK(AL15:AL19), ISBLANK(X15:X19),ISBLANK(AV15:AV19)), "·", bdRateExtend( N15:N19,X15:X19, AL15:AL19,AV15:AV19))</f>
        <v>·</v>
      </c>
      <c r="BL15" s="62" t="str">
        <f>IF( OR(ISBLANK(V15:V19),ISBLANK(AT15:AT19), ISBLANK(Y15:Y19),ISBLANK(AW15:AW19)), "·", bdRateExtend( V15:V19,Y15:Y19, AT15:AT19,AW15:AW19))</f>
        <v>·</v>
      </c>
      <c r="BM15" s="62" t="str">
        <f>IF( OR(ISBLANK(V15:V19),ISBLANK(AT15:AT19), ISBLANK(Z15:Z19),ISBLANK(AX15:AX19)), "·", bdRateExtend( V15:V19,Z15:Z19, AT15:AT19,AX15:AX19))</f>
        <v>·</v>
      </c>
      <c r="BN15" s="62" t="str">
        <f>IF( OR(ISBLANK(V15:V19),ISBLANK(AT15:AT19), ISBLANK(AA15:AA19),ISBLANK(AY15:AY19)), "·", bdRateExtend( V15:V19,AA15:AA19, AT15:AT19,AY15:AY19))</f>
        <v>·</v>
      </c>
      <c r="BP15" s="62" t="str">
        <f>IF( OR(ISBLANK(S15:S19),ISBLANK(AQ15:AQ19), ISBLANK(W15:W19),ISBLANK(AU15:AU19)), "·", bdRateExtend( S15:S19,W15:W19, AQ15:AQ19,AU15:AU19))</f>
        <v>·</v>
      </c>
      <c r="BQ15" s="62" t="str">
        <f>IF( OR(ISBLANK(S15:S19),ISBLANK(AQ15:AQ19), ISBLANK(X15:X19),ISBLANK(AV15:AV19)), "·", bdRateExtend( S15:S19,X15:X19, AQ15:AQ19,AV15:AV19))</f>
        <v>·</v>
      </c>
      <c r="BR15" s="62" t="str">
        <f>IF( OR(ISBLANK(S15:S19),ISBLANK(AQ15:AQ19), ISBLANK(Y15:Y19),ISBLANK(AW15:AW19)), "·", bdRateExtend( S15:S19,Y15:Y19, AQ15:AQ19,AW15:AW19))</f>
        <v>·</v>
      </c>
      <c r="BS15" s="62" t="str">
        <f>IF( OR(ISBLANK(S15:S19),ISBLANK(AQ15:AQ19), ISBLANK(Z15:Z19),ISBLANK(AX15:AX19)), "·", bdRateExtend( S15:S19,Z15:Z19, AQ15:AQ19,AX15:AX19))</f>
        <v>·</v>
      </c>
      <c r="BT15" s="62" t="str">
        <f>IF( OR(ISBLANK(S15:S19),ISBLANK(AQ15:AQ19), ISBLANK(AA15:AA19),ISBLANK(AY15:AY19)), "·", bdRateExtend( S15:S19,AA15:AA19, AQ15:AQ19,AY15:AY19))</f>
        <v>·</v>
      </c>
    </row>
    <row r="16" spans="1:72" outlineLevel="1" x14ac:dyDescent="0.3">
      <c r="A16" s="18"/>
      <c r="B16" s="18" t="s">
        <v>62</v>
      </c>
      <c r="C16" s="19" t="s">
        <v>231</v>
      </c>
      <c r="D16" s="18">
        <v>322589704</v>
      </c>
      <c r="E16" s="19">
        <v>10</v>
      </c>
      <c r="F16" s="19">
        <v>32</v>
      </c>
      <c r="G16" s="19">
        <v>30</v>
      </c>
      <c r="I16" s="20">
        <f t="shared" si="0"/>
        <v>2.1144150000000002</v>
      </c>
      <c r="J16" s="21">
        <f t="shared" si="1"/>
        <v>6.9914692627635749E-3</v>
      </c>
      <c r="K16" s="21">
        <f t="shared" si="2"/>
        <v>5.4074881447549236E-3</v>
      </c>
      <c r="L16" s="21">
        <f t="shared" si="3"/>
        <v>3.2959762410768078E-3</v>
      </c>
      <c r="M16" s="21">
        <f t="shared" si="4"/>
        <v>1.5839811180086516E-3</v>
      </c>
      <c r="N16" s="18">
        <f t="shared" si="5"/>
        <v>1744400</v>
      </c>
      <c r="O16" s="21">
        <v>16</v>
      </c>
      <c r="P16" s="22">
        <v>33874164</v>
      </c>
      <c r="Q16" s="22">
        <v>1058567.625</v>
      </c>
      <c r="R16" s="22">
        <v>36864.21875</v>
      </c>
      <c r="S16" s="23">
        <v>2255376</v>
      </c>
      <c r="T16" s="23">
        <v>1063248</v>
      </c>
      <c r="U16" s="23">
        <v>681152</v>
      </c>
      <c r="V16" s="23">
        <v>510976</v>
      </c>
      <c r="W16" s="24">
        <v>68.029634375000001</v>
      </c>
      <c r="X16" s="24">
        <v>70.006815625000002</v>
      </c>
      <c r="Y16" s="24">
        <v>31.568781250000001</v>
      </c>
      <c r="Z16" s="24">
        <v>44.070134375000002</v>
      </c>
      <c r="AA16" s="24">
        <v>44.4230625</v>
      </c>
      <c r="AB16" s="25">
        <v>4760.72</v>
      </c>
      <c r="AC16" s="25">
        <v>5027.8500000000004</v>
      </c>
      <c r="AD16" s="25">
        <v>75.435000000000002</v>
      </c>
      <c r="AE16" s="25">
        <v>27.523</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8" t="e">
        <f t="shared" si="12"/>
        <v>#VALUE!</v>
      </c>
      <c r="BF16" s="26" t="e">
        <f t="shared" si="13"/>
        <v>#DIV/0!</v>
      </c>
      <c r="BG16" s="26" t="e">
        <f t="shared" si="14"/>
        <v>#VALUE!</v>
      </c>
      <c r="BH16" s="26"/>
      <c r="BJ16" s="58"/>
      <c r="BK16" s="58"/>
      <c r="BL16" s="58"/>
      <c r="BM16" s="58"/>
      <c r="BN16" s="58"/>
      <c r="BP16" s="58"/>
      <c r="BQ16" s="58"/>
      <c r="BR16" s="58"/>
      <c r="BS16" s="58"/>
      <c r="BT16" s="58"/>
    </row>
    <row r="17" spans="1:72" outlineLevel="1" x14ac:dyDescent="0.3">
      <c r="A17" s="129"/>
      <c r="B17" s="129" t="s">
        <v>62</v>
      </c>
      <c r="C17" s="10" t="s">
        <v>232</v>
      </c>
      <c r="D17" s="129">
        <v>322589704</v>
      </c>
      <c r="E17" s="10">
        <v>10</v>
      </c>
      <c r="F17" s="10">
        <v>32</v>
      </c>
      <c r="G17" s="10">
        <v>30</v>
      </c>
      <c r="I17" s="11">
        <f t="shared" si="0"/>
        <v>2.9846699999999999</v>
      </c>
      <c r="J17" s="12">
        <f t="shared" si="1"/>
        <v>9.8690316539054822E-3</v>
      </c>
      <c r="K17" s="12">
        <f t="shared" si="2"/>
        <v>6.612238312478814E-3</v>
      </c>
      <c r="L17" s="12">
        <f t="shared" si="3"/>
        <v>4.5007264088006973E-3</v>
      </c>
      <c r="M17" s="12">
        <f t="shared" si="4"/>
        <v>3.2567933414266686E-3</v>
      </c>
      <c r="N17" s="129">
        <f t="shared" si="5"/>
        <v>2133040</v>
      </c>
      <c r="O17" s="12">
        <v>16</v>
      </c>
      <c r="P17" s="13">
        <v>33778649</v>
      </c>
      <c r="Q17" s="13">
        <v>1055582.78125</v>
      </c>
      <c r="R17" s="13">
        <v>37421.1875</v>
      </c>
      <c r="S17" s="14">
        <v>3183648</v>
      </c>
      <c r="T17" s="14">
        <v>1451888</v>
      </c>
      <c r="U17" s="14">
        <v>681152</v>
      </c>
      <c r="V17" s="14">
        <v>1050608</v>
      </c>
      <c r="W17" s="15">
        <v>69.351503124999994</v>
      </c>
      <c r="X17" s="15">
        <v>71.840315625000002</v>
      </c>
      <c r="Y17" s="15">
        <v>33.95168125</v>
      </c>
      <c r="Z17" s="15">
        <v>45.159981250000001</v>
      </c>
      <c r="AA17" s="15">
        <v>45.5388375</v>
      </c>
      <c r="AB17" s="16">
        <v>4784.72</v>
      </c>
      <c r="AC17" s="16">
        <v>5371.38</v>
      </c>
      <c r="AD17" s="16">
        <v>74.966999999999999</v>
      </c>
      <c r="AE17" s="16">
        <v>28.356999999999999</v>
      </c>
      <c r="AG17" s="11" t="str">
        <f t="shared" si="6"/>
        <v>·</v>
      </c>
      <c r="AH17" s="12" t="str">
        <f t="shared" si="7"/>
        <v>·</v>
      </c>
      <c r="AI17" s="12" t="str">
        <f t="shared" si="8"/>
        <v>·</v>
      </c>
      <c r="AJ17" s="12" t="str">
        <f t="shared" si="9"/>
        <v>·</v>
      </c>
      <c r="AK17" s="12" t="str">
        <f t="shared" si="10"/>
        <v>·</v>
      </c>
      <c r="AL17" s="129" t="str">
        <f t="shared" si="11"/>
        <v/>
      </c>
      <c r="AM17" s="12">
        <v>16</v>
      </c>
      <c r="AN17" s="13"/>
      <c r="AO17" s="13"/>
      <c r="AP17" s="13"/>
      <c r="AQ17" s="14"/>
      <c r="AR17" s="14"/>
      <c r="AS17" s="14"/>
      <c r="AT17" s="14"/>
      <c r="AU17" s="15"/>
      <c r="AV17" s="15"/>
      <c r="AW17" s="15"/>
      <c r="AX17" s="15"/>
      <c r="AY17" s="15"/>
      <c r="AZ17" s="16"/>
      <c r="BA17" s="16"/>
      <c r="BB17" s="16"/>
      <c r="BC17" s="16"/>
      <c r="BE17" s="62" t="e">
        <f t="shared" si="12"/>
        <v>#VALUE!</v>
      </c>
      <c r="BF17" s="17" t="e">
        <f t="shared" si="13"/>
        <v>#DIV/0!</v>
      </c>
      <c r="BG17" s="17" t="e">
        <f t="shared" si="14"/>
        <v>#VALUE!</v>
      </c>
      <c r="BH17" s="17"/>
      <c r="BJ17" s="62"/>
      <c r="BK17" s="62"/>
      <c r="BL17" s="62"/>
      <c r="BM17" s="62"/>
      <c r="BN17" s="62"/>
      <c r="BP17" s="62"/>
      <c r="BQ17" s="62"/>
      <c r="BR17" s="62"/>
      <c r="BS17" s="62"/>
      <c r="BT17" s="62"/>
    </row>
    <row r="18" spans="1:72" outlineLevel="1" x14ac:dyDescent="0.3">
      <c r="A18" s="18"/>
      <c r="B18" s="18" t="s">
        <v>62</v>
      </c>
      <c r="C18" s="19" t="s">
        <v>233</v>
      </c>
      <c r="D18" s="18">
        <v>322589704</v>
      </c>
      <c r="E18" s="19">
        <v>10</v>
      </c>
      <c r="F18" s="19">
        <v>32</v>
      </c>
      <c r="G18" s="19">
        <v>30</v>
      </c>
      <c r="I18" s="20">
        <f t="shared" si="0"/>
        <v>5.2616025000000004</v>
      </c>
      <c r="J18" s="21">
        <f t="shared" si="1"/>
        <v>1.739787702585821E-2</v>
      </c>
      <c r="K18" s="21">
        <f t="shared" si="2"/>
        <v>9.8743387048707536E-3</v>
      </c>
      <c r="L18" s="21">
        <f t="shared" si="3"/>
        <v>7.7628268011926379E-3</v>
      </c>
      <c r="M18" s="21">
        <f t="shared" si="4"/>
        <v>7.5235383209874551E-3</v>
      </c>
      <c r="N18" s="18">
        <f t="shared" si="5"/>
        <v>3185360</v>
      </c>
      <c r="O18" s="21">
        <v>16</v>
      </c>
      <c r="P18" s="22">
        <v>34914325</v>
      </c>
      <c r="Q18" s="22">
        <v>1091072.65625</v>
      </c>
      <c r="R18" s="22">
        <v>41603.21875</v>
      </c>
      <c r="S18" s="23">
        <v>5612376</v>
      </c>
      <c r="T18" s="23">
        <v>2504208</v>
      </c>
      <c r="U18" s="23">
        <v>681152</v>
      </c>
      <c r="V18" s="23">
        <v>2427016</v>
      </c>
      <c r="W18" s="24">
        <v>70.529849999999996</v>
      </c>
      <c r="X18" s="24">
        <v>73.133384375000006</v>
      </c>
      <c r="Y18" s="24">
        <v>36.284100000000002</v>
      </c>
      <c r="Z18" s="24">
        <v>46.412684374999998</v>
      </c>
      <c r="AA18" s="24">
        <v>47.006612500000003</v>
      </c>
      <c r="AB18" s="25">
        <v>4779.3</v>
      </c>
      <c r="AC18" s="25">
        <v>5922.99</v>
      </c>
      <c r="AD18" s="25">
        <v>77.602000000000004</v>
      </c>
      <c r="AE18" s="25">
        <v>29.067</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8" t="e">
        <f t="shared" si="12"/>
        <v>#VALUE!</v>
      </c>
      <c r="BF18" s="26" t="e">
        <f t="shared" si="13"/>
        <v>#DIV/0!</v>
      </c>
      <c r="BG18" s="26" t="e">
        <f t="shared" si="14"/>
        <v>#VALUE!</v>
      </c>
      <c r="BH18" s="26"/>
      <c r="BJ18" s="58"/>
      <c r="BK18" s="58"/>
      <c r="BL18" s="58"/>
      <c r="BM18" s="58"/>
      <c r="BN18" s="58"/>
      <c r="BP18" s="58"/>
      <c r="BQ18" s="58"/>
      <c r="BR18" s="58"/>
      <c r="BS18" s="58"/>
      <c r="BT18" s="58"/>
    </row>
    <row r="19" spans="1:72" outlineLevel="1" x14ac:dyDescent="0.3">
      <c r="A19" s="129"/>
      <c r="B19" s="27" t="s">
        <v>62</v>
      </c>
      <c r="C19" s="28" t="s">
        <v>234</v>
      </c>
      <c r="D19" s="27">
        <v>322589704</v>
      </c>
      <c r="E19" s="28">
        <v>10</v>
      </c>
      <c r="F19" s="28">
        <v>32</v>
      </c>
      <c r="G19" s="28">
        <v>30</v>
      </c>
      <c r="I19" s="29">
        <f t="shared" si="0"/>
        <v>11.39982</v>
      </c>
      <c r="J19" s="30">
        <f t="shared" si="1"/>
        <v>3.7694346252290803E-2</v>
      </c>
      <c r="K19" s="30">
        <f t="shared" si="2"/>
        <v>1.7401026537412365E-2</v>
      </c>
      <c r="L19" s="30">
        <f t="shared" si="3"/>
        <v>1.2811841012755943E-2</v>
      </c>
      <c r="M19" s="30">
        <f t="shared" si="4"/>
        <v>2.0293319714878438E-2</v>
      </c>
      <c r="N19" s="27">
        <f t="shared" si="5"/>
        <v>5613392</v>
      </c>
      <c r="O19" s="30">
        <v>16</v>
      </c>
      <c r="P19" s="31">
        <v>33019287</v>
      </c>
      <c r="Q19" s="31">
        <v>1031852.71875</v>
      </c>
      <c r="R19" s="31">
        <v>17790.15625</v>
      </c>
      <c r="S19" s="32">
        <v>12159808</v>
      </c>
      <c r="T19" s="32">
        <v>4132968</v>
      </c>
      <c r="U19" s="32">
        <v>1480424</v>
      </c>
      <c r="V19" s="32">
        <v>6546416</v>
      </c>
      <c r="W19" s="33">
        <v>71.185568750000002</v>
      </c>
      <c r="X19" s="33">
        <v>75.071018749999993</v>
      </c>
      <c r="Y19" s="33">
        <v>38.708165624999999</v>
      </c>
      <c r="Z19" s="33">
        <v>48.191471874999998</v>
      </c>
      <c r="AA19" s="33">
        <v>48.813737500000002</v>
      </c>
      <c r="AB19" s="34">
        <v>4746.1099999999997</v>
      </c>
      <c r="AC19" s="34">
        <v>6787.02</v>
      </c>
      <c r="AD19" s="34">
        <v>72.498999999999995</v>
      </c>
      <c r="AE19" s="34">
        <v>31.446999999999999</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32</v>
      </c>
      <c r="G20" s="19">
        <v>50</v>
      </c>
      <c r="I20" s="20">
        <f t="shared" si="0"/>
        <v>1.9764375000000001</v>
      </c>
      <c r="J20" s="21">
        <f t="shared" si="1"/>
        <v>5.0475076123523248E-3</v>
      </c>
      <c r="K20" s="21">
        <f t="shared" si="2"/>
        <v>3.9314470637930509E-3</v>
      </c>
      <c r="L20" s="21">
        <f t="shared" si="3"/>
        <v>2.2980102013268476E-3</v>
      </c>
      <c r="M20" s="21">
        <f t="shared" si="4"/>
        <v>1.1160605485592743E-3</v>
      </c>
      <c r="N20" s="18">
        <f t="shared" si="5"/>
        <v>985232</v>
      </c>
      <c r="O20" s="21">
        <v>16</v>
      </c>
      <c r="P20" s="22">
        <v>30379563</v>
      </c>
      <c r="Q20" s="22">
        <v>949361.34375</v>
      </c>
      <c r="R20" s="22">
        <v>28806.71875</v>
      </c>
      <c r="S20" s="23">
        <v>1264920</v>
      </c>
      <c r="T20" s="23">
        <v>575888</v>
      </c>
      <c r="U20" s="23">
        <v>409344</v>
      </c>
      <c r="V20" s="23">
        <v>279688</v>
      </c>
      <c r="W20" s="24">
        <v>67.248237500000002</v>
      </c>
      <c r="X20" s="24">
        <v>68.985434374999997</v>
      </c>
      <c r="Y20" s="24">
        <v>30.074031250000001</v>
      </c>
      <c r="Z20" s="24">
        <v>39.563031250000002</v>
      </c>
      <c r="AA20" s="24">
        <v>38.099803125000001</v>
      </c>
      <c r="AB20" s="25">
        <v>4665.2700000000004</v>
      </c>
      <c r="AC20" s="25">
        <v>4945.82</v>
      </c>
      <c r="AD20" s="25">
        <v>68.126999999999995</v>
      </c>
      <c r="AE20" s="25">
        <v>28.710999999999999</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8" t="e">
        <f t="shared" si="12"/>
        <v>#VALUE!</v>
      </c>
      <c r="BF20" s="26" t="e">
        <f t="shared" si="13"/>
        <v>#DIV/0!</v>
      </c>
      <c r="BG20" s="26" t="e">
        <f t="shared" si="14"/>
        <v>#VALUE!</v>
      </c>
      <c r="BH20" s="26" t="e">
        <f t="array" ref="BH20">AVERAGE(AL20:AL24/AQ20:AQ24) - AVERAGE(N20:N24/S20:S24)</f>
        <v>#VALUE!</v>
      </c>
      <c r="BJ20" s="58" t="str">
        <f>IF( OR(ISBLANK(N20:N24),ISBLANK(AL20:AL24), ISBLANK(W20:W24),ISBLANK(AU20:AU24)), "·", bdRateExtend( N20:N24,W20:W24, AL20:AL24,AU20:AU24))</f>
        <v>·</v>
      </c>
      <c r="BK20" s="58" t="str">
        <f>IF( OR(ISBLANK(N20:N24),ISBLANK(AL20:AL24), ISBLANK(X20:X24),ISBLANK(AV20:AV24)), "·", bdRateExtend( N20:N24,X20:X24, AL20:AL24,AV20:AV24))</f>
        <v>·</v>
      </c>
      <c r="BL20" s="58" t="str">
        <f>IF( OR(ISBLANK(V20:V24),ISBLANK(AT20:AT24), ISBLANK(Y20:Y24),ISBLANK(AW20:AW24)), "·", bdRateExtend( V20:V24,Y20:Y24, AT20:AT24,AW20:AW24))</f>
        <v>·</v>
      </c>
      <c r="BM20" s="58" t="str">
        <f>IF( OR(ISBLANK(V20:V24),ISBLANK(AT20:AT24), ISBLANK(Z20:Z24),ISBLANK(AX20:AX24)), "·", bdRateExtend( V20:V24,Z20:Z24, AT20:AT24,AX20:AX24))</f>
        <v>·</v>
      </c>
      <c r="BN20" s="58" t="str">
        <f>IF( OR(ISBLANK(V20:V24),ISBLANK(AT20:AT24), ISBLANK(AA20:AA24),ISBLANK(AY20:AY24)), "·", bdRateExtend( V20:V24,AA20:AA24, AT20:AT24,AY20:AY24))</f>
        <v>·</v>
      </c>
      <c r="BP20" s="58" t="str">
        <f>IF( OR(ISBLANK(S20:S24),ISBLANK(AQ20:AQ24), ISBLANK(W20:W24),ISBLANK(AU20:AU24)), "·", bdRateExtend( S20:S24,W20:W24, AQ20:AQ24,AU20:AU24))</f>
        <v>·</v>
      </c>
      <c r="BQ20" s="58" t="str">
        <f>IF( OR(ISBLANK(S20:S24),ISBLANK(AQ20:AQ24), ISBLANK(X20:X24),ISBLANK(AV20:AV24)), "·", bdRateExtend( S20:S24,X20:X24, AQ20:AQ24,AV20:AV24))</f>
        <v>·</v>
      </c>
      <c r="BR20" s="58" t="str">
        <f>IF( OR(ISBLANK(S20:S24),ISBLANK(AQ20:AQ24), ISBLANK(Y20:Y24),ISBLANK(AW20:AW24)), "·", bdRateExtend( S20:S24,Y20:Y24, AQ20:AQ24,AW20:AW24))</f>
        <v>·</v>
      </c>
      <c r="BS20" s="58" t="str">
        <f>IF( OR(ISBLANK(S20:S24),ISBLANK(AQ20:AQ24), ISBLANK(Z20:Z24),ISBLANK(AX20:AX24)), "·", bdRateExtend( S20:S24,Z20:Z24, AQ20:AQ24,AX20:AX24))</f>
        <v>·</v>
      </c>
      <c r="BT20" s="58" t="str">
        <f>IF( OR(ISBLANK(S20:S24),ISBLANK(AQ20:AQ24), ISBLANK(AA20:AA24),ISBLANK(AY20:AY24)), "·", bdRateExtend( S20:S24,AA20:AA24, AQ20:AQ24,AY20:AY24))</f>
        <v>·</v>
      </c>
    </row>
    <row r="21" spans="1:72" outlineLevel="1" x14ac:dyDescent="0.3">
      <c r="A21" s="129"/>
      <c r="B21" s="129" t="s">
        <v>68</v>
      </c>
      <c r="C21" s="10" t="s">
        <v>231</v>
      </c>
      <c r="D21" s="129">
        <v>250602891</v>
      </c>
      <c r="E21" s="10">
        <v>10</v>
      </c>
      <c r="F21" s="10">
        <v>32</v>
      </c>
      <c r="G21" s="10">
        <v>50</v>
      </c>
      <c r="I21" s="11">
        <f t="shared" si="0"/>
        <v>2.6509499999999999</v>
      </c>
      <c r="J21" s="12">
        <f t="shared" si="1"/>
        <v>6.7701054574027244E-3</v>
      </c>
      <c r="K21" s="12">
        <f t="shared" si="2"/>
        <v>4.6756683265876606E-3</v>
      </c>
      <c r="L21" s="12">
        <f t="shared" si="3"/>
        <v>3.0422314641214573E-3</v>
      </c>
      <c r="M21" s="12">
        <f t="shared" si="4"/>
        <v>2.094437130815063E-3</v>
      </c>
      <c r="N21" s="129">
        <f t="shared" si="5"/>
        <v>1171736</v>
      </c>
      <c r="O21" s="12">
        <v>16</v>
      </c>
      <c r="P21" s="13">
        <v>31696812</v>
      </c>
      <c r="Q21" s="13">
        <v>990525.375</v>
      </c>
      <c r="R21" s="13">
        <v>33593.15625</v>
      </c>
      <c r="S21" s="14">
        <v>1696608</v>
      </c>
      <c r="T21" s="14">
        <v>762392</v>
      </c>
      <c r="U21" s="14">
        <v>409344</v>
      </c>
      <c r="V21" s="14">
        <v>524872</v>
      </c>
      <c r="W21" s="15">
        <v>68.873231250000003</v>
      </c>
      <c r="X21" s="15">
        <v>70.998265625000002</v>
      </c>
      <c r="Y21" s="15">
        <v>31.559334374999999</v>
      </c>
      <c r="Z21" s="15">
        <v>40.555562500000001</v>
      </c>
      <c r="AA21" s="15">
        <v>39.276837499999999</v>
      </c>
      <c r="AB21" s="16">
        <v>4662.46</v>
      </c>
      <c r="AC21" s="16">
        <v>5230.8999999999996</v>
      </c>
      <c r="AD21" s="16">
        <v>70.942999999999998</v>
      </c>
      <c r="AE21" s="16">
        <v>29.238</v>
      </c>
      <c r="AG21" s="11" t="str">
        <f t="shared" si="6"/>
        <v>·</v>
      </c>
      <c r="AH21" s="12" t="str">
        <f t="shared" si="7"/>
        <v>·</v>
      </c>
      <c r="AI21" s="12" t="str">
        <f t="shared" si="8"/>
        <v>·</v>
      </c>
      <c r="AJ21" s="12" t="str">
        <f t="shared" si="9"/>
        <v>·</v>
      </c>
      <c r="AK21" s="12" t="str">
        <f t="shared" si="10"/>
        <v>·</v>
      </c>
      <c r="AL21" s="129" t="str">
        <f t="shared" si="11"/>
        <v/>
      </c>
      <c r="AM21" s="12">
        <v>16</v>
      </c>
      <c r="AN21" s="13"/>
      <c r="AO21" s="13"/>
      <c r="AP21" s="13"/>
      <c r="AQ21" s="14"/>
      <c r="AR21" s="14"/>
      <c r="AS21" s="14"/>
      <c r="AT21" s="14"/>
      <c r="AU21" s="15"/>
      <c r="AV21" s="15"/>
      <c r="AW21" s="15"/>
      <c r="AX21" s="15"/>
      <c r="AY21" s="15"/>
      <c r="AZ21" s="16"/>
      <c r="BA21" s="16"/>
      <c r="BB21" s="16"/>
      <c r="BC21" s="16"/>
      <c r="BE21" s="62" t="e">
        <f t="shared" si="12"/>
        <v>#VALUE!</v>
      </c>
      <c r="BF21" s="17" t="e">
        <f t="shared" si="13"/>
        <v>#DIV/0!</v>
      </c>
      <c r="BG21" s="17" t="e">
        <f t="shared" si="14"/>
        <v>#VALUE!</v>
      </c>
      <c r="BH21" s="17"/>
      <c r="BJ21" s="62"/>
      <c r="BK21" s="62"/>
      <c r="BL21" s="62"/>
      <c r="BM21" s="62"/>
      <c r="BN21" s="62"/>
      <c r="BP21" s="62"/>
      <c r="BQ21" s="62"/>
      <c r="BR21" s="62"/>
      <c r="BS21" s="62"/>
      <c r="BT21" s="62"/>
    </row>
    <row r="22" spans="1:72" outlineLevel="1" x14ac:dyDescent="0.3">
      <c r="A22" s="18"/>
      <c r="B22" s="18" t="s">
        <v>68</v>
      </c>
      <c r="C22" s="19" t="s">
        <v>232</v>
      </c>
      <c r="D22" s="18">
        <v>250602891</v>
      </c>
      <c r="E22" s="19">
        <v>10</v>
      </c>
      <c r="F22" s="19">
        <v>32</v>
      </c>
      <c r="G22" s="19">
        <v>50</v>
      </c>
      <c r="I22" s="20">
        <f t="shared" si="0"/>
        <v>4.0561875000000001</v>
      </c>
      <c r="J22" s="21">
        <f t="shared" si="1"/>
        <v>1.0358858948678289E-2</v>
      </c>
      <c r="K22" s="21">
        <f t="shared" si="2"/>
        <v>5.5539981779380194E-3</v>
      </c>
      <c r="L22" s="21">
        <f t="shared" si="3"/>
        <v>3.9205613154718157E-3</v>
      </c>
      <c r="M22" s="21">
        <f t="shared" si="4"/>
        <v>4.8048607707402704E-3</v>
      </c>
      <c r="N22" s="18">
        <f t="shared" si="5"/>
        <v>1391848</v>
      </c>
      <c r="O22" s="21">
        <v>16</v>
      </c>
      <c r="P22" s="22">
        <v>32604849</v>
      </c>
      <c r="Q22" s="22">
        <v>1018901.53125</v>
      </c>
      <c r="R22" s="22">
        <v>35090.5625</v>
      </c>
      <c r="S22" s="23">
        <v>2595960</v>
      </c>
      <c r="T22" s="23">
        <v>982504</v>
      </c>
      <c r="U22" s="23">
        <v>409344</v>
      </c>
      <c r="V22" s="23">
        <v>1204112</v>
      </c>
      <c r="W22" s="24">
        <v>70.092034374999997</v>
      </c>
      <c r="X22" s="24">
        <v>72.552462500000004</v>
      </c>
      <c r="Y22" s="24">
        <v>33.366718749999997</v>
      </c>
      <c r="Z22" s="24">
        <v>41.756606249999997</v>
      </c>
      <c r="AA22" s="24">
        <v>40.520646874999997</v>
      </c>
      <c r="AB22" s="25">
        <v>4658.8999999999996</v>
      </c>
      <c r="AC22" s="25">
        <v>5495.37</v>
      </c>
      <c r="AD22" s="25">
        <v>72.763000000000005</v>
      </c>
      <c r="AE22" s="25">
        <v>29.582999999999998</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8" t="e">
        <f t="shared" si="12"/>
        <v>#VALUE!</v>
      </c>
      <c r="BF22" s="26" t="e">
        <f t="shared" si="13"/>
        <v>#DIV/0!</v>
      </c>
      <c r="BG22" s="26" t="e">
        <f t="shared" si="14"/>
        <v>#VALUE!</v>
      </c>
      <c r="BH22" s="26"/>
      <c r="BJ22" s="58"/>
      <c r="BK22" s="58"/>
      <c r="BL22" s="58"/>
      <c r="BM22" s="58"/>
      <c r="BN22" s="58"/>
      <c r="BP22" s="58"/>
      <c r="BQ22" s="58"/>
      <c r="BR22" s="58"/>
      <c r="BS22" s="58"/>
      <c r="BT22" s="58"/>
    </row>
    <row r="23" spans="1:72" outlineLevel="1" x14ac:dyDescent="0.3">
      <c r="A23" s="129"/>
      <c r="B23" s="129" t="s">
        <v>68</v>
      </c>
      <c r="C23" s="10" t="s">
        <v>233</v>
      </c>
      <c r="D23" s="129">
        <v>250602891</v>
      </c>
      <c r="E23" s="10">
        <v>10</v>
      </c>
      <c r="F23" s="10">
        <v>32</v>
      </c>
      <c r="G23" s="10">
        <v>50</v>
      </c>
      <c r="I23" s="11">
        <f t="shared" si="0"/>
        <v>7.6296375000000003</v>
      </c>
      <c r="J23" s="12">
        <f t="shared" si="1"/>
        <v>1.9484882957714961E-2</v>
      </c>
      <c r="K23" s="12">
        <f t="shared" si="2"/>
        <v>8.2522591489177996E-3</v>
      </c>
      <c r="L23" s="12">
        <f t="shared" si="3"/>
        <v>6.6188222864515959E-3</v>
      </c>
      <c r="M23" s="12">
        <f t="shared" si="4"/>
        <v>1.1232623808797162E-2</v>
      </c>
      <c r="N23" s="129">
        <f t="shared" si="5"/>
        <v>2068040</v>
      </c>
      <c r="O23" s="12">
        <v>16</v>
      </c>
      <c r="P23" s="13">
        <v>32813316</v>
      </c>
      <c r="Q23" s="13">
        <v>1025416.125</v>
      </c>
      <c r="R23" s="13">
        <v>37028.40625</v>
      </c>
      <c r="S23" s="14">
        <v>4882968</v>
      </c>
      <c r="T23" s="14">
        <v>1658696</v>
      </c>
      <c r="U23" s="14">
        <v>409344</v>
      </c>
      <c r="V23" s="14">
        <v>2814928</v>
      </c>
      <c r="W23" s="15">
        <v>71.045559374999996</v>
      </c>
      <c r="X23" s="15">
        <v>73.797390625000006</v>
      </c>
      <c r="Y23" s="15">
        <v>35.144278125</v>
      </c>
      <c r="Z23" s="15">
        <v>42.778806250000002</v>
      </c>
      <c r="AA23" s="15">
        <v>41.512503125000002</v>
      </c>
      <c r="AB23" s="16">
        <v>4665.78</v>
      </c>
      <c r="AC23" s="16">
        <v>5893.85</v>
      </c>
      <c r="AD23" s="16">
        <v>73.42</v>
      </c>
      <c r="AE23" s="16">
        <v>30.846</v>
      </c>
      <c r="AG23" s="11" t="str">
        <f t="shared" si="6"/>
        <v>·</v>
      </c>
      <c r="AH23" s="12" t="str">
        <f t="shared" si="7"/>
        <v>·</v>
      </c>
      <c r="AI23" s="12" t="str">
        <f t="shared" si="8"/>
        <v>·</v>
      </c>
      <c r="AJ23" s="12" t="str">
        <f t="shared" si="9"/>
        <v>·</v>
      </c>
      <c r="AK23" s="12" t="str">
        <f t="shared" si="10"/>
        <v>·</v>
      </c>
      <c r="AL23" s="129" t="str">
        <f t="shared" si="11"/>
        <v/>
      </c>
      <c r="AM23" s="12">
        <v>16</v>
      </c>
      <c r="AN23" s="13"/>
      <c r="AO23" s="13"/>
      <c r="AP23" s="13"/>
      <c r="AQ23" s="14"/>
      <c r="AR23" s="14"/>
      <c r="AS23" s="14"/>
      <c r="AT23" s="14"/>
      <c r="AU23" s="15"/>
      <c r="AV23" s="15"/>
      <c r="AW23" s="15"/>
      <c r="AX23" s="15"/>
      <c r="AY23" s="15"/>
      <c r="AZ23" s="16"/>
      <c r="BA23" s="16"/>
      <c r="BB23" s="16"/>
      <c r="BC23" s="16"/>
      <c r="BE23" s="62" t="e">
        <f t="shared" si="12"/>
        <v>#VALUE!</v>
      </c>
      <c r="BF23" s="17" t="e">
        <f t="shared" si="13"/>
        <v>#DIV/0!</v>
      </c>
      <c r="BG23" s="17" t="e">
        <f t="shared" si="14"/>
        <v>#VALUE!</v>
      </c>
      <c r="BH23" s="17"/>
      <c r="BJ23" s="62"/>
      <c r="BK23" s="62"/>
      <c r="BL23" s="62"/>
      <c r="BM23" s="62"/>
      <c r="BN23" s="62"/>
      <c r="BP23" s="62"/>
      <c r="BQ23" s="62"/>
      <c r="BR23" s="62"/>
      <c r="BS23" s="62"/>
      <c r="BT23" s="62"/>
    </row>
    <row r="24" spans="1:72" outlineLevel="1" x14ac:dyDescent="0.3">
      <c r="A24" s="37"/>
      <c r="B24" s="37" t="s">
        <v>68</v>
      </c>
      <c r="C24" s="38" t="s">
        <v>234</v>
      </c>
      <c r="D24" s="37">
        <v>250602891</v>
      </c>
      <c r="E24" s="38">
        <v>10</v>
      </c>
      <c r="F24" s="38">
        <v>32</v>
      </c>
      <c r="G24" s="38">
        <v>50</v>
      </c>
      <c r="I24" s="39">
        <f t="shared" si="0"/>
        <v>15.553587500000001</v>
      </c>
      <c r="J24" s="40">
        <f t="shared" si="1"/>
        <v>3.9721393317844841E-2</v>
      </c>
      <c r="K24" s="40">
        <f t="shared" si="2"/>
        <v>1.4223491140810502E-2</v>
      </c>
      <c r="L24" s="40">
        <f t="shared" si="3"/>
        <v>1.0614817687797545E-2</v>
      </c>
      <c r="M24" s="40">
        <f t="shared" si="4"/>
        <v>2.5497902177034341E-2</v>
      </c>
      <c r="N24" s="37">
        <f t="shared" si="5"/>
        <v>3564448</v>
      </c>
      <c r="O24" s="40">
        <v>16</v>
      </c>
      <c r="P24" s="41">
        <v>31274990</v>
      </c>
      <c r="Q24" s="41">
        <v>977343.4375</v>
      </c>
      <c r="R24" s="41">
        <v>17914.71875</v>
      </c>
      <c r="S24" s="42">
        <v>9954296</v>
      </c>
      <c r="T24" s="42">
        <v>2660104</v>
      </c>
      <c r="U24" s="42">
        <v>904344</v>
      </c>
      <c r="V24" s="42">
        <v>6389848</v>
      </c>
      <c r="W24" s="43">
        <v>71.767975000000007</v>
      </c>
      <c r="X24" s="43">
        <v>75.810796874999994</v>
      </c>
      <c r="Y24" s="43">
        <v>36.616746874999997</v>
      </c>
      <c r="Z24" s="43">
        <v>43.678193749999998</v>
      </c>
      <c r="AA24" s="43">
        <v>42.226712499999998</v>
      </c>
      <c r="AB24" s="44">
        <v>4633.8500000000004</v>
      </c>
      <c r="AC24" s="44">
        <v>6507.55</v>
      </c>
      <c r="AD24" s="44">
        <v>69.819000000000003</v>
      </c>
      <c r="AE24" s="44">
        <v>32.026000000000003</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3">
      <c r="A25" s="129" t="s">
        <v>235</v>
      </c>
      <c r="B25" s="129" t="s">
        <v>71</v>
      </c>
      <c r="C25" s="10" t="s">
        <v>230</v>
      </c>
      <c r="D25" s="129">
        <v>250294582</v>
      </c>
      <c r="E25" s="10">
        <v>10</v>
      </c>
      <c r="F25" s="10">
        <v>32</v>
      </c>
      <c r="G25" s="10">
        <v>30</v>
      </c>
      <c r="I25" s="11">
        <f t="shared" si="0"/>
        <v>2.0470575000000002</v>
      </c>
      <c r="J25" s="12">
        <f t="shared" si="1"/>
        <v>8.7238324639404303E-3</v>
      </c>
      <c r="K25" s="12">
        <f t="shared" si="2"/>
        <v>5.6566306337386078E-3</v>
      </c>
      <c r="L25" s="12">
        <f t="shared" si="3"/>
        <v>3.5055013695821828E-3</v>
      </c>
      <c r="M25" s="12">
        <f t="shared" si="4"/>
        <v>3.0672018302018221E-3</v>
      </c>
      <c r="N25" s="129">
        <f t="shared" si="5"/>
        <v>1415824</v>
      </c>
      <c r="O25" s="12">
        <v>16</v>
      </c>
      <c r="P25" s="13">
        <v>23423729</v>
      </c>
      <c r="Q25" s="13">
        <v>731991.53125</v>
      </c>
      <c r="R25" s="13">
        <v>14601.28125</v>
      </c>
      <c r="S25" s="14">
        <v>2183528</v>
      </c>
      <c r="T25" s="14">
        <v>877408</v>
      </c>
      <c r="U25" s="14">
        <v>538416</v>
      </c>
      <c r="V25" s="14">
        <v>767704</v>
      </c>
      <c r="W25" s="15">
        <v>66.249556249999998</v>
      </c>
      <c r="X25" s="15">
        <v>68.002121875</v>
      </c>
      <c r="Y25" s="15">
        <v>25.914253124999998</v>
      </c>
      <c r="Z25" s="15">
        <v>32.457703125000002</v>
      </c>
      <c r="AA25" s="15">
        <v>31.662740625000001</v>
      </c>
      <c r="AB25" s="16">
        <v>1572.42</v>
      </c>
      <c r="AC25" s="16">
        <v>6393.5</v>
      </c>
      <c r="AD25" s="16">
        <v>52.536000000000001</v>
      </c>
      <c r="AE25" s="16">
        <v>31.021999999999998</v>
      </c>
      <c r="AG25" s="11" t="str">
        <f t="shared" si="6"/>
        <v>·</v>
      </c>
      <c r="AH25" s="12" t="str">
        <f t="shared" si="7"/>
        <v>·</v>
      </c>
      <c r="AI25" s="12" t="str">
        <f t="shared" si="8"/>
        <v>·</v>
      </c>
      <c r="AJ25" s="12" t="str">
        <f t="shared" si="9"/>
        <v>·</v>
      </c>
      <c r="AK25" s="12" t="str">
        <f t="shared" si="10"/>
        <v>·</v>
      </c>
      <c r="AL25" s="129" t="str">
        <f t="shared" si="11"/>
        <v/>
      </c>
      <c r="AM25" s="12">
        <v>16</v>
      </c>
      <c r="AN25" s="13"/>
      <c r="AO25" s="13"/>
      <c r="AP25" s="13"/>
      <c r="AQ25" s="14"/>
      <c r="AR25" s="14"/>
      <c r="AS25" s="14"/>
      <c r="AT25" s="14"/>
      <c r="AU25" s="15"/>
      <c r="AV25" s="15"/>
      <c r="AW25" s="15"/>
      <c r="AX25" s="15"/>
      <c r="AY25" s="15"/>
      <c r="AZ25" s="16"/>
      <c r="BA25" s="16"/>
      <c r="BB25" s="16"/>
      <c r="BC25" s="16"/>
      <c r="BE25" s="62" t="e">
        <f t="shared" si="12"/>
        <v>#VALUE!</v>
      </c>
      <c r="BF25" s="17" t="e">
        <f t="shared" si="13"/>
        <v>#DIV/0!</v>
      </c>
      <c r="BG25" s="17" t="e">
        <f t="shared" si="14"/>
        <v>#VALUE!</v>
      </c>
      <c r="BH25" s="17" t="e">
        <f t="array" ref="BH25">AVERAGE(AL25:AL29/AQ25:AQ29) - AVERAGE(N25:N29/S25:S29)</f>
        <v>#VALUE!</v>
      </c>
      <c r="BJ25" s="62" t="str">
        <f>IF( OR(ISBLANK(N25:N29),ISBLANK(AL25:AL29), ISBLANK(W25:W29),ISBLANK(AU25:AU29)), "·", bdRateExtend( N25:N29,W25:W29, AL25:AL29,AU25:AU29))</f>
        <v>·</v>
      </c>
      <c r="BK25" s="62" t="str">
        <f>IF( OR(ISBLANK(N25:N29),ISBLANK(AL25:AL29), ISBLANK(X25:X29),ISBLANK(AV25:AV29)), "·", bdRateExtend( N25:N29,X25:X29, AL25:AL29,AV25:AV29))</f>
        <v>·</v>
      </c>
      <c r="BL25" s="62" t="str">
        <f>IF( OR(ISBLANK(V25:V29),ISBLANK(AT25:AT29), ISBLANK(Y25:Y29),ISBLANK(AW25:AW29)), "·", bdRateExtend( V25:V29,Y25:Y29, AT25:AT29,AW25:AW29))</f>
        <v>·</v>
      </c>
      <c r="BM25" s="62" t="str">
        <f>IF( OR(ISBLANK(V25:V29),ISBLANK(AT25:AT29), ISBLANK(Z25:Z29),ISBLANK(AX25:AX29)), "·", bdRateExtend( V25:V29,Z25:Z29, AT25:AT29,AX25:AX29))</f>
        <v>·</v>
      </c>
      <c r="BN25" s="62" t="str">
        <f>IF( OR(ISBLANK(V25:V29),ISBLANK(AT25:AT29), ISBLANK(AA25:AA29),ISBLANK(AY25:AY29)), "·", bdRateExtend( V25:V29,AA25:AA29, AT25:AT29,AY25:AY29))</f>
        <v>·</v>
      </c>
      <c r="BP25" s="62" t="str">
        <f>IF( OR(ISBLANK(S25:S29),ISBLANK(AQ25:AQ29), ISBLANK(W25:W29),ISBLANK(AU25:AU29)), "·", bdRateExtend( S25:S29,W25:W29, AQ25:AQ29,AU25:AU29))</f>
        <v>·</v>
      </c>
      <c r="BQ25" s="62" t="str">
        <f>IF( OR(ISBLANK(S25:S29),ISBLANK(AQ25:AQ29), ISBLANK(X25:X29),ISBLANK(AV25:AV29)), "·", bdRateExtend( S25:S29,X25:X29, AQ25:AQ29,AV25:AV29))</f>
        <v>·</v>
      </c>
      <c r="BR25" s="62" t="str">
        <f>IF( OR(ISBLANK(S25:S29),ISBLANK(AQ25:AQ29), ISBLANK(Y25:Y29),ISBLANK(AW25:AW29)), "·", bdRateExtend( S25:S29,Y25:Y29, AQ25:AQ29,AW25:AW29))</f>
        <v>·</v>
      </c>
      <c r="BS25" s="62" t="str">
        <f>IF( OR(ISBLANK(S25:S29),ISBLANK(AQ25:AQ29), ISBLANK(Z25:Z29),ISBLANK(AX25:AX29)), "·", bdRateExtend( S25:S29,Z25:Z29, AQ25:AQ29,AX25:AX29))</f>
        <v>·</v>
      </c>
      <c r="BT25" s="62" t="str">
        <f>IF( OR(ISBLANK(S25:S29),ISBLANK(AQ25:AQ29), ISBLANK(AA25:AA29),ISBLANK(AY25:AY29)), "·", bdRateExtend( S25:S29,AA25:AA29, AQ25:AQ29,AY25:AY29))</f>
        <v>·</v>
      </c>
    </row>
    <row r="26" spans="1:72" outlineLevel="1" x14ac:dyDescent="0.3">
      <c r="A26" s="18"/>
      <c r="B26" s="18" t="s">
        <v>71</v>
      </c>
      <c r="C26" s="19" t="s">
        <v>231</v>
      </c>
      <c r="D26" s="18">
        <v>250294582</v>
      </c>
      <c r="E26" s="19">
        <v>10</v>
      </c>
      <c r="F26" s="19">
        <v>32</v>
      </c>
      <c r="G26" s="19">
        <v>30</v>
      </c>
      <c r="I26" s="20">
        <f t="shared" si="0"/>
        <v>3.1578300000000001</v>
      </c>
      <c r="J26" s="21">
        <f t="shared" si="1"/>
        <v>1.3457550591326823E-2</v>
      </c>
      <c r="K26" s="21">
        <f t="shared" si="2"/>
        <v>7.130957393236742E-3</v>
      </c>
      <c r="L26" s="21">
        <f t="shared" si="3"/>
        <v>4.9798281290803171E-3</v>
      </c>
      <c r="M26" s="21">
        <f t="shared" si="4"/>
        <v>6.3265931980900809E-3</v>
      </c>
      <c r="N26" s="18">
        <f t="shared" si="5"/>
        <v>1784840</v>
      </c>
      <c r="O26" s="21">
        <v>16</v>
      </c>
      <c r="P26" s="22">
        <v>24642332</v>
      </c>
      <c r="Q26" s="22">
        <v>770072.875</v>
      </c>
      <c r="R26" s="22">
        <v>17838.375</v>
      </c>
      <c r="S26" s="23">
        <v>3368352</v>
      </c>
      <c r="T26" s="23">
        <v>1246424</v>
      </c>
      <c r="U26" s="23">
        <v>538416</v>
      </c>
      <c r="V26" s="23">
        <v>1583512</v>
      </c>
      <c r="W26" s="24">
        <v>68.005359374999998</v>
      </c>
      <c r="X26" s="24">
        <v>70.016609375000002</v>
      </c>
      <c r="Y26" s="24">
        <v>27.918290625000001</v>
      </c>
      <c r="Z26" s="24">
        <v>33.668056249999999</v>
      </c>
      <c r="AA26" s="24">
        <v>33.040231249999998</v>
      </c>
      <c r="AB26" s="25">
        <v>1580.74</v>
      </c>
      <c r="AC26" s="25">
        <v>6837.76</v>
      </c>
      <c r="AD26" s="25">
        <v>54.762999999999998</v>
      </c>
      <c r="AE26" s="25">
        <v>31.391999999999999</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8" t="e">
        <f t="shared" si="12"/>
        <v>#VALUE!</v>
      </c>
      <c r="BF26" s="26" t="e">
        <f t="shared" si="13"/>
        <v>#DIV/0!</v>
      </c>
      <c r="BG26" s="26" t="e">
        <f t="shared" si="14"/>
        <v>#VALUE!</v>
      </c>
      <c r="BH26" s="26"/>
      <c r="BJ26" s="58"/>
      <c r="BK26" s="58"/>
      <c r="BL26" s="58"/>
      <c r="BM26" s="58"/>
      <c r="BN26" s="58"/>
      <c r="BP26" s="58"/>
      <c r="BQ26" s="58"/>
      <c r="BR26" s="58"/>
      <c r="BS26" s="58"/>
      <c r="BT26" s="58"/>
    </row>
    <row r="27" spans="1:72" outlineLevel="1" x14ac:dyDescent="0.3">
      <c r="A27" s="129"/>
      <c r="B27" s="129" t="s">
        <v>71</v>
      </c>
      <c r="C27" s="10" t="s">
        <v>232</v>
      </c>
      <c r="D27" s="129">
        <v>250294582</v>
      </c>
      <c r="E27" s="10">
        <v>10</v>
      </c>
      <c r="F27" s="10">
        <v>32</v>
      </c>
      <c r="G27" s="10">
        <v>30</v>
      </c>
      <c r="I27" s="11">
        <f t="shared" si="0"/>
        <v>5.3414175000000004</v>
      </c>
      <c r="J27" s="12">
        <f t="shared" si="1"/>
        <v>2.2763225454077149E-2</v>
      </c>
      <c r="K27" s="12">
        <f t="shared" si="2"/>
        <v>9.2939446847475106E-3</v>
      </c>
      <c r="L27" s="12">
        <f t="shared" si="3"/>
        <v>7.1428154205910857E-3</v>
      </c>
      <c r="M27" s="12">
        <f t="shared" si="4"/>
        <v>1.3469280769329637E-2</v>
      </c>
      <c r="N27" s="129">
        <f t="shared" si="5"/>
        <v>2326224</v>
      </c>
      <c r="O27" s="12">
        <v>16</v>
      </c>
      <c r="P27" s="13">
        <v>24875407</v>
      </c>
      <c r="Q27" s="13">
        <v>777356.46875</v>
      </c>
      <c r="R27" s="13">
        <v>18687.4375</v>
      </c>
      <c r="S27" s="14">
        <v>5697512</v>
      </c>
      <c r="T27" s="14">
        <v>1787808</v>
      </c>
      <c r="U27" s="14">
        <v>538416</v>
      </c>
      <c r="V27" s="14">
        <v>3371288</v>
      </c>
      <c r="W27" s="15">
        <v>69.301756249999997</v>
      </c>
      <c r="X27" s="15">
        <v>71.690518749999995</v>
      </c>
      <c r="Y27" s="15">
        <v>30.205874999999999</v>
      </c>
      <c r="Z27" s="15">
        <v>34.909818749999999</v>
      </c>
      <c r="AA27" s="15">
        <v>34.350634374999998</v>
      </c>
      <c r="AB27" s="16">
        <v>1578.36</v>
      </c>
      <c r="AC27" s="16">
        <v>7360.95</v>
      </c>
      <c r="AD27" s="16">
        <v>55.420999999999999</v>
      </c>
      <c r="AE27" s="16">
        <v>32.972999999999999</v>
      </c>
      <c r="AG27" s="11" t="str">
        <f t="shared" si="6"/>
        <v>·</v>
      </c>
      <c r="AH27" s="12" t="str">
        <f t="shared" si="7"/>
        <v>·</v>
      </c>
      <c r="AI27" s="12" t="str">
        <f t="shared" si="8"/>
        <v>·</v>
      </c>
      <c r="AJ27" s="12" t="str">
        <f t="shared" si="9"/>
        <v>·</v>
      </c>
      <c r="AK27" s="12" t="str">
        <f t="shared" si="10"/>
        <v>·</v>
      </c>
      <c r="AL27" s="129" t="str">
        <f t="shared" si="11"/>
        <v/>
      </c>
      <c r="AM27" s="12">
        <v>16</v>
      </c>
      <c r="AN27" s="13"/>
      <c r="AO27" s="13"/>
      <c r="AP27" s="13"/>
      <c r="AQ27" s="14"/>
      <c r="AR27" s="14"/>
      <c r="AS27" s="14"/>
      <c r="AT27" s="14"/>
      <c r="AU27" s="15"/>
      <c r="AV27" s="15"/>
      <c r="AW27" s="15"/>
      <c r="AX27" s="15"/>
      <c r="AY27" s="15"/>
      <c r="AZ27" s="16"/>
      <c r="BA27" s="16"/>
      <c r="BB27" s="16"/>
      <c r="BC27" s="16"/>
      <c r="BE27" s="62" t="e">
        <f t="shared" si="12"/>
        <v>#VALUE!</v>
      </c>
      <c r="BF27" s="17" t="e">
        <f t="shared" si="13"/>
        <v>#DIV/0!</v>
      </c>
      <c r="BG27" s="17" t="e">
        <f t="shared" si="14"/>
        <v>#VALUE!</v>
      </c>
      <c r="BH27" s="17"/>
      <c r="BJ27" s="62"/>
      <c r="BK27" s="62"/>
      <c r="BL27" s="62"/>
      <c r="BM27" s="62"/>
      <c r="BN27" s="62"/>
      <c r="BP27" s="62"/>
      <c r="BQ27" s="62"/>
      <c r="BR27" s="62"/>
      <c r="BS27" s="62"/>
      <c r="BT27" s="62"/>
    </row>
    <row r="28" spans="1:72" outlineLevel="1" x14ac:dyDescent="0.3">
      <c r="A28" s="18"/>
      <c r="B28" s="18" t="s">
        <v>71</v>
      </c>
      <c r="C28" s="19" t="s">
        <v>233</v>
      </c>
      <c r="D28" s="18">
        <v>250294582</v>
      </c>
      <c r="E28" s="19">
        <v>10</v>
      </c>
      <c r="F28" s="19">
        <v>32</v>
      </c>
      <c r="G28" s="19">
        <v>30</v>
      </c>
      <c r="I28" s="20">
        <f t="shared" si="0"/>
        <v>10.325272500000001</v>
      </c>
      <c r="J28" s="21">
        <f t="shared" si="1"/>
        <v>4.4002646449614317E-2</v>
      </c>
      <c r="K28" s="21">
        <f t="shared" si="2"/>
        <v>1.312811477477367E-2</v>
      </c>
      <c r="L28" s="21">
        <f t="shared" si="3"/>
        <v>1.0976985510617246E-2</v>
      </c>
      <c r="M28" s="21">
        <f t="shared" si="4"/>
        <v>3.0874531674840649E-2</v>
      </c>
      <c r="N28" s="18">
        <f t="shared" si="5"/>
        <v>3285896</v>
      </c>
      <c r="O28" s="21">
        <v>16</v>
      </c>
      <c r="P28" s="22">
        <v>25558634</v>
      </c>
      <c r="Q28" s="22">
        <v>798707.3125</v>
      </c>
      <c r="R28" s="22">
        <v>21108.9375</v>
      </c>
      <c r="S28" s="23">
        <v>11013624</v>
      </c>
      <c r="T28" s="23">
        <v>2747480</v>
      </c>
      <c r="U28" s="23">
        <v>538416</v>
      </c>
      <c r="V28" s="23">
        <v>7727728</v>
      </c>
      <c r="W28" s="24">
        <v>70.462115624999996</v>
      </c>
      <c r="X28" s="24">
        <v>72.993593750000002</v>
      </c>
      <c r="Y28" s="24">
        <v>32.704628124999999</v>
      </c>
      <c r="Z28" s="24">
        <v>36.413840624999999</v>
      </c>
      <c r="AA28" s="24">
        <v>35.864956249999999</v>
      </c>
      <c r="AB28" s="25">
        <v>1580.27</v>
      </c>
      <c r="AC28" s="25">
        <v>7964.76</v>
      </c>
      <c r="AD28" s="25">
        <v>56.816000000000003</v>
      </c>
      <c r="AE28" s="25">
        <v>33.822000000000003</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8" t="e">
        <f t="shared" si="12"/>
        <v>#VALUE!</v>
      </c>
      <c r="BF28" s="26" t="e">
        <f t="shared" si="13"/>
        <v>#DIV/0!</v>
      </c>
      <c r="BG28" s="26" t="e">
        <f t="shared" si="14"/>
        <v>#VALUE!</v>
      </c>
      <c r="BH28" s="26"/>
      <c r="BJ28" s="58"/>
      <c r="BK28" s="58"/>
      <c r="BL28" s="58"/>
      <c r="BM28" s="58"/>
      <c r="BN28" s="58"/>
      <c r="BP28" s="58"/>
      <c r="BQ28" s="58"/>
      <c r="BR28" s="58"/>
      <c r="BS28" s="58"/>
      <c r="BT28" s="58"/>
    </row>
    <row r="29" spans="1:72" outlineLevel="1" x14ac:dyDescent="0.3">
      <c r="A29" s="27"/>
      <c r="B29" s="27" t="s">
        <v>71</v>
      </c>
      <c r="C29" s="28" t="s">
        <v>234</v>
      </c>
      <c r="D29" s="27">
        <v>250294582</v>
      </c>
      <c r="E29" s="28">
        <v>10</v>
      </c>
      <c r="F29" s="28">
        <v>32</v>
      </c>
      <c r="G29" s="28">
        <v>30</v>
      </c>
      <c r="I29" s="29">
        <f t="shared" si="0"/>
        <v>23.852332499999999</v>
      </c>
      <c r="J29" s="30">
        <f t="shared" si="1"/>
        <v>0.10165017475288378</v>
      </c>
      <c r="K29" s="30">
        <f t="shared" si="2"/>
        <v>2.1584326583625371E-2</v>
      </c>
      <c r="L29" s="30">
        <f t="shared" si="3"/>
        <v>1.7231247938079619E-2</v>
      </c>
      <c r="M29" s="30">
        <f t="shared" si="4"/>
        <v>8.0065848169258408E-2</v>
      </c>
      <c r="N29" s="27">
        <f t="shared" si="5"/>
        <v>5402440</v>
      </c>
      <c r="O29" s="30">
        <v>16</v>
      </c>
      <c r="P29" s="31">
        <v>24591050</v>
      </c>
      <c r="Q29" s="31">
        <v>768470.3125</v>
      </c>
      <c r="R29" s="31">
        <v>9839.84375</v>
      </c>
      <c r="S29" s="32">
        <v>25442488</v>
      </c>
      <c r="T29" s="32">
        <v>4312888</v>
      </c>
      <c r="U29" s="32">
        <v>1089552</v>
      </c>
      <c r="V29" s="32">
        <v>20040048</v>
      </c>
      <c r="W29" s="33">
        <v>71.138031249999997</v>
      </c>
      <c r="X29" s="33">
        <v>74.865934374999995</v>
      </c>
      <c r="Y29" s="33">
        <v>35.755878125000002</v>
      </c>
      <c r="Z29" s="33">
        <v>38.367171874999997</v>
      </c>
      <c r="AA29" s="33">
        <v>37.762050000000002</v>
      </c>
      <c r="AB29" s="34">
        <v>1569.98</v>
      </c>
      <c r="AC29" s="34">
        <v>8978.6</v>
      </c>
      <c r="AD29" s="34">
        <v>54.424999999999997</v>
      </c>
      <c r="AE29" s="34">
        <v>36.393999999999998</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32</v>
      </c>
      <c r="G30" s="19">
        <v>30</v>
      </c>
      <c r="I30" s="20">
        <f t="shared" si="0"/>
        <v>3.6930749999999999</v>
      </c>
      <c r="J30" s="21">
        <f t="shared" si="1"/>
        <v>1.0492923548204974E-2</v>
      </c>
      <c r="K30" s="21">
        <f t="shared" si="2"/>
        <v>8.308036081978552E-3</v>
      </c>
      <c r="L30" s="21">
        <f t="shared" si="3"/>
        <v>5.2756768554058494E-3</v>
      </c>
      <c r="M30" s="21">
        <f t="shared" si="4"/>
        <v>2.1848874662264216E-3</v>
      </c>
      <c r="N30" s="18">
        <f t="shared" si="5"/>
        <v>3119024</v>
      </c>
      <c r="O30" s="21">
        <v>16</v>
      </c>
      <c r="P30" s="22">
        <v>86243398</v>
      </c>
      <c r="Q30" s="22">
        <v>2695106.1875</v>
      </c>
      <c r="R30" s="22">
        <v>33846.0625</v>
      </c>
      <c r="S30" s="23">
        <v>3939280</v>
      </c>
      <c r="T30" s="23">
        <v>1980608</v>
      </c>
      <c r="U30" s="23">
        <v>1138416</v>
      </c>
      <c r="V30" s="23">
        <v>820256</v>
      </c>
      <c r="W30" s="24">
        <v>73.637074999999996</v>
      </c>
      <c r="X30" s="24">
        <v>75.742599999999996</v>
      </c>
      <c r="Y30" s="24">
        <v>33.230943750000002</v>
      </c>
      <c r="Z30" s="24">
        <v>41.929218749999997</v>
      </c>
      <c r="AA30" s="24">
        <v>43.316118750000001</v>
      </c>
      <c r="AB30" s="25">
        <v>3497.83</v>
      </c>
      <c r="AC30" s="25">
        <v>27778.2</v>
      </c>
      <c r="AD30" s="25">
        <v>201.398</v>
      </c>
      <c r="AE30" s="25">
        <v>143.321</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8" t="e">
        <f t="shared" si="12"/>
        <v>#VALUE!</v>
      </c>
      <c r="BF30" s="26" t="e">
        <f t="shared" si="13"/>
        <v>#DIV/0!</v>
      </c>
      <c r="BG30" s="26" t="e">
        <f t="shared" si="14"/>
        <v>#VALUE!</v>
      </c>
      <c r="BH30" s="26" t="e">
        <f t="array" ref="BH30">AVERAGE(AL30:AL34/AQ30:AQ34) - AVERAGE(N30:N34/S30:S34)</f>
        <v>#VALUE!</v>
      </c>
      <c r="BJ30" s="58" t="str">
        <f>IF( OR(ISBLANK(N30:N34),ISBLANK(AL30:AL34), ISBLANK(W30:W34),ISBLANK(AU30:AU34)), "·", bdRateExtend( N30:N34,W30:W34, AL30:AL34,AU30:AU34))</f>
        <v>·</v>
      </c>
      <c r="BK30" s="58" t="str">
        <f>IF( OR(ISBLANK(N30:N34),ISBLANK(AL30:AL34), ISBLANK(X30:X34),ISBLANK(AV30:AV34)), "·", bdRateExtend( N30:N34,X30:X34, AL30:AL34,AV30:AV34))</f>
        <v>·</v>
      </c>
      <c r="BL30" s="58" t="str">
        <f>IF( OR(ISBLANK(V30:V34),ISBLANK(AT30:AT34), ISBLANK(Y30:Y34),ISBLANK(AW30:AW34)), "·", bdRateExtend( V30:V34,Y30:Y34, AT30:AT34,AW30:AW34))</f>
        <v>·</v>
      </c>
      <c r="BM30" s="58" t="str">
        <f>IF( OR(ISBLANK(V30:V34),ISBLANK(AT30:AT34), ISBLANK(Z30:Z34),ISBLANK(AX30:AX34)), "·", bdRateExtend( V30:V34,Z30:Z34, AT30:AT34,AX30:AX34))</f>
        <v>·</v>
      </c>
      <c r="BN30" s="58" t="str">
        <f>IF( OR(ISBLANK(V30:V34),ISBLANK(AT30:AT34), ISBLANK(AA30:AA34),ISBLANK(AY30:AY34)), "·", bdRateExtend( V30:V34,AA30:AA34, AT30:AT34,AY30:AY34))</f>
        <v>·</v>
      </c>
      <c r="BP30" s="58" t="str">
        <f>IF( OR(ISBLANK(S30:S34),ISBLANK(AQ30:AQ34), ISBLANK(W30:W34),ISBLANK(AU30:AU34)), "·", bdRateExtend( S30:S34,W30:W34, AQ30:AQ34,AU30:AU34))</f>
        <v>·</v>
      </c>
      <c r="BQ30" s="58" t="str">
        <f>IF( OR(ISBLANK(S30:S34),ISBLANK(AQ30:AQ34), ISBLANK(X30:X34),ISBLANK(AV30:AV34)), "·", bdRateExtend( S30:S34,X30:X34, AQ30:AQ34,AV30:AV34))</f>
        <v>·</v>
      </c>
      <c r="BR30" s="58" t="str">
        <f>IF( OR(ISBLANK(S30:S34),ISBLANK(AQ30:AQ34), ISBLANK(Y30:Y34),ISBLANK(AW30:AW34)), "·", bdRateExtend( S30:S34,Y30:Y34, AQ30:AQ34,AW30:AW34))</f>
        <v>·</v>
      </c>
      <c r="BS30" s="58" t="str">
        <f>IF( OR(ISBLANK(S30:S34),ISBLANK(AQ30:AQ34), ISBLANK(Z30:Z34),ISBLANK(AX30:AX34)), "·", bdRateExtend( S30:S34,Z30:Z34, AQ30:AQ34,AX30:AX34))</f>
        <v>·</v>
      </c>
      <c r="BT30" s="58" t="str">
        <f>IF( OR(ISBLANK(S30:S34),ISBLANK(AQ30:AQ34), ISBLANK(AA30:AA34),ISBLANK(AY30:AY34)), "·", bdRateExtend( S30:S34,AA30:AA34, AQ30:AQ34,AY30:AY34))</f>
        <v>·</v>
      </c>
    </row>
    <row r="31" spans="1:72" outlineLevel="1" x14ac:dyDescent="0.3">
      <c r="A31" s="129"/>
      <c r="B31" s="129" t="s">
        <v>75</v>
      </c>
      <c r="C31" s="10" t="s">
        <v>231</v>
      </c>
      <c r="D31" s="129">
        <v>375422539</v>
      </c>
      <c r="E31" s="10">
        <v>11</v>
      </c>
      <c r="F31" s="10">
        <v>32</v>
      </c>
      <c r="G31" s="10">
        <v>30</v>
      </c>
      <c r="I31" s="11">
        <f t="shared" si="0"/>
        <v>4.9305149999999998</v>
      </c>
      <c r="J31" s="12">
        <f t="shared" si="1"/>
        <v>1.4008791304882204E-2</v>
      </c>
      <c r="K31" s="12">
        <f t="shared" si="2"/>
        <v>1.0247887647470201E-2</v>
      </c>
      <c r="L31" s="12">
        <f t="shared" si="3"/>
        <v>7.2155284208974997E-3</v>
      </c>
      <c r="M31" s="12">
        <f t="shared" si="4"/>
        <v>3.7609036574120019E-3</v>
      </c>
      <c r="N31" s="129">
        <f t="shared" si="5"/>
        <v>3847288</v>
      </c>
      <c r="O31" s="12">
        <v>16</v>
      </c>
      <c r="P31" s="13">
        <v>90541792</v>
      </c>
      <c r="Q31" s="13">
        <v>2829431</v>
      </c>
      <c r="R31" s="13">
        <v>41460.6875</v>
      </c>
      <c r="S31" s="14">
        <v>5259216</v>
      </c>
      <c r="T31" s="14">
        <v>2708872</v>
      </c>
      <c r="U31" s="14">
        <v>1138416</v>
      </c>
      <c r="V31" s="14">
        <v>1411928</v>
      </c>
      <c r="W31" s="15">
        <v>75.252650000000003</v>
      </c>
      <c r="X31" s="15">
        <v>77.584662499999993</v>
      </c>
      <c r="Y31" s="15">
        <v>35.168300000000002</v>
      </c>
      <c r="Z31" s="15">
        <v>42.577665625000002</v>
      </c>
      <c r="AA31" s="15">
        <v>44.702896875</v>
      </c>
      <c r="AB31" s="16">
        <v>3458.07</v>
      </c>
      <c r="AC31" s="16">
        <v>27966.9</v>
      </c>
      <c r="AD31" s="16">
        <v>209.97499999999999</v>
      </c>
      <c r="AE31" s="16">
        <v>146.47800000000001</v>
      </c>
      <c r="AG31" s="11" t="str">
        <f t="shared" si="6"/>
        <v>·</v>
      </c>
      <c r="AH31" s="12" t="str">
        <f t="shared" si="7"/>
        <v>·</v>
      </c>
      <c r="AI31" s="12" t="str">
        <f t="shared" si="8"/>
        <v>·</v>
      </c>
      <c r="AJ31" s="12" t="str">
        <f t="shared" si="9"/>
        <v>·</v>
      </c>
      <c r="AK31" s="12" t="str">
        <f t="shared" si="10"/>
        <v>·</v>
      </c>
      <c r="AL31" s="129" t="str">
        <f t="shared" si="11"/>
        <v/>
      </c>
      <c r="AM31" s="12">
        <v>16</v>
      </c>
      <c r="AN31" s="13"/>
      <c r="AO31" s="13"/>
      <c r="AP31" s="13"/>
      <c r="AQ31" s="14"/>
      <c r="AR31" s="14"/>
      <c r="AS31" s="14"/>
      <c r="AT31" s="14"/>
      <c r="AU31" s="15"/>
      <c r="AV31" s="15"/>
      <c r="AW31" s="15"/>
      <c r="AX31" s="15"/>
      <c r="AY31" s="15"/>
      <c r="AZ31" s="16"/>
      <c r="BA31" s="16"/>
      <c r="BB31" s="16"/>
      <c r="BC31" s="16"/>
      <c r="BE31" s="62" t="e">
        <f t="shared" si="12"/>
        <v>#VALUE!</v>
      </c>
      <c r="BF31" s="17" t="e">
        <f t="shared" si="13"/>
        <v>#DIV/0!</v>
      </c>
      <c r="BG31" s="17" t="e">
        <f t="shared" si="14"/>
        <v>#VALUE!</v>
      </c>
      <c r="BH31" s="17"/>
      <c r="BJ31" s="62"/>
      <c r="BK31" s="62"/>
      <c r="BL31" s="62"/>
      <c r="BM31" s="62"/>
      <c r="BN31" s="62"/>
      <c r="BP31" s="62"/>
      <c r="BQ31" s="62"/>
      <c r="BR31" s="62"/>
      <c r="BS31" s="62"/>
      <c r="BT31" s="62"/>
    </row>
    <row r="32" spans="1:72" outlineLevel="1" x14ac:dyDescent="0.3">
      <c r="A32" s="18"/>
      <c r="B32" s="18" t="s">
        <v>75</v>
      </c>
      <c r="C32" s="19" t="s">
        <v>232</v>
      </c>
      <c r="D32" s="18">
        <v>375422539</v>
      </c>
      <c r="E32" s="19">
        <v>11</v>
      </c>
      <c r="F32" s="19">
        <v>32</v>
      </c>
      <c r="G32" s="19">
        <v>30</v>
      </c>
      <c r="I32" s="20">
        <f t="shared" si="0"/>
        <v>7.1345324999999997</v>
      </c>
      <c r="J32" s="21">
        <f t="shared" si="1"/>
        <v>2.0270940632043405E-2</v>
      </c>
      <c r="K32" s="21">
        <f t="shared" si="2"/>
        <v>1.3139221776985531E-2</v>
      </c>
      <c r="L32" s="21">
        <f t="shared" si="3"/>
        <v>1.0106862550412829E-2</v>
      </c>
      <c r="M32" s="21">
        <f t="shared" si="4"/>
        <v>7.1317188550578739E-3</v>
      </c>
      <c r="N32" s="18">
        <f t="shared" si="5"/>
        <v>4932760</v>
      </c>
      <c r="O32" s="21">
        <v>16</v>
      </c>
      <c r="P32" s="22">
        <v>91787366</v>
      </c>
      <c r="Q32" s="22">
        <v>2868355.1875</v>
      </c>
      <c r="R32" s="22">
        <v>44534.90625</v>
      </c>
      <c r="S32" s="23">
        <v>7610168</v>
      </c>
      <c r="T32" s="23">
        <v>3794344</v>
      </c>
      <c r="U32" s="23">
        <v>1138416</v>
      </c>
      <c r="V32" s="23">
        <v>2677408</v>
      </c>
      <c r="W32" s="24">
        <v>76.469399999999993</v>
      </c>
      <c r="X32" s="24">
        <v>79.114190625000006</v>
      </c>
      <c r="Y32" s="24">
        <v>36.951524999999997</v>
      </c>
      <c r="Z32" s="24">
        <v>43.104759375</v>
      </c>
      <c r="AA32" s="24">
        <v>45.735421875</v>
      </c>
      <c r="AB32" s="25">
        <v>3532.31</v>
      </c>
      <c r="AC32" s="25">
        <v>30537.8</v>
      </c>
      <c r="AD32" s="25">
        <v>219.39599999999999</v>
      </c>
      <c r="AE32" s="25">
        <v>151.733</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8" t="e">
        <f t="shared" si="12"/>
        <v>#VALUE!</v>
      </c>
      <c r="BF32" s="26" t="e">
        <f t="shared" si="13"/>
        <v>#DIV/0!</v>
      </c>
      <c r="BG32" s="26" t="e">
        <f t="shared" si="14"/>
        <v>#VALUE!</v>
      </c>
      <c r="BH32" s="26"/>
      <c r="BJ32" s="58"/>
      <c r="BK32" s="58"/>
      <c r="BL32" s="58"/>
      <c r="BM32" s="58"/>
      <c r="BN32" s="58"/>
      <c r="BP32" s="58"/>
      <c r="BQ32" s="58"/>
      <c r="BR32" s="58"/>
      <c r="BS32" s="58"/>
      <c r="BT32" s="58"/>
    </row>
    <row r="33" spans="1:72" outlineLevel="1" x14ac:dyDescent="0.3">
      <c r="A33" s="129"/>
      <c r="B33" s="129" t="s">
        <v>75</v>
      </c>
      <c r="C33" s="10" t="s">
        <v>233</v>
      </c>
      <c r="D33" s="129">
        <v>375422539</v>
      </c>
      <c r="E33" s="10">
        <v>11</v>
      </c>
      <c r="F33" s="10">
        <v>32</v>
      </c>
      <c r="G33" s="10">
        <v>30</v>
      </c>
      <c r="I33" s="11">
        <f t="shared" si="0"/>
        <v>11.971095</v>
      </c>
      <c r="J33" s="12">
        <f t="shared" si="1"/>
        <v>3.401279005254397E-2</v>
      </c>
      <c r="K33" s="12">
        <f t="shared" si="2"/>
        <v>1.8469258714378895E-2</v>
      </c>
      <c r="L33" s="12">
        <f t="shared" si="3"/>
        <v>1.5436899487806192E-2</v>
      </c>
      <c r="M33" s="12">
        <f t="shared" si="4"/>
        <v>1.5543531338165075E-2</v>
      </c>
      <c r="N33" s="129">
        <f t="shared" si="5"/>
        <v>6933776</v>
      </c>
      <c r="O33" s="12">
        <v>16</v>
      </c>
      <c r="P33" s="13">
        <v>94114766</v>
      </c>
      <c r="Q33" s="13">
        <v>2941086.4375</v>
      </c>
      <c r="R33" s="13">
        <v>49715.25</v>
      </c>
      <c r="S33" s="14">
        <v>12769168</v>
      </c>
      <c r="T33" s="14">
        <v>5795360</v>
      </c>
      <c r="U33" s="14">
        <v>1138416</v>
      </c>
      <c r="V33" s="14">
        <v>5835392</v>
      </c>
      <c r="W33" s="15">
        <v>77.566353125000006</v>
      </c>
      <c r="X33" s="15">
        <v>80.266603125000003</v>
      </c>
      <c r="Y33" s="15">
        <v>38.717028124999999</v>
      </c>
      <c r="Z33" s="15">
        <v>43.694290625000001</v>
      </c>
      <c r="AA33" s="15">
        <v>47.348471875000001</v>
      </c>
      <c r="AB33" s="16">
        <v>3528.55</v>
      </c>
      <c r="AC33" s="16">
        <v>32082.2</v>
      </c>
      <c r="AD33" s="16">
        <v>218.792</v>
      </c>
      <c r="AE33" s="16">
        <v>150.47800000000001</v>
      </c>
      <c r="AG33" s="11" t="str">
        <f t="shared" si="6"/>
        <v>·</v>
      </c>
      <c r="AH33" s="12" t="str">
        <f t="shared" si="7"/>
        <v>·</v>
      </c>
      <c r="AI33" s="12" t="str">
        <f t="shared" si="8"/>
        <v>·</v>
      </c>
      <c r="AJ33" s="12" t="str">
        <f t="shared" si="9"/>
        <v>·</v>
      </c>
      <c r="AK33" s="12" t="str">
        <f t="shared" si="10"/>
        <v>·</v>
      </c>
      <c r="AL33" s="129" t="str">
        <f t="shared" si="11"/>
        <v/>
      </c>
      <c r="AM33" s="12">
        <v>16</v>
      </c>
      <c r="AN33" s="13"/>
      <c r="AO33" s="13"/>
      <c r="AP33" s="13"/>
      <c r="AQ33" s="14"/>
      <c r="AR33" s="14"/>
      <c r="AS33" s="14"/>
      <c r="AT33" s="14"/>
      <c r="AU33" s="15"/>
      <c r="AV33" s="15"/>
      <c r="AW33" s="15"/>
      <c r="AX33" s="15"/>
      <c r="AY33" s="15"/>
      <c r="AZ33" s="16"/>
      <c r="BA33" s="16"/>
      <c r="BB33" s="16"/>
      <c r="BC33" s="16"/>
      <c r="BE33" s="62" t="e">
        <f t="shared" si="12"/>
        <v>#VALUE!</v>
      </c>
      <c r="BF33" s="17" t="e">
        <f t="shared" si="13"/>
        <v>#DIV/0!</v>
      </c>
      <c r="BG33" s="17" t="e">
        <f t="shared" si="14"/>
        <v>#VALUE!</v>
      </c>
      <c r="BH33" s="17"/>
      <c r="BJ33" s="62"/>
      <c r="BK33" s="62"/>
      <c r="BL33" s="62"/>
      <c r="BM33" s="62"/>
      <c r="BN33" s="62"/>
      <c r="BP33" s="62"/>
      <c r="BQ33" s="62"/>
      <c r="BR33" s="62"/>
      <c r="BS33" s="62"/>
      <c r="BT33" s="62"/>
    </row>
    <row r="34" spans="1:72" outlineLevel="1" x14ac:dyDescent="0.3">
      <c r="A34" s="18"/>
      <c r="B34" s="37" t="s">
        <v>75</v>
      </c>
      <c r="C34" s="38" t="s">
        <v>234</v>
      </c>
      <c r="D34" s="37">
        <v>375422539</v>
      </c>
      <c r="E34" s="38">
        <v>11</v>
      </c>
      <c r="F34" s="38">
        <v>32</v>
      </c>
      <c r="G34" s="38">
        <v>30</v>
      </c>
      <c r="I34" s="39">
        <f t="shared" si="0"/>
        <v>24.604642500000001</v>
      </c>
      <c r="J34" s="40">
        <f t="shared" si="1"/>
        <v>6.9907768643586957E-2</v>
      </c>
      <c r="K34" s="40">
        <f t="shared" si="2"/>
        <v>3.0903397624722793E-2</v>
      </c>
      <c r="L34" s="40">
        <f t="shared" si="3"/>
        <v>2.459758549552615E-2</v>
      </c>
      <c r="M34" s="40">
        <f t="shared" si="4"/>
        <v>3.9004371018864163E-2</v>
      </c>
      <c r="N34" s="37">
        <f t="shared" si="5"/>
        <v>11601832</v>
      </c>
      <c r="O34" s="40">
        <v>16</v>
      </c>
      <c r="P34" s="41">
        <v>92205535</v>
      </c>
      <c r="Q34" s="41">
        <v>2881422.96875</v>
      </c>
      <c r="R34" s="41">
        <v>21180.46875</v>
      </c>
      <c r="S34" s="42">
        <v>26244952</v>
      </c>
      <c r="T34" s="42">
        <v>9234488</v>
      </c>
      <c r="U34" s="42">
        <v>2367344</v>
      </c>
      <c r="V34" s="42">
        <v>14643120</v>
      </c>
      <c r="W34" s="43">
        <v>78.500296875000004</v>
      </c>
      <c r="X34" s="43">
        <v>81.895681249999996</v>
      </c>
      <c r="Y34" s="43">
        <v>40.507771875000003</v>
      </c>
      <c r="Z34" s="43">
        <v>44.376384375000001</v>
      </c>
      <c r="AA34" s="43">
        <v>48.811853124999999</v>
      </c>
      <c r="AB34" s="44">
        <v>3517.25</v>
      </c>
      <c r="AC34" s="44">
        <v>34877</v>
      </c>
      <c r="AD34" s="44">
        <v>213.43199999999999</v>
      </c>
      <c r="AE34" s="44">
        <v>159.61000000000001</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3">
      <c r="A35" s="129"/>
      <c r="B35" s="129" t="s">
        <v>80</v>
      </c>
      <c r="C35" s="10" t="s">
        <v>230</v>
      </c>
      <c r="D35" s="129">
        <v>333190689</v>
      </c>
      <c r="E35" s="10">
        <v>11</v>
      </c>
      <c r="F35" s="10">
        <v>32</v>
      </c>
      <c r="G35" s="10">
        <v>30</v>
      </c>
      <c r="I35" s="11">
        <f t="shared" si="0"/>
        <v>4.6254524999999997</v>
      </c>
      <c r="J35" s="12">
        <f t="shared" si="1"/>
        <v>1.4807784739747034E-2</v>
      </c>
      <c r="K35" s="12">
        <f t="shared" si="2"/>
        <v>1.1084583459053382E-2</v>
      </c>
      <c r="L35" s="12">
        <f t="shared" si="3"/>
        <v>7.155662143968255E-3</v>
      </c>
      <c r="M35" s="12">
        <f t="shared" si="4"/>
        <v>3.7232012806936512E-3</v>
      </c>
      <c r="N35" s="129">
        <f t="shared" si="5"/>
        <v>3693280</v>
      </c>
      <c r="O35" s="12">
        <v>16</v>
      </c>
      <c r="P35" s="13">
        <v>74793925</v>
      </c>
      <c r="Q35" s="13">
        <v>2337310.15625</v>
      </c>
      <c r="R35" s="13">
        <v>30824.78125</v>
      </c>
      <c r="S35" s="14">
        <v>4933816</v>
      </c>
      <c r="T35" s="14">
        <v>2384200</v>
      </c>
      <c r="U35" s="14">
        <v>1309080</v>
      </c>
      <c r="V35" s="14">
        <v>1240536</v>
      </c>
      <c r="W35" s="15">
        <v>73.186065624999998</v>
      </c>
      <c r="X35" s="15">
        <v>75.395090624999995</v>
      </c>
      <c r="Y35" s="15">
        <v>31.779946875</v>
      </c>
      <c r="Z35" s="15">
        <v>42.169849999999997</v>
      </c>
      <c r="AA35" s="15">
        <v>43.305712499999998</v>
      </c>
      <c r="AB35" s="16">
        <v>3155.57</v>
      </c>
      <c r="AC35" s="16">
        <v>31679.9</v>
      </c>
      <c r="AD35" s="16">
        <v>176.845</v>
      </c>
      <c r="AE35" s="16">
        <v>149.459</v>
      </c>
      <c r="AG35" s="11" t="str">
        <f t="shared" si="6"/>
        <v>·</v>
      </c>
      <c r="AH35" s="12" t="str">
        <f t="shared" si="7"/>
        <v>·</v>
      </c>
      <c r="AI35" s="12" t="str">
        <f t="shared" si="8"/>
        <v>·</v>
      </c>
      <c r="AJ35" s="12" t="str">
        <f t="shared" si="9"/>
        <v>·</v>
      </c>
      <c r="AK35" s="12" t="str">
        <f t="shared" si="10"/>
        <v>·</v>
      </c>
      <c r="AL35" s="129" t="str">
        <f t="shared" si="11"/>
        <v/>
      </c>
      <c r="AM35" s="12">
        <v>16</v>
      </c>
      <c r="AN35" s="13"/>
      <c r="AO35" s="13"/>
      <c r="AP35" s="13"/>
      <c r="AQ35" s="14"/>
      <c r="AR35" s="14"/>
      <c r="AS35" s="14"/>
      <c r="AT35" s="14"/>
      <c r="AU35" s="15"/>
      <c r="AV35" s="15"/>
      <c r="AW35" s="15"/>
      <c r="AX35" s="15"/>
      <c r="AY35" s="15"/>
      <c r="AZ35" s="16"/>
      <c r="BA35" s="16"/>
      <c r="BB35" s="16"/>
      <c r="BC35" s="16"/>
      <c r="BE35" s="62" t="e">
        <f t="shared" si="12"/>
        <v>#VALUE!</v>
      </c>
      <c r="BF35" s="17" t="e">
        <f t="shared" si="13"/>
        <v>#DIV/0!</v>
      </c>
      <c r="BG35" s="17" t="e">
        <f t="shared" si="14"/>
        <v>#VALUE!</v>
      </c>
      <c r="BH35" s="17" t="e">
        <f t="array" ref="BH35">AVERAGE(AL35:AL39/AQ35:AQ39) - AVERAGE(N35:N39/S35:S39)</f>
        <v>#VALUE!</v>
      </c>
      <c r="BJ35" s="62" t="str">
        <f>IF( OR(ISBLANK(N35:N39),ISBLANK(AL35:AL39), ISBLANK(W35:W39),ISBLANK(AU35:AU39)), "·", bdRateExtend( N35:N39,W35:W39, AL35:AL39,AU35:AU39))</f>
        <v>·</v>
      </c>
      <c r="BK35" s="62" t="str">
        <f>IF( OR(ISBLANK(N35:N39),ISBLANK(AL35:AL39), ISBLANK(X35:X39),ISBLANK(AV35:AV39)), "·", bdRateExtend( N35:N39,X35:X39, AL35:AL39,AV35:AV39))</f>
        <v>·</v>
      </c>
      <c r="BL35" s="62" t="str">
        <f>IF( OR(ISBLANK(V35:V39),ISBLANK(AT35:AT39), ISBLANK(Y35:Y39),ISBLANK(AW35:AW39)), "·", bdRateExtend( V35:V39,Y35:Y39, AT35:AT39,AW35:AW39))</f>
        <v>·</v>
      </c>
      <c r="BM35" s="62" t="str">
        <f>IF( OR(ISBLANK(V35:V39),ISBLANK(AT35:AT39), ISBLANK(Z35:Z39),ISBLANK(AX35:AX39)), "·", bdRateExtend( V35:V39,Z35:Z39, AT35:AT39,AX35:AX39))</f>
        <v>·</v>
      </c>
      <c r="BN35" s="62" t="str">
        <f>IF( OR(ISBLANK(V35:V39),ISBLANK(AT35:AT39), ISBLANK(AA35:AA39),ISBLANK(AY35:AY39)), "·", bdRateExtend( V35:V39,AA35:AA39, AT35:AT39,AY35:AY39))</f>
        <v>·</v>
      </c>
      <c r="BP35" s="62" t="str">
        <f>IF( OR(ISBLANK(S35:S39),ISBLANK(AQ35:AQ39), ISBLANK(W35:W39),ISBLANK(AU35:AU39)), "·", bdRateExtend( S35:S39,W35:W39, AQ35:AQ39,AU35:AU39))</f>
        <v>·</v>
      </c>
      <c r="BQ35" s="62" t="str">
        <f>IF( OR(ISBLANK(S35:S39),ISBLANK(AQ35:AQ39), ISBLANK(X35:X39),ISBLANK(AV35:AV39)), "·", bdRateExtend( S35:S39,X35:X39, AQ35:AQ39,AV35:AV39))</f>
        <v>·</v>
      </c>
      <c r="BR35" s="62" t="str">
        <f>IF( OR(ISBLANK(S35:S39),ISBLANK(AQ35:AQ39), ISBLANK(Y35:Y39),ISBLANK(AW35:AW39)), "·", bdRateExtend( S35:S39,Y35:Y39, AQ35:AQ39,AW35:AW39))</f>
        <v>·</v>
      </c>
      <c r="BS35" s="62" t="str">
        <f>IF( OR(ISBLANK(S35:S39),ISBLANK(AQ35:AQ39), ISBLANK(Z35:Z39),ISBLANK(AX35:AX39)), "·", bdRateExtend( S35:S39,Z35:Z39, AQ35:AQ39,AX35:AX39))</f>
        <v>·</v>
      </c>
      <c r="BT35" s="62" t="str">
        <f>IF( OR(ISBLANK(S35:S39),ISBLANK(AQ35:AQ39), ISBLANK(AA35:AA39),ISBLANK(AY35:AY39)), "·", bdRateExtend( S35:S39,AA35:AA39, AQ35:AQ39,AY35:AY39))</f>
        <v>·</v>
      </c>
    </row>
    <row r="36" spans="1:72" outlineLevel="1" x14ac:dyDescent="0.3">
      <c r="A36" s="18"/>
      <c r="B36" s="18" t="s">
        <v>80</v>
      </c>
      <c r="C36" s="19" t="s">
        <v>231</v>
      </c>
      <c r="D36" s="18">
        <v>333190689</v>
      </c>
      <c r="E36" s="19">
        <v>11</v>
      </c>
      <c r="F36" s="19">
        <v>32</v>
      </c>
      <c r="G36" s="19">
        <v>30</v>
      </c>
      <c r="I36" s="20">
        <f t="shared" si="0"/>
        <v>6.2107124999999996</v>
      </c>
      <c r="J36" s="21">
        <f t="shared" si="1"/>
        <v>1.9882788501331742E-2</v>
      </c>
      <c r="K36" s="21">
        <f t="shared" si="2"/>
        <v>1.3664655557046494E-2</v>
      </c>
      <c r="L36" s="21">
        <f t="shared" si="3"/>
        <v>9.7357342419613652E-3</v>
      </c>
      <c r="M36" s="21">
        <f t="shared" si="4"/>
        <v>6.2181329442852467E-3</v>
      </c>
      <c r="N36" s="18">
        <f t="shared" si="5"/>
        <v>4552936</v>
      </c>
      <c r="O36" s="21">
        <v>16</v>
      </c>
      <c r="P36" s="22">
        <v>79976742</v>
      </c>
      <c r="Q36" s="22">
        <v>2499273.1875</v>
      </c>
      <c r="R36" s="22">
        <v>39105.5</v>
      </c>
      <c r="S36" s="23">
        <v>6624760</v>
      </c>
      <c r="T36" s="23">
        <v>3243856</v>
      </c>
      <c r="U36" s="23">
        <v>1309080</v>
      </c>
      <c r="V36" s="23">
        <v>2071824</v>
      </c>
      <c r="W36" s="24">
        <v>74.938500000000005</v>
      </c>
      <c r="X36" s="24">
        <v>77.355887499999994</v>
      </c>
      <c r="Y36" s="24">
        <v>34.034599999999998</v>
      </c>
      <c r="Z36" s="24">
        <v>42.972334375000003</v>
      </c>
      <c r="AA36" s="24">
        <v>44.820353124999997</v>
      </c>
      <c r="AB36" s="25">
        <v>3180.25</v>
      </c>
      <c r="AC36" s="25">
        <v>33565</v>
      </c>
      <c r="AD36" s="25">
        <v>188.30600000000001</v>
      </c>
      <c r="AE36" s="25">
        <v>151.74100000000001</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8" t="e">
        <f t="shared" si="12"/>
        <v>#VALUE!</v>
      </c>
      <c r="BF36" s="26" t="e">
        <f t="shared" si="13"/>
        <v>#DIV/0!</v>
      </c>
      <c r="BG36" s="26" t="e">
        <f t="shared" si="14"/>
        <v>#VALUE!</v>
      </c>
      <c r="BH36" s="26"/>
      <c r="BJ36" s="58"/>
      <c r="BK36" s="58"/>
      <c r="BL36" s="58"/>
      <c r="BM36" s="58"/>
      <c r="BN36" s="58"/>
      <c r="BP36" s="58"/>
      <c r="BQ36" s="58"/>
      <c r="BR36" s="58"/>
      <c r="BS36" s="58"/>
      <c r="BT36" s="58"/>
    </row>
    <row r="37" spans="1:72" outlineLevel="1" x14ac:dyDescent="0.3">
      <c r="A37" s="129"/>
      <c r="B37" s="129" t="s">
        <v>80</v>
      </c>
      <c r="C37" s="10" t="s">
        <v>232</v>
      </c>
      <c r="D37" s="129">
        <v>333190689</v>
      </c>
      <c r="E37" s="10">
        <v>11</v>
      </c>
      <c r="F37" s="10">
        <v>32</v>
      </c>
      <c r="G37" s="10">
        <v>30</v>
      </c>
      <c r="I37" s="11">
        <f t="shared" si="0"/>
        <v>8.8729049999999994</v>
      </c>
      <c r="J37" s="12">
        <f t="shared" si="1"/>
        <v>2.8405451630132438E-2</v>
      </c>
      <c r="K37" s="12">
        <f t="shared" si="2"/>
        <v>1.7355539007874256E-2</v>
      </c>
      <c r="L37" s="12">
        <f t="shared" si="3"/>
        <v>1.3426617692789128E-2</v>
      </c>
      <c r="M37" s="12">
        <f t="shared" si="4"/>
        <v>1.1049912622258181E-2</v>
      </c>
      <c r="N37" s="129">
        <f t="shared" si="5"/>
        <v>5782704</v>
      </c>
      <c r="O37" s="12">
        <v>16</v>
      </c>
      <c r="P37" s="13">
        <v>81787481</v>
      </c>
      <c r="Q37" s="13">
        <v>2555858.78125</v>
      </c>
      <c r="R37" s="13">
        <v>42911.78125</v>
      </c>
      <c r="S37" s="14">
        <v>9464432</v>
      </c>
      <c r="T37" s="14">
        <v>4473624</v>
      </c>
      <c r="U37" s="14">
        <v>1309080</v>
      </c>
      <c r="V37" s="14">
        <v>3681728</v>
      </c>
      <c r="W37" s="15">
        <v>76.246068750000006</v>
      </c>
      <c r="X37" s="15">
        <v>78.937634375000002</v>
      </c>
      <c r="Y37" s="15">
        <v>36.127487500000001</v>
      </c>
      <c r="Z37" s="15">
        <v>43.536346875</v>
      </c>
      <c r="AA37" s="15">
        <v>46.109228125000001</v>
      </c>
      <c r="AB37" s="16">
        <v>3191.19</v>
      </c>
      <c r="AC37" s="16">
        <v>35087.4</v>
      </c>
      <c r="AD37" s="16">
        <v>192.01300000000001</v>
      </c>
      <c r="AE37" s="16">
        <v>153.66499999999999</v>
      </c>
      <c r="AG37" s="11" t="str">
        <f t="shared" si="6"/>
        <v>·</v>
      </c>
      <c r="AH37" s="12" t="str">
        <f t="shared" si="7"/>
        <v>·</v>
      </c>
      <c r="AI37" s="12" t="str">
        <f t="shared" si="8"/>
        <v>·</v>
      </c>
      <c r="AJ37" s="12" t="str">
        <f t="shared" si="9"/>
        <v>·</v>
      </c>
      <c r="AK37" s="12" t="str">
        <f t="shared" si="10"/>
        <v>·</v>
      </c>
      <c r="AL37" s="129" t="str">
        <f t="shared" si="11"/>
        <v/>
      </c>
      <c r="AM37" s="12">
        <v>16</v>
      </c>
      <c r="AN37" s="13"/>
      <c r="AO37" s="13"/>
      <c r="AP37" s="13"/>
      <c r="AQ37" s="14"/>
      <c r="AR37" s="14"/>
      <c r="AS37" s="14"/>
      <c r="AT37" s="14"/>
      <c r="AU37" s="15"/>
      <c r="AV37" s="15"/>
      <c r="AW37" s="15"/>
      <c r="AX37" s="15"/>
      <c r="AY37" s="15"/>
      <c r="AZ37" s="16"/>
      <c r="BA37" s="16"/>
      <c r="BB37" s="16"/>
      <c r="BC37" s="16"/>
      <c r="BE37" s="62" t="e">
        <f t="shared" si="12"/>
        <v>#VALUE!</v>
      </c>
      <c r="BF37" s="17" t="e">
        <f t="shared" si="13"/>
        <v>#DIV/0!</v>
      </c>
      <c r="BG37" s="17" t="e">
        <f t="shared" si="14"/>
        <v>#VALUE!</v>
      </c>
      <c r="BH37" s="17"/>
      <c r="BJ37" s="62"/>
      <c r="BK37" s="62"/>
      <c r="BL37" s="62"/>
      <c r="BM37" s="62"/>
      <c r="BN37" s="62"/>
      <c r="BP37" s="62"/>
      <c r="BQ37" s="62"/>
      <c r="BR37" s="62"/>
      <c r="BS37" s="62"/>
      <c r="BT37" s="62"/>
    </row>
    <row r="38" spans="1:72" outlineLevel="1" x14ac:dyDescent="0.3">
      <c r="A38" s="18"/>
      <c r="B38" s="18" t="s">
        <v>80</v>
      </c>
      <c r="C38" s="19" t="s">
        <v>233</v>
      </c>
      <c r="D38" s="18">
        <v>333190689</v>
      </c>
      <c r="E38" s="19">
        <v>11</v>
      </c>
      <c r="F38" s="19">
        <v>32</v>
      </c>
      <c r="G38" s="19">
        <v>30</v>
      </c>
      <c r="I38" s="20">
        <f t="shared" si="0"/>
        <v>14.378130000000001</v>
      </c>
      <c r="J38" s="21">
        <f t="shared" si="1"/>
        <v>4.6029713633444304E-2</v>
      </c>
      <c r="K38" s="21">
        <f t="shared" si="2"/>
        <v>2.3624789827185116E-2</v>
      </c>
      <c r="L38" s="21">
        <f t="shared" si="3"/>
        <v>1.9695868512099989E-2</v>
      </c>
      <c r="M38" s="21">
        <f t="shared" si="4"/>
        <v>2.2404923806259185E-2</v>
      </c>
      <c r="N38" s="18">
        <f t="shared" si="5"/>
        <v>7871560</v>
      </c>
      <c r="O38" s="21">
        <v>16</v>
      </c>
      <c r="P38" s="22">
        <v>83859347</v>
      </c>
      <c r="Q38" s="22">
        <v>2620604.59375</v>
      </c>
      <c r="R38" s="22">
        <v>48103.65625</v>
      </c>
      <c r="S38" s="23">
        <v>15336672</v>
      </c>
      <c r="T38" s="23">
        <v>6562480</v>
      </c>
      <c r="U38" s="23">
        <v>1309080</v>
      </c>
      <c r="V38" s="23">
        <v>7465112</v>
      </c>
      <c r="W38" s="24">
        <v>77.415709375000006</v>
      </c>
      <c r="X38" s="24">
        <v>80.131399999999999</v>
      </c>
      <c r="Y38" s="24">
        <v>38.083593749999999</v>
      </c>
      <c r="Z38" s="24">
        <v>44.197806249999999</v>
      </c>
      <c r="AA38" s="24">
        <v>47.240556249999997</v>
      </c>
      <c r="AB38" s="25">
        <v>3195.31</v>
      </c>
      <c r="AC38" s="25">
        <v>36959.699999999997</v>
      </c>
      <c r="AD38" s="25">
        <v>198.09399999999999</v>
      </c>
      <c r="AE38" s="25">
        <v>158.89699999999999</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8" t="e">
        <f t="shared" si="12"/>
        <v>#VALUE!</v>
      </c>
      <c r="BF38" s="26" t="e">
        <f t="shared" si="13"/>
        <v>#DIV/0!</v>
      </c>
      <c r="BG38" s="26" t="e">
        <f t="shared" si="14"/>
        <v>#VALUE!</v>
      </c>
      <c r="BH38" s="26"/>
      <c r="BJ38" s="58"/>
      <c r="BK38" s="58"/>
      <c r="BL38" s="58"/>
      <c r="BM38" s="58"/>
      <c r="BN38" s="58"/>
      <c r="BP38" s="58"/>
      <c r="BQ38" s="58"/>
      <c r="BR38" s="58"/>
      <c r="BS38" s="58"/>
      <c r="BT38" s="58"/>
    </row>
    <row r="39" spans="1:72" outlineLevel="1" x14ac:dyDescent="0.3">
      <c r="A39" s="27"/>
      <c r="B39" s="27" t="s">
        <v>80</v>
      </c>
      <c r="C39" s="28" t="s">
        <v>234</v>
      </c>
      <c r="D39" s="27">
        <v>333190689</v>
      </c>
      <c r="E39" s="28">
        <v>11</v>
      </c>
      <c r="F39" s="28">
        <v>32</v>
      </c>
      <c r="G39" s="28">
        <v>30</v>
      </c>
      <c r="I39" s="29">
        <f t="shared" si="0"/>
        <v>28.611952500000001</v>
      </c>
      <c r="J39" s="30">
        <f t="shared" si="1"/>
        <v>9.1597445569674973E-2</v>
      </c>
      <c r="K39" s="30">
        <f t="shared" si="2"/>
        <v>3.8382729236470348E-2</v>
      </c>
      <c r="L39" s="30">
        <f t="shared" si="3"/>
        <v>3.036807550165365E-2</v>
      </c>
      <c r="M39" s="30">
        <f t="shared" si="4"/>
        <v>5.3214716333204619E-2</v>
      </c>
      <c r="N39" s="27">
        <f t="shared" si="5"/>
        <v>12788768</v>
      </c>
      <c r="O39" s="30">
        <v>16</v>
      </c>
      <c r="P39" s="31">
        <v>82067544</v>
      </c>
      <c r="Q39" s="31">
        <v>2564610.75</v>
      </c>
      <c r="R39" s="31">
        <v>19264.46875</v>
      </c>
      <c r="S39" s="32">
        <v>30519416</v>
      </c>
      <c r="T39" s="32">
        <v>10118360</v>
      </c>
      <c r="U39" s="32">
        <v>2670408</v>
      </c>
      <c r="V39" s="32">
        <v>17730648</v>
      </c>
      <c r="W39" s="33">
        <v>78.311515624999998</v>
      </c>
      <c r="X39" s="33">
        <v>81.848193749999993</v>
      </c>
      <c r="Y39" s="33">
        <v>40.159621874999999</v>
      </c>
      <c r="Z39" s="33">
        <v>45.117593749999997</v>
      </c>
      <c r="AA39" s="33">
        <v>48.624606249999999</v>
      </c>
      <c r="AB39" s="34">
        <v>3170.38</v>
      </c>
      <c r="AC39" s="34">
        <v>39835.800000000003</v>
      </c>
      <c r="AD39" s="34">
        <v>192.922</v>
      </c>
      <c r="AE39" s="34">
        <v>165.00899999999999</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3">
      <c r="B40" s="47" t="s">
        <v>14</v>
      </c>
      <c r="J40" s="48">
        <f>AVERAGE(J5:J24)</f>
        <v>1.7564183233861407E-2</v>
      </c>
      <c r="K40" s="48">
        <f>AVERAGE(K5:K24)</f>
        <v>9.4889194359987477E-3</v>
      </c>
      <c r="L40" s="48">
        <f>AVERAGE(L5:L24)</f>
        <v>6.9516832599163803E-3</v>
      </c>
      <c r="M40" s="48">
        <f>AVERAGE(M5:M24)</f>
        <v>8.0752637978626605E-3</v>
      </c>
      <c r="AH40" s="48" t="e">
        <f>AVERAGE(AH5:AH24)</f>
        <v>#DIV/0!</v>
      </c>
      <c r="AI40" s="48" t="e">
        <f>AVERAGE(AI5:AI24)</f>
        <v>#DIV/0!</v>
      </c>
      <c r="AJ40" s="48" t="e">
        <f>AVERAGE(AJ5:AJ24)</f>
        <v>#DIV/0!</v>
      </c>
      <c r="AK40" s="48" t="e">
        <f>AVERAGE(AK5:AK24)</f>
        <v>#DIV/0!</v>
      </c>
      <c r="BE40" s="71" t="e">
        <f t="shared" si="12"/>
        <v>#DIV/0!</v>
      </c>
      <c r="BH40" s="151" t="e">
        <f>AVERAGE(BH5:BH24)</f>
        <v>#VALUE!</v>
      </c>
      <c r="BJ40" s="71" t="e">
        <f>AVERAGE(BJ5:BJ24)</f>
        <v>#DIV/0!</v>
      </c>
      <c r="BK40" s="71" t="e">
        <f>AVERAGE(BK5:BK24)</f>
        <v>#DIV/0!</v>
      </c>
      <c r="BL40" s="71" t="e">
        <f>AVERAGE(BL5:BL24)</f>
        <v>#DIV/0!</v>
      </c>
      <c r="BM40" s="71" t="e">
        <f>AVERAGE(BM5:BM24)</f>
        <v>#DIV/0!</v>
      </c>
      <c r="BN40" s="71" t="e">
        <f>AVERAGE(BN5:BN24)</f>
        <v>#DIV/0!</v>
      </c>
      <c r="BP40" s="71" t="e">
        <f>AVERAGE(BP5:BP24)</f>
        <v>#DIV/0!</v>
      </c>
      <c r="BQ40" s="71" t="e">
        <f>AVERAGE(BQ5:BQ24)</f>
        <v>#DIV/0!</v>
      </c>
      <c r="BR40" s="71" t="e">
        <f>AVERAGE(BR5:BR24)</f>
        <v>#DIV/0!</v>
      </c>
      <c r="BS40" s="71" t="e">
        <f>AVERAGE(BS5:BS24)</f>
        <v>#DIV/0!</v>
      </c>
      <c r="BT40" s="71" t="e">
        <f>AVERAGE(BT5:BT24)</f>
        <v>#DIV/0!</v>
      </c>
    </row>
    <row r="41" spans="1:72" x14ac:dyDescent="0.3">
      <c r="B41" s="47" t="s">
        <v>15</v>
      </c>
      <c r="J41" s="48">
        <f>AVERAGE(J25:J29)</f>
        <v>3.8119485942368504E-2</v>
      </c>
      <c r="K41" s="48">
        <f>AVERAGE(K25:K29)</f>
        <v>1.1358794814024381E-2</v>
      </c>
      <c r="L41" s="48">
        <f>AVERAGE(L25:L29)</f>
        <v>8.7672756735900897E-3</v>
      </c>
      <c r="M41" s="48">
        <f>AVERAGE(M25:M29)</f>
        <v>2.6760691128344116E-2</v>
      </c>
      <c r="AH41" s="48" t="e">
        <f>AVERAGE(AH25:AH29)</f>
        <v>#DIV/0!</v>
      </c>
      <c r="AI41" s="48" t="e">
        <f>AVERAGE(AI25:AI29)</f>
        <v>#DIV/0!</v>
      </c>
      <c r="AJ41" s="48" t="e">
        <f>AVERAGE(AJ25:AJ29)</f>
        <v>#DIV/0!</v>
      </c>
      <c r="AK41" s="48" t="e">
        <f>AVERAGE(AK25:AK29)</f>
        <v>#DIV/0!</v>
      </c>
      <c r="BE41" s="71" t="e">
        <f t="shared" si="12"/>
        <v>#DIV/0!</v>
      </c>
      <c r="BH41" s="151" t="e">
        <f>AVERAGE(BH25:BH29)</f>
        <v>#VALUE!</v>
      </c>
      <c r="BJ41" s="71" t="e">
        <f>AVERAGE(BJ25:BJ29)</f>
        <v>#DIV/0!</v>
      </c>
      <c r="BK41" s="71" t="e">
        <f>AVERAGE(BK25:BK29)</f>
        <v>#DIV/0!</v>
      </c>
      <c r="BL41" s="71" t="e">
        <f>AVERAGE(BL25:BL29)</f>
        <v>#DIV/0!</v>
      </c>
      <c r="BM41" s="71" t="e">
        <f>AVERAGE(BM25:BM29)</f>
        <v>#DIV/0!</v>
      </c>
      <c r="BN41" s="71" t="e">
        <f>AVERAGE(BN25:BN29)</f>
        <v>#DIV/0!</v>
      </c>
      <c r="BP41" s="71" t="e">
        <f>AVERAGE(BP25:BP29)</f>
        <v>#DIV/0!</v>
      </c>
      <c r="BQ41" s="71" t="e">
        <f>AVERAGE(BQ25:BQ29)</f>
        <v>#DIV/0!</v>
      </c>
      <c r="BR41" s="71" t="e">
        <f>AVERAGE(BR25:BR29)</f>
        <v>#DIV/0!</v>
      </c>
      <c r="BS41" s="71" t="e">
        <f>AVERAGE(BS25:BS29)</f>
        <v>#DIV/0!</v>
      </c>
      <c r="BT41" s="71" t="e">
        <f>AVERAGE(BT25:BT29)</f>
        <v>#DIV/0!</v>
      </c>
    </row>
    <row r="42" spans="1:72" x14ac:dyDescent="0.3">
      <c r="B42" s="47" t="s">
        <v>16</v>
      </c>
      <c r="J42" s="48">
        <f>AVERAGE(J30:J39)</f>
        <v>3.4941639825559201E-2</v>
      </c>
      <c r="K42" s="48">
        <f>AVERAGE(K30:K39)</f>
        <v>1.8518009893316555E-2</v>
      </c>
      <c r="L42" s="48">
        <f>AVERAGE(L30:L39)</f>
        <v>1.4301451090252094E-2</v>
      </c>
      <c r="M42" s="48">
        <f>AVERAGE(M30:M39)</f>
        <v>1.6423629932242643E-2</v>
      </c>
      <c r="AH42" s="48" t="e">
        <f>AVERAGE(AH30:AH39)</f>
        <v>#DIV/0!</v>
      </c>
      <c r="AI42" s="48" t="e">
        <f>AVERAGE(AI30:AI39)</f>
        <v>#DIV/0!</v>
      </c>
      <c r="AJ42" s="48" t="e">
        <f>AVERAGE(AJ30:AJ39)</f>
        <v>#DIV/0!</v>
      </c>
      <c r="AK42" s="48" t="e">
        <f>AVERAGE(AK30:AK39)</f>
        <v>#DIV/0!</v>
      </c>
      <c r="BE42" s="71" t="e">
        <f t="shared" si="12"/>
        <v>#DIV/0!</v>
      </c>
      <c r="BH42" s="151" t="e">
        <f>AVERAGE(BH30:BH39)</f>
        <v>#VALUE!</v>
      </c>
      <c r="BJ42" s="71" t="e">
        <f>AVERAGE(BJ30:BJ39)</f>
        <v>#DIV/0!</v>
      </c>
      <c r="BK42" s="71" t="e">
        <f>AVERAGE(BK30:BK39)</f>
        <v>#DIV/0!</v>
      </c>
      <c r="BL42" s="71" t="e">
        <f>AVERAGE(BL30:BL39)</f>
        <v>#DIV/0!</v>
      </c>
      <c r="BM42" s="71" t="e">
        <f>AVERAGE(BM30:BM39)</f>
        <v>#DIV/0!</v>
      </c>
      <c r="BN42" s="71" t="e">
        <f>AVERAGE(BN30:BN39)</f>
        <v>#DIV/0!</v>
      </c>
      <c r="BP42" s="71" t="e">
        <f>AVERAGE(BP30:BP39)</f>
        <v>#DIV/0!</v>
      </c>
      <c r="BQ42" s="71" t="e">
        <f>AVERAGE(BQ30:BQ39)</f>
        <v>#DIV/0!</v>
      </c>
      <c r="BR42" s="71" t="e">
        <f>AVERAGE(BR30:BR39)</f>
        <v>#DIV/0!</v>
      </c>
      <c r="BS42" s="71" t="e">
        <f>AVERAGE(BS30:BS39)</f>
        <v>#DIV/0!</v>
      </c>
      <c r="BT42" s="71" t="e">
        <f>AVERAGE(BT30:BT39)</f>
        <v>#DIV/0!</v>
      </c>
    </row>
    <row r="43" spans="1:72" x14ac:dyDescent="0.3">
      <c r="B43" s="47" t="s">
        <v>17</v>
      </c>
      <c r="J43" s="48">
        <f>AVERAGE(J5:J39)</f>
        <v>2.5465642646990361E-2</v>
      </c>
      <c r="K43" s="48">
        <f>AVERAGE(K5:K39)</f>
        <v>1.2335784620664638E-2</v>
      </c>
      <c r="L43" s="48">
        <f>AVERAGE(L5:L39)</f>
        <v>9.3109872705371133E-3</v>
      </c>
      <c r="M43" s="48">
        <f>AVERAGE(M5:M39)</f>
        <v>1.3129858026325721E-2</v>
      </c>
      <c r="AH43" s="48" t="e">
        <f>AVERAGE(AH5:AH39)</f>
        <v>#DIV/0!</v>
      </c>
      <c r="AI43" s="48" t="e">
        <f>AVERAGE(AI5:AI39)</f>
        <v>#DIV/0!</v>
      </c>
      <c r="AJ43" s="48" t="e">
        <f>AVERAGE(AJ5:AJ39)</f>
        <v>#DIV/0!</v>
      </c>
      <c r="AK43" s="48" t="e">
        <f>AVERAGE(AK5:AK39)</f>
        <v>#DIV/0!</v>
      </c>
      <c r="BE43" s="71" t="e">
        <f t="shared" si="12"/>
        <v>#DIV/0!</v>
      </c>
      <c r="BH43" s="151" t="e">
        <f>AVERAGE(BH5:BH39)</f>
        <v>#VALUE!</v>
      </c>
      <c r="BJ43" s="71" t="e">
        <f>AVERAGE(BJ5:BJ39)</f>
        <v>#DIV/0!</v>
      </c>
      <c r="BK43" s="71" t="e">
        <f>AVERAGE(BK5:BK39)</f>
        <v>#DIV/0!</v>
      </c>
      <c r="BL43" s="71" t="e">
        <f>AVERAGE(BL5:BL39)</f>
        <v>#DIV/0!</v>
      </c>
      <c r="BM43" s="71" t="e">
        <f>AVERAGE(BM5:BM39)</f>
        <v>#DIV/0!</v>
      </c>
      <c r="BN43" s="71" t="e">
        <f>AVERAGE(BN5:BN39)</f>
        <v>#DIV/0!</v>
      </c>
      <c r="BP43" s="71" t="e">
        <f>AVERAGE(BP5:BP39)</f>
        <v>#DIV/0!</v>
      </c>
      <c r="BQ43" s="71" t="e">
        <f>AVERAGE(BQ5:BQ39)</f>
        <v>#DIV/0!</v>
      </c>
      <c r="BR43" s="71" t="e">
        <f>AVERAGE(BR5:BR39)</f>
        <v>#DIV/0!</v>
      </c>
      <c r="BS43" s="71" t="e">
        <f>AVERAGE(BS5:BS39)</f>
        <v>#DIV/0!</v>
      </c>
      <c r="BT43" s="71" t="e">
        <f>AVERAGE(BT5:BT39)</f>
        <v>#DIV/0!</v>
      </c>
    </row>
    <row r="44" spans="1:72" hidden="1" outlineLevel="2" x14ac:dyDescent="0.3">
      <c r="A44" s="47" t="s">
        <v>237</v>
      </c>
      <c r="B44" s="47" t="s">
        <v>238</v>
      </c>
      <c r="AB44" s="49">
        <f>SUM(AB5:AB24,AB25:AB29,AB30:AB39)</f>
        <v>123144.56000000003</v>
      </c>
      <c r="AC44" s="49">
        <f>SUM(AC5:AC24,AC25:AC29,AC30:AC39)</f>
        <v>485831.59000000008</v>
      </c>
      <c r="AD44" s="49">
        <f>SUM(AD5:AD24,AD25:AD29,AD30:AD39)</f>
        <v>3538.3399999999992</v>
      </c>
      <c r="AE44" s="49">
        <f>SUM(AE5:AE24,AE25:AE29,AE30:AE39)</f>
        <v>2290.5690000000004</v>
      </c>
      <c r="AZ44" s="49">
        <f>SUM(AZ5:AZ24,AZ25:AZ29,AZ30:AZ39)</f>
        <v>0</v>
      </c>
      <c r="BA44" s="49">
        <f>SUM(BA5:BA24,BA25:BA29,BA30:BA39)</f>
        <v>0</v>
      </c>
      <c r="BB44" s="49">
        <f>SUM(BB5:BB24,BB25:BB29,BB30:BB39)</f>
        <v>0</v>
      </c>
      <c r="BC44" s="49">
        <f>SUM(BC5:BC24,BC25:BC29,BC30:BC39)</f>
        <v>0</v>
      </c>
    </row>
    <row r="45" spans="1:72" hidden="1" outlineLevel="2" x14ac:dyDescent="0.3">
      <c r="B45" s="47" t="s">
        <v>239</v>
      </c>
      <c r="AZ45" s="151">
        <f>AZ44/AB44</f>
        <v>0</v>
      </c>
      <c r="BA45" s="151">
        <f>BA44/AC44</f>
        <v>0</v>
      </c>
      <c r="BB45" s="151">
        <f>BB44/AD44</f>
        <v>0</v>
      </c>
      <c r="BC45" s="151">
        <f>BC44/AE44</f>
        <v>0</v>
      </c>
    </row>
    <row r="46" spans="1:72" hidden="1" outlineLevel="2" x14ac:dyDescent="0.3">
      <c r="B46" s="47" t="s">
        <v>240</v>
      </c>
      <c r="AB46" s="49">
        <f>GEOMEAN(AB5:AB24,AB25:AB29,AB30:AB39)</f>
        <v>3345.6278215170846</v>
      </c>
      <c r="AC46" s="49">
        <f>GEOMEAN(AC5:AC24,AC25:AC29,AC30:AC39)</f>
        <v>9898.95007685567</v>
      </c>
      <c r="AD46" s="49">
        <f>GEOMEAN(AD5:AD24,AD25:AD29,AD30:AD39)</f>
        <v>85.01226721569968</v>
      </c>
      <c r="AE46" s="49">
        <f>GEOMEAN(AE5:AE24,AE25:AE29,AE30:AE39)</f>
        <v>48.137261057738684</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3">
      <c r="B47" s="47" t="s">
        <v>241</v>
      </c>
      <c r="AZ47" s="151" t="e">
        <f>AZ46/AB46</f>
        <v>#NUM!</v>
      </c>
      <c r="BA47" s="151" t="e">
        <f>BA46/AC46</f>
        <v>#NUM!</v>
      </c>
      <c r="BB47" s="151" t="e">
        <f>BB46/AD46</f>
        <v>#NUM!</v>
      </c>
      <c r="BC47" s="151"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81" priority="17" operator="greaterThanOrEqual">
      <formula>1.03</formula>
    </cfRule>
    <cfRule type="cellIs" dxfId="8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79" priority="1" operator="greaterThanOrEqual">
      <formula>0.03</formula>
    </cfRule>
    <cfRule type="cellIs" dxfId="7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77" priority="3" operator="greaterThanOrEqual">
      <formula>0.03</formula>
    </cfRule>
    <cfRule type="cellIs" dxfId="7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75" priority="19" operator="greaterThanOrEqual">
      <formula>0.03</formula>
    </cfRule>
    <cfRule type="cellIs" dxfId="7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73" priority="9" operator="greaterThanOrEqual">
      <formula>0.03</formula>
    </cfRule>
    <cfRule type="cellIs" dxfId="7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71" priority="7" operator="greaterThanOrEqual">
      <formula>0.03</formula>
    </cfRule>
    <cfRule type="cellIs" dxfId="7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69" priority="21" operator="greaterThanOrEqual">
      <formula>0.03</formula>
    </cfRule>
    <cfRule type="cellIs" dxfId="6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67" priority="11" operator="greaterThanOrEqual">
      <formula>0.03</formula>
    </cfRule>
    <cfRule type="cellIs" dxfId="6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65" priority="15" operator="greaterThanOrEqual">
      <formula>0.03</formula>
    </cfRule>
    <cfRule type="cellIs" dxfId="6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63" priority="13" operator="greaterThanOrEqual">
      <formula>0.03</formula>
    </cfRule>
    <cfRule type="cellIs" dxfId="6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61" priority="5" operator="greaterThanOrEqual">
      <formula>0.03</formula>
    </cfRule>
    <cfRule type="cellIs" dxfId="60" priority="6" operator="lessThanOrEqual">
      <formula>-0.03</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V74"/>
  <sheetViews>
    <sheetView workbookViewId="0"/>
  </sheetViews>
  <sheetFormatPr defaultRowHeight="14.4" x14ac:dyDescent="0.3"/>
  <cols>
    <col min="1" max="1" width="8.88671875" style="76" customWidth="1"/>
    <col min="2" max="2" width="3" style="76" customWidth="1"/>
    <col min="3" max="3" width="7.109375" style="76" customWidth="1"/>
    <col min="20" max="22" width="8.88671875" style="76" customWidth="1"/>
  </cols>
  <sheetData>
    <row r="1" spans="2:21" ht="15" customHeight="1" thickBot="1" x14ac:dyDescent="0.35"/>
    <row r="2" spans="2:21" ht="15" customHeight="1" thickBot="1" x14ac:dyDescent="0.35">
      <c r="B2" s="175" t="s">
        <v>137</v>
      </c>
      <c r="C2" s="177" t="s">
        <v>574</v>
      </c>
      <c r="D2" s="181" t="s">
        <v>575</v>
      </c>
      <c r="E2" s="172"/>
      <c r="F2" s="172"/>
      <c r="G2" s="173"/>
      <c r="H2" s="171" t="s">
        <v>576</v>
      </c>
      <c r="I2" s="172"/>
      <c r="J2" s="172"/>
      <c r="K2" s="173"/>
      <c r="L2" s="181" t="s">
        <v>577</v>
      </c>
      <c r="M2" s="172"/>
      <c r="N2" s="172"/>
      <c r="O2" s="172"/>
      <c r="P2" s="173"/>
      <c r="Q2" s="171" t="s">
        <v>578</v>
      </c>
      <c r="R2" s="172"/>
      <c r="S2" s="172"/>
      <c r="T2" s="172"/>
      <c r="U2" s="173"/>
    </row>
    <row r="3" spans="2:21" x14ac:dyDescent="0.3">
      <c r="B3" s="187"/>
      <c r="C3" s="188"/>
      <c r="D3" s="182" t="s">
        <v>22</v>
      </c>
      <c r="E3" s="183"/>
      <c r="F3" s="183"/>
      <c r="G3" s="180"/>
      <c r="H3" s="184" t="s">
        <v>22</v>
      </c>
      <c r="I3" s="183"/>
      <c r="J3" s="183"/>
      <c r="K3" s="180"/>
      <c r="L3" s="185" t="s">
        <v>7</v>
      </c>
      <c r="M3" s="161"/>
      <c r="N3" s="182" t="s">
        <v>8</v>
      </c>
      <c r="O3" s="183"/>
      <c r="P3" s="180"/>
      <c r="Q3" s="186" t="s">
        <v>7</v>
      </c>
      <c r="R3" s="183"/>
      <c r="S3" s="182" t="s">
        <v>8</v>
      </c>
      <c r="T3" s="183"/>
      <c r="U3" s="180"/>
    </row>
    <row r="4" spans="2:21" ht="15" customHeight="1" thickBot="1" x14ac:dyDescent="0.35">
      <c r="B4" s="176"/>
      <c r="C4" s="178"/>
      <c r="D4" s="152" t="s">
        <v>25</v>
      </c>
      <c r="E4" s="152" t="s">
        <v>579</v>
      </c>
      <c r="F4" s="152" t="s">
        <v>580</v>
      </c>
      <c r="G4" s="152" t="s">
        <v>24</v>
      </c>
      <c r="H4" s="77" t="s">
        <v>25</v>
      </c>
      <c r="I4" s="152" t="s">
        <v>579</v>
      </c>
      <c r="J4" s="152" t="s">
        <v>580</v>
      </c>
      <c r="K4" s="78" t="s">
        <v>24</v>
      </c>
      <c r="L4" s="79" t="s">
        <v>9</v>
      </c>
      <c r="M4" s="79" t="s">
        <v>10</v>
      </c>
      <c r="N4" s="79" t="s">
        <v>11</v>
      </c>
      <c r="O4" s="79" t="s">
        <v>581</v>
      </c>
      <c r="P4" s="51" t="s">
        <v>582</v>
      </c>
      <c r="Q4" s="50" t="s">
        <v>9</v>
      </c>
      <c r="R4" s="79" t="s">
        <v>10</v>
      </c>
      <c r="S4" s="79" t="s">
        <v>11</v>
      </c>
      <c r="T4" s="79" t="s">
        <v>583</v>
      </c>
      <c r="U4" s="51" t="s">
        <v>582</v>
      </c>
    </row>
    <row r="5" spans="2:21" x14ac:dyDescent="0.3">
      <c r="B5" s="52" t="s">
        <v>584</v>
      </c>
      <c r="C5" s="80" t="s">
        <v>585</v>
      </c>
      <c r="D5" s="62" t="e">
        <f>'CW losslG,losslA,intra'!BB5</f>
        <v>#VALUE!</v>
      </c>
      <c r="E5" s="62" t="e">
        <f>'CW losslG,losslA,intra'!BC5</f>
        <v>#VALUE!</v>
      </c>
      <c r="F5" s="62" t="e">
        <f>'CW losslG,losslA,intra'!BD5</f>
        <v>#VALUE!</v>
      </c>
      <c r="G5" s="62" t="e">
        <f>'CW losslG,losslA,intra'!BE5</f>
        <v>#VALUE!</v>
      </c>
      <c r="H5" s="61" t="e">
        <f>'CW losslG,losslA,interLD'!BB5</f>
        <v>#VALUE!</v>
      </c>
      <c r="I5" s="62" t="e">
        <f>'CW losslG,losslA,interLD'!BC5</f>
        <v>#VALUE!</v>
      </c>
      <c r="J5" s="62" t="e">
        <f>'CW losslG,losslA,interLD'!BD5</f>
        <v>#VALUE!</v>
      </c>
      <c r="K5" s="63" t="e">
        <f>'CW losslG,losslA,interLD'!BE5</f>
        <v>#VALUE!</v>
      </c>
      <c r="L5" s="54" t="str">
        <f>'C2 lossyG,lossyA,intra'!BP5</f>
        <v>·</v>
      </c>
      <c r="M5" s="54" t="str">
        <f>'C2 lossyG,lossyA,intra'!BQ5</f>
        <v>·</v>
      </c>
      <c r="N5" s="54" t="str">
        <f>'C2 lossyG,lossyA,intra'!BR5</f>
        <v>·</v>
      </c>
      <c r="O5" s="54" t="str">
        <f>'C2 lossyG,lossyA,intra'!BS5</f>
        <v>·</v>
      </c>
      <c r="P5" s="55" t="str">
        <f>'C2 lossyG,lossyA,intra'!BT5</f>
        <v>·</v>
      </c>
      <c r="Q5" s="53" t="str">
        <f>'C2 lossyG,lossyA,interRA'!BP5</f>
        <v>·</v>
      </c>
      <c r="R5" s="54" t="str">
        <f>'C2 lossyG,lossyA,interRA'!BQ5</f>
        <v>·</v>
      </c>
      <c r="S5" s="54" t="str">
        <f>'C2 lossyG,lossyA,interRA'!BR5</f>
        <v>·</v>
      </c>
      <c r="T5" s="54" t="str">
        <f>'C2 lossyG,lossyA,interRA'!BS5</f>
        <v>·</v>
      </c>
      <c r="U5" s="55" t="str">
        <f>'C2 lossyG,lossyA,interRA'!BT5</f>
        <v>·</v>
      </c>
    </row>
    <row r="6" spans="2:21" x14ac:dyDescent="0.3">
      <c r="B6" s="56"/>
      <c r="C6" s="81" t="s">
        <v>586</v>
      </c>
      <c r="D6" s="58" t="e">
        <f>'CW losslG,losslA,intra'!BB6</f>
        <v>#VALUE!</v>
      </c>
      <c r="E6" s="58" t="e">
        <f>'CW losslG,losslA,intra'!BC6</f>
        <v>#VALUE!</v>
      </c>
      <c r="F6" s="58" t="e">
        <f>'CW losslG,losslA,intra'!BD6</f>
        <v>#VALUE!</v>
      </c>
      <c r="G6" s="58" t="e">
        <f>'CW losslG,losslA,intra'!BE6</f>
        <v>#VALUE!</v>
      </c>
      <c r="H6" s="57" t="e">
        <f>'CW losslG,losslA,interLD'!BB6</f>
        <v>#VALUE!</v>
      </c>
      <c r="I6" s="58" t="e">
        <f>'CW losslG,losslA,interLD'!BC6</f>
        <v>#VALUE!</v>
      </c>
      <c r="J6" s="58" t="e">
        <f>'CW losslG,losslA,interLD'!BD6</f>
        <v>#VALUE!</v>
      </c>
      <c r="K6" s="59" t="e">
        <f>'CW losslG,losslA,interLD'!BE6</f>
        <v>#VALUE!</v>
      </c>
      <c r="L6" s="58" t="str">
        <f>'C2 lossyG,lossyA,intra'!BP10</f>
        <v>·</v>
      </c>
      <c r="M6" s="58" t="str">
        <f>'C2 lossyG,lossyA,intra'!BQ10</f>
        <v>·</v>
      </c>
      <c r="N6" s="58" t="str">
        <f>'C2 lossyG,lossyA,intra'!BR10</f>
        <v>·</v>
      </c>
      <c r="O6" s="58" t="str">
        <f>'C2 lossyG,lossyA,intra'!BS10</f>
        <v>·</v>
      </c>
      <c r="P6" s="59" t="str">
        <f>'C2 lossyG,lossyA,intra'!BT10</f>
        <v>·</v>
      </c>
      <c r="Q6" s="57" t="str">
        <f>'C2 lossyG,lossyA,interRA'!BP10</f>
        <v>·</v>
      </c>
      <c r="R6" s="58" t="str">
        <f>'C2 lossyG,lossyA,interRA'!BQ10</f>
        <v>·</v>
      </c>
      <c r="S6" s="58" t="str">
        <f>'C2 lossyG,lossyA,interRA'!BR10</f>
        <v>·</v>
      </c>
      <c r="T6" s="58" t="str">
        <f>'C2 lossyG,lossyA,interRA'!BS10</f>
        <v>·</v>
      </c>
      <c r="U6" s="59" t="str">
        <f>'C2 lossyG,lossyA,interRA'!BT10</f>
        <v>·</v>
      </c>
    </row>
    <row r="7" spans="2:21" x14ac:dyDescent="0.3">
      <c r="B7" s="60"/>
      <c r="C7" s="82" t="s">
        <v>587</v>
      </c>
      <c r="D7" s="62" t="e">
        <f>'CW losslG,losslA,intra'!BB7</f>
        <v>#VALUE!</v>
      </c>
      <c r="E7" s="62" t="e">
        <f>'CW losslG,losslA,intra'!BC7</f>
        <v>#VALUE!</v>
      </c>
      <c r="F7" s="62" t="e">
        <f>'CW losslG,losslA,intra'!BD7</f>
        <v>#VALUE!</v>
      </c>
      <c r="G7" s="62" t="e">
        <f>'CW losslG,losslA,intra'!BE7</f>
        <v>#VALUE!</v>
      </c>
      <c r="H7" s="61" t="e">
        <f>'CW losslG,losslA,interLD'!BB7</f>
        <v>#VALUE!</v>
      </c>
      <c r="I7" s="62" t="e">
        <f>'CW losslG,losslA,interLD'!BC7</f>
        <v>#VALUE!</v>
      </c>
      <c r="J7" s="62" t="e">
        <f>'CW losslG,losslA,interLD'!BD7</f>
        <v>#VALUE!</v>
      </c>
      <c r="K7" s="63" t="e">
        <f>'CW losslG,losslA,interLD'!BE7</f>
        <v>#VALUE!</v>
      </c>
      <c r="L7" s="62" t="str">
        <f>'C2 lossyG,lossyA,intra'!BP15</f>
        <v>·</v>
      </c>
      <c r="M7" s="62" t="str">
        <f>'C2 lossyG,lossyA,intra'!BQ15</f>
        <v>·</v>
      </c>
      <c r="N7" s="62" t="str">
        <f>'C2 lossyG,lossyA,intra'!BR15</f>
        <v>·</v>
      </c>
      <c r="O7" s="62" t="str">
        <f>'C2 lossyG,lossyA,intra'!BS15</f>
        <v>·</v>
      </c>
      <c r="P7" s="63" t="str">
        <f>'C2 lossyG,lossyA,intra'!BT15</f>
        <v>·</v>
      </c>
      <c r="Q7" s="61" t="str">
        <f>'C2 lossyG,lossyA,interRA'!BP15</f>
        <v>·</v>
      </c>
      <c r="R7" s="62" t="str">
        <f>'C2 lossyG,lossyA,interRA'!BQ15</f>
        <v>·</v>
      </c>
      <c r="S7" s="62" t="str">
        <f>'C2 lossyG,lossyA,interRA'!BR15</f>
        <v>·</v>
      </c>
      <c r="T7" s="62" t="str">
        <f>'C2 lossyG,lossyA,interRA'!BS15</f>
        <v>·</v>
      </c>
      <c r="U7" s="63" t="str">
        <f>'C2 lossyG,lossyA,interRA'!BT15</f>
        <v>·</v>
      </c>
    </row>
    <row r="8" spans="2:21" ht="15" customHeight="1" thickBot="1" x14ac:dyDescent="0.35">
      <c r="B8" s="64"/>
      <c r="C8" s="83" t="s">
        <v>588</v>
      </c>
      <c r="D8" s="45" t="e">
        <f>'CW losslG,losslA,intra'!BB8</f>
        <v>#VALUE!</v>
      </c>
      <c r="E8" s="45" t="e">
        <f>'CW losslG,losslA,intra'!BC8</f>
        <v>#VALUE!</v>
      </c>
      <c r="F8" s="45" t="e">
        <f>'CW losslG,losslA,intra'!BD8</f>
        <v>#VALUE!</v>
      </c>
      <c r="G8" s="45" t="e">
        <f>'CW losslG,losslA,intra'!BE8</f>
        <v>#VALUE!</v>
      </c>
      <c r="H8" s="65" t="e">
        <f>'CW losslG,losslA,interLD'!BB8</f>
        <v>#VALUE!</v>
      </c>
      <c r="I8" s="45" t="e">
        <f>'CW losslG,losslA,interLD'!BC8</f>
        <v>#VALUE!</v>
      </c>
      <c r="J8" s="45" t="e">
        <f>'CW losslG,losslA,interLD'!BD8</f>
        <v>#VALUE!</v>
      </c>
      <c r="K8" s="66" t="e">
        <f>'CW losslG,losslA,interLD'!BE8</f>
        <v>#VALUE!</v>
      </c>
      <c r="L8" s="45" t="str">
        <f>'C2 lossyG,lossyA,intra'!BP20</f>
        <v>·</v>
      </c>
      <c r="M8" s="45" t="str">
        <f>'C2 lossyG,lossyA,intra'!BQ20</f>
        <v>·</v>
      </c>
      <c r="N8" s="45" t="str">
        <f>'C2 lossyG,lossyA,intra'!BR20</f>
        <v>·</v>
      </c>
      <c r="O8" s="45" t="str">
        <f>'C2 lossyG,lossyA,intra'!BS20</f>
        <v>·</v>
      </c>
      <c r="P8" s="66" t="str">
        <f>'C2 lossyG,lossyA,intra'!BT20</f>
        <v>·</v>
      </c>
      <c r="Q8" s="65" t="str">
        <f>'C2 lossyG,lossyA,interRA'!BP20</f>
        <v>·</v>
      </c>
      <c r="R8" s="45" t="str">
        <f>'C2 lossyG,lossyA,interRA'!BQ20</f>
        <v>·</v>
      </c>
      <c r="S8" s="45" t="str">
        <f>'C2 lossyG,lossyA,interRA'!BR20</f>
        <v>·</v>
      </c>
      <c r="T8" s="45" t="str">
        <f>'C2 lossyG,lossyA,interRA'!BS20</f>
        <v>·</v>
      </c>
      <c r="U8" s="66" t="str">
        <f>'C2 lossyG,lossyA,interRA'!BT20</f>
        <v>·</v>
      </c>
    </row>
    <row r="9" spans="2:21" ht="15" customHeight="1" thickBot="1" x14ac:dyDescent="0.35">
      <c r="B9" s="67" t="s">
        <v>589</v>
      </c>
      <c r="C9" s="84" t="s">
        <v>590</v>
      </c>
      <c r="D9" s="35" t="e">
        <f>'CW losslG,losslA,intra'!BB9</f>
        <v>#VALUE!</v>
      </c>
      <c r="E9" s="35" t="e">
        <f>'CW losslG,losslA,intra'!BC9</f>
        <v>#VALUE!</v>
      </c>
      <c r="F9" s="35" t="e">
        <f>'CW losslG,losslA,intra'!BD9</f>
        <v>#VALUE!</v>
      </c>
      <c r="G9" s="35" t="e">
        <f>'CW losslG,losslA,intra'!BE9</f>
        <v>#VALUE!</v>
      </c>
      <c r="H9" s="68" t="e">
        <f>'CW losslG,losslA,interLD'!BB9</f>
        <v>#VALUE!</v>
      </c>
      <c r="I9" s="35" t="e">
        <f>'CW losslG,losslA,interLD'!BC9</f>
        <v>#VALUE!</v>
      </c>
      <c r="J9" s="35" t="e">
        <f>'CW losslG,losslA,interLD'!BD9</f>
        <v>#VALUE!</v>
      </c>
      <c r="K9" s="69" t="e">
        <f>'CW losslG,losslA,interLD'!BE9</f>
        <v>#VALUE!</v>
      </c>
      <c r="L9" s="85" t="str">
        <f>'C2 lossyG,lossyA,intra'!BP25</f>
        <v>·</v>
      </c>
      <c r="M9" s="85" t="str">
        <f>'C2 lossyG,lossyA,intra'!BQ25</f>
        <v>·</v>
      </c>
      <c r="N9" s="85" t="str">
        <f>'C2 lossyG,lossyA,intra'!BR25</f>
        <v>·</v>
      </c>
      <c r="O9" s="85" t="str">
        <f>'C2 lossyG,lossyA,intra'!BS25</f>
        <v>·</v>
      </c>
      <c r="P9" s="86" t="str">
        <f>'C2 lossyG,lossyA,intra'!BT25</f>
        <v>·</v>
      </c>
      <c r="Q9" s="68" t="str">
        <f>'C2 lossyG,lossyA,interRA'!BP25</f>
        <v>·</v>
      </c>
      <c r="R9" s="35" t="str">
        <f>'C2 lossyG,lossyA,interRA'!BQ25</f>
        <v>·</v>
      </c>
      <c r="S9" s="35" t="str">
        <f>'C2 lossyG,lossyA,interRA'!BR25</f>
        <v>·</v>
      </c>
      <c r="T9" s="35" t="str">
        <f>'C2 lossyG,lossyA,interRA'!BS25</f>
        <v>·</v>
      </c>
      <c r="U9" s="69" t="str">
        <f>'C2 lossyG,lossyA,interRA'!BT25</f>
        <v>·</v>
      </c>
    </row>
    <row r="10" spans="2:21" x14ac:dyDescent="0.3">
      <c r="B10" s="52" t="s">
        <v>591</v>
      </c>
      <c r="C10" s="80" t="s">
        <v>592</v>
      </c>
      <c r="D10" s="58" t="e">
        <f>'CW losslG,losslA,intra'!BB10</f>
        <v>#VALUE!</v>
      </c>
      <c r="E10" s="58" t="e">
        <f>'CW losslG,losslA,intra'!BC10</f>
        <v>#VALUE!</v>
      </c>
      <c r="F10" s="58" t="e">
        <f>'CW losslG,losslA,intra'!BD10</f>
        <v>#VALUE!</v>
      </c>
      <c r="G10" s="58" t="e">
        <f>'CW losslG,losslA,intra'!BE10</f>
        <v>#VALUE!</v>
      </c>
      <c r="H10" s="57" t="e">
        <f>'CW losslG,losslA,interLD'!BB10</f>
        <v>#VALUE!</v>
      </c>
      <c r="I10" s="58" t="e">
        <f>'CW losslG,losslA,interLD'!BC10</f>
        <v>#VALUE!</v>
      </c>
      <c r="J10" s="58" t="e">
        <f>'CW losslG,losslA,interLD'!BD10</f>
        <v>#VALUE!</v>
      </c>
      <c r="K10" s="59" t="e">
        <f>'CW losslG,losslA,interLD'!BE10</f>
        <v>#VALUE!</v>
      </c>
      <c r="L10" s="54" t="str">
        <f>'C2 lossyG,lossyA,intra'!BP30</f>
        <v>·</v>
      </c>
      <c r="M10" s="54" t="str">
        <f>'C2 lossyG,lossyA,intra'!BQ30</f>
        <v>·</v>
      </c>
      <c r="N10" s="54" t="str">
        <f>'C2 lossyG,lossyA,intra'!BR30</f>
        <v>·</v>
      </c>
      <c r="O10" s="54" t="str">
        <f>'C2 lossyG,lossyA,intra'!BS30</f>
        <v>·</v>
      </c>
      <c r="P10" s="55" t="str">
        <f>'C2 lossyG,lossyA,intra'!BT30</f>
        <v>·</v>
      </c>
      <c r="Q10" s="53" t="str">
        <f>'C2 lossyG,lossyA,interRA'!BP30</f>
        <v>·</v>
      </c>
      <c r="R10" s="54" t="str">
        <f>'C2 lossyG,lossyA,interRA'!BQ30</f>
        <v>·</v>
      </c>
      <c r="S10" s="54" t="str">
        <f>'C2 lossyG,lossyA,interRA'!BR30</f>
        <v>·</v>
      </c>
      <c r="T10" s="54" t="str">
        <f>'C2 lossyG,lossyA,interRA'!BS30</f>
        <v>·</v>
      </c>
      <c r="U10" s="55" t="str">
        <f>'C2 lossyG,lossyA,interRA'!BT30</f>
        <v>·</v>
      </c>
    </row>
    <row r="11" spans="2:21" ht="15" customHeight="1" thickBot="1" x14ac:dyDescent="0.35">
      <c r="B11" s="67"/>
      <c r="C11" s="84" t="s">
        <v>593</v>
      </c>
      <c r="D11" s="35" t="e">
        <f>'CW losslG,losslA,intra'!BB11</f>
        <v>#VALUE!</v>
      </c>
      <c r="E11" s="35" t="e">
        <f>'CW losslG,losslA,intra'!BC11</f>
        <v>#VALUE!</v>
      </c>
      <c r="F11" s="35" t="e">
        <f>'CW losslG,losslA,intra'!BD11</f>
        <v>#VALUE!</v>
      </c>
      <c r="G11" s="35" t="e">
        <f>'CW losslG,losslA,intra'!BE11</f>
        <v>#VALUE!</v>
      </c>
      <c r="H11" s="68" t="e">
        <f>'CW losslG,losslA,interLD'!BB11</f>
        <v>#VALUE!</v>
      </c>
      <c r="I11" s="35" t="e">
        <f>'CW losslG,losslA,interLD'!BC11</f>
        <v>#VALUE!</v>
      </c>
      <c r="J11" s="35" t="e">
        <f>'CW losslG,losslA,interLD'!BD11</f>
        <v>#VALUE!</v>
      </c>
      <c r="K11" s="69" t="e">
        <f>'CW losslG,losslA,interLD'!BE11</f>
        <v>#VALUE!</v>
      </c>
      <c r="L11" s="35" t="str">
        <f>'C2 lossyG,lossyA,intra'!BP35</f>
        <v>·</v>
      </c>
      <c r="M11" s="35" t="str">
        <f>'C2 lossyG,lossyA,intra'!BQ35</f>
        <v>·</v>
      </c>
      <c r="N11" s="35" t="str">
        <f>'C2 lossyG,lossyA,intra'!BR35</f>
        <v>·</v>
      </c>
      <c r="O11" s="35" t="str">
        <f>'C2 lossyG,lossyA,intra'!BS35</f>
        <v>·</v>
      </c>
      <c r="P11" s="69" t="str">
        <f>'C2 lossyG,lossyA,intra'!BT35</f>
        <v>·</v>
      </c>
      <c r="Q11" s="68" t="str">
        <f>'C2 lossyG,lossyA,interRA'!BP35</f>
        <v>·</v>
      </c>
      <c r="R11" s="35" t="str">
        <f>'C2 lossyG,lossyA,interRA'!BQ35</f>
        <v>·</v>
      </c>
      <c r="S11" s="35" t="str">
        <f>'C2 lossyG,lossyA,interRA'!BR35</f>
        <v>·</v>
      </c>
      <c r="T11" s="35" t="str">
        <f>'C2 lossyG,lossyA,interRA'!BS35</f>
        <v>·</v>
      </c>
      <c r="U11" s="69" t="str">
        <f>'C2 lossyG,lossyA,interRA'!BT35</f>
        <v>·</v>
      </c>
    </row>
    <row r="12" spans="2:21" x14ac:dyDescent="0.3">
      <c r="B12" s="189" t="s">
        <v>594</v>
      </c>
      <c r="C12" s="188"/>
      <c r="D12" s="87" t="e">
        <f>'CW losslG,losslA,intra'!BB12</f>
        <v>#DIV/0!</v>
      </c>
      <c r="E12" s="88" t="e">
        <f>'CW losslG,losslA,intra'!BC12</f>
        <v>#DIV/0!</v>
      </c>
      <c r="F12" s="88" t="e">
        <f>'CW losslG,losslA,intra'!BD12</f>
        <v>#DIV/0!</v>
      </c>
      <c r="G12" s="88" t="e">
        <f>'CW losslG,losslA,intra'!BE12</f>
        <v>#DIV/0!</v>
      </c>
      <c r="H12" s="87" t="e">
        <f>'CW losslG,losslA,interLD'!BB12</f>
        <v>#DIV/0!</v>
      </c>
      <c r="I12" s="88" t="e">
        <f>'CW losslG,losslA,interLD'!BC12</f>
        <v>#DIV/0!</v>
      </c>
      <c r="J12" s="88" t="e">
        <f>'CW losslG,losslA,interLD'!BD12</f>
        <v>#DIV/0!</v>
      </c>
      <c r="K12" s="89" t="e">
        <f>'CW losslG,losslA,interLD'!BE12</f>
        <v>#DIV/0!</v>
      </c>
      <c r="L12" s="71" t="e">
        <f>'C2 lossyG,lossyA,intra'!BP40</f>
        <v>#DIV/0!</v>
      </c>
      <c r="M12" s="71" t="e">
        <f>'C2 lossyG,lossyA,intra'!BQ40</f>
        <v>#DIV/0!</v>
      </c>
      <c r="N12" s="71" t="e">
        <f>'C2 lossyG,lossyA,intra'!BR40</f>
        <v>#DIV/0!</v>
      </c>
      <c r="O12" s="71" t="e">
        <f>'C2 lossyG,lossyA,intra'!BS40</f>
        <v>#DIV/0!</v>
      </c>
      <c r="P12" s="72" t="e">
        <f>'C2 lossyG,lossyA,intra'!BT40</f>
        <v>#DIV/0!</v>
      </c>
      <c r="Q12" s="70" t="e">
        <f>'C2 lossyG,lossyA,interRA'!BP40</f>
        <v>#DIV/0!</v>
      </c>
      <c r="R12" s="71" t="e">
        <f>'C2 lossyG,lossyA,interRA'!BQ40</f>
        <v>#DIV/0!</v>
      </c>
      <c r="S12" s="71" t="e">
        <f>'C2 lossyG,lossyA,interRA'!BR40</f>
        <v>#DIV/0!</v>
      </c>
      <c r="T12" s="71" t="e">
        <f>'C2 lossyG,lossyA,interRA'!BS40</f>
        <v>#DIV/0!</v>
      </c>
      <c r="U12" s="72" t="e">
        <f>'C2 lossyG,lossyA,interRA'!BT40</f>
        <v>#DIV/0!</v>
      </c>
    </row>
    <row r="13" spans="2:21" x14ac:dyDescent="0.3">
      <c r="B13" s="189" t="s">
        <v>595</v>
      </c>
      <c r="C13" s="188"/>
      <c r="D13" s="70" t="e">
        <f>'CW losslG,losslA,intra'!BB13</f>
        <v>#DIV/0!</v>
      </c>
      <c r="E13" s="71" t="e">
        <f>'CW losslG,losslA,intra'!BC13</f>
        <v>#DIV/0!</v>
      </c>
      <c r="F13" s="71" t="e">
        <f>'CW losslG,losslA,intra'!BD13</f>
        <v>#DIV/0!</v>
      </c>
      <c r="G13" s="71" t="e">
        <f>'CW losslG,losslA,intra'!BE13</f>
        <v>#DIV/0!</v>
      </c>
      <c r="H13" s="70" t="e">
        <f>'CW losslG,losslA,interLD'!BB13</f>
        <v>#DIV/0!</v>
      </c>
      <c r="I13" s="71" t="e">
        <f>'CW losslG,losslA,interLD'!BC13</f>
        <v>#DIV/0!</v>
      </c>
      <c r="J13" s="71" t="e">
        <f>'CW losslG,losslA,interLD'!BD13</f>
        <v>#DIV/0!</v>
      </c>
      <c r="K13" s="72" t="e">
        <f>'CW losslG,losslA,interLD'!BE13</f>
        <v>#DIV/0!</v>
      </c>
      <c r="L13" s="71" t="e">
        <f>'C2 lossyG,lossyA,intra'!BP41</f>
        <v>#DIV/0!</v>
      </c>
      <c r="M13" s="71" t="e">
        <f>'C2 lossyG,lossyA,intra'!BQ41</f>
        <v>#DIV/0!</v>
      </c>
      <c r="N13" s="71" t="e">
        <f>'C2 lossyG,lossyA,intra'!BR41</f>
        <v>#DIV/0!</v>
      </c>
      <c r="O13" s="71" t="e">
        <f>'C2 lossyG,lossyA,intra'!BS41</f>
        <v>#DIV/0!</v>
      </c>
      <c r="P13" s="72" t="e">
        <f>'C2 lossyG,lossyA,intra'!BT41</f>
        <v>#DIV/0!</v>
      </c>
      <c r="Q13" s="70" t="e">
        <f>'C2 lossyG,lossyA,interRA'!BP41</f>
        <v>#DIV/0!</v>
      </c>
      <c r="R13" s="71" t="e">
        <f>'C2 lossyG,lossyA,interRA'!BQ41</f>
        <v>#DIV/0!</v>
      </c>
      <c r="S13" s="71" t="e">
        <f>'C2 lossyG,lossyA,interRA'!BR41</f>
        <v>#DIV/0!</v>
      </c>
      <c r="T13" s="71" t="e">
        <f>'C2 lossyG,lossyA,interRA'!BS41</f>
        <v>#DIV/0!</v>
      </c>
      <c r="U13" s="72" t="e">
        <f>'C2 lossyG,lossyA,interRA'!BT41</f>
        <v>#DIV/0!</v>
      </c>
    </row>
    <row r="14" spans="2:21" ht="15" customHeight="1" thickBot="1" x14ac:dyDescent="0.35">
      <c r="B14" s="189" t="s">
        <v>596</v>
      </c>
      <c r="C14" s="188"/>
      <c r="D14" s="73" t="e">
        <f>'CW losslG,losslA,intra'!BB14</f>
        <v>#DIV/0!</v>
      </c>
      <c r="E14" s="74" t="e">
        <f>'CW losslG,losslA,intra'!BC14</f>
        <v>#DIV/0!</v>
      </c>
      <c r="F14" s="74" t="e">
        <f>'CW losslG,losslA,intra'!BD14</f>
        <v>#DIV/0!</v>
      </c>
      <c r="G14" s="74" t="e">
        <f>'CW losslG,losslA,intra'!BE14</f>
        <v>#DIV/0!</v>
      </c>
      <c r="H14" s="73" t="e">
        <f>'CW losslG,losslA,interLD'!BB14</f>
        <v>#DIV/0!</v>
      </c>
      <c r="I14" s="74" t="e">
        <f>'CW losslG,losslA,interLD'!BC14</f>
        <v>#DIV/0!</v>
      </c>
      <c r="J14" s="74" t="e">
        <f>'CW losslG,losslA,interLD'!BD14</f>
        <v>#DIV/0!</v>
      </c>
      <c r="K14" s="75" t="e">
        <f>'CW losslG,losslA,interLD'!BE14</f>
        <v>#DIV/0!</v>
      </c>
      <c r="L14" s="74" t="e">
        <f>'C2 lossyG,lossyA,intra'!BP42</f>
        <v>#DIV/0!</v>
      </c>
      <c r="M14" s="74" t="e">
        <f>'C2 lossyG,lossyA,intra'!BQ42</f>
        <v>#DIV/0!</v>
      </c>
      <c r="N14" s="74" t="e">
        <f>'C2 lossyG,lossyA,intra'!BR42</f>
        <v>#DIV/0!</v>
      </c>
      <c r="O14" s="74" t="e">
        <f>'C2 lossyG,lossyA,intra'!BS42</f>
        <v>#DIV/0!</v>
      </c>
      <c r="P14" s="75" t="e">
        <f>'C2 lossyG,lossyA,intra'!BT42</f>
        <v>#DIV/0!</v>
      </c>
      <c r="Q14" s="73" t="e">
        <f>'C2 lossyG,lossyA,interRA'!BP42</f>
        <v>#DIV/0!</v>
      </c>
      <c r="R14" s="74" t="e">
        <f>'C2 lossyG,lossyA,interRA'!BQ42</f>
        <v>#DIV/0!</v>
      </c>
      <c r="S14" s="74" t="e">
        <f>'C2 lossyG,lossyA,interRA'!BR42</f>
        <v>#DIV/0!</v>
      </c>
      <c r="T14" s="74" t="e">
        <f>'C2 lossyG,lossyA,interRA'!BS42</f>
        <v>#DIV/0!</v>
      </c>
      <c r="U14" s="75" t="e">
        <f>'C2 lossyG,lossyA,interRA'!BT42</f>
        <v>#DIV/0!</v>
      </c>
    </row>
    <row r="15" spans="2:21" ht="15" customHeight="1" thickBot="1" x14ac:dyDescent="0.35">
      <c r="B15" s="190" t="s">
        <v>17</v>
      </c>
      <c r="C15" s="173"/>
      <c r="D15" s="90" t="e">
        <f>'CW losslG,losslA,intra'!BB15</f>
        <v>#DIV/0!</v>
      </c>
      <c r="E15" s="91" t="e">
        <f>'CW losslG,losslA,intra'!BC15</f>
        <v>#DIV/0!</v>
      </c>
      <c r="F15" s="91" t="e">
        <f>'CW losslG,losslA,intra'!BD15</f>
        <v>#DIV/0!</v>
      </c>
      <c r="G15" s="91" t="e">
        <f>'CW losslG,losslA,intra'!BE15</f>
        <v>#DIV/0!</v>
      </c>
      <c r="H15" s="90" t="e">
        <f>'CW losslG,losslA,interLD'!BB15</f>
        <v>#DIV/0!</v>
      </c>
      <c r="I15" s="91" t="e">
        <f>'CW losslG,losslA,interLD'!BC15</f>
        <v>#DIV/0!</v>
      </c>
      <c r="J15" s="91" t="e">
        <f>'CW losslG,losslA,interLD'!BD15</f>
        <v>#DIV/0!</v>
      </c>
      <c r="K15" s="92" t="e">
        <f>'CW losslG,losslA,interLD'!BE15</f>
        <v>#DIV/0!</v>
      </c>
      <c r="L15" s="91" t="e">
        <f>'C2 lossyG,lossyA,intra'!BP43</f>
        <v>#DIV/0!</v>
      </c>
      <c r="M15" s="91" t="e">
        <f>'C2 lossyG,lossyA,intra'!BQ43</f>
        <v>#DIV/0!</v>
      </c>
      <c r="N15" s="91" t="e">
        <f>'C2 lossyG,lossyA,intra'!BR43</f>
        <v>#DIV/0!</v>
      </c>
      <c r="O15" s="91" t="e">
        <f>'C2 lossyG,lossyA,intra'!BS43</f>
        <v>#DIV/0!</v>
      </c>
      <c r="P15" s="91" t="e">
        <f>'C2 lossyG,lossyA,intra'!BT43</f>
        <v>#DIV/0!</v>
      </c>
      <c r="Q15" s="90" t="e">
        <f>'C2 lossyG,lossyA,interRA'!BP43</f>
        <v>#DIV/0!</v>
      </c>
      <c r="R15" s="91" t="e">
        <f>'C2 lossyG,lossyA,interRA'!BQ43</f>
        <v>#DIV/0!</v>
      </c>
      <c r="S15" s="91" t="e">
        <f>'C2 lossyG,lossyA,interRA'!BR43</f>
        <v>#DIV/0!</v>
      </c>
      <c r="T15" s="91" t="e">
        <f>'C2 lossyG,lossyA,interRA'!BS43</f>
        <v>#DIV/0!</v>
      </c>
      <c r="U15" s="92" t="e">
        <f>'C2 lossyG,lossyA,interRA'!BT43</f>
        <v>#DIV/0!</v>
      </c>
    </row>
    <row r="16" spans="2:21" ht="15" customHeight="1" thickBot="1" x14ac:dyDescent="0.35"/>
    <row r="17" spans="3:7" x14ac:dyDescent="0.3">
      <c r="C17" s="104" t="s">
        <v>597</v>
      </c>
      <c r="D17" s="179" t="s">
        <v>598</v>
      </c>
      <c r="E17" s="180"/>
      <c r="F17" s="191" t="s">
        <v>599</v>
      </c>
      <c r="G17" s="192"/>
    </row>
    <row r="18" spans="3:7" ht="15" customHeight="1" thickBot="1" x14ac:dyDescent="0.35">
      <c r="C18" s="105"/>
      <c r="D18" s="108" t="s">
        <v>160</v>
      </c>
      <c r="E18" s="93" t="s">
        <v>161</v>
      </c>
      <c r="F18" s="149" t="s">
        <v>160</v>
      </c>
      <c r="G18" s="93" t="s">
        <v>161</v>
      </c>
    </row>
    <row r="19" spans="3:7" x14ac:dyDescent="0.3">
      <c r="C19" s="100" t="s">
        <v>575</v>
      </c>
      <c r="D19" s="109" t="e">
        <f>'CW losslG,losslA,intra'!AW19</f>
        <v>#NUM!</v>
      </c>
      <c r="E19" s="101" t="e">
        <f>'CW losslG,losslA,intra'!AX19</f>
        <v>#NUM!</v>
      </c>
      <c r="F19" s="106" t="e">
        <f>'CW losslG,losslA,intra'!AY19</f>
        <v>#NUM!</v>
      </c>
      <c r="G19" s="101" t="e">
        <f>'CW losslG,losslA,intra'!AZ19</f>
        <v>#NUM!</v>
      </c>
    </row>
    <row r="20" spans="3:7" x14ac:dyDescent="0.3">
      <c r="C20" s="94" t="s">
        <v>576</v>
      </c>
      <c r="D20" s="110" t="e">
        <f>'CW losslG,losslA,interLD'!AW19</f>
        <v>#NUM!</v>
      </c>
      <c r="E20" s="95" t="e">
        <f>'CW losslG,losslA,interLD'!AX19</f>
        <v>#NUM!</v>
      </c>
      <c r="F20" s="145" t="e">
        <f>'CW losslG,losslA,interLD'!AY19</f>
        <v>#NUM!</v>
      </c>
      <c r="G20" s="95" t="e">
        <f>'CW losslG,losslA,interLD'!AZ19</f>
        <v>#NUM!</v>
      </c>
    </row>
    <row r="21" spans="3:7" x14ac:dyDescent="0.3">
      <c r="C21" s="96" t="s">
        <v>577</v>
      </c>
      <c r="D21" s="111" t="e">
        <f>'C2 lossyG,lossyA,intra'!AZ47</f>
        <v>#NUM!</v>
      </c>
      <c r="E21" s="97" t="e">
        <f>'C2 lossyG,lossyA,intra'!BA47</f>
        <v>#NUM!</v>
      </c>
      <c r="F21" s="146" t="e">
        <f>'C2 lossyG,lossyA,intra'!BB47</f>
        <v>#NUM!</v>
      </c>
      <c r="G21" s="97" t="e">
        <f>'C2 lossyG,lossyA,intra'!BC47</f>
        <v>#NUM!</v>
      </c>
    </row>
    <row r="22" spans="3:7" ht="15" customHeight="1" thickBot="1" x14ac:dyDescent="0.35">
      <c r="C22" s="102" t="s">
        <v>578</v>
      </c>
      <c r="D22" s="112" t="e">
        <f>'C2 lossyG,lossyA,interRA'!AZ47</f>
        <v>#NUM!</v>
      </c>
      <c r="E22" s="103" t="e">
        <f>'C2 lossyG,lossyA,interRA'!BA47</f>
        <v>#NUM!</v>
      </c>
      <c r="F22" s="107" t="e">
        <f>'C2 lossyG,lossyA,interRA'!BB47</f>
        <v>#NUM!</v>
      </c>
      <c r="G22" s="103" t="e">
        <f>'C2 lossyG,lossyA,interRA'!BC47</f>
        <v>#NUM!</v>
      </c>
    </row>
    <row r="23" spans="3:7" ht="15" customHeight="1" thickBot="1" x14ac:dyDescent="0.35">
      <c r="C23" s="154" t="s">
        <v>600</v>
      </c>
      <c r="D23" s="113" t="e">
        <f>AVERAGE(D19:D22)</f>
        <v>#NUM!</v>
      </c>
      <c r="E23" s="99" t="e">
        <f>AVERAGE(E19:E22)</f>
        <v>#NUM!</v>
      </c>
      <c r="F23" s="98" t="e">
        <f>AVERAGE(F19:F22)</f>
        <v>#NUM!</v>
      </c>
      <c r="G23" s="99" t="e">
        <f>AVERAGE(G19:G22)</f>
        <v>#NUM!</v>
      </c>
    </row>
    <row r="24" spans="3:7" ht="15" customHeight="1" thickBot="1" x14ac:dyDescent="0.35"/>
    <row r="25" spans="3:7" x14ac:dyDescent="0.3">
      <c r="C25" s="104" t="s">
        <v>597</v>
      </c>
      <c r="D25" s="179" t="s">
        <v>601</v>
      </c>
      <c r="E25" s="180"/>
      <c r="F25" s="179" t="s">
        <v>602</v>
      </c>
      <c r="G25" s="180"/>
    </row>
    <row r="26" spans="3:7" ht="15" customHeight="1" thickBot="1" x14ac:dyDescent="0.35">
      <c r="C26" s="105"/>
      <c r="D26" s="108" t="s">
        <v>603</v>
      </c>
      <c r="E26" s="93" t="s">
        <v>604</v>
      </c>
      <c r="F26" s="108" t="s">
        <v>603</v>
      </c>
      <c r="G26" s="93" t="s">
        <v>604</v>
      </c>
    </row>
    <row r="27" spans="3:7" x14ac:dyDescent="0.3">
      <c r="C27" s="100" t="s">
        <v>575</v>
      </c>
      <c r="D27" s="114">
        <f>D46</f>
        <v>7.9510203770228793</v>
      </c>
      <c r="E27" s="115">
        <f>E46</f>
        <v>9.1113700866699219</v>
      </c>
      <c r="F27" s="116">
        <f>F46</f>
        <v>4.8044945853097101</v>
      </c>
      <c r="G27" s="115">
        <f>G46</f>
        <v>4.9937035696847101</v>
      </c>
    </row>
    <row r="28" spans="3:7" x14ac:dyDescent="0.3">
      <c r="C28" s="94" t="s">
        <v>576</v>
      </c>
      <c r="D28" s="117">
        <f>H46</f>
        <v>8.2222655160086493</v>
      </c>
      <c r="E28" s="118">
        <f>I46</f>
        <v>9.4456329345703125</v>
      </c>
      <c r="F28" s="144">
        <f>J46</f>
        <v>5.0048141479492188</v>
      </c>
      <c r="G28" s="118">
        <f>K46</f>
        <v>5.1912602015904019</v>
      </c>
    </row>
    <row r="29" spans="3:7" x14ac:dyDescent="0.3">
      <c r="C29" s="96" t="s">
        <v>577</v>
      </c>
      <c r="D29" s="119">
        <f>L46</f>
        <v>7.3241495404924679</v>
      </c>
      <c r="E29" s="120">
        <f>M46</f>
        <v>8.6982056753976007</v>
      </c>
      <c r="F29" s="143">
        <f>N46</f>
        <v>4.5374637058803007</v>
      </c>
      <c r="G29" s="120">
        <f>O46</f>
        <v>5.3104311261858266</v>
      </c>
    </row>
    <row r="30" spans="3:7" ht="15" customHeight="1" thickBot="1" x14ac:dyDescent="0.35">
      <c r="C30" s="102" t="s">
        <v>578</v>
      </c>
      <c r="D30" s="121">
        <f>P46</f>
        <v>7.8281198774065297</v>
      </c>
      <c r="E30" s="122">
        <f>Q46</f>
        <v>9.1231398446219316</v>
      </c>
      <c r="F30" s="123">
        <f>R46</f>
        <v>5.1157606942313061</v>
      </c>
      <c r="G30" s="122">
        <f>S46</f>
        <v>5.9082547869001116</v>
      </c>
    </row>
    <row r="31" spans="3:7" ht="15" customHeight="1" thickBot="1" x14ac:dyDescent="0.35">
      <c r="C31" s="154" t="s">
        <v>600</v>
      </c>
      <c r="D31" s="124">
        <f>AVERAGE(D27:D30)</f>
        <v>7.8313888277326313</v>
      </c>
      <c r="E31" s="125">
        <f>AVERAGE(E27:E30)</f>
        <v>9.0945871353149421</v>
      </c>
      <c r="F31" s="126">
        <f>AVERAGE(F27:F30)</f>
        <v>4.8656332833426337</v>
      </c>
      <c r="G31" s="125">
        <f>AVERAGE(G27:G30)</f>
        <v>5.3509124210902623</v>
      </c>
    </row>
    <row r="32" spans="3:7" ht="15" customHeight="1" thickBot="1" x14ac:dyDescent="0.35"/>
    <row r="33" spans="2:19" ht="15" customHeight="1" thickBot="1" x14ac:dyDescent="0.35">
      <c r="D33" s="171" t="s">
        <v>575</v>
      </c>
      <c r="E33" s="172"/>
      <c r="F33" s="172"/>
      <c r="G33" s="173"/>
      <c r="H33" s="171" t="s">
        <v>576</v>
      </c>
      <c r="I33" s="172"/>
      <c r="J33" s="172"/>
      <c r="K33" s="173"/>
      <c r="L33" s="171" t="s">
        <v>577</v>
      </c>
      <c r="M33" s="172"/>
      <c r="N33" s="172"/>
      <c r="O33" s="173"/>
      <c r="P33" s="174" t="s">
        <v>578</v>
      </c>
      <c r="Q33" s="172"/>
      <c r="R33" s="172"/>
      <c r="S33" s="172"/>
    </row>
    <row r="34" spans="2:19" ht="15" customHeight="1" thickBot="1" x14ac:dyDescent="0.35">
      <c r="B34" s="175" t="s">
        <v>137</v>
      </c>
      <c r="C34" s="177" t="s">
        <v>574</v>
      </c>
      <c r="D34" s="179" t="s">
        <v>605</v>
      </c>
      <c r="E34" s="180"/>
      <c r="F34" s="179" t="s">
        <v>606</v>
      </c>
      <c r="G34" s="180"/>
      <c r="H34" s="179" t="s">
        <v>605</v>
      </c>
      <c r="I34" s="180"/>
      <c r="J34" s="179" t="s">
        <v>606</v>
      </c>
      <c r="K34" s="180"/>
      <c r="L34" s="179" t="s">
        <v>605</v>
      </c>
      <c r="M34" s="180"/>
      <c r="N34" s="179" t="s">
        <v>606</v>
      </c>
      <c r="O34" s="180"/>
      <c r="P34" s="179" t="s">
        <v>605</v>
      </c>
      <c r="Q34" s="180"/>
      <c r="R34" s="179" t="s">
        <v>606</v>
      </c>
      <c r="S34" s="180"/>
    </row>
    <row r="35" spans="2:19" ht="15" customHeight="1" thickBot="1" x14ac:dyDescent="0.35">
      <c r="B35" s="176"/>
      <c r="C35" s="178"/>
      <c r="D35" s="108" t="s">
        <v>603</v>
      </c>
      <c r="E35" s="149" t="s">
        <v>604</v>
      </c>
      <c r="F35" s="108" t="s">
        <v>603</v>
      </c>
      <c r="G35" s="93" t="s">
        <v>604</v>
      </c>
      <c r="H35" s="127" t="s">
        <v>603</v>
      </c>
      <c r="I35" s="149" t="s">
        <v>604</v>
      </c>
      <c r="J35" s="108" t="s">
        <v>603</v>
      </c>
      <c r="K35" s="93" t="s">
        <v>604</v>
      </c>
      <c r="L35" s="127" t="s">
        <v>603</v>
      </c>
      <c r="M35" s="149" t="s">
        <v>604</v>
      </c>
      <c r="N35" s="108" t="s">
        <v>603</v>
      </c>
      <c r="O35" s="93" t="s">
        <v>604</v>
      </c>
      <c r="P35" s="127" t="s">
        <v>603</v>
      </c>
      <c r="Q35" s="149" t="s">
        <v>604</v>
      </c>
      <c r="R35" s="141" t="s">
        <v>603</v>
      </c>
      <c r="S35" s="142" t="s">
        <v>604</v>
      </c>
    </row>
    <row r="36" spans="2:19" x14ac:dyDescent="0.3">
      <c r="B36" s="52" t="s">
        <v>584</v>
      </c>
      <c r="C36" s="128" t="s">
        <v>585</v>
      </c>
      <c r="D36" s="114">
        <v>4.1354293823242188</v>
      </c>
      <c r="E36" s="116">
        <v>4.6118507385253906</v>
      </c>
      <c r="F36" s="114">
        <v>2.4970130920410161</v>
      </c>
      <c r="G36" s="115">
        <v>2.5902290344238281</v>
      </c>
      <c r="H36" s="116">
        <v>4.1435050964355469</v>
      </c>
      <c r="I36" s="116">
        <v>4.6312904357910156</v>
      </c>
      <c r="J36" s="114">
        <v>2.495513916015625</v>
      </c>
      <c r="K36" s="115">
        <v>2.5897789001464839</v>
      </c>
      <c r="L36" s="116">
        <v>3.811711120605469</v>
      </c>
      <c r="M36" s="116">
        <v>4.4324707031250004</v>
      </c>
      <c r="N36" s="114">
        <v>2.430985260009765</v>
      </c>
      <c r="O36" s="115">
        <v>2.8457923889160162</v>
      </c>
      <c r="P36" s="116">
        <v>3.737009429931641</v>
      </c>
      <c r="Q36" s="116">
        <v>4.1776664733886717</v>
      </c>
      <c r="R36" s="114">
        <v>2.430781555175781</v>
      </c>
      <c r="S36" s="115">
        <v>2.8543273925781252</v>
      </c>
    </row>
    <row r="37" spans="2:19" x14ac:dyDescent="0.3">
      <c r="B37" s="56"/>
      <c r="C37" s="18" t="s">
        <v>586</v>
      </c>
      <c r="D37" s="117">
        <v>4.0565109252929688</v>
      </c>
      <c r="E37" s="144">
        <v>4.59423828125</v>
      </c>
      <c r="F37" s="117">
        <v>2.5190696716308589</v>
      </c>
      <c r="G37" s="118">
        <v>2.5964088439941411</v>
      </c>
      <c r="H37" s="144">
        <v>4.0829849243164063</v>
      </c>
      <c r="I37" s="144">
        <v>4.6433067321777344</v>
      </c>
      <c r="J37" s="117">
        <v>2.5143165588378911</v>
      </c>
      <c r="K37" s="118">
        <v>2.6419563293457031</v>
      </c>
      <c r="L37" s="144">
        <v>3.7723587036132811</v>
      </c>
      <c r="M37" s="144">
        <v>4.4010375976562504</v>
      </c>
      <c r="N37" s="117">
        <v>2.4819709777832029</v>
      </c>
      <c r="O37" s="118">
        <v>2.8599472045898442</v>
      </c>
      <c r="P37" s="144">
        <v>3.7325714111328119</v>
      </c>
      <c r="Q37" s="144">
        <v>4.1330093383789066</v>
      </c>
      <c r="R37" s="117">
        <v>2.5214721679687502</v>
      </c>
      <c r="S37" s="118">
        <v>2.9219230651855468</v>
      </c>
    </row>
    <row r="38" spans="2:19" x14ac:dyDescent="0.3">
      <c r="B38" s="60"/>
      <c r="C38" s="129" t="s">
        <v>587</v>
      </c>
      <c r="D38" s="130">
        <v>6.0144119262695313</v>
      </c>
      <c r="E38" s="150">
        <v>6.8072280883789063</v>
      </c>
      <c r="F38" s="130">
        <v>3.7335853576660161</v>
      </c>
      <c r="G38" s="131">
        <v>3.8757705688476558</v>
      </c>
      <c r="H38" s="150">
        <v>6.1479148864746094</v>
      </c>
      <c r="I38" s="150">
        <v>6.9796485900878906</v>
      </c>
      <c r="J38" s="130">
        <v>3.8400115966796879</v>
      </c>
      <c r="K38" s="131">
        <v>3.9683685302734379</v>
      </c>
      <c r="L38" s="150">
        <v>4.817606353759766</v>
      </c>
      <c r="M38" s="150">
        <v>5.693959808349609</v>
      </c>
      <c r="N38" s="130">
        <v>2.7725090026855468</v>
      </c>
      <c r="O38" s="131">
        <v>3.3486717224121092</v>
      </c>
      <c r="P38" s="150">
        <v>4.9833625793457026</v>
      </c>
      <c r="Q38" s="150">
        <v>5.5269401550292967</v>
      </c>
      <c r="R38" s="130">
        <v>3.0318916320800779</v>
      </c>
      <c r="S38" s="131">
        <v>3.622330474853515</v>
      </c>
    </row>
    <row r="39" spans="2:19" ht="15" customHeight="1" thickBot="1" x14ac:dyDescent="0.35">
      <c r="B39" s="64"/>
      <c r="C39" s="37" t="s">
        <v>588</v>
      </c>
      <c r="D39" s="117">
        <v>4.8122024536132813</v>
      </c>
      <c r="E39" s="144">
        <v>5.4662208557128906</v>
      </c>
      <c r="F39" s="117">
        <v>2.6899299621582031</v>
      </c>
      <c r="G39" s="118">
        <v>2.8266563415527339</v>
      </c>
      <c r="H39" s="144">
        <v>4.814605712890625</v>
      </c>
      <c r="I39" s="144">
        <v>5.4796104431152344</v>
      </c>
      <c r="J39" s="117">
        <v>2.6876869201660161</v>
      </c>
      <c r="K39" s="118">
        <v>2.8157005310058589</v>
      </c>
      <c r="L39" s="144">
        <v>5.0359275817871092</v>
      </c>
      <c r="M39" s="144">
        <v>5.1189758300781252</v>
      </c>
      <c r="N39" s="117">
        <v>2.4855422973632808</v>
      </c>
      <c r="O39" s="118">
        <v>3.0375709533691411</v>
      </c>
      <c r="P39" s="144">
        <v>4.5370140075683594</v>
      </c>
      <c r="Q39" s="144">
        <v>4.6374488830566403</v>
      </c>
      <c r="R39" s="117">
        <v>2.4833503723144532</v>
      </c>
      <c r="S39" s="118">
        <v>3.0360725402832029</v>
      </c>
    </row>
    <row r="40" spans="2:19" ht="15" customHeight="1" thickBot="1" x14ac:dyDescent="0.35">
      <c r="B40" s="60" t="s">
        <v>589</v>
      </c>
      <c r="C40" s="129" t="s">
        <v>590</v>
      </c>
      <c r="D40" s="132">
        <v>4.3818778991699219</v>
      </c>
      <c r="E40" s="133">
        <v>4.975128173828125</v>
      </c>
      <c r="F40" s="132">
        <v>2.6622467041015621</v>
      </c>
      <c r="G40" s="134">
        <v>2.7805213928222661</v>
      </c>
      <c r="H40" s="133">
        <v>4.5230445861816406</v>
      </c>
      <c r="I40" s="133">
        <v>5.1564292907714844</v>
      </c>
      <c r="J40" s="132">
        <v>2.7700424194335942</v>
      </c>
      <c r="K40" s="134">
        <v>2.8800392150878911</v>
      </c>
      <c r="L40" s="133">
        <v>3.9068450927734379</v>
      </c>
      <c r="M40" s="133">
        <v>4.5557685852050778</v>
      </c>
      <c r="N40" s="132">
        <v>2.394125366210937</v>
      </c>
      <c r="O40" s="134">
        <v>2.8143753051757812</v>
      </c>
      <c r="P40" s="133">
        <v>3.9353721618652342</v>
      </c>
      <c r="Q40" s="133">
        <v>4.3690544128417974</v>
      </c>
      <c r="R40" s="132">
        <v>2.542037200927735</v>
      </c>
      <c r="S40" s="134">
        <v>2.976546478271485</v>
      </c>
    </row>
    <row r="41" spans="2:19" x14ac:dyDescent="0.3">
      <c r="B41" s="147" t="s">
        <v>591</v>
      </c>
      <c r="C41" s="148" t="s">
        <v>592</v>
      </c>
      <c r="D41" s="117">
        <v>15.06769943237305</v>
      </c>
      <c r="E41" s="144">
        <v>17.412551879882809</v>
      </c>
      <c r="F41" s="117">
        <v>8.6145668029785156</v>
      </c>
      <c r="G41" s="118">
        <v>9.0467796325683594</v>
      </c>
      <c r="H41" s="144">
        <v>16.438102722167969</v>
      </c>
      <c r="I41" s="144">
        <v>18.75905609130859</v>
      </c>
      <c r="J41" s="117">
        <v>9.9624786376953125</v>
      </c>
      <c r="K41" s="118">
        <v>10.326469421386721</v>
      </c>
      <c r="L41" s="144">
        <v>14.1095329284668</v>
      </c>
      <c r="M41" s="144">
        <v>16.939015197753911</v>
      </c>
      <c r="N41" s="117">
        <v>8.5295967102050785</v>
      </c>
      <c r="O41" s="118">
        <v>10.16084671020508</v>
      </c>
      <c r="P41" s="144">
        <v>16.77602233886719</v>
      </c>
      <c r="Q41" s="144">
        <v>19.616063690185548</v>
      </c>
      <c r="R41" s="117">
        <v>11.13661880493164</v>
      </c>
      <c r="S41" s="118">
        <v>12.786891174316411</v>
      </c>
    </row>
    <row r="42" spans="2:19" ht="15" customHeight="1" thickBot="1" x14ac:dyDescent="0.35">
      <c r="B42" s="67"/>
      <c r="C42" s="84" t="s">
        <v>593</v>
      </c>
      <c r="D42" s="130">
        <v>17.189010620117191</v>
      </c>
      <c r="E42" s="150">
        <v>19.912372589111332</v>
      </c>
      <c r="F42" s="130">
        <v>10.9150505065918</v>
      </c>
      <c r="G42" s="131">
        <v>11.239559173583981</v>
      </c>
      <c r="H42" s="150">
        <v>17.40570068359375</v>
      </c>
      <c r="I42" s="150">
        <v>20.470088958740231</v>
      </c>
      <c r="J42" s="130">
        <v>10.76364898681641</v>
      </c>
      <c r="K42" s="131">
        <v>11.116508483886721</v>
      </c>
      <c r="L42" s="150">
        <v>15.815065002441409</v>
      </c>
      <c r="M42" s="150">
        <v>19.746212005615231</v>
      </c>
      <c r="N42" s="130">
        <v>10.6675163269043</v>
      </c>
      <c r="O42" s="131">
        <v>12.10581359863281</v>
      </c>
      <c r="P42" s="150">
        <v>17.095487213134771</v>
      </c>
      <c r="Q42" s="150">
        <v>21.401795959472661</v>
      </c>
      <c r="R42" s="130">
        <v>11.6641731262207</v>
      </c>
      <c r="S42" s="131">
        <v>13.1596923828125</v>
      </c>
    </row>
    <row r="43" spans="2:19" ht="14.4" customHeight="1" x14ac:dyDescent="0.3">
      <c r="B43" s="56" t="s">
        <v>594</v>
      </c>
      <c r="C43" s="81"/>
      <c r="D43" s="135">
        <f t="shared" ref="D43:S43" si="0">AVERAGE(D36:D39)</f>
        <v>4.754638671875</v>
      </c>
      <c r="E43" s="136">
        <f t="shared" si="0"/>
        <v>5.3698844909667969</v>
      </c>
      <c r="F43" s="137">
        <f t="shared" si="0"/>
        <v>2.8598995208740234</v>
      </c>
      <c r="G43" s="136">
        <f t="shared" si="0"/>
        <v>2.9722661972045898</v>
      </c>
      <c r="H43" s="137">
        <f t="shared" si="0"/>
        <v>4.7972526550292969</v>
      </c>
      <c r="I43" s="137">
        <f t="shared" si="0"/>
        <v>5.4334640502929688</v>
      </c>
      <c r="J43" s="135">
        <f t="shared" si="0"/>
        <v>2.8843822479248047</v>
      </c>
      <c r="K43" s="136">
        <f t="shared" si="0"/>
        <v>3.0039510726928711</v>
      </c>
      <c r="L43" s="137">
        <f t="shared" si="0"/>
        <v>4.3594009399414064</v>
      </c>
      <c r="M43" s="137">
        <f t="shared" si="0"/>
        <v>4.9116109848022464</v>
      </c>
      <c r="N43" s="135">
        <f t="shared" si="0"/>
        <v>2.5427518844604489</v>
      </c>
      <c r="O43" s="136">
        <f t="shared" si="0"/>
        <v>3.0229955673217779</v>
      </c>
      <c r="P43" s="137">
        <f t="shared" si="0"/>
        <v>4.2474893569946284</v>
      </c>
      <c r="Q43" s="137">
        <f t="shared" si="0"/>
        <v>4.6187662124633793</v>
      </c>
      <c r="R43" s="135">
        <f t="shared" si="0"/>
        <v>2.6168739318847658</v>
      </c>
      <c r="S43" s="136">
        <f t="shared" si="0"/>
        <v>3.1086633682250975</v>
      </c>
    </row>
    <row r="44" spans="2:19" ht="14.4" customHeight="1" x14ac:dyDescent="0.3">
      <c r="B44" s="193" t="s">
        <v>595</v>
      </c>
      <c r="C44" s="188"/>
      <c r="D44" s="119">
        <f t="shared" ref="D44:S44" si="1">AVERAGE(D40)</f>
        <v>4.3818778991699219</v>
      </c>
      <c r="E44" s="120">
        <f t="shared" si="1"/>
        <v>4.975128173828125</v>
      </c>
      <c r="F44" s="143">
        <f t="shared" si="1"/>
        <v>2.6622467041015621</v>
      </c>
      <c r="G44" s="120">
        <f t="shared" si="1"/>
        <v>2.7805213928222661</v>
      </c>
      <c r="H44" s="143">
        <f t="shared" si="1"/>
        <v>4.5230445861816406</v>
      </c>
      <c r="I44" s="143">
        <f t="shared" si="1"/>
        <v>5.1564292907714844</v>
      </c>
      <c r="J44" s="119">
        <f t="shared" si="1"/>
        <v>2.7700424194335942</v>
      </c>
      <c r="K44" s="120">
        <f t="shared" si="1"/>
        <v>2.8800392150878911</v>
      </c>
      <c r="L44" s="143">
        <f t="shared" si="1"/>
        <v>3.9068450927734379</v>
      </c>
      <c r="M44" s="143">
        <f t="shared" si="1"/>
        <v>4.5557685852050778</v>
      </c>
      <c r="N44" s="119">
        <f t="shared" si="1"/>
        <v>2.394125366210937</v>
      </c>
      <c r="O44" s="120">
        <f t="shared" si="1"/>
        <v>2.8143753051757812</v>
      </c>
      <c r="P44" s="143">
        <f t="shared" si="1"/>
        <v>3.9353721618652342</v>
      </c>
      <c r="Q44" s="143">
        <f t="shared" si="1"/>
        <v>4.3690544128417974</v>
      </c>
      <c r="R44" s="119">
        <f t="shared" si="1"/>
        <v>2.542037200927735</v>
      </c>
      <c r="S44" s="120">
        <f t="shared" si="1"/>
        <v>2.976546478271485</v>
      </c>
    </row>
    <row r="45" spans="2:19" ht="15" customHeight="1" thickBot="1" x14ac:dyDescent="0.35">
      <c r="B45" s="64" t="s">
        <v>596</v>
      </c>
      <c r="C45" s="83"/>
      <c r="D45" s="121">
        <f t="shared" ref="D45:S45" si="2">AVERAGE(D41:D42)</f>
        <v>16.128355026245121</v>
      </c>
      <c r="E45" s="122">
        <f t="shared" si="2"/>
        <v>18.66246223449707</v>
      </c>
      <c r="F45" s="123">
        <f t="shared" si="2"/>
        <v>9.764808654785158</v>
      </c>
      <c r="G45" s="122">
        <f t="shared" si="2"/>
        <v>10.14316940307617</v>
      </c>
      <c r="H45" s="123">
        <f t="shared" si="2"/>
        <v>16.921901702880859</v>
      </c>
      <c r="I45" s="123">
        <f t="shared" si="2"/>
        <v>19.614572525024411</v>
      </c>
      <c r="J45" s="121">
        <f t="shared" si="2"/>
        <v>10.363063812255861</v>
      </c>
      <c r="K45" s="122">
        <f t="shared" si="2"/>
        <v>10.721488952636721</v>
      </c>
      <c r="L45" s="123">
        <f t="shared" si="2"/>
        <v>14.962298965454105</v>
      </c>
      <c r="M45" s="123">
        <f t="shared" si="2"/>
        <v>18.342613601684569</v>
      </c>
      <c r="N45" s="121">
        <f t="shared" si="2"/>
        <v>9.5985565185546893</v>
      </c>
      <c r="O45" s="122">
        <f t="shared" si="2"/>
        <v>11.133330154418946</v>
      </c>
      <c r="P45" s="123">
        <f t="shared" si="2"/>
        <v>16.93575477600098</v>
      </c>
      <c r="Q45" s="123">
        <f t="shared" si="2"/>
        <v>20.508929824829103</v>
      </c>
      <c r="R45" s="121">
        <f t="shared" si="2"/>
        <v>11.40039596557617</v>
      </c>
      <c r="S45" s="122">
        <f t="shared" si="2"/>
        <v>12.973291778564455</v>
      </c>
    </row>
    <row r="46" spans="2:19" ht="15" customHeight="1" thickBot="1" x14ac:dyDescent="0.35">
      <c r="B46" s="194" t="s">
        <v>17</v>
      </c>
      <c r="C46" s="178"/>
      <c r="D46" s="138">
        <f t="shared" ref="D46:S46" si="3">AVERAGE(D36:D42)</f>
        <v>7.9510203770228793</v>
      </c>
      <c r="E46" s="139">
        <f t="shared" si="3"/>
        <v>9.1113700866699219</v>
      </c>
      <c r="F46" s="140">
        <f t="shared" si="3"/>
        <v>4.8044945853097101</v>
      </c>
      <c r="G46" s="139">
        <f t="shared" si="3"/>
        <v>4.9937035696847101</v>
      </c>
      <c r="H46" s="140">
        <f t="shared" si="3"/>
        <v>8.2222655160086493</v>
      </c>
      <c r="I46" s="140">
        <f t="shared" si="3"/>
        <v>9.4456329345703125</v>
      </c>
      <c r="J46" s="138">
        <f t="shared" si="3"/>
        <v>5.0048141479492188</v>
      </c>
      <c r="K46" s="139">
        <f t="shared" si="3"/>
        <v>5.1912602015904019</v>
      </c>
      <c r="L46" s="140">
        <f t="shared" si="3"/>
        <v>7.3241495404924679</v>
      </c>
      <c r="M46" s="140">
        <f t="shared" si="3"/>
        <v>8.6982056753976007</v>
      </c>
      <c r="N46" s="138">
        <f t="shared" si="3"/>
        <v>4.5374637058803007</v>
      </c>
      <c r="O46" s="139">
        <f t="shared" si="3"/>
        <v>5.3104311261858266</v>
      </c>
      <c r="P46" s="140">
        <f t="shared" si="3"/>
        <v>7.8281198774065297</v>
      </c>
      <c r="Q46" s="140">
        <f t="shared" si="3"/>
        <v>9.1231398446219316</v>
      </c>
      <c r="R46" s="138">
        <f t="shared" si="3"/>
        <v>5.1157606942313061</v>
      </c>
      <c r="S46" s="139">
        <f t="shared" si="3"/>
        <v>5.9082547869001116</v>
      </c>
    </row>
    <row r="47" spans="2:19" ht="15" customHeight="1" thickBot="1" x14ac:dyDescent="0.35"/>
    <row r="48" spans="2:19" ht="15" customHeight="1" thickBot="1" x14ac:dyDescent="0.35">
      <c r="B48" s="175" t="s">
        <v>137</v>
      </c>
      <c r="C48" s="177" t="s">
        <v>574</v>
      </c>
      <c r="D48" s="179" t="s">
        <v>605</v>
      </c>
      <c r="E48" s="180"/>
      <c r="F48" s="179" t="s">
        <v>606</v>
      </c>
      <c r="G48" s="180"/>
    </row>
    <row r="49" spans="2:7" ht="15" customHeight="1" thickBot="1" x14ac:dyDescent="0.35">
      <c r="B49" s="176"/>
      <c r="C49" s="178"/>
      <c r="D49" s="108" t="s">
        <v>603</v>
      </c>
      <c r="E49" s="149" t="s">
        <v>604</v>
      </c>
      <c r="F49" s="108" t="s">
        <v>603</v>
      </c>
      <c r="G49" s="93" t="s">
        <v>604</v>
      </c>
    </row>
    <row r="50" spans="2:7" x14ac:dyDescent="0.3">
      <c r="B50" s="52" t="s">
        <v>584</v>
      </c>
      <c r="C50" s="128" t="s">
        <v>585</v>
      </c>
      <c r="D50" s="114">
        <v>3.956913757324219</v>
      </c>
      <c r="E50" s="116">
        <v>4.4633195877075194</v>
      </c>
      <c r="F50" s="114">
        <v>2.4635734558105469</v>
      </c>
      <c r="G50" s="115">
        <v>2.720031929016113</v>
      </c>
    </row>
    <row r="51" spans="2:7" x14ac:dyDescent="0.3">
      <c r="B51" s="56"/>
      <c r="C51" s="18" t="s">
        <v>586</v>
      </c>
      <c r="D51" s="117">
        <v>3.911106491088868</v>
      </c>
      <c r="E51" s="144">
        <v>4.4428979873657228</v>
      </c>
      <c r="F51" s="117">
        <v>2.5092073440551759</v>
      </c>
      <c r="G51" s="118">
        <v>2.7550588607788091</v>
      </c>
    </row>
    <row r="52" spans="2:7" x14ac:dyDescent="0.3">
      <c r="B52" s="60"/>
      <c r="C52" s="129" t="s">
        <v>587</v>
      </c>
      <c r="D52" s="130">
        <v>5.4908239364624016</v>
      </c>
      <c r="E52" s="150">
        <v>6.2519441604614263</v>
      </c>
      <c r="F52" s="130">
        <v>3.3444993972778319</v>
      </c>
      <c r="G52" s="131">
        <v>3.70378532409668</v>
      </c>
    </row>
    <row r="53" spans="2:7" ht="15" customHeight="1" thickBot="1" x14ac:dyDescent="0.35">
      <c r="B53" s="64"/>
      <c r="C53" s="37" t="s">
        <v>588</v>
      </c>
      <c r="D53" s="117">
        <v>4.7999374389648439</v>
      </c>
      <c r="E53" s="144">
        <v>5.1755640029907219</v>
      </c>
      <c r="F53" s="117">
        <v>2.5866273880004882</v>
      </c>
      <c r="G53" s="118">
        <v>2.929000091552735</v>
      </c>
    </row>
    <row r="54" spans="2:7" ht="15" customHeight="1" thickBot="1" x14ac:dyDescent="0.35">
      <c r="B54" s="60" t="s">
        <v>589</v>
      </c>
      <c r="C54" s="129" t="s">
        <v>590</v>
      </c>
      <c r="D54" s="132">
        <v>4.1867849349975588</v>
      </c>
      <c r="E54" s="133">
        <v>4.7640951156616209</v>
      </c>
      <c r="F54" s="132">
        <v>2.5921129226684569</v>
      </c>
      <c r="G54" s="134">
        <v>2.8628705978393558</v>
      </c>
    </row>
    <row r="55" spans="2:7" x14ac:dyDescent="0.3">
      <c r="B55" s="147" t="s">
        <v>591</v>
      </c>
      <c r="C55" s="148" t="s">
        <v>592</v>
      </c>
      <c r="D55" s="117">
        <v>15.59783935546875</v>
      </c>
      <c r="E55" s="144">
        <v>18.18167171478272</v>
      </c>
      <c r="F55" s="117">
        <v>9.5608152389526353</v>
      </c>
      <c r="G55" s="118">
        <v>10.58024673461914</v>
      </c>
    </row>
    <row r="56" spans="2:7" ht="15" customHeight="1" thickBot="1" x14ac:dyDescent="0.35">
      <c r="B56" s="67"/>
      <c r="C56" s="84" t="s">
        <v>593</v>
      </c>
      <c r="D56" s="130">
        <v>16.876315879821782</v>
      </c>
      <c r="E56" s="150">
        <v>20.382617378234858</v>
      </c>
      <c r="F56" s="130">
        <v>11.002597236633299</v>
      </c>
      <c r="G56" s="131">
        <v>11.905393409728999</v>
      </c>
    </row>
    <row r="57" spans="2:7" x14ac:dyDescent="0.3">
      <c r="B57" s="56" t="s">
        <v>594</v>
      </c>
      <c r="C57" s="81"/>
      <c r="D57" s="135">
        <f>AVERAGE(D50:D53)</f>
        <v>4.5396954059600834</v>
      </c>
      <c r="E57" s="136">
        <f>AVERAGE(E50:E53)</f>
        <v>5.0834314346313478</v>
      </c>
      <c r="F57" s="137">
        <f>AVERAGE(F50:F53)</f>
        <v>2.7259768962860105</v>
      </c>
      <c r="G57" s="136">
        <f>AVERAGE(G50:G53)</f>
        <v>3.0269690513610845</v>
      </c>
    </row>
    <row r="58" spans="2:7" x14ac:dyDescent="0.3">
      <c r="B58" s="193" t="s">
        <v>595</v>
      </c>
      <c r="C58" s="188"/>
      <c r="D58" s="119">
        <f>AVERAGE(D54)</f>
        <v>4.1867849349975588</v>
      </c>
      <c r="E58" s="120">
        <f>AVERAGE(E54)</f>
        <v>4.7640951156616209</v>
      </c>
      <c r="F58" s="143">
        <f>AVERAGE(F54)</f>
        <v>2.5921129226684569</v>
      </c>
      <c r="G58" s="120">
        <f>AVERAGE(G54)</f>
        <v>2.8628705978393558</v>
      </c>
    </row>
    <row r="59" spans="2:7" ht="15" customHeight="1" thickBot="1" x14ac:dyDescent="0.35">
      <c r="B59" s="64" t="s">
        <v>596</v>
      </c>
      <c r="C59" s="83"/>
      <c r="D59" s="121">
        <f>AVERAGE(D55:D56)</f>
        <v>16.237077617645266</v>
      </c>
      <c r="E59" s="122">
        <f>AVERAGE(E55:E56)</f>
        <v>19.282144546508789</v>
      </c>
      <c r="F59" s="123">
        <f>AVERAGE(F55:F56)</f>
        <v>10.281706237792967</v>
      </c>
      <c r="G59" s="122">
        <f>AVERAGE(G55:G56)</f>
        <v>11.242820072174069</v>
      </c>
    </row>
    <row r="60" spans="2:7" ht="15" customHeight="1" thickBot="1" x14ac:dyDescent="0.35">
      <c r="B60" s="194" t="s">
        <v>17</v>
      </c>
      <c r="C60" s="178"/>
      <c r="D60" s="138">
        <f>AVERAGE(D50:D56)</f>
        <v>7.8313888277326313</v>
      </c>
      <c r="E60" s="139">
        <f>AVERAGE(E50:E56)</f>
        <v>9.0945871353149403</v>
      </c>
      <c r="F60" s="140">
        <f>AVERAGE(F50:F56)</f>
        <v>4.8656332833426337</v>
      </c>
      <c r="G60" s="139">
        <f>AVERAGE(G50:G56)</f>
        <v>5.3509124210902623</v>
      </c>
    </row>
    <row r="62" spans="2:7" ht="15" customHeight="1" x14ac:dyDescent="0.3"/>
    <row r="74" ht="15" customHeight="1" x14ac:dyDescent="0.3"/>
  </sheetData>
  <mergeCells count="42">
    <mergeCell ref="D48:E48"/>
    <mergeCell ref="B60:C60"/>
    <mergeCell ref="B48:B49"/>
    <mergeCell ref="C48:C49"/>
    <mergeCell ref="B58:C58"/>
    <mergeCell ref="F48:G48"/>
    <mergeCell ref="B2:B4"/>
    <mergeCell ref="C2:C4"/>
    <mergeCell ref="D2:G2"/>
    <mergeCell ref="H2:K2"/>
    <mergeCell ref="B12:C12"/>
    <mergeCell ref="B13:C13"/>
    <mergeCell ref="B14:C14"/>
    <mergeCell ref="B15:C15"/>
    <mergeCell ref="D25:E25"/>
    <mergeCell ref="F25:G25"/>
    <mergeCell ref="D17:E17"/>
    <mergeCell ref="F17:G17"/>
    <mergeCell ref="H33:K33"/>
    <mergeCell ref="B44:C44"/>
    <mergeCell ref="B46:C46"/>
    <mergeCell ref="L2:P2"/>
    <mergeCell ref="Q2:U2"/>
    <mergeCell ref="D3:G3"/>
    <mergeCell ref="H3:K3"/>
    <mergeCell ref="L3:M3"/>
    <mergeCell ref="N3:P3"/>
    <mergeCell ref="Q3:R3"/>
    <mergeCell ref="S3:U3"/>
    <mergeCell ref="L33:O33"/>
    <mergeCell ref="P33:S33"/>
    <mergeCell ref="B34:B35"/>
    <mergeCell ref="C34:C35"/>
    <mergeCell ref="D34:E34"/>
    <mergeCell ref="F34:G34"/>
    <mergeCell ref="H34:I34"/>
    <mergeCell ref="J34:K34"/>
    <mergeCell ref="L34:M34"/>
    <mergeCell ref="N34:O34"/>
    <mergeCell ref="P34:Q34"/>
    <mergeCell ref="R34:S34"/>
    <mergeCell ref="D33:G33"/>
  </mergeCells>
  <conditionalFormatting sqref="E5:E15">
    <cfRule type="cellIs" dxfId="59" priority="15" operator="greaterThanOrEqual">
      <formula>1.03</formula>
    </cfRule>
    <cfRule type="cellIs" dxfId="58" priority="16" operator="lessThanOrEqual">
      <formula>0.97</formula>
    </cfRule>
  </conditionalFormatting>
  <conditionalFormatting sqref="G5:G15">
    <cfRule type="cellIs" dxfId="57" priority="13" operator="greaterThanOrEqual">
      <formula>1.03</formula>
    </cfRule>
    <cfRule type="cellIs" dxfId="56" priority="14" operator="lessThanOrEqual">
      <formula>0.97</formula>
    </cfRule>
  </conditionalFormatting>
  <conditionalFormatting sqref="D5:D15">
    <cfRule type="cellIs" dxfId="55" priority="11" operator="greaterThanOrEqual">
      <formula>1.03</formula>
    </cfRule>
    <cfRule type="cellIs" dxfId="54" priority="12" operator="lessThanOrEqual">
      <formula>0.97</formula>
    </cfRule>
  </conditionalFormatting>
  <conditionalFormatting sqref="F5:F15">
    <cfRule type="cellIs" dxfId="53" priority="9" operator="greaterThanOrEqual">
      <formula>1.03</formula>
    </cfRule>
    <cfRule type="cellIs" dxfId="52" priority="10" operator="lessThanOrEqual">
      <formula>0.97</formula>
    </cfRule>
  </conditionalFormatting>
  <conditionalFormatting sqref="I5:I15">
    <cfRule type="cellIs" dxfId="51" priority="7" operator="greaterThanOrEqual">
      <formula>1.03</formula>
    </cfRule>
    <cfRule type="cellIs" dxfId="50" priority="8" operator="lessThanOrEqual">
      <formula>0.97</formula>
    </cfRule>
  </conditionalFormatting>
  <conditionalFormatting sqref="K5:K15">
    <cfRule type="cellIs" dxfId="49" priority="5" operator="greaterThanOrEqual">
      <formula>1.03</formula>
    </cfRule>
    <cfRule type="cellIs" dxfId="48" priority="6" operator="lessThanOrEqual">
      <formula>0.97</formula>
    </cfRule>
  </conditionalFormatting>
  <conditionalFormatting sqref="Q5:U11 L6:P7 L9:P14">
    <cfRule type="cellIs" dxfId="47" priority="59" operator="greaterThanOrEqual">
      <formula>0.03</formula>
    </cfRule>
    <cfRule type="cellIs" dxfId="46" priority="60" operator="lessThanOrEqual">
      <formula>-0.03</formula>
    </cfRule>
  </conditionalFormatting>
  <conditionalFormatting sqref="Q12:U14">
    <cfRule type="cellIs" dxfId="45" priority="57" operator="greaterThanOrEqual">
      <formula>0.03</formula>
    </cfRule>
    <cfRule type="cellIs" dxfId="44" priority="58" operator="lessThanOrEqual">
      <formula>-0.03</formula>
    </cfRule>
  </conditionalFormatting>
  <conditionalFormatting sqref="N15">
    <cfRule type="cellIs" dxfId="43" priority="27" operator="greaterThanOrEqual">
      <formula>0.03</formula>
    </cfRule>
    <cfRule type="cellIs" dxfId="42" priority="28" operator="lessThanOrEqual">
      <formula>-0.03</formula>
    </cfRule>
  </conditionalFormatting>
  <conditionalFormatting sqref="S15">
    <cfRule type="cellIs" dxfId="41" priority="17" operator="greaterThanOrEqual">
      <formula>0.03</formula>
    </cfRule>
    <cfRule type="cellIs" dxfId="40" priority="18" operator="lessThanOrEqual">
      <formula>-0.03</formula>
    </cfRule>
  </conditionalFormatting>
  <conditionalFormatting sqref="L15">
    <cfRule type="cellIs" dxfId="39" priority="29" operator="greaterThanOrEqual">
      <formula>0.03</formula>
    </cfRule>
    <cfRule type="cellIs" dxfId="38" priority="30" operator="lessThanOrEqual">
      <formula>-0.03</formula>
    </cfRule>
  </conditionalFormatting>
  <conditionalFormatting sqref="M15">
    <cfRule type="cellIs" dxfId="37" priority="31" operator="greaterThanOrEqual">
      <formula>0.03</formula>
    </cfRule>
    <cfRule type="cellIs" dxfId="36" priority="32" operator="lessThanOrEqual">
      <formula>-0.03</formula>
    </cfRule>
  </conditionalFormatting>
  <conditionalFormatting sqref="O15">
    <cfRule type="cellIs" dxfId="35" priority="33" operator="greaterThanOrEqual">
      <formula>0.03</formula>
    </cfRule>
    <cfRule type="cellIs" dxfId="34" priority="34" operator="lessThanOrEqual">
      <formula>-0.03</formula>
    </cfRule>
  </conditionalFormatting>
  <conditionalFormatting sqref="P15">
    <cfRule type="cellIs" dxfId="33" priority="35" operator="greaterThanOrEqual">
      <formula>0.03</formula>
    </cfRule>
    <cfRule type="cellIs" dxfId="32" priority="36" operator="lessThanOrEqual">
      <formula>-0.03</formula>
    </cfRule>
  </conditionalFormatting>
  <conditionalFormatting sqref="Q15">
    <cfRule type="cellIs" dxfId="31" priority="19" operator="greaterThanOrEqual">
      <formula>0.03</formula>
    </cfRule>
    <cfRule type="cellIs" dxfId="30" priority="20" operator="lessThanOrEqual">
      <formula>-0.03</formula>
    </cfRule>
  </conditionalFormatting>
  <conditionalFormatting sqref="R15">
    <cfRule type="cellIs" dxfId="29" priority="21" operator="greaterThanOrEqual">
      <formula>0.03</formula>
    </cfRule>
    <cfRule type="cellIs" dxfId="28" priority="22" operator="lessThanOrEqual">
      <formula>-0.03</formula>
    </cfRule>
  </conditionalFormatting>
  <conditionalFormatting sqref="T15">
    <cfRule type="cellIs" dxfId="27" priority="23" operator="greaterThanOrEqual">
      <formula>0.03</formula>
    </cfRule>
    <cfRule type="cellIs" dxfId="26" priority="24" operator="lessThanOrEqual">
      <formula>-0.03</formula>
    </cfRule>
  </conditionalFormatting>
  <conditionalFormatting sqref="U15">
    <cfRule type="cellIs" dxfId="25" priority="25" operator="greaterThanOrEqual">
      <formula>0.03</formula>
    </cfRule>
    <cfRule type="cellIs" dxfId="24" priority="26" operator="lessThanOrEqual">
      <formula>-0.03</formula>
    </cfRule>
  </conditionalFormatting>
  <conditionalFormatting sqref="L5">
    <cfRule type="cellIs" dxfId="23" priority="49" operator="greaterThanOrEqual">
      <formula>0.03</formula>
    </cfRule>
    <cfRule type="cellIs" dxfId="22" priority="50" operator="lessThanOrEqual">
      <formula>-0.03</formula>
    </cfRule>
  </conditionalFormatting>
  <conditionalFormatting sqref="M5">
    <cfRule type="cellIs" dxfId="21" priority="51" operator="greaterThanOrEqual">
      <formula>0.03</formula>
    </cfRule>
    <cfRule type="cellIs" dxfId="20" priority="52" operator="lessThanOrEqual">
      <formula>-0.03</formula>
    </cfRule>
  </conditionalFormatting>
  <conditionalFormatting sqref="N5">
    <cfRule type="cellIs" dxfId="19" priority="47" operator="greaterThanOrEqual">
      <formula>0.03</formula>
    </cfRule>
    <cfRule type="cellIs" dxfId="18" priority="48" operator="lessThanOrEqual">
      <formula>-0.03</formula>
    </cfRule>
  </conditionalFormatting>
  <conditionalFormatting sqref="O5">
    <cfRule type="cellIs" dxfId="17" priority="53" operator="greaterThanOrEqual">
      <formula>0.03</formula>
    </cfRule>
    <cfRule type="cellIs" dxfId="16" priority="54" operator="lessThanOrEqual">
      <formula>-0.03</formula>
    </cfRule>
  </conditionalFormatting>
  <conditionalFormatting sqref="P5">
    <cfRule type="cellIs" dxfId="15" priority="55" operator="greaterThanOrEqual">
      <formula>0.03</formula>
    </cfRule>
    <cfRule type="cellIs" dxfId="14" priority="56" operator="lessThanOrEqual">
      <formula>-0.03</formula>
    </cfRule>
  </conditionalFormatting>
  <conditionalFormatting sqref="L8">
    <cfRule type="cellIs" dxfId="13" priority="39" operator="greaterThanOrEqual">
      <formula>0.03</formula>
    </cfRule>
    <cfRule type="cellIs" dxfId="12" priority="40" operator="lessThanOrEqual">
      <formula>-0.03</formula>
    </cfRule>
  </conditionalFormatting>
  <conditionalFormatting sqref="M8">
    <cfRule type="cellIs" dxfId="11" priority="41" operator="greaterThanOrEqual">
      <formula>0.03</formula>
    </cfRule>
    <cfRule type="cellIs" dxfId="10" priority="42" operator="lessThanOrEqual">
      <formula>-0.03</formula>
    </cfRule>
  </conditionalFormatting>
  <conditionalFormatting sqref="N8">
    <cfRule type="cellIs" dxfId="9" priority="37" operator="greaterThanOrEqual">
      <formula>0.03</formula>
    </cfRule>
    <cfRule type="cellIs" dxfId="8" priority="38" operator="lessThanOrEqual">
      <formula>-0.03</formula>
    </cfRule>
  </conditionalFormatting>
  <conditionalFormatting sqref="O8">
    <cfRule type="cellIs" dxfId="7" priority="43" operator="greaterThanOrEqual">
      <formula>0.03</formula>
    </cfRule>
    <cfRule type="cellIs" dxfId="6" priority="44" operator="lessThanOrEqual">
      <formula>-0.03</formula>
    </cfRule>
  </conditionalFormatting>
  <conditionalFormatting sqref="P8">
    <cfRule type="cellIs" dxfId="5" priority="45" operator="greaterThanOrEqual">
      <formula>0.03</formula>
    </cfRule>
    <cfRule type="cellIs" dxfId="4" priority="46" operator="lessThanOrEqual">
      <formula>-0.03</formula>
    </cfRule>
  </conditionalFormatting>
  <conditionalFormatting sqref="H5:H15">
    <cfRule type="cellIs" dxfId="3" priority="3" operator="greaterThanOrEqual">
      <formula>1.03</formula>
    </cfRule>
    <cfRule type="cellIs" dxfId="2" priority="4" operator="lessThanOrEqual">
      <formula>0.97</formula>
    </cfRule>
  </conditionalFormatting>
  <conditionalFormatting sqref="J5:J15">
    <cfRule type="cellIs" dxfId="1" priority="1" operator="greaterThanOrEqual">
      <formula>1.03</formula>
    </cfRule>
    <cfRule type="cellIs" dxfId="0" priority="2" operator="lessThanOrEqual">
      <formula>0.97</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Summary</vt:lpstr>
      <vt:lpstr>Graphs</vt:lpstr>
      <vt:lpstr>C2 lossyG,lossyA,intra</vt:lpstr>
      <vt:lpstr>names</vt:lpstr>
      <vt:lpstr>CW losslG,losslA,intra</vt:lpstr>
      <vt:lpstr>CW losslG,losslA,interLD</vt:lpstr>
      <vt:lpstr>C2 lossyG,lossyA,interRA</vt:lpstr>
      <vt:lpstr>Results</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Ricard Julien</cp:lastModifiedBy>
  <dcterms:created xsi:type="dcterms:W3CDTF">2019-04-23T13:57:55Z</dcterms:created>
  <dcterms:modified xsi:type="dcterms:W3CDTF">2019-12-16T17:23:14Z</dcterms:modified>
</cp:coreProperties>
</file>