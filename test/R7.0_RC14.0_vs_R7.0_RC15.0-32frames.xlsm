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1" defaultThemeVersion="124226"/>
  <mc:AlternateContent xmlns:mc="http://schemas.openxmlformats.org/markup-compatibility/2006">
    <mc:Choice Requires="x15">
      <x15ac:absPath xmlns:x15ac="http://schemas.microsoft.com/office/spreadsheetml/2010/11/ac" url="C:\Users\1000314552\Desktop\"/>
    </mc:Choice>
  </mc:AlternateContent>
  <xr:revisionPtr revIDLastSave="0" documentId="13_ncr:1_{AD8FC27B-E55F-4962-B644-BAE691CACCD0}" xr6:coauthVersionLast="41" xr6:coauthVersionMax="41" xr10:uidLastSave="{00000000-0000-0000-0000-000000000000}"/>
  <bookViews>
    <workbookView xWindow="-60" yWindow="-18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K39" i="7"/>
  <c r="AJ39" i="7"/>
  <c r="AI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H42" i="7" s="1"/>
  <c r="AG36" i="7"/>
  <c r="O36" i="7"/>
  <c r="N36" i="7"/>
  <c r="K36" i="7" s="1"/>
  <c r="M36" i="7"/>
  <c r="L36" i="7"/>
  <c r="J36" i="7"/>
  <c r="I36" i="7"/>
  <c r="CG35" i="7"/>
  <c r="CF35" i="7"/>
  <c r="CE35" i="7"/>
  <c r="CD35" i="7"/>
  <c r="CC35" i="7"/>
  <c r="CB35" i="7"/>
  <c r="CA35" i="7"/>
  <c r="BZ35" i="7"/>
  <c r="BY35" i="7"/>
  <c r="BX35" i="7"/>
  <c r="BW35" i="7"/>
  <c r="BV35" i="7"/>
  <c r="BF35" i="7"/>
  <c r="AM35" i="7"/>
  <c r="AL35" i="7"/>
  <c r="AK35" i="7"/>
  <c r="AJ35" i="7"/>
  <c r="AI35" i="7"/>
  <c r="AH35" i="7"/>
  <c r="AG35" i="7"/>
  <c r="O35" i="7"/>
  <c r="N35" i="7"/>
  <c r="M35" i="7"/>
  <c r="L35" i="7"/>
  <c r="J35" i="7"/>
  <c r="I35" i="7"/>
  <c r="CG34" i="7"/>
  <c r="CF34" i="7"/>
  <c r="CE34" i="7"/>
  <c r="CD34" i="7"/>
  <c r="CC34" i="7"/>
  <c r="CB34" i="7"/>
  <c r="CA34" i="7"/>
  <c r="BZ34" i="7"/>
  <c r="BY34" i="7"/>
  <c r="BX34" i="7"/>
  <c r="BW34" i="7"/>
  <c r="BV34" i="7"/>
  <c r="BF34" i="7"/>
  <c r="AM34" i="7"/>
  <c r="AL34" i="7"/>
  <c r="BG34" i="7" s="1"/>
  <c r="AK34" i="7"/>
  <c r="AJ34" i="7"/>
  <c r="AI34" i="7"/>
  <c r="AH34" i="7"/>
  <c r="AG34" i="7"/>
  <c r="O34" i="7"/>
  <c r="N34" i="7"/>
  <c r="K34" i="7" s="1"/>
  <c r="BE34" i="7" s="1"/>
  <c r="M34" i="7"/>
  <c r="L34" i="7"/>
  <c r="J34" i="7"/>
  <c r="I34" i="7"/>
  <c r="CG33" i="7"/>
  <c r="CF33" i="7"/>
  <c r="CE33" i="7"/>
  <c r="CD33" i="7"/>
  <c r="CC33" i="7"/>
  <c r="CB33" i="7"/>
  <c r="CA33" i="7"/>
  <c r="BZ33" i="7"/>
  <c r="BY33" i="7"/>
  <c r="BX33" i="7"/>
  <c r="BW33" i="7"/>
  <c r="BV33" i="7"/>
  <c r="BF33" i="7"/>
  <c r="AM33" i="7"/>
  <c r="AL33" i="7"/>
  <c r="AI33" i="7" s="1"/>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K31" i="7"/>
  <c r="AJ31" i="7"/>
  <c r="AI31" i="7"/>
  <c r="AH31" i="7"/>
  <c r="AG31" i="7"/>
  <c r="O31" i="7"/>
  <c r="N31" i="7"/>
  <c r="K31" i="7" s="1"/>
  <c r="M31" i="7"/>
  <c r="L31" i="7"/>
  <c r="J31" i="7"/>
  <c r="I31" i="7"/>
  <c r="CG30" i="7"/>
  <c r="CF30" i="7"/>
  <c r="CE30" i="7"/>
  <c r="CD30" i="7"/>
  <c r="CC30" i="7"/>
  <c r="CB30" i="7"/>
  <c r="CA30" i="7"/>
  <c r="BZ30" i="7"/>
  <c r="BY30" i="7"/>
  <c r="BX30" i="7"/>
  <c r="BW30" i="7"/>
  <c r="BV30" i="7"/>
  <c r="BH30" i="7" a="1"/>
  <c r="BF30" i="7"/>
  <c r="AM30" i="7"/>
  <c r="AL30" i="7"/>
  <c r="BG30" i="7" s="1"/>
  <c r="AK30" i="7"/>
  <c r="AJ30" i="7"/>
  <c r="AI30" i="7"/>
  <c r="AH30" i="7"/>
  <c r="AG30" i="7"/>
  <c r="O30" i="7"/>
  <c r="N30" i="7"/>
  <c r="K30" i="7" s="1"/>
  <c r="M30" i="7"/>
  <c r="M42" i="7" s="1"/>
  <c r="L30" i="7"/>
  <c r="J30" i="7"/>
  <c r="I30" i="7"/>
  <c r="CG29" i="7"/>
  <c r="CF29" i="7"/>
  <c r="CE29" i="7"/>
  <c r="CD29" i="7"/>
  <c r="CC29" i="7"/>
  <c r="CB29" i="7"/>
  <c r="CA29" i="7"/>
  <c r="BZ29" i="7"/>
  <c r="BY29" i="7"/>
  <c r="BX29" i="7"/>
  <c r="BW29" i="7"/>
  <c r="BV29" i="7"/>
  <c r="BF29" i="7"/>
  <c r="AM29" i="7"/>
  <c r="AL29" i="7"/>
  <c r="AI29" i="7" s="1"/>
  <c r="BE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H41" i="7" s="1"/>
  <c r="AG28" i="7"/>
  <c r="O28" i="7"/>
  <c r="N28" i="7"/>
  <c r="K28" i="7" s="1"/>
  <c r="M28" i="7"/>
  <c r="L28" i="7"/>
  <c r="J28" i="7"/>
  <c r="I28" i="7"/>
  <c r="CG27" i="7"/>
  <c r="CF27" i="7"/>
  <c r="CE27" i="7"/>
  <c r="CD27" i="7"/>
  <c r="CC27" i="7"/>
  <c r="CB27" i="7"/>
  <c r="CA27" i="7"/>
  <c r="BZ27" i="7"/>
  <c r="BY27" i="7"/>
  <c r="BX27" i="7"/>
  <c r="BW27" i="7"/>
  <c r="BV27" i="7"/>
  <c r="BF27" i="7"/>
  <c r="AM27" i="7"/>
  <c r="AL27" i="7"/>
  <c r="AK27" i="7"/>
  <c r="AJ27" i="7"/>
  <c r="AI27" i="7"/>
  <c r="AH27" i="7"/>
  <c r="AG27" i="7"/>
  <c r="O27" i="7"/>
  <c r="N27" i="7"/>
  <c r="K27" i="7" s="1"/>
  <c r="M27" i="7"/>
  <c r="L27" i="7"/>
  <c r="J27" i="7"/>
  <c r="J41" i="7" s="1"/>
  <c r="I27" i="7"/>
  <c r="CG26" i="7"/>
  <c r="CF26" i="7"/>
  <c r="CE26" i="7"/>
  <c r="CD26" i="7"/>
  <c r="CC26" i="7"/>
  <c r="CB26" i="7"/>
  <c r="CA26" i="7"/>
  <c r="BZ26" i="7"/>
  <c r="BY26" i="7"/>
  <c r="BX26" i="7"/>
  <c r="BW26" i="7"/>
  <c r="BV26" i="7"/>
  <c r="BF26" i="7"/>
  <c r="AM26" i="7"/>
  <c r="AL26" i="7"/>
  <c r="BG26" i="7" s="1"/>
  <c r="AK26" i="7"/>
  <c r="AJ26" i="7"/>
  <c r="AI26" i="7"/>
  <c r="AH26" i="7"/>
  <c r="AG26" i="7"/>
  <c r="O26" i="7"/>
  <c r="N26" i="7"/>
  <c r="K26" i="7" s="1"/>
  <c r="BE26" i="7" s="1"/>
  <c r="M26" i="7"/>
  <c r="L26" i="7"/>
  <c r="J26" i="7"/>
  <c r="I26" i="7"/>
  <c r="CG25" i="7"/>
  <c r="CF25" i="7"/>
  <c r="CE25" i="7"/>
  <c r="CD25" i="7"/>
  <c r="CC25" i="7"/>
  <c r="CB25" i="7"/>
  <c r="CA25" i="7"/>
  <c r="BZ25" i="7"/>
  <c r="BY25" i="7"/>
  <c r="BX25" i="7"/>
  <c r="BW25" i="7"/>
  <c r="BV25" i="7"/>
  <c r="BF25" i="7"/>
  <c r="AM25" i="7"/>
  <c r="AL25" i="7"/>
  <c r="BH25" i="7" s="1" a="1"/>
  <c r="BH25" i="7" s="1"/>
  <c r="BH41" i="7" s="1"/>
  <c r="AK25" i="7"/>
  <c r="AJ25" i="7"/>
  <c r="AJ41" i="7" s="1"/>
  <c r="AH25" i="7"/>
  <c r="AG25" i="7"/>
  <c r="O25" i="7"/>
  <c r="N25" i="7"/>
  <c r="M25" i="7"/>
  <c r="L25" i="7"/>
  <c r="K25" i="7"/>
  <c r="J25" i="7"/>
  <c r="I25" i="7"/>
  <c r="CG24" i="7"/>
  <c r="CF24" i="7"/>
  <c r="CE24" i="7"/>
  <c r="CD24" i="7"/>
  <c r="CC24" i="7"/>
  <c r="CB24" i="7"/>
  <c r="CA24" i="7"/>
  <c r="BZ24" i="7"/>
  <c r="BY24" i="7"/>
  <c r="BX24" i="7"/>
  <c r="BW24" i="7"/>
  <c r="BV24" i="7"/>
  <c r="BF24" i="7"/>
  <c r="AM24" i="7"/>
  <c r="AL24" i="7"/>
  <c r="AK24" i="7"/>
  <c r="AJ24" i="7"/>
  <c r="AH24" i="7"/>
  <c r="AG24" i="7"/>
  <c r="O24" i="7"/>
  <c r="N24" i="7"/>
  <c r="K24" i="7" s="1"/>
  <c r="M24" i="7"/>
  <c r="L24" i="7"/>
  <c r="J24" i="7"/>
  <c r="I24" i="7"/>
  <c r="CG23" i="7"/>
  <c r="CF23" i="7"/>
  <c r="CE23" i="7"/>
  <c r="CD23" i="7"/>
  <c r="CC23" i="7"/>
  <c r="CB23" i="7"/>
  <c r="CA23" i="7"/>
  <c r="BZ23" i="7"/>
  <c r="BY23" i="7"/>
  <c r="BX23" i="7"/>
  <c r="BW23" i="7"/>
  <c r="BV23" i="7"/>
  <c r="BF23" i="7"/>
  <c r="AM23" i="7"/>
  <c r="AL23" i="7"/>
  <c r="AK23" i="7"/>
  <c r="AJ23" i="7"/>
  <c r="AI23" i="7"/>
  <c r="AH23" i="7"/>
  <c r="AG23" i="7"/>
  <c r="O23" i="7"/>
  <c r="N23" i="7"/>
  <c r="K23" i="7" s="1"/>
  <c r="M23" i="7"/>
  <c r="L23" i="7"/>
  <c r="J23" i="7"/>
  <c r="I23" i="7"/>
  <c r="CG22" i="7"/>
  <c r="CF22" i="7"/>
  <c r="CE22" i="7"/>
  <c r="CD22" i="7"/>
  <c r="CC22" i="7"/>
  <c r="CB22" i="7"/>
  <c r="CA22" i="7"/>
  <c r="BZ22" i="7"/>
  <c r="BY22" i="7"/>
  <c r="BX22" i="7"/>
  <c r="BW22" i="7"/>
  <c r="BV22" i="7"/>
  <c r="BF22" i="7"/>
  <c r="AM22" i="7"/>
  <c r="AL22" i="7"/>
  <c r="BG22" i="7" s="1"/>
  <c r="AK22" i="7"/>
  <c r="AJ22" i="7"/>
  <c r="AI22" i="7"/>
  <c r="AH22" i="7"/>
  <c r="AG22" i="7"/>
  <c r="O22" i="7"/>
  <c r="N22" i="7"/>
  <c r="K22" i="7" s="1"/>
  <c r="BE22" i="7" s="1"/>
  <c r="M22" i="7"/>
  <c r="L22" i="7"/>
  <c r="J22" i="7"/>
  <c r="I22" i="7"/>
  <c r="CG21" i="7"/>
  <c r="CF21" i="7"/>
  <c r="CE21" i="7"/>
  <c r="CD21" i="7"/>
  <c r="CC21" i="7"/>
  <c r="CB21" i="7"/>
  <c r="CA21" i="7"/>
  <c r="BZ21" i="7"/>
  <c r="BY21" i="7"/>
  <c r="BX21" i="7"/>
  <c r="BW21" i="7"/>
  <c r="BV21" i="7"/>
  <c r="BF21" i="7"/>
  <c r="AM21" i="7"/>
  <c r="AL21" i="7"/>
  <c r="AI21" i="7" s="1"/>
  <c r="AK21" i="7"/>
  <c r="AJ21" i="7"/>
  <c r="AH21" i="7"/>
  <c r="AG21" i="7"/>
  <c r="O21" i="7"/>
  <c r="N21" i="7"/>
  <c r="M21" i="7"/>
  <c r="L21" i="7"/>
  <c r="K21" i="7"/>
  <c r="J21" i="7"/>
  <c r="I21" i="7"/>
  <c r="CG20" i="7"/>
  <c r="CF20" i="7"/>
  <c r="CE20" i="7"/>
  <c r="CD20" i="7"/>
  <c r="CC20" i="7"/>
  <c r="CB20" i="7"/>
  <c r="CA20" i="7"/>
  <c r="BZ20" i="7"/>
  <c r="BY20" i="7"/>
  <c r="BX20" i="7"/>
  <c r="BW20" i="7"/>
  <c r="BV20" i="7"/>
  <c r="BF20" i="7"/>
  <c r="AM20" i="7"/>
  <c r="AL20" i="7"/>
  <c r="AK20" i="7"/>
  <c r="AJ20" i="7"/>
  <c r="AH20" i="7"/>
  <c r="AG20" i="7"/>
  <c r="O20" i="7"/>
  <c r="N20" i="7"/>
  <c r="BG20" i="7" s="1"/>
  <c r="M20" i="7"/>
  <c r="L20" i="7"/>
  <c r="J20" i="7"/>
  <c r="I20" i="7"/>
  <c r="CG19" i="7"/>
  <c r="CF19" i="7"/>
  <c r="CE19" i="7"/>
  <c r="CD19" i="7"/>
  <c r="CC19" i="7"/>
  <c r="CB19" i="7"/>
  <c r="CA19" i="7"/>
  <c r="BZ19" i="7"/>
  <c r="BY19" i="7"/>
  <c r="BX19" i="7"/>
  <c r="BW19" i="7"/>
  <c r="BV19" i="7"/>
  <c r="BF19" i="7"/>
  <c r="AM19" i="7"/>
  <c r="AL19" i="7"/>
  <c r="BG19" i="7" s="1"/>
  <c r="AK19" i="7"/>
  <c r="AJ19" i="7"/>
  <c r="AI19" i="7"/>
  <c r="AH19" i="7"/>
  <c r="AG19" i="7"/>
  <c r="O19" i="7"/>
  <c r="N19" i="7"/>
  <c r="K19" i="7" s="1"/>
  <c r="M19" i="7"/>
  <c r="L19" i="7"/>
  <c r="J19" i="7"/>
  <c r="I19" i="7"/>
  <c r="CG18" i="7"/>
  <c r="CF18" i="7"/>
  <c r="CE18" i="7"/>
  <c r="CD18" i="7"/>
  <c r="CC18" i="7"/>
  <c r="CB18" i="7"/>
  <c r="CA18" i="7"/>
  <c r="BZ18" i="7"/>
  <c r="BY18" i="7"/>
  <c r="BX18" i="7"/>
  <c r="BW18" i="7"/>
  <c r="BV18" i="7"/>
  <c r="BF18" i="7"/>
  <c r="AM18" i="7"/>
  <c r="AL18" i="7"/>
  <c r="AK18" i="7"/>
  <c r="AJ18" i="7"/>
  <c r="AI18" i="7"/>
  <c r="AH18" i="7"/>
  <c r="AG18" i="7"/>
  <c r="O18" i="7"/>
  <c r="N18" i="7"/>
  <c r="K18" i="7" s="1"/>
  <c r="BE18" i="7" s="1"/>
  <c r="M18" i="7"/>
  <c r="L18" i="7"/>
  <c r="J18" i="7"/>
  <c r="I18" i="7"/>
  <c r="CG17" i="7"/>
  <c r="CF17" i="7"/>
  <c r="CE17" i="7"/>
  <c r="CD17" i="7"/>
  <c r="CC17" i="7"/>
  <c r="CB17" i="7"/>
  <c r="CA17" i="7"/>
  <c r="BZ17" i="7"/>
  <c r="BY17" i="7"/>
  <c r="BX17" i="7"/>
  <c r="BW17" i="7"/>
  <c r="BV17" i="7"/>
  <c r="BF17" i="7"/>
  <c r="AM17" i="7"/>
  <c r="AL17" i="7"/>
  <c r="AI17" i="7" s="1"/>
  <c r="BE17" i="7" s="1"/>
  <c r="AK17" i="7"/>
  <c r="AJ17" i="7"/>
  <c r="AH17" i="7"/>
  <c r="AG17" i="7"/>
  <c r="O17" i="7"/>
  <c r="N17" i="7"/>
  <c r="M17" i="7"/>
  <c r="L17" i="7"/>
  <c r="K17" i="7"/>
  <c r="J17" i="7"/>
  <c r="I17" i="7"/>
  <c r="CG16" i="7"/>
  <c r="CF16" i="7"/>
  <c r="CE16" i="7"/>
  <c r="CD16" i="7"/>
  <c r="CC16" i="7"/>
  <c r="CB16" i="7"/>
  <c r="CA16" i="7"/>
  <c r="BZ16" i="7"/>
  <c r="BY16" i="7"/>
  <c r="BX16" i="7"/>
  <c r="BW16" i="7"/>
  <c r="BV16" i="7"/>
  <c r="BF16" i="7"/>
  <c r="AM16" i="7"/>
  <c r="AL16" i="7"/>
  <c r="AK16" i="7"/>
  <c r="AJ16" i="7"/>
  <c r="AH16" i="7"/>
  <c r="AG16" i="7"/>
  <c r="O16" i="7"/>
  <c r="N16" i="7"/>
  <c r="K16" i="7" s="1"/>
  <c r="M16" i="7"/>
  <c r="L16" i="7"/>
  <c r="J16" i="7"/>
  <c r="I16" i="7"/>
  <c r="CG15" i="7"/>
  <c r="CF15" i="7"/>
  <c r="CE15" i="7"/>
  <c r="CD15" i="7"/>
  <c r="CC15" i="7"/>
  <c r="CB15" i="7"/>
  <c r="CA15" i="7"/>
  <c r="BZ15" i="7"/>
  <c r="BY15" i="7"/>
  <c r="BX15" i="7"/>
  <c r="BW15" i="7"/>
  <c r="BV15" i="7"/>
  <c r="BF15" i="7"/>
  <c r="AM15" i="7"/>
  <c r="AL15" i="7"/>
  <c r="BG15" i="7" s="1"/>
  <c r="AK15" i="7"/>
  <c r="AJ15" i="7"/>
  <c r="AI15" i="7"/>
  <c r="AH15" i="7"/>
  <c r="AG15" i="7"/>
  <c r="O15" i="7"/>
  <c r="N15" i="7"/>
  <c r="M15" i="7"/>
  <c r="L15" i="7"/>
  <c r="J15" i="7"/>
  <c r="I15" i="7"/>
  <c r="CG14" i="7"/>
  <c r="CF14" i="7"/>
  <c r="CE14" i="7"/>
  <c r="CD14" i="7"/>
  <c r="CC14" i="7"/>
  <c r="CB14" i="7"/>
  <c r="CA14" i="7"/>
  <c r="BZ14" i="7"/>
  <c r="BY14" i="7"/>
  <c r="BX14" i="7"/>
  <c r="BW14" i="7"/>
  <c r="BV14" i="7"/>
  <c r="BF14" i="7"/>
  <c r="AM14" i="7"/>
  <c r="AL14" i="7"/>
  <c r="AK14" i="7"/>
  <c r="AJ14" i="7"/>
  <c r="AI14" i="7"/>
  <c r="AH14" i="7"/>
  <c r="AG14" i="7"/>
  <c r="O14" i="7"/>
  <c r="N14" i="7"/>
  <c r="K14" i="7" s="1"/>
  <c r="BE14" i="7" s="1"/>
  <c r="M14" i="7"/>
  <c r="L14" i="7"/>
  <c r="J14" i="7"/>
  <c r="I14" i="7"/>
  <c r="CG13" i="7"/>
  <c r="CF13" i="7"/>
  <c r="CE13" i="7"/>
  <c r="CD13" i="7"/>
  <c r="CC13" i="7"/>
  <c r="CB13" i="7"/>
  <c r="CA13" i="7"/>
  <c r="BZ13" i="7"/>
  <c r="BY13" i="7"/>
  <c r="BX13" i="7"/>
  <c r="BW13" i="7"/>
  <c r="BV13" i="7"/>
  <c r="BF13" i="7"/>
  <c r="AM13" i="7"/>
  <c r="AL13" i="7"/>
  <c r="AI13" i="7" s="1"/>
  <c r="BE13" i="7" s="1"/>
  <c r="AK13" i="7"/>
  <c r="AJ13" i="7"/>
  <c r="AH13" i="7"/>
  <c r="AG13" i="7"/>
  <c r="O13" i="7"/>
  <c r="N13" i="7"/>
  <c r="M13" i="7"/>
  <c r="L13" i="7"/>
  <c r="K13" i="7"/>
  <c r="J13" i="7"/>
  <c r="I13" i="7"/>
  <c r="CG12" i="7"/>
  <c r="CF12" i="7"/>
  <c r="CE12" i="7"/>
  <c r="CD12" i="7"/>
  <c r="CC12" i="7"/>
  <c r="CB12" i="7"/>
  <c r="CA12" i="7"/>
  <c r="BZ12" i="7"/>
  <c r="BY12" i="7"/>
  <c r="BX12" i="7"/>
  <c r="BW12" i="7"/>
  <c r="BV12" i="7"/>
  <c r="BF12" i="7"/>
  <c r="AM12" i="7"/>
  <c r="AL12" i="7"/>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K11" i="7"/>
  <c r="AJ11" i="7"/>
  <c r="AI11" i="7"/>
  <c r="AH11" i="7"/>
  <c r="AG11" i="7"/>
  <c r="O11" i="7"/>
  <c r="N11" i="7"/>
  <c r="M11" i="7"/>
  <c r="L11" i="7"/>
  <c r="K11" i="7"/>
  <c r="BE11" i="7" s="1"/>
  <c r="J11" i="7"/>
  <c r="I11" i="7"/>
  <c r="CG10" i="7"/>
  <c r="CF10" i="7"/>
  <c r="CE10" i="7"/>
  <c r="CD10" i="7"/>
  <c r="CC10" i="7"/>
  <c r="CB10" i="7"/>
  <c r="CA10" i="7"/>
  <c r="BZ10" i="7"/>
  <c r="BY10" i="7"/>
  <c r="BX10" i="7"/>
  <c r="BW10" i="7"/>
  <c r="BV10" i="7"/>
  <c r="BH10" i="7" a="1"/>
  <c r="BH10" i="7" s="1"/>
  <c r="BF10" i="7"/>
  <c r="AM10" i="7"/>
  <c r="AL10" i="7"/>
  <c r="BG10" i="7" s="1"/>
  <c r="AK10" i="7"/>
  <c r="AJ10" i="7"/>
  <c r="AI10" i="7"/>
  <c r="AH10" i="7"/>
  <c r="AG10" i="7"/>
  <c r="O10" i="7"/>
  <c r="N10" i="7"/>
  <c r="M10" i="7"/>
  <c r="L10" i="7"/>
  <c r="K10" i="7"/>
  <c r="BE10" i="7" s="1"/>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K7" i="7"/>
  <c r="AJ7" i="7"/>
  <c r="AI7" i="7"/>
  <c r="AH7" i="7"/>
  <c r="AG7" i="7"/>
  <c r="O7" i="7"/>
  <c r="N7" i="7"/>
  <c r="M7" i="7"/>
  <c r="L7" i="7"/>
  <c r="K7" i="7"/>
  <c r="BE7" i="7" s="1"/>
  <c r="J7" i="7"/>
  <c r="I7" i="7"/>
  <c r="CG6" i="7"/>
  <c r="CF6" i="7"/>
  <c r="CE6" i="7"/>
  <c r="CD6" i="7"/>
  <c r="CC6" i="7"/>
  <c r="CB6" i="7"/>
  <c r="CA6" i="7"/>
  <c r="BZ6" i="7"/>
  <c r="BY6" i="7"/>
  <c r="BX6" i="7"/>
  <c r="BW6" i="7"/>
  <c r="BV6" i="7"/>
  <c r="BF6" i="7"/>
  <c r="AM6" i="7"/>
  <c r="AL6" i="7"/>
  <c r="AK6" i="7"/>
  <c r="AJ6" i="7"/>
  <c r="AI6" i="7"/>
  <c r="AH6" i="7"/>
  <c r="AG6" i="7"/>
  <c r="O6" i="7"/>
  <c r="N6" i="7"/>
  <c r="K6" i="7" s="1"/>
  <c r="BE6" i="7" s="1"/>
  <c r="M6" i="7"/>
  <c r="L6" i="7"/>
  <c r="J6" i="7"/>
  <c r="I6" i="7"/>
  <c r="CG5" i="7"/>
  <c r="CF5" i="7"/>
  <c r="CE5" i="7"/>
  <c r="CD5" i="7"/>
  <c r="CC5" i="7"/>
  <c r="CB5" i="7"/>
  <c r="CA5" i="7"/>
  <c r="BZ5" i="7"/>
  <c r="BY5" i="7"/>
  <c r="BX5" i="7"/>
  <c r="BW5" i="7"/>
  <c r="BV5" i="7"/>
  <c r="BF5" i="7"/>
  <c r="AM5" i="7"/>
  <c r="AL5" i="7"/>
  <c r="AK5" i="7"/>
  <c r="AJ5" i="7"/>
  <c r="AH5" i="7"/>
  <c r="AH40" i="7" s="1"/>
  <c r="AG5" i="7"/>
  <c r="O5" i="7"/>
  <c r="N5" i="7"/>
  <c r="M5" i="7"/>
  <c r="L5" i="7"/>
  <c r="K5" i="7"/>
  <c r="J5" i="7"/>
  <c r="I5" i="7"/>
  <c r="AG1" i="7"/>
  <c r="I1" i="7"/>
  <c r="AZ18" i="6"/>
  <c r="AY18" i="6"/>
  <c r="AX18" i="6"/>
  <c r="AW18" i="6"/>
  <c r="AC18" i="6"/>
  <c r="AB18" i="6"/>
  <c r="AA18" i="6"/>
  <c r="Z18" i="6"/>
  <c r="AZ16" i="6"/>
  <c r="AY16" i="6"/>
  <c r="AX16" i="6"/>
  <c r="AW16" i="6"/>
  <c r="AC16" i="6"/>
  <c r="AB16" i="6"/>
  <c r="AA16" i="6"/>
  <c r="Z16" i="6"/>
  <c r="AJ13" i="6"/>
  <c r="J13" i="6"/>
  <c r="AG12" i="6"/>
  <c r="BM11" i="6"/>
  <c r="BL11" i="6"/>
  <c r="BK11" i="6"/>
  <c r="BJ11" i="6"/>
  <c r="BI11" i="6"/>
  <c r="BG11" i="6" a="1"/>
  <c r="BC11" i="6"/>
  <c r="AL11" i="6"/>
  <c r="AK11" i="6"/>
  <c r="AH11" i="6" s="1"/>
  <c r="AJ11" i="6"/>
  <c r="AI11" i="6"/>
  <c r="AG11" i="6"/>
  <c r="AF11" i="6"/>
  <c r="AE11" i="6"/>
  <c r="O11" i="6"/>
  <c r="N11" i="6"/>
  <c r="K11" i="6" s="1"/>
  <c r="M11" i="6"/>
  <c r="L11" i="6"/>
  <c r="BD11" i="6" s="1"/>
  <c r="J11" i="6"/>
  <c r="BB11" i="6" s="1"/>
  <c r="I11" i="6"/>
  <c r="H11" i="6"/>
  <c r="BM10" i="6"/>
  <c r="BL10" i="6"/>
  <c r="BK10" i="6"/>
  <c r="BJ10" i="6"/>
  <c r="BI10" i="6"/>
  <c r="BD10" i="6"/>
  <c r="AL10" i="6"/>
  <c r="AK10" i="6"/>
  <c r="AJ10" i="6"/>
  <c r="AI10" i="6"/>
  <c r="AI14" i="6" s="1"/>
  <c r="AG10" i="6"/>
  <c r="AF10" i="6"/>
  <c r="AE10" i="6"/>
  <c r="O10" i="6"/>
  <c r="N10" i="6"/>
  <c r="K10" i="6" s="1"/>
  <c r="K14" i="6" s="1"/>
  <c r="M10" i="6"/>
  <c r="M14" i="6" s="1"/>
  <c r="L10" i="6"/>
  <c r="J10" i="6"/>
  <c r="J14" i="6" s="1"/>
  <c r="I10" i="6"/>
  <c r="H10" i="6"/>
  <c r="BM9" i="6"/>
  <c r="BL9" i="6"/>
  <c r="BK9" i="6"/>
  <c r="BJ9" i="6"/>
  <c r="BI9" i="6"/>
  <c r="BF9" i="6"/>
  <c r="AL9" i="6"/>
  <c r="AK9" i="6"/>
  <c r="BG9" i="6" s="1" a="1"/>
  <c r="AJ9" i="6"/>
  <c r="AI9" i="6"/>
  <c r="AH9" i="6"/>
  <c r="AH13" i="6" s="1"/>
  <c r="AG9" i="6"/>
  <c r="AG13" i="6" s="1"/>
  <c r="AF9" i="6"/>
  <c r="AE9" i="6"/>
  <c r="O9" i="6"/>
  <c r="N9" i="6"/>
  <c r="M9" i="6"/>
  <c r="M13" i="6" s="1"/>
  <c r="BE13" i="6" s="1"/>
  <c r="D32" i="1" s="1"/>
  <c r="L9" i="6"/>
  <c r="L13" i="6" s="1"/>
  <c r="K9" i="6"/>
  <c r="K13" i="6" s="1"/>
  <c r="J9" i="6"/>
  <c r="BB9" i="6" s="1"/>
  <c r="I9" i="6"/>
  <c r="H9" i="6"/>
  <c r="BM8" i="6"/>
  <c r="BL8" i="6"/>
  <c r="BK8" i="6"/>
  <c r="BJ8" i="6"/>
  <c r="BI8" i="6"/>
  <c r="BB8" i="6"/>
  <c r="AL8" i="6"/>
  <c r="AK8" i="6"/>
  <c r="BG8" i="6" s="1" a="1"/>
  <c r="AJ8" i="6"/>
  <c r="AI8" i="6"/>
  <c r="AH8" i="6"/>
  <c r="AG8" i="6"/>
  <c r="AF8" i="6"/>
  <c r="AE8" i="6"/>
  <c r="O8" i="6"/>
  <c r="N8" i="6"/>
  <c r="BF8" i="6" s="1"/>
  <c r="M8" i="6"/>
  <c r="BE8" i="6" s="1"/>
  <c r="L8" i="6"/>
  <c r="K8" i="6"/>
  <c r="J8" i="6"/>
  <c r="I8" i="6"/>
  <c r="H8" i="6"/>
  <c r="BM7" i="6"/>
  <c r="BL7" i="6"/>
  <c r="BK7" i="6"/>
  <c r="BJ7" i="6"/>
  <c r="BI7" i="6"/>
  <c r="BB7" i="6"/>
  <c r="AL7" i="6"/>
  <c r="AK7" i="6"/>
  <c r="BG7" i="6" s="1" a="1"/>
  <c r="AJ7" i="6"/>
  <c r="AI7" i="6"/>
  <c r="AH7" i="6"/>
  <c r="AG7" i="6"/>
  <c r="AF7" i="6"/>
  <c r="AE7" i="6"/>
  <c r="O7" i="6"/>
  <c r="N7" i="6"/>
  <c r="BF7" i="6" s="1"/>
  <c r="M7" i="6"/>
  <c r="BE7" i="6" s="1"/>
  <c r="L7" i="6"/>
  <c r="K7" i="6"/>
  <c r="J7" i="6"/>
  <c r="I7" i="6"/>
  <c r="H7" i="6"/>
  <c r="BM6" i="6"/>
  <c r="BL6" i="6"/>
  <c r="BK6" i="6"/>
  <c r="BJ6" i="6"/>
  <c r="BI6" i="6"/>
  <c r="BB6" i="6"/>
  <c r="AL6" i="6"/>
  <c r="AK6" i="6"/>
  <c r="BG6" i="6" s="1" a="1"/>
  <c r="AJ6" i="6"/>
  <c r="AI6" i="6"/>
  <c r="AH6" i="6"/>
  <c r="AG6" i="6"/>
  <c r="AF6" i="6"/>
  <c r="AE6" i="6"/>
  <c r="O6" i="6"/>
  <c r="N6" i="6"/>
  <c r="BF6" i="6" s="1"/>
  <c r="M6" i="6"/>
  <c r="BE6" i="6" s="1"/>
  <c r="L6" i="6"/>
  <c r="K6" i="6"/>
  <c r="J6" i="6"/>
  <c r="I6" i="6"/>
  <c r="H6" i="6"/>
  <c r="BM5" i="6"/>
  <c r="BL5" i="6"/>
  <c r="BK5" i="6"/>
  <c r="BJ5" i="6"/>
  <c r="BI5" i="6"/>
  <c r="BB5" i="6"/>
  <c r="AL5" i="6"/>
  <c r="AK5" i="6"/>
  <c r="BG5" i="6" s="1" a="1"/>
  <c r="AJ5" i="6"/>
  <c r="AJ12" i="6" s="1"/>
  <c r="AI5" i="6"/>
  <c r="AH5" i="6"/>
  <c r="AG5" i="6"/>
  <c r="AF5" i="6"/>
  <c r="AE5" i="6"/>
  <c r="O5" i="6"/>
  <c r="N5" i="6"/>
  <c r="K5" i="6" s="1"/>
  <c r="K12" i="6" s="1"/>
  <c r="M5" i="6"/>
  <c r="M12" i="6" s="1"/>
  <c r="L5" i="6"/>
  <c r="J5" i="6"/>
  <c r="I5" i="6"/>
  <c r="H5" i="6"/>
  <c r="AE1" i="6"/>
  <c r="H1" i="6"/>
  <c r="AZ18" i="5"/>
  <c r="AY18" i="5"/>
  <c r="AX18" i="5"/>
  <c r="AW18" i="5"/>
  <c r="AC18" i="5"/>
  <c r="AB18" i="5"/>
  <c r="AA18" i="5"/>
  <c r="AX19" i="5" s="1"/>
  <c r="Z18" i="5"/>
  <c r="AZ16" i="5"/>
  <c r="AY16" i="5"/>
  <c r="AX16" i="5"/>
  <c r="AW16" i="5"/>
  <c r="AC16" i="5"/>
  <c r="AB16" i="5"/>
  <c r="AA16" i="5"/>
  <c r="Z16" i="5"/>
  <c r="AI15" i="5"/>
  <c r="AG13" i="5"/>
  <c r="AI12" i="5"/>
  <c r="BM11" i="5"/>
  <c r="BL11" i="5"/>
  <c r="BK11" i="5"/>
  <c r="BJ11" i="5"/>
  <c r="BI11" i="5"/>
  <c r="AL11" i="5"/>
  <c r="AK11" i="5"/>
  <c r="AJ11" i="5"/>
  <c r="AI11" i="5"/>
  <c r="AG11" i="5"/>
  <c r="AF11" i="5"/>
  <c r="AE11" i="5"/>
  <c r="O11" i="5"/>
  <c r="N11" i="5"/>
  <c r="K11" i="5" s="1"/>
  <c r="M11" i="5"/>
  <c r="L11" i="5"/>
  <c r="BD11" i="5" s="1"/>
  <c r="J11" i="5"/>
  <c r="I11" i="5"/>
  <c r="H11" i="5"/>
  <c r="BM10" i="5"/>
  <c r="BL10" i="5"/>
  <c r="BK10" i="5"/>
  <c r="BJ10" i="5"/>
  <c r="BI10" i="5"/>
  <c r="AL10" i="5"/>
  <c r="AK10" i="5"/>
  <c r="AJ10" i="5"/>
  <c r="AI10" i="5"/>
  <c r="AI14" i="5" s="1"/>
  <c r="AG10" i="5"/>
  <c r="AF10" i="5"/>
  <c r="AE10" i="5"/>
  <c r="O10" i="5"/>
  <c r="N10" i="5"/>
  <c r="K10" i="5" s="1"/>
  <c r="K14" i="5" s="1"/>
  <c r="M10" i="5"/>
  <c r="M14" i="5" s="1"/>
  <c r="L10" i="5"/>
  <c r="L14" i="5" s="1"/>
  <c r="J10" i="5"/>
  <c r="J14" i="5" s="1"/>
  <c r="I10" i="5"/>
  <c r="H10" i="5"/>
  <c r="BM9" i="5"/>
  <c r="BL9" i="5"/>
  <c r="BK9" i="5"/>
  <c r="BJ9" i="5"/>
  <c r="BI9" i="5"/>
  <c r="BG9" i="5" a="1"/>
  <c r="AL9" i="5"/>
  <c r="AK9" i="5"/>
  <c r="AJ9" i="5"/>
  <c r="AI9" i="5"/>
  <c r="AI13" i="5" s="1"/>
  <c r="AG9" i="5"/>
  <c r="AF9" i="5"/>
  <c r="AE9" i="5"/>
  <c r="O9" i="5"/>
  <c r="N9" i="5"/>
  <c r="K9" i="5" s="1"/>
  <c r="K13" i="5" s="1"/>
  <c r="M9" i="5"/>
  <c r="M13" i="5" s="1"/>
  <c r="L9" i="5"/>
  <c r="L13" i="5" s="1"/>
  <c r="J9" i="5"/>
  <c r="J13" i="5" s="1"/>
  <c r="I9" i="5"/>
  <c r="H9" i="5"/>
  <c r="BM8" i="5"/>
  <c r="BL8" i="5"/>
  <c r="BK8" i="5"/>
  <c r="BJ8" i="5"/>
  <c r="BI8" i="5"/>
  <c r="AL8" i="5"/>
  <c r="AK8" i="5"/>
  <c r="AJ8" i="5"/>
  <c r="AI8" i="5"/>
  <c r="AG8" i="5"/>
  <c r="AF8" i="5"/>
  <c r="AE8" i="5"/>
  <c r="O8" i="5"/>
  <c r="N8" i="5"/>
  <c r="K8" i="5" s="1"/>
  <c r="M8" i="5"/>
  <c r="L8" i="5"/>
  <c r="BD8" i="5" s="1"/>
  <c r="J8" i="5"/>
  <c r="I8" i="5"/>
  <c r="H8" i="5"/>
  <c r="BM7" i="5"/>
  <c r="BL7" i="5"/>
  <c r="BK7" i="5"/>
  <c r="BJ7" i="5"/>
  <c r="BI7" i="5"/>
  <c r="AL7" i="5"/>
  <c r="AK7" i="5"/>
  <c r="AJ7" i="5"/>
  <c r="AI7" i="5"/>
  <c r="AG7" i="5"/>
  <c r="AF7" i="5"/>
  <c r="AE7" i="5"/>
  <c r="O7" i="5"/>
  <c r="N7" i="5"/>
  <c r="K7" i="5" s="1"/>
  <c r="M7" i="5"/>
  <c r="L7" i="5"/>
  <c r="BD7" i="5" s="1"/>
  <c r="J7" i="5"/>
  <c r="I7" i="5"/>
  <c r="H7" i="5"/>
  <c r="BM6" i="5"/>
  <c r="BL6" i="5"/>
  <c r="BK6" i="5"/>
  <c r="BJ6" i="5"/>
  <c r="BI6" i="5"/>
  <c r="AL6" i="5"/>
  <c r="AK6" i="5"/>
  <c r="AJ6" i="5"/>
  <c r="AI6" i="5"/>
  <c r="AG6" i="5"/>
  <c r="AF6" i="5"/>
  <c r="AE6" i="5"/>
  <c r="O6" i="5"/>
  <c r="N6" i="5"/>
  <c r="K6" i="5" s="1"/>
  <c r="M6" i="5"/>
  <c r="L6" i="5"/>
  <c r="BD6" i="5" s="1"/>
  <c r="J6" i="5"/>
  <c r="I6" i="5"/>
  <c r="H6" i="5"/>
  <c r="BM5" i="5"/>
  <c r="BL5" i="5"/>
  <c r="BK5" i="5"/>
  <c r="BJ5" i="5"/>
  <c r="BI5" i="5"/>
  <c r="BG5" i="5" a="1"/>
  <c r="BD5" i="5"/>
  <c r="AL5" i="5"/>
  <c r="AK5" i="5"/>
  <c r="AJ5" i="5"/>
  <c r="AI5" i="5"/>
  <c r="AG5" i="5"/>
  <c r="AF5" i="5"/>
  <c r="AE5" i="5"/>
  <c r="O5" i="5"/>
  <c r="N5" i="5"/>
  <c r="K5" i="5" s="1"/>
  <c r="M5" i="5"/>
  <c r="L5" i="5"/>
  <c r="L15" i="5" s="1"/>
  <c r="BD15" i="5" s="1"/>
  <c r="J5" i="5"/>
  <c r="I5" i="5"/>
  <c r="H5" i="5"/>
  <c r="AE1" i="5"/>
  <c r="H1" i="5"/>
  <c r="BC47" i="3"/>
  <c r="BC46" i="3"/>
  <c r="BB46" i="3"/>
  <c r="BA46" i="3"/>
  <c r="AZ46" i="3"/>
  <c r="AE46" i="3"/>
  <c r="AD46" i="3"/>
  <c r="AC46" i="3"/>
  <c r="AB46" i="3"/>
  <c r="BC44" i="3"/>
  <c r="BB44" i="3"/>
  <c r="BA44" i="3"/>
  <c r="AZ44" i="3"/>
  <c r="AE44" i="3"/>
  <c r="AD44" i="3"/>
  <c r="AC44" i="3"/>
  <c r="AB44" i="3"/>
  <c r="AK41" i="3"/>
  <c r="CG39" i="3"/>
  <c r="CF39" i="3"/>
  <c r="CE39" i="3"/>
  <c r="CD39" i="3"/>
  <c r="CC39" i="3"/>
  <c r="CB39" i="3"/>
  <c r="CA39" i="3"/>
  <c r="BZ39" i="3"/>
  <c r="BY39" i="3"/>
  <c r="BX39" i="3"/>
  <c r="BW39" i="3"/>
  <c r="BV39" i="3"/>
  <c r="BF39" i="3"/>
  <c r="AM39" i="3"/>
  <c r="AL39" i="3"/>
  <c r="AK39" i="3"/>
  <c r="AJ39" i="3"/>
  <c r="AH39" i="3"/>
  <c r="AG39" i="3"/>
  <c r="O39" i="3"/>
  <c r="N39" i="3"/>
  <c r="K39" i="3" s="1"/>
  <c r="M39" i="3"/>
  <c r="L39" i="3"/>
  <c r="J39" i="3"/>
  <c r="I39" i="3"/>
  <c r="CG38" i="3"/>
  <c r="CF38" i="3"/>
  <c r="CE38" i="3"/>
  <c r="CD38" i="3"/>
  <c r="CC38" i="3"/>
  <c r="CB38" i="3"/>
  <c r="CA38" i="3"/>
  <c r="BZ38" i="3"/>
  <c r="BY38" i="3"/>
  <c r="BX38" i="3"/>
  <c r="BW38" i="3"/>
  <c r="BV38" i="3"/>
  <c r="BG38" i="3"/>
  <c r="BF38" i="3"/>
  <c r="AM38" i="3"/>
  <c r="AL38" i="3"/>
  <c r="AI38" i="3" s="1"/>
  <c r="AK38" i="3"/>
  <c r="AJ38" i="3"/>
  <c r="AH38" i="3"/>
  <c r="AG38" i="3"/>
  <c r="O38" i="3"/>
  <c r="N38" i="3"/>
  <c r="M38" i="3"/>
  <c r="L38" i="3"/>
  <c r="K38" i="3"/>
  <c r="J38" i="3"/>
  <c r="I38" i="3"/>
  <c r="CG37" i="3"/>
  <c r="CF37" i="3"/>
  <c r="CE37" i="3"/>
  <c r="CD37" i="3"/>
  <c r="CC37" i="3"/>
  <c r="CB37" i="3"/>
  <c r="CA37" i="3"/>
  <c r="BZ37" i="3"/>
  <c r="BY37" i="3"/>
  <c r="BX37" i="3"/>
  <c r="BW37" i="3"/>
  <c r="BV37" i="3"/>
  <c r="BF37" i="3"/>
  <c r="AM37" i="3"/>
  <c r="AL37" i="3"/>
  <c r="AK37" i="3"/>
  <c r="AJ37" i="3"/>
  <c r="AI37" i="3"/>
  <c r="AH37" i="3"/>
  <c r="AG37" i="3"/>
  <c r="O37" i="3"/>
  <c r="N37" i="3"/>
  <c r="K37" i="3" s="1"/>
  <c r="M37" i="3"/>
  <c r="L37" i="3"/>
  <c r="J37" i="3"/>
  <c r="I37" i="3"/>
  <c r="CG36" i="3"/>
  <c r="CF36" i="3"/>
  <c r="CE36" i="3"/>
  <c r="CD36" i="3"/>
  <c r="CC36" i="3"/>
  <c r="CB36" i="3"/>
  <c r="CA36" i="3"/>
  <c r="BZ36" i="3"/>
  <c r="BY36" i="3"/>
  <c r="BX36" i="3"/>
  <c r="BW36" i="3"/>
  <c r="BV36" i="3"/>
  <c r="BF36" i="3"/>
  <c r="AM36" i="3"/>
  <c r="AL36" i="3"/>
  <c r="AI36" i="3" s="1"/>
  <c r="AK36" i="3"/>
  <c r="AJ36" i="3"/>
  <c r="AH36" i="3"/>
  <c r="AG36" i="3"/>
  <c r="O36" i="3"/>
  <c r="N36" i="3"/>
  <c r="M36" i="3"/>
  <c r="L36" i="3"/>
  <c r="K36" i="3"/>
  <c r="J36" i="3"/>
  <c r="I36" i="3"/>
  <c r="CG35" i="3"/>
  <c r="CF35" i="3"/>
  <c r="CE35" i="3"/>
  <c r="CD35" i="3"/>
  <c r="CC35" i="3"/>
  <c r="CB35" i="3"/>
  <c r="CA35" i="3"/>
  <c r="BZ35" i="3"/>
  <c r="BY35" i="3"/>
  <c r="BX35" i="3"/>
  <c r="BW35" i="3"/>
  <c r="BV35" i="3"/>
  <c r="BG35" i="3"/>
  <c r="BF35" i="3"/>
  <c r="AM35" i="3"/>
  <c r="AL35" i="3"/>
  <c r="AK35" i="3"/>
  <c r="AJ35" i="3"/>
  <c r="AI35" i="3"/>
  <c r="AH35" i="3"/>
  <c r="AG35" i="3"/>
  <c r="O35" i="3"/>
  <c r="N35" i="3"/>
  <c r="K35" i="3" s="1"/>
  <c r="M35" i="3"/>
  <c r="L35" i="3"/>
  <c r="J35" i="3"/>
  <c r="I35" i="3"/>
  <c r="CG34" i="3"/>
  <c r="CF34" i="3"/>
  <c r="CE34" i="3"/>
  <c r="CD34" i="3"/>
  <c r="CC34" i="3"/>
  <c r="CB34" i="3"/>
  <c r="CA34" i="3"/>
  <c r="BZ34" i="3"/>
  <c r="BY34" i="3"/>
  <c r="BX34" i="3"/>
  <c r="BW34" i="3"/>
  <c r="BV34" i="3"/>
  <c r="BF34" i="3"/>
  <c r="AM34" i="3"/>
  <c r="AL34" i="3"/>
  <c r="BG34" i="3" s="1"/>
  <c r="AK34" i="3"/>
  <c r="AJ34" i="3"/>
  <c r="AI34" i="3"/>
  <c r="AH34" i="3"/>
  <c r="AG34" i="3"/>
  <c r="O34" i="3"/>
  <c r="N34" i="3"/>
  <c r="K34" i="3" s="1"/>
  <c r="BE34" i="3" s="1"/>
  <c r="M34" i="3"/>
  <c r="L34" i="3"/>
  <c r="J34" i="3"/>
  <c r="I34" i="3"/>
  <c r="CG33" i="3"/>
  <c r="CF33" i="3"/>
  <c r="CE33" i="3"/>
  <c r="CD33" i="3"/>
  <c r="CC33" i="3"/>
  <c r="CB33" i="3"/>
  <c r="CA33" i="3"/>
  <c r="BZ33" i="3"/>
  <c r="BY33" i="3"/>
  <c r="BX33" i="3"/>
  <c r="BW33" i="3"/>
  <c r="BV33" i="3"/>
  <c r="BF33" i="3"/>
  <c r="AM33" i="3"/>
  <c r="AL33" i="3"/>
  <c r="AK33" i="3"/>
  <c r="AJ33" i="3"/>
  <c r="AI33" i="3"/>
  <c r="AH33" i="3"/>
  <c r="AG33" i="3"/>
  <c r="O33" i="3"/>
  <c r="N33" i="3"/>
  <c r="M33" i="3"/>
  <c r="L33" i="3"/>
  <c r="K33" i="3"/>
  <c r="BE33" i="3" s="1"/>
  <c r="J33" i="3"/>
  <c r="I33" i="3"/>
  <c r="CG32" i="3"/>
  <c r="CF32" i="3"/>
  <c r="CE32" i="3"/>
  <c r="CD32" i="3"/>
  <c r="CC32" i="3"/>
  <c r="CB32" i="3"/>
  <c r="CA32" i="3"/>
  <c r="BZ32" i="3"/>
  <c r="BY32" i="3"/>
  <c r="BX32" i="3"/>
  <c r="BW32" i="3"/>
  <c r="BV32" i="3"/>
  <c r="BG32" i="3"/>
  <c r="BF32" i="3"/>
  <c r="AM32" i="3"/>
  <c r="AL32" i="3"/>
  <c r="AK32" i="3"/>
  <c r="AJ32" i="3"/>
  <c r="AH32" i="3"/>
  <c r="AG32" i="3"/>
  <c r="O32" i="3"/>
  <c r="N32" i="3"/>
  <c r="M32" i="3"/>
  <c r="L32" i="3"/>
  <c r="K32" i="3"/>
  <c r="J32" i="3"/>
  <c r="I32" i="3"/>
  <c r="CG31" i="3"/>
  <c r="CF31" i="3"/>
  <c r="CE31" i="3"/>
  <c r="CD31" i="3"/>
  <c r="CC31" i="3"/>
  <c r="CB31" i="3"/>
  <c r="CA31" i="3"/>
  <c r="BZ31" i="3"/>
  <c r="BY31" i="3"/>
  <c r="BX31" i="3"/>
  <c r="BW31" i="3"/>
  <c r="BV31" i="3"/>
  <c r="BG31" i="3"/>
  <c r="BF31" i="3"/>
  <c r="AM31" i="3"/>
  <c r="AL31" i="3"/>
  <c r="AK31" i="3"/>
  <c r="AJ31" i="3"/>
  <c r="AI31" i="3"/>
  <c r="AH31" i="3"/>
  <c r="AG31" i="3"/>
  <c r="O31" i="3"/>
  <c r="N31" i="3"/>
  <c r="K31" i="3" s="1"/>
  <c r="M31" i="3"/>
  <c r="L31" i="3"/>
  <c r="J31" i="3"/>
  <c r="I31" i="3"/>
  <c r="CG30" i="3"/>
  <c r="CF30" i="3"/>
  <c r="CE30" i="3"/>
  <c r="CD30" i="3"/>
  <c r="CC30" i="3"/>
  <c r="CB30" i="3"/>
  <c r="CA30" i="3"/>
  <c r="BZ30" i="3"/>
  <c r="BY30" i="3"/>
  <c r="BX30" i="3"/>
  <c r="BW30" i="3"/>
  <c r="BV30" i="3"/>
  <c r="BF30" i="3"/>
  <c r="AM30" i="3"/>
  <c r="AL30" i="3"/>
  <c r="BG30" i="3" s="1"/>
  <c r="AK30" i="3"/>
  <c r="AJ30" i="3"/>
  <c r="AJ42" i="3" s="1"/>
  <c r="AI30" i="3"/>
  <c r="AH30" i="3"/>
  <c r="AH42" i="3" s="1"/>
  <c r="AG30" i="3"/>
  <c r="O30" i="3"/>
  <c r="N30" i="3"/>
  <c r="K30" i="3" s="1"/>
  <c r="M30" i="3"/>
  <c r="M42" i="3" s="1"/>
  <c r="L30" i="3"/>
  <c r="J30" i="3"/>
  <c r="I30" i="3"/>
  <c r="CG29" i="3"/>
  <c r="CF29" i="3"/>
  <c r="CE29" i="3"/>
  <c r="CD29" i="3"/>
  <c r="CC29" i="3"/>
  <c r="CB29" i="3"/>
  <c r="CA29" i="3"/>
  <c r="BZ29" i="3"/>
  <c r="BY29" i="3"/>
  <c r="BX29" i="3"/>
  <c r="BW29" i="3"/>
  <c r="BV29" i="3"/>
  <c r="BF29" i="3"/>
  <c r="AM29" i="3"/>
  <c r="AL29" i="3"/>
  <c r="AI29" i="3" s="1"/>
  <c r="AK29" i="3"/>
  <c r="AJ29" i="3"/>
  <c r="AH29" i="3"/>
  <c r="AG29" i="3"/>
  <c r="O29" i="3"/>
  <c r="N29" i="3"/>
  <c r="M29" i="3"/>
  <c r="L29" i="3"/>
  <c r="K29" i="3"/>
  <c r="J29" i="3"/>
  <c r="I29" i="3"/>
  <c r="CG28" i="3"/>
  <c r="CF28" i="3"/>
  <c r="CE28" i="3"/>
  <c r="CD28" i="3"/>
  <c r="CC28" i="3"/>
  <c r="CB28" i="3"/>
  <c r="CA28" i="3"/>
  <c r="BZ28" i="3"/>
  <c r="BY28" i="3"/>
  <c r="BX28" i="3"/>
  <c r="BW28" i="3"/>
  <c r="BV28" i="3"/>
  <c r="BF28" i="3"/>
  <c r="AM28" i="3"/>
  <c r="AL28" i="3"/>
  <c r="AK28" i="3"/>
  <c r="AJ28" i="3"/>
  <c r="AI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I27" i="3"/>
  <c r="AH27" i="3"/>
  <c r="AG27" i="3"/>
  <c r="O27" i="3"/>
  <c r="N27" i="3"/>
  <c r="M27" i="3"/>
  <c r="L27" i="3"/>
  <c r="K27" i="3"/>
  <c r="BE27" i="3" s="1"/>
  <c r="J27" i="3"/>
  <c r="I27" i="3"/>
  <c r="CG26" i="3"/>
  <c r="CF26" i="3"/>
  <c r="CE26" i="3"/>
  <c r="CD26" i="3"/>
  <c r="CC26" i="3"/>
  <c r="CB26" i="3"/>
  <c r="CA26" i="3"/>
  <c r="BZ26" i="3"/>
  <c r="BY26" i="3"/>
  <c r="BX26" i="3"/>
  <c r="BW26" i="3"/>
  <c r="BV26" i="3"/>
  <c r="BF26" i="3"/>
  <c r="AM26" i="3"/>
  <c r="AL26" i="3"/>
  <c r="AK26" i="3"/>
  <c r="AJ26" i="3"/>
  <c r="AI26" i="3"/>
  <c r="AH26" i="3"/>
  <c r="AG26" i="3"/>
  <c r="O26" i="3"/>
  <c r="N26" i="3"/>
  <c r="M26" i="3"/>
  <c r="L26" i="3"/>
  <c r="K26" i="3"/>
  <c r="BE26" i="3" s="1"/>
  <c r="J26" i="3"/>
  <c r="I26" i="3"/>
  <c r="CG25" i="3"/>
  <c r="CF25" i="3"/>
  <c r="CE25" i="3"/>
  <c r="CD25" i="3"/>
  <c r="CC25" i="3"/>
  <c r="CB25" i="3"/>
  <c r="CA25" i="3"/>
  <c r="BZ25" i="3"/>
  <c r="BY25" i="3"/>
  <c r="BX25" i="3"/>
  <c r="BW25" i="3"/>
  <c r="BV25" i="3"/>
  <c r="BF25" i="3"/>
  <c r="AM25" i="3"/>
  <c r="AL25" i="3"/>
  <c r="AK25" i="3"/>
  <c r="AJ25" i="3"/>
  <c r="AJ41" i="3" s="1"/>
  <c r="AH25" i="3"/>
  <c r="AG25" i="3"/>
  <c r="O25" i="3"/>
  <c r="N25" i="3"/>
  <c r="BG25" i="3" s="1"/>
  <c r="M25" i="3"/>
  <c r="L25" i="3"/>
  <c r="J25" i="3"/>
  <c r="I25" i="3"/>
  <c r="CG24" i="3"/>
  <c r="CF24" i="3"/>
  <c r="CE24" i="3"/>
  <c r="CD24" i="3"/>
  <c r="CC24" i="3"/>
  <c r="CB24" i="3"/>
  <c r="CA24" i="3"/>
  <c r="BZ24" i="3"/>
  <c r="BY24" i="3"/>
  <c r="BX24" i="3"/>
  <c r="BW24" i="3"/>
  <c r="BV24" i="3"/>
  <c r="BF24" i="3"/>
  <c r="AM24" i="3"/>
  <c r="AL24" i="3"/>
  <c r="BG24" i="3" s="1"/>
  <c r="AK24" i="3"/>
  <c r="AJ24" i="3"/>
  <c r="AI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BG22" i="3" s="1"/>
  <c r="AK22" i="3"/>
  <c r="AJ22" i="3"/>
  <c r="AI22" i="3"/>
  <c r="AH22" i="3"/>
  <c r="AG22" i="3"/>
  <c r="O22" i="3"/>
  <c r="N22" i="3"/>
  <c r="K22" i="3" s="1"/>
  <c r="M22" i="3"/>
  <c r="L22" i="3"/>
  <c r="J22" i="3"/>
  <c r="I22" i="3"/>
  <c r="CG21" i="3"/>
  <c r="CF21" i="3"/>
  <c r="CE21" i="3"/>
  <c r="CD21" i="3"/>
  <c r="CC21" i="3"/>
  <c r="CB21" i="3"/>
  <c r="CA21" i="3"/>
  <c r="BZ21" i="3"/>
  <c r="BY21" i="3"/>
  <c r="BX21" i="3"/>
  <c r="BW21" i="3"/>
  <c r="BV21" i="3"/>
  <c r="BF21" i="3"/>
  <c r="AM21" i="3"/>
  <c r="AL21" i="3"/>
  <c r="AI21" i="3" s="1"/>
  <c r="AK21" i="3"/>
  <c r="AJ21" i="3"/>
  <c r="AH21" i="3"/>
  <c r="AG21" i="3"/>
  <c r="O21" i="3"/>
  <c r="N21" i="3"/>
  <c r="M21" i="3"/>
  <c r="L21" i="3"/>
  <c r="K21" i="3"/>
  <c r="BE21" i="3" s="1"/>
  <c r="J21" i="3"/>
  <c r="I21" i="3"/>
  <c r="CG20" i="3"/>
  <c r="CF20" i="3"/>
  <c r="CE20" i="3"/>
  <c r="CD20" i="3"/>
  <c r="CC20" i="3"/>
  <c r="CB20" i="3"/>
  <c r="CA20" i="3"/>
  <c r="BZ20" i="3"/>
  <c r="BY20" i="3"/>
  <c r="BX20" i="3"/>
  <c r="BW20" i="3"/>
  <c r="BV20" i="3"/>
  <c r="BF20" i="3"/>
  <c r="AM20" i="3"/>
  <c r="AL20" i="3"/>
  <c r="BH20" i="3" s="1" a="1"/>
  <c r="AK20" i="3"/>
  <c r="AJ20" i="3"/>
  <c r="AH20" i="3"/>
  <c r="AG20" i="3"/>
  <c r="O20" i="3"/>
  <c r="N20" i="3"/>
  <c r="K20" i="3" s="1"/>
  <c r="M20" i="3"/>
  <c r="L20" i="3"/>
  <c r="J20" i="3"/>
  <c r="I20" i="3"/>
  <c r="CG19" i="3"/>
  <c r="CF19" i="3"/>
  <c r="CE19" i="3"/>
  <c r="CD19" i="3"/>
  <c r="CC19" i="3"/>
  <c r="CB19" i="3"/>
  <c r="CA19" i="3"/>
  <c r="BZ19" i="3"/>
  <c r="BY19" i="3"/>
  <c r="BX19" i="3"/>
  <c r="BW19" i="3"/>
  <c r="BV19" i="3"/>
  <c r="BF19" i="3"/>
  <c r="AM19" i="3"/>
  <c r="AL19" i="3"/>
  <c r="AI19" i="3" s="1"/>
  <c r="AK19" i="3"/>
  <c r="AJ19" i="3"/>
  <c r="AH19" i="3"/>
  <c r="AG19" i="3"/>
  <c r="O19" i="3"/>
  <c r="N19" i="3"/>
  <c r="K19" i="3" s="1"/>
  <c r="M19" i="3"/>
  <c r="L19" i="3"/>
  <c r="J19" i="3"/>
  <c r="I19" i="3"/>
  <c r="CG18" i="3"/>
  <c r="CF18" i="3"/>
  <c r="CE18" i="3"/>
  <c r="CD18" i="3"/>
  <c r="CC18" i="3"/>
  <c r="CB18" i="3"/>
  <c r="CA18" i="3"/>
  <c r="BZ18" i="3"/>
  <c r="BY18" i="3"/>
  <c r="BX18" i="3"/>
  <c r="BW18" i="3"/>
  <c r="BV18" i="3"/>
  <c r="BF18" i="3"/>
  <c r="AM18" i="3"/>
  <c r="AL18" i="3"/>
  <c r="BG18" i="3" s="1"/>
  <c r="AK18" i="3"/>
  <c r="AJ18" i="3"/>
  <c r="AI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BE17" i="3" s="1"/>
  <c r="M17" i="3"/>
  <c r="L17" i="3"/>
  <c r="J17" i="3"/>
  <c r="I17" i="3"/>
  <c r="CG16" i="3"/>
  <c r="CF16" i="3"/>
  <c r="CE16" i="3"/>
  <c r="CD16" i="3"/>
  <c r="CC16" i="3"/>
  <c r="CB16" i="3"/>
  <c r="CA16" i="3"/>
  <c r="BZ16" i="3"/>
  <c r="BY16" i="3"/>
  <c r="BX16" i="3"/>
  <c r="BW16" i="3"/>
  <c r="BV16" i="3"/>
  <c r="BF16" i="3"/>
  <c r="AM16" i="3"/>
  <c r="AL16" i="3"/>
  <c r="BG16" i="3" s="1"/>
  <c r="AK16" i="3"/>
  <c r="AJ16" i="3"/>
  <c r="AH16" i="3"/>
  <c r="AG16" i="3"/>
  <c r="O16" i="3"/>
  <c r="N16" i="3"/>
  <c r="K16" i="3" s="1"/>
  <c r="M16" i="3"/>
  <c r="L16" i="3"/>
  <c r="J16" i="3"/>
  <c r="I16" i="3"/>
  <c r="CG15" i="3"/>
  <c r="CF15" i="3"/>
  <c r="CE15" i="3"/>
  <c r="CD15" i="3"/>
  <c r="CC15" i="3"/>
  <c r="CB15" i="3"/>
  <c r="CA15" i="3"/>
  <c r="BZ15" i="3"/>
  <c r="BY15" i="3"/>
  <c r="BX15" i="3"/>
  <c r="BW15" i="3"/>
  <c r="BV15" i="3"/>
  <c r="BF15" i="3"/>
  <c r="AM15" i="3"/>
  <c r="AL15" i="3"/>
  <c r="BH15" i="3" s="1" a="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BG14" i="3" s="1"/>
  <c r="AK14" i="3"/>
  <c r="AJ14" i="3"/>
  <c r="AI14" i="3"/>
  <c r="AH14" i="3"/>
  <c r="AG14" i="3"/>
  <c r="O14" i="3"/>
  <c r="N14" i="3"/>
  <c r="M14" i="3"/>
  <c r="L14" i="3"/>
  <c r="K14" i="3"/>
  <c r="BE14" i="3" s="1"/>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I12" i="3" s="1"/>
  <c r="BE12" i="3" s="1"/>
  <c r="AK12" i="3"/>
  <c r="AJ12" i="3"/>
  <c r="AH12" i="3"/>
  <c r="AG12" i="3"/>
  <c r="O12" i="3"/>
  <c r="N12" i="3"/>
  <c r="K12" i="3" s="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AK10" i="3"/>
  <c r="AJ10" i="3"/>
  <c r="AI10" i="3"/>
  <c r="AH10" i="3"/>
  <c r="AG10" i="3"/>
  <c r="O10" i="3"/>
  <c r="N10" i="3"/>
  <c r="M10" i="3"/>
  <c r="L10" i="3"/>
  <c r="J10" i="3"/>
  <c r="I10" i="3"/>
  <c r="CG9" i="3"/>
  <c r="CF9" i="3"/>
  <c r="CE9" i="3"/>
  <c r="CD9" i="3"/>
  <c r="CC9" i="3"/>
  <c r="CB9" i="3"/>
  <c r="CA9" i="3"/>
  <c r="BZ9" i="3"/>
  <c r="BY9" i="3"/>
  <c r="BX9" i="3"/>
  <c r="BW9" i="3"/>
  <c r="BV9" i="3"/>
  <c r="BF9" i="3"/>
  <c r="AM9" i="3"/>
  <c r="AL9" i="3"/>
  <c r="AI9" i="3" s="1"/>
  <c r="AK9" i="3"/>
  <c r="AJ9" i="3"/>
  <c r="AH9" i="3"/>
  <c r="AG9" i="3"/>
  <c r="O9" i="3"/>
  <c r="N9" i="3"/>
  <c r="K9" i="3" s="1"/>
  <c r="BE9" i="3" s="1"/>
  <c r="M9" i="3"/>
  <c r="L9" i="3"/>
  <c r="J9" i="3"/>
  <c r="I9" i="3"/>
  <c r="CG8" i="3"/>
  <c r="CF8" i="3"/>
  <c r="CE8" i="3"/>
  <c r="CD8" i="3"/>
  <c r="CC8" i="3"/>
  <c r="CB8" i="3"/>
  <c r="CA8" i="3"/>
  <c r="BZ8" i="3"/>
  <c r="BY8" i="3"/>
  <c r="BX8" i="3"/>
  <c r="BW8" i="3"/>
  <c r="BV8" i="3"/>
  <c r="BF8" i="3"/>
  <c r="AM8" i="3"/>
  <c r="AL8" i="3"/>
  <c r="AK8" i="3"/>
  <c r="AJ8" i="3"/>
  <c r="AI8" i="3"/>
  <c r="AH8" i="3"/>
  <c r="AG8" i="3"/>
  <c r="O8" i="3"/>
  <c r="N8" i="3"/>
  <c r="K8" i="3" s="1"/>
  <c r="M8" i="3"/>
  <c r="L8" i="3"/>
  <c r="J8" i="3"/>
  <c r="I8" i="3"/>
  <c r="CG7" i="3"/>
  <c r="CF7" i="3"/>
  <c r="CE7" i="3"/>
  <c r="CD7" i="3"/>
  <c r="CC7" i="3"/>
  <c r="CB7" i="3"/>
  <c r="CA7" i="3"/>
  <c r="BZ7" i="3"/>
  <c r="BY7" i="3"/>
  <c r="BX7" i="3"/>
  <c r="BW7" i="3"/>
  <c r="BV7" i="3"/>
  <c r="BF7" i="3"/>
  <c r="AM7" i="3"/>
  <c r="AL7" i="3"/>
  <c r="BG7" i="3" s="1"/>
  <c r="AK7" i="3"/>
  <c r="AJ7" i="3"/>
  <c r="AI7" i="3"/>
  <c r="AH7" i="3"/>
  <c r="AG7" i="3"/>
  <c r="O7" i="3"/>
  <c r="N7" i="3"/>
  <c r="K7" i="3" s="1"/>
  <c r="M7" i="3"/>
  <c r="L7" i="3"/>
  <c r="J7" i="3"/>
  <c r="I7" i="3"/>
  <c r="CG6" i="3"/>
  <c r="CF6" i="3"/>
  <c r="CE6" i="3"/>
  <c r="CD6" i="3"/>
  <c r="CC6" i="3"/>
  <c r="CB6" i="3"/>
  <c r="CA6" i="3"/>
  <c r="BZ6" i="3"/>
  <c r="BY6" i="3"/>
  <c r="BX6" i="3"/>
  <c r="BW6" i="3"/>
  <c r="BV6" i="3"/>
  <c r="BF6" i="3"/>
  <c r="AM6" i="3"/>
  <c r="AL6" i="3"/>
  <c r="AK6" i="3"/>
  <c r="AJ6" i="3"/>
  <c r="AI6" i="3"/>
  <c r="AH6" i="3"/>
  <c r="AG6" i="3"/>
  <c r="O6" i="3"/>
  <c r="N6" i="3"/>
  <c r="K6" i="3" s="1"/>
  <c r="M6" i="3"/>
  <c r="L6" i="3"/>
  <c r="J6" i="3"/>
  <c r="I6" i="3"/>
  <c r="CG5" i="3"/>
  <c r="CF5" i="3"/>
  <c r="CE5" i="3"/>
  <c r="CD5" i="3"/>
  <c r="CC5" i="3"/>
  <c r="CB5" i="3"/>
  <c r="CA5" i="3"/>
  <c r="BZ5" i="3"/>
  <c r="BY5" i="3"/>
  <c r="BX5" i="3"/>
  <c r="BW5" i="3"/>
  <c r="BV5" i="3"/>
  <c r="BH5" i="3" a="1"/>
  <c r="BH5" i="3" s="1"/>
  <c r="BF5" i="3"/>
  <c r="AM5" i="3"/>
  <c r="AL5" i="3"/>
  <c r="AI5" i="3" s="1"/>
  <c r="AK5" i="3"/>
  <c r="AJ5" i="3"/>
  <c r="AJ40" i="3" s="1"/>
  <c r="AH5" i="3"/>
  <c r="AG5" i="3"/>
  <c r="O5" i="3"/>
  <c r="N5" i="3"/>
  <c r="K5" i="3" s="1"/>
  <c r="BE5" i="3" s="1"/>
  <c r="M5" i="3"/>
  <c r="L5" i="3"/>
  <c r="J5" i="3"/>
  <c r="I5" i="3"/>
  <c r="AG1" i="3"/>
  <c r="I1" i="3"/>
  <c r="B1" i="2"/>
  <c r="B2" i="2" s="1"/>
  <c r="BP30" i="7"/>
  <c r="BT20" i="7"/>
  <c r="BQ10" i="7"/>
  <c r="BP5" i="7"/>
  <c r="BS15" i="7"/>
  <c r="BS30" i="7"/>
  <c r="BJ25" i="7"/>
  <c r="BL15" i="7"/>
  <c r="BS5" i="7"/>
  <c r="BR25" i="7"/>
  <c r="BT35" i="7"/>
  <c r="BS25" i="7"/>
  <c r="BT15" i="7"/>
  <c r="BR5" i="7"/>
  <c r="BN15" i="7"/>
  <c r="BM35" i="7"/>
  <c r="BR15" i="7"/>
  <c r="BK30" i="7"/>
  <c r="BT25" i="7"/>
  <c r="BP10" i="7"/>
  <c r="BR10" i="7"/>
  <c r="BS10" i="7"/>
  <c r="BL30" i="7"/>
  <c r="BL25" i="7"/>
  <c r="BM15" i="7"/>
  <c r="BL35" i="7"/>
  <c r="BQ15" i="7"/>
  <c r="BQ30" i="7"/>
  <c r="BM30" i="7"/>
  <c r="BN10" i="7"/>
  <c r="BR35" i="7"/>
  <c r="BJ30" i="7"/>
  <c r="BP20" i="7"/>
  <c r="BL10" i="7"/>
  <c r="BS35" i="7"/>
  <c r="BQ5" i="7"/>
  <c r="BN30" i="7"/>
  <c r="BS20" i="7"/>
  <c r="BT10" i="7"/>
  <c r="BN5" i="7"/>
  <c r="BL20" i="7"/>
  <c r="BP35" i="7"/>
  <c r="BN25" i="7"/>
  <c r="BP15" i="7"/>
  <c r="BM5" i="7"/>
  <c r="BM10" i="7"/>
  <c r="BQ25" i="7"/>
  <c r="BK10" i="7"/>
  <c r="BQ35" i="7"/>
  <c r="BN20" i="7"/>
  <c r="BN35" i="7"/>
  <c r="BR30" i="7"/>
  <c r="BR20" i="7"/>
  <c r="BT30" i="7"/>
  <c r="BT5" i="7"/>
  <c r="BP25" i="7"/>
  <c r="BJ10" i="7"/>
  <c r="BL5" i="7"/>
  <c r="BM20" i="7"/>
  <c r="BQ20" i="7"/>
  <c r="BM25" i="7"/>
  <c r="BN35" i="3"/>
  <c r="BL25" i="3"/>
  <c r="BL15" i="3"/>
  <c r="BP5" i="3"/>
  <c r="BS20" i="3"/>
  <c r="BM20" i="3"/>
  <c r="BR35" i="3"/>
  <c r="BK30" i="3"/>
  <c r="BP20" i="3"/>
  <c r="BT10" i="3"/>
  <c r="BS15" i="3"/>
  <c r="BR10" i="3"/>
  <c r="BQ30" i="3"/>
  <c r="BJ30" i="3"/>
  <c r="BQ20" i="3"/>
  <c r="BQ10" i="3"/>
  <c r="BN15" i="3"/>
  <c r="BR15" i="3"/>
  <c r="BT25" i="3"/>
  <c r="BP10" i="3"/>
  <c r="BN10" i="3"/>
  <c r="BQ5" i="3"/>
  <c r="BR25" i="3"/>
  <c r="BN30" i="3"/>
  <c r="BL10" i="3"/>
  <c r="BK10" i="3"/>
  <c r="BM10" i="3"/>
  <c r="BP25" i="3"/>
  <c r="BS5" i="3"/>
  <c r="BM5" i="3"/>
  <c r="BS10" i="3"/>
  <c r="BQ25" i="3"/>
  <c r="BQ15" i="3"/>
  <c r="BL30" i="3"/>
  <c r="BL5" i="3"/>
  <c r="BT20" i="3"/>
  <c r="BN5" i="3"/>
  <c r="BN20" i="3"/>
  <c r="BK35" i="3"/>
  <c r="BS30" i="3"/>
  <c r="BK5" i="3"/>
  <c r="BP35" i="3"/>
  <c r="BM35" i="3"/>
  <c r="BT15" i="3"/>
  <c r="BL35" i="3"/>
  <c r="BT35" i="3"/>
  <c r="BN25" i="3"/>
  <c r="BL20" i="3"/>
  <c r="BQ35" i="3"/>
  <c r="BP30" i="3"/>
  <c r="BR30" i="3"/>
  <c r="BP15" i="3"/>
  <c r="BS25" i="3"/>
  <c r="BT30" i="3"/>
  <c r="BM15" i="3"/>
  <c r="BS35" i="3"/>
  <c r="BT5" i="3"/>
  <c r="BR5" i="3"/>
  <c r="BM25" i="3"/>
  <c r="BM30" i="3"/>
  <c r="BK15" i="3"/>
  <c r="BR20" i="3"/>
  <c r="BE21" i="7" l="1"/>
  <c r="J42" i="7"/>
  <c r="BA45" i="7"/>
  <c r="BA47" i="7"/>
  <c r="AZ45" i="7"/>
  <c r="AZ47" i="7"/>
  <c r="C47" i="1" s="1"/>
  <c r="BG8" i="7"/>
  <c r="BG16" i="7"/>
  <c r="BG27" i="7"/>
  <c r="BG28" i="7"/>
  <c r="BE33" i="7"/>
  <c r="BB45" i="7"/>
  <c r="BB47" i="7"/>
  <c r="C48" i="1" s="1"/>
  <c r="BG6" i="7"/>
  <c r="J40" i="7"/>
  <c r="BE8" i="7"/>
  <c r="BG14" i="7"/>
  <c r="BG18" i="7"/>
  <c r="BH30" i="7"/>
  <c r="BG31" i="7"/>
  <c r="BG32" i="7"/>
  <c r="BG35" i="7"/>
  <c r="BE38" i="7"/>
  <c r="BC45" i="7"/>
  <c r="BC47" i="7"/>
  <c r="AX17" i="6"/>
  <c r="AY17" i="6"/>
  <c r="AY19" i="6"/>
  <c r="C36" i="1" s="1"/>
  <c r="AZ17" i="6"/>
  <c r="AZ19" i="6"/>
  <c r="AX19" i="6"/>
  <c r="AW17" i="6"/>
  <c r="AW19" i="6"/>
  <c r="C35" i="1" s="1"/>
  <c r="BE5" i="6"/>
  <c r="J15" i="6"/>
  <c r="BG5" i="6"/>
  <c r="BF5" i="6"/>
  <c r="BG6" i="6"/>
  <c r="BG7" i="6"/>
  <c r="BG8" i="6"/>
  <c r="BB13" i="6"/>
  <c r="E32" i="1" s="1"/>
  <c r="BG9" i="6"/>
  <c r="BG13" i="6" s="1"/>
  <c r="BG11" i="6"/>
  <c r="BC13" i="6"/>
  <c r="C32" i="1" s="1"/>
  <c r="AW17" i="5"/>
  <c r="AW19" i="5"/>
  <c r="C23" i="1" s="1"/>
  <c r="AX17" i="5"/>
  <c r="AY19" i="5"/>
  <c r="C24" i="1" s="1"/>
  <c r="AZ17" i="5"/>
  <c r="AZ19" i="5"/>
  <c r="BE11" i="5"/>
  <c r="BB13" i="5"/>
  <c r="E20" i="1" s="1"/>
  <c r="BB9" i="5"/>
  <c r="L12" i="5"/>
  <c r="BD12" i="5" s="1"/>
  <c r="BG5" i="5"/>
  <c r="BD9" i="5"/>
  <c r="BG9" i="5"/>
  <c r="BG13" i="5" s="1"/>
  <c r="BD14" i="5"/>
  <c r="BD10" i="5"/>
  <c r="AZ45" i="3"/>
  <c r="J40" i="3"/>
  <c r="K25" i="3"/>
  <c r="L41" i="3"/>
  <c r="BE29" i="3"/>
  <c r="J42" i="3"/>
  <c r="BE36" i="3"/>
  <c r="BE38" i="3"/>
  <c r="BA45" i="3"/>
  <c r="BA47" i="3"/>
  <c r="M40" i="3"/>
  <c r="AZ47" i="3"/>
  <c r="C13" i="1" s="1"/>
  <c r="BE11" i="3"/>
  <c r="BG12" i="3"/>
  <c r="BE13" i="3"/>
  <c r="BE19" i="3"/>
  <c r="BE23" i="3"/>
  <c r="BG26" i="3"/>
  <c r="BB45" i="3"/>
  <c r="BB47" i="3"/>
  <c r="C14" i="1" s="1"/>
  <c r="BH15" i="3"/>
  <c r="BH20" i="3"/>
  <c r="J41" i="3"/>
  <c r="BG28" i="3"/>
  <c r="BG37" i="3"/>
  <c r="BR41" i="3"/>
  <c r="J10" i="1" s="1"/>
  <c r="BL42" i="7"/>
  <c r="E45" i="1" s="1"/>
  <c r="BN41" i="3"/>
  <c r="G10" i="1" s="1"/>
  <c r="BQ42" i="3"/>
  <c r="I11" i="1" s="1"/>
  <c r="BM43" i="7"/>
  <c r="F46" i="1" s="1"/>
  <c r="BR43" i="7"/>
  <c r="J46" i="1" s="1"/>
  <c r="BN41" i="7"/>
  <c r="G44" i="1" s="1"/>
  <c r="BS41" i="7"/>
  <c r="K44" i="1" s="1"/>
  <c r="BM42" i="7"/>
  <c r="F45" i="1" s="1"/>
  <c r="BR42" i="7"/>
  <c r="J45" i="1" s="1"/>
  <c r="BQ43" i="3"/>
  <c r="I12" i="1" s="1"/>
  <c r="BQ40" i="3"/>
  <c r="I9" i="1" s="1"/>
  <c r="BT42" i="3"/>
  <c r="L11" i="1" s="1"/>
  <c r="BL40" i="7"/>
  <c r="E43" i="1" s="1"/>
  <c r="BL43" i="7"/>
  <c r="E46" i="1" s="1"/>
  <c r="BR41" i="7"/>
  <c r="J44" i="1" s="1"/>
  <c r="BQ42" i="7"/>
  <c r="I45" i="1" s="1"/>
  <c r="BS41" i="3"/>
  <c r="K10" i="1" s="1"/>
  <c r="BP41" i="3"/>
  <c r="H10" i="1" s="1"/>
  <c r="BT41" i="3"/>
  <c r="L10" i="1" s="1"/>
  <c r="BK42" i="3"/>
  <c r="D11" i="1" s="1"/>
  <c r="BM42" i="3"/>
  <c r="F11" i="1" s="1"/>
  <c r="BR42" i="3"/>
  <c r="J11" i="1" s="1"/>
  <c r="BJ41" i="7"/>
  <c r="C44" i="1" s="1"/>
  <c r="BP41" i="7"/>
  <c r="H44" i="1" s="1"/>
  <c r="BT41" i="7"/>
  <c r="L44" i="1" s="1"/>
  <c r="BN42" i="7"/>
  <c r="G45" i="1" s="1"/>
  <c r="BS42" i="7"/>
  <c r="K45" i="1" s="1"/>
  <c r="BL43" i="3"/>
  <c r="E12" i="1" s="1"/>
  <c r="BM41" i="3"/>
  <c r="F10" i="1" s="1"/>
  <c r="BP42" i="3"/>
  <c r="H11" i="1" s="1"/>
  <c r="BQ43" i="7"/>
  <c r="I46" i="1" s="1"/>
  <c r="BQ40" i="7"/>
  <c r="I43" i="1" s="1"/>
  <c r="BM41" i="7"/>
  <c r="F44" i="1" s="1"/>
  <c r="BL42" i="3"/>
  <c r="E11" i="1" s="1"/>
  <c r="BT40" i="3"/>
  <c r="L9" i="1" s="1"/>
  <c r="BL41" i="3"/>
  <c r="E10" i="1" s="1"/>
  <c r="BQ41" i="3"/>
  <c r="I10" i="1" s="1"/>
  <c r="BN42" i="3"/>
  <c r="G11" i="1" s="1"/>
  <c r="BS42" i="3"/>
  <c r="K11" i="1" s="1"/>
  <c r="BL41" i="7"/>
  <c r="E44" i="1" s="1"/>
  <c r="BQ41" i="7"/>
  <c r="I44" i="1" s="1"/>
  <c r="BP42" i="7"/>
  <c r="H45" i="1" s="1"/>
  <c r="BT42" i="7"/>
  <c r="L45" i="1" s="1"/>
  <c r="BE6" i="3"/>
  <c r="BE7" i="3"/>
  <c r="BE18" i="3"/>
  <c r="BN43" i="3"/>
  <c r="G12" i="1" s="1"/>
  <c r="BN40" i="3"/>
  <c r="G9" i="1" s="1"/>
  <c r="BG39" i="3"/>
  <c r="AI39" i="3"/>
  <c r="BE39" i="3" s="1"/>
  <c r="M43" i="3"/>
  <c r="BF8" i="5"/>
  <c r="AH8" i="5"/>
  <c r="BC8" i="5" s="1"/>
  <c r="BG8" i="5" a="1"/>
  <c r="BG8" i="5" s="1"/>
  <c r="AY17" i="5"/>
  <c r="AH10" i="6"/>
  <c r="BG10" i="6" a="1"/>
  <c r="BG10" i="6" s="1"/>
  <c r="BG14" i="6" s="1"/>
  <c r="BF10" i="6"/>
  <c r="L43" i="7"/>
  <c r="L40" i="7"/>
  <c r="BH5" i="7" a="1"/>
  <c r="BH5" i="7" s="1"/>
  <c r="AI5" i="7"/>
  <c r="BG5" i="7"/>
  <c r="BR43" i="3"/>
  <c r="J12" i="1" s="1"/>
  <c r="BR40" i="3"/>
  <c r="J9" i="1" s="1"/>
  <c r="J43" i="3"/>
  <c r="BS43" i="3"/>
  <c r="K12" i="1" s="1"/>
  <c r="BS40" i="3"/>
  <c r="K9" i="1" s="1"/>
  <c r="BG13" i="3"/>
  <c r="BG19" i="3"/>
  <c r="BG23" i="3"/>
  <c r="BP40" i="3"/>
  <c r="H9" i="1" s="1"/>
  <c r="BP43" i="3"/>
  <c r="H12" i="1" s="1"/>
  <c r="BG8" i="3"/>
  <c r="BG9" i="3"/>
  <c r="BG11" i="3"/>
  <c r="BG15" i="3"/>
  <c r="AI16" i="3"/>
  <c r="BE16" i="3" s="1"/>
  <c r="AI20" i="3"/>
  <c r="BE20" i="3" s="1"/>
  <c r="BE24" i="3"/>
  <c r="AI32" i="3"/>
  <c r="BE32" i="3" s="1"/>
  <c r="BH30" i="3" a="1"/>
  <c r="BH30" i="3" s="1"/>
  <c r="BE37" i="3"/>
  <c r="L15" i="6"/>
  <c r="L12" i="6"/>
  <c r="AI12" i="6"/>
  <c r="BD5" i="6"/>
  <c r="BD6" i="6"/>
  <c r="BD7" i="6"/>
  <c r="BD8" i="6"/>
  <c r="AI13" i="6"/>
  <c r="BD13" i="6" s="1"/>
  <c r="BD9" i="6"/>
  <c r="AH40" i="3"/>
  <c r="AH43" i="3"/>
  <c r="BM43" i="3"/>
  <c r="F12" i="1" s="1"/>
  <c r="BM40" i="3"/>
  <c r="F9" i="1" s="1"/>
  <c r="BE8" i="3"/>
  <c r="AJ43" i="3"/>
  <c r="K10" i="3"/>
  <c r="BE10" i="3" s="1"/>
  <c r="AK43" i="3"/>
  <c r="AK40" i="3"/>
  <c r="L43" i="3"/>
  <c r="L40" i="3"/>
  <c r="BG5" i="3"/>
  <c r="BG6" i="3"/>
  <c r="BG10" i="3"/>
  <c r="AI15" i="3"/>
  <c r="BE15" i="3" s="1"/>
  <c r="BG21" i="3"/>
  <c r="BH25" i="3" a="1"/>
  <c r="BH25" i="3" s="1"/>
  <c r="BH41" i="3" s="1"/>
  <c r="AI25" i="3"/>
  <c r="BE28" i="3"/>
  <c r="BG29" i="3"/>
  <c r="L42" i="3"/>
  <c r="AK42" i="3"/>
  <c r="BT43" i="3"/>
  <c r="L12" i="1" s="1"/>
  <c r="BC45" i="3"/>
  <c r="M15" i="5"/>
  <c r="AJ14" i="5"/>
  <c r="BE14" i="5" s="1"/>
  <c r="D21" i="1" s="1"/>
  <c r="AI15" i="6"/>
  <c r="BH10" i="3" a="1"/>
  <c r="BH10" i="3" s="1"/>
  <c r="BH40" i="3" s="1"/>
  <c r="BG17" i="3"/>
  <c r="BG20" i="3"/>
  <c r="BE22" i="3"/>
  <c r="M41" i="3"/>
  <c r="AH41" i="3"/>
  <c r="K15" i="5"/>
  <c r="AG12" i="5"/>
  <c r="BB5" i="5"/>
  <c r="AG15" i="5"/>
  <c r="BE7" i="5"/>
  <c r="AJ15" i="5"/>
  <c r="K12" i="5"/>
  <c r="BE11" i="6"/>
  <c r="AJ15" i="6"/>
  <c r="BG33" i="3"/>
  <c r="BH35" i="3" a="1"/>
  <c r="BH35" i="3" s="1"/>
  <c r="BL40" i="3"/>
  <c r="E9" i="1" s="1"/>
  <c r="J12" i="5"/>
  <c r="J15" i="5"/>
  <c r="BE6" i="5"/>
  <c r="BF7" i="5"/>
  <c r="AH7" i="5"/>
  <c r="BC7" i="5" s="1"/>
  <c r="BB8" i="5"/>
  <c r="BD13" i="5"/>
  <c r="BE10" i="5"/>
  <c r="BF11" i="5"/>
  <c r="AH11" i="5"/>
  <c r="BC11" i="5" s="1"/>
  <c r="BB10" i="6"/>
  <c r="AG14" i="6"/>
  <c r="BB14" i="6" s="1"/>
  <c r="E33" i="1" s="1"/>
  <c r="AI9" i="7"/>
  <c r="BE9" i="7" s="1"/>
  <c r="BG9" i="7"/>
  <c r="M41" i="7"/>
  <c r="AI36" i="7"/>
  <c r="BE36" i="7" s="1"/>
  <c r="BH35" i="7" a="1"/>
  <c r="BH35" i="7" s="1"/>
  <c r="BG36" i="7"/>
  <c r="K41" i="3"/>
  <c r="AI42" i="3"/>
  <c r="BE31" i="3"/>
  <c r="BE35" i="3"/>
  <c r="AJ12" i="5"/>
  <c r="BE5" i="5"/>
  <c r="BF6" i="5"/>
  <c r="AH6" i="5"/>
  <c r="BC6" i="5" s="1"/>
  <c r="BB7" i="5"/>
  <c r="BG7" i="5" a="1"/>
  <c r="BG7" i="5" s="1"/>
  <c r="AJ13" i="5"/>
  <c r="BE13" i="5" s="1"/>
  <c r="D20" i="1" s="1"/>
  <c r="BE9" i="5"/>
  <c r="BF10" i="5"/>
  <c r="AH10" i="5"/>
  <c r="BB11" i="5"/>
  <c r="BG11" i="5" a="1"/>
  <c r="BG11" i="5" s="1"/>
  <c r="BG15" i="6"/>
  <c r="BG12" i="6"/>
  <c r="BN43" i="7"/>
  <c r="G46" i="1" s="1"/>
  <c r="BN40" i="7"/>
  <c r="G43" i="1" s="1"/>
  <c r="BS43" i="7"/>
  <c r="K46" i="1" s="1"/>
  <c r="BS40" i="7"/>
  <c r="K43" i="1" s="1"/>
  <c r="BE23" i="7"/>
  <c r="AI24" i="7"/>
  <c r="BE24" i="7" s="1"/>
  <c r="BG24" i="7"/>
  <c r="K42" i="3"/>
  <c r="BE30" i="3"/>
  <c r="BG36" i="3"/>
  <c r="M12" i="5"/>
  <c r="BF5" i="5"/>
  <c r="AH5" i="5"/>
  <c r="BB6" i="5"/>
  <c r="BG6" i="5" a="1"/>
  <c r="BG6" i="5" s="1"/>
  <c r="BE8" i="5"/>
  <c r="BF9" i="5"/>
  <c r="AH9" i="5"/>
  <c r="BB10" i="5"/>
  <c r="BG10" i="5" a="1"/>
  <c r="BG10" i="5" s="1"/>
  <c r="AG14" i="5"/>
  <c r="BB14" i="5" s="1"/>
  <c r="E21" i="1" s="1"/>
  <c r="AH15" i="6"/>
  <c r="AH12" i="6"/>
  <c r="BC12" i="6" s="1"/>
  <c r="C31" i="1" s="1"/>
  <c r="BC5" i="6"/>
  <c r="BC6" i="6"/>
  <c r="BC7" i="6"/>
  <c r="BC8" i="6"/>
  <c r="BC9" i="6"/>
  <c r="L14" i="6"/>
  <c r="BD14" i="6" s="1"/>
  <c r="K15" i="6"/>
  <c r="AI12" i="7"/>
  <c r="BE12" i="7" s="1"/>
  <c r="BG12" i="7"/>
  <c r="BH42" i="7"/>
  <c r="BE39" i="7"/>
  <c r="M43" i="7"/>
  <c r="M40" i="7"/>
  <c r="BP43" i="7"/>
  <c r="H46" i="1" s="1"/>
  <c r="BP40" i="7"/>
  <c r="H43" i="1" s="1"/>
  <c r="BT43" i="7"/>
  <c r="L46" i="1" s="1"/>
  <c r="BT40" i="7"/>
  <c r="L43" i="1" s="1"/>
  <c r="BE19" i="7"/>
  <c r="BH20" i="7" a="1"/>
  <c r="BH20" i="7" s="1"/>
  <c r="AI20" i="7"/>
  <c r="AI42" i="7"/>
  <c r="J43" i="7"/>
  <c r="BE12" i="6"/>
  <c r="D31" i="1" s="1"/>
  <c r="BE9" i="6"/>
  <c r="BF11" i="6"/>
  <c r="J12" i="6"/>
  <c r="BB12" i="6" s="1"/>
  <c r="E31" i="1" s="1"/>
  <c r="M15" i="6"/>
  <c r="AJ43" i="7"/>
  <c r="BG7" i="7"/>
  <c r="BG11" i="7"/>
  <c r="K15" i="7"/>
  <c r="BE15" i="7" s="1"/>
  <c r="K41" i="7"/>
  <c r="AK41" i="7"/>
  <c r="AJ42" i="7"/>
  <c r="BE30" i="7"/>
  <c r="BE31" i="7"/>
  <c r="BE32" i="7"/>
  <c r="BE37" i="7"/>
  <c r="AH43" i="7"/>
  <c r="AG15" i="6"/>
  <c r="BB15" i="6" s="1"/>
  <c r="E34" i="1" s="1"/>
  <c r="BE10" i="6"/>
  <c r="AJ14" i="6"/>
  <c r="BE14" i="6" s="1"/>
  <c r="D33" i="1" s="1"/>
  <c r="AK43" i="7"/>
  <c r="AK40" i="7"/>
  <c r="AI16" i="7"/>
  <c r="BE16" i="7" s="1"/>
  <c r="BH15" i="7" a="1"/>
  <c r="BH15" i="7" s="1"/>
  <c r="BG23" i="7"/>
  <c r="L41" i="7"/>
  <c r="BE27" i="7"/>
  <c r="BE28" i="7"/>
  <c r="L42" i="7"/>
  <c r="AK42" i="7"/>
  <c r="K35" i="7"/>
  <c r="K42" i="7" s="1"/>
  <c r="BG39" i="7"/>
  <c r="BG13" i="7"/>
  <c r="BG17" i="7"/>
  <c r="BG21" i="7"/>
  <c r="BG25" i="7"/>
  <c r="BG29" i="7"/>
  <c r="BG33" i="7"/>
  <c r="BG37" i="7"/>
  <c r="BM40" i="7"/>
  <c r="F43" i="1" s="1"/>
  <c r="BR40" i="7"/>
  <c r="J43" i="1" s="1"/>
  <c r="K20" i="7"/>
  <c r="AI25" i="7"/>
  <c r="BG38" i="7"/>
  <c r="AJ40" i="7"/>
  <c r="BK25" i="7"/>
  <c r="BK35" i="7"/>
  <c r="BK5" i="7"/>
  <c r="BJ35" i="7"/>
  <c r="BJ20" i="7"/>
  <c r="BK15" i="7"/>
  <c r="BJ5" i="7"/>
  <c r="BK20" i="7"/>
  <c r="BJ15" i="7"/>
  <c r="BJ5" i="3"/>
  <c r="BJ20" i="3"/>
  <c r="BJ10" i="3"/>
  <c r="BK20" i="3"/>
  <c r="BJ35" i="3"/>
  <c r="BJ25" i="3"/>
  <c r="BK25" i="3"/>
  <c r="BJ15" i="3"/>
  <c r="K40" i="7" l="1"/>
  <c r="K43" i="7"/>
  <c r="BD15" i="6"/>
  <c r="BG15" i="5"/>
  <c r="BE15" i="5"/>
  <c r="D22" i="1" s="1"/>
  <c r="K43" i="3"/>
  <c r="BK42" i="7"/>
  <c r="D45" i="1" s="1"/>
  <c r="BK41" i="3"/>
  <c r="D10" i="1" s="1"/>
  <c r="BJ40" i="3"/>
  <c r="C9" i="1" s="1"/>
  <c r="BJ43" i="3"/>
  <c r="C12" i="1" s="1"/>
  <c r="BJ42" i="7"/>
  <c r="C45" i="1" s="1"/>
  <c r="BJ41" i="3"/>
  <c r="C10" i="1" s="1"/>
  <c r="BK41" i="7"/>
  <c r="D44" i="1" s="1"/>
  <c r="BK40" i="3"/>
  <c r="D9" i="1" s="1"/>
  <c r="BK43" i="3"/>
  <c r="D12" i="1" s="1"/>
  <c r="BJ42" i="3"/>
  <c r="C11" i="1" s="1"/>
  <c r="BG14" i="5"/>
  <c r="BB12" i="5"/>
  <c r="E19" i="1" s="1"/>
  <c r="AI40" i="3"/>
  <c r="BD12" i="6"/>
  <c r="BG12" i="5"/>
  <c r="BH43" i="3"/>
  <c r="BE5" i="7"/>
  <c r="AI43" i="7"/>
  <c r="BE43" i="7" s="1"/>
  <c r="AI40" i="7"/>
  <c r="BE40" i="7" s="1"/>
  <c r="BE20" i="7"/>
  <c r="AH14" i="5"/>
  <c r="BC14" i="5" s="1"/>
  <c r="C21" i="1" s="1"/>
  <c r="BC10" i="5"/>
  <c r="BE15" i="6"/>
  <c r="D34" i="1" s="1"/>
  <c r="AI43" i="3"/>
  <c r="BE43" i="3" s="1"/>
  <c r="BJ43" i="7"/>
  <c r="C46" i="1" s="1"/>
  <c r="BJ40" i="7"/>
  <c r="C43" i="1" s="1"/>
  <c r="BH43" i="7"/>
  <c r="BH40" i="7"/>
  <c r="BE25" i="7"/>
  <c r="AI41" i="7"/>
  <c r="BE41" i="7" s="1"/>
  <c r="BE35" i="7"/>
  <c r="BC15" i="6"/>
  <c r="C34" i="1" s="1"/>
  <c r="AH13" i="5"/>
  <c r="BC13" i="5" s="1"/>
  <c r="C20" i="1" s="1"/>
  <c r="BC9" i="5"/>
  <c r="BE12" i="5"/>
  <c r="D19" i="1" s="1"/>
  <c r="BE42" i="3"/>
  <c r="BB15" i="5"/>
  <c r="E22" i="1" s="1"/>
  <c r="AI41" i="3"/>
  <c r="BE41" i="3" s="1"/>
  <c r="BE25" i="3"/>
  <c r="K40" i="3"/>
  <c r="BK43" i="7"/>
  <c r="D46" i="1" s="1"/>
  <c r="BK40" i="7"/>
  <c r="D43" i="1" s="1"/>
  <c r="AH14" i="6"/>
  <c r="BC14" i="6" s="1"/>
  <c r="C33" i="1" s="1"/>
  <c r="BC10" i="6"/>
  <c r="BE42" i="7"/>
  <c r="AH15" i="5"/>
  <c r="BC15" i="5" s="1"/>
  <c r="C22" i="1" s="1"/>
  <c r="AH12" i="5"/>
  <c r="BC12" i="5" s="1"/>
  <c r="C19" i="1" s="1"/>
  <c r="BC5" i="5"/>
  <c r="BH42" i="3"/>
  <c r="BE40" i="3" l="1"/>
</calcChain>
</file>

<file path=xl/sharedStrings.xml><?xml version="1.0" encoding="utf-8"?>
<sst xmlns="http://schemas.openxmlformats.org/spreadsheetml/2006/main" count="1587" uniqueCount="596">
  <si>
    <t>Reference:</t>
  </si>
  <si>
    <t>Tested:</t>
  </si>
  <si>
    <t>R7.0 RC15.0</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</si>
  <si>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</si>
  <si>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</si>
  <si>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</si>
  <si>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</si>
  <si>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</si>
  <si>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</si>
  <si>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</si>
  <si>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</si>
  <si>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</si>
  <si>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</si>
  <si>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</si>
  <si>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</si>
  <si>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</si>
  <si>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</si>
  <si>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</si>
  <si>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</si>
  <si>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</si>
  <si>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</si>
  <si>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</si>
  <si>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</si>
  <si>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</si>
  <si>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</si>
  <si>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</si>
  <si>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</si>
  <si>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</si>
  <si>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</si>
  <si>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</si>
  <si>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</si>
  <si>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</si>
  <si>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</si>
  <si>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</si>
  <si>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</si>
  <si>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</si>
  <si>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</si>
  <si>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</si>
  <si>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</si>
  <si>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</si>
  <si>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</si>
  <si>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</si>
  <si>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</si>
  <si>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</si>
  <si>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</si>
  <si>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</si>
  <si>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</si>
  <si>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</si>
  <si>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</si>
  <si>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</si>
  <si>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</si>
  <si>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</si>
  <si>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</si>
  <si>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</si>
  <si>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</si>
  <si>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</si>
  <si>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</si>
  <si>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</si>
  <si>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</si>
  <si>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</si>
  <si>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</si>
  <si>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</si>
  <si>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</si>
  <si>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</si>
  <si>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</si>
  <si>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</si>
  <si>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</si>
  <si>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</si>
  <si>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</si>
  <si>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</si>
  <si>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</si>
  <si>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</si>
  <si>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</si>
  <si>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</si>
  <si>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</si>
  <si>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</si>
  <si>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</si>
  <si>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</si>
  <si>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</si>
  <si>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</si>
  <si>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</si>
  <si>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</si>
  <si>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</si>
  <si>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</si>
  <si>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</si>
  <si>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</si>
  <si>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</si>
  <si>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</si>
  <si>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</si>
  <si>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</si>
  <si>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</si>
  <si>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</si>
  <si>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</si>
  <si>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</si>
  <si>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</si>
  <si>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</si>
  <si>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</si>
  <si>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</si>
  <si>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</si>
  <si>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</si>
  <si>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</si>
  <si>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</si>
  <si>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</si>
  <si>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</si>
  <si>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</si>
  <si>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</si>
  <si>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</si>
  <si>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</si>
  <si>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</si>
  <si>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</si>
  <si>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</si>
  <si>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</si>
  <si>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</si>
  <si>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</si>
  <si>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</si>
  <si>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</si>
  <si>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</si>
  <si>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</si>
  <si>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</si>
  <si>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</si>
  <si>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</si>
  <si>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</si>
  <si>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</si>
  <si>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</si>
  <si>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</si>
  <si>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</si>
  <si>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</si>
  <si>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</si>
  <si>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</si>
  <si>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</si>
  <si>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</si>
  <si>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</si>
  <si>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</si>
  <si>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</si>
  <si>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</si>
  <si>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</si>
  <si>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</si>
  <si>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</si>
  <si>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</si>
  <si>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</si>
  <si>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</si>
  <si>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</si>
  <si>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</si>
  <si>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</si>
  <si>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</si>
  <si>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</si>
  <si>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</si>
  <si>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</si>
  <si>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</si>
  <si>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</si>
  <si>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</si>
  <si>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</si>
  <si>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</si>
  <si>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</si>
  <si>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</si>
  <si>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</si>
  <si>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</si>
  <si>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</si>
  <si>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</si>
  <si>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</si>
  <si>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</si>
  <si>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</si>
  <si>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</si>
  <si>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</si>
  <si>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</si>
  <si>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</si>
  <si>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</si>
  <si>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</si>
  <si>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</si>
  <si>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</si>
  <si>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</si>
  <si>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</si>
  <si>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</si>
  <si>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</si>
  <si>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</si>
  <si>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</si>
  <si>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</si>
  <si>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</si>
  <si>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</si>
  <si>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</si>
  <si>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</si>
  <si>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</si>
  <si>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</si>
  <si>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</si>
  <si>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</si>
  <si>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</si>
  <si>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</si>
  <si>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</si>
  <si>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</si>
  <si>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</si>
  <si>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</si>
  <si>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</si>
  <si>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</si>
  <si>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</si>
  <si>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</si>
  <si>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</si>
  <si>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</si>
  <si>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</si>
  <si>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</si>
  <si>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</si>
  <si>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</si>
  <si>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</si>
  <si>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</si>
  <si>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</si>
  <si>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</si>
  <si>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</si>
  <si>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</si>
  <si>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</si>
  <si>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</si>
  <si>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</si>
  <si>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</si>
  <si>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</si>
  <si>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</si>
  <si>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</si>
  <si>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</si>
  <si>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</si>
  <si>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</si>
  <si>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</si>
  <si>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</si>
  <si>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</si>
  <si>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</si>
  <si>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</si>
  <si>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</si>
  <si>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</si>
  <si>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</si>
  <si>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</si>
  <si>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</si>
  <si>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</si>
  <si>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</si>
  <si>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</si>
  <si>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</si>
  <si>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</si>
  <si>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</si>
  <si>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</si>
  <si>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</si>
  <si>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</si>
  <si>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</si>
  <si>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</si>
  <si>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</si>
  <si>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</si>
  <si>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</si>
  <si>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</si>
  <si>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</si>
  <si>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</si>
  <si>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</si>
  <si>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</si>
  <si>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</si>
  <si>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</si>
  <si>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</si>
  <si>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</si>
  <si>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</si>
  <si>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</si>
  <si>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</si>
  <si>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</si>
  <si>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</si>
  <si>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</si>
  <si>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</si>
  <si>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</si>
  <si>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</si>
  <si>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</si>
  <si>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</si>
  <si>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</si>
  <si>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</si>
  <si>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</si>
  <si>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</si>
  <si>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</si>
  <si>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</si>
  <si>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</si>
  <si>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</si>
  <si>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</si>
  <si>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</si>
  <si>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</si>
  <si>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</si>
  <si>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</si>
  <si>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</si>
  <si>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</si>
  <si>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</si>
  <si>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</si>
  <si>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</si>
  <si>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</si>
  <si>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</si>
  <si>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</si>
  <si>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</si>
  <si>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</si>
  <si>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</si>
  <si>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</si>
  <si>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</si>
  <si>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</si>
  <si>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</si>
  <si>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</si>
  <si>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</si>
  <si>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</si>
  <si>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</si>
  <si>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</si>
  <si>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</si>
  <si>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</si>
  <si>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</si>
  <si>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</si>
  <si>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</si>
  <si>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</si>
  <si>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</si>
  <si>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</si>
  <si>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</si>
  <si>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</si>
  <si>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</si>
  <si>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</si>
  <si>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</si>
  <si>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</si>
  <si>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</si>
  <si>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</si>
  <si>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</si>
  <si>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</si>
  <si>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</si>
  <si>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</si>
  <si>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</si>
  <si>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</si>
  <si>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</si>
  <si>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</si>
  <si>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</si>
  <si>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</si>
  <si>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</si>
  <si>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</si>
  <si>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</si>
  <si>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</si>
  <si>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</si>
  <si>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</si>
  <si>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</si>
  <si>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</si>
  <si>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</si>
  <si>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</si>
  <si>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</si>
  <si>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</si>
  <si>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</si>
  <si>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</si>
  <si>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</si>
  <si>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</si>
  <si>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</si>
  <si>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</si>
  <si>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</si>
  <si>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</si>
  <si>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</si>
  <si>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</si>
  <si>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</si>
  <si>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</si>
  <si>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</si>
  <si>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</si>
  <si>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</si>
  <si>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</si>
  <si>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</si>
  <si>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</si>
  <si>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</si>
  <si>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</si>
  <si>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</si>
  <si>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</si>
  <si>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</si>
  <si>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</si>
  <si>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</si>
  <si>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</si>
  <si>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</si>
  <si>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</si>
  <si>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</si>
  <si>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</si>
  <si>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</si>
  <si>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</si>
  <si>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</si>
  <si>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</si>
  <si>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</si>
  <si>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</si>
  <si>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</si>
  <si>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</si>
  <si>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</si>
  <si>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</si>
  <si>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</si>
  <si>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</si>
  <si>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</si>
  <si>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</si>
  <si>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</si>
  <si>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</si>
  <si>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</si>
  <si>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</si>
  <si>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</si>
  <si>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</si>
  <si>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</si>
  <si>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</si>
  <si>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</si>
  <si>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</si>
  <si>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</si>
  <si>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</si>
  <si>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</si>
  <si>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</si>
  <si>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</si>
  <si>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</si>
  <si>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</si>
  <si>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</si>
  <si>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</si>
  <si>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</si>
  <si>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</si>
  <si>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</si>
  <si>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</si>
  <si>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</si>
  <si>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</si>
  <si>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</si>
  <si>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</si>
  <si>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</si>
  <si>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</si>
  <si>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</si>
  <si>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</si>
  <si>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</si>
  <si>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</si>
  <si>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</si>
  <si>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</si>
  <si>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</si>
  <si>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</si>
  <si>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</si>
  <si>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</si>
  <si>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</si>
  <si>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</si>
  <si>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</si>
  <si>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</si>
  <si>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</si>
  <si>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</si>
  <si>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</si>
  <si>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</si>
  <si>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</si>
  <si>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</si>
  <si>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</si>
  <si>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</si>
  <si>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</si>
  <si>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</si>
  <si>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</si>
  <si>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</si>
  <si>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</si>
  <si>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</si>
  <si>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</si>
  <si>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</si>
  <si>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</si>
  <si>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</si>
  <si>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</si>
  <si>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</si>
  <si>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</si>
  <si>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</si>
  <si>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</si>
  <si>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</si>
  <si>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</si>
  <si>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</si>
  <si>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</si>
  <si>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</si>
  <si>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</si>
  <si>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</si>
  <si>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</si>
  <si>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</si>
  <si>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</si>
  <si>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</si>
  <si>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</si>
  <si>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</si>
  <si>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</si>
  <si>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</si>
  <si>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</si>
  <si>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</si>
  <si>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</si>
  <si>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</si>
  <si>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</si>
  <si>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</si>
  <si>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</si>
  <si>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</si>
  <si>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</si>
  <si>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</si>
  <si>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</si>
  <si>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</si>
  <si>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</si>
  <si>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</si>
  <si>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</si>
  <si>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</si>
  <si>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</si>
  <si>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</si>
  <si>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</si>
  <si>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</si>
  <si>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</si>
  <si>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</si>
  <si>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</si>
  <si>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</si>
  <si>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</si>
  <si>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</si>
  <si>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</si>
  <si>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</si>
  <si>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</si>
  <si>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</si>
  <si>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</si>
  <si>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</si>
  <si>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</si>
  <si>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</si>
  <si>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</si>
  <si>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</si>
  <si>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</si>
  <si>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</si>
  <si>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</si>
  <si>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</si>
  <si>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</si>
  <si>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</si>
  <si>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</si>
  <si>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</si>
  <si>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</si>
  <si>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</si>
  <si>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</si>
  <si>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</si>
  <si>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</si>
  <si>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</si>
  <si>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</si>
  <si>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</si>
  <si>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</si>
  <si>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</si>
  <si>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</si>
  <si>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</si>
  <si>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</si>
  <si>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</si>
  <si>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</si>
  <si>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</si>
  <si>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</si>
  <si>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</si>
  <si>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</si>
  <si>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</si>
  <si>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</si>
  <si>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</si>
  <si>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</si>
  <si>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</si>
  <si>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</si>
  <si>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</si>
  <si>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</si>
  <si>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</si>
  <si>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</si>
  <si>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</si>
  <si>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</si>
  <si>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</si>
  <si>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</si>
  <si>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</si>
  <si>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</si>
  <si>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</si>
  <si>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</si>
  <si>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</si>
  <si>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</si>
  <si>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</si>
  <si>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</si>
  <si>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</si>
  <si>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</si>
  <si>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</si>
  <si>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</si>
  <si>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</si>
  <si>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</si>
  <si>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</si>
  <si>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</si>
  <si>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</si>
  <si>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</si>
  <si>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</si>
  <si>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</si>
  <si>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</si>
  <si>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</si>
  <si>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</si>
  <si>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</si>
  <si>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</si>
  <si>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</si>
  <si>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</si>
  <si>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</si>
  <si>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</si>
  <si>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</si>
  <si>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</si>
  <si>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</si>
  <si>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</si>
  <si>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</si>
  <si>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</si>
  <si>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</si>
  <si>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</si>
  <si>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</si>
  <si>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</si>
  <si>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</si>
  <si>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</si>
  <si>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</si>
  <si>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</si>
  <si>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</si>
  <si>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</si>
  <si>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</si>
  <si>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</si>
  <si>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</si>
  <si>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</si>
  <si>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</si>
  <si>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</si>
  <si>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</si>
  <si>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</si>
  <si>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</si>
  <si>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2560x3040</t>
  </si>
  <si>
    <t>CW_ld — lossless geometry, lossless attributes [inter, low delay]</t>
  </si>
  <si>
    <t>1280x1520</t>
  </si>
  <si>
    <t>C2_ra — lossy geometry, lossy attributes [inter, random access]</t>
  </si>
  <si>
    <t>1280x1392</t>
  </si>
  <si>
    <t>2560x3056</t>
  </si>
  <si>
    <t>R7.0 RC14.0</t>
  </si>
  <si>
    <t>&lt;&lt;all : file open error&gt;&gt;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</si>
</sst>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9" fontId="0" fillId="0" borderId="0" xfId="0" applyNumberFormat="1" applyAlignment="1">
      <alignment horizontal="center"/>
    </xf>
    <xf numFmtId="0" fontId="0" fillId="0" borderId="0" xfId="0"/>
    <xf numFmtId="0" fontId="0" fillId="0" borderId="3" xfId="0" applyBorder="1"/>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R7.0 RC14.0</c:v>
                </c:pt>
              </c:strCache>
            </c:strRef>
          </c:tx>
          <c:spPr>
            <a:ln>
              <a:prstDash val="solid"/>
            </a:ln>
          </c:spPr>
          <c:marker>
            <c:symbol val="none"/>
          </c:marker>
          <c:xVal>
            <c:numRef>
              <c:f>Graphs!graph_a_x_range_A</c:f>
              <c:numCache>
                <c:formatCode>0.00</c:formatCode>
                <c:ptCount val="1"/>
                <c:pt idx="0">
                  <c:v>3.3647673695852816E-2</c:v>
                </c:pt>
              </c:numCache>
            </c:numRef>
          </c:xVal>
          <c:yVal>
            <c:numRef>
              <c:f>Graphs!graph_a_y_range_A</c:f>
              <c:numCache>
                <c:formatCode>0.00</c:formatCode>
                <c:ptCount val="1"/>
                <c:pt idx="0">
                  <c:v>66.354628000000005</c:v>
                </c:pt>
              </c:numCache>
            </c:numRef>
          </c:yVal>
          <c:smooth val="1"/>
          <c:extLst>
            <c:ext xmlns:c16="http://schemas.microsoft.com/office/drawing/2014/chart" uri="{C3380CC4-5D6E-409C-BE32-E72D297353CC}">
              <c16:uniqueId val="{00000000-34F9-45BB-9816-9C80FC9B3167}"/>
            </c:ext>
          </c:extLst>
        </c:ser>
        <c:ser>
          <c:idx val="1"/>
          <c:order val="1"/>
          <c:tx>
            <c:strRef>
              <c:f>Graphs!graph_a_B_title</c:f>
              <c:strCache>
                <c:ptCount val="1"/>
                <c:pt idx="0">
                  <c:v>R7.0 RC15.0</c:v>
                </c:pt>
              </c:strCache>
            </c:strRef>
          </c:tx>
          <c:spPr>
            <a:ln>
              <a:prstDash val="solid"/>
            </a:ln>
          </c:spPr>
          <c:marker>
            <c:symbol val="none"/>
          </c:marker>
          <c:xVal>
            <c:numRef>
              <c:f>Graphs!graph_a_x_range_B</c:f>
              <c:numCache>
                <c:formatCode>0.00</c:formatCode>
                <c:ptCount val="1"/>
                <c:pt idx="0">
                  <c:v>3.3647673695852816E-2</c:v>
                </c:pt>
              </c:numCache>
            </c:numRef>
          </c:xVal>
          <c:yVal>
            <c:numRef>
              <c:f>Graphs!graph_a_y_range_B</c:f>
              <c:numCache>
                <c:formatCode>0.00</c:formatCode>
                <c:ptCount val="1"/>
                <c:pt idx="0">
                  <c:v>66.354628124999991</c:v>
                </c:pt>
              </c:numCache>
            </c:numRef>
          </c:yVal>
          <c:smooth val="1"/>
          <c:extLst>
            <c:ext xmlns:c16="http://schemas.microsoft.com/office/drawing/2014/chart" uri="{C3380CC4-5D6E-409C-BE32-E72D297353CC}">
              <c16:uniqueId val="{00000001-34F9-45BB-9816-9C80FC9B3167}"/>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R7.0 RC14.0</c:v>
                </c:pt>
              </c:strCache>
            </c:strRef>
          </c:tx>
          <c:spPr>
            <a:ln>
              <a:prstDash val="solid"/>
            </a:ln>
          </c:spPr>
          <c:marker>
            <c:symbol val="none"/>
          </c:marker>
          <c:xVal>
            <c:numRef>
              <c:f>Graphs!graph_b_x_range_A</c:f>
              <c:numCache>
                <c:formatCode>0.00</c:formatCode>
                <c:ptCount val="1"/>
                <c:pt idx="0">
                  <c:v>3.3647673695852816E-2</c:v>
                </c:pt>
              </c:numCache>
            </c:numRef>
          </c:xVal>
          <c:yVal>
            <c:numRef>
              <c:f>Graphs!graph_b_y_range_A</c:f>
              <c:numCache>
                <c:formatCode>0.00</c:formatCode>
                <c:ptCount val="1"/>
                <c:pt idx="0">
                  <c:v>68.478525000000005</c:v>
                </c:pt>
              </c:numCache>
            </c:numRef>
          </c:yVal>
          <c:smooth val="1"/>
          <c:extLst>
            <c:ext xmlns:c16="http://schemas.microsoft.com/office/drawing/2014/chart" uri="{C3380CC4-5D6E-409C-BE32-E72D297353CC}">
              <c16:uniqueId val="{00000000-45AB-4E9E-8051-1B8388C288C5}"/>
            </c:ext>
          </c:extLst>
        </c:ser>
        <c:ser>
          <c:idx val="1"/>
          <c:order val="1"/>
          <c:tx>
            <c:strRef>
              <c:f>Graphs!graph_b_B_title</c:f>
              <c:strCache>
                <c:ptCount val="1"/>
                <c:pt idx="0">
                  <c:v>R7.0 RC15.0</c:v>
                </c:pt>
              </c:strCache>
            </c:strRef>
          </c:tx>
          <c:spPr>
            <a:ln>
              <a:prstDash val="solid"/>
            </a:ln>
          </c:spPr>
          <c:marker>
            <c:symbol val="none"/>
          </c:marker>
          <c:xVal>
            <c:numRef>
              <c:f>Graphs!graph_b_x_range_B</c:f>
              <c:numCache>
                <c:formatCode>0.00</c:formatCode>
                <c:ptCount val="1"/>
                <c:pt idx="0">
                  <c:v>3.3647673695852816E-2</c:v>
                </c:pt>
              </c:numCache>
            </c:numRef>
          </c:xVal>
          <c:yVal>
            <c:numRef>
              <c:f>Graphs!graph_b_y_range_B</c:f>
              <c:numCache>
                <c:formatCode>0.00</c:formatCode>
                <c:ptCount val="1"/>
                <c:pt idx="0">
                  <c:v>68.478524999999991</c:v>
                </c:pt>
              </c:numCache>
            </c:numRef>
          </c:yVal>
          <c:smooth val="1"/>
          <c:extLst>
            <c:ext xmlns:c16="http://schemas.microsoft.com/office/drawing/2014/chart" uri="{C3380CC4-5D6E-409C-BE32-E72D297353CC}">
              <c16:uniqueId val="{00000001-45AB-4E9E-8051-1B8388C288C5}"/>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R7.0 RC14.0</c:v>
                </c:pt>
              </c:strCache>
            </c:strRef>
          </c:tx>
          <c:spPr>
            <a:ln>
              <a:prstDash val="solid"/>
            </a:ln>
          </c:spPr>
          <c:marker>
            <c:symbol val="none"/>
          </c:marker>
          <c:xVal>
            <c:numRef>
              <c:f>Graphs!graph_c_x_range_A</c:f>
              <c:numCache>
                <c:formatCode>0.00</c:formatCode>
                <c:ptCount val="1"/>
                <c:pt idx="0">
                  <c:v>3.4147586751839355E-2</c:v>
                </c:pt>
              </c:numCache>
            </c:numRef>
          </c:xVal>
          <c:yVal>
            <c:numRef>
              <c:f>Graphs!graph_c_y_range_A</c:f>
              <c:numCache>
                <c:formatCode>0.00</c:formatCode>
                <c:ptCount val="1"/>
                <c:pt idx="0">
                  <c:v>32.109447000000003</c:v>
                </c:pt>
              </c:numCache>
            </c:numRef>
          </c:yVal>
          <c:smooth val="1"/>
          <c:extLst>
            <c:ext xmlns:c16="http://schemas.microsoft.com/office/drawing/2014/chart" uri="{C3380CC4-5D6E-409C-BE32-E72D297353CC}">
              <c16:uniqueId val="{00000000-3590-47A8-AD2C-2376E0E99E5D}"/>
            </c:ext>
          </c:extLst>
        </c:ser>
        <c:ser>
          <c:idx val="1"/>
          <c:order val="1"/>
          <c:tx>
            <c:strRef>
              <c:f>Graphs!graph_c_B_title</c:f>
              <c:strCache>
                <c:ptCount val="1"/>
                <c:pt idx="0">
                  <c:v>R7.0 RC15.0</c:v>
                </c:pt>
              </c:strCache>
            </c:strRef>
          </c:tx>
          <c:spPr>
            <a:ln>
              <a:prstDash val="solid"/>
            </a:ln>
          </c:spPr>
          <c:marker>
            <c:symbol val="none"/>
          </c:marker>
          <c:xVal>
            <c:numRef>
              <c:f>Graphs!graph_c_x_range_B</c:f>
              <c:numCache>
                <c:formatCode>0.00</c:formatCode>
                <c:ptCount val="1"/>
                <c:pt idx="0">
                  <c:v>3.4147586751839355E-2</c:v>
                </c:pt>
              </c:numCache>
            </c:numRef>
          </c:xVal>
          <c:yVal>
            <c:numRef>
              <c:f>Graphs!graph_c_y_range_B</c:f>
              <c:numCache>
                <c:formatCode>0.00</c:formatCode>
                <c:ptCount val="1"/>
                <c:pt idx="0">
                  <c:v>32.10944687500001</c:v>
                </c:pt>
              </c:numCache>
            </c:numRef>
          </c:yVal>
          <c:smooth val="1"/>
          <c:extLst>
            <c:ext xmlns:c16="http://schemas.microsoft.com/office/drawing/2014/chart" uri="{C3380CC4-5D6E-409C-BE32-E72D297353CC}">
              <c16:uniqueId val="{00000001-3590-47A8-AD2C-2376E0E99E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R7.0 RC14.0</c:v>
                </c:pt>
              </c:strCache>
            </c:strRef>
          </c:tx>
          <c:spPr>
            <a:ln>
              <a:prstDash val="solid"/>
            </a:ln>
          </c:spPr>
          <c:marker>
            <c:symbol val="none"/>
          </c:marker>
          <c:xVal>
            <c:numRef>
              <c:f>Graphs!graph_d_x_range_A</c:f>
              <c:numCache>
                <c:formatCode>0.00</c:formatCode>
                <c:ptCount val="1"/>
                <c:pt idx="0">
                  <c:v>3.4147586751839355E-2</c:v>
                </c:pt>
              </c:numCache>
            </c:numRef>
          </c:xVal>
          <c:yVal>
            <c:numRef>
              <c:f>Graphs!graph_d_y_range_A</c:f>
              <c:numCache>
                <c:formatCode>0.00</c:formatCode>
                <c:ptCount val="1"/>
                <c:pt idx="0">
                  <c:v>44.148172000000002</c:v>
                </c:pt>
              </c:numCache>
            </c:numRef>
          </c:yVal>
          <c:smooth val="1"/>
          <c:extLst>
            <c:ext xmlns:c16="http://schemas.microsoft.com/office/drawing/2014/chart" uri="{C3380CC4-5D6E-409C-BE32-E72D297353CC}">
              <c16:uniqueId val="{00000000-480A-4E1B-AC28-057666B8726B}"/>
            </c:ext>
          </c:extLst>
        </c:ser>
        <c:ser>
          <c:idx val="1"/>
          <c:order val="1"/>
          <c:tx>
            <c:strRef>
              <c:f>Graphs!graph_d_B_title</c:f>
              <c:strCache>
                <c:ptCount val="1"/>
                <c:pt idx="0">
                  <c:v>R7.0 RC15.0</c:v>
                </c:pt>
              </c:strCache>
            </c:strRef>
          </c:tx>
          <c:spPr>
            <a:ln>
              <a:prstDash val="solid"/>
            </a:ln>
          </c:spPr>
          <c:marker>
            <c:symbol val="none"/>
          </c:marker>
          <c:xVal>
            <c:numRef>
              <c:f>Graphs!graph_d_x_range_B</c:f>
              <c:numCache>
                <c:formatCode>0.00</c:formatCode>
                <c:ptCount val="1"/>
                <c:pt idx="0">
                  <c:v>3.4147586751839355E-2</c:v>
                </c:pt>
              </c:numCache>
            </c:numRef>
          </c:xVal>
          <c:yVal>
            <c:numRef>
              <c:f>Graphs!graph_d_y_range_B</c:f>
              <c:numCache>
                <c:formatCode>0.00</c:formatCode>
                <c:ptCount val="1"/>
                <c:pt idx="0">
                  <c:v>44.148171875000003</c:v>
                </c:pt>
              </c:numCache>
            </c:numRef>
          </c:yVal>
          <c:smooth val="1"/>
          <c:extLst>
            <c:ext xmlns:c16="http://schemas.microsoft.com/office/drawing/2014/chart" uri="{C3380CC4-5D6E-409C-BE32-E72D297353CC}">
              <c16:uniqueId val="{00000001-480A-4E1B-AC28-057666B8726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R7.0 RC14.0</c:v>
                </c:pt>
              </c:strCache>
            </c:strRef>
          </c:tx>
          <c:spPr>
            <a:ln>
              <a:prstDash val="solid"/>
            </a:ln>
          </c:spPr>
          <c:marker>
            <c:symbol val="none"/>
          </c:marker>
          <c:xVal>
            <c:numRef>
              <c:f>Graphs!graph_e_x_range_A</c:f>
              <c:numCache>
                <c:formatCode>0.00</c:formatCode>
                <c:ptCount val="1"/>
                <c:pt idx="0">
                  <c:v>3.4147586751839355E-2</c:v>
                </c:pt>
              </c:numCache>
            </c:numRef>
          </c:xVal>
          <c:yVal>
            <c:numRef>
              <c:f>Graphs!graph_e_y_range_A</c:f>
              <c:numCache>
                <c:formatCode>0.00</c:formatCode>
                <c:ptCount val="1"/>
                <c:pt idx="0">
                  <c:v>43.839812000000002</c:v>
                </c:pt>
              </c:numCache>
            </c:numRef>
          </c:yVal>
          <c:smooth val="1"/>
          <c:extLst>
            <c:ext xmlns:c16="http://schemas.microsoft.com/office/drawing/2014/chart" uri="{C3380CC4-5D6E-409C-BE32-E72D297353CC}">
              <c16:uniqueId val="{00000000-FC6E-435C-9DF2-8FBBD1310F0D}"/>
            </c:ext>
          </c:extLst>
        </c:ser>
        <c:ser>
          <c:idx val="1"/>
          <c:order val="1"/>
          <c:tx>
            <c:strRef>
              <c:f>Graphs!graph_e_B_title</c:f>
              <c:strCache>
                <c:ptCount val="1"/>
                <c:pt idx="0">
                  <c:v>R7.0 RC15.0</c:v>
                </c:pt>
              </c:strCache>
            </c:strRef>
          </c:tx>
          <c:spPr>
            <a:ln>
              <a:prstDash val="solid"/>
            </a:ln>
          </c:spPr>
          <c:marker>
            <c:symbol val="none"/>
          </c:marker>
          <c:xVal>
            <c:numRef>
              <c:f>Graphs!graph_e_x_range_B</c:f>
              <c:numCache>
                <c:formatCode>0.00</c:formatCode>
                <c:ptCount val="1"/>
                <c:pt idx="0">
                  <c:v>3.4147586751839355E-2</c:v>
                </c:pt>
              </c:numCache>
            </c:numRef>
          </c:xVal>
          <c:yVal>
            <c:numRef>
              <c:f>Graphs!graph_e_y_range_B</c:f>
              <c:numCache>
                <c:formatCode>0.00</c:formatCode>
                <c:ptCount val="1"/>
                <c:pt idx="0">
                  <c:v>43.839812500000001</c:v>
                </c:pt>
              </c:numCache>
            </c:numRef>
          </c:yVal>
          <c:smooth val="1"/>
          <c:extLst>
            <c:ext xmlns:c16="http://schemas.microsoft.com/office/drawing/2014/chart" uri="{C3380CC4-5D6E-409C-BE32-E72D297353CC}">
              <c16:uniqueId val="{00000001-FC6E-435C-9DF2-8FBBD1310F0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R7.0 RC14.0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106-4EE0-B159-6AFB846B4DBB}"/>
            </c:ext>
          </c:extLst>
        </c:ser>
        <c:ser>
          <c:idx val="1"/>
          <c:order val="1"/>
          <c:tx>
            <c:strRef>
              <c:f>Graphs!graph_f_B_title</c:f>
              <c:strCache>
                <c:ptCount val="1"/>
                <c:pt idx="0">
                  <c:v>R7.0 RC15.0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106-4EE0-B159-6AFB846B4DBB}"/>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C2" sqref="C2:E2"/>
    </sheetView>
  </sheetViews>
  <sheetFormatPr defaultRowHeight="15" x14ac:dyDescent="0.25"/>
  <cols>
    <col min="2" max="2" width="16.7109375" style="54" customWidth="1"/>
    <col min="3" max="12" width="24.7109375" style="54" customWidth="1"/>
  </cols>
  <sheetData>
    <row r="1" spans="2:12" x14ac:dyDescent="0.25">
      <c r="B1" t="s">
        <v>0</v>
      </c>
      <c r="C1" s="69" t="s">
        <v>594</v>
      </c>
      <c r="D1" s="61"/>
      <c r="E1" s="61"/>
    </row>
    <row r="2" spans="2:12" x14ac:dyDescent="0.25">
      <c r="B2" t="s">
        <v>1</v>
      </c>
      <c r="C2" s="70" t="s">
        <v>2</v>
      </c>
      <c r="D2" s="61"/>
      <c r="E2" s="61"/>
    </row>
    <row r="4" spans="2:12" s="1" customFormat="1" x14ac:dyDescent="0.25">
      <c r="B4" s="1" t="s">
        <v>3</v>
      </c>
    </row>
    <row r="6" spans="2:12" x14ac:dyDescent="0.25">
      <c r="B6" s="64" t="s">
        <v>4</v>
      </c>
      <c r="C6" s="65" t="s">
        <v>5</v>
      </c>
      <c r="D6" s="66"/>
      <c r="E6" s="66"/>
      <c r="F6" s="66"/>
      <c r="G6" s="66"/>
      <c r="H6" s="66"/>
      <c r="I6" s="66"/>
      <c r="J6" s="66"/>
      <c r="K6" s="66"/>
      <c r="L6" s="66"/>
    </row>
    <row r="7" spans="2:12" x14ac:dyDescent="0.25">
      <c r="B7" s="61"/>
      <c r="C7" s="67" t="s">
        <v>6</v>
      </c>
      <c r="D7" s="61"/>
      <c r="E7" s="68" t="s">
        <v>7</v>
      </c>
      <c r="F7" s="61"/>
      <c r="G7" s="61"/>
      <c r="H7" s="67" t="s">
        <v>8</v>
      </c>
      <c r="I7" s="61"/>
      <c r="J7" s="68" t="s">
        <v>9</v>
      </c>
      <c r="K7" s="61"/>
      <c r="L7" s="61"/>
    </row>
    <row r="8" spans="2:12" x14ac:dyDescent="0.25">
      <c r="B8" s="63"/>
      <c r="C8" s="2" t="s">
        <v>10</v>
      </c>
      <c r="D8" s="2" t="s">
        <v>11</v>
      </c>
      <c r="E8" s="3" t="s">
        <v>12</v>
      </c>
      <c r="F8" s="3" t="s">
        <v>13</v>
      </c>
      <c r="G8" s="3" t="s">
        <v>14</v>
      </c>
      <c r="H8" s="2" t="s">
        <v>10</v>
      </c>
      <c r="I8" s="2" t="s">
        <v>11</v>
      </c>
      <c r="J8" s="3" t="s">
        <v>12</v>
      </c>
      <c r="K8" s="3" t="s">
        <v>13</v>
      </c>
      <c r="L8" s="3" t="s">
        <v>14</v>
      </c>
    </row>
    <row r="9" spans="2:12" x14ac:dyDescent="0.25">
      <c r="B9" t="s">
        <v>15</v>
      </c>
      <c r="C9" s="4">
        <f>'C2 lossyG,lossyA,intra'!$BJ$40:$BJ$40</f>
        <v>1.056596571347157E-8</v>
      </c>
      <c r="D9" s="4">
        <f>'C2 lossyG,lossyA,intra'!$BK$40:$BK$40</f>
        <v>-1.7101075000525157E-9</v>
      </c>
      <c r="E9" s="4">
        <f>'C2 lossyG,lossyA,intra'!$BL$40:$BL$40</f>
        <v>-9.9623116950331436E-8</v>
      </c>
      <c r="F9" s="4">
        <f>'C2 lossyG,lossyA,intra'!$BM$40:$BM$40</f>
        <v>-3.5014691868173742E-8</v>
      </c>
      <c r="G9" s="4">
        <f>'C2 lossyG,lossyA,intra'!$BN$40:$BN$40</f>
        <v>-1.7445380737224347E-7</v>
      </c>
      <c r="H9" s="4">
        <f>'C2 lossyG,lossyA,intra'!$BP$40:$BP$40</f>
        <v>1.7989955858332962E-8</v>
      </c>
      <c r="I9" s="4">
        <f>'C2 lossyG,lossyA,intra'!$BQ$40:$BQ$40</f>
        <v>-3.7235939609470137E-9</v>
      </c>
      <c r="J9" s="4">
        <f>'C2 lossyG,lossyA,intra'!$BR$40:$BR$40</f>
        <v>-8.4533078953397123E-8</v>
      </c>
      <c r="K9" s="4">
        <f>'C2 lossyG,lossyA,intra'!$BS$40:$BS$40</f>
        <v>-3.0741312245785579E-8</v>
      </c>
      <c r="L9" s="4">
        <f>'C2 lossyG,lossyA,intra'!$BT$40:$BT$40</f>
        <v>-1.3030869894237185E-7</v>
      </c>
    </row>
    <row r="10" spans="2:12" x14ac:dyDescent="0.25">
      <c r="B10" t="s">
        <v>16</v>
      </c>
      <c r="C10" s="4">
        <f>'C2 lossyG,lossyA,intra'!$BJ$41:$BJ$41</f>
        <v>2.8546455199673915E-8</v>
      </c>
      <c r="D10" s="4">
        <f>'C2 lossyG,lossyA,intra'!$BK$41:$BK$41</f>
        <v>5.5861208991814237E-9</v>
      </c>
      <c r="E10" s="4">
        <f>'C2 lossyG,lossyA,intra'!$BL$41:$BL$41</f>
        <v>1.1937130173222954E-8</v>
      </c>
      <c r="F10" s="4">
        <f>'C2 lossyG,lossyA,intra'!$BM$41:$BM$41</f>
        <v>-5.6659015146287572E-8</v>
      </c>
      <c r="G10" s="4">
        <f>'C2 lossyG,lossyA,intra'!$BN$41:$BN$41</f>
        <v>-1.533673121834056E-8</v>
      </c>
      <c r="H10" s="4">
        <f>'C2 lossyG,lossyA,intra'!$BP$41:$BP$41</f>
        <v>2.3830308171213233E-8</v>
      </c>
      <c r="I10" s="4">
        <f>'C2 lossyG,lossyA,intra'!$BQ$41:$BQ$41</f>
        <v>-5.0960173858527469E-9</v>
      </c>
      <c r="J10" s="4">
        <f>'C2 lossyG,lossyA,intra'!$BR$41:$BR$41</f>
        <v>9.3343777152199436E-9</v>
      </c>
      <c r="K10" s="4">
        <f>'C2 lossyG,lossyA,intra'!$BS$41:$BS$41</f>
        <v>-4.6741713832787468E-8</v>
      </c>
      <c r="L10" s="4">
        <f>'C2 lossyG,lossyA,intra'!$BT$41:$BT$41</f>
        <v>-7.4799276772452572E-9</v>
      </c>
    </row>
    <row r="11" spans="2:12" x14ac:dyDescent="0.25">
      <c r="B11" t="s">
        <v>17</v>
      </c>
      <c r="C11" s="4" t="e">
        <f>'C2 lossyG,lossyA,intra'!$BJ$42:$BJ$42</f>
        <v>#VALUE!</v>
      </c>
      <c r="D11" s="4" t="e">
        <f>'C2 lossyG,lossyA,intra'!$BK$42:$BK$42</f>
        <v>#VALUE!</v>
      </c>
      <c r="E11" s="4" t="e">
        <f>'C2 lossyG,lossyA,intra'!$BL$42:$BL$42</f>
        <v>#VALUE!</v>
      </c>
      <c r="F11" s="4" t="e">
        <f>'C2 lossyG,lossyA,intra'!$BM$42:$BM$42</f>
        <v>#VALUE!</v>
      </c>
      <c r="G11" s="4" t="e">
        <f>'C2 lossyG,lossyA,intra'!$BN$42:$BN$42</f>
        <v>#VALUE!</v>
      </c>
      <c r="H11" s="4" t="e">
        <f>'C2 lossyG,lossyA,intra'!$BP$42:$BP$42</f>
        <v>#VALUE!</v>
      </c>
      <c r="I11" s="4" t="e">
        <f>'C2 lossyG,lossyA,intra'!$BQ$42:$BQ$42</f>
        <v>#VALUE!</v>
      </c>
      <c r="J11" s="4" t="e">
        <f>'C2 lossyG,lossyA,intra'!$BR$42:$BR$42</f>
        <v>#VALUE!</v>
      </c>
      <c r="K11" s="4" t="e">
        <f>'C2 lossyG,lossyA,intra'!$BS$42:$BS$42</f>
        <v>#VALUE!</v>
      </c>
      <c r="L11" s="4" t="e">
        <f>'C2 lossyG,lossyA,intra'!$BT$42:$BT$42</f>
        <v>#VALUE!</v>
      </c>
    </row>
    <row r="12" spans="2:12" x14ac:dyDescent="0.25">
      <c r="B12" s="5" t="s">
        <v>18</v>
      </c>
      <c r="C12" s="6" t="e">
        <f>'C2 lossyG,lossyA,intra'!$BJ$43:$BJ$43</f>
        <v>#VALUE!</v>
      </c>
      <c r="D12" s="6" t="e">
        <f>'C2 lossyG,lossyA,intra'!$BK$43:$BK$43</f>
        <v>#VALUE!</v>
      </c>
      <c r="E12" s="6" t="e">
        <f>'C2 lossyG,lossyA,intra'!$BL$43:$BL$43</f>
        <v>#VALUE!</v>
      </c>
      <c r="F12" s="6" t="e">
        <f>'C2 lossyG,lossyA,intra'!$BM$43:$BM$43</f>
        <v>#VALUE!</v>
      </c>
      <c r="G12" s="6" t="e">
        <f>'C2 lossyG,lossyA,intra'!$BN$43:$BN$43</f>
        <v>#VALUE!</v>
      </c>
      <c r="H12" s="6" t="e">
        <f>'C2 lossyG,lossyA,intra'!$BP$43:$BP$43</f>
        <v>#VALUE!</v>
      </c>
      <c r="I12" s="6" t="e">
        <f>'C2 lossyG,lossyA,intra'!$BQ$43:$BQ$43</f>
        <v>#VALUE!</v>
      </c>
      <c r="J12" s="6" t="e">
        <f>'C2 lossyG,lossyA,intra'!$BR$43:$BR$43</f>
        <v>#VALUE!</v>
      </c>
      <c r="K12" s="6" t="e">
        <f>'C2 lossyG,lossyA,intra'!$BS$43:$BS$43</f>
        <v>#VALUE!</v>
      </c>
      <c r="L12" s="6" t="e">
        <f>'C2 lossyG,lossyA,intra'!$BT$43:$BT$43</f>
        <v>#VALUE!</v>
      </c>
    </row>
    <row r="13" spans="2:12" x14ac:dyDescent="0.25">
      <c r="B13" t="s">
        <v>19</v>
      </c>
      <c r="C13" s="60" t="e">
        <f>'C2 lossyG,lossyA,intra'!AZ47</f>
        <v>#NUM!</v>
      </c>
      <c r="D13" s="61"/>
      <c r="E13" s="61"/>
      <c r="F13" s="61"/>
      <c r="G13" s="61"/>
      <c r="H13" s="61"/>
      <c r="I13" s="61"/>
      <c r="J13" s="61"/>
      <c r="K13" s="61"/>
      <c r="L13" s="61"/>
    </row>
    <row r="14" spans="2:12" x14ac:dyDescent="0.25">
      <c r="B14" s="55" t="s">
        <v>20</v>
      </c>
      <c r="C14" s="62" t="e">
        <f>'C2 lossyG,lossyA,intra'!BB47</f>
        <v>#NUM!</v>
      </c>
      <c r="D14" s="63"/>
      <c r="E14" s="63"/>
      <c r="F14" s="63"/>
      <c r="G14" s="63"/>
      <c r="H14" s="63"/>
      <c r="I14" s="63"/>
      <c r="J14" s="63"/>
      <c r="K14" s="63"/>
      <c r="L14" s="63"/>
    </row>
    <row r="16" spans="2:12" x14ac:dyDescent="0.25">
      <c r="B16" s="64" t="s">
        <v>21</v>
      </c>
      <c r="C16" s="65" t="s">
        <v>22</v>
      </c>
      <c r="D16" s="66"/>
      <c r="E16" s="66"/>
    </row>
    <row r="17" spans="2:5" x14ac:dyDescent="0.25">
      <c r="B17" s="61"/>
      <c r="C17" s="67" t="s">
        <v>23</v>
      </c>
      <c r="D17" s="61"/>
      <c r="E17" s="61"/>
    </row>
    <row r="18" spans="2:5" x14ac:dyDescent="0.25">
      <c r="B18" s="63"/>
      <c r="C18" s="2" t="s">
        <v>24</v>
      </c>
      <c r="D18" s="2" t="s">
        <v>25</v>
      </c>
      <c r="E18" s="2" t="s">
        <v>26</v>
      </c>
    </row>
    <row r="19" spans="2:5" x14ac:dyDescent="0.25">
      <c r="B19" t="s">
        <v>15</v>
      </c>
      <c r="C19" s="4">
        <f>'CW losslG,losslA,intra'!BC12</f>
        <v>0.99997298067124729</v>
      </c>
      <c r="D19" s="4">
        <f>'CW losslG,losslA,intra'!BE12</f>
        <v>0.99999858561470512</v>
      </c>
      <c r="E19" s="4">
        <f>'CW losslG,losslA,intra'!BB12</f>
        <v>0.99999470483580788</v>
      </c>
    </row>
    <row r="20" spans="2:5" x14ac:dyDescent="0.25">
      <c r="B20" t="s">
        <v>16</v>
      </c>
      <c r="C20" s="4">
        <f>'CW losslG,losslA,intra'!BC13</f>
        <v>0.99996114081329968</v>
      </c>
      <c r="D20" s="4">
        <f>'CW losslG,losslA,intra'!BE13</f>
        <v>0.99999865662849197</v>
      </c>
      <c r="E20" s="4">
        <f>'CW losslG,losslA,intra'!BB13</f>
        <v>0.99999487193994396</v>
      </c>
    </row>
    <row r="21" spans="2:5" x14ac:dyDescent="0.25">
      <c r="B21" t="s">
        <v>17</v>
      </c>
      <c r="C21" s="4">
        <f>'CW losslG,losslA,intra'!BC14</f>
        <v>0.30836098606849738</v>
      </c>
      <c r="D21" s="4">
        <f>'CW losslG,losslA,intra'!BE14</f>
        <v>0.30964832509224799</v>
      </c>
      <c r="E21" s="4">
        <f>'CW losslG,losslA,intra'!BB14</f>
        <v>0.30949832831921825</v>
      </c>
    </row>
    <row r="22" spans="2:5" x14ac:dyDescent="0.25">
      <c r="B22" s="5" t="s">
        <v>18</v>
      </c>
      <c r="C22" s="6">
        <f>'CW losslG,losslA,intra'!BC15</f>
        <v>0.83798398102509741</v>
      </c>
      <c r="D22" s="6">
        <f>'CW losslG,losslA,intra'!BE15</f>
        <v>0.81340729958402569</v>
      </c>
      <c r="E22" s="6">
        <f>'CW losslG,losslA,intra'!BB15</f>
        <v>0.816653628579882</v>
      </c>
    </row>
    <row r="23" spans="2:5" x14ac:dyDescent="0.25">
      <c r="B23" t="s">
        <v>19</v>
      </c>
      <c r="C23" s="60">
        <f>'CW losslG,losslA,intra'!AW19</f>
        <v>0.64816538123225609</v>
      </c>
      <c r="D23" s="61"/>
      <c r="E23" s="61"/>
    </row>
    <row r="24" spans="2:5" x14ac:dyDescent="0.25">
      <c r="B24" s="55" t="s">
        <v>20</v>
      </c>
      <c r="C24" s="62">
        <f>'CW losslG,losslA,intra'!AY19</f>
        <v>0.62530124130030296</v>
      </c>
      <c r="D24" s="63"/>
      <c r="E24" s="63"/>
    </row>
    <row r="26" spans="2:5" s="1" customFormat="1" x14ac:dyDescent="0.25">
      <c r="B26" s="1" t="s">
        <v>27</v>
      </c>
    </row>
    <row r="28" spans="2:5" x14ac:dyDescent="0.25">
      <c r="B28" s="64" t="s">
        <v>28</v>
      </c>
      <c r="C28" s="65" t="s">
        <v>29</v>
      </c>
      <c r="D28" s="66"/>
      <c r="E28" s="66"/>
    </row>
    <row r="29" spans="2:5" x14ac:dyDescent="0.25">
      <c r="B29" s="61"/>
      <c r="C29" s="67" t="s">
        <v>23</v>
      </c>
      <c r="D29" s="61"/>
      <c r="E29" s="61"/>
    </row>
    <row r="30" spans="2:5" x14ac:dyDescent="0.25">
      <c r="B30" s="63"/>
      <c r="C30" s="2" t="s">
        <v>24</v>
      </c>
      <c r="D30" s="2" t="s">
        <v>25</v>
      </c>
      <c r="E30" s="2" t="s">
        <v>26</v>
      </c>
    </row>
    <row r="31" spans="2:5" x14ac:dyDescent="0.25">
      <c r="B31" t="s">
        <v>15</v>
      </c>
      <c r="C31" s="4">
        <f>'CW losslG,losslA,interLD'!BC12</f>
        <v>1.0000021421975622</v>
      </c>
      <c r="D31" s="4">
        <f>'CW losslG,losslA,interLD'!BE12</f>
        <v>0.99999856859533742</v>
      </c>
      <c r="E31" s="4">
        <f>'CW losslG,losslA,interLD'!BB12</f>
        <v>0.99999907833847179</v>
      </c>
    </row>
    <row r="32" spans="2:5" x14ac:dyDescent="0.25">
      <c r="B32" t="s">
        <v>16</v>
      </c>
      <c r="C32" s="4">
        <f>'CW losslG,losslA,interLD'!BC13</f>
        <v>1.0000147079371382</v>
      </c>
      <c r="D32" s="4">
        <f>'CW losslG,losslA,interLD'!BE13</f>
        <v>0.9999986712397847</v>
      </c>
      <c r="E32" s="4">
        <f>'CW losslG,losslA,interLD'!BB13</f>
        <v>1.0000002984827441</v>
      </c>
    </row>
    <row r="33" spans="2:12" x14ac:dyDescent="0.25">
      <c r="B33" t="s">
        <v>17</v>
      </c>
      <c r="C33" s="4">
        <f>'CW losslG,losslA,interLD'!BC14</f>
        <v>0.30770622361352834</v>
      </c>
      <c r="D33" s="4">
        <f>'CW losslG,losslA,interLD'!BE14</f>
        <v>0.30965152454627992</v>
      </c>
      <c r="E33" s="4">
        <f>'CW losslG,losslA,interLD'!BB14</f>
        <v>0.30942498139488128</v>
      </c>
    </row>
    <row r="34" spans="2:12" x14ac:dyDescent="0.25">
      <c r="B34" s="5" t="s">
        <v>18</v>
      </c>
      <c r="C34" s="6">
        <f>'CW losslG,losslA,interLD'!BC15</f>
        <v>0.82862479323785321</v>
      </c>
      <c r="D34" s="6">
        <f>'CW losslG,losslA,interLD'!BE15</f>
        <v>0.81104136665572912</v>
      </c>
      <c r="E34" s="6">
        <f>'CW losslG,losslA,interLD'!BB15</f>
        <v>0.81327794753119054</v>
      </c>
    </row>
    <row r="35" spans="2:12" x14ac:dyDescent="0.25">
      <c r="B35" t="s">
        <v>19</v>
      </c>
      <c r="C35" s="60">
        <f>'CW losslG,losslA,interLD'!AW19</f>
        <v>0.5976884148884738</v>
      </c>
      <c r="D35" s="61"/>
      <c r="E35" s="61"/>
    </row>
    <row r="36" spans="2:12" x14ac:dyDescent="0.25">
      <c r="B36" s="55" t="s">
        <v>20</v>
      </c>
      <c r="C36" s="62">
        <f>'CW losslG,losslA,interLD'!AY19</f>
        <v>0.53934930892620947</v>
      </c>
      <c r="D36" s="63"/>
      <c r="E36" s="63"/>
    </row>
    <row r="38" spans="2:12" s="1" customFormat="1" x14ac:dyDescent="0.25">
      <c r="B38" s="1" t="s">
        <v>30</v>
      </c>
    </row>
    <row r="40" spans="2:12" x14ac:dyDescent="0.25">
      <c r="B40" s="64" t="s">
        <v>31</v>
      </c>
      <c r="C40" s="65" t="s">
        <v>32</v>
      </c>
      <c r="D40" s="66"/>
      <c r="E40" s="66"/>
      <c r="F40" s="66"/>
      <c r="G40" s="66"/>
      <c r="H40" s="66"/>
      <c r="I40" s="66"/>
      <c r="J40" s="66"/>
      <c r="K40" s="66"/>
      <c r="L40" s="66"/>
    </row>
    <row r="41" spans="2:12" x14ac:dyDescent="0.25">
      <c r="B41" s="61"/>
      <c r="C41" s="67" t="s">
        <v>6</v>
      </c>
      <c r="D41" s="61"/>
      <c r="E41" s="68" t="s">
        <v>7</v>
      </c>
      <c r="F41" s="61"/>
      <c r="G41" s="61"/>
      <c r="H41" s="67" t="s">
        <v>8</v>
      </c>
      <c r="I41" s="61"/>
      <c r="J41" s="68" t="s">
        <v>9</v>
      </c>
      <c r="K41" s="61"/>
      <c r="L41" s="61"/>
    </row>
    <row r="42" spans="2:12" x14ac:dyDescent="0.25">
      <c r="B42" s="63"/>
      <c r="C42" s="2" t="s">
        <v>10</v>
      </c>
      <c r="D42" s="2" t="s">
        <v>11</v>
      </c>
      <c r="E42" s="3" t="s">
        <v>12</v>
      </c>
      <c r="F42" s="3" t="s">
        <v>13</v>
      </c>
      <c r="G42" s="3" t="s">
        <v>14</v>
      </c>
      <c r="H42" s="2" t="s">
        <v>10</v>
      </c>
      <c r="I42" s="2" t="s">
        <v>11</v>
      </c>
      <c r="J42" s="3" t="s">
        <v>12</v>
      </c>
      <c r="K42" s="3" t="s">
        <v>13</v>
      </c>
      <c r="L42" s="3" t="s">
        <v>14</v>
      </c>
    </row>
    <row r="43" spans="2:12" x14ac:dyDescent="0.25">
      <c r="B43" t="s">
        <v>15</v>
      </c>
      <c r="C43" s="4">
        <f>'C2 lossyG,lossyA,interRA'!$BJ$40:$BJ$40</f>
        <v>-7.0943388108535288E-9</v>
      </c>
      <c r="D43" s="4">
        <f>'C2 lossyG,lossyA,interRA'!$BK$40:$BK$40</f>
        <v>-8.7524419656315189E-9</v>
      </c>
      <c r="E43" s="4">
        <f>'C2 lossyG,lossyA,interRA'!$BL$40:$BL$40</f>
        <v>3.577196594495291E-8</v>
      </c>
      <c r="F43" s="4">
        <f>'C2 lossyG,lossyA,interRA'!$BM$40:$BM$40</f>
        <v>1.9181792995648372E-7</v>
      </c>
      <c r="G43" s="4">
        <f>'C2 lossyG,lossyA,interRA'!$BN$40:$BN$40</f>
        <v>5.7803421660285181E-8</v>
      </c>
      <c r="H43" s="4">
        <f>'C2 lossyG,lossyA,interRA'!$BP$40:$BP$40</f>
        <v>-1.6881123166001544E-8</v>
      </c>
      <c r="I43" s="4">
        <f>'C2 lossyG,lossyA,interRA'!$BQ$40:$BQ$40</f>
        <v>-1.7211602143518689E-9</v>
      </c>
      <c r="J43" s="4">
        <f>'C2 lossyG,lossyA,interRA'!$BR$40:$BR$40</f>
        <v>2.580744423719139E-8</v>
      </c>
      <c r="K43" s="4">
        <f>'C2 lossyG,lossyA,interRA'!$BS$40:$BS$40</f>
        <v>9.7334845960972416E-8</v>
      </c>
      <c r="L43" s="4">
        <f>'C2 lossyG,lossyA,interRA'!$BT$40:$BT$40</f>
        <v>4.1834128161610806E-8</v>
      </c>
    </row>
    <row r="44" spans="2:12" x14ac:dyDescent="0.25">
      <c r="B44" t="s">
        <v>16</v>
      </c>
      <c r="C44" s="4">
        <f>'C2 lossyG,lossyA,interRA'!$BJ$41:$BJ$41</f>
        <v>-1.7720740541626867E-8</v>
      </c>
      <c r="D44" s="4">
        <f>'C2 lossyG,lossyA,interRA'!$BK$41:$BK$41</f>
        <v>2.4054018776809016E-9</v>
      </c>
      <c r="E44" s="4">
        <f>'C2 lossyG,lossyA,interRA'!$BL$41:$BL$41</f>
        <v>-4.1437449027625917E-9</v>
      </c>
      <c r="F44" s="4">
        <f>'C2 lossyG,lossyA,interRA'!$BM$41:$BM$41</f>
        <v>-3.3278946820480826E-7</v>
      </c>
      <c r="G44" s="4">
        <f>'C2 lossyG,lossyA,interRA'!$BN$41:$BN$41</f>
        <v>3.6558757132709729E-8</v>
      </c>
      <c r="H44" s="4">
        <f>'C2 lossyG,lossyA,interRA'!$BP$41:$BP$41</f>
        <v>-3.5684155519355443E-8</v>
      </c>
      <c r="I44" s="4">
        <f>'C2 lossyG,lossyA,interRA'!$BQ$41:$BQ$41</f>
        <v>6.0729929973746266E-9</v>
      </c>
      <c r="J44" s="4">
        <f>'C2 lossyG,lossyA,interRA'!$BR$41:$BR$41</f>
        <v>-4.043100743089667E-9</v>
      </c>
      <c r="K44" s="4">
        <f>'C2 lossyG,lossyA,interRA'!$BS$41:$BS$41</f>
        <v>-2.3712293617528246E-7</v>
      </c>
      <c r="L44" s="4">
        <f>'C2 lossyG,lossyA,interRA'!$BT$41:$BT$41</f>
        <v>2.9248135247073037E-8</v>
      </c>
    </row>
    <row r="45" spans="2:12" x14ac:dyDescent="0.25">
      <c r="B45" t="s">
        <v>17</v>
      </c>
      <c r="C45" s="4">
        <f>'C2 lossyG,lossyA,interRA'!$BJ$42:$BJ$42</f>
        <v>-0.7104848935083774</v>
      </c>
      <c r="D45" s="4">
        <f>'C2 lossyG,lossyA,interRA'!$BK$42:$BK$42</f>
        <v>-0.70906913535105076</v>
      </c>
      <c r="E45" s="4">
        <f>'C2 lossyG,lossyA,interRA'!$BL$42:$BL$42</f>
        <v>-0.7133565993480504</v>
      </c>
      <c r="F45" s="4">
        <f>'C2 lossyG,lossyA,interRA'!$BM$42:$BM$42</f>
        <v>-0.66264590389547728</v>
      </c>
      <c r="G45" s="4">
        <f>'C2 lossyG,lossyA,interRA'!$BN$42:$BN$42</f>
        <v>-0.71980368425674035</v>
      </c>
      <c r="H45" s="4">
        <f>'C2 lossyG,lossyA,interRA'!$BP$42:$BP$42</f>
        <v>-0.70701828031387981</v>
      </c>
      <c r="I45" s="4">
        <f>'C2 lossyG,lossyA,interRA'!$BQ$42:$BQ$42</f>
        <v>-0.70485819761659796</v>
      </c>
      <c r="J45" s="4">
        <f>'C2 lossyG,lossyA,interRA'!$BR$42:$BR$42</f>
        <v>-0.71269691559154114</v>
      </c>
      <c r="K45" s="4">
        <f>'C2 lossyG,lossyA,interRA'!$BS$42:$BS$42</f>
        <v>-0.68201866567893465</v>
      </c>
      <c r="L45" s="4">
        <f>'C2 lossyG,lossyA,interRA'!$BT$42:$BT$42</f>
        <v>-0.71898909937213606</v>
      </c>
    </row>
    <row r="46" spans="2:12" x14ac:dyDescent="0.25">
      <c r="B46" s="5" t="s">
        <v>18</v>
      </c>
      <c r="C46" s="6">
        <f>'C2 lossyG,lossyA,interRA'!$BJ$43:$BJ$43</f>
        <v>-0.20299569044497864</v>
      </c>
      <c r="D46" s="6">
        <f>'C2 lossyG,lossyA,interRA'!$BK$43:$BK$43</f>
        <v>-0.20259118618663821</v>
      </c>
      <c r="E46" s="6">
        <f>'C2 lossyG,lossyA,interRA'!$BL$43:$BL$43</f>
        <v>-0.20381615139314027</v>
      </c>
      <c r="F46" s="6">
        <f>'C2 lossyG,lossyA,interRA'!$BM$43:$BM$43</f>
        <v>-0.18932733904410043</v>
      </c>
      <c r="G46" s="6">
        <f>'C2 lossyG,lossyA,interRA'!$BN$43:$BN$43</f>
        <v>-0.20565815724871955</v>
      </c>
      <c r="H46" s="6">
        <f>'C2 lossyG,lossyA,interRA'!$BP$43:$BP$43</f>
        <v>-0.20200523769091538</v>
      </c>
      <c r="I46" s="6">
        <f>'C2 lossyG,lossyA,interRA'!$BQ$43:$BQ$43</f>
        <v>-0.20138805657783482</v>
      </c>
      <c r="J46" s="6">
        <f>'C2 lossyG,lossyA,interRA'!$BR$43:$BR$43</f>
        <v>-0.20362767599948658</v>
      </c>
      <c r="K46" s="6">
        <f>'C2 lossyG,lossyA,interRA'!$BS$43:$BS$43</f>
        <v>-0.19486245416306022</v>
      </c>
      <c r="L46" s="6">
        <f>'C2 lossyG,lossyA,interRA'!$BT$43:$BT$43</f>
        <v>-0.20542542887994633</v>
      </c>
    </row>
    <row r="47" spans="2:12" x14ac:dyDescent="0.25">
      <c r="B47" t="s">
        <v>19</v>
      </c>
      <c r="C47" s="60">
        <f>'C2 lossyG,lossyA,interRA'!AZ47</f>
        <v>0.57310424350296085</v>
      </c>
      <c r="D47" s="61"/>
      <c r="E47" s="61"/>
      <c r="F47" s="61"/>
      <c r="G47" s="61"/>
      <c r="H47" s="61"/>
      <c r="I47" s="61"/>
      <c r="J47" s="61"/>
      <c r="K47" s="61"/>
      <c r="L47" s="61"/>
    </row>
    <row r="48" spans="2:12" x14ac:dyDescent="0.25">
      <c r="B48" s="55" t="s">
        <v>20</v>
      </c>
      <c r="C48" s="62">
        <f>'C2 lossyG,lossyA,interRA'!BB47</f>
        <v>0.90154748153578967</v>
      </c>
      <c r="D48" s="63"/>
      <c r="E48" s="63"/>
      <c r="F48" s="63"/>
      <c r="G48" s="63"/>
      <c r="H48" s="63"/>
      <c r="I48" s="63"/>
      <c r="J48" s="63"/>
      <c r="K48" s="63"/>
      <c r="L48" s="63"/>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4" customWidth="1"/>
    <col min="2" max="2" width="24.7109375" style="54" customWidth="1"/>
    <col min="4" max="4" width="24.7109375" style="54" customWidth="1"/>
    <col min="9" max="9" width="16.7109375" style="54" customWidth="1"/>
  </cols>
  <sheetData>
    <row r="1" spans="1:16" x14ac:dyDescent="0.25">
      <c r="A1" t="s">
        <v>33</v>
      </c>
      <c r="B1" s="7" t="str">
        <f>M1</f>
        <v>C2 lossyG,lossyA,intra</v>
      </c>
      <c r="C1" t="s">
        <v>34</v>
      </c>
      <c r="I1" t="s">
        <v>35</v>
      </c>
      <c r="M1" t="s">
        <v>36</v>
      </c>
      <c r="N1" t="s">
        <v>37</v>
      </c>
      <c r="O1" t="s">
        <v>38</v>
      </c>
      <c r="P1" t="s">
        <v>39</v>
      </c>
    </row>
    <row r="2" spans="1:16" x14ac:dyDescent="0.25">
      <c r="A2" t="s">
        <v>40</v>
      </c>
      <c r="B2" s="7" t="str">
        <f>HLOOKUP(B1,M1:ZZ3,3,0)</f>
        <v>8ivfbv2_loot_vox10</v>
      </c>
      <c r="C2" t="s">
        <v>41</v>
      </c>
      <c r="I2" t="s">
        <v>42</v>
      </c>
      <c r="J2" t="s">
        <v>43</v>
      </c>
      <c r="M2" t="s">
        <v>44</v>
      </c>
      <c r="N2" t="s">
        <v>45</v>
      </c>
      <c r="O2" t="s">
        <v>46</v>
      </c>
      <c r="P2" t="s">
        <v>47</v>
      </c>
    </row>
    <row r="3" spans="1:16" x14ac:dyDescent="0.25">
      <c r="I3" t="s">
        <v>48</v>
      </c>
      <c r="J3" t="s">
        <v>49</v>
      </c>
      <c r="M3" t="s">
        <v>50</v>
      </c>
      <c r="N3" t="s">
        <v>50</v>
      </c>
      <c r="O3" t="s">
        <v>50</v>
      </c>
      <c r="P3" t="s">
        <v>50</v>
      </c>
    </row>
    <row r="4" spans="1:16" x14ac:dyDescent="0.25">
      <c r="A4" t="s">
        <v>51</v>
      </c>
      <c r="B4" s="7" t="s">
        <v>52</v>
      </c>
      <c r="C4" t="s">
        <v>53</v>
      </c>
      <c r="D4" s="7" t="s">
        <v>54</v>
      </c>
      <c r="E4" t="s">
        <v>55</v>
      </c>
      <c r="I4" t="s">
        <v>56</v>
      </c>
      <c r="J4" t="s">
        <v>57</v>
      </c>
      <c r="M4" t="s">
        <v>58</v>
      </c>
      <c r="N4" t="s">
        <v>58</v>
      </c>
      <c r="O4" t="s">
        <v>58</v>
      </c>
      <c r="P4" t="s">
        <v>58</v>
      </c>
    </row>
    <row r="5" spans="1:16" x14ac:dyDescent="0.25">
      <c r="A5" t="s">
        <v>51</v>
      </c>
      <c r="B5" s="7" t="s">
        <v>52</v>
      </c>
      <c r="C5" t="s">
        <v>53</v>
      </c>
      <c r="D5" s="7" t="s">
        <v>59</v>
      </c>
      <c r="E5" t="s">
        <v>60</v>
      </c>
      <c r="I5" t="s">
        <v>61</v>
      </c>
      <c r="J5" t="s">
        <v>62</v>
      </c>
      <c r="M5" t="s">
        <v>63</v>
      </c>
      <c r="N5" t="s">
        <v>63</v>
      </c>
      <c r="O5" t="s">
        <v>63</v>
      </c>
      <c r="P5" t="s">
        <v>63</v>
      </c>
    </row>
    <row r="6" spans="1:16" x14ac:dyDescent="0.25">
      <c r="A6" t="s">
        <v>51</v>
      </c>
      <c r="B6" s="7" t="s">
        <v>64</v>
      </c>
      <c r="C6" t="s">
        <v>53</v>
      </c>
      <c r="D6" s="7" t="s">
        <v>65</v>
      </c>
      <c r="E6" t="s">
        <v>66</v>
      </c>
      <c r="I6" t="s">
        <v>67</v>
      </c>
      <c r="J6" t="s">
        <v>68</v>
      </c>
      <c r="M6" t="s">
        <v>69</v>
      </c>
      <c r="N6" t="s">
        <v>69</v>
      </c>
      <c r="O6" t="s">
        <v>69</v>
      </c>
      <c r="P6" t="s">
        <v>69</v>
      </c>
    </row>
    <row r="7" spans="1:16" x14ac:dyDescent="0.25">
      <c r="A7" t="s">
        <v>51</v>
      </c>
      <c r="B7" s="7" t="s">
        <v>64</v>
      </c>
      <c r="C7" t="s">
        <v>53</v>
      </c>
      <c r="D7" s="7" t="s">
        <v>48</v>
      </c>
      <c r="E7" t="s">
        <v>70</v>
      </c>
      <c r="I7" t="s">
        <v>54</v>
      </c>
      <c r="J7" t="s">
        <v>71</v>
      </c>
      <c r="M7" t="s">
        <v>72</v>
      </c>
      <c r="N7" t="s">
        <v>72</v>
      </c>
      <c r="O7" t="s">
        <v>72</v>
      </c>
      <c r="P7" t="s">
        <v>72</v>
      </c>
    </row>
    <row r="8" spans="1:16" x14ac:dyDescent="0.25">
      <c r="A8" t="s">
        <v>51</v>
      </c>
      <c r="B8" s="7" t="s">
        <v>64</v>
      </c>
      <c r="C8" t="s">
        <v>53</v>
      </c>
      <c r="D8" s="7" t="s">
        <v>61</v>
      </c>
      <c r="E8" t="s">
        <v>73</v>
      </c>
      <c r="I8" t="s">
        <v>74</v>
      </c>
      <c r="J8" t="s">
        <v>75</v>
      </c>
      <c r="M8" t="s">
        <v>76</v>
      </c>
      <c r="N8" t="s">
        <v>76</v>
      </c>
      <c r="O8" t="s">
        <v>76</v>
      </c>
      <c r="P8" t="s">
        <v>76</v>
      </c>
    </row>
    <row r="9" spans="1:16" x14ac:dyDescent="0.25">
      <c r="A9" t="s">
        <v>51</v>
      </c>
      <c r="B9" s="7" t="s">
        <v>77</v>
      </c>
      <c r="C9" t="s">
        <v>53</v>
      </c>
      <c r="D9" s="7" t="s">
        <v>78</v>
      </c>
      <c r="E9" t="s">
        <v>79</v>
      </c>
      <c r="I9" t="s">
        <v>59</v>
      </c>
      <c r="J9" t="s">
        <v>80</v>
      </c>
      <c r="M9" t="s">
        <v>81</v>
      </c>
      <c r="N9" t="s">
        <v>81</v>
      </c>
      <c r="O9" t="s">
        <v>81</v>
      </c>
      <c r="P9" t="s">
        <v>81</v>
      </c>
    </row>
    <row r="10" spans="1:16" x14ac:dyDescent="0.25">
      <c r="I10" t="s">
        <v>82</v>
      </c>
      <c r="J10" t="s">
        <v>83</v>
      </c>
    </row>
    <row r="11" spans="1:16" x14ac:dyDescent="0.25">
      <c r="I11" t="s">
        <v>84</v>
      </c>
      <c r="J11" t="s">
        <v>85</v>
      </c>
    </row>
    <row r="12" spans="1:16" x14ac:dyDescent="0.25">
      <c r="I12" t="s">
        <v>86</v>
      </c>
      <c r="J12" t="s">
        <v>87</v>
      </c>
    </row>
    <row r="13" spans="1:16" x14ac:dyDescent="0.25">
      <c r="I13" t="s">
        <v>88</v>
      </c>
      <c r="J13" t="s">
        <v>89</v>
      </c>
    </row>
    <row r="14" spans="1:16" x14ac:dyDescent="0.25">
      <c r="I14" t="s">
        <v>90</v>
      </c>
      <c r="J14" t="s">
        <v>91</v>
      </c>
    </row>
    <row r="15" spans="1:16" x14ac:dyDescent="0.25">
      <c r="I15" t="s">
        <v>92</v>
      </c>
      <c r="J15" t="s">
        <v>93</v>
      </c>
    </row>
    <row r="16" spans="1:16" x14ac:dyDescent="0.25">
      <c r="I16" t="s">
        <v>94</v>
      </c>
      <c r="J16" t="s">
        <v>95</v>
      </c>
    </row>
    <row r="17" spans="9:10" x14ac:dyDescent="0.25">
      <c r="I17" t="s">
        <v>78</v>
      </c>
      <c r="J17" t="s">
        <v>96</v>
      </c>
    </row>
    <row r="18" spans="9:10" x14ac:dyDescent="0.25">
      <c r="I18" t="s">
        <v>97</v>
      </c>
      <c r="J18" t="s">
        <v>98</v>
      </c>
    </row>
    <row r="19" spans="9:10" x14ac:dyDescent="0.25">
      <c r="I19" t="s">
        <v>99</v>
      </c>
      <c r="J19" t="s">
        <v>100</v>
      </c>
    </row>
    <row r="20" spans="9:10" x14ac:dyDescent="0.25">
      <c r="I20" t="s">
        <v>101</v>
      </c>
      <c r="J20" t="s">
        <v>102</v>
      </c>
    </row>
    <row r="21" spans="9:10" x14ac:dyDescent="0.25">
      <c r="I21" t="s">
        <v>103</v>
      </c>
      <c r="J21" t="s">
        <v>104</v>
      </c>
    </row>
    <row r="22" spans="9:10" x14ac:dyDescent="0.25">
      <c r="I22" t="s">
        <v>65</v>
      </c>
      <c r="J22" t="s">
        <v>105</v>
      </c>
    </row>
    <row r="23" spans="9:10" x14ac:dyDescent="0.25">
      <c r="I23" t="s">
        <v>106</v>
      </c>
      <c r="J23" t="s">
        <v>107</v>
      </c>
    </row>
    <row r="24" spans="9:10" x14ac:dyDescent="0.25">
      <c r="I24" t="s">
        <v>108</v>
      </c>
      <c r="J24" t="s">
        <v>109</v>
      </c>
    </row>
    <row r="25" spans="9:10" x14ac:dyDescent="0.25">
      <c r="I25" t="s">
        <v>110</v>
      </c>
      <c r="J25" t="s">
        <v>111</v>
      </c>
    </row>
    <row r="26" spans="9:10" x14ac:dyDescent="0.25">
      <c r="I26" t="s">
        <v>112</v>
      </c>
      <c r="J26" t="s">
        <v>113</v>
      </c>
    </row>
    <row r="27" spans="9:10" x14ac:dyDescent="0.25">
      <c r="I27" t="s">
        <v>114</v>
      </c>
      <c r="J27" t="s">
        <v>115</v>
      </c>
    </row>
    <row r="28" spans="9:10" x14ac:dyDescent="0.25">
      <c r="I28" t="s">
        <v>116</v>
      </c>
      <c r="J28" t="s">
        <v>117</v>
      </c>
    </row>
    <row r="29" spans="9:10" x14ac:dyDescent="0.25">
      <c r="I29" t="s">
        <v>118</v>
      </c>
      <c r="J29" t="s">
        <v>119</v>
      </c>
    </row>
    <row r="30" spans="9:10" x14ac:dyDescent="0.25">
      <c r="I30" t="s">
        <v>120</v>
      </c>
      <c r="J30" t="s">
        <v>121</v>
      </c>
    </row>
    <row r="31" spans="9:10" x14ac:dyDescent="0.25">
      <c r="I31" t="s">
        <v>122</v>
      </c>
      <c r="J31" t="s">
        <v>123</v>
      </c>
    </row>
    <row r="32" spans="9:10" x14ac:dyDescent="0.25">
      <c r="I32" t="s">
        <v>124</v>
      </c>
      <c r="J32" t="s">
        <v>125</v>
      </c>
    </row>
    <row r="33" spans="9:10" x14ac:dyDescent="0.25">
      <c r="I33" t="s">
        <v>126</v>
      </c>
      <c r="J33" t="s">
        <v>127</v>
      </c>
    </row>
    <row r="34" spans="9:10" x14ac:dyDescent="0.25">
      <c r="I34" t="s">
        <v>128</v>
      </c>
      <c r="J34" t="s">
        <v>129</v>
      </c>
    </row>
    <row r="35" spans="9:10" x14ac:dyDescent="0.25">
      <c r="I35" t="s">
        <v>64</v>
      </c>
      <c r="J35" t="s">
        <v>130</v>
      </c>
    </row>
    <row r="36" spans="9:10" x14ac:dyDescent="0.25">
      <c r="I36" t="s">
        <v>52</v>
      </c>
      <c r="J36" t="s">
        <v>131</v>
      </c>
    </row>
    <row r="37" spans="9:10" x14ac:dyDescent="0.25">
      <c r="I37" t="s">
        <v>132</v>
      </c>
      <c r="J37" t="s">
        <v>133</v>
      </c>
    </row>
    <row r="38" spans="9:10" x14ac:dyDescent="0.25">
      <c r="I38" t="s">
        <v>77</v>
      </c>
      <c r="J38" t="s">
        <v>134</v>
      </c>
    </row>
    <row r="39" spans="9:10" x14ac:dyDescent="0.25">
      <c r="I39" t="s">
        <v>135</v>
      </c>
      <c r="J39" t="s">
        <v>136</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C5" activePane="bottomRight" state="frozen"/>
      <selection pane="topRight" activeCell="C1" sqref="C1"/>
      <selection pane="bottomLeft" activeCell="A5" sqref="A5"/>
      <selection pane="bottomRight" activeCell="P5" sqref="P5:AE39"/>
    </sheetView>
  </sheetViews>
  <sheetFormatPr defaultRowHeight="15" outlineLevelRow="2" x14ac:dyDescent="0.25"/>
  <cols>
    <col min="2" max="2" width="24.7109375" style="54" customWidth="1"/>
    <col min="4" max="5" width="10.7109375" style="54" customWidth="1"/>
    <col min="8" max="8" width="1.7109375" style="54" customWidth="1"/>
    <col min="10" max="13" width="10.7109375" style="54" customWidth="1"/>
    <col min="14" max="14" width="24.7109375" style="54" hidden="1" customWidth="1"/>
    <col min="15" max="15" width="12.7109375" style="54" customWidth="1"/>
    <col min="16" max="16" width="10.7109375" style="54" customWidth="1"/>
    <col min="19" max="22" width="12.7109375" style="54" customWidth="1"/>
    <col min="23" max="27" width="11.7109375" style="54" customWidth="1"/>
    <col min="32" max="32" width="1.7109375" style="54" customWidth="1"/>
    <col min="34" max="37" width="10.7109375" style="54" customWidth="1"/>
    <col min="38" max="38" width="24.7109375" style="54" hidden="1" customWidth="1"/>
    <col min="39" max="39" width="12.7109375" style="54" customWidth="1"/>
    <col min="40" max="40" width="10.7109375" style="54" customWidth="1"/>
    <col min="43" max="46" width="12.7109375" style="54" customWidth="1"/>
    <col min="47" max="51" width="11.7109375" style="54" customWidth="1"/>
    <col min="56" max="56" width="1.7109375" style="54" customWidth="1"/>
    <col min="61" max="61" width="1.7109375" style="54" customWidth="1"/>
    <col min="64" max="66" width="11.7109375" style="54" customWidth="1"/>
    <col min="67" max="67" width="1.7109375" style="54" customWidth="1"/>
    <col min="70" max="72" width="11.7109375" style="54" customWidth="1"/>
    <col min="73" max="73" width="1.7109375" style="54" customWidth="1"/>
    <col min="78" max="78" width="9.5703125" style="54" customWidth="1"/>
    <col min="79" max="79" width="10.28515625" style="54" customWidth="1"/>
  </cols>
  <sheetData>
    <row r="1" spans="1:88" x14ac:dyDescent="0.25">
      <c r="A1" s="77" t="s">
        <v>137</v>
      </c>
      <c r="B1" s="61"/>
      <c r="C1" s="61"/>
      <c r="D1" s="61"/>
      <c r="E1" s="61"/>
      <c r="F1" s="61"/>
      <c r="G1" s="61"/>
      <c r="I1" s="69" t="str">
        <f>Summary!C1</f>
        <v>R7.0 RC14.0</v>
      </c>
      <c r="J1" s="61"/>
      <c r="K1" s="61"/>
      <c r="L1" s="61"/>
      <c r="M1" s="61"/>
      <c r="N1" s="61"/>
      <c r="O1" s="61"/>
      <c r="P1" s="61"/>
      <c r="Q1" s="61"/>
      <c r="R1" s="61"/>
      <c r="S1" s="61"/>
      <c r="T1" s="61"/>
      <c r="U1" s="61"/>
      <c r="V1" s="61"/>
      <c r="W1" s="61"/>
      <c r="X1" s="61"/>
      <c r="Y1" s="61"/>
      <c r="Z1" s="61"/>
      <c r="AA1" s="61"/>
      <c r="AB1" s="61"/>
      <c r="AC1" s="61"/>
      <c r="AD1" s="61"/>
      <c r="AE1" s="61"/>
      <c r="AG1" s="70" t="str">
        <f>Summary!C2</f>
        <v>R7.0 RC15.0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9" t="s">
        <v>138</v>
      </c>
      <c r="B2" s="78" t="s">
        <v>139</v>
      </c>
      <c r="C2" s="79" t="s">
        <v>140</v>
      </c>
      <c r="D2" s="78" t="s">
        <v>141</v>
      </c>
      <c r="E2" s="79" t="s">
        <v>142</v>
      </c>
      <c r="F2" s="78" t="s">
        <v>143</v>
      </c>
      <c r="G2" s="79" t="s">
        <v>144</v>
      </c>
      <c r="I2" s="78" t="s">
        <v>145</v>
      </c>
      <c r="J2" s="76" t="s">
        <v>146</v>
      </c>
      <c r="K2" s="61"/>
      <c r="L2" s="61"/>
      <c r="M2" s="61"/>
      <c r="N2" s="79" t="s">
        <v>147</v>
      </c>
      <c r="O2" s="78" t="s">
        <v>148</v>
      </c>
      <c r="P2" s="79" t="s">
        <v>85</v>
      </c>
      <c r="Q2" s="78" t="s">
        <v>87</v>
      </c>
      <c r="R2" s="79" t="s">
        <v>83</v>
      </c>
      <c r="S2" s="75" t="s">
        <v>149</v>
      </c>
      <c r="T2" s="61"/>
      <c r="U2" s="61"/>
      <c r="V2" s="61"/>
      <c r="W2" s="76" t="s">
        <v>150</v>
      </c>
      <c r="X2" s="61"/>
      <c r="Y2" s="75" t="s">
        <v>151</v>
      </c>
      <c r="Z2" s="61"/>
      <c r="AA2" s="61"/>
      <c r="AB2" s="76" t="s">
        <v>152</v>
      </c>
      <c r="AC2" s="61"/>
      <c r="AD2" s="75" t="s">
        <v>153</v>
      </c>
      <c r="AE2" s="61"/>
      <c r="AG2" s="79" t="s">
        <v>145</v>
      </c>
      <c r="AH2" s="75" t="s">
        <v>146</v>
      </c>
      <c r="AI2" s="61"/>
      <c r="AJ2" s="61"/>
      <c r="AK2" s="61"/>
      <c r="AL2" s="78" t="s">
        <v>154</v>
      </c>
      <c r="AM2" s="79" t="s">
        <v>148</v>
      </c>
      <c r="AN2" s="78" t="s">
        <v>85</v>
      </c>
      <c r="AO2" s="79" t="s">
        <v>87</v>
      </c>
      <c r="AP2" s="78" t="s">
        <v>83</v>
      </c>
      <c r="AQ2" s="76" t="s">
        <v>149</v>
      </c>
      <c r="AR2" s="61"/>
      <c r="AS2" s="61"/>
      <c r="AT2" s="61"/>
      <c r="AU2" s="75" t="s">
        <v>150</v>
      </c>
      <c r="AV2" s="61"/>
      <c r="AW2" s="76" t="s">
        <v>151</v>
      </c>
      <c r="AX2" s="61"/>
      <c r="AY2" s="61"/>
      <c r="AZ2" s="75" t="s">
        <v>152</v>
      </c>
      <c r="BA2" s="61"/>
      <c r="BB2" s="76" t="s">
        <v>153</v>
      </c>
      <c r="BC2" s="61"/>
      <c r="BE2" s="78" t="s">
        <v>155</v>
      </c>
      <c r="BF2" s="79" t="s">
        <v>156</v>
      </c>
      <c r="BG2" s="78" t="s">
        <v>157</v>
      </c>
      <c r="BH2" s="79" t="s">
        <v>157</v>
      </c>
      <c r="BJ2" s="75" t="s">
        <v>6</v>
      </c>
      <c r="BK2" s="61"/>
      <c r="BL2" s="76" t="s">
        <v>7</v>
      </c>
      <c r="BM2" s="61"/>
      <c r="BN2" s="61"/>
      <c r="BP2" s="75" t="s">
        <v>8</v>
      </c>
      <c r="BQ2" s="61"/>
      <c r="BR2" s="76" t="s">
        <v>9</v>
      </c>
      <c r="BS2" s="61"/>
      <c r="BT2" s="61"/>
      <c r="BV2" s="72" t="s">
        <v>158</v>
      </c>
      <c r="BW2" s="73" t="s">
        <v>159</v>
      </c>
      <c r="BX2" s="72" t="s">
        <v>160</v>
      </c>
      <c r="BY2" s="71" t="s">
        <v>161</v>
      </c>
      <c r="BZ2" s="61"/>
      <c r="CA2" s="61"/>
      <c r="CB2" s="61"/>
      <c r="CC2" s="74" t="s">
        <v>162</v>
      </c>
      <c r="CD2" s="61"/>
      <c r="CE2" s="71" t="s">
        <v>163</v>
      </c>
      <c r="CF2" s="61"/>
      <c r="CG2" s="61"/>
    </row>
    <row r="3" spans="1:88" ht="30.75" customHeight="1" thickBot="1" x14ac:dyDescent="0.3">
      <c r="A3" s="63"/>
      <c r="B3" s="63"/>
      <c r="C3" s="63"/>
      <c r="D3" s="63"/>
      <c r="E3" s="63"/>
      <c r="F3" s="63"/>
      <c r="G3" s="63"/>
      <c r="I3" s="63"/>
      <c r="J3" s="59" t="s">
        <v>26</v>
      </c>
      <c r="K3" s="59" t="s">
        <v>24</v>
      </c>
      <c r="L3" s="59" t="s">
        <v>164</v>
      </c>
      <c r="M3" s="59" t="s">
        <v>165</v>
      </c>
      <c r="N3" s="63"/>
      <c r="O3" s="63"/>
      <c r="P3" s="63"/>
      <c r="Q3" s="63"/>
      <c r="R3" s="63"/>
      <c r="S3" s="58" t="s">
        <v>26</v>
      </c>
      <c r="T3" s="58" t="s">
        <v>164</v>
      </c>
      <c r="U3" s="58" t="s">
        <v>166</v>
      </c>
      <c r="V3" s="58" t="s">
        <v>25</v>
      </c>
      <c r="W3" s="59" t="s">
        <v>10</v>
      </c>
      <c r="X3" s="59" t="s">
        <v>11</v>
      </c>
      <c r="Y3" s="58" t="s">
        <v>12</v>
      </c>
      <c r="Z3" s="58" t="s">
        <v>13</v>
      </c>
      <c r="AA3" s="58" t="s">
        <v>14</v>
      </c>
      <c r="AB3" s="59" t="s">
        <v>167</v>
      </c>
      <c r="AC3" s="59" t="s">
        <v>168</v>
      </c>
      <c r="AD3" s="58" t="s">
        <v>167</v>
      </c>
      <c r="AE3" s="58" t="s">
        <v>168</v>
      </c>
      <c r="AG3" s="63"/>
      <c r="AH3" s="58" t="s">
        <v>26</v>
      </c>
      <c r="AI3" s="58" t="s">
        <v>24</v>
      </c>
      <c r="AJ3" s="58" t="s">
        <v>164</v>
      </c>
      <c r="AK3" s="58" t="s">
        <v>165</v>
      </c>
      <c r="AL3" s="63"/>
      <c r="AM3" s="63"/>
      <c r="AN3" s="63"/>
      <c r="AO3" s="63"/>
      <c r="AP3" s="63"/>
      <c r="AQ3" s="59" t="s">
        <v>26</v>
      </c>
      <c r="AR3" s="59" t="s">
        <v>164</v>
      </c>
      <c r="AS3" s="59" t="s">
        <v>166</v>
      </c>
      <c r="AT3" s="59" t="s">
        <v>25</v>
      </c>
      <c r="AU3" s="58" t="s">
        <v>10</v>
      </c>
      <c r="AV3" s="58" t="s">
        <v>11</v>
      </c>
      <c r="AW3" s="59" t="s">
        <v>12</v>
      </c>
      <c r="AX3" s="59" t="s">
        <v>13</v>
      </c>
      <c r="AY3" s="59" t="s">
        <v>14</v>
      </c>
      <c r="AZ3" s="58" t="s">
        <v>167</v>
      </c>
      <c r="BA3" s="58" t="s">
        <v>168</v>
      </c>
      <c r="BB3" s="59" t="s">
        <v>167</v>
      </c>
      <c r="BC3" s="59" t="s">
        <v>168</v>
      </c>
      <c r="BE3" s="63"/>
      <c r="BF3" s="63"/>
      <c r="BG3" s="63"/>
      <c r="BH3" s="63"/>
      <c r="BJ3" s="58" t="s">
        <v>10</v>
      </c>
      <c r="BK3" s="58" t="s">
        <v>11</v>
      </c>
      <c r="BL3" s="59" t="s">
        <v>12</v>
      </c>
      <c r="BM3" s="59" t="s">
        <v>13</v>
      </c>
      <c r="BN3" s="59" t="s">
        <v>14</v>
      </c>
      <c r="BP3" s="58" t="s">
        <v>10</v>
      </c>
      <c r="BQ3" s="58" t="s">
        <v>11</v>
      </c>
      <c r="BR3" s="59" t="s">
        <v>12</v>
      </c>
      <c r="BS3" s="59" t="s">
        <v>13</v>
      </c>
      <c r="BT3" s="59" t="s">
        <v>14</v>
      </c>
      <c r="BV3" s="63"/>
      <c r="BW3" s="63"/>
      <c r="BX3" s="63"/>
      <c r="BY3" s="57" t="s">
        <v>26</v>
      </c>
      <c r="BZ3" s="57" t="s">
        <v>164</v>
      </c>
      <c r="CA3" s="57" t="s">
        <v>166</v>
      </c>
      <c r="CB3" s="57" t="s">
        <v>25</v>
      </c>
      <c r="CC3" s="56" t="s">
        <v>10</v>
      </c>
      <c r="CD3" s="56" t="s">
        <v>11</v>
      </c>
      <c r="CE3" s="57" t="s">
        <v>12</v>
      </c>
      <c r="CF3" s="57" t="s">
        <v>13</v>
      </c>
      <c r="CG3" s="57" t="s">
        <v>14</v>
      </c>
    </row>
    <row r="4" spans="1:88" ht="122.25" hidden="1" customHeight="1" thickBot="1" x14ac:dyDescent="0.3">
      <c r="A4" s="8" t="s">
        <v>169</v>
      </c>
      <c r="B4" s="9" t="s">
        <v>170</v>
      </c>
      <c r="C4" s="8" t="s">
        <v>171</v>
      </c>
      <c r="D4" s="9" t="s">
        <v>172</v>
      </c>
      <c r="E4" s="8" t="s">
        <v>173</v>
      </c>
      <c r="F4" s="9" t="s">
        <v>174</v>
      </c>
      <c r="G4" s="8" t="s">
        <v>175</v>
      </c>
      <c r="I4" s="9" t="s">
        <v>176</v>
      </c>
      <c r="J4" s="8" t="s">
        <v>177</v>
      </c>
      <c r="K4" s="8" t="s">
        <v>178</v>
      </c>
      <c r="L4" s="8" t="s">
        <v>179</v>
      </c>
      <c r="M4" s="8" t="s">
        <v>180</v>
      </c>
      <c r="N4" s="8" t="s">
        <v>181</v>
      </c>
      <c r="O4" s="9" t="s">
        <v>182</v>
      </c>
      <c r="P4" s="8" t="s">
        <v>183</v>
      </c>
      <c r="Q4" s="9" t="s">
        <v>184</v>
      </c>
      <c r="R4" s="8" t="s">
        <v>185</v>
      </c>
      <c r="S4" s="9" t="s">
        <v>186</v>
      </c>
      <c r="T4" s="9" t="s">
        <v>187</v>
      </c>
      <c r="U4" s="9" t="s">
        <v>188</v>
      </c>
      <c r="V4" s="9" t="s">
        <v>189</v>
      </c>
      <c r="W4" s="8" t="s">
        <v>190</v>
      </c>
      <c r="X4" s="8" t="s">
        <v>191</v>
      </c>
      <c r="Y4" s="9" t="s">
        <v>192</v>
      </c>
      <c r="Z4" s="9" t="s">
        <v>193</v>
      </c>
      <c r="AA4" s="9" t="s">
        <v>194</v>
      </c>
      <c r="AB4" s="8" t="s">
        <v>195</v>
      </c>
      <c r="AC4" s="8" t="s">
        <v>196</v>
      </c>
      <c r="AD4" s="9" t="s">
        <v>197</v>
      </c>
      <c r="AE4" s="9" t="s">
        <v>198</v>
      </c>
      <c r="AG4" s="8" t="s">
        <v>199</v>
      </c>
      <c r="AH4" s="9" t="s">
        <v>200</v>
      </c>
      <c r="AI4" s="9" t="s">
        <v>201</v>
      </c>
      <c r="AJ4" s="9" t="s">
        <v>202</v>
      </c>
      <c r="AK4" s="9" t="s">
        <v>203</v>
      </c>
      <c r="AL4" s="9" t="s">
        <v>204</v>
      </c>
      <c r="AM4" s="8" t="s">
        <v>205</v>
      </c>
      <c r="AN4" s="9" t="s">
        <v>206</v>
      </c>
      <c r="AO4" s="8" t="s">
        <v>207</v>
      </c>
      <c r="AP4" s="9" t="s">
        <v>208</v>
      </c>
      <c r="AQ4" s="8" t="s">
        <v>209</v>
      </c>
      <c r="AR4" s="8" t="s">
        <v>210</v>
      </c>
      <c r="AS4" s="8" t="s">
        <v>211</v>
      </c>
      <c r="AT4" s="8" t="s">
        <v>212</v>
      </c>
      <c r="AU4" s="9" t="s">
        <v>213</v>
      </c>
      <c r="AV4" s="9" t="s">
        <v>214</v>
      </c>
      <c r="AW4" s="8" t="s">
        <v>215</v>
      </c>
      <c r="AX4" s="8" t="s">
        <v>216</v>
      </c>
      <c r="AY4" s="8" t="s">
        <v>217</v>
      </c>
      <c r="AZ4" s="9" t="s">
        <v>218</v>
      </c>
      <c r="BA4" s="9" t="s">
        <v>219</v>
      </c>
      <c r="BB4" s="8" t="s">
        <v>220</v>
      </c>
      <c r="BC4" s="8" t="s">
        <v>221</v>
      </c>
      <c r="BE4" s="9" t="s">
        <v>222</v>
      </c>
      <c r="BF4" s="8" t="s">
        <v>223</v>
      </c>
      <c r="BG4" s="9" t="s">
        <v>224</v>
      </c>
      <c r="BH4" s="8" t="s">
        <v>225</v>
      </c>
      <c r="BJ4" s="9" t="s">
        <v>226</v>
      </c>
      <c r="BK4" s="9" t="s">
        <v>227</v>
      </c>
      <c r="BL4" s="8" t="s">
        <v>228</v>
      </c>
      <c r="BM4" s="8" t="s">
        <v>229</v>
      </c>
      <c r="BN4" s="8" t="s">
        <v>230</v>
      </c>
      <c r="BP4" s="9" t="s">
        <v>231</v>
      </c>
      <c r="BQ4" s="9" t="s">
        <v>232</v>
      </c>
      <c r="BR4" s="8" t="s">
        <v>233</v>
      </c>
      <c r="BS4" s="8" t="s">
        <v>234</v>
      </c>
      <c r="BT4" s="8" t="s">
        <v>235</v>
      </c>
    </row>
    <row r="5" spans="1:88" collapsed="1" x14ac:dyDescent="0.25">
      <c r="A5" s="10" t="s">
        <v>236</v>
      </c>
      <c r="B5" s="10" t="s">
        <v>50</v>
      </c>
      <c r="C5" s="11" t="s">
        <v>237</v>
      </c>
      <c r="D5" s="10">
        <v>24964341</v>
      </c>
      <c r="E5" s="11">
        <v>10</v>
      </c>
      <c r="F5" s="11">
        <v>32</v>
      </c>
      <c r="G5" s="11">
        <v>30</v>
      </c>
      <c r="I5" s="12">
        <f t="shared" ref="I5:I39" si="0">IF(OR(ISBLANK(S5),ISBLANK(G5)),"·",S5*G5/F5/1000000)</f>
        <v>2.1858974999999998</v>
      </c>
      <c r="J5" s="13">
        <f t="shared" ref="J5:J39" si="1">IF(ISBLANK(S5),"·",S5/D5)</f>
        <v>9.3398179427207795E-2</v>
      </c>
      <c r="K5" s="13">
        <f t="shared" ref="K5:K39" si="2">IF(N5="","·",N5/D5)</f>
        <v>5.9250592675368439E-2</v>
      </c>
      <c r="L5" s="13">
        <f t="shared" ref="L5:L39" si="3">IF(T5="","·",T5/D5)</f>
        <v>3.3647673695852816E-2</v>
      </c>
      <c r="M5" s="13">
        <f t="shared" ref="M5:M39" si="4">IF(ISBLANK(V5),"·",V5/D5)</f>
        <v>3.4147586751839355E-2</v>
      </c>
      <c r="N5" s="10">
        <f t="shared" ref="N5:N39" si="5">IF(OR(ISBLANK(T5),ISBLANK(U5)),"",T5+U5)</f>
        <v>1479152</v>
      </c>
      <c r="O5" s="13">
        <f t="shared" ref="O5:O39" si="6">IF(ISBLANK(S5),"·",S5/P5)</f>
        <v>0.10702475126158786</v>
      </c>
      <c r="P5" s="14">
        <v>21785839</v>
      </c>
      <c r="Q5" s="14">
        <v>680807.46875</v>
      </c>
      <c r="R5" s="14">
        <v>13493.8125</v>
      </c>
      <c r="S5" s="15">
        <v>2331624</v>
      </c>
      <c r="T5" s="15">
        <v>839992</v>
      </c>
      <c r="U5" s="15">
        <v>639160</v>
      </c>
      <c r="V5" s="15">
        <v>852472</v>
      </c>
      <c r="W5" s="16">
        <v>66.354628000000005</v>
      </c>
      <c r="X5" s="16">
        <v>68.478525000000005</v>
      </c>
      <c r="Y5" s="16">
        <v>32.109447000000003</v>
      </c>
      <c r="Z5" s="16">
        <v>44.148172000000002</v>
      </c>
      <c r="AA5" s="16">
        <v>43.839812000000002</v>
      </c>
      <c r="AB5" s="17">
        <v>5419.94</v>
      </c>
      <c r="AC5" s="17">
        <v>1126.72</v>
      </c>
      <c r="AD5" s="17">
        <v>10.15</v>
      </c>
      <c r="AE5" s="17">
        <v>19.41</v>
      </c>
      <c r="AG5" s="12">
        <f t="shared" ref="AG5:AG39" si="7">IF(OR(ISBLANK(AQ5),ISBLANK(G5)),"·",AQ5*G5/F5/1000000)</f>
        <v>2.1858974999999998</v>
      </c>
      <c r="AH5" s="13">
        <f t="shared" ref="AH5:AH39" si="8">IF(ISBLANK(AQ5),"·",AQ5/D5)</f>
        <v>9.3398179427207795E-2</v>
      </c>
      <c r="AI5" s="13">
        <f t="shared" ref="AI5:AI39" si="9">IF(AL5="","·",AL5/D5)</f>
        <v>5.9250592675368439E-2</v>
      </c>
      <c r="AJ5" s="13">
        <f t="shared" ref="AJ5:AJ39" si="10">IF(AR5="","·",AR5/D5)</f>
        <v>3.3647673695852816E-2</v>
      </c>
      <c r="AK5" s="13">
        <f t="shared" ref="AK5:AK39" si="11">IF(ISBLANK(AT5),"·",AT5/D5)</f>
        <v>3.4147586751839355E-2</v>
      </c>
      <c r="AL5" s="10">
        <f t="shared" ref="AL5:AL39" si="12">IF(OR(ISBLANK(AR5),ISBLANK(AS5)),"",AR5+AS5)</f>
        <v>1479152</v>
      </c>
      <c r="AM5" s="13">
        <f t="shared" ref="AM5:AM39" si="13">IF(ISBLANK(AQ5),"·",AQ5/AN5)</f>
        <v>0.10702475126158786</v>
      </c>
      <c r="AN5" s="14">
        <v>21785839</v>
      </c>
      <c r="AO5" s="14">
        <v>680807.46875</v>
      </c>
      <c r="AP5" s="14">
        <v>13493.8125</v>
      </c>
      <c r="AQ5" s="15">
        <v>2331624</v>
      </c>
      <c r="AR5" s="15">
        <v>839992</v>
      </c>
      <c r="AS5" s="15">
        <v>639160</v>
      </c>
      <c r="AT5" s="15">
        <v>852472</v>
      </c>
      <c r="AU5" s="16">
        <v>66.354628124999991</v>
      </c>
      <c r="AV5" s="16">
        <v>68.478524999999991</v>
      </c>
      <c r="AW5" s="16">
        <v>32.10944687500001</v>
      </c>
      <c r="AX5" s="16">
        <v>44.148171875000003</v>
      </c>
      <c r="AY5" s="16">
        <v>43.839812500000001</v>
      </c>
      <c r="AZ5" s="17">
        <v>3193.65</v>
      </c>
      <c r="BA5" s="17">
        <v>1508.69</v>
      </c>
      <c r="BB5" s="17">
        <v>11.747999999999999</v>
      </c>
      <c r="BC5" s="17">
        <v>7.2479999999999993</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3.157394923292145E-8</v>
      </c>
      <c r="BK5" s="18">
        <f>IF( OR(ISBLANK(N5:N9),ISBLANK(AL5:AL9), ISBLANK(X5:X9),ISBLANK(AV5:AV9)), "·", bdRateExtend( N5:N9,X5:X9, AL5:AL9,AV5:AV9))</f>
        <v>-2.4944683429950487E-8</v>
      </c>
      <c r="BL5" s="18">
        <f>IF( OR(ISBLANK(V5:V9),ISBLANK(AT5:AT9), ISBLANK(Y5:Y9),ISBLANK(AW5:AW9)), "·", bdRateExtend( V5:V9,Y5:Y9, AT5:AT9,AW5:AW9))</f>
        <v>-6.5582629216187627E-8</v>
      </c>
      <c r="BM5" s="18">
        <f>IF( OR(ISBLANK(V5:V9),ISBLANK(AT5:AT9), ISBLANK(Z5:Z9),ISBLANK(AX5:AX9)), "·", bdRateExtend( V5:V9,Z5:Z9, AT5:AT9,AX5:AX9))</f>
        <v>1.0299816510794813E-7</v>
      </c>
      <c r="BN5" s="18">
        <f>IF( OR(ISBLANK(V5:V9),ISBLANK(AT5:AT9), ISBLANK(AA5:AA9),ISBLANK(AY5:AY9)), "·", bdRateExtend( V5:V9,AA5:AA9, AT5:AT9,AY5:AY9))</f>
        <v>-9.1407973412671595E-9</v>
      </c>
      <c r="BP5" s="18">
        <f>IF( OR(ISBLANK(S5:S9),ISBLANK(AQ5:AQ9), ISBLANK(W5:W9),ISBLANK(AU5:AU9)), "·", bdRateExtend( S5:S9,W5:W9, AQ5:AQ9,AU5:AU9))</f>
        <v>3.667783543548353E-8</v>
      </c>
      <c r="BQ5" s="18">
        <f>IF( OR(ISBLANK(S5:S9),ISBLANK(AQ5:AQ9), ISBLANK(X5:X9),ISBLANK(AV5:AV9)), "·", bdRateExtend( S5:S9,X5:X9, AQ5:AQ9,AV5:AV9))</f>
        <v>-5.5173770108218889E-8</v>
      </c>
      <c r="BR5" s="18">
        <f>IF( OR(ISBLANK(S5:S9),ISBLANK(AQ5:AQ9), ISBLANK(Y5:Y9),ISBLANK(AW5:AW9)), "·", bdRateExtend( S5:S9,Y5:Y9, AQ5:AQ9,AW5:AW9))</f>
        <v>-4.9427464787754616E-8</v>
      </c>
      <c r="BS5" s="18">
        <f>IF( OR(ISBLANK(S5:S9),ISBLANK(AQ5:AQ9), ISBLANK(Z5:Z9),ISBLANK(AX5:AX9)), "·", bdRateExtend( S5:S9,Z5:Z9, AQ5:AQ9,AX5:AX9))</f>
        <v>7.3318910942532511E-8</v>
      </c>
      <c r="BT5" s="18">
        <f>IF( OR(ISBLANK(S5:S9),ISBLANK(AQ5:AQ9), ISBLANK(AA5:AA9),ISBLANK(AY5:AY9)), "·", bdRateExtend( S5:S9,AA5:AA9, AQ5:AQ9,AY5:AY9))</f>
        <v>-7.9409440134625697E-9</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1.2499998547355062E-7</v>
      </c>
      <c r="CD5">
        <f t="shared" ref="CD5:CD39" si="25">AV5-X5</f>
        <v>0</v>
      </c>
      <c r="CE5">
        <f t="shared" ref="CE5:CE39" si="26">AW5-Y5</f>
        <v>-1.2499999257897798E-7</v>
      </c>
      <c r="CF5">
        <f t="shared" ref="CF5:CF39" si="27">AX5-Z5</f>
        <v>-1.2499999968440534E-7</v>
      </c>
      <c r="CG5">
        <f t="shared" ref="CG5:CG39" si="28">AY5-AA5</f>
        <v>4.9999999873762135E-7</v>
      </c>
      <c r="CJ5" t="s">
        <v>238</v>
      </c>
    </row>
    <row r="6" spans="1:88" hidden="1" outlineLevel="1" x14ac:dyDescent="0.25">
      <c r="A6" s="20"/>
      <c r="B6" s="20" t="s">
        <v>50</v>
      </c>
      <c r="C6" s="21" t="s">
        <v>239</v>
      </c>
      <c r="D6" s="20">
        <v>24964341</v>
      </c>
      <c r="E6" s="21">
        <v>10</v>
      </c>
      <c r="F6" s="21">
        <v>32</v>
      </c>
      <c r="G6" s="21">
        <v>30</v>
      </c>
      <c r="I6" s="22">
        <f t="shared" si="0"/>
        <v>3.4072650000000002</v>
      </c>
      <c r="J6" s="23">
        <f t="shared" si="1"/>
        <v>0.1455842956158947</v>
      </c>
      <c r="K6" s="23">
        <f t="shared" si="2"/>
        <v>7.2264354985376936E-2</v>
      </c>
      <c r="L6" s="23">
        <f t="shared" si="3"/>
        <v>4.6661436005861319E-2</v>
      </c>
      <c r="M6" s="23">
        <f t="shared" si="4"/>
        <v>7.3319940630517749E-2</v>
      </c>
      <c r="N6" s="20">
        <f t="shared" si="5"/>
        <v>1804032</v>
      </c>
      <c r="O6" s="23">
        <f t="shared" si="6"/>
        <v>0.15023237883723528</v>
      </c>
      <c r="P6" s="24">
        <v>24191962</v>
      </c>
      <c r="Q6" s="24">
        <v>755998.8125</v>
      </c>
      <c r="R6" s="24">
        <v>19085.96875</v>
      </c>
      <c r="S6" s="25">
        <v>3634416</v>
      </c>
      <c r="T6" s="25">
        <v>1164872</v>
      </c>
      <c r="U6" s="25">
        <v>639160</v>
      </c>
      <c r="V6" s="25">
        <v>1830384</v>
      </c>
      <c r="W6" s="26">
        <v>68.255977999999999</v>
      </c>
      <c r="X6" s="26">
        <v>70.438458999999995</v>
      </c>
      <c r="Y6" s="26">
        <v>34.365983999999997</v>
      </c>
      <c r="Z6" s="26">
        <v>45.499918999999998</v>
      </c>
      <c r="AA6" s="26">
        <v>45.231668999999997</v>
      </c>
      <c r="AB6" s="27">
        <v>5062.07</v>
      </c>
      <c r="AC6" s="27">
        <v>1144.47</v>
      </c>
      <c r="AD6" s="27">
        <v>11.407</v>
      </c>
      <c r="AE6" s="27">
        <v>21.663</v>
      </c>
      <c r="AG6" s="22">
        <f t="shared" si="7"/>
        <v>3.4072650000000002</v>
      </c>
      <c r="AH6" s="23">
        <f t="shared" si="8"/>
        <v>0.1455842956158947</v>
      </c>
      <c r="AI6" s="23">
        <f t="shared" si="9"/>
        <v>7.2264354985376936E-2</v>
      </c>
      <c r="AJ6" s="23">
        <f t="shared" si="10"/>
        <v>4.6661436005861319E-2</v>
      </c>
      <c r="AK6" s="23">
        <f t="shared" si="11"/>
        <v>7.3319940630517749E-2</v>
      </c>
      <c r="AL6" s="20">
        <f t="shared" si="12"/>
        <v>1804032</v>
      </c>
      <c r="AM6" s="23">
        <f t="shared" si="13"/>
        <v>0.15023237883723528</v>
      </c>
      <c r="AN6" s="24">
        <v>24191962</v>
      </c>
      <c r="AO6" s="24">
        <v>755998.8125</v>
      </c>
      <c r="AP6" s="24">
        <v>19085.96875</v>
      </c>
      <c r="AQ6" s="25">
        <v>3634416</v>
      </c>
      <c r="AR6" s="25">
        <v>1164872</v>
      </c>
      <c r="AS6" s="25">
        <v>639160</v>
      </c>
      <c r="AT6" s="25">
        <v>1830384</v>
      </c>
      <c r="AU6" s="26">
        <v>68.255978124999999</v>
      </c>
      <c r="AV6" s="26">
        <v>70.438459375000022</v>
      </c>
      <c r="AW6" s="26">
        <v>34.365984374999996</v>
      </c>
      <c r="AX6" s="26">
        <v>45.499918749999992</v>
      </c>
      <c r="AY6" s="26">
        <v>45.231668749999997</v>
      </c>
      <c r="AZ6" s="27">
        <v>3519.44</v>
      </c>
      <c r="BA6" s="27">
        <v>1469.87</v>
      </c>
      <c r="BB6" s="27">
        <v>12.52</v>
      </c>
      <c r="BC6" s="27">
        <v>8.66</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1.2499999968440534E-7</v>
      </c>
      <c r="CD6">
        <f t="shared" si="25"/>
        <v>3.7500002747492545E-7</v>
      </c>
      <c r="CE6">
        <f t="shared" si="26"/>
        <v>3.7499999905321602E-7</v>
      </c>
      <c r="CF6">
        <f t="shared" si="27"/>
        <v>-2.5000000647423803E-7</v>
      </c>
      <c r="CG6">
        <f t="shared" si="28"/>
        <v>-2.4999999936881068E-7</v>
      </c>
      <c r="CJ6" t="s">
        <v>238</v>
      </c>
    </row>
    <row r="7" spans="1:88" hidden="1" outlineLevel="1" x14ac:dyDescent="0.25">
      <c r="A7" s="10"/>
      <c r="B7" s="10" t="s">
        <v>50</v>
      </c>
      <c r="C7" s="11" t="s">
        <v>240</v>
      </c>
      <c r="D7" s="10">
        <v>24964341</v>
      </c>
      <c r="E7" s="11">
        <v>10</v>
      </c>
      <c r="F7" s="11">
        <v>32</v>
      </c>
      <c r="G7" s="11">
        <v>30</v>
      </c>
      <c r="I7" s="12">
        <f t="shared" si="0"/>
        <v>5.5887525</v>
      </c>
      <c r="J7" s="13">
        <f t="shared" si="1"/>
        <v>0.23879404627584602</v>
      </c>
      <c r="K7" s="13">
        <f t="shared" si="2"/>
        <v>9.0840611414497188E-2</v>
      </c>
      <c r="L7" s="13">
        <f t="shared" si="3"/>
        <v>6.5237692434981565E-2</v>
      </c>
      <c r="M7" s="13">
        <f t="shared" si="4"/>
        <v>0.14795343486134882</v>
      </c>
      <c r="N7" s="10">
        <f t="shared" si="5"/>
        <v>2267776</v>
      </c>
      <c r="O7" s="13">
        <f t="shared" si="6"/>
        <v>0.24029684359407383</v>
      </c>
      <c r="P7" s="14">
        <v>24808216</v>
      </c>
      <c r="Q7" s="14">
        <v>775256.75</v>
      </c>
      <c r="R7" s="14">
        <v>20954.78125</v>
      </c>
      <c r="S7" s="15">
        <v>5961336</v>
      </c>
      <c r="T7" s="15">
        <v>1628616</v>
      </c>
      <c r="U7" s="15">
        <v>639160</v>
      </c>
      <c r="V7" s="15">
        <v>3693560</v>
      </c>
      <c r="W7" s="16">
        <v>69.683724999999995</v>
      </c>
      <c r="X7" s="16">
        <v>72.129402999999996</v>
      </c>
      <c r="Y7" s="16">
        <v>36.915784000000002</v>
      </c>
      <c r="Z7" s="16">
        <v>46.579394000000001</v>
      </c>
      <c r="AA7" s="16">
        <v>46.454928000000002</v>
      </c>
      <c r="AB7" s="17">
        <v>5511.04</v>
      </c>
      <c r="AC7" s="17">
        <v>1208.54</v>
      </c>
      <c r="AD7" s="17">
        <v>10.696999999999999</v>
      </c>
      <c r="AE7" s="17">
        <v>20.788</v>
      </c>
      <c r="AG7" s="12">
        <f t="shared" si="7"/>
        <v>5.5887525</v>
      </c>
      <c r="AH7" s="13">
        <f t="shared" si="8"/>
        <v>0.23879404627584602</v>
      </c>
      <c r="AI7" s="13">
        <f t="shared" si="9"/>
        <v>9.0840611414497188E-2</v>
      </c>
      <c r="AJ7" s="13">
        <f t="shared" si="10"/>
        <v>6.5237692434981565E-2</v>
      </c>
      <c r="AK7" s="13">
        <f t="shared" si="11"/>
        <v>0.14795343486134882</v>
      </c>
      <c r="AL7" s="10">
        <f t="shared" si="12"/>
        <v>2267776</v>
      </c>
      <c r="AM7" s="13">
        <f t="shared" si="13"/>
        <v>0.24029684359407383</v>
      </c>
      <c r="AN7" s="14">
        <v>24808216</v>
      </c>
      <c r="AO7" s="14">
        <v>775256.75</v>
      </c>
      <c r="AP7" s="14">
        <v>20954.78125</v>
      </c>
      <c r="AQ7" s="15">
        <v>5961336</v>
      </c>
      <c r="AR7" s="15">
        <v>1628616</v>
      </c>
      <c r="AS7" s="15">
        <v>639160</v>
      </c>
      <c r="AT7" s="15">
        <v>3693560</v>
      </c>
      <c r="AU7" s="16">
        <v>69.683724999999995</v>
      </c>
      <c r="AV7" s="16">
        <v>72.129403124999982</v>
      </c>
      <c r="AW7" s="16">
        <v>36.915784375000001</v>
      </c>
      <c r="AX7" s="16">
        <v>46.579393750000023</v>
      </c>
      <c r="AY7" s="16">
        <v>46.454928125000002</v>
      </c>
      <c r="AZ7" s="17">
        <v>3266.2</v>
      </c>
      <c r="BA7" s="17">
        <v>1397.37</v>
      </c>
      <c r="BB7" s="17">
        <v>13</v>
      </c>
      <c r="BC7" s="17">
        <v>10.263999999999999</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1.2499998547355062E-7</v>
      </c>
      <c r="CE7">
        <f t="shared" si="26"/>
        <v>3.7499999905321602E-7</v>
      </c>
      <c r="CF7">
        <f t="shared" si="27"/>
        <v>-2.499999780525286E-7</v>
      </c>
      <c r="CG7">
        <f t="shared" si="28"/>
        <v>1.2499999968440534E-7</v>
      </c>
      <c r="CJ7" t="s">
        <v>238</v>
      </c>
    </row>
    <row r="8" spans="1:88" hidden="1" outlineLevel="1" x14ac:dyDescent="0.25">
      <c r="A8" s="20"/>
      <c r="B8" s="20" t="s">
        <v>50</v>
      </c>
      <c r="C8" s="21" t="s">
        <v>241</v>
      </c>
      <c r="D8" s="20">
        <v>24964341</v>
      </c>
      <c r="E8" s="21">
        <v>10</v>
      </c>
      <c r="F8" s="21">
        <v>32</v>
      </c>
      <c r="G8" s="21">
        <v>30</v>
      </c>
      <c r="I8" s="22">
        <f t="shared" si="0"/>
        <v>9.4696274999999996</v>
      </c>
      <c r="J8" s="23">
        <f t="shared" si="1"/>
        <v>0.40461456603240598</v>
      </c>
      <c r="K8" s="23">
        <f t="shared" si="2"/>
        <v>0.12195859686422325</v>
      </c>
      <c r="L8" s="23">
        <f t="shared" si="3"/>
        <v>9.6355677884707627E-2</v>
      </c>
      <c r="M8" s="23">
        <f t="shared" si="4"/>
        <v>0.28265596916818275</v>
      </c>
      <c r="N8" s="20">
        <f t="shared" si="5"/>
        <v>3044616</v>
      </c>
      <c r="O8" s="23">
        <f t="shared" si="6"/>
        <v>0.39154239803853108</v>
      </c>
      <c r="P8" s="24">
        <v>25797809</v>
      </c>
      <c r="Q8" s="24">
        <v>806181.53125</v>
      </c>
      <c r="R8" s="24">
        <v>24199.8125</v>
      </c>
      <c r="S8" s="25">
        <v>10100936</v>
      </c>
      <c r="T8" s="25">
        <v>2405456</v>
      </c>
      <c r="U8" s="25">
        <v>639160</v>
      </c>
      <c r="V8" s="25">
        <v>7056320</v>
      </c>
      <c r="W8" s="26">
        <v>70.836841000000007</v>
      </c>
      <c r="X8" s="26">
        <v>73.406981000000002</v>
      </c>
      <c r="Y8" s="26">
        <v>39.549353000000004</v>
      </c>
      <c r="Z8" s="26">
        <v>47.886119000000001</v>
      </c>
      <c r="AA8" s="26">
        <v>47.95035</v>
      </c>
      <c r="AB8" s="27">
        <v>3273.7</v>
      </c>
      <c r="AC8" s="27">
        <v>969.30700000000002</v>
      </c>
      <c r="AD8" s="27">
        <v>9.0039999999999996</v>
      </c>
      <c r="AE8" s="27">
        <v>14.566000000000001</v>
      </c>
      <c r="AG8" s="22">
        <f t="shared" si="7"/>
        <v>9.4696274999999996</v>
      </c>
      <c r="AH8" s="23">
        <f t="shared" si="8"/>
        <v>0.40461456603240598</v>
      </c>
      <c r="AI8" s="23">
        <f t="shared" si="9"/>
        <v>0.12195859686422325</v>
      </c>
      <c r="AJ8" s="23">
        <f t="shared" si="10"/>
        <v>9.6355677884707627E-2</v>
      </c>
      <c r="AK8" s="23">
        <f t="shared" si="11"/>
        <v>0.28265596916818275</v>
      </c>
      <c r="AL8" s="20">
        <f t="shared" si="12"/>
        <v>3044616</v>
      </c>
      <c r="AM8" s="23">
        <f t="shared" si="13"/>
        <v>0.39154239803853108</v>
      </c>
      <c r="AN8" s="24">
        <v>25797809</v>
      </c>
      <c r="AO8" s="24">
        <v>806181.53125</v>
      </c>
      <c r="AP8" s="24">
        <v>24199.8125</v>
      </c>
      <c r="AQ8" s="25">
        <v>10100936</v>
      </c>
      <c r="AR8" s="25">
        <v>2405456</v>
      </c>
      <c r="AS8" s="25">
        <v>639160</v>
      </c>
      <c r="AT8" s="25">
        <v>7056320</v>
      </c>
      <c r="AU8" s="26">
        <v>70.836840624999994</v>
      </c>
      <c r="AV8" s="26">
        <v>73.406981250000001</v>
      </c>
      <c r="AW8" s="26">
        <v>39.549353125000003</v>
      </c>
      <c r="AX8" s="26">
        <v>47.886118750000001</v>
      </c>
      <c r="AY8" s="26">
        <v>47.950350000000007</v>
      </c>
      <c r="AZ8" s="27">
        <v>3622.82</v>
      </c>
      <c r="BA8" s="27">
        <v>1637.34</v>
      </c>
      <c r="BB8" s="27">
        <v>12.996</v>
      </c>
      <c r="BC8" s="27">
        <v>11.112</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-3.7500001326407073E-7</v>
      </c>
      <c r="CD8">
        <f t="shared" si="25"/>
        <v>2.4999999936881068E-7</v>
      </c>
      <c r="CE8">
        <f t="shared" si="26"/>
        <v>1.2499999968440534E-7</v>
      </c>
      <c r="CF8">
        <f t="shared" si="27"/>
        <v>-2.4999999936881068E-7</v>
      </c>
      <c r="CG8">
        <f t="shared" si="28"/>
        <v>0</v>
      </c>
      <c r="CJ8" t="s">
        <v>238</v>
      </c>
    </row>
    <row r="9" spans="1:88" ht="15.75" hidden="1" customHeight="1" outlineLevel="1" thickBot="1" x14ac:dyDescent="0.3">
      <c r="A9" s="10"/>
      <c r="B9" s="30" t="s">
        <v>50</v>
      </c>
      <c r="C9" s="31" t="s">
        <v>242</v>
      </c>
      <c r="D9" s="30">
        <v>24964341</v>
      </c>
      <c r="E9" s="31">
        <v>10</v>
      </c>
      <c r="F9" s="31">
        <v>32</v>
      </c>
      <c r="G9" s="31">
        <v>30</v>
      </c>
      <c r="I9" s="32">
        <f t="shared" si="0"/>
        <v>16.897575</v>
      </c>
      <c r="J9" s="33">
        <f t="shared" si="1"/>
        <v>0.72199302196681259</v>
      </c>
      <c r="K9" s="33">
        <f t="shared" si="2"/>
        <v>0.19737016090270518</v>
      </c>
      <c r="L9" s="33">
        <f t="shared" si="3"/>
        <v>0.14831747411237492</v>
      </c>
      <c r="M9" s="33">
        <f t="shared" si="4"/>
        <v>0.52462286106410738</v>
      </c>
      <c r="N9" s="30">
        <f t="shared" si="5"/>
        <v>4927216</v>
      </c>
      <c r="O9" s="33">
        <f t="shared" si="6"/>
        <v>0.72477875426510341</v>
      </c>
      <c r="P9" s="34">
        <v>24868389</v>
      </c>
      <c r="Q9" s="34">
        <v>777137.15625</v>
      </c>
      <c r="R9" s="34">
        <v>10635.96875</v>
      </c>
      <c r="S9" s="35">
        <v>18024080</v>
      </c>
      <c r="T9" s="35">
        <v>3702648</v>
      </c>
      <c r="U9" s="35">
        <v>1224568</v>
      </c>
      <c r="V9" s="35">
        <v>13096864</v>
      </c>
      <c r="W9" s="36">
        <v>71.945244000000002</v>
      </c>
      <c r="X9" s="36">
        <v>75.319241000000005</v>
      </c>
      <c r="Y9" s="36">
        <v>42.149681000000001</v>
      </c>
      <c r="Z9" s="36">
        <v>49.421931000000001</v>
      </c>
      <c r="AA9" s="36">
        <v>49.547406000000002</v>
      </c>
      <c r="AB9" s="37">
        <v>6835.53</v>
      </c>
      <c r="AC9" s="37">
        <v>1428.55</v>
      </c>
      <c r="AD9" s="37">
        <v>10.691000000000001</v>
      </c>
      <c r="AE9" s="37">
        <v>22.797999999999998</v>
      </c>
      <c r="AG9" s="32">
        <f t="shared" si="7"/>
        <v>16.897575</v>
      </c>
      <c r="AH9" s="33">
        <f t="shared" si="8"/>
        <v>0.72199302196681259</v>
      </c>
      <c r="AI9" s="33">
        <f t="shared" si="9"/>
        <v>0.19737016090270518</v>
      </c>
      <c r="AJ9" s="33">
        <f t="shared" si="10"/>
        <v>0.14831747411237492</v>
      </c>
      <c r="AK9" s="33">
        <f t="shared" si="11"/>
        <v>0.52462286106410738</v>
      </c>
      <c r="AL9" s="30">
        <f t="shared" si="12"/>
        <v>4927216</v>
      </c>
      <c r="AM9" s="33">
        <f t="shared" si="13"/>
        <v>0.72477875426510341</v>
      </c>
      <c r="AN9" s="34">
        <v>24868389</v>
      </c>
      <c r="AO9" s="34">
        <v>777137.15625</v>
      </c>
      <c r="AP9" s="34">
        <v>10635.96875</v>
      </c>
      <c r="AQ9" s="35">
        <v>18024080</v>
      </c>
      <c r="AR9" s="35">
        <v>3702648</v>
      </c>
      <c r="AS9" s="35">
        <v>1224568</v>
      </c>
      <c r="AT9" s="35">
        <v>13096864</v>
      </c>
      <c r="AU9" s="36">
        <v>71.945243750000003</v>
      </c>
      <c r="AV9" s="36">
        <v>75.319240624999978</v>
      </c>
      <c r="AW9" s="36">
        <v>42.149681250000008</v>
      </c>
      <c r="AX9" s="36">
        <v>49.421931249999993</v>
      </c>
      <c r="AY9" s="36">
        <v>49.547406250000009</v>
      </c>
      <c r="AZ9" s="37">
        <v>3577.57</v>
      </c>
      <c r="BA9" s="37">
        <v>1806.07</v>
      </c>
      <c r="BB9" s="37">
        <v>12.76</v>
      </c>
      <c r="BC9" s="37">
        <v>12.936</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-2.4999999936881068E-7</v>
      </c>
      <c r="CD9">
        <f t="shared" si="25"/>
        <v>-3.7500002747492545E-7</v>
      </c>
      <c r="CE9">
        <f t="shared" si="26"/>
        <v>2.5000000647423803E-7</v>
      </c>
      <c r="CF9">
        <f t="shared" si="27"/>
        <v>2.4999999226338332E-7</v>
      </c>
      <c r="CG9">
        <f t="shared" si="28"/>
        <v>2.5000000647423803E-7</v>
      </c>
      <c r="CJ9" t="s">
        <v>238</v>
      </c>
    </row>
    <row r="10" spans="1:88" collapsed="1" x14ac:dyDescent="0.25">
      <c r="A10" s="20"/>
      <c r="B10" s="20" t="s">
        <v>58</v>
      </c>
      <c r="C10" s="21" t="s">
        <v>237</v>
      </c>
      <c r="D10" s="20">
        <v>22654789</v>
      </c>
      <c r="E10" s="21">
        <v>10</v>
      </c>
      <c r="F10" s="21">
        <v>32</v>
      </c>
      <c r="G10" s="21">
        <v>30</v>
      </c>
      <c r="I10" s="22">
        <f t="shared" si="0"/>
        <v>3.2135775</v>
      </c>
      <c r="J10" s="23">
        <f t="shared" si="1"/>
        <v>0.15130646328244329</v>
      </c>
      <c r="K10" s="23">
        <f t="shared" si="2"/>
        <v>7.8811415988027961E-2</v>
      </c>
      <c r="L10" s="23">
        <f t="shared" si="3"/>
        <v>4.1214067365624107E-2</v>
      </c>
      <c r="M10" s="23">
        <f t="shared" si="4"/>
        <v>7.2495047294415318E-2</v>
      </c>
      <c r="N10" s="20">
        <f t="shared" si="5"/>
        <v>1785456</v>
      </c>
      <c r="O10" s="23">
        <f t="shared" si="6"/>
        <v>0.16585962209943586</v>
      </c>
      <c r="P10" s="24">
        <v>20666971</v>
      </c>
      <c r="Q10" s="24">
        <v>645842.84375</v>
      </c>
      <c r="R10" s="24">
        <v>18163.46875</v>
      </c>
      <c r="S10" s="25">
        <v>3427816</v>
      </c>
      <c r="T10" s="25">
        <v>933696</v>
      </c>
      <c r="U10" s="25">
        <v>851760</v>
      </c>
      <c r="V10" s="25">
        <v>1642360</v>
      </c>
      <c r="W10" s="26">
        <v>65.904411999999994</v>
      </c>
      <c r="X10" s="26">
        <v>67.822759000000005</v>
      </c>
      <c r="Y10" s="26">
        <v>32.384371999999999</v>
      </c>
      <c r="Z10" s="26">
        <v>39.164465999999997</v>
      </c>
      <c r="AA10" s="26">
        <v>32.081006000000002</v>
      </c>
      <c r="AB10" s="27">
        <v>6642.77</v>
      </c>
      <c r="AC10" s="27">
        <v>1161.08</v>
      </c>
      <c r="AD10" s="27">
        <v>9.4369999999999994</v>
      </c>
      <c r="AE10" s="27">
        <v>21.201000000000001</v>
      </c>
      <c r="AG10" s="22">
        <f t="shared" si="7"/>
        <v>3.2135775</v>
      </c>
      <c r="AH10" s="23">
        <f t="shared" si="8"/>
        <v>0.15130646328244329</v>
      </c>
      <c r="AI10" s="23">
        <f t="shared" si="9"/>
        <v>7.8811415988027961E-2</v>
      </c>
      <c r="AJ10" s="23">
        <f t="shared" si="10"/>
        <v>4.1214067365624107E-2</v>
      </c>
      <c r="AK10" s="23">
        <f t="shared" si="11"/>
        <v>7.2495047294415318E-2</v>
      </c>
      <c r="AL10" s="20">
        <f t="shared" si="12"/>
        <v>1785456</v>
      </c>
      <c r="AM10" s="23">
        <f t="shared" si="13"/>
        <v>0.16585962209943586</v>
      </c>
      <c r="AN10" s="24">
        <v>20666971</v>
      </c>
      <c r="AO10" s="24">
        <v>645842.84375</v>
      </c>
      <c r="AP10" s="24">
        <v>18163.46875</v>
      </c>
      <c r="AQ10" s="25">
        <v>3427816</v>
      </c>
      <c r="AR10" s="25">
        <v>933696</v>
      </c>
      <c r="AS10" s="25">
        <v>851760</v>
      </c>
      <c r="AT10" s="25">
        <v>1642360</v>
      </c>
      <c r="AU10" s="26">
        <v>65.904412499999992</v>
      </c>
      <c r="AV10" s="26">
        <v>67.82275937499999</v>
      </c>
      <c r="AW10" s="26">
        <v>32.384371874999992</v>
      </c>
      <c r="AX10" s="26">
        <v>39.164465624999991</v>
      </c>
      <c r="AY10" s="26">
        <v>32.081006249999987</v>
      </c>
      <c r="AZ10" s="27">
        <v>3306.9</v>
      </c>
      <c r="BA10" s="27">
        <v>1482.32</v>
      </c>
      <c r="BB10" s="27">
        <v>12.12</v>
      </c>
      <c r="BC10" s="27">
        <v>8.984</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3.8005398383944566E-8</v>
      </c>
      <c r="BK10" s="28">
        <f>IF( OR(ISBLANK(N10:N14),ISBLANK(AL10:AL14), ISBLANK(X10:X14),ISBLANK(AV10:AV14)), "·", bdRateExtend( N10:N14,X10:X14, AL10:AL14,AV10:AV14))</f>
        <v>-6.3104668157620836E-9</v>
      </c>
      <c r="BL10" s="28">
        <f>IF( OR(ISBLANK(V10:V14),ISBLANK(AT10:AT14), ISBLANK(Y10:Y14),ISBLANK(AW10:AW14)), "·", bdRateExtend( V10:V14,Y10:Y14, AT10:AT14,AW10:AW14))</f>
        <v>-4.1696069708052619E-8</v>
      </c>
      <c r="BM10" s="28">
        <f>IF( OR(ISBLANK(V10:V14),ISBLANK(AT10:AT14), ISBLANK(Z10:Z14),ISBLANK(AX10:AX14)), "·", bdRateExtend( V10:V14,Z10:Z14, AT10:AT14,AX10:AX14))</f>
        <v>-9.9072003045819201E-8</v>
      </c>
      <c r="BN10" s="28">
        <f>IF( OR(ISBLANK(V10:V14),ISBLANK(AT10:AT14), ISBLANK(AA10:AA14),ISBLANK(AY10:AY14)), "·", bdRateExtend( V10:V14,AA10:AA14, AT10:AT14,AY10:AY14))</f>
        <v>-3.5811347220970902E-8</v>
      </c>
      <c r="BP10" s="28">
        <f>IF( OR(ISBLANK(S10:S14),ISBLANK(AQ10:AQ14), ISBLANK(W10:W14),ISBLANK(AU10:AU14)), "·", bdRateExtend( S10:S14,W10:W14, AQ10:AQ14,AU10:AU14))</f>
        <v>6.3014125473159766E-8</v>
      </c>
      <c r="BQ10" s="28">
        <f>IF( OR(ISBLANK(S10:S14),ISBLANK(AQ10:AQ14), ISBLANK(X10:X14),ISBLANK(AV10:AV14)), "·", bdRateExtend( S10:S14,X10:X14, AQ10:AQ14,AV10:AV14))</f>
        <v>-6.8187611113046387E-10</v>
      </c>
      <c r="BR10" s="28">
        <f>IF( OR(ISBLANK(S10:S14),ISBLANK(AQ10:AQ14), ISBLANK(Y10:Y14),ISBLANK(AW10:AW14)), "·", bdRateExtend( S10:S14,Y10:Y14, AQ10:AQ14,AW10:AW14))</f>
        <v>-3.0675604278940227E-8</v>
      </c>
      <c r="BS10" s="28">
        <f>IF( OR(ISBLANK(S10:S14),ISBLANK(AQ10:AQ14), ISBLANK(Z10:Z14),ISBLANK(AX10:AX14)), "·", bdRateExtend( S10:S14,Z10:Z14, AQ10:AQ14,AX10:AX14))</f>
        <v>-8.6199528515074064E-8</v>
      </c>
      <c r="BT10" s="28">
        <f>IF( OR(ISBLANK(S10:S14),ISBLANK(AQ10:AQ14), ISBLANK(AA10:AA14),ISBLANK(AY10:AY14)), "·", bdRateExtend( S10:S14,AA10:AA14, AQ10:AQ14,AY10:AY14))</f>
        <v>-3.4933820169946728E-8</v>
      </c>
      <c r="BV10">
        <f t="shared" si="17"/>
        <v>0</v>
      </c>
      <c r="BW10">
        <f t="shared" si="18"/>
        <v>0</v>
      </c>
      <c r="BX10">
        <f t="shared" si="19"/>
        <v>0</v>
      </c>
      <c r="BY10">
        <f t="shared" si="20"/>
        <v>0</v>
      </c>
      <c r="BZ10">
        <f t="shared" si="21"/>
        <v>0</v>
      </c>
      <c r="CA10">
        <f t="shared" si="22"/>
        <v>0</v>
      </c>
      <c r="CB10">
        <f t="shared" si="23"/>
        <v>0</v>
      </c>
      <c r="CC10">
        <f t="shared" si="24"/>
        <v>4.9999999873762135E-7</v>
      </c>
      <c r="CD10">
        <f t="shared" si="25"/>
        <v>3.749999848423613E-7</v>
      </c>
      <c r="CE10">
        <f t="shared" si="26"/>
        <v>-1.250000067898327E-7</v>
      </c>
      <c r="CF10">
        <f t="shared" si="27"/>
        <v>-3.7500000615864337E-7</v>
      </c>
      <c r="CG10">
        <f t="shared" si="28"/>
        <v>2.4999998515795596E-7</v>
      </c>
      <c r="CJ10" t="s">
        <v>243</v>
      </c>
    </row>
    <row r="11" spans="1:88" hidden="1" outlineLevel="1" x14ac:dyDescent="0.25">
      <c r="A11" s="10"/>
      <c r="B11" s="10" t="s">
        <v>58</v>
      </c>
      <c r="C11" s="11" t="s">
        <v>239</v>
      </c>
      <c r="D11" s="10">
        <v>22654789</v>
      </c>
      <c r="E11" s="11">
        <v>10</v>
      </c>
      <c r="F11" s="11">
        <v>32</v>
      </c>
      <c r="G11" s="11">
        <v>30</v>
      </c>
      <c r="I11" s="12">
        <f t="shared" si="0"/>
        <v>4.6348349999999998</v>
      </c>
      <c r="J11" s="13">
        <f t="shared" si="1"/>
        <v>0.21822423506129321</v>
      </c>
      <c r="K11" s="13">
        <f t="shared" si="2"/>
        <v>9.5659774187259045E-2</v>
      </c>
      <c r="L11" s="13">
        <f t="shared" si="3"/>
        <v>5.8062425564855184E-2</v>
      </c>
      <c r="M11" s="13">
        <f t="shared" si="4"/>
        <v>0.12256446087403418</v>
      </c>
      <c r="N11" s="10">
        <f t="shared" si="5"/>
        <v>2167152</v>
      </c>
      <c r="O11" s="13">
        <f t="shared" si="6"/>
        <v>0.22372610171491891</v>
      </c>
      <c r="P11" s="14">
        <v>22097663</v>
      </c>
      <c r="Q11" s="14">
        <v>690551.96875</v>
      </c>
      <c r="R11" s="14">
        <v>22957.28125</v>
      </c>
      <c r="S11" s="15">
        <v>4943824</v>
      </c>
      <c r="T11" s="15">
        <v>1315392</v>
      </c>
      <c r="U11" s="15">
        <v>851760</v>
      </c>
      <c r="V11" s="15">
        <v>2776672</v>
      </c>
      <c r="W11" s="16">
        <v>67.607918999999995</v>
      </c>
      <c r="X11" s="16">
        <v>69.699944000000002</v>
      </c>
      <c r="Y11" s="16">
        <v>34.252084000000004</v>
      </c>
      <c r="Z11" s="16">
        <v>40.021503000000003</v>
      </c>
      <c r="AA11" s="16">
        <v>33.864341000000003</v>
      </c>
      <c r="AB11" s="17">
        <v>5374.68</v>
      </c>
      <c r="AC11" s="17">
        <v>1213.26</v>
      </c>
      <c r="AD11" s="17">
        <v>9.5939999999999994</v>
      </c>
      <c r="AE11" s="17">
        <v>21.581</v>
      </c>
      <c r="AG11" s="12">
        <f t="shared" si="7"/>
        <v>4.6348349999999998</v>
      </c>
      <c r="AH11" s="13">
        <f t="shared" si="8"/>
        <v>0.21822423506129321</v>
      </c>
      <c r="AI11" s="13">
        <f t="shared" si="9"/>
        <v>9.5659774187259045E-2</v>
      </c>
      <c r="AJ11" s="13">
        <f t="shared" si="10"/>
        <v>5.8062425564855184E-2</v>
      </c>
      <c r="AK11" s="13">
        <f t="shared" si="11"/>
        <v>0.12256446087403418</v>
      </c>
      <c r="AL11" s="10">
        <f t="shared" si="12"/>
        <v>2167152</v>
      </c>
      <c r="AM11" s="13">
        <f t="shared" si="13"/>
        <v>0.22372610171491891</v>
      </c>
      <c r="AN11" s="14">
        <v>22097663</v>
      </c>
      <c r="AO11" s="14">
        <v>690551.96875</v>
      </c>
      <c r="AP11" s="14">
        <v>22957.28125</v>
      </c>
      <c r="AQ11" s="15">
        <v>4943824</v>
      </c>
      <c r="AR11" s="15">
        <v>1315392</v>
      </c>
      <c r="AS11" s="15">
        <v>851760</v>
      </c>
      <c r="AT11" s="15">
        <v>2776672</v>
      </c>
      <c r="AU11" s="16">
        <v>67.607918749999996</v>
      </c>
      <c r="AV11" s="16">
        <v>69.699943750000003</v>
      </c>
      <c r="AW11" s="16">
        <v>34.252084375000003</v>
      </c>
      <c r="AX11" s="16">
        <v>40.021503125000002</v>
      </c>
      <c r="AY11" s="16">
        <v>33.864340624999997</v>
      </c>
      <c r="AZ11" s="17">
        <v>3208.19</v>
      </c>
      <c r="BA11" s="17">
        <v>1564.46</v>
      </c>
      <c r="BB11" s="17">
        <v>11.247999999999999</v>
      </c>
      <c r="BC11" s="17">
        <v>9.3320000000000007</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-2.4999999936881068E-7</v>
      </c>
      <c r="CD11">
        <f t="shared" si="25"/>
        <v>-2.4999999936881068E-7</v>
      </c>
      <c r="CE11">
        <f t="shared" si="26"/>
        <v>3.7499999905321602E-7</v>
      </c>
      <c r="CF11">
        <f t="shared" si="27"/>
        <v>1.2499999968440534E-7</v>
      </c>
      <c r="CG11">
        <f t="shared" si="28"/>
        <v>-3.7500000615864337E-7</v>
      </c>
      <c r="CJ11" t="s">
        <v>243</v>
      </c>
    </row>
    <row r="12" spans="1:88" hidden="1" outlineLevel="1" x14ac:dyDescent="0.25">
      <c r="A12" s="20"/>
      <c r="B12" s="20" t="s">
        <v>58</v>
      </c>
      <c r="C12" s="21" t="s">
        <v>240</v>
      </c>
      <c r="D12" s="20">
        <v>22654789</v>
      </c>
      <c r="E12" s="21">
        <v>10</v>
      </c>
      <c r="F12" s="21">
        <v>32</v>
      </c>
      <c r="G12" s="21">
        <v>30</v>
      </c>
      <c r="I12" s="22">
        <f t="shared" si="0"/>
        <v>7.1531174999999996</v>
      </c>
      <c r="J12" s="23">
        <f t="shared" si="1"/>
        <v>0.33679377901069835</v>
      </c>
      <c r="K12" s="23">
        <f t="shared" si="2"/>
        <v>0.12149731343779013</v>
      </c>
      <c r="L12" s="23">
        <f t="shared" si="3"/>
        <v>8.389996481538628E-2</v>
      </c>
      <c r="M12" s="23">
        <f t="shared" si="4"/>
        <v>0.21529646557290821</v>
      </c>
      <c r="N12" s="20">
        <f t="shared" si="5"/>
        <v>2752496</v>
      </c>
      <c r="O12" s="23">
        <f t="shared" si="6"/>
        <v>0.33894736785991963</v>
      </c>
      <c r="P12" s="24">
        <v>22510846</v>
      </c>
      <c r="Q12" s="24">
        <v>703463.9375</v>
      </c>
      <c r="R12" s="24">
        <v>24709.6875</v>
      </c>
      <c r="S12" s="25">
        <v>7629992</v>
      </c>
      <c r="T12" s="25">
        <v>1900736</v>
      </c>
      <c r="U12" s="25">
        <v>851760</v>
      </c>
      <c r="V12" s="25">
        <v>4877496</v>
      </c>
      <c r="W12" s="26">
        <v>68.956063</v>
      </c>
      <c r="X12" s="26">
        <v>71.331965999999994</v>
      </c>
      <c r="Y12" s="26">
        <v>36.354258999999999</v>
      </c>
      <c r="Z12" s="26">
        <v>40.927830999999998</v>
      </c>
      <c r="AA12" s="26">
        <v>35.635178000000003</v>
      </c>
      <c r="AB12" s="27">
        <v>4833.9799999999996</v>
      </c>
      <c r="AC12" s="27">
        <v>1247.27</v>
      </c>
      <c r="AD12" s="27">
        <v>10.193</v>
      </c>
      <c r="AE12" s="27">
        <v>21.52</v>
      </c>
      <c r="AG12" s="22">
        <f t="shared" si="7"/>
        <v>7.1531174999999996</v>
      </c>
      <c r="AH12" s="23">
        <f t="shared" si="8"/>
        <v>0.33679377901069835</v>
      </c>
      <c r="AI12" s="23">
        <f t="shared" si="9"/>
        <v>0.12149731343779013</v>
      </c>
      <c r="AJ12" s="23">
        <f t="shared" si="10"/>
        <v>8.389996481538628E-2</v>
      </c>
      <c r="AK12" s="23">
        <f t="shared" si="11"/>
        <v>0.21529646557290821</v>
      </c>
      <c r="AL12" s="20">
        <f t="shared" si="12"/>
        <v>2752496</v>
      </c>
      <c r="AM12" s="23">
        <f t="shared" si="13"/>
        <v>0.33894736785991963</v>
      </c>
      <c r="AN12" s="24">
        <v>22510846</v>
      </c>
      <c r="AO12" s="24">
        <v>703463.9375</v>
      </c>
      <c r="AP12" s="24">
        <v>24709.6875</v>
      </c>
      <c r="AQ12" s="25">
        <v>7629992</v>
      </c>
      <c r="AR12" s="25">
        <v>1900736</v>
      </c>
      <c r="AS12" s="25">
        <v>851760</v>
      </c>
      <c r="AT12" s="25">
        <v>4877496</v>
      </c>
      <c r="AU12" s="26">
        <v>68.956062500000002</v>
      </c>
      <c r="AV12" s="26">
        <v>71.331965624999995</v>
      </c>
      <c r="AW12" s="26">
        <v>36.354259375000012</v>
      </c>
      <c r="AX12" s="26">
        <v>40.927831249999983</v>
      </c>
      <c r="AY12" s="26">
        <v>35.635178125000003</v>
      </c>
      <c r="AZ12" s="27">
        <v>3030.61</v>
      </c>
      <c r="BA12" s="27">
        <v>1678.7</v>
      </c>
      <c r="BB12" s="27">
        <v>12.215999999999999</v>
      </c>
      <c r="BC12" s="27">
        <v>10.1</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-4.9999999873762135E-7</v>
      </c>
      <c r="CD12">
        <f t="shared" si="25"/>
        <v>-3.7499999905321602E-7</v>
      </c>
      <c r="CE12">
        <f t="shared" si="26"/>
        <v>3.7500001326407073E-7</v>
      </c>
      <c r="CF12">
        <f t="shared" si="27"/>
        <v>2.4999998515795596E-7</v>
      </c>
      <c r="CG12">
        <f t="shared" si="28"/>
        <v>1.2499999968440534E-7</v>
      </c>
      <c r="CJ12" t="s">
        <v>243</v>
      </c>
    </row>
    <row r="13" spans="1:88" hidden="1" outlineLevel="1" x14ac:dyDescent="0.25">
      <c r="A13" s="10"/>
      <c r="B13" s="10" t="s">
        <v>58</v>
      </c>
      <c r="C13" s="11" t="s">
        <v>241</v>
      </c>
      <c r="D13" s="10">
        <v>22654789</v>
      </c>
      <c r="E13" s="11">
        <v>10</v>
      </c>
      <c r="F13" s="11">
        <v>32</v>
      </c>
      <c r="G13" s="11">
        <v>30</v>
      </c>
      <c r="I13" s="12">
        <f t="shared" si="0"/>
        <v>12.072022499999999</v>
      </c>
      <c r="J13" s="13">
        <f t="shared" si="1"/>
        <v>0.56839302277324233</v>
      </c>
      <c r="K13" s="13">
        <f t="shared" si="2"/>
        <v>0.1665703441334192</v>
      </c>
      <c r="L13" s="13">
        <f t="shared" si="3"/>
        <v>0.12897299551101535</v>
      </c>
      <c r="M13" s="13">
        <f t="shared" si="4"/>
        <v>0.40182267863982313</v>
      </c>
      <c r="N13" s="10">
        <f t="shared" si="5"/>
        <v>3773616</v>
      </c>
      <c r="O13" s="13">
        <f t="shared" si="6"/>
        <v>0.55284940295784701</v>
      </c>
      <c r="P13" s="14">
        <v>23291739</v>
      </c>
      <c r="Q13" s="14">
        <v>727866.84375</v>
      </c>
      <c r="R13" s="14">
        <v>28062.03125</v>
      </c>
      <c r="S13" s="15">
        <v>12876824</v>
      </c>
      <c r="T13" s="15">
        <v>2921856</v>
      </c>
      <c r="U13" s="15">
        <v>851760</v>
      </c>
      <c r="V13" s="15">
        <v>9103208</v>
      </c>
      <c r="W13" s="16">
        <v>70.072275000000005</v>
      </c>
      <c r="X13" s="16">
        <v>72.590205999999995</v>
      </c>
      <c r="Y13" s="16">
        <v>38.689725000000003</v>
      </c>
      <c r="Z13" s="16">
        <v>42.113683999999999</v>
      </c>
      <c r="AA13" s="16">
        <v>37.693637000000003</v>
      </c>
      <c r="AB13" s="17">
        <v>4860.43</v>
      </c>
      <c r="AC13" s="17">
        <v>1362</v>
      </c>
      <c r="AD13" s="17">
        <v>10.18</v>
      </c>
      <c r="AE13" s="17">
        <v>22.754000000000001</v>
      </c>
      <c r="AG13" s="12">
        <f t="shared" si="7"/>
        <v>12.072022499999999</v>
      </c>
      <c r="AH13" s="13">
        <f t="shared" si="8"/>
        <v>0.56839302277324233</v>
      </c>
      <c r="AI13" s="13">
        <f t="shared" si="9"/>
        <v>0.1665703441334192</v>
      </c>
      <c r="AJ13" s="13">
        <f t="shared" si="10"/>
        <v>0.12897299551101535</v>
      </c>
      <c r="AK13" s="13">
        <f t="shared" si="11"/>
        <v>0.40182267863982313</v>
      </c>
      <c r="AL13" s="10">
        <f t="shared" si="12"/>
        <v>3773616</v>
      </c>
      <c r="AM13" s="13">
        <f t="shared" si="13"/>
        <v>0.55284940295784701</v>
      </c>
      <c r="AN13" s="14">
        <v>23291739</v>
      </c>
      <c r="AO13" s="14">
        <v>727866.84375</v>
      </c>
      <c r="AP13" s="14">
        <v>28062.03125</v>
      </c>
      <c r="AQ13" s="15">
        <v>12876824</v>
      </c>
      <c r="AR13" s="15">
        <v>2921856</v>
      </c>
      <c r="AS13" s="15">
        <v>851760</v>
      </c>
      <c r="AT13" s="15">
        <v>9103208</v>
      </c>
      <c r="AU13" s="16">
        <v>70.072275000000005</v>
      </c>
      <c r="AV13" s="16">
        <v>72.59020624999998</v>
      </c>
      <c r="AW13" s="16">
        <v>38.689725000000003</v>
      </c>
      <c r="AX13" s="16">
        <v>42.113684375000012</v>
      </c>
      <c r="AY13" s="16">
        <v>37.693637500000001</v>
      </c>
      <c r="AZ13" s="17">
        <v>3269.75</v>
      </c>
      <c r="BA13" s="17">
        <v>1742.89</v>
      </c>
      <c r="BB13" s="17">
        <v>11.571999999999999</v>
      </c>
      <c r="BC13" s="17">
        <v>9.4039999999999999</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2.4999998515795596E-7</v>
      </c>
      <c r="CE13">
        <f t="shared" si="26"/>
        <v>0</v>
      </c>
      <c r="CF13">
        <f t="shared" si="27"/>
        <v>3.7500001326407073E-7</v>
      </c>
      <c r="CG13">
        <f t="shared" si="28"/>
        <v>4.9999999873762135E-7</v>
      </c>
      <c r="CJ13" t="s">
        <v>243</v>
      </c>
    </row>
    <row r="14" spans="1:88" ht="15.75" hidden="1" customHeight="1" outlineLevel="1" thickBot="1" x14ac:dyDescent="0.3">
      <c r="A14" s="20"/>
      <c r="B14" s="40" t="s">
        <v>58</v>
      </c>
      <c r="C14" s="41" t="s">
        <v>242</v>
      </c>
      <c r="D14" s="40">
        <v>22654789</v>
      </c>
      <c r="E14" s="41">
        <v>10</v>
      </c>
      <c r="F14" s="41">
        <v>32</v>
      </c>
      <c r="G14" s="41">
        <v>30</v>
      </c>
      <c r="I14" s="42">
        <f t="shared" si="0"/>
        <v>21.625042499999999</v>
      </c>
      <c r="J14" s="43">
        <f t="shared" si="1"/>
        <v>1.0181826014799784</v>
      </c>
      <c r="K14" s="43">
        <f t="shared" si="2"/>
        <v>0.27324695012608591</v>
      </c>
      <c r="L14" s="43">
        <f t="shared" si="3"/>
        <v>0.20367508167919815</v>
      </c>
      <c r="M14" s="43">
        <f t="shared" si="4"/>
        <v>0.7449356513538925</v>
      </c>
      <c r="N14" s="40">
        <f t="shared" si="5"/>
        <v>6190352</v>
      </c>
      <c r="O14" s="43">
        <f t="shared" si="6"/>
        <v>1.042607738834145</v>
      </c>
      <c r="P14" s="44">
        <v>22124056</v>
      </c>
      <c r="Q14" s="44">
        <v>691376.75</v>
      </c>
      <c r="R14" s="44">
        <v>13278.71875</v>
      </c>
      <c r="S14" s="45">
        <v>23066712</v>
      </c>
      <c r="T14" s="45">
        <v>4614216</v>
      </c>
      <c r="U14" s="45">
        <v>1576136</v>
      </c>
      <c r="V14" s="45">
        <v>16876360</v>
      </c>
      <c r="W14" s="46">
        <v>70.923046999999997</v>
      </c>
      <c r="X14" s="46">
        <v>74.675602999999995</v>
      </c>
      <c r="Y14" s="46">
        <v>40.970319000000003</v>
      </c>
      <c r="Z14" s="46">
        <v>43.413924999999999</v>
      </c>
      <c r="AA14" s="46">
        <v>39.478603</v>
      </c>
      <c r="AB14" s="47">
        <v>6048.14</v>
      </c>
      <c r="AC14" s="47">
        <v>1686.62</v>
      </c>
      <c r="AD14" s="47">
        <v>9.3989999999999991</v>
      </c>
      <c r="AE14" s="47">
        <v>28.335999999999999</v>
      </c>
      <c r="AG14" s="42">
        <f t="shared" si="7"/>
        <v>21.625042499999999</v>
      </c>
      <c r="AH14" s="43">
        <f t="shared" si="8"/>
        <v>1.0181826014799784</v>
      </c>
      <c r="AI14" s="43">
        <f t="shared" si="9"/>
        <v>0.27324695012608591</v>
      </c>
      <c r="AJ14" s="43">
        <f t="shared" si="10"/>
        <v>0.20367508167919815</v>
      </c>
      <c r="AK14" s="43">
        <f t="shared" si="11"/>
        <v>0.7449356513538925</v>
      </c>
      <c r="AL14" s="40">
        <f t="shared" si="12"/>
        <v>6190352</v>
      </c>
      <c r="AM14" s="43">
        <f t="shared" si="13"/>
        <v>1.042607738834145</v>
      </c>
      <c r="AN14" s="44">
        <v>22124056</v>
      </c>
      <c r="AO14" s="44">
        <v>691376.75</v>
      </c>
      <c r="AP14" s="44">
        <v>13278.71875</v>
      </c>
      <c r="AQ14" s="45">
        <v>23066712</v>
      </c>
      <c r="AR14" s="45">
        <v>4614216</v>
      </c>
      <c r="AS14" s="45">
        <v>1576136</v>
      </c>
      <c r="AT14" s="45">
        <v>16876360</v>
      </c>
      <c r="AU14" s="46">
        <v>70.923046874999983</v>
      </c>
      <c r="AV14" s="46">
        <v>74.675603124999995</v>
      </c>
      <c r="AW14" s="46">
        <v>40.970318750000011</v>
      </c>
      <c r="AX14" s="46">
        <v>43.413924999999999</v>
      </c>
      <c r="AY14" s="46">
        <v>39.478603124999999</v>
      </c>
      <c r="AZ14" s="47">
        <v>3026.84</v>
      </c>
      <c r="BA14" s="47">
        <v>2023.76</v>
      </c>
      <c r="BB14" s="47">
        <v>12.268000000000001</v>
      </c>
      <c r="BC14" s="47">
        <v>11.231999999999999</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-1.2500001389526005E-7</v>
      </c>
      <c r="CD14">
        <f t="shared" si="25"/>
        <v>1.2499999968440534E-7</v>
      </c>
      <c r="CE14">
        <f t="shared" si="26"/>
        <v>-2.4999999226338332E-7</v>
      </c>
      <c r="CF14">
        <f t="shared" si="27"/>
        <v>0</v>
      </c>
      <c r="CG14">
        <f t="shared" si="28"/>
        <v>1.2499999968440534E-7</v>
      </c>
      <c r="CJ14" t="s">
        <v>243</v>
      </c>
    </row>
    <row r="15" spans="1:88" collapsed="1" x14ac:dyDescent="0.25">
      <c r="A15" s="10"/>
      <c r="B15" s="10" t="s">
        <v>63</v>
      </c>
      <c r="C15" s="11" t="s">
        <v>237</v>
      </c>
      <c r="D15" s="10">
        <v>33947718</v>
      </c>
      <c r="E15" s="11">
        <v>10</v>
      </c>
      <c r="F15" s="11">
        <v>32</v>
      </c>
      <c r="G15" s="11">
        <v>30</v>
      </c>
      <c r="I15" s="12">
        <f t="shared" si="0"/>
        <v>4.4315024999999997</v>
      </c>
      <c r="J15" s="13">
        <f t="shared" si="1"/>
        <v>0.13924164210389636</v>
      </c>
      <c r="K15" s="13">
        <f t="shared" si="2"/>
        <v>7.9041306988587565E-2</v>
      </c>
      <c r="L15" s="13">
        <f t="shared" si="3"/>
        <v>4.1738534531245958E-2</v>
      </c>
      <c r="M15" s="13">
        <f t="shared" si="4"/>
        <v>6.0200335115308784E-2</v>
      </c>
      <c r="N15" s="10">
        <f t="shared" si="5"/>
        <v>2683272</v>
      </c>
      <c r="O15" s="13">
        <f t="shared" si="6"/>
        <v>0.15205586853368197</v>
      </c>
      <c r="P15" s="14">
        <v>31086837</v>
      </c>
      <c r="Q15" s="14">
        <v>971463.65625</v>
      </c>
      <c r="R15" s="14">
        <v>27944.21875</v>
      </c>
      <c r="S15" s="15">
        <v>4726936</v>
      </c>
      <c r="T15" s="15">
        <v>1416928</v>
      </c>
      <c r="U15" s="15">
        <v>1266344</v>
      </c>
      <c r="V15" s="15">
        <v>2043664</v>
      </c>
      <c r="W15" s="16">
        <v>65.923106000000004</v>
      </c>
      <c r="X15" s="16">
        <v>67.661794</v>
      </c>
      <c r="Y15" s="16">
        <v>29.416059000000001</v>
      </c>
      <c r="Z15" s="16">
        <v>43.123156000000002</v>
      </c>
      <c r="AA15" s="16">
        <v>43.328384</v>
      </c>
      <c r="AB15" s="17">
        <v>7810.45</v>
      </c>
      <c r="AC15" s="17">
        <v>1137.6199999999999</v>
      </c>
      <c r="AD15" s="17">
        <v>13.577999999999999</v>
      </c>
      <c r="AE15" s="17">
        <v>20.71</v>
      </c>
      <c r="AG15" s="12">
        <f t="shared" si="7"/>
        <v>4.4315024999999997</v>
      </c>
      <c r="AH15" s="13">
        <f t="shared" si="8"/>
        <v>0.13924164210389636</v>
      </c>
      <c r="AI15" s="13">
        <f t="shared" si="9"/>
        <v>7.9041306988587565E-2</v>
      </c>
      <c r="AJ15" s="13">
        <f t="shared" si="10"/>
        <v>4.1738534531245958E-2</v>
      </c>
      <c r="AK15" s="13">
        <f t="shared" si="11"/>
        <v>6.0200335115308784E-2</v>
      </c>
      <c r="AL15" s="10">
        <f t="shared" si="12"/>
        <v>2683272</v>
      </c>
      <c r="AM15" s="13">
        <f t="shared" si="13"/>
        <v>0.15205586853368197</v>
      </c>
      <c r="AN15" s="14">
        <v>31086837</v>
      </c>
      <c r="AO15" s="14">
        <v>971463.65625</v>
      </c>
      <c r="AP15" s="14">
        <v>27944.21875</v>
      </c>
      <c r="AQ15" s="15">
        <v>4726936</v>
      </c>
      <c r="AR15" s="15">
        <v>1416928</v>
      </c>
      <c r="AS15" s="15">
        <v>1266344</v>
      </c>
      <c r="AT15" s="15">
        <v>2043664</v>
      </c>
      <c r="AU15" s="16">
        <v>65.923106250000004</v>
      </c>
      <c r="AV15" s="16">
        <v>67.661793750000015</v>
      </c>
      <c r="AW15" s="16">
        <v>29.416059375</v>
      </c>
      <c r="AX15" s="16">
        <v>43.123156250000008</v>
      </c>
      <c r="AY15" s="16">
        <v>43.328384375000013</v>
      </c>
      <c r="AZ15" s="17">
        <v>4397.0200000000004</v>
      </c>
      <c r="BA15" s="17">
        <v>1532.27</v>
      </c>
      <c r="BB15" s="17">
        <v>14.407999999999999</v>
      </c>
      <c r="BC15" s="17">
        <v>8.5879999999999992</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1.5074019366068114E-8</v>
      </c>
      <c r="BK15" s="18">
        <f>IF( OR(ISBLANK(N15:N19),ISBLANK(AL15:AL19), ISBLANK(X15:X19),ISBLANK(AV15:AV19)), "·", bdRateExtend( N15:N19,X15:X19, AL15:AL19,AV15:AV19))</f>
        <v>-6.1035929643793452E-9</v>
      </c>
      <c r="BL15" s="18">
        <f>IF( OR(ISBLANK(V15:V19),ISBLANK(AT15:AT19), ISBLANK(Y15:Y19),ISBLANK(AW15:AW19)), "·", bdRateExtend( V15:V19,Y15:Y19, AT15:AT19,AW15:AW19))</f>
        <v>4.6975206169364014E-8</v>
      </c>
      <c r="BM15" s="18">
        <f>IF( OR(ISBLANK(V15:V19),ISBLANK(AT15:AT19), ISBLANK(Z15:Z19),ISBLANK(AX15:AX19)), "·", bdRateExtend( V15:V19,Z15:Z19, AT15:AT19,AX15:AX19))</f>
        <v>-1.5776505635223259E-7</v>
      </c>
      <c r="BN15" s="18">
        <f>IF( OR(ISBLANK(V15:V19),ISBLANK(AT15:AT19), ISBLANK(AA15:AA19),ISBLANK(AY15:AY19)), "·", bdRateExtend( V15:V19,AA15:AA19, AT15:AT19,AY15:AY19))</f>
        <v>-6.071938029039714E-7</v>
      </c>
      <c r="BP15" s="18">
        <f>IF( OR(ISBLANK(S15:S19),ISBLANK(AQ15:AQ19), ISBLANK(W15:W19),ISBLANK(AU15:AU19)), "·", bdRateExtend( S15:S19,W15:W19, AQ15:AQ19,AU15:AU19))</f>
        <v>3.3543969824023634E-8</v>
      </c>
      <c r="BQ15" s="18">
        <f>IF( OR(ISBLANK(S15:S19),ISBLANK(AQ15:AQ19), ISBLANK(X15:X19),ISBLANK(AV15:AV19)), "·", bdRateExtend( S15:S19,X15:X19, AQ15:AQ19,AV15:AV19))</f>
        <v>-1.3880969929047637E-8</v>
      </c>
      <c r="BR15" s="18">
        <f>IF( OR(ISBLANK(S15:S19),ISBLANK(AQ15:AQ19), ISBLANK(Y15:Y19),ISBLANK(AW15:AW19)), "·", bdRateExtend( S15:S19,Y15:Y19, AQ15:AQ19,AW15:AW19))</f>
        <v>3.7201657754337702E-8</v>
      </c>
      <c r="BS15" s="18">
        <f>IF( OR(ISBLANK(S15:S19),ISBLANK(AQ15:AQ19), ISBLANK(Z15:Z19),ISBLANK(AX15:AX19)), "·", bdRateExtend( S15:S19,Z15:Z19, AQ15:AQ19,AX15:AX19))</f>
        <v>-1.1733285476545063E-7</v>
      </c>
      <c r="BT15" s="18">
        <f>IF( OR(ISBLANK(S15:S19),ISBLANK(AQ15:AQ19), ISBLANK(AA15:AA19),ISBLANK(AY15:AY19)), "·", bdRateExtend( S15:S19,AA15:AA19, AQ15:AQ19,AY15:AY19))</f>
        <v>-4.2639550801304438E-7</v>
      </c>
      <c r="BV15">
        <f t="shared" si="17"/>
        <v>0</v>
      </c>
      <c r="BW15">
        <f t="shared" si="18"/>
        <v>0</v>
      </c>
      <c r="BX15">
        <f t="shared" si="19"/>
        <v>0</v>
      </c>
      <c r="BY15">
        <f t="shared" si="20"/>
        <v>0</v>
      </c>
      <c r="BZ15">
        <f t="shared" si="21"/>
        <v>0</v>
      </c>
      <c r="CA15">
        <f t="shared" si="22"/>
        <v>0</v>
      </c>
      <c r="CB15">
        <f t="shared" si="23"/>
        <v>0</v>
      </c>
      <c r="CC15">
        <f t="shared" si="24"/>
        <v>2.4999999936881068E-7</v>
      </c>
      <c r="CD15">
        <f t="shared" si="25"/>
        <v>-2.4999998515795596E-7</v>
      </c>
      <c r="CE15">
        <f t="shared" si="26"/>
        <v>3.7499999905321602E-7</v>
      </c>
      <c r="CF15">
        <f t="shared" si="27"/>
        <v>2.5000000647423803E-7</v>
      </c>
      <c r="CG15">
        <f t="shared" si="28"/>
        <v>3.7500001326407073E-7</v>
      </c>
      <c r="CJ15" t="s">
        <v>238</v>
      </c>
    </row>
    <row r="16" spans="1:88" hidden="1" outlineLevel="1" x14ac:dyDescent="0.25">
      <c r="A16" s="20"/>
      <c r="B16" s="20" t="s">
        <v>63</v>
      </c>
      <c r="C16" s="21" t="s">
        <v>239</v>
      </c>
      <c r="D16" s="20">
        <v>33947718</v>
      </c>
      <c r="E16" s="21">
        <v>10</v>
      </c>
      <c r="F16" s="21">
        <v>32</v>
      </c>
      <c r="G16" s="21">
        <v>30</v>
      </c>
      <c r="I16" s="22">
        <f t="shared" si="0"/>
        <v>7.0332074999999996</v>
      </c>
      <c r="J16" s="23">
        <f t="shared" si="1"/>
        <v>0.22098946385733498</v>
      </c>
      <c r="K16" s="23">
        <f t="shared" si="2"/>
        <v>9.6197099316071843E-2</v>
      </c>
      <c r="L16" s="23">
        <f t="shared" si="3"/>
        <v>5.8894326858730237E-2</v>
      </c>
      <c r="M16" s="23">
        <f t="shared" si="4"/>
        <v>0.12479236454126312</v>
      </c>
      <c r="N16" s="20">
        <f t="shared" si="5"/>
        <v>3265672</v>
      </c>
      <c r="O16" s="23">
        <f t="shared" si="6"/>
        <v>0.22606543007735433</v>
      </c>
      <c r="P16" s="24">
        <v>33185472</v>
      </c>
      <c r="Q16" s="24">
        <v>1037046</v>
      </c>
      <c r="R16" s="24">
        <v>34748.59375</v>
      </c>
      <c r="S16" s="25">
        <v>7502088</v>
      </c>
      <c r="T16" s="25">
        <v>1999328</v>
      </c>
      <c r="U16" s="25">
        <v>1266344</v>
      </c>
      <c r="V16" s="25">
        <v>4236416</v>
      </c>
      <c r="W16" s="26">
        <v>67.712850000000003</v>
      </c>
      <c r="X16" s="26">
        <v>69.741403000000005</v>
      </c>
      <c r="Y16" s="26">
        <v>31.814990999999999</v>
      </c>
      <c r="Z16" s="26">
        <v>43.952409000000003</v>
      </c>
      <c r="AA16" s="26">
        <v>44.252958999999997</v>
      </c>
      <c r="AB16" s="27">
        <v>4751.3500000000004</v>
      </c>
      <c r="AC16" s="27">
        <v>921.38</v>
      </c>
      <c r="AD16" s="27">
        <v>11.294</v>
      </c>
      <c r="AE16" s="27">
        <v>14.113</v>
      </c>
      <c r="AG16" s="22">
        <f t="shared" si="7"/>
        <v>7.0332074999999996</v>
      </c>
      <c r="AH16" s="23">
        <f t="shared" si="8"/>
        <v>0.22098946385733498</v>
      </c>
      <c r="AI16" s="23">
        <f t="shared" si="9"/>
        <v>9.6197099316071843E-2</v>
      </c>
      <c r="AJ16" s="23">
        <f t="shared" si="10"/>
        <v>5.8894326858730237E-2</v>
      </c>
      <c r="AK16" s="23">
        <f t="shared" si="11"/>
        <v>0.12479236454126312</v>
      </c>
      <c r="AL16" s="20">
        <f t="shared" si="12"/>
        <v>3265672</v>
      </c>
      <c r="AM16" s="23">
        <f t="shared" si="13"/>
        <v>0.22606543007735433</v>
      </c>
      <c r="AN16" s="24">
        <v>33185472</v>
      </c>
      <c r="AO16" s="24">
        <v>1037046</v>
      </c>
      <c r="AP16" s="24">
        <v>34748.59375</v>
      </c>
      <c r="AQ16" s="25">
        <v>7502088</v>
      </c>
      <c r="AR16" s="25">
        <v>1999328</v>
      </c>
      <c r="AS16" s="25">
        <v>1266344</v>
      </c>
      <c r="AT16" s="25">
        <v>4236416</v>
      </c>
      <c r="AU16" s="26">
        <v>67.712850000000003</v>
      </c>
      <c r="AV16" s="26">
        <v>69.741403124999991</v>
      </c>
      <c r="AW16" s="26">
        <v>31.814990625</v>
      </c>
      <c r="AX16" s="26">
        <v>43.952409375000002</v>
      </c>
      <c r="AY16" s="26">
        <v>44.25296250000001</v>
      </c>
      <c r="AZ16" s="27">
        <v>4755</v>
      </c>
      <c r="BA16" s="27">
        <v>1568.43</v>
      </c>
      <c r="BB16" s="27">
        <v>14.704000000000001</v>
      </c>
      <c r="BC16" s="27">
        <v>10.023999999999999</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1.2499998547355062E-7</v>
      </c>
      <c r="CE16">
        <f t="shared" si="26"/>
        <v>-3.7499999905321602E-7</v>
      </c>
      <c r="CF16">
        <f t="shared" si="27"/>
        <v>3.7499999905321602E-7</v>
      </c>
      <c r="CG16">
        <f t="shared" si="28"/>
        <v>3.5000000124796316E-6</v>
      </c>
      <c r="CJ16" t="s">
        <v>238</v>
      </c>
    </row>
    <row r="17" spans="1:88" hidden="1" outlineLevel="1" x14ac:dyDescent="0.25">
      <c r="A17" s="10"/>
      <c r="B17" s="10" t="s">
        <v>63</v>
      </c>
      <c r="C17" s="11" t="s">
        <v>240</v>
      </c>
      <c r="D17" s="10">
        <v>33947718</v>
      </c>
      <c r="E17" s="11">
        <v>10</v>
      </c>
      <c r="F17" s="11">
        <v>32</v>
      </c>
      <c r="G17" s="11">
        <v>30</v>
      </c>
      <c r="I17" s="12">
        <f t="shared" si="0"/>
        <v>11.735175</v>
      </c>
      <c r="J17" s="13">
        <f t="shared" si="1"/>
        <v>0.36872935023202441</v>
      </c>
      <c r="K17" s="13">
        <f t="shared" si="2"/>
        <v>0.12241788976802506</v>
      </c>
      <c r="L17" s="13">
        <f t="shared" si="3"/>
        <v>8.5115117310683441E-2</v>
      </c>
      <c r="M17" s="13">
        <f t="shared" si="4"/>
        <v>0.24631146046399938</v>
      </c>
      <c r="N17" s="10">
        <f t="shared" si="5"/>
        <v>4155808</v>
      </c>
      <c r="O17" s="13">
        <f t="shared" si="6"/>
        <v>0.37249706845945069</v>
      </c>
      <c r="P17" s="14">
        <v>33604345</v>
      </c>
      <c r="Q17" s="14">
        <v>1050135.78125</v>
      </c>
      <c r="R17" s="14">
        <v>36572.96875</v>
      </c>
      <c r="S17" s="15">
        <v>12517520</v>
      </c>
      <c r="T17" s="15">
        <v>2889464</v>
      </c>
      <c r="U17" s="15">
        <v>1266344</v>
      </c>
      <c r="V17" s="15">
        <v>8361712</v>
      </c>
      <c r="W17" s="16">
        <v>69.134438000000003</v>
      </c>
      <c r="X17" s="16">
        <v>71.597097000000005</v>
      </c>
      <c r="Y17" s="16">
        <v>34.361643999999998</v>
      </c>
      <c r="Z17" s="16">
        <v>44.795583999999998</v>
      </c>
      <c r="AA17" s="16">
        <v>45.197471999999998</v>
      </c>
      <c r="AB17" s="17">
        <v>7155.19</v>
      </c>
      <c r="AC17" s="17">
        <v>1345.15</v>
      </c>
      <c r="AD17" s="17">
        <v>14.054</v>
      </c>
      <c r="AE17" s="17">
        <v>22.076000000000001</v>
      </c>
      <c r="AG17" s="12">
        <f t="shared" si="7"/>
        <v>11.735175</v>
      </c>
      <c r="AH17" s="13">
        <f t="shared" si="8"/>
        <v>0.36872935023202441</v>
      </c>
      <c r="AI17" s="13">
        <f t="shared" si="9"/>
        <v>0.12241788976802506</v>
      </c>
      <c r="AJ17" s="13">
        <f t="shared" si="10"/>
        <v>8.5115117310683441E-2</v>
      </c>
      <c r="AK17" s="13">
        <f t="shared" si="11"/>
        <v>0.24631146046399938</v>
      </c>
      <c r="AL17" s="10">
        <f t="shared" si="12"/>
        <v>4155808</v>
      </c>
      <c r="AM17" s="13">
        <f t="shared" si="13"/>
        <v>0.37249706845945069</v>
      </c>
      <c r="AN17" s="14">
        <v>33604345</v>
      </c>
      <c r="AO17" s="14">
        <v>1050135.78125</v>
      </c>
      <c r="AP17" s="14">
        <v>36572.96875</v>
      </c>
      <c r="AQ17" s="15">
        <v>12517520</v>
      </c>
      <c r="AR17" s="15">
        <v>2889464</v>
      </c>
      <c r="AS17" s="15">
        <v>1266344</v>
      </c>
      <c r="AT17" s="15">
        <v>8361712</v>
      </c>
      <c r="AU17" s="16">
        <v>69.134437500000018</v>
      </c>
      <c r="AV17" s="16">
        <v>71.597096875000005</v>
      </c>
      <c r="AW17" s="16">
        <v>34.361643749999999</v>
      </c>
      <c r="AX17" s="16">
        <v>44.79558437499999</v>
      </c>
      <c r="AY17" s="16">
        <v>45.197471874999991</v>
      </c>
      <c r="AZ17" s="17">
        <v>4762.75</v>
      </c>
      <c r="BA17" s="17">
        <v>1684.57</v>
      </c>
      <c r="BB17" s="17">
        <v>14.052</v>
      </c>
      <c r="BC17" s="17">
        <v>9.08</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-4.9999998452676664E-7</v>
      </c>
      <c r="CD17">
        <f t="shared" si="25"/>
        <v>-1.2499999968440534E-7</v>
      </c>
      <c r="CE17">
        <f t="shared" si="26"/>
        <v>-2.4999999936881068E-7</v>
      </c>
      <c r="CF17">
        <f t="shared" si="27"/>
        <v>3.7499999194778866E-7</v>
      </c>
      <c r="CG17">
        <f t="shared" si="28"/>
        <v>-1.250000067898327E-7</v>
      </c>
      <c r="CJ17" t="s">
        <v>238</v>
      </c>
    </row>
    <row r="18" spans="1:88" hidden="1" outlineLevel="1" x14ac:dyDescent="0.25">
      <c r="A18" s="20"/>
      <c r="B18" s="20" t="s">
        <v>63</v>
      </c>
      <c r="C18" s="21" t="s">
        <v>241</v>
      </c>
      <c r="D18" s="20">
        <v>33947718</v>
      </c>
      <c r="E18" s="21">
        <v>10</v>
      </c>
      <c r="F18" s="21">
        <v>32</v>
      </c>
      <c r="G18" s="21">
        <v>30</v>
      </c>
      <c r="I18" s="22">
        <f t="shared" si="0"/>
        <v>20.320822499999998</v>
      </c>
      <c r="J18" s="23">
        <f t="shared" si="1"/>
        <v>0.63849782185653836</v>
      </c>
      <c r="K18" s="23">
        <f t="shared" si="2"/>
        <v>0.16520768789230544</v>
      </c>
      <c r="L18" s="23">
        <f t="shared" si="3"/>
        <v>0.12790491543496385</v>
      </c>
      <c r="M18" s="23">
        <f t="shared" si="4"/>
        <v>0.47329013396423286</v>
      </c>
      <c r="N18" s="20">
        <f t="shared" si="5"/>
        <v>5608424</v>
      </c>
      <c r="O18" s="23">
        <f t="shared" si="6"/>
        <v>0.62287087674857089</v>
      </c>
      <c r="P18" s="24">
        <v>34799418</v>
      </c>
      <c r="Q18" s="24">
        <v>1087481.8125</v>
      </c>
      <c r="R18" s="24">
        <v>40860.15625</v>
      </c>
      <c r="S18" s="25">
        <v>21675544</v>
      </c>
      <c r="T18" s="25">
        <v>4342080</v>
      </c>
      <c r="U18" s="25">
        <v>1266344</v>
      </c>
      <c r="V18" s="25">
        <v>16067120</v>
      </c>
      <c r="W18" s="26">
        <v>70.372874999999993</v>
      </c>
      <c r="X18" s="26">
        <v>72.951280999999994</v>
      </c>
      <c r="Y18" s="26">
        <v>37.068994000000004</v>
      </c>
      <c r="Z18" s="26">
        <v>46.119855999999999</v>
      </c>
      <c r="AA18" s="26">
        <v>46.648406000000001</v>
      </c>
      <c r="AB18" s="27">
        <v>4727.21</v>
      </c>
      <c r="AC18" s="27">
        <v>1127.46</v>
      </c>
      <c r="AD18" s="27">
        <v>12.007999999999999</v>
      </c>
      <c r="AE18" s="27">
        <v>16.050999999999998</v>
      </c>
      <c r="AG18" s="22">
        <f t="shared" si="7"/>
        <v>20.320822499999998</v>
      </c>
      <c r="AH18" s="23">
        <f t="shared" si="8"/>
        <v>0.63849782185653836</v>
      </c>
      <c r="AI18" s="23">
        <f t="shared" si="9"/>
        <v>0.16520768789230544</v>
      </c>
      <c r="AJ18" s="23">
        <f t="shared" si="10"/>
        <v>0.12790491543496385</v>
      </c>
      <c r="AK18" s="23">
        <f t="shared" si="11"/>
        <v>0.47329013396423286</v>
      </c>
      <c r="AL18" s="20">
        <f t="shared" si="12"/>
        <v>5608424</v>
      </c>
      <c r="AM18" s="23">
        <f t="shared" si="13"/>
        <v>0.62287087674857089</v>
      </c>
      <c r="AN18" s="24">
        <v>34799418</v>
      </c>
      <c r="AO18" s="24">
        <v>1087481.8125</v>
      </c>
      <c r="AP18" s="24">
        <v>40860.15625</v>
      </c>
      <c r="AQ18" s="25">
        <v>21675544</v>
      </c>
      <c r="AR18" s="25">
        <v>4342080</v>
      </c>
      <c r="AS18" s="25">
        <v>1266344</v>
      </c>
      <c r="AT18" s="25">
        <v>16067120</v>
      </c>
      <c r="AU18" s="26">
        <v>70.372874999999993</v>
      </c>
      <c r="AV18" s="26">
        <v>72.951281249999965</v>
      </c>
      <c r="AW18" s="26">
        <v>37.068993749999997</v>
      </c>
      <c r="AX18" s="26">
        <v>46.119856250000012</v>
      </c>
      <c r="AY18" s="26">
        <v>46.648406250000001</v>
      </c>
      <c r="AZ18" s="27">
        <v>4750.13</v>
      </c>
      <c r="BA18" s="27">
        <v>1889.2</v>
      </c>
      <c r="BB18" s="27">
        <v>14.464</v>
      </c>
      <c r="BC18" s="27">
        <v>10.428000000000001</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2.4999997094710125E-7</v>
      </c>
      <c r="CE18">
        <f t="shared" si="26"/>
        <v>-2.5000000647423803E-7</v>
      </c>
      <c r="CF18">
        <f t="shared" si="27"/>
        <v>2.5000001357966539E-7</v>
      </c>
      <c r="CG18">
        <f t="shared" si="28"/>
        <v>2.4999999936881068E-7</v>
      </c>
      <c r="CJ18" t="s">
        <v>238</v>
      </c>
    </row>
    <row r="19" spans="1:88" ht="15.75" hidden="1" customHeight="1" outlineLevel="1" thickBot="1" x14ac:dyDescent="0.3">
      <c r="A19" s="10"/>
      <c r="B19" s="30" t="s">
        <v>63</v>
      </c>
      <c r="C19" s="31" t="s">
        <v>242</v>
      </c>
      <c r="D19" s="30">
        <v>33947718</v>
      </c>
      <c r="E19" s="31">
        <v>10</v>
      </c>
      <c r="F19" s="31">
        <v>32</v>
      </c>
      <c r="G19" s="31">
        <v>30</v>
      </c>
      <c r="I19" s="32">
        <f t="shared" si="0"/>
        <v>35.963302499999998</v>
      </c>
      <c r="J19" s="33">
        <f t="shared" si="1"/>
        <v>1.1299980752756342</v>
      </c>
      <c r="K19" s="33">
        <f t="shared" si="2"/>
        <v>0.26469714400243338</v>
      </c>
      <c r="L19" s="33">
        <f t="shared" si="3"/>
        <v>0.19620829889066477</v>
      </c>
      <c r="M19" s="33">
        <f t="shared" si="4"/>
        <v>0.86530093127320074</v>
      </c>
      <c r="N19" s="30">
        <f t="shared" si="5"/>
        <v>8985864</v>
      </c>
      <c r="O19" s="33">
        <f t="shared" si="6"/>
        <v>1.1610769444502456</v>
      </c>
      <c r="P19" s="34">
        <v>33039030</v>
      </c>
      <c r="Q19" s="34">
        <v>1032469.6875</v>
      </c>
      <c r="R19" s="34">
        <v>17754.53125</v>
      </c>
      <c r="S19" s="35">
        <v>38360856</v>
      </c>
      <c r="T19" s="35">
        <v>6660824</v>
      </c>
      <c r="U19" s="35">
        <v>2325040</v>
      </c>
      <c r="V19" s="35">
        <v>29374992</v>
      </c>
      <c r="W19" s="36">
        <v>71.149227999999994</v>
      </c>
      <c r="X19" s="36">
        <v>75.004366000000005</v>
      </c>
      <c r="Y19" s="36">
        <v>39.554530999999997</v>
      </c>
      <c r="Z19" s="36">
        <v>47.858969000000002</v>
      </c>
      <c r="AA19" s="36">
        <v>48.457106000000003</v>
      </c>
      <c r="AB19" s="37">
        <v>4736.41</v>
      </c>
      <c r="AC19" s="37">
        <v>1332.29</v>
      </c>
      <c r="AD19" s="37">
        <v>11.31</v>
      </c>
      <c r="AE19" s="37">
        <v>17.413</v>
      </c>
      <c r="AG19" s="32">
        <f t="shared" si="7"/>
        <v>35.963302499999998</v>
      </c>
      <c r="AH19" s="33">
        <f t="shared" si="8"/>
        <v>1.1299980752756342</v>
      </c>
      <c r="AI19" s="33">
        <f t="shared" si="9"/>
        <v>0.26469714400243338</v>
      </c>
      <c r="AJ19" s="33">
        <f t="shared" si="10"/>
        <v>0.19620829889066477</v>
      </c>
      <c r="AK19" s="33">
        <f t="shared" si="11"/>
        <v>0.86530093127320074</v>
      </c>
      <c r="AL19" s="30">
        <f t="shared" si="12"/>
        <v>8985864</v>
      </c>
      <c r="AM19" s="33">
        <f t="shared" si="13"/>
        <v>1.1610769444502456</v>
      </c>
      <c r="AN19" s="34">
        <v>33039030</v>
      </c>
      <c r="AO19" s="34">
        <v>1032469.6875</v>
      </c>
      <c r="AP19" s="34">
        <v>17754.53125</v>
      </c>
      <c r="AQ19" s="35">
        <v>38360856</v>
      </c>
      <c r="AR19" s="35">
        <v>6660824</v>
      </c>
      <c r="AS19" s="35">
        <v>2325040</v>
      </c>
      <c r="AT19" s="35">
        <v>29374992</v>
      </c>
      <c r="AU19" s="36">
        <v>71.149228125000022</v>
      </c>
      <c r="AV19" s="36">
        <v>75.004365625000005</v>
      </c>
      <c r="AW19" s="36">
        <v>39.554531249999997</v>
      </c>
      <c r="AX19" s="36">
        <v>47.858968750000003</v>
      </c>
      <c r="AY19" s="36">
        <v>48.457106250000002</v>
      </c>
      <c r="AZ19" s="37">
        <v>4755.01</v>
      </c>
      <c r="BA19" s="37">
        <v>2166.41</v>
      </c>
      <c r="BB19" s="37">
        <v>15.108000000000001</v>
      </c>
      <c r="BC19" s="37">
        <v>16.239999999999998</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1.2500002810611477E-7</v>
      </c>
      <c r="CD19">
        <f t="shared" si="25"/>
        <v>-3.7499999905321602E-7</v>
      </c>
      <c r="CE19">
        <f t="shared" si="26"/>
        <v>2.4999999936881068E-7</v>
      </c>
      <c r="CF19">
        <f t="shared" si="27"/>
        <v>-2.4999999936881068E-7</v>
      </c>
      <c r="CG19">
        <f t="shared" si="28"/>
        <v>2.4999999936881068E-7</v>
      </c>
      <c r="CJ19" t="s">
        <v>238</v>
      </c>
    </row>
    <row r="20" spans="1:88" collapsed="1" x14ac:dyDescent="0.25">
      <c r="A20" s="20"/>
      <c r="B20" s="20" t="s">
        <v>69</v>
      </c>
      <c r="C20" s="21" t="s">
        <v>237</v>
      </c>
      <c r="D20" s="20">
        <v>32209643</v>
      </c>
      <c r="E20" s="21">
        <v>10</v>
      </c>
      <c r="F20" s="21">
        <v>32</v>
      </c>
      <c r="G20" s="21">
        <v>50</v>
      </c>
      <c r="I20" s="22">
        <f t="shared" si="0"/>
        <v>5.1864875000000001</v>
      </c>
      <c r="J20" s="23">
        <f t="shared" si="1"/>
        <v>0.10305460386505991</v>
      </c>
      <c r="K20" s="23">
        <f t="shared" si="2"/>
        <v>5.9954964418574896E-2</v>
      </c>
      <c r="L20" s="23">
        <f t="shared" si="3"/>
        <v>2.9437395502955436E-2</v>
      </c>
      <c r="M20" s="23">
        <f t="shared" si="4"/>
        <v>4.3099639446485018E-2</v>
      </c>
      <c r="N20" s="20">
        <f t="shared" si="5"/>
        <v>1931128</v>
      </c>
      <c r="O20" s="23">
        <f t="shared" si="6"/>
        <v>0.10964172790515804</v>
      </c>
      <c r="P20" s="24">
        <v>30274532</v>
      </c>
      <c r="Q20" s="24">
        <v>946079.125</v>
      </c>
      <c r="R20" s="24">
        <v>27842.25</v>
      </c>
      <c r="S20" s="25">
        <v>3319352</v>
      </c>
      <c r="T20" s="25">
        <v>948168</v>
      </c>
      <c r="U20" s="25">
        <v>982960</v>
      </c>
      <c r="V20" s="25">
        <v>1388224</v>
      </c>
      <c r="W20" s="26">
        <v>67.105800000000002</v>
      </c>
      <c r="X20" s="26">
        <v>68.817099999999996</v>
      </c>
      <c r="Y20" s="26">
        <v>30.704668999999999</v>
      </c>
      <c r="Z20" s="26">
        <v>39.516744000000003</v>
      </c>
      <c r="AA20" s="26">
        <v>38.250819</v>
      </c>
      <c r="AB20" s="27">
        <v>6358.23</v>
      </c>
      <c r="AC20" s="27">
        <v>1268.8499999999999</v>
      </c>
      <c r="AD20" s="27">
        <v>12.385999999999999</v>
      </c>
      <c r="AE20" s="27">
        <v>22.521000000000001</v>
      </c>
      <c r="AG20" s="22">
        <f t="shared" si="7"/>
        <v>5.1864875000000001</v>
      </c>
      <c r="AH20" s="23">
        <f t="shared" si="8"/>
        <v>0.10305460386505991</v>
      </c>
      <c r="AI20" s="23">
        <f t="shared" si="9"/>
        <v>5.9954964418574896E-2</v>
      </c>
      <c r="AJ20" s="23">
        <f t="shared" si="10"/>
        <v>2.9437395502955436E-2</v>
      </c>
      <c r="AK20" s="23">
        <f t="shared" si="11"/>
        <v>4.3099639446485018E-2</v>
      </c>
      <c r="AL20" s="20">
        <f t="shared" si="12"/>
        <v>1931128</v>
      </c>
      <c r="AM20" s="23">
        <f t="shared" si="13"/>
        <v>0.10964172790515804</v>
      </c>
      <c r="AN20" s="24">
        <v>30274532</v>
      </c>
      <c r="AO20" s="24">
        <v>946079.125</v>
      </c>
      <c r="AP20" s="24">
        <v>27842.25</v>
      </c>
      <c r="AQ20" s="25">
        <v>3319352</v>
      </c>
      <c r="AR20" s="25">
        <v>948168</v>
      </c>
      <c r="AS20" s="25">
        <v>982960</v>
      </c>
      <c r="AT20" s="25">
        <v>1388224</v>
      </c>
      <c r="AU20" s="26">
        <v>67.105800000000002</v>
      </c>
      <c r="AV20" s="26">
        <v>68.817099999999996</v>
      </c>
      <c r="AW20" s="26">
        <v>30.70466875</v>
      </c>
      <c r="AX20" s="26">
        <v>39.516743750000003</v>
      </c>
      <c r="AY20" s="26">
        <v>38.250818749999993</v>
      </c>
      <c r="AZ20" s="27">
        <v>4484.74</v>
      </c>
      <c r="BA20" s="27">
        <v>1800.88</v>
      </c>
      <c r="BB20" s="27">
        <v>14.923999999999999</v>
      </c>
      <c r="BC20" s="27">
        <v>11.084</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-4.238950412904785E-8</v>
      </c>
      <c r="BK20" s="28">
        <f>IF( OR(ISBLANK(N20:N24),ISBLANK(AL20:AL24), ISBLANK(X20:X24),ISBLANK(AV20:AV24)), "·", bdRateExtend( N20:N24,X20:X24, AL20:AL24,AV20:AV24))</f>
        <v>3.0518313209881853E-8</v>
      </c>
      <c r="BL20" s="28">
        <f>IF( OR(ISBLANK(V20:V24),ISBLANK(AT20:AT24), ISBLANK(Y20:Y24),ISBLANK(AW20:AW24)), "·", bdRateExtend( V20:V24,Y20:Y24, AT20:AT24,AW20:AW24))</f>
        <v>-3.3818897504644951E-7</v>
      </c>
      <c r="BM20" s="28">
        <f>IF( OR(ISBLANK(V20:V24),ISBLANK(AT20:AT24), ISBLANK(Z20:Z24),ISBLANK(AX20:AX24)), "·", bdRateExtend( V20:V24,Z20:Z24, AT20:AT24,AX20:AX24))</f>
        <v>1.37801268174087E-8</v>
      </c>
      <c r="BN20" s="28">
        <f>IF( OR(ISBLANK(V20:V24),ISBLANK(AT20:AT24), ISBLANK(AA20:AA24),ISBLANK(AY20:AY24)), "·", bdRateExtend( V20:V24,AA20:AA24, AT20:AT24,AY20:AY24))</f>
        <v>-4.5669282022764435E-8</v>
      </c>
      <c r="BP20" s="28">
        <f>IF( OR(ISBLANK(S20:S24),ISBLANK(AQ20:AQ24), ISBLANK(W20:W24),ISBLANK(AU20:AU24)), "·", bdRateExtend( S20:S24,W20:W24, AQ20:AQ24,AU20:AU24))</f>
        <v>-6.1276107299335081E-8</v>
      </c>
      <c r="BQ20" s="28">
        <f>IF( OR(ISBLANK(S20:S24),ISBLANK(AQ20:AQ24), ISBLANK(X20:X24),ISBLANK(AV20:AV24)), "·", bdRateExtend( S20:S24,X20:X24, AQ20:AQ24,AV20:AV24))</f>
        <v>5.4842240304608936E-8</v>
      </c>
      <c r="BR20" s="28">
        <f>IF( OR(ISBLANK(S20:S24),ISBLANK(AQ20:AQ24), ISBLANK(Y20:Y24),ISBLANK(AW20:AW24)), "·", bdRateExtend( S20:S24,Y20:Y24, AQ20:AQ24,AW20:AW24))</f>
        <v>-2.9523090450123135E-7</v>
      </c>
      <c r="BS20" s="28">
        <f>IF( OR(ISBLANK(S20:S24),ISBLANK(AQ20:AQ24), ISBLANK(Z20:Z24),ISBLANK(AX20:AX24)), "·", bdRateExtend( S20:S24,Z20:Z24, AQ20:AQ24,AX20:AX24))</f>
        <v>7.2482233548498698E-9</v>
      </c>
      <c r="BT20" s="28">
        <f>IF( OR(ISBLANK(S20:S24),ISBLANK(AQ20:AQ24), ISBLANK(AA20:AA24),ISBLANK(AY20:AY24)), "·", bdRateExtend( S20:S24,AA20:AA24, AQ20:AQ24,AY20:AY24))</f>
        <v>-5.1964523573033716E-8</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-2.4999999936881068E-7</v>
      </c>
      <c r="CF20">
        <f t="shared" si="27"/>
        <v>-2.4999999936881068E-7</v>
      </c>
      <c r="CG20">
        <f t="shared" si="28"/>
        <v>-2.5000000647423803E-7</v>
      </c>
      <c r="CJ20" t="s">
        <v>244</v>
      </c>
    </row>
    <row r="21" spans="1:88" hidden="1" outlineLevel="1" x14ac:dyDescent="0.25">
      <c r="A21" s="10"/>
      <c r="B21" s="10" t="s">
        <v>69</v>
      </c>
      <c r="C21" s="11" t="s">
        <v>239</v>
      </c>
      <c r="D21" s="10">
        <v>32209643</v>
      </c>
      <c r="E21" s="11">
        <v>10</v>
      </c>
      <c r="F21" s="11">
        <v>32</v>
      </c>
      <c r="G21" s="11">
        <v>50</v>
      </c>
      <c r="I21" s="12">
        <f t="shared" si="0"/>
        <v>7.7664</v>
      </c>
      <c r="J21" s="13">
        <f t="shared" si="1"/>
        <v>0.15431701618052707</v>
      </c>
      <c r="K21" s="13">
        <f t="shared" si="2"/>
        <v>7.1184893294222479E-2</v>
      </c>
      <c r="L21" s="13">
        <f t="shared" si="3"/>
        <v>4.0667324378603015E-2</v>
      </c>
      <c r="M21" s="13">
        <f t="shared" si="4"/>
        <v>8.3132122886304574E-2</v>
      </c>
      <c r="N21" s="10">
        <f t="shared" si="5"/>
        <v>2292840</v>
      </c>
      <c r="O21" s="13">
        <f t="shared" si="6"/>
        <v>0.15776605749018172</v>
      </c>
      <c r="P21" s="14">
        <v>31505484</v>
      </c>
      <c r="Q21" s="14">
        <v>984546.375</v>
      </c>
      <c r="R21" s="14">
        <v>33029.375</v>
      </c>
      <c r="S21" s="15">
        <v>4970496</v>
      </c>
      <c r="T21" s="15">
        <v>1309880</v>
      </c>
      <c r="U21" s="15">
        <v>982960</v>
      </c>
      <c r="V21" s="15">
        <v>2677656</v>
      </c>
      <c r="W21" s="16">
        <v>68.686527999999996</v>
      </c>
      <c r="X21" s="16">
        <v>70.761815999999996</v>
      </c>
      <c r="Y21" s="16">
        <v>32.563856000000001</v>
      </c>
      <c r="Z21" s="16">
        <v>40.663400000000003</v>
      </c>
      <c r="AA21" s="16">
        <v>39.598672000000001</v>
      </c>
      <c r="AB21" s="17">
        <v>6977.51</v>
      </c>
      <c r="AC21" s="17">
        <v>1344.33</v>
      </c>
      <c r="AD21" s="17">
        <v>13.443</v>
      </c>
      <c r="AE21" s="17">
        <v>22.745999999999999</v>
      </c>
      <c r="AG21" s="12">
        <f t="shared" si="7"/>
        <v>7.7664</v>
      </c>
      <c r="AH21" s="13">
        <f t="shared" si="8"/>
        <v>0.15431701618052707</v>
      </c>
      <c r="AI21" s="13">
        <f t="shared" si="9"/>
        <v>7.1184893294222479E-2</v>
      </c>
      <c r="AJ21" s="13">
        <f t="shared" si="10"/>
        <v>4.0667324378603015E-2</v>
      </c>
      <c r="AK21" s="13">
        <f t="shared" si="11"/>
        <v>8.3132122886304574E-2</v>
      </c>
      <c r="AL21" s="10">
        <f t="shared" si="12"/>
        <v>2292840</v>
      </c>
      <c r="AM21" s="13">
        <f t="shared" si="13"/>
        <v>0.15776605749018172</v>
      </c>
      <c r="AN21" s="14">
        <v>31505484</v>
      </c>
      <c r="AO21" s="14">
        <v>984546.375</v>
      </c>
      <c r="AP21" s="14">
        <v>33029.375</v>
      </c>
      <c r="AQ21" s="15">
        <v>4970496</v>
      </c>
      <c r="AR21" s="15">
        <v>1309880</v>
      </c>
      <c r="AS21" s="15">
        <v>982960</v>
      </c>
      <c r="AT21" s="15">
        <v>2677656</v>
      </c>
      <c r="AU21" s="16">
        <v>68.686528125000009</v>
      </c>
      <c r="AV21" s="16">
        <v>70.761815624999997</v>
      </c>
      <c r="AW21" s="16">
        <v>32.563856249999994</v>
      </c>
      <c r="AX21" s="16">
        <v>40.66340000000001</v>
      </c>
      <c r="AY21" s="16">
        <v>39.598671875000001</v>
      </c>
      <c r="AZ21" s="17">
        <v>4355.34</v>
      </c>
      <c r="BA21" s="17">
        <v>1913.28</v>
      </c>
      <c r="BB21" s="17">
        <v>15.012</v>
      </c>
      <c r="BC21" s="17">
        <v>12.456</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1.2500001389526005E-7</v>
      </c>
      <c r="CD21">
        <f t="shared" si="25"/>
        <v>-3.7499999905321602E-7</v>
      </c>
      <c r="CE21">
        <f t="shared" si="26"/>
        <v>2.4999999226338332E-7</v>
      </c>
      <c r="CF21">
        <f t="shared" si="27"/>
        <v>0</v>
      </c>
      <c r="CG21">
        <f t="shared" si="28"/>
        <v>-1.2499999968440534E-7</v>
      </c>
      <c r="CJ21" t="s">
        <v>244</v>
      </c>
    </row>
    <row r="22" spans="1:88" hidden="1" outlineLevel="1" x14ac:dyDescent="0.25">
      <c r="A22" s="20"/>
      <c r="B22" s="20" t="s">
        <v>69</v>
      </c>
      <c r="C22" s="21" t="s">
        <v>240</v>
      </c>
      <c r="D22" s="20">
        <v>32209643</v>
      </c>
      <c r="E22" s="21">
        <v>10</v>
      </c>
      <c r="F22" s="21">
        <v>32</v>
      </c>
      <c r="G22" s="21">
        <v>50</v>
      </c>
      <c r="I22" s="22">
        <f t="shared" si="0"/>
        <v>12.712025000000001</v>
      </c>
      <c r="J22" s="23">
        <f t="shared" si="1"/>
        <v>0.25258572409511026</v>
      </c>
      <c r="K22" s="23">
        <f t="shared" si="2"/>
        <v>8.8652208905264804E-2</v>
      </c>
      <c r="L22" s="23">
        <f t="shared" si="3"/>
        <v>5.813463998964534E-2</v>
      </c>
      <c r="M22" s="23">
        <f t="shared" si="4"/>
        <v>0.16393351518984547</v>
      </c>
      <c r="N22" s="20">
        <f t="shared" si="5"/>
        <v>2855456</v>
      </c>
      <c r="O22" s="23">
        <f t="shared" si="6"/>
        <v>0.24852633588660714</v>
      </c>
      <c r="P22" s="24">
        <v>32735750</v>
      </c>
      <c r="Q22" s="24">
        <v>1022992.1875</v>
      </c>
      <c r="R22" s="24">
        <v>35066.4375</v>
      </c>
      <c r="S22" s="25">
        <v>8135696</v>
      </c>
      <c r="T22" s="25">
        <v>1872496</v>
      </c>
      <c r="U22" s="25">
        <v>982960</v>
      </c>
      <c r="V22" s="25">
        <v>5280240</v>
      </c>
      <c r="W22" s="26">
        <v>69.861822000000004</v>
      </c>
      <c r="X22" s="26">
        <v>72.258756000000005</v>
      </c>
      <c r="Y22" s="26">
        <v>34.406353000000003</v>
      </c>
      <c r="Z22" s="26">
        <v>41.679394000000002</v>
      </c>
      <c r="AA22" s="26">
        <v>40.627628000000001</v>
      </c>
      <c r="AB22" s="27">
        <v>6274.44</v>
      </c>
      <c r="AC22" s="27">
        <v>1416.37</v>
      </c>
      <c r="AD22" s="27">
        <v>13.061999999999999</v>
      </c>
      <c r="AE22" s="27">
        <v>23.847000000000001</v>
      </c>
      <c r="AG22" s="22">
        <f t="shared" si="7"/>
        <v>12.712025000000001</v>
      </c>
      <c r="AH22" s="23">
        <f t="shared" si="8"/>
        <v>0.25258572409511026</v>
      </c>
      <c r="AI22" s="23">
        <f t="shared" si="9"/>
        <v>8.8652208905264804E-2</v>
      </c>
      <c r="AJ22" s="23">
        <f t="shared" si="10"/>
        <v>5.813463998964534E-2</v>
      </c>
      <c r="AK22" s="23">
        <f t="shared" si="11"/>
        <v>0.16393351518984547</v>
      </c>
      <c r="AL22" s="20">
        <f t="shared" si="12"/>
        <v>2855456</v>
      </c>
      <c r="AM22" s="23">
        <f t="shared" si="13"/>
        <v>0.24852633588660714</v>
      </c>
      <c r="AN22" s="24">
        <v>32735750</v>
      </c>
      <c r="AO22" s="24">
        <v>1022992.1875</v>
      </c>
      <c r="AP22" s="24">
        <v>35066.4375</v>
      </c>
      <c r="AQ22" s="25">
        <v>8135696</v>
      </c>
      <c r="AR22" s="25">
        <v>1872496</v>
      </c>
      <c r="AS22" s="25">
        <v>982960</v>
      </c>
      <c r="AT22" s="25">
        <v>5280240</v>
      </c>
      <c r="AU22" s="26">
        <v>69.861821875000004</v>
      </c>
      <c r="AV22" s="26">
        <v>72.258756250000005</v>
      </c>
      <c r="AW22" s="26">
        <v>34.406353125000003</v>
      </c>
      <c r="AX22" s="26">
        <v>41.679393750000003</v>
      </c>
      <c r="AY22" s="26">
        <v>40.627628125000001</v>
      </c>
      <c r="AZ22" s="27">
        <v>4474.26</v>
      </c>
      <c r="BA22" s="27">
        <v>2037.62</v>
      </c>
      <c r="BB22" s="27">
        <v>15.06</v>
      </c>
      <c r="BC22" s="27">
        <v>13.103999999999999</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-1.2499999968440534E-7</v>
      </c>
      <c r="CD22">
        <f t="shared" si="25"/>
        <v>2.4999999936881068E-7</v>
      </c>
      <c r="CE22">
        <f t="shared" si="26"/>
        <v>1.2499999968440534E-7</v>
      </c>
      <c r="CF22">
        <f t="shared" si="27"/>
        <v>-2.4999999936881068E-7</v>
      </c>
      <c r="CG22">
        <f t="shared" si="28"/>
        <v>1.2499999968440534E-7</v>
      </c>
      <c r="CJ22" t="s">
        <v>244</v>
      </c>
    </row>
    <row r="23" spans="1:88" hidden="1" outlineLevel="1" x14ac:dyDescent="0.25">
      <c r="A23" s="10"/>
      <c r="B23" s="10" t="s">
        <v>69</v>
      </c>
      <c r="C23" s="11" t="s">
        <v>241</v>
      </c>
      <c r="D23" s="10">
        <v>32209643</v>
      </c>
      <c r="E23" s="11">
        <v>10</v>
      </c>
      <c r="F23" s="11">
        <v>32</v>
      </c>
      <c r="G23" s="11">
        <v>50</v>
      </c>
      <c r="I23" s="12">
        <f t="shared" si="0"/>
        <v>22.567150000000002</v>
      </c>
      <c r="J23" s="13">
        <f t="shared" si="1"/>
        <v>0.44840534246219371</v>
      </c>
      <c r="K23" s="13">
        <f t="shared" si="2"/>
        <v>0.11921398818360079</v>
      </c>
      <c r="L23" s="13">
        <f t="shared" si="3"/>
        <v>8.869641926798133E-2</v>
      </c>
      <c r="M23" s="13">
        <f t="shared" si="4"/>
        <v>0.32919135427859292</v>
      </c>
      <c r="N23" s="10">
        <f t="shared" si="5"/>
        <v>3839840</v>
      </c>
      <c r="O23" s="13">
        <f t="shared" si="6"/>
        <v>0.44034953621906109</v>
      </c>
      <c r="P23" s="14">
        <v>32798890</v>
      </c>
      <c r="Q23" s="14">
        <v>1024965.3125</v>
      </c>
      <c r="R23" s="14">
        <v>36962.65625</v>
      </c>
      <c r="S23" s="15">
        <v>14442976</v>
      </c>
      <c r="T23" s="15">
        <v>2856880</v>
      </c>
      <c r="U23" s="15">
        <v>982960</v>
      </c>
      <c r="V23" s="15">
        <v>10603136</v>
      </c>
      <c r="W23" s="16">
        <v>70.888133999999994</v>
      </c>
      <c r="X23" s="16">
        <v>73.610840999999994</v>
      </c>
      <c r="Y23" s="16">
        <v>35.937866</v>
      </c>
      <c r="Z23" s="16">
        <v>42.840609000000001</v>
      </c>
      <c r="AA23" s="16">
        <v>41.690131000000001</v>
      </c>
      <c r="AB23" s="17">
        <v>6344.69</v>
      </c>
      <c r="AC23" s="17">
        <v>1537.81</v>
      </c>
      <c r="AD23" s="17">
        <v>13.346</v>
      </c>
      <c r="AE23" s="17">
        <v>24.58</v>
      </c>
      <c r="AG23" s="12">
        <f t="shared" si="7"/>
        <v>22.567150000000002</v>
      </c>
      <c r="AH23" s="13">
        <f t="shared" si="8"/>
        <v>0.44840534246219371</v>
      </c>
      <c r="AI23" s="13">
        <f t="shared" si="9"/>
        <v>0.11921398818360079</v>
      </c>
      <c r="AJ23" s="13">
        <f t="shared" si="10"/>
        <v>8.869641926798133E-2</v>
      </c>
      <c r="AK23" s="13">
        <f t="shared" si="11"/>
        <v>0.32919135427859292</v>
      </c>
      <c r="AL23" s="10">
        <f t="shared" si="12"/>
        <v>3839840</v>
      </c>
      <c r="AM23" s="13">
        <f t="shared" si="13"/>
        <v>0.44034953621906109</v>
      </c>
      <c r="AN23" s="14">
        <v>32798890</v>
      </c>
      <c r="AO23" s="14">
        <v>1024965.3125</v>
      </c>
      <c r="AP23" s="14">
        <v>36962.65625</v>
      </c>
      <c r="AQ23" s="15">
        <v>14442976</v>
      </c>
      <c r="AR23" s="15">
        <v>2856880</v>
      </c>
      <c r="AS23" s="15">
        <v>982960</v>
      </c>
      <c r="AT23" s="15">
        <v>10603136</v>
      </c>
      <c r="AU23" s="16">
        <v>70.888134374999979</v>
      </c>
      <c r="AV23" s="16">
        <v>73.610840625000023</v>
      </c>
      <c r="AW23" s="16">
        <v>35.937868749999993</v>
      </c>
      <c r="AX23" s="16">
        <v>42.840609375000007</v>
      </c>
      <c r="AY23" s="16">
        <v>41.690131250000007</v>
      </c>
      <c r="AZ23" s="17">
        <v>4425.28</v>
      </c>
      <c r="BA23" s="17">
        <v>2171.5</v>
      </c>
      <c r="BB23" s="17">
        <v>15.028</v>
      </c>
      <c r="BC23" s="17">
        <v>11.208</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3.749999848423613E-7</v>
      </c>
      <c r="CD23">
        <f t="shared" si="25"/>
        <v>-3.7499997063150659E-7</v>
      </c>
      <c r="CE23">
        <f t="shared" si="26"/>
        <v>2.7499999930569174E-6</v>
      </c>
      <c r="CF23">
        <f t="shared" si="27"/>
        <v>3.7500000615864337E-7</v>
      </c>
      <c r="CG23">
        <f t="shared" si="28"/>
        <v>2.5000000647423803E-7</v>
      </c>
      <c r="CJ23" t="s">
        <v>244</v>
      </c>
    </row>
    <row r="24" spans="1:88" ht="15.75" hidden="1" customHeight="1" outlineLevel="1" thickBot="1" x14ac:dyDescent="0.3">
      <c r="A24" s="40"/>
      <c r="B24" s="40" t="s">
        <v>69</v>
      </c>
      <c r="C24" s="41" t="s">
        <v>242</v>
      </c>
      <c r="D24" s="40">
        <v>32209643</v>
      </c>
      <c r="E24" s="41">
        <v>10</v>
      </c>
      <c r="F24" s="41">
        <v>32</v>
      </c>
      <c r="G24" s="41">
        <v>50</v>
      </c>
      <c r="I24" s="42">
        <f t="shared" si="0"/>
        <v>39.617637500000001</v>
      </c>
      <c r="J24" s="43">
        <f t="shared" si="1"/>
        <v>0.78719556127958323</v>
      </c>
      <c r="K24" s="43">
        <f t="shared" si="2"/>
        <v>0.19719262333953841</v>
      </c>
      <c r="L24" s="43">
        <f t="shared" si="3"/>
        <v>0.13932001667947702</v>
      </c>
      <c r="M24" s="43">
        <f t="shared" si="4"/>
        <v>0.59000293794004488</v>
      </c>
      <c r="N24" s="40">
        <f t="shared" si="5"/>
        <v>6351504</v>
      </c>
      <c r="O24" s="43">
        <f t="shared" si="6"/>
        <v>0.80680201949272634</v>
      </c>
      <c r="P24" s="44">
        <v>31426902</v>
      </c>
      <c r="Q24" s="44">
        <v>982090.6875</v>
      </c>
      <c r="R24" s="44">
        <v>18270.09375</v>
      </c>
      <c r="S24" s="45">
        <v>25355288</v>
      </c>
      <c r="T24" s="45">
        <v>4487448</v>
      </c>
      <c r="U24" s="45">
        <v>1864056</v>
      </c>
      <c r="V24" s="45">
        <v>19003784</v>
      </c>
      <c r="W24" s="46">
        <v>71.730802999999995</v>
      </c>
      <c r="X24" s="46">
        <v>75.625753000000003</v>
      </c>
      <c r="Y24" s="46">
        <v>37.229371999999998</v>
      </c>
      <c r="Z24" s="46">
        <v>43.646538</v>
      </c>
      <c r="AA24" s="46">
        <v>42.206933999999997</v>
      </c>
      <c r="AB24" s="47">
        <v>8384.81</v>
      </c>
      <c r="AC24" s="47">
        <v>1712.03</v>
      </c>
      <c r="AD24" s="47">
        <v>11.968999999999999</v>
      </c>
      <c r="AE24" s="47">
        <v>25.356000000000002</v>
      </c>
      <c r="AG24" s="42">
        <f t="shared" si="7"/>
        <v>39.617637500000001</v>
      </c>
      <c r="AH24" s="43">
        <f t="shared" si="8"/>
        <v>0.78719556127958323</v>
      </c>
      <c r="AI24" s="43">
        <f t="shared" si="9"/>
        <v>0.19719262333953841</v>
      </c>
      <c r="AJ24" s="43">
        <f t="shared" si="10"/>
        <v>0.13932001667947702</v>
      </c>
      <c r="AK24" s="43">
        <f t="shared" si="11"/>
        <v>0.59000293794004488</v>
      </c>
      <c r="AL24" s="40">
        <f t="shared" si="12"/>
        <v>6351504</v>
      </c>
      <c r="AM24" s="43">
        <f t="shared" si="13"/>
        <v>0.80680201949272634</v>
      </c>
      <c r="AN24" s="44">
        <v>31426902</v>
      </c>
      <c r="AO24" s="44">
        <v>982090.6875</v>
      </c>
      <c r="AP24" s="44">
        <v>18270.09375</v>
      </c>
      <c r="AQ24" s="45">
        <v>25355288</v>
      </c>
      <c r="AR24" s="45">
        <v>4487448</v>
      </c>
      <c r="AS24" s="45">
        <v>1864056</v>
      </c>
      <c r="AT24" s="45">
        <v>19003784</v>
      </c>
      <c r="AU24" s="46">
        <v>71.730803125000023</v>
      </c>
      <c r="AV24" s="46">
        <v>75.625753124999974</v>
      </c>
      <c r="AW24" s="46">
        <v>37.229371874999991</v>
      </c>
      <c r="AX24" s="46">
        <v>43.646537500000001</v>
      </c>
      <c r="AY24" s="46">
        <v>42.206934375000003</v>
      </c>
      <c r="AZ24" s="47">
        <v>4247.08</v>
      </c>
      <c r="BA24" s="47">
        <v>1995.51</v>
      </c>
      <c r="BB24" s="47">
        <v>14.72</v>
      </c>
      <c r="BC24" s="47">
        <v>12.956</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1.2500002810611477E-7</v>
      </c>
      <c r="CD24">
        <f t="shared" si="25"/>
        <v>1.2499997126269591E-7</v>
      </c>
      <c r="CE24">
        <f t="shared" si="26"/>
        <v>-1.250000067898327E-7</v>
      </c>
      <c r="CF24">
        <f t="shared" si="27"/>
        <v>-4.9999999873762135E-7</v>
      </c>
      <c r="CG24">
        <f t="shared" si="28"/>
        <v>3.7500000615864337E-7</v>
      </c>
      <c r="CJ24" t="s">
        <v>244</v>
      </c>
    </row>
    <row r="25" spans="1:88" collapsed="1" x14ac:dyDescent="0.25">
      <c r="A25" s="10" t="s">
        <v>245</v>
      </c>
      <c r="B25" s="10" t="s">
        <v>72</v>
      </c>
      <c r="C25" s="11" t="s">
        <v>237</v>
      </c>
      <c r="D25" s="10">
        <v>25312408</v>
      </c>
      <c r="E25" s="11">
        <v>10</v>
      </c>
      <c r="F25" s="11">
        <v>32</v>
      </c>
      <c r="G25" s="11">
        <v>30</v>
      </c>
      <c r="I25" s="12">
        <f t="shared" si="0"/>
        <v>4.3931100000000001</v>
      </c>
      <c r="J25" s="13">
        <f t="shared" si="1"/>
        <v>0.18512596668005668</v>
      </c>
      <c r="K25" s="13">
        <f t="shared" si="2"/>
        <v>6.501570297065376E-2</v>
      </c>
      <c r="L25" s="13">
        <f t="shared" si="3"/>
        <v>3.684453885224985E-2</v>
      </c>
      <c r="M25" s="13">
        <f t="shared" si="4"/>
        <v>0.12011026370940292</v>
      </c>
      <c r="N25" s="10">
        <f t="shared" si="5"/>
        <v>1645704</v>
      </c>
      <c r="O25" s="13">
        <f t="shared" si="6"/>
        <v>0.2023579139012934</v>
      </c>
      <c r="P25" s="14">
        <v>23156910</v>
      </c>
      <c r="Q25" s="14">
        <v>723653.4375</v>
      </c>
      <c r="R25" s="14">
        <v>14060.625</v>
      </c>
      <c r="S25" s="15">
        <v>4685984</v>
      </c>
      <c r="T25" s="15">
        <v>932624</v>
      </c>
      <c r="U25" s="15">
        <v>713080</v>
      </c>
      <c r="V25" s="15">
        <v>3040280</v>
      </c>
      <c r="W25" s="16">
        <v>66.208680999999999</v>
      </c>
      <c r="X25" s="16">
        <v>67.982928000000001</v>
      </c>
      <c r="Y25" s="16">
        <v>27.338422000000001</v>
      </c>
      <c r="Z25" s="16">
        <v>33.158383999999998</v>
      </c>
      <c r="AA25" s="16">
        <v>32.589131000000002</v>
      </c>
      <c r="AB25" s="17">
        <v>1356.63</v>
      </c>
      <c r="AC25" s="17">
        <v>852.23099999999999</v>
      </c>
      <c r="AD25" s="17">
        <v>8.5530000000000008</v>
      </c>
      <c r="AE25" s="17">
        <v>13.752000000000001</v>
      </c>
      <c r="AG25" s="12">
        <f t="shared" si="7"/>
        <v>4.3931100000000001</v>
      </c>
      <c r="AH25" s="13">
        <f t="shared" si="8"/>
        <v>0.18512596668005668</v>
      </c>
      <c r="AI25" s="13">
        <f t="shared" si="9"/>
        <v>6.501570297065376E-2</v>
      </c>
      <c r="AJ25" s="13">
        <f t="shared" si="10"/>
        <v>3.684453885224985E-2</v>
      </c>
      <c r="AK25" s="13">
        <f t="shared" si="11"/>
        <v>0.12011026370940292</v>
      </c>
      <c r="AL25" s="10">
        <f t="shared" si="12"/>
        <v>1645704</v>
      </c>
      <c r="AM25" s="13">
        <f t="shared" si="13"/>
        <v>0.2023579139012934</v>
      </c>
      <c r="AN25" s="14">
        <v>23156910</v>
      </c>
      <c r="AO25" s="14">
        <v>723653.4375</v>
      </c>
      <c r="AP25" s="14">
        <v>14060.625</v>
      </c>
      <c r="AQ25" s="15">
        <v>4685984</v>
      </c>
      <c r="AR25" s="15">
        <v>932624</v>
      </c>
      <c r="AS25" s="15">
        <v>713080</v>
      </c>
      <c r="AT25" s="15">
        <v>3040280</v>
      </c>
      <c r="AU25" s="16">
        <v>66.208681249999998</v>
      </c>
      <c r="AV25" s="16">
        <v>67.982928124999987</v>
      </c>
      <c r="AW25" s="16">
        <v>27.338421875000002</v>
      </c>
      <c r="AX25" s="16">
        <v>33.158384374999997</v>
      </c>
      <c r="AY25" s="16">
        <v>32.589131250000008</v>
      </c>
      <c r="AZ25" s="17">
        <v>1569.35</v>
      </c>
      <c r="BA25" s="17">
        <v>1456.7</v>
      </c>
      <c r="BB25" s="17">
        <v>12.6</v>
      </c>
      <c r="BC25" s="17">
        <v>8.64</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2.8546455199673915E-8</v>
      </c>
      <c r="BK25" s="18">
        <f>IF( OR(ISBLANK(N25:N29),ISBLANK(AL25:AL29), ISBLANK(X25:X29),ISBLANK(AV25:AV29)), "·", bdRateExtend( N25:N29,X25:X29, AL25:AL29,AV25:AV29))</f>
        <v>5.5861208991814237E-9</v>
      </c>
      <c r="BL25" s="18">
        <f>IF( OR(ISBLANK(V25:V29),ISBLANK(AT25:AT29), ISBLANK(Y25:Y29),ISBLANK(AW25:AW29)), "·", bdRateExtend( V25:V29,Y25:Y29, AT25:AT29,AW25:AW29))</f>
        <v>1.1937130173222954E-8</v>
      </c>
      <c r="BM25" s="18">
        <f>IF( OR(ISBLANK(V25:V29),ISBLANK(AT25:AT29), ISBLANK(Z25:Z29),ISBLANK(AX25:AX29)), "·", bdRateExtend( V25:V29,Z25:Z29, AT25:AT29,AX25:AX29))</f>
        <v>-5.6659015146287572E-8</v>
      </c>
      <c r="BN25" s="18">
        <f>IF( OR(ISBLANK(V25:V29),ISBLANK(AT25:AT29), ISBLANK(AA25:AA29),ISBLANK(AY25:AY29)), "·", bdRateExtend( V25:V29,AA25:AA29, AT25:AT29,AY25:AY29))</f>
        <v>-1.533673121834056E-8</v>
      </c>
      <c r="BP25" s="18">
        <f>IF( OR(ISBLANK(S25:S29),ISBLANK(AQ25:AQ29), ISBLANK(W25:W29),ISBLANK(AU25:AU29)), "·", bdRateExtend( S25:S29,W25:W29, AQ25:AQ29,AU25:AU29))</f>
        <v>2.3830308171213233E-8</v>
      </c>
      <c r="BQ25" s="18">
        <f>IF( OR(ISBLANK(S25:S29),ISBLANK(AQ25:AQ29), ISBLANK(X25:X29),ISBLANK(AV25:AV29)), "·", bdRateExtend( S25:S29,X25:X29, AQ25:AQ29,AV25:AV29))</f>
        <v>-5.0960173858527469E-9</v>
      </c>
      <c r="BR25" s="18">
        <f>IF( OR(ISBLANK(S25:S29),ISBLANK(AQ25:AQ29), ISBLANK(Y25:Y29),ISBLANK(AW25:AW29)), "·", bdRateExtend( S25:S29,Y25:Y29, AQ25:AQ29,AW25:AW29))</f>
        <v>9.3343777152199436E-9</v>
      </c>
      <c r="BS25" s="18">
        <f>IF( OR(ISBLANK(S25:S29),ISBLANK(AQ25:AQ29), ISBLANK(Z25:Z29),ISBLANK(AX25:AX29)), "·", bdRateExtend( S25:S29,Z25:Z29, AQ25:AQ29,AX25:AX29))</f>
        <v>-4.6741713832787468E-8</v>
      </c>
      <c r="BT25" s="18">
        <f>IF( OR(ISBLANK(S25:S29),ISBLANK(AQ25:AQ29), ISBLANK(AA25:AA29),ISBLANK(AY25:AY29)), "·", bdRateExtend( S25:S29,AA25:AA29, AQ25:AQ29,AY25:AY29))</f>
        <v>-7.4799276772452572E-9</v>
      </c>
      <c r="BV25">
        <f t="shared" si="17"/>
        <v>0</v>
      </c>
      <c r="BW25">
        <f t="shared" si="18"/>
        <v>0</v>
      </c>
      <c r="BX25">
        <f t="shared" si="19"/>
        <v>0</v>
      </c>
      <c r="BY25">
        <f t="shared" si="20"/>
        <v>0</v>
      </c>
      <c r="BZ25">
        <f t="shared" si="21"/>
        <v>0</v>
      </c>
      <c r="CA25">
        <f t="shared" si="22"/>
        <v>0</v>
      </c>
      <c r="CB25">
        <f t="shared" si="23"/>
        <v>0</v>
      </c>
      <c r="CC25">
        <f t="shared" si="24"/>
        <v>2.4999999936881068E-7</v>
      </c>
      <c r="CD25">
        <f t="shared" si="25"/>
        <v>1.2499998547355062E-7</v>
      </c>
      <c r="CE25">
        <f t="shared" si="26"/>
        <v>-1.2499999968440534E-7</v>
      </c>
      <c r="CF25">
        <f t="shared" si="27"/>
        <v>3.7499999905321602E-7</v>
      </c>
      <c r="CG25">
        <f t="shared" si="28"/>
        <v>2.5000000647423803E-7</v>
      </c>
      <c r="CJ25" t="s">
        <v>246</v>
      </c>
    </row>
    <row r="26" spans="1:88" hidden="1" outlineLevel="1" x14ac:dyDescent="0.25">
      <c r="A26" s="20"/>
      <c r="B26" s="20" t="s">
        <v>72</v>
      </c>
      <c r="C26" s="21" t="s">
        <v>239</v>
      </c>
      <c r="D26" s="20">
        <v>25312408</v>
      </c>
      <c r="E26" s="21">
        <v>10</v>
      </c>
      <c r="F26" s="21">
        <v>32</v>
      </c>
      <c r="G26" s="21">
        <v>30</v>
      </c>
      <c r="I26" s="22">
        <f t="shared" si="0"/>
        <v>7.5271650000000001</v>
      </c>
      <c r="J26" s="23">
        <f t="shared" si="1"/>
        <v>0.31719526644798079</v>
      </c>
      <c r="K26" s="23">
        <f t="shared" si="2"/>
        <v>8.0109960300892749E-2</v>
      </c>
      <c r="L26" s="23">
        <f t="shared" si="3"/>
        <v>5.1938796182488839E-2</v>
      </c>
      <c r="M26" s="23">
        <f t="shared" si="4"/>
        <v>0.23708530614708803</v>
      </c>
      <c r="N26" s="20">
        <f t="shared" si="5"/>
        <v>2027776</v>
      </c>
      <c r="O26" s="23">
        <f t="shared" si="6"/>
        <v>0.3268554639515287</v>
      </c>
      <c r="P26" s="24">
        <v>24564301</v>
      </c>
      <c r="Q26" s="24">
        <v>767634.40625</v>
      </c>
      <c r="R26" s="24">
        <v>17714.59375</v>
      </c>
      <c r="S26" s="25">
        <v>8028976</v>
      </c>
      <c r="T26" s="25">
        <v>1314696</v>
      </c>
      <c r="U26" s="25">
        <v>713080</v>
      </c>
      <c r="V26" s="25">
        <v>6001200</v>
      </c>
      <c r="W26" s="26">
        <v>67.941556000000006</v>
      </c>
      <c r="X26" s="26">
        <v>69.941896999999997</v>
      </c>
      <c r="Y26" s="26">
        <v>29.720369000000002</v>
      </c>
      <c r="Z26" s="26">
        <v>34.340333999999999</v>
      </c>
      <c r="AA26" s="26">
        <v>33.888184000000003</v>
      </c>
      <c r="AB26" s="27">
        <v>1347.56</v>
      </c>
      <c r="AC26" s="27">
        <v>912.42499999999995</v>
      </c>
      <c r="AD26" s="27">
        <v>8.7829999999999995</v>
      </c>
      <c r="AE26" s="27">
        <v>14.307</v>
      </c>
      <c r="AG26" s="22">
        <f t="shared" si="7"/>
        <v>7.5271650000000001</v>
      </c>
      <c r="AH26" s="23">
        <f t="shared" si="8"/>
        <v>0.31719526644798079</v>
      </c>
      <c r="AI26" s="23">
        <f t="shared" si="9"/>
        <v>8.0109960300892749E-2</v>
      </c>
      <c r="AJ26" s="23">
        <f t="shared" si="10"/>
        <v>5.1938796182488839E-2</v>
      </c>
      <c r="AK26" s="23">
        <f t="shared" si="11"/>
        <v>0.23708530614708803</v>
      </c>
      <c r="AL26" s="20">
        <f t="shared" si="12"/>
        <v>2027776</v>
      </c>
      <c r="AM26" s="23">
        <f t="shared" si="13"/>
        <v>0.3268554639515287</v>
      </c>
      <c r="AN26" s="24">
        <v>24564301</v>
      </c>
      <c r="AO26" s="24">
        <v>767634.40625</v>
      </c>
      <c r="AP26" s="24">
        <v>17714.59375</v>
      </c>
      <c r="AQ26" s="25">
        <v>8028976</v>
      </c>
      <c r="AR26" s="25">
        <v>1314696</v>
      </c>
      <c r="AS26" s="25">
        <v>713080</v>
      </c>
      <c r="AT26" s="25">
        <v>6001200</v>
      </c>
      <c r="AU26" s="26">
        <v>67.941556250000005</v>
      </c>
      <c r="AV26" s="26">
        <v>69.941896874999998</v>
      </c>
      <c r="AW26" s="26">
        <v>29.720368749999992</v>
      </c>
      <c r="AX26" s="26">
        <v>34.340334374999998</v>
      </c>
      <c r="AY26" s="26">
        <v>33.888184375000009</v>
      </c>
      <c r="AZ26" s="27">
        <v>1560.77</v>
      </c>
      <c r="BA26" s="27">
        <v>1533.17</v>
      </c>
      <c r="BB26" s="27">
        <v>12.875999999999999</v>
      </c>
      <c r="BC26" s="27">
        <v>9.652000000000001</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2.4999999936881068E-7</v>
      </c>
      <c r="CD26">
        <f t="shared" si="25"/>
        <v>-1.2499999968440534E-7</v>
      </c>
      <c r="CE26">
        <f t="shared" si="26"/>
        <v>-2.5000001002695171E-7</v>
      </c>
      <c r="CF26">
        <f t="shared" si="27"/>
        <v>3.7499999905321602E-7</v>
      </c>
      <c r="CG26">
        <f t="shared" si="28"/>
        <v>3.7500000615864337E-7</v>
      </c>
      <c r="CJ26" t="s">
        <v>246</v>
      </c>
    </row>
    <row r="27" spans="1:88" hidden="1" outlineLevel="1" x14ac:dyDescent="0.25">
      <c r="A27" s="10"/>
      <c r="B27" s="10" t="s">
        <v>72</v>
      </c>
      <c r="C27" s="11" t="s">
        <v>240</v>
      </c>
      <c r="D27" s="10">
        <v>25312408</v>
      </c>
      <c r="E27" s="11">
        <v>10</v>
      </c>
      <c r="F27" s="11">
        <v>32</v>
      </c>
      <c r="G27" s="11">
        <v>30</v>
      </c>
      <c r="I27" s="12">
        <f t="shared" si="0"/>
        <v>13.24686</v>
      </c>
      <c r="J27" s="13">
        <f t="shared" si="1"/>
        <v>0.5582236190251042</v>
      </c>
      <c r="K27" s="13">
        <f t="shared" si="2"/>
        <v>0.10281755888258438</v>
      </c>
      <c r="L27" s="13">
        <f t="shared" si="3"/>
        <v>7.4646394764180474E-2</v>
      </c>
      <c r="M27" s="13">
        <f t="shared" si="4"/>
        <v>0.45540606014251983</v>
      </c>
      <c r="N27" s="10">
        <f t="shared" si="5"/>
        <v>2602560</v>
      </c>
      <c r="O27" s="13">
        <f t="shared" si="6"/>
        <v>0.56855435375717278</v>
      </c>
      <c r="P27" s="14">
        <v>24852477</v>
      </c>
      <c r="Q27" s="14">
        <v>776639.90625</v>
      </c>
      <c r="R27" s="14">
        <v>18688.75</v>
      </c>
      <c r="S27" s="15">
        <v>14129984</v>
      </c>
      <c r="T27" s="15">
        <v>1889480</v>
      </c>
      <c r="U27" s="15">
        <v>713080</v>
      </c>
      <c r="V27" s="15">
        <v>11527424</v>
      </c>
      <c r="W27" s="16">
        <v>69.263744000000003</v>
      </c>
      <c r="X27" s="16">
        <v>71.649234000000007</v>
      </c>
      <c r="Y27" s="16">
        <v>32.231909000000002</v>
      </c>
      <c r="Z27" s="16">
        <v>35.582794</v>
      </c>
      <c r="AA27" s="16">
        <v>35.206625000000003</v>
      </c>
      <c r="AB27" s="17">
        <v>1357.64</v>
      </c>
      <c r="AC27" s="17">
        <v>977.221</v>
      </c>
      <c r="AD27" s="17">
        <v>8.7609999999999992</v>
      </c>
      <c r="AE27" s="17">
        <v>15.311999999999999</v>
      </c>
      <c r="AG27" s="12">
        <f t="shared" si="7"/>
        <v>13.24686</v>
      </c>
      <c r="AH27" s="13">
        <f t="shared" si="8"/>
        <v>0.5582236190251042</v>
      </c>
      <c r="AI27" s="13">
        <f t="shared" si="9"/>
        <v>0.10281755888258438</v>
      </c>
      <c r="AJ27" s="13">
        <f t="shared" si="10"/>
        <v>7.4646394764180474E-2</v>
      </c>
      <c r="AK27" s="13">
        <f t="shared" si="11"/>
        <v>0.45540606014251983</v>
      </c>
      <c r="AL27" s="10">
        <f t="shared" si="12"/>
        <v>2602560</v>
      </c>
      <c r="AM27" s="13">
        <f t="shared" si="13"/>
        <v>0.56855435375717278</v>
      </c>
      <c r="AN27" s="14">
        <v>24852477</v>
      </c>
      <c r="AO27" s="14">
        <v>776639.90625</v>
      </c>
      <c r="AP27" s="14">
        <v>18688.75</v>
      </c>
      <c r="AQ27" s="15">
        <v>14129984</v>
      </c>
      <c r="AR27" s="15">
        <v>1889480</v>
      </c>
      <c r="AS27" s="15">
        <v>713080</v>
      </c>
      <c r="AT27" s="15">
        <v>11527424</v>
      </c>
      <c r="AU27" s="16">
        <v>69.263743750000003</v>
      </c>
      <c r="AV27" s="16">
        <v>71.649234374999978</v>
      </c>
      <c r="AW27" s="16">
        <v>32.231909375000008</v>
      </c>
      <c r="AX27" s="16">
        <v>35.582793749999993</v>
      </c>
      <c r="AY27" s="16">
        <v>35.206625000000003</v>
      </c>
      <c r="AZ27" s="17">
        <v>1533.31</v>
      </c>
      <c r="BA27" s="17">
        <v>1825.12</v>
      </c>
      <c r="BB27" s="17">
        <v>9.76</v>
      </c>
      <c r="BC27" s="17">
        <v>7.9039999999999999</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-2.4999999936881068E-7</v>
      </c>
      <c r="CD27">
        <f t="shared" si="25"/>
        <v>3.7499997063150659E-7</v>
      </c>
      <c r="CE27">
        <f t="shared" si="26"/>
        <v>3.7500000615864337E-7</v>
      </c>
      <c r="CF27">
        <f t="shared" si="27"/>
        <v>-2.5000000647423803E-7</v>
      </c>
      <c r="CG27">
        <f t="shared" si="28"/>
        <v>0</v>
      </c>
      <c r="CJ27" t="s">
        <v>246</v>
      </c>
    </row>
    <row r="28" spans="1:88" hidden="1" outlineLevel="1" x14ac:dyDescent="0.25">
      <c r="A28" s="20"/>
      <c r="B28" s="20" t="s">
        <v>72</v>
      </c>
      <c r="C28" s="21" t="s">
        <v>241</v>
      </c>
      <c r="D28" s="20">
        <v>25312408</v>
      </c>
      <c r="E28" s="21">
        <v>10</v>
      </c>
      <c r="F28" s="21">
        <v>32</v>
      </c>
      <c r="G28" s="21">
        <v>30</v>
      </c>
      <c r="I28" s="22">
        <f t="shared" si="0"/>
        <v>24.604582499999999</v>
      </c>
      <c r="J28" s="23">
        <f t="shared" si="1"/>
        <v>1.0368388499426842</v>
      </c>
      <c r="K28" s="23">
        <f t="shared" si="2"/>
        <v>0.14095758886313781</v>
      </c>
      <c r="L28" s="23">
        <f t="shared" si="3"/>
        <v>0.11278642474473388</v>
      </c>
      <c r="M28" s="23">
        <f t="shared" si="4"/>
        <v>0.89588126107954646</v>
      </c>
      <c r="N28" s="20">
        <f t="shared" si="5"/>
        <v>3567976</v>
      </c>
      <c r="O28" s="23">
        <f t="shared" si="6"/>
        <v>1.0283586839491743</v>
      </c>
      <c r="P28" s="24">
        <v>25521142</v>
      </c>
      <c r="Q28" s="24">
        <v>797535.6875</v>
      </c>
      <c r="R28" s="24">
        <v>20922.53125</v>
      </c>
      <c r="S28" s="25">
        <v>26244888</v>
      </c>
      <c r="T28" s="25">
        <v>2854896</v>
      </c>
      <c r="U28" s="25">
        <v>713080</v>
      </c>
      <c r="V28" s="25">
        <v>22676912</v>
      </c>
      <c r="W28" s="26">
        <v>70.432472000000004</v>
      </c>
      <c r="X28" s="26">
        <v>72.970200000000006</v>
      </c>
      <c r="Y28" s="26">
        <v>34.942619000000001</v>
      </c>
      <c r="Z28" s="26">
        <v>37.370328000000001</v>
      </c>
      <c r="AA28" s="26">
        <v>36.938166000000002</v>
      </c>
      <c r="AB28" s="27">
        <v>1930.01</v>
      </c>
      <c r="AC28" s="27">
        <v>1450.21</v>
      </c>
      <c r="AD28" s="27">
        <v>11.629</v>
      </c>
      <c r="AE28" s="27">
        <v>24.164000000000001</v>
      </c>
      <c r="AG28" s="22">
        <f t="shared" si="7"/>
        <v>24.604582499999999</v>
      </c>
      <c r="AH28" s="23">
        <f t="shared" si="8"/>
        <v>1.0368388499426842</v>
      </c>
      <c r="AI28" s="23">
        <f t="shared" si="9"/>
        <v>0.14095758886313781</v>
      </c>
      <c r="AJ28" s="23">
        <f t="shared" si="10"/>
        <v>0.11278642474473388</v>
      </c>
      <c r="AK28" s="23">
        <f t="shared" si="11"/>
        <v>0.89588126107954646</v>
      </c>
      <c r="AL28" s="20">
        <f t="shared" si="12"/>
        <v>3567976</v>
      </c>
      <c r="AM28" s="23">
        <f t="shared" si="13"/>
        <v>1.0283586839491743</v>
      </c>
      <c r="AN28" s="24">
        <v>25521142</v>
      </c>
      <c r="AO28" s="24">
        <v>797535.6875</v>
      </c>
      <c r="AP28" s="24">
        <v>20922.53125</v>
      </c>
      <c r="AQ28" s="25">
        <v>26244888</v>
      </c>
      <c r="AR28" s="25">
        <v>2854896</v>
      </c>
      <c r="AS28" s="25">
        <v>713080</v>
      </c>
      <c r="AT28" s="25">
        <v>22676912</v>
      </c>
      <c r="AU28" s="26">
        <v>70.432471875000005</v>
      </c>
      <c r="AV28" s="26">
        <v>72.970199999999977</v>
      </c>
      <c r="AW28" s="26">
        <v>34.942618749999987</v>
      </c>
      <c r="AX28" s="26">
        <v>37.370328125</v>
      </c>
      <c r="AY28" s="26">
        <v>36.938165625000003</v>
      </c>
      <c r="AZ28" s="27">
        <v>1385.74</v>
      </c>
      <c r="BA28" s="27">
        <v>1987.65</v>
      </c>
      <c r="BB28" s="27">
        <v>9.9720000000000013</v>
      </c>
      <c r="BC28" s="27">
        <v>9.06</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-1.2499999968440534E-7</v>
      </c>
      <c r="CD28">
        <f t="shared" si="25"/>
        <v>0</v>
      </c>
      <c r="CE28">
        <f t="shared" si="26"/>
        <v>-2.5000001357966539E-7</v>
      </c>
      <c r="CF28">
        <f t="shared" si="27"/>
        <v>1.2499999968440534E-7</v>
      </c>
      <c r="CG28">
        <f t="shared" si="28"/>
        <v>-3.7499999905321602E-7</v>
      </c>
      <c r="CJ28" t="s">
        <v>246</v>
      </c>
    </row>
    <row r="29" spans="1:88" ht="15.75" hidden="1" customHeight="1" outlineLevel="1" thickBot="1" x14ac:dyDescent="0.3">
      <c r="A29" s="30"/>
      <c r="B29" s="30" t="s">
        <v>72</v>
      </c>
      <c r="C29" s="31" t="s">
        <v>242</v>
      </c>
      <c r="D29" s="30">
        <v>25312408</v>
      </c>
      <c r="E29" s="31">
        <v>10</v>
      </c>
      <c r="F29" s="31">
        <v>32</v>
      </c>
      <c r="G29" s="31">
        <v>30</v>
      </c>
      <c r="I29" s="32">
        <f t="shared" si="0"/>
        <v>44.305185000000002</v>
      </c>
      <c r="J29" s="33">
        <f t="shared" si="1"/>
        <v>1.8670236352068914</v>
      </c>
      <c r="K29" s="33">
        <f t="shared" si="2"/>
        <v>0.22736232759838573</v>
      </c>
      <c r="L29" s="33">
        <f t="shared" si="3"/>
        <v>0.17444567107167364</v>
      </c>
      <c r="M29" s="33">
        <f t="shared" si="4"/>
        <v>1.6396613076085056</v>
      </c>
      <c r="N29" s="30">
        <f t="shared" si="5"/>
        <v>5755088</v>
      </c>
      <c r="O29" s="33">
        <f t="shared" si="6"/>
        <v>1.923331384451767</v>
      </c>
      <c r="P29" s="34">
        <v>24571358</v>
      </c>
      <c r="Q29" s="34">
        <v>767854.9375</v>
      </c>
      <c r="R29" s="34">
        <v>9744.125</v>
      </c>
      <c r="S29" s="35">
        <v>47258864</v>
      </c>
      <c r="T29" s="35">
        <v>4415640</v>
      </c>
      <c r="U29" s="35">
        <v>1339448</v>
      </c>
      <c r="V29" s="35">
        <v>41503776</v>
      </c>
      <c r="W29" s="36">
        <v>71.152737999999999</v>
      </c>
      <c r="X29" s="36">
        <v>74.905512999999999</v>
      </c>
      <c r="Y29" s="36">
        <v>37.394255999999999</v>
      </c>
      <c r="Z29" s="36">
        <v>39.396478000000002</v>
      </c>
      <c r="AA29" s="36">
        <v>38.749352999999999</v>
      </c>
      <c r="AB29" s="37">
        <v>1935.53</v>
      </c>
      <c r="AC29" s="37">
        <v>1709.01</v>
      </c>
      <c r="AD29" s="37">
        <v>10.170999999999999</v>
      </c>
      <c r="AE29" s="37">
        <v>25.452000000000002</v>
      </c>
      <c r="AG29" s="32">
        <f t="shared" si="7"/>
        <v>44.305185000000002</v>
      </c>
      <c r="AH29" s="33">
        <f t="shared" si="8"/>
        <v>1.8670236352068914</v>
      </c>
      <c r="AI29" s="33">
        <f t="shared" si="9"/>
        <v>0.22736232759838573</v>
      </c>
      <c r="AJ29" s="33">
        <f t="shared" si="10"/>
        <v>0.17444567107167364</v>
      </c>
      <c r="AK29" s="33">
        <f t="shared" si="11"/>
        <v>1.6396613076085056</v>
      </c>
      <c r="AL29" s="30">
        <f t="shared" si="12"/>
        <v>5755088</v>
      </c>
      <c r="AM29" s="33">
        <f t="shared" si="13"/>
        <v>1.923331384451767</v>
      </c>
      <c r="AN29" s="34">
        <v>24571358</v>
      </c>
      <c r="AO29" s="34">
        <v>767854.9375</v>
      </c>
      <c r="AP29" s="34">
        <v>9744.125</v>
      </c>
      <c r="AQ29" s="35">
        <v>47258864</v>
      </c>
      <c r="AR29" s="35">
        <v>4415640</v>
      </c>
      <c r="AS29" s="35">
        <v>1339448</v>
      </c>
      <c r="AT29" s="35">
        <v>41503776</v>
      </c>
      <c r="AU29" s="36">
        <v>71.152737500000001</v>
      </c>
      <c r="AV29" s="36">
        <v>74.9055125</v>
      </c>
      <c r="AW29" s="36">
        <v>37.394256249999998</v>
      </c>
      <c r="AX29" s="36">
        <v>39.396478125000002</v>
      </c>
      <c r="AY29" s="36">
        <v>38.749353125000013</v>
      </c>
      <c r="AZ29" s="37">
        <v>1533.2</v>
      </c>
      <c r="BA29" s="37">
        <v>2365.38</v>
      </c>
      <c r="BB29" s="37">
        <v>11.304</v>
      </c>
      <c r="BC29" s="37">
        <v>12.552</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-4.9999999873762135E-7</v>
      </c>
      <c r="CD29">
        <f t="shared" si="25"/>
        <v>-4.9999999873762135E-7</v>
      </c>
      <c r="CE29">
        <f t="shared" si="26"/>
        <v>2.4999999936881068E-7</v>
      </c>
      <c r="CF29">
        <f t="shared" si="27"/>
        <v>1.2499999968440534E-7</v>
      </c>
      <c r="CG29">
        <f t="shared" si="28"/>
        <v>1.2500001389526005E-7</v>
      </c>
      <c r="CJ29" t="s">
        <v>246</v>
      </c>
    </row>
    <row r="30" spans="1:88" collapsed="1" x14ac:dyDescent="0.25">
      <c r="A30" s="20" t="s">
        <v>247</v>
      </c>
      <c r="B30" s="20" t="s">
        <v>76</v>
      </c>
      <c r="C30" s="21" t="s">
        <v>237</v>
      </c>
      <c r="D30" s="20">
        <v>28802925</v>
      </c>
      <c r="E30" s="21">
        <v>11</v>
      </c>
      <c r="F30" s="21">
        <v>10</v>
      </c>
      <c r="G30" s="21">
        <v>30</v>
      </c>
      <c r="I30" s="22">
        <f t="shared" si="0"/>
        <v>18.342887999999999</v>
      </c>
      <c r="J30" s="23">
        <f t="shared" si="1"/>
        <v>0.21228038471787153</v>
      </c>
      <c r="K30" s="23">
        <f t="shared" si="2"/>
        <v>0.13004845862008807</v>
      </c>
      <c r="L30" s="23">
        <f t="shared" si="3"/>
        <v>8.0489047553330084E-2</v>
      </c>
      <c r="M30" s="23">
        <f t="shared" si="4"/>
        <v>8.2231926097783473E-2</v>
      </c>
      <c r="N30" s="20">
        <f t="shared" si="5"/>
        <v>3745776</v>
      </c>
      <c r="O30" s="23">
        <f t="shared" si="6"/>
        <v>7.256607839876042E-2</v>
      </c>
      <c r="P30" s="24">
        <v>84258322</v>
      </c>
      <c r="Q30" s="24">
        <v>2633072.5625</v>
      </c>
      <c r="R30" s="24">
        <v>32425.28125</v>
      </c>
      <c r="S30" s="25">
        <v>6114296</v>
      </c>
      <c r="T30" s="25">
        <v>2318320</v>
      </c>
      <c r="U30" s="25">
        <v>1427456</v>
      </c>
      <c r="V30" s="25">
        <v>2368520</v>
      </c>
      <c r="W30" s="26">
        <v>73.460730999999996</v>
      </c>
      <c r="X30" s="26">
        <v>75.713605999999999</v>
      </c>
      <c r="Y30" s="26">
        <v>34.736618999999997</v>
      </c>
      <c r="Z30" s="26">
        <v>42.165666000000002</v>
      </c>
      <c r="AA30" s="26">
        <v>43.775818999999998</v>
      </c>
      <c r="AB30" s="27">
        <v>3515.76</v>
      </c>
      <c r="AC30" s="27">
        <v>2573.84</v>
      </c>
      <c r="AD30" s="27">
        <v>31.821999999999999</v>
      </c>
      <c r="AE30" s="27">
        <v>42.719000000000001</v>
      </c>
      <c r="AG30" s="22">
        <f t="shared" si="7"/>
        <v>5.5469759999999999</v>
      </c>
      <c r="AH30" s="23">
        <f t="shared" si="8"/>
        <v>6.4194591347927335E-2</v>
      </c>
      <c r="AI30" s="23">
        <f t="shared" si="9"/>
        <v>3.925073581936557E-2</v>
      </c>
      <c r="AJ30" s="23">
        <f t="shared" si="10"/>
        <v>2.4363358929692037E-2</v>
      </c>
      <c r="AK30" s="23">
        <f t="shared" si="11"/>
        <v>2.4943855528561768E-2</v>
      </c>
      <c r="AL30" s="20">
        <f t="shared" si="12"/>
        <v>1130536</v>
      </c>
      <c r="AM30" s="23">
        <f t="shared" si="13"/>
        <v>7.0480814650436513E-2</v>
      </c>
      <c r="AN30" s="24">
        <v>26233976</v>
      </c>
      <c r="AO30" s="24">
        <v>2623397.6</v>
      </c>
      <c r="AP30" s="24">
        <v>32796.9</v>
      </c>
      <c r="AQ30" s="25">
        <v>1848992</v>
      </c>
      <c r="AR30" s="25">
        <v>701736</v>
      </c>
      <c r="AS30" s="25">
        <v>428800</v>
      </c>
      <c r="AT30" s="25">
        <v>718456</v>
      </c>
      <c r="AU30" s="26">
        <v>73.498870000000025</v>
      </c>
      <c r="AV30" s="26">
        <v>75.699739999999977</v>
      </c>
      <c r="AW30" s="26">
        <v>34.583170000000003</v>
      </c>
      <c r="AX30" s="26">
        <v>41.844549999999998</v>
      </c>
      <c r="AY30" s="26">
        <v>43.7164</v>
      </c>
      <c r="AZ30" s="27">
        <v>998.6160000000001</v>
      </c>
      <c r="BA30" s="27">
        <v>1177.81</v>
      </c>
      <c r="BB30" s="27">
        <v>11.336</v>
      </c>
      <c r="BC30" s="27">
        <v>7.468</v>
      </c>
      <c r="BE30" s="28">
        <f t="shared" si="14"/>
        <v>0.30181623247092193</v>
      </c>
      <c r="BF30" s="29">
        <f t="shared" si="15"/>
        <v>1.8707122845351178E-4</v>
      </c>
      <c r="BG30" s="29">
        <f t="shared" si="16"/>
        <v>-1.1921960272278653E-3</v>
      </c>
      <c r="BH30" s="29">
        <f t="array" ref="BH30">AVERAGE(AL30:AL34/AQ30:AQ34) - AVERAGE(N30:N34/S30:S34)</f>
        <v>-6.8996760011623692E-3</v>
      </c>
      <c r="BJ30" s="28">
        <f>IF( OR(ISBLANK(N30:N34),ISBLANK(AL30:AL34), ISBLANK(W30:W34),ISBLANK(AU30:AU34)), "·", bdRateExtend( N30:N34,W30:W34, AL30:AL34,AU30:AU34))</f>
        <v>-0.69778473271868113</v>
      </c>
      <c r="BK30" s="28">
        <f>IF( OR(ISBLANK(N30:N34),ISBLANK(AL30:AL34), ISBLANK(X30:X34),ISBLANK(AV30:AV34)), "·", bdRateExtend( N30:N34,X30:X34, AL30:AL34,AV30:AV34))</f>
        <v>-0.6960161163855505</v>
      </c>
      <c r="BL30" s="28">
        <f>IF( OR(ISBLANK(V30:V34),ISBLANK(AT30:AT34), ISBLANK(Y30:Y34),ISBLANK(AW30:AW34)), "·", bdRateExtend( V30:V34,Y30:Y34, AT30:AT34,AW30:AW34))</f>
        <v>-0.66438590000062814</v>
      </c>
      <c r="BM30" s="28">
        <f>IF( OR(ISBLANK(V30:V34),ISBLANK(AT30:AT34), ISBLANK(Z30:Z34),ISBLANK(AX30:AX34)), "·", bdRateExtend( V30:V34,Z30:Z34, AT30:AT34,AX30:AX34))</f>
        <v>-0.56133200157141472</v>
      </c>
      <c r="BN30" s="28">
        <f>IF( OR(ISBLANK(V30:V34),ISBLANK(AT30:AT34), ISBLANK(AA30:AA34),ISBLANK(AY30:AY34)), "·", bdRateExtend( V30:V34,AA30:AA34, AT30:AT34,AY30:AY34))</f>
        <v>-0.66618362450956037</v>
      </c>
      <c r="BP30" s="28">
        <f>IF( OR(ISBLANK(S30:S34),ISBLANK(AQ30:AQ34), ISBLANK(W30:W34),ISBLANK(AU30:AU34)), "·", bdRateExtend( S30:S34,W30:W34, AQ30:AQ34,AU30:AU34))</f>
        <v>-0.69339815349529332</v>
      </c>
      <c r="BQ30" s="28">
        <f>IF( OR(ISBLANK(S30:S34),ISBLANK(AQ30:AQ34), ISBLANK(X30:X34),ISBLANK(AV30:AV34)), "·", bdRateExtend( S30:S34,X30:X34, AQ30:AQ34,AV30:AV34))</f>
        <v>-0.68992845815553128</v>
      </c>
      <c r="BR30" s="28">
        <f>IF( OR(ISBLANK(S30:S34),ISBLANK(AQ30:AQ34), ISBLANK(Y30:Y34),ISBLANK(AW30:AW34)), "·", bdRateExtend( S30:S34,Y30:Y34, AQ30:AQ34,AW30:AW34))</f>
        <v>-0.67372096610212684</v>
      </c>
      <c r="BS30" s="28">
        <f>IF( OR(ISBLANK(S30:S34),ISBLANK(AQ30:AQ34), ISBLANK(Z30:Z34),ISBLANK(AX30:AX34)), "·", bdRateExtend( S30:S34,Z30:Z34, AQ30:AQ34,AX30:AX34))</f>
        <v>-0.59923584121113738</v>
      </c>
      <c r="BT30" s="28">
        <f>IF( OR(ISBLANK(S30:S34),ISBLANK(AQ30:AQ34), ISBLANK(AA30:AA34),ISBLANK(AY30:AY34)), "·", bdRateExtend( S30:S34,AA30:AA34, AQ30:AQ34,AY30:AY34))</f>
        <v>-0.67544125397041599</v>
      </c>
      <c r="BV30">
        <f t="shared" si="17"/>
        <v>-58024346</v>
      </c>
      <c r="BW30">
        <f t="shared" si="18"/>
        <v>-9674.9624999999069</v>
      </c>
      <c r="BX30">
        <f t="shared" si="19"/>
        <v>371.61875000000146</v>
      </c>
      <c r="BY30">
        <f t="shared" si="20"/>
        <v>-4265304</v>
      </c>
      <c r="BZ30">
        <f t="shared" si="21"/>
        <v>-1616584</v>
      </c>
      <c r="CA30">
        <f t="shared" si="22"/>
        <v>-998656</v>
      </c>
      <c r="CB30">
        <f t="shared" si="23"/>
        <v>-1650064</v>
      </c>
      <c r="CC30">
        <f t="shared" si="24"/>
        <v>3.8139000000029455E-2</v>
      </c>
      <c r="CD30">
        <f t="shared" si="25"/>
        <v>-1.3866000000021472E-2</v>
      </c>
      <c r="CE30">
        <f t="shared" si="26"/>
        <v>-0.15344899999999484</v>
      </c>
      <c r="CF30">
        <f t="shared" si="27"/>
        <v>-0.32111600000000351</v>
      </c>
      <c r="CG30">
        <f t="shared" si="28"/>
        <v>-5.9418999999998334E-2</v>
      </c>
      <c r="CJ30" t="s">
        <v>248</v>
      </c>
    </row>
    <row r="31" spans="1:88" hidden="1" outlineLevel="1" x14ac:dyDescent="0.25">
      <c r="A31" s="10"/>
      <c r="B31" s="10" t="s">
        <v>76</v>
      </c>
      <c r="C31" s="11" t="s">
        <v>239</v>
      </c>
      <c r="D31" s="10">
        <v>28802925</v>
      </c>
      <c r="E31" s="11">
        <v>11</v>
      </c>
      <c r="F31" s="11">
        <v>10</v>
      </c>
      <c r="G31" s="11">
        <v>30</v>
      </c>
      <c r="I31" s="12">
        <f t="shared" si="0"/>
        <v>26.193648</v>
      </c>
      <c r="J31" s="13">
        <f t="shared" si="1"/>
        <v>0.30313643492804987</v>
      </c>
      <c r="K31" s="13">
        <f t="shared" si="2"/>
        <v>0.15997208616833186</v>
      </c>
      <c r="L31" s="13">
        <f t="shared" si="3"/>
        <v>0.11041267510157389</v>
      </c>
      <c r="M31" s="13">
        <f t="shared" si="4"/>
        <v>0.14316434875971798</v>
      </c>
      <c r="N31" s="10">
        <f t="shared" si="5"/>
        <v>4607664</v>
      </c>
      <c r="O31" s="13">
        <f t="shared" si="6"/>
        <v>9.7167209122866E-2</v>
      </c>
      <c r="P31" s="14">
        <v>89857639</v>
      </c>
      <c r="Q31" s="14">
        <v>2808051.21875</v>
      </c>
      <c r="R31" s="14">
        <v>41097.03125</v>
      </c>
      <c r="S31" s="15">
        <v>8731216</v>
      </c>
      <c r="T31" s="15">
        <v>3180208</v>
      </c>
      <c r="U31" s="15">
        <v>1427456</v>
      </c>
      <c r="V31" s="15">
        <v>4123552</v>
      </c>
      <c r="W31" s="16">
        <v>75.170683999999994</v>
      </c>
      <c r="X31" s="16">
        <v>77.575241000000005</v>
      </c>
      <c r="Y31" s="16">
        <v>36.653584000000002</v>
      </c>
      <c r="Z31" s="16">
        <v>42.688836999999999</v>
      </c>
      <c r="AA31" s="16">
        <v>45.004958999999999</v>
      </c>
      <c r="AB31" s="17">
        <v>6482.33</v>
      </c>
      <c r="AC31" s="17">
        <v>3588.49</v>
      </c>
      <c r="AD31" s="17">
        <v>38.808</v>
      </c>
      <c r="AE31" s="17">
        <v>62.811</v>
      </c>
      <c r="AG31" s="12">
        <f t="shared" si="7"/>
        <v>7.988232</v>
      </c>
      <c r="AH31" s="13">
        <f t="shared" si="8"/>
        <v>9.244699974047775E-2</v>
      </c>
      <c r="AI31" s="13">
        <f t="shared" si="9"/>
        <v>4.837175391041014E-2</v>
      </c>
      <c r="AJ31" s="13">
        <f t="shared" si="10"/>
        <v>3.348437702073661E-2</v>
      </c>
      <c r="AK31" s="13">
        <f t="shared" si="11"/>
        <v>4.4075245830067604E-2</v>
      </c>
      <c r="AL31" s="10">
        <f t="shared" si="12"/>
        <v>1393248</v>
      </c>
      <c r="AM31" s="13">
        <f t="shared" si="13"/>
        <v>9.5455624497178676E-2</v>
      </c>
      <c r="AN31" s="14">
        <v>27895098</v>
      </c>
      <c r="AO31" s="14">
        <v>2789509.8</v>
      </c>
      <c r="AP31" s="14">
        <v>41308.6</v>
      </c>
      <c r="AQ31" s="15">
        <v>2662744</v>
      </c>
      <c r="AR31" s="15">
        <v>964448</v>
      </c>
      <c r="AS31" s="15">
        <v>428800</v>
      </c>
      <c r="AT31" s="15">
        <v>1269496</v>
      </c>
      <c r="AU31" s="16">
        <v>75.185389999999998</v>
      </c>
      <c r="AV31" s="16">
        <v>77.556749999999994</v>
      </c>
      <c r="AW31" s="16">
        <v>36.476730000000003</v>
      </c>
      <c r="AX31" s="16">
        <v>42.392119999999991</v>
      </c>
      <c r="AY31" s="16">
        <v>44.840330000000002</v>
      </c>
      <c r="AZ31" s="17">
        <v>996.29199999999992</v>
      </c>
      <c r="BA31" s="17">
        <v>1231.1600000000001</v>
      </c>
      <c r="BB31" s="17">
        <v>11.763999999999999</v>
      </c>
      <c r="BC31" s="17">
        <v>7.9239999999999986</v>
      </c>
      <c r="BE31" s="18">
        <f t="shared" si="14"/>
        <v>0.30237621493233879</v>
      </c>
      <c r="BF31" s="19">
        <f t="shared" si="15"/>
        <v>1.7312373232371281E-4</v>
      </c>
      <c r="BG31" s="19">
        <f t="shared" si="16"/>
        <v>-4.4853745008687218E-3</v>
      </c>
      <c r="BH31" s="19"/>
      <c r="BJ31" s="18"/>
      <c r="BK31" s="18"/>
      <c r="BL31" s="18"/>
      <c r="BM31" s="18"/>
      <c r="BN31" s="18"/>
      <c r="BP31" s="18"/>
      <c r="BQ31" s="18"/>
      <c r="BR31" s="18"/>
      <c r="BS31" s="18"/>
      <c r="BT31" s="18"/>
      <c r="BV31">
        <f t="shared" si="17"/>
        <v>-61962541</v>
      </c>
      <c r="BW31">
        <f t="shared" si="18"/>
        <v>-18541.418750000186</v>
      </c>
      <c r="BX31">
        <f t="shared" si="19"/>
        <v>211.56874999999854</v>
      </c>
      <c r="BY31">
        <f t="shared" si="20"/>
        <v>-6068472</v>
      </c>
      <c r="BZ31">
        <f t="shared" si="21"/>
        <v>-2215760</v>
      </c>
      <c r="CA31">
        <f t="shared" si="22"/>
        <v>-998656</v>
      </c>
      <c r="CB31">
        <f t="shared" si="23"/>
        <v>-2854056</v>
      </c>
      <c r="CC31">
        <f t="shared" si="24"/>
        <v>1.4706000000003883E-2</v>
      </c>
      <c r="CD31">
        <f t="shared" si="25"/>
        <v>-1.8491000000011582E-2</v>
      </c>
      <c r="CE31">
        <f t="shared" si="26"/>
        <v>-0.17685399999999873</v>
      </c>
      <c r="CF31">
        <f t="shared" si="27"/>
        <v>-0.29671700000000811</v>
      </c>
      <c r="CG31">
        <f t="shared" si="28"/>
        <v>-0.16462899999999792</v>
      </c>
      <c r="CJ31" t="s">
        <v>248</v>
      </c>
    </row>
    <row r="32" spans="1:88" hidden="1" outlineLevel="1" x14ac:dyDescent="0.25">
      <c r="A32" s="20"/>
      <c r="B32" s="20" t="s">
        <v>76</v>
      </c>
      <c r="C32" s="21" t="s">
        <v>240</v>
      </c>
      <c r="D32" s="20">
        <v>28802925</v>
      </c>
      <c r="E32" s="21">
        <v>11</v>
      </c>
      <c r="F32" s="21">
        <v>10</v>
      </c>
      <c r="G32" s="21">
        <v>30</v>
      </c>
      <c r="I32" s="22">
        <f t="shared" si="0"/>
        <v>40.548000000000002</v>
      </c>
      <c r="J32" s="23">
        <f t="shared" si="1"/>
        <v>0.46925789655043715</v>
      </c>
      <c r="K32" s="23">
        <f t="shared" si="2"/>
        <v>0.20306909801695489</v>
      </c>
      <c r="L32" s="23">
        <f t="shared" si="3"/>
        <v>0.1535096869501969</v>
      </c>
      <c r="M32" s="23">
        <f t="shared" si="4"/>
        <v>0.26618879853348226</v>
      </c>
      <c r="N32" s="20">
        <f t="shared" si="5"/>
        <v>5848984</v>
      </c>
      <c r="O32" s="23">
        <f t="shared" si="6"/>
        <v>0.14721011348727819</v>
      </c>
      <c r="P32" s="24">
        <v>91814344</v>
      </c>
      <c r="Q32" s="24">
        <v>2869198.25</v>
      </c>
      <c r="R32" s="24">
        <v>44687.40625</v>
      </c>
      <c r="S32" s="25">
        <v>13516000</v>
      </c>
      <c r="T32" s="25">
        <v>4421528</v>
      </c>
      <c r="U32" s="25">
        <v>1427456</v>
      </c>
      <c r="V32" s="25">
        <v>7667016</v>
      </c>
      <c r="W32" s="26">
        <v>76.466316000000006</v>
      </c>
      <c r="X32" s="26">
        <v>79.123750000000001</v>
      </c>
      <c r="Y32" s="26">
        <v>38.407431000000003</v>
      </c>
      <c r="Z32" s="26">
        <v>43.216706000000002</v>
      </c>
      <c r="AA32" s="26">
        <v>46.245334</v>
      </c>
      <c r="AB32" s="27">
        <v>4942.53</v>
      </c>
      <c r="AC32" s="27">
        <v>3731.91</v>
      </c>
      <c r="AD32" s="27">
        <v>41.874000000000002</v>
      </c>
      <c r="AE32" s="27">
        <v>64.278999999999996</v>
      </c>
      <c r="AG32" s="22">
        <f t="shared" si="7"/>
        <v>12.492024000000001</v>
      </c>
      <c r="AH32" s="23">
        <f t="shared" si="8"/>
        <v>0.14456892832932766</v>
      </c>
      <c r="AI32" s="23">
        <f t="shared" si="9"/>
        <v>6.1580967905169356E-2</v>
      </c>
      <c r="AJ32" s="23">
        <f t="shared" si="10"/>
        <v>4.6693591015495819E-2</v>
      </c>
      <c r="AK32" s="23">
        <f t="shared" si="11"/>
        <v>8.2987960424158305E-2</v>
      </c>
      <c r="AL32" s="20">
        <f t="shared" si="12"/>
        <v>1773712</v>
      </c>
      <c r="AM32" s="23">
        <f t="shared" si="13"/>
        <v>0.14624158958823694</v>
      </c>
      <c r="AN32" s="24">
        <v>28473487</v>
      </c>
      <c r="AO32" s="24">
        <v>2847348.7</v>
      </c>
      <c r="AP32" s="24">
        <v>44562.8</v>
      </c>
      <c r="AQ32" s="25">
        <v>4164008</v>
      </c>
      <c r="AR32" s="25">
        <v>1344912</v>
      </c>
      <c r="AS32" s="25">
        <v>428800</v>
      </c>
      <c r="AT32" s="25">
        <v>2390296</v>
      </c>
      <c r="AU32" s="26">
        <v>76.464169999999996</v>
      </c>
      <c r="AV32" s="26">
        <v>79.098179999999999</v>
      </c>
      <c r="AW32" s="26">
        <v>38.199449999999999</v>
      </c>
      <c r="AX32" s="26">
        <v>42.872390000000003</v>
      </c>
      <c r="AY32" s="26">
        <v>46.026689999999988</v>
      </c>
      <c r="AZ32" s="27">
        <v>999.3839999999999</v>
      </c>
      <c r="BA32" s="27">
        <v>1282.9000000000001</v>
      </c>
      <c r="BB32" s="27">
        <v>11.752000000000001</v>
      </c>
      <c r="BC32" s="27">
        <v>8.427999999999999</v>
      </c>
      <c r="BE32" s="28">
        <f t="shared" si="14"/>
        <v>0.30325129971290743</v>
      </c>
      <c r="BF32" s="29">
        <f t="shared" si="15"/>
        <v>7.5753902735861342E-5</v>
      </c>
      <c r="BG32" s="29">
        <f t="shared" si="16"/>
        <v>-6.7825126191293772E-3</v>
      </c>
      <c r="BH32" s="29"/>
      <c r="BJ32" s="28"/>
      <c r="BK32" s="28"/>
      <c r="BL32" s="28"/>
      <c r="BM32" s="28"/>
      <c r="BN32" s="28"/>
      <c r="BP32" s="28"/>
      <c r="BQ32" s="28"/>
      <c r="BR32" s="28"/>
      <c r="BS32" s="28"/>
      <c r="BT32" s="28"/>
      <c r="BV32">
        <f t="shared" si="17"/>
        <v>-63340857</v>
      </c>
      <c r="BW32">
        <f t="shared" si="18"/>
        <v>-21849.549999999814</v>
      </c>
      <c r="BX32">
        <f t="shared" si="19"/>
        <v>-124.60624999999709</v>
      </c>
      <c r="BY32">
        <f t="shared" si="20"/>
        <v>-9351992</v>
      </c>
      <c r="BZ32">
        <f t="shared" si="21"/>
        <v>-3076616</v>
      </c>
      <c r="CA32">
        <f t="shared" si="22"/>
        <v>-998656</v>
      </c>
      <c r="CB32">
        <f t="shared" si="23"/>
        <v>-5276720</v>
      </c>
      <c r="CC32">
        <f t="shared" si="24"/>
        <v>-2.1460000000104174E-3</v>
      </c>
      <c r="CD32">
        <f t="shared" si="25"/>
        <v>-2.5570000000001869E-2</v>
      </c>
      <c r="CE32">
        <f t="shared" si="26"/>
        <v>-0.20798100000000375</v>
      </c>
      <c r="CF32">
        <f t="shared" si="27"/>
        <v>-0.34431599999999918</v>
      </c>
      <c r="CG32">
        <f t="shared" si="28"/>
        <v>-0.21864400000001183</v>
      </c>
      <c r="CJ32" t="s">
        <v>248</v>
      </c>
    </row>
    <row r="33" spans="1:88" hidden="1" outlineLevel="1" x14ac:dyDescent="0.25">
      <c r="A33" s="10"/>
      <c r="B33" s="10" t="s">
        <v>76</v>
      </c>
      <c r="C33" s="11" t="s">
        <v>241</v>
      </c>
      <c r="D33" s="10">
        <v>28802925</v>
      </c>
      <c r="E33" s="11">
        <v>11</v>
      </c>
      <c r="F33" s="11">
        <v>10</v>
      </c>
      <c r="G33" s="11">
        <v>30</v>
      </c>
      <c r="I33" s="12">
        <f t="shared" si="0"/>
        <v>67.843800000000002</v>
      </c>
      <c r="J33" s="13">
        <f t="shared" si="1"/>
        <v>0.78514942492819739</v>
      </c>
      <c r="K33" s="13">
        <f t="shared" si="2"/>
        <v>0.27436130184694785</v>
      </c>
      <c r="L33" s="13">
        <f t="shared" si="3"/>
        <v>0.22480189078018986</v>
      </c>
      <c r="M33" s="13">
        <f t="shared" si="4"/>
        <v>0.51078812308124955</v>
      </c>
      <c r="N33" s="10">
        <f t="shared" si="5"/>
        <v>7902408</v>
      </c>
      <c r="O33" s="13">
        <f t="shared" si="6"/>
        <v>0.24079026174359083</v>
      </c>
      <c r="P33" s="14">
        <v>93918250</v>
      </c>
      <c r="Q33" s="14">
        <v>2934945.3125</v>
      </c>
      <c r="R33" s="14">
        <v>49412.375</v>
      </c>
      <c r="S33" s="15">
        <v>22614600</v>
      </c>
      <c r="T33" s="15">
        <v>6474952</v>
      </c>
      <c r="U33" s="15">
        <v>1427456</v>
      </c>
      <c r="V33" s="15">
        <v>14712192</v>
      </c>
      <c r="W33" s="16">
        <v>77.598421999999999</v>
      </c>
      <c r="X33" s="16">
        <v>80.328506000000004</v>
      </c>
      <c r="Y33" s="16">
        <v>40.010033999999997</v>
      </c>
      <c r="Z33" s="16">
        <v>43.908102999999997</v>
      </c>
      <c r="AA33" s="16">
        <v>47.816249999999997</v>
      </c>
      <c r="AB33" s="17">
        <v>3520.73</v>
      </c>
      <c r="AC33" s="17">
        <v>3010.26</v>
      </c>
      <c r="AD33" s="17">
        <v>33.354999999999997</v>
      </c>
      <c r="AE33" s="17">
        <v>46.460999999999999</v>
      </c>
      <c r="AG33" s="12">
        <f t="shared" si="7"/>
        <v>21.228888000000001</v>
      </c>
      <c r="AH33" s="13">
        <f t="shared" si="8"/>
        <v>0.24567977037054398</v>
      </c>
      <c r="AI33" s="13">
        <f t="shared" si="9"/>
        <v>8.3529294333822002E-2</v>
      </c>
      <c r="AJ33" s="13">
        <f t="shared" si="10"/>
        <v>6.8641917444148465E-2</v>
      </c>
      <c r="AK33" s="13">
        <f t="shared" si="11"/>
        <v>0.16215047603672197</v>
      </c>
      <c r="AL33" s="10">
        <f t="shared" si="12"/>
        <v>2405888</v>
      </c>
      <c r="AM33" s="13">
        <f t="shared" si="13"/>
        <v>0.24244102824134825</v>
      </c>
      <c r="AN33" s="14">
        <v>29187700</v>
      </c>
      <c r="AO33" s="14">
        <v>2918770</v>
      </c>
      <c r="AP33" s="14">
        <v>49522.6</v>
      </c>
      <c r="AQ33" s="15">
        <v>7076296</v>
      </c>
      <c r="AR33" s="15">
        <v>1977088</v>
      </c>
      <c r="AS33" s="15">
        <v>428800</v>
      </c>
      <c r="AT33" s="15">
        <v>4670408</v>
      </c>
      <c r="AU33" s="16">
        <v>77.606770000000026</v>
      </c>
      <c r="AV33" s="16">
        <v>80.317829999999987</v>
      </c>
      <c r="AW33" s="16">
        <v>39.805500000000002</v>
      </c>
      <c r="AX33" s="16">
        <v>43.57302</v>
      </c>
      <c r="AY33" s="16">
        <v>47.738439999999997</v>
      </c>
      <c r="AZ33" s="17">
        <v>1001.17</v>
      </c>
      <c r="BA33" s="17">
        <v>1358.98</v>
      </c>
      <c r="BB33" s="17">
        <v>11.98</v>
      </c>
      <c r="BC33" s="17">
        <v>8.2240000000000002</v>
      </c>
      <c r="BE33" s="18">
        <f t="shared" si="14"/>
        <v>0.30444998537154749</v>
      </c>
      <c r="BF33" s="19">
        <f t="shared" si="15"/>
        <v>1.3106567272965983E-4</v>
      </c>
      <c r="BG33" s="19">
        <f t="shared" si="16"/>
        <v>-9.44576637219946E-3</v>
      </c>
      <c r="BH33" s="19"/>
      <c r="BJ33" s="18"/>
      <c r="BK33" s="18"/>
      <c r="BL33" s="18"/>
      <c r="BM33" s="18"/>
      <c r="BN33" s="18"/>
      <c r="BP33" s="18"/>
      <c r="BQ33" s="18"/>
      <c r="BR33" s="18"/>
      <c r="BS33" s="18"/>
      <c r="BT33" s="18"/>
      <c r="BV33">
        <f t="shared" si="17"/>
        <v>-64730550</v>
      </c>
      <c r="BW33">
        <f t="shared" si="18"/>
        <v>-16175.3125</v>
      </c>
      <c r="BX33">
        <f t="shared" si="19"/>
        <v>110.22499999999854</v>
      </c>
      <c r="BY33">
        <f t="shared" si="20"/>
        <v>-15538304</v>
      </c>
      <c r="BZ33">
        <f t="shared" si="21"/>
        <v>-4497864</v>
      </c>
      <c r="CA33">
        <f t="shared" si="22"/>
        <v>-998656</v>
      </c>
      <c r="CB33">
        <f t="shared" si="23"/>
        <v>-10041784</v>
      </c>
      <c r="CC33">
        <f t="shared" si="24"/>
        <v>8.3480000000264454E-3</v>
      </c>
      <c r="CD33">
        <f t="shared" si="25"/>
        <v>-1.0676000000017893E-2</v>
      </c>
      <c r="CE33">
        <f t="shared" si="26"/>
        <v>-0.20453399999999533</v>
      </c>
      <c r="CF33">
        <f t="shared" si="27"/>
        <v>-0.33508299999999736</v>
      </c>
      <c r="CG33">
        <f t="shared" si="28"/>
        <v>-7.7809999999999491E-2</v>
      </c>
      <c r="CJ33" t="s">
        <v>248</v>
      </c>
    </row>
    <row r="34" spans="1:88" ht="15.75" hidden="1" customHeight="1" outlineLevel="1" thickBot="1" x14ac:dyDescent="0.3">
      <c r="A34" s="20"/>
      <c r="B34" s="40" t="s">
        <v>76</v>
      </c>
      <c r="C34" s="41" t="s">
        <v>242</v>
      </c>
      <c r="D34" s="40">
        <v>28802925</v>
      </c>
      <c r="E34" s="41">
        <v>11</v>
      </c>
      <c r="F34" s="41">
        <v>10</v>
      </c>
      <c r="G34" s="41">
        <v>30</v>
      </c>
      <c r="I34" s="42">
        <f t="shared" si="0"/>
        <v>127.59453600000001</v>
      </c>
      <c r="J34" s="43">
        <f t="shared" si="1"/>
        <v>1.4766386399992362</v>
      </c>
      <c r="K34" s="43">
        <f t="shared" si="2"/>
        <v>0.43947592128230034</v>
      </c>
      <c r="L34" s="43">
        <f t="shared" si="3"/>
        <v>0.34125089726130248</v>
      </c>
      <c r="M34" s="43">
        <f t="shared" si="4"/>
        <v>1.0371627187169359</v>
      </c>
      <c r="N34" s="40">
        <f t="shared" si="5"/>
        <v>12658192</v>
      </c>
      <c r="O34" s="43">
        <f t="shared" si="6"/>
        <v>0.46189927467667252</v>
      </c>
      <c r="P34" s="44">
        <v>92079625</v>
      </c>
      <c r="Q34" s="44">
        <v>2877488.28125</v>
      </c>
      <c r="R34" s="44">
        <v>21318.28125</v>
      </c>
      <c r="S34" s="45">
        <v>42531512</v>
      </c>
      <c r="T34" s="45">
        <v>9829024</v>
      </c>
      <c r="U34" s="45">
        <v>2829168</v>
      </c>
      <c r="V34" s="45">
        <v>29873320</v>
      </c>
      <c r="W34" s="46">
        <v>78.535988000000003</v>
      </c>
      <c r="X34" s="46">
        <v>81.998384000000001</v>
      </c>
      <c r="Y34" s="46">
        <v>41.522762</v>
      </c>
      <c r="Z34" s="46">
        <v>44.701211999999998</v>
      </c>
      <c r="AA34" s="46">
        <v>49.230083999999998</v>
      </c>
      <c r="AB34" s="47">
        <v>3497.62</v>
      </c>
      <c r="AC34" s="47">
        <v>3326.7</v>
      </c>
      <c r="AD34" s="47">
        <v>32.399000000000001</v>
      </c>
      <c r="AE34" s="47">
        <v>49.854999999999997</v>
      </c>
      <c r="AG34" s="42">
        <f t="shared" si="7"/>
        <v>40.484135999999999</v>
      </c>
      <c r="AH34" s="43">
        <f t="shared" si="8"/>
        <v>0.46851880494776138</v>
      </c>
      <c r="AI34" s="43">
        <f t="shared" si="9"/>
        <v>0.13354032619950926</v>
      </c>
      <c r="AJ34" s="43">
        <f t="shared" si="10"/>
        <v>0.10411831437258542</v>
      </c>
      <c r="AK34" s="43">
        <f t="shared" si="11"/>
        <v>0.33497847874825215</v>
      </c>
      <c r="AL34" s="40">
        <f t="shared" si="12"/>
        <v>3846352</v>
      </c>
      <c r="AM34" s="43">
        <f t="shared" si="13"/>
        <v>0.47214971009494067</v>
      </c>
      <c r="AN34" s="44">
        <v>28581426</v>
      </c>
      <c r="AO34" s="44">
        <v>2858142.6</v>
      </c>
      <c r="AP34" s="44">
        <v>21483</v>
      </c>
      <c r="AQ34" s="45">
        <v>13494712</v>
      </c>
      <c r="AR34" s="45">
        <v>2998912</v>
      </c>
      <c r="AS34" s="45">
        <v>847440</v>
      </c>
      <c r="AT34" s="45">
        <v>9648360</v>
      </c>
      <c r="AU34" s="46">
        <v>78.558160000000001</v>
      </c>
      <c r="AV34" s="46">
        <v>81.999840000000006</v>
      </c>
      <c r="AW34" s="46">
        <v>41.328549999999993</v>
      </c>
      <c r="AX34" s="46">
        <v>44.35998</v>
      </c>
      <c r="AY34" s="46">
        <v>49.12482</v>
      </c>
      <c r="AZ34" s="47">
        <v>1034.72</v>
      </c>
      <c r="BA34" s="47">
        <v>1803.8</v>
      </c>
      <c r="BB34" s="47">
        <v>11.747999999999999</v>
      </c>
      <c r="BC34" s="47">
        <v>10.208</v>
      </c>
      <c r="BE34" s="48">
        <f t="shared" si="14"/>
        <v>0.30386266853907729</v>
      </c>
      <c r="BF34" s="49">
        <f t="shared" si="15"/>
        <v>1.0777768101372792E-4</v>
      </c>
      <c r="BG34" s="49">
        <f t="shared" si="16"/>
        <v>-1.2592530486386533E-2</v>
      </c>
      <c r="BH34" s="49"/>
      <c r="BJ34" s="48"/>
      <c r="BK34" s="48"/>
      <c r="BL34" s="48"/>
      <c r="BM34" s="48"/>
      <c r="BN34" s="48"/>
      <c r="BP34" s="48"/>
      <c r="BQ34" s="48"/>
      <c r="BR34" s="48"/>
      <c r="BS34" s="48"/>
      <c r="BT34" s="48"/>
      <c r="BV34">
        <f t="shared" si="17"/>
        <v>-63498199</v>
      </c>
      <c r="BW34">
        <f t="shared" si="18"/>
        <v>-19345.681249999907</v>
      </c>
      <c r="BX34">
        <f t="shared" si="19"/>
        <v>164.71875</v>
      </c>
      <c r="BY34">
        <f t="shared" si="20"/>
        <v>-29036800</v>
      </c>
      <c r="BZ34">
        <f t="shared" si="21"/>
        <v>-6830112</v>
      </c>
      <c r="CA34">
        <f t="shared" si="22"/>
        <v>-1981728</v>
      </c>
      <c r="CB34">
        <f t="shared" si="23"/>
        <v>-20224960</v>
      </c>
      <c r="CC34">
        <f t="shared" si="24"/>
        <v>2.2171999999997638E-2</v>
      </c>
      <c r="CD34">
        <f t="shared" si="25"/>
        <v>1.4560000000045648E-3</v>
      </c>
      <c r="CE34">
        <f t="shared" si="26"/>
        <v>-0.19421200000000738</v>
      </c>
      <c r="CF34">
        <f t="shared" si="27"/>
        <v>-0.34123199999999798</v>
      </c>
      <c r="CG34">
        <f t="shared" si="28"/>
        <v>-0.10526399999999825</v>
      </c>
      <c r="CJ34" t="s">
        <v>248</v>
      </c>
    </row>
    <row r="35" spans="1:88" collapsed="1" x14ac:dyDescent="0.25">
      <c r="A35" s="10"/>
      <c r="B35" s="10" t="s">
        <v>81</v>
      </c>
      <c r="C35" s="11" t="s">
        <v>237</v>
      </c>
      <c r="D35" s="10">
        <v>25767032</v>
      </c>
      <c r="E35" s="11">
        <v>11</v>
      </c>
      <c r="F35" s="11">
        <v>10</v>
      </c>
      <c r="G35" s="11">
        <v>30</v>
      </c>
      <c r="I35" s="12">
        <f t="shared" si="0"/>
        <v>20.406336</v>
      </c>
      <c r="J35" s="13">
        <f t="shared" si="1"/>
        <v>0.26398507984932063</v>
      </c>
      <c r="K35" s="13">
        <f t="shared" si="2"/>
        <v>0.15296197094023092</v>
      </c>
      <c r="L35" s="13">
        <f t="shared" si="3"/>
        <v>9.3234486610642625E-2</v>
      </c>
      <c r="M35" s="13">
        <f t="shared" si="4"/>
        <v>0.11102310890908973</v>
      </c>
      <c r="N35" s="10">
        <f t="shared" si="5"/>
        <v>3941376</v>
      </c>
      <c r="O35" s="13">
        <f t="shared" si="6"/>
        <v>9.1072650665216387E-2</v>
      </c>
      <c r="P35" s="14">
        <v>74688855</v>
      </c>
      <c r="Q35" s="14">
        <v>2334026.71875</v>
      </c>
      <c r="R35" s="14">
        <v>31011.90625</v>
      </c>
      <c r="S35" s="15">
        <v>6802112</v>
      </c>
      <c r="T35" s="15">
        <v>2402376</v>
      </c>
      <c r="U35" s="15">
        <v>1539000</v>
      </c>
      <c r="V35" s="15">
        <v>2860736</v>
      </c>
      <c r="W35" s="16">
        <v>73.191281000000004</v>
      </c>
      <c r="X35" s="16">
        <v>75.430569000000006</v>
      </c>
      <c r="Y35" s="16">
        <v>33.985152999999997</v>
      </c>
      <c r="Z35" s="16">
        <v>42.563105999999998</v>
      </c>
      <c r="AA35" s="16">
        <v>44.055872000000001</v>
      </c>
      <c r="AB35" s="17">
        <v>3199.19</v>
      </c>
      <c r="AC35" s="17">
        <v>3827.35</v>
      </c>
      <c r="AD35" s="17">
        <v>32.795999999999999</v>
      </c>
      <c r="AE35" s="17">
        <v>62.274999999999999</v>
      </c>
      <c r="AG35" s="12">
        <f t="shared" si="7"/>
        <v>6.2018639999999996</v>
      </c>
      <c r="AH35" s="13">
        <f t="shared" si="8"/>
        <v>8.0229962069360575E-2</v>
      </c>
      <c r="AI35" s="13">
        <f t="shared" si="9"/>
        <v>4.6831315302437629E-2</v>
      </c>
      <c r="AJ35" s="13">
        <f t="shared" si="10"/>
        <v>2.849066978300023E-2</v>
      </c>
      <c r="AK35" s="13">
        <f t="shared" si="11"/>
        <v>3.3398646766922946E-2</v>
      </c>
      <c r="AL35" s="10">
        <f t="shared" si="12"/>
        <v>1206704</v>
      </c>
      <c r="AM35" s="13">
        <f t="shared" si="13"/>
        <v>8.9144701366104237E-2</v>
      </c>
      <c r="AN35" s="14">
        <v>23190251</v>
      </c>
      <c r="AO35" s="14">
        <v>2319025.1</v>
      </c>
      <c r="AP35" s="14">
        <v>30098.3</v>
      </c>
      <c r="AQ35" s="15">
        <v>2067288</v>
      </c>
      <c r="AR35" s="15">
        <v>734120</v>
      </c>
      <c r="AS35" s="15">
        <v>472584</v>
      </c>
      <c r="AT35" s="15">
        <v>860584</v>
      </c>
      <c r="AU35" s="16">
        <v>73.189990000000009</v>
      </c>
      <c r="AV35" s="16">
        <v>75.42076999999999</v>
      </c>
      <c r="AW35" s="16">
        <v>33.981999999999999</v>
      </c>
      <c r="AX35" s="16">
        <v>42.574930000000002</v>
      </c>
      <c r="AY35" s="16">
        <v>43.970399999999998</v>
      </c>
      <c r="AZ35" s="17">
        <v>948.79199999999992</v>
      </c>
      <c r="BA35" s="17">
        <v>1774.12</v>
      </c>
      <c r="BB35" s="17">
        <v>13.208</v>
      </c>
      <c r="BC35" s="17">
        <v>9.9039999999999999</v>
      </c>
      <c r="BE35" s="18">
        <f t="shared" si="14"/>
        <v>0.30616312678617824</v>
      </c>
      <c r="BF35" s="19">
        <f t="shared" si="15"/>
        <v>-3.0800947921490185E-4</v>
      </c>
      <c r="BG35" s="19">
        <f t="shared" si="16"/>
        <v>4.2793893899480961E-3</v>
      </c>
      <c r="BH35" s="19" t="e">
        <f t="array" ref="BH35">AVERAGE(AL35:AL39/AQ35:AQ39) - AVERAGE(N35:N39/S35:S39)</f>
        <v>#DIV/0!</v>
      </c>
      <c r="BJ35" s="18" t="e">
        <f>IF( OR(ISBLANK(N35:N39),ISBLANK(AL35:AL39), ISBLANK(W35:W39),ISBLANK(AU35:AU39)), "·", bdRateExtend( N35:N39,W35:W39, AL35:AL39,AU35:AU39))</f>
        <v>#VALUE!</v>
      </c>
      <c r="BK35" s="18" t="e">
        <f>IF( OR(ISBLANK(N35:N39),ISBLANK(AL35:AL39), ISBLANK(X35:X39),ISBLANK(AV35:AV39)), "·", bdRateExtend( N35:N39,X35:X39, AL35:AL39,AV35:AV39))</f>
        <v>#VALUE!</v>
      </c>
      <c r="BL35" s="18" t="e">
        <f>IF( OR(ISBLANK(V35:V39),ISBLANK(AT35:AT39), ISBLANK(Y35:Y39),ISBLANK(AW35:AW39)), "·", bdRateExtend( V35:V39,Y35:Y39, AT35:AT39,AW35:AW39))</f>
        <v>#VALUE!</v>
      </c>
      <c r="BM35" s="18" t="e">
        <f>IF( OR(ISBLANK(V35:V39),ISBLANK(AT35:AT39), ISBLANK(Z35:Z39),ISBLANK(AX35:AX39)), "·", bdRateExtend( V35:V39,Z35:Z39, AT35:AT39,AX35:AX39))</f>
        <v>#VALUE!</v>
      </c>
      <c r="BN35" s="18" t="e">
        <f>IF( OR(ISBLANK(V35:V39),ISBLANK(AT35:AT39), ISBLANK(AA35:AA39),ISBLANK(AY35:AY39)), "·", bdRateExtend( V35:V39,AA35:AA39, AT35:AT39,AY35:AY39))</f>
        <v>#VALUE!</v>
      </c>
      <c r="BP35" s="18" t="e">
        <f>IF( OR(ISBLANK(S35:S39),ISBLANK(AQ35:AQ39), ISBLANK(W35:W39),ISBLANK(AU35:AU39)), "·", bdRateExtend( S35:S39,W35:W39, AQ35:AQ39,AU35:AU39))</f>
        <v>#VALUE!</v>
      </c>
      <c r="BQ35" s="18" t="e">
        <f>IF( OR(ISBLANK(S35:S39),ISBLANK(AQ35:AQ39), ISBLANK(X35:X39),ISBLANK(AV35:AV39)), "·", bdRateExtend( S35:S39,X35:X39, AQ35:AQ39,AV35:AV39))</f>
        <v>#VALUE!</v>
      </c>
      <c r="BR35" s="18" t="e">
        <f>IF( OR(ISBLANK(S35:S39),ISBLANK(AQ35:AQ39), ISBLANK(Y35:Y39),ISBLANK(AW35:AW39)), "·", bdRateExtend( S35:S39,Y35:Y39, AQ35:AQ39,AW35:AW39))</f>
        <v>#VALUE!</v>
      </c>
      <c r="BS35" s="18" t="e">
        <f>IF( OR(ISBLANK(S35:S39),ISBLANK(AQ35:AQ39), ISBLANK(Z35:Z39),ISBLANK(AX35:AX39)), "·", bdRateExtend( S35:S39,Z35:Z39, AQ35:AQ39,AX35:AX39))</f>
        <v>#VALUE!</v>
      </c>
      <c r="BT35" s="18" t="e">
        <f>IF( OR(ISBLANK(S35:S39),ISBLANK(AQ35:AQ39), ISBLANK(AA35:AA39),ISBLANK(AY35:AY39)), "·", bdRateExtend( S35:S39,AA35:AA39, AQ35:AQ39,AY35:AY39))</f>
        <v>#VALUE!</v>
      </c>
      <c r="BV35">
        <f t="shared" si="17"/>
        <v>-51498604</v>
      </c>
      <c r="BW35">
        <f t="shared" si="18"/>
        <v>-15001.618749999907</v>
      </c>
      <c r="BX35">
        <f t="shared" si="19"/>
        <v>-913.60625000000073</v>
      </c>
      <c r="BY35">
        <f t="shared" si="20"/>
        <v>-4734824</v>
      </c>
      <c r="BZ35">
        <f t="shared" si="21"/>
        <v>-1668256</v>
      </c>
      <c r="CA35">
        <f t="shared" si="22"/>
        <v>-1066416</v>
      </c>
      <c r="CB35">
        <f t="shared" si="23"/>
        <v>-2000152</v>
      </c>
      <c r="CC35">
        <f t="shared" si="24"/>
        <v>-1.2909999999948241E-3</v>
      </c>
      <c r="CD35">
        <f t="shared" si="25"/>
        <v>-9.7990000000152122E-3</v>
      </c>
      <c r="CE35">
        <f t="shared" si="26"/>
        <v>-3.1529999999975189E-3</v>
      </c>
      <c r="CF35">
        <f t="shared" si="27"/>
        <v>1.1824000000004276E-2</v>
      </c>
      <c r="CG35">
        <f t="shared" si="28"/>
        <v>-8.5472000000002879E-2</v>
      </c>
      <c r="CJ35" t="s">
        <v>249</v>
      </c>
    </row>
    <row r="36" spans="1:88" hidden="1" outlineLevel="1" x14ac:dyDescent="0.25">
      <c r="A36" s="20"/>
      <c r="B36" s="20" t="s">
        <v>81</v>
      </c>
      <c r="C36" s="21" t="s">
        <v>239</v>
      </c>
      <c r="D36" s="20">
        <v>25767032</v>
      </c>
      <c r="E36" s="21">
        <v>11</v>
      </c>
      <c r="F36" s="21">
        <v>10</v>
      </c>
      <c r="G36" s="21">
        <v>30</v>
      </c>
      <c r="I36" s="22">
        <f t="shared" si="0"/>
        <v>29.036183999999999</v>
      </c>
      <c r="J36" s="23">
        <f t="shared" si="1"/>
        <v>0.37562448014967342</v>
      </c>
      <c r="K36" s="23">
        <f t="shared" si="2"/>
        <v>0.18652516906099237</v>
      </c>
      <c r="L36" s="23">
        <f t="shared" si="3"/>
        <v>0.12679768473140407</v>
      </c>
      <c r="M36" s="23">
        <f t="shared" si="4"/>
        <v>0.18909931108868108</v>
      </c>
      <c r="N36" s="20">
        <f t="shared" si="5"/>
        <v>4806200</v>
      </c>
      <c r="O36" s="23">
        <f t="shared" si="6"/>
        <v>0.12106611018303799</v>
      </c>
      <c r="P36" s="24">
        <v>79945808</v>
      </c>
      <c r="Q36" s="24">
        <v>2498306.5</v>
      </c>
      <c r="R36" s="24">
        <v>39523.15625</v>
      </c>
      <c r="S36" s="25">
        <v>9678728</v>
      </c>
      <c r="T36" s="25">
        <v>3267200</v>
      </c>
      <c r="U36" s="25">
        <v>1539000</v>
      </c>
      <c r="V36" s="25">
        <v>4872528</v>
      </c>
      <c r="W36" s="26">
        <v>74.930581000000004</v>
      </c>
      <c r="X36" s="26">
        <v>77.358816000000004</v>
      </c>
      <c r="Y36" s="26">
        <v>36.095069000000002</v>
      </c>
      <c r="Z36" s="26">
        <v>43.189968999999998</v>
      </c>
      <c r="AA36" s="26">
        <v>45.416677999999997</v>
      </c>
      <c r="AB36" s="27">
        <v>5779.48</v>
      </c>
      <c r="AC36" s="27">
        <v>5622.45</v>
      </c>
      <c r="AD36" s="27">
        <v>42.258000000000003</v>
      </c>
      <c r="AE36" s="27">
        <v>101.672</v>
      </c>
      <c r="AG36" s="22">
        <f t="shared" si="7"/>
        <v>8.8323119999999999</v>
      </c>
      <c r="AH36" s="23">
        <f t="shared" si="8"/>
        <v>0.11425856109465771</v>
      </c>
      <c r="AI36" s="23">
        <f t="shared" si="9"/>
        <v>5.7209227667354159E-2</v>
      </c>
      <c r="AJ36" s="23">
        <f t="shared" si="10"/>
        <v>3.8868582147916761E-2</v>
      </c>
      <c r="AK36" s="23">
        <f t="shared" si="11"/>
        <v>5.704933342730354E-2</v>
      </c>
      <c r="AL36" s="20">
        <f t="shared" si="12"/>
        <v>1474112</v>
      </c>
      <c r="AM36" s="23">
        <f t="shared" si="13"/>
        <v>0.11858674884201754</v>
      </c>
      <c r="AN36" s="24">
        <v>24826585</v>
      </c>
      <c r="AO36" s="24">
        <v>2482658.5</v>
      </c>
      <c r="AP36" s="24">
        <v>38226.300000000003</v>
      </c>
      <c r="AQ36" s="25">
        <v>2944104</v>
      </c>
      <c r="AR36" s="25">
        <v>1001528</v>
      </c>
      <c r="AS36" s="25">
        <v>472584</v>
      </c>
      <c r="AT36" s="25">
        <v>1469992</v>
      </c>
      <c r="AU36" s="26">
        <v>74.947790000000026</v>
      </c>
      <c r="AV36" s="26">
        <v>77.361740000000026</v>
      </c>
      <c r="AW36" s="26">
        <v>36.086390000000002</v>
      </c>
      <c r="AX36" s="26">
        <v>43.222479999999997</v>
      </c>
      <c r="AY36" s="26">
        <v>45.433149999999998</v>
      </c>
      <c r="AZ36" s="27">
        <v>900.1160000000001</v>
      </c>
      <c r="BA36" s="27">
        <v>1844.12</v>
      </c>
      <c r="BB36" s="27">
        <v>12.368</v>
      </c>
      <c r="BC36" s="27">
        <v>9.8040000000000003</v>
      </c>
      <c r="BE36" s="28">
        <f t="shared" si="14"/>
        <v>0.30671049893887059</v>
      </c>
      <c r="BF36" s="29">
        <f t="shared" si="15"/>
        <v>-4.2265386855736518E-4</v>
      </c>
      <c r="BG36" s="29">
        <f t="shared" si="16"/>
        <v>4.1261868578310046E-3</v>
      </c>
      <c r="BH36" s="29"/>
      <c r="BJ36" s="28"/>
      <c r="BK36" s="28"/>
      <c r="BL36" s="28"/>
      <c r="BM36" s="28"/>
      <c r="BN36" s="28"/>
      <c r="BP36" s="28"/>
      <c r="BQ36" s="28"/>
      <c r="BR36" s="28"/>
      <c r="BS36" s="28"/>
      <c r="BT36" s="28"/>
      <c r="BV36">
        <f t="shared" si="17"/>
        <v>-55119223</v>
      </c>
      <c r="BW36">
        <f t="shared" si="18"/>
        <v>-15648</v>
      </c>
      <c r="BX36">
        <f t="shared" si="19"/>
        <v>-1296.8562499999971</v>
      </c>
      <c r="BY36">
        <f t="shared" si="20"/>
        <v>-6734624</v>
      </c>
      <c r="BZ36">
        <f t="shared" si="21"/>
        <v>-2265672</v>
      </c>
      <c r="CA36">
        <f t="shared" si="22"/>
        <v>-1066416</v>
      </c>
      <c r="CB36">
        <f t="shared" si="23"/>
        <v>-3402536</v>
      </c>
      <c r="CC36">
        <f t="shared" si="24"/>
        <v>1.7209000000022456E-2</v>
      </c>
      <c r="CD36">
        <f t="shared" si="25"/>
        <v>2.924000000021465E-3</v>
      </c>
      <c r="CE36">
        <f t="shared" si="26"/>
        <v>-8.6790000000007694E-3</v>
      </c>
      <c r="CF36">
        <f t="shared" si="27"/>
        <v>3.2510999999999513E-2</v>
      </c>
      <c r="CG36">
        <f t="shared" si="28"/>
        <v>1.6472000000000264E-2</v>
      </c>
      <c r="CJ36" t="s">
        <v>249</v>
      </c>
    </row>
    <row r="37" spans="1:88" hidden="1" outlineLevel="1" x14ac:dyDescent="0.25">
      <c r="A37" s="10"/>
      <c r="B37" s="10" t="s">
        <v>81</v>
      </c>
      <c r="C37" s="11" t="s">
        <v>240</v>
      </c>
      <c r="D37" s="10">
        <v>25767032</v>
      </c>
      <c r="E37" s="11">
        <v>11</v>
      </c>
      <c r="F37" s="11">
        <v>10</v>
      </c>
      <c r="G37" s="11">
        <v>30</v>
      </c>
      <c r="I37" s="12">
        <f t="shared" si="0"/>
        <v>44.153064000000001</v>
      </c>
      <c r="J37" s="13">
        <f t="shared" si="1"/>
        <v>0.57118289758789453</v>
      </c>
      <c r="K37" s="13">
        <f t="shared" si="2"/>
        <v>0.23565088908959325</v>
      </c>
      <c r="L37" s="13">
        <f t="shared" si="3"/>
        <v>0.17592340476000495</v>
      </c>
      <c r="M37" s="13">
        <f t="shared" si="4"/>
        <v>0.33553200849830123</v>
      </c>
      <c r="N37" s="10">
        <f t="shared" si="5"/>
        <v>6072024</v>
      </c>
      <c r="O37" s="13">
        <f t="shared" si="6"/>
        <v>0.17996661559515559</v>
      </c>
      <c r="P37" s="14">
        <v>81780101</v>
      </c>
      <c r="Q37" s="14">
        <v>2555628.15625</v>
      </c>
      <c r="R37" s="14">
        <v>43014.71875</v>
      </c>
      <c r="S37" s="15">
        <v>14717688</v>
      </c>
      <c r="T37" s="15">
        <v>4533024</v>
      </c>
      <c r="U37" s="15">
        <v>1539000</v>
      </c>
      <c r="V37" s="15">
        <v>8645664</v>
      </c>
      <c r="W37" s="16">
        <v>76.238812999999993</v>
      </c>
      <c r="X37" s="16">
        <v>78.941209000000001</v>
      </c>
      <c r="Y37" s="16">
        <v>37.935644000000003</v>
      </c>
      <c r="Z37" s="16">
        <v>43.761018999999997</v>
      </c>
      <c r="AA37" s="16">
        <v>46.521678000000001</v>
      </c>
      <c r="AB37" s="17">
        <v>3173.62</v>
      </c>
      <c r="AC37" s="17">
        <v>4039.43</v>
      </c>
      <c r="AD37" s="17">
        <v>32.866999999999997</v>
      </c>
      <c r="AE37" s="17">
        <v>65.132000000000005</v>
      </c>
      <c r="AG37" s="12">
        <f t="shared" si="7"/>
        <v>13.4292</v>
      </c>
      <c r="AH37" s="13">
        <f t="shared" si="8"/>
        <v>0.17372586800062964</v>
      </c>
      <c r="AI37" s="13">
        <f t="shared" si="9"/>
        <v>7.2308521990425589E-2</v>
      </c>
      <c r="AJ37" s="13">
        <f t="shared" si="10"/>
        <v>5.3967876470988198E-2</v>
      </c>
      <c r="AK37" s="13">
        <f t="shared" si="11"/>
        <v>0.10141734601020405</v>
      </c>
      <c r="AL37" s="10">
        <f t="shared" si="12"/>
        <v>1863176</v>
      </c>
      <c r="AM37" s="13">
        <f t="shared" si="13"/>
        <v>0.1767266787524385</v>
      </c>
      <c r="AN37" s="14">
        <v>25329509</v>
      </c>
      <c r="AO37" s="14">
        <v>2532950.9</v>
      </c>
      <c r="AP37" s="14">
        <v>41295.5</v>
      </c>
      <c r="AQ37" s="15">
        <v>4476400</v>
      </c>
      <c r="AR37" s="15">
        <v>1390592</v>
      </c>
      <c r="AS37" s="15">
        <v>472584</v>
      </c>
      <c r="AT37" s="15">
        <v>2613224</v>
      </c>
      <c r="AU37" s="16">
        <v>76.225080000000005</v>
      </c>
      <c r="AV37" s="16">
        <v>78.932979999999986</v>
      </c>
      <c r="AW37" s="16">
        <v>37.914100000000012</v>
      </c>
      <c r="AX37" s="16">
        <v>43.778560000000013</v>
      </c>
      <c r="AY37" s="16">
        <v>46.569590000000012</v>
      </c>
      <c r="AZ37" s="17">
        <v>960.28800000000001</v>
      </c>
      <c r="BA37" s="17">
        <v>1822.71</v>
      </c>
      <c r="BB37" s="17">
        <v>12.752000000000001</v>
      </c>
      <c r="BC37" s="17">
        <v>10.212</v>
      </c>
      <c r="BE37" s="18">
        <f t="shared" si="14"/>
        <v>0.30684595449556851</v>
      </c>
      <c r="BF37" s="19">
        <f t="shared" si="15"/>
        <v>-5.280518852125507E-4</v>
      </c>
      <c r="BG37" s="19">
        <f t="shared" si="16"/>
        <v>3.655533807435718E-3</v>
      </c>
      <c r="BH37" s="19"/>
      <c r="BJ37" s="18"/>
      <c r="BK37" s="18"/>
      <c r="BL37" s="18"/>
      <c r="BM37" s="18"/>
      <c r="BN37" s="18"/>
      <c r="BP37" s="18"/>
      <c r="BQ37" s="18"/>
      <c r="BR37" s="18"/>
      <c r="BS37" s="18"/>
      <c r="BT37" s="18"/>
      <c r="BV37">
        <f t="shared" si="17"/>
        <v>-56450592</v>
      </c>
      <c r="BW37">
        <f t="shared" si="18"/>
        <v>-22677.256250000093</v>
      </c>
      <c r="BX37">
        <f t="shared" si="19"/>
        <v>-1719.21875</v>
      </c>
      <c r="BY37">
        <f t="shared" si="20"/>
        <v>-10241288</v>
      </c>
      <c r="BZ37">
        <f t="shared" si="21"/>
        <v>-3142432</v>
      </c>
      <c r="CA37">
        <f t="shared" si="22"/>
        <v>-1066416</v>
      </c>
      <c r="CB37">
        <f t="shared" si="23"/>
        <v>-6032440</v>
      </c>
      <c r="CC37">
        <f t="shared" si="24"/>
        <v>-1.3732999999987783E-2</v>
      </c>
      <c r="CD37">
        <f t="shared" si="25"/>
        <v>-8.2290000000142527E-3</v>
      </c>
      <c r="CE37">
        <f t="shared" si="26"/>
        <v>-2.154399999999157E-2</v>
      </c>
      <c r="CF37">
        <f t="shared" si="27"/>
        <v>1.7541000000015572E-2</v>
      </c>
      <c r="CG37">
        <f t="shared" si="28"/>
        <v>4.7912000000010835E-2</v>
      </c>
      <c r="CJ37" t="s">
        <v>249</v>
      </c>
    </row>
    <row r="38" spans="1:88" hidden="1" outlineLevel="1" x14ac:dyDescent="0.25">
      <c r="A38" s="20"/>
      <c r="B38" s="20" t="s">
        <v>81</v>
      </c>
      <c r="C38" s="21" t="s">
        <v>241</v>
      </c>
      <c r="D38" s="20">
        <v>25767032</v>
      </c>
      <c r="E38" s="21">
        <v>11</v>
      </c>
      <c r="F38" s="21">
        <v>10</v>
      </c>
      <c r="G38" s="21">
        <v>30</v>
      </c>
      <c r="I38" s="22">
        <f t="shared" si="0"/>
        <v>73.829735999999997</v>
      </c>
      <c r="J38" s="23">
        <f t="shared" si="1"/>
        <v>0.95509300411471532</v>
      </c>
      <c r="K38" s="23">
        <f t="shared" si="2"/>
        <v>0.3157516938699032</v>
      </c>
      <c r="L38" s="23">
        <f t="shared" si="3"/>
        <v>0.25602420954031491</v>
      </c>
      <c r="M38" s="23">
        <f t="shared" si="4"/>
        <v>0.639341310244812</v>
      </c>
      <c r="N38" s="20">
        <f t="shared" si="5"/>
        <v>8135984</v>
      </c>
      <c r="O38" s="23">
        <f t="shared" si="6"/>
        <v>0.29310107862059015</v>
      </c>
      <c r="P38" s="24">
        <v>83963908</v>
      </c>
      <c r="Q38" s="24">
        <v>2623872.125</v>
      </c>
      <c r="R38" s="24">
        <v>48278.125</v>
      </c>
      <c r="S38" s="25">
        <v>24609912</v>
      </c>
      <c r="T38" s="25">
        <v>6596984</v>
      </c>
      <c r="U38" s="25">
        <v>1539000</v>
      </c>
      <c r="V38" s="25">
        <v>16473928</v>
      </c>
      <c r="W38" s="26">
        <v>77.418415999999993</v>
      </c>
      <c r="X38" s="26">
        <v>80.140518999999998</v>
      </c>
      <c r="Y38" s="26">
        <v>39.708219</v>
      </c>
      <c r="Z38" s="26">
        <v>44.538234000000003</v>
      </c>
      <c r="AA38" s="26">
        <v>47.814163000000001</v>
      </c>
      <c r="AB38" s="27">
        <v>4929.71</v>
      </c>
      <c r="AC38" s="27">
        <v>5697.92</v>
      </c>
      <c r="AD38" s="27">
        <v>41.09</v>
      </c>
      <c r="AE38" s="27">
        <v>94.709000000000003</v>
      </c>
      <c r="AG38" s="22">
        <f t="shared" si="7"/>
        <v>22.622136000000001</v>
      </c>
      <c r="AH38" s="23">
        <f t="shared" si="8"/>
        <v>0.29264961521373511</v>
      </c>
      <c r="AI38" s="23">
        <f t="shared" si="9"/>
        <v>9.7237120674201052E-2</v>
      </c>
      <c r="AJ38" s="23">
        <f t="shared" si="10"/>
        <v>7.8896475154763654E-2</v>
      </c>
      <c r="AK38" s="23">
        <f t="shared" si="11"/>
        <v>0.19541249453953408</v>
      </c>
      <c r="AL38" s="20">
        <f t="shared" si="12"/>
        <v>2505512</v>
      </c>
      <c r="AM38" s="23">
        <f t="shared" si="13"/>
        <v>0.29041045834921325</v>
      </c>
      <c r="AN38" s="24">
        <v>25965704</v>
      </c>
      <c r="AO38" s="24">
        <v>2596570.4</v>
      </c>
      <c r="AP38" s="24">
        <v>46333.599999999999</v>
      </c>
      <c r="AQ38" s="25">
        <v>7540712</v>
      </c>
      <c r="AR38" s="25">
        <v>2032928</v>
      </c>
      <c r="AS38" s="25">
        <v>472584</v>
      </c>
      <c r="AT38" s="25">
        <v>5035200</v>
      </c>
      <c r="AU38" s="26">
        <v>77.414740000000023</v>
      </c>
      <c r="AV38" s="26">
        <v>80.160180000000011</v>
      </c>
      <c r="AW38" s="26">
        <v>39.692089999999993</v>
      </c>
      <c r="AX38" s="26">
        <v>44.564120000000003</v>
      </c>
      <c r="AY38" s="26">
        <v>47.845709999999997</v>
      </c>
      <c r="AZ38" s="27">
        <v>958.28800000000001</v>
      </c>
      <c r="BA38" s="27">
        <v>1922.26</v>
      </c>
      <c r="BB38" s="27">
        <v>12.728</v>
      </c>
      <c r="BC38" s="27">
        <v>10.728</v>
      </c>
      <c r="BE38" s="28">
        <f t="shared" si="14"/>
        <v>0.30795439125740665</v>
      </c>
      <c r="BF38" s="29">
        <f t="shared" si="15"/>
        <v>-5.5541915427904237E-4</v>
      </c>
      <c r="BG38" s="29">
        <f t="shared" si="16"/>
        <v>1.6667953995871398E-3</v>
      </c>
      <c r="BH38" s="29"/>
      <c r="BJ38" s="28"/>
      <c r="BK38" s="28"/>
      <c r="BL38" s="28"/>
      <c r="BM38" s="28"/>
      <c r="BN38" s="28"/>
      <c r="BP38" s="28"/>
      <c r="BQ38" s="28"/>
      <c r="BR38" s="28"/>
      <c r="BS38" s="28"/>
      <c r="BT38" s="28"/>
      <c r="BV38">
        <f t="shared" si="17"/>
        <v>-57998204</v>
      </c>
      <c r="BW38">
        <f t="shared" si="18"/>
        <v>-27301.725000000093</v>
      </c>
      <c r="BX38">
        <f t="shared" si="19"/>
        <v>-1944.5250000000015</v>
      </c>
      <c r="BY38">
        <f t="shared" si="20"/>
        <v>-17069200</v>
      </c>
      <c r="BZ38">
        <f t="shared" si="21"/>
        <v>-4564056</v>
      </c>
      <c r="CA38">
        <f t="shared" si="22"/>
        <v>-1066416</v>
      </c>
      <c r="CB38">
        <f t="shared" si="23"/>
        <v>-11438728</v>
      </c>
      <c r="CC38">
        <f t="shared" si="24"/>
        <v>-3.6759999999702586E-3</v>
      </c>
      <c r="CD38">
        <f t="shared" si="25"/>
        <v>1.9661000000013473E-2</v>
      </c>
      <c r="CE38">
        <f t="shared" si="26"/>
        <v>-1.6129000000006499E-2</v>
      </c>
      <c r="CF38">
        <f t="shared" si="27"/>
        <v>2.5885999999999854E-2</v>
      </c>
      <c r="CG38">
        <f t="shared" si="28"/>
        <v>3.1546999999996217E-2</v>
      </c>
      <c r="CJ38" t="s">
        <v>249</v>
      </c>
    </row>
    <row r="39" spans="1:88" ht="15.75" hidden="1" customHeight="1" outlineLevel="1" thickBot="1" x14ac:dyDescent="0.3">
      <c r="A39" s="30"/>
      <c r="B39" s="30" t="s">
        <v>81</v>
      </c>
      <c r="C39" s="31" t="s">
        <v>242</v>
      </c>
      <c r="D39" s="30">
        <v>25767032</v>
      </c>
      <c r="E39" s="31">
        <v>11</v>
      </c>
      <c r="F39" s="31">
        <v>10</v>
      </c>
      <c r="G39" s="31">
        <v>30</v>
      </c>
      <c r="I39" s="32">
        <f t="shared" si="0"/>
        <v>0</v>
      </c>
      <c r="J39" s="33">
        <f t="shared" si="1"/>
        <v>0</v>
      </c>
      <c r="K39" s="33">
        <f t="shared" si="2"/>
        <v>0</v>
      </c>
      <c r="L39" s="33">
        <f t="shared" si="3"/>
        <v>0</v>
      </c>
      <c r="M39" s="33">
        <f t="shared" si="4"/>
        <v>0</v>
      </c>
      <c r="N39" s="30">
        <f t="shared" si="5"/>
        <v>0</v>
      </c>
      <c r="O39" s="33" t="e">
        <f t="shared" si="6"/>
        <v>#VALUE!</v>
      </c>
      <c r="P39" s="34" t="s">
        <v>595</v>
      </c>
      <c r="Q39" s="34">
        <v>0</v>
      </c>
      <c r="R39" s="34">
        <v>0</v>
      </c>
      <c r="S39" s="35">
        <v>0</v>
      </c>
      <c r="T39" s="35">
        <v>0</v>
      </c>
      <c r="U39" s="35">
        <v>0</v>
      </c>
      <c r="V39" s="35">
        <v>0</v>
      </c>
      <c r="W39" s="36">
        <v>0</v>
      </c>
      <c r="X39" s="36">
        <v>0</v>
      </c>
      <c r="Y39" s="36">
        <v>0</v>
      </c>
      <c r="Z39" s="36">
        <v>0</v>
      </c>
      <c r="AA39" s="36">
        <v>0</v>
      </c>
      <c r="AB39" s="37">
        <v>0</v>
      </c>
      <c r="AC39" s="37">
        <v>0</v>
      </c>
      <c r="AD39" s="37">
        <v>0</v>
      </c>
      <c r="AE39" s="37">
        <v>0</v>
      </c>
      <c r="AG39" s="32">
        <f t="shared" si="7"/>
        <v>41.843927999999998</v>
      </c>
      <c r="AH39" s="33">
        <f t="shared" si="8"/>
        <v>0.54131092785540846</v>
      </c>
      <c r="AI39" s="33">
        <f t="shared" si="9"/>
        <v>0.15697733444814288</v>
      </c>
      <c r="AJ39" s="33">
        <f t="shared" si="10"/>
        <v>0.12001195946820728</v>
      </c>
      <c r="AK39" s="33">
        <f t="shared" si="11"/>
        <v>0.38433359340726553</v>
      </c>
      <c r="AL39" s="30">
        <f t="shared" si="12"/>
        <v>4044840</v>
      </c>
      <c r="AM39" s="33">
        <f t="shared" si="13"/>
        <v>0.54884634644698505</v>
      </c>
      <c r="AN39" s="34">
        <v>25413262</v>
      </c>
      <c r="AO39" s="34">
        <v>2541326.2000000002</v>
      </c>
      <c r="AP39" s="34">
        <v>18572.2</v>
      </c>
      <c r="AQ39" s="35">
        <v>13947976</v>
      </c>
      <c r="AR39" s="35">
        <v>3092352</v>
      </c>
      <c r="AS39" s="35">
        <v>952488</v>
      </c>
      <c r="AT39" s="35">
        <v>9903136</v>
      </c>
      <c r="AU39" s="36">
        <v>78.309059999999974</v>
      </c>
      <c r="AV39" s="36">
        <v>81.886630000000011</v>
      </c>
      <c r="AW39" s="36">
        <v>41.296000000000006</v>
      </c>
      <c r="AX39" s="36">
        <v>45.568950000000008</v>
      </c>
      <c r="AY39" s="36">
        <v>49.148249999999997</v>
      </c>
      <c r="AZ39" s="37">
        <v>788.36399999999992</v>
      </c>
      <c r="BA39" s="37">
        <v>1563.36</v>
      </c>
      <c r="BB39" s="37">
        <v>12.42</v>
      </c>
      <c r="BC39" s="37">
        <v>12.196</v>
      </c>
      <c r="BE39" s="38" t="e">
        <f t="shared" si="14"/>
        <v>#DIV/0!</v>
      </c>
      <c r="BF39" s="39" t="e">
        <f t="shared" si="15"/>
        <v>#DIV/0!</v>
      </c>
      <c r="BG39" s="39" t="e">
        <f t="shared" si="16"/>
        <v>#DIV/0!</v>
      </c>
      <c r="BH39" s="39"/>
      <c r="BJ39" s="38"/>
      <c r="BK39" s="38"/>
      <c r="BL39" s="38"/>
      <c r="BM39" s="38"/>
      <c r="BN39" s="38"/>
      <c r="BP39" s="38"/>
      <c r="BQ39" s="38"/>
      <c r="BR39" s="38"/>
      <c r="BS39" s="38"/>
      <c r="BT39" s="38"/>
      <c r="BV39" t="e">
        <f t="shared" si="17"/>
        <v>#VALUE!</v>
      </c>
      <c r="BW39">
        <f t="shared" si="18"/>
        <v>2541326.2000000002</v>
      </c>
      <c r="BX39">
        <f t="shared" si="19"/>
        <v>18572.2</v>
      </c>
      <c r="BY39">
        <f t="shared" si="20"/>
        <v>13947976</v>
      </c>
      <c r="BZ39">
        <f t="shared" si="21"/>
        <v>3092352</v>
      </c>
      <c r="CA39">
        <f t="shared" si="22"/>
        <v>952488</v>
      </c>
      <c r="CB39">
        <f t="shared" si="23"/>
        <v>9903136</v>
      </c>
      <c r="CC39">
        <f t="shared" si="24"/>
        <v>78.309059999999974</v>
      </c>
      <c r="CD39">
        <f t="shared" si="25"/>
        <v>81.886630000000011</v>
      </c>
      <c r="CE39">
        <f t="shared" si="26"/>
        <v>41.296000000000006</v>
      </c>
      <c r="CF39">
        <f t="shared" si="27"/>
        <v>45.568950000000008</v>
      </c>
      <c r="CG39">
        <f t="shared" si="28"/>
        <v>49.148249999999997</v>
      </c>
      <c r="CJ39" t="s">
        <v>249</v>
      </c>
    </row>
    <row r="40" spans="1:88" x14ac:dyDescent="0.25">
      <c r="B40" s="50" t="s">
        <v>15</v>
      </c>
      <c r="J40" s="51">
        <f>AVERAGE(J5:J24)</f>
        <v>0.40701494060668625</v>
      </c>
      <c r="K40" s="51">
        <f>AVERAGE(K5:K24)</f>
        <v>0.1270614960411689</v>
      </c>
      <c r="L40" s="51">
        <f>AVERAGE(L5:L24)</f>
        <v>8.8608073895740394E-2</v>
      </c>
      <c r="M40" s="51">
        <f>AVERAGE(M5:M24)</f>
        <v>0.27995344456551735</v>
      </c>
      <c r="AH40" s="51">
        <f>AVERAGE(AH5:AH24)</f>
        <v>0.40701494060668625</v>
      </c>
      <c r="AI40" s="51">
        <f>AVERAGE(AI5:AI24)</f>
        <v>0.1270614960411689</v>
      </c>
      <c r="AJ40" s="51">
        <f>AVERAGE(AJ5:AJ24)</f>
        <v>8.8608073895740394E-2</v>
      </c>
      <c r="AK40" s="51">
        <f>AVERAGE(AK5:AK24)</f>
        <v>0.27995344456551735</v>
      </c>
      <c r="BE40" s="4">
        <f t="shared" si="14"/>
        <v>1</v>
      </c>
      <c r="BH40" s="53">
        <f>AVERAGE(BH5:BH24)</f>
        <v>0</v>
      </c>
      <c r="BJ40" s="4">
        <f>AVERAGE(BJ5:BJ24)</f>
        <v>1.056596571347157E-8</v>
      </c>
      <c r="BK40" s="4">
        <f>AVERAGE(BK5:BK24)</f>
        <v>-1.7101075000525157E-9</v>
      </c>
      <c r="BL40" s="4">
        <f>AVERAGE(BL5:BL24)</f>
        <v>-9.9623116950331436E-8</v>
      </c>
      <c r="BM40" s="4">
        <f>AVERAGE(BM5:BM24)</f>
        <v>-3.5014691868173742E-8</v>
      </c>
      <c r="BN40" s="4">
        <f>AVERAGE(BN5:BN24)</f>
        <v>-1.7445380737224347E-7</v>
      </c>
      <c r="BP40" s="4">
        <f>AVERAGE(BP5:BP24)</f>
        <v>1.7989955858332962E-8</v>
      </c>
      <c r="BQ40" s="4">
        <f>AVERAGE(BQ5:BQ24)</f>
        <v>-3.7235939609470137E-9</v>
      </c>
      <c r="BR40" s="4">
        <f>AVERAGE(BR5:BR24)</f>
        <v>-8.4533078953397123E-8</v>
      </c>
      <c r="BS40" s="4">
        <f>AVERAGE(BS5:BS24)</f>
        <v>-3.0741312245785579E-8</v>
      </c>
      <c r="BT40" s="4">
        <f>AVERAGE(BT5:BT24)</f>
        <v>-1.3030869894237185E-7</v>
      </c>
    </row>
    <row r="41" spans="1:88" x14ac:dyDescent="0.25">
      <c r="B41" s="50" t="s">
        <v>16</v>
      </c>
      <c r="J41" s="51">
        <f>AVERAGE(J25:J29)</f>
        <v>0.79288146746054333</v>
      </c>
      <c r="K41" s="51">
        <f>AVERAGE(K25:K29)</f>
        <v>0.12325262772313088</v>
      </c>
      <c r="L41" s="51">
        <f>AVERAGE(L25:L29)</f>
        <v>9.0132365123065342E-2</v>
      </c>
      <c r="M41" s="51">
        <f>AVERAGE(M25:M29)</f>
        <v>0.66962883973741261</v>
      </c>
      <c r="AH41" s="51">
        <f>AVERAGE(AH25:AH29)</f>
        <v>0.79288146746054333</v>
      </c>
      <c r="AI41" s="51">
        <f>AVERAGE(AI25:AI29)</f>
        <v>0.12325262772313088</v>
      </c>
      <c r="AJ41" s="51">
        <f>AVERAGE(AJ25:AJ29)</f>
        <v>9.0132365123065342E-2</v>
      </c>
      <c r="AK41" s="51">
        <f>AVERAGE(AK25:AK29)</f>
        <v>0.66962883973741261</v>
      </c>
      <c r="BE41" s="4">
        <f t="shared" si="14"/>
        <v>1</v>
      </c>
      <c r="BH41" s="53">
        <f>AVERAGE(BH25:BH29)</f>
        <v>0</v>
      </c>
      <c r="BJ41" s="4">
        <f>AVERAGE(BJ25:BJ29)</f>
        <v>2.8546455199673915E-8</v>
      </c>
      <c r="BK41" s="4">
        <f>AVERAGE(BK25:BK29)</f>
        <v>5.5861208991814237E-9</v>
      </c>
      <c r="BL41" s="4">
        <f>AVERAGE(BL25:BL29)</f>
        <v>1.1937130173222954E-8</v>
      </c>
      <c r="BM41" s="4">
        <f>AVERAGE(BM25:BM29)</f>
        <v>-5.6659015146287572E-8</v>
      </c>
      <c r="BN41" s="4">
        <f>AVERAGE(BN25:BN29)</f>
        <v>-1.533673121834056E-8</v>
      </c>
      <c r="BP41" s="4">
        <f>AVERAGE(BP25:BP29)</f>
        <v>2.3830308171213233E-8</v>
      </c>
      <c r="BQ41" s="4">
        <f>AVERAGE(BQ25:BQ29)</f>
        <v>-5.0960173858527469E-9</v>
      </c>
      <c r="BR41" s="4">
        <f>AVERAGE(BR25:BR29)</f>
        <v>9.3343777152199436E-9</v>
      </c>
      <c r="BS41" s="4">
        <f>AVERAGE(BS25:BS29)</f>
        <v>-4.6741713832787468E-8</v>
      </c>
      <c r="BT41" s="4">
        <f>AVERAGE(BT25:BT29)</f>
        <v>-7.4799276772452572E-9</v>
      </c>
    </row>
    <row r="42" spans="1:88" x14ac:dyDescent="0.25">
      <c r="B42" s="50" t="s">
        <v>17</v>
      </c>
      <c r="J42" s="51">
        <f>AVERAGE(J30:J39)</f>
        <v>0.54123482428253955</v>
      </c>
      <c r="K42" s="51">
        <f>AVERAGE(K30:K39)</f>
        <v>0.20978165888953432</v>
      </c>
      <c r="L42" s="51">
        <f>AVERAGE(L30:L39)</f>
        <v>0.15624439832889597</v>
      </c>
      <c r="M42" s="51">
        <f>AVERAGE(M30:M39)</f>
        <v>0.33145316539300534</v>
      </c>
      <c r="AH42" s="51">
        <f>AVERAGE(AH30:AH39)</f>
        <v>0.22175840289698295</v>
      </c>
      <c r="AI42" s="51">
        <f>AVERAGE(AI30:AI39)</f>
        <v>7.9683659825083769E-2</v>
      </c>
      <c r="AJ42" s="51">
        <f>AVERAGE(AJ30:AJ39)</f>
        <v>5.9753712180753461E-2</v>
      </c>
      <c r="AK42" s="51">
        <f>AVERAGE(AK30:AK39)</f>
        <v>0.14207474307189921</v>
      </c>
      <c r="BE42" s="4">
        <f t="shared" si="14"/>
        <v>0.37984092721396179</v>
      </c>
      <c r="BH42" s="53" t="e">
        <f>AVERAGE(BH30:BH39)</f>
        <v>#DIV/0!</v>
      </c>
      <c r="BJ42" s="4" t="e">
        <f>AVERAGE(BJ30:BJ39)</f>
        <v>#VALUE!</v>
      </c>
      <c r="BK42" s="4" t="e">
        <f>AVERAGE(BK30:BK39)</f>
        <v>#VALUE!</v>
      </c>
      <c r="BL42" s="4" t="e">
        <f>AVERAGE(BL30:BL39)</f>
        <v>#VALUE!</v>
      </c>
      <c r="BM42" s="4" t="e">
        <f>AVERAGE(BM30:BM39)</f>
        <v>#VALUE!</v>
      </c>
      <c r="BN42" s="4" t="e">
        <f>AVERAGE(BN30:BN39)</f>
        <v>#VALUE!</v>
      </c>
      <c r="BP42" s="4" t="e">
        <f>AVERAGE(BP30:BP39)</f>
        <v>#VALUE!</v>
      </c>
      <c r="BQ42" s="4" t="e">
        <f>AVERAGE(BQ30:BQ39)</f>
        <v>#VALUE!</v>
      </c>
      <c r="BR42" s="4" t="e">
        <f>AVERAGE(BR30:BR39)</f>
        <v>#VALUE!</v>
      </c>
      <c r="BS42" s="4" t="e">
        <f>AVERAGE(BS30:BS39)</f>
        <v>#VALUE!</v>
      </c>
      <c r="BT42" s="4" t="e">
        <f>AVERAGE(BT30:BT39)</f>
        <v>#VALUE!</v>
      </c>
    </row>
    <row r="43" spans="1:88" x14ac:dyDescent="0.25">
      <c r="B43" s="50" t="s">
        <v>18</v>
      </c>
      <c r="J43" s="51">
        <f>AVERAGE(J5:J39)</f>
        <v>0.50048726835033819</v>
      </c>
      <c r="K43" s="51">
        <f>AVERAGE(K5:K39)</f>
        <v>0.15015170423812499</v>
      </c>
      <c r="L43" s="51">
        <f>AVERAGE(L5:L39)</f>
        <v>0.10815049390911699</v>
      </c>
      <c r="M43" s="51">
        <f>AVERAGE(M5:M39)</f>
        <v>0.35033556411221323</v>
      </c>
      <c r="AH43" s="51">
        <f>AVERAGE(AH5:AH39)</f>
        <v>0.4092082908116077</v>
      </c>
      <c r="AI43" s="51">
        <f>AVERAGE(AI5:AI39)</f>
        <v>0.11298084736256772</v>
      </c>
      <c r="AJ43" s="51">
        <f>AVERAGE(AJ5:AJ39)</f>
        <v>8.0581726438219148E-2</v>
      </c>
      <c r="AK43" s="51">
        <f>AVERAGE(AK5:AK39)</f>
        <v>0.29622744344904001</v>
      </c>
      <c r="BE43" s="4">
        <f t="shared" si="14"/>
        <v>0.75244465546253037</v>
      </c>
      <c r="BH43" s="53" t="e">
        <f>AVERAGE(BH5:BH39)</f>
        <v>#DIV/0!</v>
      </c>
      <c r="BJ43" s="4" t="e">
        <f>AVERAGE(BJ5:BJ39)</f>
        <v>#VALUE!</v>
      </c>
      <c r="BK43" s="4" t="e">
        <f>AVERAGE(BK5:BK39)</f>
        <v>#VALUE!</v>
      </c>
      <c r="BL43" s="4" t="e">
        <f>AVERAGE(BL5:BL39)</f>
        <v>#VALUE!</v>
      </c>
      <c r="BM43" s="4" t="e">
        <f>AVERAGE(BM5:BM39)</f>
        <v>#VALUE!</v>
      </c>
      <c r="BN43" s="4" t="e">
        <f>AVERAGE(BN5:BN39)</f>
        <v>#VALUE!</v>
      </c>
      <c r="BP43" s="4" t="e">
        <f>AVERAGE(BP5:BP39)</f>
        <v>#VALUE!</v>
      </c>
      <c r="BQ43" s="4" t="e">
        <f>AVERAGE(BQ5:BQ39)</f>
        <v>#VALUE!</v>
      </c>
      <c r="BR43" s="4" t="e">
        <f>AVERAGE(BR5:BR39)</f>
        <v>#VALUE!</v>
      </c>
      <c r="BS43" s="4" t="e">
        <f>AVERAGE(BS5:BS39)</f>
        <v>#VALUE!</v>
      </c>
      <c r="BT43" s="4" t="e">
        <f>AVERAGE(BT5:BT39)</f>
        <v>#VALUE!</v>
      </c>
    </row>
    <row r="44" spans="1:88" outlineLevel="2" x14ac:dyDescent="0.25">
      <c r="A44" s="50" t="s">
        <v>250</v>
      </c>
      <c r="B44" s="50" t="s">
        <v>251</v>
      </c>
      <c r="AB44" s="52">
        <f>SUM(AB5:AB24,AB25:AB29,AB30:AB39)</f>
        <v>164350.90999999997</v>
      </c>
      <c r="AC44" s="52">
        <f>SUM(AC5:AC24,AC25:AC29,AC30:AC39)</f>
        <v>67010.553999999989</v>
      </c>
      <c r="AD44" s="52">
        <f>SUM(AD5:AD24,AD25:AD29,AD30:AD39)</f>
        <v>602.36800000000005</v>
      </c>
      <c r="AE44" s="52">
        <f>SUM(AE5:AE24,AE25:AE29,AE30:AE39)</f>
        <v>1106.9300000000003</v>
      </c>
      <c r="AZ44" s="52">
        <f>SUM(AZ5:AZ24,AZ25:AZ29,AZ30:AZ39)</f>
        <v>95596.98000000001</v>
      </c>
      <c r="BA44" s="52">
        <f>SUM(BA5:BA24,BA25:BA29,BA30:BA39)</f>
        <v>60020.380000000012</v>
      </c>
      <c r="BB44" s="52">
        <f>SUM(BB5:BB24,BB25:BB29,BB30:BB39)</f>
        <v>448.49600000000004</v>
      </c>
      <c r="BC44" s="52">
        <f>SUM(BC5:BC24,BC25:BC29,BC30:BC39)</f>
        <v>357.34399999999999</v>
      </c>
    </row>
    <row r="45" spans="1:88" outlineLevel="2" x14ac:dyDescent="0.25">
      <c r="B45" s="50" t="s">
        <v>252</v>
      </c>
      <c r="AZ45" s="53">
        <f>AZ44/AB44</f>
        <v>0.58166383137154531</v>
      </c>
      <c r="BA45" s="53">
        <f>BA44/AC44</f>
        <v>0.89568547664894727</v>
      </c>
      <c r="BB45" s="53">
        <f>BB44/AD44</f>
        <v>0.74455482362940928</v>
      </c>
      <c r="BC45" s="53">
        <f>BC44/AE44</f>
        <v>0.32282438817269377</v>
      </c>
    </row>
    <row r="46" spans="1:88" outlineLevel="2" x14ac:dyDescent="0.25">
      <c r="B46" s="50" t="s">
        <v>253</v>
      </c>
      <c r="AB46" s="52" t="e">
        <f>GEOMEAN(AB5:AB24,AB25:AB29,AB30:AB39)</f>
        <v>#NUM!</v>
      </c>
      <c r="AC46" s="52" t="e">
        <f>GEOMEAN(AC5:AC24,AC25:AC29,AC30:AC39)</f>
        <v>#NUM!</v>
      </c>
      <c r="AD46" s="52" t="e">
        <f>GEOMEAN(AD5:AD24,AD25:AD29,AD30:AD39)</f>
        <v>#NUM!</v>
      </c>
      <c r="AE46" s="52" t="e">
        <f>GEOMEAN(AE5:AE24,AE25:AE29,AE30:AE39)</f>
        <v>#NUM!</v>
      </c>
      <c r="AZ46" s="52">
        <f>GEOMEAN(AZ5:AZ24,AZ25:AZ29,AZ30:AZ39)</f>
        <v>2269.0586867294487</v>
      </c>
      <c r="BA46" s="52">
        <f>GEOMEAN(BA5:BA24,BA25:BA29,BA30:BA39)</f>
        <v>1692.3457350472677</v>
      </c>
      <c r="BB46" s="52">
        <f>GEOMEAN(BB5:BB24,BB25:BB29,BB30:BB39)</f>
        <v>12.734068510800414</v>
      </c>
      <c r="BC46" s="52">
        <f>GEOMEAN(BC5:BC24,BC25:BC29,BC30:BC39)</f>
        <v>10.045656725914933</v>
      </c>
    </row>
    <row r="47" spans="1:88" outlineLevel="2" collapsed="1" x14ac:dyDescent="0.25">
      <c r="B47" s="50" t="s">
        <v>254</v>
      </c>
      <c r="AZ47" s="53" t="e">
        <f>AZ46/AB46</f>
        <v>#NUM!</v>
      </c>
      <c r="BA47" s="53" t="e">
        <f>BA46/AC46</f>
        <v>#NUM!</v>
      </c>
      <c r="BB47" s="53" t="e">
        <f>BB46/AD46</f>
        <v>#NUM!</v>
      </c>
      <c r="BC47" s="53" t="e">
        <f>BC46/AE46</f>
        <v>#NUM!</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255</v>
      </c>
      <c r="B1">
        <v>1</v>
      </c>
    </row>
    <row r="2" spans="1:2" x14ac:dyDescent="0.25">
      <c r="A2" t="s">
        <v>256</v>
      </c>
      <c r="B2">
        <v>2</v>
      </c>
    </row>
    <row r="3" spans="1:2" x14ac:dyDescent="0.25">
      <c r="A3" t="s">
        <v>257</v>
      </c>
      <c r="B3">
        <v>3</v>
      </c>
    </row>
    <row r="4" spans="1:2" x14ac:dyDescent="0.25">
      <c r="A4" t="s">
        <v>258</v>
      </c>
      <c r="B4">
        <v>4</v>
      </c>
    </row>
    <row r="5" spans="1:2" x14ac:dyDescent="0.25">
      <c r="A5" t="s">
        <v>259</v>
      </c>
      <c r="B5">
        <v>5</v>
      </c>
    </row>
    <row r="6" spans="1:2" x14ac:dyDescent="0.25">
      <c r="A6" t="s">
        <v>260</v>
      </c>
      <c r="B6">
        <v>6</v>
      </c>
    </row>
    <row r="7" spans="1:2" x14ac:dyDescent="0.25">
      <c r="A7" t="s">
        <v>261</v>
      </c>
      <c r="B7">
        <v>7</v>
      </c>
    </row>
    <row r="8" spans="1:2" x14ac:dyDescent="0.25">
      <c r="A8" t="s">
        <v>262</v>
      </c>
      <c r="B8">
        <v>9</v>
      </c>
    </row>
    <row r="9" spans="1:2" x14ac:dyDescent="0.25">
      <c r="A9" t="s">
        <v>263</v>
      </c>
      <c r="B9">
        <v>10</v>
      </c>
    </row>
    <row r="10" spans="1:2" x14ac:dyDescent="0.25">
      <c r="A10" t="s">
        <v>264</v>
      </c>
      <c r="B10">
        <v>11</v>
      </c>
    </row>
    <row r="11" spans="1:2" x14ac:dyDescent="0.25">
      <c r="A11" t="s">
        <v>265</v>
      </c>
      <c r="B11">
        <v>12</v>
      </c>
    </row>
    <row r="12" spans="1:2" x14ac:dyDescent="0.25">
      <c r="A12" t="s">
        <v>266</v>
      </c>
      <c r="B12">
        <v>13</v>
      </c>
    </row>
    <row r="13" spans="1:2" x14ac:dyDescent="0.25">
      <c r="A13" t="s">
        <v>267</v>
      </c>
      <c r="B13">
        <v>14</v>
      </c>
    </row>
    <row r="14" spans="1:2" x14ac:dyDescent="0.25">
      <c r="A14" t="s">
        <v>268</v>
      </c>
      <c r="B14">
        <v>15</v>
      </c>
    </row>
    <row r="15" spans="1:2" x14ac:dyDescent="0.25">
      <c r="A15" t="s">
        <v>269</v>
      </c>
      <c r="B15">
        <v>16</v>
      </c>
    </row>
    <row r="16" spans="1:2" x14ac:dyDescent="0.25">
      <c r="A16" t="s">
        <v>270</v>
      </c>
      <c r="B16">
        <v>17</v>
      </c>
    </row>
    <row r="17" spans="1:2" x14ac:dyDescent="0.25">
      <c r="A17" t="s">
        <v>271</v>
      </c>
      <c r="B17">
        <v>18</v>
      </c>
    </row>
    <row r="18" spans="1:2" x14ac:dyDescent="0.25">
      <c r="A18" t="s">
        <v>272</v>
      </c>
      <c r="B18">
        <v>19</v>
      </c>
    </row>
    <row r="19" spans="1:2" x14ac:dyDescent="0.25">
      <c r="A19" t="s">
        <v>273</v>
      </c>
      <c r="B19">
        <v>20</v>
      </c>
    </row>
    <row r="20" spans="1:2" x14ac:dyDescent="0.25">
      <c r="A20" t="s">
        <v>274</v>
      </c>
      <c r="B20">
        <v>21</v>
      </c>
    </row>
    <row r="21" spans="1:2" x14ac:dyDescent="0.25">
      <c r="A21" t="s">
        <v>275</v>
      </c>
      <c r="B21">
        <v>22</v>
      </c>
    </row>
    <row r="22" spans="1:2" x14ac:dyDescent="0.25">
      <c r="A22" t="s">
        <v>276</v>
      </c>
      <c r="B22">
        <v>23</v>
      </c>
    </row>
    <row r="23" spans="1:2" x14ac:dyDescent="0.25">
      <c r="A23" t="s">
        <v>277</v>
      </c>
      <c r="B23">
        <v>24</v>
      </c>
    </row>
    <row r="24" spans="1:2" x14ac:dyDescent="0.25">
      <c r="A24" t="s">
        <v>278</v>
      </c>
      <c r="B24">
        <v>25</v>
      </c>
    </row>
    <row r="25" spans="1:2" x14ac:dyDescent="0.25">
      <c r="A25" t="s">
        <v>279</v>
      </c>
      <c r="B25">
        <v>26</v>
      </c>
    </row>
    <row r="26" spans="1:2" x14ac:dyDescent="0.25">
      <c r="A26" t="s">
        <v>280</v>
      </c>
      <c r="B26">
        <v>27</v>
      </c>
    </row>
    <row r="27" spans="1:2" x14ac:dyDescent="0.25">
      <c r="A27" t="s">
        <v>281</v>
      </c>
      <c r="B27">
        <v>28</v>
      </c>
    </row>
    <row r="28" spans="1:2" x14ac:dyDescent="0.25">
      <c r="A28" t="s">
        <v>282</v>
      </c>
      <c r="B28">
        <v>29</v>
      </c>
    </row>
    <row r="29" spans="1:2" x14ac:dyDescent="0.25">
      <c r="A29" t="s">
        <v>283</v>
      </c>
      <c r="B29">
        <v>30</v>
      </c>
    </row>
    <row r="30" spans="1:2" x14ac:dyDescent="0.25">
      <c r="A30" t="s">
        <v>284</v>
      </c>
      <c r="B30">
        <v>31</v>
      </c>
    </row>
    <row r="31" spans="1:2" x14ac:dyDescent="0.25">
      <c r="A31" t="s">
        <v>285</v>
      </c>
      <c r="B31">
        <v>33</v>
      </c>
    </row>
    <row r="32" spans="1:2" x14ac:dyDescent="0.25">
      <c r="A32" t="s">
        <v>286</v>
      </c>
      <c r="B32">
        <v>34</v>
      </c>
    </row>
    <row r="33" spans="1:2" x14ac:dyDescent="0.25">
      <c r="A33" t="s">
        <v>287</v>
      </c>
      <c r="B33">
        <v>35</v>
      </c>
    </row>
    <row r="34" spans="1:2" x14ac:dyDescent="0.25">
      <c r="A34" t="s">
        <v>288</v>
      </c>
      <c r="B34">
        <v>36</v>
      </c>
    </row>
    <row r="35" spans="1:2" x14ac:dyDescent="0.25">
      <c r="A35" t="s">
        <v>289</v>
      </c>
      <c r="B35">
        <v>37</v>
      </c>
    </row>
    <row r="36" spans="1:2" x14ac:dyDescent="0.25">
      <c r="A36" t="s">
        <v>290</v>
      </c>
      <c r="B36">
        <v>38</v>
      </c>
    </row>
    <row r="37" spans="1:2" x14ac:dyDescent="0.25">
      <c r="A37" t="s">
        <v>291</v>
      </c>
      <c r="B37">
        <v>39</v>
      </c>
    </row>
    <row r="38" spans="1:2" x14ac:dyDescent="0.25">
      <c r="A38" t="s">
        <v>292</v>
      </c>
      <c r="B38">
        <v>40</v>
      </c>
    </row>
    <row r="39" spans="1:2" x14ac:dyDescent="0.25">
      <c r="A39" t="s">
        <v>293</v>
      </c>
      <c r="B39">
        <v>41</v>
      </c>
    </row>
    <row r="40" spans="1:2" x14ac:dyDescent="0.25">
      <c r="A40" t="s">
        <v>294</v>
      </c>
      <c r="B40">
        <v>42</v>
      </c>
    </row>
    <row r="41" spans="1:2" x14ac:dyDescent="0.25">
      <c r="A41" t="s">
        <v>295</v>
      </c>
      <c r="B41">
        <v>43</v>
      </c>
    </row>
    <row r="42" spans="1:2" x14ac:dyDescent="0.25">
      <c r="A42" t="s">
        <v>296</v>
      </c>
      <c r="B42">
        <v>44</v>
      </c>
    </row>
    <row r="43" spans="1:2" x14ac:dyDescent="0.25">
      <c r="A43" t="s">
        <v>297</v>
      </c>
      <c r="B43">
        <v>45</v>
      </c>
    </row>
    <row r="44" spans="1:2" x14ac:dyDescent="0.25">
      <c r="A44" t="s">
        <v>298</v>
      </c>
      <c r="B44">
        <v>46</v>
      </c>
    </row>
    <row r="45" spans="1:2" x14ac:dyDescent="0.25">
      <c r="A45" t="s">
        <v>299</v>
      </c>
      <c r="B45">
        <v>47</v>
      </c>
    </row>
    <row r="46" spans="1:2" x14ac:dyDescent="0.25">
      <c r="A46" t="s">
        <v>300</v>
      </c>
      <c r="B46">
        <v>48</v>
      </c>
    </row>
    <row r="47" spans="1:2" x14ac:dyDescent="0.25">
      <c r="A47" t="s">
        <v>301</v>
      </c>
      <c r="B47">
        <v>49</v>
      </c>
    </row>
    <row r="48" spans="1:2" x14ac:dyDescent="0.25">
      <c r="A48" t="s">
        <v>302</v>
      </c>
      <c r="B48">
        <v>50</v>
      </c>
    </row>
    <row r="49" spans="1:2" x14ac:dyDescent="0.25">
      <c r="A49" t="s">
        <v>303</v>
      </c>
      <c r="B49">
        <v>51</v>
      </c>
    </row>
    <row r="50" spans="1:2" x14ac:dyDescent="0.25">
      <c r="A50" t="s">
        <v>304</v>
      </c>
      <c r="B50">
        <v>52</v>
      </c>
    </row>
    <row r="51" spans="1:2" x14ac:dyDescent="0.25">
      <c r="A51" t="s">
        <v>305</v>
      </c>
      <c r="B51">
        <v>53</v>
      </c>
    </row>
    <row r="52" spans="1:2" x14ac:dyDescent="0.25">
      <c r="A52" t="s">
        <v>306</v>
      </c>
      <c r="B52">
        <v>54</v>
      </c>
    </row>
    <row r="53" spans="1:2" x14ac:dyDescent="0.25">
      <c r="A53" t="s">
        <v>307</v>
      </c>
      <c r="B53">
        <v>55</v>
      </c>
    </row>
    <row r="54" spans="1:2" x14ac:dyDescent="0.25">
      <c r="A54" t="s">
        <v>308</v>
      </c>
      <c r="B54">
        <v>57</v>
      </c>
    </row>
    <row r="55" spans="1:2" x14ac:dyDescent="0.25">
      <c r="A55" t="s">
        <v>309</v>
      </c>
      <c r="B55">
        <v>58</v>
      </c>
    </row>
    <row r="56" spans="1:2" x14ac:dyDescent="0.25">
      <c r="A56" t="s">
        <v>310</v>
      </c>
      <c r="B56">
        <v>59</v>
      </c>
    </row>
    <row r="57" spans="1:2" x14ac:dyDescent="0.25">
      <c r="A57" t="s">
        <v>311</v>
      </c>
      <c r="B57">
        <v>60</v>
      </c>
    </row>
    <row r="58" spans="1:2" x14ac:dyDescent="0.25">
      <c r="A58" t="s">
        <v>312</v>
      </c>
      <c r="B58">
        <v>62</v>
      </c>
    </row>
    <row r="59" spans="1:2" x14ac:dyDescent="0.25">
      <c r="A59" t="s">
        <v>313</v>
      </c>
      <c r="B59">
        <v>63</v>
      </c>
    </row>
    <row r="60" spans="1:2" x14ac:dyDescent="0.25">
      <c r="A60" t="s">
        <v>314</v>
      </c>
      <c r="B60">
        <v>64</v>
      </c>
    </row>
    <row r="61" spans="1:2" x14ac:dyDescent="0.25">
      <c r="A61" t="s">
        <v>315</v>
      </c>
      <c r="B61">
        <v>65</v>
      </c>
    </row>
    <row r="62" spans="1:2" x14ac:dyDescent="0.25">
      <c r="A62" t="s">
        <v>316</v>
      </c>
      <c r="B62">
        <v>66</v>
      </c>
    </row>
    <row r="63" spans="1:2" x14ac:dyDescent="0.25">
      <c r="A63" t="s">
        <v>317</v>
      </c>
      <c r="B63">
        <v>68</v>
      </c>
    </row>
    <row r="64" spans="1:2" x14ac:dyDescent="0.25">
      <c r="A64" t="s">
        <v>318</v>
      </c>
      <c r="B64">
        <v>69</v>
      </c>
    </row>
    <row r="65" spans="1:24" x14ac:dyDescent="0.25">
      <c r="A65" t="s">
        <v>319</v>
      </c>
      <c r="B65">
        <v>70</v>
      </c>
    </row>
    <row r="66" spans="1:24" x14ac:dyDescent="0.25">
      <c r="A66" t="s">
        <v>320</v>
      </c>
      <c r="B66">
        <v>71</v>
      </c>
    </row>
    <row r="67" spans="1:24" x14ac:dyDescent="0.25">
      <c r="A67" t="s">
        <v>321</v>
      </c>
      <c r="B67">
        <v>72</v>
      </c>
    </row>
    <row r="68" spans="1:24" x14ac:dyDescent="0.25">
      <c r="A68" t="s">
        <v>322</v>
      </c>
      <c r="B68" t="s">
        <v>323</v>
      </c>
    </row>
    <row r="69" spans="1:24" x14ac:dyDescent="0.25">
      <c r="A69" t="s">
        <v>324</v>
      </c>
      <c r="B69" t="s">
        <v>325</v>
      </c>
    </row>
    <row r="70" spans="1:24" x14ac:dyDescent="0.25">
      <c r="A70" t="s">
        <v>326</v>
      </c>
      <c r="B70" t="s">
        <v>327</v>
      </c>
    </row>
    <row r="71" spans="1:24" x14ac:dyDescent="0.25">
      <c r="A71" t="s">
        <v>328</v>
      </c>
      <c r="B71" t="s">
        <v>329</v>
      </c>
    </row>
    <row r="72" spans="1:24" x14ac:dyDescent="0.25">
      <c r="A72" t="s">
        <v>330</v>
      </c>
      <c r="B72" t="s">
        <v>331</v>
      </c>
    </row>
    <row r="73" spans="1:24" x14ac:dyDescent="0.25">
      <c r="A73" t="s">
        <v>332</v>
      </c>
      <c r="B73" t="s">
        <v>333</v>
      </c>
    </row>
    <row r="74" spans="1:24" x14ac:dyDescent="0.25">
      <c r="A74" t="s">
        <v>334</v>
      </c>
      <c r="B74" t="s">
        <v>335</v>
      </c>
    </row>
    <row r="75" spans="1:24" x14ac:dyDescent="0.25">
      <c r="A75" t="s">
        <v>336</v>
      </c>
      <c r="B75" t="s">
        <v>337</v>
      </c>
    </row>
    <row r="76" spans="1:24" x14ac:dyDescent="0.25">
      <c r="A76" t="s">
        <v>338</v>
      </c>
      <c r="B76" t="s">
        <v>339</v>
      </c>
    </row>
    <row r="77" spans="1:24" x14ac:dyDescent="0.25">
      <c r="A77" t="s">
        <v>340</v>
      </c>
      <c r="B77" t="s">
        <v>120</v>
      </c>
      <c r="C77" t="s">
        <v>110</v>
      </c>
      <c r="D77" t="s">
        <v>65</v>
      </c>
      <c r="E77" t="s">
        <v>99</v>
      </c>
      <c r="F77" t="s">
        <v>128</v>
      </c>
      <c r="G77" t="s">
        <v>124</v>
      </c>
      <c r="H77" t="s">
        <v>86</v>
      </c>
      <c r="I77" t="s">
        <v>84</v>
      </c>
      <c r="J77" t="s">
        <v>101</v>
      </c>
      <c r="K77" t="s">
        <v>118</v>
      </c>
      <c r="L77" t="s">
        <v>106</v>
      </c>
      <c r="M77" t="s">
        <v>48</v>
      </c>
      <c r="N77" t="s">
        <v>61</v>
      </c>
      <c r="O77" t="s">
        <v>52</v>
      </c>
      <c r="P77" t="s">
        <v>64</v>
      </c>
      <c r="Q77" t="s">
        <v>126</v>
      </c>
      <c r="R77" t="s">
        <v>108</v>
      </c>
      <c r="S77" t="s">
        <v>132</v>
      </c>
      <c r="T77" t="s">
        <v>54</v>
      </c>
      <c r="U77" t="s">
        <v>122</v>
      </c>
      <c r="V77" t="s">
        <v>114</v>
      </c>
      <c r="W77" t="s">
        <v>82</v>
      </c>
      <c r="X77" t="s">
        <v>59</v>
      </c>
    </row>
    <row r="78" spans="1:24" x14ac:dyDescent="0.25">
      <c r="A78" t="s">
        <v>341</v>
      </c>
      <c r="B78">
        <v>1</v>
      </c>
    </row>
    <row r="79" spans="1:24" x14ac:dyDescent="0.25">
      <c r="A79" t="s">
        <v>342</v>
      </c>
      <c r="B79">
        <v>2</v>
      </c>
    </row>
    <row r="80" spans="1:24" x14ac:dyDescent="0.25">
      <c r="A80" t="s">
        <v>343</v>
      </c>
      <c r="B80">
        <v>3</v>
      </c>
    </row>
    <row r="81" spans="1:2" x14ac:dyDescent="0.25">
      <c r="A81" t="s">
        <v>344</v>
      </c>
      <c r="B81">
        <v>4</v>
      </c>
    </row>
    <row r="82" spans="1:2" x14ac:dyDescent="0.25">
      <c r="A82" t="s">
        <v>345</v>
      </c>
      <c r="B82">
        <v>5</v>
      </c>
    </row>
    <row r="83" spans="1:2" x14ac:dyDescent="0.25">
      <c r="A83" t="s">
        <v>346</v>
      </c>
      <c r="B83">
        <v>6</v>
      </c>
    </row>
    <row r="84" spans="1:2" x14ac:dyDescent="0.25">
      <c r="A84" t="s">
        <v>347</v>
      </c>
      <c r="B84">
        <v>8</v>
      </c>
    </row>
    <row r="85" spans="1:2" x14ac:dyDescent="0.25">
      <c r="A85" t="s">
        <v>348</v>
      </c>
      <c r="B85">
        <v>9</v>
      </c>
    </row>
    <row r="86" spans="1:2" x14ac:dyDescent="0.25">
      <c r="A86" t="s">
        <v>349</v>
      </c>
      <c r="B86">
        <v>10</v>
      </c>
    </row>
    <row r="87" spans="1:2" x14ac:dyDescent="0.25">
      <c r="A87" t="s">
        <v>350</v>
      </c>
      <c r="B87">
        <v>11</v>
      </c>
    </row>
    <row r="88" spans="1:2" x14ac:dyDescent="0.25">
      <c r="A88" t="s">
        <v>351</v>
      </c>
      <c r="B88">
        <v>12</v>
      </c>
    </row>
    <row r="89" spans="1:2" x14ac:dyDescent="0.25">
      <c r="A89" t="s">
        <v>352</v>
      </c>
      <c r="B89">
        <v>13</v>
      </c>
    </row>
    <row r="90" spans="1:2" x14ac:dyDescent="0.25">
      <c r="A90" t="s">
        <v>353</v>
      </c>
      <c r="B90">
        <v>14</v>
      </c>
    </row>
    <row r="91" spans="1:2" x14ac:dyDescent="0.25">
      <c r="A91" t="s">
        <v>354</v>
      </c>
      <c r="B91">
        <v>15</v>
      </c>
    </row>
    <row r="92" spans="1:2" x14ac:dyDescent="0.25">
      <c r="A92" t="s">
        <v>355</v>
      </c>
      <c r="B92">
        <v>16</v>
      </c>
    </row>
    <row r="93" spans="1:2" x14ac:dyDescent="0.25">
      <c r="A93" t="s">
        <v>356</v>
      </c>
      <c r="B93">
        <v>17</v>
      </c>
    </row>
    <row r="94" spans="1:2" x14ac:dyDescent="0.25">
      <c r="A94" t="s">
        <v>357</v>
      </c>
      <c r="B94">
        <v>18</v>
      </c>
    </row>
    <row r="95" spans="1:2" x14ac:dyDescent="0.25">
      <c r="A95" t="s">
        <v>358</v>
      </c>
      <c r="B95">
        <v>19</v>
      </c>
    </row>
    <row r="96" spans="1:2" x14ac:dyDescent="0.25">
      <c r="A96" t="s">
        <v>359</v>
      </c>
      <c r="B96">
        <v>20</v>
      </c>
    </row>
    <row r="97" spans="1:2" x14ac:dyDescent="0.25">
      <c r="A97" t="s">
        <v>360</v>
      </c>
      <c r="B97">
        <v>21</v>
      </c>
    </row>
    <row r="98" spans="1:2" x14ac:dyDescent="0.25">
      <c r="A98" t="s">
        <v>361</v>
      </c>
      <c r="B98">
        <v>22</v>
      </c>
    </row>
    <row r="99" spans="1:2" x14ac:dyDescent="0.25">
      <c r="A99" t="s">
        <v>362</v>
      </c>
      <c r="B99">
        <v>23</v>
      </c>
    </row>
    <row r="100" spans="1:2" x14ac:dyDescent="0.25">
      <c r="A100" t="s">
        <v>363</v>
      </c>
      <c r="B100">
        <v>24</v>
      </c>
    </row>
    <row r="101" spans="1:2" x14ac:dyDescent="0.25">
      <c r="A101" t="s">
        <v>364</v>
      </c>
      <c r="B101">
        <v>25</v>
      </c>
    </row>
    <row r="102" spans="1:2" x14ac:dyDescent="0.25">
      <c r="A102" t="s">
        <v>365</v>
      </c>
      <c r="B102">
        <v>26</v>
      </c>
    </row>
    <row r="103" spans="1:2" x14ac:dyDescent="0.25">
      <c r="A103" t="s">
        <v>366</v>
      </c>
      <c r="B103">
        <v>27</v>
      </c>
    </row>
    <row r="104" spans="1:2" x14ac:dyDescent="0.25">
      <c r="A104" t="s">
        <v>367</v>
      </c>
      <c r="B104">
        <v>28</v>
      </c>
    </row>
    <row r="105" spans="1:2" x14ac:dyDescent="0.25">
      <c r="A105" t="s">
        <v>368</v>
      </c>
      <c r="B105">
        <v>29</v>
      </c>
    </row>
    <row r="106" spans="1:2" x14ac:dyDescent="0.25">
      <c r="A106" t="s">
        <v>369</v>
      </c>
      <c r="B106">
        <v>31</v>
      </c>
    </row>
    <row r="107" spans="1:2" x14ac:dyDescent="0.25">
      <c r="A107" t="s">
        <v>370</v>
      </c>
      <c r="B107">
        <v>32</v>
      </c>
    </row>
    <row r="108" spans="1:2" x14ac:dyDescent="0.25">
      <c r="A108" t="s">
        <v>371</v>
      </c>
      <c r="B108">
        <v>33</v>
      </c>
    </row>
    <row r="109" spans="1:2" x14ac:dyDescent="0.25">
      <c r="A109" t="s">
        <v>372</v>
      </c>
      <c r="B109">
        <v>34</v>
      </c>
    </row>
    <row r="110" spans="1:2" x14ac:dyDescent="0.25">
      <c r="A110" t="s">
        <v>373</v>
      </c>
      <c r="B110">
        <v>35</v>
      </c>
    </row>
    <row r="111" spans="1:2" x14ac:dyDescent="0.25">
      <c r="A111" t="s">
        <v>374</v>
      </c>
      <c r="B111">
        <v>36</v>
      </c>
    </row>
    <row r="112" spans="1:2" x14ac:dyDescent="0.25">
      <c r="A112" t="s">
        <v>375</v>
      </c>
      <c r="B112">
        <v>37</v>
      </c>
    </row>
    <row r="113" spans="1:2" x14ac:dyDescent="0.25">
      <c r="A113" t="s">
        <v>376</v>
      </c>
      <c r="B113">
        <v>38</v>
      </c>
    </row>
    <row r="114" spans="1:2" x14ac:dyDescent="0.25">
      <c r="A114" t="s">
        <v>377</v>
      </c>
      <c r="B114">
        <v>39</v>
      </c>
    </row>
    <row r="115" spans="1:2" x14ac:dyDescent="0.25">
      <c r="A115" t="s">
        <v>378</v>
      </c>
      <c r="B115">
        <v>40</v>
      </c>
    </row>
    <row r="116" spans="1:2" x14ac:dyDescent="0.25">
      <c r="A116" t="s">
        <v>379</v>
      </c>
      <c r="B116">
        <v>41</v>
      </c>
    </row>
    <row r="117" spans="1:2" x14ac:dyDescent="0.25">
      <c r="A117" t="s">
        <v>380</v>
      </c>
      <c r="B117">
        <v>42</v>
      </c>
    </row>
    <row r="118" spans="1:2" x14ac:dyDescent="0.25">
      <c r="A118" t="s">
        <v>381</v>
      </c>
      <c r="B118">
        <v>43</v>
      </c>
    </row>
    <row r="119" spans="1:2" x14ac:dyDescent="0.25">
      <c r="A119" t="s">
        <v>382</v>
      </c>
      <c r="B119">
        <v>44</v>
      </c>
    </row>
    <row r="120" spans="1:2" x14ac:dyDescent="0.25">
      <c r="A120" t="s">
        <v>383</v>
      </c>
      <c r="B120">
        <v>45</v>
      </c>
    </row>
    <row r="121" spans="1:2" x14ac:dyDescent="0.25">
      <c r="A121" t="s">
        <v>384</v>
      </c>
      <c r="B121">
        <v>46</v>
      </c>
    </row>
    <row r="122" spans="1:2" x14ac:dyDescent="0.25">
      <c r="A122" t="s">
        <v>385</v>
      </c>
      <c r="B122">
        <v>47</v>
      </c>
    </row>
    <row r="123" spans="1:2" x14ac:dyDescent="0.25">
      <c r="A123" t="s">
        <v>386</v>
      </c>
      <c r="B123">
        <v>48</v>
      </c>
    </row>
    <row r="124" spans="1:2" x14ac:dyDescent="0.25">
      <c r="A124" t="s">
        <v>387</v>
      </c>
      <c r="B124">
        <v>49</v>
      </c>
    </row>
    <row r="125" spans="1:2" x14ac:dyDescent="0.25">
      <c r="A125" t="s">
        <v>388</v>
      </c>
      <c r="B125">
        <v>50</v>
      </c>
    </row>
    <row r="126" spans="1:2" x14ac:dyDescent="0.25">
      <c r="A126" t="s">
        <v>389</v>
      </c>
      <c r="B126">
        <v>51</v>
      </c>
    </row>
    <row r="127" spans="1:2" x14ac:dyDescent="0.25">
      <c r="A127" t="s">
        <v>390</v>
      </c>
      <c r="B127">
        <v>52</v>
      </c>
    </row>
    <row r="128" spans="1:2" x14ac:dyDescent="0.25">
      <c r="A128" t="s">
        <v>391</v>
      </c>
      <c r="B128">
        <v>54</v>
      </c>
    </row>
    <row r="129" spans="1:23" x14ac:dyDescent="0.25">
      <c r="A129" t="s">
        <v>392</v>
      </c>
      <c r="B129">
        <v>55</v>
      </c>
    </row>
    <row r="130" spans="1:23" x14ac:dyDescent="0.25">
      <c r="A130" t="s">
        <v>393</v>
      </c>
      <c r="B130">
        <v>56</v>
      </c>
    </row>
    <row r="131" spans="1:23" x14ac:dyDescent="0.25">
      <c r="A131" t="s">
        <v>394</v>
      </c>
      <c r="B131">
        <v>57</v>
      </c>
    </row>
    <row r="132" spans="1:23" x14ac:dyDescent="0.25">
      <c r="A132" t="s">
        <v>395</v>
      </c>
      <c r="B132">
        <v>58</v>
      </c>
    </row>
    <row r="133" spans="1:23" x14ac:dyDescent="0.25">
      <c r="A133" t="s">
        <v>396</v>
      </c>
      <c r="B133">
        <v>59</v>
      </c>
    </row>
    <row r="134" spans="1:23" x14ac:dyDescent="0.25">
      <c r="A134" t="s">
        <v>397</v>
      </c>
      <c r="B134" t="s">
        <v>398</v>
      </c>
    </row>
    <row r="135" spans="1:23" x14ac:dyDescent="0.25">
      <c r="A135" t="s">
        <v>399</v>
      </c>
      <c r="B135" t="s">
        <v>400</v>
      </c>
    </row>
    <row r="136" spans="1:23" x14ac:dyDescent="0.25">
      <c r="A136" t="s">
        <v>401</v>
      </c>
      <c r="B136" t="s">
        <v>402</v>
      </c>
    </row>
    <row r="137" spans="1:23" x14ac:dyDescent="0.25">
      <c r="A137" t="s">
        <v>403</v>
      </c>
      <c r="B137" t="s">
        <v>404</v>
      </c>
    </row>
    <row r="138" spans="1:23" x14ac:dyDescent="0.25">
      <c r="A138" t="s">
        <v>405</v>
      </c>
      <c r="B138" t="s">
        <v>406</v>
      </c>
    </row>
    <row r="139" spans="1:23" x14ac:dyDescent="0.25">
      <c r="A139" t="s">
        <v>407</v>
      </c>
      <c r="B139" t="s">
        <v>408</v>
      </c>
    </row>
    <row r="140" spans="1:23" x14ac:dyDescent="0.25">
      <c r="A140" t="s">
        <v>409</v>
      </c>
      <c r="B140" t="s">
        <v>410</v>
      </c>
    </row>
    <row r="141" spans="1:23" x14ac:dyDescent="0.25">
      <c r="A141" t="s">
        <v>411</v>
      </c>
      <c r="B141" t="s">
        <v>412</v>
      </c>
    </row>
    <row r="142" spans="1:23" x14ac:dyDescent="0.25">
      <c r="A142" t="s">
        <v>413</v>
      </c>
      <c r="B142" t="s">
        <v>414</v>
      </c>
    </row>
    <row r="143" spans="1:23" x14ac:dyDescent="0.25">
      <c r="A143" t="s">
        <v>415</v>
      </c>
      <c r="B143" t="s">
        <v>65</v>
      </c>
      <c r="C143" t="s">
        <v>128</v>
      </c>
      <c r="D143" t="s">
        <v>108</v>
      </c>
      <c r="E143" t="s">
        <v>54</v>
      </c>
      <c r="F143" t="s">
        <v>132</v>
      </c>
      <c r="G143" t="s">
        <v>135</v>
      </c>
      <c r="H143" t="s">
        <v>122</v>
      </c>
      <c r="I143" t="s">
        <v>99</v>
      </c>
      <c r="J143" t="s">
        <v>114</v>
      </c>
      <c r="K143" t="s">
        <v>124</v>
      </c>
      <c r="L143" t="s">
        <v>120</v>
      </c>
      <c r="M143" t="s">
        <v>64</v>
      </c>
      <c r="N143" t="s">
        <v>84</v>
      </c>
      <c r="O143" t="s">
        <v>126</v>
      </c>
      <c r="P143" t="s">
        <v>110</v>
      </c>
      <c r="Q143" t="s">
        <v>106</v>
      </c>
      <c r="R143" t="s">
        <v>48</v>
      </c>
      <c r="S143" t="s">
        <v>52</v>
      </c>
      <c r="T143" t="s">
        <v>61</v>
      </c>
      <c r="U143" t="s">
        <v>101</v>
      </c>
      <c r="V143" t="s">
        <v>59</v>
      </c>
      <c r="W143" t="s">
        <v>118</v>
      </c>
    </row>
    <row r="144" spans="1:23" x14ac:dyDescent="0.25">
      <c r="A144" t="s">
        <v>416</v>
      </c>
      <c r="B144">
        <v>1</v>
      </c>
    </row>
    <row r="145" spans="1:2" x14ac:dyDescent="0.25">
      <c r="A145" t="s">
        <v>417</v>
      </c>
      <c r="B145">
        <v>2</v>
      </c>
    </row>
    <row r="146" spans="1:2" x14ac:dyDescent="0.25">
      <c r="A146" t="s">
        <v>418</v>
      </c>
      <c r="B146">
        <v>3</v>
      </c>
    </row>
    <row r="147" spans="1:2" x14ac:dyDescent="0.25">
      <c r="A147" t="s">
        <v>419</v>
      </c>
      <c r="B147">
        <v>4</v>
      </c>
    </row>
    <row r="148" spans="1:2" x14ac:dyDescent="0.25">
      <c r="A148" t="s">
        <v>420</v>
      </c>
      <c r="B148">
        <v>5</v>
      </c>
    </row>
    <row r="149" spans="1:2" x14ac:dyDescent="0.25">
      <c r="A149" t="s">
        <v>421</v>
      </c>
      <c r="B149">
        <v>6</v>
      </c>
    </row>
    <row r="150" spans="1:2" x14ac:dyDescent="0.25">
      <c r="A150" t="s">
        <v>422</v>
      </c>
      <c r="B150">
        <v>8</v>
      </c>
    </row>
    <row r="151" spans="1:2" x14ac:dyDescent="0.25">
      <c r="A151" t="s">
        <v>423</v>
      </c>
      <c r="B151">
        <v>9</v>
      </c>
    </row>
    <row r="152" spans="1:2" x14ac:dyDescent="0.25">
      <c r="A152" t="s">
        <v>424</v>
      </c>
      <c r="B152">
        <v>10</v>
      </c>
    </row>
    <row r="153" spans="1:2" x14ac:dyDescent="0.25">
      <c r="A153" t="s">
        <v>425</v>
      </c>
      <c r="B153">
        <v>11</v>
      </c>
    </row>
    <row r="154" spans="1:2" x14ac:dyDescent="0.25">
      <c r="A154" t="s">
        <v>426</v>
      </c>
      <c r="B154">
        <v>12</v>
      </c>
    </row>
    <row r="155" spans="1:2" x14ac:dyDescent="0.25">
      <c r="A155" t="s">
        <v>427</v>
      </c>
      <c r="B155">
        <v>13</v>
      </c>
    </row>
    <row r="156" spans="1:2" x14ac:dyDescent="0.25">
      <c r="A156" t="s">
        <v>428</v>
      </c>
      <c r="B156">
        <v>14</v>
      </c>
    </row>
    <row r="157" spans="1:2" x14ac:dyDescent="0.25">
      <c r="A157" t="s">
        <v>429</v>
      </c>
      <c r="B157">
        <v>15</v>
      </c>
    </row>
    <row r="158" spans="1:2" x14ac:dyDescent="0.25">
      <c r="A158" t="s">
        <v>430</v>
      </c>
      <c r="B158">
        <v>16</v>
      </c>
    </row>
    <row r="159" spans="1:2" x14ac:dyDescent="0.25">
      <c r="A159" t="s">
        <v>431</v>
      </c>
      <c r="B159">
        <v>17</v>
      </c>
    </row>
    <row r="160" spans="1:2" x14ac:dyDescent="0.25">
      <c r="A160" t="s">
        <v>432</v>
      </c>
      <c r="B160">
        <v>18</v>
      </c>
    </row>
    <row r="161" spans="1:2" x14ac:dyDescent="0.25">
      <c r="A161" t="s">
        <v>433</v>
      </c>
      <c r="B161">
        <v>19</v>
      </c>
    </row>
    <row r="162" spans="1:2" x14ac:dyDescent="0.25">
      <c r="A162" t="s">
        <v>434</v>
      </c>
      <c r="B162">
        <v>20</v>
      </c>
    </row>
    <row r="163" spans="1:2" x14ac:dyDescent="0.25">
      <c r="A163" t="s">
        <v>435</v>
      </c>
      <c r="B163">
        <v>21</v>
      </c>
    </row>
    <row r="164" spans="1:2" x14ac:dyDescent="0.25">
      <c r="A164" t="s">
        <v>436</v>
      </c>
      <c r="B164">
        <v>22</v>
      </c>
    </row>
    <row r="165" spans="1:2" x14ac:dyDescent="0.25">
      <c r="A165" t="s">
        <v>437</v>
      </c>
      <c r="B165">
        <v>23</v>
      </c>
    </row>
    <row r="166" spans="1:2" x14ac:dyDescent="0.25">
      <c r="A166" t="s">
        <v>438</v>
      </c>
      <c r="B166">
        <v>24</v>
      </c>
    </row>
    <row r="167" spans="1:2" x14ac:dyDescent="0.25">
      <c r="A167" t="s">
        <v>439</v>
      </c>
      <c r="B167">
        <v>25</v>
      </c>
    </row>
    <row r="168" spans="1:2" x14ac:dyDescent="0.25">
      <c r="A168" t="s">
        <v>440</v>
      </c>
      <c r="B168">
        <v>26</v>
      </c>
    </row>
    <row r="169" spans="1:2" x14ac:dyDescent="0.25">
      <c r="A169" t="s">
        <v>441</v>
      </c>
      <c r="B169">
        <v>27</v>
      </c>
    </row>
    <row r="170" spans="1:2" x14ac:dyDescent="0.25">
      <c r="A170" t="s">
        <v>442</v>
      </c>
      <c r="B170">
        <v>28</v>
      </c>
    </row>
    <row r="171" spans="1:2" x14ac:dyDescent="0.25">
      <c r="A171" t="s">
        <v>443</v>
      </c>
      <c r="B171">
        <v>29</v>
      </c>
    </row>
    <row r="172" spans="1:2" x14ac:dyDescent="0.25">
      <c r="A172" t="s">
        <v>444</v>
      </c>
      <c r="B172">
        <v>31</v>
      </c>
    </row>
    <row r="173" spans="1:2" x14ac:dyDescent="0.25">
      <c r="A173" t="s">
        <v>445</v>
      </c>
      <c r="B173">
        <v>32</v>
      </c>
    </row>
    <row r="174" spans="1:2" x14ac:dyDescent="0.25">
      <c r="A174" t="s">
        <v>446</v>
      </c>
      <c r="B174">
        <v>33</v>
      </c>
    </row>
    <row r="175" spans="1:2" x14ac:dyDescent="0.25">
      <c r="A175" t="s">
        <v>447</v>
      </c>
      <c r="B175">
        <v>34</v>
      </c>
    </row>
    <row r="176" spans="1:2" x14ac:dyDescent="0.25">
      <c r="A176" t="s">
        <v>448</v>
      </c>
      <c r="B176">
        <v>35</v>
      </c>
    </row>
    <row r="177" spans="1:2" x14ac:dyDescent="0.25">
      <c r="A177" t="s">
        <v>449</v>
      </c>
      <c r="B177">
        <v>36</v>
      </c>
    </row>
    <row r="178" spans="1:2" x14ac:dyDescent="0.25">
      <c r="A178" t="s">
        <v>450</v>
      </c>
      <c r="B178">
        <v>37</v>
      </c>
    </row>
    <row r="179" spans="1:2" x14ac:dyDescent="0.25">
      <c r="A179" t="s">
        <v>451</v>
      </c>
      <c r="B179">
        <v>38</v>
      </c>
    </row>
    <row r="180" spans="1:2" x14ac:dyDescent="0.25">
      <c r="A180" t="s">
        <v>452</v>
      </c>
      <c r="B180">
        <v>39</v>
      </c>
    </row>
    <row r="181" spans="1:2" x14ac:dyDescent="0.25">
      <c r="A181" t="s">
        <v>453</v>
      </c>
      <c r="B181">
        <v>40</v>
      </c>
    </row>
    <row r="182" spans="1:2" x14ac:dyDescent="0.25">
      <c r="A182" t="s">
        <v>454</v>
      </c>
      <c r="B182">
        <v>41</v>
      </c>
    </row>
    <row r="183" spans="1:2" x14ac:dyDescent="0.25">
      <c r="A183" t="s">
        <v>455</v>
      </c>
      <c r="B183">
        <v>42</v>
      </c>
    </row>
    <row r="184" spans="1:2" x14ac:dyDescent="0.25">
      <c r="A184" t="s">
        <v>456</v>
      </c>
      <c r="B184">
        <v>43</v>
      </c>
    </row>
    <row r="185" spans="1:2" x14ac:dyDescent="0.25">
      <c r="A185" t="s">
        <v>457</v>
      </c>
      <c r="B185">
        <v>44</v>
      </c>
    </row>
    <row r="186" spans="1:2" x14ac:dyDescent="0.25">
      <c r="A186" t="s">
        <v>458</v>
      </c>
      <c r="B186">
        <v>45</v>
      </c>
    </row>
    <row r="187" spans="1:2" x14ac:dyDescent="0.25">
      <c r="A187" t="s">
        <v>459</v>
      </c>
      <c r="B187">
        <v>46</v>
      </c>
    </row>
    <row r="188" spans="1:2" x14ac:dyDescent="0.25">
      <c r="A188" t="s">
        <v>460</v>
      </c>
      <c r="B188">
        <v>47</v>
      </c>
    </row>
    <row r="189" spans="1:2" x14ac:dyDescent="0.25">
      <c r="A189" t="s">
        <v>461</v>
      </c>
      <c r="B189">
        <v>48</v>
      </c>
    </row>
    <row r="190" spans="1:2" x14ac:dyDescent="0.25">
      <c r="A190" t="s">
        <v>462</v>
      </c>
      <c r="B190">
        <v>49</v>
      </c>
    </row>
    <row r="191" spans="1:2" x14ac:dyDescent="0.25">
      <c r="A191" t="s">
        <v>463</v>
      </c>
      <c r="B191">
        <v>50</v>
      </c>
    </row>
    <row r="192" spans="1:2" x14ac:dyDescent="0.25">
      <c r="A192" t="s">
        <v>464</v>
      </c>
      <c r="B192">
        <v>51</v>
      </c>
    </row>
    <row r="193" spans="1:2" x14ac:dyDescent="0.25">
      <c r="A193" t="s">
        <v>465</v>
      </c>
      <c r="B193">
        <v>52</v>
      </c>
    </row>
    <row r="194" spans="1:2" x14ac:dyDescent="0.25">
      <c r="A194" t="s">
        <v>466</v>
      </c>
      <c r="B194">
        <v>54</v>
      </c>
    </row>
    <row r="195" spans="1:2" x14ac:dyDescent="0.25">
      <c r="A195" t="s">
        <v>467</v>
      </c>
      <c r="B195">
        <v>55</v>
      </c>
    </row>
    <row r="196" spans="1:2" x14ac:dyDescent="0.25">
      <c r="A196" t="s">
        <v>468</v>
      </c>
      <c r="B196">
        <v>56</v>
      </c>
    </row>
    <row r="197" spans="1:2" x14ac:dyDescent="0.25">
      <c r="A197" t="s">
        <v>469</v>
      </c>
      <c r="B197">
        <v>57</v>
      </c>
    </row>
    <row r="198" spans="1:2" x14ac:dyDescent="0.25">
      <c r="A198" t="s">
        <v>470</v>
      </c>
      <c r="B198">
        <v>58</v>
      </c>
    </row>
    <row r="199" spans="1:2" x14ac:dyDescent="0.25">
      <c r="A199" t="s">
        <v>471</v>
      </c>
      <c r="B199">
        <v>59</v>
      </c>
    </row>
    <row r="200" spans="1:2" x14ac:dyDescent="0.25">
      <c r="A200" t="s">
        <v>472</v>
      </c>
      <c r="B200" t="s">
        <v>473</v>
      </c>
    </row>
    <row r="201" spans="1:2" x14ac:dyDescent="0.25">
      <c r="A201" t="s">
        <v>474</v>
      </c>
      <c r="B201" t="s">
        <v>475</v>
      </c>
    </row>
    <row r="202" spans="1:2" x14ac:dyDescent="0.25">
      <c r="A202" t="s">
        <v>476</v>
      </c>
      <c r="B202" t="s">
        <v>477</v>
      </c>
    </row>
    <row r="203" spans="1:2" x14ac:dyDescent="0.25">
      <c r="A203" t="s">
        <v>478</v>
      </c>
      <c r="B203" t="s">
        <v>479</v>
      </c>
    </row>
    <row r="204" spans="1:2" x14ac:dyDescent="0.25">
      <c r="A204" t="s">
        <v>480</v>
      </c>
      <c r="B204" t="s">
        <v>481</v>
      </c>
    </row>
    <row r="205" spans="1:2" x14ac:dyDescent="0.25">
      <c r="A205" t="s">
        <v>482</v>
      </c>
      <c r="B205" t="s">
        <v>483</v>
      </c>
    </row>
    <row r="206" spans="1:2" x14ac:dyDescent="0.25">
      <c r="A206" t="s">
        <v>484</v>
      </c>
      <c r="B206" t="s">
        <v>485</v>
      </c>
    </row>
    <row r="207" spans="1:2" x14ac:dyDescent="0.25">
      <c r="A207" t="s">
        <v>486</v>
      </c>
      <c r="B207" t="s">
        <v>487</v>
      </c>
    </row>
    <row r="208" spans="1:2" x14ac:dyDescent="0.25">
      <c r="A208" t="s">
        <v>488</v>
      </c>
      <c r="B208" t="s">
        <v>489</v>
      </c>
    </row>
    <row r="209" spans="1:23" x14ac:dyDescent="0.25">
      <c r="A209" t="s">
        <v>490</v>
      </c>
      <c r="B209" t="s">
        <v>120</v>
      </c>
      <c r="C209" t="s">
        <v>126</v>
      </c>
      <c r="D209" t="s">
        <v>65</v>
      </c>
      <c r="E209" t="s">
        <v>110</v>
      </c>
      <c r="F209" t="s">
        <v>114</v>
      </c>
      <c r="G209" t="s">
        <v>99</v>
      </c>
      <c r="H209" t="s">
        <v>122</v>
      </c>
      <c r="I209" t="s">
        <v>135</v>
      </c>
      <c r="J209" t="s">
        <v>54</v>
      </c>
      <c r="K209" t="s">
        <v>132</v>
      </c>
      <c r="L209" t="s">
        <v>108</v>
      </c>
      <c r="M209" t="s">
        <v>128</v>
      </c>
      <c r="N209" t="s">
        <v>84</v>
      </c>
      <c r="O209" t="s">
        <v>124</v>
      </c>
      <c r="P209" t="s">
        <v>64</v>
      </c>
      <c r="Q209" t="s">
        <v>48</v>
      </c>
      <c r="R209" t="s">
        <v>61</v>
      </c>
      <c r="S209" t="s">
        <v>118</v>
      </c>
      <c r="T209" t="s">
        <v>101</v>
      </c>
      <c r="U209" t="s">
        <v>52</v>
      </c>
      <c r="V209" t="s">
        <v>106</v>
      </c>
      <c r="W209" t="s">
        <v>59</v>
      </c>
    </row>
    <row r="210" spans="1:23" x14ac:dyDescent="0.25">
      <c r="A210" t="s">
        <v>491</v>
      </c>
      <c r="B210">
        <v>1</v>
      </c>
    </row>
    <row r="211" spans="1:23" x14ac:dyDescent="0.25">
      <c r="A211" t="s">
        <v>492</v>
      </c>
      <c r="B211">
        <v>2</v>
      </c>
    </row>
    <row r="212" spans="1:23" x14ac:dyDescent="0.25">
      <c r="A212" t="s">
        <v>493</v>
      </c>
      <c r="B212">
        <v>3</v>
      </c>
    </row>
    <row r="213" spans="1:23" x14ac:dyDescent="0.25">
      <c r="A213" t="s">
        <v>494</v>
      </c>
      <c r="B213">
        <v>4</v>
      </c>
    </row>
    <row r="214" spans="1:23" x14ac:dyDescent="0.25">
      <c r="A214" t="s">
        <v>495</v>
      </c>
      <c r="B214">
        <v>5</v>
      </c>
    </row>
    <row r="215" spans="1:23" x14ac:dyDescent="0.25">
      <c r="A215" t="s">
        <v>496</v>
      </c>
      <c r="B215">
        <v>6</v>
      </c>
    </row>
    <row r="216" spans="1:23" x14ac:dyDescent="0.25">
      <c r="A216" t="s">
        <v>497</v>
      </c>
      <c r="B216">
        <v>7</v>
      </c>
    </row>
    <row r="217" spans="1:23" x14ac:dyDescent="0.25">
      <c r="A217" t="s">
        <v>498</v>
      </c>
      <c r="B217">
        <v>9</v>
      </c>
    </row>
    <row r="218" spans="1:23" x14ac:dyDescent="0.25">
      <c r="A218" t="s">
        <v>499</v>
      </c>
      <c r="B218">
        <v>10</v>
      </c>
    </row>
    <row r="219" spans="1:23" x14ac:dyDescent="0.25">
      <c r="A219" t="s">
        <v>500</v>
      </c>
      <c r="B219">
        <v>11</v>
      </c>
    </row>
    <row r="220" spans="1:23" x14ac:dyDescent="0.25">
      <c r="A220" t="s">
        <v>501</v>
      </c>
      <c r="B220">
        <v>12</v>
      </c>
    </row>
    <row r="221" spans="1:23" x14ac:dyDescent="0.25">
      <c r="A221" t="s">
        <v>502</v>
      </c>
      <c r="B221">
        <v>13</v>
      </c>
    </row>
    <row r="222" spans="1:23" x14ac:dyDescent="0.25">
      <c r="A222" t="s">
        <v>503</v>
      </c>
      <c r="B222">
        <v>14</v>
      </c>
    </row>
    <row r="223" spans="1:23" x14ac:dyDescent="0.25">
      <c r="A223" t="s">
        <v>504</v>
      </c>
      <c r="B223">
        <v>15</v>
      </c>
    </row>
    <row r="224" spans="1:23" x14ac:dyDescent="0.25">
      <c r="A224" t="s">
        <v>505</v>
      </c>
      <c r="B224">
        <v>16</v>
      </c>
    </row>
    <row r="225" spans="1:2" x14ac:dyDescent="0.25">
      <c r="A225" t="s">
        <v>506</v>
      </c>
      <c r="B225">
        <v>17</v>
      </c>
    </row>
    <row r="226" spans="1:2" x14ac:dyDescent="0.25">
      <c r="A226" t="s">
        <v>507</v>
      </c>
      <c r="B226">
        <v>18</v>
      </c>
    </row>
    <row r="227" spans="1:2" x14ac:dyDescent="0.25">
      <c r="A227" t="s">
        <v>508</v>
      </c>
      <c r="B227">
        <v>19</v>
      </c>
    </row>
    <row r="228" spans="1:2" x14ac:dyDescent="0.25">
      <c r="A228" t="s">
        <v>509</v>
      </c>
      <c r="B228">
        <v>20</v>
      </c>
    </row>
    <row r="229" spans="1:2" x14ac:dyDescent="0.25">
      <c r="A229" t="s">
        <v>510</v>
      </c>
      <c r="B229">
        <v>21</v>
      </c>
    </row>
    <row r="230" spans="1:2" x14ac:dyDescent="0.25">
      <c r="A230" t="s">
        <v>511</v>
      </c>
      <c r="B230">
        <v>22</v>
      </c>
    </row>
    <row r="231" spans="1:2" x14ac:dyDescent="0.25">
      <c r="A231" t="s">
        <v>512</v>
      </c>
      <c r="B231">
        <v>23</v>
      </c>
    </row>
    <row r="232" spans="1:2" x14ac:dyDescent="0.25">
      <c r="A232" t="s">
        <v>513</v>
      </c>
      <c r="B232">
        <v>24</v>
      </c>
    </row>
    <row r="233" spans="1:2" x14ac:dyDescent="0.25">
      <c r="A233" t="s">
        <v>514</v>
      </c>
      <c r="B233">
        <v>25</v>
      </c>
    </row>
    <row r="234" spans="1:2" x14ac:dyDescent="0.25">
      <c r="A234" t="s">
        <v>515</v>
      </c>
      <c r="B234">
        <v>26</v>
      </c>
    </row>
    <row r="235" spans="1:2" x14ac:dyDescent="0.25">
      <c r="A235" t="s">
        <v>516</v>
      </c>
      <c r="B235">
        <v>27</v>
      </c>
    </row>
    <row r="236" spans="1:2" x14ac:dyDescent="0.25">
      <c r="A236" t="s">
        <v>517</v>
      </c>
      <c r="B236">
        <v>28</v>
      </c>
    </row>
    <row r="237" spans="1:2" x14ac:dyDescent="0.25">
      <c r="A237" t="s">
        <v>518</v>
      </c>
      <c r="B237">
        <v>29</v>
      </c>
    </row>
    <row r="238" spans="1:2" x14ac:dyDescent="0.25">
      <c r="A238" t="s">
        <v>519</v>
      </c>
      <c r="B238">
        <v>30</v>
      </c>
    </row>
    <row r="239" spans="1:2" x14ac:dyDescent="0.25">
      <c r="A239" t="s">
        <v>520</v>
      </c>
      <c r="B239">
        <v>31</v>
      </c>
    </row>
    <row r="240" spans="1:2" x14ac:dyDescent="0.25">
      <c r="A240" t="s">
        <v>521</v>
      </c>
      <c r="B240">
        <v>33</v>
      </c>
    </row>
    <row r="241" spans="1:2" x14ac:dyDescent="0.25">
      <c r="A241" t="s">
        <v>522</v>
      </c>
      <c r="B241">
        <v>34</v>
      </c>
    </row>
    <row r="242" spans="1:2" x14ac:dyDescent="0.25">
      <c r="A242" t="s">
        <v>523</v>
      </c>
      <c r="B242">
        <v>35</v>
      </c>
    </row>
    <row r="243" spans="1:2" x14ac:dyDescent="0.25">
      <c r="A243" t="s">
        <v>524</v>
      </c>
      <c r="B243">
        <v>36</v>
      </c>
    </row>
    <row r="244" spans="1:2" x14ac:dyDescent="0.25">
      <c r="A244" t="s">
        <v>525</v>
      </c>
      <c r="B244">
        <v>37</v>
      </c>
    </row>
    <row r="245" spans="1:2" x14ac:dyDescent="0.25">
      <c r="A245" t="s">
        <v>526</v>
      </c>
      <c r="B245">
        <v>38</v>
      </c>
    </row>
    <row r="246" spans="1:2" x14ac:dyDescent="0.25">
      <c r="A246" t="s">
        <v>527</v>
      </c>
      <c r="B246">
        <v>39</v>
      </c>
    </row>
    <row r="247" spans="1:2" x14ac:dyDescent="0.25">
      <c r="A247" t="s">
        <v>528</v>
      </c>
      <c r="B247">
        <v>40</v>
      </c>
    </row>
    <row r="248" spans="1:2" x14ac:dyDescent="0.25">
      <c r="A248" t="s">
        <v>529</v>
      </c>
      <c r="B248">
        <v>41</v>
      </c>
    </row>
    <row r="249" spans="1:2" x14ac:dyDescent="0.25">
      <c r="A249" t="s">
        <v>530</v>
      </c>
      <c r="B249">
        <v>42</v>
      </c>
    </row>
    <row r="250" spans="1:2" x14ac:dyDescent="0.25">
      <c r="A250" t="s">
        <v>531</v>
      </c>
      <c r="B250">
        <v>43</v>
      </c>
    </row>
    <row r="251" spans="1:2" x14ac:dyDescent="0.25">
      <c r="A251" t="s">
        <v>532</v>
      </c>
      <c r="B251">
        <v>44</v>
      </c>
    </row>
    <row r="252" spans="1:2" x14ac:dyDescent="0.25">
      <c r="A252" t="s">
        <v>533</v>
      </c>
      <c r="B252">
        <v>45</v>
      </c>
    </row>
    <row r="253" spans="1:2" x14ac:dyDescent="0.25">
      <c r="A253" t="s">
        <v>534</v>
      </c>
      <c r="B253">
        <v>46</v>
      </c>
    </row>
    <row r="254" spans="1:2" x14ac:dyDescent="0.25">
      <c r="A254" t="s">
        <v>535</v>
      </c>
      <c r="B254">
        <v>47</v>
      </c>
    </row>
    <row r="255" spans="1:2" x14ac:dyDescent="0.25">
      <c r="A255" t="s">
        <v>536</v>
      </c>
      <c r="B255">
        <v>48</v>
      </c>
    </row>
    <row r="256" spans="1:2" x14ac:dyDescent="0.25">
      <c r="A256" t="s">
        <v>537</v>
      </c>
      <c r="B256">
        <v>49</v>
      </c>
    </row>
    <row r="257" spans="1:2" x14ac:dyDescent="0.25">
      <c r="A257" t="s">
        <v>538</v>
      </c>
      <c r="B257">
        <v>50</v>
      </c>
    </row>
    <row r="258" spans="1:2" x14ac:dyDescent="0.25">
      <c r="A258" t="s">
        <v>539</v>
      </c>
      <c r="B258">
        <v>51</v>
      </c>
    </row>
    <row r="259" spans="1:2" x14ac:dyDescent="0.25">
      <c r="A259" t="s">
        <v>540</v>
      </c>
      <c r="B259">
        <v>52</v>
      </c>
    </row>
    <row r="260" spans="1:2" x14ac:dyDescent="0.25">
      <c r="A260" t="s">
        <v>541</v>
      </c>
      <c r="B260">
        <v>53</v>
      </c>
    </row>
    <row r="261" spans="1:2" x14ac:dyDescent="0.25">
      <c r="A261" t="s">
        <v>542</v>
      </c>
      <c r="B261">
        <v>54</v>
      </c>
    </row>
    <row r="262" spans="1:2" x14ac:dyDescent="0.25">
      <c r="A262" t="s">
        <v>543</v>
      </c>
      <c r="B262">
        <v>55</v>
      </c>
    </row>
    <row r="263" spans="1:2" x14ac:dyDescent="0.25">
      <c r="A263" t="s">
        <v>544</v>
      </c>
      <c r="B263">
        <v>57</v>
      </c>
    </row>
    <row r="264" spans="1:2" x14ac:dyDescent="0.25">
      <c r="A264" t="s">
        <v>545</v>
      </c>
      <c r="B264">
        <v>58</v>
      </c>
    </row>
    <row r="265" spans="1:2" x14ac:dyDescent="0.25">
      <c r="A265" t="s">
        <v>546</v>
      </c>
      <c r="B265">
        <v>59</v>
      </c>
    </row>
    <row r="266" spans="1:2" x14ac:dyDescent="0.25">
      <c r="A266" t="s">
        <v>547</v>
      </c>
      <c r="B266">
        <v>60</v>
      </c>
    </row>
    <row r="267" spans="1:2" x14ac:dyDescent="0.25">
      <c r="A267" t="s">
        <v>548</v>
      </c>
      <c r="B267">
        <v>62</v>
      </c>
    </row>
    <row r="268" spans="1:2" x14ac:dyDescent="0.25">
      <c r="A268" t="s">
        <v>549</v>
      </c>
      <c r="B268">
        <v>63</v>
      </c>
    </row>
    <row r="269" spans="1:2" x14ac:dyDescent="0.25">
      <c r="A269" t="s">
        <v>550</v>
      </c>
      <c r="B269">
        <v>64</v>
      </c>
    </row>
    <row r="270" spans="1:2" x14ac:dyDescent="0.25">
      <c r="A270" t="s">
        <v>551</v>
      </c>
      <c r="B270">
        <v>65</v>
      </c>
    </row>
    <row r="271" spans="1:2" x14ac:dyDescent="0.25">
      <c r="A271" t="s">
        <v>552</v>
      </c>
      <c r="B271">
        <v>66</v>
      </c>
    </row>
    <row r="272" spans="1:2" x14ac:dyDescent="0.25">
      <c r="A272" t="s">
        <v>553</v>
      </c>
      <c r="B272">
        <v>68</v>
      </c>
    </row>
    <row r="273" spans="1:24" x14ac:dyDescent="0.25">
      <c r="A273" t="s">
        <v>554</v>
      </c>
      <c r="B273">
        <v>69</v>
      </c>
    </row>
    <row r="274" spans="1:24" x14ac:dyDescent="0.25">
      <c r="A274" t="s">
        <v>555</v>
      </c>
      <c r="B274">
        <v>70</v>
      </c>
    </row>
    <row r="275" spans="1:24" x14ac:dyDescent="0.25">
      <c r="A275" t="s">
        <v>556</v>
      </c>
      <c r="B275">
        <v>71</v>
      </c>
    </row>
    <row r="276" spans="1:24" x14ac:dyDescent="0.25">
      <c r="A276" t="s">
        <v>557</v>
      </c>
      <c r="B276">
        <v>72</v>
      </c>
    </row>
    <row r="277" spans="1:24" x14ac:dyDescent="0.25">
      <c r="A277" t="s">
        <v>558</v>
      </c>
      <c r="B277" t="s">
        <v>559</v>
      </c>
    </row>
    <row r="278" spans="1:24" x14ac:dyDescent="0.25">
      <c r="A278" t="s">
        <v>560</v>
      </c>
      <c r="B278" t="s">
        <v>561</v>
      </c>
    </row>
    <row r="279" spans="1:24" x14ac:dyDescent="0.25">
      <c r="A279" t="s">
        <v>562</v>
      </c>
      <c r="B279" t="s">
        <v>563</v>
      </c>
    </row>
    <row r="280" spans="1:24" x14ac:dyDescent="0.25">
      <c r="A280" t="s">
        <v>564</v>
      </c>
      <c r="B280" t="s">
        <v>565</v>
      </c>
    </row>
    <row r="281" spans="1:24" x14ac:dyDescent="0.25">
      <c r="A281" t="s">
        <v>566</v>
      </c>
      <c r="B281" t="s">
        <v>567</v>
      </c>
    </row>
    <row r="282" spans="1:24" x14ac:dyDescent="0.25">
      <c r="A282" t="s">
        <v>568</v>
      </c>
      <c r="B282" t="s">
        <v>569</v>
      </c>
    </row>
    <row r="283" spans="1:24" x14ac:dyDescent="0.25">
      <c r="A283" t="s">
        <v>570</v>
      </c>
      <c r="B283" t="s">
        <v>571</v>
      </c>
    </row>
    <row r="284" spans="1:24" x14ac:dyDescent="0.25">
      <c r="A284" t="s">
        <v>572</v>
      </c>
      <c r="B284" t="s">
        <v>573</v>
      </c>
    </row>
    <row r="285" spans="1:24" x14ac:dyDescent="0.25">
      <c r="A285" t="s">
        <v>574</v>
      </c>
      <c r="B285" t="s">
        <v>575</v>
      </c>
    </row>
    <row r="286" spans="1:24" x14ac:dyDescent="0.25">
      <c r="A286" t="s">
        <v>576</v>
      </c>
      <c r="B286" t="s">
        <v>86</v>
      </c>
      <c r="C286" t="s">
        <v>84</v>
      </c>
      <c r="D286" t="s">
        <v>54</v>
      </c>
      <c r="E286" t="s">
        <v>59</v>
      </c>
      <c r="F286" t="s">
        <v>108</v>
      </c>
      <c r="G286" t="s">
        <v>82</v>
      </c>
      <c r="H286" t="s">
        <v>122</v>
      </c>
      <c r="I286" t="s">
        <v>48</v>
      </c>
      <c r="J286" t="s">
        <v>110</v>
      </c>
      <c r="K286" t="s">
        <v>126</v>
      </c>
      <c r="L286" t="s">
        <v>118</v>
      </c>
      <c r="M286" t="s">
        <v>61</v>
      </c>
      <c r="N286" t="s">
        <v>132</v>
      </c>
      <c r="O286" t="s">
        <v>114</v>
      </c>
      <c r="P286" t="s">
        <v>128</v>
      </c>
      <c r="Q286" t="s">
        <v>124</v>
      </c>
      <c r="R286" t="s">
        <v>64</v>
      </c>
      <c r="S286" t="s">
        <v>101</v>
      </c>
      <c r="T286" t="s">
        <v>52</v>
      </c>
      <c r="U286" t="s">
        <v>106</v>
      </c>
      <c r="V286" t="s">
        <v>99</v>
      </c>
      <c r="W286" t="s">
        <v>65</v>
      </c>
      <c r="X286" t="s">
        <v>120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5" zoomScaleNormal="85" workbookViewId="0">
      <pane xSplit="2" ySplit="4" topLeftCell="AG5" activePane="bottomRight" state="frozen"/>
      <selection activeCell="BJ29" sqref="BJ29"/>
      <selection pane="topRight" activeCell="BJ29" sqref="BJ29"/>
      <selection pane="bottomLeft" activeCell="BJ29" sqref="BJ29"/>
      <selection pane="bottomRight" activeCell="Z5" sqref="Z5:AC11"/>
    </sheetView>
  </sheetViews>
  <sheetFormatPr defaultRowHeight="15" outlineLevelRow="2" x14ac:dyDescent="0.25"/>
  <cols>
    <col min="2" max="2" width="24.7109375" style="54" customWidth="1"/>
    <col min="3" max="4" width="10.7109375" style="54" customWidth="1"/>
    <col min="7" max="7" width="1.7109375" style="54" customWidth="1"/>
    <col min="10" max="13" width="10.7109375" style="54" customWidth="1"/>
    <col min="14" max="14" width="24.7109375" style="54" hidden="1" customWidth="1"/>
    <col min="15" max="15" width="12.7109375" style="54" customWidth="1"/>
    <col min="16" max="16" width="10.7109375" style="54" customWidth="1"/>
    <col min="17" max="20" width="12.7109375" style="54" customWidth="1"/>
    <col min="21" max="25" width="11.7109375" style="54" customWidth="1"/>
    <col min="30" max="30" width="1.7109375" style="54" customWidth="1"/>
    <col min="33" max="36" width="10.7109375" style="54" customWidth="1"/>
    <col min="37" max="37" width="24.7109375" style="54" hidden="1" customWidth="1"/>
    <col min="38" max="38" width="12.7109375" style="54" customWidth="1"/>
    <col min="39" max="39" width="10.7109375" style="54" customWidth="1"/>
    <col min="40" max="43" width="12.7109375" style="54" customWidth="1"/>
    <col min="44" max="48" width="11.7109375" style="54" customWidth="1"/>
    <col min="53" max="53" width="1.7109375" style="54" customWidth="1"/>
    <col min="60" max="60" width="1.7109375" style="54" customWidth="1"/>
    <col min="62" max="62" width="8.7109375" style="54" customWidth="1"/>
    <col min="63" max="63" width="9.5703125" style="54" customWidth="1"/>
    <col min="64" max="64" width="10.140625" style="54" customWidth="1"/>
  </cols>
  <sheetData>
    <row r="1" spans="1:68" ht="15" customHeight="1" x14ac:dyDescent="0.25">
      <c r="A1" s="77" t="s">
        <v>577</v>
      </c>
      <c r="B1" s="61"/>
      <c r="C1" s="61"/>
      <c r="D1" s="61"/>
      <c r="E1" s="61"/>
      <c r="F1" s="61"/>
      <c r="H1" s="69" t="str">
        <f>Summary!C1</f>
        <v>R7.0 RC14.0</v>
      </c>
      <c r="I1" s="61"/>
      <c r="J1" s="61"/>
      <c r="K1" s="61"/>
      <c r="L1" s="61"/>
      <c r="M1" s="61"/>
      <c r="N1" s="61"/>
      <c r="O1" s="61"/>
      <c r="P1" s="61"/>
      <c r="Q1" s="61"/>
      <c r="R1" s="61"/>
      <c r="S1" s="61"/>
      <c r="T1" s="61"/>
      <c r="U1" s="61"/>
      <c r="V1" s="61"/>
      <c r="W1" s="61"/>
      <c r="X1" s="61"/>
      <c r="Y1" s="61"/>
      <c r="Z1" s="61"/>
      <c r="AA1" s="61"/>
      <c r="AB1" s="61"/>
      <c r="AC1" s="61"/>
      <c r="AD1" s="61"/>
      <c r="AE1" s="70" t="str">
        <f>Summary!C2</f>
        <v>R7.0 RC15.0</v>
      </c>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9" t="s">
        <v>138</v>
      </c>
      <c r="B2" s="78" t="s">
        <v>139</v>
      </c>
      <c r="C2" s="79" t="s">
        <v>141</v>
      </c>
      <c r="D2" s="78" t="s">
        <v>142</v>
      </c>
      <c r="E2" s="79" t="s">
        <v>143</v>
      </c>
      <c r="F2" s="78" t="s">
        <v>144</v>
      </c>
      <c r="H2" s="79" t="s">
        <v>578</v>
      </c>
      <c r="I2" s="78" t="s">
        <v>145</v>
      </c>
      <c r="J2" s="76" t="s">
        <v>146</v>
      </c>
      <c r="K2" s="61"/>
      <c r="L2" s="61"/>
      <c r="M2" s="61"/>
      <c r="N2" s="79" t="s">
        <v>147</v>
      </c>
      <c r="O2" s="78" t="s">
        <v>148</v>
      </c>
      <c r="P2" s="79" t="s">
        <v>85</v>
      </c>
      <c r="Q2" s="75" t="s">
        <v>149</v>
      </c>
      <c r="R2" s="61"/>
      <c r="S2" s="61"/>
      <c r="T2" s="61"/>
      <c r="U2" s="76" t="s">
        <v>150</v>
      </c>
      <c r="V2" s="61"/>
      <c r="W2" s="75" t="s">
        <v>151</v>
      </c>
      <c r="X2" s="61"/>
      <c r="Y2" s="61"/>
      <c r="Z2" s="76" t="s">
        <v>152</v>
      </c>
      <c r="AA2" s="61"/>
      <c r="AB2" s="75" t="s">
        <v>153</v>
      </c>
      <c r="AC2" s="61"/>
      <c r="AE2" s="79" t="s">
        <v>578</v>
      </c>
      <c r="AF2" s="78" t="s">
        <v>145</v>
      </c>
      <c r="AG2" s="76" t="s">
        <v>146</v>
      </c>
      <c r="AH2" s="61"/>
      <c r="AI2" s="61"/>
      <c r="AJ2" s="61"/>
      <c r="AK2" s="79" t="s">
        <v>154</v>
      </c>
      <c r="AL2" s="78" t="s">
        <v>148</v>
      </c>
      <c r="AM2" s="79" t="s">
        <v>85</v>
      </c>
      <c r="AN2" s="75" t="s">
        <v>149</v>
      </c>
      <c r="AO2" s="61"/>
      <c r="AP2" s="61"/>
      <c r="AQ2" s="61"/>
      <c r="AR2" s="76" t="s">
        <v>150</v>
      </c>
      <c r="AS2" s="61"/>
      <c r="AT2" s="75" t="s">
        <v>151</v>
      </c>
      <c r="AU2" s="61"/>
      <c r="AV2" s="61"/>
      <c r="AW2" s="76" t="s">
        <v>152</v>
      </c>
      <c r="AX2" s="61"/>
      <c r="AY2" s="75" t="s">
        <v>153</v>
      </c>
      <c r="AZ2" s="61"/>
      <c r="BB2" s="76" t="s">
        <v>23</v>
      </c>
      <c r="BC2" s="61"/>
      <c r="BD2" s="61"/>
      <c r="BE2" s="61"/>
      <c r="BF2" s="78" t="s">
        <v>157</v>
      </c>
      <c r="BG2" s="79" t="s">
        <v>157</v>
      </c>
      <c r="BI2" s="72" t="s">
        <v>158</v>
      </c>
      <c r="BJ2" s="71" t="s">
        <v>579</v>
      </c>
      <c r="BK2" s="61"/>
      <c r="BL2" s="61"/>
      <c r="BM2" s="61"/>
    </row>
    <row r="3" spans="1:68" ht="30.75" customHeight="1" thickBot="1" x14ac:dyDescent="0.3">
      <c r="A3" s="63"/>
      <c r="B3" s="63"/>
      <c r="C3" s="63"/>
      <c r="D3" s="63"/>
      <c r="E3" s="63"/>
      <c r="F3" s="63"/>
      <c r="H3" s="63"/>
      <c r="I3" s="63"/>
      <c r="J3" s="59" t="s">
        <v>26</v>
      </c>
      <c r="K3" s="59" t="s">
        <v>24</v>
      </c>
      <c r="L3" s="59" t="s">
        <v>164</v>
      </c>
      <c r="M3" s="59" t="s">
        <v>165</v>
      </c>
      <c r="N3" s="63"/>
      <c r="O3" s="63"/>
      <c r="P3" s="63"/>
      <c r="Q3" s="58" t="s">
        <v>26</v>
      </c>
      <c r="R3" s="58" t="s">
        <v>164</v>
      </c>
      <c r="S3" s="58" t="s">
        <v>166</v>
      </c>
      <c r="T3" s="58" t="s">
        <v>25</v>
      </c>
      <c r="U3" s="59" t="s">
        <v>10</v>
      </c>
      <c r="V3" s="59" t="s">
        <v>11</v>
      </c>
      <c r="W3" s="58" t="s">
        <v>12</v>
      </c>
      <c r="X3" s="58" t="s">
        <v>13</v>
      </c>
      <c r="Y3" s="58" t="s">
        <v>14</v>
      </c>
      <c r="Z3" s="59" t="s">
        <v>167</v>
      </c>
      <c r="AA3" s="59" t="s">
        <v>168</v>
      </c>
      <c r="AB3" s="58" t="s">
        <v>167</v>
      </c>
      <c r="AC3" s="58" t="s">
        <v>168</v>
      </c>
      <c r="AE3" s="63"/>
      <c r="AF3" s="63"/>
      <c r="AG3" s="59" t="s">
        <v>26</v>
      </c>
      <c r="AH3" s="59" t="s">
        <v>24</v>
      </c>
      <c r="AI3" s="59" t="s">
        <v>164</v>
      </c>
      <c r="AJ3" s="59" t="s">
        <v>165</v>
      </c>
      <c r="AK3" s="63"/>
      <c r="AL3" s="63"/>
      <c r="AM3" s="63"/>
      <c r="AN3" s="58" t="s">
        <v>26</v>
      </c>
      <c r="AO3" s="58" t="s">
        <v>164</v>
      </c>
      <c r="AP3" s="58" t="s">
        <v>166</v>
      </c>
      <c r="AQ3" s="58" t="s">
        <v>25</v>
      </c>
      <c r="AR3" s="59" t="s">
        <v>10</v>
      </c>
      <c r="AS3" s="59" t="s">
        <v>11</v>
      </c>
      <c r="AT3" s="58" t="s">
        <v>12</v>
      </c>
      <c r="AU3" s="58" t="s">
        <v>13</v>
      </c>
      <c r="AV3" s="58" t="s">
        <v>14</v>
      </c>
      <c r="AW3" s="59" t="s">
        <v>167</v>
      </c>
      <c r="AX3" s="59" t="s">
        <v>168</v>
      </c>
      <c r="AY3" s="58" t="s">
        <v>167</v>
      </c>
      <c r="AZ3" s="58" t="s">
        <v>168</v>
      </c>
      <c r="BB3" s="59" t="s">
        <v>26</v>
      </c>
      <c r="BC3" s="59" t="s">
        <v>24</v>
      </c>
      <c r="BD3" s="59" t="s">
        <v>164</v>
      </c>
      <c r="BE3" s="59" t="s">
        <v>25</v>
      </c>
      <c r="BF3" s="63"/>
      <c r="BG3" s="63"/>
      <c r="BI3" s="63"/>
      <c r="BJ3" s="57" t="s">
        <v>26</v>
      </c>
      <c r="BK3" s="57" t="s">
        <v>164</v>
      </c>
      <c r="BL3" s="57" t="s">
        <v>166</v>
      </c>
      <c r="BM3" s="57" t="s">
        <v>25</v>
      </c>
    </row>
    <row r="4" spans="1:68" ht="122.25" hidden="1" customHeight="1" thickBot="1" x14ac:dyDescent="0.3">
      <c r="A4" s="8" t="s">
        <v>169</v>
      </c>
      <c r="B4" s="9" t="s">
        <v>170</v>
      </c>
      <c r="C4" s="8" t="s">
        <v>172</v>
      </c>
      <c r="D4" s="9" t="s">
        <v>173</v>
      </c>
      <c r="E4" s="8" t="s">
        <v>174</v>
      </c>
      <c r="F4" s="9" t="s">
        <v>175</v>
      </c>
      <c r="H4" s="8" t="s">
        <v>580</v>
      </c>
      <c r="I4" s="9" t="s">
        <v>176</v>
      </c>
      <c r="J4" s="8" t="s">
        <v>177</v>
      </c>
      <c r="K4" s="8" t="s">
        <v>178</v>
      </c>
      <c r="L4" s="8" t="s">
        <v>179</v>
      </c>
      <c r="M4" s="8" t="s">
        <v>180</v>
      </c>
      <c r="N4" s="8" t="s">
        <v>181</v>
      </c>
      <c r="O4" s="9" t="s">
        <v>182</v>
      </c>
      <c r="P4" s="8" t="s">
        <v>183</v>
      </c>
      <c r="Q4" s="9" t="s">
        <v>186</v>
      </c>
      <c r="R4" s="9" t="s">
        <v>187</v>
      </c>
      <c r="S4" s="9" t="s">
        <v>188</v>
      </c>
      <c r="T4" s="9" t="s">
        <v>189</v>
      </c>
      <c r="U4" s="8" t="s">
        <v>190</v>
      </c>
      <c r="V4" s="8" t="s">
        <v>191</v>
      </c>
      <c r="W4" s="9" t="s">
        <v>192</v>
      </c>
      <c r="X4" s="9" t="s">
        <v>193</v>
      </c>
      <c r="Y4" s="9" t="s">
        <v>194</v>
      </c>
      <c r="Z4" s="8" t="s">
        <v>195</v>
      </c>
      <c r="AA4" s="8" t="s">
        <v>196</v>
      </c>
      <c r="AB4" s="9" t="s">
        <v>197</v>
      </c>
      <c r="AC4" s="9" t="s">
        <v>198</v>
      </c>
      <c r="AE4" s="8" t="s">
        <v>581</v>
      </c>
      <c r="AF4" s="9" t="s">
        <v>199</v>
      </c>
      <c r="AG4" s="8" t="s">
        <v>200</v>
      </c>
      <c r="AH4" s="8" t="s">
        <v>201</v>
      </c>
      <c r="AI4" s="8" t="s">
        <v>202</v>
      </c>
      <c r="AJ4" s="8" t="s">
        <v>203</v>
      </c>
      <c r="AK4" s="8" t="s">
        <v>204</v>
      </c>
      <c r="AL4" s="9" t="s">
        <v>205</v>
      </c>
      <c r="AM4" s="8" t="s">
        <v>206</v>
      </c>
      <c r="AN4" s="9" t="s">
        <v>209</v>
      </c>
      <c r="AO4" s="9" t="s">
        <v>210</v>
      </c>
      <c r="AP4" s="9" t="s">
        <v>211</v>
      </c>
      <c r="AQ4" s="9" t="s">
        <v>212</v>
      </c>
      <c r="AR4" s="8" t="s">
        <v>213</v>
      </c>
      <c r="AS4" s="8" t="s">
        <v>214</v>
      </c>
      <c r="AT4" s="9" t="s">
        <v>215</v>
      </c>
      <c r="AU4" s="9" t="s">
        <v>216</v>
      </c>
      <c r="AV4" s="9" t="s">
        <v>217</v>
      </c>
      <c r="AW4" s="8" t="s">
        <v>218</v>
      </c>
      <c r="AX4" s="8" t="s">
        <v>219</v>
      </c>
      <c r="AY4" s="9" t="s">
        <v>220</v>
      </c>
      <c r="AZ4" s="9" t="s">
        <v>221</v>
      </c>
      <c r="BB4" s="8" t="s">
        <v>582</v>
      </c>
      <c r="BC4" s="8" t="s">
        <v>222</v>
      </c>
      <c r="BD4" s="8" t="s">
        <v>583</v>
      </c>
      <c r="BE4" s="8" t="s">
        <v>584</v>
      </c>
      <c r="BF4" s="9" t="s">
        <v>224</v>
      </c>
      <c r="BG4" s="8" t="s">
        <v>225</v>
      </c>
    </row>
    <row r="5" spans="1:68" collapsed="1" x14ac:dyDescent="0.25">
      <c r="A5" s="10" t="s">
        <v>236</v>
      </c>
      <c r="B5" s="10" t="s">
        <v>50</v>
      </c>
      <c r="C5" s="10">
        <v>24964341</v>
      </c>
      <c r="D5" s="11">
        <v>10</v>
      </c>
      <c r="E5" s="11">
        <v>32</v>
      </c>
      <c r="F5" s="11">
        <v>30</v>
      </c>
      <c r="H5" s="19">
        <f t="shared" ref="H5:H11" si="0">IF(ISBLANK(Q5),"·",Q5/(C5*(D5*3+IF(AND(ISNUMBER(T5),T5&gt;0),24,0))))</f>
        <v>0.16452055591049886</v>
      </c>
      <c r="I5" s="12">
        <f t="shared" ref="I5:I11" si="1">IF(OR(ISBLANK(Q5),ISBLANK(F5)),"·",Q5*F5/E5/1000000)</f>
        <v>207.92433</v>
      </c>
      <c r="J5" s="13">
        <f t="shared" ref="J5:J11" si="2">IF(ISBLANK(Q5),"·",Q5/C5)</f>
        <v>8.8841100191669398</v>
      </c>
      <c r="K5" s="13">
        <f t="shared" ref="K5:K11" si="3">IF(N5="","·",N5/C5)</f>
        <v>1.3893638129682655</v>
      </c>
      <c r="L5" s="13">
        <f t="shared" ref="L5:L11" si="4">IF(R5="","·",R5/C5)</f>
        <v>1.3041674122301086</v>
      </c>
      <c r="M5" s="13">
        <f t="shared" ref="M5:M11" si="5">IF(ISBLANK(T5),"·",T5/C5)</f>
        <v>7.4947462061986734</v>
      </c>
      <c r="N5" s="10">
        <f t="shared" ref="N5:N11" si="6">IF(OR(ISBLANK(R5),ISBLANK(S5)),"",R5+S5)</f>
        <v>34684552</v>
      </c>
      <c r="O5" s="13">
        <f t="shared" ref="O5:O11" si="7">IF(ISBLANK(Q5),"·",Q5/P5)</f>
        <v>8.8841100191669398</v>
      </c>
      <c r="P5" s="14">
        <v>24964341</v>
      </c>
      <c r="Q5" s="15">
        <v>221785952</v>
      </c>
      <c r="R5" s="15">
        <v>32557680</v>
      </c>
      <c r="S5" s="15">
        <v>2126872</v>
      </c>
      <c r="T5" s="15">
        <v>187101400</v>
      </c>
      <c r="U5" s="16" t="s">
        <v>585</v>
      </c>
      <c r="V5" s="16" t="s">
        <v>585</v>
      </c>
      <c r="W5" s="16" t="s">
        <v>585</v>
      </c>
      <c r="X5" s="16" t="s">
        <v>585</v>
      </c>
      <c r="Y5" s="16" t="s">
        <v>585</v>
      </c>
      <c r="Z5" s="17">
        <v>3246.28</v>
      </c>
      <c r="AA5" s="17">
        <v>3498.67</v>
      </c>
      <c r="AB5" s="17">
        <v>4.29</v>
      </c>
      <c r="AC5" s="17">
        <v>23.341000000000001</v>
      </c>
      <c r="AE5" s="19">
        <f t="shared" ref="AE5:AE11" si="8">IF(ISBLANK(Q5),"·",Q5/(C5*(D5*3+IF(AND(ISNUMBER(T5),T5&gt;0),24,0))))</f>
        <v>0.16452055591049886</v>
      </c>
      <c r="AF5" s="12">
        <f t="shared" ref="AF5:AF11" si="9">IF(OR(ISBLANK(AN5),ISBLANK(F5)),"·",AN5*F5/E5/1000000)</f>
        <v>207.923745</v>
      </c>
      <c r="AG5" s="13">
        <f t="shared" ref="AG5:AG11" si="10">IF(ISBLANK(AN5),"·",AN5/C5)</f>
        <v>8.8840850235141389</v>
      </c>
      <c r="AH5" s="13">
        <f t="shared" ref="AH5:AH11" si="11">IF(AK5="","·",AK5/C5)</f>
        <v>1.3893272808603279</v>
      </c>
      <c r="AI5" s="13">
        <f t="shared" ref="AI5:AI11" si="12">IF(AO5="","·",AO5/C5)</f>
        <v>1.3041308801221712</v>
      </c>
      <c r="AJ5" s="13">
        <f t="shared" ref="AJ5:AJ11" si="13">IF(ISBLANK(AQ5),"·",AQ5/C5)</f>
        <v>7.4947577426538121</v>
      </c>
      <c r="AK5" s="10">
        <f t="shared" ref="AK5:AK11" si="14">IF(OR(ISBLANK(AO5),ISBLANK(AP5)),"",AO5+AP5)</f>
        <v>34683640</v>
      </c>
      <c r="AL5" s="13">
        <f t="shared" ref="AL5:AL11" si="15">IF(ISBLANK(AN5),"·",AN5/AM5)</f>
        <v>8.8840850235141389</v>
      </c>
      <c r="AM5" s="14">
        <v>24964341</v>
      </c>
      <c r="AN5" s="15">
        <v>221785328</v>
      </c>
      <c r="AO5" s="15">
        <v>32556768</v>
      </c>
      <c r="AP5" s="15">
        <v>2126872</v>
      </c>
      <c r="AQ5" s="15">
        <v>187101688</v>
      </c>
      <c r="AR5" s="16"/>
      <c r="AS5" s="16"/>
      <c r="AT5" s="16"/>
      <c r="AU5" s="16"/>
      <c r="AV5" s="16"/>
      <c r="AW5" s="17">
        <v>3183.2</v>
      </c>
      <c r="AX5" s="17">
        <v>5323.94</v>
      </c>
      <c r="AY5" s="17">
        <v>4.016</v>
      </c>
      <c r="AZ5" s="17">
        <v>22.096</v>
      </c>
      <c r="BB5" s="18">
        <f t="shared" ref="BB5:BB15" si="16">AG5/J5</f>
        <v>0.99999718647644531</v>
      </c>
      <c r="BC5" s="18">
        <f t="shared" ref="BC5:BC15" si="17">AH5/K5</f>
        <v>0.99997370587343892</v>
      </c>
      <c r="BD5" s="18">
        <f t="shared" ref="BD5:BD15" si="18">AI5/L5</f>
        <v>0.9999719881760617</v>
      </c>
      <c r="BE5" s="18">
        <f t="shared" ref="BE5:BE15" si="19">AJ5/M5</f>
        <v>1.0000015392722876</v>
      </c>
      <c r="BF5" s="19">
        <f t="shared" ref="BF5:BF11" si="20">(AK5/AN5) - (N5/Q5)</f>
        <v>-3.6720832857495278E-6</v>
      </c>
      <c r="BG5" s="19">
        <f t="array" ref="BG5">AVERAGE(AK5:AK5/AN5:AN5) - AVERAGE(N5:N5/Q5:Q5)</f>
        <v>-3.6720832857495278E-6</v>
      </c>
      <c r="BI5">
        <f t="shared" ref="BI5:BM11" si="21">AM5-P5</f>
        <v>0</v>
      </c>
      <c r="BJ5">
        <f t="shared" si="21"/>
        <v>-624</v>
      </c>
      <c r="BK5">
        <f t="shared" si="21"/>
        <v>-912</v>
      </c>
      <c r="BL5">
        <f t="shared" si="21"/>
        <v>0</v>
      </c>
      <c r="BM5">
        <f t="shared" si="21"/>
        <v>288</v>
      </c>
      <c r="BP5" t="s">
        <v>238</v>
      </c>
    </row>
    <row r="6" spans="1:68" collapsed="1" x14ac:dyDescent="0.25">
      <c r="A6" s="20"/>
      <c r="B6" s="20" t="s">
        <v>58</v>
      </c>
      <c r="C6" s="20">
        <v>22654789</v>
      </c>
      <c r="D6" s="21">
        <v>10</v>
      </c>
      <c r="E6" s="21">
        <v>32</v>
      </c>
      <c r="F6" s="21">
        <v>30</v>
      </c>
      <c r="H6" s="29">
        <f t="shared" si="0"/>
        <v>0.23633566689438892</v>
      </c>
      <c r="I6" s="22">
        <f t="shared" si="1"/>
        <v>271.0530675</v>
      </c>
      <c r="J6" s="23">
        <f t="shared" si="2"/>
        <v>12.762126012297003</v>
      </c>
      <c r="K6" s="23">
        <f t="shared" si="3"/>
        <v>1.7042309244195566</v>
      </c>
      <c r="L6" s="23">
        <f t="shared" si="4"/>
        <v>1.556765768156128</v>
      </c>
      <c r="M6" s="23">
        <f t="shared" si="5"/>
        <v>11.057895087877446</v>
      </c>
      <c r="N6" s="20">
        <f t="shared" si="6"/>
        <v>38608992</v>
      </c>
      <c r="O6" s="23">
        <f t="shared" si="7"/>
        <v>12.762126012297003</v>
      </c>
      <c r="P6" s="24">
        <v>22654789</v>
      </c>
      <c r="Q6" s="25">
        <v>289123272</v>
      </c>
      <c r="R6" s="25">
        <v>35268200</v>
      </c>
      <c r="S6" s="25">
        <v>3340792</v>
      </c>
      <c r="T6" s="25">
        <v>250514280</v>
      </c>
      <c r="U6" s="26" t="s">
        <v>585</v>
      </c>
      <c r="V6" s="26" t="s">
        <v>585</v>
      </c>
      <c r="W6" s="26" t="s">
        <v>585</v>
      </c>
      <c r="X6" s="26" t="s">
        <v>585</v>
      </c>
      <c r="Y6" s="26" t="s">
        <v>585</v>
      </c>
      <c r="Z6" s="27">
        <v>3173.85</v>
      </c>
      <c r="AA6" s="27">
        <v>3520.76</v>
      </c>
      <c r="AB6" s="27">
        <v>4.0490000000000004</v>
      </c>
      <c r="AC6" s="27">
        <v>23.603000000000002</v>
      </c>
      <c r="AE6" s="29">
        <f t="shared" si="8"/>
        <v>0.23633566689438892</v>
      </c>
      <c r="AF6" s="22">
        <f t="shared" si="9"/>
        <v>271.04940749999997</v>
      </c>
      <c r="AG6" s="23">
        <f t="shared" si="10"/>
        <v>12.761953686701739</v>
      </c>
      <c r="AH6" s="23">
        <f t="shared" si="11"/>
        <v>1.704097442708471</v>
      </c>
      <c r="AI6" s="23">
        <f t="shared" si="12"/>
        <v>1.5566322864450426</v>
      </c>
      <c r="AJ6" s="23">
        <f t="shared" si="13"/>
        <v>11.057856243993267</v>
      </c>
      <c r="AK6" s="20">
        <f t="shared" si="14"/>
        <v>38605968</v>
      </c>
      <c r="AL6" s="23">
        <f t="shared" si="15"/>
        <v>12.761953686701739</v>
      </c>
      <c r="AM6" s="24">
        <v>22654789</v>
      </c>
      <c r="AN6" s="25">
        <v>289119368</v>
      </c>
      <c r="AO6" s="25">
        <v>35265176</v>
      </c>
      <c r="AP6" s="25">
        <v>3340792</v>
      </c>
      <c r="AQ6" s="25">
        <v>250513400</v>
      </c>
      <c r="AR6" s="26"/>
      <c r="AS6" s="26"/>
      <c r="AT6" s="26"/>
      <c r="AU6" s="26"/>
      <c r="AV6" s="26"/>
      <c r="AW6" s="27">
        <v>2711.82</v>
      </c>
      <c r="AX6" s="27">
        <v>5381.02</v>
      </c>
      <c r="AY6" s="27">
        <v>3.8719999999999999</v>
      </c>
      <c r="AZ6" s="27">
        <v>24.248000000000001</v>
      </c>
      <c r="BB6" s="28">
        <f t="shared" si="16"/>
        <v>0.99998649710909471</v>
      </c>
      <c r="BC6" s="28">
        <f t="shared" si="17"/>
        <v>0.99992167627686313</v>
      </c>
      <c r="BD6" s="28">
        <f t="shared" si="18"/>
        <v>0.9999142570360835</v>
      </c>
      <c r="BE6" s="28">
        <f t="shared" si="19"/>
        <v>0.99999648722619727</v>
      </c>
      <c r="BF6" s="29">
        <f t="shared" si="20"/>
        <v>-8.6561720523126162E-6</v>
      </c>
      <c r="BG6" s="29">
        <f t="array" ref="BG6">AVERAGE(AK6:AK6/AN6:AN6) - AVERAGE(N6:N6/Q6:Q6)</f>
        <v>-8.6561720523126162E-6</v>
      </c>
      <c r="BI6">
        <f t="shared" si="21"/>
        <v>0</v>
      </c>
      <c r="BJ6">
        <f t="shared" si="21"/>
        <v>-3904</v>
      </c>
      <c r="BK6">
        <f t="shared" si="21"/>
        <v>-3024</v>
      </c>
      <c r="BL6">
        <f t="shared" si="21"/>
        <v>0</v>
      </c>
      <c r="BM6">
        <f t="shared" si="21"/>
        <v>-880</v>
      </c>
      <c r="BP6" t="s">
        <v>238</v>
      </c>
    </row>
    <row r="7" spans="1:68" collapsed="1" x14ac:dyDescent="0.25">
      <c r="A7" s="10"/>
      <c r="B7" s="10" t="s">
        <v>63</v>
      </c>
      <c r="C7" s="10">
        <v>33947718</v>
      </c>
      <c r="D7" s="11">
        <v>10</v>
      </c>
      <c r="E7" s="11">
        <v>32</v>
      </c>
      <c r="F7" s="11">
        <v>30</v>
      </c>
      <c r="H7" s="19">
        <f t="shared" si="0"/>
        <v>0.18418596894593425</v>
      </c>
      <c r="I7" s="12">
        <f t="shared" si="1"/>
        <v>316.54259999999999</v>
      </c>
      <c r="J7" s="13">
        <f t="shared" si="2"/>
        <v>9.9460423230804498</v>
      </c>
      <c r="K7" s="13">
        <f t="shared" si="3"/>
        <v>1.647604825749996</v>
      </c>
      <c r="L7" s="13">
        <f t="shared" si="4"/>
        <v>1.5260649920563143</v>
      </c>
      <c r="M7" s="13">
        <f t="shared" si="5"/>
        <v>8.298437497330454</v>
      </c>
      <c r="N7" s="10">
        <f t="shared" si="6"/>
        <v>55932424</v>
      </c>
      <c r="O7" s="13">
        <f t="shared" si="7"/>
        <v>9.9460423230804498</v>
      </c>
      <c r="P7" s="14">
        <v>33947718</v>
      </c>
      <c r="Q7" s="15">
        <v>337645440</v>
      </c>
      <c r="R7" s="15">
        <v>51806424</v>
      </c>
      <c r="S7" s="15">
        <v>4126000</v>
      </c>
      <c r="T7" s="15">
        <v>281713016</v>
      </c>
      <c r="U7" s="16" t="s">
        <v>585</v>
      </c>
      <c r="V7" s="16" t="s">
        <v>585</v>
      </c>
      <c r="W7" s="16" t="s">
        <v>585</v>
      </c>
      <c r="X7" s="16" t="s">
        <v>585</v>
      </c>
      <c r="Y7" s="16" t="s">
        <v>585</v>
      </c>
      <c r="Z7" s="17">
        <v>4736.1099999999997</v>
      </c>
      <c r="AA7" s="17">
        <v>4844.8</v>
      </c>
      <c r="AB7" s="17">
        <v>6.0519999999999996</v>
      </c>
      <c r="AC7" s="17">
        <v>27.122</v>
      </c>
      <c r="AE7" s="19">
        <f t="shared" si="8"/>
        <v>0.18418596894593425</v>
      </c>
      <c r="AF7" s="12">
        <f t="shared" si="9"/>
        <v>316.54371750000001</v>
      </c>
      <c r="AG7" s="13">
        <f t="shared" si="10"/>
        <v>9.9460774358971644</v>
      </c>
      <c r="AH7" s="13">
        <f t="shared" si="11"/>
        <v>1.6476500717956948</v>
      </c>
      <c r="AI7" s="13">
        <f t="shared" si="12"/>
        <v>1.5261102381020133</v>
      </c>
      <c r="AJ7" s="13">
        <f t="shared" si="13"/>
        <v>8.2984273641014692</v>
      </c>
      <c r="AK7" s="10">
        <f t="shared" si="14"/>
        <v>55933960</v>
      </c>
      <c r="AL7" s="13">
        <f t="shared" si="15"/>
        <v>9.9460774358971644</v>
      </c>
      <c r="AM7" s="14">
        <v>33947718</v>
      </c>
      <c r="AN7" s="15">
        <v>337646632</v>
      </c>
      <c r="AO7" s="15">
        <v>51807960</v>
      </c>
      <c r="AP7" s="15">
        <v>4126000</v>
      </c>
      <c r="AQ7" s="15">
        <v>281712672</v>
      </c>
      <c r="AR7" s="16"/>
      <c r="AS7" s="16"/>
      <c r="AT7" s="16"/>
      <c r="AU7" s="16"/>
      <c r="AV7" s="16"/>
      <c r="AW7" s="17">
        <v>4419.26</v>
      </c>
      <c r="AX7" s="17">
        <v>7423.6</v>
      </c>
      <c r="AY7" s="17">
        <v>5.2839999999999998</v>
      </c>
      <c r="AZ7" s="17">
        <v>24.295999999999999</v>
      </c>
      <c r="BB7" s="18">
        <f t="shared" si="16"/>
        <v>1.0000035303305148</v>
      </c>
      <c r="BC7" s="18">
        <f t="shared" si="17"/>
        <v>1.0000274617098661</v>
      </c>
      <c r="BD7" s="18">
        <f t="shared" si="18"/>
        <v>1.0000296488327394</v>
      </c>
      <c r="BE7" s="18">
        <f t="shared" si="19"/>
        <v>0.99999877889916167</v>
      </c>
      <c r="BF7" s="19">
        <f t="shared" si="20"/>
        <v>3.964322252691943E-6</v>
      </c>
      <c r="BG7" s="19">
        <f t="array" ref="BG7">AVERAGE(AK7:AK7/AN7:AN7) - AVERAGE(N7:N7/Q7:Q7)</f>
        <v>3.964322252691943E-6</v>
      </c>
      <c r="BI7">
        <f t="shared" si="21"/>
        <v>0</v>
      </c>
      <c r="BJ7">
        <f t="shared" si="21"/>
        <v>1192</v>
      </c>
      <c r="BK7">
        <f t="shared" si="21"/>
        <v>1536</v>
      </c>
      <c r="BL7">
        <f t="shared" si="21"/>
        <v>0</v>
      </c>
      <c r="BM7">
        <f t="shared" si="21"/>
        <v>-344</v>
      </c>
      <c r="BP7" t="s">
        <v>246</v>
      </c>
    </row>
    <row r="8" spans="1:68" ht="15.75" customHeight="1" collapsed="1" thickBot="1" x14ac:dyDescent="0.3">
      <c r="A8" s="40"/>
      <c r="B8" s="40" t="s">
        <v>69</v>
      </c>
      <c r="C8" s="40">
        <v>32209643</v>
      </c>
      <c r="D8" s="41">
        <v>10</v>
      </c>
      <c r="E8" s="41">
        <v>32</v>
      </c>
      <c r="F8" s="41">
        <v>50</v>
      </c>
      <c r="H8" s="49">
        <f t="shared" si="0"/>
        <v>0.14988548385730094</v>
      </c>
      <c r="I8" s="42">
        <f t="shared" si="1"/>
        <v>407.34207500000002</v>
      </c>
      <c r="J8" s="43">
        <f t="shared" si="2"/>
        <v>8.0938161282942502</v>
      </c>
      <c r="K8" s="43">
        <f t="shared" si="3"/>
        <v>1.2737700942540717</v>
      </c>
      <c r="L8" s="43">
        <f t="shared" si="4"/>
        <v>1.11339451977161</v>
      </c>
      <c r="M8" s="43">
        <f t="shared" si="5"/>
        <v>6.8200460340401783</v>
      </c>
      <c r="N8" s="40">
        <f t="shared" si="6"/>
        <v>41027680</v>
      </c>
      <c r="O8" s="43">
        <f t="shared" si="7"/>
        <v>8.0938161282942502</v>
      </c>
      <c r="P8" s="44">
        <v>32209643</v>
      </c>
      <c r="Q8" s="45">
        <v>260698928</v>
      </c>
      <c r="R8" s="45">
        <v>35862040</v>
      </c>
      <c r="S8" s="45">
        <v>5165640</v>
      </c>
      <c r="T8" s="45">
        <v>219671248</v>
      </c>
      <c r="U8" s="46" t="s">
        <v>585</v>
      </c>
      <c r="V8" s="46" t="s">
        <v>585</v>
      </c>
      <c r="W8" s="46" t="s">
        <v>585</v>
      </c>
      <c r="X8" s="46" t="s">
        <v>585</v>
      </c>
      <c r="Y8" s="46" t="s">
        <v>585</v>
      </c>
      <c r="Z8" s="47">
        <v>3932.35</v>
      </c>
      <c r="AA8" s="47">
        <v>3782.88</v>
      </c>
      <c r="AB8" s="47">
        <v>5.2690000000000001</v>
      </c>
      <c r="AC8" s="47">
        <v>25.984000000000002</v>
      </c>
      <c r="AE8" s="49">
        <f t="shared" si="8"/>
        <v>0.14988548385730094</v>
      </c>
      <c r="AF8" s="42">
        <f t="shared" si="9"/>
        <v>407.33966249999997</v>
      </c>
      <c r="AG8" s="43">
        <f t="shared" si="10"/>
        <v>8.0937681923391693</v>
      </c>
      <c r="AH8" s="43">
        <f t="shared" si="11"/>
        <v>1.2737323415847857</v>
      </c>
      <c r="AI8" s="43">
        <f t="shared" si="12"/>
        <v>1.1133567671023239</v>
      </c>
      <c r="AJ8" s="43">
        <f t="shared" si="13"/>
        <v>6.8200358507543841</v>
      </c>
      <c r="AK8" s="40">
        <f t="shared" si="14"/>
        <v>41026464</v>
      </c>
      <c r="AL8" s="43">
        <f t="shared" si="15"/>
        <v>8.0937681923391693</v>
      </c>
      <c r="AM8" s="44">
        <v>32209643</v>
      </c>
      <c r="AN8" s="45">
        <v>260697384</v>
      </c>
      <c r="AO8" s="45">
        <v>35860824</v>
      </c>
      <c r="AP8" s="45">
        <v>5165640</v>
      </c>
      <c r="AQ8" s="45">
        <v>219670920</v>
      </c>
      <c r="AR8" s="46"/>
      <c r="AS8" s="46"/>
      <c r="AT8" s="46"/>
      <c r="AU8" s="46"/>
      <c r="AV8" s="46"/>
      <c r="AW8" s="47">
        <v>4012.58</v>
      </c>
      <c r="AX8" s="47">
        <v>5948.99</v>
      </c>
      <c r="AY8" s="47">
        <v>4.6399999999999997</v>
      </c>
      <c r="AZ8" s="47">
        <v>22.56</v>
      </c>
      <c r="BB8" s="48">
        <f t="shared" si="16"/>
        <v>0.9999940774593441</v>
      </c>
      <c r="BC8" s="48">
        <f t="shared" si="17"/>
        <v>0.99997036147303475</v>
      </c>
      <c r="BD8" s="48">
        <f t="shared" si="18"/>
        <v>0.99996609228030531</v>
      </c>
      <c r="BE8" s="48">
        <f t="shared" si="19"/>
        <v>0.99999850685966873</v>
      </c>
      <c r="BF8" s="49">
        <f t="shared" si="20"/>
        <v>-3.7323423897062113E-6</v>
      </c>
      <c r="BG8" s="49">
        <f t="array" ref="BG8">AVERAGE(AK8:AK8/AN8:AN8) - AVERAGE(N8:N8/Q8:Q8)</f>
        <v>-3.7323423897062113E-6</v>
      </c>
      <c r="BI8">
        <f t="shared" si="21"/>
        <v>0</v>
      </c>
      <c r="BJ8">
        <f t="shared" si="21"/>
        <v>-1544</v>
      </c>
      <c r="BK8">
        <f t="shared" si="21"/>
        <v>-1216</v>
      </c>
      <c r="BL8">
        <f t="shared" si="21"/>
        <v>0</v>
      </c>
      <c r="BM8">
        <f t="shared" si="21"/>
        <v>-328</v>
      </c>
      <c r="BP8" t="s">
        <v>586</v>
      </c>
    </row>
    <row r="9" spans="1:68" ht="15.75" customHeight="1" collapsed="1" thickBot="1" x14ac:dyDescent="0.3">
      <c r="A9" s="30" t="s">
        <v>245</v>
      </c>
      <c r="B9" s="30" t="s">
        <v>72</v>
      </c>
      <c r="C9" s="30">
        <v>25312408</v>
      </c>
      <c r="D9" s="31">
        <v>10</v>
      </c>
      <c r="E9" s="31">
        <v>32</v>
      </c>
      <c r="F9" s="31">
        <v>30</v>
      </c>
      <c r="H9" s="39">
        <f t="shared" si="0"/>
        <v>0.27620086120960474</v>
      </c>
      <c r="I9" s="32">
        <f t="shared" si="1"/>
        <v>353.93501250000003</v>
      </c>
      <c r="J9" s="33">
        <f t="shared" si="2"/>
        <v>14.914846505318657</v>
      </c>
      <c r="K9" s="33">
        <f t="shared" si="3"/>
        <v>1.5046467329382491</v>
      </c>
      <c r="L9" s="33">
        <f t="shared" si="4"/>
        <v>1.4089362023557774</v>
      </c>
      <c r="M9" s="33">
        <f t="shared" si="5"/>
        <v>13.410199772380407</v>
      </c>
      <c r="N9" s="30">
        <f t="shared" si="6"/>
        <v>38086232</v>
      </c>
      <c r="O9" s="33">
        <f t="shared" si="7"/>
        <v>14.914846505318657</v>
      </c>
      <c r="P9" s="34">
        <v>25312408</v>
      </c>
      <c r="Q9" s="35">
        <v>377530680</v>
      </c>
      <c r="R9" s="35">
        <v>35663568</v>
      </c>
      <c r="S9" s="35">
        <v>2422664</v>
      </c>
      <c r="T9" s="35">
        <v>339444448</v>
      </c>
      <c r="U9" s="36" t="s">
        <v>585</v>
      </c>
      <c r="V9" s="36" t="s">
        <v>585</v>
      </c>
      <c r="W9" s="36" t="s">
        <v>585</v>
      </c>
      <c r="X9" s="36" t="s">
        <v>585</v>
      </c>
      <c r="Y9" s="36" t="s">
        <v>585</v>
      </c>
      <c r="Z9" s="37">
        <v>1778.45</v>
      </c>
      <c r="AA9" s="37">
        <v>4780.38</v>
      </c>
      <c r="AB9" s="37">
        <v>5.6559999999999997</v>
      </c>
      <c r="AC9" s="37">
        <v>36.776000000000003</v>
      </c>
      <c r="AE9" s="39">
        <f t="shared" si="8"/>
        <v>0.27620086120960474</v>
      </c>
      <c r="AF9" s="32">
        <f t="shared" si="9"/>
        <v>353.93319750000001</v>
      </c>
      <c r="AG9" s="33">
        <f t="shared" si="10"/>
        <v>14.914770021090051</v>
      </c>
      <c r="AH9" s="33">
        <f t="shared" si="11"/>
        <v>1.5045882635899359</v>
      </c>
      <c r="AI9" s="33">
        <f t="shared" si="12"/>
        <v>1.4088777330074642</v>
      </c>
      <c r="AJ9" s="33">
        <f t="shared" si="13"/>
        <v>13.410181757500116</v>
      </c>
      <c r="AK9" s="30">
        <f t="shared" si="14"/>
        <v>38084752</v>
      </c>
      <c r="AL9" s="33">
        <f t="shared" si="15"/>
        <v>14.914770021090051</v>
      </c>
      <c r="AM9" s="34">
        <v>25312408</v>
      </c>
      <c r="AN9" s="35">
        <v>377528744</v>
      </c>
      <c r="AO9" s="35">
        <v>35662088</v>
      </c>
      <c r="AP9" s="35">
        <v>2422664</v>
      </c>
      <c r="AQ9" s="35">
        <v>339443992</v>
      </c>
      <c r="AR9" s="36"/>
      <c r="AS9" s="36"/>
      <c r="AT9" s="36"/>
      <c r="AU9" s="36"/>
      <c r="AV9" s="36"/>
      <c r="AW9" s="37">
        <v>1341.73</v>
      </c>
      <c r="AX9" s="37">
        <v>6162.25</v>
      </c>
      <c r="AY9" s="37">
        <v>4.3360000000000003</v>
      </c>
      <c r="AZ9" s="37">
        <v>27.18</v>
      </c>
      <c r="BB9" s="38">
        <f t="shared" si="16"/>
        <v>0.99999487193994396</v>
      </c>
      <c r="BC9" s="38">
        <f t="shared" si="17"/>
        <v>0.99996114081329968</v>
      </c>
      <c r="BD9" s="38">
        <f t="shared" si="18"/>
        <v>0.99995850106753204</v>
      </c>
      <c r="BE9" s="38">
        <f t="shared" si="19"/>
        <v>0.99999865662849197</v>
      </c>
      <c r="BF9" s="39">
        <f t="shared" si="20"/>
        <v>-3.4028972241556543E-6</v>
      </c>
      <c r="BG9" s="39">
        <f t="array" ref="BG9">AVERAGE(AK9:AK9/AN9:AN9) - AVERAGE(N9:N9/Q9:Q9)</f>
        <v>-3.4028972241556543E-6</v>
      </c>
      <c r="BI9">
        <f t="shared" si="21"/>
        <v>0</v>
      </c>
      <c r="BJ9">
        <f t="shared" si="21"/>
        <v>-1936</v>
      </c>
      <c r="BK9">
        <f t="shared" si="21"/>
        <v>-1480</v>
      </c>
      <c r="BL9">
        <f t="shared" si="21"/>
        <v>0</v>
      </c>
      <c r="BM9">
        <f t="shared" si="21"/>
        <v>-456</v>
      </c>
      <c r="BP9" t="s">
        <v>244</v>
      </c>
    </row>
    <row r="10" spans="1:68" collapsed="1" x14ac:dyDescent="0.25">
      <c r="A10" s="20" t="s">
        <v>247</v>
      </c>
      <c r="B10" s="20" t="s">
        <v>76</v>
      </c>
      <c r="C10" s="20">
        <v>92854683</v>
      </c>
      <c r="D10" s="21">
        <v>11</v>
      </c>
      <c r="E10" s="21">
        <v>10</v>
      </c>
      <c r="F10" s="21">
        <v>30</v>
      </c>
      <c r="H10" s="29">
        <f t="shared" si="0"/>
        <v>0.17150897654911823</v>
      </c>
      <c r="I10" s="22">
        <f t="shared" si="1"/>
        <v>2723.2453919999998</v>
      </c>
      <c r="J10" s="23">
        <f t="shared" si="2"/>
        <v>9.7760116632997391</v>
      </c>
      <c r="K10" s="23">
        <f t="shared" si="3"/>
        <v>1.1140133018385299</v>
      </c>
      <c r="L10" s="23">
        <f t="shared" si="4"/>
        <v>1.0644595706605342</v>
      </c>
      <c r="M10" s="23">
        <f t="shared" si="5"/>
        <v>8.6619983614612099</v>
      </c>
      <c r="N10" s="20">
        <f t="shared" si="6"/>
        <v>103441352</v>
      </c>
      <c r="O10" s="23">
        <f t="shared" si="7"/>
        <v>9.7760116632997391</v>
      </c>
      <c r="P10" s="24">
        <v>92854683</v>
      </c>
      <c r="Q10" s="25">
        <v>907748464</v>
      </c>
      <c r="R10" s="25">
        <v>98840056</v>
      </c>
      <c r="S10" s="25">
        <v>4601296</v>
      </c>
      <c r="T10" s="25">
        <v>804307112</v>
      </c>
      <c r="U10" s="26" t="s">
        <v>585</v>
      </c>
      <c r="V10" s="26" t="s">
        <v>585</v>
      </c>
      <c r="W10" s="26" t="s">
        <v>585</v>
      </c>
      <c r="X10" s="26" t="s">
        <v>585</v>
      </c>
      <c r="Y10" s="26" t="s">
        <v>585</v>
      </c>
      <c r="Z10" s="27">
        <v>3369.43</v>
      </c>
      <c r="AA10" s="27">
        <v>11985.4</v>
      </c>
      <c r="AB10" s="27">
        <v>16.463000000000001</v>
      </c>
      <c r="AC10" s="27">
        <v>74.308999999999997</v>
      </c>
      <c r="AE10" s="29">
        <f t="shared" si="8"/>
        <v>0.17150897654911823</v>
      </c>
      <c r="AF10" s="22">
        <f t="shared" si="9"/>
        <v>842.12627999999995</v>
      </c>
      <c r="AG10" s="23">
        <f t="shared" si="10"/>
        <v>3.0230974995628386</v>
      </c>
      <c r="AH10" s="23">
        <f t="shared" si="11"/>
        <v>0.34156398983129371</v>
      </c>
      <c r="AI10" s="23">
        <f t="shared" si="12"/>
        <v>0.32652784997392109</v>
      </c>
      <c r="AJ10" s="23">
        <f t="shared" si="13"/>
        <v>2.6815335097315449</v>
      </c>
      <c r="AK10" s="20">
        <f t="shared" si="14"/>
        <v>31715816</v>
      </c>
      <c r="AL10" s="23">
        <f t="shared" si="15"/>
        <v>9.7458421323528768</v>
      </c>
      <c r="AM10" s="24">
        <v>28802925</v>
      </c>
      <c r="AN10" s="25">
        <v>280708760</v>
      </c>
      <c r="AO10" s="25">
        <v>30319640</v>
      </c>
      <c r="AP10" s="25">
        <v>1396176</v>
      </c>
      <c r="AQ10" s="25">
        <v>248992944</v>
      </c>
      <c r="AR10" s="26"/>
      <c r="AS10" s="26"/>
      <c r="AT10" s="26"/>
      <c r="AU10" s="26"/>
      <c r="AV10" s="26"/>
      <c r="AW10" s="27">
        <v>953.572</v>
      </c>
      <c r="AX10" s="27">
        <v>4915.8500000000004</v>
      </c>
      <c r="AY10" s="27">
        <v>4.3600000000000003</v>
      </c>
      <c r="AZ10" s="27">
        <v>23.532</v>
      </c>
      <c r="BB10" s="28">
        <f t="shared" si="16"/>
        <v>0.30923628200157438</v>
      </c>
      <c r="BC10" s="28">
        <f t="shared" si="17"/>
        <v>0.30660674272702854</v>
      </c>
      <c r="BD10" s="28">
        <f t="shared" si="18"/>
        <v>0.30675458136122463</v>
      </c>
      <c r="BE10" s="28">
        <f t="shared" si="19"/>
        <v>0.30957446513291553</v>
      </c>
      <c r="BF10" s="29">
        <f t="shared" si="20"/>
        <v>-9.68986852053072E-4</v>
      </c>
      <c r="BG10" s="29">
        <f t="array" ref="BG10">AVERAGE(AK10:AK10/AN10:AN10) - AVERAGE(N10:N10/Q10:Q10)</f>
        <v>-9.68986852053072E-4</v>
      </c>
      <c r="BI10">
        <f t="shared" si="21"/>
        <v>-64051758</v>
      </c>
      <c r="BJ10">
        <f t="shared" si="21"/>
        <v>-627039704</v>
      </c>
      <c r="BK10">
        <f t="shared" si="21"/>
        <v>-68520416</v>
      </c>
      <c r="BL10">
        <f t="shared" si="21"/>
        <v>-3205120</v>
      </c>
      <c r="BM10">
        <f t="shared" si="21"/>
        <v>-555314168</v>
      </c>
      <c r="BP10" t="s">
        <v>587</v>
      </c>
    </row>
    <row r="11" spans="1:68" ht="15.75" customHeight="1" collapsed="1" thickBot="1" x14ac:dyDescent="0.3">
      <c r="A11" s="30"/>
      <c r="B11" s="30" t="s">
        <v>81</v>
      </c>
      <c r="C11" s="30">
        <v>83104648</v>
      </c>
      <c r="D11" s="31">
        <v>11</v>
      </c>
      <c r="E11" s="31">
        <v>10</v>
      </c>
      <c r="F11" s="31">
        <v>30</v>
      </c>
      <c r="H11" s="39">
        <f t="shared" si="0"/>
        <v>0.17478440207732202</v>
      </c>
      <c r="I11" s="32">
        <f t="shared" si="1"/>
        <v>2483.842752</v>
      </c>
      <c r="J11" s="33">
        <f t="shared" si="2"/>
        <v>9.962710918407355</v>
      </c>
      <c r="K11" s="33">
        <f t="shared" si="3"/>
        <v>1.185881781245256</v>
      </c>
      <c r="L11" s="33">
        <f t="shared" si="4"/>
        <v>1.1282563160606853</v>
      </c>
      <c r="M11" s="33">
        <f t="shared" si="5"/>
        <v>8.7768291371620997</v>
      </c>
      <c r="N11" s="30">
        <f t="shared" si="6"/>
        <v>98552288</v>
      </c>
      <c r="O11" s="33">
        <f t="shared" si="7"/>
        <v>9.962710918407355</v>
      </c>
      <c r="P11" s="34">
        <v>83104648</v>
      </c>
      <c r="Q11" s="35">
        <v>827947584</v>
      </c>
      <c r="R11" s="35">
        <v>93763344</v>
      </c>
      <c r="S11" s="35">
        <v>4788944</v>
      </c>
      <c r="T11" s="35">
        <v>729395296</v>
      </c>
      <c r="U11" s="36" t="s">
        <v>585</v>
      </c>
      <c r="V11" s="36" t="s">
        <v>585</v>
      </c>
      <c r="W11" s="36" t="s">
        <v>585</v>
      </c>
      <c r="X11" s="36" t="s">
        <v>585</v>
      </c>
      <c r="Y11" s="36" t="s">
        <v>585</v>
      </c>
      <c r="Z11" s="37">
        <v>3015.69</v>
      </c>
      <c r="AA11" s="37">
        <v>13038.7</v>
      </c>
      <c r="AB11" s="37">
        <v>18.379000000000001</v>
      </c>
      <c r="AC11" s="37">
        <v>99.372</v>
      </c>
      <c r="AE11" s="39">
        <f t="shared" si="8"/>
        <v>0.17478440207732202</v>
      </c>
      <c r="AF11" s="32">
        <f t="shared" si="9"/>
        <v>769.38386400000002</v>
      </c>
      <c r="AG11" s="33">
        <f t="shared" si="10"/>
        <v>3.0860041426323108</v>
      </c>
      <c r="AH11" s="33">
        <f t="shared" si="11"/>
        <v>0.36763392584251126</v>
      </c>
      <c r="AI11" s="33">
        <f t="shared" si="12"/>
        <v>0.35000141027009707</v>
      </c>
      <c r="AJ11" s="33">
        <f t="shared" si="13"/>
        <v>2.7183702167897996</v>
      </c>
      <c r="AK11" s="30">
        <f t="shared" si="14"/>
        <v>30552088</v>
      </c>
      <c r="AL11" s="33">
        <f t="shared" si="15"/>
        <v>9.9530783366900781</v>
      </c>
      <c r="AM11" s="34">
        <v>25767032</v>
      </c>
      <c r="AN11" s="35">
        <v>256461288</v>
      </c>
      <c r="AO11" s="35">
        <v>29086744</v>
      </c>
      <c r="AP11" s="35">
        <v>1465344</v>
      </c>
      <c r="AQ11" s="35">
        <v>225909200</v>
      </c>
      <c r="AR11" s="36"/>
      <c r="AS11" s="36"/>
      <c r="AT11" s="36"/>
      <c r="AU11" s="36"/>
      <c r="AV11" s="36"/>
      <c r="AW11" s="37">
        <v>850.97199999999998</v>
      </c>
      <c r="AX11" s="37">
        <v>5463.16</v>
      </c>
      <c r="AY11" s="37">
        <v>4.9160000000000004</v>
      </c>
      <c r="AZ11" s="37">
        <v>31.507999999999999</v>
      </c>
      <c r="BB11" s="38">
        <f t="shared" si="16"/>
        <v>0.30975546394009407</v>
      </c>
      <c r="BC11" s="38">
        <f t="shared" si="17"/>
        <v>0.31000891628208571</v>
      </c>
      <c r="BD11" s="38">
        <f t="shared" si="18"/>
        <v>0.31021444798299858</v>
      </c>
      <c r="BE11" s="38">
        <f t="shared" si="19"/>
        <v>0.30972121871210967</v>
      </c>
      <c r="BF11" s="39">
        <f t="shared" si="20"/>
        <v>9.7396017921566602E-5</v>
      </c>
      <c r="BG11" s="39">
        <f t="array" ref="BG11">AVERAGE(AK11:AK11/AN11:AN11) - AVERAGE(N11:N11/Q11:Q11)</f>
        <v>9.7396017921566602E-5</v>
      </c>
      <c r="BI11">
        <f t="shared" si="21"/>
        <v>-57337616</v>
      </c>
      <c r="BJ11">
        <f t="shared" si="21"/>
        <v>-571486296</v>
      </c>
      <c r="BK11">
        <f t="shared" si="21"/>
        <v>-64676600</v>
      </c>
      <c r="BL11">
        <f t="shared" si="21"/>
        <v>-3323600</v>
      </c>
      <c r="BM11">
        <f t="shared" si="21"/>
        <v>-503486096</v>
      </c>
      <c r="BP11" t="s">
        <v>588</v>
      </c>
    </row>
    <row r="12" spans="1:68" x14ac:dyDescent="0.25">
      <c r="B12" s="50" t="s">
        <v>15</v>
      </c>
      <c r="J12" s="51">
        <f>AVERAGE(J5:J8)</f>
        <v>9.9215236207096602</v>
      </c>
      <c r="K12" s="51">
        <f>AVERAGE(K5:K8)</f>
        <v>1.5037424143479725</v>
      </c>
      <c r="L12" s="51">
        <f>AVERAGE(L5:L8)</f>
        <v>1.3750981730535403</v>
      </c>
      <c r="M12" s="51">
        <f>AVERAGE(M5:M8)</f>
        <v>8.4177812063616884</v>
      </c>
      <c r="AG12" s="51">
        <f>AVERAGE(AG5:AG8)</f>
        <v>9.9214710846130529</v>
      </c>
      <c r="AH12" s="51">
        <f>AVERAGE(AH5:AH8)</f>
        <v>1.5037017842373199</v>
      </c>
      <c r="AI12" s="51">
        <f>AVERAGE(AI5:AI8)</f>
        <v>1.375057542942888</v>
      </c>
      <c r="AJ12" s="51">
        <f>AVERAGE(AJ5:AJ8)</f>
        <v>8.4177693003757348</v>
      </c>
      <c r="BB12" s="4">
        <f t="shared" si="16"/>
        <v>0.99999470483580788</v>
      </c>
      <c r="BC12" s="4">
        <f t="shared" si="17"/>
        <v>0.99997298067124729</v>
      </c>
      <c r="BD12" s="4">
        <f t="shared" si="18"/>
        <v>0.99997045293823483</v>
      </c>
      <c r="BE12" s="4">
        <f t="shared" si="19"/>
        <v>0.99999858561470512</v>
      </c>
      <c r="BG12" s="53">
        <f>AVERAGE(BG5:BG8)</f>
        <v>-3.0240688687691031E-6</v>
      </c>
    </row>
    <row r="13" spans="1:68" x14ac:dyDescent="0.25">
      <c r="B13" s="50" t="s">
        <v>16</v>
      </c>
      <c r="J13" s="51">
        <f>AVERAGE(J9:J9)</f>
        <v>14.914846505318657</v>
      </c>
      <c r="K13" s="51">
        <f>AVERAGE(K9:K9)</f>
        <v>1.5046467329382491</v>
      </c>
      <c r="L13" s="51">
        <f>AVERAGE(L9:L9)</f>
        <v>1.4089362023557774</v>
      </c>
      <c r="M13" s="51">
        <f>AVERAGE(M9:M9)</f>
        <v>13.410199772380407</v>
      </c>
      <c r="AG13" s="51">
        <f>AVERAGE(AG9:AG9)</f>
        <v>14.914770021090051</v>
      </c>
      <c r="AH13" s="51">
        <f>AVERAGE(AH9:AH9)</f>
        <v>1.5045882635899359</v>
      </c>
      <c r="AI13" s="51">
        <f>AVERAGE(AI9:AI9)</f>
        <v>1.4088777330074642</v>
      </c>
      <c r="AJ13" s="51">
        <f>AVERAGE(AJ9:AJ9)</f>
        <v>13.410181757500116</v>
      </c>
      <c r="BB13" s="4">
        <f t="shared" si="16"/>
        <v>0.99999487193994396</v>
      </c>
      <c r="BC13" s="4">
        <f t="shared" si="17"/>
        <v>0.99996114081329968</v>
      </c>
      <c r="BD13" s="4">
        <f t="shared" si="18"/>
        <v>0.99995850106753204</v>
      </c>
      <c r="BE13" s="4">
        <f t="shared" si="19"/>
        <v>0.99999865662849197</v>
      </c>
      <c r="BG13" s="53">
        <f>AVERAGE(BG9:BG9)</f>
        <v>-3.4028972241556543E-6</v>
      </c>
    </row>
    <row r="14" spans="1:68" x14ac:dyDescent="0.25">
      <c r="B14" s="50" t="s">
        <v>17</v>
      </c>
      <c r="J14" s="51">
        <f>AVERAGE(J10:J11)</f>
        <v>9.8693612908535471</v>
      </c>
      <c r="K14" s="51">
        <f>AVERAGE(K10:K11)</f>
        <v>1.1499475415418929</v>
      </c>
      <c r="L14" s="51">
        <f>AVERAGE(L10:L11)</f>
        <v>1.0963579433606099</v>
      </c>
      <c r="M14" s="51">
        <f>AVERAGE(M10:M11)</f>
        <v>8.7194137493116557</v>
      </c>
      <c r="AG14" s="51">
        <f>AVERAGE(AG10:AG11)</f>
        <v>3.0545508210975747</v>
      </c>
      <c r="AH14" s="51">
        <f>AVERAGE(AH10:AH11)</f>
        <v>0.35459895783690248</v>
      </c>
      <c r="AI14" s="51">
        <f>AVERAGE(AI10:AI11)</f>
        <v>0.33826463012200908</v>
      </c>
      <c r="AJ14" s="51">
        <f>AVERAGE(AJ10:AJ11)</f>
        <v>2.6999518632606723</v>
      </c>
      <c r="BB14" s="4">
        <f t="shared" si="16"/>
        <v>0.30949832831921825</v>
      </c>
      <c r="BC14" s="4">
        <f t="shared" si="17"/>
        <v>0.30836098606849738</v>
      </c>
      <c r="BD14" s="4">
        <f t="shared" si="18"/>
        <v>0.30853484682670684</v>
      </c>
      <c r="BE14" s="4">
        <f t="shared" si="19"/>
        <v>0.30964832509224799</v>
      </c>
      <c r="BG14" s="53">
        <f>AVERAGE(BG10:BG11)</f>
        <v>-4.357954170657527E-4</v>
      </c>
    </row>
    <row r="15" spans="1:68" x14ac:dyDescent="0.25">
      <c r="B15" s="50" t="s">
        <v>18</v>
      </c>
      <c r="J15" s="51">
        <f>AVERAGE(J5:J11)</f>
        <v>10.619951938552054</v>
      </c>
      <c r="K15" s="51">
        <f>AVERAGE(K5:K11)</f>
        <v>1.4027873533448463</v>
      </c>
      <c r="L15" s="51">
        <f>AVERAGE(L5:L11)</f>
        <v>1.3002921116130224</v>
      </c>
      <c r="M15" s="51">
        <f>AVERAGE(M5:M11)</f>
        <v>9.217164585207211</v>
      </c>
      <c r="AG15" s="51">
        <f>AVERAGE(AG5:AG11)</f>
        <v>8.6728222859624875</v>
      </c>
      <c r="AH15" s="51">
        <f>AVERAGE(AH5:AH11)</f>
        <v>1.1755133308875743</v>
      </c>
      <c r="AI15" s="51">
        <f>AVERAGE(AI5:AI11)</f>
        <v>1.0836624521461478</v>
      </c>
      <c r="AJ15" s="51">
        <f>AVERAGE(AJ5:AJ11)</f>
        <v>7.4973089550749137</v>
      </c>
      <c r="BB15" s="4">
        <f t="shared" si="16"/>
        <v>0.816653628579882</v>
      </c>
      <c r="BC15" s="4">
        <f t="shared" si="17"/>
        <v>0.83798398102509741</v>
      </c>
      <c r="BD15" s="4">
        <f t="shared" si="18"/>
        <v>0.83339923580852626</v>
      </c>
      <c r="BE15" s="4">
        <f t="shared" si="19"/>
        <v>0.81340729958402569</v>
      </c>
      <c r="BG15" s="53">
        <f>AVERAGE(BG5:BG11)</f>
        <v>-1.267271438329625E-4</v>
      </c>
    </row>
    <row r="16" spans="1:68" hidden="1" outlineLevel="2" x14ac:dyDescent="0.25">
      <c r="A16" s="50" t="s">
        <v>250</v>
      </c>
      <c r="B16" s="50" t="s">
        <v>251</v>
      </c>
      <c r="Z16" s="52">
        <f>SUM(Z5:Z8,Z9:Z9,Z10:Z11)</f>
        <v>23252.16</v>
      </c>
      <c r="AA16" s="52">
        <f>SUM(AA5:AA8,AA9:AA9,AA10:AA11)</f>
        <v>45451.59</v>
      </c>
      <c r="AB16" s="52">
        <f>SUM(AB5:AB8,AB9:AB9,AB10:AB11)</f>
        <v>60.158000000000001</v>
      </c>
      <c r="AC16" s="52">
        <f>SUM(AC5:AC8,AC9:AC9,AC10:AC11)</f>
        <v>310.50700000000001</v>
      </c>
      <c r="AW16" s="52">
        <f>SUM(AW5:AW8,AW9:AW9,AW10:AW11)</f>
        <v>17473.134000000002</v>
      </c>
      <c r="AX16" s="52">
        <f>SUM(AX5:AX8,AX9:AX9,AX10:AX11)</f>
        <v>40618.81</v>
      </c>
      <c r="AY16" s="52">
        <f>SUM(AY5:AY8,AY9:AY9,AY10:AY11)</f>
        <v>31.424000000000003</v>
      </c>
      <c r="AZ16" s="52">
        <f>SUM(AZ5:AZ8,AZ9:AZ9,AZ10:AZ11)</f>
        <v>175.42000000000002</v>
      </c>
    </row>
    <row r="17" spans="2:52" hidden="1" outlineLevel="2" x14ac:dyDescent="0.25">
      <c r="B17" s="50" t="s">
        <v>252</v>
      </c>
      <c r="AW17" s="53">
        <f>AW16/Z16</f>
        <v>0.75146283184013885</v>
      </c>
      <c r="AX17" s="53">
        <f>AX16/AA16</f>
        <v>0.89367192654866423</v>
      </c>
      <c r="AY17" s="53">
        <f>AY16/AB16</f>
        <v>0.52235779114997183</v>
      </c>
      <c r="AZ17" s="53">
        <f>AZ16/AC16</f>
        <v>0.56494700602562908</v>
      </c>
    </row>
    <row r="18" spans="2:52" hidden="1" outlineLevel="2" x14ac:dyDescent="0.25">
      <c r="B18" s="50" t="s">
        <v>253</v>
      </c>
      <c r="Z18" s="52">
        <f>GEOMEAN(Z5:Z8,Z9:Z9,Z10:Z11)</f>
        <v>3204.1934665207309</v>
      </c>
      <c r="AA18" s="52">
        <f>GEOMEAN(AA5:AA8,AA9:AA9,AA10:AA11)</f>
        <v>5581.0053418579046</v>
      </c>
      <c r="AB18" s="52">
        <f>GEOMEAN(AB5:AB8,AB9:AB9,AB10:AB11)</f>
        <v>7.1420787549426432</v>
      </c>
      <c r="AC18" s="52">
        <f>GEOMEAN(AC5:AC8,AC9:AC9,AC10:AC11)</f>
        <v>37.558829224684516</v>
      </c>
      <c r="AW18" s="52">
        <f>GEOMEAN(AW5:AW8,AW9:AW9,AW10:AW11)</f>
        <v>2076.8472797693139</v>
      </c>
      <c r="AX18" s="52">
        <f>GEOMEAN(AX5:AX8,AX9:AX9,AX10:AX11)</f>
        <v>5756.1740418426698</v>
      </c>
      <c r="AY18" s="52">
        <f>GEOMEAN(AY5:AY8,AY9:AY9,AY10:AY11)</f>
        <v>4.4659507109301568</v>
      </c>
      <c r="AZ18" s="52">
        <f>GEOMEAN(AZ5:AZ8,AZ9:AZ9,AZ10:AZ11)</f>
        <v>24.890149922541593</v>
      </c>
    </row>
    <row r="19" spans="2:52" outlineLevel="2" collapsed="1" x14ac:dyDescent="0.25">
      <c r="B19" s="50" t="s">
        <v>254</v>
      </c>
      <c r="AW19" s="53">
        <f>AW18/Z18</f>
        <v>0.64816538123225609</v>
      </c>
      <c r="AX19" s="53">
        <f>AX18/AA18</f>
        <v>1.0313865852574962</v>
      </c>
      <c r="AY19" s="53">
        <f>AY18/AB18</f>
        <v>0.62530124130030296</v>
      </c>
      <c r="AZ19" s="53">
        <f>AZ18/AC18</f>
        <v>0.66269770480979795</v>
      </c>
    </row>
  </sheetData>
  <mergeCells count="36">
    <mergeCell ref="F2:F3"/>
    <mergeCell ref="H2:H3"/>
    <mergeCell ref="I2:I3"/>
    <mergeCell ref="J2:M2"/>
    <mergeCell ref="N2:N3"/>
    <mergeCell ref="A2:A3"/>
    <mergeCell ref="B2:B3"/>
    <mergeCell ref="C2:C3"/>
    <mergeCell ref="D2:D3"/>
    <mergeCell ref="E2:E3"/>
    <mergeCell ref="AB2:AC2"/>
    <mergeCell ref="AE2:AE3"/>
    <mergeCell ref="AF2:AF3"/>
    <mergeCell ref="AG2:AJ2"/>
    <mergeCell ref="H1:AD1"/>
    <mergeCell ref="O2:O3"/>
    <mergeCell ref="P2:P3"/>
    <mergeCell ref="Q2:T2"/>
    <mergeCell ref="U2:V2"/>
    <mergeCell ref="W2:Y2"/>
    <mergeCell ref="BI2:BI3"/>
    <mergeCell ref="BJ2:BM2"/>
    <mergeCell ref="BG2:BG3"/>
    <mergeCell ref="A1:F1"/>
    <mergeCell ref="AE1:AZ1"/>
    <mergeCell ref="AT2:AV2"/>
    <mergeCell ref="AW2:AX2"/>
    <mergeCell ref="AY2:AZ2"/>
    <mergeCell ref="BB2:BE2"/>
    <mergeCell ref="BF2:BF3"/>
    <mergeCell ref="AK2:AK3"/>
    <mergeCell ref="AL2:AL3"/>
    <mergeCell ref="AM2:AM3"/>
    <mergeCell ref="AN2:AQ2"/>
    <mergeCell ref="AR2:AS2"/>
    <mergeCell ref="Z2:AA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AR5" activePane="bottomRight" state="frozen"/>
      <selection activeCell="BJ29" sqref="BJ29"/>
      <selection pane="topRight" activeCell="BJ29" sqref="BJ29"/>
      <selection pane="bottomLeft" activeCell="BJ29" sqref="BJ29"/>
      <selection pane="bottomRight" activeCell="Z5" sqref="Z5:AC11"/>
    </sheetView>
  </sheetViews>
  <sheetFormatPr defaultRowHeight="15" outlineLevelRow="2" x14ac:dyDescent="0.25"/>
  <cols>
    <col min="2" max="2" width="24.7109375" style="54" customWidth="1"/>
    <col min="3" max="4" width="10.7109375" style="54" customWidth="1"/>
    <col min="7" max="7" width="1.7109375" style="54" customWidth="1"/>
    <col min="10" max="13" width="10.7109375" style="54" customWidth="1"/>
    <col min="14" max="14" width="24.7109375" style="54" hidden="1" customWidth="1"/>
    <col min="15" max="15" width="12.7109375" style="54" customWidth="1"/>
    <col min="16" max="16" width="10.7109375" style="54" customWidth="1"/>
    <col min="17" max="20" width="12.7109375" style="54" customWidth="1"/>
    <col min="21" max="25" width="11.7109375" style="54" customWidth="1"/>
    <col min="30" max="30" width="1.7109375" style="54" customWidth="1"/>
    <col min="33" max="36" width="10.7109375" style="54" customWidth="1"/>
    <col min="37" max="37" width="24.7109375" style="54" hidden="1" customWidth="1"/>
    <col min="38" max="38" width="12.7109375" style="54" customWidth="1"/>
    <col min="39" max="39" width="10.7109375" style="54" customWidth="1"/>
    <col min="40" max="43" width="12.7109375" style="54" customWidth="1"/>
    <col min="44" max="48" width="11.7109375" style="54" customWidth="1"/>
    <col min="53" max="53" width="1.7109375" style="54" customWidth="1"/>
    <col min="60" max="60" width="1.7109375" style="54" customWidth="1"/>
    <col min="63" max="63" width="10.42578125" style="54" customWidth="1"/>
    <col min="64" max="64" width="10.140625" style="54" customWidth="1"/>
  </cols>
  <sheetData>
    <row r="1" spans="1:68" x14ac:dyDescent="0.25">
      <c r="A1" s="77" t="s">
        <v>589</v>
      </c>
      <c r="B1" s="61"/>
      <c r="C1" s="61"/>
      <c r="D1" s="61"/>
      <c r="E1" s="61"/>
      <c r="F1" s="61"/>
      <c r="H1" s="69" t="str">
        <f>Summary!C1</f>
        <v>R7.0 RC14.0</v>
      </c>
      <c r="I1" s="61"/>
      <c r="J1" s="61"/>
      <c r="K1" s="61"/>
      <c r="L1" s="61"/>
      <c r="M1" s="61"/>
      <c r="N1" s="61"/>
      <c r="O1" s="61"/>
      <c r="P1" s="61"/>
      <c r="Q1" s="61"/>
      <c r="R1" s="61"/>
      <c r="S1" s="61"/>
      <c r="T1" s="61"/>
      <c r="U1" s="61"/>
      <c r="V1" s="61"/>
      <c r="W1" s="61"/>
      <c r="X1" s="61"/>
      <c r="Y1" s="61"/>
      <c r="Z1" s="61"/>
      <c r="AA1" s="61"/>
      <c r="AB1" s="61"/>
      <c r="AC1" s="61"/>
      <c r="AE1" s="70" t="str">
        <f>Summary!C2</f>
        <v>R7.0 RC15.0</v>
      </c>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9" t="s">
        <v>138</v>
      </c>
      <c r="B2" s="78" t="s">
        <v>139</v>
      </c>
      <c r="C2" s="79" t="s">
        <v>141</v>
      </c>
      <c r="D2" s="78" t="s">
        <v>142</v>
      </c>
      <c r="E2" s="79" t="s">
        <v>143</v>
      </c>
      <c r="F2" s="78" t="s">
        <v>144</v>
      </c>
      <c r="H2" s="79" t="s">
        <v>578</v>
      </c>
      <c r="I2" s="78" t="s">
        <v>145</v>
      </c>
      <c r="J2" s="76" t="s">
        <v>146</v>
      </c>
      <c r="K2" s="61"/>
      <c r="L2" s="61"/>
      <c r="M2" s="61"/>
      <c r="N2" s="79" t="s">
        <v>147</v>
      </c>
      <c r="O2" s="78" t="s">
        <v>148</v>
      </c>
      <c r="P2" s="79" t="s">
        <v>85</v>
      </c>
      <c r="Q2" s="75" t="s">
        <v>149</v>
      </c>
      <c r="R2" s="61"/>
      <c r="S2" s="61"/>
      <c r="T2" s="61"/>
      <c r="U2" s="76" t="s">
        <v>150</v>
      </c>
      <c r="V2" s="61"/>
      <c r="W2" s="75" t="s">
        <v>151</v>
      </c>
      <c r="X2" s="61"/>
      <c r="Y2" s="61"/>
      <c r="Z2" s="76" t="s">
        <v>152</v>
      </c>
      <c r="AA2" s="61"/>
      <c r="AB2" s="75" t="s">
        <v>153</v>
      </c>
      <c r="AC2" s="61"/>
      <c r="AE2" s="79" t="s">
        <v>578</v>
      </c>
      <c r="AF2" s="78" t="s">
        <v>145</v>
      </c>
      <c r="AG2" s="76" t="s">
        <v>146</v>
      </c>
      <c r="AH2" s="61"/>
      <c r="AI2" s="61"/>
      <c r="AJ2" s="61"/>
      <c r="AK2" s="79" t="s">
        <v>154</v>
      </c>
      <c r="AL2" s="78" t="s">
        <v>148</v>
      </c>
      <c r="AM2" s="79" t="s">
        <v>85</v>
      </c>
      <c r="AN2" s="75" t="s">
        <v>149</v>
      </c>
      <c r="AO2" s="61"/>
      <c r="AP2" s="61"/>
      <c r="AQ2" s="61"/>
      <c r="AR2" s="76" t="s">
        <v>150</v>
      </c>
      <c r="AS2" s="61"/>
      <c r="AT2" s="75" t="s">
        <v>151</v>
      </c>
      <c r="AU2" s="61"/>
      <c r="AV2" s="61"/>
      <c r="AW2" s="76" t="s">
        <v>152</v>
      </c>
      <c r="AX2" s="61"/>
      <c r="AY2" s="75" t="s">
        <v>153</v>
      </c>
      <c r="AZ2" s="61"/>
      <c r="BB2" s="76" t="s">
        <v>23</v>
      </c>
      <c r="BC2" s="61"/>
      <c r="BD2" s="61"/>
      <c r="BE2" s="61"/>
      <c r="BF2" s="78" t="s">
        <v>157</v>
      </c>
      <c r="BG2" s="79" t="s">
        <v>157</v>
      </c>
      <c r="BI2" s="72" t="s">
        <v>158</v>
      </c>
      <c r="BJ2" s="71" t="s">
        <v>579</v>
      </c>
      <c r="BK2" s="61"/>
      <c r="BL2" s="61"/>
      <c r="BM2" s="61"/>
    </row>
    <row r="3" spans="1:68" ht="30.75" customHeight="1" thickBot="1" x14ac:dyDescent="0.3">
      <c r="A3" s="63"/>
      <c r="B3" s="63"/>
      <c r="C3" s="63"/>
      <c r="D3" s="63"/>
      <c r="E3" s="63"/>
      <c r="F3" s="63"/>
      <c r="H3" s="63"/>
      <c r="I3" s="63"/>
      <c r="J3" s="59" t="s">
        <v>26</v>
      </c>
      <c r="K3" s="59" t="s">
        <v>24</v>
      </c>
      <c r="L3" s="59" t="s">
        <v>164</v>
      </c>
      <c r="M3" s="59" t="s">
        <v>165</v>
      </c>
      <c r="N3" s="63"/>
      <c r="O3" s="63"/>
      <c r="P3" s="63"/>
      <c r="Q3" s="58" t="s">
        <v>26</v>
      </c>
      <c r="R3" s="58" t="s">
        <v>164</v>
      </c>
      <c r="S3" s="58" t="s">
        <v>166</v>
      </c>
      <c r="T3" s="58" t="s">
        <v>25</v>
      </c>
      <c r="U3" s="59" t="s">
        <v>10</v>
      </c>
      <c r="V3" s="59" t="s">
        <v>11</v>
      </c>
      <c r="W3" s="58" t="s">
        <v>12</v>
      </c>
      <c r="X3" s="58" t="s">
        <v>13</v>
      </c>
      <c r="Y3" s="58" t="s">
        <v>14</v>
      </c>
      <c r="Z3" s="59" t="s">
        <v>167</v>
      </c>
      <c r="AA3" s="59" t="s">
        <v>168</v>
      </c>
      <c r="AB3" s="58" t="s">
        <v>167</v>
      </c>
      <c r="AC3" s="58" t="s">
        <v>168</v>
      </c>
      <c r="AE3" s="63"/>
      <c r="AF3" s="63"/>
      <c r="AG3" s="59" t="s">
        <v>26</v>
      </c>
      <c r="AH3" s="59" t="s">
        <v>24</v>
      </c>
      <c r="AI3" s="59" t="s">
        <v>164</v>
      </c>
      <c r="AJ3" s="59" t="s">
        <v>165</v>
      </c>
      <c r="AK3" s="63"/>
      <c r="AL3" s="63"/>
      <c r="AM3" s="63"/>
      <c r="AN3" s="58" t="s">
        <v>26</v>
      </c>
      <c r="AO3" s="58" t="s">
        <v>164</v>
      </c>
      <c r="AP3" s="58" t="s">
        <v>166</v>
      </c>
      <c r="AQ3" s="58" t="s">
        <v>25</v>
      </c>
      <c r="AR3" s="59" t="s">
        <v>10</v>
      </c>
      <c r="AS3" s="59" t="s">
        <v>11</v>
      </c>
      <c r="AT3" s="58" t="s">
        <v>12</v>
      </c>
      <c r="AU3" s="58" t="s">
        <v>13</v>
      </c>
      <c r="AV3" s="58" t="s">
        <v>14</v>
      </c>
      <c r="AW3" s="59" t="s">
        <v>167</v>
      </c>
      <c r="AX3" s="59" t="s">
        <v>168</v>
      </c>
      <c r="AY3" s="58" t="s">
        <v>167</v>
      </c>
      <c r="AZ3" s="58" t="s">
        <v>168</v>
      </c>
      <c r="BB3" s="59" t="s">
        <v>26</v>
      </c>
      <c r="BC3" s="59" t="s">
        <v>24</v>
      </c>
      <c r="BD3" s="59" t="s">
        <v>164</v>
      </c>
      <c r="BE3" s="59" t="s">
        <v>25</v>
      </c>
      <c r="BF3" s="63"/>
      <c r="BG3" s="63"/>
      <c r="BI3" s="63"/>
      <c r="BJ3" s="57" t="s">
        <v>26</v>
      </c>
      <c r="BK3" s="57" t="s">
        <v>164</v>
      </c>
      <c r="BL3" s="57" t="s">
        <v>166</v>
      </c>
      <c r="BM3" s="57" t="s">
        <v>25</v>
      </c>
    </row>
    <row r="4" spans="1:68" ht="122.25" hidden="1" customHeight="1" thickBot="1" x14ac:dyDescent="0.3">
      <c r="A4" s="8" t="s">
        <v>169</v>
      </c>
      <c r="B4" s="9" t="s">
        <v>170</v>
      </c>
      <c r="C4" s="8" t="s">
        <v>172</v>
      </c>
      <c r="D4" s="9" t="s">
        <v>173</v>
      </c>
      <c r="E4" s="8" t="s">
        <v>174</v>
      </c>
      <c r="F4" s="9" t="s">
        <v>175</v>
      </c>
      <c r="H4" s="8" t="s">
        <v>580</v>
      </c>
      <c r="I4" s="9" t="s">
        <v>176</v>
      </c>
      <c r="J4" s="8" t="s">
        <v>177</v>
      </c>
      <c r="K4" s="8" t="s">
        <v>178</v>
      </c>
      <c r="L4" s="8" t="s">
        <v>179</v>
      </c>
      <c r="M4" s="8" t="s">
        <v>180</v>
      </c>
      <c r="N4" s="8" t="s">
        <v>181</v>
      </c>
      <c r="O4" s="9" t="s">
        <v>182</v>
      </c>
      <c r="P4" s="8" t="s">
        <v>183</v>
      </c>
      <c r="Q4" s="9" t="s">
        <v>186</v>
      </c>
      <c r="R4" s="9" t="s">
        <v>187</v>
      </c>
      <c r="S4" s="9" t="s">
        <v>188</v>
      </c>
      <c r="T4" s="9" t="s">
        <v>189</v>
      </c>
      <c r="U4" s="8" t="s">
        <v>190</v>
      </c>
      <c r="V4" s="8" t="s">
        <v>191</v>
      </c>
      <c r="W4" s="9" t="s">
        <v>192</v>
      </c>
      <c r="X4" s="9" t="s">
        <v>193</v>
      </c>
      <c r="Y4" s="9" t="s">
        <v>194</v>
      </c>
      <c r="Z4" s="8" t="s">
        <v>195</v>
      </c>
      <c r="AA4" s="8" t="s">
        <v>196</v>
      </c>
      <c r="AB4" s="9" t="s">
        <v>197</v>
      </c>
      <c r="AC4" s="9" t="s">
        <v>198</v>
      </c>
      <c r="AE4" s="8" t="s">
        <v>581</v>
      </c>
      <c r="AF4" s="9" t="s">
        <v>199</v>
      </c>
      <c r="AG4" s="8" t="s">
        <v>200</v>
      </c>
      <c r="AH4" s="8" t="s">
        <v>201</v>
      </c>
      <c r="AI4" s="8" t="s">
        <v>202</v>
      </c>
      <c r="AJ4" s="8" t="s">
        <v>203</v>
      </c>
      <c r="AK4" s="8" t="s">
        <v>204</v>
      </c>
      <c r="AL4" s="9" t="s">
        <v>205</v>
      </c>
      <c r="AM4" s="8" t="s">
        <v>206</v>
      </c>
      <c r="AN4" s="9" t="s">
        <v>209</v>
      </c>
      <c r="AO4" s="9" t="s">
        <v>210</v>
      </c>
      <c r="AP4" s="9" t="s">
        <v>211</v>
      </c>
      <c r="AQ4" s="9" t="s">
        <v>212</v>
      </c>
      <c r="AR4" s="8" t="s">
        <v>213</v>
      </c>
      <c r="AS4" s="8" t="s">
        <v>214</v>
      </c>
      <c r="AT4" s="9" t="s">
        <v>215</v>
      </c>
      <c r="AU4" s="9" t="s">
        <v>216</v>
      </c>
      <c r="AV4" s="9" t="s">
        <v>217</v>
      </c>
      <c r="AW4" s="8" t="s">
        <v>218</v>
      </c>
      <c r="AX4" s="8" t="s">
        <v>219</v>
      </c>
      <c r="AY4" s="9" t="s">
        <v>220</v>
      </c>
      <c r="AZ4" s="9" t="s">
        <v>221</v>
      </c>
      <c r="BB4" s="8" t="s">
        <v>582</v>
      </c>
      <c r="BC4" s="8" t="s">
        <v>222</v>
      </c>
      <c r="BD4" s="8" t="s">
        <v>583</v>
      </c>
      <c r="BE4" s="8" t="s">
        <v>584</v>
      </c>
      <c r="BF4" s="9" t="s">
        <v>224</v>
      </c>
      <c r="BG4" s="8" t="s">
        <v>225</v>
      </c>
    </row>
    <row r="5" spans="1:68" collapsed="1" x14ac:dyDescent="0.25">
      <c r="A5" s="10" t="s">
        <v>236</v>
      </c>
      <c r="B5" s="10" t="s">
        <v>50</v>
      </c>
      <c r="C5" s="10">
        <v>24964341</v>
      </c>
      <c r="D5" s="11">
        <v>10</v>
      </c>
      <c r="E5" s="11">
        <v>32</v>
      </c>
      <c r="F5" s="11">
        <v>30</v>
      </c>
      <c r="H5" s="19">
        <f t="shared" ref="H5:H11" si="0">IF(ISBLANK(Q5),"·",Q5/(C5*(D5*3+IF(AND(ISNUMBER(T5),T5&gt;0),24,0))))</f>
        <v>0.16318706869248539</v>
      </c>
      <c r="I5" s="12">
        <f t="shared" ref="I5:I11" si="1">IF(OR(ISBLANK(Q5),ISBLANK(F5)),"·",Q5*F5/E5/1000000)</f>
        <v>206.23904250000001</v>
      </c>
      <c r="J5" s="13">
        <f t="shared" ref="J5:J11" si="2">IF(ISBLANK(Q5),"·",Q5/C5)</f>
        <v>8.8121017093942111</v>
      </c>
      <c r="K5" s="13">
        <f t="shared" ref="K5:K11" si="3">IF(N5="","·",N5/C5)</f>
        <v>1.3647857157535221</v>
      </c>
      <c r="L5" s="13">
        <f t="shared" ref="L5:L11" si="4">IF(R5="","·",R5/C5)</f>
        <v>1.27838471682469</v>
      </c>
      <c r="M5" s="13">
        <f t="shared" ref="M5:M11" si="5">IF(ISBLANK(T5),"·",T5/C5)</f>
        <v>7.4473159936406894</v>
      </c>
      <c r="N5" s="10">
        <f t="shared" ref="N5:N11" si="6">IF(OR(ISBLANK(R5),ISBLANK(S5)),"",R5+S5)</f>
        <v>34070976</v>
      </c>
      <c r="O5" s="13">
        <f t="shared" ref="O5:O11" si="7">IF(ISBLANK(Q5),"·",Q5/P5)</f>
        <v>8.8121017093942111</v>
      </c>
      <c r="P5" s="14">
        <v>24964341</v>
      </c>
      <c r="Q5" s="15">
        <v>219988312</v>
      </c>
      <c r="R5" s="15">
        <v>31914032</v>
      </c>
      <c r="S5" s="15">
        <v>2156944</v>
      </c>
      <c r="T5" s="15">
        <v>185917336</v>
      </c>
      <c r="U5" s="16" t="s">
        <v>585</v>
      </c>
      <c r="V5" s="16" t="s">
        <v>585</v>
      </c>
      <c r="W5" s="16" t="s">
        <v>585</v>
      </c>
      <c r="X5" s="16" t="s">
        <v>585</v>
      </c>
      <c r="Y5" s="16" t="s">
        <v>585</v>
      </c>
      <c r="Z5" s="17">
        <v>3234.53</v>
      </c>
      <c r="AA5" s="17">
        <v>4272.8999999999996</v>
      </c>
      <c r="AB5" s="17">
        <v>4.3490000000000002</v>
      </c>
      <c r="AC5" s="17">
        <v>22.515000000000001</v>
      </c>
      <c r="AE5" s="19">
        <f t="shared" ref="AE5:AE11" si="8">IF(ISBLANK(Q5),"·",Q5/(C5*(D5*3+IF(AND(ISNUMBER(T5),T5&gt;0),24,0))))</f>
        <v>0.16318706869248539</v>
      </c>
      <c r="AF5" s="12">
        <f t="shared" ref="AF5:AF11" si="9">IF(OR(ISBLANK(AN5),ISBLANK(F5)),"·",AN5*F5/E5/1000000)</f>
        <v>206.23922250000001</v>
      </c>
      <c r="AG5" s="13">
        <f t="shared" ref="AG5:AG11" si="10">IF(ISBLANK(AN5),"·",AN5/C5)</f>
        <v>8.812109400364303</v>
      </c>
      <c r="AH5" s="13">
        <f t="shared" ref="AH5:AH11" si="11">IF(AK5="","·",AK5/C5)</f>
        <v>1.3647818702684762</v>
      </c>
      <c r="AI5" s="13">
        <f t="shared" ref="AI5:AI11" si="12">IF(AO5="","·",AO5/C5)</f>
        <v>1.2783808713396441</v>
      </c>
      <c r="AJ5" s="13">
        <f t="shared" ref="AJ5:AJ11" si="13">IF(ISBLANK(AQ5),"·",AQ5/C5)</f>
        <v>7.4473275300958273</v>
      </c>
      <c r="AK5" s="10">
        <f t="shared" ref="AK5:AK11" si="14">IF(OR(ISBLANK(AO5),ISBLANK(AP5)),"",AO5+AP5)</f>
        <v>34070880</v>
      </c>
      <c r="AL5" s="13">
        <f t="shared" ref="AL5:AL11" si="15">IF(ISBLANK(AN5),"·",AN5/AM5)</f>
        <v>8.812109400364303</v>
      </c>
      <c r="AM5" s="14">
        <v>24964341</v>
      </c>
      <c r="AN5" s="15">
        <v>219988504</v>
      </c>
      <c r="AO5" s="15">
        <v>31913936</v>
      </c>
      <c r="AP5" s="15">
        <v>2156944</v>
      </c>
      <c r="AQ5" s="15">
        <v>185917624</v>
      </c>
      <c r="AR5" s="16"/>
      <c r="AS5" s="16"/>
      <c r="AT5" s="16"/>
      <c r="AU5" s="16"/>
      <c r="AV5" s="16"/>
      <c r="AW5" s="17">
        <v>3209.8</v>
      </c>
      <c r="AX5" s="17">
        <v>6329.98</v>
      </c>
      <c r="AY5" s="17">
        <v>3.3679999999999999</v>
      </c>
      <c r="AZ5" s="17">
        <v>16.588000000000001</v>
      </c>
      <c r="BB5" s="18">
        <f t="shared" ref="BB5:BB15" si="16">AG5/J5</f>
        <v>1.0000008727736407</v>
      </c>
      <c r="BC5" s="18">
        <f t="shared" ref="BC5:BC15" si="17">AH5/K5</f>
        <v>0.99999718235251034</v>
      </c>
      <c r="BD5" s="18">
        <f t="shared" ref="BD5:BD15" si="18">AI5/L5</f>
        <v>0.99999699191878988</v>
      </c>
      <c r="BE5" s="18">
        <f t="shared" ref="BE5:BE15" si="19">AJ5/M5</f>
        <v>1.0000015490755525</v>
      </c>
      <c r="BF5" s="19">
        <f t="shared" ref="BF5:BF11" si="20">(AK5/AN5) - (N5/Q5)</f>
        <v>-5.7155827457022745E-7</v>
      </c>
      <c r="BG5" s="19">
        <f t="array" ref="BG5">AVERAGE(AK5:AK5/AN5:AN5) - AVERAGE(N5:N5/Q5:Q5)</f>
        <v>-5.7155827457022745E-7</v>
      </c>
      <c r="BI5">
        <f t="shared" ref="BI5:BM11" si="21">AM5-P5</f>
        <v>0</v>
      </c>
      <c r="BJ5">
        <f t="shared" si="21"/>
        <v>192</v>
      </c>
      <c r="BK5">
        <f t="shared" si="21"/>
        <v>-96</v>
      </c>
      <c r="BL5">
        <f t="shared" si="21"/>
        <v>0</v>
      </c>
      <c r="BM5">
        <f t="shared" si="21"/>
        <v>288</v>
      </c>
      <c r="BP5" t="s">
        <v>238</v>
      </c>
    </row>
    <row r="6" spans="1:68" collapsed="1" x14ac:dyDescent="0.25">
      <c r="A6" s="20"/>
      <c r="B6" s="20" t="s">
        <v>58</v>
      </c>
      <c r="C6" s="20">
        <v>22654789</v>
      </c>
      <c r="D6" s="21">
        <v>10</v>
      </c>
      <c r="E6" s="21">
        <v>32</v>
      </c>
      <c r="F6" s="21">
        <v>30</v>
      </c>
      <c r="H6" s="29">
        <f t="shared" si="0"/>
        <v>0.23518681651388162</v>
      </c>
      <c r="I6" s="22">
        <f t="shared" si="1"/>
        <v>269.73545250000001</v>
      </c>
      <c r="J6" s="23">
        <f t="shared" si="2"/>
        <v>12.700088091749608</v>
      </c>
      <c r="K6" s="23">
        <f t="shared" si="3"/>
        <v>1.7016958312875923</v>
      </c>
      <c r="L6" s="23">
        <f t="shared" si="4"/>
        <v>1.5481212382953555</v>
      </c>
      <c r="M6" s="23">
        <f t="shared" si="5"/>
        <v>10.998392260462015</v>
      </c>
      <c r="N6" s="20">
        <f t="shared" si="6"/>
        <v>38551560</v>
      </c>
      <c r="O6" s="23">
        <f t="shared" si="7"/>
        <v>12.700088091749608</v>
      </c>
      <c r="P6" s="24">
        <v>22654789</v>
      </c>
      <c r="Q6" s="25">
        <v>287717816</v>
      </c>
      <c r="R6" s="25">
        <v>35072360</v>
      </c>
      <c r="S6" s="25">
        <v>3479200</v>
      </c>
      <c r="T6" s="25">
        <v>249166256</v>
      </c>
      <c r="U6" s="26" t="s">
        <v>585</v>
      </c>
      <c r="V6" s="26" t="s">
        <v>585</v>
      </c>
      <c r="W6" s="26" t="s">
        <v>585</v>
      </c>
      <c r="X6" s="26" t="s">
        <v>585</v>
      </c>
      <c r="Y6" s="26" t="s">
        <v>585</v>
      </c>
      <c r="Z6" s="27">
        <v>3266.54</v>
      </c>
      <c r="AA6" s="27">
        <v>5021.9799999999996</v>
      </c>
      <c r="AB6" s="27">
        <v>4.1100000000000003</v>
      </c>
      <c r="AC6" s="27">
        <v>24.254000000000001</v>
      </c>
      <c r="AE6" s="29">
        <f t="shared" si="8"/>
        <v>0.23518681651388162</v>
      </c>
      <c r="AF6" s="22">
        <f t="shared" si="9"/>
        <v>269.73486750000001</v>
      </c>
      <c r="AG6" s="23">
        <f t="shared" si="10"/>
        <v>12.700060547904464</v>
      </c>
      <c r="AH6" s="23">
        <f t="shared" si="11"/>
        <v>1.7017071313266259</v>
      </c>
      <c r="AI6" s="23">
        <f t="shared" si="12"/>
        <v>1.5481325383343894</v>
      </c>
      <c r="AJ6" s="23">
        <f t="shared" si="13"/>
        <v>10.998353416577837</v>
      </c>
      <c r="AK6" s="20">
        <f t="shared" si="14"/>
        <v>38551816</v>
      </c>
      <c r="AL6" s="23">
        <f t="shared" si="15"/>
        <v>12.700060547904464</v>
      </c>
      <c r="AM6" s="24">
        <v>22654789</v>
      </c>
      <c r="AN6" s="25">
        <v>287717192</v>
      </c>
      <c r="AO6" s="25">
        <v>35072616</v>
      </c>
      <c r="AP6" s="25">
        <v>3479200</v>
      </c>
      <c r="AQ6" s="25">
        <v>249165376</v>
      </c>
      <c r="AR6" s="26"/>
      <c r="AS6" s="26"/>
      <c r="AT6" s="26"/>
      <c r="AU6" s="26"/>
      <c r="AV6" s="26"/>
      <c r="AW6" s="27">
        <v>2936.61</v>
      </c>
      <c r="AX6" s="27">
        <v>7664.78</v>
      </c>
      <c r="AY6" s="27">
        <v>3.1120000000000001</v>
      </c>
      <c r="AZ6" s="27">
        <v>17.911999999999999</v>
      </c>
      <c r="BB6" s="28">
        <f t="shared" si="16"/>
        <v>0.99999783120833929</v>
      </c>
      <c r="BC6" s="28">
        <f t="shared" si="17"/>
        <v>1.0000066404576105</v>
      </c>
      <c r="BD6" s="28">
        <f t="shared" si="18"/>
        <v>1.0000072991951499</v>
      </c>
      <c r="BE6" s="28">
        <f t="shared" si="19"/>
        <v>0.99999646822160382</v>
      </c>
      <c r="BF6" s="29">
        <f t="shared" si="20"/>
        <v>1.1803615191652295E-6</v>
      </c>
      <c r="BG6" s="29">
        <f t="array" ref="BG6">AVERAGE(AK6:AK6/AN6:AN6) - AVERAGE(N6:N6/Q6:Q6)</f>
        <v>1.1803615191652295E-6</v>
      </c>
      <c r="BI6">
        <f t="shared" si="21"/>
        <v>0</v>
      </c>
      <c r="BJ6">
        <f t="shared" si="21"/>
        <v>-624</v>
      </c>
      <c r="BK6">
        <f t="shared" si="21"/>
        <v>256</v>
      </c>
      <c r="BL6">
        <f t="shared" si="21"/>
        <v>0</v>
      </c>
      <c r="BM6">
        <f t="shared" si="21"/>
        <v>-880</v>
      </c>
      <c r="BP6" t="s">
        <v>238</v>
      </c>
    </row>
    <row r="7" spans="1:68" collapsed="1" x14ac:dyDescent="0.25">
      <c r="A7" s="10"/>
      <c r="B7" s="10" t="s">
        <v>63</v>
      </c>
      <c r="C7" s="10">
        <v>33947718</v>
      </c>
      <c r="D7" s="11">
        <v>10</v>
      </c>
      <c r="E7" s="11">
        <v>32</v>
      </c>
      <c r="F7" s="11">
        <v>30</v>
      </c>
      <c r="H7" s="19">
        <f t="shared" si="0"/>
        <v>0.17863508037074344</v>
      </c>
      <c r="I7" s="12">
        <f t="shared" si="1"/>
        <v>307.00282499999997</v>
      </c>
      <c r="J7" s="13">
        <f t="shared" si="2"/>
        <v>9.6462943400201446</v>
      </c>
      <c r="K7" s="13">
        <f t="shared" si="3"/>
        <v>1.4953339720802441</v>
      </c>
      <c r="L7" s="13">
        <f t="shared" si="4"/>
        <v>1.3789849438480666</v>
      </c>
      <c r="M7" s="13">
        <f t="shared" si="5"/>
        <v>8.1509603679399003</v>
      </c>
      <c r="N7" s="10">
        <f t="shared" si="6"/>
        <v>50763176</v>
      </c>
      <c r="O7" s="13">
        <f t="shared" si="7"/>
        <v>9.6462943400201446</v>
      </c>
      <c r="P7" s="14">
        <v>33947718</v>
      </c>
      <c r="Q7" s="15">
        <v>327469680</v>
      </c>
      <c r="R7" s="15">
        <v>46813392</v>
      </c>
      <c r="S7" s="15">
        <v>3949784</v>
      </c>
      <c r="T7" s="15">
        <v>276706504</v>
      </c>
      <c r="U7" s="16" t="s">
        <v>585</v>
      </c>
      <c r="V7" s="16" t="s">
        <v>585</v>
      </c>
      <c r="W7" s="16" t="s">
        <v>585</v>
      </c>
      <c r="X7" s="16" t="s">
        <v>585</v>
      </c>
      <c r="Y7" s="16" t="s">
        <v>585</v>
      </c>
      <c r="Z7" s="17">
        <v>7062.3</v>
      </c>
      <c r="AA7" s="17">
        <v>7064.73</v>
      </c>
      <c r="AB7" s="17">
        <v>7.6779999999999999</v>
      </c>
      <c r="AC7" s="17">
        <v>37.283999999999999</v>
      </c>
      <c r="AE7" s="19">
        <f t="shared" si="8"/>
        <v>0.17863508037074344</v>
      </c>
      <c r="AF7" s="12">
        <f t="shared" si="9"/>
        <v>307.00247999999999</v>
      </c>
      <c r="AG7" s="13">
        <f t="shared" si="10"/>
        <v>9.6462834998216955</v>
      </c>
      <c r="AH7" s="13">
        <f t="shared" si="11"/>
        <v>1.495332793797804</v>
      </c>
      <c r="AI7" s="13">
        <f t="shared" si="12"/>
        <v>1.3789837655656265</v>
      </c>
      <c r="AJ7" s="13">
        <f t="shared" si="13"/>
        <v>8.1509507060238917</v>
      </c>
      <c r="AK7" s="10">
        <f t="shared" si="14"/>
        <v>50763136</v>
      </c>
      <c r="AL7" s="13">
        <f t="shared" si="15"/>
        <v>9.6462834998216955</v>
      </c>
      <c r="AM7" s="14">
        <v>33947718</v>
      </c>
      <c r="AN7" s="15">
        <v>327469312</v>
      </c>
      <c r="AO7" s="15">
        <v>46813352</v>
      </c>
      <c r="AP7" s="15">
        <v>3949784</v>
      </c>
      <c r="AQ7" s="15">
        <v>276706176</v>
      </c>
      <c r="AR7" s="16"/>
      <c r="AS7" s="16"/>
      <c r="AT7" s="16"/>
      <c r="AU7" s="16"/>
      <c r="AV7" s="16"/>
      <c r="AW7" s="17">
        <v>4694.6000000000004</v>
      </c>
      <c r="AX7" s="17">
        <v>8165.53</v>
      </c>
      <c r="AY7" s="17">
        <v>5.8720000000000008</v>
      </c>
      <c r="AZ7" s="17">
        <v>29.004000000000001</v>
      </c>
      <c r="BB7" s="18">
        <f t="shared" si="16"/>
        <v>0.99999887623183914</v>
      </c>
      <c r="BC7" s="18">
        <f t="shared" si="17"/>
        <v>0.99999921202723807</v>
      </c>
      <c r="BD7" s="18">
        <f t="shared" si="18"/>
        <v>0.99999914554365132</v>
      </c>
      <c r="BE7" s="18">
        <f t="shared" si="19"/>
        <v>0.99999881462851337</v>
      </c>
      <c r="BF7" s="19">
        <f t="shared" si="20"/>
        <v>5.2053857585443453E-8</v>
      </c>
      <c r="BG7" s="19">
        <f t="array" ref="BG7">AVERAGE(AK7:AK7/AN7:AN7) - AVERAGE(N7:N7/Q7:Q7)</f>
        <v>5.2053857585443453E-8</v>
      </c>
      <c r="BI7">
        <f t="shared" si="21"/>
        <v>0</v>
      </c>
      <c r="BJ7">
        <f t="shared" si="21"/>
        <v>-368</v>
      </c>
      <c r="BK7">
        <f t="shared" si="21"/>
        <v>-40</v>
      </c>
      <c r="BL7">
        <f t="shared" si="21"/>
        <v>0</v>
      </c>
      <c r="BM7">
        <f t="shared" si="21"/>
        <v>-328</v>
      </c>
      <c r="BP7" t="s">
        <v>244</v>
      </c>
    </row>
    <row r="8" spans="1:68" ht="15.75" customHeight="1" collapsed="1" thickBot="1" x14ac:dyDescent="0.3">
      <c r="A8" s="40"/>
      <c r="B8" s="40" t="s">
        <v>69</v>
      </c>
      <c r="C8" s="40">
        <v>32209643</v>
      </c>
      <c r="D8" s="41">
        <v>10</v>
      </c>
      <c r="E8" s="41">
        <v>32</v>
      </c>
      <c r="F8" s="41">
        <v>50</v>
      </c>
      <c r="H8" s="49">
        <f t="shared" si="0"/>
        <v>0.13451111864577669</v>
      </c>
      <c r="I8" s="42">
        <f t="shared" si="1"/>
        <v>365.55933750000003</v>
      </c>
      <c r="J8" s="43">
        <f t="shared" si="2"/>
        <v>7.2636004068719418</v>
      </c>
      <c r="K8" s="43">
        <f t="shared" si="3"/>
        <v>0.9187591430305514</v>
      </c>
      <c r="L8" s="43">
        <f t="shared" si="4"/>
        <v>0.80980369760695581</v>
      </c>
      <c r="M8" s="43">
        <f t="shared" si="5"/>
        <v>6.3448412638413902</v>
      </c>
      <c r="N8" s="40">
        <f t="shared" si="6"/>
        <v>29592904</v>
      </c>
      <c r="O8" s="43">
        <f t="shared" si="7"/>
        <v>7.2636004068719418</v>
      </c>
      <c r="P8" s="44">
        <v>32209643</v>
      </c>
      <c r="Q8" s="45">
        <v>233957976</v>
      </c>
      <c r="R8" s="45">
        <v>26083488</v>
      </c>
      <c r="S8" s="45">
        <v>3509416</v>
      </c>
      <c r="T8" s="45">
        <v>204365072</v>
      </c>
      <c r="U8" s="46" t="s">
        <v>585</v>
      </c>
      <c r="V8" s="46" t="s">
        <v>585</v>
      </c>
      <c r="W8" s="46" t="s">
        <v>585</v>
      </c>
      <c r="X8" s="46" t="s">
        <v>585</v>
      </c>
      <c r="Y8" s="46" t="s">
        <v>585</v>
      </c>
      <c r="Z8" s="47">
        <v>6212.19</v>
      </c>
      <c r="AA8" s="47">
        <v>5372.64</v>
      </c>
      <c r="AB8" s="47">
        <v>6.4880000000000004</v>
      </c>
      <c r="AC8" s="47">
        <v>33.929000000000002</v>
      </c>
      <c r="AE8" s="49">
        <f t="shared" si="8"/>
        <v>0.13451111864577669</v>
      </c>
      <c r="AF8" s="42">
        <f t="shared" si="9"/>
        <v>365.5591</v>
      </c>
      <c r="AG8" s="43">
        <f t="shared" si="10"/>
        <v>7.263595687788281</v>
      </c>
      <c r="AH8" s="43">
        <f t="shared" si="11"/>
        <v>0.91876460723268494</v>
      </c>
      <c r="AI8" s="43">
        <f t="shared" si="12"/>
        <v>0.80980916180908924</v>
      </c>
      <c r="AJ8" s="43">
        <f t="shared" si="13"/>
        <v>6.3448310805555961</v>
      </c>
      <c r="AK8" s="40">
        <f t="shared" si="14"/>
        <v>29593080</v>
      </c>
      <c r="AL8" s="43">
        <f t="shared" si="15"/>
        <v>7.263595687788281</v>
      </c>
      <c r="AM8" s="44">
        <v>32209643</v>
      </c>
      <c r="AN8" s="45">
        <v>233957824</v>
      </c>
      <c r="AO8" s="45">
        <v>26083664</v>
      </c>
      <c r="AP8" s="45">
        <v>3509416</v>
      </c>
      <c r="AQ8" s="45">
        <v>204364744</v>
      </c>
      <c r="AR8" s="46"/>
      <c r="AS8" s="46"/>
      <c r="AT8" s="46"/>
      <c r="AU8" s="46"/>
      <c r="AV8" s="46"/>
      <c r="AW8" s="47">
        <v>3395.7</v>
      </c>
      <c r="AX8" s="47">
        <v>5374.8</v>
      </c>
      <c r="AY8" s="47">
        <v>3.976</v>
      </c>
      <c r="AZ8" s="47">
        <v>17.36</v>
      </c>
      <c r="BB8" s="48">
        <f t="shared" si="16"/>
        <v>0.99999935031067289</v>
      </c>
      <c r="BC8" s="48">
        <f t="shared" si="17"/>
        <v>1.0000059473717078</v>
      </c>
      <c r="BD8" s="48">
        <f t="shared" si="18"/>
        <v>1.0000067475638226</v>
      </c>
      <c r="BE8" s="48">
        <f t="shared" si="19"/>
        <v>0.9999983950290684</v>
      </c>
      <c r="BF8" s="49">
        <f t="shared" si="20"/>
        <v>8.3445037465934568E-7</v>
      </c>
      <c r="BG8" s="49">
        <f t="array" ref="BG8">AVERAGE(AK8:AK8/AN8:AN8) - AVERAGE(N8:N8/Q8:Q8)</f>
        <v>8.3445037465934568E-7</v>
      </c>
      <c r="BI8">
        <f t="shared" si="21"/>
        <v>0</v>
      </c>
      <c r="BJ8">
        <f t="shared" si="21"/>
        <v>-152</v>
      </c>
      <c r="BK8">
        <f t="shared" si="21"/>
        <v>176</v>
      </c>
      <c r="BL8">
        <f t="shared" si="21"/>
        <v>0</v>
      </c>
      <c r="BM8">
        <f t="shared" si="21"/>
        <v>-328</v>
      </c>
      <c r="BP8" t="s">
        <v>586</v>
      </c>
    </row>
    <row r="9" spans="1:68" ht="15.75" customHeight="1" collapsed="1" thickBot="1" x14ac:dyDescent="0.3">
      <c r="A9" s="30" t="s">
        <v>245</v>
      </c>
      <c r="B9" s="30" t="s">
        <v>72</v>
      </c>
      <c r="C9" s="30">
        <v>25312408</v>
      </c>
      <c r="D9" s="31">
        <v>10</v>
      </c>
      <c r="E9" s="31">
        <v>32</v>
      </c>
      <c r="F9" s="31">
        <v>30</v>
      </c>
      <c r="H9" s="39">
        <f t="shared" si="0"/>
        <v>0.27451847155575065</v>
      </c>
      <c r="I9" s="32">
        <f t="shared" si="1"/>
        <v>351.77913000000001</v>
      </c>
      <c r="J9" s="33">
        <f t="shared" si="2"/>
        <v>14.823997464010535</v>
      </c>
      <c r="K9" s="33">
        <f t="shared" si="3"/>
        <v>1.504190355970874</v>
      </c>
      <c r="L9" s="33">
        <f t="shared" si="4"/>
        <v>1.405188791204693</v>
      </c>
      <c r="M9" s="33">
        <f t="shared" si="5"/>
        <v>13.319807108039662</v>
      </c>
      <c r="N9" s="30">
        <f t="shared" si="6"/>
        <v>38074680</v>
      </c>
      <c r="O9" s="33">
        <f t="shared" si="7"/>
        <v>14.823997464010535</v>
      </c>
      <c r="P9" s="34">
        <v>25312408</v>
      </c>
      <c r="Q9" s="35">
        <v>375231072</v>
      </c>
      <c r="R9" s="35">
        <v>35568712</v>
      </c>
      <c r="S9" s="35">
        <v>2505968</v>
      </c>
      <c r="T9" s="35">
        <v>337156392</v>
      </c>
      <c r="U9" s="36" t="s">
        <v>585</v>
      </c>
      <c r="V9" s="36" t="s">
        <v>585</v>
      </c>
      <c r="W9" s="36" t="s">
        <v>585</v>
      </c>
      <c r="X9" s="36" t="s">
        <v>585</v>
      </c>
      <c r="Y9" s="36" t="s">
        <v>585</v>
      </c>
      <c r="Z9" s="37">
        <v>1321.23</v>
      </c>
      <c r="AA9" s="37">
        <v>5520.86</v>
      </c>
      <c r="AB9" s="37">
        <v>4.5960000000000001</v>
      </c>
      <c r="AC9" s="37">
        <v>27.751000000000001</v>
      </c>
      <c r="AE9" s="39">
        <f t="shared" si="8"/>
        <v>0.27451847155575065</v>
      </c>
      <c r="AF9" s="32">
        <f t="shared" si="9"/>
        <v>351.77923500000003</v>
      </c>
      <c r="AG9" s="33">
        <f t="shared" si="10"/>
        <v>14.824001888717977</v>
      </c>
      <c r="AH9" s="33">
        <f t="shared" si="11"/>
        <v>1.5042124795080736</v>
      </c>
      <c r="AI9" s="33">
        <f t="shared" si="12"/>
        <v>1.4052109147418925</v>
      </c>
      <c r="AJ9" s="33">
        <f t="shared" si="13"/>
        <v>13.319789409209902</v>
      </c>
      <c r="AK9" s="30">
        <f t="shared" si="14"/>
        <v>38075240</v>
      </c>
      <c r="AL9" s="33">
        <f t="shared" si="15"/>
        <v>14.824001888717977</v>
      </c>
      <c r="AM9" s="34">
        <v>25312408</v>
      </c>
      <c r="AN9" s="35">
        <v>375231184</v>
      </c>
      <c r="AO9" s="35">
        <v>35569272</v>
      </c>
      <c r="AP9" s="35">
        <v>2505968</v>
      </c>
      <c r="AQ9" s="35">
        <v>337155944</v>
      </c>
      <c r="AR9" s="36"/>
      <c r="AS9" s="36"/>
      <c r="AT9" s="36"/>
      <c r="AU9" s="36"/>
      <c r="AV9" s="36"/>
      <c r="AW9" s="37">
        <v>1346.7</v>
      </c>
      <c r="AX9" s="37">
        <v>9766.64</v>
      </c>
      <c r="AY9" s="37">
        <v>4.18</v>
      </c>
      <c r="AZ9" s="37">
        <v>27.704000000000001</v>
      </c>
      <c r="BB9" s="38">
        <f t="shared" si="16"/>
        <v>1.0000002984827441</v>
      </c>
      <c r="BC9" s="38">
        <f t="shared" si="17"/>
        <v>1.0000147079371382</v>
      </c>
      <c r="BD9" s="38">
        <f t="shared" si="18"/>
        <v>1.0000157441742619</v>
      </c>
      <c r="BE9" s="38">
        <f t="shared" si="19"/>
        <v>0.9999986712397847</v>
      </c>
      <c r="BF9" s="39">
        <f t="shared" si="20"/>
        <v>1.4621262529046497E-6</v>
      </c>
      <c r="BG9" s="39">
        <f t="array" ref="BG9">AVERAGE(AK9:AK9/AN9:AN9) - AVERAGE(N9:N9/Q9:Q9)</f>
        <v>1.4621262529046497E-6</v>
      </c>
      <c r="BI9">
        <f t="shared" si="21"/>
        <v>0</v>
      </c>
      <c r="BJ9">
        <f t="shared" si="21"/>
        <v>112</v>
      </c>
      <c r="BK9">
        <f t="shared" si="21"/>
        <v>560</v>
      </c>
      <c r="BL9">
        <f t="shared" si="21"/>
        <v>0</v>
      </c>
      <c r="BM9">
        <f t="shared" si="21"/>
        <v>-448</v>
      </c>
      <c r="BP9" t="s">
        <v>590</v>
      </c>
    </row>
    <row r="10" spans="1:68" collapsed="1" x14ac:dyDescent="0.25">
      <c r="A10" s="20" t="s">
        <v>247</v>
      </c>
      <c r="B10" s="20" t="s">
        <v>76</v>
      </c>
      <c r="C10" s="20">
        <v>92854683</v>
      </c>
      <c r="D10" s="21">
        <v>11</v>
      </c>
      <c r="E10" s="21">
        <v>10</v>
      </c>
      <c r="F10" s="21">
        <v>30</v>
      </c>
      <c r="H10" s="29">
        <f t="shared" si="0"/>
        <v>0.17142800339193126</v>
      </c>
      <c r="I10" s="22">
        <f t="shared" si="1"/>
        <v>2721.9596879999999</v>
      </c>
      <c r="J10" s="23">
        <f t="shared" si="2"/>
        <v>9.771396193340081</v>
      </c>
      <c r="K10" s="23">
        <f t="shared" si="3"/>
        <v>1.1121074421200705</v>
      </c>
      <c r="L10" s="23">
        <f t="shared" si="4"/>
        <v>1.0606869661059528</v>
      </c>
      <c r="M10" s="23">
        <f t="shared" si="5"/>
        <v>8.6592887512200107</v>
      </c>
      <c r="N10" s="20">
        <f t="shared" si="6"/>
        <v>103264384</v>
      </c>
      <c r="O10" s="23">
        <f t="shared" si="7"/>
        <v>9.771396193340081</v>
      </c>
      <c r="P10" s="24">
        <v>92854683</v>
      </c>
      <c r="Q10" s="25">
        <v>907319896</v>
      </c>
      <c r="R10" s="25">
        <v>98489752</v>
      </c>
      <c r="S10" s="25">
        <v>4774632</v>
      </c>
      <c r="T10" s="25">
        <v>804055512</v>
      </c>
      <c r="U10" s="26" t="s">
        <v>585</v>
      </c>
      <c r="V10" s="26" t="s">
        <v>585</v>
      </c>
      <c r="W10" s="26" t="s">
        <v>585</v>
      </c>
      <c r="X10" s="26" t="s">
        <v>585</v>
      </c>
      <c r="Y10" s="26" t="s">
        <v>585</v>
      </c>
      <c r="Z10" s="27">
        <v>3360.98</v>
      </c>
      <c r="AA10" s="27">
        <v>18744</v>
      </c>
      <c r="AB10" s="27">
        <v>17.771000000000001</v>
      </c>
      <c r="AC10" s="27">
        <v>88.471999999999994</v>
      </c>
      <c r="AE10" s="29">
        <f t="shared" si="8"/>
        <v>0.17142800339193126</v>
      </c>
      <c r="AF10" s="22">
        <f t="shared" si="9"/>
        <v>841.22858399999996</v>
      </c>
      <c r="AG10" s="23">
        <f t="shared" si="10"/>
        <v>3.0198749157325753</v>
      </c>
      <c r="AH10" s="23">
        <f t="shared" si="11"/>
        <v>0.33957550638560685</v>
      </c>
      <c r="AI10" s="23">
        <f t="shared" si="12"/>
        <v>0.32408049898786473</v>
      </c>
      <c r="AJ10" s="23">
        <f t="shared" si="13"/>
        <v>2.6802994093469685</v>
      </c>
      <c r="AK10" s="20">
        <f t="shared" si="14"/>
        <v>31531176</v>
      </c>
      <c r="AL10" s="23">
        <f t="shared" si="15"/>
        <v>9.7354531874800916</v>
      </c>
      <c r="AM10" s="24">
        <v>28802925</v>
      </c>
      <c r="AN10" s="25">
        <v>280409528</v>
      </c>
      <c r="AO10" s="25">
        <v>30092392</v>
      </c>
      <c r="AP10" s="25">
        <v>1438784</v>
      </c>
      <c r="AQ10" s="25">
        <v>248878352</v>
      </c>
      <c r="AR10" s="26"/>
      <c r="AS10" s="26"/>
      <c r="AT10" s="26"/>
      <c r="AU10" s="26"/>
      <c r="AV10" s="26"/>
      <c r="AW10" s="27">
        <v>951.14399999999989</v>
      </c>
      <c r="AX10" s="27">
        <v>6781.17</v>
      </c>
      <c r="AY10" s="27">
        <v>3.504</v>
      </c>
      <c r="AZ10" s="27">
        <v>16.251999999999999</v>
      </c>
      <c r="BB10" s="28">
        <f t="shared" si="16"/>
        <v>0.30905255052403263</v>
      </c>
      <c r="BC10" s="28">
        <f t="shared" si="17"/>
        <v>0.30534415428266148</v>
      </c>
      <c r="BD10" s="28">
        <f t="shared" si="18"/>
        <v>0.30553830615798488</v>
      </c>
      <c r="BE10" s="28">
        <f t="shared" si="19"/>
        <v>0.30952881770680529</v>
      </c>
      <c r="BF10" s="29">
        <f t="shared" si="20"/>
        <v>-1.3656641991605378E-3</v>
      </c>
      <c r="BG10" s="29">
        <f t="array" ref="BG10">AVERAGE(AK10:AK10/AN10:AN10) - AVERAGE(N10:N10/Q10:Q10)</f>
        <v>-1.3656641991605378E-3</v>
      </c>
      <c r="BI10">
        <f t="shared" si="21"/>
        <v>-64051758</v>
      </c>
      <c r="BJ10">
        <f t="shared" si="21"/>
        <v>-626910368</v>
      </c>
      <c r="BK10">
        <f t="shared" si="21"/>
        <v>-68397360</v>
      </c>
      <c r="BL10">
        <f t="shared" si="21"/>
        <v>-3335848</v>
      </c>
      <c r="BM10">
        <f t="shared" si="21"/>
        <v>-555177160</v>
      </c>
      <c r="BP10" t="s">
        <v>587</v>
      </c>
    </row>
    <row r="11" spans="1:68" ht="15.75" customHeight="1" collapsed="1" thickBot="1" x14ac:dyDescent="0.3">
      <c r="A11" s="30"/>
      <c r="B11" s="30" t="s">
        <v>81</v>
      </c>
      <c r="C11" s="30">
        <v>83104648</v>
      </c>
      <c r="D11" s="31">
        <v>11</v>
      </c>
      <c r="E11" s="31">
        <v>10</v>
      </c>
      <c r="F11" s="31">
        <v>30</v>
      </c>
      <c r="H11" s="39">
        <f t="shared" si="0"/>
        <v>0.17475300644699557</v>
      </c>
      <c r="I11" s="32">
        <f t="shared" si="1"/>
        <v>2483.3965920000001</v>
      </c>
      <c r="J11" s="33">
        <f t="shared" si="2"/>
        <v>9.9609213674787487</v>
      </c>
      <c r="K11" s="33">
        <f t="shared" si="3"/>
        <v>1.1858513617673947</v>
      </c>
      <c r="L11" s="33">
        <f t="shared" si="4"/>
        <v>1.1266248308999516</v>
      </c>
      <c r="M11" s="33">
        <f t="shared" si="5"/>
        <v>8.7750700057113526</v>
      </c>
      <c r="N11" s="30">
        <f t="shared" si="6"/>
        <v>98549760</v>
      </c>
      <c r="O11" s="33">
        <f t="shared" si="7"/>
        <v>9.9609213674787487</v>
      </c>
      <c r="P11" s="34">
        <v>83104648</v>
      </c>
      <c r="Q11" s="35">
        <v>827798864</v>
      </c>
      <c r="R11" s="35">
        <v>93627760</v>
      </c>
      <c r="S11" s="35">
        <v>4922000</v>
      </c>
      <c r="T11" s="35">
        <v>729249104</v>
      </c>
      <c r="U11" s="36" t="s">
        <v>585</v>
      </c>
      <c r="V11" s="36" t="s">
        <v>585</v>
      </c>
      <c r="W11" s="36" t="s">
        <v>585</v>
      </c>
      <c r="X11" s="36" t="s">
        <v>585</v>
      </c>
      <c r="Y11" s="36" t="s">
        <v>585</v>
      </c>
      <c r="Z11" s="37">
        <v>3022.31</v>
      </c>
      <c r="AA11" s="37">
        <v>20723.900000000001</v>
      </c>
      <c r="AB11" s="37">
        <v>18.574999999999999</v>
      </c>
      <c r="AC11" s="37">
        <v>94.724999999999994</v>
      </c>
      <c r="AE11" s="39">
        <f t="shared" si="8"/>
        <v>0.17475300644699557</v>
      </c>
      <c r="AF11" s="32">
        <f t="shared" si="9"/>
        <v>769.33223999999996</v>
      </c>
      <c r="AG11" s="33">
        <f t="shared" si="10"/>
        <v>3.0857970784016797</v>
      </c>
      <c r="AH11" s="33">
        <f t="shared" si="11"/>
        <v>0.36752071917806572</v>
      </c>
      <c r="AI11" s="33">
        <f t="shared" si="12"/>
        <v>0.34948581937318357</v>
      </c>
      <c r="AJ11" s="33">
        <f t="shared" si="13"/>
        <v>2.7182763592236139</v>
      </c>
      <c r="AK11" s="30">
        <f t="shared" si="14"/>
        <v>30542680</v>
      </c>
      <c r="AL11" s="33">
        <f t="shared" si="15"/>
        <v>9.9524105065728943</v>
      </c>
      <c r="AM11" s="34">
        <v>25767032</v>
      </c>
      <c r="AN11" s="35">
        <v>256444080</v>
      </c>
      <c r="AO11" s="35">
        <v>29043896</v>
      </c>
      <c r="AP11" s="35">
        <v>1498784</v>
      </c>
      <c r="AQ11" s="35">
        <v>225901400</v>
      </c>
      <c r="AR11" s="36"/>
      <c r="AS11" s="36"/>
      <c r="AT11" s="36"/>
      <c r="AU11" s="36"/>
      <c r="AV11" s="36"/>
      <c r="AW11" s="37">
        <v>880.7</v>
      </c>
      <c r="AX11" s="37">
        <v>10623.9</v>
      </c>
      <c r="AY11" s="37">
        <v>5.0039999999999996</v>
      </c>
      <c r="AZ11" s="37">
        <v>31.236000000000001</v>
      </c>
      <c r="BB11" s="38">
        <f t="shared" si="16"/>
        <v>0.30979032607128582</v>
      </c>
      <c r="BC11" s="38">
        <f t="shared" si="17"/>
        <v>0.30992140417186204</v>
      </c>
      <c r="BD11" s="38">
        <f t="shared" si="18"/>
        <v>0.31020603291160659</v>
      </c>
      <c r="BE11" s="38">
        <f t="shared" si="19"/>
        <v>0.30977261235003178</v>
      </c>
      <c r="BF11" s="39">
        <f t="shared" si="20"/>
        <v>5.0372445146856792E-5</v>
      </c>
      <c r="BG11" s="39">
        <f t="array" ref="BG11">AVERAGE(AK11:AK11/AN11:AN11) - AVERAGE(N11:N11/Q11:Q11)</f>
        <v>5.0372445146856792E-5</v>
      </c>
      <c r="BI11">
        <f t="shared" si="21"/>
        <v>-57337616</v>
      </c>
      <c r="BJ11">
        <f t="shared" si="21"/>
        <v>-571354784</v>
      </c>
      <c r="BK11">
        <f t="shared" si="21"/>
        <v>-64583864</v>
      </c>
      <c r="BL11">
        <f t="shared" si="21"/>
        <v>-3423216</v>
      </c>
      <c r="BM11">
        <f t="shared" si="21"/>
        <v>-503347704</v>
      </c>
      <c r="BP11" t="s">
        <v>588</v>
      </c>
    </row>
    <row r="12" spans="1:68" x14ac:dyDescent="0.25">
      <c r="B12" s="50" t="s">
        <v>15</v>
      </c>
      <c r="J12" s="51">
        <f>AVERAGE(J5:J8)</f>
        <v>9.6055211370089761</v>
      </c>
      <c r="K12" s="51">
        <f>AVERAGE(K5:K8)</f>
        <v>1.3701436655379775</v>
      </c>
      <c r="L12" s="51">
        <f>AVERAGE(L5:L8)</f>
        <v>1.2538236491437669</v>
      </c>
      <c r="M12" s="51">
        <f>AVERAGE(M5:M8)</f>
        <v>8.2353774714709989</v>
      </c>
      <c r="AG12" s="51">
        <f>AVERAGE(AG5:AG8)</f>
        <v>9.605512283969686</v>
      </c>
      <c r="AH12" s="51">
        <f>AVERAGE(AH5:AH8)</f>
        <v>1.3701466006563978</v>
      </c>
      <c r="AI12" s="51">
        <f>AVERAGE(AI5:AI8)</f>
        <v>1.2538265842621874</v>
      </c>
      <c r="AJ12" s="51">
        <f>AVERAGE(AJ5:AJ8)</f>
        <v>8.2353656833132884</v>
      </c>
      <c r="BB12" s="4">
        <f t="shared" si="16"/>
        <v>0.99999907833847179</v>
      </c>
      <c r="BC12" s="4">
        <f t="shared" si="17"/>
        <v>1.0000021421975622</v>
      </c>
      <c r="BD12" s="4">
        <f t="shared" si="18"/>
        <v>1.0000023409340082</v>
      </c>
      <c r="BE12" s="4">
        <f t="shared" si="19"/>
        <v>0.99999856859533742</v>
      </c>
      <c r="BG12" s="53">
        <f>AVERAGE(BG5:BG8)</f>
        <v>3.7382686920994779E-7</v>
      </c>
    </row>
    <row r="13" spans="1:68" x14ac:dyDescent="0.25">
      <c r="B13" s="50" t="s">
        <v>16</v>
      </c>
      <c r="J13" s="51">
        <f>AVERAGE(J9:J9)</f>
        <v>14.823997464010535</v>
      </c>
      <c r="K13" s="51">
        <f>AVERAGE(K9:K9)</f>
        <v>1.504190355970874</v>
      </c>
      <c r="L13" s="51">
        <f>AVERAGE(L9:L9)</f>
        <v>1.405188791204693</v>
      </c>
      <c r="M13" s="51">
        <f>AVERAGE(M9:M9)</f>
        <v>13.319807108039662</v>
      </c>
      <c r="AG13" s="51">
        <f>AVERAGE(AG9:AG9)</f>
        <v>14.824001888717977</v>
      </c>
      <c r="AH13" s="51">
        <f>AVERAGE(AH9:AH9)</f>
        <v>1.5042124795080736</v>
      </c>
      <c r="AI13" s="51">
        <f>AVERAGE(AI9:AI9)</f>
        <v>1.4052109147418925</v>
      </c>
      <c r="AJ13" s="51">
        <f>AVERAGE(AJ9:AJ9)</f>
        <v>13.319789409209902</v>
      </c>
      <c r="BB13" s="4">
        <f t="shared" si="16"/>
        <v>1.0000002984827441</v>
      </c>
      <c r="BC13" s="4">
        <f t="shared" si="17"/>
        <v>1.0000147079371382</v>
      </c>
      <c r="BD13" s="4">
        <f t="shared" si="18"/>
        <v>1.0000157441742619</v>
      </c>
      <c r="BE13" s="4">
        <f t="shared" si="19"/>
        <v>0.9999986712397847</v>
      </c>
      <c r="BG13" s="53">
        <f>AVERAGE(BG9:BG9)</f>
        <v>1.4621262529046497E-6</v>
      </c>
    </row>
    <row r="14" spans="1:68" x14ac:dyDescent="0.25">
      <c r="B14" s="50" t="s">
        <v>17</v>
      </c>
      <c r="J14" s="51">
        <f>AVERAGE(J10:J11)</f>
        <v>9.866158780409414</v>
      </c>
      <c r="K14" s="51">
        <f>AVERAGE(K10:K11)</f>
        <v>1.1489794019437327</v>
      </c>
      <c r="L14" s="51">
        <f>AVERAGE(L10:L11)</f>
        <v>1.0936558985029521</v>
      </c>
      <c r="M14" s="51">
        <f>AVERAGE(M10:M11)</f>
        <v>8.7171793784656817</v>
      </c>
      <c r="AG14" s="51">
        <f>AVERAGE(AG10:AG11)</f>
        <v>3.0528359970671275</v>
      </c>
      <c r="AH14" s="51">
        <f>AVERAGE(AH10:AH11)</f>
        <v>0.35354811278183629</v>
      </c>
      <c r="AI14" s="51">
        <f>AVERAGE(AI10:AI11)</f>
        <v>0.33678315918052415</v>
      </c>
      <c r="AJ14" s="51">
        <f>AVERAGE(AJ10:AJ11)</f>
        <v>2.6992878842852912</v>
      </c>
      <c r="BB14" s="4">
        <f t="shared" si="16"/>
        <v>0.30942498139488128</v>
      </c>
      <c r="BC14" s="4">
        <f t="shared" si="17"/>
        <v>0.30770622361352834</v>
      </c>
      <c r="BD14" s="4">
        <f t="shared" si="18"/>
        <v>0.30794252528745913</v>
      </c>
      <c r="BE14" s="4">
        <f t="shared" si="19"/>
        <v>0.30965152454627992</v>
      </c>
      <c r="BG14" s="53">
        <f>AVERAGE(BG10:BG11)</f>
        <v>-6.5764587700684052E-4</v>
      </c>
    </row>
    <row r="15" spans="1:68" x14ac:dyDescent="0.25">
      <c r="B15" s="50" t="s">
        <v>18</v>
      </c>
      <c r="J15" s="51">
        <f>AVERAGE(J5:J11)</f>
        <v>10.425485653266467</v>
      </c>
      <c r="K15" s="51">
        <f>AVERAGE(K5:K11)</f>
        <v>1.3261034031443213</v>
      </c>
      <c r="L15" s="51">
        <f>AVERAGE(L5:L11)</f>
        <v>1.2296850263979522</v>
      </c>
      <c r="M15" s="51">
        <f>AVERAGE(M5:M11)</f>
        <v>9.0993822501221455</v>
      </c>
      <c r="AG15" s="51">
        <f>AVERAGE(AG5:AG11)</f>
        <v>8.4788175741044256</v>
      </c>
      <c r="AH15" s="51">
        <f>AVERAGE(AH5:AH11)</f>
        <v>1.0988421582424768</v>
      </c>
      <c r="AI15" s="51">
        <f>AVERAGE(AI5:AI11)</f>
        <v>1.0134405100216701</v>
      </c>
      <c r="AJ15" s="51">
        <f>AVERAGE(AJ5:AJ11)</f>
        <v>7.3799754158619484</v>
      </c>
      <c r="BB15" s="4">
        <f t="shared" si="16"/>
        <v>0.81327794753119054</v>
      </c>
      <c r="BC15" s="4">
        <f t="shared" si="17"/>
        <v>0.82862479323785321</v>
      </c>
      <c r="BD15" s="4">
        <f t="shared" si="18"/>
        <v>0.82414641820132184</v>
      </c>
      <c r="BE15" s="4">
        <f t="shared" si="19"/>
        <v>0.81104136665572912</v>
      </c>
      <c r="BG15" s="53">
        <f>AVERAGE(BG5:BG11)</f>
        <v>-1.874763314691338E-4</v>
      </c>
    </row>
    <row r="16" spans="1:68" hidden="1" outlineLevel="2" x14ac:dyDescent="0.25">
      <c r="A16" s="50" t="s">
        <v>250</v>
      </c>
      <c r="B16" s="50" t="s">
        <v>251</v>
      </c>
      <c r="Z16" s="52">
        <f>SUM(Z5:Z8,Z9:Z9,Z10:Z11)</f>
        <v>27480.079999999998</v>
      </c>
      <c r="AA16" s="52">
        <f>SUM(AA5:AA8,AA9:AA9,AA10:AA11)</f>
        <v>66721.010000000009</v>
      </c>
      <c r="AB16" s="52">
        <f>SUM(AB5:AB8,AB9:AB9,AB10:AB11)</f>
        <v>63.567000000000007</v>
      </c>
      <c r="AC16" s="52">
        <f>SUM(AC5:AC8,AC9:AC9,AC10:AC11)</f>
        <v>328.92999999999995</v>
      </c>
      <c r="AW16" s="52">
        <f>SUM(AW5:AW8,AW9:AW9,AW10:AW11)</f>
        <v>17415.254000000001</v>
      </c>
      <c r="AX16" s="52">
        <f>SUM(AX5:AX8,AX9:AX9,AX10:AX11)</f>
        <v>54706.799999999996</v>
      </c>
      <c r="AY16" s="52">
        <f>SUM(AY5:AY8,AY9:AY9,AY10:AY11)</f>
        <v>29.015999999999998</v>
      </c>
      <c r="AZ16" s="52">
        <f>SUM(AZ5:AZ8,AZ9:AZ9,AZ10:AZ11)</f>
        <v>156.05600000000001</v>
      </c>
    </row>
    <row r="17" spans="2:52" hidden="1" outlineLevel="2" x14ac:dyDescent="0.25">
      <c r="B17" s="50" t="s">
        <v>252</v>
      </c>
      <c r="AW17" s="53">
        <f>AW16/Z16</f>
        <v>0.63374102258799836</v>
      </c>
      <c r="AX17" s="53">
        <f>AX16/AA16</f>
        <v>0.81993363110060813</v>
      </c>
      <c r="AY17" s="53">
        <f>AY16/AB16</f>
        <v>0.45646325923828396</v>
      </c>
      <c r="AZ17" s="53">
        <f>AZ16/AC16</f>
        <v>0.47443529018332181</v>
      </c>
    </row>
    <row r="18" spans="2:52" hidden="1" outlineLevel="2" x14ac:dyDescent="0.25">
      <c r="B18" s="50" t="s">
        <v>253</v>
      </c>
      <c r="Z18" s="52">
        <f>GEOMEAN(Z5:Z8,Z9:Z9,Z10:Z11)</f>
        <v>3483.2281138541334</v>
      </c>
      <c r="AA18" s="52">
        <f>GEOMEAN(AA5:AA8,AA9:AA9,AA10:AA11)</f>
        <v>7793.7403084829011</v>
      </c>
      <c r="AB18" s="52">
        <f>GEOMEAN(AB5:AB8,AB9:AB9,AB10:AB11)</f>
        <v>7.5127952924285948</v>
      </c>
      <c r="AC18" s="52">
        <f>GEOMEAN(AC5:AC8,AC9:AC9,AC10:AC11)</f>
        <v>39.888028234412282</v>
      </c>
      <c r="AW18" s="52">
        <f>GEOMEAN(AW5:AW8,AW9:AW9,AW10:AW11)</f>
        <v>2081.8850900644452</v>
      </c>
      <c r="AX18" s="52">
        <f>GEOMEAN(AX5:AX8,AX9:AX9,AX10:AX11)</f>
        <v>7624.7581379118037</v>
      </c>
      <c r="AY18" s="52">
        <f>GEOMEAN(AY5:AY8,AY9:AY9,AY10:AY11)</f>
        <v>4.052020949075442</v>
      </c>
      <c r="AZ18" s="52">
        <f>GEOMEAN(AZ5:AZ8,AZ9:AZ9,AZ10:AZ11)</f>
        <v>21.471596998646014</v>
      </c>
    </row>
    <row r="19" spans="2:52" outlineLevel="2" collapsed="1" x14ac:dyDescent="0.25">
      <c r="B19" s="50" t="s">
        <v>254</v>
      </c>
      <c r="AW19" s="53">
        <f>AW18/Z18</f>
        <v>0.5976884148884738</v>
      </c>
      <c r="AX19" s="53">
        <f>AX18/AA18</f>
        <v>0.97831821899593285</v>
      </c>
      <c r="AY19" s="53">
        <f>AY18/AB18</f>
        <v>0.53934930892620947</v>
      </c>
      <c r="AZ19" s="53">
        <f>AZ18/AC18</f>
        <v>0.53829677597655712</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70" zoomScaleNormal="70" workbookViewId="0">
      <pane xSplit="2" ySplit="4" topLeftCell="C5" activePane="bottomRight" state="frozen"/>
      <selection pane="topRight" activeCell="C1" sqref="C1"/>
      <selection pane="bottomLeft" activeCell="A5" sqref="A5"/>
      <selection pane="bottomRight" activeCell="P5" sqref="P5:AE39"/>
    </sheetView>
  </sheetViews>
  <sheetFormatPr defaultRowHeight="15" outlineLevelRow="2" x14ac:dyDescent="0.25"/>
  <cols>
    <col min="2" max="2" width="24.7109375" style="54" customWidth="1"/>
    <col min="4" max="5" width="10.7109375" style="54" customWidth="1"/>
    <col min="8" max="8" width="1.7109375" style="54" customWidth="1"/>
    <col min="10" max="13" width="10.7109375" style="54" customWidth="1"/>
    <col min="14" max="14" width="24.7109375" style="54" hidden="1" customWidth="1"/>
    <col min="15" max="15" width="12.7109375" style="54" customWidth="1"/>
    <col min="16" max="16" width="10.7109375" style="54" customWidth="1"/>
    <col min="19" max="22" width="12.7109375" style="54" customWidth="1"/>
    <col min="23" max="27" width="11.7109375" style="54" customWidth="1"/>
    <col min="32" max="32" width="1.7109375" style="54" customWidth="1"/>
    <col min="34" max="37" width="10.7109375" style="54" customWidth="1"/>
    <col min="38" max="38" width="24.7109375" style="54" hidden="1" customWidth="1"/>
    <col min="39" max="39" width="12.7109375" style="54" customWidth="1"/>
    <col min="40" max="40" width="10.7109375" style="54" customWidth="1"/>
    <col min="43" max="46" width="12.7109375" style="54" customWidth="1"/>
    <col min="47" max="51" width="11.7109375" style="54" customWidth="1"/>
    <col min="56" max="56" width="1.7109375" style="54" customWidth="1"/>
    <col min="61" max="61" width="1.7109375" style="54" customWidth="1"/>
    <col min="64" max="66" width="11.7109375" style="54" customWidth="1"/>
    <col min="67" max="67" width="1.7109375" style="54" customWidth="1"/>
    <col min="70" max="72" width="11.7109375" style="54" customWidth="1"/>
    <col min="73" max="73" width="1.7109375" style="54" customWidth="1"/>
    <col min="78" max="78" width="10" style="54" customWidth="1"/>
    <col min="79" max="79" width="10.28515625" style="54" customWidth="1"/>
  </cols>
  <sheetData>
    <row r="1" spans="1:88" ht="15" customHeight="1" x14ac:dyDescent="0.25">
      <c r="A1" s="77" t="s">
        <v>591</v>
      </c>
      <c r="B1" s="61"/>
      <c r="C1" s="61"/>
      <c r="D1" s="61"/>
      <c r="E1" s="61"/>
      <c r="F1" s="61"/>
      <c r="G1" s="61"/>
      <c r="I1" s="69" t="str">
        <f>Summary!C1</f>
        <v>R7.0 RC14.0</v>
      </c>
      <c r="J1" s="61"/>
      <c r="K1" s="61"/>
      <c r="L1" s="61"/>
      <c r="M1" s="61"/>
      <c r="N1" s="61"/>
      <c r="O1" s="61"/>
      <c r="P1" s="61"/>
      <c r="Q1" s="61"/>
      <c r="R1" s="61"/>
      <c r="S1" s="61"/>
      <c r="T1" s="61"/>
      <c r="U1" s="61"/>
      <c r="V1" s="61"/>
      <c r="W1" s="61"/>
      <c r="X1" s="61"/>
      <c r="Y1" s="61"/>
      <c r="Z1" s="61"/>
      <c r="AA1" s="61"/>
      <c r="AB1" s="61"/>
      <c r="AC1" s="61"/>
      <c r="AD1" s="61"/>
      <c r="AE1" s="61"/>
      <c r="AG1" s="70" t="str">
        <f>Summary!C2</f>
        <v>R7.0 RC15.0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9" t="s">
        <v>138</v>
      </c>
      <c r="B2" s="78" t="s">
        <v>139</v>
      </c>
      <c r="C2" s="79" t="s">
        <v>140</v>
      </c>
      <c r="D2" s="78" t="s">
        <v>141</v>
      </c>
      <c r="E2" s="79" t="s">
        <v>142</v>
      </c>
      <c r="F2" s="78" t="s">
        <v>143</v>
      </c>
      <c r="G2" s="79" t="s">
        <v>144</v>
      </c>
      <c r="I2" s="78" t="s">
        <v>145</v>
      </c>
      <c r="J2" s="76" t="s">
        <v>146</v>
      </c>
      <c r="K2" s="61"/>
      <c r="L2" s="61"/>
      <c r="M2" s="61"/>
      <c r="N2" s="79" t="s">
        <v>147</v>
      </c>
      <c r="O2" s="78" t="s">
        <v>148</v>
      </c>
      <c r="P2" s="79" t="s">
        <v>85</v>
      </c>
      <c r="Q2" s="78" t="s">
        <v>87</v>
      </c>
      <c r="R2" s="79" t="s">
        <v>83</v>
      </c>
      <c r="S2" s="75" t="s">
        <v>149</v>
      </c>
      <c r="T2" s="61"/>
      <c r="U2" s="61"/>
      <c r="V2" s="61"/>
      <c r="W2" s="76" t="s">
        <v>150</v>
      </c>
      <c r="X2" s="61"/>
      <c r="Y2" s="75" t="s">
        <v>151</v>
      </c>
      <c r="Z2" s="61"/>
      <c r="AA2" s="61"/>
      <c r="AB2" s="76" t="s">
        <v>152</v>
      </c>
      <c r="AC2" s="61"/>
      <c r="AD2" s="75" t="s">
        <v>153</v>
      </c>
      <c r="AE2" s="61"/>
      <c r="AG2" s="79" t="s">
        <v>145</v>
      </c>
      <c r="AH2" s="75" t="s">
        <v>146</v>
      </c>
      <c r="AI2" s="61"/>
      <c r="AJ2" s="61"/>
      <c r="AK2" s="61"/>
      <c r="AL2" s="78" t="s">
        <v>154</v>
      </c>
      <c r="AM2" s="79" t="s">
        <v>148</v>
      </c>
      <c r="AN2" s="78" t="s">
        <v>85</v>
      </c>
      <c r="AO2" s="79" t="s">
        <v>87</v>
      </c>
      <c r="AP2" s="78" t="s">
        <v>83</v>
      </c>
      <c r="AQ2" s="76" t="s">
        <v>149</v>
      </c>
      <c r="AR2" s="61"/>
      <c r="AS2" s="61"/>
      <c r="AT2" s="61"/>
      <c r="AU2" s="75" t="s">
        <v>150</v>
      </c>
      <c r="AV2" s="61"/>
      <c r="AW2" s="76" t="s">
        <v>151</v>
      </c>
      <c r="AX2" s="61"/>
      <c r="AY2" s="61"/>
      <c r="AZ2" s="75" t="s">
        <v>152</v>
      </c>
      <c r="BA2" s="61"/>
      <c r="BB2" s="76" t="s">
        <v>153</v>
      </c>
      <c r="BC2" s="61"/>
      <c r="BE2" s="78" t="s">
        <v>155</v>
      </c>
      <c r="BF2" s="79" t="s">
        <v>156</v>
      </c>
      <c r="BG2" s="78" t="s">
        <v>157</v>
      </c>
      <c r="BH2" s="79" t="s">
        <v>157</v>
      </c>
      <c r="BJ2" s="75" t="s">
        <v>6</v>
      </c>
      <c r="BK2" s="61"/>
      <c r="BL2" s="76" t="s">
        <v>7</v>
      </c>
      <c r="BM2" s="61"/>
      <c r="BN2" s="61"/>
      <c r="BP2" s="75" t="s">
        <v>8</v>
      </c>
      <c r="BQ2" s="61"/>
      <c r="BR2" s="76" t="s">
        <v>9</v>
      </c>
      <c r="BS2" s="61"/>
      <c r="BT2" s="61"/>
      <c r="BV2" s="72" t="s">
        <v>158</v>
      </c>
      <c r="BW2" s="73" t="s">
        <v>159</v>
      </c>
      <c r="BX2" s="72" t="s">
        <v>160</v>
      </c>
      <c r="BY2" s="71" t="s">
        <v>161</v>
      </c>
      <c r="BZ2" s="61"/>
      <c r="CA2" s="61"/>
      <c r="CB2" s="61"/>
      <c r="CC2" s="74" t="s">
        <v>162</v>
      </c>
      <c r="CD2" s="61"/>
      <c r="CE2" s="71" t="s">
        <v>163</v>
      </c>
      <c r="CF2" s="61"/>
      <c r="CG2" s="61"/>
    </row>
    <row r="3" spans="1:88" ht="30.75" customHeight="1" thickBot="1" x14ac:dyDescent="0.3">
      <c r="A3" s="63"/>
      <c r="B3" s="63"/>
      <c r="C3" s="63"/>
      <c r="D3" s="63"/>
      <c r="E3" s="63"/>
      <c r="F3" s="63"/>
      <c r="G3" s="63"/>
      <c r="I3" s="63"/>
      <c r="J3" s="59" t="s">
        <v>26</v>
      </c>
      <c r="K3" s="59" t="s">
        <v>24</v>
      </c>
      <c r="L3" s="59" t="s">
        <v>164</v>
      </c>
      <c r="M3" s="59" t="s">
        <v>165</v>
      </c>
      <c r="N3" s="63"/>
      <c r="O3" s="63"/>
      <c r="P3" s="63"/>
      <c r="Q3" s="63"/>
      <c r="R3" s="63"/>
      <c r="S3" s="58" t="s">
        <v>26</v>
      </c>
      <c r="T3" s="58" t="s">
        <v>164</v>
      </c>
      <c r="U3" s="58" t="s">
        <v>166</v>
      </c>
      <c r="V3" s="58" t="s">
        <v>25</v>
      </c>
      <c r="W3" s="59" t="s">
        <v>10</v>
      </c>
      <c r="X3" s="59" t="s">
        <v>11</v>
      </c>
      <c r="Y3" s="58" t="s">
        <v>12</v>
      </c>
      <c r="Z3" s="58" t="s">
        <v>13</v>
      </c>
      <c r="AA3" s="58" t="s">
        <v>14</v>
      </c>
      <c r="AB3" s="59" t="s">
        <v>167</v>
      </c>
      <c r="AC3" s="59" t="s">
        <v>168</v>
      </c>
      <c r="AD3" s="58" t="s">
        <v>167</v>
      </c>
      <c r="AE3" s="58" t="s">
        <v>168</v>
      </c>
      <c r="AG3" s="63"/>
      <c r="AH3" s="58" t="s">
        <v>26</v>
      </c>
      <c r="AI3" s="58" t="s">
        <v>24</v>
      </c>
      <c r="AJ3" s="58" t="s">
        <v>164</v>
      </c>
      <c r="AK3" s="58" t="s">
        <v>165</v>
      </c>
      <c r="AL3" s="63"/>
      <c r="AM3" s="63"/>
      <c r="AN3" s="63"/>
      <c r="AO3" s="63"/>
      <c r="AP3" s="63"/>
      <c r="AQ3" s="59" t="s">
        <v>26</v>
      </c>
      <c r="AR3" s="59" t="s">
        <v>164</v>
      </c>
      <c r="AS3" s="59" t="s">
        <v>166</v>
      </c>
      <c r="AT3" s="59" t="s">
        <v>25</v>
      </c>
      <c r="AU3" s="58" t="s">
        <v>10</v>
      </c>
      <c r="AV3" s="58" t="s">
        <v>11</v>
      </c>
      <c r="AW3" s="59" t="s">
        <v>12</v>
      </c>
      <c r="AX3" s="59" t="s">
        <v>13</v>
      </c>
      <c r="AY3" s="59" t="s">
        <v>14</v>
      </c>
      <c r="AZ3" s="58" t="s">
        <v>167</v>
      </c>
      <c r="BA3" s="58" t="s">
        <v>168</v>
      </c>
      <c r="BB3" s="59" t="s">
        <v>167</v>
      </c>
      <c r="BC3" s="59" t="s">
        <v>168</v>
      </c>
      <c r="BE3" s="63"/>
      <c r="BF3" s="63"/>
      <c r="BG3" s="63"/>
      <c r="BH3" s="63"/>
      <c r="BJ3" s="58" t="s">
        <v>10</v>
      </c>
      <c r="BK3" s="58" t="s">
        <v>11</v>
      </c>
      <c r="BL3" s="59" t="s">
        <v>12</v>
      </c>
      <c r="BM3" s="59" t="s">
        <v>13</v>
      </c>
      <c r="BN3" s="59" t="s">
        <v>14</v>
      </c>
      <c r="BP3" s="58" t="s">
        <v>10</v>
      </c>
      <c r="BQ3" s="58" t="s">
        <v>11</v>
      </c>
      <c r="BR3" s="59" t="s">
        <v>12</v>
      </c>
      <c r="BS3" s="59" t="s">
        <v>13</v>
      </c>
      <c r="BT3" s="59" t="s">
        <v>14</v>
      </c>
      <c r="BV3" s="63"/>
      <c r="BW3" s="63"/>
      <c r="BX3" s="63"/>
      <c r="BY3" s="57" t="s">
        <v>26</v>
      </c>
      <c r="BZ3" s="57" t="s">
        <v>164</v>
      </c>
      <c r="CA3" s="57" t="s">
        <v>166</v>
      </c>
      <c r="CB3" s="57" t="s">
        <v>25</v>
      </c>
      <c r="CC3" s="56" t="s">
        <v>10</v>
      </c>
      <c r="CD3" s="56" t="s">
        <v>11</v>
      </c>
      <c r="CE3" s="57" t="s">
        <v>12</v>
      </c>
      <c r="CF3" s="57" t="s">
        <v>13</v>
      </c>
      <c r="CG3" s="57" t="s">
        <v>14</v>
      </c>
    </row>
    <row r="4" spans="1:88" ht="123" hidden="1" customHeight="1" thickBot="1" x14ac:dyDescent="0.3">
      <c r="A4" s="8" t="s">
        <v>169</v>
      </c>
      <c r="B4" s="9" t="s">
        <v>170</v>
      </c>
      <c r="C4" s="8" t="s">
        <v>171</v>
      </c>
      <c r="D4" s="9" t="s">
        <v>172</v>
      </c>
      <c r="E4" s="8" t="s">
        <v>173</v>
      </c>
      <c r="F4" s="9" t="s">
        <v>174</v>
      </c>
      <c r="G4" s="8" t="s">
        <v>175</v>
      </c>
      <c r="I4" s="9" t="s">
        <v>176</v>
      </c>
      <c r="J4" s="8" t="s">
        <v>177</v>
      </c>
      <c r="K4" s="8" t="s">
        <v>178</v>
      </c>
      <c r="L4" s="8" t="s">
        <v>179</v>
      </c>
      <c r="M4" s="8" t="s">
        <v>180</v>
      </c>
      <c r="N4" s="8" t="s">
        <v>181</v>
      </c>
      <c r="O4" s="9" t="s">
        <v>182</v>
      </c>
      <c r="P4" s="8" t="s">
        <v>183</v>
      </c>
      <c r="Q4" s="9" t="s">
        <v>184</v>
      </c>
      <c r="R4" s="8" t="s">
        <v>185</v>
      </c>
      <c r="S4" s="9" t="s">
        <v>186</v>
      </c>
      <c r="T4" s="9" t="s">
        <v>187</v>
      </c>
      <c r="U4" s="9" t="s">
        <v>188</v>
      </c>
      <c r="V4" s="9" t="s">
        <v>189</v>
      </c>
      <c r="W4" s="8" t="s">
        <v>190</v>
      </c>
      <c r="X4" s="8" t="s">
        <v>191</v>
      </c>
      <c r="Y4" s="9" t="s">
        <v>192</v>
      </c>
      <c r="Z4" s="9" t="s">
        <v>193</v>
      </c>
      <c r="AA4" s="9" t="s">
        <v>194</v>
      </c>
      <c r="AB4" s="8" t="s">
        <v>195</v>
      </c>
      <c r="AC4" s="8" t="s">
        <v>196</v>
      </c>
      <c r="AD4" s="9" t="s">
        <v>197</v>
      </c>
      <c r="AE4" s="9" t="s">
        <v>198</v>
      </c>
      <c r="AG4" s="8" t="s">
        <v>199</v>
      </c>
      <c r="AH4" s="9" t="s">
        <v>200</v>
      </c>
      <c r="AI4" s="9" t="s">
        <v>201</v>
      </c>
      <c r="AJ4" s="9" t="s">
        <v>202</v>
      </c>
      <c r="AK4" s="9" t="s">
        <v>203</v>
      </c>
      <c r="AL4" s="9" t="s">
        <v>204</v>
      </c>
      <c r="AM4" s="8" t="s">
        <v>205</v>
      </c>
      <c r="AN4" s="9" t="s">
        <v>206</v>
      </c>
      <c r="AO4" s="8" t="s">
        <v>207</v>
      </c>
      <c r="AP4" s="9" t="s">
        <v>208</v>
      </c>
      <c r="AQ4" s="8" t="s">
        <v>209</v>
      </c>
      <c r="AR4" s="8" t="s">
        <v>210</v>
      </c>
      <c r="AS4" s="8" t="s">
        <v>211</v>
      </c>
      <c r="AT4" s="8" t="s">
        <v>212</v>
      </c>
      <c r="AU4" s="9" t="s">
        <v>213</v>
      </c>
      <c r="AV4" s="9" t="s">
        <v>214</v>
      </c>
      <c r="AW4" s="8" t="s">
        <v>215</v>
      </c>
      <c r="AX4" s="8" t="s">
        <v>216</v>
      </c>
      <c r="AY4" s="8" t="s">
        <v>217</v>
      </c>
      <c r="AZ4" s="9" t="s">
        <v>218</v>
      </c>
      <c r="BA4" s="9" t="s">
        <v>219</v>
      </c>
      <c r="BB4" s="8" t="s">
        <v>220</v>
      </c>
      <c r="BC4" s="8" t="s">
        <v>221</v>
      </c>
      <c r="BE4" s="9" t="s">
        <v>222</v>
      </c>
      <c r="BF4" s="8" t="s">
        <v>223</v>
      </c>
      <c r="BG4" s="9" t="s">
        <v>224</v>
      </c>
      <c r="BH4" s="8" t="s">
        <v>225</v>
      </c>
      <c r="BJ4" s="9" t="s">
        <v>226</v>
      </c>
      <c r="BK4" s="9" t="s">
        <v>227</v>
      </c>
      <c r="BL4" s="8" t="s">
        <v>228</v>
      </c>
      <c r="BM4" s="8" t="s">
        <v>229</v>
      </c>
      <c r="BN4" s="8" t="s">
        <v>230</v>
      </c>
      <c r="BP4" s="9" t="s">
        <v>231</v>
      </c>
      <c r="BQ4" s="9" t="s">
        <v>232</v>
      </c>
      <c r="BR4" s="8" t="s">
        <v>233</v>
      </c>
      <c r="BS4" s="8" t="s">
        <v>234</v>
      </c>
      <c r="BT4" s="8" t="s">
        <v>235</v>
      </c>
    </row>
    <row r="5" spans="1:88" collapsed="1" x14ac:dyDescent="0.25">
      <c r="A5" s="10" t="s">
        <v>236</v>
      </c>
      <c r="B5" s="10" t="s">
        <v>50</v>
      </c>
      <c r="C5" s="11" t="s">
        <v>237</v>
      </c>
      <c r="D5" s="10">
        <v>24964341</v>
      </c>
      <c r="E5" s="11">
        <v>10</v>
      </c>
      <c r="F5" s="11">
        <v>32</v>
      </c>
      <c r="G5" s="11">
        <v>30</v>
      </c>
      <c r="I5" s="12">
        <f t="shared" ref="I5:I39" si="0">IF(OR(ISBLANK(S5),ISBLANK(G5)),"·",S5*G5/F5/1000000)</f>
        <v>1.0443150000000001</v>
      </c>
      <c r="J5" s="13">
        <f t="shared" ref="J5:J39" si="1">IF(ISBLANK(S5),"·",S5/D5)</f>
        <v>4.4621085731844472E-2</v>
      </c>
      <c r="K5" s="13">
        <f t="shared" ref="K5:K39" si="2">IF(N5="","·",N5/D5)</f>
        <v>3.8707691102280652E-2</v>
      </c>
      <c r="L5" s="13">
        <f t="shared" ref="L5:L39" si="3">IF(T5="","·",T5/D5)</f>
        <v>2.4335511199754883E-2</v>
      </c>
      <c r="M5" s="13">
        <f t="shared" ref="M5:M39" si="4">IF(ISBLANK(V5),"·",V5/D5)</f>
        <v>5.9133946295638245E-3</v>
      </c>
      <c r="N5" s="10">
        <f t="shared" ref="N5:N39" si="5">IF(OR(ISBLANK(T5),ISBLANK(U5)),"",T5+U5)</f>
        <v>966312</v>
      </c>
      <c r="O5" s="13">
        <f t="shared" ref="O5:O39" si="6">IF(ISBLANK(S5),"·",S5/P5)</f>
        <v>4.7236287321514282E-2</v>
      </c>
      <c r="P5" s="14">
        <v>23582209</v>
      </c>
      <c r="Q5" s="14">
        <v>736944.03125</v>
      </c>
      <c r="R5" s="14">
        <v>16984.9375</v>
      </c>
      <c r="S5" s="15">
        <v>1113936</v>
      </c>
      <c r="T5" s="15">
        <v>607520</v>
      </c>
      <c r="U5" s="15">
        <v>358792</v>
      </c>
      <c r="V5" s="15">
        <v>147624</v>
      </c>
      <c r="W5" s="16">
        <v>66.845706000000007</v>
      </c>
      <c r="X5" s="16">
        <v>68.619974999999997</v>
      </c>
      <c r="Y5" s="16">
        <v>31.713699999999999</v>
      </c>
      <c r="Z5" s="16">
        <v>44.621000000000002</v>
      </c>
      <c r="AA5" s="16">
        <v>44.121777999999999</v>
      </c>
      <c r="AB5" s="17">
        <v>6719.55</v>
      </c>
      <c r="AC5" s="17">
        <v>2861.55</v>
      </c>
      <c r="AD5" s="17">
        <v>10.326000000000001</v>
      </c>
      <c r="AE5" s="17">
        <v>19.027000000000001</v>
      </c>
      <c r="AG5" s="12">
        <f t="shared" ref="AG5:AG39" si="7">IF(OR(ISBLANK(AQ5),ISBLANK(G5)),"·",AQ5*G5/F5/1000000)</f>
        <v>1.0443150000000001</v>
      </c>
      <c r="AH5" s="13">
        <f t="shared" ref="AH5:AH39" si="8">IF(ISBLANK(AQ5),"·",AQ5/D5)</f>
        <v>4.4621085731844472E-2</v>
      </c>
      <c r="AI5" s="13">
        <f t="shared" ref="AI5:AI39" si="9">IF(AL5="","·",AL5/D5)</f>
        <v>3.8707691102280652E-2</v>
      </c>
      <c r="AJ5" s="13">
        <f t="shared" ref="AJ5:AJ39" si="10">IF(AR5="","·",AR5/D5)</f>
        <v>2.4335511199754883E-2</v>
      </c>
      <c r="AK5" s="13">
        <f t="shared" ref="AK5:AK39" si="11">IF(ISBLANK(AT5),"·",AT5/D5)</f>
        <v>5.9133946295638245E-3</v>
      </c>
      <c r="AL5" s="10">
        <f t="shared" ref="AL5:AL39" si="12">IF(OR(ISBLANK(AR5),ISBLANK(AS5)),"",AR5+AS5)</f>
        <v>966312</v>
      </c>
      <c r="AM5" s="13">
        <f t="shared" ref="AM5:AM39" si="13">IF(ISBLANK(AQ5),"·",AQ5/AN5)</f>
        <v>4.7236287321514282E-2</v>
      </c>
      <c r="AN5" s="14">
        <v>23582209</v>
      </c>
      <c r="AO5" s="14">
        <v>736944.03125</v>
      </c>
      <c r="AP5" s="14">
        <v>16984.9375</v>
      </c>
      <c r="AQ5" s="15">
        <v>1113936</v>
      </c>
      <c r="AR5" s="15">
        <v>607520</v>
      </c>
      <c r="AS5" s="15">
        <v>358792</v>
      </c>
      <c r="AT5" s="15">
        <v>147624</v>
      </c>
      <c r="AU5" s="16">
        <v>66.845706250000006</v>
      </c>
      <c r="AV5" s="16">
        <v>68.619975000000011</v>
      </c>
      <c r="AW5" s="16">
        <v>31.71370000000001</v>
      </c>
      <c r="AX5" s="16">
        <v>44.621000000000002</v>
      </c>
      <c r="AY5" s="16">
        <v>44.121778124999999</v>
      </c>
      <c r="AZ5" s="17">
        <v>3567.76</v>
      </c>
      <c r="BA5" s="17">
        <v>4125.79</v>
      </c>
      <c r="BB5" s="17">
        <v>12.055999999999999</v>
      </c>
      <c r="BC5" s="17">
        <v>6.7759999999999998</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-2.8147198016803543E-8</v>
      </c>
      <c r="BK5" s="18">
        <f>IF( OR(ISBLANK(N5:N9),ISBLANK(AL5:AL9), ISBLANK(X5:X9),ISBLANK(AV5:AV9)), "·", bdRateExtend( N5:N9,X5:X9, AL5:AL9,AV5:AV9))</f>
        <v>-2.3710082786010389E-9</v>
      </c>
      <c r="BL5" s="18">
        <f>IF( OR(ISBLANK(V5:V9),ISBLANK(AT5:AT9), ISBLANK(Y5:Y9),ISBLANK(AW5:AW9)), "·", bdRateExtend( V5:V9,Y5:Y9, AT5:AT9,AW5:AW9))</f>
        <v>3.5700192135834641E-8</v>
      </c>
      <c r="BM5" s="18">
        <f>IF( OR(ISBLANK(V5:V9),ISBLANK(AT5:AT9), ISBLANK(Z5:Z9),ISBLANK(AX5:AX9)), "·", bdRateExtend( V5:V9,Z5:Z9, AT5:AT9,AX5:AX9))</f>
        <v>5.840336561035997E-7</v>
      </c>
      <c r="BN5" s="18">
        <f>IF( OR(ISBLANK(V5:V9),ISBLANK(AT5:AT9), ISBLANK(AA5:AA9),ISBLANK(AY5:AY9)), "·", bdRateExtend( V5:V9,AA5:AA9, AT5:AT9,AY5:AY9))</f>
        <v>6.4709382296967988E-9</v>
      </c>
      <c r="BP5" s="18">
        <f>IF( OR(ISBLANK(S5:S9),ISBLANK(AQ5:AQ9), ISBLANK(W5:W9),ISBLANK(AU5:AU9)), "·", bdRateExtend( S5:S9,W5:W9, AQ5:AQ9,AU5:AU9))</f>
        <v>-3.950761384707846E-8</v>
      </c>
      <c r="BQ5" s="18">
        <f>IF( OR(ISBLANK(S5:S9),ISBLANK(AQ5:AQ9), ISBLANK(X5:X9),ISBLANK(AV5:AV9)), "·", bdRateExtend( S5:S9,X5:X9, AQ5:AQ9,AV5:AV9))</f>
        <v>-5.7816735843374545E-9</v>
      </c>
      <c r="BR5" s="18">
        <f>IF( OR(ISBLANK(S5:S9),ISBLANK(AQ5:AQ9), ISBLANK(Y5:Y9),ISBLANK(AW5:AW9)), "·", bdRateExtend( S5:S9,Y5:Y9, AQ5:AQ9,AW5:AW9))</f>
        <v>3.2885737688559402E-8</v>
      </c>
      <c r="BS5" s="18">
        <f>IF( OR(ISBLANK(S5:S9),ISBLANK(AQ5:AQ9), ISBLANK(Z5:Z9),ISBLANK(AX5:AX9)), "·", bdRateExtend( S5:S9,Z5:Z9, AQ5:AQ9,AX5:AX9))</f>
        <v>3.129296068937748E-7</v>
      </c>
      <c r="BT5" s="18">
        <f>IF( OR(ISBLANK(S5:S9),ISBLANK(AQ5:AQ9), ISBLANK(AA5:AA9),ISBLANK(AY5:AY9)), "·", bdRateExtend( S5:S9,AA5:AA9, AQ5:AQ9,AY5:AY9))</f>
        <v>8.3265452310854471E-9</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2.4999999936881068E-7</v>
      </c>
      <c r="CD5">
        <f t="shared" ref="CD5:CD39" si="25">AV5-X5</f>
        <v>0</v>
      </c>
      <c r="CE5">
        <f t="shared" ref="CE5:CE39" si="26">AW5-Y5</f>
        <v>0</v>
      </c>
      <c r="CF5">
        <f t="shared" ref="CF5:CF39" si="27">AX5-Z5</f>
        <v>0</v>
      </c>
      <c r="CG5">
        <f t="shared" ref="CG5:CG39" si="28">AY5-AA5</f>
        <v>1.2499999968440534E-7</v>
      </c>
      <c r="CJ5" t="s">
        <v>238</v>
      </c>
    </row>
    <row r="6" spans="1:88" hidden="1" outlineLevel="1" x14ac:dyDescent="0.25">
      <c r="A6" s="20"/>
      <c r="B6" s="20" t="s">
        <v>50</v>
      </c>
      <c r="C6" s="21" t="s">
        <v>239</v>
      </c>
      <c r="D6" s="20">
        <v>24964341</v>
      </c>
      <c r="E6" s="21">
        <v>10</v>
      </c>
      <c r="F6" s="21">
        <v>32</v>
      </c>
      <c r="G6" s="21">
        <v>30</v>
      </c>
      <c r="I6" s="22">
        <f t="shared" si="0"/>
        <v>1.3556325</v>
      </c>
      <c r="J6" s="23">
        <f t="shared" si="1"/>
        <v>5.7922938963219581E-2</v>
      </c>
      <c r="K6" s="23">
        <f t="shared" si="2"/>
        <v>4.7200124369395531E-2</v>
      </c>
      <c r="L6" s="23">
        <f t="shared" si="3"/>
        <v>3.2827944466869763E-2</v>
      </c>
      <c r="M6" s="23">
        <f t="shared" si="4"/>
        <v>1.0722814593824046E-2</v>
      </c>
      <c r="N6" s="20">
        <f t="shared" si="5"/>
        <v>1178320</v>
      </c>
      <c r="O6" s="23">
        <f t="shared" si="6"/>
        <v>5.835971916619033E-2</v>
      </c>
      <c r="P6" s="24">
        <v>24777501</v>
      </c>
      <c r="Q6" s="24">
        <v>774296.90625</v>
      </c>
      <c r="R6" s="24">
        <v>19924.3125</v>
      </c>
      <c r="S6" s="25">
        <v>1446008</v>
      </c>
      <c r="T6" s="25">
        <v>819528</v>
      </c>
      <c r="U6" s="25">
        <v>358792</v>
      </c>
      <c r="V6" s="25">
        <v>267688</v>
      </c>
      <c r="W6" s="26">
        <v>68.552897000000002</v>
      </c>
      <c r="X6" s="26">
        <v>70.622062</v>
      </c>
      <c r="Y6" s="26">
        <v>33.784087</v>
      </c>
      <c r="Z6" s="26">
        <v>45.602719</v>
      </c>
      <c r="AA6" s="26">
        <v>45.241318999999997</v>
      </c>
      <c r="AB6" s="27">
        <v>3218.51</v>
      </c>
      <c r="AC6" s="27">
        <v>2286.9899999999998</v>
      </c>
      <c r="AD6" s="27">
        <v>8.9529999999999994</v>
      </c>
      <c r="AE6" s="27">
        <v>12.72</v>
      </c>
      <c r="AG6" s="22">
        <f t="shared" si="7"/>
        <v>1.3556325</v>
      </c>
      <c r="AH6" s="23">
        <f t="shared" si="8"/>
        <v>5.7922938963219581E-2</v>
      </c>
      <c r="AI6" s="23">
        <f t="shared" si="9"/>
        <v>4.7200124369395531E-2</v>
      </c>
      <c r="AJ6" s="23">
        <f t="shared" si="10"/>
        <v>3.2827944466869763E-2</v>
      </c>
      <c r="AK6" s="23">
        <f t="shared" si="11"/>
        <v>1.0722814593824046E-2</v>
      </c>
      <c r="AL6" s="20">
        <f t="shared" si="12"/>
        <v>1178320</v>
      </c>
      <c r="AM6" s="23">
        <f t="shared" si="13"/>
        <v>5.835971916619033E-2</v>
      </c>
      <c r="AN6" s="24">
        <v>24777501</v>
      </c>
      <c r="AO6" s="24">
        <v>774296.90625</v>
      </c>
      <c r="AP6" s="24">
        <v>19924.3125</v>
      </c>
      <c r="AQ6" s="25">
        <v>1446008</v>
      </c>
      <c r="AR6" s="25">
        <v>819528</v>
      </c>
      <c r="AS6" s="25">
        <v>358792</v>
      </c>
      <c r="AT6" s="25">
        <v>267688</v>
      </c>
      <c r="AU6" s="26">
        <v>68.552896875000002</v>
      </c>
      <c r="AV6" s="26">
        <v>70.622062499999984</v>
      </c>
      <c r="AW6" s="26">
        <v>33.784087499999991</v>
      </c>
      <c r="AX6" s="26">
        <v>45.602718750000008</v>
      </c>
      <c r="AY6" s="26">
        <v>45.241318749999976</v>
      </c>
      <c r="AZ6" s="27">
        <v>3367.32</v>
      </c>
      <c r="BA6" s="27">
        <v>4458</v>
      </c>
      <c r="BB6" s="27">
        <v>13.236000000000001</v>
      </c>
      <c r="BC6" s="27">
        <v>8.6560000000000006</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-1.2499999968440534E-7</v>
      </c>
      <c r="CD6">
        <f t="shared" si="25"/>
        <v>4.9999998452676664E-7</v>
      </c>
      <c r="CE6">
        <f t="shared" si="26"/>
        <v>4.99999991632194E-7</v>
      </c>
      <c r="CF6">
        <f t="shared" si="27"/>
        <v>-2.4999999226338332E-7</v>
      </c>
      <c r="CG6">
        <f t="shared" si="28"/>
        <v>-2.5000002068509275E-7</v>
      </c>
      <c r="CJ6" t="s">
        <v>238</v>
      </c>
    </row>
    <row r="7" spans="1:88" hidden="1" outlineLevel="1" x14ac:dyDescent="0.25">
      <c r="A7" s="10"/>
      <c r="B7" s="10" t="s">
        <v>50</v>
      </c>
      <c r="C7" s="11" t="s">
        <v>240</v>
      </c>
      <c r="D7" s="10">
        <v>24964341</v>
      </c>
      <c r="E7" s="11">
        <v>10</v>
      </c>
      <c r="F7" s="11">
        <v>32</v>
      </c>
      <c r="G7" s="11">
        <v>30</v>
      </c>
      <c r="I7" s="12">
        <f t="shared" si="0"/>
        <v>1.8799950000000001</v>
      </c>
      <c r="J7" s="13">
        <f t="shared" si="1"/>
        <v>8.0327696212770042E-2</v>
      </c>
      <c r="K7" s="13">
        <f t="shared" si="2"/>
        <v>5.8634353696738882E-2</v>
      </c>
      <c r="L7" s="13">
        <f t="shared" si="3"/>
        <v>4.4262173794213114E-2</v>
      </c>
      <c r="M7" s="13">
        <f t="shared" si="4"/>
        <v>2.1693342516031167E-2</v>
      </c>
      <c r="N7" s="10">
        <f t="shared" si="5"/>
        <v>1463768</v>
      </c>
      <c r="O7" s="13">
        <f t="shared" si="6"/>
        <v>8.0458666978230842E-2</v>
      </c>
      <c r="P7" s="14">
        <v>24923704</v>
      </c>
      <c r="Q7" s="14">
        <v>778865.75</v>
      </c>
      <c r="R7" s="14">
        <v>21104.875</v>
      </c>
      <c r="S7" s="15">
        <v>2005328</v>
      </c>
      <c r="T7" s="15">
        <v>1104976</v>
      </c>
      <c r="U7" s="15">
        <v>358792</v>
      </c>
      <c r="V7" s="15">
        <v>541560</v>
      </c>
      <c r="W7" s="16">
        <v>69.837434000000002</v>
      </c>
      <c r="X7" s="16">
        <v>72.274171999999993</v>
      </c>
      <c r="Y7" s="16">
        <v>36.196365999999998</v>
      </c>
      <c r="Z7" s="16">
        <v>46.918016000000001</v>
      </c>
      <c r="AA7" s="16">
        <v>46.584558999999999</v>
      </c>
      <c r="AB7" s="17">
        <v>6601.64</v>
      </c>
      <c r="AC7" s="17">
        <v>3244.24</v>
      </c>
      <c r="AD7" s="17">
        <v>10.551</v>
      </c>
      <c r="AE7" s="17">
        <v>20.195</v>
      </c>
      <c r="AG7" s="12">
        <f t="shared" si="7"/>
        <v>1.8799950000000001</v>
      </c>
      <c r="AH7" s="13">
        <f t="shared" si="8"/>
        <v>8.0327696212770042E-2</v>
      </c>
      <c r="AI7" s="13">
        <f t="shared" si="9"/>
        <v>5.8634353696738882E-2</v>
      </c>
      <c r="AJ7" s="13">
        <f t="shared" si="10"/>
        <v>4.4262173794213114E-2</v>
      </c>
      <c r="AK7" s="13">
        <f t="shared" si="11"/>
        <v>2.1693342516031167E-2</v>
      </c>
      <c r="AL7" s="10">
        <f t="shared" si="12"/>
        <v>1463768</v>
      </c>
      <c r="AM7" s="13">
        <f t="shared" si="13"/>
        <v>8.0458666978230842E-2</v>
      </c>
      <c r="AN7" s="14">
        <v>24923704</v>
      </c>
      <c r="AO7" s="14">
        <v>778865.75</v>
      </c>
      <c r="AP7" s="14">
        <v>21104.875</v>
      </c>
      <c r="AQ7" s="15">
        <v>2005328</v>
      </c>
      <c r="AR7" s="15">
        <v>1104976</v>
      </c>
      <c r="AS7" s="15">
        <v>358792</v>
      </c>
      <c r="AT7" s="15">
        <v>541560</v>
      </c>
      <c r="AU7" s="16">
        <v>69.837434374999987</v>
      </c>
      <c r="AV7" s="16">
        <v>72.274171875000022</v>
      </c>
      <c r="AW7" s="16">
        <v>36.196365624999991</v>
      </c>
      <c r="AX7" s="16">
        <v>46.918012500000003</v>
      </c>
      <c r="AY7" s="16">
        <v>46.584559374999998</v>
      </c>
      <c r="AZ7" s="17">
        <v>3585.4</v>
      </c>
      <c r="BA7" s="17">
        <v>4838.38</v>
      </c>
      <c r="BB7" s="17">
        <v>13.372</v>
      </c>
      <c r="BC7" s="17">
        <v>10.06</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3.749999848423613E-7</v>
      </c>
      <c r="CD7">
        <f t="shared" si="25"/>
        <v>-1.2499997126269591E-7</v>
      </c>
      <c r="CE7">
        <f t="shared" si="26"/>
        <v>-3.7500000615864337E-7</v>
      </c>
      <c r="CF7">
        <f t="shared" si="27"/>
        <v>-3.4999999982687768E-6</v>
      </c>
      <c r="CG7">
        <f t="shared" si="28"/>
        <v>3.7499999905321602E-7</v>
      </c>
      <c r="CJ7" t="s">
        <v>238</v>
      </c>
    </row>
    <row r="8" spans="1:88" hidden="1" outlineLevel="1" x14ac:dyDescent="0.25">
      <c r="A8" s="20"/>
      <c r="B8" s="20" t="s">
        <v>50</v>
      </c>
      <c r="C8" s="21" t="s">
        <v>241</v>
      </c>
      <c r="D8" s="20">
        <v>24964341</v>
      </c>
      <c r="E8" s="21">
        <v>10</v>
      </c>
      <c r="F8" s="21">
        <v>32</v>
      </c>
      <c r="G8" s="21">
        <v>30</v>
      </c>
      <c r="I8" s="22">
        <f t="shared" si="0"/>
        <v>3.1113675000000001</v>
      </c>
      <c r="J8" s="23">
        <f t="shared" si="1"/>
        <v>0.13294130215574287</v>
      </c>
      <c r="K8" s="23">
        <f t="shared" si="2"/>
        <v>8.4529209082667159E-2</v>
      </c>
      <c r="L8" s="23">
        <f t="shared" si="3"/>
        <v>7.0157029180141384E-2</v>
      </c>
      <c r="M8" s="23">
        <f t="shared" si="4"/>
        <v>4.8412093073075715E-2</v>
      </c>
      <c r="N8" s="20">
        <f t="shared" si="5"/>
        <v>2110216</v>
      </c>
      <c r="O8" s="23">
        <f t="shared" si="6"/>
        <v>0.12816560203511462</v>
      </c>
      <c r="P8" s="24">
        <v>25894561</v>
      </c>
      <c r="Q8" s="24">
        <v>809205.03125</v>
      </c>
      <c r="R8" s="24">
        <v>24362.65625</v>
      </c>
      <c r="S8" s="25">
        <v>3318792</v>
      </c>
      <c r="T8" s="25">
        <v>1751424</v>
      </c>
      <c r="U8" s="25">
        <v>358792</v>
      </c>
      <c r="V8" s="25">
        <v>1208576</v>
      </c>
      <c r="W8" s="26">
        <v>70.899381000000005</v>
      </c>
      <c r="X8" s="26">
        <v>73.460274999999996</v>
      </c>
      <c r="Y8" s="26">
        <v>38.677993999999998</v>
      </c>
      <c r="Z8" s="26">
        <v>48.119691000000003</v>
      </c>
      <c r="AA8" s="26">
        <v>48.028525000000002</v>
      </c>
      <c r="AB8" s="27">
        <v>3310.32</v>
      </c>
      <c r="AC8" s="27">
        <v>2696.16</v>
      </c>
      <c r="AD8" s="27">
        <v>9.1440000000000001</v>
      </c>
      <c r="AE8" s="27">
        <v>14.007999999999999</v>
      </c>
      <c r="AG8" s="22">
        <f t="shared" si="7"/>
        <v>3.1113675000000001</v>
      </c>
      <c r="AH8" s="23">
        <f t="shared" si="8"/>
        <v>0.13294130215574287</v>
      </c>
      <c r="AI8" s="23">
        <f t="shared" si="9"/>
        <v>8.4529209082667159E-2</v>
      </c>
      <c r="AJ8" s="23">
        <f t="shared" si="10"/>
        <v>7.0157029180141384E-2</v>
      </c>
      <c r="AK8" s="23">
        <f t="shared" si="11"/>
        <v>4.8412093073075715E-2</v>
      </c>
      <c r="AL8" s="20">
        <f t="shared" si="12"/>
        <v>2110216</v>
      </c>
      <c r="AM8" s="23">
        <f t="shared" si="13"/>
        <v>0.12816560203511462</v>
      </c>
      <c r="AN8" s="24">
        <v>25894561</v>
      </c>
      <c r="AO8" s="24">
        <v>809205.03125</v>
      </c>
      <c r="AP8" s="24">
        <v>24362.65625</v>
      </c>
      <c r="AQ8" s="25">
        <v>3318792</v>
      </c>
      <c r="AR8" s="25">
        <v>1751424</v>
      </c>
      <c r="AS8" s="25">
        <v>358792</v>
      </c>
      <c r="AT8" s="25">
        <v>1208576</v>
      </c>
      <c r="AU8" s="26">
        <v>70.899381250000005</v>
      </c>
      <c r="AV8" s="26">
        <v>73.460275000000024</v>
      </c>
      <c r="AW8" s="26">
        <v>38.677993749999999</v>
      </c>
      <c r="AX8" s="26">
        <v>48.11969062499999</v>
      </c>
      <c r="AY8" s="26">
        <v>48.028525000000009</v>
      </c>
      <c r="AZ8" s="27">
        <v>3581.6</v>
      </c>
      <c r="BA8" s="27">
        <v>5198.04</v>
      </c>
      <c r="BB8" s="27">
        <v>11.768000000000001</v>
      </c>
      <c r="BC8" s="27">
        <v>9.3040000000000003</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2.4999999936881068E-7</v>
      </c>
      <c r="CD8">
        <f t="shared" si="25"/>
        <v>0</v>
      </c>
      <c r="CE8">
        <f t="shared" si="26"/>
        <v>-2.4999999936881068E-7</v>
      </c>
      <c r="CF8">
        <f t="shared" si="27"/>
        <v>-3.7500001326407073E-7</v>
      </c>
      <c r="CG8">
        <f t="shared" si="28"/>
        <v>0</v>
      </c>
      <c r="CJ8" t="s">
        <v>238</v>
      </c>
    </row>
    <row r="9" spans="1:88" ht="15.75" hidden="1" customHeight="1" outlineLevel="1" thickBot="1" x14ac:dyDescent="0.3">
      <c r="A9" s="10"/>
      <c r="B9" s="30" t="s">
        <v>50</v>
      </c>
      <c r="C9" s="31" t="s">
        <v>242</v>
      </c>
      <c r="D9" s="30">
        <v>24964341</v>
      </c>
      <c r="E9" s="31">
        <v>10</v>
      </c>
      <c r="F9" s="31">
        <v>32</v>
      </c>
      <c r="G9" s="31">
        <v>30</v>
      </c>
      <c r="I9" s="32">
        <f t="shared" si="0"/>
        <v>6.3775424999999997</v>
      </c>
      <c r="J9" s="33">
        <f t="shared" si="1"/>
        <v>0.27249715904777938</v>
      </c>
      <c r="K9" s="33">
        <f t="shared" si="2"/>
        <v>0.14852993716116922</v>
      </c>
      <c r="L9" s="33">
        <f t="shared" si="3"/>
        <v>0.11588208957728946</v>
      </c>
      <c r="M9" s="33">
        <f t="shared" si="4"/>
        <v>0.12396722188661019</v>
      </c>
      <c r="N9" s="30">
        <f t="shared" si="5"/>
        <v>3707952</v>
      </c>
      <c r="O9" s="33">
        <f t="shared" si="6"/>
        <v>0.27316664015061864</v>
      </c>
      <c r="P9" s="34">
        <v>24903158</v>
      </c>
      <c r="Q9" s="34">
        <v>778223.6875</v>
      </c>
      <c r="R9" s="34">
        <v>10582.96875</v>
      </c>
      <c r="S9" s="35">
        <v>6802712</v>
      </c>
      <c r="T9" s="35">
        <v>2892920</v>
      </c>
      <c r="U9" s="35">
        <v>815032</v>
      </c>
      <c r="V9" s="35">
        <v>3094760</v>
      </c>
      <c r="W9" s="36">
        <v>71.932044000000005</v>
      </c>
      <c r="X9" s="36">
        <v>75.246166000000002</v>
      </c>
      <c r="Y9" s="36">
        <v>41.146813000000002</v>
      </c>
      <c r="Z9" s="36">
        <v>49.540605999999997</v>
      </c>
      <c r="AA9" s="36">
        <v>49.645291</v>
      </c>
      <c r="AB9" s="37">
        <v>3263.41</v>
      </c>
      <c r="AC9" s="37">
        <v>2981.87</v>
      </c>
      <c r="AD9" s="37">
        <v>8.9730000000000008</v>
      </c>
      <c r="AE9" s="37">
        <v>15.038</v>
      </c>
      <c r="AG9" s="32">
        <f t="shared" si="7"/>
        <v>6.3775424999999997</v>
      </c>
      <c r="AH9" s="33">
        <f t="shared" si="8"/>
        <v>0.27249715904777938</v>
      </c>
      <c r="AI9" s="33">
        <f t="shared" si="9"/>
        <v>0.14852993716116922</v>
      </c>
      <c r="AJ9" s="33">
        <f t="shared" si="10"/>
        <v>0.11588208957728946</v>
      </c>
      <c r="AK9" s="33">
        <f t="shared" si="11"/>
        <v>0.12396722188661019</v>
      </c>
      <c r="AL9" s="30">
        <f t="shared" si="12"/>
        <v>3707952</v>
      </c>
      <c r="AM9" s="33">
        <f t="shared" si="13"/>
        <v>0.27316664015061864</v>
      </c>
      <c r="AN9" s="34">
        <v>24903158</v>
      </c>
      <c r="AO9" s="34">
        <v>778223.6875</v>
      </c>
      <c r="AP9" s="34">
        <v>10582.96875</v>
      </c>
      <c r="AQ9" s="35">
        <v>6802712</v>
      </c>
      <c r="AR9" s="35">
        <v>2892920</v>
      </c>
      <c r="AS9" s="35">
        <v>815032</v>
      </c>
      <c r="AT9" s="35">
        <v>3094760</v>
      </c>
      <c r="AU9" s="36">
        <v>71.932043749999977</v>
      </c>
      <c r="AV9" s="36">
        <v>75.246165625000017</v>
      </c>
      <c r="AW9" s="36">
        <v>41.146812500000003</v>
      </c>
      <c r="AX9" s="36">
        <v>49.540606250000003</v>
      </c>
      <c r="AY9" s="36">
        <v>49.645290625000001</v>
      </c>
      <c r="AZ9" s="37">
        <v>3341.67</v>
      </c>
      <c r="BA9" s="37">
        <v>5680.66</v>
      </c>
      <c r="BB9" s="37">
        <v>13.204000000000001</v>
      </c>
      <c r="BC9" s="37">
        <v>13.084</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-2.5000002779052011E-7</v>
      </c>
      <c r="CD9">
        <f t="shared" si="25"/>
        <v>-3.749999848423613E-7</v>
      </c>
      <c r="CE9">
        <f t="shared" si="26"/>
        <v>-4.9999999873762135E-7</v>
      </c>
      <c r="CF9">
        <f t="shared" si="27"/>
        <v>2.5000000647423803E-7</v>
      </c>
      <c r="CG9">
        <f t="shared" si="28"/>
        <v>-3.7499999905321602E-7</v>
      </c>
      <c r="CJ9" t="s">
        <v>238</v>
      </c>
    </row>
    <row r="10" spans="1:88" collapsed="1" x14ac:dyDescent="0.25">
      <c r="A10" s="20"/>
      <c r="B10" s="20" t="s">
        <v>58</v>
      </c>
      <c r="C10" s="21" t="s">
        <v>237</v>
      </c>
      <c r="D10" s="20">
        <v>22654789</v>
      </c>
      <c r="E10" s="21">
        <v>10</v>
      </c>
      <c r="F10" s="21">
        <v>32</v>
      </c>
      <c r="G10" s="21">
        <v>30</v>
      </c>
      <c r="I10" s="22">
        <f t="shared" si="0"/>
        <v>1.9776</v>
      </c>
      <c r="J10" s="23">
        <f t="shared" si="1"/>
        <v>9.311232163760165E-2</v>
      </c>
      <c r="K10" s="23">
        <f t="shared" si="2"/>
        <v>6.9812700528793278E-2</v>
      </c>
      <c r="L10" s="23">
        <f t="shared" si="3"/>
        <v>3.9575914831958929E-2</v>
      </c>
      <c r="M10" s="23">
        <f t="shared" si="4"/>
        <v>2.3299621108808385E-2</v>
      </c>
      <c r="N10" s="20">
        <f t="shared" si="5"/>
        <v>1581592</v>
      </c>
      <c r="O10" s="23">
        <f t="shared" si="6"/>
        <v>0.10072504036994907</v>
      </c>
      <c r="P10" s="24">
        <v>20942558</v>
      </c>
      <c r="Q10" s="24">
        <v>654454.9375</v>
      </c>
      <c r="R10" s="24">
        <v>18943.59375</v>
      </c>
      <c r="S10" s="25">
        <v>2109440</v>
      </c>
      <c r="T10" s="25">
        <v>896584</v>
      </c>
      <c r="U10" s="25">
        <v>685008</v>
      </c>
      <c r="V10" s="25">
        <v>527848</v>
      </c>
      <c r="W10" s="26">
        <v>65.984049999999996</v>
      </c>
      <c r="X10" s="26">
        <v>67.859694000000005</v>
      </c>
      <c r="Y10" s="26">
        <v>31.013375</v>
      </c>
      <c r="Z10" s="26">
        <v>38.767166000000003</v>
      </c>
      <c r="AA10" s="26">
        <v>30.131440999999999</v>
      </c>
      <c r="AB10" s="27">
        <v>3251.39</v>
      </c>
      <c r="AC10" s="27">
        <v>2694.1</v>
      </c>
      <c r="AD10" s="27">
        <v>8.1999999999999993</v>
      </c>
      <c r="AE10" s="27">
        <v>14.061999999999999</v>
      </c>
      <c r="AG10" s="22">
        <f t="shared" si="7"/>
        <v>1.9776</v>
      </c>
      <c r="AH10" s="23">
        <f t="shared" si="8"/>
        <v>9.311232163760165E-2</v>
      </c>
      <c r="AI10" s="23">
        <f t="shared" si="9"/>
        <v>6.9812700528793278E-2</v>
      </c>
      <c r="AJ10" s="23">
        <f t="shared" si="10"/>
        <v>3.9575914831958929E-2</v>
      </c>
      <c r="AK10" s="23">
        <f t="shared" si="11"/>
        <v>2.3299621108808385E-2</v>
      </c>
      <c r="AL10" s="20">
        <f t="shared" si="12"/>
        <v>1581592</v>
      </c>
      <c r="AM10" s="23">
        <f t="shared" si="13"/>
        <v>0.10072504036994907</v>
      </c>
      <c r="AN10" s="24">
        <v>20942558</v>
      </c>
      <c r="AO10" s="24">
        <v>654454.9375</v>
      </c>
      <c r="AP10" s="24">
        <v>18943.59375</v>
      </c>
      <c r="AQ10" s="25">
        <v>2109440</v>
      </c>
      <c r="AR10" s="25">
        <v>896584</v>
      </c>
      <c r="AS10" s="25">
        <v>685008</v>
      </c>
      <c r="AT10" s="25">
        <v>527848</v>
      </c>
      <c r="AU10" s="26">
        <v>65.984046875000004</v>
      </c>
      <c r="AV10" s="26">
        <v>67.859693750000005</v>
      </c>
      <c r="AW10" s="26">
        <v>31.013375</v>
      </c>
      <c r="AX10" s="26">
        <v>38.767165624999997</v>
      </c>
      <c r="AY10" s="26">
        <v>30.131440625</v>
      </c>
      <c r="AZ10" s="27">
        <v>2976.05</v>
      </c>
      <c r="BA10" s="27">
        <v>4788.55</v>
      </c>
      <c r="BB10" s="27">
        <v>12.616</v>
      </c>
      <c r="BC10" s="27">
        <v>9.968</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7.7380445828723055E-8</v>
      </c>
      <c r="BK10" s="28">
        <f>IF( OR(ISBLANK(N10:N14),ISBLANK(AL10:AL14), ISBLANK(X10:X14),ISBLANK(AV10:AV14)), "·", bdRateExtend( N10:N14,X10:X14, AL10:AL14,AV10:AV14))</f>
        <v>-9.2743989932309034E-8</v>
      </c>
      <c r="BL10" s="28">
        <f>IF( OR(ISBLANK(V10:V14),ISBLANK(AT10:AT14), ISBLANK(Y10:Y14),ISBLANK(AW10:AW14)), "·", bdRateExtend( V10:V14,Y10:Y14, AT10:AT14,AW10:AW14))</f>
        <v>2.8407019403431377E-8</v>
      </c>
      <c r="BM10" s="28">
        <f>IF( OR(ISBLANK(V10:V14),ISBLANK(AT10:AT14), ISBLANK(Z10:Z14),ISBLANK(AX10:AX14)), "·", bdRateExtend( V10:V14,Z10:Z14, AT10:AT14,AX10:AX14))</f>
        <v>1.2621345502061843E-7</v>
      </c>
      <c r="BN10" s="28">
        <f>IF( OR(ISBLANK(V10:V14),ISBLANK(AT10:AT14), ISBLANK(AA10:AA14),ISBLANK(AY10:AY14)), "·", bdRateExtend( V10:V14,AA10:AA14, AT10:AT14,AY10:AY14))</f>
        <v>2.8288484887895038E-8</v>
      </c>
      <c r="BP10" s="28">
        <f>IF( OR(ISBLANK(S10:S14),ISBLANK(AQ10:AQ14), ISBLANK(W10:W14),ISBLANK(AU10:AU14)), "·", bdRateExtend( S10:S14,W10:W14, AQ10:AQ14,AU10:AU14))</f>
        <v>1.1329846794083664E-7</v>
      </c>
      <c r="BQ10" s="28">
        <f>IF( OR(ISBLANK(S10:S14),ISBLANK(AQ10:AQ14), ISBLANK(X10:X14),ISBLANK(AV10:AV14)), "·", bdRateExtend( S10:S14,X10:X14, AQ10:AQ14,AV10:AV14))</f>
        <v>-1.1242941089228964E-7</v>
      </c>
      <c r="BR10" s="28">
        <f>IF( OR(ISBLANK(S10:S14),ISBLANK(AQ10:AQ14), ISBLANK(Y10:Y14),ISBLANK(AW10:AW14)), "·", bdRateExtend( S10:S14,Y10:Y14, AQ10:AQ14,AW10:AW14))</f>
        <v>1.7722940448550162E-8</v>
      </c>
      <c r="BS10" s="28">
        <f>IF( OR(ISBLANK(S10:S14),ISBLANK(AQ10:AQ14), ISBLANK(Z10:Z14),ISBLANK(AX10:AX14)), "·", bdRateExtend( S10:S14,Z10:Z14, AQ10:AQ14,AX10:AX14))</f>
        <v>7.885897557180499E-8</v>
      </c>
      <c r="BT10" s="28">
        <f>IF( OR(ISBLANK(S10:S14),ISBLANK(AQ10:AQ14), ISBLANK(AA10:AA14),ISBLANK(AY10:AY14)), "·", bdRateExtend( S10:S14,AA10:AA14, AQ10:AQ14,AY10:AY14))</f>
        <v>1.9599799783165395E-8</v>
      </c>
      <c r="BV10">
        <f t="shared" si="17"/>
        <v>0</v>
      </c>
      <c r="BW10">
        <f t="shared" si="18"/>
        <v>0</v>
      </c>
      <c r="BX10">
        <f t="shared" si="19"/>
        <v>0</v>
      </c>
      <c r="BY10">
        <f t="shared" si="20"/>
        <v>0</v>
      </c>
      <c r="BZ10">
        <f t="shared" si="21"/>
        <v>0</v>
      </c>
      <c r="CA10">
        <f t="shared" si="22"/>
        <v>0</v>
      </c>
      <c r="CB10">
        <f t="shared" si="23"/>
        <v>0</v>
      </c>
      <c r="CC10">
        <f t="shared" si="24"/>
        <v>-3.1249999921101335E-6</v>
      </c>
      <c r="CD10">
        <f t="shared" si="25"/>
        <v>-2.4999999936881068E-7</v>
      </c>
      <c r="CE10">
        <f t="shared" si="26"/>
        <v>0</v>
      </c>
      <c r="CF10">
        <f t="shared" si="27"/>
        <v>-3.7500000615864337E-7</v>
      </c>
      <c r="CG10">
        <f t="shared" si="28"/>
        <v>-3.7499999905321602E-7</v>
      </c>
      <c r="CJ10" t="s">
        <v>592</v>
      </c>
    </row>
    <row r="11" spans="1:88" hidden="1" outlineLevel="1" x14ac:dyDescent="0.25">
      <c r="A11" s="10"/>
      <c r="B11" s="10" t="s">
        <v>58</v>
      </c>
      <c r="C11" s="11" t="s">
        <v>239</v>
      </c>
      <c r="D11" s="10">
        <v>22654789</v>
      </c>
      <c r="E11" s="11">
        <v>10</v>
      </c>
      <c r="F11" s="11">
        <v>32</v>
      </c>
      <c r="G11" s="11">
        <v>30</v>
      </c>
      <c r="I11" s="12">
        <f t="shared" si="0"/>
        <v>2.7023925000000002</v>
      </c>
      <c r="J11" s="13">
        <f t="shared" si="1"/>
        <v>0.1272380863931242</v>
      </c>
      <c r="K11" s="13">
        <f t="shared" si="2"/>
        <v>8.5688195992467645E-2</v>
      </c>
      <c r="L11" s="13">
        <f t="shared" si="3"/>
        <v>5.5451410295633295E-2</v>
      </c>
      <c r="M11" s="13">
        <f t="shared" si="4"/>
        <v>4.1549890400656569E-2</v>
      </c>
      <c r="N11" s="10">
        <f t="shared" si="5"/>
        <v>1941248</v>
      </c>
      <c r="O11" s="13">
        <f t="shared" si="6"/>
        <v>0.12965098494514973</v>
      </c>
      <c r="P11" s="14">
        <v>22233167</v>
      </c>
      <c r="Q11" s="14">
        <v>694786.46875</v>
      </c>
      <c r="R11" s="14">
        <v>23204.09375</v>
      </c>
      <c r="S11" s="15">
        <v>2882552</v>
      </c>
      <c r="T11" s="15">
        <v>1256240</v>
      </c>
      <c r="U11" s="15">
        <v>685008</v>
      </c>
      <c r="V11" s="15">
        <v>941304</v>
      </c>
      <c r="W11" s="16">
        <v>67.674730999999994</v>
      </c>
      <c r="X11" s="16">
        <v>69.753456</v>
      </c>
      <c r="Y11" s="16">
        <v>32.828747</v>
      </c>
      <c r="Z11" s="16">
        <v>39.653337999999998</v>
      </c>
      <c r="AA11" s="16">
        <v>32.228321999999999</v>
      </c>
      <c r="AB11" s="17">
        <v>3242.43</v>
      </c>
      <c r="AC11" s="17">
        <v>2906.84</v>
      </c>
      <c r="AD11" s="17">
        <v>8.19</v>
      </c>
      <c r="AE11" s="17">
        <v>14.61</v>
      </c>
      <c r="AG11" s="12">
        <f t="shared" si="7"/>
        <v>2.7023925000000002</v>
      </c>
      <c r="AH11" s="13">
        <f t="shared" si="8"/>
        <v>0.1272380863931242</v>
      </c>
      <c r="AI11" s="13">
        <f t="shared" si="9"/>
        <v>8.5688195992467645E-2</v>
      </c>
      <c r="AJ11" s="13">
        <f t="shared" si="10"/>
        <v>5.5451410295633295E-2</v>
      </c>
      <c r="AK11" s="13">
        <f t="shared" si="11"/>
        <v>4.1549890400656569E-2</v>
      </c>
      <c r="AL11" s="10">
        <f t="shared" si="12"/>
        <v>1941248</v>
      </c>
      <c r="AM11" s="13">
        <f t="shared" si="13"/>
        <v>0.12965098494514973</v>
      </c>
      <c r="AN11" s="14">
        <v>22233167</v>
      </c>
      <c r="AO11" s="14">
        <v>694786.46875</v>
      </c>
      <c r="AP11" s="14">
        <v>23204.09375</v>
      </c>
      <c r="AQ11" s="15">
        <v>2882552</v>
      </c>
      <c r="AR11" s="15">
        <v>1256240</v>
      </c>
      <c r="AS11" s="15">
        <v>685008</v>
      </c>
      <c r="AT11" s="15">
        <v>941304</v>
      </c>
      <c r="AU11" s="16">
        <v>67.674731250000008</v>
      </c>
      <c r="AV11" s="16">
        <v>69.753456249999999</v>
      </c>
      <c r="AW11" s="16">
        <v>32.828746874999993</v>
      </c>
      <c r="AX11" s="16">
        <v>39.653337500000013</v>
      </c>
      <c r="AY11" s="16">
        <v>32.228321874999999</v>
      </c>
      <c r="AZ11" s="17">
        <v>2977.24</v>
      </c>
      <c r="BA11" s="17">
        <v>5106.0600000000004</v>
      </c>
      <c r="BB11" s="17">
        <v>12.688000000000001</v>
      </c>
      <c r="BC11" s="17">
        <v>10.747999999999999</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2.5000001357966539E-7</v>
      </c>
      <c r="CD11">
        <f t="shared" si="25"/>
        <v>2.4999999936881068E-7</v>
      </c>
      <c r="CE11">
        <f t="shared" si="26"/>
        <v>-1.250000067898327E-7</v>
      </c>
      <c r="CF11">
        <f t="shared" si="27"/>
        <v>-4.9999998452676664E-7</v>
      </c>
      <c r="CG11">
        <f t="shared" si="28"/>
        <v>-1.2499999968440534E-7</v>
      </c>
      <c r="CJ11" t="s">
        <v>592</v>
      </c>
    </row>
    <row r="12" spans="1:88" hidden="1" outlineLevel="1" x14ac:dyDescent="0.25">
      <c r="A12" s="20"/>
      <c r="B12" s="20" t="s">
        <v>58</v>
      </c>
      <c r="C12" s="21" t="s">
        <v>240</v>
      </c>
      <c r="D12" s="20">
        <v>22654789</v>
      </c>
      <c r="E12" s="21">
        <v>10</v>
      </c>
      <c r="F12" s="21">
        <v>32</v>
      </c>
      <c r="G12" s="21">
        <v>30</v>
      </c>
      <c r="I12" s="22">
        <f t="shared" si="0"/>
        <v>3.8537474999999999</v>
      </c>
      <c r="J12" s="23">
        <f t="shared" si="1"/>
        <v>0.18144790489993087</v>
      </c>
      <c r="K12" s="23">
        <f t="shared" si="2"/>
        <v>0.10992889847705048</v>
      </c>
      <c r="L12" s="23">
        <f t="shared" si="3"/>
        <v>7.9692112780216137E-2</v>
      </c>
      <c r="M12" s="23">
        <f t="shared" si="4"/>
        <v>7.1519006422880393E-2</v>
      </c>
      <c r="N12" s="20">
        <f t="shared" si="5"/>
        <v>2490416</v>
      </c>
      <c r="O12" s="23">
        <f t="shared" si="6"/>
        <v>0.18213035139143943</v>
      </c>
      <c r="P12" s="24">
        <v>22569901</v>
      </c>
      <c r="Q12" s="24">
        <v>705309.40625</v>
      </c>
      <c r="R12" s="24">
        <v>24721.9375</v>
      </c>
      <c r="S12" s="25">
        <v>4110664</v>
      </c>
      <c r="T12" s="25">
        <v>1805408</v>
      </c>
      <c r="U12" s="25">
        <v>685008</v>
      </c>
      <c r="V12" s="25">
        <v>1620248</v>
      </c>
      <c r="W12" s="26">
        <v>69.009450000000001</v>
      </c>
      <c r="X12" s="26">
        <v>71.379971999999995</v>
      </c>
      <c r="Y12" s="26">
        <v>34.879441</v>
      </c>
      <c r="Z12" s="26">
        <v>40.634481000000001</v>
      </c>
      <c r="AA12" s="26">
        <v>34.126809000000002</v>
      </c>
      <c r="AB12" s="27">
        <v>4864.71</v>
      </c>
      <c r="AC12" s="27">
        <v>4095.02</v>
      </c>
      <c r="AD12" s="27">
        <v>9.6120000000000001</v>
      </c>
      <c r="AE12" s="27">
        <v>21.388000000000002</v>
      </c>
      <c r="AG12" s="22">
        <f t="shared" si="7"/>
        <v>3.8537474999999999</v>
      </c>
      <c r="AH12" s="23">
        <f t="shared" si="8"/>
        <v>0.18144790489993087</v>
      </c>
      <c r="AI12" s="23">
        <f t="shared" si="9"/>
        <v>0.10992889847705048</v>
      </c>
      <c r="AJ12" s="23">
        <f t="shared" si="10"/>
        <v>7.9692112780216137E-2</v>
      </c>
      <c r="AK12" s="23">
        <f t="shared" si="11"/>
        <v>7.1519006422880393E-2</v>
      </c>
      <c r="AL12" s="20">
        <f t="shared" si="12"/>
        <v>2490416</v>
      </c>
      <c r="AM12" s="23">
        <f t="shared" si="13"/>
        <v>0.18213035139143943</v>
      </c>
      <c r="AN12" s="24">
        <v>22569901</v>
      </c>
      <c r="AO12" s="24">
        <v>705309.40625</v>
      </c>
      <c r="AP12" s="24">
        <v>24721.9375</v>
      </c>
      <c r="AQ12" s="25">
        <v>4110664</v>
      </c>
      <c r="AR12" s="25">
        <v>1805408</v>
      </c>
      <c r="AS12" s="25">
        <v>685008</v>
      </c>
      <c r="AT12" s="25">
        <v>1620248</v>
      </c>
      <c r="AU12" s="26">
        <v>69.009450000000015</v>
      </c>
      <c r="AV12" s="26">
        <v>71.379971874999995</v>
      </c>
      <c r="AW12" s="26">
        <v>34.879440624999987</v>
      </c>
      <c r="AX12" s="26">
        <v>40.634481249999993</v>
      </c>
      <c r="AY12" s="26">
        <v>34.126809374999993</v>
      </c>
      <c r="AZ12" s="27">
        <v>3266.22</v>
      </c>
      <c r="BA12" s="27">
        <v>5706.17</v>
      </c>
      <c r="BB12" s="27">
        <v>13.336</v>
      </c>
      <c r="BC12" s="27">
        <v>11.428000000000001</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-1.2499999968440534E-7</v>
      </c>
      <c r="CE12">
        <f t="shared" si="26"/>
        <v>-3.7500001326407073E-7</v>
      </c>
      <c r="CF12">
        <f t="shared" si="27"/>
        <v>2.4999999226338332E-7</v>
      </c>
      <c r="CG12">
        <f t="shared" si="28"/>
        <v>3.7499999194778866E-7</v>
      </c>
      <c r="CJ12" t="s">
        <v>592</v>
      </c>
    </row>
    <row r="13" spans="1:88" hidden="1" outlineLevel="1" x14ac:dyDescent="0.25">
      <c r="A13" s="10"/>
      <c r="B13" s="10" t="s">
        <v>58</v>
      </c>
      <c r="C13" s="11" t="s">
        <v>241</v>
      </c>
      <c r="D13" s="10">
        <v>22654789</v>
      </c>
      <c r="E13" s="11">
        <v>10</v>
      </c>
      <c r="F13" s="11">
        <v>32</v>
      </c>
      <c r="G13" s="11">
        <v>30</v>
      </c>
      <c r="I13" s="12">
        <f t="shared" si="0"/>
        <v>6.2247824999999999</v>
      </c>
      <c r="J13" s="13">
        <f t="shared" si="1"/>
        <v>0.29308452177594768</v>
      </c>
      <c r="K13" s="13">
        <f t="shared" si="2"/>
        <v>0.15327832009382211</v>
      </c>
      <c r="L13" s="13">
        <f t="shared" si="3"/>
        <v>0.12304153439698776</v>
      </c>
      <c r="M13" s="13">
        <f t="shared" si="4"/>
        <v>0.13980620168212557</v>
      </c>
      <c r="N13" s="10">
        <f t="shared" si="5"/>
        <v>3472488</v>
      </c>
      <c r="O13" s="13">
        <f t="shared" si="6"/>
        <v>0.28486535973252269</v>
      </c>
      <c r="P13" s="14">
        <v>23308443</v>
      </c>
      <c r="Q13" s="14">
        <v>728388.84375</v>
      </c>
      <c r="R13" s="14">
        <v>27991.21875</v>
      </c>
      <c r="S13" s="15">
        <v>6639768</v>
      </c>
      <c r="T13" s="15">
        <v>2787480</v>
      </c>
      <c r="U13" s="15">
        <v>685008</v>
      </c>
      <c r="V13" s="15">
        <v>3167280</v>
      </c>
      <c r="W13" s="16">
        <v>70.060288</v>
      </c>
      <c r="X13" s="16">
        <v>72.567171999999999</v>
      </c>
      <c r="Y13" s="16">
        <v>37.06</v>
      </c>
      <c r="Z13" s="16">
        <v>41.690990999999997</v>
      </c>
      <c r="AA13" s="16">
        <v>36.083269000000001</v>
      </c>
      <c r="AB13" s="17">
        <v>6589.79</v>
      </c>
      <c r="AC13" s="17">
        <v>4416.4799999999996</v>
      </c>
      <c r="AD13" s="17">
        <v>10.023999999999999</v>
      </c>
      <c r="AE13" s="17">
        <v>23.387</v>
      </c>
      <c r="AG13" s="12">
        <f t="shared" si="7"/>
        <v>6.2247824999999999</v>
      </c>
      <c r="AH13" s="13">
        <f t="shared" si="8"/>
        <v>0.29308452177594768</v>
      </c>
      <c r="AI13" s="13">
        <f t="shared" si="9"/>
        <v>0.15327832009382211</v>
      </c>
      <c r="AJ13" s="13">
        <f t="shared" si="10"/>
        <v>0.12304153439698776</v>
      </c>
      <c r="AK13" s="13">
        <f t="shared" si="11"/>
        <v>0.13980620168212557</v>
      </c>
      <c r="AL13" s="10">
        <f t="shared" si="12"/>
        <v>3472488</v>
      </c>
      <c r="AM13" s="13">
        <f t="shared" si="13"/>
        <v>0.28486535973252269</v>
      </c>
      <c r="AN13" s="14">
        <v>23308443</v>
      </c>
      <c r="AO13" s="14">
        <v>728388.84375</v>
      </c>
      <c r="AP13" s="14">
        <v>27991.21875</v>
      </c>
      <c r="AQ13" s="15">
        <v>6639768</v>
      </c>
      <c r="AR13" s="15">
        <v>2787480</v>
      </c>
      <c r="AS13" s="15">
        <v>685008</v>
      </c>
      <c r="AT13" s="15">
        <v>3167280</v>
      </c>
      <c r="AU13" s="16">
        <v>70.060287500000001</v>
      </c>
      <c r="AV13" s="16">
        <v>72.567171875</v>
      </c>
      <c r="AW13" s="16">
        <v>37.06</v>
      </c>
      <c r="AX13" s="16">
        <v>41.690990624999991</v>
      </c>
      <c r="AY13" s="16">
        <v>36.083268750000002</v>
      </c>
      <c r="AZ13" s="17">
        <v>2828.49</v>
      </c>
      <c r="BA13" s="17">
        <v>6654.22</v>
      </c>
      <c r="BB13" s="17">
        <v>13.352</v>
      </c>
      <c r="BC13" s="17">
        <v>12.308</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-4.9999999873762135E-7</v>
      </c>
      <c r="CD13">
        <f t="shared" si="25"/>
        <v>-1.2499999968440534E-7</v>
      </c>
      <c r="CE13">
        <f t="shared" si="26"/>
        <v>0</v>
      </c>
      <c r="CF13">
        <f t="shared" si="27"/>
        <v>-3.7500000615864337E-7</v>
      </c>
      <c r="CG13">
        <f t="shared" si="28"/>
        <v>-2.4999999936881068E-7</v>
      </c>
      <c r="CJ13" t="s">
        <v>592</v>
      </c>
    </row>
    <row r="14" spans="1:88" ht="15.75" hidden="1" customHeight="1" outlineLevel="1" thickBot="1" x14ac:dyDescent="0.3">
      <c r="A14" s="20"/>
      <c r="B14" s="40" t="s">
        <v>58</v>
      </c>
      <c r="C14" s="41" t="s">
        <v>242</v>
      </c>
      <c r="D14" s="40">
        <v>22654789</v>
      </c>
      <c r="E14" s="41">
        <v>10</v>
      </c>
      <c r="F14" s="41">
        <v>32</v>
      </c>
      <c r="G14" s="41">
        <v>30</v>
      </c>
      <c r="I14" s="42">
        <f t="shared" si="0"/>
        <v>12.267659999999999</v>
      </c>
      <c r="J14" s="43">
        <f t="shared" si="1"/>
        <v>0.57760432021679831</v>
      </c>
      <c r="K14" s="43">
        <f t="shared" si="2"/>
        <v>0.25826486399851262</v>
      </c>
      <c r="L14" s="43">
        <f t="shared" si="3"/>
        <v>0.19969993982287806</v>
      </c>
      <c r="M14" s="43">
        <f t="shared" si="4"/>
        <v>0.31933945621828569</v>
      </c>
      <c r="N14" s="40">
        <f t="shared" si="5"/>
        <v>5850936</v>
      </c>
      <c r="O14" s="43">
        <f t="shared" si="6"/>
        <v>0.59076740823141838</v>
      </c>
      <c r="P14" s="44">
        <v>22150010</v>
      </c>
      <c r="Q14" s="44">
        <v>692187.8125</v>
      </c>
      <c r="R14" s="44">
        <v>13331.5625</v>
      </c>
      <c r="S14" s="45">
        <v>13085504</v>
      </c>
      <c r="T14" s="45">
        <v>4524160</v>
      </c>
      <c r="U14" s="45">
        <v>1326776</v>
      </c>
      <c r="V14" s="45">
        <v>7234568</v>
      </c>
      <c r="W14" s="46">
        <v>70.920671999999996</v>
      </c>
      <c r="X14" s="46">
        <v>74.632659000000004</v>
      </c>
      <c r="Y14" s="46">
        <v>39.462553</v>
      </c>
      <c r="Z14" s="46">
        <v>42.973531000000001</v>
      </c>
      <c r="AA14" s="46">
        <v>38.239547000000002</v>
      </c>
      <c r="AB14" s="47">
        <v>3248.22</v>
      </c>
      <c r="AC14" s="47">
        <v>3728.69</v>
      </c>
      <c r="AD14" s="47">
        <v>8.0359999999999996</v>
      </c>
      <c r="AE14" s="47">
        <v>17.14</v>
      </c>
      <c r="AG14" s="42">
        <f t="shared" si="7"/>
        <v>12.267659999999999</v>
      </c>
      <c r="AH14" s="43">
        <f t="shared" si="8"/>
        <v>0.57760432021679831</v>
      </c>
      <c r="AI14" s="43">
        <f t="shared" si="9"/>
        <v>0.25826486399851262</v>
      </c>
      <c r="AJ14" s="43">
        <f t="shared" si="10"/>
        <v>0.19969993982287806</v>
      </c>
      <c r="AK14" s="43">
        <f t="shared" si="11"/>
        <v>0.31933945621828569</v>
      </c>
      <c r="AL14" s="40">
        <f t="shared" si="12"/>
        <v>5850936</v>
      </c>
      <c r="AM14" s="43">
        <f t="shared" si="13"/>
        <v>0.59076740823141838</v>
      </c>
      <c r="AN14" s="44">
        <v>22150010</v>
      </c>
      <c r="AO14" s="44">
        <v>692187.8125</v>
      </c>
      <c r="AP14" s="44">
        <v>13331.5625</v>
      </c>
      <c r="AQ14" s="45">
        <v>13085504</v>
      </c>
      <c r="AR14" s="45">
        <v>4524160</v>
      </c>
      <c r="AS14" s="45">
        <v>1326776</v>
      </c>
      <c r="AT14" s="45">
        <v>7234568</v>
      </c>
      <c r="AU14" s="46">
        <v>70.920671875000025</v>
      </c>
      <c r="AV14" s="46">
        <v>74.632662499999981</v>
      </c>
      <c r="AW14" s="46">
        <v>39.462553124999999</v>
      </c>
      <c r="AX14" s="46">
        <v>42.973531250000008</v>
      </c>
      <c r="AY14" s="46">
        <v>38.239546875000002</v>
      </c>
      <c r="AZ14" s="47">
        <v>3001.3</v>
      </c>
      <c r="BA14" s="47">
        <v>7325.19</v>
      </c>
      <c r="BB14" s="47">
        <v>12.992000000000001</v>
      </c>
      <c r="BC14" s="47">
        <v>15.52</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-1.2499997126269591E-7</v>
      </c>
      <c r="CD14">
        <f t="shared" si="25"/>
        <v>3.4999999769524948E-6</v>
      </c>
      <c r="CE14">
        <f t="shared" si="26"/>
        <v>1.2499999968440534E-7</v>
      </c>
      <c r="CF14">
        <f t="shared" si="27"/>
        <v>2.5000000647423803E-7</v>
      </c>
      <c r="CG14">
        <f t="shared" si="28"/>
        <v>-1.2499999968440534E-7</v>
      </c>
      <c r="CJ14" t="s">
        <v>592</v>
      </c>
    </row>
    <row r="15" spans="1:88" collapsed="1" x14ac:dyDescent="0.25">
      <c r="A15" s="10"/>
      <c r="B15" s="10" t="s">
        <v>63</v>
      </c>
      <c r="C15" s="11" t="s">
        <v>237</v>
      </c>
      <c r="D15" s="10">
        <v>33947718</v>
      </c>
      <c r="E15" s="11">
        <v>10</v>
      </c>
      <c r="F15" s="11">
        <v>32</v>
      </c>
      <c r="G15" s="11">
        <v>30</v>
      </c>
      <c r="I15" s="12">
        <f t="shared" si="0"/>
        <v>1.628055</v>
      </c>
      <c r="J15" s="13">
        <f t="shared" si="1"/>
        <v>5.115489647934509E-2</v>
      </c>
      <c r="K15" s="13">
        <f t="shared" si="2"/>
        <v>4.301414310087058E-2</v>
      </c>
      <c r="L15" s="13">
        <f t="shared" si="3"/>
        <v>2.2479743704716764E-2</v>
      </c>
      <c r="M15" s="13">
        <f t="shared" si="4"/>
        <v>8.1407533784745127E-3</v>
      </c>
      <c r="N15" s="10">
        <f t="shared" si="5"/>
        <v>1460232</v>
      </c>
      <c r="O15" s="13">
        <f t="shared" si="6"/>
        <v>5.3572216874881826E-2</v>
      </c>
      <c r="P15" s="14">
        <v>32415907</v>
      </c>
      <c r="Q15" s="14">
        <v>1012997.09375</v>
      </c>
      <c r="R15" s="14">
        <v>32038.09375</v>
      </c>
      <c r="S15" s="15">
        <v>1736592</v>
      </c>
      <c r="T15" s="15">
        <v>763136</v>
      </c>
      <c r="U15" s="15">
        <v>697096</v>
      </c>
      <c r="V15" s="15">
        <v>276360</v>
      </c>
      <c r="W15" s="16">
        <v>66.298768999999993</v>
      </c>
      <c r="X15" s="16">
        <v>67.850190999999995</v>
      </c>
      <c r="Y15" s="16">
        <v>29.241637000000001</v>
      </c>
      <c r="Z15" s="16">
        <v>43.356130999999998</v>
      </c>
      <c r="AA15" s="16">
        <v>43.670805999999999</v>
      </c>
      <c r="AB15" s="17">
        <v>4766.55</v>
      </c>
      <c r="AC15" s="17">
        <v>2134.31</v>
      </c>
      <c r="AD15" s="17">
        <v>11.29</v>
      </c>
      <c r="AE15" s="17">
        <v>12.797000000000001</v>
      </c>
      <c r="AG15" s="12">
        <f t="shared" si="7"/>
        <v>1.628055</v>
      </c>
      <c r="AH15" s="13">
        <f t="shared" si="8"/>
        <v>5.115489647934509E-2</v>
      </c>
      <c r="AI15" s="13">
        <f t="shared" si="9"/>
        <v>4.301414310087058E-2</v>
      </c>
      <c r="AJ15" s="13">
        <f t="shared" si="10"/>
        <v>2.2479743704716764E-2</v>
      </c>
      <c r="AK15" s="13">
        <f t="shared" si="11"/>
        <v>8.1407533784745127E-3</v>
      </c>
      <c r="AL15" s="10">
        <f t="shared" si="12"/>
        <v>1460232</v>
      </c>
      <c r="AM15" s="13">
        <f t="shared" si="13"/>
        <v>5.3572216874881826E-2</v>
      </c>
      <c r="AN15" s="14">
        <v>32415907</v>
      </c>
      <c r="AO15" s="14">
        <v>1012997.09375</v>
      </c>
      <c r="AP15" s="14">
        <v>32038.09375</v>
      </c>
      <c r="AQ15" s="15">
        <v>1736592</v>
      </c>
      <c r="AR15" s="15">
        <v>763136</v>
      </c>
      <c r="AS15" s="15">
        <v>697096</v>
      </c>
      <c r="AT15" s="15">
        <v>276360</v>
      </c>
      <c r="AU15" s="16">
        <v>66.298768749999994</v>
      </c>
      <c r="AV15" s="16">
        <v>67.85019062500001</v>
      </c>
      <c r="AW15" s="16">
        <v>29.2416375</v>
      </c>
      <c r="AX15" s="16">
        <v>43.356131249999997</v>
      </c>
      <c r="AY15" s="16">
        <v>43.670806250000012</v>
      </c>
      <c r="AZ15" s="17">
        <v>4709.95</v>
      </c>
      <c r="BA15" s="17">
        <v>3985.32</v>
      </c>
      <c r="BB15" s="17">
        <v>14.776</v>
      </c>
      <c r="BC15" s="17">
        <v>8.2759999999999998</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-8.2618937247147528E-9</v>
      </c>
      <c r="BK15" s="18">
        <f>IF( OR(ISBLANK(N15:N19),ISBLANK(AL15:AL19), ISBLANK(X15:X19),ISBLANK(AV15:AV19)), "·", bdRateExtend( N15:N19,X15:X19, AL15:AL19,AV15:AV19))</f>
        <v>-8.4126261512551537E-11</v>
      </c>
      <c r="BL15" s="18">
        <f>IF( OR(ISBLANK(V15:V19),ISBLANK(AT15:AT19), ISBLANK(Y15:Y19),ISBLANK(AW15:AW19)), "·", bdRateExtend( V15:V19,Y15:Y19, AT15:AT19,AW15:AW19))</f>
        <v>1.489340539784223E-8</v>
      </c>
      <c r="BM15" s="18">
        <f>IF( OR(ISBLANK(V15:V19),ISBLANK(AT15:AT19), ISBLANK(Z15:Z19),ISBLANK(AX15:AX19)), "·", bdRateExtend( V15:V19,Z15:Z19, AT15:AT19,AX15:AX19))</f>
        <v>1.0263549587996579E-7</v>
      </c>
      <c r="BN15" s="18">
        <f>IF( OR(ISBLANK(V15:V19),ISBLANK(AT15:AT19), ISBLANK(AA15:AA19),ISBLANK(AY15:AY19)), "·", bdRateExtend( V15:V19,AA15:AA19, AT15:AT19,AY15:AY19))</f>
        <v>1.1508475328270151E-7</v>
      </c>
      <c r="BP15" s="18">
        <f>IF( OR(ISBLANK(S15:S19),ISBLANK(AQ15:AQ19), ISBLANK(W15:W19),ISBLANK(AU15:AU19)), "·", bdRateExtend( S15:S19,W15:W19, AQ15:AQ19,AU15:AU19))</f>
        <v>-1.7948316055615976E-8</v>
      </c>
      <c r="BQ15" s="18">
        <f>IF( OR(ISBLANK(S15:S19),ISBLANK(AQ15:AQ19), ISBLANK(X15:X19),ISBLANK(AV15:AV19)), "·", bdRateExtend( S15:S19,X15:X19, AQ15:AQ19,AV15:AV19))</f>
        <v>4.3299490659620687E-9</v>
      </c>
      <c r="BR15" s="18">
        <f>IF( OR(ISBLANK(S15:S19),ISBLANK(AQ15:AQ19), ISBLANK(Y15:Y19),ISBLANK(AW15:AW19)), "·", bdRateExtend( S15:S19,Y15:Y19, AQ15:AQ19,AW15:AW19))</f>
        <v>9.5672554323300574E-9</v>
      </c>
      <c r="BS15" s="18">
        <f>IF( OR(ISBLANK(S15:S19),ISBLANK(AQ15:AQ19), ISBLANK(Z15:Z19),ISBLANK(AX15:AX19)), "·", bdRateExtend( S15:S19,Z15:Z19, AQ15:AQ19,AX15:AX19))</f>
        <v>4.9425495696198141E-8</v>
      </c>
      <c r="BT15" s="18">
        <f>IF( OR(ISBLANK(S15:S19),ISBLANK(AQ15:AQ19), ISBLANK(AA15:AA19),ISBLANK(AY15:AY19)), "·", bdRateExtend( S15:S19,AA15:AA19, AQ15:AQ19,AY15:AY19))</f>
        <v>6.4841003899474003E-8</v>
      </c>
      <c r="BV15">
        <f t="shared" si="17"/>
        <v>0</v>
      </c>
      <c r="BW15">
        <f t="shared" si="18"/>
        <v>0</v>
      </c>
      <c r="BX15">
        <f t="shared" si="19"/>
        <v>0</v>
      </c>
      <c r="BY15">
        <f t="shared" si="20"/>
        <v>0</v>
      </c>
      <c r="BZ15">
        <f t="shared" si="21"/>
        <v>0</v>
      </c>
      <c r="CA15">
        <f t="shared" si="22"/>
        <v>0</v>
      </c>
      <c r="CB15">
        <f t="shared" si="23"/>
        <v>0</v>
      </c>
      <c r="CC15">
        <f t="shared" si="24"/>
        <v>-2.4999999936881068E-7</v>
      </c>
      <c r="CD15">
        <f t="shared" si="25"/>
        <v>-3.749999848423613E-7</v>
      </c>
      <c r="CE15">
        <f t="shared" si="26"/>
        <v>4.9999999873762135E-7</v>
      </c>
      <c r="CF15">
        <f t="shared" si="27"/>
        <v>2.4999999936881068E-7</v>
      </c>
      <c r="CG15">
        <f t="shared" si="28"/>
        <v>2.5000001357966539E-7</v>
      </c>
      <c r="CJ15" t="s">
        <v>238</v>
      </c>
    </row>
    <row r="16" spans="1:88" hidden="1" outlineLevel="1" x14ac:dyDescent="0.25">
      <c r="A16" s="20"/>
      <c r="B16" s="20" t="s">
        <v>63</v>
      </c>
      <c r="C16" s="21" t="s">
        <v>239</v>
      </c>
      <c r="D16" s="20">
        <v>33947718</v>
      </c>
      <c r="E16" s="21">
        <v>10</v>
      </c>
      <c r="F16" s="21">
        <v>32</v>
      </c>
      <c r="G16" s="21">
        <v>30</v>
      </c>
      <c r="I16" s="22">
        <f t="shared" si="0"/>
        <v>2.133435</v>
      </c>
      <c r="J16" s="23">
        <f t="shared" si="1"/>
        <v>6.7034373267740713E-2</v>
      </c>
      <c r="K16" s="23">
        <f t="shared" si="2"/>
        <v>5.185456059226131E-2</v>
      </c>
      <c r="L16" s="23">
        <f t="shared" si="3"/>
        <v>3.1320161196107497E-2</v>
      </c>
      <c r="M16" s="23">
        <f t="shared" si="4"/>
        <v>1.5179812675479394E-2</v>
      </c>
      <c r="N16" s="20">
        <f t="shared" si="5"/>
        <v>1760344</v>
      </c>
      <c r="O16" s="23">
        <f t="shared" si="6"/>
        <v>6.7179930994016562E-2</v>
      </c>
      <c r="P16" s="24">
        <v>33874164</v>
      </c>
      <c r="Q16" s="24">
        <v>1058567.625</v>
      </c>
      <c r="R16" s="24">
        <v>36864.21875</v>
      </c>
      <c r="S16" s="25">
        <v>2275664</v>
      </c>
      <c r="T16" s="25">
        <v>1063248</v>
      </c>
      <c r="U16" s="25">
        <v>697096</v>
      </c>
      <c r="V16" s="25">
        <v>515320</v>
      </c>
      <c r="W16" s="26">
        <v>68.029634000000001</v>
      </c>
      <c r="X16" s="26">
        <v>70.006816000000001</v>
      </c>
      <c r="Y16" s="26">
        <v>31.530702999999999</v>
      </c>
      <c r="Z16" s="26">
        <v>44.119391</v>
      </c>
      <c r="AA16" s="26">
        <v>44.541440999999999</v>
      </c>
      <c r="AB16" s="27">
        <v>7042.6</v>
      </c>
      <c r="AC16" s="27">
        <v>3028.53</v>
      </c>
      <c r="AD16" s="27">
        <v>13.983000000000001</v>
      </c>
      <c r="AE16" s="27">
        <v>19.632000000000001</v>
      </c>
      <c r="AG16" s="22">
        <f t="shared" si="7"/>
        <v>2.133435</v>
      </c>
      <c r="AH16" s="23">
        <f t="shared" si="8"/>
        <v>6.7034373267740713E-2</v>
      </c>
      <c r="AI16" s="23">
        <f t="shared" si="9"/>
        <v>5.185456059226131E-2</v>
      </c>
      <c r="AJ16" s="23">
        <f t="shared" si="10"/>
        <v>3.1320161196107497E-2</v>
      </c>
      <c r="AK16" s="23">
        <f t="shared" si="11"/>
        <v>1.5179812675479394E-2</v>
      </c>
      <c r="AL16" s="20">
        <f t="shared" si="12"/>
        <v>1760344</v>
      </c>
      <c r="AM16" s="23">
        <f t="shared" si="13"/>
        <v>6.7179930994016562E-2</v>
      </c>
      <c r="AN16" s="24">
        <v>33874164</v>
      </c>
      <c r="AO16" s="24">
        <v>1058567.625</v>
      </c>
      <c r="AP16" s="24">
        <v>36864.21875</v>
      </c>
      <c r="AQ16" s="25">
        <v>2275664</v>
      </c>
      <c r="AR16" s="25">
        <v>1063248</v>
      </c>
      <c r="AS16" s="25">
        <v>697096</v>
      </c>
      <c r="AT16" s="25">
        <v>515320</v>
      </c>
      <c r="AU16" s="26">
        <v>68.029634375000001</v>
      </c>
      <c r="AV16" s="26">
        <v>70.006815625000002</v>
      </c>
      <c r="AW16" s="26">
        <v>31.530703124999999</v>
      </c>
      <c r="AX16" s="26">
        <v>44.119390625000001</v>
      </c>
      <c r="AY16" s="26">
        <v>44.541440625000007</v>
      </c>
      <c r="AZ16" s="27">
        <v>4579.9399999999996</v>
      </c>
      <c r="BA16" s="27">
        <v>4022.06</v>
      </c>
      <c r="BB16" s="27">
        <v>16.187999999999999</v>
      </c>
      <c r="BC16" s="27">
        <v>8.68</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3.7499999905321602E-7</v>
      </c>
      <c r="CD16">
        <f t="shared" si="25"/>
        <v>-3.7499999905321602E-7</v>
      </c>
      <c r="CE16">
        <f t="shared" si="26"/>
        <v>1.2499999968440534E-7</v>
      </c>
      <c r="CF16">
        <f t="shared" si="27"/>
        <v>-3.7499999905321602E-7</v>
      </c>
      <c r="CG16">
        <f t="shared" si="28"/>
        <v>-3.7499999194778866E-7</v>
      </c>
      <c r="CJ16" t="s">
        <v>238</v>
      </c>
    </row>
    <row r="17" spans="1:88" hidden="1" outlineLevel="1" x14ac:dyDescent="0.25">
      <c r="A17" s="10"/>
      <c r="B17" s="10" t="s">
        <v>63</v>
      </c>
      <c r="C17" s="11" t="s">
        <v>240</v>
      </c>
      <c r="D17" s="10">
        <v>33947718</v>
      </c>
      <c r="E17" s="11">
        <v>10</v>
      </c>
      <c r="F17" s="11">
        <v>32</v>
      </c>
      <c r="G17" s="11">
        <v>30</v>
      </c>
      <c r="I17" s="12">
        <f t="shared" si="0"/>
        <v>3.0166650000000002</v>
      </c>
      <c r="J17" s="13">
        <f t="shared" si="1"/>
        <v>9.4786223922326676E-2</v>
      </c>
      <c r="K17" s="13">
        <f t="shared" si="2"/>
        <v>6.3302752780024854E-2</v>
      </c>
      <c r="L17" s="13">
        <f t="shared" si="3"/>
        <v>4.2768353383871048E-2</v>
      </c>
      <c r="M17" s="13">
        <f t="shared" si="4"/>
        <v>3.1483471142301815E-2</v>
      </c>
      <c r="N17" s="10">
        <f t="shared" si="5"/>
        <v>2148984</v>
      </c>
      <c r="O17" s="13">
        <f t="shared" si="6"/>
        <v>9.5260648227819891E-2</v>
      </c>
      <c r="P17" s="14">
        <v>33778649</v>
      </c>
      <c r="Q17" s="14">
        <v>1055582.78125</v>
      </c>
      <c r="R17" s="14">
        <v>37421.1875</v>
      </c>
      <c r="S17" s="15">
        <v>3217776</v>
      </c>
      <c r="T17" s="15">
        <v>1451888</v>
      </c>
      <c r="U17" s="15">
        <v>697096</v>
      </c>
      <c r="V17" s="15">
        <v>1068792</v>
      </c>
      <c r="W17" s="16">
        <v>69.351502999999994</v>
      </c>
      <c r="X17" s="16">
        <v>71.840316000000001</v>
      </c>
      <c r="Y17" s="16">
        <v>33.946488000000002</v>
      </c>
      <c r="Z17" s="16">
        <v>45.134740999999998</v>
      </c>
      <c r="AA17" s="16">
        <v>45.742221999999998</v>
      </c>
      <c r="AB17" s="17">
        <v>7101.03</v>
      </c>
      <c r="AC17" s="17">
        <v>3234.27</v>
      </c>
      <c r="AD17" s="17">
        <v>14.465</v>
      </c>
      <c r="AE17" s="17">
        <v>20.050999999999998</v>
      </c>
      <c r="AG17" s="12">
        <f t="shared" si="7"/>
        <v>3.0166650000000002</v>
      </c>
      <c r="AH17" s="13">
        <f t="shared" si="8"/>
        <v>9.4786223922326676E-2</v>
      </c>
      <c r="AI17" s="13">
        <f t="shared" si="9"/>
        <v>6.3302752780024854E-2</v>
      </c>
      <c r="AJ17" s="13">
        <f t="shared" si="10"/>
        <v>4.2768353383871048E-2</v>
      </c>
      <c r="AK17" s="13">
        <f t="shared" si="11"/>
        <v>3.1483471142301815E-2</v>
      </c>
      <c r="AL17" s="10">
        <f t="shared" si="12"/>
        <v>2148984</v>
      </c>
      <c r="AM17" s="13">
        <f t="shared" si="13"/>
        <v>9.5260648227819891E-2</v>
      </c>
      <c r="AN17" s="14">
        <v>33778649</v>
      </c>
      <c r="AO17" s="14">
        <v>1055582.78125</v>
      </c>
      <c r="AP17" s="14">
        <v>37421.1875</v>
      </c>
      <c r="AQ17" s="15">
        <v>3217776</v>
      </c>
      <c r="AR17" s="15">
        <v>1451888</v>
      </c>
      <c r="AS17" s="15">
        <v>697096</v>
      </c>
      <c r="AT17" s="15">
        <v>1068792</v>
      </c>
      <c r="AU17" s="16">
        <v>69.351503125000008</v>
      </c>
      <c r="AV17" s="16">
        <v>71.840315625000002</v>
      </c>
      <c r="AW17" s="16">
        <v>33.946487500000003</v>
      </c>
      <c r="AX17" s="16">
        <v>45.134740624999999</v>
      </c>
      <c r="AY17" s="16">
        <v>45.742221875000013</v>
      </c>
      <c r="AZ17" s="17">
        <v>4375.2</v>
      </c>
      <c r="BA17" s="17">
        <v>5029.38</v>
      </c>
      <c r="BB17" s="17">
        <v>15.428000000000001</v>
      </c>
      <c r="BC17" s="17">
        <v>8.94</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1.2500001389526005E-7</v>
      </c>
      <c r="CD17">
        <f t="shared" si="25"/>
        <v>-3.7499999905321602E-7</v>
      </c>
      <c r="CE17">
        <f t="shared" si="26"/>
        <v>-4.9999999873762135E-7</v>
      </c>
      <c r="CF17">
        <f t="shared" si="27"/>
        <v>-3.7499999905321602E-7</v>
      </c>
      <c r="CG17">
        <f t="shared" si="28"/>
        <v>-1.2499998547355062E-7</v>
      </c>
      <c r="CJ17" t="s">
        <v>238</v>
      </c>
    </row>
    <row r="18" spans="1:88" hidden="1" outlineLevel="1" x14ac:dyDescent="0.25">
      <c r="A18" s="20"/>
      <c r="B18" s="20" t="s">
        <v>63</v>
      </c>
      <c r="C18" s="21" t="s">
        <v>241</v>
      </c>
      <c r="D18" s="20">
        <v>33947718</v>
      </c>
      <c r="E18" s="21">
        <v>10</v>
      </c>
      <c r="F18" s="21">
        <v>32</v>
      </c>
      <c r="G18" s="21">
        <v>30</v>
      </c>
      <c r="I18" s="22">
        <f t="shared" si="0"/>
        <v>5.3492249999999997</v>
      </c>
      <c r="J18" s="23">
        <f t="shared" si="1"/>
        <v>0.16807727694686281</v>
      </c>
      <c r="K18" s="23">
        <f t="shared" si="2"/>
        <v>9.4301007213504012E-2</v>
      </c>
      <c r="L18" s="23">
        <f t="shared" si="3"/>
        <v>7.3766607817350199E-2</v>
      </c>
      <c r="M18" s="23">
        <f t="shared" si="4"/>
        <v>7.377626973335881E-2</v>
      </c>
      <c r="N18" s="20">
        <f t="shared" si="5"/>
        <v>3201304</v>
      </c>
      <c r="O18" s="23">
        <f t="shared" si="6"/>
        <v>0.16342403870044744</v>
      </c>
      <c r="P18" s="24">
        <v>34914325</v>
      </c>
      <c r="Q18" s="24">
        <v>1091072.65625</v>
      </c>
      <c r="R18" s="24">
        <v>41603.21875</v>
      </c>
      <c r="S18" s="25">
        <v>5705840</v>
      </c>
      <c r="T18" s="25">
        <v>2504208</v>
      </c>
      <c r="U18" s="25">
        <v>697096</v>
      </c>
      <c r="V18" s="25">
        <v>2504536</v>
      </c>
      <c r="W18" s="26">
        <v>70.529849999999996</v>
      </c>
      <c r="X18" s="26">
        <v>73.133384000000007</v>
      </c>
      <c r="Y18" s="26">
        <v>36.289247000000003</v>
      </c>
      <c r="Z18" s="26">
        <v>46.428246999999999</v>
      </c>
      <c r="AA18" s="26">
        <v>46.981940999999999</v>
      </c>
      <c r="AB18" s="27">
        <v>4757.49</v>
      </c>
      <c r="AC18" s="27">
        <v>2722.72</v>
      </c>
      <c r="AD18" s="27">
        <v>12.340999999999999</v>
      </c>
      <c r="AE18" s="27">
        <v>14.332000000000001</v>
      </c>
      <c r="AG18" s="22">
        <f t="shared" si="7"/>
        <v>5.3492249999999997</v>
      </c>
      <c r="AH18" s="23">
        <f t="shared" si="8"/>
        <v>0.16807727694686281</v>
      </c>
      <c r="AI18" s="23">
        <f t="shared" si="9"/>
        <v>9.4301007213504012E-2</v>
      </c>
      <c r="AJ18" s="23">
        <f t="shared" si="10"/>
        <v>7.3766607817350199E-2</v>
      </c>
      <c r="AK18" s="23">
        <f t="shared" si="11"/>
        <v>7.377626973335881E-2</v>
      </c>
      <c r="AL18" s="20">
        <f t="shared" si="12"/>
        <v>3201304</v>
      </c>
      <c r="AM18" s="23">
        <f t="shared" si="13"/>
        <v>0.16342403870044744</v>
      </c>
      <c r="AN18" s="24">
        <v>34914325</v>
      </c>
      <c r="AO18" s="24">
        <v>1091072.65625</v>
      </c>
      <c r="AP18" s="24">
        <v>41603.21875</v>
      </c>
      <c r="AQ18" s="25">
        <v>5705840</v>
      </c>
      <c r="AR18" s="25">
        <v>2504208</v>
      </c>
      <c r="AS18" s="25">
        <v>697096</v>
      </c>
      <c r="AT18" s="25">
        <v>2504536</v>
      </c>
      <c r="AU18" s="26">
        <v>70.529849999999982</v>
      </c>
      <c r="AV18" s="26">
        <v>73.133384375000006</v>
      </c>
      <c r="AW18" s="26">
        <v>36.289246875000003</v>
      </c>
      <c r="AX18" s="26">
        <v>46.428246874999992</v>
      </c>
      <c r="AY18" s="26">
        <v>46.981940625000007</v>
      </c>
      <c r="AZ18" s="27">
        <v>4729.01</v>
      </c>
      <c r="BA18" s="27">
        <v>4974.54</v>
      </c>
      <c r="BB18" s="27">
        <v>16.128</v>
      </c>
      <c r="BC18" s="27">
        <v>10.396000000000001</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3.7499999905321602E-7</v>
      </c>
      <c r="CE18">
        <f t="shared" si="26"/>
        <v>-1.2499999968440534E-7</v>
      </c>
      <c r="CF18">
        <f t="shared" si="27"/>
        <v>-1.250000067898327E-7</v>
      </c>
      <c r="CG18">
        <f t="shared" si="28"/>
        <v>-3.7499999194778866E-7</v>
      </c>
      <c r="CJ18" t="s">
        <v>238</v>
      </c>
    </row>
    <row r="19" spans="1:88" ht="15.75" hidden="1" customHeight="1" outlineLevel="1" thickBot="1" x14ac:dyDescent="0.3">
      <c r="A19" s="10"/>
      <c r="B19" s="30" t="s">
        <v>63</v>
      </c>
      <c r="C19" s="31" t="s">
        <v>242</v>
      </c>
      <c r="D19" s="30">
        <v>33947718</v>
      </c>
      <c r="E19" s="31">
        <v>10</v>
      </c>
      <c r="F19" s="31">
        <v>32</v>
      </c>
      <c r="G19" s="31">
        <v>30</v>
      </c>
      <c r="I19" s="32">
        <f t="shared" si="0"/>
        <v>11.627325000000001</v>
      </c>
      <c r="J19" s="33">
        <f t="shared" si="1"/>
        <v>0.36534060993437023</v>
      </c>
      <c r="K19" s="33">
        <f t="shared" si="2"/>
        <v>0.16582369395197638</v>
      </c>
      <c r="L19" s="33">
        <f t="shared" si="3"/>
        <v>0.12174509049474254</v>
      </c>
      <c r="M19" s="33">
        <f t="shared" si="4"/>
        <v>0.19951691598239388</v>
      </c>
      <c r="N19" s="30">
        <f t="shared" si="5"/>
        <v>5629336</v>
      </c>
      <c r="O19" s="33">
        <f t="shared" si="6"/>
        <v>0.3756131984315712</v>
      </c>
      <c r="P19" s="34">
        <v>33019287</v>
      </c>
      <c r="Q19" s="34">
        <v>1031852.71875</v>
      </c>
      <c r="R19" s="34">
        <v>17790.15625</v>
      </c>
      <c r="S19" s="35">
        <v>12402480</v>
      </c>
      <c r="T19" s="35">
        <v>4132968</v>
      </c>
      <c r="U19" s="35">
        <v>1496368</v>
      </c>
      <c r="V19" s="35">
        <v>6773144</v>
      </c>
      <c r="W19" s="36">
        <v>71.185569000000001</v>
      </c>
      <c r="X19" s="36">
        <v>75.071019000000007</v>
      </c>
      <c r="Y19" s="36">
        <v>38.695608999999997</v>
      </c>
      <c r="Z19" s="36">
        <v>48.186309000000001</v>
      </c>
      <c r="AA19" s="36">
        <v>48.786537000000003</v>
      </c>
      <c r="AB19" s="37">
        <v>7051.69</v>
      </c>
      <c r="AC19" s="37">
        <v>4156.3100000000004</v>
      </c>
      <c r="AD19" s="37">
        <v>12.644</v>
      </c>
      <c r="AE19" s="37">
        <v>23.135000000000002</v>
      </c>
      <c r="AG19" s="32">
        <f t="shared" si="7"/>
        <v>11.627325000000001</v>
      </c>
      <c r="AH19" s="33">
        <f t="shared" si="8"/>
        <v>0.36534060993437023</v>
      </c>
      <c r="AI19" s="33">
        <f t="shared" si="9"/>
        <v>0.16582369395197638</v>
      </c>
      <c r="AJ19" s="33">
        <f t="shared" si="10"/>
        <v>0.12174509049474254</v>
      </c>
      <c r="AK19" s="33">
        <f t="shared" si="11"/>
        <v>0.19951691598239388</v>
      </c>
      <c r="AL19" s="30">
        <f t="shared" si="12"/>
        <v>5629336</v>
      </c>
      <c r="AM19" s="33">
        <f t="shared" si="13"/>
        <v>0.3756131984315712</v>
      </c>
      <c r="AN19" s="34">
        <v>33019287</v>
      </c>
      <c r="AO19" s="34">
        <v>1031852.71875</v>
      </c>
      <c r="AP19" s="34">
        <v>17790.15625</v>
      </c>
      <c r="AQ19" s="35">
        <v>12402480</v>
      </c>
      <c r="AR19" s="35">
        <v>4132968</v>
      </c>
      <c r="AS19" s="35">
        <v>1496368</v>
      </c>
      <c r="AT19" s="35">
        <v>6773144</v>
      </c>
      <c r="AU19" s="36">
        <v>71.185568750000016</v>
      </c>
      <c r="AV19" s="36">
        <v>75.071018750000022</v>
      </c>
      <c r="AW19" s="36">
        <v>38.695609374999997</v>
      </c>
      <c r="AX19" s="36">
        <v>48.186309375</v>
      </c>
      <c r="AY19" s="36">
        <v>48.786537500000001</v>
      </c>
      <c r="AZ19" s="37">
        <v>4735.32</v>
      </c>
      <c r="BA19" s="37">
        <v>5615.48</v>
      </c>
      <c r="BB19" s="37">
        <v>15.587999999999999</v>
      </c>
      <c r="BC19" s="37">
        <v>12.151999999999999</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-2.4999998515795596E-7</v>
      </c>
      <c r="CD19">
        <f t="shared" si="25"/>
        <v>-2.4999998515795596E-7</v>
      </c>
      <c r="CE19">
        <f t="shared" si="26"/>
        <v>3.7499999905321602E-7</v>
      </c>
      <c r="CF19">
        <f t="shared" si="27"/>
        <v>3.7499999905321602E-7</v>
      </c>
      <c r="CG19">
        <f t="shared" si="28"/>
        <v>4.9999999873762135E-7</v>
      </c>
      <c r="CJ19" t="s">
        <v>238</v>
      </c>
    </row>
    <row r="20" spans="1:88" collapsed="1" x14ac:dyDescent="0.25">
      <c r="A20" s="20"/>
      <c r="B20" s="20" t="s">
        <v>69</v>
      </c>
      <c r="C20" s="21" t="s">
        <v>237</v>
      </c>
      <c r="D20" s="20">
        <v>32209643</v>
      </c>
      <c r="E20" s="21">
        <v>10</v>
      </c>
      <c r="F20" s="21">
        <v>32</v>
      </c>
      <c r="G20" s="21">
        <v>50</v>
      </c>
      <c r="I20" s="22">
        <f t="shared" si="0"/>
        <v>1.9899875</v>
      </c>
      <c r="J20" s="23">
        <f t="shared" si="1"/>
        <v>3.9540705247804203E-2</v>
      </c>
      <c r="K20" s="23">
        <f t="shared" si="2"/>
        <v>3.0730672798826117E-2</v>
      </c>
      <c r="L20" s="23">
        <f t="shared" si="3"/>
        <v>1.7879366126473367E-2</v>
      </c>
      <c r="M20" s="23">
        <f t="shared" si="4"/>
        <v>8.8100324489780897E-3</v>
      </c>
      <c r="N20" s="20">
        <f t="shared" si="5"/>
        <v>989824</v>
      </c>
      <c r="O20" s="23">
        <f t="shared" si="6"/>
        <v>4.1922657017811615E-2</v>
      </c>
      <c r="P20" s="24">
        <v>30379563</v>
      </c>
      <c r="Q20" s="24">
        <v>949361.34375</v>
      </c>
      <c r="R20" s="24">
        <v>28806.71875</v>
      </c>
      <c r="S20" s="25">
        <v>1273592</v>
      </c>
      <c r="T20" s="25">
        <v>575888</v>
      </c>
      <c r="U20" s="25">
        <v>413936</v>
      </c>
      <c r="V20" s="25">
        <v>283768</v>
      </c>
      <c r="W20" s="26">
        <v>67.248238000000001</v>
      </c>
      <c r="X20" s="26">
        <v>68.985433999999998</v>
      </c>
      <c r="Y20" s="26">
        <v>30.072700000000001</v>
      </c>
      <c r="Z20" s="26">
        <v>39.540097000000003</v>
      </c>
      <c r="AA20" s="26">
        <v>38.074331000000001</v>
      </c>
      <c r="AB20" s="27">
        <v>4021.21</v>
      </c>
      <c r="AC20" s="27">
        <v>2230.16</v>
      </c>
      <c r="AD20" s="27">
        <v>9.9090000000000007</v>
      </c>
      <c r="AE20" s="27">
        <v>13.968999999999999</v>
      </c>
      <c r="AG20" s="22">
        <f t="shared" si="7"/>
        <v>1.9899875</v>
      </c>
      <c r="AH20" s="23">
        <f t="shared" si="8"/>
        <v>3.9540705247804203E-2</v>
      </c>
      <c r="AI20" s="23">
        <f t="shared" si="9"/>
        <v>3.0730672798826117E-2</v>
      </c>
      <c r="AJ20" s="23">
        <f t="shared" si="10"/>
        <v>1.7879366126473367E-2</v>
      </c>
      <c r="AK20" s="23">
        <f t="shared" si="11"/>
        <v>8.8100324489780897E-3</v>
      </c>
      <c r="AL20" s="20">
        <f t="shared" si="12"/>
        <v>989824</v>
      </c>
      <c r="AM20" s="23">
        <f t="shared" si="13"/>
        <v>4.1922657017811615E-2</v>
      </c>
      <c r="AN20" s="24">
        <v>30379563</v>
      </c>
      <c r="AO20" s="24">
        <v>949361.34375</v>
      </c>
      <c r="AP20" s="24">
        <v>28806.71875</v>
      </c>
      <c r="AQ20" s="25">
        <v>1273592</v>
      </c>
      <c r="AR20" s="25">
        <v>575888</v>
      </c>
      <c r="AS20" s="25">
        <v>413936</v>
      </c>
      <c r="AT20" s="25">
        <v>283768</v>
      </c>
      <c r="AU20" s="26">
        <v>67.24823750000003</v>
      </c>
      <c r="AV20" s="26">
        <v>68.985434374999997</v>
      </c>
      <c r="AW20" s="26">
        <v>30.072700000000001</v>
      </c>
      <c r="AX20" s="26">
        <v>39.540096875000003</v>
      </c>
      <c r="AY20" s="26">
        <v>38.074331249999993</v>
      </c>
      <c r="AZ20" s="27">
        <v>4411.24</v>
      </c>
      <c r="BA20" s="27">
        <v>4181.1099999999997</v>
      </c>
      <c r="BB20" s="27">
        <v>14.916</v>
      </c>
      <c r="BC20" s="27">
        <v>8.548</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-6.9348709330618874E-8</v>
      </c>
      <c r="BK20" s="28">
        <f>IF( OR(ISBLANK(N20:N24),ISBLANK(AL20:AL24), ISBLANK(X20:X24),ISBLANK(AV20:AV24)), "·", bdRateExtend( N20:N24,X20:X24, AL20:AL24,AV20:AV24))</f>
        <v>6.0189356609896549E-8</v>
      </c>
      <c r="BL20" s="28">
        <f>IF( OR(ISBLANK(V20:V24),ISBLANK(AT20:AT24), ISBLANK(Y20:Y24),ISBLANK(AW20:AW24)), "·", bdRateExtend( V20:V24,Y20:Y24, AT20:AT24,AW20:AW24))</f>
        <v>6.4087246842703394E-8</v>
      </c>
      <c r="BM20" s="28">
        <f>IF( OR(ISBLANK(V20:V24),ISBLANK(AT20:AT24), ISBLANK(Z20:Z24),ISBLANK(AX20:AX24)), "·", bdRateExtend( V20:V24,Z20:Z24, AT20:AT24,AX20:AX24))</f>
        <v>-4.5610887178249016E-8</v>
      </c>
      <c r="BN20" s="28">
        <f>IF( OR(ISBLANK(V20:V24),ISBLANK(AT20:AT24), ISBLANK(AA20:AA24),ISBLANK(AY20:AY24)), "·", bdRateExtend( V20:V24,AA20:AA24, AT20:AT24,AY20:AY24))</f>
        <v>8.1369510240847376E-8</v>
      </c>
      <c r="BP20" s="28">
        <f>IF( OR(ISBLANK(S20:S24),ISBLANK(AQ20:AQ24), ISBLANK(W20:W24),ISBLANK(AU20:AU24)), "·", bdRateExtend( S20:S24,W20:W24, AQ20:AQ24,AU20:AU24))</f>
        <v>-1.2336703070214838E-7</v>
      </c>
      <c r="BQ20" s="28">
        <f>IF( OR(ISBLANK(S20:S24),ISBLANK(AQ20:AQ24), ISBLANK(X20:X24),ISBLANK(AV20:AV24)), "·", bdRateExtend( S20:S24,X20:X24, AQ20:AQ24,AV20:AV24))</f>
        <v>1.0699649455325755E-7</v>
      </c>
      <c r="BR20" s="28">
        <f>IF( OR(ISBLANK(S20:S24),ISBLANK(AQ20:AQ24), ISBLANK(Y20:Y24),ISBLANK(AW20:AW24)), "·", bdRateExtend( S20:S24,Y20:Y24, AQ20:AQ24,AW20:AW24))</f>
        <v>4.305384337932594E-8</v>
      </c>
      <c r="BS20" s="28">
        <f>IF( OR(ISBLANK(S20:S24),ISBLANK(AQ20:AQ24), ISBLANK(Z20:Z24),ISBLANK(AX20:AX24)), "·", bdRateExtend( S20:S24,Z20:Z24, AQ20:AQ24,AX20:AX24))</f>
        <v>-5.187469431788827E-8</v>
      </c>
      <c r="BT20" s="28">
        <f>IF( OR(ISBLANK(S20:S24),ISBLANK(AQ20:AQ24), ISBLANK(AA20:AA24),ISBLANK(AY20:AY24)), "·", bdRateExtend( S20:S24,AA20:AA24, AQ20:AQ24,AY20:AY24))</f>
        <v>7.456916373271838E-8</v>
      </c>
      <c r="BV20">
        <f t="shared" si="17"/>
        <v>0</v>
      </c>
      <c r="BW20">
        <f t="shared" si="18"/>
        <v>0</v>
      </c>
      <c r="BX20">
        <f t="shared" si="19"/>
        <v>0</v>
      </c>
      <c r="BY20">
        <f t="shared" si="20"/>
        <v>0</v>
      </c>
      <c r="BZ20">
        <f t="shared" si="21"/>
        <v>0</v>
      </c>
      <c r="CA20">
        <f t="shared" si="22"/>
        <v>0</v>
      </c>
      <c r="CB20">
        <f t="shared" si="23"/>
        <v>0</v>
      </c>
      <c r="CC20">
        <f t="shared" si="24"/>
        <v>-4.9999997031591192E-7</v>
      </c>
      <c r="CD20">
        <f t="shared" si="25"/>
        <v>3.7499999905321602E-7</v>
      </c>
      <c r="CE20">
        <f t="shared" si="26"/>
        <v>0</v>
      </c>
      <c r="CF20">
        <f t="shared" si="27"/>
        <v>-1.2499999968440534E-7</v>
      </c>
      <c r="CG20">
        <f t="shared" si="28"/>
        <v>2.4999999226338332E-7</v>
      </c>
      <c r="CJ20" t="s">
        <v>244</v>
      </c>
    </row>
    <row r="21" spans="1:88" hidden="1" outlineLevel="1" x14ac:dyDescent="0.25">
      <c r="A21" s="10"/>
      <c r="B21" s="10" t="s">
        <v>69</v>
      </c>
      <c r="C21" s="11" t="s">
        <v>239</v>
      </c>
      <c r="D21" s="10">
        <v>32209643</v>
      </c>
      <c r="E21" s="11">
        <v>10</v>
      </c>
      <c r="F21" s="11">
        <v>32</v>
      </c>
      <c r="G21" s="11">
        <v>50</v>
      </c>
      <c r="I21" s="12">
        <f t="shared" si="0"/>
        <v>2.6944124999999999</v>
      </c>
      <c r="J21" s="13">
        <f t="shared" si="1"/>
        <v>5.353750738559878E-2</v>
      </c>
      <c r="K21" s="13">
        <f t="shared" si="2"/>
        <v>3.652098845057053E-2</v>
      </c>
      <c r="L21" s="13">
        <f t="shared" si="3"/>
        <v>2.3669681778217783E-2</v>
      </c>
      <c r="M21" s="13">
        <f t="shared" si="4"/>
        <v>1.7016518935028247E-2</v>
      </c>
      <c r="N21" s="10">
        <f t="shared" si="5"/>
        <v>1176328</v>
      </c>
      <c r="O21" s="13">
        <f t="shared" si="6"/>
        <v>5.440370470064939E-2</v>
      </c>
      <c r="P21" s="14">
        <v>31696812</v>
      </c>
      <c r="Q21" s="14">
        <v>990525.375</v>
      </c>
      <c r="R21" s="14">
        <v>33593.15625</v>
      </c>
      <c r="S21" s="15">
        <v>1724424</v>
      </c>
      <c r="T21" s="15">
        <v>762392</v>
      </c>
      <c r="U21" s="15">
        <v>413936</v>
      </c>
      <c r="V21" s="15">
        <v>548096</v>
      </c>
      <c r="W21" s="16">
        <v>68.873231000000004</v>
      </c>
      <c r="X21" s="16">
        <v>70.998266000000001</v>
      </c>
      <c r="Y21" s="16">
        <v>31.541346999999998</v>
      </c>
      <c r="Z21" s="16">
        <v>40.515546999999998</v>
      </c>
      <c r="AA21" s="16">
        <v>39.215978</v>
      </c>
      <c r="AB21" s="17">
        <v>8172.19</v>
      </c>
      <c r="AC21" s="17">
        <v>3144.38</v>
      </c>
      <c r="AD21" s="17">
        <v>12.686999999999999</v>
      </c>
      <c r="AE21" s="17">
        <v>21.411999999999999</v>
      </c>
      <c r="AG21" s="12">
        <f t="shared" si="7"/>
        <v>2.6944124999999999</v>
      </c>
      <c r="AH21" s="13">
        <f t="shared" si="8"/>
        <v>5.353750738559878E-2</v>
      </c>
      <c r="AI21" s="13">
        <f t="shared" si="9"/>
        <v>3.652098845057053E-2</v>
      </c>
      <c r="AJ21" s="13">
        <f t="shared" si="10"/>
        <v>2.3669681778217783E-2</v>
      </c>
      <c r="AK21" s="13">
        <f t="shared" si="11"/>
        <v>1.7016518935028247E-2</v>
      </c>
      <c r="AL21" s="10">
        <f t="shared" si="12"/>
        <v>1176328</v>
      </c>
      <c r="AM21" s="13">
        <f t="shared" si="13"/>
        <v>5.440370470064939E-2</v>
      </c>
      <c r="AN21" s="14">
        <v>31696812</v>
      </c>
      <c r="AO21" s="14">
        <v>990525.375</v>
      </c>
      <c r="AP21" s="14">
        <v>33593.15625</v>
      </c>
      <c r="AQ21" s="15">
        <v>1724424</v>
      </c>
      <c r="AR21" s="15">
        <v>762392</v>
      </c>
      <c r="AS21" s="15">
        <v>413936</v>
      </c>
      <c r="AT21" s="15">
        <v>548096</v>
      </c>
      <c r="AU21" s="16">
        <v>68.873231249999989</v>
      </c>
      <c r="AV21" s="16">
        <v>70.998265625000002</v>
      </c>
      <c r="AW21" s="16">
        <v>31.541346874999999</v>
      </c>
      <c r="AX21" s="16">
        <v>40.515546875000013</v>
      </c>
      <c r="AY21" s="16">
        <v>39.215978124999992</v>
      </c>
      <c r="AZ21" s="17">
        <v>4403.3900000000003</v>
      </c>
      <c r="BA21" s="17">
        <v>4424.01</v>
      </c>
      <c r="BB21" s="17">
        <v>14.688000000000001</v>
      </c>
      <c r="BC21" s="17">
        <v>9.1720000000000006</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2.4999998515795596E-7</v>
      </c>
      <c r="CD21">
        <f t="shared" si="25"/>
        <v>-3.7499999905321602E-7</v>
      </c>
      <c r="CE21">
        <f t="shared" si="26"/>
        <v>-1.2499999968440534E-7</v>
      </c>
      <c r="CF21">
        <f t="shared" si="27"/>
        <v>-1.2499998547355062E-7</v>
      </c>
      <c r="CG21">
        <f t="shared" si="28"/>
        <v>1.2499999257897798E-7</v>
      </c>
      <c r="CJ21" t="s">
        <v>244</v>
      </c>
    </row>
    <row r="22" spans="1:88" hidden="1" outlineLevel="1" x14ac:dyDescent="0.25">
      <c r="A22" s="20"/>
      <c r="B22" s="20" t="s">
        <v>69</v>
      </c>
      <c r="C22" s="21" t="s">
        <v>240</v>
      </c>
      <c r="D22" s="20">
        <v>32209643</v>
      </c>
      <c r="E22" s="21">
        <v>10</v>
      </c>
      <c r="F22" s="21">
        <v>32</v>
      </c>
      <c r="G22" s="21">
        <v>50</v>
      </c>
      <c r="I22" s="22">
        <f t="shared" si="0"/>
        <v>4.1956749999999996</v>
      </c>
      <c r="J22" s="23">
        <f t="shared" si="1"/>
        <v>8.3367331950869497E-2</v>
      </c>
      <c r="K22" s="23">
        <f t="shared" si="2"/>
        <v>4.335471833698995E-2</v>
      </c>
      <c r="L22" s="23">
        <f t="shared" si="3"/>
        <v>3.0503411664637201E-2</v>
      </c>
      <c r="M22" s="23">
        <f t="shared" si="4"/>
        <v>4.0012613613879547E-2</v>
      </c>
      <c r="N22" s="20">
        <f t="shared" si="5"/>
        <v>1396440</v>
      </c>
      <c r="O22" s="23">
        <f t="shared" si="6"/>
        <v>8.2356829807738105E-2</v>
      </c>
      <c r="P22" s="24">
        <v>32604849</v>
      </c>
      <c r="Q22" s="24">
        <v>1018901.53125</v>
      </c>
      <c r="R22" s="24">
        <v>35090.5625</v>
      </c>
      <c r="S22" s="25">
        <v>2685232</v>
      </c>
      <c r="T22" s="25">
        <v>982504</v>
      </c>
      <c r="U22" s="25">
        <v>413936</v>
      </c>
      <c r="V22" s="25">
        <v>1288792</v>
      </c>
      <c r="W22" s="26">
        <v>70.092033999999998</v>
      </c>
      <c r="X22" s="26">
        <v>72.552463000000003</v>
      </c>
      <c r="Y22" s="26">
        <v>33.405968999999999</v>
      </c>
      <c r="Z22" s="26">
        <v>41.661025000000002</v>
      </c>
      <c r="AA22" s="26">
        <v>40.480747000000001</v>
      </c>
      <c r="AB22" s="27">
        <v>6857.38</v>
      </c>
      <c r="AC22" s="27">
        <v>3985.36</v>
      </c>
      <c r="AD22" s="27">
        <v>12.108000000000001</v>
      </c>
      <c r="AE22" s="27">
        <v>20.986999999999998</v>
      </c>
      <c r="AG22" s="22">
        <f t="shared" si="7"/>
        <v>4.1956749999999996</v>
      </c>
      <c r="AH22" s="23">
        <f t="shared" si="8"/>
        <v>8.3367331950869497E-2</v>
      </c>
      <c r="AI22" s="23">
        <f t="shared" si="9"/>
        <v>4.335471833698995E-2</v>
      </c>
      <c r="AJ22" s="23">
        <f t="shared" si="10"/>
        <v>3.0503411664637201E-2</v>
      </c>
      <c r="AK22" s="23">
        <f t="shared" si="11"/>
        <v>4.0012613613879547E-2</v>
      </c>
      <c r="AL22" s="20">
        <f t="shared" si="12"/>
        <v>1396440</v>
      </c>
      <c r="AM22" s="23">
        <f t="shared" si="13"/>
        <v>8.2356829807738105E-2</v>
      </c>
      <c r="AN22" s="24">
        <v>32604849</v>
      </c>
      <c r="AO22" s="24">
        <v>1018901.53125</v>
      </c>
      <c r="AP22" s="24">
        <v>35090.5625</v>
      </c>
      <c r="AQ22" s="25">
        <v>2685232</v>
      </c>
      <c r="AR22" s="25">
        <v>982504</v>
      </c>
      <c r="AS22" s="25">
        <v>413936</v>
      </c>
      <c r="AT22" s="25">
        <v>1288792</v>
      </c>
      <c r="AU22" s="26">
        <v>70.092034374999997</v>
      </c>
      <c r="AV22" s="26">
        <v>72.552462500000004</v>
      </c>
      <c r="AW22" s="26">
        <v>33.405968749999992</v>
      </c>
      <c r="AX22" s="26">
        <v>41.661025000000002</v>
      </c>
      <c r="AY22" s="26">
        <v>40.480746874999987</v>
      </c>
      <c r="AZ22" s="27">
        <v>4518.33</v>
      </c>
      <c r="BA22" s="27">
        <v>4610.17</v>
      </c>
      <c r="BB22" s="27">
        <v>14.816000000000001</v>
      </c>
      <c r="BC22" s="27">
        <v>9.2639999999999993</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3.7499999905321602E-7</v>
      </c>
      <c r="CD22">
        <f t="shared" si="25"/>
        <v>-4.9999999873762135E-7</v>
      </c>
      <c r="CE22">
        <f t="shared" si="26"/>
        <v>-2.5000000647423803E-7</v>
      </c>
      <c r="CF22">
        <f t="shared" si="27"/>
        <v>0</v>
      </c>
      <c r="CG22">
        <f t="shared" si="28"/>
        <v>-1.2500001389526005E-7</v>
      </c>
      <c r="CJ22" t="s">
        <v>244</v>
      </c>
    </row>
    <row r="23" spans="1:88" hidden="1" outlineLevel="1" x14ac:dyDescent="0.25">
      <c r="A23" s="10"/>
      <c r="B23" s="10" t="s">
        <v>69</v>
      </c>
      <c r="C23" s="11" t="s">
        <v>241</v>
      </c>
      <c r="D23" s="10">
        <v>32209643</v>
      </c>
      <c r="E23" s="11">
        <v>10</v>
      </c>
      <c r="F23" s="11">
        <v>32</v>
      </c>
      <c r="G23" s="11">
        <v>50</v>
      </c>
      <c r="I23" s="12">
        <f t="shared" si="0"/>
        <v>7.9713250000000002</v>
      </c>
      <c r="J23" s="13">
        <f t="shared" si="1"/>
        <v>0.1583888402612845</v>
      </c>
      <c r="K23" s="13">
        <f t="shared" si="2"/>
        <v>6.4348182933912063E-2</v>
      </c>
      <c r="L23" s="13">
        <f t="shared" si="3"/>
        <v>5.1496876261559313E-2</v>
      </c>
      <c r="M23" s="13">
        <f t="shared" si="4"/>
        <v>9.4040657327372421E-2</v>
      </c>
      <c r="N23" s="10">
        <f t="shared" si="5"/>
        <v>2072632</v>
      </c>
      <c r="O23" s="13">
        <f t="shared" si="6"/>
        <v>0.15547492975108032</v>
      </c>
      <c r="P23" s="14">
        <v>32813316</v>
      </c>
      <c r="Q23" s="14">
        <v>1025416.125</v>
      </c>
      <c r="R23" s="14">
        <v>37028.40625</v>
      </c>
      <c r="S23" s="15">
        <v>5101648</v>
      </c>
      <c r="T23" s="15">
        <v>1658696</v>
      </c>
      <c r="U23" s="15">
        <v>413936</v>
      </c>
      <c r="V23" s="15">
        <v>3029016</v>
      </c>
      <c r="W23" s="16">
        <v>71.045558999999997</v>
      </c>
      <c r="X23" s="16">
        <v>73.797391000000005</v>
      </c>
      <c r="Y23" s="16">
        <v>35.29325</v>
      </c>
      <c r="Z23" s="16">
        <v>42.754381000000002</v>
      </c>
      <c r="AA23" s="16">
        <v>41.481662999999998</v>
      </c>
      <c r="AB23" s="17">
        <v>6962.17</v>
      </c>
      <c r="AC23" s="17">
        <v>3570.99</v>
      </c>
      <c r="AD23" s="17">
        <v>12.175000000000001</v>
      </c>
      <c r="AE23" s="17">
        <v>21.806999999999999</v>
      </c>
      <c r="AG23" s="12">
        <f t="shared" si="7"/>
        <v>7.9713250000000002</v>
      </c>
      <c r="AH23" s="13">
        <f t="shared" si="8"/>
        <v>0.1583888402612845</v>
      </c>
      <c r="AI23" s="13">
        <f t="shared" si="9"/>
        <v>6.4348182933912063E-2</v>
      </c>
      <c r="AJ23" s="13">
        <f t="shared" si="10"/>
        <v>5.1496876261559313E-2</v>
      </c>
      <c r="AK23" s="13">
        <f t="shared" si="11"/>
        <v>9.4040657327372421E-2</v>
      </c>
      <c r="AL23" s="10">
        <f t="shared" si="12"/>
        <v>2072632</v>
      </c>
      <c r="AM23" s="13">
        <f t="shared" si="13"/>
        <v>0.15547492975108032</v>
      </c>
      <c r="AN23" s="14">
        <v>32813316</v>
      </c>
      <c r="AO23" s="14">
        <v>1025416.125</v>
      </c>
      <c r="AP23" s="14">
        <v>37028.40625</v>
      </c>
      <c r="AQ23" s="15">
        <v>5101648</v>
      </c>
      <c r="AR23" s="15">
        <v>1658696</v>
      </c>
      <c r="AS23" s="15">
        <v>413936</v>
      </c>
      <c r="AT23" s="15">
        <v>3029016</v>
      </c>
      <c r="AU23" s="16">
        <v>71.045559374999982</v>
      </c>
      <c r="AV23" s="16">
        <v>73.797390624999977</v>
      </c>
      <c r="AW23" s="16">
        <v>35.293249999999993</v>
      </c>
      <c r="AX23" s="16">
        <v>42.754381250000002</v>
      </c>
      <c r="AY23" s="16">
        <v>41.481662500000013</v>
      </c>
      <c r="AZ23" s="17">
        <v>4438.3100000000004</v>
      </c>
      <c r="BA23" s="17">
        <v>4958.1899999999996</v>
      </c>
      <c r="BB23" s="17">
        <v>15.231999999999999</v>
      </c>
      <c r="BC23" s="17">
        <v>9.66</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3.749999848423613E-7</v>
      </c>
      <c r="CD23">
        <f t="shared" si="25"/>
        <v>-3.7500002747492545E-7</v>
      </c>
      <c r="CE23">
        <f t="shared" si="26"/>
        <v>0</v>
      </c>
      <c r="CF23">
        <f t="shared" si="27"/>
        <v>2.4999999936881068E-7</v>
      </c>
      <c r="CG23">
        <f t="shared" si="28"/>
        <v>-4.9999998452676664E-7</v>
      </c>
      <c r="CJ23" t="s">
        <v>244</v>
      </c>
    </row>
    <row r="24" spans="1:88" ht="15.75" hidden="1" customHeight="1" outlineLevel="1" thickBot="1" x14ac:dyDescent="0.3">
      <c r="A24" s="40"/>
      <c r="B24" s="40" t="s">
        <v>69</v>
      </c>
      <c r="C24" s="41" t="s">
        <v>242</v>
      </c>
      <c r="D24" s="40">
        <v>32209643</v>
      </c>
      <c r="E24" s="41">
        <v>10</v>
      </c>
      <c r="F24" s="41">
        <v>32</v>
      </c>
      <c r="G24" s="41">
        <v>50</v>
      </c>
      <c r="I24" s="42">
        <f t="shared" si="0"/>
        <v>16.4397375</v>
      </c>
      <c r="J24" s="43">
        <f t="shared" si="1"/>
        <v>0.32665472262452583</v>
      </c>
      <c r="K24" s="43">
        <f t="shared" si="2"/>
        <v>0.11080656808273225</v>
      </c>
      <c r="L24" s="43">
        <f t="shared" si="3"/>
        <v>8.2587192909899687E-2</v>
      </c>
      <c r="M24" s="43">
        <f t="shared" si="4"/>
        <v>0.2158481545417936</v>
      </c>
      <c r="N24" s="40">
        <f t="shared" si="5"/>
        <v>3569040</v>
      </c>
      <c r="O24" s="43">
        <f t="shared" si="6"/>
        <v>0.33641679821480358</v>
      </c>
      <c r="P24" s="44">
        <v>31274990</v>
      </c>
      <c r="Q24" s="44">
        <v>977343.4375</v>
      </c>
      <c r="R24" s="44">
        <v>17914.71875</v>
      </c>
      <c r="S24" s="45">
        <v>10521432</v>
      </c>
      <c r="T24" s="45">
        <v>2660104</v>
      </c>
      <c r="U24" s="45">
        <v>908936</v>
      </c>
      <c r="V24" s="45">
        <v>6952392</v>
      </c>
      <c r="W24" s="46">
        <v>71.767975000000007</v>
      </c>
      <c r="X24" s="46">
        <v>75.810796999999994</v>
      </c>
      <c r="Y24" s="46">
        <v>36.874640999999997</v>
      </c>
      <c r="Z24" s="46">
        <v>43.507331000000001</v>
      </c>
      <c r="AA24" s="46">
        <v>42.057256000000002</v>
      </c>
      <c r="AB24" s="47">
        <v>3972.54</v>
      </c>
      <c r="AC24" s="47">
        <v>3013.84</v>
      </c>
      <c r="AD24" s="47">
        <v>9.7490000000000006</v>
      </c>
      <c r="AE24" s="47">
        <v>16.317</v>
      </c>
      <c r="AG24" s="42">
        <f t="shared" si="7"/>
        <v>16.4397375</v>
      </c>
      <c r="AH24" s="43">
        <f t="shared" si="8"/>
        <v>0.32665472262452583</v>
      </c>
      <c r="AI24" s="43">
        <f t="shared" si="9"/>
        <v>0.11080656808273225</v>
      </c>
      <c r="AJ24" s="43">
        <f t="shared" si="10"/>
        <v>8.2587192909899687E-2</v>
      </c>
      <c r="AK24" s="43">
        <f t="shared" si="11"/>
        <v>0.2158481545417936</v>
      </c>
      <c r="AL24" s="40">
        <f t="shared" si="12"/>
        <v>3569040</v>
      </c>
      <c r="AM24" s="43">
        <f t="shared" si="13"/>
        <v>0.33641679821480358</v>
      </c>
      <c r="AN24" s="44">
        <v>31274990</v>
      </c>
      <c r="AO24" s="44">
        <v>977343.4375</v>
      </c>
      <c r="AP24" s="44">
        <v>17914.71875</v>
      </c>
      <c r="AQ24" s="45">
        <v>10521432</v>
      </c>
      <c r="AR24" s="45">
        <v>2660104</v>
      </c>
      <c r="AS24" s="45">
        <v>908936</v>
      </c>
      <c r="AT24" s="45">
        <v>6952392</v>
      </c>
      <c r="AU24" s="46">
        <v>71.767975000000021</v>
      </c>
      <c r="AV24" s="46">
        <v>75.81079687499998</v>
      </c>
      <c r="AW24" s="46">
        <v>36.874640624999998</v>
      </c>
      <c r="AX24" s="46">
        <v>43.507331250000007</v>
      </c>
      <c r="AY24" s="46">
        <v>42.057256250000002</v>
      </c>
      <c r="AZ24" s="47">
        <v>4367.84</v>
      </c>
      <c r="BA24" s="47">
        <v>5413.71</v>
      </c>
      <c r="BB24" s="47">
        <v>14.804</v>
      </c>
      <c r="BC24" s="47">
        <v>11.4</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-1.2500001389526005E-7</v>
      </c>
      <c r="CE24">
        <f t="shared" si="26"/>
        <v>-3.7499999905321602E-7</v>
      </c>
      <c r="CF24">
        <f t="shared" si="27"/>
        <v>2.5000000647423803E-7</v>
      </c>
      <c r="CG24">
        <f t="shared" si="28"/>
        <v>2.4999999936881068E-7</v>
      </c>
      <c r="CJ24" t="s">
        <v>244</v>
      </c>
    </row>
    <row r="25" spans="1:88" collapsed="1" x14ac:dyDescent="0.25">
      <c r="A25" s="10" t="s">
        <v>245</v>
      </c>
      <c r="B25" s="10" t="s">
        <v>72</v>
      </c>
      <c r="C25" s="11" t="s">
        <v>237</v>
      </c>
      <c r="D25" s="10">
        <v>25312408</v>
      </c>
      <c r="E25" s="11">
        <v>10</v>
      </c>
      <c r="F25" s="11">
        <v>32</v>
      </c>
      <c r="G25" s="11">
        <v>30</v>
      </c>
      <c r="I25" s="12">
        <f t="shared" si="0"/>
        <v>2.05959</v>
      </c>
      <c r="J25" s="13">
        <f t="shared" si="1"/>
        <v>8.6791268535178476E-2</v>
      </c>
      <c r="K25" s="13">
        <f t="shared" si="2"/>
        <v>5.6512363422713478E-2</v>
      </c>
      <c r="L25" s="13">
        <f t="shared" si="3"/>
        <v>3.4663158084367159E-2</v>
      </c>
      <c r="M25" s="13">
        <f t="shared" si="4"/>
        <v>3.0278905112465001E-2</v>
      </c>
      <c r="N25" s="10">
        <f t="shared" si="5"/>
        <v>1430464</v>
      </c>
      <c r="O25" s="13">
        <f t="shared" si="6"/>
        <v>9.3789336445960422E-2</v>
      </c>
      <c r="P25" s="14">
        <v>23423729</v>
      </c>
      <c r="Q25" s="14">
        <v>731991.53125</v>
      </c>
      <c r="R25" s="14">
        <v>14601.28125</v>
      </c>
      <c r="S25" s="15">
        <v>2196896</v>
      </c>
      <c r="T25" s="15">
        <v>877408</v>
      </c>
      <c r="U25" s="15">
        <v>553056</v>
      </c>
      <c r="V25" s="15">
        <v>766432</v>
      </c>
      <c r="W25" s="16">
        <v>66.249555999999998</v>
      </c>
      <c r="X25" s="16">
        <v>68.002122</v>
      </c>
      <c r="Y25" s="16">
        <v>25.895033999999999</v>
      </c>
      <c r="Z25" s="16">
        <v>32.454721999999997</v>
      </c>
      <c r="AA25" s="16">
        <v>31.646274999999999</v>
      </c>
      <c r="AB25" s="17">
        <v>1362.18</v>
      </c>
      <c r="AC25" s="17">
        <v>2907.82</v>
      </c>
      <c r="AD25" s="17">
        <v>8.7620000000000005</v>
      </c>
      <c r="AE25" s="17">
        <v>15.159000000000001</v>
      </c>
      <c r="AG25" s="12">
        <f t="shared" si="7"/>
        <v>2.05959</v>
      </c>
      <c r="AH25" s="13">
        <f t="shared" si="8"/>
        <v>8.6791268535178476E-2</v>
      </c>
      <c r="AI25" s="13">
        <f t="shared" si="9"/>
        <v>5.6512363422713478E-2</v>
      </c>
      <c r="AJ25" s="13">
        <f t="shared" si="10"/>
        <v>3.4663158084367159E-2</v>
      </c>
      <c r="AK25" s="13">
        <f t="shared" si="11"/>
        <v>3.0278905112465001E-2</v>
      </c>
      <c r="AL25" s="10">
        <f t="shared" si="12"/>
        <v>1430464</v>
      </c>
      <c r="AM25" s="13">
        <f t="shared" si="13"/>
        <v>9.3789336445960422E-2</v>
      </c>
      <c r="AN25" s="14">
        <v>23423729</v>
      </c>
      <c r="AO25" s="14">
        <v>731991.53125</v>
      </c>
      <c r="AP25" s="14">
        <v>14601.28125</v>
      </c>
      <c r="AQ25" s="15">
        <v>2196896</v>
      </c>
      <c r="AR25" s="15">
        <v>877408</v>
      </c>
      <c r="AS25" s="15">
        <v>553056</v>
      </c>
      <c r="AT25" s="15">
        <v>766432</v>
      </c>
      <c r="AU25" s="16">
        <v>66.249556249999998</v>
      </c>
      <c r="AV25" s="16">
        <v>68.002121874999986</v>
      </c>
      <c r="AW25" s="16">
        <v>25.895034374999991</v>
      </c>
      <c r="AX25" s="16">
        <v>32.454721874999997</v>
      </c>
      <c r="AY25" s="16">
        <v>31.646274999999999</v>
      </c>
      <c r="AZ25" s="17">
        <v>1580.6</v>
      </c>
      <c r="BA25" s="17">
        <v>5517.1</v>
      </c>
      <c r="BB25" s="17">
        <v>13.736000000000001</v>
      </c>
      <c r="BC25" s="17">
        <v>9.9160000000000004</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-1.7720740541626867E-8</v>
      </c>
      <c r="BK25" s="18">
        <f>IF( OR(ISBLANK(N25:N29),ISBLANK(AL25:AL29), ISBLANK(X25:X29),ISBLANK(AV25:AV29)), "·", bdRateExtend( N25:N29,X25:X29, AL25:AL29,AV25:AV29))</f>
        <v>2.4054018776809016E-9</v>
      </c>
      <c r="BL25" s="18">
        <f>IF( OR(ISBLANK(V25:V29),ISBLANK(AT25:AT29), ISBLANK(Y25:Y29),ISBLANK(AW25:AW29)), "·", bdRateExtend( V25:V29,Y25:Y29, AT25:AT29,AW25:AW29))</f>
        <v>-4.1437449027625917E-9</v>
      </c>
      <c r="BM25" s="18">
        <f>IF( OR(ISBLANK(V25:V29),ISBLANK(AT25:AT29), ISBLANK(Z25:Z29),ISBLANK(AX25:AX29)), "·", bdRateExtend( V25:V29,Z25:Z29, AT25:AT29,AX25:AX29))</f>
        <v>-3.3278946820480826E-7</v>
      </c>
      <c r="BN25" s="18">
        <f>IF( OR(ISBLANK(V25:V29),ISBLANK(AT25:AT29), ISBLANK(AA25:AA29),ISBLANK(AY25:AY29)), "·", bdRateExtend( V25:V29,AA25:AA29, AT25:AT29,AY25:AY29))</f>
        <v>3.6558757132709729E-8</v>
      </c>
      <c r="BP25" s="18">
        <f>IF( OR(ISBLANK(S25:S29),ISBLANK(AQ25:AQ29), ISBLANK(W25:W29),ISBLANK(AU25:AU29)), "·", bdRateExtend( S25:S29,W25:W29, AQ25:AQ29,AU25:AU29))</f>
        <v>-3.5684155519355443E-8</v>
      </c>
      <c r="BQ25" s="18">
        <f>IF( OR(ISBLANK(S25:S29),ISBLANK(AQ25:AQ29), ISBLANK(X25:X29),ISBLANK(AV25:AV29)), "·", bdRateExtend( S25:S29,X25:X29, AQ25:AQ29,AV25:AV29))</f>
        <v>6.0729929973746266E-9</v>
      </c>
      <c r="BR25" s="18">
        <f>IF( OR(ISBLANK(S25:S29),ISBLANK(AQ25:AQ29), ISBLANK(Y25:Y29),ISBLANK(AW25:AW29)), "·", bdRateExtend( S25:S29,Y25:Y29, AQ25:AQ29,AW25:AW29))</f>
        <v>-4.043100743089667E-9</v>
      </c>
      <c r="BS25" s="18">
        <f>IF( OR(ISBLANK(S25:S29),ISBLANK(AQ25:AQ29), ISBLANK(Z25:Z29),ISBLANK(AX25:AX29)), "·", bdRateExtend( S25:S29,Z25:Z29, AQ25:AQ29,AX25:AX29))</f>
        <v>-2.3712293617528246E-7</v>
      </c>
      <c r="BT25" s="18">
        <f>IF( OR(ISBLANK(S25:S29),ISBLANK(AQ25:AQ29), ISBLANK(AA25:AA29),ISBLANK(AY25:AY29)), "·", bdRateExtend( S25:S29,AA25:AA29, AQ25:AQ29,AY25:AY29))</f>
        <v>2.9248135247073037E-8</v>
      </c>
      <c r="BV25">
        <f t="shared" si="17"/>
        <v>0</v>
      </c>
      <c r="BW25">
        <f t="shared" si="18"/>
        <v>0</v>
      </c>
      <c r="BX25">
        <f t="shared" si="19"/>
        <v>0</v>
      </c>
      <c r="BY25">
        <f t="shared" si="20"/>
        <v>0</v>
      </c>
      <c r="BZ25">
        <f t="shared" si="21"/>
        <v>0</v>
      </c>
      <c r="CA25">
        <f t="shared" si="22"/>
        <v>0</v>
      </c>
      <c r="CB25">
        <f t="shared" si="23"/>
        <v>0</v>
      </c>
      <c r="CC25">
        <f t="shared" si="24"/>
        <v>2.4999999936881068E-7</v>
      </c>
      <c r="CD25">
        <f t="shared" si="25"/>
        <v>-1.2500001389526005E-7</v>
      </c>
      <c r="CE25">
        <f t="shared" si="26"/>
        <v>3.7499999194778866E-7</v>
      </c>
      <c r="CF25">
        <f t="shared" si="27"/>
        <v>-1.2499999968440534E-7</v>
      </c>
      <c r="CG25">
        <f t="shared" si="28"/>
        <v>0</v>
      </c>
      <c r="CJ25" t="s">
        <v>586</v>
      </c>
    </row>
    <row r="26" spans="1:88" hidden="1" outlineLevel="1" x14ac:dyDescent="0.25">
      <c r="A26" s="20"/>
      <c r="B26" s="20" t="s">
        <v>72</v>
      </c>
      <c r="C26" s="21" t="s">
        <v>239</v>
      </c>
      <c r="D26" s="20">
        <v>25312408</v>
      </c>
      <c r="E26" s="21">
        <v>10</v>
      </c>
      <c r="F26" s="21">
        <v>32</v>
      </c>
      <c r="G26" s="21">
        <v>30</v>
      </c>
      <c r="I26" s="22">
        <f t="shared" si="0"/>
        <v>3.1800600000000001</v>
      </c>
      <c r="J26" s="23">
        <f t="shared" si="1"/>
        <v>0.1340079537276738</v>
      </c>
      <c r="K26" s="23">
        <f t="shared" si="2"/>
        <v>7.1090826285669859E-2</v>
      </c>
      <c r="L26" s="23">
        <f t="shared" si="3"/>
        <v>4.9241620947323539E-2</v>
      </c>
      <c r="M26" s="23">
        <f t="shared" si="4"/>
        <v>6.2917127442003937E-2</v>
      </c>
      <c r="N26" s="20">
        <f t="shared" si="5"/>
        <v>1799480</v>
      </c>
      <c r="O26" s="23">
        <f t="shared" si="6"/>
        <v>0.13765190729513749</v>
      </c>
      <c r="P26" s="24">
        <v>24642332</v>
      </c>
      <c r="Q26" s="24">
        <v>770072.875</v>
      </c>
      <c r="R26" s="24">
        <v>17838.375</v>
      </c>
      <c r="S26" s="25">
        <v>3392064</v>
      </c>
      <c r="T26" s="25">
        <v>1246424</v>
      </c>
      <c r="U26" s="25">
        <v>553056</v>
      </c>
      <c r="V26" s="25">
        <v>1592584</v>
      </c>
      <c r="W26" s="26">
        <v>68.005358999999999</v>
      </c>
      <c r="X26" s="26">
        <v>70.016609000000003</v>
      </c>
      <c r="Y26" s="26">
        <v>27.912872</v>
      </c>
      <c r="Z26" s="26">
        <v>33.647858999999997</v>
      </c>
      <c r="AA26" s="26">
        <v>33.01885</v>
      </c>
      <c r="AB26" s="27">
        <v>1371.57</v>
      </c>
      <c r="AC26" s="27">
        <v>3118.36</v>
      </c>
      <c r="AD26" s="27">
        <v>9.093</v>
      </c>
      <c r="AE26" s="27">
        <v>15.507</v>
      </c>
      <c r="AG26" s="22">
        <f t="shared" si="7"/>
        <v>3.1800600000000001</v>
      </c>
      <c r="AH26" s="23">
        <f t="shared" si="8"/>
        <v>0.1340079537276738</v>
      </c>
      <c r="AI26" s="23">
        <f t="shared" si="9"/>
        <v>7.1090826285669859E-2</v>
      </c>
      <c r="AJ26" s="23">
        <f t="shared" si="10"/>
        <v>4.9241620947323539E-2</v>
      </c>
      <c r="AK26" s="23">
        <f t="shared" si="11"/>
        <v>6.2917127442003937E-2</v>
      </c>
      <c r="AL26" s="20">
        <f t="shared" si="12"/>
        <v>1799480</v>
      </c>
      <c r="AM26" s="23">
        <f t="shared" si="13"/>
        <v>0.13765190729513749</v>
      </c>
      <c r="AN26" s="24">
        <v>24642332</v>
      </c>
      <c r="AO26" s="24">
        <v>770072.875</v>
      </c>
      <c r="AP26" s="24">
        <v>17838.375</v>
      </c>
      <c r="AQ26" s="25">
        <v>3392064</v>
      </c>
      <c r="AR26" s="25">
        <v>1246424</v>
      </c>
      <c r="AS26" s="25">
        <v>553056</v>
      </c>
      <c r="AT26" s="25">
        <v>1592584</v>
      </c>
      <c r="AU26" s="26">
        <v>68.005359375000012</v>
      </c>
      <c r="AV26" s="26">
        <v>70.016609375000016</v>
      </c>
      <c r="AW26" s="26">
        <v>27.912871875</v>
      </c>
      <c r="AX26" s="26">
        <v>33.647859375000003</v>
      </c>
      <c r="AY26" s="26">
        <v>33.01885</v>
      </c>
      <c r="AZ26" s="27">
        <v>1577.31</v>
      </c>
      <c r="BA26" s="27">
        <v>5900.99</v>
      </c>
      <c r="BB26" s="27">
        <v>13.68</v>
      </c>
      <c r="BC26" s="27">
        <v>10.196</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3.7500001326407073E-7</v>
      </c>
      <c r="CD26">
        <f t="shared" si="25"/>
        <v>3.7500001326407073E-7</v>
      </c>
      <c r="CE26">
        <f t="shared" si="26"/>
        <v>-1.2499999968440534E-7</v>
      </c>
      <c r="CF26">
        <f t="shared" si="27"/>
        <v>3.7500000615864337E-7</v>
      </c>
      <c r="CG26">
        <f t="shared" si="28"/>
        <v>0</v>
      </c>
      <c r="CJ26" t="s">
        <v>586</v>
      </c>
    </row>
    <row r="27" spans="1:88" hidden="1" outlineLevel="1" x14ac:dyDescent="0.25">
      <c r="A27" s="10"/>
      <c r="B27" s="10" t="s">
        <v>72</v>
      </c>
      <c r="C27" s="11" t="s">
        <v>240</v>
      </c>
      <c r="D27" s="10">
        <v>25312408</v>
      </c>
      <c r="E27" s="11">
        <v>10</v>
      </c>
      <c r="F27" s="11">
        <v>32</v>
      </c>
      <c r="G27" s="11">
        <v>30</v>
      </c>
      <c r="I27" s="12">
        <f t="shared" si="0"/>
        <v>5.3721525000000003</v>
      </c>
      <c r="J27" s="13">
        <f t="shared" si="1"/>
        <v>0.22638288700150536</v>
      </c>
      <c r="K27" s="13">
        <f t="shared" si="2"/>
        <v>9.2478913898669773E-2</v>
      </c>
      <c r="L27" s="13">
        <f t="shared" si="3"/>
        <v>7.0629708560323454E-2</v>
      </c>
      <c r="M27" s="13">
        <f t="shared" si="4"/>
        <v>0.13390397310283558</v>
      </c>
      <c r="N27" s="10">
        <f t="shared" si="5"/>
        <v>2340864</v>
      </c>
      <c r="O27" s="13">
        <f t="shared" si="6"/>
        <v>0.23035988918693873</v>
      </c>
      <c r="P27" s="14">
        <v>24875407</v>
      </c>
      <c r="Q27" s="14">
        <v>777356.46875</v>
      </c>
      <c r="R27" s="14">
        <v>18687.4375</v>
      </c>
      <c r="S27" s="15">
        <v>5730296</v>
      </c>
      <c r="T27" s="15">
        <v>1787808</v>
      </c>
      <c r="U27" s="15">
        <v>553056</v>
      </c>
      <c r="V27" s="15">
        <v>3389432</v>
      </c>
      <c r="W27" s="16">
        <v>69.301755999999997</v>
      </c>
      <c r="X27" s="16">
        <v>71.690518999999995</v>
      </c>
      <c r="Y27" s="16">
        <v>30.208674999999999</v>
      </c>
      <c r="Z27" s="16">
        <v>34.935647000000003</v>
      </c>
      <c r="AA27" s="16">
        <v>34.363497000000002</v>
      </c>
      <c r="AB27" s="17">
        <v>2258.71</v>
      </c>
      <c r="AC27" s="17">
        <v>4391.51</v>
      </c>
      <c r="AD27" s="17">
        <v>10.445</v>
      </c>
      <c r="AE27" s="17">
        <v>23.32</v>
      </c>
      <c r="AG27" s="12">
        <f t="shared" si="7"/>
        <v>5.3721525000000003</v>
      </c>
      <c r="AH27" s="13">
        <f t="shared" si="8"/>
        <v>0.22638288700150536</v>
      </c>
      <c r="AI27" s="13">
        <f t="shared" si="9"/>
        <v>9.2478913898669773E-2</v>
      </c>
      <c r="AJ27" s="13">
        <f t="shared" si="10"/>
        <v>7.0629708560323454E-2</v>
      </c>
      <c r="AK27" s="13">
        <f t="shared" si="11"/>
        <v>0.13390397310283558</v>
      </c>
      <c r="AL27" s="10">
        <f t="shared" si="12"/>
        <v>2340864</v>
      </c>
      <c r="AM27" s="13">
        <f t="shared" si="13"/>
        <v>0.23035988918693873</v>
      </c>
      <c r="AN27" s="14">
        <v>24875407</v>
      </c>
      <c r="AO27" s="14">
        <v>777356.46875</v>
      </c>
      <c r="AP27" s="14">
        <v>18687.4375</v>
      </c>
      <c r="AQ27" s="15">
        <v>5730296</v>
      </c>
      <c r="AR27" s="15">
        <v>1787808</v>
      </c>
      <c r="AS27" s="15">
        <v>553056</v>
      </c>
      <c r="AT27" s="15">
        <v>3389432</v>
      </c>
      <c r="AU27" s="16">
        <v>69.301756250000011</v>
      </c>
      <c r="AV27" s="16">
        <v>71.690518750000024</v>
      </c>
      <c r="AW27" s="16">
        <v>30.208674999999999</v>
      </c>
      <c r="AX27" s="16">
        <v>34.93565000000001</v>
      </c>
      <c r="AY27" s="16">
        <v>34.363496875000003</v>
      </c>
      <c r="AZ27" s="17">
        <v>1583.81</v>
      </c>
      <c r="BA27" s="17">
        <v>6372.11</v>
      </c>
      <c r="BB27" s="17">
        <v>12.26</v>
      </c>
      <c r="BC27" s="17">
        <v>10.316000000000001</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2.5000001357966539E-7</v>
      </c>
      <c r="CD27">
        <f t="shared" si="25"/>
        <v>-2.4999997094710125E-7</v>
      </c>
      <c r="CE27">
        <f t="shared" si="26"/>
        <v>0</v>
      </c>
      <c r="CF27">
        <f t="shared" si="27"/>
        <v>3.0000000066365828E-6</v>
      </c>
      <c r="CG27">
        <f t="shared" si="28"/>
        <v>-1.2499999968440534E-7</v>
      </c>
      <c r="CJ27" t="s">
        <v>586</v>
      </c>
    </row>
    <row r="28" spans="1:88" hidden="1" outlineLevel="1" x14ac:dyDescent="0.25">
      <c r="A28" s="20"/>
      <c r="B28" s="20" t="s">
        <v>72</v>
      </c>
      <c r="C28" s="21" t="s">
        <v>241</v>
      </c>
      <c r="D28" s="20">
        <v>25312408</v>
      </c>
      <c r="E28" s="21">
        <v>10</v>
      </c>
      <c r="F28" s="21">
        <v>32</v>
      </c>
      <c r="G28" s="21">
        <v>30</v>
      </c>
      <c r="I28" s="22">
        <f t="shared" si="0"/>
        <v>10.3915275</v>
      </c>
      <c r="J28" s="23">
        <f t="shared" si="1"/>
        <v>0.43789970515645926</v>
      </c>
      <c r="K28" s="23">
        <f t="shared" si="2"/>
        <v>0.13039201959766136</v>
      </c>
      <c r="L28" s="23">
        <f t="shared" si="3"/>
        <v>0.10854281425931504</v>
      </c>
      <c r="M28" s="23">
        <f t="shared" si="4"/>
        <v>0.30750768555879787</v>
      </c>
      <c r="N28" s="20">
        <f t="shared" si="5"/>
        <v>3300536</v>
      </c>
      <c r="O28" s="23">
        <f t="shared" si="6"/>
        <v>0.43368108013910289</v>
      </c>
      <c r="P28" s="24">
        <v>25558634</v>
      </c>
      <c r="Q28" s="24">
        <v>798707.3125</v>
      </c>
      <c r="R28" s="24">
        <v>21108.9375</v>
      </c>
      <c r="S28" s="25">
        <v>11084296</v>
      </c>
      <c r="T28" s="25">
        <v>2747480</v>
      </c>
      <c r="U28" s="25">
        <v>553056</v>
      </c>
      <c r="V28" s="25">
        <v>7783760</v>
      </c>
      <c r="W28" s="26">
        <v>70.462115999999995</v>
      </c>
      <c r="X28" s="26">
        <v>72.993594000000002</v>
      </c>
      <c r="Y28" s="26">
        <v>32.718547000000001</v>
      </c>
      <c r="Z28" s="26">
        <v>36.415940999999997</v>
      </c>
      <c r="AA28" s="26">
        <v>35.862046999999997</v>
      </c>
      <c r="AB28" s="27">
        <v>1378.84</v>
      </c>
      <c r="AC28" s="27">
        <v>3690.19</v>
      </c>
      <c r="AD28" s="27">
        <v>8.9890000000000008</v>
      </c>
      <c r="AE28" s="27">
        <v>17.428000000000001</v>
      </c>
      <c r="AG28" s="22">
        <f t="shared" si="7"/>
        <v>10.3915275</v>
      </c>
      <c r="AH28" s="23">
        <f t="shared" si="8"/>
        <v>0.43789970515645926</v>
      </c>
      <c r="AI28" s="23">
        <f t="shared" si="9"/>
        <v>0.13039201959766136</v>
      </c>
      <c r="AJ28" s="23">
        <f t="shared" si="10"/>
        <v>0.10854281425931504</v>
      </c>
      <c r="AK28" s="23">
        <f t="shared" si="11"/>
        <v>0.30750768555879787</v>
      </c>
      <c r="AL28" s="20">
        <f t="shared" si="12"/>
        <v>3300536</v>
      </c>
      <c r="AM28" s="23">
        <f t="shared" si="13"/>
        <v>0.43368108013910289</v>
      </c>
      <c r="AN28" s="24">
        <v>25558634</v>
      </c>
      <c r="AO28" s="24">
        <v>798707.3125</v>
      </c>
      <c r="AP28" s="24">
        <v>21108.9375</v>
      </c>
      <c r="AQ28" s="25">
        <v>11084296</v>
      </c>
      <c r="AR28" s="25">
        <v>2747480</v>
      </c>
      <c r="AS28" s="25">
        <v>553056</v>
      </c>
      <c r="AT28" s="25">
        <v>7783760</v>
      </c>
      <c r="AU28" s="26">
        <v>70.462115625000024</v>
      </c>
      <c r="AV28" s="26">
        <v>72.993593750000016</v>
      </c>
      <c r="AW28" s="26">
        <v>32.718546875000001</v>
      </c>
      <c r="AX28" s="26">
        <v>36.415940624999998</v>
      </c>
      <c r="AY28" s="26">
        <v>35.862046874999997</v>
      </c>
      <c r="AZ28" s="27">
        <v>1583.77</v>
      </c>
      <c r="BA28" s="27">
        <v>6860.6</v>
      </c>
      <c r="BB28" s="27">
        <v>12.484</v>
      </c>
      <c r="BC28" s="27">
        <v>12.156000000000001</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-3.7499997063150659E-7</v>
      </c>
      <c r="CD28">
        <f t="shared" si="25"/>
        <v>-2.4999998515795596E-7</v>
      </c>
      <c r="CE28">
        <f t="shared" si="26"/>
        <v>-1.2499999968440534E-7</v>
      </c>
      <c r="CF28">
        <f t="shared" si="27"/>
        <v>-3.7499999905321602E-7</v>
      </c>
      <c r="CG28">
        <f t="shared" si="28"/>
        <v>-1.2499999968440534E-7</v>
      </c>
      <c r="CJ28" t="s">
        <v>586</v>
      </c>
    </row>
    <row r="29" spans="1:88" ht="15.75" hidden="1" customHeight="1" outlineLevel="1" thickBot="1" x14ac:dyDescent="0.3">
      <c r="A29" s="30"/>
      <c r="B29" s="30" t="s">
        <v>72</v>
      </c>
      <c r="C29" s="31" t="s">
        <v>242</v>
      </c>
      <c r="D29" s="30">
        <v>25312408</v>
      </c>
      <c r="E29" s="31">
        <v>10</v>
      </c>
      <c r="F29" s="31">
        <v>32</v>
      </c>
      <c r="G29" s="31">
        <v>30</v>
      </c>
      <c r="I29" s="32">
        <f t="shared" si="0"/>
        <v>23.949997499999998</v>
      </c>
      <c r="J29" s="33">
        <f t="shared" si="1"/>
        <v>1.0092545916611331</v>
      </c>
      <c r="K29" s="33">
        <f t="shared" si="2"/>
        <v>0.21400887659522555</v>
      </c>
      <c r="L29" s="33">
        <f t="shared" si="3"/>
        <v>0.17038631804607449</v>
      </c>
      <c r="M29" s="33">
        <f t="shared" si="4"/>
        <v>0.79524571506590758</v>
      </c>
      <c r="N29" s="30">
        <f t="shared" si="5"/>
        <v>5417080</v>
      </c>
      <c r="O29" s="33">
        <f t="shared" si="6"/>
        <v>1.0388602357361723</v>
      </c>
      <c r="P29" s="34">
        <v>24591050</v>
      </c>
      <c r="Q29" s="34">
        <v>768470.3125</v>
      </c>
      <c r="R29" s="34">
        <v>9839.84375</v>
      </c>
      <c r="S29" s="35">
        <v>25546664</v>
      </c>
      <c r="T29" s="35">
        <v>4312888</v>
      </c>
      <c r="U29" s="35">
        <v>1104192</v>
      </c>
      <c r="V29" s="35">
        <v>20129584</v>
      </c>
      <c r="W29" s="36">
        <v>71.138030999999998</v>
      </c>
      <c r="X29" s="36">
        <v>74.865933999999996</v>
      </c>
      <c r="Y29" s="36">
        <v>35.763162000000001</v>
      </c>
      <c r="Z29" s="36">
        <v>38.359853000000001</v>
      </c>
      <c r="AA29" s="36">
        <v>37.754874999999998</v>
      </c>
      <c r="AB29" s="37">
        <v>1352.84</v>
      </c>
      <c r="AC29" s="37">
        <v>4192.42</v>
      </c>
      <c r="AD29" s="37">
        <v>8.7219999999999995</v>
      </c>
      <c r="AE29" s="37">
        <v>18.669</v>
      </c>
      <c r="AG29" s="32">
        <f t="shared" si="7"/>
        <v>23.949997499999998</v>
      </c>
      <c r="AH29" s="33">
        <f t="shared" si="8"/>
        <v>1.0092545916611331</v>
      </c>
      <c r="AI29" s="33">
        <f t="shared" si="9"/>
        <v>0.21400887659522555</v>
      </c>
      <c r="AJ29" s="33">
        <f t="shared" si="10"/>
        <v>0.17038631804607449</v>
      </c>
      <c r="AK29" s="33">
        <f t="shared" si="11"/>
        <v>0.79524571506590758</v>
      </c>
      <c r="AL29" s="30">
        <f t="shared" si="12"/>
        <v>5417080</v>
      </c>
      <c r="AM29" s="33">
        <f t="shared" si="13"/>
        <v>1.0388602357361723</v>
      </c>
      <c r="AN29" s="34">
        <v>24591050</v>
      </c>
      <c r="AO29" s="34">
        <v>768470.3125</v>
      </c>
      <c r="AP29" s="34">
        <v>9839.84375</v>
      </c>
      <c r="AQ29" s="35">
        <v>25546664</v>
      </c>
      <c r="AR29" s="35">
        <v>4312888</v>
      </c>
      <c r="AS29" s="35">
        <v>1104192</v>
      </c>
      <c r="AT29" s="35">
        <v>20129584</v>
      </c>
      <c r="AU29" s="36">
        <v>71.138031249999997</v>
      </c>
      <c r="AV29" s="36">
        <v>74.865934374999995</v>
      </c>
      <c r="AW29" s="36">
        <v>35.7631625</v>
      </c>
      <c r="AX29" s="36">
        <v>38.359853125000001</v>
      </c>
      <c r="AY29" s="36">
        <v>37.754875000000013</v>
      </c>
      <c r="AZ29" s="37">
        <v>1583.07</v>
      </c>
      <c r="BA29" s="37">
        <v>7619.53</v>
      </c>
      <c r="BB29" s="37">
        <v>12.311999999999999</v>
      </c>
      <c r="BC29" s="37">
        <v>14.52</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2.4999999936881068E-7</v>
      </c>
      <c r="CD29">
        <f t="shared" si="25"/>
        <v>3.7499999905321602E-7</v>
      </c>
      <c r="CE29">
        <f t="shared" si="26"/>
        <v>4.9999999873762135E-7</v>
      </c>
      <c r="CF29">
        <f t="shared" si="27"/>
        <v>1.2499999968440534E-7</v>
      </c>
      <c r="CG29">
        <f t="shared" si="28"/>
        <v>0</v>
      </c>
      <c r="CJ29" t="s">
        <v>586</v>
      </c>
    </row>
    <row r="30" spans="1:88" collapsed="1" x14ac:dyDescent="0.25">
      <c r="A30" s="20" t="s">
        <v>247</v>
      </c>
      <c r="B30" s="20" t="s">
        <v>76</v>
      </c>
      <c r="C30" s="21" t="s">
        <v>237</v>
      </c>
      <c r="D30" s="20">
        <v>28802925</v>
      </c>
      <c r="E30" s="21">
        <v>11</v>
      </c>
      <c r="F30" s="21">
        <v>10</v>
      </c>
      <c r="G30" s="21">
        <v>30</v>
      </c>
      <c r="I30" s="22">
        <f t="shared" si="0"/>
        <v>11.898047999999999</v>
      </c>
      <c r="J30" s="23">
        <f t="shared" si="1"/>
        <v>0.13769490425017597</v>
      </c>
      <c r="K30" s="23">
        <f t="shared" si="2"/>
        <v>0.10925307065167861</v>
      </c>
      <c r="L30" s="23">
        <f t="shared" si="3"/>
        <v>6.8764127254436827E-2</v>
      </c>
      <c r="M30" s="23">
        <f t="shared" si="4"/>
        <v>2.8441833598497376E-2</v>
      </c>
      <c r="N30" s="20">
        <f t="shared" si="5"/>
        <v>3146808</v>
      </c>
      <c r="O30" s="23">
        <f t="shared" si="6"/>
        <v>4.5986314221988331E-2</v>
      </c>
      <c r="P30" s="24">
        <v>86243398</v>
      </c>
      <c r="Q30" s="24">
        <v>2695106.1875</v>
      </c>
      <c r="R30" s="24">
        <v>33846.0625</v>
      </c>
      <c r="S30" s="25">
        <v>3966016</v>
      </c>
      <c r="T30" s="25">
        <v>1980608</v>
      </c>
      <c r="U30" s="25">
        <v>1166200</v>
      </c>
      <c r="V30" s="25">
        <v>819208</v>
      </c>
      <c r="W30" s="26">
        <v>73.637074999999996</v>
      </c>
      <c r="X30" s="26">
        <v>75.742599999999996</v>
      </c>
      <c r="Y30" s="26">
        <v>33.214593999999998</v>
      </c>
      <c r="Z30" s="26">
        <v>41.966721999999997</v>
      </c>
      <c r="AA30" s="26">
        <v>43.243724999999998</v>
      </c>
      <c r="AB30" s="27">
        <v>6331.91</v>
      </c>
      <c r="AC30" s="27">
        <v>17885</v>
      </c>
      <c r="AD30" s="27">
        <v>49.362000000000002</v>
      </c>
      <c r="AE30" s="27">
        <v>106.857</v>
      </c>
      <c r="AG30" s="22">
        <f t="shared" si="7"/>
        <v>3.1857839999999999</v>
      </c>
      <c r="AH30" s="23">
        <f t="shared" si="8"/>
        <v>3.68687555170178E-2</v>
      </c>
      <c r="AI30" s="23">
        <f t="shared" si="9"/>
        <v>2.9567274851425681E-2</v>
      </c>
      <c r="AJ30" s="23">
        <f t="shared" si="10"/>
        <v>1.7862074771919867E-2</v>
      </c>
      <c r="AK30" s="23">
        <f t="shared" si="11"/>
        <v>7.301480665592123E-3</v>
      </c>
      <c r="AL30" s="20">
        <f t="shared" si="12"/>
        <v>851624</v>
      </c>
      <c r="AM30" s="23">
        <f t="shared" si="13"/>
        <v>3.9086091960572049E-2</v>
      </c>
      <c r="AN30" s="24">
        <v>27168948</v>
      </c>
      <c r="AO30" s="24">
        <v>2716894.8</v>
      </c>
      <c r="AP30" s="24">
        <v>35110.699999999997</v>
      </c>
      <c r="AQ30" s="25">
        <v>1061928</v>
      </c>
      <c r="AR30" s="25">
        <v>514480</v>
      </c>
      <c r="AS30" s="25">
        <v>337144</v>
      </c>
      <c r="AT30" s="25">
        <v>210304</v>
      </c>
      <c r="AU30" s="26">
        <v>73.805719999999994</v>
      </c>
      <c r="AV30" s="26">
        <v>75.816459999999978</v>
      </c>
      <c r="AW30" s="26">
        <v>33.868540000000003</v>
      </c>
      <c r="AX30" s="26">
        <v>41.942920000000001</v>
      </c>
      <c r="AY30" s="26">
        <v>43.966620000000013</v>
      </c>
      <c r="AZ30" s="27">
        <v>1001.63</v>
      </c>
      <c r="BA30" s="27">
        <v>3324.56</v>
      </c>
      <c r="BB30" s="27">
        <v>11.423999999999999</v>
      </c>
      <c r="BC30" s="27">
        <v>6.58</v>
      </c>
      <c r="BE30" s="28">
        <f t="shared" si="14"/>
        <v>0.27063106487589966</v>
      </c>
      <c r="BF30" s="29">
        <f t="shared" si="15"/>
        <v>3.6475783846385071E-4</v>
      </c>
      <c r="BG30" s="29">
        <f t="shared" si="16"/>
        <v>8.5171157110408569E-3</v>
      </c>
      <c r="BH30" s="29">
        <f t="array" ref="BH30">AVERAGE(AL30:AL34/AQ30:AQ34) - AVERAGE(N30:N34/S30:S34)</f>
        <v>-3.5606154977451121E-3</v>
      </c>
      <c r="BJ30" s="28">
        <f>IF( OR(ISBLANK(N30:N34),ISBLANK(AL30:AL34), ISBLANK(W30:W34),ISBLANK(AU30:AU34)), "·", bdRateExtend( N30:N34,W30:W34, AL30:AL34,AU30:AU34))</f>
        <v>-0.72821250421747319</v>
      </c>
      <c r="BK30" s="28">
        <f>IF( OR(ISBLANK(N30:N34),ISBLANK(AL30:AL34), ISBLANK(X30:X34),ISBLANK(AV30:AV34)), "·", bdRateExtend( N30:N34,X30:X34, AL30:AL34,AV30:AV34))</f>
        <v>-0.72420753542084015</v>
      </c>
      <c r="BL30" s="28">
        <f>IF( OR(ISBLANK(V30:V34),ISBLANK(AT30:AT34), ISBLANK(Y30:Y34),ISBLANK(AW30:AW34)), "·", bdRateExtend( V30:V34,Y30:Y34, AT30:AT34,AW30:AW34))</f>
        <v>-0.74235761361884911</v>
      </c>
      <c r="BM30" s="28">
        <f>IF( OR(ISBLANK(V30:V34),ISBLANK(AT30:AT34), ISBLANK(Z30:Z34),ISBLANK(AX30:AX34)), "·", bdRateExtend( V30:V34,Z30:Z34, AT30:AT34,AX30:AX34))</f>
        <v>-0.6438926646306159</v>
      </c>
      <c r="BN30" s="28">
        <f>IF( OR(ISBLANK(V30:V34),ISBLANK(AT30:AT34), ISBLANK(AA30:AA34),ISBLANK(AY30:AY34)), "·", bdRateExtend( V30:V34,AA30:AA34, AT30:AT34,AY30:AY34))</f>
        <v>-0.7532995815973873</v>
      </c>
      <c r="BP30" s="28">
        <f>IF( OR(ISBLANK(S30:S34),ISBLANK(AQ30:AQ34), ISBLANK(W30:W34),ISBLANK(AU30:AU34)), "·", bdRateExtend( S30:S34,W30:W34, AQ30:AQ34,AU30:AU34))</f>
        <v>-0.72894077459322104</v>
      </c>
      <c r="BQ30" s="28">
        <f>IF( OR(ISBLANK(S30:S34),ISBLANK(AQ30:AQ34), ISBLANK(X30:X34),ISBLANK(AV30:AV34)), "·", bdRateExtend( S30:S34,X30:X34, AQ30:AQ34,AV30:AV34))</f>
        <v>-0.72299035710632964</v>
      </c>
      <c r="BR30" s="28">
        <f>IF( OR(ISBLANK(S30:S34),ISBLANK(AQ30:AQ34), ISBLANK(Y30:Y34),ISBLANK(AW30:AW34)), "·", bdRateExtend( S30:S34,Y30:Y34, AQ30:AQ34,AW30:AW34))</f>
        <v>-0.73310943530210804</v>
      </c>
      <c r="BS30" s="28">
        <f>IF( OR(ISBLANK(S30:S34),ISBLANK(AQ30:AQ34), ISBLANK(Z30:Z34),ISBLANK(AX30:AX34)), "·", bdRateExtend( S30:S34,Z30:Z34, AQ30:AQ34,AX30:AX34))</f>
        <v>-0.67358337072489216</v>
      </c>
      <c r="BT30" s="28">
        <f>IF( OR(ISBLANK(S30:S34),ISBLANK(AQ30:AQ34), ISBLANK(AA30:AA34),ISBLANK(AY30:AY34)), "·", bdRateExtend( S30:S34,AA30:AA34, AQ30:AQ34,AY30:AY34))</f>
        <v>-0.74403275177236883</v>
      </c>
      <c r="BV30">
        <f t="shared" si="17"/>
        <v>-59074450</v>
      </c>
      <c r="BW30">
        <f t="shared" si="18"/>
        <v>21788.612499999814</v>
      </c>
      <c r="BX30">
        <f t="shared" si="19"/>
        <v>1264.6374999999971</v>
      </c>
      <c r="BY30">
        <f t="shared" si="20"/>
        <v>-2904088</v>
      </c>
      <c r="BZ30">
        <f t="shared" si="21"/>
        <v>-1466128</v>
      </c>
      <c r="CA30">
        <f t="shared" si="22"/>
        <v>-829056</v>
      </c>
      <c r="CB30">
        <f t="shared" si="23"/>
        <v>-608904</v>
      </c>
      <c r="CC30">
        <f t="shared" si="24"/>
        <v>0.16864499999999794</v>
      </c>
      <c r="CD30">
        <f t="shared" si="25"/>
        <v>7.3859999999982051E-2</v>
      </c>
      <c r="CE30">
        <f t="shared" si="26"/>
        <v>0.6539460000000048</v>
      </c>
      <c r="CF30">
        <f t="shared" si="27"/>
        <v>-2.3801999999996326E-2</v>
      </c>
      <c r="CG30">
        <f t="shared" si="28"/>
        <v>0.72289500000001539</v>
      </c>
      <c r="CJ30" t="s">
        <v>248</v>
      </c>
    </row>
    <row r="31" spans="1:88" hidden="1" outlineLevel="1" x14ac:dyDescent="0.25">
      <c r="A31" s="10"/>
      <c r="B31" s="10" t="s">
        <v>76</v>
      </c>
      <c r="C31" s="11" t="s">
        <v>239</v>
      </c>
      <c r="D31" s="10">
        <v>28802925</v>
      </c>
      <c r="E31" s="11">
        <v>11</v>
      </c>
      <c r="F31" s="11">
        <v>10</v>
      </c>
      <c r="G31" s="11">
        <v>30</v>
      </c>
      <c r="I31" s="12">
        <f t="shared" si="0"/>
        <v>15.875856000000001</v>
      </c>
      <c r="J31" s="13">
        <f t="shared" si="1"/>
        <v>0.18372967328838999</v>
      </c>
      <c r="K31" s="13">
        <f t="shared" si="2"/>
        <v>0.13453744715163476</v>
      </c>
      <c r="L31" s="13">
        <f t="shared" si="3"/>
        <v>9.4048503754392998E-2</v>
      </c>
      <c r="M31" s="13">
        <f t="shared" si="4"/>
        <v>4.919222613675521E-2</v>
      </c>
      <c r="N31" s="10">
        <f t="shared" si="5"/>
        <v>3875072</v>
      </c>
      <c r="O31" s="13">
        <f t="shared" si="6"/>
        <v>5.8447617206427722E-2</v>
      </c>
      <c r="P31" s="14">
        <v>90541792</v>
      </c>
      <c r="Q31" s="14">
        <v>2829431</v>
      </c>
      <c r="R31" s="14">
        <v>41460.6875</v>
      </c>
      <c r="S31" s="15">
        <v>5291952</v>
      </c>
      <c r="T31" s="15">
        <v>2708872</v>
      </c>
      <c r="U31" s="15">
        <v>1166200</v>
      </c>
      <c r="V31" s="15">
        <v>1416880</v>
      </c>
      <c r="W31" s="16">
        <v>75.252650000000003</v>
      </c>
      <c r="X31" s="16">
        <v>77.584663000000006</v>
      </c>
      <c r="Y31" s="16">
        <v>35.170788000000002</v>
      </c>
      <c r="Z31" s="16">
        <v>42.536019000000003</v>
      </c>
      <c r="AA31" s="16">
        <v>44.678147000000003</v>
      </c>
      <c r="AB31" s="17">
        <v>3605.81</v>
      </c>
      <c r="AC31" s="17">
        <v>13229</v>
      </c>
      <c r="AD31" s="17">
        <v>36.668999999999997</v>
      </c>
      <c r="AE31" s="17">
        <v>71.356999999999999</v>
      </c>
      <c r="AG31" s="12">
        <f t="shared" si="7"/>
        <v>4.2949440000000001</v>
      </c>
      <c r="AH31" s="13">
        <f t="shared" si="8"/>
        <v>4.9704951840828668E-2</v>
      </c>
      <c r="AI31" s="13">
        <f t="shared" si="9"/>
        <v>3.6640723121002465E-2</v>
      </c>
      <c r="AJ31" s="13">
        <f t="shared" si="10"/>
        <v>2.4935523041496654E-2</v>
      </c>
      <c r="AK31" s="13">
        <f t="shared" si="11"/>
        <v>1.3064228719826198E-2</v>
      </c>
      <c r="AL31" s="10">
        <f t="shared" si="12"/>
        <v>1055360</v>
      </c>
      <c r="AM31" s="13">
        <f t="shared" si="13"/>
        <v>5.0574993955650085E-2</v>
      </c>
      <c r="AN31" s="14">
        <v>28307428</v>
      </c>
      <c r="AO31" s="14">
        <v>2830742.8</v>
      </c>
      <c r="AP31" s="14">
        <v>42010.2</v>
      </c>
      <c r="AQ31" s="15">
        <v>1431648</v>
      </c>
      <c r="AR31" s="15">
        <v>718216</v>
      </c>
      <c r="AS31" s="15">
        <v>337144</v>
      </c>
      <c r="AT31" s="15">
        <v>376288</v>
      </c>
      <c r="AU31" s="16">
        <v>75.363740000000007</v>
      </c>
      <c r="AV31" s="16">
        <v>77.619519999999994</v>
      </c>
      <c r="AW31" s="16">
        <v>35.638420000000004</v>
      </c>
      <c r="AX31" s="16">
        <v>42.34438999999999</v>
      </c>
      <c r="AY31" s="16">
        <v>44.658949999999997</v>
      </c>
      <c r="AZ31" s="17">
        <v>999.24800000000005</v>
      </c>
      <c r="BA31" s="17">
        <v>3557.32</v>
      </c>
      <c r="BB31" s="17">
        <v>11.692</v>
      </c>
      <c r="BC31" s="17">
        <v>7.1920000000000002</v>
      </c>
      <c r="BE31" s="18">
        <f t="shared" si="14"/>
        <v>0.27234590737926934</v>
      </c>
      <c r="BF31" s="19">
        <f t="shared" si="15"/>
        <v>1.8733253148956255E-4</v>
      </c>
      <c r="BG31" s="19">
        <f t="shared" si="16"/>
        <v>4.906856041753227E-3</v>
      </c>
      <c r="BH31" s="19"/>
      <c r="BJ31" s="18"/>
      <c r="BK31" s="18"/>
      <c r="BL31" s="18"/>
      <c r="BM31" s="18"/>
      <c r="BN31" s="18"/>
      <c r="BP31" s="18"/>
      <c r="BQ31" s="18"/>
      <c r="BR31" s="18"/>
      <c r="BS31" s="18"/>
      <c r="BT31" s="18"/>
      <c r="BV31">
        <f t="shared" si="17"/>
        <v>-62234364</v>
      </c>
      <c r="BW31">
        <f t="shared" si="18"/>
        <v>1311.7999999998137</v>
      </c>
      <c r="BX31">
        <f t="shared" si="19"/>
        <v>549.51249999999709</v>
      </c>
      <c r="BY31">
        <f t="shared" si="20"/>
        <v>-3860304</v>
      </c>
      <c r="BZ31">
        <f t="shared" si="21"/>
        <v>-1990656</v>
      </c>
      <c r="CA31">
        <f t="shared" si="22"/>
        <v>-829056</v>
      </c>
      <c r="CB31">
        <f t="shared" si="23"/>
        <v>-1040592</v>
      </c>
      <c r="CC31">
        <f t="shared" si="24"/>
        <v>0.11109000000000435</v>
      </c>
      <c r="CD31">
        <f t="shared" si="25"/>
        <v>3.4856999999988147E-2</v>
      </c>
      <c r="CE31">
        <f t="shared" si="26"/>
        <v>0.46763200000000182</v>
      </c>
      <c r="CF31">
        <f t="shared" si="27"/>
        <v>-0.19162900000001315</v>
      </c>
      <c r="CG31">
        <f t="shared" si="28"/>
        <v>-1.919700000000546E-2</v>
      </c>
      <c r="CJ31" t="s">
        <v>248</v>
      </c>
    </row>
    <row r="32" spans="1:88" hidden="1" outlineLevel="1" x14ac:dyDescent="0.25">
      <c r="A32" s="20"/>
      <c r="B32" s="20" t="s">
        <v>76</v>
      </c>
      <c r="C32" s="21" t="s">
        <v>240</v>
      </c>
      <c r="D32" s="20">
        <v>28802925</v>
      </c>
      <c r="E32" s="21">
        <v>11</v>
      </c>
      <c r="F32" s="21">
        <v>10</v>
      </c>
      <c r="G32" s="21">
        <v>30</v>
      </c>
      <c r="I32" s="22">
        <f t="shared" si="0"/>
        <v>22.950095999999998</v>
      </c>
      <c r="J32" s="23">
        <f t="shared" si="1"/>
        <v>0.2655991361988409</v>
      </c>
      <c r="K32" s="23">
        <f t="shared" si="2"/>
        <v>0.17222361964974042</v>
      </c>
      <c r="L32" s="23">
        <f t="shared" si="3"/>
        <v>0.13173467625249866</v>
      </c>
      <c r="M32" s="23">
        <f t="shared" si="4"/>
        <v>9.3375516549100479E-2</v>
      </c>
      <c r="N32" s="20">
        <f t="shared" si="5"/>
        <v>4960544</v>
      </c>
      <c r="O32" s="23">
        <f t="shared" si="6"/>
        <v>8.3345152316496363E-2</v>
      </c>
      <c r="P32" s="24">
        <v>91787366</v>
      </c>
      <c r="Q32" s="24">
        <v>2868355.1875</v>
      </c>
      <c r="R32" s="24">
        <v>44534.90625</v>
      </c>
      <c r="S32" s="25">
        <v>7650032</v>
      </c>
      <c r="T32" s="25">
        <v>3794344</v>
      </c>
      <c r="U32" s="25">
        <v>1166200</v>
      </c>
      <c r="V32" s="25">
        <v>2689488</v>
      </c>
      <c r="W32" s="26">
        <v>76.469399999999993</v>
      </c>
      <c r="X32" s="26">
        <v>79.114191000000005</v>
      </c>
      <c r="Y32" s="26">
        <v>36.955216</v>
      </c>
      <c r="Z32" s="26">
        <v>43.140441000000003</v>
      </c>
      <c r="AA32" s="26">
        <v>45.958556000000002</v>
      </c>
      <c r="AB32" s="27">
        <v>5455.09</v>
      </c>
      <c r="AC32" s="27">
        <v>18319.5</v>
      </c>
      <c r="AD32" s="27">
        <v>44.75</v>
      </c>
      <c r="AE32" s="27">
        <v>100.363</v>
      </c>
      <c r="AG32" s="22">
        <f t="shared" si="7"/>
        <v>6.3540239999999999</v>
      </c>
      <c r="AH32" s="23">
        <f t="shared" si="8"/>
        <v>7.3534476099215623E-2</v>
      </c>
      <c r="AI32" s="23">
        <f t="shared" si="9"/>
        <v>4.7301029322542765E-2</v>
      </c>
      <c r="AJ32" s="23">
        <f t="shared" si="10"/>
        <v>3.5595829243036947E-2</v>
      </c>
      <c r="AK32" s="23">
        <f t="shared" si="11"/>
        <v>2.6233446776672855E-2</v>
      </c>
      <c r="AL32" s="20">
        <f t="shared" si="12"/>
        <v>1362408</v>
      </c>
      <c r="AM32" s="23">
        <f t="shared" si="13"/>
        <v>7.4166607546042124E-2</v>
      </c>
      <c r="AN32" s="24">
        <v>28557434</v>
      </c>
      <c r="AO32" s="24">
        <v>2855743.4</v>
      </c>
      <c r="AP32" s="24">
        <v>44751.1</v>
      </c>
      <c r="AQ32" s="25">
        <v>2118008</v>
      </c>
      <c r="AR32" s="25">
        <v>1025264</v>
      </c>
      <c r="AS32" s="25">
        <v>337144</v>
      </c>
      <c r="AT32" s="25">
        <v>755600</v>
      </c>
      <c r="AU32" s="26">
        <v>76.519469999999998</v>
      </c>
      <c r="AV32" s="26">
        <v>79.111660000000001</v>
      </c>
      <c r="AW32" s="26">
        <v>37.189160000000001</v>
      </c>
      <c r="AX32" s="26">
        <v>42.898850000000003</v>
      </c>
      <c r="AY32" s="26">
        <v>46.317150000000012</v>
      </c>
      <c r="AZ32" s="27">
        <v>863.17600000000004</v>
      </c>
      <c r="BA32" s="27">
        <v>3203.08</v>
      </c>
      <c r="BB32" s="27">
        <v>11.715999999999999</v>
      </c>
      <c r="BC32" s="27">
        <v>7.54</v>
      </c>
      <c r="BE32" s="28">
        <f t="shared" si="14"/>
        <v>0.27464890947444476</v>
      </c>
      <c r="BF32" s="29">
        <f t="shared" si="15"/>
        <v>1.4427346099334798E-4</v>
      </c>
      <c r="BG32" s="29">
        <f t="shared" si="16"/>
        <v>-5.1847167811933659E-3</v>
      </c>
      <c r="BH32" s="29"/>
      <c r="BJ32" s="28"/>
      <c r="BK32" s="28"/>
      <c r="BL32" s="28"/>
      <c r="BM32" s="28"/>
      <c r="BN32" s="28"/>
      <c r="BP32" s="28"/>
      <c r="BQ32" s="28"/>
      <c r="BR32" s="28"/>
      <c r="BS32" s="28"/>
      <c r="BT32" s="28"/>
      <c r="BV32">
        <f t="shared" si="17"/>
        <v>-63229932</v>
      </c>
      <c r="BW32">
        <f t="shared" si="18"/>
        <v>-12611.787500000093</v>
      </c>
      <c r="BX32">
        <f t="shared" si="19"/>
        <v>216.19374999999854</v>
      </c>
      <c r="BY32">
        <f t="shared" si="20"/>
        <v>-5532024</v>
      </c>
      <c r="BZ32">
        <f t="shared" si="21"/>
        <v>-2769080</v>
      </c>
      <c r="CA32">
        <f t="shared" si="22"/>
        <v>-829056</v>
      </c>
      <c r="CB32">
        <f t="shared" si="23"/>
        <v>-1933888</v>
      </c>
      <c r="CC32">
        <f t="shared" si="24"/>
        <v>5.0070000000005166E-2</v>
      </c>
      <c r="CD32">
        <f t="shared" si="25"/>
        <v>-2.5310000000047239E-3</v>
      </c>
      <c r="CE32">
        <f t="shared" si="26"/>
        <v>0.23394400000000104</v>
      </c>
      <c r="CF32">
        <f t="shared" si="27"/>
        <v>-0.24159099999999967</v>
      </c>
      <c r="CG32">
        <f t="shared" si="28"/>
        <v>0.35859400000001074</v>
      </c>
      <c r="CJ32" t="s">
        <v>248</v>
      </c>
    </row>
    <row r="33" spans="1:88" hidden="1" outlineLevel="1" x14ac:dyDescent="0.25">
      <c r="A33" s="10"/>
      <c r="B33" s="10" t="s">
        <v>76</v>
      </c>
      <c r="C33" s="11" t="s">
        <v>241</v>
      </c>
      <c r="D33" s="10">
        <v>28802925</v>
      </c>
      <c r="E33" s="11">
        <v>11</v>
      </c>
      <c r="F33" s="11">
        <v>10</v>
      </c>
      <c r="G33" s="11">
        <v>30</v>
      </c>
      <c r="I33" s="12">
        <f t="shared" si="0"/>
        <v>38.438639999999999</v>
      </c>
      <c r="J33" s="13">
        <f t="shared" si="1"/>
        <v>0.44484648694533629</v>
      </c>
      <c r="K33" s="13">
        <f t="shared" si="2"/>
        <v>0.24169628605428095</v>
      </c>
      <c r="L33" s="13">
        <f t="shared" si="3"/>
        <v>0.20120734265703918</v>
      </c>
      <c r="M33" s="13">
        <f t="shared" si="4"/>
        <v>0.20315020089105534</v>
      </c>
      <c r="N33" s="10">
        <f t="shared" si="5"/>
        <v>6961560</v>
      </c>
      <c r="O33" s="13">
        <f t="shared" si="6"/>
        <v>0.1361410174467203</v>
      </c>
      <c r="P33" s="14">
        <v>94114766</v>
      </c>
      <c r="Q33" s="14">
        <v>2941086.4375</v>
      </c>
      <c r="R33" s="14">
        <v>49715.25</v>
      </c>
      <c r="S33" s="15">
        <v>12812880</v>
      </c>
      <c r="T33" s="15">
        <v>5795360</v>
      </c>
      <c r="U33" s="15">
        <v>1166200</v>
      </c>
      <c r="V33" s="15">
        <v>5851320</v>
      </c>
      <c r="W33" s="16">
        <v>77.566353000000007</v>
      </c>
      <c r="X33" s="16">
        <v>80.266603000000003</v>
      </c>
      <c r="Y33" s="16">
        <v>38.719509000000002</v>
      </c>
      <c r="Z33" s="16">
        <v>43.700431000000002</v>
      </c>
      <c r="AA33" s="16">
        <v>47.378552999999997</v>
      </c>
      <c r="AB33" s="17">
        <v>3593</v>
      </c>
      <c r="AC33" s="17">
        <v>14659.1</v>
      </c>
      <c r="AD33" s="17">
        <v>37.125999999999998</v>
      </c>
      <c r="AE33" s="17">
        <v>72.623999999999995</v>
      </c>
      <c r="AG33" s="12">
        <f t="shared" si="7"/>
        <v>11.052576</v>
      </c>
      <c r="AH33" s="13">
        <f t="shared" si="8"/>
        <v>0.12791034243917934</v>
      </c>
      <c r="AI33" s="13">
        <f t="shared" si="9"/>
        <v>6.8446381747687079E-2</v>
      </c>
      <c r="AJ33" s="13">
        <f t="shared" si="10"/>
        <v>5.6741181668181269E-2</v>
      </c>
      <c r="AK33" s="13">
        <f t="shared" si="11"/>
        <v>5.9463960691492269E-2</v>
      </c>
      <c r="AL33" s="10">
        <f t="shared" si="12"/>
        <v>1971456</v>
      </c>
      <c r="AM33" s="13">
        <f t="shared" si="13"/>
        <v>0.12600908469944655</v>
      </c>
      <c r="AN33" s="14">
        <v>29237511</v>
      </c>
      <c r="AO33" s="14">
        <v>2923751.1</v>
      </c>
      <c r="AP33" s="14">
        <v>49627.199999999997</v>
      </c>
      <c r="AQ33" s="15">
        <v>3684192</v>
      </c>
      <c r="AR33" s="15">
        <v>1634312</v>
      </c>
      <c r="AS33" s="15">
        <v>337144</v>
      </c>
      <c r="AT33" s="15">
        <v>1712736</v>
      </c>
      <c r="AU33" s="16">
        <v>77.606240000000014</v>
      </c>
      <c r="AV33" s="16">
        <v>80.296000000000006</v>
      </c>
      <c r="AW33" s="16">
        <v>38.739350000000002</v>
      </c>
      <c r="AX33" s="16">
        <v>43.536409999999997</v>
      </c>
      <c r="AY33" s="16">
        <v>47.693750000000001</v>
      </c>
      <c r="AZ33" s="17">
        <v>1006.38</v>
      </c>
      <c r="BA33" s="17">
        <v>4730.4399999999996</v>
      </c>
      <c r="BB33" s="17">
        <v>11.736000000000001</v>
      </c>
      <c r="BC33" s="17">
        <v>8.3160000000000007</v>
      </c>
      <c r="BE33" s="18">
        <f t="shared" si="14"/>
        <v>0.28319169841242475</v>
      </c>
      <c r="BF33" s="19">
        <f t="shared" si="15"/>
        <v>7.0109041380769094E-5</v>
      </c>
      <c r="BG33" s="19">
        <f t="shared" si="16"/>
        <v>-8.2129774996355653E-3</v>
      </c>
      <c r="BH33" s="19"/>
      <c r="BJ33" s="18"/>
      <c r="BK33" s="18"/>
      <c r="BL33" s="18"/>
      <c r="BM33" s="18"/>
      <c r="BN33" s="18"/>
      <c r="BP33" s="18"/>
      <c r="BQ33" s="18"/>
      <c r="BR33" s="18"/>
      <c r="BS33" s="18"/>
      <c r="BT33" s="18"/>
      <c r="BV33">
        <f t="shared" si="17"/>
        <v>-64877255</v>
      </c>
      <c r="BW33">
        <f t="shared" si="18"/>
        <v>-17335.337499999907</v>
      </c>
      <c r="BX33">
        <f t="shared" si="19"/>
        <v>-88.05000000000291</v>
      </c>
      <c r="BY33">
        <f t="shared" si="20"/>
        <v>-9128688</v>
      </c>
      <c r="BZ33">
        <f t="shared" si="21"/>
        <v>-4161048</v>
      </c>
      <c r="CA33">
        <f t="shared" si="22"/>
        <v>-829056</v>
      </c>
      <c r="CB33">
        <f t="shared" si="23"/>
        <v>-4138584</v>
      </c>
      <c r="CC33">
        <f t="shared" si="24"/>
        <v>3.9887000000007333E-2</v>
      </c>
      <c r="CD33">
        <f t="shared" si="25"/>
        <v>2.9397000000003004E-2</v>
      </c>
      <c r="CE33">
        <f t="shared" si="26"/>
        <v>1.9840999999999553E-2</v>
      </c>
      <c r="CF33">
        <f t="shared" si="27"/>
        <v>-0.1640210000000053</v>
      </c>
      <c r="CG33">
        <f t="shared" si="28"/>
        <v>0.31519700000000483</v>
      </c>
      <c r="CJ33" t="s">
        <v>248</v>
      </c>
    </row>
    <row r="34" spans="1:88" ht="15.75" hidden="1" customHeight="1" outlineLevel="1" thickBot="1" x14ac:dyDescent="0.3">
      <c r="A34" s="20"/>
      <c r="B34" s="40" t="s">
        <v>76</v>
      </c>
      <c r="C34" s="41" t="s">
        <v>242</v>
      </c>
      <c r="D34" s="40">
        <v>28802925</v>
      </c>
      <c r="E34" s="41">
        <v>11</v>
      </c>
      <c r="F34" s="41">
        <v>10</v>
      </c>
      <c r="G34" s="41">
        <v>30</v>
      </c>
      <c r="I34" s="42">
        <f t="shared" si="0"/>
        <v>78.846047999999996</v>
      </c>
      <c r="J34" s="43">
        <f t="shared" si="1"/>
        <v>0.91247732652152513</v>
      </c>
      <c r="K34" s="43">
        <f t="shared" si="2"/>
        <v>0.40376510371776475</v>
      </c>
      <c r="L34" s="43">
        <f t="shared" si="3"/>
        <v>0.32060938255402882</v>
      </c>
      <c r="M34" s="43">
        <f t="shared" si="4"/>
        <v>0.50871222280376038</v>
      </c>
      <c r="N34" s="40">
        <f t="shared" si="5"/>
        <v>11629616</v>
      </c>
      <c r="O34" s="43">
        <f t="shared" si="6"/>
        <v>0.28503729195866606</v>
      </c>
      <c r="P34" s="44">
        <v>92205535</v>
      </c>
      <c r="Q34" s="44">
        <v>2881422.96875</v>
      </c>
      <c r="R34" s="44">
        <v>21180.46875</v>
      </c>
      <c r="S34" s="45">
        <v>26282016</v>
      </c>
      <c r="T34" s="45">
        <v>9234488</v>
      </c>
      <c r="U34" s="45">
        <v>2395128</v>
      </c>
      <c r="V34" s="45">
        <v>14652400</v>
      </c>
      <c r="W34" s="46">
        <v>78.500297000000003</v>
      </c>
      <c r="X34" s="46">
        <v>81.895680999999996</v>
      </c>
      <c r="Y34" s="46">
        <v>40.507658999999997</v>
      </c>
      <c r="Z34" s="46">
        <v>44.373978000000001</v>
      </c>
      <c r="AA34" s="46">
        <v>48.810296999999998</v>
      </c>
      <c r="AB34" s="47">
        <v>5471.25</v>
      </c>
      <c r="AC34" s="47">
        <v>21409</v>
      </c>
      <c r="AD34" s="47">
        <v>46.652999999999999</v>
      </c>
      <c r="AE34" s="47">
        <v>112.13</v>
      </c>
      <c r="AG34" s="42">
        <f t="shared" si="7"/>
        <v>23.589023999999998</v>
      </c>
      <c r="AH34" s="43">
        <f t="shared" si="8"/>
        <v>0.27299338522042466</v>
      </c>
      <c r="AI34" s="43">
        <f t="shared" si="9"/>
        <v>0.11593044803609355</v>
      </c>
      <c r="AJ34" s="43">
        <f t="shared" si="10"/>
        <v>9.162986050895873E-2</v>
      </c>
      <c r="AK34" s="43">
        <f t="shared" si="11"/>
        <v>0.15706293718433109</v>
      </c>
      <c r="AL34" s="40">
        <f t="shared" si="12"/>
        <v>3339136</v>
      </c>
      <c r="AM34" s="43">
        <f t="shared" si="13"/>
        <v>0.27478715287669669</v>
      </c>
      <c r="AN34" s="44">
        <v>28614904</v>
      </c>
      <c r="AO34" s="44">
        <v>2861490.4</v>
      </c>
      <c r="AP34" s="44">
        <v>21327.9</v>
      </c>
      <c r="AQ34" s="45">
        <v>7863008</v>
      </c>
      <c r="AR34" s="45">
        <v>2639208</v>
      </c>
      <c r="AS34" s="45">
        <v>699928</v>
      </c>
      <c r="AT34" s="45">
        <v>4523872</v>
      </c>
      <c r="AU34" s="46">
        <v>78.511279999999999</v>
      </c>
      <c r="AV34" s="46">
        <v>81.88403000000001</v>
      </c>
      <c r="AW34" s="46">
        <v>40.423240000000007</v>
      </c>
      <c r="AX34" s="46">
        <v>44.127809999999997</v>
      </c>
      <c r="AY34" s="46">
        <v>48.955269999999999</v>
      </c>
      <c r="AZ34" s="47">
        <v>1027.9000000000001</v>
      </c>
      <c r="BA34" s="47">
        <v>4930.5600000000004</v>
      </c>
      <c r="BB34" s="47">
        <v>11.856</v>
      </c>
      <c r="BC34" s="47">
        <v>8.484</v>
      </c>
      <c r="BE34" s="48">
        <f t="shared" si="14"/>
        <v>0.28712349573709056</v>
      </c>
      <c r="BF34" s="49">
        <f t="shared" si="15"/>
        <v>1.0272602495121821E-4</v>
      </c>
      <c r="BG34" s="49">
        <f t="shared" si="16"/>
        <v>-1.7829354960690325E-2</v>
      </c>
      <c r="BH34" s="49"/>
      <c r="BJ34" s="48"/>
      <c r="BK34" s="48"/>
      <c r="BL34" s="48"/>
      <c r="BM34" s="48"/>
      <c r="BN34" s="48"/>
      <c r="BP34" s="48"/>
      <c r="BQ34" s="48"/>
      <c r="BR34" s="48"/>
      <c r="BS34" s="48"/>
      <c r="BT34" s="48"/>
      <c r="BV34">
        <f t="shared" si="17"/>
        <v>-63590631</v>
      </c>
      <c r="BW34">
        <f t="shared" si="18"/>
        <v>-19932.568750000093</v>
      </c>
      <c r="BX34">
        <f t="shared" si="19"/>
        <v>147.43125000000146</v>
      </c>
      <c r="BY34">
        <f t="shared" si="20"/>
        <v>-18419008</v>
      </c>
      <c r="BZ34">
        <f t="shared" si="21"/>
        <v>-6595280</v>
      </c>
      <c r="CA34">
        <f t="shared" si="22"/>
        <v>-1695200</v>
      </c>
      <c r="CB34">
        <f t="shared" si="23"/>
        <v>-10128528</v>
      </c>
      <c r="CC34">
        <f t="shared" si="24"/>
        <v>1.0982999999995968E-2</v>
      </c>
      <c r="CD34">
        <f t="shared" si="25"/>
        <v>-1.1650999999986311E-2</v>
      </c>
      <c r="CE34">
        <f t="shared" si="26"/>
        <v>-8.4418999999989808E-2</v>
      </c>
      <c r="CF34">
        <f t="shared" si="27"/>
        <v>-0.24616800000000438</v>
      </c>
      <c r="CG34">
        <f t="shared" si="28"/>
        <v>0.14497300000000024</v>
      </c>
      <c r="CJ34" t="s">
        <v>248</v>
      </c>
    </row>
    <row r="35" spans="1:88" collapsed="1" x14ac:dyDescent="0.25">
      <c r="A35" s="10"/>
      <c r="B35" s="10" t="s">
        <v>81</v>
      </c>
      <c r="C35" s="11" t="s">
        <v>237</v>
      </c>
      <c r="D35" s="10">
        <v>25767032</v>
      </c>
      <c r="E35" s="11">
        <v>11</v>
      </c>
      <c r="F35" s="11">
        <v>10</v>
      </c>
      <c r="G35" s="11">
        <v>30</v>
      </c>
      <c r="I35" s="12">
        <f t="shared" si="0"/>
        <v>14.902104</v>
      </c>
      <c r="J35" s="13">
        <f t="shared" si="1"/>
        <v>0.19277998335237059</v>
      </c>
      <c r="K35" s="13">
        <f t="shared" si="2"/>
        <v>0.14450775704396221</v>
      </c>
      <c r="L35" s="13">
        <f t="shared" si="3"/>
        <v>9.2529089108904741E-2</v>
      </c>
      <c r="M35" s="13">
        <f t="shared" si="4"/>
        <v>4.8272226308408356E-2</v>
      </c>
      <c r="N35" s="10">
        <f t="shared" si="5"/>
        <v>3723536</v>
      </c>
      <c r="O35" s="13">
        <f t="shared" si="6"/>
        <v>6.6414057024016315E-2</v>
      </c>
      <c r="P35" s="14">
        <v>74793925</v>
      </c>
      <c r="Q35" s="14">
        <v>2337310.15625</v>
      </c>
      <c r="R35" s="14">
        <v>30824.78125</v>
      </c>
      <c r="S35" s="15">
        <v>4967368</v>
      </c>
      <c r="T35" s="15">
        <v>2384200</v>
      </c>
      <c r="U35" s="15">
        <v>1339336</v>
      </c>
      <c r="V35" s="15">
        <v>1243832</v>
      </c>
      <c r="W35" s="16">
        <v>73.186065999999997</v>
      </c>
      <c r="X35" s="16">
        <v>75.395090999999994</v>
      </c>
      <c r="Y35" s="16">
        <v>31.782212000000001</v>
      </c>
      <c r="Z35" s="16">
        <v>42.191983999999998</v>
      </c>
      <c r="AA35" s="16">
        <v>43.412916000000003</v>
      </c>
      <c r="AB35" s="17">
        <v>3220.14</v>
      </c>
      <c r="AC35" s="17">
        <v>14434.6</v>
      </c>
      <c r="AD35" s="17">
        <v>34.08</v>
      </c>
      <c r="AE35" s="17">
        <v>73.061000000000007</v>
      </c>
      <c r="AG35" s="12">
        <f t="shared" si="7"/>
        <v>4.652736</v>
      </c>
      <c r="AH35" s="13">
        <f t="shared" si="8"/>
        <v>6.0189780491598725E-2</v>
      </c>
      <c r="AI35" s="13">
        <f t="shared" si="9"/>
        <v>4.4368944005658086E-2</v>
      </c>
      <c r="AJ35" s="13">
        <f t="shared" si="10"/>
        <v>2.8376104783818329E-2</v>
      </c>
      <c r="AK35" s="13">
        <f t="shared" si="11"/>
        <v>1.582083648594064E-2</v>
      </c>
      <c r="AL35" s="10">
        <f t="shared" si="12"/>
        <v>1143256</v>
      </c>
      <c r="AM35" s="13">
        <f t="shared" si="13"/>
        <v>6.6837045441900902E-2</v>
      </c>
      <c r="AN35" s="14">
        <v>23204377</v>
      </c>
      <c r="AO35" s="14">
        <v>2320437.7000000002</v>
      </c>
      <c r="AP35" s="14">
        <v>29378</v>
      </c>
      <c r="AQ35" s="15">
        <v>1550912</v>
      </c>
      <c r="AR35" s="15">
        <v>731168</v>
      </c>
      <c r="AS35" s="15">
        <v>412088</v>
      </c>
      <c r="AT35" s="15">
        <v>407656</v>
      </c>
      <c r="AU35" s="16">
        <v>73.224980000000002</v>
      </c>
      <c r="AV35" s="16">
        <v>75.456559999999996</v>
      </c>
      <c r="AW35" s="16">
        <v>32.023420000000002</v>
      </c>
      <c r="AX35" s="16">
        <v>42.260640000000002</v>
      </c>
      <c r="AY35" s="16">
        <v>43.65446</v>
      </c>
      <c r="AZ35" s="17">
        <v>904.42</v>
      </c>
      <c r="BA35" s="17">
        <v>7246.9</v>
      </c>
      <c r="BB35" s="17">
        <v>14.432</v>
      </c>
      <c r="BC35" s="17">
        <v>9.3680000000000003</v>
      </c>
      <c r="BE35" s="18">
        <f t="shared" si="14"/>
        <v>0.30703503336613375</v>
      </c>
      <c r="BF35" s="19">
        <f t="shared" si="15"/>
        <v>-5.2760083985368793E-4</v>
      </c>
      <c r="BG35" s="19">
        <f t="shared" si="16"/>
        <v>-1.2448599310960873E-2</v>
      </c>
      <c r="BH35" s="19">
        <f t="array" ref="BH35">AVERAGE(AL35:AL39/AQ35:AQ39) - AVERAGE(N35:N39/S35:S39)</f>
        <v>-1.4943103394866153E-2</v>
      </c>
      <c r="BJ35" s="18">
        <f>IF( OR(ISBLANK(N35:N39),ISBLANK(AL35:AL39), ISBLANK(W35:W39),ISBLANK(AU35:AU39)), "·", bdRateExtend( N35:N39,W35:W39, AL35:AL39,AU35:AU39))</f>
        <v>-0.69275728279928162</v>
      </c>
      <c r="BK35" s="18">
        <f>IF( OR(ISBLANK(N35:N39),ISBLANK(AL35:AL39), ISBLANK(X35:X39),ISBLANK(AV35:AV39)), "·", bdRateExtend( N35:N39,X35:X39, AL35:AL39,AV35:AV39))</f>
        <v>-0.69393073528126137</v>
      </c>
      <c r="BL35" s="18">
        <f>IF( OR(ISBLANK(V35:V39),ISBLANK(AT35:AT39), ISBLANK(Y35:Y39),ISBLANK(AW35:AW39)), "·", bdRateExtend( V35:V39,Y35:Y39, AT35:AT39,AW35:AW39))</f>
        <v>-0.6843555850772518</v>
      </c>
      <c r="BM35" s="18">
        <f>IF( OR(ISBLANK(V35:V39),ISBLANK(AT35:AT39), ISBLANK(Z35:Z39),ISBLANK(AX35:AX39)), "·", bdRateExtend( V35:V39,Z35:Z39, AT35:AT39,AX35:AX39))</f>
        <v>-0.68139914316033867</v>
      </c>
      <c r="BN35" s="18">
        <f>IF( OR(ISBLANK(V35:V39),ISBLANK(AT35:AT39), ISBLANK(AA35:AA39),ISBLANK(AY35:AY39)), "·", bdRateExtend( V35:V39,AA35:AA39, AT35:AT39,AY35:AY39))</f>
        <v>-0.6863077869160934</v>
      </c>
      <c r="BP35" s="18">
        <f>IF( OR(ISBLANK(S35:S39),ISBLANK(AQ35:AQ39), ISBLANK(W35:W39),ISBLANK(AU35:AU39)), "·", bdRateExtend( S35:S39,W35:W39, AQ35:AQ39,AU35:AU39))</f>
        <v>-0.68509578603453847</v>
      </c>
      <c r="BQ35" s="18">
        <f>IF( OR(ISBLANK(S35:S39),ISBLANK(AQ35:AQ39), ISBLANK(X35:X39),ISBLANK(AV35:AV39)), "·", bdRateExtend( S35:S39,X35:X39, AQ35:AQ39,AV35:AV39))</f>
        <v>-0.68672603812686628</v>
      </c>
      <c r="BR35" s="18">
        <f>IF( OR(ISBLANK(S35:S39),ISBLANK(AQ35:AQ39), ISBLANK(Y35:Y39),ISBLANK(AW35:AW39)), "·", bdRateExtend( S35:S39,Y35:Y39, AQ35:AQ39,AW35:AW39))</f>
        <v>-0.69228439588097423</v>
      </c>
      <c r="BS35" s="18">
        <f>IF( OR(ISBLANK(S35:S39),ISBLANK(AQ35:AQ39), ISBLANK(Z35:Z39),ISBLANK(AX35:AX39)), "·", bdRateExtend( S35:S39,Z35:Z39, AQ35:AQ39,AX35:AX39))</f>
        <v>-0.69045396063297715</v>
      </c>
      <c r="BT35" s="18">
        <f>IF( OR(ISBLANK(S35:S39),ISBLANK(AQ35:AQ39), ISBLANK(AA35:AA39),ISBLANK(AY35:AY39)), "·", bdRateExtend( S35:S39,AA35:AA39, AQ35:AQ39,AY35:AY39))</f>
        <v>-0.6939454469719033</v>
      </c>
      <c r="BV35">
        <f t="shared" si="17"/>
        <v>-51589548</v>
      </c>
      <c r="BW35">
        <f t="shared" si="18"/>
        <v>-16872.456249999814</v>
      </c>
      <c r="BX35">
        <f t="shared" si="19"/>
        <v>-1446.78125</v>
      </c>
      <c r="BY35">
        <f t="shared" si="20"/>
        <v>-3416456</v>
      </c>
      <c r="BZ35">
        <f t="shared" si="21"/>
        <v>-1653032</v>
      </c>
      <c r="CA35">
        <f t="shared" si="22"/>
        <v>-927248</v>
      </c>
      <c r="CB35">
        <f t="shared" si="23"/>
        <v>-836176</v>
      </c>
      <c r="CC35">
        <f t="shared" si="24"/>
        <v>3.8914000000005444E-2</v>
      </c>
      <c r="CD35">
        <f t="shared" si="25"/>
        <v>6.1469000000002438E-2</v>
      </c>
      <c r="CE35">
        <f t="shared" si="26"/>
        <v>0.24120800000000031</v>
      </c>
      <c r="CF35">
        <f t="shared" si="27"/>
        <v>6.8656000000004269E-2</v>
      </c>
      <c r="CG35">
        <f t="shared" si="28"/>
        <v>0.24154399999999754</v>
      </c>
      <c r="CJ35" t="s">
        <v>593</v>
      </c>
    </row>
    <row r="36" spans="1:88" hidden="1" outlineLevel="1" x14ac:dyDescent="0.25">
      <c r="A36" s="20"/>
      <c r="B36" s="20" t="s">
        <v>81</v>
      </c>
      <c r="C36" s="21" t="s">
        <v>239</v>
      </c>
      <c r="D36" s="20">
        <v>25767032</v>
      </c>
      <c r="E36" s="21">
        <v>11</v>
      </c>
      <c r="F36" s="21">
        <v>10</v>
      </c>
      <c r="G36" s="21">
        <v>30</v>
      </c>
      <c r="I36" s="22">
        <f t="shared" si="0"/>
        <v>19.964568</v>
      </c>
      <c r="J36" s="23">
        <f t="shared" si="1"/>
        <v>0.25827018028308424</v>
      </c>
      <c r="K36" s="23">
        <f t="shared" si="2"/>
        <v>0.1778703887975922</v>
      </c>
      <c r="L36" s="23">
        <f t="shared" si="3"/>
        <v>0.12589172086253472</v>
      </c>
      <c r="M36" s="23">
        <f t="shared" si="4"/>
        <v>8.0399791485492006E-2</v>
      </c>
      <c r="N36" s="20">
        <f t="shared" si="5"/>
        <v>4583192</v>
      </c>
      <c r="O36" s="23">
        <f t="shared" si="6"/>
        <v>8.3209891195617849E-2</v>
      </c>
      <c r="P36" s="24">
        <v>79976742</v>
      </c>
      <c r="Q36" s="24">
        <v>2499273.1875</v>
      </c>
      <c r="R36" s="24">
        <v>39105.5</v>
      </c>
      <c r="S36" s="25">
        <v>6654856</v>
      </c>
      <c r="T36" s="25">
        <v>3243856</v>
      </c>
      <c r="U36" s="25">
        <v>1339336</v>
      </c>
      <c r="V36" s="25">
        <v>2071664</v>
      </c>
      <c r="W36" s="26">
        <v>74.938500000000005</v>
      </c>
      <c r="X36" s="26">
        <v>77.355886999999996</v>
      </c>
      <c r="Y36" s="26">
        <v>34.0428</v>
      </c>
      <c r="Z36" s="26">
        <v>42.958224999999999</v>
      </c>
      <c r="AA36" s="26">
        <v>44.998649999999998</v>
      </c>
      <c r="AB36" s="27">
        <v>3441.58</v>
      </c>
      <c r="AC36" s="27">
        <v>16405.900000000001</v>
      </c>
      <c r="AD36" s="27">
        <v>35.722999999999999</v>
      </c>
      <c r="AE36" s="27">
        <v>74.084999999999994</v>
      </c>
      <c r="AG36" s="22">
        <f t="shared" si="7"/>
        <v>6.2676959999999999</v>
      </c>
      <c r="AH36" s="23">
        <f t="shared" si="8"/>
        <v>8.1081592944037953E-2</v>
      </c>
      <c r="AI36" s="23">
        <f t="shared" si="9"/>
        <v>5.4625150463584633E-2</v>
      </c>
      <c r="AJ36" s="23">
        <f t="shared" si="10"/>
        <v>3.8632311241744877E-2</v>
      </c>
      <c r="AK36" s="23">
        <f t="shared" si="11"/>
        <v>2.6456442480453316E-2</v>
      </c>
      <c r="AL36" s="20">
        <f t="shared" si="12"/>
        <v>1407528</v>
      </c>
      <c r="AM36" s="23">
        <f t="shared" si="13"/>
        <v>8.4332897520468339E-2</v>
      </c>
      <c r="AN36" s="24">
        <v>24773630</v>
      </c>
      <c r="AO36" s="24">
        <v>2477363</v>
      </c>
      <c r="AP36" s="24">
        <v>37486</v>
      </c>
      <c r="AQ36" s="25">
        <v>2089232</v>
      </c>
      <c r="AR36" s="25">
        <v>995440</v>
      </c>
      <c r="AS36" s="25">
        <v>412088</v>
      </c>
      <c r="AT36" s="25">
        <v>681704</v>
      </c>
      <c r="AU36" s="26">
        <v>74.958089999999999</v>
      </c>
      <c r="AV36" s="26">
        <v>77.395299999999978</v>
      </c>
      <c r="AW36" s="26">
        <v>34.241990000000008</v>
      </c>
      <c r="AX36" s="26">
        <v>42.975119999999997</v>
      </c>
      <c r="AY36" s="26">
        <v>45.030819999999991</v>
      </c>
      <c r="AZ36" s="27">
        <v>950.78</v>
      </c>
      <c r="BA36" s="27">
        <v>7542.22</v>
      </c>
      <c r="BB36" s="27">
        <v>14.648</v>
      </c>
      <c r="BC36" s="27">
        <v>10.02</v>
      </c>
      <c r="BE36" s="28">
        <f t="shared" si="14"/>
        <v>0.30710648822916431</v>
      </c>
      <c r="BF36" s="29">
        <f t="shared" si="15"/>
        <v>-5.1533699252473072E-4</v>
      </c>
      <c r="BG36" s="29">
        <f t="shared" si="16"/>
        <v>-1.4992963008257143E-2</v>
      </c>
      <c r="BH36" s="29"/>
      <c r="BJ36" s="28"/>
      <c r="BK36" s="28"/>
      <c r="BL36" s="28"/>
      <c r="BM36" s="28"/>
      <c r="BN36" s="28"/>
      <c r="BP36" s="28"/>
      <c r="BQ36" s="28"/>
      <c r="BR36" s="28"/>
      <c r="BS36" s="28"/>
      <c r="BT36" s="28"/>
      <c r="BV36">
        <f t="shared" si="17"/>
        <v>-55203112</v>
      </c>
      <c r="BW36">
        <f t="shared" si="18"/>
        <v>-21910.1875</v>
      </c>
      <c r="BX36">
        <f t="shared" si="19"/>
        <v>-1619.5</v>
      </c>
      <c r="BY36">
        <f t="shared" si="20"/>
        <v>-4565624</v>
      </c>
      <c r="BZ36">
        <f t="shared" si="21"/>
        <v>-2248416</v>
      </c>
      <c r="CA36">
        <f t="shared" si="22"/>
        <v>-927248</v>
      </c>
      <c r="CB36">
        <f t="shared" si="23"/>
        <v>-1389960</v>
      </c>
      <c r="CC36">
        <f t="shared" si="24"/>
        <v>1.9589999999993779E-2</v>
      </c>
      <c r="CD36">
        <f t="shared" si="25"/>
        <v>3.9412999999981935E-2</v>
      </c>
      <c r="CE36">
        <f t="shared" si="26"/>
        <v>0.19919000000000864</v>
      </c>
      <c r="CF36">
        <f t="shared" si="27"/>
        <v>1.6894999999998106E-2</v>
      </c>
      <c r="CG36">
        <f t="shared" si="28"/>
        <v>3.2169999999993593E-2</v>
      </c>
      <c r="CJ36" t="s">
        <v>593</v>
      </c>
    </row>
    <row r="37" spans="1:88" hidden="1" outlineLevel="1" x14ac:dyDescent="0.25">
      <c r="A37" s="10"/>
      <c r="B37" s="10" t="s">
        <v>81</v>
      </c>
      <c r="C37" s="11" t="s">
        <v>240</v>
      </c>
      <c r="D37" s="10">
        <v>25767032</v>
      </c>
      <c r="E37" s="11">
        <v>11</v>
      </c>
      <c r="F37" s="11">
        <v>10</v>
      </c>
      <c r="G37" s="11">
        <v>30</v>
      </c>
      <c r="I37" s="12">
        <f t="shared" si="0"/>
        <v>28.505472000000001</v>
      </c>
      <c r="J37" s="13">
        <f t="shared" si="1"/>
        <v>0.36875896300357758</v>
      </c>
      <c r="K37" s="13">
        <f t="shared" si="2"/>
        <v>0.22559680137006077</v>
      </c>
      <c r="L37" s="13">
        <f t="shared" si="3"/>
        <v>0.17361813343500329</v>
      </c>
      <c r="M37" s="13">
        <f t="shared" si="4"/>
        <v>0.1431621616335168</v>
      </c>
      <c r="N37" s="10">
        <f t="shared" si="5"/>
        <v>5812960</v>
      </c>
      <c r="O37" s="13">
        <f t="shared" si="6"/>
        <v>0.11617699779749911</v>
      </c>
      <c r="P37" s="14">
        <v>81787481</v>
      </c>
      <c r="Q37" s="14">
        <v>2555858.78125</v>
      </c>
      <c r="R37" s="14">
        <v>42911.78125</v>
      </c>
      <c r="S37" s="15">
        <v>9501824</v>
      </c>
      <c r="T37" s="15">
        <v>4473624</v>
      </c>
      <c r="U37" s="15">
        <v>1339336</v>
      </c>
      <c r="V37" s="15">
        <v>3688864</v>
      </c>
      <c r="W37" s="16">
        <v>76.246069000000006</v>
      </c>
      <c r="X37" s="16">
        <v>78.937634000000003</v>
      </c>
      <c r="Y37" s="16">
        <v>36.130122</v>
      </c>
      <c r="Z37" s="16">
        <v>43.529097</v>
      </c>
      <c r="AA37" s="16">
        <v>46.101627999999998</v>
      </c>
      <c r="AB37" s="17">
        <v>4517.5200000000004</v>
      </c>
      <c r="AC37" s="17">
        <v>21196.9</v>
      </c>
      <c r="AD37" s="17">
        <v>42.043999999999997</v>
      </c>
      <c r="AE37" s="17">
        <v>102.444</v>
      </c>
      <c r="AG37" s="12">
        <f t="shared" si="7"/>
        <v>9.0668640000000007</v>
      </c>
      <c r="AH37" s="13">
        <f t="shared" si="8"/>
        <v>0.11729282596458918</v>
      </c>
      <c r="AI37" s="13">
        <f t="shared" si="9"/>
        <v>6.9606775044948915E-2</v>
      </c>
      <c r="AJ37" s="13">
        <f t="shared" si="10"/>
        <v>5.3613935823109159E-2</v>
      </c>
      <c r="AK37" s="13">
        <f t="shared" si="11"/>
        <v>4.768605091964026E-2</v>
      </c>
      <c r="AL37" s="10">
        <f t="shared" si="12"/>
        <v>1793560</v>
      </c>
      <c r="AM37" s="13">
        <f t="shared" si="13"/>
        <v>0.11935781504547902</v>
      </c>
      <c r="AN37" s="14">
        <v>25321241</v>
      </c>
      <c r="AO37" s="14">
        <v>2532124.1</v>
      </c>
      <c r="AP37" s="14">
        <v>41193.9</v>
      </c>
      <c r="AQ37" s="15">
        <v>3022288</v>
      </c>
      <c r="AR37" s="15">
        <v>1381472</v>
      </c>
      <c r="AS37" s="15">
        <v>412088</v>
      </c>
      <c r="AT37" s="15">
        <v>1228728</v>
      </c>
      <c r="AU37" s="16">
        <v>76.252659999999992</v>
      </c>
      <c r="AV37" s="16">
        <v>78.965660000000014</v>
      </c>
      <c r="AW37" s="16">
        <v>36.271079999999998</v>
      </c>
      <c r="AX37" s="16">
        <v>43.599589999999992</v>
      </c>
      <c r="AY37" s="16">
        <v>46.221230000000013</v>
      </c>
      <c r="AZ37" s="17">
        <v>966.65199999999993</v>
      </c>
      <c r="BA37" s="17">
        <v>7373.7</v>
      </c>
      <c r="BB37" s="17">
        <v>14.34</v>
      </c>
      <c r="BC37" s="17">
        <v>11.84</v>
      </c>
      <c r="BE37" s="18">
        <f t="shared" si="14"/>
        <v>0.30854504417714901</v>
      </c>
      <c r="BF37" s="19">
        <f t="shared" si="15"/>
        <v>-5.2105900042234699E-4</v>
      </c>
      <c r="BG37" s="19">
        <f t="shared" si="16"/>
        <v>-1.832862908958699E-2</v>
      </c>
      <c r="BH37" s="19"/>
      <c r="BJ37" s="18"/>
      <c r="BK37" s="18"/>
      <c r="BL37" s="18"/>
      <c r="BM37" s="18"/>
      <c r="BN37" s="18"/>
      <c r="BP37" s="18"/>
      <c r="BQ37" s="18"/>
      <c r="BR37" s="18"/>
      <c r="BS37" s="18"/>
      <c r="BT37" s="18"/>
      <c r="BV37">
        <f t="shared" si="17"/>
        <v>-56466240</v>
      </c>
      <c r="BW37">
        <f t="shared" si="18"/>
        <v>-23734.681249999907</v>
      </c>
      <c r="BX37">
        <f t="shared" si="19"/>
        <v>-1717.8812499999985</v>
      </c>
      <c r="BY37">
        <f t="shared" si="20"/>
        <v>-6479536</v>
      </c>
      <c r="BZ37">
        <f t="shared" si="21"/>
        <v>-3092152</v>
      </c>
      <c r="CA37">
        <f t="shared" si="22"/>
        <v>-927248</v>
      </c>
      <c r="CB37">
        <f t="shared" si="23"/>
        <v>-2460136</v>
      </c>
      <c r="CC37">
        <f t="shared" si="24"/>
        <v>6.5909999999860247E-3</v>
      </c>
      <c r="CD37">
        <f t="shared" si="25"/>
        <v>2.8026000000011209E-2</v>
      </c>
      <c r="CE37">
        <f t="shared" si="26"/>
        <v>0.1409579999999977</v>
      </c>
      <c r="CF37">
        <f t="shared" si="27"/>
        <v>7.0492999999991923E-2</v>
      </c>
      <c r="CG37">
        <f t="shared" si="28"/>
        <v>0.11960200000001464</v>
      </c>
      <c r="CJ37" t="s">
        <v>593</v>
      </c>
    </row>
    <row r="38" spans="1:88" hidden="1" outlineLevel="1" x14ac:dyDescent="0.25">
      <c r="A38" s="20"/>
      <c r="B38" s="20" t="s">
        <v>81</v>
      </c>
      <c r="C38" s="21" t="s">
        <v>241</v>
      </c>
      <c r="D38" s="20">
        <v>25767032</v>
      </c>
      <c r="E38" s="21">
        <v>11</v>
      </c>
      <c r="F38" s="21">
        <v>10</v>
      </c>
      <c r="G38" s="21">
        <v>30</v>
      </c>
      <c r="I38" s="22">
        <f t="shared" si="0"/>
        <v>46.190711999999998</v>
      </c>
      <c r="J38" s="23">
        <f t="shared" si="1"/>
        <v>0.59754278257581239</v>
      </c>
      <c r="K38" s="23">
        <f t="shared" si="2"/>
        <v>0.30666380202423005</v>
      </c>
      <c r="L38" s="23">
        <f t="shared" si="3"/>
        <v>0.25468513408917254</v>
      </c>
      <c r="M38" s="23">
        <f t="shared" si="4"/>
        <v>0.29087898055158234</v>
      </c>
      <c r="N38" s="20">
        <f t="shared" si="5"/>
        <v>7901816</v>
      </c>
      <c r="O38" s="23">
        <f t="shared" si="6"/>
        <v>0.18360391000898207</v>
      </c>
      <c r="P38" s="24">
        <v>83859347</v>
      </c>
      <c r="Q38" s="24">
        <v>2620604.59375</v>
      </c>
      <c r="R38" s="24">
        <v>48103.65625</v>
      </c>
      <c r="S38" s="25">
        <v>15396904</v>
      </c>
      <c r="T38" s="25">
        <v>6562480</v>
      </c>
      <c r="U38" s="25">
        <v>1339336</v>
      </c>
      <c r="V38" s="25">
        <v>7495088</v>
      </c>
      <c r="W38" s="26">
        <v>77.415709000000007</v>
      </c>
      <c r="X38" s="26">
        <v>80.131399999999999</v>
      </c>
      <c r="Y38" s="26">
        <v>38.085527999999996</v>
      </c>
      <c r="Z38" s="26">
        <v>44.206916</v>
      </c>
      <c r="AA38" s="26">
        <v>47.257871999999999</v>
      </c>
      <c r="AB38" s="27">
        <v>3229.53</v>
      </c>
      <c r="AC38" s="27">
        <v>16895.5</v>
      </c>
      <c r="AD38" s="27">
        <v>34.579000000000001</v>
      </c>
      <c r="AE38" s="27">
        <v>75.942999999999998</v>
      </c>
      <c r="AG38" s="22">
        <f t="shared" si="7"/>
        <v>14.724624</v>
      </c>
      <c r="AH38" s="23">
        <f t="shared" si="8"/>
        <v>0.19048402625494468</v>
      </c>
      <c r="AI38" s="23">
        <f t="shared" si="9"/>
        <v>9.4801139688886177E-2</v>
      </c>
      <c r="AJ38" s="23">
        <f t="shared" si="10"/>
        <v>7.8808300467046413E-2</v>
      </c>
      <c r="AK38" s="23">
        <f t="shared" si="11"/>
        <v>9.5682886566058514E-2</v>
      </c>
      <c r="AL38" s="20">
        <f t="shared" si="12"/>
        <v>2442744</v>
      </c>
      <c r="AM38" s="23">
        <f t="shared" si="13"/>
        <v>0.18912942613173153</v>
      </c>
      <c r="AN38" s="24">
        <v>25951583</v>
      </c>
      <c r="AO38" s="24">
        <v>2595158.2999999998</v>
      </c>
      <c r="AP38" s="24">
        <v>46011.3</v>
      </c>
      <c r="AQ38" s="25">
        <v>4908208</v>
      </c>
      <c r="AR38" s="25">
        <v>2030656</v>
      </c>
      <c r="AS38" s="25">
        <v>412088</v>
      </c>
      <c r="AT38" s="25">
        <v>2465464</v>
      </c>
      <c r="AU38" s="26">
        <v>77.426749999999998</v>
      </c>
      <c r="AV38" s="26">
        <v>80.166090000000025</v>
      </c>
      <c r="AW38" s="26">
        <v>38.172400000000003</v>
      </c>
      <c r="AX38" s="26">
        <v>44.220550000000003</v>
      </c>
      <c r="AY38" s="26">
        <v>47.372909999999997</v>
      </c>
      <c r="AZ38" s="27">
        <v>937.13600000000008</v>
      </c>
      <c r="BA38" s="27">
        <v>7226.79</v>
      </c>
      <c r="BB38" s="27">
        <v>14.288</v>
      </c>
      <c r="BC38" s="27">
        <v>12.071999999999999</v>
      </c>
      <c r="BE38" s="28">
        <f t="shared" si="14"/>
        <v>0.30913703887815158</v>
      </c>
      <c r="BF38" s="29">
        <f t="shared" si="15"/>
        <v>-6.2626840597060363E-4</v>
      </c>
      <c r="BG38" s="29">
        <f t="shared" si="16"/>
        <v>-1.5522600229591788E-2</v>
      </c>
      <c r="BH38" s="29"/>
      <c r="BJ38" s="28"/>
      <c r="BK38" s="28"/>
      <c r="BL38" s="28"/>
      <c r="BM38" s="28"/>
      <c r="BN38" s="28"/>
      <c r="BP38" s="28"/>
      <c r="BQ38" s="28"/>
      <c r="BR38" s="28"/>
      <c r="BS38" s="28"/>
      <c r="BT38" s="28"/>
      <c r="BV38">
        <f t="shared" si="17"/>
        <v>-57907764</v>
      </c>
      <c r="BW38">
        <f t="shared" si="18"/>
        <v>-25446.293750000186</v>
      </c>
      <c r="BX38">
        <f t="shared" si="19"/>
        <v>-2092.3562499999971</v>
      </c>
      <c r="BY38">
        <f t="shared" si="20"/>
        <v>-10488696</v>
      </c>
      <c r="BZ38">
        <f t="shared" si="21"/>
        <v>-4531824</v>
      </c>
      <c r="CA38">
        <f t="shared" si="22"/>
        <v>-927248</v>
      </c>
      <c r="CB38">
        <f t="shared" si="23"/>
        <v>-5029624</v>
      </c>
      <c r="CC38">
        <f t="shared" si="24"/>
        <v>1.1040999999991641E-2</v>
      </c>
      <c r="CD38">
        <f t="shared" si="25"/>
        <v>3.4690000000026089E-2</v>
      </c>
      <c r="CE38">
        <f t="shared" si="26"/>
        <v>8.6872000000006722E-2</v>
      </c>
      <c r="CF38">
        <f t="shared" si="27"/>
        <v>1.3634000000003255E-2</v>
      </c>
      <c r="CG38">
        <f t="shared" si="28"/>
        <v>0.11503799999999842</v>
      </c>
      <c r="CJ38" t="s">
        <v>593</v>
      </c>
    </row>
    <row r="39" spans="1:88" ht="15.75" hidden="1" customHeight="1" outlineLevel="1" thickBot="1" x14ac:dyDescent="0.3">
      <c r="A39" s="30"/>
      <c r="B39" s="30" t="s">
        <v>81</v>
      </c>
      <c r="C39" s="31" t="s">
        <v>242</v>
      </c>
      <c r="D39" s="30">
        <v>25767032</v>
      </c>
      <c r="E39" s="31">
        <v>11</v>
      </c>
      <c r="F39" s="31">
        <v>10</v>
      </c>
      <c r="G39" s="31">
        <v>30</v>
      </c>
      <c r="I39" s="32">
        <f t="shared" si="0"/>
        <v>91.714296000000004</v>
      </c>
      <c r="J39" s="33">
        <f t="shared" si="1"/>
        <v>1.1864553123541741</v>
      </c>
      <c r="K39" s="33">
        <f t="shared" si="2"/>
        <v>0.49749711181326589</v>
      </c>
      <c r="L39" s="33">
        <f t="shared" si="3"/>
        <v>0.39268628222295837</v>
      </c>
      <c r="M39" s="33">
        <f t="shared" si="4"/>
        <v>0.68895820054090828</v>
      </c>
      <c r="N39" s="30">
        <f t="shared" si="5"/>
        <v>12819024</v>
      </c>
      <c r="O39" s="33">
        <f t="shared" si="6"/>
        <v>0.3725154977222177</v>
      </c>
      <c r="P39" s="34">
        <v>82067544</v>
      </c>
      <c r="Q39" s="34">
        <v>2564610.75</v>
      </c>
      <c r="R39" s="34">
        <v>19264.46875</v>
      </c>
      <c r="S39" s="35">
        <v>30571432</v>
      </c>
      <c r="T39" s="35">
        <v>10118360</v>
      </c>
      <c r="U39" s="35">
        <v>2700664</v>
      </c>
      <c r="V39" s="35">
        <v>17752408</v>
      </c>
      <c r="W39" s="36">
        <v>78.311515999999997</v>
      </c>
      <c r="X39" s="36">
        <v>81.848194000000007</v>
      </c>
      <c r="Y39" s="36">
        <v>40.156066000000003</v>
      </c>
      <c r="Z39" s="36">
        <v>45.115955999999997</v>
      </c>
      <c r="AA39" s="36">
        <v>48.630465999999998</v>
      </c>
      <c r="AB39" s="37">
        <v>3225.58</v>
      </c>
      <c r="AC39" s="37">
        <v>18279.8</v>
      </c>
      <c r="AD39" s="37">
        <v>34.353000000000002</v>
      </c>
      <c r="AE39" s="37">
        <v>82.298000000000002</v>
      </c>
      <c r="AG39" s="32">
        <f t="shared" si="7"/>
        <v>29.207736000000001</v>
      </c>
      <c r="AH39" s="33">
        <f t="shared" si="8"/>
        <v>0.37784375010672555</v>
      </c>
      <c r="AI39" s="33">
        <f t="shared" si="9"/>
        <v>0.15336341414874635</v>
      </c>
      <c r="AJ39" s="33">
        <f t="shared" si="10"/>
        <v>0.12114984760371315</v>
      </c>
      <c r="AK39" s="33">
        <f t="shared" si="11"/>
        <v>0.22448033595797917</v>
      </c>
      <c r="AL39" s="30">
        <f t="shared" si="12"/>
        <v>3951720</v>
      </c>
      <c r="AM39" s="33">
        <f t="shared" si="13"/>
        <v>0.38307566186499648</v>
      </c>
      <c r="AN39" s="34">
        <v>25415115</v>
      </c>
      <c r="AO39" s="34">
        <v>2541511.5</v>
      </c>
      <c r="AP39" s="34">
        <v>18356.599999999999</v>
      </c>
      <c r="AQ39" s="35">
        <v>9735912</v>
      </c>
      <c r="AR39" s="35">
        <v>3121672</v>
      </c>
      <c r="AS39" s="35">
        <v>830048</v>
      </c>
      <c r="AT39" s="35">
        <v>5784192</v>
      </c>
      <c r="AU39" s="36">
        <v>78.298859999999976</v>
      </c>
      <c r="AV39" s="36">
        <v>81.864049999999978</v>
      </c>
      <c r="AW39" s="36">
        <v>40.228099999999998</v>
      </c>
      <c r="AX39" s="36">
        <v>45.200240000000001</v>
      </c>
      <c r="AY39" s="36">
        <v>48.68262</v>
      </c>
      <c r="AZ39" s="37">
        <v>933.1160000000001</v>
      </c>
      <c r="BA39" s="37">
        <v>7771.3</v>
      </c>
      <c r="BB39" s="37">
        <v>14.236000000000001</v>
      </c>
      <c r="BC39" s="37">
        <v>14.116</v>
      </c>
      <c r="BE39" s="38">
        <f t="shared" si="14"/>
        <v>0.3082699587737725</v>
      </c>
      <c r="BF39" s="39">
        <f t="shared" si="15"/>
        <v>-2.8894426603128832E-4</v>
      </c>
      <c r="BG39" s="39">
        <f t="shared" si="16"/>
        <v>-1.3422725335934194E-2</v>
      </c>
      <c r="BH39" s="39"/>
      <c r="BJ39" s="38"/>
      <c r="BK39" s="38"/>
      <c r="BL39" s="38"/>
      <c r="BM39" s="38"/>
      <c r="BN39" s="38"/>
      <c r="BP39" s="38"/>
      <c r="BQ39" s="38"/>
      <c r="BR39" s="38"/>
      <c r="BS39" s="38"/>
      <c r="BT39" s="38"/>
      <c r="BV39">
        <f t="shared" si="17"/>
        <v>-56652429</v>
      </c>
      <c r="BW39">
        <f t="shared" si="18"/>
        <v>-23099.25</v>
      </c>
      <c r="BX39">
        <f t="shared" si="19"/>
        <v>-907.86875000000146</v>
      </c>
      <c r="BY39">
        <f t="shared" si="20"/>
        <v>-20835520</v>
      </c>
      <c r="BZ39">
        <f t="shared" si="21"/>
        <v>-6996688</v>
      </c>
      <c r="CA39">
        <f t="shared" si="22"/>
        <v>-1870616</v>
      </c>
      <c r="CB39">
        <f t="shared" si="23"/>
        <v>-11968216</v>
      </c>
      <c r="CC39">
        <f t="shared" si="24"/>
        <v>-1.2656000000021095E-2</v>
      </c>
      <c r="CD39">
        <f t="shared" si="25"/>
        <v>1.5855999999971004E-2</v>
      </c>
      <c r="CE39">
        <f t="shared" si="26"/>
        <v>7.2033999999995046E-2</v>
      </c>
      <c r="CF39">
        <f t="shared" si="27"/>
        <v>8.42840000000038E-2</v>
      </c>
      <c r="CG39">
        <f t="shared" si="28"/>
        <v>5.2154000000001588E-2</v>
      </c>
      <c r="CJ39" t="s">
        <v>593</v>
      </c>
    </row>
    <row r="40" spans="1:88" x14ac:dyDescent="0.25">
      <c r="B40" s="50" t="s">
        <v>15</v>
      </c>
      <c r="J40" s="51">
        <f>AVERAGE(J5:J24)</f>
        <v>0.16343399125277439</v>
      </c>
      <c r="K40" s="51">
        <f>AVERAGE(K5:K24)</f>
        <v>8.7931579137228294E-2</v>
      </c>
      <c r="L40" s="51">
        <f>AVERAGE(L5:L24)</f>
        <v>6.4157107284175924E-2</v>
      </c>
      <c r="M40" s="51">
        <f>AVERAGE(M5:M24)</f>
        <v>7.5502412115546105E-2</v>
      </c>
      <c r="AH40" s="51">
        <f>AVERAGE(AH5:AH24)</f>
        <v>0.16343399125277439</v>
      </c>
      <c r="AI40" s="51">
        <f>AVERAGE(AI5:AI24)</f>
        <v>8.7931579137228294E-2</v>
      </c>
      <c r="AJ40" s="51">
        <f>AVERAGE(AJ5:AJ24)</f>
        <v>6.4157107284175924E-2</v>
      </c>
      <c r="AK40" s="51">
        <f>AVERAGE(AK5:AK24)</f>
        <v>7.5502412115546105E-2</v>
      </c>
      <c r="BE40" s="4">
        <f t="shared" si="14"/>
        <v>1</v>
      </c>
      <c r="BH40" s="53">
        <f>AVERAGE(BH5:BH24)</f>
        <v>0</v>
      </c>
      <c r="BJ40" s="4">
        <f>AVERAGE(BJ5:BJ24)</f>
        <v>-7.0943388108535288E-9</v>
      </c>
      <c r="BK40" s="4">
        <f>AVERAGE(BK5:BK24)</f>
        <v>-8.7524419656315189E-9</v>
      </c>
      <c r="BL40" s="4">
        <f>AVERAGE(BL5:BL24)</f>
        <v>3.577196594495291E-8</v>
      </c>
      <c r="BM40" s="4">
        <f>AVERAGE(BM5:BM24)</f>
        <v>1.9181792995648372E-7</v>
      </c>
      <c r="BN40" s="4">
        <f>AVERAGE(BN5:BN24)</f>
        <v>5.7803421660285181E-8</v>
      </c>
      <c r="BP40" s="4">
        <f>AVERAGE(BP5:BP24)</f>
        <v>-1.6881123166001544E-8</v>
      </c>
      <c r="BQ40" s="4">
        <f>AVERAGE(BQ5:BQ24)</f>
        <v>-1.7211602143518689E-9</v>
      </c>
      <c r="BR40" s="4">
        <f>AVERAGE(BR5:BR24)</f>
        <v>2.580744423719139E-8</v>
      </c>
      <c r="BS40" s="4">
        <f>AVERAGE(BS5:BS24)</f>
        <v>9.7334845960972416E-8</v>
      </c>
      <c r="BT40" s="4">
        <f>AVERAGE(BT5:BT24)</f>
        <v>4.1834128161610806E-8</v>
      </c>
    </row>
    <row r="41" spans="1:88" x14ac:dyDescent="0.25">
      <c r="B41" s="50" t="s">
        <v>16</v>
      </c>
      <c r="J41" s="51">
        <f>AVERAGE(J25:J29)</f>
        <v>0.37886728121638996</v>
      </c>
      <c r="K41" s="51">
        <f>AVERAGE(K25:K29)</f>
        <v>0.11289659995998802</v>
      </c>
      <c r="L41" s="51">
        <f>AVERAGE(L25:L29)</f>
        <v>8.6692723979480732E-2</v>
      </c>
      <c r="M41" s="51">
        <f>AVERAGE(M25:M29)</f>
        <v>0.265970681256402</v>
      </c>
      <c r="AH41" s="51">
        <f>AVERAGE(AH25:AH29)</f>
        <v>0.37886728121638996</v>
      </c>
      <c r="AI41" s="51">
        <f>AVERAGE(AI25:AI29)</f>
        <v>0.11289659995998802</v>
      </c>
      <c r="AJ41" s="51">
        <f>AVERAGE(AJ25:AJ29)</f>
        <v>8.6692723979480732E-2</v>
      </c>
      <c r="AK41" s="51">
        <f>AVERAGE(AK25:AK29)</f>
        <v>0.265970681256402</v>
      </c>
      <c r="BE41" s="4">
        <f t="shared" si="14"/>
        <v>1</v>
      </c>
      <c r="BH41" s="53">
        <f>AVERAGE(BH25:BH29)</f>
        <v>0</v>
      </c>
      <c r="BJ41" s="4">
        <f>AVERAGE(BJ25:BJ29)</f>
        <v>-1.7720740541626867E-8</v>
      </c>
      <c r="BK41" s="4">
        <f>AVERAGE(BK25:BK29)</f>
        <v>2.4054018776809016E-9</v>
      </c>
      <c r="BL41" s="4">
        <f>AVERAGE(BL25:BL29)</f>
        <v>-4.1437449027625917E-9</v>
      </c>
      <c r="BM41" s="4">
        <f>AVERAGE(BM25:BM29)</f>
        <v>-3.3278946820480826E-7</v>
      </c>
      <c r="BN41" s="4">
        <f>AVERAGE(BN25:BN29)</f>
        <v>3.6558757132709729E-8</v>
      </c>
      <c r="BP41" s="4">
        <f>AVERAGE(BP25:BP29)</f>
        <v>-3.5684155519355443E-8</v>
      </c>
      <c r="BQ41" s="4">
        <f>AVERAGE(BQ25:BQ29)</f>
        <v>6.0729929973746266E-9</v>
      </c>
      <c r="BR41" s="4">
        <f>AVERAGE(BR25:BR29)</f>
        <v>-4.043100743089667E-9</v>
      </c>
      <c r="BS41" s="4">
        <f>AVERAGE(BS25:BS29)</f>
        <v>-2.3712293617528246E-7</v>
      </c>
      <c r="BT41" s="4">
        <f>AVERAGE(BT25:BT29)</f>
        <v>2.9248135247073037E-8</v>
      </c>
    </row>
    <row r="42" spans="1:88" x14ac:dyDescent="0.25">
      <c r="B42" s="50" t="s">
        <v>17</v>
      </c>
      <c r="J42" s="51">
        <f>AVERAGE(J30:J39)</f>
        <v>0.45481547487732871</v>
      </c>
      <c r="K42" s="51">
        <f>AVERAGE(K30:K39)</f>
        <v>0.24136113882742105</v>
      </c>
      <c r="L42" s="51">
        <f>AVERAGE(L30:L39)</f>
        <v>0.18557743921909703</v>
      </c>
      <c r="M42" s="51">
        <f>AVERAGE(M30:M39)</f>
        <v>0.21345433604990766</v>
      </c>
      <c r="AH42" s="51">
        <f>AVERAGE(AH30:AH39)</f>
        <v>0.13879038868785623</v>
      </c>
      <c r="AI42" s="51">
        <f>AVERAGE(AI30:AI39)</f>
        <v>7.1465128043057574E-2</v>
      </c>
      <c r="AJ42" s="51">
        <f>AVERAGE(AJ30:AJ39)</f>
        <v>5.4734496915302536E-2</v>
      </c>
      <c r="AK42" s="51">
        <f>AVERAGE(AK30:AK39)</f>
        <v>6.7325260644798643E-2</v>
      </c>
      <c r="BE42" s="4">
        <f t="shared" si="14"/>
        <v>0.29609210658455187</v>
      </c>
      <c r="BH42" s="53">
        <f>AVERAGE(BH30:BH39)</f>
        <v>-9.2518594463056325E-3</v>
      </c>
      <c r="BJ42" s="4">
        <f>AVERAGE(BJ30:BJ39)</f>
        <v>-0.7104848935083774</v>
      </c>
      <c r="BK42" s="4">
        <f>AVERAGE(BK30:BK39)</f>
        <v>-0.70906913535105076</v>
      </c>
      <c r="BL42" s="4">
        <f>AVERAGE(BL30:BL39)</f>
        <v>-0.7133565993480504</v>
      </c>
      <c r="BM42" s="4">
        <f>AVERAGE(BM30:BM39)</f>
        <v>-0.66264590389547728</v>
      </c>
      <c r="BN42" s="4">
        <f>AVERAGE(BN30:BN39)</f>
        <v>-0.71980368425674035</v>
      </c>
      <c r="BP42" s="4">
        <f>AVERAGE(BP30:BP39)</f>
        <v>-0.70701828031387981</v>
      </c>
      <c r="BQ42" s="4">
        <f>AVERAGE(BQ30:BQ39)</f>
        <v>-0.70485819761659796</v>
      </c>
      <c r="BR42" s="4">
        <f>AVERAGE(BR30:BR39)</f>
        <v>-0.71269691559154114</v>
      </c>
      <c r="BS42" s="4">
        <f>AVERAGE(BS30:BS39)</f>
        <v>-0.68201866567893465</v>
      </c>
      <c r="BT42" s="4">
        <f>AVERAGE(BT30:BT39)</f>
        <v>-0.71898909937213606</v>
      </c>
    </row>
    <row r="43" spans="1:88" x14ac:dyDescent="0.25">
      <c r="B43" s="50" t="s">
        <v>18</v>
      </c>
      <c r="J43" s="51">
        <f>AVERAGE(J5:J39)</f>
        <v>0.27746202799744929</v>
      </c>
      <c r="K43" s="51">
        <f>AVERAGE(K5:K39)</f>
        <v>0.13533502773767761</v>
      </c>
      <c r="L43" s="51">
        <f>AVERAGE(L5:L39)</f>
        <v>0.10206800450776833</v>
      </c>
      <c r="M43" s="51">
        <f>AVERAGE(M5:M39)</f>
        <v>0.14212700025977165</v>
      </c>
      <c r="AH43" s="51">
        <f>AVERAGE(AH5:AH39)</f>
        <v>0.18716914622902855</v>
      </c>
      <c r="AI43" s="51">
        <f>AVERAGE(AI5:AI39)</f>
        <v>8.6793310370716609E-2</v>
      </c>
      <c r="AJ43" s="51">
        <f>AVERAGE(AJ5:AJ39)</f>
        <v>6.4684306706684194E-2</v>
      </c>
      <c r="AK43" s="51">
        <f>AVERAGE(AK5:AK39)</f>
        <v>0.10037583585831193</v>
      </c>
      <c r="BE43" s="4">
        <f t="shared" si="14"/>
        <v>0.64132185009005716</v>
      </c>
      <c r="BH43" s="53">
        <f>AVERAGE(BH5:BH39)</f>
        <v>-2.6433884132301805E-3</v>
      </c>
      <c r="BJ43" s="4">
        <f>AVERAGE(BJ5:BJ39)</f>
        <v>-0.20299569044497864</v>
      </c>
      <c r="BK43" s="4">
        <f>AVERAGE(BK5:BK39)</f>
        <v>-0.20259118618663821</v>
      </c>
      <c r="BL43" s="4">
        <f>AVERAGE(BL5:BL39)</f>
        <v>-0.20381615139314027</v>
      </c>
      <c r="BM43" s="4">
        <f>AVERAGE(BM5:BM39)</f>
        <v>-0.18932733904410043</v>
      </c>
      <c r="BN43" s="4">
        <f>AVERAGE(BN5:BN39)</f>
        <v>-0.20565815724871955</v>
      </c>
      <c r="BP43" s="4">
        <f>AVERAGE(BP5:BP39)</f>
        <v>-0.20200523769091538</v>
      </c>
      <c r="BQ43" s="4">
        <f>AVERAGE(BQ5:BQ39)</f>
        <v>-0.20138805657783482</v>
      </c>
      <c r="BR43" s="4">
        <f>AVERAGE(BR5:BR39)</f>
        <v>-0.20362767599948658</v>
      </c>
      <c r="BS43" s="4">
        <f>AVERAGE(BS5:BS39)</f>
        <v>-0.19486245416306022</v>
      </c>
      <c r="BT43" s="4">
        <f>AVERAGE(BT5:BT39)</f>
        <v>-0.20542542887994633</v>
      </c>
    </row>
    <row r="44" spans="1:88" outlineLevel="2" x14ac:dyDescent="0.25">
      <c r="A44" s="50" t="s">
        <v>250</v>
      </c>
      <c r="B44" s="50" t="s">
        <v>251</v>
      </c>
      <c r="AB44" s="52">
        <f>SUM(AB5:AB24,AB25:AB29,AB30:AB39)</f>
        <v>154830.37</v>
      </c>
      <c r="AC44" s="52">
        <f>SUM(AC5:AC24,AC25:AC29,AC30:AC39)</f>
        <v>254147.40999999997</v>
      </c>
      <c r="AD44" s="52">
        <f>SUM(AD5:AD24,AD25:AD29,AD30:AD39)</f>
        <v>654.70999999999981</v>
      </c>
      <c r="AE44" s="52">
        <f>SUM(AE5:AE24,AE25:AE29,AE30:AE39)</f>
        <v>1317.259</v>
      </c>
      <c r="AZ44" s="52">
        <f>SUM(AZ5:AZ24,AZ25:AZ29,AZ30:AZ39)</f>
        <v>95260.578000000009</v>
      </c>
      <c r="BA44" s="52">
        <f>SUM(BA5:BA24,BA25:BA29,BA30:BA39)</f>
        <v>190272.23</v>
      </c>
      <c r="BB44" s="52">
        <f>SUM(BB5:BB24,BB25:BB29,BB30:BB39)</f>
        <v>476.02399999999994</v>
      </c>
      <c r="BC44" s="52">
        <f>SUM(BC5:BC24,BC25:BC29,BC30:BC39)</f>
        <v>356.97199999999992</v>
      </c>
    </row>
    <row r="45" spans="1:88" outlineLevel="2" x14ac:dyDescent="0.25">
      <c r="B45" s="50" t="s">
        <v>252</v>
      </c>
      <c r="AZ45" s="53">
        <f>AZ44/AB44</f>
        <v>0.61525770428631033</v>
      </c>
      <c r="BA45" s="53">
        <f>BA44/AC44</f>
        <v>0.74866877455095859</v>
      </c>
      <c r="BB45" s="53">
        <f>BB44/AD44</f>
        <v>0.72707611003345007</v>
      </c>
      <c r="BC45" s="53">
        <f>BC44/AE44</f>
        <v>0.27099606075950128</v>
      </c>
    </row>
    <row r="46" spans="1:88" outlineLevel="2" x14ac:dyDescent="0.25">
      <c r="B46" s="50" t="s">
        <v>253</v>
      </c>
      <c r="AB46" s="52">
        <f>GEOMEAN(AB5:AB24,AB25:AB29,AB30:AB39)</f>
        <v>3962.3982926380681</v>
      </c>
      <c r="AC46" s="52">
        <f>GEOMEAN(AC5:AC24,AC25:AC29,AC30:AC39)</f>
        <v>5152.5692926497059</v>
      </c>
      <c r="AD46" s="52">
        <f>GEOMEAN(AD5:AD24,AD25:AD29,AD30:AD39)</f>
        <v>15.010189457600294</v>
      </c>
      <c r="AE46" s="52">
        <f>GEOMEAN(AE5:AE24,AE25:AE29,AE30:AE39)</f>
        <v>27.571302039373407</v>
      </c>
      <c r="AZ46" s="52">
        <f>GEOMEAN(AZ5:AZ24,AZ25:AZ29,AZ30:AZ39)</f>
        <v>2270.8672759597639</v>
      </c>
      <c r="BA46" s="52">
        <f>GEOMEAN(BA5:BA24,BA25:BA29,BA30:BA39)</f>
        <v>5282.9067462244766</v>
      </c>
      <c r="BB46" s="52">
        <f>GEOMEAN(BB5:BB24,BB25:BB29,BB30:BB39)</f>
        <v>13.532398502874607</v>
      </c>
      <c r="BC46" s="52">
        <f>GEOMEAN(BC5:BC24,BC25:BC29,BC30:BC39)</f>
        <v>9.9874023113009152</v>
      </c>
    </row>
    <row r="47" spans="1:88" outlineLevel="2" collapsed="1" x14ac:dyDescent="0.25">
      <c r="B47" s="50" t="s">
        <v>254</v>
      </c>
      <c r="AZ47" s="53">
        <f>AZ46/AB46</f>
        <v>0.57310424350296085</v>
      </c>
      <c r="BA47" s="53">
        <f>BA46/AC46</f>
        <v>1.0252956236339608</v>
      </c>
      <c r="BB47" s="53">
        <f>BB46/AD46</f>
        <v>0.90154748153578967</v>
      </c>
      <c r="BC47" s="53">
        <f>BC46/AE46</f>
        <v>0.36223905193299649</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Graziosi, Danillo</cp:lastModifiedBy>
  <dcterms:created xsi:type="dcterms:W3CDTF">2019-04-23T13:57:55Z</dcterms:created>
  <dcterms:modified xsi:type="dcterms:W3CDTF">2019-08-03T00:10:43Z</dcterms:modified>
</cp:coreProperties>
</file>