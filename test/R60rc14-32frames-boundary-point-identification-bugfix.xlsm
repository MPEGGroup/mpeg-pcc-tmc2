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T:\users\hossein\mpeg-pcc-tmc2-v6_rc13_BPIdent\"/>
    </mc:Choice>
  </mc:AlternateContent>
  <bookViews>
    <workbookView xWindow="-108" yWindow="-108" windowWidth="23256" windowHeight="12768" firstSheet="1" activeTab="2"/>
  </bookViews>
  <sheets>
    <sheet name="Summary" sheetId="1" r:id="rId1"/>
    <sheet name="Graphs" sheetId="2" r:id="rId2"/>
    <sheet name="C2 lossyG,lossyA,intra" sheetId="3" r:id="rId3"/>
    <sheet name="C2 lossyG,lossyA,interRA" sheetId="9" r:id="rId4"/>
    <sheet name="names" sheetId="4" state="hidden" r:id="rId5"/>
    <sheet name="CW losslG,losslA,intra" sheetId="5" r:id="rId6"/>
    <sheet name="CW losslG,losslA,interLD" sheetId="6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C35" i="9" l="1"/>
  <c r="BB35" i="9"/>
  <c r="BA35" i="9"/>
  <c r="AZ35" i="9"/>
  <c r="AE35" i="9"/>
  <c r="AD35" i="9"/>
  <c r="AC35" i="9"/>
  <c r="AB35" i="9"/>
  <c r="BC33" i="9"/>
  <c r="BB33" i="9"/>
  <c r="BA33" i="9"/>
  <c r="AZ33" i="9"/>
  <c r="AE33" i="9"/>
  <c r="AD33" i="9"/>
  <c r="AC33" i="9"/>
  <c r="AB33" i="9"/>
  <c r="AZ34" i="9" s="1"/>
  <c r="BE29" i="9"/>
  <c r="AM29" i="9"/>
  <c r="AL29" i="9"/>
  <c r="AI29" i="9" s="1"/>
  <c r="AK29" i="9"/>
  <c r="AJ29" i="9"/>
  <c r="AH29" i="9"/>
  <c r="AG29" i="9"/>
  <c r="O29" i="9"/>
  <c r="N29" i="9"/>
  <c r="K29" i="9" s="1"/>
  <c r="M29" i="9"/>
  <c r="L29" i="9"/>
  <c r="J29" i="9"/>
  <c r="I29" i="9"/>
  <c r="BE28" i="9"/>
  <c r="AM28" i="9"/>
  <c r="AL28" i="9"/>
  <c r="AK28" i="9"/>
  <c r="AJ28" i="9"/>
  <c r="AH28" i="9"/>
  <c r="AG28" i="9"/>
  <c r="O28" i="9"/>
  <c r="N28" i="9"/>
  <c r="K28" i="9" s="1"/>
  <c r="M28" i="9"/>
  <c r="L28" i="9"/>
  <c r="J28" i="9"/>
  <c r="I28" i="9"/>
  <c r="BE27" i="9"/>
  <c r="AM27" i="9"/>
  <c r="AL27" i="9"/>
  <c r="AI27" i="9" s="1"/>
  <c r="AK27" i="9"/>
  <c r="AJ27" i="9"/>
  <c r="AH27" i="9"/>
  <c r="AG27" i="9"/>
  <c r="O27" i="9"/>
  <c r="N27" i="9"/>
  <c r="K27" i="9" s="1"/>
  <c r="M27" i="9"/>
  <c r="L27" i="9"/>
  <c r="J27" i="9"/>
  <c r="I27" i="9"/>
  <c r="BE26" i="9"/>
  <c r="AM26" i="9"/>
  <c r="AL26" i="9"/>
  <c r="AK26" i="9"/>
  <c r="AJ26" i="9"/>
  <c r="AH26" i="9"/>
  <c r="AG26" i="9"/>
  <c r="O26" i="9"/>
  <c r="N26" i="9"/>
  <c r="K26" i="9" s="1"/>
  <c r="M26" i="9"/>
  <c r="L26" i="9"/>
  <c r="J26" i="9"/>
  <c r="I26" i="9"/>
  <c r="BE25" i="9"/>
  <c r="AM25" i="9"/>
  <c r="AL25" i="9"/>
  <c r="AI25" i="9" s="1"/>
  <c r="AK25" i="9"/>
  <c r="AJ25" i="9"/>
  <c r="AH25" i="9"/>
  <c r="AG25" i="9"/>
  <c r="O25" i="9"/>
  <c r="N25" i="9"/>
  <c r="M25" i="9"/>
  <c r="L25" i="9"/>
  <c r="J25" i="9"/>
  <c r="I25" i="9"/>
  <c r="BE24" i="9"/>
  <c r="AM24" i="9"/>
  <c r="AL24" i="9"/>
  <c r="AI24" i="9" s="1"/>
  <c r="AK24" i="9"/>
  <c r="AJ24" i="9"/>
  <c r="AH24" i="9"/>
  <c r="AG24" i="9"/>
  <c r="O24" i="9"/>
  <c r="N24" i="9"/>
  <c r="K24" i="9" s="1"/>
  <c r="M24" i="9"/>
  <c r="L24" i="9"/>
  <c r="J24" i="9"/>
  <c r="I24" i="9"/>
  <c r="BE23" i="9"/>
  <c r="AM23" i="9"/>
  <c r="AL23" i="9"/>
  <c r="AI23" i="9" s="1"/>
  <c r="AK23" i="9"/>
  <c r="AJ23" i="9"/>
  <c r="AH23" i="9"/>
  <c r="AG23" i="9"/>
  <c r="O23" i="9"/>
  <c r="N23" i="9"/>
  <c r="K23" i="9" s="1"/>
  <c r="M23" i="9"/>
  <c r="L23" i="9"/>
  <c r="J23" i="9"/>
  <c r="I23" i="9"/>
  <c r="BE22" i="9"/>
  <c r="AM22" i="9"/>
  <c r="AL22" i="9"/>
  <c r="AI22" i="9" s="1"/>
  <c r="AK22" i="9"/>
  <c r="AJ22" i="9"/>
  <c r="AH22" i="9"/>
  <c r="AG22" i="9"/>
  <c r="O22" i="9"/>
  <c r="N22" i="9"/>
  <c r="K22" i="9" s="1"/>
  <c r="M22" i="9"/>
  <c r="L22" i="9"/>
  <c r="J22" i="9"/>
  <c r="I22" i="9"/>
  <c r="BE21" i="9"/>
  <c r="AM21" i="9"/>
  <c r="AL21" i="9"/>
  <c r="AI21" i="9" s="1"/>
  <c r="AK21" i="9"/>
  <c r="AJ21" i="9"/>
  <c r="AH21" i="9"/>
  <c r="AG21" i="9"/>
  <c r="O21" i="9"/>
  <c r="N21" i="9"/>
  <c r="M21" i="9"/>
  <c r="L21" i="9"/>
  <c r="J21" i="9"/>
  <c r="I21" i="9"/>
  <c r="BE20" i="9"/>
  <c r="AM20" i="9"/>
  <c r="AL20" i="9"/>
  <c r="BG20" i="9" s="1" a="1"/>
  <c r="AK20" i="9"/>
  <c r="AJ20" i="9"/>
  <c r="AH20" i="9"/>
  <c r="AG20" i="9"/>
  <c r="O20" i="9"/>
  <c r="N20" i="9"/>
  <c r="K20" i="9" s="1"/>
  <c r="M20" i="9"/>
  <c r="L20" i="9"/>
  <c r="J20" i="9"/>
  <c r="I20" i="9"/>
  <c r="BE19" i="9"/>
  <c r="AM19" i="9"/>
  <c r="AL19" i="9"/>
  <c r="BF19" i="9" s="1"/>
  <c r="AK19" i="9"/>
  <c r="AJ19" i="9"/>
  <c r="AH19" i="9"/>
  <c r="AG19" i="9"/>
  <c r="O19" i="9"/>
  <c r="N19" i="9"/>
  <c r="M19" i="9"/>
  <c r="L19" i="9"/>
  <c r="K19" i="9"/>
  <c r="J19" i="9"/>
  <c r="I19" i="9"/>
  <c r="BE18" i="9"/>
  <c r="AM18" i="9"/>
  <c r="AL18" i="9"/>
  <c r="AI18" i="9" s="1"/>
  <c r="AK18" i="9"/>
  <c r="AJ18" i="9"/>
  <c r="AH18" i="9"/>
  <c r="AG18" i="9"/>
  <c r="O18" i="9"/>
  <c r="N18" i="9"/>
  <c r="K18" i="9" s="1"/>
  <c r="M18" i="9"/>
  <c r="L18" i="9"/>
  <c r="J18" i="9"/>
  <c r="I18" i="9"/>
  <c r="BE17" i="9"/>
  <c r="AM17" i="9"/>
  <c r="AL17" i="9"/>
  <c r="AI17" i="9" s="1"/>
  <c r="AK17" i="9"/>
  <c r="AJ17" i="9"/>
  <c r="AH17" i="9"/>
  <c r="AG17" i="9"/>
  <c r="O17" i="9"/>
  <c r="N17" i="9"/>
  <c r="K17" i="9" s="1"/>
  <c r="M17" i="9"/>
  <c r="L17" i="9"/>
  <c r="J17" i="9"/>
  <c r="I17" i="9"/>
  <c r="BE16" i="9"/>
  <c r="AM16" i="9"/>
  <c r="AL16" i="9"/>
  <c r="AI16" i="9" s="1"/>
  <c r="AK16" i="9"/>
  <c r="AJ16" i="9"/>
  <c r="AH16" i="9"/>
  <c r="AG16" i="9"/>
  <c r="O16" i="9"/>
  <c r="N16" i="9"/>
  <c r="K16" i="9" s="1"/>
  <c r="M16" i="9"/>
  <c r="L16" i="9"/>
  <c r="J16" i="9"/>
  <c r="I16" i="9"/>
  <c r="BE15" i="9"/>
  <c r="AM15" i="9"/>
  <c r="AL15" i="9"/>
  <c r="AI15" i="9" s="1"/>
  <c r="AK15" i="9"/>
  <c r="AJ15" i="9"/>
  <c r="AH15" i="9"/>
  <c r="AG15" i="9"/>
  <c r="O15" i="9"/>
  <c r="N15" i="9"/>
  <c r="M15" i="9"/>
  <c r="L15" i="9"/>
  <c r="J15" i="9"/>
  <c r="I15" i="9"/>
  <c r="BE14" i="9"/>
  <c r="AM14" i="9"/>
  <c r="AL14" i="9"/>
  <c r="AI14" i="9" s="1"/>
  <c r="AK14" i="9"/>
  <c r="AJ14" i="9"/>
  <c r="AH14" i="9"/>
  <c r="AG14" i="9"/>
  <c r="O14" i="9"/>
  <c r="N14" i="9"/>
  <c r="M14" i="9"/>
  <c r="L14" i="9"/>
  <c r="J14" i="9"/>
  <c r="I14" i="9"/>
  <c r="BE13" i="9"/>
  <c r="AM13" i="9"/>
  <c r="AL13" i="9"/>
  <c r="AI13" i="9" s="1"/>
  <c r="AK13" i="9"/>
  <c r="AJ13" i="9"/>
  <c r="AH13" i="9"/>
  <c r="AG13" i="9"/>
  <c r="O13" i="9"/>
  <c r="N13" i="9"/>
  <c r="K13" i="9" s="1"/>
  <c r="M13" i="9"/>
  <c r="L13" i="9"/>
  <c r="J13" i="9"/>
  <c r="I13" i="9"/>
  <c r="BE12" i="9"/>
  <c r="AM12" i="9"/>
  <c r="AL12" i="9"/>
  <c r="AI12" i="9" s="1"/>
  <c r="AK12" i="9"/>
  <c r="AJ12" i="9"/>
  <c r="AH12" i="9"/>
  <c r="AG12" i="9"/>
  <c r="O12" i="9"/>
  <c r="N12" i="9"/>
  <c r="K12" i="9" s="1"/>
  <c r="M12" i="9"/>
  <c r="L12" i="9"/>
  <c r="J12" i="9"/>
  <c r="I12" i="9"/>
  <c r="BE11" i="9"/>
  <c r="AM11" i="9"/>
  <c r="AL11" i="9"/>
  <c r="AI11" i="9" s="1"/>
  <c r="AK11" i="9"/>
  <c r="AJ11" i="9"/>
  <c r="AH11" i="9"/>
  <c r="AG11" i="9"/>
  <c r="O11" i="9"/>
  <c r="N11" i="9"/>
  <c r="K11" i="9" s="1"/>
  <c r="M11" i="9"/>
  <c r="L11" i="9"/>
  <c r="J11" i="9"/>
  <c r="I11" i="9"/>
  <c r="BE10" i="9"/>
  <c r="AM10" i="9"/>
  <c r="AL10" i="9"/>
  <c r="BG10" i="9" s="1" a="1"/>
  <c r="AK10" i="9"/>
  <c r="AJ10" i="9"/>
  <c r="AH10" i="9"/>
  <c r="AG10" i="9"/>
  <c r="O10" i="9"/>
  <c r="N10" i="9"/>
  <c r="K10" i="9" s="1"/>
  <c r="M10" i="9"/>
  <c r="L10" i="9"/>
  <c r="J10" i="9"/>
  <c r="I10" i="9"/>
  <c r="BE9" i="9"/>
  <c r="AM9" i="9"/>
  <c r="AL9" i="9"/>
  <c r="AI9" i="9" s="1"/>
  <c r="AK9" i="9"/>
  <c r="AJ9" i="9"/>
  <c r="AH9" i="9"/>
  <c r="AG9" i="9"/>
  <c r="O9" i="9"/>
  <c r="N9" i="9"/>
  <c r="K9" i="9" s="1"/>
  <c r="M9" i="9"/>
  <c r="L9" i="9"/>
  <c r="J9" i="9"/>
  <c r="I9" i="9"/>
  <c r="BE8" i="9"/>
  <c r="AM8" i="9"/>
  <c r="AL8" i="9"/>
  <c r="AK8" i="9"/>
  <c r="AJ8" i="9"/>
  <c r="AH8" i="9"/>
  <c r="AG8" i="9"/>
  <c r="O8" i="9"/>
  <c r="N8" i="9"/>
  <c r="K8" i="9" s="1"/>
  <c r="M8" i="9"/>
  <c r="L8" i="9"/>
  <c r="J8" i="9"/>
  <c r="I8" i="9"/>
  <c r="BE7" i="9"/>
  <c r="AM7" i="9"/>
  <c r="AL7" i="9"/>
  <c r="AI7" i="9" s="1"/>
  <c r="AK7" i="9"/>
  <c r="AJ7" i="9"/>
  <c r="AH7" i="9"/>
  <c r="AG7" i="9"/>
  <c r="O7" i="9"/>
  <c r="N7" i="9"/>
  <c r="K7" i="9" s="1"/>
  <c r="M7" i="9"/>
  <c r="L7" i="9"/>
  <c r="J7" i="9"/>
  <c r="I7" i="9"/>
  <c r="BE6" i="9"/>
  <c r="AM6" i="9"/>
  <c r="AL6" i="9"/>
  <c r="AK6" i="9"/>
  <c r="AJ6" i="9"/>
  <c r="AH6" i="9"/>
  <c r="AG6" i="9"/>
  <c r="O6" i="9"/>
  <c r="N6" i="9"/>
  <c r="K6" i="9" s="1"/>
  <c r="M6" i="9"/>
  <c r="L6" i="9"/>
  <c r="J6" i="9"/>
  <c r="I6" i="9"/>
  <c r="BE5" i="9"/>
  <c r="AM5" i="9"/>
  <c r="AL5" i="9"/>
  <c r="BG5" i="9" s="1" a="1"/>
  <c r="AK5" i="9"/>
  <c r="AJ5" i="9"/>
  <c r="AH5" i="9"/>
  <c r="AG5" i="9"/>
  <c r="O5" i="9"/>
  <c r="N5" i="9"/>
  <c r="M5" i="9"/>
  <c r="L5" i="9"/>
  <c r="J5" i="9"/>
  <c r="I5" i="9"/>
  <c r="BK15" i="9"/>
  <c r="BO20" i="9"/>
  <c r="BR25" i="9"/>
  <c r="BI10" i="9"/>
  <c r="BM25" i="9"/>
  <c r="BM10" i="9"/>
  <c r="BL10" i="9"/>
  <c r="BS20" i="9"/>
  <c r="BP10" i="9"/>
  <c r="BS15" i="9"/>
  <c r="BM20" i="9"/>
  <c r="BQ20" i="9"/>
  <c r="BM5" i="9"/>
  <c r="BO15" i="9"/>
  <c r="BO25" i="9"/>
  <c r="BJ15" i="9"/>
  <c r="BR10" i="9"/>
  <c r="BK5" i="9"/>
  <c r="BO10" i="9"/>
  <c r="BR15" i="9"/>
  <c r="BL5" i="9"/>
  <c r="BL15" i="9"/>
  <c r="BS5" i="9"/>
  <c r="BP25" i="9"/>
  <c r="BS25" i="9"/>
  <c r="BQ25" i="9"/>
  <c r="BQ10" i="9"/>
  <c r="BJ10" i="9"/>
  <c r="BS10" i="9"/>
  <c r="BR5" i="9"/>
  <c r="BL20" i="9"/>
  <c r="BK20" i="9"/>
  <c r="BK25" i="9"/>
  <c r="BL25" i="9"/>
  <c r="BQ5" i="9"/>
  <c r="BR20" i="9"/>
  <c r="BO5" i="9"/>
  <c r="BK10" i="9"/>
  <c r="BQ15" i="9"/>
  <c r="BP15" i="9"/>
  <c r="BM15" i="9"/>
  <c r="BP5" i="9"/>
  <c r="BP20" i="9"/>
  <c r="BF14" i="9" l="1"/>
  <c r="BF21" i="9"/>
  <c r="AJ31" i="9"/>
  <c r="BF6" i="9"/>
  <c r="BF28" i="9"/>
  <c r="BC34" i="9"/>
  <c r="BC36" i="9"/>
  <c r="BF25" i="9"/>
  <c r="BG20" i="9"/>
  <c r="AK31" i="9"/>
  <c r="J30" i="9"/>
  <c r="L30" i="9"/>
  <c r="BF8" i="9"/>
  <c r="BF17" i="9"/>
  <c r="M32" i="9"/>
  <c r="BF26" i="9"/>
  <c r="AI6" i="9"/>
  <c r="AI28" i="9"/>
  <c r="BA34" i="9"/>
  <c r="AH30" i="9"/>
  <c r="AI10" i="9"/>
  <c r="BB34" i="9"/>
  <c r="AI20" i="9"/>
  <c r="AI26" i="9"/>
  <c r="AJ30" i="9"/>
  <c r="AK30" i="9"/>
  <c r="AI8" i="9"/>
  <c r="AI19" i="9"/>
  <c r="AH31" i="9"/>
  <c r="AH32" i="9"/>
  <c r="BF7" i="9"/>
  <c r="BF27" i="9"/>
  <c r="BG5" i="9"/>
  <c r="L31" i="9"/>
  <c r="M30" i="9"/>
  <c r="L32" i="9"/>
  <c r="BF18" i="9"/>
  <c r="M31" i="9"/>
  <c r="AZ36" i="9"/>
  <c r="BA36" i="9"/>
  <c r="BG10" i="9"/>
  <c r="BF16" i="9"/>
  <c r="BB36" i="9"/>
  <c r="BF9" i="9"/>
  <c r="J31" i="9"/>
  <c r="BF29" i="9"/>
  <c r="BP30" i="9"/>
  <c r="BP32" i="9"/>
  <c r="BP31" i="9"/>
  <c r="BM32" i="9"/>
  <c r="BM30" i="9"/>
  <c r="BM31" i="9"/>
  <c r="BQ30" i="9"/>
  <c r="BQ32" i="9"/>
  <c r="BQ31" i="9"/>
  <c r="BL32" i="9"/>
  <c r="BL30" i="9"/>
  <c r="BO31" i="9"/>
  <c r="BR32" i="9"/>
  <c r="BR30" i="9"/>
  <c r="BR31" i="9"/>
  <c r="BL31" i="9"/>
  <c r="BO30" i="9"/>
  <c r="BO32" i="9"/>
  <c r="BS32" i="9"/>
  <c r="BS30" i="9"/>
  <c r="BS31" i="9"/>
  <c r="BK30" i="9"/>
  <c r="BK32" i="9"/>
  <c r="BK31" i="9"/>
  <c r="BF5" i="9"/>
  <c r="BF11" i="9"/>
  <c r="BF22" i="9"/>
  <c r="BF23" i="9"/>
  <c r="BF24" i="9"/>
  <c r="BG15" i="9" a="1"/>
  <c r="BG15" i="9" s="1"/>
  <c r="BG25" i="9" a="1"/>
  <c r="BG25" i="9" s="1"/>
  <c r="BG31" i="9" s="1"/>
  <c r="AJ32" i="9"/>
  <c r="AI5" i="9"/>
  <c r="AK32" i="9"/>
  <c r="BF12" i="9"/>
  <c r="BF13" i="9"/>
  <c r="BF15" i="9"/>
  <c r="K5" i="9"/>
  <c r="K14" i="9"/>
  <c r="K15" i="9"/>
  <c r="K21" i="9"/>
  <c r="K25" i="9"/>
  <c r="K31" i="9" s="1"/>
  <c r="J32" i="9"/>
  <c r="BF10" i="9"/>
  <c r="BF20" i="9"/>
  <c r="AE1" i="6"/>
  <c r="AE1" i="5"/>
  <c r="H1" i="6"/>
  <c r="H1" i="5"/>
  <c r="BJ5" i="9"/>
  <c r="BI25" i="9"/>
  <c r="BI5" i="9"/>
  <c r="BJ25" i="9"/>
  <c r="BI15" i="9"/>
  <c r="BJ20" i="9"/>
  <c r="BI20" i="9"/>
  <c r="BJ30" i="9" l="1"/>
  <c r="BG30" i="9"/>
  <c r="BG32" i="9"/>
  <c r="AI31" i="9"/>
  <c r="BJ31" i="9"/>
  <c r="BJ32" i="9"/>
  <c r="BI32" i="9"/>
  <c r="BI30" i="9"/>
  <c r="BI31" i="9"/>
  <c r="AI32" i="9"/>
  <c r="AI30" i="9"/>
  <c r="K32" i="9"/>
  <c r="K30" i="9"/>
  <c r="AZ15" i="6"/>
  <c r="AY15" i="6"/>
  <c r="AX15" i="6"/>
  <c r="AW15" i="6"/>
  <c r="AC15" i="6"/>
  <c r="AB15" i="6"/>
  <c r="AY16" i="6" s="1"/>
  <c r="AA15" i="6"/>
  <c r="AX16" i="6" s="1"/>
  <c r="Z15" i="6"/>
  <c r="AZ13" i="6"/>
  <c r="AY13" i="6"/>
  <c r="AX13" i="6"/>
  <c r="AW13" i="6"/>
  <c r="AC13" i="6"/>
  <c r="AB13" i="6"/>
  <c r="AA13" i="6"/>
  <c r="Z13" i="6"/>
  <c r="BF9" i="6" a="1"/>
  <c r="AL9" i="6"/>
  <c r="AK9" i="6"/>
  <c r="AH9" i="6" s="1"/>
  <c r="AH11" i="6" s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K9" i="6"/>
  <c r="K11" i="6" s="1"/>
  <c r="J9" i="6"/>
  <c r="J11" i="6" s="1"/>
  <c r="I9" i="6"/>
  <c r="H9" i="6"/>
  <c r="BF8" i="6" a="1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BF7" i="6" a="1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BD6" i="6"/>
  <c r="AL6" i="6"/>
  <c r="AK6" i="6"/>
  <c r="AH6" i="6" s="1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BF5" i="6" a="1"/>
  <c r="AL5" i="6"/>
  <c r="AK5" i="6"/>
  <c r="AH5" i="6" s="1"/>
  <c r="AJ5" i="6"/>
  <c r="AI5" i="6"/>
  <c r="AG5" i="6"/>
  <c r="AF5" i="6"/>
  <c r="AE5" i="6"/>
  <c r="O5" i="6"/>
  <c r="N5" i="6"/>
  <c r="M5" i="6"/>
  <c r="BD5" i="6" s="1"/>
  <c r="L5" i="6"/>
  <c r="J5" i="6"/>
  <c r="I5" i="6"/>
  <c r="H5" i="6"/>
  <c r="AZ15" i="5"/>
  <c r="AY15" i="5"/>
  <c r="AX15" i="5"/>
  <c r="AW15" i="5"/>
  <c r="AC15" i="5"/>
  <c r="AZ16" i="5" s="1"/>
  <c r="AB15" i="5"/>
  <c r="AA15" i="5"/>
  <c r="Z15" i="5"/>
  <c r="AZ13" i="5"/>
  <c r="AY13" i="5"/>
  <c r="AX13" i="5"/>
  <c r="AW13" i="5"/>
  <c r="AC13" i="5"/>
  <c r="AB13" i="5"/>
  <c r="AY14" i="5" s="1"/>
  <c r="AA13" i="5"/>
  <c r="AX14" i="5" s="1"/>
  <c r="Z13" i="5"/>
  <c r="AW14" i="5" s="1"/>
  <c r="BF9" i="5" a="1"/>
  <c r="AL9" i="5"/>
  <c r="AK9" i="5"/>
  <c r="AH9" i="5" s="1"/>
  <c r="AH11" i="5" s="1"/>
  <c r="AJ9" i="5"/>
  <c r="AJ11" i="5" s="1"/>
  <c r="AI9" i="5"/>
  <c r="AI11" i="5" s="1"/>
  <c r="AG9" i="5"/>
  <c r="AF9" i="5"/>
  <c r="AE9" i="5"/>
  <c r="O9" i="5"/>
  <c r="N9" i="5"/>
  <c r="M9" i="5"/>
  <c r="M11" i="5" s="1"/>
  <c r="L9" i="5"/>
  <c r="L11" i="5" s="1"/>
  <c r="BC11" i="5" s="1"/>
  <c r="J9" i="5"/>
  <c r="J11" i="5" s="1"/>
  <c r="I9" i="5"/>
  <c r="H9" i="5"/>
  <c r="BF8" i="5" a="1"/>
  <c r="AL8" i="5"/>
  <c r="AK8" i="5"/>
  <c r="AH8" i="5" s="1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H5" i="5" s="1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K28" i="3"/>
  <c r="AJ28" i="3"/>
  <c r="AH28" i="3"/>
  <c r="AG28" i="3"/>
  <c r="O28" i="3"/>
  <c r="N28" i="3"/>
  <c r="K28" i="3" s="1"/>
  <c r="M28" i="3"/>
  <c r="L28" i="3"/>
  <c r="J28" i="3"/>
  <c r="I28" i="3"/>
  <c r="BE27" i="3"/>
  <c r="AM27" i="3"/>
  <c r="AL27" i="3"/>
  <c r="AK27" i="3"/>
  <c r="AJ27" i="3"/>
  <c r="AH27" i="3"/>
  <c r="AG27" i="3"/>
  <c r="O27" i="3"/>
  <c r="N27" i="3"/>
  <c r="K27" i="3" s="1"/>
  <c r="M27" i="3"/>
  <c r="L27" i="3"/>
  <c r="J27" i="3"/>
  <c r="I27" i="3"/>
  <c r="BE26" i="3"/>
  <c r="AM26" i="3"/>
  <c r="AL26" i="3"/>
  <c r="AK26" i="3"/>
  <c r="AJ26" i="3"/>
  <c r="AH26" i="3"/>
  <c r="AG26" i="3"/>
  <c r="O26" i="3"/>
  <c r="N26" i="3"/>
  <c r="K26" i="3" s="1"/>
  <c r="M26" i="3"/>
  <c r="L26" i="3"/>
  <c r="J26" i="3"/>
  <c r="I26" i="3"/>
  <c r="BG25" i="3" a="1"/>
  <c r="BE25" i="3"/>
  <c r="AM25" i="3"/>
  <c r="AL25" i="3"/>
  <c r="AI25" i="3" s="1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AK23" i="3"/>
  <c r="AJ23" i="3"/>
  <c r="AH23" i="3"/>
  <c r="AG23" i="3"/>
  <c r="O23" i="3"/>
  <c r="N23" i="3"/>
  <c r="K23" i="3" s="1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K22" i="3" s="1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K21" i="3" s="1"/>
  <c r="M21" i="3"/>
  <c r="L21" i="3"/>
  <c r="J21" i="3"/>
  <c r="I21" i="3"/>
  <c r="BE20" i="3"/>
  <c r="AM20" i="3"/>
  <c r="AL20" i="3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K19" i="3"/>
  <c r="AJ19" i="3"/>
  <c r="AH19" i="3"/>
  <c r="AG19" i="3"/>
  <c r="O19" i="3"/>
  <c r="N19" i="3"/>
  <c r="K19" i="3" s="1"/>
  <c r="M19" i="3"/>
  <c r="L19" i="3"/>
  <c r="J19" i="3"/>
  <c r="I19" i="3"/>
  <c r="BE18" i="3"/>
  <c r="AM18" i="3"/>
  <c r="AL18" i="3"/>
  <c r="AK18" i="3"/>
  <c r="AJ18" i="3"/>
  <c r="AH18" i="3"/>
  <c r="AG18" i="3"/>
  <c r="O18" i="3"/>
  <c r="N18" i="3"/>
  <c r="K18" i="3" s="1"/>
  <c r="M18" i="3"/>
  <c r="L18" i="3"/>
  <c r="J18" i="3"/>
  <c r="I18" i="3"/>
  <c r="BE17" i="3"/>
  <c r="AM17" i="3"/>
  <c r="AL17" i="3"/>
  <c r="AK17" i="3"/>
  <c r="AJ17" i="3"/>
  <c r="AH17" i="3"/>
  <c r="AG17" i="3"/>
  <c r="O17" i="3"/>
  <c r="N17" i="3"/>
  <c r="K17" i="3" s="1"/>
  <c r="M17" i="3"/>
  <c r="L17" i="3"/>
  <c r="J17" i="3"/>
  <c r="I17" i="3"/>
  <c r="BE16" i="3"/>
  <c r="AM16" i="3"/>
  <c r="AL16" i="3"/>
  <c r="AK16" i="3"/>
  <c r="AJ16" i="3"/>
  <c r="AH16" i="3"/>
  <c r="AG16" i="3"/>
  <c r="O16" i="3"/>
  <c r="N16" i="3"/>
  <c r="K16" i="3" s="1"/>
  <c r="M16" i="3"/>
  <c r="L16" i="3"/>
  <c r="J16" i="3"/>
  <c r="I16" i="3"/>
  <c r="BG15" i="3" a="1"/>
  <c r="BE15" i="3"/>
  <c r="AM15" i="3"/>
  <c r="AL15" i="3"/>
  <c r="AI15" i="3" s="1"/>
  <c r="AK15" i="3"/>
  <c r="AJ15" i="3"/>
  <c r="AH15" i="3"/>
  <c r="AG15" i="3"/>
  <c r="O15" i="3"/>
  <c r="N15" i="3"/>
  <c r="K15" i="3" s="1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K14" i="3" s="1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K11" i="3" s="1"/>
  <c r="M11" i="3"/>
  <c r="L11" i="3"/>
  <c r="J11" i="3"/>
  <c r="I11" i="3"/>
  <c r="BE10" i="3"/>
  <c r="AM10" i="3"/>
  <c r="AL10" i="3"/>
  <c r="AK10" i="3"/>
  <c r="AJ10" i="3"/>
  <c r="AH10" i="3"/>
  <c r="AG10" i="3"/>
  <c r="O10" i="3"/>
  <c r="N10" i="3"/>
  <c r="K10" i="3" s="1"/>
  <c r="M10" i="3"/>
  <c r="L10" i="3"/>
  <c r="J10" i="3"/>
  <c r="I10" i="3"/>
  <c r="BE9" i="3"/>
  <c r="AM9" i="3"/>
  <c r="AL9" i="3"/>
  <c r="AK9" i="3"/>
  <c r="AJ9" i="3"/>
  <c r="AH9" i="3"/>
  <c r="AG9" i="3"/>
  <c r="O9" i="3"/>
  <c r="N9" i="3"/>
  <c r="K9" i="3" s="1"/>
  <c r="M9" i="3"/>
  <c r="L9" i="3"/>
  <c r="J9" i="3"/>
  <c r="I9" i="3"/>
  <c r="BE8" i="3"/>
  <c r="AM8" i="3"/>
  <c r="AL8" i="3"/>
  <c r="AK8" i="3"/>
  <c r="AJ8" i="3"/>
  <c r="AH8" i="3"/>
  <c r="AG8" i="3"/>
  <c r="O8" i="3"/>
  <c r="N8" i="3"/>
  <c r="K8" i="3" s="1"/>
  <c r="M8" i="3"/>
  <c r="L8" i="3"/>
  <c r="J8" i="3"/>
  <c r="I8" i="3"/>
  <c r="BE7" i="3"/>
  <c r="AM7" i="3"/>
  <c r="AL7" i="3"/>
  <c r="AK7" i="3"/>
  <c r="AJ7" i="3"/>
  <c r="AH7" i="3"/>
  <c r="AG7" i="3"/>
  <c r="O7" i="3"/>
  <c r="N7" i="3"/>
  <c r="K7" i="3" s="1"/>
  <c r="M7" i="3"/>
  <c r="L7" i="3"/>
  <c r="J7" i="3"/>
  <c r="I7" i="3"/>
  <c r="BE6" i="3"/>
  <c r="AM6" i="3"/>
  <c r="AL6" i="3"/>
  <c r="AK6" i="3"/>
  <c r="AJ6" i="3"/>
  <c r="AH6" i="3"/>
  <c r="AG6" i="3"/>
  <c r="O6" i="3"/>
  <c r="N6" i="3"/>
  <c r="K6" i="3" s="1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K5" i="3" s="1"/>
  <c r="M5" i="3"/>
  <c r="L5" i="3"/>
  <c r="J5" i="3"/>
  <c r="I5" i="3"/>
  <c r="B2" i="2"/>
  <c r="B1" i="2"/>
  <c r="BP20" i="3"/>
  <c r="BR5" i="3"/>
  <c r="BL15" i="3"/>
  <c r="BS25" i="3"/>
  <c r="BP25" i="3"/>
  <c r="BM25" i="3"/>
  <c r="BM10" i="3"/>
  <c r="BQ20" i="3"/>
  <c r="BO15" i="3"/>
  <c r="BK15" i="3"/>
  <c r="BK20" i="3"/>
  <c r="BS15" i="3"/>
  <c r="BL25" i="3"/>
  <c r="BP15" i="3"/>
  <c r="BS20" i="3"/>
  <c r="BR25" i="3"/>
  <c r="BK10" i="3"/>
  <c r="BQ15" i="3"/>
  <c r="BL5" i="3"/>
  <c r="BS10" i="3"/>
  <c r="BR20" i="3"/>
  <c r="BM5" i="3"/>
  <c r="BL20" i="3"/>
  <c r="BK5" i="3"/>
  <c r="BR15" i="3"/>
  <c r="BP5" i="3"/>
  <c r="BQ25" i="3"/>
  <c r="BL10" i="3"/>
  <c r="BK25" i="3"/>
  <c r="BQ5" i="3"/>
  <c r="BO5" i="3"/>
  <c r="BO25" i="3"/>
  <c r="BR10" i="3"/>
  <c r="BO20" i="3"/>
  <c r="BO10" i="3"/>
  <c r="BM20" i="3"/>
  <c r="BS5" i="3"/>
  <c r="BM15" i="3"/>
  <c r="BQ10" i="3"/>
  <c r="BP10" i="3"/>
  <c r="BF24" i="3" l="1"/>
  <c r="BF23" i="3"/>
  <c r="BC34" i="3"/>
  <c r="AI23" i="3"/>
  <c r="BF12" i="3"/>
  <c r="AZ16" i="6"/>
  <c r="BE5" i="6"/>
  <c r="AI12" i="6"/>
  <c r="BC6" i="6"/>
  <c r="BC8" i="6"/>
  <c r="AI12" i="5"/>
  <c r="BC8" i="5"/>
  <c r="BD8" i="5"/>
  <c r="BF9" i="5"/>
  <c r="BF11" i="5" s="1"/>
  <c r="BC7" i="5"/>
  <c r="AI24" i="3"/>
  <c r="AK31" i="3"/>
  <c r="BF11" i="3"/>
  <c r="BF13" i="3"/>
  <c r="BB34" i="3"/>
  <c r="BE7" i="6"/>
  <c r="K13" i="3"/>
  <c r="K12" i="3"/>
  <c r="BF22" i="3"/>
  <c r="BA34" i="3"/>
  <c r="BF21" i="3"/>
  <c r="BG25" i="3"/>
  <c r="BG31" i="3" s="1"/>
  <c r="BB5" i="6"/>
  <c r="BB8" i="6"/>
  <c r="AW14" i="6"/>
  <c r="BB7" i="5"/>
  <c r="BB6" i="5"/>
  <c r="E41" i="1"/>
  <c r="F41" i="1"/>
  <c r="G41" i="1"/>
  <c r="J41" i="1"/>
  <c r="E42" i="1"/>
  <c r="BM31" i="3"/>
  <c r="G10" i="1" s="1"/>
  <c r="BK31" i="3"/>
  <c r="E10" i="1" s="1"/>
  <c r="BL31" i="3"/>
  <c r="F10" i="1" s="1"/>
  <c r="BF5" i="3"/>
  <c r="BF14" i="3"/>
  <c r="BG5" i="3"/>
  <c r="AK32" i="3"/>
  <c r="BF25" i="3"/>
  <c r="AZ36" i="3"/>
  <c r="C12" i="1" s="1"/>
  <c r="AH31" i="3"/>
  <c r="BF9" i="6"/>
  <c r="BF11" i="6" s="1"/>
  <c r="C33" i="1"/>
  <c r="BF5" i="5"/>
  <c r="C19" i="1"/>
  <c r="M30" i="3"/>
  <c r="BG15" i="3"/>
  <c r="BO31" i="3"/>
  <c r="BS31" i="3"/>
  <c r="BP30" i="3"/>
  <c r="BM32" i="3"/>
  <c r="G11" i="1" s="1"/>
  <c r="BP31" i="3"/>
  <c r="BA36" i="3"/>
  <c r="BQ31" i="3"/>
  <c r="AZ34" i="3"/>
  <c r="BB36" i="3"/>
  <c r="BF15" i="3"/>
  <c r="J31" i="3"/>
  <c r="BR31" i="3"/>
  <c r="BC36" i="3"/>
  <c r="BK30" i="3"/>
  <c r="E9" i="1" s="1"/>
  <c r="BS30" i="3"/>
  <c r="BL32" i="3"/>
  <c r="F11" i="1" s="1"/>
  <c r="G40" i="1"/>
  <c r="E40" i="1"/>
  <c r="L12" i="6"/>
  <c r="BC12" i="6" s="1"/>
  <c r="BE6" i="6"/>
  <c r="BF6" i="6"/>
  <c r="BC5" i="6"/>
  <c r="BB7" i="6"/>
  <c r="L10" i="6"/>
  <c r="AW16" i="6"/>
  <c r="BD7" i="5"/>
  <c r="AW16" i="5"/>
  <c r="BD9" i="5"/>
  <c r="AX16" i="5"/>
  <c r="M10" i="5"/>
  <c r="BE5" i="5"/>
  <c r="BF7" i="6"/>
  <c r="BF8" i="6"/>
  <c r="K5" i="6"/>
  <c r="K12" i="6" s="1"/>
  <c r="BC9" i="6"/>
  <c r="AY14" i="6"/>
  <c r="BC11" i="6"/>
  <c r="AX14" i="6"/>
  <c r="BF5" i="6"/>
  <c r="BF12" i="6" s="1"/>
  <c r="BD9" i="6"/>
  <c r="AZ14" i="6"/>
  <c r="BD8" i="6"/>
  <c r="BD11" i="5"/>
  <c r="AZ14" i="5"/>
  <c r="BE8" i="5"/>
  <c r="BF8" i="5"/>
  <c r="BC9" i="5"/>
  <c r="M12" i="5"/>
  <c r="AY16" i="5"/>
  <c r="BD5" i="5"/>
  <c r="BE9" i="5"/>
  <c r="K9" i="5"/>
  <c r="K11" i="5" s="1"/>
  <c r="BB8" i="5"/>
  <c r="AG12" i="5"/>
  <c r="AG10" i="5"/>
  <c r="F40" i="1"/>
  <c r="F42" i="1"/>
  <c r="L30" i="3"/>
  <c r="AI6" i="3"/>
  <c r="BF6" i="3"/>
  <c r="BO32" i="3"/>
  <c r="BO30" i="3"/>
  <c r="AH30" i="3"/>
  <c r="K31" i="3"/>
  <c r="AI27" i="3"/>
  <c r="BF27" i="3"/>
  <c r="BD7" i="6"/>
  <c r="BB11" i="6"/>
  <c r="AH6" i="5"/>
  <c r="AH10" i="5" s="1"/>
  <c r="BE6" i="5"/>
  <c r="M12" i="6"/>
  <c r="M10" i="6"/>
  <c r="AI29" i="3"/>
  <c r="BF29" i="3"/>
  <c r="BB6" i="6"/>
  <c r="AI17" i="3"/>
  <c r="BF17" i="3"/>
  <c r="BF6" i="5" a="1"/>
  <c r="BF6" i="5" s="1"/>
  <c r="BS32" i="3"/>
  <c r="BG10" i="3" a="1"/>
  <c r="BG10" i="3" s="1"/>
  <c r="AI10" i="3"/>
  <c r="BF10" i="3"/>
  <c r="K10" i="5"/>
  <c r="AI8" i="3"/>
  <c r="BF8" i="3"/>
  <c r="L31" i="3"/>
  <c r="AJ30" i="3"/>
  <c r="AJ32" i="3"/>
  <c r="L32" i="3"/>
  <c r="BP32" i="3"/>
  <c r="AG12" i="6"/>
  <c r="BL30" i="3"/>
  <c r="F9" i="1" s="1"/>
  <c r="AH32" i="3"/>
  <c r="L12" i="5"/>
  <c r="BC12" i="5" s="1"/>
  <c r="L10" i="5"/>
  <c r="BE7" i="5"/>
  <c r="AH7" i="5"/>
  <c r="BQ30" i="3"/>
  <c r="BQ32" i="3"/>
  <c r="AI9" i="3"/>
  <c r="BF9" i="3"/>
  <c r="K20" i="3"/>
  <c r="AJ31" i="3"/>
  <c r="AI28" i="3"/>
  <c r="BF28" i="3"/>
  <c r="BM30" i="3"/>
  <c r="G9" i="1" s="1"/>
  <c r="AJ12" i="5"/>
  <c r="AJ12" i="6"/>
  <c r="AH7" i="6"/>
  <c r="AH10" i="6" s="1"/>
  <c r="BD11" i="6"/>
  <c r="G42" i="1"/>
  <c r="J30" i="3"/>
  <c r="J32" i="3"/>
  <c r="BR30" i="3"/>
  <c r="BR32" i="3"/>
  <c r="AI16" i="3"/>
  <c r="BF16" i="3"/>
  <c r="BG20" i="3" a="1"/>
  <c r="BG20" i="3" s="1"/>
  <c r="AI20" i="3"/>
  <c r="BF20" i="3"/>
  <c r="AI10" i="5"/>
  <c r="BC7" i="6"/>
  <c r="BB9" i="6"/>
  <c r="AG10" i="6"/>
  <c r="AK30" i="3"/>
  <c r="BK32" i="3"/>
  <c r="E11" i="1" s="1"/>
  <c r="AI19" i="3"/>
  <c r="BF19" i="3"/>
  <c r="BC5" i="5"/>
  <c r="BF7" i="5" a="1"/>
  <c r="BF7" i="5" s="1"/>
  <c r="BB9" i="5"/>
  <c r="AG11" i="5"/>
  <c r="BB11" i="5" s="1"/>
  <c r="M32" i="3"/>
  <c r="AI7" i="3"/>
  <c r="BF7" i="3"/>
  <c r="AI26" i="3"/>
  <c r="BF26" i="3"/>
  <c r="BC6" i="5"/>
  <c r="BE8" i="6"/>
  <c r="AH8" i="6"/>
  <c r="AI18" i="3"/>
  <c r="BF18" i="3"/>
  <c r="M31" i="3"/>
  <c r="J12" i="5"/>
  <c r="J10" i="5"/>
  <c r="BB5" i="5"/>
  <c r="BD6" i="5"/>
  <c r="J12" i="6"/>
  <c r="J10" i="6"/>
  <c r="AI10" i="6"/>
  <c r="AJ10" i="5"/>
  <c r="BD10" i="5" s="1"/>
  <c r="AJ10" i="6"/>
  <c r="BI25" i="3"/>
  <c r="BI5" i="3"/>
  <c r="BI15" i="3"/>
  <c r="BJ5" i="3"/>
  <c r="BJ20" i="3"/>
  <c r="BJ10" i="3"/>
  <c r="BJ15" i="3"/>
  <c r="BI10" i="3"/>
  <c r="BJ25" i="3"/>
  <c r="BI20" i="3"/>
  <c r="BG32" i="3" l="1"/>
  <c r="BF10" i="5"/>
  <c r="BJ31" i="3"/>
  <c r="D10" i="1" s="1"/>
  <c r="BG30" i="3"/>
  <c r="K30" i="3"/>
  <c r="AH12" i="6"/>
  <c r="BF10" i="6"/>
  <c r="BF12" i="5"/>
  <c r="C41" i="1"/>
  <c r="D41" i="1"/>
  <c r="BI31" i="3"/>
  <c r="C10" i="1" s="1"/>
  <c r="BJ32" i="3"/>
  <c r="D11" i="1" s="1"/>
  <c r="BJ30" i="3"/>
  <c r="D9" i="1" s="1"/>
  <c r="D30" i="1"/>
  <c r="C32" i="1"/>
  <c r="C30" i="1"/>
  <c r="E30" i="1"/>
  <c r="D31" i="1"/>
  <c r="E19" i="1"/>
  <c r="C22" i="1"/>
  <c r="E18" i="1"/>
  <c r="C20" i="1"/>
  <c r="C21" i="1"/>
  <c r="D19" i="1"/>
  <c r="L41" i="1"/>
  <c r="I42" i="1"/>
  <c r="C44" i="1"/>
  <c r="J42" i="1"/>
  <c r="H42" i="1"/>
  <c r="H40" i="1"/>
  <c r="K42" i="1"/>
  <c r="H41" i="1"/>
  <c r="L42" i="1"/>
  <c r="I40" i="1"/>
  <c r="J40" i="1"/>
  <c r="K40" i="1"/>
  <c r="K41" i="1"/>
  <c r="C43" i="1"/>
  <c r="L40" i="1"/>
  <c r="I41" i="1"/>
  <c r="K10" i="1"/>
  <c r="I11" i="1"/>
  <c r="K32" i="3"/>
  <c r="L11" i="1"/>
  <c r="J10" i="1"/>
  <c r="C13" i="1"/>
  <c r="H10" i="1"/>
  <c r="K9" i="1"/>
  <c r="J11" i="1"/>
  <c r="H11" i="1"/>
  <c r="I9" i="1"/>
  <c r="K11" i="1"/>
  <c r="H9" i="1"/>
  <c r="L9" i="1"/>
  <c r="J9" i="1"/>
  <c r="I10" i="1"/>
  <c r="L10" i="1"/>
  <c r="AI31" i="3"/>
  <c r="BC10" i="6"/>
  <c r="BI30" i="3"/>
  <c r="C9" i="1" s="1"/>
  <c r="AH12" i="5"/>
  <c r="K10" i="6"/>
  <c r="BD12" i="5"/>
  <c r="BC10" i="5"/>
  <c r="K12" i="5"/>
  <c r="D42" i="1"/>
  <c r="D40" i="1"/>
  <c r="BD12" i="6"/>
  <c r="BD10" i="6"/>
  <c r="BB10" i="6"/>
  <c r="BB12" i="5"/>
  <c r="BB10" i="5"/>
  <c r="BI32" i="3"/>
  <c r="C11" i="1" s="1"/>
  <c r="C42" i="1"/>
  <c r="C40" i="1"/>
  <c r="BB12" i="6"/>
  <c r="AI30" i="3"/>
  <c r="AI32" i="3"/>
  <c r="D29" i="1" l="1"/>
  <c r="C31" i="1"/>
  <c r="C29" i="1"/>
  <c r="E29" i="1"/>
  <c r="E31" i="1"/>
  <c r="C18" i="1"/>
  <c r="D18" i="1"/>
  <c r="E20" i="1"/>
  <c r="D20" i="1"/>
</calcChain>
</file>

<file path=xl/sharedStrings.xml><?xml version="1.0" encoding="utf-8"?>
<sst xmlns="http://schemas.openxmlformats.org/spreadsheetml/2006/main" count="1352" uniqueCount="551">
  <si>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</si>
  <si>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</si>
  <si>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</si>
  <si>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</si>
  <si>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</si>
  <si>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</si>
  <si>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</si>
  <si>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</si>
  <si>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</si>
  <si>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</si>
  <si>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</si>
  <si>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</si>
  <si>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</si>
  <si>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</si>
  <si>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</si>
  <si>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</si>
  <si>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</si>
  <si>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</si>
  <si>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</si>
  <si>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</si>
  <si>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</si>
  <si>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</si>
  <si>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</si>
  <si>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</si>
  <si>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</si>
  <si>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</si>
  <si>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</si>
  <si>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</si>
  <si>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</si>
  <si>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</si>
  <si>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</si>
  <si>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</si>
  <si>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</si>
  <si>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</si>
  <si>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</si>
  <si>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</si>
  <si>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</si>
  <si>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</si>
  <si>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</si>
  <si>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</si>
  <si>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</si>
  <si>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</si>
  <si>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</si>
  <si>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</si>
  <si>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</si>
  <si>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</si>
  <si>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</si>
  <si>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</si>
  <si>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</si>
  <si>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</si>
  <si>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</si>
  <si>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</si>
  <si>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</si>
  <si>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</si>
  <si>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</si>
  <si>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</si>
  <si>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</si>
  <si>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</si>
  <si>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</si>
  <si>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</si>
  <si>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</si>
  <si>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</si>
  <si>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</si>
  <si>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</si>
  <si>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</si>
  <si>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</si>
  <si>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</si>
  <si>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</si>
  <si>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</si>
  <si>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</si>
  <si>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</si>
  <si>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</si>
  <si>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</si>
  <si>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</si>
  <si>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</si>
  <si>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</si>
  <si>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</si>
  <si>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</si>
  <si>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</si>
  <si>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</si>
  <si>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</si>
  <si>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</si>
  <si>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</si>
  <si>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</si>
  <si>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</si>
  <si>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</si>
  <si>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</si>
  <si>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</si>
  <si>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</si>
  <si>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</si>
  <si>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</si>
  <si>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</si>
  <si>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</si>
  <si>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</si>
  <si>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</si>
  <si>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</si>
  <si>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</si>
  <si>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</si>
  <si>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</si>
  <si>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</si>
  <si>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</si>
  <si>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</si>
  <si>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</si>
  <si>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</si>
  <si>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</si>
  <si>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</si>
  <si>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</si>
  <si>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</si>
  <si>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</si>
  <si>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</si>
  <si>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</si>
  <si>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</si>
  <si>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</si>
  <si>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</si>
  <si>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</si>
  <si>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</si>
  <si>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</si>
  <si>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</si>
  <si>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</si>
  <si>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</si>
  <si>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</si>
  <si>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</si>
  <si>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</si>
  <si>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</si>
  <si>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</si>
  <si>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</si>
  <si>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</si>
  <si>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</si>
  <si>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</si>
  <si>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</si>
  <si>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</si>
  <si>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</si>
  <si>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</si>
  <si>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</si>
  <si>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</si>
  <si>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</si>
  <si>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</si>
  <si>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</si>
  <si>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</si>
  <si>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</si>
  <si>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</si>
  <si>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</si>
  <si>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</si>
  <si>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</si>
  <si>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</si>
  <si>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</si>
  <si>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</si>
  <si>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</si>
  <si>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</si>
  <si>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</si>
  <si>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</si>
  <si>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</si>
  <si>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</si>
  <si>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</si>
  <si>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</si>
  <si>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</si>
  <si>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</si>
  <si>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</si>
  <si>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</si>
  <si>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</si>
  <si>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</si>
  <si>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</si>
  <si>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</si>
  <si>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</si>
  <si>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</si>
  <si>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</si>
  <si>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</si>
  <si>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</si>
  <si>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</si>
  <si>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</si>
  <si>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</si>
  <si>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</si>
  <si>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</si>
  <si>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</si>
  <si>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</si>
  <si>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</si>
  <si>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</si>
  <si>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</si>
  <si>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</si>
  <si>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</si>
  <si>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</si>
  <si>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</si>
  <si>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</si>
  <si>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</si>
  <si>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</si>
  <si>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</si>
  <si>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</si>
  <si>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</si>
  <si>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</si>
  <si>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</si>
  <si>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</si>
  <si>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</si>
  <si>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</si>
  <si>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</si>
  <si>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</si>
  <si>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</si>
  <si>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</si>
  <si>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</si>
  <si>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</si>
  <si>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</si>
  <si>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</si>
  <si>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</si>
  <si>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</si>
  <si>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</si>
  <si>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</si>
  <si>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</si>
  <si>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</si>
  <si>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</si>
  <si>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</si>
  <si>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</si>
  <si>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</si>
  <si>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</si>
  <si>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</si>
  <si>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</si>
  <si>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</si>
  <si>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</si>
  <si>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</si>
  <si>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</si>
  <si>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</si>
  <si>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</si>
  <si>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</si>
  <si>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</si>
  <si>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</si>
  <si>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</si>
  <si>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</si>
  <si>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</si>
  <si>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</si>
  <si>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</si>
  <si>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</si>
  <si>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</si>
  <si>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</si>
  <si>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</si>
  <si>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</si>
  <si>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</si>
  <si>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</si>
  <si>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</si>
  <si>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</si>
  <si>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</si>
  <si>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</si>
  <si>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</si>
  <si>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</si>
  <si>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</si>
  <si>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</si>
  <si>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</si>
  <si>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</si>
  <si>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</si>
  <si>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</si>
  <si>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</si>
  <si>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</si>
  <si>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</si>
  <si>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</si>
  <si>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</si>
  <si>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</si>
  <si>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</si>
  <si>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</si>
  <si>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</si>
  <si>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</si>
  <si>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</si>
  <si>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</si>
  <si>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</si>
  <si>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</si>
  <si>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</si>
  <si>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</si>
  <si>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</si>
  <si>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</si>
  <si>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</si>
  <si>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</si>
  <si>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</si>
  <si>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</si>
  <si>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</si>
  <si>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</si>
  <si>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</si>
  <si>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</si>
  <si>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</si>
  <si>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</si>
  <si>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</si>
  <si>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</si>
  <si>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</si>
  <si>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</si>
  <si>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</si>
  <si>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</si>
  <si>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</si>
  <si>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</si>
  <si>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</si>
  <si>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</si>
  <si>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</si>
  <si>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</si>
  <si>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</si>
  <si>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</si>
  <si>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</si>
  <si>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</si>
  <si>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</si>
  <si>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</si>
  <si>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</si>
  <si>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</si>
  <si>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</si>
  <si>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</si>
  <si>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</si>
  <si>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</si>
  <si>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</si>
  <si>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</si>
  <si>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</si>
  <si>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</si>
  <si>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</si>
  <si>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</si>
  <si>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</si>
  <si>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</si>
  <si>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</si>
  <si>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</si>
  <si>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</si>
  <si>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</si>
  <si>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</si>
  <si>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</si>
  <si>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</si>
  <si>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</si>
  <si>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</si>
  <si>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</si>
  <si>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</si>
  <si>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</si>
  <si>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</si>
  <si>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</si>
  <si>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</si>
  <si>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</si>
  <si>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</si>
  <si>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</si>
  <si>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</si>
  <si>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</si>
  <si>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</si>
  <si>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</si>
  <si>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</si>
  <si>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</si>
  <si>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</si>
  <si>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</si>
  <si>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</si>
  <si>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</si>
  <si>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</si>
  <si>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</si>
  <si>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</si>
  <si>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</si>
  <si>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</si>
  <si>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</si>
  <si>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</si>
  <si>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</si>
  <si>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</si>
  <si>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</si>
  <si>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</si>
  <si>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</si>
  <si>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</si>
  <si>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</si>
  <si>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</si>
  <si>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</si>
  <si>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</si>
  <si>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</si>
  <si>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</si>
  <si>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</si>
  <si>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</si>
  <si>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</si>
  <si>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</si>
  <si>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</si>
  <si>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</si>
  <si>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</si>
  <si>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</si>
  <si>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</si>
  <si>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</si>
  <si>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</si>
  <si>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</si>
  <si>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</si>
  <si>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</si>
  <si>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</si>
  <si>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</si>
  <si>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</si>
  <si>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</si>
  <si>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</si>
  <si>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</si>
  <si>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</si>
  <si>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</si>
  <si>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</si>
  <si>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</si>
  <si>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</si>
  <si>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</si>
  <si>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</si>
  <si>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</si>
  <si>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</si>
  <si>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</si>
  <si>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</si>
  <si>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</si>
  <si>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</si>
  <si>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</si>
  <si>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</si>
  <si>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</si>
  <si>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</si>
  <si>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</si>
  <si>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</si>
  <si>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</si>
  <si>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</si>
  <si>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</si>
  <si>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</si>
  <si>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</si>
  <si>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</si>
  <si>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</si>
  <si>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</si>
  <si>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</si>
  <si>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</si>
  <si>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</si>
  <si>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</si>
  <si>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</si>
  <si>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</si>
  <si>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</si>
  <si>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</si>
  <si>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</si>
  <si>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</si>
  <si>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</si>
  <si>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</si>
  <si>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</si>
  <si>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</si>
  <si>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</si>
  <si>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</si>
  <si>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</si>
  <si>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</si>
  <si>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</si>
  <si>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</si>
  <si>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</si>
  <si>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</si>
  <si>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</si>
  <si>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</si>
  <si>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</si>
  <si>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</si>
  <si>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</si>
  <si>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</si>
  <si>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</si>
  <si>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</si>
  <si>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</si>
  <si>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</si>
  <si>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</si>
  <si>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</si>
  <si>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</si>
  <si>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</si>
  <si>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</si>
  <si>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</si>
  <si>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</si>
  <si>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</si>
  <si>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</si>
  <si>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</si>
  <si>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</si>
  <si>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</si>
  <si>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</si>
  <si>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</si>
  <si>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</si>
  <si>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</si>
  <si>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</si>
  <si>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</si>
  <si>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</si>
  <si>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</si>
  <si>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</si>
  <si>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</si>
  <si>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</si>
  <si>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</si>
  <si>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</si>
  <si>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</si>
  <si>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</si>
  <si>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</si>
  <si>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</si>
  <si>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</si>
  <si>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</si>
  <si>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</si>
  <si>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</si>
  <si>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</si>
  <si>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</si>
  <si>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</si>
  <si>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</si>
  <si>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</si>
  <si>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</si>
  <si>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</si>
  <si>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</si>
  <si>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</si>
  <si>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</si>
  <si>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</si>
  <si>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</si>
  <si>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</si>
  <si>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</si>
  <si>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</si>
  <si>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</si>
  <si>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</si>
  <si>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</si>
  <si>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</si>
  <si>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</si>
  <si>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</si>
  <si>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</si>
  <si>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</si>
  <si>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</si>
  <si>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</si>
  <si>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</si>
  <si>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</si>
  <si>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</si>
  <si>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</si>
  <si>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</si>
  <si>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</si>
  <si>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</si>
  <si>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</si>
  <si>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</si>
  <si>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</si>
  <si>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</si>
  <si>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</si>
  <si>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</si>
  <si>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</si>
  <si>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</si>
  <si>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</si>
  <si>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</si>
  <si>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</si>
  <si>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</si>
  <si>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</si>
  <si>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</si>
  <si>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</si>
  <si>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</si>
  <si>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</si>
  <si>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</si>
  <si>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</si>
  <si>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</si>
  <si>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</si>
  <si>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</si>
  <si>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</si>
  <si>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</si>
  <si>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</si>
  <si>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</si>
  <si>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</si>
  <si>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</si>
  <si>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</si>
  <si>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</si>
  <si>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</si>
  <si>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</si>
  <si>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</si>
  <si>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</si>
  <si>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</si>
  <si>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</si>
  <si>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</si>
  <si>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</si>
  <si>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</si>
  <si>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</si>
  <si>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</si>
  <si>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</si>
  <si>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</si>
  <si>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</si>
  <si>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</si>
  <si>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</si>
  <si>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</si>
  <si>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</si>
  <si>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</si>
  <si>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R5.0</t>
  </si>
  <si>
    <t>tested</t>
  </si>
  <si>
    <t>rc13</t>
  </si>
  <si>
    <t>rc13+modified Boundary detection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</si>
</sst>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rc13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66.333168999999998</c:v>
                </c:pt>
                <c:pt idx="1">
                  <c:v>68.238112000000001</c:v>
                </c:pt>
                <c:pt idx="2">
                  <c:v>69.677408999999997</c:v>
                </c:pt>
                <c:pt idx="3">
                  <c:v>70.749765999999994</c:v>
                </c:pt>
                <c:pt idx="4">
                  <c:v>72.062166000000005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6F-4179-9418-E0B6C8F1877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5"/>
                <c:pt idx="0">
                  <c:v>66.333387500000001</c:v>
                </c:pt>
                <c:pt idx="1">
                  <c:v>68.237346875</c:v>
                </c:pt>
                <c:pt idx="2">
                  <c:v>69.675328124999993</c:v>
                </c:pt>
                <c:pt idx="3">
                  <c:v>70.776121875000001</c:v>
                </c:pt>
                <c:pt idx="4">
                  <c:v>72.031521874999996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6F-4179-9418-E0B6C8F1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rc13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72.041343999999995</c:v>
                </c:pt>
                <c:pt idx="3">
                  <c:v>73.293744000000004</c:v>
                </c:pt>
                <c:pt idx="4">
                  <c:v>75.321166000000005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E-4B82-830B-EE4C8CAA870E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5"/>
                <c:pt idx="0">
                  <c:v>68.421993749999999</c:v>
                </c:pt>
                <c:pt idx="1">
                  <c:v>70.381815625000002</c:v>
                </c:pt>
                <c:pt idx="2">
                  <c:v>72.069881249999995</c:v>
                </c:pt>
                <c:pt idx="3">
                  <c:v>73.329590624999994</c:v>
                </c:pt>
                <c:pt idx="4">
                  <c:v>75.292162500000003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BE-4B82-830B-EE4C8CAA8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rc13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34.445497000000003</c:v>
                </c:pt>
                <c:pt idx="2">
                  <c:v>36.986227999999997</c:v>
                </c:pt>
                <c:pt idx="3">
                  <c:v>39.614122000000002</c:v>
                </c:pt>
                <c:pt idx="4">
                  <c:v>42.039611999999998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E8-4041-813A-DDDE5C90C202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5"/>
                <c:pt idx="0">
                  <c:v>32.172281249999997</c:v>
                </c:pt>
                <c:pt idx="1">
                  <c:v>34.447715625000001</c:v>
                </c:pt>
                <c:pt idx="2">
                  <c:v>36.987681250000001</c:v>
                </c:pt>
                <c:pt idx="3">
                  <c:v>39.610121874999997</c:v>
                </c:pt>
                <c:pt idx="4">
                  <c:v>42.03580625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E8-4041-813A-DDDE5C90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rc13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44.153830999999997</c:v>
                </c:pt>
                <c:pt idx="1">
                  <c:v>45.472078000000003</c:v>
                </c:pt>
                <c:pt idx="2">
                  <c:v>46.565627999999997</c:v>
                </c:pt>
                <c:pt idx="3">
                  <c:v>47.886353</c:v>
                </c:pt>
                <c:pt idx="4">
                  <c:v>49.434652999999997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8D-4A0B-9E36-0A062776AC8D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5"/>
                <c:pt idx="0">
                  <c:v>44.152209374999998</c:v>
                </c:pt>
                <c:pt idx="1">
                  <c:v>45.471125000000001</c:v>
                </c:pt>
                <c:pt idx="2">
                  <c:v>46.558475000000001</c:v>
                </c:pt>
                <c:pt idx="3">
                  <c:v>47.909234374999997</c:v>
                </c:pt>
                <c:pt idx="4">
                  <c:v>49.433799999999998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8D-4A0B-9E36-0A062776A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rc13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43.731209</c:v>
                </c:pt>
                <c:pt idx="1">
                  <c:v>45.189937</c:v>
                </c:pt>
                <c:pt idx="2">
                  <c:v>46.444780999999999</c:v>
                </c:pt>
                <c:pt idx="3">
                  <c:v>47.917003000000001</c:v>
                </c:pt>
                <c:pt idx="4">
                  <c:v>49.581252999999997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91-4E92-B3F9-7B0208CF66FC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5"/>
                <c:pt idx="0">
                  <c:v>43.698040624999997</c:v>
                </c:pt>
                <c:pt idx="1">
                  <c:v>45.178546875000002</c:v>
                </c:pt>
                <c:pt idx="2">
                  <c:v>46.422125000000001</c:v>
                </c:pt>
                <c:pt idx="3">
                  <c:v>47.953962500000003</c:v>
                </c:pt>
                <c:pt idx="4">
                  <c:v>49.586678124999999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91-4E92-B3F9-7B0208CF6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rc13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E7-4C62-A64B-B46687728B85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E7-4C62-A64B-B46687728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44"/>
  <sheetViews>
    <sheetView workbookViewId="0">
      <selection activeCell="F2" sqref="F2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7" t="s">
        <v>547</v>
      </c>
      <c r="D1" s="67"/>
      <c r="E1" s="67"/>
    </row>
    <row r="2" spans="2:12" x14ac:dyDescent="0.3">
      <c r="B2" t="s">
        <v>1</v>
      </c>
      <c r="C2" s="68" t="s">
        <v>548</v>
      </c>
      <c r="D2" s="68"/>
      <c r="E2" s="68"/>
    </row>
    <row r="4" spans="2:12" s="1" customFormat="1" x14ac:dyDescent="0.3">
      <c r="B4" s="1" t="s">
        <v>294</v>
      </c>
    </row>
    <row r="6" spans="2:12" x14ac:dyDescent="0.3">
      <c r="B6" s="63" t="s">
        <v>295</v>
      </c>
      <c r="C6" s="64" t="s">
        <v>296</v>
      </c>
      <c r="D6" s="64"/>
      <c r="E6" s="64"/>
      <c r="F6" s="64"/>
      <c r="G6" s="64"/>
      <c r="H6" s="64"/>
      <c r="I6" s="64"/>
      <c r="J6" s="64"/>
      <c r="K6" s="64"/>
      <c r="L6" s="64"/>
    </row>
    <row r="7" spans="2:12" x14ac:dyDescent="0.3">
      <c r="B7" s="63"/>
      <c r="C7" s="65" t="s">
        <v>235</v>
      </c>
      <c r="D7" s="65"/>
      <c r="E7" s="66" t="s">
        <v>240</v>
      </c>
      <c r="F7" s="66"/>
      <c r="G7" s="66"/>
      <c r="H7" s="65" t="s">
        <v>247</v>
      </c>
      <c r="I7" s="65"/>
      <c r="J7" s="66" t="s">
        <v>252</v>
      </c>
      <c r="K7" s="66"/>
      <c r="L7" s="66"/>
    </row>
    <row r="8" spans="2:12" x14ac:dyDescent="0.3">
      <c r="B8" s="63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3">
      <c r="B9" s="4" t="s">
        <v>286</v>
      </c>
      <c r="C9" s="5">
        <f>'C2 lossyG,lossyA,intra'!$BI$30:$BI$30</f>
        <v>-1.7427750356490967E-3</v>
      </c>
      <c r="D9" s="5">
        <f>'C2 lossyG,lossyA,intra'!$BJ$30:$BJ$30</f>
        <v>-4.3401660850700685E-3</v>
      </c>
      <c r="E9" s="5">
        <f>'C2 lossyG,lossyA,intra'!$BK$30:$BK$30</f>
        <v>1.9806284107466432E-3</v>
      </c>
      <c r="F9" s="5">
        <f>'C2 lossyG,lossyA,intra'!$BL$30:$BL$30</f>
        <v>2.801364151459762E-3</v>
      </c>
      <c r="G9" s="5">
        <f>'C2 lossyG,lossyA,intra'!$BM$30:$BM$30</f>
        <v>3.0612228453871793E-3</v>
      </c>
      <c r="H9" s="5">
        <f>'C2 lossyG,lossyA,intra'!$BO$30:$BO$30</f>
        <v>-3.3686871513904371E-3</v>
      </c>
      <c r="I9" s="5">
        <f>'C2 lossyG,lossyA,intra'!$BP$30:$BP$30</f>
        <v>-8.1548968257619814E-3</v>
      </c>
      <c r="J9" s="5">
        <f>'C2 lossyG,lossyA,intra'!$BQ$30:$BQ$30</f>
        <v>1.2687359530838549E-3</v>
      </c>
      <c r="K9" s="5">
        <f>'C2 lossyG,lossyA,intra'!$BR$30:$BR$30</f>
        <v>2.0086340660722679E-3</v>
      </c>
      <c r="L9" s="5">
        <f>'C2 lossyG,lossyA,intra'!$BS$30:$BS$30</f>
        <v>1.9059397339032391E-3</v>
      </c>
    </row>
    <row r="10" spans="2:12" x14ac:dyDescent="0.3">
      <c r="B10" s="4" t="s">
        <v>287</v>
      </c>
      <c r="C10" s="5">
        <f>'C2 lossyG,lossyA,intra'!$BI$31:$BI$31</f>
        <v>-1.3414765741149859E-3</v>
      </c>
      <c r="D10" s="5">
        <f>'C2 lossyG,lossyA,intra'!$BJ$31:$BJ$31</f>
        <v>-3.1919552862381684E-3</v>
      </c>
      <c r="E10" s="5">
        <f>'C2 lossyG,lossyA,intra'!$BK$31:$BK$31</f>
        <v>-2.5120278360457604E-4</v>
      </c>
      <c r="F10" s="5">
        <f>'C2 lossyG,lossyA,intra'!$BL$31:$BL$31</f>
        <v>9.3173890494324674E-4</v>
      </c>
      <c r="G10" s="5">
        <f>'C2 lossyG,lossyA,intra'!$BM$31:$BM$31</f>
        <v>5.185293599527796E-4</v>
      </c>
      <c r="H10" s="5">
        <f>'C2 lossyG,lossyA,intra'!$BO$31:$BO$31</f>
        <v>-2.8321781289570858E-3</v>
      </c>
      <c r="I10" s="5">
        <f>'C2 lossyG,lossyA,intra'!$BP$31:$BP$31</f>
        <v>-7.1332156059622509E-3</v>
      </c>
      <c r="J10" s="5">
        <f>'C2 lossyG,lossyA,intra'!$BQ$31:$BQ$31</f>
        <v>-3.35401586315065E-4</v>
      </c>
      <c r="K10" s="5">
        <f>'C2 lossyG,lossyA,intra'!$BR$31:$BR$31</f>
        <v>7.1508095080985434E-4</v>
      </c>
      <c r="L10" s="5">
        <f>'C2 lossyG,lossyA,intra'!$BS$31:$BS$31</f>
        <v>3.1951844280042607E-4</v>
      </c>
    </row>
    <row r="11" spans="2:12" x14ac:dyDescent="0.3">
      <c r="B11" s="6" t="s">
        <v>288</v>
      </c>
      <c r="C11" s="7">
        <f>'C2 lossyG,lossyA,intra'!$BI$32:$BI$32</f>
        <v>-1.6625153433422746E-3</v>
      </c>
      <c r="D11" s="7">
        <f>'C2 lossyG,lossyA,intra'!$BJ$32:$BJ$32</f>
        <v>-4.1105239253036883E-3</v>
      </c>
      <c r="E11" s="7">
        <f>'C2 lossyG,lossyA,intra'!$BK$32:$BK$32</f>
        <v>1.5342621718763994E-3</v>
      </c>
      <c r="F11" s="7">
        <f>'C2 lossyG,lossyA,intra'!$BL$32:$BL$32</f>
        <v>2.4274391021564591E-3</v>
      </c>
      <c r="G11" s="7">
        <f>'C2 lossyG,lossyA,intra'!$BM$32:$BM$32</f>
        <v>2.5526841483002995E-3</v>
      </c>
      <c r="H11" s="7">
        <f>'C2 lossyG,lossyA,intra'!$BO$32:$BO$32</f>
        <v>-3.2613853469037669E-3</v>
      </c>
      <c r="I11" s="7">
        <f>'C2 lossyG,lossyA,intra'!$BP$32:$BP$32</f>
        <v>-7.950560581802036E-3</v>
      </c>
      <c r="J11" s="7">
        <f>'C2 lossyG,lossyA,intra'!$BQ$32:$BQ$32</f>
        <v>9.4790844520407089E-4</v>
      </c>
      <c r="K11" s="7">
        <f>'C2 lossyG,lossyA,intra'!$BR$32:$BR$32</f>
        <v>1.7499234430197852E-3</v>
      </c>
      <c r="L11" s="7">
        <f>'C2 lossyG,lossyA,intra'!$BS$32:$BS$32</f>
        <v>1.5886554756826764E-3</v>
      </c>
    </row>
    <row r="12" spans="2:12" x14ac:dyDescent="0.3">
      <c r="B12" t="s">
        <v>297</v>
      </c>
      <c r="C12" s="61">
        <f>'C2 lossyG,lossyA,intra'!AZ36</f>
        <v>1.0424364071245249</v>
      </c>
      <c r="D12" s="61"/>
      <c r="E12" s="61"/>
      <c r="F12" s="61"/>
      <c r="G12" s="61"/>
      <c r="H12" s="61"/>
      <c r="I12" s="61"/>
      <c r="J12" s="61"/>
      <c r="K12" s="61"/>
      <c r="L12" s="61"/>
    </row>
    <row r="13" spans="2:12" x14ac:dyDescent="0.3">
      <c r="B13" s="9" t="s">
        <v>298</v>
      </c>
      <c r="C13" s="62">
        <f>'C2 lossyG,lossyA,intra'!BB36</f>
        <v>0.75925765027090553</v>
      </c>
      <c r="D13" s="62"/>
      <c r="E13" s="62"/>
      <c r="F13" s="62"/>
      <c r="G13" s="62"/>
      <c r="H13" s="62"/>
      <c r="I13" s="62"/>
      <c r="J13" s="62"/>
      <c r="K13" s="62"/>
      <c r="L13" s="62"/>
    </row>
    <row r="15" spans="2:12" x14ac:dyDescent="0.3">
      <c r="B15" s="63" t="s">
        <v>379</v>
      </c>
      <c r="C15" s="64" t="s">
        <v>380</v>
      </c>
      <c r="D15" s="64"/>
      <c r="E15" s="64"/>
    </row>
    <row r="16" spans="2:12" x14ac:dyDescent="0.3">
      <c r="B16" s="63"/>
      <c r="C16" s="65" t="s">
        <v>355</v>
      </c>
      <c r="D16" s="65"/>
      <c r="E16" s="65"/>
    </row>
    <row r="17" spans="2:5" x14ac:dyDescent="0.3">
      <c r="B17" s="63"/>
      <c r="C17" s="2" t="s">
        <v>122</v>
      </c>
      <c r="D17" s="2" t="s">
        <v>116</v>
      </c>
      <c r="E17" s="2" t="s">
        <v>148</v>
      </c>
    </row>
    <row r="18" spans="2:5" x14ac:dyDescent="0.3">
      <c r="B18" s="4" t="s">
        <v>286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3">
      <c r="B19" s="4" t="s">
        <v>287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3">
      <c r="B20" s="6" t="s">
        <v>288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3">
      <c r="B21" t="s">
        <v>297</v>
      </c>
      <c r="C21" s="61" t="e">
        <f>'CW losslG,losslA,intra'!AW16</f>
        <v>#NUM!</v>
      </c>
      <c r="D21" s="61"/>
      <c r="E21" s="61"/>
    </row>
    <row r="22" spans="2:5" x14ac:dyDescent="0.3">
      <c r="B22" s="9" t="s">
        <v>298</v>
      </c>
      <c r="C22" s="62" t="e">
        <f>'CW losslG,losslA,intra'!AY16</f>
        <v>#NUM!</v>
      </c>
      <c r="D22" s="62"/>
      <c r="E22" s="62"/>
    </row>
    <row r="24" spans="2:5" s="1" customFormat="1" x14ac:dyDescent="0.3">
      <c r="B24" s="1" t="s">
        <v>454</v>
      </c>
    </row>
    <row r="26" spans="2:5" x14ac:dyDescent="0.3">
      <c r="B26" s="63" t="s">
        <v>455</v>
      </c>
      <c r="C26" s="64" t="s">
        <v>456</v>
      </c>
      <c r="D26" s="64"/>
      <c r="E26" s="64"/>
    </row>
    <row r="27" spans="2:5" x14ac:dyDescent="0.3">
      <c r="B27" s="63"/>
      <c r="C27" s="65" t="s">
        <v>355</v>
      </c>
      <c r="D27" s="65"/>
      <c r="E27" s="65"/>
    </row>
    <row r="28" spans="2:5" x14ac:dyDescent="0.3">
      <c r="B28" s="63"/>
      <c r="C28" s="2" t="s">
        <v>116</v>
      </c>
      <c r="D28" s="2" t="s">
        <v>122</v>
      </c>
      <c r="E28" s="2" t="s">
        <v>148</v>
      </c>
    </row>
    <row r="29" spans="2:5" x14ac:dyDescent="0.3">
      <c r="B29" s="4" t="s">
        <v>286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3">
      <c r="B30" s="4" t="s">
        <v>287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3">
      <c r="B31" s="6" t="s">
        <v>288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3">
      <c r="B32" t="s">
        <v>297</v>
      </c>
      <c r="C32" s="61" t="e">
        <f>'CW losslG,losslA,interLD'!AW16</f>
        <v>#NUM!</v>
      </c>
      <c r="D32" s="61"/>
      <c r="E32" s="61"/>
    </row>
    <row r="33" spans="2:12" x14ac:dyDescent="0.3">
      <c r="B33" s="9" t="s">
        <v>298</v>
      </c>
      <c r="C33" s="62" t="e">
        <f>'CW losslG,losslA,interLD'!AY16</f>
        <v>#NUM!</v>
      </c>
      <c r="D33" s="62"/>
      <c r="E33" s="62"/>
    </row>
    <row r="35" spans="2:12" s="1" customFormat="1" x14ac:dyDescent="0.3">
      <c r="B35" s="1" t="s">
        <v>540</v>
      </c>
    </row>
    <row r="37" spans="2:12" x14ac:dyDescent="0.3">
      <c r="B37" s="63" t="s">
        <v>541</v>
      </c>
      <c r="C37" s="64" t="s">
        <v>542</v>
      </c>
      <c r="D37" s="64"/>
      <c r="E37" s="64"/>
      <c r="F37" s="64"/>
      <c r="G37" s="64"/>
      <c r="H37" s="64"/>
      <c r="I37" s="64"/>
      <c r="J37" s="64"/>
      <c r="K37" s="64"/>
      <c r="L37" s="64"/>
    </row>
    <row r="38" spans="2:12" x14ac:dyDescent="0.3">
      <c r="B38" s="63"/>
      <c r="C38" s="65" t="s">
        <v>235</v>
      </c>
      <c r="D38" s="65"/>
      <c r="E38" s="66" t="s">
        <v>240</v>
      </c>
      <c r="F38" s="66"/>
      <c r="G38" s="66"/>
      <c r="H38" s="65" t="s">
        <v>247</v>
      </c>
      <c r="I38" s="65"/>
      <c r="J38" s="66" t="s">
        <v>252</v>
      </c>
      <c r="K38" s="66"/>
      <c r="L38" s="66"/>
    </row>
    <row r="39" spans="2:12" x14ac:dyDescent="0.3">
      <c r="B39" s="63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3">
      <c r="B40" s="4" t="s">
        <v>286</v>
      </c>
      <c r="C40" s="5" t="e">
        <f>#REF!</f>
        <v>#REF!</v>
      </c>
      <c r="D40" s="5" t="e">
        <f>#REF!</f>
        <v>#REF!</v>
      </c>
      <c r="E40" s="5" t="e">
        <f>#REF!</f>
        <v>#REF!</v>
      </c>
      <c r="F40" s="5" t="e">
        <f>#REF!</f>
        <v>#REF!</v>
      </c>
      <c r="G40" s="5" t="e">
        <f>#REF!</f>
        <v>#REF!</v>
      </c>
      <c r="H40" s="5" t="e">
        <f>#REF!</f>
        <v>#REF!</v>
      </c>
      <c r="I40" s="5" t="e">
        <f>#REF!</f>
        <v>#REF!</v>
      </c>
      <c r="J40" s="5" t="e">
        <f>#REF!</f>
        <v>#REF!</v>
      </c>
      <c r="K40" s="5" t="e">
        <f>#REF!</f>
        <v>#REF!</v>
      </c>
      <c r="L40" s="5" t="e">
        <f>#REF!</f>
        <v>#REF!</v>
      </c>
    </row>
    <row r="41" spans="2:12" x14ac:dyDescent="0.3">
      <c r="B41" s="4" t="s">
        <v>287</v>
      </c>
      <c r="C41" s="5" t="e">
        <f>#REF!</f>
        <v>#REF!</v>
      </c>
      <c r="D41" s="5" t="e">
        <f>#REF!</f>
        <v>#REF!</v>
      </c>
      <c r="E41" s="5" t="e">
        <f>#REF!</f>
        <v>#REF!</v>
      </c>
      <c r="F41" s="5" t="e">
        <f>#REF!</f>
        <v>#REF!</v>
      </c>
      <c r="G41" s="5" t="e">
        <f>#REF!</f>
        <v>#REF!</v>
      </c>
      <c r="H41" s="5" t="e">
        <f>#REF!</f>
        <v>#REF!</v>
      </c>
      <c r="I41" s="5" t="e">
        <f>#REF!</f>
        <v>#REF!</v>
      </c>
      <c r="J41" s="5" t="e">
        <f>#REF!</f>
        <v>#REF!</v>
      </c>
      <c r="K41" s="5" t="e">
        <f>#REF!</f>
        <v>#REF!</v>
      </c>
      <c r="L41" s="5" t="e">
        <f>#REF!</f>
        <v>#REF!</v>
      </c>
    </row>
    <row r="42" spans="2:12" x14ac:dyDescent="0.3">
      <c r="B42" s="6" t="s">
        <v>288</v>
      </c>
      <c r="C42" s="7" t="e">
        <f>#REF!</f>
        <v>#REF!</v>
      </c>
      <c r="D42" s="7" t="e">
        <f>#REF!</f>
        <v>#REF!</v>
      </c>
      <c r="E42" s="7" t="e">
        <f>#REF!</f>
        <v>#REF!</v>
      </c>
      <c r="F42" s="7" t="e">
        <f>#REF!</f>
        <v>#REF!</v>
      </c>
      <c r="G42" s="7" t="e">
        <f>#REF!</f>
        <v>#REF!</v>
      </c>
      <c r="H42" s="7" t="e">
        <f>#REF!</f>
        <v>#REF!</v>
      </c>
      <c r="I42" s="7" t="e">
        <f>#REF!</f>
        <v>#REF!</v>
      </c>
      <c r="J42" s="7" t="e">
        <f>#REF!</f>
        <v>#REF!</v>
      </c>
      <c r="K42" s="7" t="e">
        <f>#REF!</f>
        <v>#REF!</v>
      </c>
      <c r="L42" s="7" t="e">
        <f>#REF!</f>
        <v>#REF!</v>
      </c>
    </row>
    <row r="43" spans="2:12" x14ac:dyDescent="0.3">
      <c r="B43" t="s">
        <v>297</v>
      </c>
      <c r="C43" s="61" t="e">
        <f>#REF!</f>
        <v>#REF!</v>
      </c>
      <c r="D43" s="61"/>
      <c r="E43" s="61"/>
      <c r="F43" s="61"/>
      <c r="G43" s="61"/>
      <c r="H43" s="61"/>
      <c r="I43" s="61"/>
      <c r="J43" s="61"/>
      <c r="K43" s="61"/>
      <c r="L43" s="61"/>
    </row>
    <row r="44" spans="2:12" x14ac:dyDescent="0.3">
      <c r="B44" s="9" t="s">
        <v>298</v>
      </c>
      <c r="C44" s="62" t="e">
        <f>#REF!</f>
        <v>#REF!</v>
      </c>
      <c r="D44" s="62"/>
      <c r="E44" s="62"/>
      <c r="F44" s="62"/>
      <c r="G44" s="62"/>
      <c r="H44" s="62"/>
      <c r="I44" s="62"/>
      <c r="J44" s="62"/>
      <c r="K44" s="62"/>
      <c r="L44" s="62"/>
    </row>
  </sheetData>
  <mergeCells count="28"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543</v>
      </c>
    </row>
    <row r="2" spans="1:16" x14ac:dyDescent="0.3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545</v>
      </c>
    </row>
    <row r="3" spans="1:16" x14ac:dyDescent="0.3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3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3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3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3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3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3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3">
      <c r="I10" t="s">
        <v>19</v>
      </c>
      <c r="J10" t="s">
        <v>20</v>
      </c>
    </row>
    <row r="11" spans="1:16" x14ac:dyDescent="0.3">
      <c r="I11" t="s">
        <v>21</v>
      </c>
      <c r="J11" t="s">
        <v>22</v>
      </c>
    </row>
    <row r="12" spans="1:16" x14ac:dyDescent="0.3">
      <c r="I12" t="s">
        <v>23</v>
      </c>
      <c r="J12" t="s">
        <v>24</v>
      </c>
    </row>
    <row r="13" spans="1:16" x14ac:dyDescent="0.3">
      <c r="I13" t="s">
        <v>25</v>
      </c>
      <c r="J13" t="s">
        <v>26</v>
      </c>
    </row>
    <row r="14" spans="1:16" x14ac:dyDescent="0.3">
      <c r="I14" t="s">
        <v>27</v>
      </c>
      <c r="J14" t="s">
        <v>28</v>
      </c>
    </row>
    <row r="15" spans="1:16" x14ac:dyDescent="0.3">
      <c r="I15" t="s">
        <v>29</v>
      </c>
      <c r="J15" t="s">
        <v>30</v>
      </c>
    </row>
    <row r="16" spans="1:16" x14ac:dyDescent="0.3">
      <c r="I16" t="s">
        <v>31</v>
      </c>
      <c r="J16" t="s">
        <v>32</v>
      </c>
    </row>
    <row r="17" spans="9:10" x14ac:dyDescent="0.3">
      <c r="I17" t="s">
        <v>33</v>
      </c>
      <c r="J17" t="s">
        <v>34</v>
      </c>
    </row>
    <row r="18" spans="9:10" x14ac:dyDescent="0.3">
      <c r="I18" t="s">
        <v>35</v>
      </c>
      <c r="J18" t="s">
        <v>36</v>
      </c>
    </row>
    <row r="19" spans="9:10" x14ac:dyDescent="0.3">
      <c r="I19" t="s">
        <v>37</v>
      </c>
      <c r="J19" t="s">
        <v>38</v>
      </c>
    </row>
    <row r="20" spans="9:10" x14ac:dyDescent="0.3">
      <c r="I20" t="s">
        <v>39</v>
      </c>
      <c r="J20" t="s">
        <v>40</v>
      </c>
    </row>
    <row r="21" spans="9:10" x14ac:dyDescent="0.3">
      <c r="I21" t="s">
        <v>41</v>
      </c>
      <c r="J21" t="s">
        <v>42</v>
      </c>
    </row>
    <row r="22" spans="9:10" x14ac:dyDescent="0.3">
      <c r="I22" t="s">
        <v>43</v>
      </c>
      <c r="J22" t="s">
        <v>44</v>
      </c>
    </row>
    <row r="23" spans="9:10" x14ac:dyDescent="0.3">
      <c r="I23" t="s">
        <v>45</v>
      </c>
      <c r="J23" t="s">
        <v>46</v>
      </c>
    </row>
    <row r="24" spans="9:10" x14ac:dyDescent="0.3">
      <c r="I24" t="s">
        <v>47</v>
      </c>
      <c r="J24" t="s">
        <v>48</v>
      </c>
    </row>
    <row r="25" spans="9:10" x14ac:dyDescent="0.3">
      <c r="I25" t="s">
        <v>49</v>
      </c>
      <c r="J25" t="s">
        <v>50</v>
      </c>
    </row>
    <row r="26" spans="9:10" x14ac:dyDescent="0.3">
      <c r="I26" t="s">
        <v>51</v>
      </c>
      <c r="J26" t="s">
        <v>52</v>
      </c>
    </row>
    <row r="27" spans="9:10" x14ac:dyDescent="0.3">
      <c r="I27" t="s">
        <v>53</v>
      </c>
      <c r="J27" t="s">
        <v>54</v>
      </c>
    </row>
    <row r="28" spans="9:10" x14ac:dyDescent="0.3">
      <c r="I28" t="s">
        <v>55</v>
      </c>
      <c r="J28" t="s">
        <v>56</v>
      </c>
    </row>
    <row r="29" spans="9:10" x14ac:dyDescent="0.3">
      <c r="I29" t="s">
        <v>57</v>
      </c>
      <c r="J29" t="s">
        <v>58</v>
      </c>
    </row>
    <row r="30" spans="9:10" x14ac:dyDescent="0.3">
      <c r="I30" t="s">
        <v>59</v>
      </c>
      <c r="J30" t="s">
        <v>60</v>
      </c>
    </row>
    <row r="31" spans="9:10" x14ac:dyDescent="0.3">
      <c r="I31" t="s">
        <v>61</v>
      </c>
      <c r="J31" t="s">
        <v>62</v>
      </c>
    </row>
    <row r="32" spans="9:10" x14ac:dyDescent="0.3">
      <c r="I32" t="s">
        <v>63</v>
      </c>
      <c r="J32" t="s">
        <v>64</v>
      </c>
    </row>
    <row r="33" spans="9:10" x14ac:dyDescent="0.3">
      <c r="I33" t="s">
        <v>65</v>
      </c>
      <c r="J33" t="s">
        <v>66</v>
      </c>
    </row>
    <row r="34" spans="9:10" x14ac:dyDescent="0.3">
      <c r="I34" t="s">
        <v>67</v>
      </c>
      <c r="J34" t="s">
        <v>68</v>
      </c>
    </row>
    <row r="35" spans="9:10" x14ac:dyDescent="0.3">
      <c r="I35" t="s">
        <v>69</v>
      </c>
      <c r="J35" t="s">
        <v>70</v>
      </c>
    </row>
    <row r="36" spans="9:10" x14ac:dyDescent="0.3">
      <c r="I36" t="s">
        <v>71</v>
      </c>
      <c r="J36" t="s">
        <v>72</v>
      </c>
    </row>
    <row r="37" spans="9:10" x14ac:dyDescent="0.3">
      <c r="I37" t="s">
        <v>73</v>
      </c>
      <c r="J37" t="s">
        <v>74</v>
      </c>
    </row>
    <row r="38" spans="9:10" x14ac:dyDescent="0.3">
      <c r="I38" t="s">
        <v>75</v>
      </c>
      <c r="J38" t="s">
        <v>76</v>
      </c>
    </row>
    <row r="39" spans="9:10" x14ac:dyDescent="0.3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/>
  </sheetPr>
  <dimension ref="A1:BS67"/>
  <sheetViews>
    <sheetView tabSelected="1" topLeftCell="A39" zoomScale="85" zoomScaleNormal="85" workbookViewId="0">
      <pane xSplit="2" topLeftCell="AR1" activePane="topRight" state="frozen"/>
      <selection pane="topRight" activeCell="AM43" sqref="AM43:BC67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71" t="s">
        <v>259</v>
      </c>
      <c r="B1" s="71"/>
      <c r="C1" s="71"/>
      <c r="D1" s="71"/>
      <c r="E1" s="71"/>
      <c r="F1" s="71"/>
      <c r="G1" s="71"/>
      <c r="I1" s="67" t="s">
        <v>549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G1" s="68" t="s">
        <v>550</v>
      </c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</row>
    <row r="2" spans="1:71" ht="30" customHeight="1" x14ac:dyDescent="0.3">
      <c r="A2" s="73" t="s">
        <v>91</v>
      </c>
      <c r="B2" s="72" t="s">
        <v>94</v>
      </c>
      <c r="C2" s="73" t="s">
        <v>97</v>
      </c>
      <c r="D2" s="72" t="s">
        <v>100</v>
      </c>
      <c r="E2" s="73" t="s">
        <v>103</v>
      </c>
      <c r="F2" s="72" t="s">
        <v>106</v>
      </c>
      <c r="G2" s="73" t="s">
        <v>109</v>
      </c>
      <c r="I2" s="72" t="s">
        <v>112</v>
      </c>
      <c r="J2" s="70" t="s">
        <v>115</v>
      </c>
      <c r="K2" s="70"/>
      <c r="L2" s="70"/>
      <c r="M2" s="70"/>
      <c r="N2" s="73" t="s">
        <v>128</v>
      </c>
      <c r="O2" s="72" t="s">
        <v>131</v>
      </c>
      <c r="P2" s="73" t="s">
        <v>22</v>
      </c>
      <c r="Q2" s="72" t="s">
        <v>24</v>
      </c>
      <c r="R2" s="73" t="s">
        <v>20</v>
      </c>
      <c r="S2" s="69" t="s">
        <v>140</v>
      </c>
      <c r="T2" s="69"/>
      <c r="U2" s="69"/>
      <c r="V2" s="69"/>
      <c r="W2" s="70" t="s">
        <v>151</v>
      </c>
      <c r="X2" s="70"/>
      <c r="Y2" s="69" t="s">
        <v>158</v>
      </c>
      <c r="Z2" s="69"/>
      <c r="AA2" s="69"/>
      <c r="AB2" s="70" t="s">
        <v>168</v>
      </c>
      <c r="AC2" s="70"/>
      <c r="AD2" s="69" t="s">
        <v>175</v>
      </c>
      <c r="AE2" s="69"/>
      <c r="AG2" s="73" t="s">
        <v>112</v>
      </c>
      <c r="AH2" s="69" t="s">
        <v>115</v>
      </c>
      <c r="AI2" s="69"/>
      <c r="AJ2" s="69"/>
      <c r="AK2" s="69"/>
      <c r="AL2" s="72" t="s">
        <v>190</v>
      </c>
      <c r="AM2" s="73" t="s">
        <v>131</v>
      </c>
      <c r="AN2" s="72" t="s">
        <v>22</v>
      </c>
      <c r="AO2" s="73" t="s">
        <v>24</v>
      </c>
      <c r="AP2" s="72" t="s">
        <v>20</v>
      </c>
      <c r="AQ2" s="70" t="s">
        <v>140</v>
      </c>
      <c r="AR2" s="70"/>
      <c r="AS2" s="70"/>
      <c r="AT2" s="70"/>
      <c r="AU2" s="69" t="s">
        <v>151</v>
      </c>
      <c r="AV2" s="69"/>
      <c r="AW2" s="70" t="s">
        <v>158</v>
      </c>
      <c r="AX2" s="70"/>
      <c r="AY2" s="70"/>
      <c r="AZ2" s="69" t="s">
        <v>168</v>
      </c>
      <c r="BA2" s="69"/>
      <c r="BB2" s="70" t="s">
        <v>175</v>
      </c>
      <c r="BC2" s="70"/>
      <c r="BE2" s="72" t="s">
        <v>227</v>
      </c>
      <c r="BF2" s="73" t="s">
        <v>230</v>
      </c>
      <c r="BG2" s="72" t="s">
        <v>230</v>
      </c>
      <c r="BI2" s="70" t="s">
        <v>235</v>
      </c>
      <c r="BJ2" s="70"/>
      <c r="BK2" s="69" t="s">
        <v>240</v>
      </c>
      <c r="BL2" s="69"/>
      <c r="BM2" s="69"/>
      <c r="BO2" s="70" t="s">
        <v>247</v>
      </c>
      <c r="BP2" s="70"/>
      <c r="BQ2" s="69" t="s">
        <v>252</v>
      </c>
      <c r="BR2" s="69"/>
      <c r="BS2" s="69"/>
    </row>
    <row r="3" spans="1:71" ht="15" thickBot="1" x14ac:dyDescent="0.35">
      <c r="A3" s="73"/>
      <c r="B3" s="72"/>
      <c r="C3" s="73"/>
      <c r="D3" s="72"/>
      <c r="E3" s="73"/>
      <c r="F3" s="72"/>
      <c r="G3" s="73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3"/>
      <c r="O3" s="72"/>
      <c r="P3" s="73"/>
      <c r="Q3" s="72"/>
      <c r="R3" s="73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3"/>
      <c r="AH3" s="12" t="s">
        <v>116</v>
      </c>
      <c r="AI3" s="12" t="s">
        <v>119</v>
      </c>
      <c r="AJ3" s="12" t="s">
        <v>122</v>
      </c>
      <c r="AK3" s="12" t="s">
        <v>125</v>
      </c>
      <c r="AL3" s="72"/>
      <c r="AM3" s="73"/>
      <c r="AN3" s="72"/>
      <c r="AO3" s="73"/>
      <c r="AP3" s="72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2"/>
      <c r="BF3" s="73"/>
      <c r="BG3" s="72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0.23991520000000002</v>
      </c>
      <c r="J5" s="18">
        <f t="shared" ref="J5:J29" si="1">IF(ISBLANK(S5),"·",S5/D5)</f>
        <v>1.0074274020805967E-2</v>
      </c>
      <c r="K5" s="18">
        <f t="shared" ref="K5:K29" si="2">IF(N5="","·",N5/D5)</f>
        <v>6.3974095664544421E-3</v>
      </c>
      <c r="L5" s="18">
        <f t="shared" ref="L5:L29" si="3">IF(T5="","·",T5/D5)</f>
        <v>3.5566358845219703E-3</v>
      </c>
      <c r="M5" s="18">
        <f t="shared" ref="M5:M29" si="4">IF(ISBLANK(V5),"·",V5/D5)</f>
        <v>3.674277810071873E-3</v>
      </c>
      <c r="N5" s="15">
        <f t="shared" ref="N5:N29" si="5">IF(OR(ISBLANK(T5),ISBLANK(U5)),"",T5+U5)</f>
        <v>1523520</v>
      </c>
      <c r="O5" s="18">
        <f t="shared" ref="O5:O29" si="6">IF(ISBLANK(S5),"·",S5/P5)</f>
        <v>0.11073574323785107</v>
      </c>
      <c r="P5" s="19">
        <v>21665561</v>
      </c>
      <c r="Q5" s="19">
        <v>677048.78125</v>
      </c>
      <c r="R5" s="19">
        <v>13554.6875</v>
      </c>
      <c r="S5" s="20">
        <v>2399152</v>
      </c>
      <c r="T5" s="20">
        <v>847000</v>
      </c>
      <c r="U5" s="20">
        <v>676520</v>
      </c>
      <c r="V5" s="20">
        <v>875016</v>
      </c>
      <c r="W5" s="21">
        <v>66.333168999999998</v>
      </c>
      <c r="X5" s="21">
        <v>68.402850000000001</v>
      </c>
      <c r="Y5" s="21">
        <v>32.165624999999999</v>
      </c>
      <c r="Z5" s="21">
        <v>44.153830999999997</v>
      </c>
      <c r="AA5" s="21">
        <v>43.731209</v>
      </c>
      <c r="AB5" s="22">
        <v>2451.56</v>
      </c>
      <c r="AC5" s="22">
        <v>731.9</v>
      </c>
      <c r="AD5" s="22">
        <v>8.56</v>
      </c>
      <c r="AE5" s="22">
        <v>11.795999999999999</v>
      </c>
      <c r="AG5" s="17">
        <f t="shared" ref="AG5:AG29" si="7">IF(OR(ISBLANK(AQ5),ISBLANK(G5)),"·",AQ5*G5/F5/1000000)</f>
        <v>0.23985279999999998</v>
      </c>
      <c r="AH5" s="18">
        <f t="shared" ref="AH5:AH29" si="8">IF(ISBLANK(AQ5),"·",AQ5/D5)</f>
        <v>1.0071653783743462E-2</v>
      </c>
      <c r="AI5" s="18">
        <f t="shared" ref="AI5:AI29" si="9">IF(AL5="","·",AL5/D5)</f>
        <v>6.3958642984432209E-3</v>
      </c>
      <c r="AJ5" s="18">
        <f t="shared" ref="AJ5:AJ29" si="10">IF(AR5="","·",AR5/D5)</f>
        <v>3.5566358845219703E-3</v>
      </c>
      <c r="AK5" s="18">
        <f t="shared" ref="AK5:AK29" si="11">IF(ISBLANK(AT5),"·",AT5/D5)</f>
        <v>3.675789485300241E-3</v>
      </c>
      <c r="AL5" s="15">
        <f t="shared" ref="AL5:AL29" si="12">IF(OR(ISBLANK(AR5),ISBLANK(AS5)),"",AR5+AS5)</f>
        <v>1523152</v>
      </c>
      <c r="AM5" s="18">
        <f t="shared" ref="AM5:AM29" si="13">IF(ISBLANK(AQ5),"·",AQ5/AN5)</f>
        <v>0.11070694176808991</v>
      </c>
      <c r="AN5" s="4">
        <v>21665561</v>
      </c>
      <c r="AO5" s="4">
        <v>677048.78125</v>
      </c>
      <c r="AP5" s="4">
        <v>14051.75</v>
      </c>
      <c r="AQ5" s="4">
        <v>2398528</v>
      </c>
      <c r="AR5" s="4">
        <v>847000</v>
      </c>
      <c r="AS5" s="4">
        <v>676152</v>
      </c>
      <c r="AT5" s="4">
        <v>875376</v>
      </c>
      <c r="AU5" s="4">
        <v>66.333387500000001</v>
      </c>
      <c r="AV5" s="4">
        <v>68.421993749999999</v>
      </c>
      <c r="AW5" s="4">
        <v>32.172281249999997</v>
      </c>
      <c r="AX5" s="4">
        <v>44.152209374999998</v>
      </c>
      <c r="AY5" s="4">
        <v>43.698040624999997</v>
      </c>
      <c r="AZ5" s="4">
        <v>2812.25</v>
      </c>
      <c r="BA5" s="4">
        <v>1293.33</v>
      </c>
      <c r="BB5" s="4">
        <v>8.5399999999999991</v>
      </c>
      <c r="BC5" s="4">
        <v>25.417999999999999</v>
      </c>
      <c r="BE5" s="23">
        <f t="shared" ref="BE5:BE29" si="14">(AP5/AO5) - (R5/Q5)</f>
        <v>7.3416054170025863E-4</v>
      </c>
      <c r="BF5" s="23">
        <f t="shared" ref="BF5:BF29" si="15">(AL5/AQ5) - (N5/S5)</f>
        <v>1.1780229446700652E-5</v>
      </c>
      <c r="BG5" s="23">
        <f t="array" ref="BG5">AVERAGE(AL5:AL9/AQ5:AQ9) - AVERAGE(N5:N9/S5:S9)</f>
        <v>-1.4783054747685709E-4</v>
      </c>
      <c r="BI5" s="24">
        <f>IF( OR(ISBLANK(N5:N9),ISBLANK(AL5:AL9), ISBLANK(W5:W9),ISBLANK(AU5:AU9)), "·", bdRateExtend( N5:N9,W5:W9, AL5:AL9,AU5:AU9))</f>
        <v>-9.783336018646116E-4</v>
      </c>
      <c r="BJ5" s="24">
        <f>IF( OR(ISBLANK(N5:N9),ISBLANK(AL5:AL9), ISBLANK(X5:X9),ISBLANK(AV5:AV9)), "·", bdRateExtend( N5:N9,X5:X9, AL5:AL9,AV5:AV9))</f>
        <v>-3.698862494458055E-3</v>
      </c>
      <c r="BK5" s="24">
        <f>IF( OR(ISBLANK(V5:V9),ISBLANK(AT5:AT9), ISBLANK(Y5:Y9),ISBLANK(AW5:AW9)), "·", bdRateExtend( V5:V9,Y5:Y9, AT5:AT9,AW5:AW9))</f>
        <v>7.4375840273743776E-4</v>
      </c>
      <c r="BL5" s="24">
        <f>IF( OR(ISBLANK(V5:V9),ISBLANK(AT5:AT9), ISBLANK(Z5:Z9),ISBLANK(AX5:AX9)), "·", bdRateExtend( V5:V9,Z5:Z9, AT5:AT9,AX5:AX9))</f>
        <v>-1.5811574748656465E-3</v>
      </c>
      <c r="BM5" s="24">
        <f>IF( OR(ISBLANK(V5:V9),ISBLANK(AT5:AT9), ISBLANK(AA5:AA9),ISBLANK(AY5:AY9)), "·", bdRateExtend( V5:V9,AA5:AA9, AT5:AT9,AY5:AY9))</f>
        <v>1.2283501023044874E-3</v>
      </c>
      <c r="BO5" s="24">
        <f>IF( OR(ISBLANK(S5:S9),ISBLANK(AQ5:AQ9), ISBLANK(W5:W9),ISBLANK(AU5:AU9)), "·", bdRateExtend( S5:S9,W5:W9, AQ5:AQ9,AU5:AU9))</f>
        <v>-1.5949335309862755E-3</v>
      </c>
      <c r="BP5" s="24">
        <f>IF( OR(ISBLANK(S5:S9),ISBLANK(AQ5:AQ9), ISBLANK(X5:X9),ISBLANK(AV5:AV9)), "·", bdRateExtend( S5:S9,X5:X9, AQ5:AQ9,AV5:AV9))</f>
        <v>-7.1655299736391731E-3</v>
      </c>
      <c r="BQ5" s="24">
        <f>IF( OR(ISBLANK(S5:S9),ISBLANK(AQ5:AQ9), ISBLANK(Y5:Y9),ISBLANK(AW5:AW9)), "·", bdRateExtend( S5:S9,Y5:Y9, AQ5:AQ9,AW5:AW9))</f>
        <v>4.0086423207474908E-4</v>
      </c>
      <c r="BR5" s="24">
        <f>IF( OR(ISBLANK(S5:S9),ISBLANK(AQ5:AQ9), ISBLANK(Z5:Z9),ISBLANK(AX5:AX9)), "·", bdRateExtend( S5:S9,Z5:Z9, AQ5:AQ9,AX5:AX9))</f>
        <v>-1.8801241408183955E-3</v>
      </c>
      <c r="BS5" s="24">
        <f>IF( OR(ISBLANK(S5:S9),ISBLANK(AQ5:AQ9), ISBLANK(AA5:AA9),ISBLANK(AY5:AY9)), "·", bdRateExtend( S5:S9,AA5:AA9, AQ5:AQ9,AY5:AY9))</f>
        <v>-5.3532222807084473E-4</v>
      </c>
    </row>
    <row r="6" spans="1:71" outlineLevel="1" x14ac:dyDescent="0.3">
      <c r="A6" s="25"/>
      <c r="B6" s="25" t="s">
        <v>264</v>
      </c>
      <c r="C6" s="26" t="s">
        <v>267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0.37224000000000002</v>
      </c>
      <c r="J6" s="28">
        <f t="shared" si="1"/>
        <v>1.5630721861327725E-2</v>
      </c>
      <c r="K6" s="28">
        <f t="shared" si="2"/>
        <v>7.7252986798359673E-3</v>
      </c>
      <c r="L6" s="28">
        <f t="shared" si="3"/>
        <v>4.8845249979034954E-3</v>
      </c>
      <c r="M6" s="28">
        <f t="shared" si="4"/>
        <v>7.9028365372121046E-3</v>
      </c>
      <c r="N6" s="25">
        <f t="shared" si="5"/>
        <v>1839752</v>
      </c>
      <c r="O6" s="28">
        <f t="shared" si="6"/>
        <v>0.15406539948730955</v>
      </c>
      <c r="P6" s="29">
        <v>24161168</v>
      </c>
      <c r="Q6" s="29">
        <v>755036.5</v>
      </c>
      <c r="R6" s="29">
        <v>19192.28125</v>
      </c>
      <c r="S6" s="30">
        <v>3722400</v>
      </c>
      <c r="T6" s="30">
        <v>1163232</v>
      </c>
      <c r="U6" s="30">
        <v>676520</v>
      </c>
      <c r="V6" s="30">
        <v>1882032</v>
      </c>
      <c r="W6" s="31">
        <v>68.238112000000001</v>
      </c>
      <c r="X6" s="31">
        <v>70.356650000000002</v>
      </c>
      <c r="Y6" s="31">
        <v>34.445497000000003</v>
      </c>
      <c r="Z6" s="31">
        <v>45.472078000000003</v>
      </c>
      <c r="AA6" s="31">
        <v>45.189937</v>
      </c>
      <c r="AB6" s="32">
        <v>2494.19</v>
      </c>
      <c r="AC6" s="32">
        <v>797.43100000000004</v>
      </c>
      <c r="AD6" s="32">
        <v>9.0739999999999998</v>
      </c>
      <c r="AE6" s="32">
        <v>12.323</v>
      </c>
      <c r="AG6" s="27">
        <f t="shared" si="7"/>
        <v>0.37227120000000002</v>
      </c>
      <c r="AH6" s="28">
        <f t="shared" si="8"/>
        <v>1.5632031979858976E-2</v>
      </c>
      <c r="AI6" s="28">
        <f t="shared" si="9"/>
        <v>7.723753411824746E-3</v>
      </c>
      <c r="AJ6" s="28">
        <f t="shared" si="10"/>
        <v>4.8845249979034954E-3</v>
      </c>
      <c r="AK6" s="28">
        <f t="shared" si="11"/>
        <v>7.9082785680342303E-3</v>
      </c>
      <c r="AL6" s="25">
        <f t="shared" si="12"/>
        <v>1839384</v>
      </c>
      <c r="AM6" s="28">
        <f t="shared" si="13"/>
        <v>0.15407831277030978</v>
      </c>
      <c r="AN6" s="4">
        <v>24161168</v>
      </c>
      <c r="AO6" s="4">
        <v>755036.5</v>
      </c>
      <c r="AP6" s="4">
        <v>19819.15625</v>
      </c>
      <c r="AQ6" s="4">
        <v>3722712</v>
      </c>
      <c r="AR6" s="4">
        <v>1163232</v>
      </c>
      <c r="AS6" s="4">
        <v>676152</v>
      </c>
      <c r="AT6" s="4">
        <v>1883328</v>
      </c>
      <c r="AU6" s="4">
        <v>68.237346875</v>
      </c>
      <c r="AV6" s="4">
        <v>70.381815625000002</v>
      </c>
      <c r="AW6" s="4">
        <v>34.447715625000001</v>
      </c>
      <c r="AX6" s="4">
        <v>45.471125000000001</v>
      </c>
      <c r="AY6" s="4">
        <v>45.178546875000002</v>
      </c>
      <c r="AZ6" s="4">
        <v>2830.16</v>
      </c>
      <c r="BA6" s="4">
        <v>1430.57</v>
      </c>
      <c r="BB6" s="4">
        <v>8.077</v>
      </c>
      <c r="BC6" s="4">
        <v>24.638000000000002</v>
      </c>
      <c r="BE6" s="33">
        <f t="shared" si="14"/>
        <v>8.3025787495041511E-4</v>
      </c>
      <c r="BF6" s="33">
        <f t="shared" si="15"/>
        <v>-1.4027469632177381E-4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0.60981680000000005</v>
      </c>
      <c r="J7" s="18">
        <f t="shared" si="1"/>
        <v>2.560680417785546E-2</v>
      </c>
      <c r="K7" s="18">
        <f t="shared" si="2"/>
        <v>9.6033367979949779E-3</v>
      </c>
      <c r="L7" s="18">
        <f t="shared" si="3"/>
        <v>6.762563116062506E-3</v>
      </c>
      <c r="M7" s="18">
        <f t="shared" si="4"/>
        <v>1.6000880735580831E-2</v>
      </c>
      <c r="N7" s="15">
        <f t="shared" si="5"/>
        <v>2287000</v>
      </c>
      <c r="O7" s="18">
        <f t="shared" si="6"/>
        <v>0.24538360170469706</v>
      </c>
      <c r="P7" s="19">
        <v>24851571</v>
      </c>
      <c r="Q7" s="19">
        <v>776611.59375</v>
      </c>
      <c r="R7" s="19">
        <v>21049.5</v>
      </c>
      <c r="S7" s="20">
        <v>6098168</v>
      </c>
      <c r="T7" s="20">
        <v>1610480</v>
      </c>
      <c r="U7" s="20">
        <v>676520</v>
      </c>
      <c r="V7" s="20">
        <v>3810552</v>
      </c>
      <c r="W7" s="21">
        <v>69.677408999999997</v>
      </c>
      <c r="X7" s="21">
        <v>72.041343999999995</v>
      </c>
      <c r="Y7" s="21">
        <v>36.986227999999997</v>
      </c>
      <c r="Z7" s="21">
        <v>46.565627999999997</v>
      </c>
      <c r="AA7" s="21">
        <v>46.444780999999999</v>
      </c>
      <c r="AB7" s="22">
        <v>2608.16</v>
      </c>
      <c r="AC7" s="22">
        <v>864.45799999999997</v>
      </c>
      <c r="AD7" s="22">
        <v>9.298</v>
      </c>
      <c r="AE7" s="22">
        <v>12.933999999999999</v>
      </c>
      <c r="AG7" s="17">
        <f t="shared" si="7"/>
        <v>0.61013040000000007</v>
      </c>
      <c r="AH7" s="18">
        <f t="shared" si="8"/>
        <v>2.5619972548733692E-2</v>
      </c>
      <c r="AI7" s="18">
        <f t="shared" si="9"/>
        <v>9.6017915299837567E-3</v>
      </c>
      <c r="AJ7" s="18">
        <f t="shared" si="10"/>
        <v>6.762563116062506E-3</v>
      </c>
      <c r="AK7" s="18">
        <f t="shared" si="11"/>
        <v>1.6018181018749935E-2</v>
      </c>
      <c r="AL7" s="15">
        <f t="shared" si="12"/>
        <v>2286632</v>
      </c>
      <c r="AM7" s="18">
        <f t="shared" si="13"/>
        <v>0.24550979091020039</v>
      </c>
      <c r="AN7" s="4">
        <v>24851571</v>
      </c>
      <c r="AO7" s="4">
        <v>776611.59375</v>
      </c>
      <c r="AP7" s="4">
        <v>21698.125</v>
      </c>
      <c r="AQ7" s="4">
        <v>6101304</v>
      </c>
      <c r="AR7" s="4">
        <v>1610480</v>
      </c>
      <c r="AS7" s="4">
        <v>676152</v>
      </c>
      <c r="AT7" s="4">
        <v>3814672</v>
      </c>
      <c r="AU7" s="4">
        <v>69.675328124999993</v>
      </c>
      <c r="AV7" s="4">
        <v>72.069881249999995</v>
      </c>
      <c r="AW7" s="4">
        <v>36.987681250000001</v>
      </c>
      <c r="AX7" s="4">
        <v>46.558475000000001</v>
      </c>
      <c r="AY7" s="4">
        <v>46.422125000000001</v>
      </c>
      <c r="AZ7" s="4">
        <v>2779.22</v>
      </c>
      <c r="BA7" s="4">
        <v>1517.63</v>
      </c>
      <c r="BB7" s="4">
        <v>7.6970000000000001</v>
      </c>
      <c r="BC7" s="4">
        <v>24.593</v>
      </c>
      <c r="BE7" s="23">
        <f t="shared" si="14"/>
        <v>8.3519870836334942E-4</v>
      </c>
      <c r="BF7" s="23">
        <f t="shared" si="15"/>
        <v>-2.5307641862698516E-4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1.0601080000000001</v>
      </c>
      <c r="J8" s="28">
        <f t="shared" si="1"/>
        <v>4.4514972305416962E-2</v>
      </c>
      <c r="K8" s="28">
        <f t="shared" si="2"/>
        <v>1.2690412763802917E-2</v>
      </c>
      <c r="L8" s="28">
        <f t="shared" si="3"/>
        <v>9.8496390818704448E-3</v>
      </c>
      <c r="M8" s="28">
        <f t="shared" si="4"/>
        <v>3.1821972897334398E-2</v>
      </c>
      <c r="N8" s="25">
        <f t="shared" si="5"/>
        <v>3022176</v>
      </c>
      <c r="O8" s="28">
        <f t="shared" si="6"/>
        <v>0.408892774088775</v>
      </c>
      <c r="P8" s="29">
        <v>25926308</v>
      </c>
      <c r="Q8" s="29">
        <v>810197.125</v>
      </c>
      <c r="R8" s="29">
        <v>24362.6875</v>
      </c>
      <c r="S8" s="30">
        <v>10601080</v>
      </c>
      <c r="T8" s="30">
        <v>2345656</v>
      </c>
      <c r="U8" s="30">
        <v>676520</v>
      </c>
      <c r="V8" s="30">
        <v>7578288</v>
      </c>
      <c r="W8" s="31">
        <v>70.749765999999994</v>
      </c>
      <c r="X8" s="31">
        <v>73.293744000000004</v>
      </c>
      <c r="Y8" s="31">
        <v>39.614122000000002</v>
      </c>
      <c r="Z8" s="31">
        <v>47.886353</v>
      </c>
      <c r="AA8" s="31">
        <v>47.917003000000001</v>
      </c>
      <c r="AB8" s="32">
        <v>3224.01</v>
      </c>
      <c r="AC8" s="32">
        <v>1336.03</v>
      </c>
      <c r="AD8" s="32">
        <v>12.337</v>
      </c>
      <c r="AE8" s="32">
        <v>19.082000000000001</v>
      </c>
      <c r="AG8" s="27">
        <f t="shared" si="7"/>
        <v>1.0606591999999999</v>
      </c>
      <c r="AH8" s="28">
        <f t="shared" si="8"/>
        <v>4.4538117732802425E-2</v>
      </c>
      <c r="AI8" s="28">
        <f t="shared" si="9"/>
        <v>1.2688867495791695E-2</v>
      </c>
      <c r="AJ8" s="28">
        <f t="shared" si="10"/>
        <v>9.8496390818704448E-3</v>
      </c>
      <c r="AK8" s="28">
        <f t="shared" si="11"/>
        <v>3.1849250237010733E-2</v>
      </c>
      <c r="AL8" s="25">
        <f t="shared" si="12"/>
        <v>3021808</v>
      </c>
      <c r="AM8" s="28">
        <f t="shared" si="13"/>
        <v>0.4091053766699061</v>
      </c>
      <c r="AN8" s="4">
        <v>25926308</v>
      </c>
      <c r="AO8" s="4">
        <v>810197.125</v>
      </c>
      <c r="AP8" s="4">
        <v>25083</v>
      </c>
      <c r="AQ8" s="4">
        <v>10606592</v>
      </c>
      <c r="AR8" s="4">
        <v>2345656</v>
      </c>
      <c r="AS8" s="4">
        <v>676152</v>
      </c>
      <c r="AT8" s="4">
        <v>7584784</v>
      </c>
      <c r="AU8" s="4">
        <v>70.776121875000001</v>
      </c>
      <c r="AV8" s="4">
        <v>73.329590624999994</v>
      </c>
      <c r="AW8" s="4">
        <v>39.610121874999997</v>
      </c>
      <c r="AX8" s="4">
        <v>47.909234374999997</v>
      </c>
      <c r="AY8" s="4">
        <v>47.953962500000003</v>
      </c>
      <c r="AZ8" s="4">
        <v>2783.5</v>
      </c>
      <c r="BA8" s="4">
        <v>1599.34</v>
      </c>
      <c r="BB8" s="4">
        <v>8.0259999999999998</v>
      </c>
      <c r="BC8" s="4">
        <v>28.007999999999999</v>
      </c>
      <c r="BE8" s="33">
        <f t="shared" si="14"/>
        <v>8.8905832639186652E-4</v>
      </c>
      <c r="BF8" s="33">
        <f t="shared" si="15"/>
        <v>-1.8284585831207512E-4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264</v>
      </c>
      <c r="C9" s="36" t="s">
        <v>270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1.9342096000000002</v>
      </c>
      <c r="J9" s="38">
        <f t="shared" si="1"/>
        <v>8.1219353855335144E-2</v>
      </c>
      <c r="K9" s="38">
        <f t="shared" si="2"/>
        <v>2.0535436121725648E-2</v>
      </c>
      <c r="L9" s="38">
        <f t="shared" si="3"/>
        <v>1.5070293464997334E-2</v>
      </c>
      <c r="M9" s="38">
        <f t="shared" si="4"/>
        <v>6.068133108932984E-2</v>
      </c>
      <c r="N9" s="35">
        <f t="shared" si="5"/>
        <v>4890440</v>
      </c>
      <c r="O9" s="38">
        <f t="shared" si="6"/>
        <v>0.77393100260499192</v>
      </c>
      <c r="P9" s="39">
        <v>24992016</v>
      </c>
      <c r="Q9" s="39">
        <v>781000.5</v>
      </c>
      <c r="R9" s="39">
        <v>10306.34375</v>
      </c>
      <c r="S9" s="40">
        <v>19342096</v>
      </c>
      <c r="T9" s="40">
        <v>3588936</v>
      </c>
      <c r="U9" s="40">
        <v>1301504</v>
      </c>
      <c r="V9" s="40">
        <v>14451040</v>
      </c>
      <c r="W9" s="41">
        <v>72.062166000000005</v>
      </c>
      <c r="X9" s="41">
        <v>75.321166000000005</v>
      </c>
      <c r="Y9" s="41">
        <v>42.039611999999998</v>
      </c>
      <c r="Z9" s="41">
        <v>49.434652999999997</v>
      </c>
      <c r="AA9" s="41">
        <v>49.581252999999997</v>
      </c>
      <c r="AB9" s="42">
        <v>2931.28</v>
      </c>
      <c r="AC9" s="42">
        <v>1421.38</v>
      </c>
      <c r="AD9" s="42">
        <v>12.749000000000001</v>
      </c>
      <c r="AE9" s="42">
        <v>20.763999999999999</v>
      </c>
      <c r="AG9" s="37">
        <f t="shared" si="7"/>
        <v>1.9354016000000001</v>
      </c>
      <c r="AH9" s="38">
        <f t="shared" si="8"/>
        <v>8.1269407101785554E-2</v>
      </c>
      <c r="AI9" s="38">
        <f t="shared" si="9"/>
        <v>2.0533890853714428E-2</v>
      </c>
      <c r="AJ9" s="38">
        <f t="shared" si="10"/>
        <v>1.5070293464997334E-2</v>
      </c>
      <c r="AK9" s="38">
        <f t="shared" si="11"/>
        <v>6.0735516248071129E-2</v>
      </c>
      <c r="AL9" s="35">
        <f t="shared" si="12"/>
        <v>4890072</v>
      </c>
      <c r="AM9" s="38">
        <f t="shared" si="13"/>
        <v>0.77440795492448466</v>
      </c>
      <c r="AN9" s="4">
        <v>24992016</v>
      </c>
      <c r="AO9" s="4">
        <v>781000.5</v>
      </c>
      <c r="AP9" s="4">
        <v>10627.8125</v>
      </c>
      <c r="AQ9" s="4">
        <v>19354016</v>
      </c>
      <c r="AR9" s="4">
        <v>3588936</v>
      </c>
      <c r="AS9" s="4">
        <v>1301136</v>
      </c>
      <c r="AT9" s="4">
        <v>14463944</v>
      </c>
      <c r="AU9" s="4">
        <v>72.031521874999996</v>
      </c>
      <c r="AV9" s="4">
        <v>75.292162500000003</v>
      </c>
      <c r="AW9" s="4">
        <v>42.03580625</v>
      </c>
      <c r="AX9" s="4">
        <v>49.433799999999998</v>
      </c>
      <c r="AY9" s="4">
        <v>49.586678124999999</v>
      </c>
      <c r="AZ9" s="4">
        <v>2849.95</v>
      </c>
      <c r="BA9" s="4">
        <v>1817.12</v>
      </c>
      <c r="BB9" s="4">
        <v>7.6230000000000002</v>
      </c>
      <c r="BC9" s="4">
        <v>27.382999999999999</v>
      </c>
      <c r="BE9" s="43">
        <f t="shared" si="14"/>
        <v>4.1161145223338538E-4</v>
      </c>
      <c r="BF9" s="43">
        <f t="shared" si="15"/>
        <v>-1.7473599357037406E-4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0.34815600000000002</v>
      </c>
      <c r="J10" s="28">
        <f t="shared" si="1"/>
        <v>1.596158158681308E-2</v>
      </c>
      <c r="K10" s="28">
        <f t="shared" si="2"/>
        <v>8.272023318114061E-3</v>
      </c>
      <c r="L10" s="28">
        <f t="shared" si="3"/>
        <v>4.1984356571745547E-3</v>
      </c>
      <c r="M10" s="28">
        <f t="shared" si="4"/>
        <v>7.6867341512753722E-3</v>
      </c>
      <c r="N10" s="25">
        <f t="shared" si="5"/>
        <v>1804304</v>
      </c>
      <c r="O10" s="28">
        <f t="shared" si="6"/>
        <v>0.16850942082836382</v>
      </c>
      <c r="P10" s="29">
        <v>20660922</v>
      </c>
      <c r="Q10" s="29">
        <v>645653.8125</v>
      </c>
      <c r="R10" s="29">
        <v>18447.71875</v>
      </c>
      <c r="S10" s="30">
        <v>3481560</v>
      </c>
      <c r="T10" s="30">
        <v>915768</v>
      </c>
      <c r="U10" s="30">
        <v>888536</v>
      </c>
      <c r="V10" s="30">
        <v>1676640</v>
      </c>
      <c r="W10" s="31">
        <v>65.910393999999997</v>
      </c>
      <c r="X10" s="31">
        <v>67.841155999999998</v>
      </c>
      <c r="Y10" s="31">
        <v>32.503644000000001</v>
      </c>
      <c r="Z10" s="31">
        <v>39.236006000000003</v>
      </c>
      <c r="AA10" s="31">
        <v>32.222727999999996</v>
      </c>
      <c r="AB10" s="32">
        <v>2220.0100000000002</v>
      </c>
      <c r="AC10" s="32">
        <v>735.18299999999999</v>
      </c>
      <c r="AD10" s="32">
        <v>7.9649999999999999</v>
      </c>
      <c r="AE10" s="32">
        <v>11.792999999999999</v>
      </c>
      <c r="AG10" s="27">
        <f t="shared" si="7"/>
        <v>0.347856</v>
      </c>
      <c r="AH10" s="28">
        <f t="shared" si="8"/>
        <v>1.5947827768191418E-2</v>
      </c>
      <c r="AI10" s="28">
        <f t="shared" si="9"/>
        <v>8.2618271539092007E-3</v>
      </c>
      <c r="AJ10" s="28">
        <f t="shared" si="10"/>
        <v>4.1984356571745547E-3</v>
      </c>
      <c r="AK10" s="28">
        <f t="shared" si="11"/>
        <v>7.6860006142822164E-3</v>
      </c>
      <c r="AL10" s="25">
        <f t="shared" si="12"/>
        <v>1802080</v>
      </c>
      <c r="AM10" s="28">
        <f t="shared" si="13"/>
        <v>0.16836421917666597</v>
      </c>
      <c r="AN10" s="4">
        <v>20660922</v>
      </c>
      <c r="AO10" s="4">
        <v>645653.8125</v>
      </c>
      <c r="AP10" s="4">
        <v>19143.5</v>
      </c>
      <c r="AQ10" s="4">
        <v>3478560</v>
      </c>
      <c r="AR10" s="4">
        <v>915768</v>
      </c>
      <c r="AS10" s="4">
        <v>886312</v>
      </c>
      <c r="AT10" s="4">
        <v>1676480</v>
      </c>
      <c r="AU10" s="4">
        <v>65.90800625</v>
      </c>
      <c r="AV10" s="4">
        <v>67.863765624999999</v>
      </c>
      <c r="AW10" s="4">
        <v>32.515584375000003</v>
      </c>
      <c r="AX10" s="4">
        <v>39.220893750000002</v>
      </c>
      <c r="AY10" s="4">
        <v>32.216518749999999</v>
      </c>
      <c r="AZ10" s="4">
        <v>2605.96</v>
      </c>
      <c r="BA10" s="4">
        <v>1337.87</v>
      </c>
      <c r="BB10" s="4">
        <v>6.3929999999999998</v>
      </c>
      <c r="BC10" s="4">
        <v>21.236000000000001</v>
      </c>
      <c r="BE10" s="33">
        <f t="shared" si="14"/>
        <v>1.0776382583507146E-3</v>
      </c>
      <c r="BF10" s="33">
        <f t="shared" si="15"/>
        <v>-1.9239641361612492E-4</v>
      </c>
      <c r="BG10" s="33">
        <f t="array" ref="BG10">AVERAGE(AL10:AL14/AQ10:AQ14) - AVERAGE(N10:N14/S10:S14)</f>
        <v>-1.95821902594151E-4</v>
      </c>
      <c r="BI10" s="34">
        <f>IF( OR(ISBLANK(N10:N14),ISBLANK(AL10:AL14), ISBLANK(W10:W14),ISBLANK(AU10:AU14)), "·", bdRateExtend( N10:N14,W10:W14, AL10:AL14,AU10:AU14))</f>
        <v>-1.1316920602076896E-3</v>
      </c>
      <c r="BJ10" s="34">
        <f>IF( OR(ISBLANK(N10:N14),ISBLANK(AL10:AL14), ISBLANK(X10:X14),ISBLANK(AV10:AV14)), "·", bdRateExtend( N10:N14,X10:X14, AL10:AL14,AV10:AV14))</f>
        <v>-4.6242431739983436E-3</v>
      </c>
      <c r="BK10" s="34">
        <f>IF( OR(ISBLANK(V10:V14),ISBLANK(AT10:AT14), ISBLANK(Y10:Y14),ISBLANK(AW10:AW14)), "·", bdRateExtend( V10:V14,Y10:Y14, AT10:AT14,AW10:AW14))</f>
        <v>1.307232831330829E-3</v>
      </c>
      <c r="BL10" s="34">
        <f>IF( OR(ISBLANK(V10:V14),ISBLANK(AT10:AT14), ISBLANK(Z10:Z14),ISBLANK(AX10:AX14)), "·", bdRateExtend( V10:V14,Z10:Z14, AT10:AT14,AX10:AX14))</f>
        <v>2.9398660664727849E-3</v>
      </c>
      <c r="BM10" s="34">
        <f>IF( OR(ISBLANK(V10:V14),ISBLANK(AT10:AT14), ISBLANK(AA10:AA14),ISBLANK(AY10:AY14)), "·", bdRateExtend( V10:V14,AA10:AA14, AT10:AT14,AY10:AY14))</f>
        <v>1.2125053089815374E-3</v>
      </c>
      <c r="BO10" s="34">
        <f>IF( OR(ISBLANK(S10:S14),ISBLANK(AQ10:AQ14), ISBLANK(W10:W14),ISBLANK(AU10:AU14)), "·", bdRateExtend( S10:S14,W10:W14, AQ10:AQ14,AU10:AU14))</f>
        <v>-1.6217585812068336E-3</v>
      </c>
      <c r="BP10" s="34">
        <f>IF( OR(ISBLANK(S10:S14),ISBLANK(AQ10:AQ14), ISBLANK(X10:X14),ISBLANK(AV10:AV14)), "·", bdRateExtend( S10:S14,X10:X14, AQ10:AQ14,AV10:AV14))</f>
        <v>-7.8923989374426462E-3</v>
      </c>
      <c r="BQ10" s="34">
        <f>IF( OR(ISBLANK(S10:S14),ISBLANK(AQ10:AQ14), ISBLANK(Y10:Y14),ISBLANK(AW10:AW14)), "·", bdRateExtend( S10:S14,Y10:Y14, AQ10:AQ14,AW10:AW14))</f>
        <v>7.863506128689135E-4</v>
      </c>
      <c r="BR10" s="34">
        <f>IF( OR(ISBLANK(S10:S14),ISBLANK(AQ10:AQ14), ISBLANK(Z10:Z14),ISBLANK(AX10:AX14)), "·", bdRateExtend( S10:S14,Z10:Z14, AQ10:AQ14,AX10:AX14))</f>
        <v>2.0938962692327312E-3</v>
      </c>
      <c r="BS10" s="34">
        <f>IF( OR(ISBLANK(S10:S14),ISBLANK(AQ10:AQ14), ISBLANK(AA10:AA14),ISBLANK(AY10:AY14)), "·", bdRateExtend( S10:S14,AA10:AA14, AQ10:AQ14,AY10:AY14))</f>
        <v>5.9701780506205004E-4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0.50205840000000002</v>
      </c>
      <c r="J11" s="18">
        <f t="shared" si="1"/>
        <v>2.3017400570275497E-2</v>
      </c>
      <c r="K11" s="18">
        <f t="shared" si="2"/>
        <v>9.9361620176360455E-3</v>
      </c>
      <c r="L11" s="18">
        <f t="shared" si="3"/>
        <v>5.8625743566965384E-3</v>
      </c>
      <c r="M11" s="18">
        <f t="shared" si="4"/>
        <v>1.3078414435215806E-2</v>
      </c>
      <c r="N11" s="15">
        <f t="shared" si="5"/>
        <v>2167288</v>
      </c>
      <c r="O11" s="18">
        <f t="shared" si="6"/>
        <v>0.22605456709710045</v>
      </c>
      <c r="P11" s="19">
        <v>22209611</v>
      </c>
      <c r="Q11" s="19">
        <v>694050.34375</v>
      </c>
      <c r="R11" s="19">
        <v>23853.375</v>
      </c>
      <c r="S11" s="20">
        <v>5020584</v>
      </c>
      <c r="T11" s="20">
        <v>1278752</v>
      </c>
      <c r="U11" s="20">
        <v>888536</v>
      </c>
      <c r="V11" s="20">
        <v>2852680</v>
      </c>
      <c r="W11" s="21">
        <v>67.633172000000002</v>
      </c>
      <c r="X11" s="21">
        <v>69.747608999999997</v>
      </c>
      <c r="Y11" s="21">
        <v>34.396752999999997</v>
      </c>
      <c r="Z11" s="21">
        <v>40.080587000000001</v>
      </c>
      <c r="AA11" s="21">
        <v>33.994297000000003</v>
      </c>
      <c r="AB11" s="22">
        <v>2242.34</v>
      </c>
      <c r="AC11" s="22">
        <v>786.92399999999998</v>
      </c>
      <c r="AD11" s="22">
        <v>8.4429999999999996</v>
      </c>
      <c r="AE11" s="22">
        <v>12.372999999999999</v>
      </c>
      <c r="AG11" s="17">
        <f t="shared" si="7"/>
        <v>0.50183999999999995</v>
      </c>
      <c r="AH11" s="18">
        <f t="shared" si="8"/>
        <v>2.3007387790318929E-2</v>
      </c>
      <c r="AI11" s="18">
        <f t="shared" si="9"/>
        <v>9.9259658534311852E-3</v>
      </c>
      <c r="AJ11" s="18">
        <f t="shared" si="10"/>
        <v>5.8625743566965384E-3</v>
      </c>
      <c r="AK11" s="18">
        <f t="shared" si="11"/>
        <v>1.3081421936887742E-2</v>
      </c>
      <c r="AL11" s="15">
        <f t="shared" si="12"/>
        <v>2165064</v>
      </c>
      <c r="AM11" s="18">
        <f t="shared" si="13"/>
        <v>0.22595623129103881</v>
      </c>
      <c r="AN11" s="4">
        <v>22209611</v>
      </c>
      <c r="AO11" s="4">
        <v>694050.34375</v>
      </c>
      <c r="AP11" s="4">
        <v>24703.375</v>
      </c>
      <c r="AQ11" s="4">
        <v>5018400</v>
      </c>
      <c r="AR11" s="4">
        <v>1278752</v>
      </c>
      <c r="AS11" s="4">
        <v>886312</v>
      </c>
      <c r="AT11" s="4">
        <v>2853336</v>
      </c>
      <c r="AU11" s="4">
        <v>67.629121874999996</v>
      </c>
      <c r="AV11" s="4">
        <v>69.776325</v>
      </c>
      <c r="AW11" s="4">
        <v>34.395803125</v>
      </c>
      <c r="AX11" s="4">
        <v>40.088459374999999</v>
      </c>
      <c r="AY11" s="4">
        <v>33.993225000000002</v>
      </c>
      <c r="AZ11" s="4">
        <v>2545.98</v>
      </c>
      <c r="BA11" s="4">
        <v>1446.98</v>
      </c>
      <c r="BB11" s="4">
        <v>6.9550000000000001</v>
      </c>
      <c r="BC11" s="4">
        <v>25.064</v>
      </c>
      <c r="BE11" s="23">
        <f t="shared" si="14"/>
        <v>1.2246950205476378E-3</v>
      </c>
      <c r="BF11" s="23">
        <f t="shared" si="15"/>
        <v>-2.5530246292965186E-4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0.77878000000000003</v>
      </c>
      <c r="J12" s="28">
        <f t="shared" si="1"/>
        <v>3.5703996220597348E-2</v>
      </c>
      <c r="K12" s="28">
        <f t="shared" si="2"/>
        <v>1.2420101660708498E-2</v>
      </c>
      <c r="L12" s="28">
        <f t="shared" si="3"/>
        <v>8.3465139997689914E-3</v>
      </c>
      <c r="M12" s="28">
        <f t="shared" si="4"/>
        <v>2.3281070442465204E-2</v>
      </c>
      <c r="N12" s="25">
        <f t="shared" si="5"/>
        <v>2709088</v>
      </c>
      <c r="O12" s="28">
        <f t="shared" si="6"/>
        <v>0.34279915551627438</v>
      </c>
      <c r="P12" s="29">
        <v>22718259</v>
      </c>
      <c r="Q12" s="29">
        <v>709945.59375</v>
      </c>
      <c r="R12" s="29">
        <v>25700.59375</v>
      </c>
      <c r="S12" s="30">
        <v>7787800</v>
      </c>
      <c r="T12" s="30">
        <v>1820552</v>
      </c>
      <c r="U12" s="30">
        <v>888536</v>
      </c>
      <c r="V12" s="30">
        <v>5078096</v>
      </c>
      <c r="W12" s="31">
        <v>69.019672</v>
      </c>
      <c r="X12" s="31">
        <v>71.363140999999999</v>
      </c>
      <c r="Y12" s="31">
        <v>36.512413000000002</v>
      </c>
      <c r="Z12" s="31">
        <v>41.018808999999997</v>
      </c>
      <c r="AA12" s="31">
        <v>35.786293999999998</v>
      </c>
      <c r="AB12" s="32">
        <v>2272.91</v>
      </c>
      <c r="AC12" s="32">
        <v>824.87</v>
      </c>
      <c r="AD12" s="32">
        <v>8.266</v>
      </c>
      <c r="AE12" s="32">
        <v>12.503</v>
      </c>
      <c r="AG12" s="27">
        <f t="shared" si="7"/>
        <v>0.77866639999999998</v>
      </c>
      <c r="AH12" s="28">
        <f t="shared" si="8"/>
        <v>3.5698788107945946E-2</v>
      </c>
      <c r="AI12" s="28">
        <f t="shared" si="9"/>
        <v>1.2409905496503637E-2</v>
      </c>
      <c r="AJ12" s="28">
        <f t="shared" si="10"/>
        <v>8.3465139997689914E-3</v>
      </c>
      <c r="AK12" s="28">
        <f t="shared" si="11"/>
        <v>2.328888261144231E-2</v>
      </c>
      <c r="AL12" s="25">
        <f t="shared" si="12"/>
        <v>2706864</v>
      </c>
      <c r="AM12" s="28">
        <f t="shared" si="13"/>
        <v>0.34274915168455472</v>
      </c>
      <c r="AN12" s="4">
        <v>22718259</v>
      </c>
      <c r="AO12" s="4">
        <v>709945.59375</v>
      </c>
      <c r="AP12" s="4">
        <v>26579.5</v>
      </c>
      <c r="AQ12" s="4">
        <v>7786664</v>
      </c>
      <c r="AR12" s="4">
        <v>1820552</v>
      </c>
      <c r="AS12" s="4">
        <v>886312</v>
      </c>
      <c r="AT12" s="4">
        <v>5079800</v>
      </c>
      <c r="AU12" s="4">
        <v>69.018071875000004</v>
      </c>
      <c r="AV12" s="4">
        <v>71.395600000000002</v>
      </c>
      <c r="AW12" s="4">
        <v>36.505284375000002</v>
      </c>
      <c r="AX12" s="4">
        <v>41.010896875</v>
      </c>
      <c r="AY12" s="4">
        <v>35.785106249999998</v>
      </c>
      <c r="AZ12" s="4">
        <v>2558.77</v>
      </c>
      <c r="BA12" s="4">
        <v>1490.11</v>
      </c>
      <c r="BB12" s="4">
        <v>9.2349999999999994</v>
      </c>
      <c r="BC12" s="4">
        <v>22.776</v>
      </c>
      <c r="BE12" s="33">
        <f t="shared" si="14"/>
        <v>1.237990992179458E-3</v>
      </c>
      <c r="BF12" s="33">
        <f t="shared" si="15"/>
        <v>-2.3486663286015341E-4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1.349424</v>
      </c>
      <c r="J13" s="18">
        <f t="shared" si="1"/>
        <v>6.1865776465732762E-2</v>
      </c>
      <c r="K13" s="18">
        <f t="shared" si="2"/>
        <v>1.6740267781897189E-2</v>
      </c>
      <c r="L13" s="18">
        <f t="shared" si="3"/>
        <v>1.2666680120957683E-2</v>
      </c>
      <c r="M13" s="18">
        <f t="shared" si="4"/>
        <v>4.5122684566411921E-2</v>
      </c>
      <c r="N13" s="15">
        <f t="shared" si="5"/>
        <v>3651408</v>
      </c>
      <c r="O13" s="18">
        <f t="shared" si="6"/>
        <v>0.57206919904741615</v>
      </c>
      <c r="P13" s="19">
        <v>23588475</v>
      </c>
      <c r="Q13" s="19">
        <v>737139.84375</v>
      </c>
      <c r="R13" s="19">
        <v>29305.53125</v>
      </c>
      <c r="S13" s="20">
        <v>13494240</v>
      </c>
      <c r="T13" s="20">
        <v>2762872</v>
      </c>
      <c r="U13" s="20">
        <v>888536</v>
      </c>
      <c r="V13" s="20">
        <v>9842216</v>
      </c>
      <c r="W13" s="21">
        <v>70.058049999999994</v>
      </c>
      <c r="X13" s="21">
        <v>72.60575</v>
      </c>
      <c r="Y13" s="21">
        <v>38.843421999999997</v>
      </c>
      <c r="Z13" s="21">
        <v>42.199858999999996</v>
      </c>
      <c r="AA13" s="21">
        <v>37.872881</v>
      </c>
      <c r="AB13" s="22">
        <v>2367</v>
      </c>
      <c r="AC13" s="22">
        <v>988.53</v>
      </c>
      <c r="AD13" s="22">
        <v>9.5190000000000001</v>
      </c>
      <c r="AE13" s="22">
        <v>14.009</v>
      </c>
      <c r="AG13" s="17">
        <f t="shared" si="7"/>
        <v>1.3490056000000001</v>
      </c>
      <c r="AH13" s="18">
        <f t="shared" si="8"/>
        <v>6.1846594473361743E-2</v>
      </c>
      <c r="AI13" s="18">
        <f t="shared" si="9"/>
        <v>1.673007161769233E-2</v>
      </c>
      <c r="AJ13" s="18">
        <f t="shared" si="10"/>
        <v>1.2666680120957683E-2</v>
      </c>
      <c r="AK13" s="18">
        <f t="shared" si="11"/>
        <v>4.5116522855669416E-2</v>
      </c>
      <c r="AL13" s="15">
        <f t="shared" si="12"/>
        <v>3649184</v>
      </c>
      <c r="AM13" s="18">
        <f t="shared" si="13"/>
        <v>0.5718918242913118</v>
      </c>
      <c r="AN13" s="4">
        <v>23588475</v>
      </c>
      <c r="AO13" s="4">
        <v>737139.84375</v>
      </c>
      <c r="AP13" s="4">
        <v>30261.78125</v>
      </c>
      <c r="AQ13" s="4">
        <v>13490056</v>
      </c>
      <c r="AR13" s="4">
        <v>2762872</v>
      </c>
      <c r="AS13" s="4">
        <v>886312</v>
      </c>
      <c r="AT13" s="4">
        <v>9840872</v>
      </c>
      <c r="AU13" s="4">
        <v>70.088696874999997</v>
      </c>
      <c r="AV13" s="4">
        <v>72.644843750000007</v>
      </c>
      <c r="AW13" s="4">
        <v>38.837850000000003</v>
      </c>
      <c r="AX13" s="4">
        <v>42.186446875000001</v>
      </c>
      <c r="AY13" s="4">
        <v>37.867134374999999</v>
      </c>
      <c r="AZ13" s="4">
        <v>2575.11</v>
      </c>
      <c r="BA13" s="4">
        <v>1690.89</v>
      </c>
      <c r="BB13" s="4">
        <v>6.8650000000000002</v>
      </c>
      <c r="BC13" s="4">
        <v>22.975999999999999</v>
      </c>
      <c r="BE13" s="23">
        <f t="shared" si="14"/>
        <v>1.2972436751422026E-3</v>
      </c>
      <c r="BF13" s="23">
        <f t="shared" si="15"/>
        <v>-8.0937465671226949E-5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273</v>
      </c>
      <c r="C14" s="46" t="s">
        <v>270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2.4401999999999999</v>
      </c>
      <c r="J14" s="48">
        <f t="shared" si="1"/>
        <v>0.111873560668612</v>
      </c>
      <c r="K14" s="48">
        <f t="shared" si="2"/>
        <v>2.7443892878622065E-2</v>
      </c>
      <c r="L14" s="48">
        <f t="shared" si="3"/>
        <v>1.989649407919656E-2</v>
      </c>
      <c r="M14" s="48">
        <f t="shared" si="4"/>
        <v>8.4426843672566282E-2</v>
      </c>
      <c r="N14" s="45">
        <f t="shared" si="5"/>
        <v>5986096</v>
      </c>
      <c r="O14" s="48">
        <f t="shared" si="6"/>
        <v>1.0899080331474611</v>
      </c>
      <c r="P14" s="49">
        <v>22389045</v>
      </c>
      <c r="Q14" s="49">
        <v>699657.65625</v>
      </c>
      <c r="R14" s="49">
        <v>13460.21875</v>
      </c>
      <c r="S14" s="50">
        <v>24402000</v>
      </c>
      <c r="T14" s="50">
        <v>4339848</v>
      </c>
      <c r="U14" s="50">
        <v>1646248</v>
      </c>
      <c r="V14" s="50">
        <v>18415288</v>
      </c>
      <c r="W14" s="51">
        <v>71.168830999999997</v>
      </c>
      <c r="X14" s="51">
        <v>74.761062999999993</v>
      </c>
      <c r="Y14" s="51">
        <v>41.099753</v>
      </c>
      <c r="Z14" s="51">
        <v>43.515152999999998</v>
      </c>
      <c r="AA14" s="51">
        <v>39.698256000000001</v>
      </c>
      <c r="AB14" s="52">
        <v>2309.71</v>
      </c>
      <c r="AC14" s="52">
        <v>1120.55</v>
      </c>
      <c r="AD14" s="52">
        <v>7.9870000000000001</v>
      </c>
      <c r="AE14" s="52">
        <v>15.079000000000001</v>
      </c>
      <c r="AG14" s="47">
        <f t="shared" si="7"/>
        <v>2.4414392</v>
      </c>
      <c r="AH14" s="48">
        <f t="shared" si="8"/>
        <v>0.11193037310873188</v>
      </c>
      <c r="AI14" s="48">
        <f t="shared" si="9"/>
        <v>2.7433696714417206E-2</v>
      </c>
      <c r="AJ14" s="48">
        <f t="shared" si="10"/>
        <v>1.989649407919656E-2</v>
      </c>
      <c r="AK14" s="48">
        <f t="shared" si="11"/>
        <v>8.4496676394314685E-2</v>
      </c>
      <c r="AL14" s="45">
        <f t="shared" si="12"/>
        <v>5983872</v>
      </c>
      <c r="AM14" s="48">
        <f t="shared" si="13"/>
        <v>1.0904615181219208</v>
      </c>
      <c r="AN14" s="4">
        <v>22389045</v>
      </c>
      <c r="AO14" s="4">
        <v>699657.65625</v>
      </c>
      <c r="AP14" s="4">
        <v>14006.5</v>
      </c>
      <c r="AQ14" s="4">
        <v>24414392</v>
      </c>
      <c r="AR14" s="4">
        <v>4339848</v>
      </c>
      <c r="AS14" s="4">
        <v>1644024</v>
      </c>
      <c r="AT14" s="4">
        <v>18430520</v>
      </c>
      <c r="AU14" s="4">
        <v>71.117806250000001</v>
      </c>
      <c r="AV14" s="4">
        <v>74.714621875000006</v>
      </c>
      <c r="AW14" s="4">
        <v>41.086268750000002</v>
      </c>
      <c r="AX14" s="4">
        <v>43.520265625</v>
      </c>
      <c r="AY14" s="4">
        <v>39.694225000000003</v>
      </c>
      <c r="AZ14" s="4">
        <v>2575.88</v>
      </c>
      <c r="BA14" s="4">
        <v>1822.86</v>
      </c>
      <c r="BB14" s="4">
        <v>6.7240000000000002</v>
      </c>
      <c r="BC14" s="4">
        <v>26.17</v>
      </c>
      <c r="BE14" s="53">
        <f t="shared" si="14"/>
        <v>7.8078363771210552E-4</v>
      </c>
      <c r="BF14" s="53">
        <f t="shared" si="15"/>
        <v>-2.1560653789334805E-4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0.48421920000000002</v>
      </c>
      <c r="J15" s="18">
        <f t="shared" si="1"/>
        <v>1.5010373672682374E-2</v>
      </c>
      <c r="K15" s="18">
        <f t="shared" si="2"/>
        <v>8.3804534567538461E-3</v>
      </c>
      <c r="L15" s="18">
        <f t="shared" si="3"/>
        <v>4.3579320188098748E-3</v>
      </c>
      <c r="M15" s="18">
        <f t="shared" si="4"/>
        <v>6.6280106695531735E-3</v>
      </c>
      <c r="N15" s="15">
        <f t="shared" si="5"/>
        <v>2703448</v>
      </c>
      <c r="O15" s="18">
        <f t="shared" si="6"/>
        <v>0.15672859477185533</v>
      </c>
      <c r="P15" s="19">
        <v>30895396</v>
      </c>
      <c r="Q15" s="19">
        <v>965481.125</v>
      </c>
      <c r="R15" s="19">
        <v>29621.5625</v>
      </c>
      <c r="S15" s="20">
        <v>4842192</v>
      </c>
      <c r="T15" s="20">
        <v>1405824</v>
      </c>
      <c r="U15" s="20">
        <v>1297624</v>
      </c>
      <c r="V15" s="20">
        <v>2138128</v>
      </c>
      <c r="W15" s="21">
        <v>65.996244000000004</v>
      </c>
      <c r="X15" s="21">
        <v>67.799565999999999</v>
      </c>
      <c r="Y15" s="21">
        <v>29.587181000000001</v>
      </c>
      <c r="Z15" s="21">
        <v>43.179969</v>
      </c>
      <c r="AA15" s="21">
        <v>43.414346999999999</v>
      </c>
      <c r="AB15" s="22">
        <v>4244.13</v>
      </c>
      <c r="AC15" s="22">
        <v>1443.1</v>
      </c>
      <c r="AD15" s="22">
        <v>15.61</v>
      </c>
      <c r="AE15" s="22">
        <v>23.074999999999999</v>
      </c>
      <c r="AG15" s="17">
        <f t="shared" si="7"/>
        <v>0.48409840000000004</v>
      </c>
      <c r="AH15" s="18">
        <f t="shared" si="8"/>
        <v>1.5006628977842393E-2</v>
      </c>
      <c r="AI15" s="18">
        <f t="shared" si="9"/>
        <v>8.3707569290556155E-3</v>
      </c>
      <c r="AJ15" s="18">
        <f t="shared" si="10"/>
        <v>4.3579320188098748E-3</v>
      </c>
      <c r="AK15" s="18">
        <f t="shared" si="11"/>
        <v>6.6358720487867768E-3</v>
      </c>
      <c r="AL15" s="15">
        <f t="shared" si="12"/>
        <v>2700320</v>
      </c>
      <c r="AM15" s="18">
        <f t="shared" si="13"/>
        <v>0.15668949509499733</v>
      </c>
      <c r="AN15" s="4">
        <v>30895396</v>
      </c>
      <c r="AO15" s="4">
        <v>965481.125</v>
      </c>
      <c r="AP15" s="4">
        <v>30811</v>
      </c>
      <c r="AQ15" s="4">
        <v>4840984</v>
      </c>
      <c r="AR15" s="4">
        <v>1405824</v>
      </c>
      <c r="AS15" s="4">
        <v>1294496</v>
      </c>
      <c r="AT15" s="4">
        <v>2140664</v>
      </c>
      <c r="AU15" s="4">
        <v>65.995056250000005</v>
      </c>
      <c r="AV15" s="4">
        <v>67.8233125</v>
      </c>
      <c r="AW15" s="4">
        <v>29.587062499999998</v>
      </c>
      <c r="AX15" s="4">
        <v>43.162765624999999</v>
      </c>
      <c r="AY15" s="4">
        <v>43.442771874999998</v>
      </c>
      <c r="AZ15" s="4">
        <v>3906.78</v>
      </c>
      <c r="BA15" s="4">
        <v>1538.39</v>
      </c>
      <c r="BB15" s="4">
        <v>8.5960000000000001</v>
      </c>
      <c r="BC15" s="4">
        <v>28.527000000000001</v>
      </c>
      <c r="BE15" s="23">
        <f t="shared" si="14"/>
        <v>1.2319634938487249E-3</v>
      </c>
      <c r="BF15" s="23">
        <f t="shared" si="15"/>
        <v>-5.0683096161263652E-4</v>
      </c>
      <c r="BG15" s="23">
        <f t="array" ref="BG15">AVERAGE(AL15:AL19/AQ15:AQ19) - AVERAGE(N15:N19/S15:S19)</f>
        <v>-2.3586614797183048E-4</v>
      </c>
      <c r="BI15" s="24">
        <f>IF( OR(ISBLANK(N15:N19),ISBLANK(AL15:AL19), ISBLANK(W15:W19),ISBLANK(AU15:AU19)), "·", bdRateExtend( N15:N19,W15:W19, AL15:AL19,AU15:AU19))</f>
        <v>-1.2308624958820014E-3</v>
      </c>
      <c r="BJ15" s="24">
        <f>IF( OR(ISBLANK(N15:N19),ISBLANK(AL15:AL19), ISBLANK(X15:X19),ISBLANK(AV15:AV19)), "·", bdRateExtend( N15:N19,X15:X19, AL15:AL19,AV15:AV19))</f>
        <v>-4.6584576249096843E-3</v>
      </c>
      <c r="BK15" s="24">
        <f>IF( OR(ISBLANK(V15:V19),ISBLANK(AT15:AT19), ISBLANK(Y15:Y19),ISBLANK(AW15:AW19)), "·", bdRateExtend( V15:V19,Y15:Y19, AT15:AT19,AW15:AW19))</f>
        <v>9.2003447171262742E-4</v>
      </c>
      <c r="BL15" s="24">
        <f>IF( OR(ISBLANK(V15:V19),ISBLANK(AT15:AT19), ISBLANK(Z15:Z19),ISBLANK(AX15:AX19)), "·", bdRateExtend( V15:V19,Z15:Z19, AT15:AT19,AX15:AX19))</f>
        <v>6.281988682268036E-3</v>
      </c>
      <c r="BM15" s="24">
        <f>IF( OR(ISBLANK(V15:V19),ISBLANK(AT15:AT19), ISBLANK(AA15:AA19),ISBLANK(AY15:AY19)), "·", bdRateExtend( V15:V19,AA15:AA19, AT15:AT19,AY15:AY19))</f>
        <v>2.1580636493936378E-3</v>
      </c>
      <c r="BO15" s="24">
        <f>IF( OR(ISBLANK(S15:S19),ISBLANK(AQ15:AQ19), ISBLANK(W15:W19),ISBLANK(AU15:AU19)), "·", bdRateExtend( S15:S19,W15:W19, AQ15:AQ19,AU15:AU19))</f>
        <v>-1.9466582185350134E-3</v>
      </c>
      <c r="BP15" s="24">
        <f>IF( OR(ISBLANK(S15:S19),ISBLANK(AQ15:AQ19), ISBLANK(X15:X19),ISBLANK(AV15:AV19)), "·", bdRateExtend( S15:S19,X15:X19, AQ15:AQ19,AV15:AV19))</f>
        <v>-9.3520713900524521E-3</v>
      </c>
      <c r="BQ15" s="24">
        <f>IF( OR(ISBLANK(S15:S19),ISBLANK(AQ15:AQ19), ISBLANK(Y15:Y19),ISBLANK(AW15:AW19)), "·", bdRateExtend( S15:S19,Y15:Y19, AQ15:AQ19,AW15:AW19))</f>
        <v>4.3888015683246628E-4</v>
      </c>
      <c r="BR15" s="24">
        <f>IF( OR(ISBLANK(S15:S19),ISBLANK(AQ15:AQ19), ISBLANK(Z15:Z19),ISBLANK(AX15:AX19)), "·", bdRateExtend( S15:S19,Z15:Z19, AQ15:AQ19,AX15:AX19))</f>
        <v>5.0802949689607857E-3</v>
      </c>
      <c r="BS15" s="24">
        <f>IF( OR(ISBLANK(S15:S19),ISBLANK(AQ15:AQ19), ISBLANK(AA15:AA19),ISBLANK(AY15:AY19)), "·", bdRateExtend( S15:S19,AA15:AA19, AQ15:AQ19,AY15:AY19))</f>
        <v>1.6067974409272878E-3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0.77429519999999996</v>
      </c>
      <c r="J16" s="28">
        <f t="shared" si="1"/>
        <v>2.4002477152835603E-2</v>
      </c>
      <c r="K16" s="28">
        <f t="shared" si="2"/>
        <v>1.0085628771338591E-2</v>
      </c>
      <c r="L16" s="28">
        <f t="shared" si="3"/>
        <v>6.0631073333946208E-3</v>
      </c>
      <c r="M16" s="28">
        <f t="shared" si="4"/>
        <v>1.3914938835121656E-2</v>
      </c>
      <c r="N16" s="25">
        <f t="shared" si="5"/>
        <v>3253520</v>
      </c>
      <c r="O16" s="28">
        <f t="shared" si="6"/>
        <v>0.2309850375180735</v>
      </c>
      <c r="P16" s="29">
        <v>33521444</v>
      </c>
      <c r="Q16" s="29">
        <v>1047545.125</v>
      </c>
      <c r="R16" s="29">
        <v>37744.8125</v>
      </c>
      <c r="S16" s="30">
        <v>7742952</v>
      </c>
      <c r="T16" s="30">
        <v>1955896</v>
      </c>
      <c r="U16" s="30">
        <v>1297624</v>
      </c>
      <c r="V16" s="30">
        <v>4488816</v>
      </c>
      <c r="W16" s="31">
        <v>67.830736999999999</v>
      </c>
      <c r="X16" s="31">
        <v>69.850415999999996</v>
      </c>
      <c r="Y16" s="31">
        <v>32.045284000000002</v>
      </c>
      <c r="Z16" s="31">
        <v>43.979680999999999</v>
      </c>
      <c r="AA16" s="31">
        <v>44.391762</v>
      </c>
      <c r="AB16" s="32">
        <v>3557.61</v>
      </c>
      <c r="AC16" s="32">
        <v>1107.54</v>
      </c>
      <c r="AD16" s="32">
        <v>14.375</v>
      </c>
      <c r="AE16" s="32">
        <v>18.605</v>
      </c>
      <c r="AG16" s="27">
        <f t="shared" si="7"/>
        <v>0.77349760000000001</v>
      </c>
      <c r="AH16" s="28">
        <f t="shared" si="8"/>
        <v>2.3977752247170293E-2</v>
      </c>
      <c r="AI16" s="28">
        <f t="shared" si="9"/>
        <v>1.0075932243640361E-2</v>
      </c>
      <c r="AJ16" s="28">
        <f t="shared" si="10"/>
        <v>6.0631073333946208E-3</v>
      </c>
      <c r="AK16" s="28">
        <f t="shared" si="11"/>
        <v>1.3901820003529932E-2</v>
      </c>
      <c r="AL16" s="25">
        <f t="shared" si="12"/>
        <v>3250392</v>
      </c>
      <c r="AM16" s="28">
        <f t="shared" si="13"/>
        <v>0.23074710027408127</v>
      </c>
      <c r="AN16" s="4">
        <v>33521444</v>
      </c>
      <c r="AO16" s="4">
        <v>1047545.125</v>
      </c>
      <c r="AP16" s="4">
        <v>39151.9375</v>
      </c>
      <c r="AQ16" s="4">
        <v>7734976</v>
      </c>
      <c r="AR16" s="4">
        <v>1955896</v>
      </c>
      <c r="AS16" s="4">
        <v>1294496</v>
      </c>
      <c r="AT16" s="4">
        <v>4484584</v>
      </c>
      <c r="AU16" s="4">
        <v>67.829209375000005</v>
      </c>
      <c r="AV16" s="4">
        <v>69.881384374999996</v>
      </c>
      <c r="AW16" s="4">
        <v>32.041846874999997</v>
      </c>
      <c r="AX16" s="4">
        <v>43.984231250000001</v>
      </c>
      <c r="AY16" s="4">
        <v>44.377890624999999</v>
      </c>
      <c r="AZ16" s="4">
        <v>3788.37</v>
      </c>
      <c r="BA16" s="4">
        <v>1708.35</v>
      </c>
      <c r="BB16" s="4">
        <v>9.7089999999999996</v>
      </c>
      <c r="BC16" s="4">
        <v>28.32</v>
      </c>
      <c r="BE16" s="33">
        <f t="shared" si="14"/>
        <v>1.3432595564797228E-3</v>
      </c>
      <c r="BF16" s="33">
        <f t="shared" si="15"/>
        <v>2.8887576377256696E-5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1.3034680000000001</v>
      </c>
      <c r="J17" s="18">
        <f t="shared" si="1"/>
        <v>4.0406373292062661E-2</v>
      </c>
      <c r="K17" s="18">
        <f t="shared" si="2"/>
        <v>1.2606725972878539E-2</v>
      </c>
      <c r="L17" s="18">
        <f t="shared" si="3"/>
        <v>8.5842045349345687E-3</v>
      </c>
      <c r="M17" s="18">
        <f t="shared" si="4"/>
        <v>2.7797737772808768E-2</v>
      </c>
      <c r="N17" s="15">
        <f t="shared" si="5"/>
        <v>4066800</v>
      </c>
      <c r="O17" s="18">
        <f t="shared" si="6"/>
        <v>0.3839436734470496</v>
      </c>
      <c r="P17" s="19">
        <v>33949459</v>
      </c>
      <c r="Q17" s="19">
        <v>1060920.59375</v>
      </c>
      <c r="R17" s="19">
        <v>39535.09375</v>
      </c>
      <c r="S17" s="20">
        <v>13034680</v>
      </c>
      <c r="T17" s="20">
        <v>2769176</v>
      </c>
      <c r="U17" s="20">
        <v>1297624</v>
      </c>
      <c r="V17" s="20">
        <v>8967264</v>
      </c>
      <c r="W17" s="21">
        <v>69.250596999999999</v>
      </c>
      <c r="X17" s="21">
        <v>71.669684000000004</v>
      </c>
      <c r="Y17" s="21">
        <v>34.602319000000001</v>
      </c>
      <c r="Z17" s="21">
        <v>44.831874999999997</v>
      </c>
      <c r="AA17" s="21">
        <v>45.299363</v>
      </c>
      <c r="AB17" s="22">
        <v>3460.33</v>
      </c>
      <c r="AC17" s="22">
        <v>1167.69</v>
      </c>
      <c r="AD17" s="22">
        <v>12.416</v>
      </c>
      <c r="AE17" s="22">
        <v>17.228000000000002</v>
      </c>
      <c r="AG17" s="17">
        <f t="shared" si="7"/>
        <v>1.3041912</v>
      </c>
      <c r="AH17" s="18">
        <f t="shared" si="8"/>
        <v>4.04287918624954E-2</v>
      </c>
      <c r="AI17" s="18">
        <f t="shared" si="9"/>
        <v>1.2597029445180308E-2</v>
      </c>
      <c r="AJ17" s="18">
        <f t="shared" si="10"/>
        <v>8.5842045349345687E-3</v>
      </c>
      <c r="AK17" s="18">
        <f t="shared" si="11"/>
        <v>2.7831762417315092E-2</v>
      </c>
      <c r="AL17" s="15">
        <f t="shared" si="12"/>
        <v>4063672</v>
      </c>
      <c r="AM17" s="18">
        <f t="shared" si="13"/>
        <v>0.38415669598740881</v>
      </c>
      <c r="AN17" s="4">
        <v>33949459</v>
      </c>
      <c r="AO17" s="4">
        <v>1060920.59375</v>
      </c>
      <c r="AP17" s="4">
        <v>40889.5</v>
      </c>
      <c r="AQ17" s="4">
        <v>13041912</v>
      </c>
      <c r="AR17" s="4">
        <v>2769176</v>
      </c>
      <c r="AS17" s="4">
        <v>1294496</v>
      </c>
      <c r="AT17" s="4">
        <v>8978240</v>
      </c>
      <c r="AU17" s="4">
        <v>69.246168749999995</v>
      </c>
      <c r="AV17" s="4">
        <v>71.706409375000007</v>
      </c>
      <c r="AW17" s="4">
        <v>34.605525</v>
      </c>
      <c r="AX17" s="4">
        <v>44.828581249999999</v>
      </c>
      <c r="AY17" s="4">
        <v>45.284799999999997</v>
      </c>
      <c r="AZ17" s="4">
        <v>3835.14</v>
      </c>
      <c r="BA17" s="4">
        <v>1801.08</v>
      </c>
      <c r="BB17" s="4">
        <v>9.859</v>
      </c>
      <c r="BC17" s="4">
        <v>32.326000000000001</v>
      </c>
      <c r="BE17" s="23">
        <f t="shared" si="14"/>
        <v>1.2766330090856551E-3</v>
      </c>
      <c r="BF17" s="23">
        <f t="shared" si="15"/>
        <v>-4.1285149099884455E-4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2.3530199999999999</v>
      </c>
      <c r="J18" s="28">
        <f t="shared" si="1"/>
        <v>7.2941571625608978E-2</v>
      </c>
      <c r="K18" s="28">
        <f t="shared" si="2"/>
        <v>1.67432002107544E-2</v>
      </c>
      <c r="L18" s="28">
        <f t="shared" si="3"/>
        <v>1.2720678772810431E-2</v>
      </c>
      <c r="M18" s="28">
        <f t="shared" si="4"/>
        <v>5.6196461868479222E-2</v>
      </c>
      <c r="N18" s="25">
        <f t="shared" si="5"/>
        <v>5401184</v>
      </c>
      <c r="O18" s="28">
        <f t="shared" si="6"/>
        <v>0.66456631979405112</v>
      </c>
      <c r="P18" s="29">
        <v>35406850</v>
      </c>
      <c r="Q18" s="29">
        <v>1106464.0625</v>
      </c>
      <c r="R18" s="29">
        <v>45080.28125</v>
      </c>
      <c r="S18" s="30">
        <v>23530200</v>
      </c>
      <c r="T18" s="30">
        <v>4103560</v>
      </c>
      <c r="U18" s="30">
        <v>1297624</v>
      </c>
      <c r="V18" s="30">
        <v>18128400</v>
      </c>
      <c r="W18" s="31">
        <v>70.379759000000007</v>
      </c>
      <c r="X18" s="31">
        <v>72.996672000000004</v>
      </c>
      <c r="Y18" s="31">
        <v>37.257086999999999</v>
      </c>
      <c r="Z18" s="31">
        <v>46.193544000000003</v>
      </c>
      <c r="AA18" s="31">
        <v>46.690233999999997</v>
      </c>
      <c r="AB18" s="32">
        <v>4650.95</v>
      </c>
      <c r="AC18" s="32">
        <v>1960.83</v>
      </c>
      <c r="AD18" s="32">
        <v>16.806000000000001</v>
      </c>
      <c r="AE18" s="32">
        <v>26.33</v>
      </c>
      <c r="AG18" s="27">
        <f t="shared" si="7"/>
        <v>2.3520816</v>
      </c>
      <c r="AH18" s="28">
        <f t="shared" si="8"/>
        <v>7.2912482042514284E-2</v>
      </c>
      <c r="AI18" s="28">
        <f t="shared" si="9"/>
        <v>1.6733503683056171E-2</v>
      </c>
      <c r="AJ18" s="28">
        <f t="shared" si="10"/>
        <v>1.2720678772810431E-2</v>
      </c>
      <c r="AK18" s="28">
        <f t="shared" si="11"/>
        <v>5.617897835945812E-2</v>
      </c>
      <c r="AL18" s="25">
        <f t="shared" si="12"/>
        <v>5398056</v>
      </c>
      <c r="AM18" s="28">
        <f t="shared" si="13"/>
        <v>0.66430128633301189</v>
      </c>
      <c r="AN18" s="4">
        <v>35406850</v>
      </c>
      <c r="AO18" s="4">
        <v>1106464.0625</v>
      </c>
      <c r="AP18" s="4">
        <v>46588.9375</v>
      </c>
      <c r="AQ18" s="4">
        <v>23520816</v>
      </c>
      <c r="AR18" s="4">
        <v>4103560</v>
      </c>
      <c r="AS18" s="4">
        <v>1294496</v>
      </c>
      <c r="AT18" s="4">
        <v>18122760</v>
      </c>
      <c r="AU18" s="4">
        <v>70.412724999999995</v>
      </c>
      <c r="AV18" s="4">
        <v>73.041528124999999</v>
      </c>
      <c r="AW18" s="4">
        <v>37.250853124999999</v>
      </c>
      <c r="AX18" s="4">
        <v>46.163278124999998</v>
      </c>
      <c r="AY18" s="4">
        <v>46.698690624999998</v>
      </c>
      <c r="AZ18" s="4">
        <v>3768.12</v>
      </c>
      <c r="BA18" s="4">
        <v>2049.38</v>
      </c>
      <c r="BB18" s="4">
        <v>10.37</v>
      </c>
      <c r="BC18" s="4">
        <v>30.686</v>
      </c>
      <c r="BE18" s="33">
        <f t="shared" si="14"/>
        <v>1.363493222356689E-3</v>
      </c>
      <c r="BF18" s="33">
        <f t="shared" si="15"/>
        <v>-4.1408935687409221E-5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276</v>
      </c>
      <c r="C19" s="36" t="s">
        <v>270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4.2613624000000003</v>
      </c>
      <c r="J19" s="38">
        <f t="shared" si="1"/>
        <v>0.13209852475638839</v>
      </c>
      <c r="K19" s="38">
        <f t="shared" si="2"/>
        <v>2.6833838441415354E-2</v>
      </c>
      <c r="L19" s="38">
        <f t="shared" si="3"/>
        <v>1.9379986163476564E-2</v>
      </c>
      <c r="M19" s="38">
        <f t="shared" si="4"/>
        <v>0.10526277676859767</v>
      </c>
      <c r="N19" s="35">
        <f t="shared" si="5"/>
        <v>8656320</v>
      </c>
      <c r="O19" s="38">
        <f t="shared" si="6"/>
        <v>1.2653429531602511</v>
      </c>
      <c r="P19" s="39">
        <v>33677529</v>
      </c>
      <c r="Q19" s="39">
        <v>1052422.78125</v>
      </c>
      <c r="R19" s="39">
        <v>20027.96875</v>
      </c>
      <c r="S19" s="40">
        <v>42613624</v>
      </c>
      <c r="T19" s="40">
        <v>6251784</v>
      </c>
      <c r="U19" s="40">
        <v>2404536</v>
      </c>
      <c r="V19" s="40">
        <v>33956688</v>
      </c>
      <c r="W19" s="41">
        <v>71.497066000000004</v>
      </c>
      <c r="X19" s="41">
        <v>75.069755999999998</v>
      </c>
      <c r="Y19" s="41">
        <v>39.335715999999998</v>
      </c>
      <c r="Z19" s="41">
        <v>47.947415999999997</v>
      </c>
      <c r="AA19" s="41">
        <v>48.551324999999999</v>
      </c>
      <c r="AB19" s="42">
        <v>3432.74</v>
      </c>
      <c r="AC19" s="42">
        <v>1636.96</v>
      </c>
      <c r="AD19" s="42">
        <v>12.391</v>
      </c>
      <c r="AE19" s="42">
        <v>21.120999999999999</v>
      </c>
      <c r="AG19" s="37">
        <f t="shared" si="7"/>
        <v>4.2650112</v>
      </c>
      <c r="AH19" s="38">
        <f t="shared" si="8"/>
        <v>0.13221163437999869</v>
      </c>
      <c r="AI19" s="38">
        <f t="shared" si="9"/>
        <v>2.6824141913717122E-2</v>
      </c>
      <c r="AJ19" s="38">
        <f t="shared" si="10"/>
        <v>1.9379986163476564E-2</v>
      </c>
      <c r="AK19" s="38">
        <f t="shared" si="11"/>
        <v>0.10538749246628157</v>
      </c>
      <c r="AL19" s="35">
        <f t="shared" si="12"/>
        <v>8653192</v>
      </c>
      <c r="AM19" s="38">
        <f t="shared" si="13"/>
        <v>1.2664264055715013</v>
      </c>
      <c r="AN19" s="4">
        <v>33677529</v>
      </c>
      <c r="AO19" s="4">
        <v>1052422.78125</v>
      </c>
      <c r="AP19" s="4">
        <v>20771.875</v>
      </c>
      <c r="AQ19" s="4">
        <v>42650112</v>
      </c>
      <c r="AR19" s="4">
        <v>6251784</v>
      </c>
      <c r="AS19" s="4">
        <v>2401408</v>
      </c>
      <c r="AT19" s="4">
        <v>33996920</v>
      </c>
      <c r="AU19" s="4">
        <v>71.447946875</v>
      </c>
      <c r="AV19" s="4">
        <v>75.018746875000005</v>
      </c>
      <c r="AW19" s="4">
        <v>39.327009375000003</v>
      </c>
      <c r="AX19" s="4">
        <v>47.945824999999999</v>
      </c>
      <c r="AY19" s="4">
        <v>48.527359375000003</v>
      </c>
      <c r="AZ19" s="4">
        <v>3818.07</v>
      </c>
      <c r="BA19" s="4">
        <v>2398.4</v>
      </c>
      <c r="BB19" s="4">
        <v>10.653</v>
      </c>
      <c r="BC19" s="4">
        <v>32.573</v>
      </c>
      <c r="BE19" s="43">
        <f t="shared" si="14"/>
        <v>7.0685114694727172E-4</v>
      </c>
      <c r="BF19" s="43">
        <f t="shared" si="15"/>
        <v>-2.4712692793757429E-4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0.68399359999999998</v>
      </c>
      <c r="J20" s="28">
        <f t="shared" si="1"/>
        <v>1.3646961478987887E-2</v>
      </c>
      <c r="K20" s="28">
        <f t="shared" si="2"/>
        <v>7.6943725282083838E-3</v>
      </c>
      <c r="L20" s="28">
        <f t="shared" si="3"/>
        <v>3.759413932698805E-3</v>
      </c>
      <c r="M20" s="28">
        <f t="shared" si="4"/>
        <v>5.9501308785779332E-3</v>
      </c>
      <c r="N20" s="25">
        <f t="shared" si="5"/>
        <v>1928232</v>
      </c>
      <c r="O20" s="28">
        <f t="shared" si="6"/>
        <v>0.11312995200400339</v>
      </c>
      <c r="P20" s="29">
        <v>30230438</v>
      </c>
      <c r="Q20" s="29">
        <v>944701.1875</v>
      </c>
      <c r="R20" s="29">
        <v>27161</v>
      </c>
      <c r="S20" s="30">
        <v>3419968</v>
      </c>
      <c r="T20" s="30">
        <v>942120</v>
      </c>
      <c r="U20" s="30">
        <v>986112</v>
      </c>
      <c r="V20" s="30">
        <v>1491120</v>
      </c>
      <c r="W20" s="31">
        <v>67.065771999999996</v>
      </c>
      <c r="X20" s="31">
        <v>68.733975000000001</v>
      </c>
      <c r="Y20" s="31">
        <v>30.882369000000001</v>
      </c>
      <c r="Z20" s="31">
        <v>39.533853000000001</v>
      </c>
      <c r="AA20" s="31">
        <v>38.395637000000001</v>
      </c>
      <c r="AB20" s="32">
        <v>3266.91</v>
      </c>
      <c r="AC20" s="32">
        <v>747.78</v>
      </c>
      <c r="AD20" s="32">
        <v>9.7989999999999995</v>
      </c>
      <c r="AE20" s="32">
        <v>11.994999999999999</v>
      </c>
      <c r="AG20" s="27">
        <f t="shared" si="7"/>
        <v>0.68355840000000001</v>
      </c>
      <c r="AH20" s="28">
        <f t="shared" si="8"/>
        <v>1.3638278418743382E-2</v>
      </c>
      <c r="AI20" s="28">
        <f t="shared" si="9"/>
        <v>7.6844125473396873E-3</v>
      </c>
      <c r="AJ20" s="28">
        <f t="shared" si="10"/>
        <v>3.759413932698805E-3</v>
      </c>
      <c r="AK20" s="28">
        <f t="shared" si="11"/>
        <v>5.953865871403694E-3</v>
      </c>
      <c r="AL20" s="25">
        <f t="shared" si="12"/>
        <v>1925736</v>
      </c>
      <c r="AM20" s="28">
        <f t="shared" si="13"/>
        <v>0.11305797157156638</v>
      </c>
      <c r="AN20" s="4">
        <v>30230438</v>
      </c>
      <c r="AO20" s="4">
        <v>944701.1875</v>
      </c>
      <c r="AP20" s="4">
        <v>28542.625</v>
      </c>
      <c r="AQ20" s="4">
        <v>3417792</v>
      </c>
      <c r="AR20" s="4">
        <v>942120</v>
      </c>
      <c r="AS20" s="4">
        <v>983616</v>
      </c>
      <c r="AT20" s="4">
        <v>1492056</v>
      </c>
      <c r="AU20" s="4">
        <v>67.089143750000005</v>
      </c>
      <c r="AV20" s="4">
        <v>68.766887499999996</v>
      </c>
      <c r="AW20" s="4">
        <v>30.878778125</v>
      </c>
      <c r="AX20" s="4">
        <v>39.53215625</v>
      </c>
      <c r="AY20" s="4">
        <v>38.380546875</v>
      </c>
      <c r="AZ20" s="4">
        <v>3718.58</v>
      </c>
      <c r="BA20" s="4">
        <v>1229.05</v>
      </c>
      <c r="BB20" s="4">
        <v>9.9979999999999993</v>
      </c>
      <c r="BC20" s="4">
        <v>20.658000000000001</v>
      </c>
      <c r="BE20" s="33">
        <f t="shared" si="14"/>
        <v>1.4624994847907899E-3</v>
      </c>
      <c r="BF20" s="33">
        <f t="shared" si="15"/>
        <v>-3.7133237344910697E-4</v>
      </c>
      <c r="BG20" s="33">
        <f t="array" ref="BG20">AVERAGE(AL20:AL24/AQ20:AQ24) - AVERAGE(N20:N24/S20:S24)</f>
        <v>-4.8593720275957875E-4</v>
      </c>
      <c r="BI20" s="34">
        <f>IF( OR(ISBLANK(N20:N24),ISBLANK(AL20:AL24), ISBLANK(W20:W24),ISBLANK(AU20:AU24)), "·", bdRateExtend( N20:N24,W20:W24, AL20:AL24,AU20:AU24))</f>
        <v>-3.6302119846420844E-3</v>
      </c>
      <c r="BJ20" s="34">
        <f>IF( OR(ISBLANK(N20:N24),ISBLANK(AL20:AL24), ISBLANK(X20:X24),ISBLANK(AV20:AV24)), "·", bdRateExtend( N20:N24,X20:X24, AL20:AL24,AV20:AV24))</f>
        <v>-4.3791010469141911E-3</v>
      </c>
      <c r="BK20" s="34">
        <f>IF( OR(ISBLANK(V20:V24),ISBLANK(AT20:AT24), ISBLANK(Y20:Y24),ISBLANK(AW20:AW24)), "·", bdRateExtend( V20:V24,Y20:Y24, AT20:AT24,AW20:AW24))</f>
        <v>4.9514879372056786E-3</v>
      </c>
      <c r="BL20" s="34">
        <f>IF( OR(ISBLANK(V20:V24),ISBLANK(AT20:AT24), ISBLANK(Z20:Z24),ISBLANK(AX20:AX24)), "·", bdRateExtend( V20:V24,Z20:Z24, AT20:AT24,AX20:AX24))</f>
        <v>3.5647593319638737E-3</v>
      </c>
      <c r="BM20" s="34">
        <f>IF( OR(ISBLANK(V20:V24),ISBLANK(AT20:AT24), ISBLANK(AA20:AA24),ISBLANK(AY20:AY24)), "·", bdRateExtend( V20:V24,AA20:AA24, AT20:AT24,AY20:AY24))</f>
        <v>7.6459723208690544E-3</v>
      </c>
      <c r="BO20" s="34">
        <f>IF( OR(ISBLANK(S20:S24),ISBLANK(AQ20:AQ24), ISBLANK(W20:W24),ISBLANK(AU20:AU24)), "·", bdRateExtend( S20:S24,W20:W24, AQ20:AQ24,AU20:AU24))</f>
        <v>-8.3113982748336257E-3</v>
      </c>
      <c r="BP20" s="34">
        <f>IF( OR(ISBLANK(S20:S24),ISBLANK(AQ20:AQ24), ISBLANK(X20:X24),ISBLANK(AV20:AV24)), "·", bdRateExtend( S20:S24,X20:X24, AQ20:AQ24,AV20:AV24))</f>
        <v>-8.2095870019136541E-3</v>
      </c>
      <c r="BQ20" s="34">
        <f>IF( OR(ISBLANK(S20:S24),ISBLANK(AQ20:AQ24), ISBLANK(Y20:Y24),ISBLANK(AW20:AW24)), "·", bdRateExtend( S20:S24,Y20:Y24, AQ20:AQ24,AW20:AW24))</f>
        <v>3.4488488105592907E-3</v>
      </c>
      <c r="BR20" s="34">
        <f>IF( OR(ISBLANK(S20:S24),ISBLANK(AQ20:AQ24), ISBLANK(Z20:Z24),ISBLANK(AX20:AX24)), "·", bdRateExtend( S20:S24,Z20:Z24, AQ20:AQ24,AX20:AX24))</f>
        <v>2.7404691669139503E-3</v>
      </c>
      <c r="BS20" s="34">
        <f>IF( OR(ISBLANK(S20:S24),ISBLANK(AQ20:AQ24), ISBLANK(AA20:AA24),ISBLANK(AY20:AY24)), "·", bdRateExtend( S20:S24,AA20:AA24, AQ20:AQ24,AY20:AY24))</f>
        <v>5.9552659176944633E-3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1.0758799999999999</v>
      </c>
      <c r="J21" s="18">
        <f t="shared" si="1"/>
        <v>2.1465833768054974E-2</v>
      </c>
      <c r="K21" s="18">
        <f t="shared" si="2"/>
        <v>9.1048590496906924E-3</v>
      </c>
      <c r="L21" s="18">
        <f t="shared" si="3"/>
        <v>5.1699004541811136E-3</v>
      </c>
      <c r="M21" s="18">
        <f t="shared" si="4"/>
        <v>1.2358516646162714E-2</v>
      </c>
      <c r="N21" s="15">
        <f t="shared" si="5"/>
        <v>2281704</v>
      </c>
      <c r="O21" s="18">
        <f t="shared" si="6"/>
        <v>0.1703276310274289</v>
      </c>
      <c r="P21" s="19">
        <v>31582662</v>
      </c>
      <c r="Q21" s="19">
        <v>986958.1875</v>
      </c>
      <c r="R21" s="19">
        <v>32537.78125</v>
      </c>
      <c r="S21" s="20">
        <v>5379400</v>
      </c>
      <c r="T21" s="20">
        <v>1295592</v>
      </c>
      <c r="U21" s="20">
        <v>986112</v>
      </c>
      <c r="V21" s="20">
        <v>3097080</v>
      </c>
      <c r="W21" s="21">
        <v>68.659734</v>
      </c>
      <c r="X21" s="21">
        <v>70.740427999999994</v>
      </c>
      <c r="Y21" s="21">
        <v>32.778812000000002</v>
      </c>
      <c r="Z21" s="21">
        <v>40.701953000000003</v>
      </c>
      <c r="AA21" s="21">
        <v>39.685952999999998</v>
      </c>
      <c r="AB21" s="22">
        <v>4285.9799999999996</v>
      </c>
      <c r="AC21" s="22">
        <v>1245.02</v>
      </c>
      <c r="AD21" s="22">
        <v>16.143999999999998</v>
      </c>
      <c r="AE21" s="22">
        <v>19.388000000000002</v>
      </c>
      <c r="AG21" s="17">
        <f t="shared" si="7"/>
        <v>1.0766863999999998</v>
      </c>
      <c r="AH21" s="18">
        <f t="shared" si="8"/>
        <v>2.148192296791979E-2</v>
      </c>
      <c r="AI21" s="18">
        <f t="shared" si="9"/>
        <v>9.094899068821995E-3</v>
      </c>
      <c r="AJ21" s="18">
        <f t="shared" si="10"/>
        <v>5.1699004541811136E-3</v>
      </c>
      <c r="AK21" s="18">
        <f t="shared" si="11"/>
        <v>1.2387023899097797E-2</v>
      </c>
      <c r="AL21" s="15">
        <f t="shared" si="12"/>
        <v>2279208</v>
      </c>
      <c r="AM21" s="18">
        <f t="shared" si="13"/>
        <v>0.17045529601019699</v>
      </c>
      <c r="AN21" s="4">
        <v>31582662</v>
      </c>
      <c r="AO21" s="4">
        <v>986958.1875</v>
      </c>
      <c r="AP21" s="4">
        <v>33976.5625</v>
      </c>
      <c r="AQ21" s="4">
        <v>5383432</v>
      </c>
      <c r="AR21" s="4">
        <v>1295592</v>
      </c>
      <c r="AS21" s="4">
        <v>983616</v>
      </c>
      <c r="AT21" s="4">
        <v>3104224</v>
      </c>
      <c r="AU21" s="4">
        <v>68.689549999999997</v>
      </c>
      <c r="AV21" s="4">
        <v>70.77660625</v>
      </c>
      <c r="AW21" s="4">
        <v>32.771437499999998</v>
      </c>
      <c r="AX21" s="4">
        <v>40.711728125</v>
      </c>
      <c r="AY21" s="4">
        <v>39.686912499999998</v>
      </c>
      <c r="AZ21" s="4">
        <v>3708.31</v>
      </c>
      <c r="BA21" s="4">
        <v>1377.08</v>
      </c>
      <c r="BB21" s="4">
        <v>8.8510000000000009</v>
      </c>
      <c r="BC21" s="4">
        <v>22.312999999999999</v>
      </c>
      <c r="BE21" s="23">
        <f t="shared" si="14"/>
        <v>1.4577935197482711E-3</v>
      </c>
      <c r="BF21" s="23">
        <f t="shared" si="15"/>
        <v>-7.8132247283385636E-4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1.7833840000000001</v>
      </c>
      <c r="J22" s="28">
        <f t="shared" si="1"/>
        <v>3.5581872038339735E-2</v>
      </c>
      <c r="K22" s="28">
        <f t="shared" si="2"/>
        <v>1.1225792283457735E-2</v>
      </c>
      <c r="L22" s="28">
        <f t="shared" si="3"/>
        <v>7.2908336879481568E-3</v>
      </c>
      <c r="M22" s="28">
        <f t="shared" si="4"/>
        <v>2.4353621682680428E-2</v>
      </c>
      <c r="N22" s="25">
        <f t="shared" si="5"/>
        <v>2813216</v>
      </c>
      <c r="O22" s="28">
        <f t="shared" si="6"/>
        <v>0.27094407857904551</v>
      </c>
      <c r="P22" s="29">
        <v>32910555</v>
      </c>
      <c r="Q22" s="29">
        <v>1028454.84375</v>
      </c>
      <c r="R22" s="29">
        <v>34769.59375</v>
      </c>
      <c r="S22" s="30">
        <v>8916920</v>
      </c>
      <c r="T22" s="30">
        <v>1827104</v>
      </c>
      <c r="U22" s="30">
        <v>986112</v>
      </c>
      <c r="V22" s="30">
        <v>6103088</v>
      </c>
      <c r="W22" s="31">
        <v>69.831643999999997</v>
      </c>
      <c r="X22" s="31">
        <v>72.240358999999998</v>
      </c>
      <c r="Y22" s="31">
        <v>34.624715999999999</v>
      </c>
      <c r="Z22" s="31">
        <v>41.744956000000002</v>
      </c>
      <c r="AA22" s="31">
        <v>40.748353000000002</v>
      </c>
      <c r="AB22" s="32">
        <v>4530.91</v>
      </c>
      <c r="AC22" s="32">
        <v>1417.29</v>
      </c>
      <c r="AD22" s="32">
        <v>15.564</v>
      </c>
      <c r="AE22" s="32">
        <v>21.099</v>
      </c>
      <c r="AG22" s="27">
        <f t="shared" si="7"/>
        <v>1.7845423999999999</v>
      </c>
      <c r="AH22" s="28">
        <f t="shared" si="8"/>
        <v>3.5604984301637603E-2</v>
      </c>
      <c r="AI22" s="28">
        <f t="shared" si="9"/>
        <v>1.1215832302589039E-2</v>
      </c>
      <c r="AJ22" s="28">
        <f t="shared" si="10"/>
        <v>7.2908336879481568E-3</v>
      </c>
      <c r="AK22" s="28">
        <f t="shared" si="11"/>
        <v>2.4389151999048567E-2</v>
      </c>
      <c r="AL22" s="25">
        <f t="shared" si="12"/>
        <v>2810720</v>
      </c>
      <c r="AM22" s="28">
        <f t="shared" si="13"/>
        <v>0.27112007074933864</v>
      </c>
      <c r="AN22" s="4">
        <v>32910555</v>
      </c>
      <c r="AO22" s="4">
        <v>1028454.84375</v>
      </c>
      <c r="AP22" s="4">
        <v>36195</v>
      </c>
      <c r="AQ22" s="4">
        <v>8922712</v>
      </c>
      <c r="AR22" s="4">
        <v>1827104</v>
      </c>
      <c r="AS22" s="4">
        <v>983616</v>
      </c>
      <c r="AT22" s="4">
        <v>6111992</v>
      </c>
      <c r="AU22" s="4">
        <v>69.860078125000001</v>
      </c>
      <c r="AV22" s="4">
        <v>72.2745125</v>
      </c>
      <c r="AW22" s="4">
        <v>34.6212625</v>
      </c>
      <c r="AX22" s="4">
        <v>41.729312499999999</v>
      </c>
      <c r="AY22" s="4">
        <v>40.742871874999999</v>
      </c>
      <c r="AZ22" s="4">
        <v>3781.75</v>
      </c>
      <c r="BA22" s="4">
        <v>1422.7</v>
      </c>
      <c r="BB22" s="4">
        <v>7.7839999999999998</v>
      </c>
      <c r="BC22" s="4">
        <v>21.864999999999998</v>
      </c>
      <c r="BE22" s="33">
        <f t="shared" si="14"/>
        <v>1.3859687264465709E-3</v>
      </c>
      <c r="BF22" s="33">
        <f t="shared" si="15"/>
        <v>-4.8453083136590358E-4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3.111256</v>
      </c>
      <c r="J23" s="18">
        <f t="shared" si="1"/>
        <v>6.2075421149072059E-2</v>
      </c>
      <c r="K23" s="18">
        <f t="shared" si="2"/>
        <v>1.4881073339253696E-2</v>
      </c>
      <c r="L23" s="18">
        <f t="shared" si="3"/>
        <v>1.0946114743744118E-2</v>
      </c>
      <c r="M23" s="18">
        <f t="shared" si="4"/>
        <v>4.7191889737616795E-2</v>
      </c>
      <c r="N23" s="15">
        <f t="shared" si="5"/>
        <v>3729240</v>
      </c>
      <c r="O23" s="18">
        <f t="shared" si="6"/>
        <v>0.47205019154162942</v>
      </c>
      <c r="P23" s="19">
        <v>32954716</v>
      </c>
      <c r="Q23" s="19">
        <v>1029834.875</v>
      </c>
      <c r="R23" s="19">
        <v>36665.46875</v>
      </c>
      <c r="S23" s="20">
        <v>15556280</v>
      </c>
      <c r="T23" s="20">
        <v>2743128</v>
      </c>
      <c r="U23" s="20">
        <v>986112</v>
      </c>
      <c r="V23" s="20">
        <v>11826424</v>
      </c>
      <c r="W23" s="21">
        <v>70.837203000000002</v>
      </c>
      <c r="X23" s="21">
        <v>73.567969000000005</v>
      </c>
      <c r="Y23" s="21">
        <v>36.275565999999998</v>
      </c>
      <c r="Z23" s="21">
        <v>42.939684</v>
      </c>
      <c r="AA23" s="21">
        <v>41.844208999999999</v>
      </c>
      <c r="AB23" s="22">
        <v>3653.01</v>
      </c>
      <c r="AC23" s="22">
        <v>1120.58</v>
      </c>
      <c r="AD23" s="22">
        <v>11.448</v>
      </c>
      <c r="AE23" s="22">
        <v>14.295999999999999</v>
      </c>
      <c r="AG23" s="17">
        <f t="shared" si="7"/>
        <v>3.1145712000000003</v>
      </c>
      <c r="AH23" s="18">
        <f t="shared" si="8"/>
        <v>6.2141565637405194E-2</v>
      </c>
      <c r="AI23" s="18">
        <f t="shared" si="9"/>
        <v>1.4871113358384999E-2</v>
      </c>
      <c r="AJ23" s="18">
        <f t="shared" si="10"/>
        <v>1.0946114743744118E-2</v>
      </c>
      <c r="AK23" s="18">
        <f t="shared" si="11"/>
        <v>4.72704522790202E-2</v>
      </c>
      <c r="AL23" s="15">
        <f t="shared" si="12"/>
        <v>3726744</v>
      </c>
      <c r="AM23" s="18">
        <f t="shared" si="13"/>
        <v>0.47255318480062153</v>
      </c>
      <c r="AN23" s="4">
        <v>32954716</v>
      </c>
      <c r="AO23" s="4">
        <v>1029834.875</v>
      </c>
      <c r="AP23" s="4">
        <v>38132.96875</v>
      </c>
      <c r="AQ23" s="4">
        <v>15572856</v>
      </c>
      <c r="AR23" s="4">
        <v>2743128</v>
      </c>
      <c r="AS23" s="4">
        <v>983616</v>
      </c>
      <c r="AT23" s="4">
        <v>11846112</v>
      </c>
      <c r="AU23" s="4">
        <v>70.869659374999998</v>
      </c>
      <c r="AV23" s="4">
        <v>73.607803125000004</v>
      </c>
      <c r="AW23" s="4">
        <v>36.268834374999997</v>
      </c>
      <c r="AX23" s="4">
        <v>42.939440625000003</v>
      </c>
      <c r="AY23" s="4">
        <v>41.831096875</v>
      </c>
      <c r="AZ23" s="4">
        <v>3759.56</v>
      </c>
      <c r="BA23" s="4">
        <v>1588.17</v>
      </c>
      <c r="BB23" s="4">
        <v>8.9369999999999994</v>
      </c>
      <c r="BC23" s="4">
        <v>23.082999999999998</v>
      </c>
      <c r="BE23" s="23">
        <f t="shared" si="14"/>
        <v>1.4249857289014428E-3</v>
      </c>
      <c r="BF23" s="23">
        <f t="shared" si="15"/>
        <v>-4.1544679302477072E-4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279</v>
      </c>
      <c r="C24" s="46" t="s">
        <v>270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5.2803440000000004</v>
      </c>
      <c r="J24" s="48">
        <f t="shared" si="1"/>
        <v>0.10535281494418194</v>
      </c>
      <c r="K24" s="48">
        <f t="shared" si="2"/>
        <v>2.4529006730413177E-2</v>
      </c>
      <c r="L24" s="48">
        <f t="shared" si="3"/>
        <v>1.6989460827888055E-2</v>
      </c>
      <c r="M24" s="48">
        <f t="shared" si="4"/>
        <v>8.0821350141567203E-2</v>
      </c>
      <c r="N24" s="45">
        <f t="shared" si="5"/>
        <v>6147040</v>
      </c>
      <c r="O24" s="48">
        <f t="shared" si="6"/>
        <v>0.83589650312498864</v>
      </c>
      <c r="P24" s="49">
        <v>31584915</v>
      </c>
      <c r="Q24" s="49">
        <v>987028.59375</v>
      </c>
      <c r="R24" s="49">
        <v>18072.71875</v>
      </c>
      <c r="S24" s="50">
        <v>26401720</v>
      </c>
      <c r="T24" s="50">
        <v>4257608</v>
      </c>
      <c r="U24" s="50">
        <v>1889432</v>
      </c>
      <c r="V24" s="50">
        <v>20254064</v>
      </c>
      <c r="W24" s="51">
        <v>71.893763000000007</v>
      </c>
      <c r="X24" s="51">
        <v>75.707471999999996</v>
      </c>
      <c r="Y24" s="51">
        <v>37.303736999999998</v>
      </c>
      <c r="Z24" s="51">
        <v>43.797080999999999</v>
      </c>
      <c r="AA24" s="51">
        <v>42.424002999999999</v>
      </c>
      <c r="AB24" s="52">
        <v>3140.77</v>
      </c>
      <c r="AC24" s="52">
        <v>1159.2</v>
      </c>
      <c r="AD24" s="52">
        <v>9.18</v>
      </c>
      <c r="AE24" s="52">
        <v>13.553000000000001</v>
      </c>
      <c r="AG24" s="47">
        <f t="shared" si="7"/>
        <v>5.2867615999999993</v>
      </c>
      <c r="AH24" s="48">
        <f t="shared" si="8"/>
        <v>0.10548085815977279</v>
      </c>
      <c r="AI24" s="48">
        <f t="shared" si="9"/>
        <v>2.4519046749544481E-2</v>
      </c>
      <c r="AJ24" s="48">
        <f t="shared" si="10"/>
        <v>1.6989460827888055E-2</v>
      </c>
      <c r="AK24" s="48">
        <f t="shared" si="11"/>
        <v>8.0961811410228304E-2</v>
      </c>
      <c r="AL24" s="45">
        <f t="shared" si="12"/>
        <v>6144544</v>
      </c>
      <c r="AM24" s="48">
        <f t="shared" si="13"/>
        <v>0.83691243113999203</v>
      </c>
      <c r="AN24" s="4">
        <v>31584915</v>
      </c>
      <c r="AO24" s="4">
        <v>987028.59375</v>
      </c>
      <c r="AP24" s="4">
        <v>18895.8125</v>
      </c>
      <c r="AQ24" s="4">
        <v>26433808</v>
      </c>
      <c r="AR24" s="4">
        <v>4257608</v>
      </c>
      <c r="AS24" s="4">
        <v>1886936</v>
      </c>
      <c r="AT24" s="4">
        <v>20289264</v>
      </c>
      <c r="AU24" s="4">
        <v>71.821696875000001</v>
      </c>
      <c r="AV24" s="4">
        <v>75.648703124999997</v>
      </c>
      <c r="AW24" s="4">
        <v>37.267668749999999</v>
      </c>
      <c r="AX24" s="4">
        <v>43.766237500000003</v>
      </c>
      <c r="AY24" s="4">
        <v>42.375878125</v>
      </c>
      <c r="AZ24" s="4">
        <v>3725.17</v>
      </c>
      <c r="BA24" s="4">
        <v>1775.92</v>
      </c>
      <c r="BB24" s="4">
        <v>8.2289999999999992</v>
      </c>
      <c r="BC24" s="4">
        <v>24.530999999999999</v>
      </c>
      <c r="BE24" s="53">
        <f t="shared" si="14"/>
        <v>8.3391074505028556E-4</v>
      </c>
      <c r="BF24" s="53">
        <f t="shared" si="15"/>
        <v>-3.7705354312417283E-4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0.50167680000000003</v>
      </c>
      <c r="J25" s="18">
        <f t="shared" si="1"/>
        <v>2.0043454236656228E-2</v>
      </c>
      <c r="K25" s="18">
        <f t="shared" si="2"/>
        <v>7.0415906965177535E-3</v>
      </c>
      <c r="L25" s="18">
        <f t="shared" si="3"/>
        <v>3.812947097672294E-3</v>
      </c>
      <c r="M25" s="18">
        <f t="shared" si="4"/>
        <v>1.2999402440121537E-2</v>
      </c>
      <c r="N25" s="15">
        <f t="shared" si="5"/>
        <v>1762472</v>
      </c>
      <c r="O25" s="18">
        <f t="shared" si="6"/>
        <v>0.2186566365009415</v>
      </c>
      <c r="P25" s="19">
        <v>22943589</v>
      </c>
      <c r="Q25" s="19">
        <v>716987.15625</v>
      </c>
      <c r="R25" s="19">
        <v>16957.03125</v>
      </c>
      <c r="S25" s="20">
        <v>5016768</v>
      </c>
      <c r="T25" s="20">
        <v>954360</v>
      </c>
      <c r="U25" s="20">
        <v>808112</v>
      </c>
      <c r="V25" s="20">
        <v>3253680</v>
      </c>
      <c r="W25" s="21">
        <v>66.188337000000004</v>
      </c>
      <c r="X25" s="21">
        <v>68.025690999999995</v>
      </c>
      <c r="Y25" s="21">
        <v>27.492266000000001</v>
      </c>
      <c r="Z25" s="21">
        <v>33.271619000000001</v>
      </c>
      <c r="AA25" s="21">
        <v>32.724563000000003</v>
      </c>
      <c r="AB25" s="22">
        <v>2632.59</v>
      </c>
      <c r="AC25" s="22">
        <v>940.95500000000004</v>
      </c>
      <c r="AD25" s="22">
        <v>8.8940000000000001</v>
      </c>
      <c r="AE25" s="22">
        <v>14.849</v>
      </c>
      <c r="AG25" s="17">
        <f t="shared" si="7"/>
        <v>0.50105520000000003</v>
      </c>
      <c r="AH25" s="18">
        <f t="shared" si="8"/>
        <v>2.0018619500121661E-2</v>
      </c>
      <c r="AI25" s="18">
        <f t="shared" si="9"/>
        <v>7.0359653250504639E-3</v>
      </c>
      <c r="AJ25" s="18">
        <f t="shared" si="10"/>
        <v>3.812947097672294E-3</v>
      </c>
      <c r="AK25" s="18">
        <f t="shared" si="11"/>
        <v>1.2982654175071197E-2</v>
      </c>
      <c r="AL25" s="15">
        <f t="shared" si="12"/>
        <v>1761064</v>
      </c>
      <c r="AM25" s="18">
        <f t="shared" si="13"/>
        <v>0.21838571114571481</v>
      </c>
      <c r="AN25" s="4">
        <v>22943589</v>
      </c>
      <c r="AO25" s="4">
        <v>716987.15625</v>
      </c>
      <c r="AP25" s="4">
        <v>17447.4375</v>
      </c>
      <c r="AQ25" s="4">
        <v>5010552</v>
      </c>
      <c r="AR25" s="4">
        <v>954360</v>
      </c>
      <c r="AS25" s="4">
        <v>806704</v>
      </c>
      <c r="AT25" s="4">
        <v>3249488</v>
      </c>
      <c r="AU25" s="4">
        <v>66.18744375</v>
      </c>
      <c r="AV25" s="4">
        <v>68.041021874999998</v>
      </c>
      <c r="AW25" s="4">
        <v>27.492659374999999</v>
      </c>
      <c r="AX25" s="4">
        <v>33.266440625000001</v>
      </c>
      <c r="AY25" s="4">
        <v>32.714550000000003</v>
      </c>
      <c r="AZ25" s="4">
        <v>2935.36</v>
      </c>
      <c r="BA25" s="4">
        <v>1612.18</v>
      </c>
      <c r="BB25" s="4">
        <v>7.3520000000000003</v>
      </c>
      <c r="BC25" s="4">
        <v>24.568000000000001</v>
      </c>
      <c r="BE25" s="23">
        <f t="shared" si="14"/>
        <v>6.8398191756311594E-4</v>
      </c>
      <c r="BF25" s="23">
        <f t="shared" si="15"/>
        <v>1.5482957969986666E-4</v>
      </c>
      <c r="BG25" s="23">
        <f t="array" ref="BG25">AVERAGE(AL25:AL29/AQ25:AQ29) - AVERAGE(N25:N29/S25:S29)</f>
        <v>-9.5317151934948274E-6</v>
      </c>
      <c r="BI25" s="24">
        <f>IF( OR(ISBLANK(N25:N29),ISBLANK(AL25:AL29), ISBLANK(W25:W29),ISBLANK(AU25:AU29)), "·", bdRateExtend( N25:N29,W25:W29, AL25:AL29,AU25:AU29))</f>
        <v>-1.3414765741149859E-3</v>
      </c>
      <c r="BJ25" s="24">
        <f>IF( OR(ISBLANK(N25:N29),ISBLANK(AL25:AL29), ISBLANK(X25:X29),ISBLANK(AV25:AV29)), "·", bdRateExtend( N25:N29,X25:X29, AL25:AL29,AV25:AV29))</f>
        <v>-3.1919552862381684E-3</v>
      </c>
      <c r="BK25" s="24">
        <f>IF( OR(ISBLANK(V25:V29),ISBLANK(AT25:AT29), ISBLANK(Y25:Y29),ISBLANK(AW25:AW29)), "·", bdRateExtend( V25:V29,Y25:Y29, AT25:AT29,AW25:AW29))</f>
        <v>-2.5120278360457604E-4</v>
      </c>
      <c r="BL25" s="24">
        <f>IF( OR(ISBLANK(V25:V29),ISBLANK(AT25:AT29), ISBLANK(Z25:Z29),ISBLANK(AX25:AX29)), "·", bdRateExtend( V25:V29,Z25:Z29, AT25:AT29,AX25:AX29))</f>
        <v>9.3173890494324674E-4</v>
      </c>
      <c r="BM25" s="24">
        <f>IF( OR(ISBLANK(V25:V29),ISBLANK(AT25:AT29), ISBLANK(AA25:AA29),ISBLANK(AY25:AY29)), "·", bdRateExtend( V25:V29,AA25:AA29, AT25:AT29,AY25:AY29))</f>
        <v>5.185293599527796E-4</v>
      </c>
      <c r="BO25" s="24">
        <f>IF( OR(ISBLANK(S25:S29),ISBLANK(AQ25:AQ29), ISBLANK(W25:W29),ISBLANK(AU25:AU29)), "·", bdRateExtend( S25:S29,W25:W29, AQ25:AQ29,AU25:AU29))</f>
        <v>-2.8321781289570858E-3</v>
      </c>
      <c r="BP25" s="24">
        <f>IF( OR(ISBLANK(S25:S29),ISBLANK(AQ25:AQ29), ISBLANK(X25:X29),ISBLANK(AV25:AV29)), "·", bdRateExtend( S25:S29,X25:X29, AQ25:AQ29,AV25:AV29))</f>
        <v>-7.1332156059622509E-3</v>
      </c>
      <c r="BQ25" s="24">
        <f>IF( OR(ISBLANK(S25:S29),ISBLANK(AQ25:AQ29), ISBLANK(Y25:Y29),ISBLANK(AW25:AW29)), "·", bdRateExtend( S25:S29,Y25:Y29, AQ25:AQ29,AW25:AW29))</f>
        <v>-3.35401586315065E-4</v>
      </c>
      <c r="BR25" s="24">
        <f>IF( OR(ISBLANK(S25:S29),ISBLANK(AQ25:AQ29), ISBLANK(Z25:Z29),ISBLANK(AX25:AX29)), "·", bdRateExtend( S25:S29,Z25:Z29, AQ25:AQ29,AX25:AX29))</f>
        <v>7.1508095080985434E-4</v>
      </c>
      <c r="BS25" s="24">
        <f>IF( OR(ISBLANK(S25:S29),ISBLANK(AQ25:AQ29), ISBLANK(AA25:AA29),ISBLANK(AY25:AY29)), "·", bdRateExtend( S25:S29,AA25:AA29, AQ25:AQ29,AY25:AY29))</f>
        <v>3.1951844280042607E-4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0.86464560000000001</v>
      </c>
      <c r="J26" s="28">
        <f t="shared" si="1"/>
        <v>3.4545118519585055E-2</v>
      </c>
      <c r="K26" s="28">
        <f t="shared" si="2"/>
        <v>8.5171000625175342E-3</v>
      </c>
      <c r="L26" s="28">
        <f t="shared" si="3"/>
        <v>5.2884564636720742E-3</v>
      </c>
      <c r="M26" s="28">
        <f t="shared" si="4"/>
        <v>2.6025557357050581E-2</v>
      </c>
      <c r="N26" s="25">
        <f t="shared" si="5"/>
        <v>2131784</v>
      </c>
      <c r="O26" s="28">
        <f t="shared" si="6"/>
        <v>0.34710334133777959</v>
      </c>
      <c r="P26" s="29">
        <v>24910322</v>
      </c>
      <c r="Q26" s="29">
        <v>778447.5625</v>
      </c>
      <c r="R26" s="29">
        <v>22364.375</v>
      </c>
      <c r="S26" s="30">
        <v>8646456</v>
      </c>
      <c r="T26" s="30">
        <v>1323672</v>
      </c>
      <c r="U26" s="30">
        <v>808112</v>
      </c>
      <c r="V26" s="30">
        <v>6514056</v>
      </c>
      <c r="W26" s="31">
        <v>68.016527999999994</v>
      </c>
      <c r="X26" s="31">
        <v>69.989902999999998</v>
      </c>
      <c r="Y26" s="31">
        <v>29.910231</v>
      </c>
      <c r="Z26" s="31">
        <v>34.460487000000001</v>
      </c>
      <c r="AA26" s="31">
        <v>34.047587</v>
      </c>
      <c r="AB26" s="32">
        <v>2735.22</v>
      </c>
      <c r="AC26" s="32">
        <v>1046.48</v>
      </c>
      <c r="AD26" s="32">
        <v>10.246</v>
      </c>
      <c r="AE26" s="32">
        <v>17.542999999999999</v>
      </c>
      <c r="AG26" s="27">
        <f t="shared" si="7"/>
        <v>0.86401040000000007</v>
      </c>
      <c r="AH26" s="28">
        <f t="shared" si="8"/>
        <v>3.4519740423306487E-2</v>
      </c>
      <c r="AI26" s="28">
        <f t="shared" si="9"/>
        <v>8.5114746910502446E-3</v>
      </c>
      <c r="AJ26" s="28">
        <f t="shared" si="10"/>
        <v>5.2884564636720742E-3</v>
      </c>
      <c r="AK26" s="28">
        <f t="shared" si="11"/>
        <v>2.6008265732256241E-2</v>
      </c>
      <c r="AL26" s="25">
        <f t="shared" si="12"/>
        <v>2130376</v>
      </c>
      <c r="AM26" s="28">
        <f t="shared" si="13"/>
        <v>0.34684834664120362</v>
      </c>
      <c r="AN26" s="4">
        <v>24910322</v>
      </c>
      <c r="AO26" s="4">
        <v>778447.5625</v>
      </c>
      <c r="AP26" s="4">
        <v>22976.21875</v>
      </c>
      <c r="AQ26" s="4">
        <v>8640104</v>
      </c>
      <c r="AR26" s="4">
        <v>1323672</v>
      </c>
      <c r="AS26" s="4">
        <v>806704</v>
      </c>
      <c r="AT26" s="4">
        <v>6509728</v>
      </c>
      <c r="AU26" s="4">
        <v>68.02123125</v>
      </c>
      <c r="AV26" s="4">
        <v>70.010334374999999</v>
      </c>
      <c r="AW26" s="4">
        <v>29.909909375000002</v>
      </c>
      <c r="AX26" s="4">
        <v>34.459200000000003</v>
      </c>
      <c r="AY26" s="4">
        <v>34.045915624999999</v>
      </c>
      <c r="AZ26" s="4">
        <v>2960.99</v>
      </c>
      <c r="BA26" s="4">
        <v>1717.9</v>
      </c>
      <c r="BB26" s="4">
        <v>8.9540000000000006</v>
      </c>
      <c r="BC26" s="4">
        <v>27.099</v>
      </c>
      <c r="BE26" s="33">
        <f t="shared" si="14"/>
        <v>7.8597940243406092E-4</v>
      </c>
      <c r="BF26" s="33">
        <f t="shared" si="15"/>
        <v>1.8296747435309069E-5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1.5631919999999999</v>
      </c>
      <c r="J27" s="18">
        <f t="shared" si="1"/>
        <v>6.2454088598689686E-2</v>
      </c>
      <c r="K27" s="18">
        <f t="shared" si="2"/>
        <v>1.0667590079916313E-2</v>
      </c>
      <c r="L27" s="18">
        <f t="shared" si="3"/>
        <v>7.4389464810708525E-3</v>
      </c>
      <c r="M27" s="18">
        <f t="shared" si="4"/>
        <v>5.178403741875643E-2</v>
      </c>
      <c r="N27" s="15">
        <f t="shared" si="5"/>
        <v>2670040</v>
      </c>
      <c r="O27" s="18">
        <f t="shared" si="6"/>
        <v>0.61874948790222184</v>
      </c>
      <c r="P27" s="19">
        <v>25263730</v>
      </c>
      <c r="Q27" s="19">
        <v>789491.5625</v>
      </c>
      <c r="R27" s="19">
        <v>23753.8125</v>
      </c>
      <c r="S27" s="20">
        <v>15631920</v>
      </c>
      <c r="T27" s="20">
        <v>1861928</v>
      </c>
      <c r="U27" s="20">
        <v>808112</v>
      </c>
      <c r="V27" s="20">
        <v>12961264</v>
      </c>
      <c r="W27" s="21">
        <v>69.394447</v>
      </c>
      <c r="X27" s="21">
        <v>71.733012000000002</v>
      </c>
      <c r="Y27" s="21">
        <v>32.411194000000002</v>
      </c>
      <c r="Z27" s="21">
        <v>35.725225000000002</v>
      </c>
      <c r="AA27" s="21">
        <v>35.386656000000002</v>
      </c>
      <c r="AB27" s="22">
        <v>2418.7800000000002</v>
      </c>
      <c r="AC27" s="22">
        <v>1047.2</v>
      </c>
      <c r="AD27" s="22">
        <v>9.2449999999999992</v>
      </c>
      <c r="AE27" s="22">
        <v>16.449000000000002</v>
      </c>
      <c r="AG27" s="17">
        <f t="shared" si="7"/>
        <v>1.56362</v>
      </c>
      <c r="AH27" s="18">
        <f t="shared" si="8"/>
        <v>6.2471188449456726E-2</v>
      </c>
      <c r="AI27" s="18">
        <f t="shared" si="9"/>
        <v>1.0661964708449023E-2</v>
      </c>
      <c r="AJ27" s="18">
        <f t="shared" si="10"/>
        <v>7.4389464810708525E-3</v>
      </c>
      <c r="AK27" s="18">
        <f t="shared" si="11"/>
        <v>5.1809223741007708E-2</v>
      </c>
      <c r="AL27" s="15">
        <f t="shared" si="12"/>
        <v>2668632</v>
      </c>
      <c r="AM27" s="18">
        <f t="shared" si="13"/>
        <v>0.61891890073239386</v>
      </c>
      <c r="AN27" s="4">
        <v>25263730</v>
      </c>
      <c r="AO27" s="4">
        <v>789491.5625</v>
      </c>
      <c r="AP27" s="4">
        <v>24358.5625</v>
      </c>
      <c r="AQ27" s="4">
        <v>15636200</v>
      </c>
      <c r="AR27" s="4">
        <v>1861928</v>
      </c>
      <c r="AS27" s="4">
        <v>806704</v>
      </c>
      <c r="AT27" s="4">
        <v>12967568</v>
      </c>
      <c r="AU27" s="4">
        <v>69.395956249999998</v>
      </c>
      <c r="AV27" s="4">
        <v>71.756546874999998</v>
      </c>
      <c r="AW27" s="4">
        <v>32.411843750000003</v>
      </c>
      <c r="AX27" s="4">
        <v>35.723746875000003</v>
      </c>
      <c r="AY27" s="4">
        <v>35.391134375</v>
      </c>
      <c r="AZ27" s="4">
        <v>2854.9</v>
      </c>
      <c r="BA27" s="4">
        <v>1827.45</v>
      </c>
      <c r="BB27" s="4">
        <v>7.2679999999999998</v>
      </c>
      <c r="BC27" s="4">
        <v>27.202999999999999</v>
      </c>
      <c r="BE27" s="23">
        <f t="shared" si="14"/>
        <v>7.6599931997373139E-4</v>
      </c>
      <c r="BF27" s="23">
        <f t="shared" si="15"/>
        <v>-1.3680137039609463E-4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2.9674263999999999</v>
      </c>
      <c r="J28" s="28">
        <f t="shared" si="1"/>
        <v>0.11855735654717448</v>
      </c>
      <c r="K28" s="28">
        <f t="shared" si="2"/>
        <v>1.4234331288881035E-2</v>
      </c>
      <c r="L28" s="28">
        <f t="shared" si="3"/>
        <v>1.1005687690035576E-2</v>
      </c>
      <c r="M28" s="28">
        <f t="shared" si="4"/>
        <v>0.10432056415827651</v>
      </c>
      <c r="N28" s="25">
        <f t="shared" si="5"/>
        <v>3562776</v>
      </c>
      <c r="O28" s="28">
        <f t="shared" si="6"/>
        <v>1.1329943467620642</v>
      </c>
      <c r="P28" s="29">
        <v>26191008</v>
      </c>
      <c r="Q28" s="29">
        <v>818469</v>
      </c>
      <c r="R28" s="29">
        <v>27045</v>
      </c>
      <c r="S28" s="30">
        <v>29674264</v>
      </c>
      <c r="T28" s="30">
        <v>2754664</v>
      </c>
      <c r="U28" s="30">
        <v>808112</v>
      </c>
      <c r="V28" s="30">
        <v>26110872</v>
      </c>
      <c r="W28" s="31">
        <v>70.457109000000003</v>
      </c>
      <c r="X28" s="31">
        <v>73.018118999999999</v>
      </c>
      <c r="Y28" s="31">
        <v>34.880259000000002</v>
      </c>
      <c r="Z28" s="31">
        <v>37.548419000000003</v>
      </c>
      <c r="AA28" s="31">
        <v>37.157228000000003</v>
      </c>
      <c r="AB28" s="32">
        <v>2595.09</v>
      </c>
      <c r="AC28" s="32">
        <v>1255</v>
      </c>
      <c r="AD28" s="32">
        <v>9.5269999999999992</v>
      </c>
      <c r="AE28" s="32">
        <v>17.588999999999999</v>
      </c>
      <c r="AG28" s="27">
        <f t="shared" si="7"/>
        <v>2.9672896</v>
      </c>
      <c r="AH28" s="28">
        <f t="shared" si="8"/>
        <v>0.1185518909873966</v>
      </c>
      <c r="AI28" s="28">
        <f t="shared" si="9"/>
        <v>1.4228705917413745E-2</v>
      </c>
      <c r="AJ28" s="28">
        <f t="shared" si="10"/>
        <v>1.1005687690035576E-2</v>
      </c>
      <c r="AK28" s="28">
        <f t="shared" si="11"/>
        <v>0.10432318506998285</v>
      </c>
      <c r="AL28" s="25">
        <f t="shared" si="12"/>
        <v>3561368</v>
      </c>
      <c r="AM28" s="28">
        <f t="shared" si="13"/>
        <v>1.1329421150953793</v>
      </c>
      <c r="AN28" s="4">
        <v>26191008</v>
      </c>
      <c r="AO28" s="4">
        <v>818469</v>
      </c>
      <c r="AP28" s="4">
        <v>27710.09375</v>
      </c>
      <c r="AQ28" s="4">
        <v>29672896</v>
      </c>
      <c r="AR28" s="4">
        <v>2754664</v>
      </c>
      <c r="AS28" s="4">
        <v>806704</v>
      </c>
      <c r="AT28" s="4">
        <v>26111528</v>
      </c>
      <c r="AU28" s="4">
        <v>70.477725000000007</v>
      </c>
      <c r="AV28" s="4">
        <v>73.046315625000005</v>
      </c>
      <c r="AW28" s="4">
        <v>34.881925000000003</v>
      </c>
      <c r="AX28" s="4">
        <v>37.544525</v>
      </c>
      <c r="AY28" s="4">
        <v>37.154428125000003</v>
      </c>
      <c r="AZ28" s="4">
        <v>2883.17</v>
      </c>
      <c r="BA28" s="4">
        <v>2047.96</v>
      </c>
      <c r="BB28" s="4">
        <v>7.3390000000000004</v>
      </c>
      <c r="BC28" s="4">
        <v>28.094000000000001</v>
      </c>
      <c r="BE28" s="33">
        <f t="shared" si="14"/>
        <v>8.1260713600637274E-4</v>
      </c>
      <c r="BF28" s="33">
        <f t="shared" si="15"/>
        <v>-4.1915492637309426E-5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282</v>
      </c>
      <c r="C29" s="36" t="s">
        <v>270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5.1907167999999997</v>
      </c>
      <c r="J29" s="38">
        <f t="shared" si="1"/>
        <v>0.20738430526634413</v>
      </c>
      <c r="K29" s="38">
        <f t="shared" si="2"/>
        <v>2.2779686058086546E-2</v>
      </c>
      <c r="L29" s="38">
        <f t="shared" si="3"/>
        <v>1.6773834920645627E-2</v>
      </c>
      <c r="M29" s="38">
        <f t="shared" si="4"/>
        <v>0.18460215810824063</v>
      </c>
      <c r="N29" s="35">
        <f t="shared" si="5"/>
        <v>5701632</v>
      </c>
      <c r="O29" s="38">
        <f t="shared" si="6"/>
        <v>2.0709008040249239</v>
      </c>
      <c r="P29" s="39">
        <v>25065019</v>
      </c>
      <c r="Q29" s="39">
        <v>783281.84375</v>
      </c>
      <c r="R29" s="39">
        <v>12136.59375</v>
      </c>
      <c r="S29" s="40">
        <v>51907168</v>
      </c>
      <c r="T29" s="40">
        <v>4198400</v>
      </c>
      <c r="U29" s="40">
        <v>1503232</v>
      </c>
      <c r="V29" s="40">
        <v>46204920</v>
      </c>
      <c r="W29" s="41">
        <v>71.492812000000001</v>
      </c>
      <c r="X29" s="41">
        <v>74.934849999999997</v>
      </c>
      <c r="Y29" s="41">
        <v>36.557687999999999</v>
      </c>
      <c r="Z29" s="41">
        <v>39.620221999999998</v>
      </c>
      <c r="AA29" s="41">
        <v>39.018402999999999</v>
      </c>
      <c r="AB29" s="42">
        <v>3448.12</v>
      </c>
      <c r="AC29" s="42">
        <v>2346.96</v>
      </c>
      <c r="AD29" s="42">
        <v>13.907</v>
      </c>
      <c r="AE29" s="42">
        <v>31.074999999999999</v>
      </c>
      <c r="AG29" s="37">
        <f t="shared" si="7"/>
        <v>5.1914232</v>
      </c>
      <c r="AH29" s="38">
        <f t="shared" si="8"/>
        <v>0.20741252801069421</v>
      </c>
      <c r="AI29" s="38">
        <f t="shared" si="9"/>
        <v>2.2774060686619257E-2</v>
      </c>
      <c r="AJ29" s="38">
        <f t="shared" si="10"/>
        <v>1.6773834920645627E-2</v>
      </c>
      <c r="AK29" s="38">
        <f t="shared" si="11"/>
        <v>0.18463846732407496</v>
      </c>
      <c r="AL29" s="35">
        <f t="shared" si="12"/>
        <v>5700224</v>
      </c>
      <c r="AM29" s="38">
        <f t="shared" si="13"/>
        <v>2.0711826310604433</v>
      </c>
      <c r="AN29" s="4">
        <v>25065019</v>
      </c>
      <c r="AO29" s="4">
        <v>783281.84375</v>
      </c>
      <c r="AP29" s="4">
        <v>12457.625</v>
      </c>
      <c r="AQ29" s="4">
        <v>51914232</v>
      </c>
      <c r="AR29" s="4">
        <v>4198400</v>
      </c>
      <c r="AS29" s="4">
        <v>1501824</v>
      </c>
      <c r="AT29" s="4">
        <v>46214008</v>
      </c>
      <c r="AU29" s="4">
        <v>71.463471874999996</v>
      </c>
      <c r="AV29" s="4">
        <v>74.904015625</v>
      </c>
      <c r="AW29" s="4">
        <v>36.553334374999999</v>
      </c>
      <c r="AX29" s="4">
        <v>39.619340625</v>
      </c>
      <c r="AY29" s="4">
        <v>39.013768749999997</v>
      </c>
      <c r="AZ29" s="4">
        <v>2957.37</v>
      </c>
      <c r="BA29" s="4">
        <v>2383.42</v>
      </c>
      <c r="BB29" s="4">
        <v>8.2639999999999993</v>
      </c>
      <c r="BC29" s="4">
        <v>29.86</v>
      </c>
      <c r="BE29" s="43">
        <f t="shared" si="14"/>
        <v>4.0985406793427916E-4</v>
      </c>
      <c r="BF29" s="43">
        <f t="shared" si="15"/>
        <v>-4.2068040069287438E-5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4.740253328054933E-2</v>
      </c>
      <c r="K30" s="56">
        <f>AVERAGE(K5:K24)</f>
        <v>1.3692464618547812E-2</v>
      </c>
      <c r="L30" s="56">
        <f>AVERAGE(L5:L24)</f>
        <v>9.317799361451818E-3</v>
      </c>
      <c r="M30" s="56">
        <f>AVERAGE(M5:M24)</f>
        <v>3.3707624066931466E-2</v>
      </c>
      <c r="AH30" s="56">
        <f>AVERAGE(AH5:AH24)</f>
        <v>4.7422352669548709E-2</v>
      </c>
      <c r="AI30" s="56">
        <f>AVERAGE(AI5:AI24)</f>
        <v>1.3684615133352059E-2</v>
      </c>
      <c r="AJ30" s="56">
        <f>AVERAGE(AJ5:AJ24)</f>
        <v>9.317799361451818E-3</v>
      </c>
      <c r="AK30" s="56">
        <f>AVERAGE(AK5:AK24)</f>
        <v>3.3737737536196633E-2</v>
      </c>
      <c r="BG30" s="8">
        <f>AVERAGE(BG5:BG24)</f>
        <v>-2.6636395020060433E-4</v>
      </c>
      <c r="BI30" s="5">
        <f>AVERAGE(BI5:BI24)</f>
        <v>-1.7427750356490967E-3</v>
      </c>
      <c r="BJ30" s="5">
        <f>AVERAGE(BJ5:BJ24)</f>
        <v>-4.3401660850700685E-3</v>
      </c>
      <c r="BK30" s="5">
        <f>AVERAGE(BK5:BK24)</f>
        <v>1.9806284107466432E-3</v>
      </c>
      <c r="BL30" s="5">
        <f>AVERAGE(BL5:BL24)</f>
        <v>2.801364151459762E-3</v>
      </c>
      <c r="BM30" s="5">
        <f>AVERAGE(BM5:BM24)</f>
        <v>3.0612228453871793E-3</v>
      </c>
      <c r="BO30" s="5">
        <f>AVERAGE(BO5:BO24)</f>
        <v>-3.3686871513904371E-3</v>
      </c>
      <c r="BP30" s="5">
        <f>AVERAGE(BP5:BP24)</f>
        <v>-8.1548968257619814E-3</v>
      </c>
      <c r="BQ30" s="5">
        <f>AVERAGE(BQ5:BQ24)</f>
        <v>1.2687359530838549E-3</v>
      </c>
      <c r="BR30" s="5">
        <f>AVERAGE(BR5:BR24)</f>
        <v>2.0086340660722679E-3</v>
      </c>
      <c r="BS30" s="5">
        <f>AVERAGE(BS5:BS24)</f>
        <v>1.9059397339032391E-3</v>
      </c>
    </row>
    <row r="31" spans="1:71" x14ac:dyDescent="0.3">
      <c r="B31" s="55" t="s">
        <v>287</v>
      </c>
      <c r="J31" s="56">
        <f>AVERAGE(J25:J29)</f>
        <v>8.8596864633689917E-2</v>
      </c>
      <c r="K31" s="56">
        <f>AVERAGE(K25:K29)</f>
        <v>1.2648059637183837E-2</v>
      </c>
      <c r="L31" s="56">
        <f>AVERAGE(L25:L29)</f>
        <v>8.8639745306192848E-3</v>
      </c>
      <c r="M31" s="56">
        <f>AVERAGE(M25:M29)</f>
        <v>7.5946343896489132E-2</v>
      </c>
      <c r="AH31" s="56">
        <f>AVERAGE(AH25:AH29)</f>
        <v>8.8594793474195146E-2</v>
      </c>
      <c r="AI31" s="56">
        <f>AVERAGE(AI25:AI29)</f>
        <v>1.2642434265716545E-2</v>
      </c>
      <c r="AJ31" s="56">
        <f>AVERAGE(AJ25:AJ29)</f>
        <v>8.8639745306192848E-3</v>
      </c>
      <c r="AK31" s="56">
        <f>AVERAGE(AK25:AK29)</f>
        <v>7.5952359208478593E-2</v>
      </c>
      <c r="BG31" s="8">
        <f>AVERAGE(BG25:BG29)</f>
        <v>-9.5317151934948274E-6</v>
      </c>
      <c r="BI31" s="5">
        <f>AVERAGE(BI25:BI29)</f>
        <v>-1.3414765741149859E-3</v>
      </c>
      <c r="BJ31" s="5">
        <f>AVERAGE(BJ25:BJ29)</f>
        <v>-3.1919552862381684E-3</v>
      </c>
      <c r="BK31" s="5">
        <f>AVERAGE(BK25:BK29)</f>
        <v>-2.5120278360457604E-4</v>
      </c>
      <c r="BL31" s="5">
        <f>AVERAGE(BL25:BL29)</f>
        <v>9.3173890494324674E-4</v>
      </c>
      <c r="BM31" s="5">
        <f>AVERAGE(BM25:BM29)</f>
        <v>5.185293599527796E-4</v>
      </c>
      <c r="BO31" s="5">
        <f>AVERAGE(BO25:BO29)</f>
        <v>-2.8321781289570858E-3</v>
      </c>
      <c r="BP31" s="5">
        <f>AVERAGE(BP25:BP29)</f>
        <v>-7.1332156059622509E-3</v>
      </c>
      <c r="BQ31" s="5">
        <f>AVERAGE(BQ25:BQ29)</f>
        <v>-3.35401586315065E-4</v>
      </c>
      <c r="BR31" s="5">
        <f>AVERAGE(BR25:BR29)</f>
        <v>7.1508095080985434E-4</v>
      </c>
      <c r="BS31" s="5">
        <f>AVERAGE(BS25:BS29)</f>
        <v>3.1951844280042607E-4</v>
      </c>
    </row>
    <row r="32" spans="1:71" collapsed="1" x14ac:dyDescent="0.3">
      <c r="B32" s="55" t="s">
        <v>288</v>
      </c>
      <c r="J32" s="56">
        <f>AVERAGE(J5:J29)</f>
        <v>5.5641399551177445E-2</v>
      </c>
      <c r="K32" s="56">
        <f>AVERAGE(K5:K29)</f>
        <v>1.3483583622275017E-2</v>
      </c>
      <c r="L32" s="56">
        <f>AVERAGE(L5:L29)</f>
        <v>9.2270343952853117E-3</v>
      </c>
      <c r="M32" s="56">
        <f>AVERAGE(M5:M29)</f>
        <v>4.2155368032842998E-2</v>
      </c>
      <c r="AH32" s="56">
        <f>AVERAGE(AH5:AH29)</f>
        <v>5.5656840830477991E-2</v>
      </c>
      <c r="AI32" s="56">
        <f>AVERAGE(AI5:AI29)</f>
        <v>1.3476178959824957E-2</v>
      </c>
      <c r="AJ32" s="56">
        <f>AVERAGE(AJ5:AJ29)</f>
        <v>9.2270343952853117E-3</v>
      </c>
      <c r="AK32" s="56">
        <f>AVERAGE(AK5:AK29)</f>
        <v>4.2180661870653023E-2</v>
      </c>
      <c r="BG32" s="8">
        <f>AVERAGE(BG5:BG29)</f>
        <v>-2.1499750319918244E-4</v>
      </c>
      <c r="BI32" s="5">
        <f>AVERAGE(BI5:BI29)</f>
        <v>-1.6625153433422746E-3</v>
      </c>
      <c r="BJ32" s="5">
        <f>AVERAGE(BJ5:BJ29)</f>
        <v>-4.1105239253036883E-3</v>
      </c>
      <c r="BK32" s="5">
        <f>AVERAGE(BK5:BK29)</f>
        <v>1.5342621718763994E-3</v>
      </c>
      <c r="BL32" s="5">
        <f>AVERAGE(BL5:BL29)</f>
        <v>2.4274391021564591E-3</v>
      </c>
      <c r="BM32" s="5">
        <f>AVERAGE(BM5:BM29)</f>
        <v>2.5526841483002995E-3</v>
      </c>
      <c r="BO32" s="5">
        <f>AVERAGE(BO5:BO29)</f>
        <v>-3.2613853469037669E-3</v>
      </c>
      <c r="BP32" s="5">
        <f>AVERAGE(BP5:BP29)</f>
        <v>-7.950560581802036E-3</v>
      </c>
      <c r="BQ32" s="5">
        <f>AVERAGE(BQ5:BQ29)</f>
        <v>9.4790844520407089E-4</v>
      </c>
      <c r="BR32" s="5">
        <f>AVERAGE(BR5:BR29)</f>
        <v>1.7499234430197852E-3</v>
      </c>
      <c r="BS32" s="5">
        <f>AVERAGE(BS5:BS29)</f>
        <v>1.5886554756826764E-3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77174.309999999983</v>
      </c>
      <c r="AC33" s="57">
        <f>SUM(AC5:AC24,AC25:AC29)</f>
        <v>29249.841000000004</v>
      </c>
      <c r="AD33" s="57">
        <f>SUM(AD5:AD24,AD25:AD29)</f>
        <v>279.75</v>
      </c>
      <c r="AE33" s="57">
        <f>SUM(AE5:AE24,AE25:AE29)</f>
        <v>426.85099999999994</v>
      </c>
      <c r="AZ33" s="57">
        <f>SUM(AZ5:AZ24,AZ25:AZ29)</f>
        <v>79318.419999999984</v>
      </c>
      <c r="BA33" s="57">
        <f>SUM(BA5:BA24,BA25:BA29)</f>
        <v>41924.129999999997</v>
      </c>
      <c r="BB33" s="57">
        <f>SUM(BB5:BB24,BB25:BB29)</f>
        <v>208.298</v>
      </c>
      <c r="BC33" s="57">
        <f>SUM(BC5:BC24,BC25:BC29)</f>
        <v>649.96799999999996</v>
      </c>
    </row>
    <row r="34" spans="1:55" hidden="1" outlineLevel="2" x14ac:dyDescent="0.3">
      <c r="B34" s="55" t="s">
        <v>291</v>
      </c>
      <c r="AZ34" s="8">
        <f>AZ33/AB33</f>
        <v>1.0277826908980463</v>
      </c>
      <c r="BA34" s="8">
        <f>BA33/AC33</f>
        <v>1.4333113810772506</v>
      </c>
      <c r="BB34" s="8">
        <f>BB33/AD33</f>
        <v>0.74458623771224308</v>
      </c>
      <c r="BC34" s="8">
        <f>BC33/AE33</f>
        <v>1.522704644009268</v>
      </c>
    </row>
    <row r="35" spans="1:55" hidden="1" outlineLevel="2" x14ac:dyDescent="0.3">
      <c r="B35" s="55" t="s">
        <v>292</v>
      </c>
      <c r="AB35" s="57">
        <f>GEOMEAN(AB5:AB24,AB25:AB29)</f>
        <v>3004.8494197032619</v>
      </c>
      <c r="AC35" s="57">
        <f>GEOMEAN(AC5:AC24,AC25:AC29)</f>
        <v>1116.7090000027927</v>
      </c>
      <c r="AD35" s="57">
        <f>GEOMEAN(AD5:AD24,AD25:AD29)</f>
        <v>10.869759488978067</v>
      </c>
      <c r="AE35" s="57">
        <f>GEOMEAN(AE5:AE24,AE25:AE29)</f>
        <v>16.473765140389098</v>
      </c>
      <c r="AZ35" s="57">
        <f>GEOMEAN(AZ5:AZ24,AZ25:AZ29)</f>
        <v>3132.3644330256816</v>
      </c>
      <c r="BA35" s="57">
        <f>GEOMEAN(BA5:BA24,BA25:BA29)</f>
        <v>1652.2865261069819</v>
      </c>
      <c r="BB35" s="57">
        <f>GEOMEAN(BB5:BB24,BB25:BB29)</f>
        <v>8.2529480486113656</v>
      </c>
      <c r="BC35" s="57">
        <f>GEOMEAN(BC5:BC24,BC25:BC29)</f>
        <v>25.798225807243703</v>
      </c>
    </row>
    <row r="36" spans="1:55" outlineLevel="2" collapsed="1" x14ac:dyDescent="0.3">
      <c r="B36" s="55" t="s">
        <v>293</v>
      </c>
      <c r="AZ36" s="8">
        <f>AZ35/AB35</f>
        <v>1.0424364071245249</v>
      </c>
      <c r="BA36" s="8">
        <f>BA35/AC35</f>
        <v>1.479603483183936</v>
      </c>
      <c r="BB36" s="8">
        <f>BB35/AD35</f>
        <v>0.75925765027090553</v>
      </c>
      <c r="BC36" s="8">
        <f>BC35/AE35</f>
        <v>1.5660187933597292</v>
      </c>
    </row>
    <row r="39" spans="1:55" x14ac:dyDescent="0.3"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1:55" x14ac:dyDescent="0.3"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1:55" x14ac:dyDescent="0.3"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</row>
    <row r="42" spans="1:55" x14ac:dyDescent="0.3"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</row>
    <row r="43" spans="1:55" x14ac:dyDescent="0.3"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</row>
    <row r="44" spans="1:55" x14ac:dyDescent="0.3"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</row>
    <row r="45" spans="1:55" x14ac:dyDescent="0.3"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</row>
    <row r="46" spans="1:55" x14ac:dyDescent="0.3"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</row>
    <row r="47" spans="1:55" x14ac:dyDescent="0.3"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</row>
    <row r="48" spans="1:55" x14ac:dyDescent="0.3"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</row>
    <row r="49" spans="15:55" x14ac:dyDescent="0.3"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</row>
    <row r="50" spans="15:55" x14ac:dyDescent="0.3"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</row>
    <row r="51" spans="15:55" x14ac:dyDescent="0.3"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</row>
    <row r="52" spans="15:55" x14ac:dyDescent="0.3"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</row>
    <row r="53" spans="15:55" x14ac:dyDescent="0.3"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</row>
    <row r="54" spans="15:55" x14ac:dyDescent="0.3"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</row>
    <row r="55" spans="15:55" x14ac:dyDescent="0.3"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15:55" x14ac:dyDescent="0.3"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15:55" x14ac:dyDescent="0.3"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15:55" x14ac:dyDescent="0.3"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15:55" x14ac:dyDescent="0.3"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</row>
    <row r="60" spans="15:55" x14ac:dyDescent="0.3"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</row>
    <row r="61" spans="15:55" x14ac:dyDescent="0.3"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</row>
    <row r="62" spans="15:55" x14ac:dyDescent="0.3"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15:55" x14ac:dyDescent="0.3"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15:55" x14ac:dyDescent="0.3"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  <row r="65" spans="15:55" x14ac:dyDescent="0.3"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</row>
    <row r="66" spans="15:55" x14ac:dyDescent="0.3"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</row>
    <row r="67" spans="15:55" x14ac:dyDescent="0.3"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/>
  </sheetPr>
  <dimension ref="A1:BS36"/>
  <sheetViews>
    <sheetView topLeftCell="A39" zoomScale="85" zoomScaleNormal="85" workbookViewId="0">
      <pane xSplit="2" topLeftCell="AT1" activePane="topRight" state="frozen"/>
      <selection pane="topRight" activeCell="AM39" sqref="AM39:BC63"/>
    </sheetView>
  </sheetViews>
  <sheetFormatPr defaultRowHeight="14.4" outlineLevelRow="2" x14ac:dyDescent="0.3"/>
  <cols>
    <col min="1" max="1" width="8.88671875" style="4"/>
    <col min="2" max="2" width="24.6640625" style="4" customWidth="1"/>
    <col min="3" max="3" width="8.88671875" style="4"/>
    <col min="4" max="5" width="10.6640625" style="4" customWidth="1"/>
    <col min="6" max="7" width="8.88671875" style="4"/>
    <col min="8" max="8" width="1.6640625" style="4" customWidth="1"/>
    <col min="9" max="9" width="8.88671875" style="4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18" width="8.88671875" style="4"/>
    <col min="19" max="22" width="12.6640625" style="4" customWidth="1"/>
    <col min="23" max="27" width="11.6640625" style="4" customWidth="1"/>
    <col min="28" max="31" width="8.88671875" style="4"/>
    <col min="32" max="32" width="1.6640625" style="4" customWidth="1"/>
    <col min="33" max="33" width="8.88671875" style="4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1" max="42" width="8.88671875" style="4"/>
    <col min="43" max="46" width="12.6640625" style="4" customWidth="1"/>
    <col min="47" max="51" width="11.6640625" style="4" customWidth="1"/>
    <col min="52" max="55" width="8.88671875" style="4"/>
    <col min="56" max="56" width="1.6640625" style="4" customWidth="1"/>
    <col min="57" max="59" width="8.88671875" style="4"/>
    <col min="60" max="60" width="1.6640625" style="4" customWidth="1"/>
    <col min="61" max="62" width="8.88671875" style="4"/>
    <col min="63" max="65" width="11.6640625" style="4" customWidth="1"/>
    <col min="66" max="66" width="1.6640625" style="4" customWidth="1"/>
    <col min="67" max="68" width="8.88671875" style="4"/>
    <col min="69" max="71" width="11.6640625" style="4" customWidth="1"/>
    <col min="72" max="72" width="1.6640625" style="4" customWidth="1"/>
    <col min="73" max="16384" width="8.88671875" style="4"/>
  </cols>
  <sheetData>
    <row r="1" spans="1:71" x14ac:dyDescent="0.3">
      <c r="A1" s="71" t="s">
        <v>259</v>
      </c>
      <c r="B1" s="71"/>
      <c r="C1" s="71"/>
      <c r="D1" s="71"/>
      <c r="E1" s="71"/>
      <c r="F1" s="71"/>
      <c r="G1" s="71"/>
      <c r="I1" s="67" t="s">
        <v>549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G1" s="68" t="s">
        <v>550</v>
      </c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</row>
    <row r="2" spans="1:71" ht="30" customHeight="1" thickBot="1" x14ac:dyDescent="0.35">
      <c r="A2" s="73" t="s">
        <v>91</v>
      </c>
      <c r="B2" s="72" t="s">
        <v>94</v>
      </c>
      <c r="C2" s="73" t="s">
        <v>97</v>
      </c>
      <c r="D2" s="72" t="s">
        <v>100</v>
      </c>
      <c r="E2" s="73" t="s">
        <v>103</v>
      </c>
      <c r="F2" s="72" t="s">
        <v>106</v>
      </c>
      <c r="G2" s="73" t="s">
        <v>109</v>
      </c>
      <c r="I2" s="72" t="s">
        <v>112</v>
      </c>
      <c r="J2" s="70" t="s">
        <v>115</v>
      </c>
      <c r="K2" s="70"/>
      <c r="L2" s="70"/>
      <c r="M2" s="70"/>
      <c r="N2" s="73" t="s">
        <v>128</v>
      </c>
      <c r="O2" s="72" t="s">
        <v>131</v>
      </c>
      <c r="P2" s="73" t="s">
        <v>22</v>
      </c>
      <c r="Q2" s="72" t="s">
        <v>24</v>
      </c>
      <c r="R2" s="73" t="s">
        <v>20</v>
      </c>
      <c r="S2" s="69" t="s">
        <v>140</v>
      </c>
      <c r="T2" s="69"/>
      <c r="U2" s="69"/>
      <c r="V2" s="69"/>
      <c r="W2" s="70" t="s">
        <v>151</v>
      </c>
      <c r="X2" s="70"/>
      <c r="Y2" s="69" t="s">
        <v>158</v>
      </c>
      <c r="Z2" s="69"/>
      <c r="AA2" s="69"/>
      <c r="AB2" s="70" t="s">
        <v>168</v>
      </c>
      <c r="AC2" s="70"/>
      <c r="AD2" s="69" t="s">
        <v>175</v>
      </c>
      <c r="AE2" s="69"/>
      <c r="AG2" s="73" t="s">
        <v>112</v>
      </c>
      <c r="AH2" s="69" t="s">
        <v>115</v>
      </c>
      <c r="AI2" s="69"/>
      <c r="AJ2" s="69"/>
      <c r="AK2" s="69"/>
      <c r="AL2" s="72" t="s">
        <v>190</v>
      </c>
      <c r="AM2" s="73" t="s">
        <v>131</v>
      </c>
      <c r="AN2" s="72" t="s">
        <v>22</v>
      </c>
      <c r="AO2" s="73" t="s">
        <v>24</v>
      </c>
      <c r="AP2" s="72" t="s">
        <v>20</v>
      </c>
      <c r="AQ2" s="70" t="s">
        <v>140</v>
      </c>
      <c r="AR2" s="70"/>
      <c r="AS2" s="70"/>
      <c r="AT2" s="70"/>
      <c r="AU2" s="69" t="s">
        <v>151</v>
      </c>
      <c r="AV2" s="69"/>
      <c r="AW2" s="70" t="s">
        <v>158</v>
      </c>
      <c r="AX2" s="70"/>
      <c r="AY2" s="70"/>
      <c r="AZ2" s="69" t="s">
        <v>168</v>
      </c>
      <c r="BA2" s="69"/>
      <c r="BB2" s="70" t="s">
        <v>175</v>
      </c>
      <c r="BC2" s="70"/>
      <c r="BE2" s="72" t="s">
        <v>227</v>
      </c>
      <c r="BF2" s="73" t="s">
        <v>230</v>
      </c>
      <c r="BG2" s="72" t="s">
        <v>230</v>
      </c>
      <c r="BI2" s="70" t="s">
        <v>235</v>
      </c>
      <c r="BJ2" s="70"/>
      <c r="BK2" s="69" t="s">
        <v>240</v>
      </c>
      <c r="BL2" s="69"/>
      <c r="BM2" s="69"/>
      <c r="BO2" s="70" t="s">
        <v>247</v>
      </c>
      <c r="BP2" s="70"/>
      <c r="BQ2" s="69" t="s">
        <v>252</v>
      </c>
      <c r="BR2" s="69"/>
      <c r="BS2" s="69"/>
    </row>
    <row r="3" spans="1:71" ht="15" thickBot="1" x14ac:dyDescent="0.35">
      <c r="A3" s="73"/>
      <c r="B3" s="72"/>
      <c r="C3" s="73"/>
      <c r="D3" s="72"/>
      <c r="E3" s="73"/>
      <c r="F3" s="72"/>
      <c r="G3" s="73"/>
      <c r="I3" s="72"/>
      <c r="J3" s="59" t="s">
        <v>116</v>
      </c>
      <c r="K3" s="59" t="s">
        <v>119</v>
      </c>
      <c r="L3" s="59" t="s">
        <v>122</v>
      </c>
      <c r="M3" s="59" t="s">
        <v>125</v>
      </c>
      <c r="N3" s="73"/>
      <c r="O3" s="72"/>
      <c r="P3" s="73"/>
      <c r="Q3" s="72"/>
      <c r="R3" s="73"/>
      <c r="S3" s="60" t="s">
        <v>116</v>
      </c>
      <c r="T3" s="60" t="s">
        <v>122</v>
      </c>
      <c r="U3" s="60" t="s">
        <v>145</v>
      </c>
      <c r="V3" s="60" t="s">
        <v>148</v>
      </c>
      <c r="W3" s="59" t="s">
        <v>152</v>
      </c>
      <c r="X3" s="59" t="s">
        <v>155</v>
      </c>
      <c r="Y3" s="60" t="s">
        <v>159</v>
      </c>
      <c r="Z3" s="60" t="s">
        <v>162</v>
      </c>
      <c r="AA3" s="60" t="s">
        <v>165</v>
      </c>
      <c r="AB3" s="59" t="s">
        <v>169</v>
      </c>
      <c r="AC3" s="59" t="s">
        <v>172</v>
      </c>
      <c r="AD3" s="60" t="s">
        <v>169</v>
      </c>
      <c r="AE3" s="60" t="s">
        <v>172</v>
      </c>
      <c r="AG3" s="73"/>
      <c r="AH3" s="60" t="s">
        <v>116</v>
      </c>
      <c r="AI3" s="60" t="s">
        <v>119</v>
      </c>
      <c r="AJ3" s="60" t="s">
        <v>122</v>
      </c>
      <c r="AK3" s="60" t="s">
        <v>125</v>
      </c>
      <c r="AL3" s="72"/>
      <c r="AM3" s="73"/>
      <c r="AN3" s="72"/>
      <c r="AO3" s="73"/>
      <c r="AP3" s="72"/>
      <c r="AQ3" s="59" t="s">
        <v>116</v>
      </c>
      <c r="AR3" s="59" t="s">
        <v>122</v>
      </c>
      <c r="AS3" s="59" t="s">
        <v>145</v>
      </c>
      <c r="AT3" s="59" t="s">
        <v>148</v>
      </c>
      <c r="AU3" s="60" t="s">
        <v>152</v>
      </c>
      <c r="AV3" s="60" t="s">
        <v>155</v>
      </c>
      <c r="AW3" s="59" t="s">
        <v>159</v>
      </c>
      <c r="AX3" s="59" t="s">
        <v>162</v>
      </c>
      <c r="AY3" s="59" t="s">
        <v>165</v>
      </c>
      <c r="AZ3" s="60" t="s">
        <v>169</v>
      </c>
      <c r="BA3" s="60" t="s">
        <v>172</v>
      </c>
      <c r="BB3" s="59" t="s">
        <v>169</v>
      </c>
      <c r="BC3" s="59" t="s">
        <v>172</v>
      </c>
      <c r="BE3" s="72"/>
      <c r="BF3" s="73"/>
      <c r="BG3" s="72"/>
      <c r="BI3" s="59" t="s">
        <v>152</v>
      </c>
      <c r="BJ3" s="59" t="s">
        <v>155</v>
      </c>
      <c r="BK3" s="60" t="s">
        <v>159</v>
      </c>
      <c r="BL3" s="60" t="s">
        <v>162</v>
      </c>
      <c r="BM3" s="60" t="s">
        <v>165</v>
      </c>
      <c r="BO3" s="59" t="s">
        <v>152</v>
      </c>
      <c r="BP3" s="59" t="s">
        <v>155</v>
      </c>
      <c r="BQ3" s="60" t="s">
        <v>159</v>
      </c>
      <c r="BR3" s="60" t="s">
        <v>162</v>
      </c>
      <c r="BS3" s="60" t="s">
        <v>165</v>
      </c>
    </row>
    <row r="4" spans="1:71" ht="124.2" hidden="1" thickBot="1" x14ac:dyDescent="0.3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0.1288176</v>
      </c>
      <c r="J5" s="18">
        <f t="shared" ref="J5:J29" si="1">IF(ISBLANK(S5),"·",S5/D5)</f>
        <v>5.4091770804958368E-3</v>
      </c>
      <c r="K5" s="18">
        <f t="shared" ref="K5:K29" si="2">IF(N5="","·",N5/D5)</f>
        <v>4.5464136384917968E-3</v>
      </c>
      <c r="L5" s="18">
        <f t="shared" ref="L5:L29" si="3">IF(T5="","·",T5/D5)</f>
        <v>2.7255840295308106E-3</v>
      </c>
      <c r="M5" s="18">
        <f t="shared" ref="M5:M29" si="4">IF(ISBLANK(V5),"·",V5/D5)</f>
        <v>8.6017679772438789E-4</v>
      </c>
      <c r="N5" s="15">
        <f t="shared" ref="N5:N29" si="5">IF(OR(ISBLANK(T5),ISBLANK(U5)),"",T5+U5)</f>
        <v>1082712</v>
      </c>
      <c r="O5" s="18">
        <f t="shared" ref="O5:O29" si="6">IF(ISBLANK(S5),"·",S5/P5)</f>
        <v>5.5280819953168782E-2</v>
      </c>
      <c r="P5" s="19">
        <v>23302404</v>
      </c>
      <c r="Q5" s="19">
        <v>728200.125</v>
      </c>
      <c r="R5" s="19">
        <v>16212.03125</v>
      </c>
      <c r="S5" s="20">
        <v>1288176</v>
      </c>
      <c r="T5" s="20">
        <v>649088</v>
      </c>
      <c r="U5" s="20">
        <v>433624</v>
      </c>
      <c r="V5" s="20">
        <v>204848</v>
      </c>
      <c r="W5" s="21">
        <v>66.750615999999994</v>
      </c>
      <c r="X5" s="21">
        <v>68.466491000000005</v>
      </c>
      <c r="Y5" s="21">
        <v>31.668503000000001</v>
      </c>
      <c r="Z5" s="21">
        <v>44.340691</v>
      </c>
      <c r="AA5" s="21">
        <v>43.451672000000002</v>
      </c>
      <c r="AB5" s="22">
        <v>3200.83</v>
      </c>
      <c r="AC5" s="22">
        <v>2951.93</v>
      </c>
      <c r="AD5" s="22">
        <v>11.782</v>
      </c>
      <c r="AE5" s="22">
        <v>17.457000000000001</v>
      </c>
      <c r="AG5" s="17">
        <f t="shared" ref="AG5:AG29" si="7">IF(OR(ISBLANK(AQ5),ISBLANK(G5)),"·",AQ5*G5/F5/1000000)</f>
        <v>0.128972</v>
      </c>
      <c r="AH5" s="18">
        <f t="shared" ref="AH5:AH29" si="8">IF(ISBLANK(AQ5),"·",AQ5/D5)</f>
        <v>5.4156604875863941E-3</v>
      </c>
      <c r="AI5" s="18">
        <f t="shared" ref="AI5:AI29" si="9">IF(AL5="","·",AL5/D5)</f>
        <v>4.5595148238043214E-3</v>
      </c>
      <c r="AJ5" s="18">
        <f t="shared" ref="AJ5:AJ29" si="10">IF(AR5="","·",AR5/D5)</f>
        <v>2.7255840295308106E-3</v>
      </c>
      <c r="AK5" s="18">
        <f t="shared" ref="AK5:AK29" si="11">IF(ISBLANK(AT5),"·",AT5/D5)</f>
        <v>8.561456637820726E-4</v>
      </c>
      <c r="AL5" s="15">
        <f t="shared" ref="AL5:AL29" si="12">IF(OR(ISBLANK(AR5),ISBLANK(AS5)),"",AR5+AS5)</f>
        <v>1085832</v>
      </c>
      <c r="AM5" s="18">
        <f t="shared" ref="AM5:AM29" si="13">IF(ISBLANK(AQ5),"·",AQ5/AN5)</f>
        <v>5.5347079211226446E-2</v>
      </c>
      <c r="AN5" s="4">
        <v>23302404</v>
      </c>
      <c r="AO5" s="4">
        <v>728200.125</v>
      </c>
      <c r="AP5" s="4">
        <v>16826.25</v>
      </c>
      <c r="AQ5" s="4">
        <v>1289720</v>
      </c>
      <c r="AR5" s="4">
        <v>649088</v>
      </c>
      <c r="AS5" s="4">
        <v>436744</v>
      </c>
      <c r="AT5" s="4">
        <v>203888</v>
      </c>
      <c r="AU5" s="4">
        <v>66.752006249999994</v>
      </c>
      <c r="AV5" s="4">
        <v>68.487637500000005</v>
      </c>
      <c r="AW5" s="4">
        <v>31.688140624999999</v>
      </c>
      <c r="AX5" s="4">
        <v>44.365662499999999</v>
      </c>
      <c r="AY5" s="4">
        <v>43.64815625</v>
      </c>
      <c r="AZ5" s="4">
        <v>2384.48</v>
      </c>
      <c r="BA5" s="4">
        <v>2765.98</v>
      </c>
      <c r="BB5" s="4">
        <v>5.8330000000000002</v>
      </c>
      <c r="BC5" s="4">
        <v>17.927</v>
      </c>
      <c r="BE5" s="23">
        <f t="shared" ref="BE5:BE29" si="14">(AP5/AO5) - (R5/Q5)</f>
        <v>8.4347520539082566E-4</v>
      </c>
      <c r="BF5" s="23">
        <f t="shared" ref="BF5:BF29" si="15">(AL5/AQ5) - (N5/S5)</f>
        <v>1.4129174655748145E-3</v>
      </c>
      <c r="BG5" s="23">
        <f t="array" ref="BG5">AVERAGE(AL5:AL9/AQ5:AQ9) - AVERAGE(N5:N9/S5:S9)</f>
        <v>2.5313958245110069E-4</v>
      </c>
      <c r="BI5" s="24">
        <f>IF( OR(ISBLANK(N5:N9),ISBLANK(AL5:AL9), ISBLANK(W5:W9),ISBLANK(AU5:AU9)), "·", bdRateExtend( N5:N9,W5:W9, AL5:AL9,AU5:AU9))</f>
        <v>6.9078037515168944E-4</v>
      </c>
      <c r="BJ5" s="24">
        <f>IF( OR(ISBLANK(N5:N9),ISBLANK(AL5:AL9), ISBLANK(X5:X9),ISBLANK(AV5:AV9)), "·", bdRateExtend( N5:N9,X5:X9, AL5:AL9,AV5:AV9))</f>
        <v>-2.1285523334959588E-3</v>
      </c>
      <c r="BK5" s="24">
        <f>IF( OR(ISBLANK(V5:V9),ISBLANK(AT5:AT9), ISBLANK(Y5:Y9),ISBLANK(AW5:AW9)), "·", bdRateExtend( V5:V9,Y5:Y9, AT5:AT9,AW5:AW9))</f>
        <v>1.7083366888703821E-3</v>
      </c>
      <c r="BL5" s="24">
        <f>IF( OR(ISBLANK(V5:V9),ISBLANK(AT5:AT9), ISBLANK(Z5:Z9),ISBLANK(AX5:AX9)), "·", bdRateExtend( V5:V9,Z5:Z9, AT5:AT9,AX5:AX9))</f>
        <v>2.2482035828456093E-2</v>
      </c>
      <c r="BM5" s="24">
        <f>IF( OR(ISBLANK(V5:V9),ISBLANK(AT5:AT9), ISBLANK(AA5:AA9),ISBLANK(AY5:AY9)), "·", bdRateExtend( V5:V9,AA5:AA9, AT5:AT9,AY5:AY9))</f>
        <v>-1.8825589300285106E-2</v>
      </c>
      <c r="BO5" s="24">
        <f>IF( OR(ISBLANK(S5:S9),ISBLANK(AQ5:AQ9), ISBLANK(W5:W9),ISBLANK(AU5:AU9)), "·", bdRateExtend( S5:S9,W5:W9, AQ5:AQ9,AU5:AU9))</f>
        <v>-4.0637333475157522E-4</v>
      </c>
      <c r="BP5" s="24">
        <f>IF( OR(ISBLANK(S5:S9),ISBLANK(AQ5:AQ9), ISBLANK(X5:X9),ISBLANK(AV5:AV9)), "·", bdRateExtend( S5:S9,X5:X9, AQ5:AQ9,AV5:AV9))</f>
        <v>-4.6005452418376169E-3</v>
      </c>
      <c r="BQ5" s="24">
        <f>IF( OR(ISBLANK(S5:S9),ISBLANK(AQ5:AQ9), ISBLANK(Y5:Y9),ISBLANK(AW5:AW9)), "·", bdRateExtend( S5:S9,Y5:Y9, AQ5:AQ9,AW5:AW9))</f>
        <v>2.003734980934091E-3</v>
      </c>
      <c r="BR5" s="24">
        <f>IF( OR(ISBLANK(S5:S9),ISBLANK(AQ5:AQ9), ISBLANK(Z5:Z9),ISBLANK(AX5:AX9)), "·", bdRateExtend( S5:S9,Z5:Z9, AQ5:AQ9,AX5:AX9))</f>
        <v>1.0499175002768535E-2</v>
      </c>
      <c r="BS5" s="24">
        <f>IF( OR(ISBLANK(S5:S9),ISBLANK(AQ5:AQ9), ISBLANK(AA5:AA9),ISBLANK(AY5:AY9)), "·", bdRateExtend( S5:S9,AA5:AA9, AQ5:AQ9,AY5:AY9))</f>
        <v>-9.3040109640485369E-3</v>
      </c>
    </row>
    <row r="6" spans="1:71" outlineLevel="1" x14ac:dyDescent="0.3">
      <c r="A6" s="25"/>
      <c r="B6" s="25" t="s">
        <v>264</v>
      </c>
      <c r="C6" s="26" t="s">
        <v>267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0.16545599999999999</v>
      </c>
      <c r="J6" s="28">
        <f t="shared" si="1"/>
        <v>6.9476593495804853E-3</v>
      </c>
      <c r="K6" s="28">
        <f t="shared" si="2"/>
        <v>5.4336326264125502E-3</v>
      </c>
      <c r="L6" s="28">
        <f t="shared" si="3"/>
        <v>3.612803017451564E-3</v>
      </c>
      <c r="M6" s="28">
        <f t="shared" si="4"/>
        <v>1.5114400788882835E-3</v>
      </c>
      <c r="N6" s="25">
        <f t="shared" si="5"/>
        <v>1294000</v>
      </c>
      <c r="O6" s="28">
        <f t="shared" si="6"/>
        <v>6.7176417511081582E-2</v>
      </c>
      <c r="P6" s="29">
        <v>24630072</v>
      </c>
      <c r="Q6" s="29">
        <v>769689.75</v>
      </c>
      <c r="R6" s="29">
        <v>19807.3125</v>
      </c>
      <c r="S6" s="30">
        <v>1654560</v>
      </c>
      <c r="T6" s="30">
        <v>860376</v>
      </c>
      <c r="U6" s="30">
        <v>433624</v>
      </c>
      <c r="V6" s="30">
        <v>359944</v>
      </c>
      <c r="W6" s="31">
        <v>68.474655999999996</v>
      </c>
      <c r="X6" s="31">
        <v>70.500003000000007</v>
      </c>
      <c r="Y6" s="31">
        <v>33.831905999999996</v>
      </c>
      <c r="Z6" s="31">
        <v>45.376818999999998</v>
      </c>
      <c r="AA6" s="31">
        <v>44.926994000000001</v>
      </c>
      <c r="AB6" s="32">
        <v>2356.9299999999998</v>
      </c>
      <c r="AC6" s="32">
        <v>2122.3200000000002</v>
      </c>
      <c r="AD6" s="32">
        <v>8.9779999999999998</v>
      </c>
      <c r="AE6" s="32">
        <v>11.548</v>
      </c>
      <c r="AG6" s="27">
        <f t="shared" si="7"/>
        <v>0.16567999999999999</v>
      </c>
      <c r="AH6" s="28">
        <f t="shared" si="8"/>
        <v>6.957065328779221E-3</v>
      </c>
      <c r="AI6" s="28">
        <f t="shared" si="9"/>
        <v>5.4467338117250748E-3</v>
      </c>
      <c r="AJ6" s="28">
        <f t="shared" si="10"/>
        <v>3.612803017451564E-3</v>
      </c>
      <c r="AK6" s="28">
        <f t="shared" si="11"/>
        <v>1.5103315170541469E-3</v>
      </c>
      <c r="AL6" s="25">
        <f t="shared" si="12"/>
        <v>1297120</v>
      </c>
      <c r="AM6" s="28">
        <f t="shared" si="13"/>
        <v>6.7267363246035175E-2</v>
      </c>
      <c r="AN6" s="4">
        <v>24630072</v>
      </c>
      <c r="AO6" s="4">
        <v>769689.75</v>
      </c>
      <c r="AP6" s="4">
        <v>20472</v>
      </c>
      <c r="AQ6" s="4">
        <v>1656800</v>
      </c>
      <c r="AR6" s="4">
        <v>860376</v>
      </c>
      <c r="AS6" s="4">
        <v>436744</v>
      </c>
      <c r="AT6" s="4">
        <v>359680</v>
      </c>
      <c r="AU6" s="4">
        <v>68.475899999999996</v>
      </c>
      <c r="AV6" s="4">
        <v>70.525837499999994</v>
      </c>
      <c r="AW6" s="4">
        <v>33.833806250000002</v>
      </c>
      <c r="AX6" s="4">
        <v>45.278478124999999</v>
      </c>
      <c r="AY6" s="4">
        <v>44.955465625000002</v>
      </c>
      <c r="AZ6" s="4">
        <v>2386.4899999999998</v>
      </c>
      <c r="BA6" s="4">
        <v>2958.03</v>
      </c>
      <c r="BB6" s="4">
        <v>5.6260000000000003</v>
      </c>
      <c r="BC6" s="4">
        <v>18.042999999999999</v>
      </c>
      <c r="BE6" s="33">
        <f t="shared" si="14"/>
        <v>8.6357847431383847E-4</v>
      </c>
      <c r="BF6" s="33">
        <f t="shared" si="15"/>
        <v>8.2577165493935567E-4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0.22733600000000001</v>
      </c>
      <c r="J7" s="18">
        <f t="shared" si="1"/>
        <v>9.546061103231248E-3</v>
      </c>
      <c r="K7" s="18">
        <f t="shared" si="2"/>
        <v>6.6395799380390358E-3</v>
      </c>
      <c r="L7" s="18">
        <f t="shared" si="3"/>
        <v>4.8187503290780505E-3</v>
      </c>
      <c r="M7" s="18">
        <f t="shared" si="4"/>
        <v>2.9038945209125594E-3</v>
      </c>
      <c r="N7" s="15">
        <f t="shared" si="5"/>
        <v>1581192</v>
      </c>
      <c r="O7" s="18">
        <f t="shared" si="6"/>
        <v>9.1229721556244148E-2</v>
      </c>
      <c r="P7" s="19">
        <v>24919072</v>
      </c>
      <c r="Q7" s="19">
        <v>778721</v>
      </c>
      <c r="R7" s="19">
        <v>21072.28125</v>
      </c>
      <c r="S7" s="20">
        <v>2273360</v>
      </c>
      <c r="T7" s="20">
        <v>1147568</v>
      </c>
      <c r="U7" s="20">
        <v>433624</v>
      </c>
      <c r="V7" s="20">
        <v>691552</v>
      </c>
      <c r="W7" s="21">
        <v>69.796599999999998</v>
      </c>
      <c r="X7" s="21">
        <v>72.151678000000004</v>
      </c>
      <c r="Y7" s="21">
        <v>36.257322000000002</v>
      </c>
      <c r="Z7" s="21">
        <v>46.796908999999999</v>
      </c>
      <c r="AA7" s="21">
        <v>46.487650000000002</v>
      </c>
      <c r="AB7" s="22">
        <v>2330.96</v>
      </c>
      <c r="AC7" s="22">
        <v>2377.16</v>
      </c>
      <c r="AD7" s="22">
        <v>9.0310000000000006</v>
      </c>
      <c r="AE7" s="22">
        <v>12.31</v>
      </c>
      <c r="AG7" s="17">
        <f t="shared" si="7"/>
        <v>0.22814079999999998</v>
      </c>
      <c r="AH7" s="18">
        <f t="shared" si="8"/>
        <v>9.5798554427809907E-3</v>
      </c>
      <c r="AI7" s="18">
        <f t="shared" si="9"/>
        <v>6.6526811233515604E-3</v>
      </c>
      <c r="AJ7" s="18">
        <f t="shared" si="10"/>
        <v>4.8187503290780505E-3</v>
      </c>
      <c r="AK7" s="18">
        <f t="shared" si="11"/>
        <v>2.9271743194294302E-3</v>
      </c>
      <c r="AL7" s="15">
        <f t="shared" si="12"/>
        <v>1584312</v>
      </c>
      <c r="AM7" s="18">
        <f t="shared" si="13"/>
        <v>9.1552687034252317E-2</v>
      </c>
      <c r="AN7" s="4">
        <v>24919072</v>
      </c>
      <c r="AO7" s="4">
        <v>778721</v>
      </c>
      <c r="AP7" s="4">
        <v>21738.03125</v>
      </c>
      <c r="AQ7" s="4">
        <v>2281408</v>
      </c>
      <c r="AR7" s="4">
        <v>1147568</v>
      </c>
      <c r="AS7" s="4">
        <v>436744</v>
      </c>
      <c r="AT7" s="4">
        <v>697096</v>
      </c>
      <c r="AU7" s="4">
        <v>69.794506249999998</v>
      </c>
      <c r="AV7" s="4">
        <v>72.181965625000004</v>
      </c>
      <c r="AW7" s="4">
        <v>36.260046875</v>
      </c>
      <c r="AX7" s="4">
        <v>46.678375000000003</v>
      </c>
      <c r="AY7" s="4">
        <v>46.573131250000003</v>
      </c>
      <c r="AZ7" s="4">
        <v>2425.1</v>
      </c>
      <c r="BA7" s="4">
        <v>3159.61</v>
      </c>
      <c r="BB7" s="4">
        <v>5.851</v>
      </c>
      <c r="BC7" s="4">
        <v>16.888000000000002</v>
      </c>
      <c r="BE7" s="23">
        <f t="shared" si="14"/>
        <v>8.549275029182471E-4</v>
      </c>
      <c r="BF7" s="23">
        <f t="shared" si="15"/>
        <v>-1.0860101455880677E-3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0.37473519999999999</v>
      </c>
      <c r="J8" s="28">
        <f t="shared" si="1"/>
        <v>1.5735497751045071E-2</v>
      </c>
      <c r="K8" s="28">
        <f t="shared" si="2"/>
        <v>9.2733212992507624E-3</v>
      </c>
      <c r="L8" s="28">
        <f t="shared" si="3"/>
        <v>7.4524916902897762E-3</v>
      </c>
      <c r="M8" s="28">
        <f t="shared" si="4"/>
        <v>6.4595898075146558E-3</v>
      </c>
      <c r="N8" s="25">
        <f t="shared" si="5"/>
        <v>2208408</v>
      </c>
      <c r="O8" s="28">
        <f t="shared" si="6"/>
        <v>0.14410617647122162</v>
      </c>
      <c r="P8" s="29">
        <v>26004104</v>
      </c>
      <c r="Q8" s="29">
        <v>812628.25</v>
      </c>
      <c r="R8" s="29">
        <v>24474.75</v>
      </c>
      <c r="S8" s="30">
        <v>3747352</v>
      </c>
      <c r="T8" s="30">
        <v>1774784</v>
      </c>
      <c r="U8" s="30">
        <v>433624</v>
      </c>
      <c r="V8" s="30">
        <v>1538328</v>
      </c>
      <c r="W8" s="31">
        <v>70.793119000000004</v>
      </c>
      <c r="X8" s="31">
        <v>73.333333999999994</v>
      </c>
      <c r="Y8" s="31">
        <v>38.702150000000003</v>
      </c>
      <c r="Z8" s="31">
        <v>48.108049999999999</v>
      </c>
      <c r="AA8" s="31">
        <v>47.962969000000001</v>
      </c>
      <c r="AB8" s="32">
        <v>2366.73</v>
      </c>
      <c r="AC8" s="32">
        <v>2502.2399999999998</v>
      </c>
      <c r="AD8" s="32">
        <v>8.9359999999999999</v>
      </c>
      <c r="AE8" s="32">
        <v>11.619</v>
      </c>
      <c r="AG8" s="27">
        <f t="shared" si="7"/>
        <v>0.37502799999999997</v>
      </c>
      <c r="AH8" s="28">
        <f t="shared" si="8"/>
        <v>1.5747792709569133E-2</v>
      </c>
      <c r="AI8" s="28">
        <f t="shared" si="9"/>
        <v>9.2864224845632861E-3</v>
      </c>
      <c r="AJ8" s="28">
        <f t="shared" si="10"/>
        <v>7.4524916902897762E-3</v>
      </c>
      <c r="AK8" s="28">
        <f t="shared" si="11"/>
        <v>6.4613702250058448E-3</v>
      </c>
      <c r="AL8" s="25">
        <f t="shared" si="12"/>
        <v>2211528</v>
      </c>
      <c r="AM8" s="28">
        <f t="shared" si="13"/>
        <v>0.14421877408273709</v>
      </c>
      <c r="AN8" s="4">
        <v>26004104</v>
      </c>
      <c r="AO8" s="4">
        <v>812628.25</v>
      </c>
      <c r="AP8" s="4">
        <v>25193.0625</v>
      </c>
      <c r="AQ8" s="4">
        <v>3750280</v>
      </c>
      <c r="AR8" s="4">
        <v>1774784</v>
      </c>
      <c r="AS8" s="4">
        <v>436744</v>
      </c>
      <c r="AT8" s="4">
        <v>1538752</v>
      </c>
      <c r="AU8" s="4">
        <v>70.819481249999995</v>
      </c>
      <c r="AV8" s="4">
        <v>73.369137499999994</v>
      </c>
      <c r="AW8" s="4">
        <v>38.700159374999998</v>
      </c>
      <c r="AX8" s="4">
        <v>48.123684375000003</v>
      </c>
      <c r="AY8" s="4">
        <v>47.955640625000001</v>
      </c>
      <c r="AZ8" s="4">
        <v>2379.09</v>
      </c>
      <c r="BA8" s="4">
        <v>3435.45</v>
      </c>
      <c r="BB8" s="4">
        <v>5.9029999999999996</v>
      </c>
      <c r="BC8" s="4">
        <v>17.454999999999998</v>
      </c>
      <c r="BE8" s="33">
        <f t="shared" si="14"/>
        <v>8.8393739695857149E-4</v>
      </c>
      <c r="BF8" s="33">
        <f t="shared" si="15"/>
        <v>3.7182732219087633E-4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264</v>
      </c>
      <c r="C9" s="36" t="s">
        <v>270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0.79970960000000002</v>
      </c>
      <c r="J9" s="38">
        <f t="shared" si="1"/>
        <v>3.3580588672452318E-2</v>
      </c>
      <c r="K9" s="38">
        <f t="shared" si="2"/>
        <v>1.5794352306602873E-2</v>
      </c>
      <c r="L9" s="38">
        <f t="shared" si="3"/>
        <v>1.1993732040222268E-2</v>
      </c>
      <c r="M9" s="38">
        <f t="shared" si="4"/>
        <v>1.7783649721569789E-2</v>
      </c>
      <c r="N9" s="35">
        <f t="shared" si="5"/>
        <v>3761368</v>
      </c>
      <c r="O9" s="38">
        <f t="shared" si="6"/>
        <v>0.31955476250557174</v>
      </c>
      <c r="P9" s="39">
        <v>25025745</v>
      </c>
      <c r="Q9" s="39">
        <v>782054.53125</v>
      </c>
      <c r="R9" s="39">
        <v>10275.84375</v>
      </c>
      <c r="S9" s="40">
        <v>7997096</v>
      </c>
      <c r="T9" s="40">
        <v>2856264</v>
      </c>
      <c r="U9" s="40">
        <v>905104</v>
      </c>
      <c r="V9" s="40">
        <v>4235112</v>
      </c>
      <c r="W9" s="41">
        <v>72.048100000000005</v>
      </c>
      <c r="X9" s="41">
        <v>75.254450000000006</v>
      </c>
      <c r="Y9" s="41">
        <v>41.140931000000002</v>
      </c>
      <c r="Z9" s="41">
        <v>49.543940999999997</v>
      </c>
      <c r="AA9" s="41">
        <v>49.608297</v>
      </c>
      <c r="AB9" s="42">
        <v>2346.3000000000002</v>
      </c>
      <c r="AC9" s="42">
        <v>2930.67</v>
      </c>
      <c r="AD9" s="42">
        <v>8.657</v>
      </c>
      <c r="AE9" s="42">
        <v>13.500999999999999</v>
      </c>
      <c r="AG9" s="37">
        <f t="shared" si="7"/>
        <v>0.80081360000000001</v>
      </c>
      <c r="AH9" s="38">
        <f t="shared" si="8"/>
        <v>3.3626946712788944E-2</v>
      </c>
      <c r="AI9" s="38">
        <f t="shared" si="9"/>
        <v>1.58074534919154E-2</v>
      </c>
      <c r="AJ9" s="38">
        <f t="shared" si="10"/>
        <v>1.1993732040222268E-2</v>
      </c>
      <c r="AK9" s="38">
        <f t="shared" si="11"/>
        <v>1.7819493220873544E-2</v>
      </c>
      <c r="AL9" s="35">
        <f t="shared" si="12"/>
        <v>3764488</v>
      </c>
      <c r="AM9" s="38">
        <f t="shared" si="13"/>
        <v>0.31999590821372154</v>
      </c>
      <c r="AN9" s="4">
        <v>25025745</v>
      </c>
      <c r="AO9" s="4">
        <v>782054.53125</v>
      </c>
      <c r="AP9" s="4">
        <v>10595.8125</v>
      </c>
      <c r="AQ9" s="4">
        <v>8008136</v>
      </c>
      <c r="AR9" s="4">
        <v>2856264</v>
      </c>
      <c r="AS9" s="4">
        <v>908224</v>
      </c>
      <c r="AT9" s="4">
        <v>4243648</v>
      </c>
      <c r="AU9" s="4">
        <v>72.017856249999994</v>
      </c>
      <c r="AV9" s="4">
        <v>75.226809375000002</v>
      </c>
      <c r="AW9" s="4">
        <v>41.126915625000002</v>
      </c>
      <c r="AX9" s="4">
        <v>49.590334374999998</v>
      </c>
      <c r="AY9" s="4">
        <v>49.667465624999998</v>
      </c>
      <c r="AZ9" s="4">
        <v>2376.23</v>
      </c>
      <c r="BA9" s="4">
        <v>3852.21</v>
      </c>
      <c r="BB9" s="4">
        <v>5.4509999999999996</v>
      </c>
      <c r="BC9" s="4">
        <v>19.434000000000001</v>
      </c>
      <c r="BE9" s="43">
        <f t="shared" si="14"/>
        <v>4.0913866899866536E-4</v>
      </c>
      <c r="BF9" s="43">
        <f t="shared" si="15"/>
        <v>-2.5880838486086466E-4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0.21912000000000001</v>
      </c>
      <c r="J10" s="28">
        <f t="shared" si="1"/>
        <v>1.0045789121263119E-2</v>
      </c>
      <c r="K10" s="28">
        <f t="shared" si="2"/>
        <v>7.390862005086144E-3</v>
      </c>
      <c r="L10" s="28">
        <f t="shared" si="3"/>
        <v>4.0634648504339621E-3</v>
      </c>
      <c r="M10" s="28">
        <f t="shared" si="4"/>
        <v>2.6521029987533265E-3</v>
      </c>
      <c r="N10" s="25">
        <f t="shared" si="5"/>
        <v>1612104</v>
      </c>
      <c r="O10" s="28">
        <f t="shared" si="6"/>
        <v>0.10498742493856689</v>
      </c>
      <c r="P10" s="29">
        <v>20871071</v>
      </c>
      <c r="Q10" s="29">
        <v>652220.96875</v>
      </c>
      <c r="R10" s="29">
        <v>18933.5625</v>
      </c>
      <c r="S10" s="30">
        <v>2191200</v>
      </c>
      <c r="T10" s="30">
        <v>886328</v>
      </c>
      <c r="U10" s="30">
        <v>725776</v>
      </c>
      <c r="V10" s="30">
        <v>578480</v>
      </c>
      <c r="W10" s="31">
        <v>65.969919000000004</v>
      </c>
      <c r="X10" s="31">
        <v>67.878563</v>
      </c>
      <c r="Y10" s="31">
        <v>31.036003000000001</v>
      </c>
      <c r="Z10" s="31">
        <v>38.622875000000001</v>
      </c>
      <c r="AA10" s="31">
        <v>30.111211999999998</v>
      </c>
      <c r="AB10" s="32">
        <v>2176.17</v>
      </c>
      <c r="AC10" s="32">
        <v>2749.3</v>
      </c>
      <c r="AD10" s="32">
        <v>8.3960000000000008</v>
      </c>
      <c r="AE10" s="32">
        <v>13.522</v>
      </c>
      <c r="AG10" s="27">
        <f t="shared" si="7"/>
        <v>0.219692</v>
      </c>
      <c r="AH10" s="28">
        <f t="shared" si="8"/>
        <v>1.0072013068768424E-2</v>
      </c>
      <c r="AI10" s="28">
        <f t="shared" si="9"/>
        <v>7.4085035697715306E-3</v>
      </c>
      <c r="AJ10" s="28">
        <f t="shared" si="10"/>
        <v>4.0634648504339621E-3</v>
      </c>
      <c r="AK10" s="28">
        <f t="shared" si="11"/>
        <v>2.663509498996893E-3</v>
      </c>
      <c r="AL10" s="25">
        <f t="shared" si="12"/>
        <v>1615952</v>
      </c>
      <c r="AM10" s="28">
        <f t="shared" si="13"/>
        <v>0.10526148849764345</v>
      </c>
      <c r="AN10" s="4">
        <v>20871071</v>
      </c>
      <c r="AO10" s="4">
        <v>652220.96875</v>
      </c>
      <c r="AP10" s="4">
        <v>19646.59375</v>
      </c>
      <c r="AQ10" s="4">
        <v>2196920</v>
      </c>
      <c r="AR10" s="4">
        <v>886328</v>
      </c>
      <c r="AS10" s="4">
        <v>729624</v>
      </c>
      <c r="AT10" s="4">
        <v>580968</v>
      </c>
      <c r="AU10" s="4">
        <v>65.967487500000004</v>
      </c>
      <c r="AV10" s="4">
        <v>67.901171875000003</v>
      </c>
      <c r="AW10" s="4">
        <v>31.046787500000001</v>
      </c>
      <c r="AX10" s="4">
        <v>38.578196875000003</v>
      </c>
      <c r="AY10" s="4">
        <v>30.0956625</v>
      </c>
      <c r="AZ10" s="4">
        <v>2168.5300000000002</v>
      </c>
      <c r="BA10" s="4">
        <v>3740.93</v>
      </c>
      <c r="BB10" s="4">
        <v>5.3289999999999997</v>
      </c>
      <c r="BC10" s="4">
        <v>21.120999999999999</v>
      </c>
      <c r="BE10" s="33">
        <f t="shared" si="14"/>
        <v>1.0932357040997105E-3</v>
      </c>
      <c r="BF10" s="33">
        <f t="shared" si="15"/>
        <v>-1.6400397577409631E-4</v>
      </c>
      <c r="BG10" s="33">
        <f t="array" ref="BG10">AVERAGE(AL10:AL14/AQ10:AQ14) - AVERAGE(N10:N14/S10:S14)</f>
        <v>2.5691602753330489E-4</v>
      </c>
      <c r="BI10" s="34">
        <f>IF( OR(ISBLANK(N10:N14),ISBLANK(AL10:AL14), ISBLANK(W10:W14),ISBLANK(AU10:AU14)), "·", bdRateExtend( N10:N14,W10:W14, AL10:AL14,AU10:AU14))</f>
        <v>1.4790743258674688E-3</v>
      </c>
      <c r="BJ10" s="34">
        <f>IF( OR(ISBLANK(N10:N14),ISBLANK(AL10:AL14), ISBLANK(X10:X14),ISBLANK(AV10:AV14)), "·", bdRateExtend( N10:N14,X10:X14, AL10:AL14,AV10:AV14))</f>
        <v>-2.54685217702455E-3</v>
      </c>
      <c r="BK10" s="34">
        <f>IF( OR(ISBLANK(V10:V14),ISBLANK(AT10:AT14), ISBLANK(Y10:Y14),ISBLANK(AW10:AW14)), "·", bdRateExtend( V10:V14,Y10:Y14, AT10:AT14,AW10:AW14))</f>
        <v>8.3692938830148833E-5</v>
      </c>
      <c r="BL10" s="34">
        <f>IF( OR(ISBLANK(V10:V14),ISBLANK(AT10:AT14), ISBLANK(Z10:Z14),ISBLANK(AX10:AX14)), "·", bdRateExtend( V10:V14,Z10:Z14, AT10:AT14,AX10:AX14))</f>
        <v>-1.5599196858812059E-3</v>
      </c>
      <c r="BM10" s="34">
        <f>IF( OR(ISBLANK(V10:V14),ISBLANK(AT10:AT14), ISBLANK(AA10:AA14),ISBLANK(AY10:AY14)), "·", bdRateExtend( V10:V14,AA10:AA14, AT10:AT14,AY10:AY14))</f>
        <v>7.7303443836918007E-4</v>
      </c>
      <c r="BO10" s="34">
        <f>IF( OR(ISBLANK(S10:S14),ISBLANK(AQ10:AQ14), ISBLANK(W10:W14),ISBLANK(AU10:AU14)), "·", bdRateExtend( S10:S14,W10:W14, AQ10:AQ14,AU10:AU14))</f>
        <v>5.3092797552367621E-4</v>
      </c>
      <c r="BP10" s="34">
        <f>IF( OR(ISBLANK(S10:S14),ISBLANK(AQ10:AQ14), ISBLANK(X10:X14),ISBLANK(AV10:AV14)), "·", bdRateExtend( S10:S14,X10:X14, AQ10:AQ14,AV10:AV14))</f>
        <v>-5.3296182388707924E-3</v>
      </c>
      <c r="BQ10" s="34">
        <f>IF( OR(ISBLANK(S10:S14),ISBLANK(AQ10:AQ14), ISBLANK(Y10:Y14),ISBLANK(AW10:AW14)), "·", bdRateExtend( S10:S14,Y10:Y14, AQ10:AQ14,AW10:AW14))</f>
        <v>8.176559693287011E-4</v>
      </c>
      <c r="BR10" s="34">
        <f>IF( OR(ISBLANK(S10:S14),ISBLANK(AQ10:AQ14), ISBLANK(Z10:Z14),ISBLANK(AX10:AX14)), "·", bdRateExtend( S10:S14,Z10:Z14, AQ10:AQ14,AX10:AX14))</f>
        <v>-9.8932551606023544E-4</v>
      </c>
      <c r="BS10" s="34">
        <f>IF( OR(ISBLANK(S10:S14),ISBLANK(AQ10:AQ14), ISBLANK(AA10:AA14),ISBLANK(AY10:AY14)), "·", bdRateExtend( S10:S14,AA10:AA14, AQ10:AQ14,AY10:AY14))</f>
        <v>1.0850674349838219E-3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0.29778320000000003</v>
      </c>
      <c r="J11" s="18">
        <f t="shared" si="1"/>
        <v>1.3652187071261954E-2</v>
      </c>
      <c r="K11" s="18">
        <f t="shared" si="2"/>
        <v>8.9527089709126092E-3</v>
      </c>
      <c r="L11" s="18">
        <f t="shared" si="3"/>
        <v>5.6253118162604265E-3</v>
      </c>
      <c r="M11" s="18">
        <f t="shared" si="4"/>
        <v>4.6966539829256977E-3</v>
      </c>
      <c r="N11" s="15">
        <f t="shared" si="5"/>
        <v>1952776</v>
      </c>
      <c r="O11" s="18">
        <f t="shared" si="6"/>
        <v>0.13306230822061349</v>
      </c>
      <c r="P11" s="19">
        <v>22379230</v>
      </c>
      <c r="Q11" s="19">
        <v>699350.9375</v>
      </c>
      <c r="R11" s="19">
        <v>24081.75</v>
      </c>
      <c r="S11" s="20">
        <v>2977832</v>
      </c>
      <c r="T11" s="20">
        <v>1227000</v>
      </c>
      <c r="U11" s="20">
        <v>725776</v>
      </c>
      <c r="V11" s="20">
        <v>1024440</v>
      </c>
      <c r="W11" s="21">
        <v>67.698618999999994</v>
      </c>
      <c r="X11" s="21">
        <v>69.777518999999998</v>
      </c>
      <c r="Y11" s="21">
        <v>32.909609000000003</v>
      </c>
      <c r="Z11" s="21">
        <v>39.656315999999997</v>
      </c>
      <c r="AA11" s="21">
        <v>32.299137000000002</v>
      </c>
      <c r="AB11" s="22">
        <v>2940.39</v>
      </c>
      <c r="AC11" s="22">
        <v>4579.38</v>
      </c>
      <c r="AD11" s="22">
        <v>12.199</v>
      </c>
      <c r="AE11" s="22">
        <v>22.765000000000001</v>
      </c>
      <c r="AG11" s="17">
        <f t="shared" si="7"/>
        <v>0.29803440000000003</v>
      </c>
      <c r="AH11" s="18">
        <f t="shared" si="8"/>
        <v>1.3663703602054494E-2</v>
      </c>
      <c r="AI11" s="18">
        <f t="shared" si="9"/>
        <v>8.970350535597995E-3</v>
      </c>
      <c r="AJ11" s="18">
        <f t="shared" si="10"/>
        <v>5.6253118162604265E-3</v>
      </c>
      <c r="AK11" s="18">
        <f t="shared" si="11"/>
        <v>4.6933530664564982E-3</v>
      </c>
      <c r="AL11" s="15">
        <f t="shared" si="12"/>
        <v>1956624</v>
      </c>
      <c r="AM11" s="18">
        <f t="shared" si="13"/>
        <v>0.13317455515672344</v>
      </c>
      <c r="AN11" s="4">
        <v>22379230</v>
      </c>
      <c r="AO11" s="4">
        <v>699350.9375</v>
      </c>
      <c r="AP11" s="4">
        <v>24946.875</v>
      </c>
      <c r="AQ11" s="4">
        <v>2980344</v>
      </c>
      <c r="AR11" s="4">
        <v>1227000</v>
      </c>
      <c r="AS11" s="4">
        <v>729624</v>
      </c>
      <c r="AT11" s="4">
        <v>1023720</v>
      </c>
      <c r="AU11" s="4">
        <v>67.695115625</v>
      </c>
      <c r="AV11" s="4">
        <v>69.805903125</v>
      </c>
      <c r="AW11" s="4">
        <v>32.912581250000002</v>
      </c>
      <c r="AX11" s="4">
        <v>39.662624999999998</v>
      </c>
      <c r="AY11" s="4">
        <v>32.294812499999999</v>
      </c>
      <c r="AZ11" s="4">
        <v>2204.54</v>
      </c>
      <c r="BA11" s="4">
        <v>4017.11</v>
      </c>
      <c r="BB11" s="4">
        <v>5.4</v>
      </c>
      <c r="BC11" s="4">
        <v>20.356999999999999</v>
      </c>
      <c r="BE11" s="23">
        <f t="shared" si="14"/>
        <v>1.2370398802818566E-3</v>
      </c>
      <c r="BF11" s="23">
        <f t="shared" si="15"/>
        <v>7.3840574680206217E-4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0.4219408</v>
      </c>
      <c r="J12" s="28">
        <f t="shared" si="1"/>
        <v>1.9344324107598836E-2</v>
      </c>
      <c r="K12" s="28">
        <f t="shared" si="2"/>
        <v>1.1230781456856E-2</v>
      </c>
      <c r="L12" s="28">
        <f t="shared" si="3"/>
        <v>7.9033843022038169E-3</v>
      </c>
      <c r="M12" s="28">
        <f t="shared" si="4"/>
        <v>8.1107185333191903E-3</v>
      </c>
      <c r="N12" s="25">
        <f t="shared" si="5"/>
        <v>2449672</v>
      </c>
      <c r="O12" s="28">
        <f t="shared" si="6"/>
        <v>0.18573862503847355</v>
      </c>
      <c r="P12" s="29">
        <v>22716912</v>
      </c>
      <c r="Q12" s="29">
        <v>709903.5</v>
      </c>
      <c r="R12" s="29">
        <v>25579.28125</v>
      </c>
      <c r="S12" s="30">
        <v>4219408</v>
      </c>
      <c r="T12" s="30">
        <v>1723896</v>
      </c>
      <c r="U12" s="30">
        <v>725776</v>
      </c>
      <c r="V12" s="30">
        <v>1769120</v>
      </c>
      <c r="W12" s="31">
        <v>69.047799999999995</v>
      </c>
      <c r="X12" s="31">
        <v>71.398094</v>
      </c>
      <c r="Y12" s="31">
        <v>34.942528000000003</v>
      </c>
      <c r="Z12" s="31">
        <v>40.653208999999997</v>
      </c>
      <c r="AA12" s="31">
        <v>34.211897</v>
      </c>
      <c r="AB12" s="32">
        <v>2135.6</v>
      </c>
      <c r="AC12" s="32">
        <v>3208.7</v>
      </c>
      <c r="AD12" s="32">
        <v>8.5630000000000006</v>
      </c>
      <c r="AE12" s="32">
        <v>14.010999999999999</v>
      </c>
      <c r="AG12" s="27">
        <f t="shared" si="7"/>
        <v>0.42198559999999996</v>
      </c>
      <c r="AH12" s="28">
        <f t="shared" si="8"/>
        <v>1.9346378011179673E-2</v>
      </c>
      <c r="AI12" s="28">
        <f t="shared" si="9"/>
        <v>1.1248423021541387E-2</v>
      </c>
      <c r="AJ12" s="28">
        <f t="shared" si="10"/>
        <v>7.9033843022038169E-3</v>
      </c>
      <c r="AK12" s="28">
        <f t="shared" si="11"/>
        <v>8.0979549896382855E-3</v>
      </c>
      <c r="AL12" s="25">
        <f t="shared" si="12"/>
        <v>2453520</v>
      </c>
      <c r="AM12" s="28">
        <f t="shared" si="13"/>
        <v>0.18575834602872079</v>
      </c>
      <c r="AN12" s="4">
        <v>22716912</v>
      </c>
      <c r="AO12" s="4">
        <v>709903.5</v>
      </c>
      <c r="AP12" s="4">
        <v>26447.25</v>
      </c>
      <c r="AQ12" s="4">
        <v>4219856</v>
      </c>
      <c r="AR12" s="4">
        <v>1723896</v>
      </c>
      <c r="AS12" s="4">
        <v>729624</v>
      </c>
      <c r="AT12" s="4">
        <v>1766336</v>
      </c>
      <c r="AU12" s="4">
        <v>69.043271875000002</v>
      </c>
      <c r="AV12" s="4">
        <v>71.43065</v>
      </c>
      <c r="AW12" s="4">
        <v>34.941534375000003</v>
      </c>
      <c r="AX12" s="4">
        <v>40.644865625000001</v>
      </c>
      <c r="AY12" s="4">
        <v>34.219406249999999</v>
      </c>
      <c r="AZ12" s="4">
        <v>2188.9899999999998</v>
      </c>
      <c r="BA12" s="4">
        <v>4276.22</v>
      </c>
      <c r="BB12" s="4">
        <v>5.3819999999999997</v>
      </c>
      <c r="BC12" s="4">
        <v>20.96</v>
      </c>
      <c r="BE12" s="33">
        <f t="shared" si="14"/>
        <v>1.2226573752629824E-3</v>
      </c>
      <c r="BF12" s="33">
        <f t="shared" si="15"/>
        <v>8.5024312361814403E-4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0.68775600000000003</v>
      </c>
      <c r="J13" s="18">
        <f t="shared" si="1"/>
        <v>3.1530904266536312E-2</v>
      </c>
      <c r="K13" s="18">
        <f t="shared" si="2"/>
        <v>1.5404680301609505E-2</v>
      </c>
      <c r="L13" s="18">
        <f t="shared" si="3"/>
        <v>1.2077283146957324E-2</v>
      </c>
      <c r="M13" s="18">
        <f t="shared" si="4"/>
        <v>1.6123399847503161E-2</v>
      </c>
      <c r="N13" s="15">
        <f t="shared" si="5"/>
        <v>3360088</v>
      </c>
      <c r="O13" s="18">
        <f t="shared" si="6"/>
        <v>0.29100508280212412</v>
      </c>
      <c r="P13" s="19">
        <v>23633814</v>
      </c>
      <c r="Q13" s="19">
        <v>738556.6875</v>
      </c>
      <c r="R13" s="19">
        <v>29497.75</v>
      </c>
      <c r="S13" s="20">
        <v>6877560</v>
      </c>
      <c r="T13" s="20">
        <v>2634312</v>
      </c>
      <c r="U13" s="20">
        <v>725776</v>
      </c>
      <c r="V13" s="20">
        <v>3516856</v>
      </c>
      <c r="W13" s="21">
        <v>70.054338000000001</v>
      </c>
      <c r="X13" s="21">
        <v>72.592016000000001</v>
      </c>
      <c r="Y13" s="21">
        <v>37.139622000000003</v>
      </c>
      <c r="Z13" s="21">
        <v>41.702190999999999</v>
      </c>
      <c r="AA13" s="21">
        <v>36.228109000000003</v>
      </c>
      <c r="AB13" s="22">
        <v>2148.94</v>
      </c>
      <c r="AC13" s="22">
        <v>3398.72</v>
      </c>
      <c r="AD13" s="22">
        <v>8.827</v>
      </c>
      <c r="AE13" s="22">
        <v>14.912000000000001</v>
      </c>
      <c r="AG13" s="17">
        <f t="shared" si="7"/>
        <v>0.68882559999999993</v>
      </c>
      <c r="AH13" s="18">
        <f t="shared" si="8"/>
        <v>3.1579941214528756E-2</v>
      </c>
      <c r="AI13" s="18">
        <f t="shared" si="9"/>
        <v>1.5422321866294893E-2</v>
      </c>
      <c r="AJ13" s="18">
        <f t="shared" si="10"/>
        <v>1.2077283146957324E-2</v>
      </c>
      <c r="AK13" s="18">
        <f t="shared" si="11"/>
        <v>1.615761934823386E-2</v>
      </c>
      <c r="AL13" s="15">
        <f t="shared" si="12"/>
        <v>3363936</v>
      </c>
      <c r="AM13" s="18">
        <f t="shared" si="13"/>
        <v>0.29145765469762941</v>
      </c>
      <c r="AN13" s="4">
        <v>23633814</v>
      </c>
      <c r="AO13" s="4">
        <v>738556.6875</v>
      </c>
      <c r="AP13" s="4">
        <v>30449.4375</v>
      </c>
      <c r="AQ13" s="4">
        <v>6888256</v>
      </c>
      <c r="AR13" s="4">
        <v>2634312</v>
      </c>
      <c r="AS13" s="4">
        <v>729624</v>
      </c>
      <c r="AT13" s="4">
        <v>3524320</v>
      </c>
      <c r="AU13" s="4">
        <v>70.084293750000001</v>
      </c>
      <c r="AV13" s="4">
        <v>72.629971874999995</v>
      </c>
      <c r="AW13" s="4">
        <v>37.144231249999997</v>
      </c>
      <c r="AX13" s="4">
        <v>41.726453124999999</v>
      </c>
      <c r="AY13" s="4">
        <v>36.230278124999998</v>
      </c>
      <c r="AZ13" s="4">
        <v>2262.2199999999998</v>
      </c>
      <c r="BA13" s="4">
        <v>4573.83</v>
      </c>
      <c r="BB13" s="4">
        <v>5.5739999999999998</v>
      </c>
      <c r="BC13" s="4">
        <v>21.309000000000001</v>
      </c>
      <c r="BE13" s="23">
        <f t="shared" si="14"/>
        <v>1.2885774593977897E-3</v>
      </c>
      <c r="BF13" s="23">
        <f t="shared" si="15"/>
        <v>-1.9999517842755887E-4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273</v>
      </c>
      <c r="C14" s="46" t="s">
        <v>270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1.3961768000000001</v>
      </c>
      <c r="J14" s="48">
        <f t="shared" si="1"/>
        <v>6.4009208236582474E-2</v>
      </c>
      <c r="K14" s="48">
        <f t="shared" si="2"/>
        <v>2.5792297661683037E-2</v>
      </c>
      <c r="L14" s="48">
        <f t="shared" si="3"/>
        <v>1.9354006795908488E-2</v>
      </c>
      <c r="M14" s="48">
        <f t="shared" si="4"/>
        <v>3.8214086457475795E-2</v>
      </c>
      <c r="N14" s="45">
        <f t="shared" si="5"/>
        <v>5625848</v>
      </c>
      <c r="O14" s="48">
        <f t="shared" si="6"/>
        <v>0.62311462518331795</v>
      </c>
      <c r="P14" s="49">
        <v>22406420</v>
      </c>
      <c r="Q14" s="49">
        <v>700200.625</v>
      </c>
      <c r="R14" s="49">
        <v>13452.625</v>
      </c>
      <c r="S14" s="50">
        <v>13961768</v>
      </c>
      <c r="T14" s="50">
        <v>4221520</v>
      </c>
      <c r="U14" s="50">
        <v>1404328</v>
      </c>
      <c r="V14" s="50">
        <v>8335304</v>
      </c>
      <c r="W14" s="51">
        <v>71.156053</v>
      </c>
      <c r="X14" s="51">
        <v>74.731656000000001</v>
      </c>
      <c r="Y14" s="51">
        <v>39.604944000000003</v>
      </c>
      <c r="Z14" s="51">
        <v>43.019550000000002</v>
      </c>
      <c r="AA14" s="51">
        <v>38.466506000000003</v>
      </c>
      <c r="AB14" s="52">
        <v>2232.92</v>
      </c>
      <c r="AC14" s="52">
        <v>3950.6</v>
      </c>
      <c r="AD14" s="52">
        <v>8.3529999999999998</v>
      </c>
      <c r="AE14" s="52">
        <v>17.190999999999999</v>
      </c>
      <c r="AG14" s="47">
        <f t="shared" si="7"/>
        <v>1.3969240000000001</v>
      </c>
      <c r="AH14" s="48">
        <f t="shared" si="8"/>
        <v>6.4043464414162837E-2</v>
      </c>
      <c r="AI14" s="48">
        <f t="shared" si="9"/>
        <v>2.5809939226368424E-2</v>
      </c>
      <c r="AJ14" s="48">
        <f t="shared" si="10"/>
        <v>1.9354006795908488E-2</v>
      </c>
      <c r="AK14" s="48">
        <f t="shared" si="11"/>
        <v>3.8233525187794409E-2</v>
      </c>
      <c r="AL14" s="45">
        <f t="shared" si="12"/>
        <v>5629696</v>
      </c>
      <c r="AM14" s="48">
        <f t="shared" si="13"/>
        <v>0.62344810103532822</v>
      </c>
      <c r="AN14" s="4">
        <v>22406420</v>
      </c>
      <c r="AO14" s="4">
        <v>700200.625</v>
      </c>
      <c r="AP14" s="4">
        <v>13996.25</v>
      </c>
      <c r="AQ14" s="4">
        <v>13969240</v>
      </c>
      <c r="AR14" s="4">
        <v>4221520</v>
      </c>
      <c r="AS14" s="4">
        <v>1408176</v>
      </c>
      <c r="AT14" s="4">
        <v>8339544</v>
      </c>
      <c r="AU14" s="4">
        <v>71.105081249999998</v>
      </c>
      <c r="AV14" s="4">
        <v>74.689218749999995</v>
      </c>
      <c r="AW14" s="4">
        <v>39.593449999999997</v>
      </c>
      <c r="AX14" s="4">
        <v>43.007031249999997</v>
      </c>
      <c r="AY14" s="4">
        <v>38.462375000000002</v>
      </c>
      <c r="AZ14" s="4">
        <v>2219.42</v>
      </c>
      <c r="BA14" s="4">
        <v>5099.07</v>
      </c>
      <c r="BB14" s="4">
        <v>5.4359999999999999</v>
      </c>
      <c r="BC14" s="4">
        <v>22.588999999999999</v>
      </c>
      <c r="BE14" s="53">
        <f t="shared" si="14"/>
        <v>7.7638462547787584E-4</v>
      </c>
      <c r="BF14" s="53">
        <f t="shared" si="15"/>
        <v>5.9930421447695892E-5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0.20262079999999999</v>
      </c>
      <c r="J15" s="18">
        <f t="shared" si="1"/>
        <v>6.2810684125244121E-3</v>
      </c>
      <c r="K15" s="18">
        <f t="shared" si="2"/>
        <v>5.1692412352999338E-3</v>
      </c>
      <c r="L15" s="18">
        <f t="shared" si="3"/>
        <v>2.7158213332189921E-3</v>
      </c>
      <c r="M15" s="18">
        <f t="shared" si="4"/>
        <v>1.1099176308491234E-3</v>
      </c>
      <c r="N15" s="15">
        <f t="shared" si="5"/>
        <v>1667544</v>
      </c>
      <c r="O15" s="18">
        <f t="shared" si="6"/>
        <v>6.213712279761309E-2</v>
      </c>
      <c r="P15" s="19">
        <v>32608655</v>
      </c>
      <c r="Q15" s="19">
        <v>1019020.46875</v>
      </c>
      <c r="R15" s="19">
        <v>33932.375</v>
      </c>
      <c r="S15" s="20">
        <v>2026208</v>
      </c>
      <c r="T15" s="20">
        <v>876096</v>
      </c>
      <c r="U15" s="20">
        <v>791448</v>
      </c>
      <c r="V15" s="20">
        <v>358048</v>
      </c>
      <c r="W15" s="21">
        <v>66.342974999999996</v>
      </c>
      <c r="X15" s="21">
        <v>67.898152999999994</v>
      </c>
      <c r="Y15" s="21">
        <v>29.318605999999999</v>
      </c>
      <c r="Z15" s="21">
        <v>43.358424999999997</v>
      </c>
      <c r="AA15" s="21">
        <v>43.505355999999999</v>
      </c>
      <c r="AB15" s="22">
        <v>3477.78</v>
      </c>
      <c r="AC15" s="22">
        <v>2711.98</v>
      </c>
      <c r="AD15" s="22">
        <v>11.664999999999999</v>
      </c>
      <c r="AE15" s="22">
        <v>15.05</v>
      </c>
      <c r="AG15" s="17">
        <f t="shared" si="7"/>
        <v>0.2033672</v>
      </c>
      <c r="AH15" s="18">
        <f t="shared" si="8"/>
        <v>6.3042061627608548E-3</v>
      </c>
      <c r="AI15" s="18">
        <f t="shared" si="9"/>
        <v>5.1928005736971688E-3</v>
      </c>
      <c r="AJ15" s="18">
        <f t="shared" si="10"/>
        <v>2.7158213332189921E-3</v>
      </c>
      <c r="AK15" s="18">
        <f t="shared" si="11"/>
        <v>1.1114055890636856E-3</v>
      </c>
      <c r="AL15" s="15">
        <f t="shared" si="12"/>
        <v>1675144</v>
      </c>
      <c r="AM15" s="18">
        <f t="shared" si="13"/>
        <v>6.2366019082970459E-2</v>
      </c>
      <c r="AN15" s="4">
        <v>32608655</v>
      </c>
      <c r="AO15" s="4">
        <v>1019020.46875</v>
      </c>
      <c r="AP15" s="4">
        <v>35305.65625</v>
      </c>
      <c r="AQ15" s="4">
        <v>2033672</v>
      </c>
      <c r="AR15" s="4">
        <v>876096</v>
      </c>
      <c r="AS15" s="4">
        <v>799048</v>
      </c>
      <c r="AT15" s="4">
        <v>358528</v>
      </c>
      <c r="AU15" s="4">
        <v>66.358962500000004</v>
      </c>
      <c r="AV15" s="4">
        <v>67.925775000000002</v>
      </c>
      <c r="AW15" s="4">
        <v>29.325500000000002</v>
      </c>
      <c r="AX15" s="4">
        <v>43.190159375</v>
      </c>
      <c r="AY15" s="4">
        <v>43.560009375</v>
      </c>
      <c r="AZ15" s="4">
        <v>3357.37</v>
      </c>
      <c r="BA15" s="4">
        <v>3600.52</v>
      </c>
      <c r="BB15" s="4">
        <v>7.5819999999999999</v>
      </c>
      <c r="BC15" s="4">
        <v>22.102</v>
      </c>
      <c r="BE15" s="23">
        <f t="shared" si="14"/>
        <v>1.3476483467349393E-3</v>
      </c>
      <c r="BF15" s="23">
        <f t="shared" si="15"/>
        <v>7.1654660683562188E-4</v>
      </c>
      <c r="BG15" s="23">
        <f t="array" ref="BG15">AVERAGE(AL15:AL19/AQ15:AQ19) - AVERAGE(N15:N19/S15:S19)</f>
        <v>3.9239223553777514E-4</v>
      </c>
      <c r="BI15" s="24">
        <f>IF( OR(ISBLANK(N15:N19),ISBLANK(AL15:AL19), ISBLANK(W15:W19),ISBLANK(AU15:AU19)), "·", bdRateExtend( N15:N19,W15:W19, AL15:AL19,AU15:AU19))</f>
        <v>1.1925772711445237E-3</v>
      </c>
      <c r="BJ15" s="24">
        <f>IF( OR(ISBLANK(N15:N19),ISBLANK(AL15:AL19), ISBLANK(X15:X19),ISBLANK(AV15:AV19)), "·", bdRateExtend( N15:N19,X15:X19, AL15:AL19,AV15:AV19))</f>
        <v>-1.089696021508102E-3</v>
      </c>
      <c r="BK15" s="24">
        <f>IF( OR(ISBLANK(V15:V19),ISBLANK(AT15:AT19), ISBLANK(Y15:Y19),ISBLANK(AW15:AW19)), "·", bdRateExtend( V15:V19,Y15:Y19, AT15:AT19,AW15:AW19))</f>
        <v>5.964345531165316E-3</v>
      </c>
      <c r="BL15" s="24">
        <f>IF( OR(ISBLANK(V15:V19),ISBLANK(AT15:AT19), ISBLANK(Z15:Z19),ISBLANK(AX15:AX19)), "·", bdRateExtend( V15:V19,Z15:Z19, AT15:AT19,AX15:AX19))</f>
        <v>-3.6267947126020106E-2</v>
      </c>
      <c r="BM15" s="24">
        <f>IF( OR(ISBLANK(V15:V19),ISBLANK(AT15:AT19), ISBLANK(AA15:AA19),ISBLANK(AY15:AY19)), "·", bdRateExtend( V15:V19,AA15:AA19, AT15:AT19,AY15:AY19))</f>
        <v>-2.703895881875662E-2</v>
      </c>
      <c r="BO15" s="24">
        <f>IF( OR(ISBLANK(S15:S19),ISBLANK(AQ15:AQ19), ISBLANK(W15:W19),ISBLANK(AU15:AU19)), "·", bdRateExtend( S15:S19,W15:W19, AQ15:AQ19,AU15:AU19))</f>
        <v>-1.4404284579920823E-3</v>
      </c>
      <c r="BP15" s="24">
        <f>IF( OR(ISBLANK(S15:S19),ISBLANK(AQ15:AQ19), ISBLANK(X15:X19),ISBLANK(AV15:AV19)), "·", bdRateExtend( S15:S19,X15:X19, AQ15:AQ19,AV15:AV19))</f>
        <v>-5.222492964443437E-3</v>
      </c>
      <c r="BQ15" s="24">
        <f>IF( OR(ISBLANK(S15:S19),ISBLANK(AQ15:AQ19), ISBLANK(Y15:Y19),ISBLANK(AW15:AW19)), "·", bdRateExtend( S15:S19,Y15:Y19, AQ15:AQ19,AW15:AW19))</f>
        <v>5.6315468738346031E-3</v>
      </c>
      <c r="BR15" s="24">
        <f>IF( OR(ISBLANK(S15:S19),ISBLANK(AQ15:AQ19), ISBLANK(Z15:Z19),ISBLANK(AX15:AX19)), "·", bdRateExtend( S15:S19,Z15:Z19, AQ15:AQ19,AX15:AX19))</f>
        <v>-2.1535979879650835E-2</v>
      </c>
      <c r="BS15" s="24">
        <f>IF( OR(ISBLANK(S15:S19),ISBLANK(AQ15:AQ19), ISBLANK(AA15:AA19),ISBLANK(AY15:AY19)), "·", bdRateExtend( S15:S19,AA15:AA19, AQ15:AQ19,AY15:AY19))</f>
        <v>-1.6470003937281819E-2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0.26024000000000003</v>
      </c>
      <c r="J16" s="28">
        <f t="shared" si="1"/>
        <v>8.0672134532849202E-3</v>
      </c>
      <c r="K16" s="28">
        <f t="shared" si="2"/>
        <v>6.0338689544784723E-3</v>
      </c>
      <c r="L16" s="28">
        <f t="shared" si="3"/>
        <v>3.5804490523975311E-3</v>
      </c>
      <c r="M16" s="28">
        <f t="shared" si="4"/>
        <v>2.0314349524310918E-3</v>
      </c>
      <c r="N16" s="25">
        <f t="shared" si="5"/>
        <v>1946464</v>
      </c>
      <c r="O16" s="28">
        <f t="shared" si="6"/>
        <v>7.6306524929192737E-2</v>
      </c>
      <c r="P16" s="29">
        <v>34104554</v>
      </c>
      <c r="Q16" s="29">
        <v>1065767.3125</v>
      </c>
      <c r="R16" s="29">
        <v>39391.28125</v>
      </c>
      <c r="S16" s="30">
        <v>2602400</v>
      </c>
      <c r="T16" s="30">
        <v>1155016</v>
      </c>
      <c r="U16" s="30">
        <v>791448</v>
      </c>
      <c r="V16" s="30">
        <v>655320</v>
      </c>
      <c r="W16" s="31">
        <v>68.094181000000006</v>
      </c>
      <c r="X16" s="31">
        <v>70.090277999999998</v>
      </c>
      <c r="Y16" s="31">
        <v>31.732818999999999</v>
      </c>
      <c r="Z16" s="31">
        <v>43.915613</v>
      </c>
      <c r="AA16" s="31">
        <v>44.425891</v>
      </c>
      <c r="AB16" s="32">
        <v>4825.8100000000004</v>
      </c>
      <c r="AC16" s="32">
        <v>4813.07</v>
      </c>
      <c r="AD16" s="32">
        <v>18.687000000000001</v>
      </c>
      <c r="AE16" s="32">
        <v>26.594999999999999</v>
      </c>
      <c r="AG16" s="27">
        <f t="shared" si="7"/>
        <v>0.26086560000000003</v>
      </c>
      <c r="AH16" s="28">
        <f t="shared" si="8"/>
        <v>8.0866065086813814E-3</v>
      </c>
      <c r="AI16" s="28">
        <f t="shared" si="9"/>
        <v>6.0574282928757082E-3</v>
      </c>
      <c r="AJ16" s="28">
        <f t="shared" si="10"/>
        <v>3.5804490523975311E-3</v>
      </c>
      <c r="AK16" s="28">
        <f t="shared" si="11"/>
        <v>2.0291782158056723E-3</v>
      </c>
      <c r="AL16" s="25">
        <f t="shared" si="12"/>
        <v>1954064</v>
      </c>
      <c r="AM16" s="28">
        <f t="shared" si="13"/>
        <v>7.6489960842179613E-2</v>
      </c>
      <c r="AN16" s="4">
        <v>34104554</v>
      </c>
      <c r="AO16" s="4">
        <v>1065767.3125</v>
      </c>
      <c r="AP16" s="4">
        <v>40827.1875</v>
      </c>
      <c r="AQ16" s="4">
        <v>2608656</v>
      </c>
      <c r="AR16" s="4">
        <v>1155016</v>
      </c>
      <c r="AS16" s="4">
        <v>799048</v>
      </c>
      <c r="AT16" s="4">
        <v>654592</v>
      </c>
      <c r="AU16" s="4">
        <v>68.117984375000006</v>
      </c>
      <c r="AV16" s="4">
        <v>70.124571875000001</v>
      </c>
      <c r="AW16" s="4">
        <v>31.713349999999998</v>
      </c>
      <c r="AX16" s="4">
        <v>44.064971874999998</v>
      </c>
      <c r="AY16" s="4">
        <v>44.458581250000002</v>
      </c>
      <c r="AZ16" s="4">
        <v>3273.16</v>
      </c>
      <c r="BA16" s="4">
        <v>3824.78</v>
      </c>
      <c r="BB16" s="4">
        <v>8.0850000000000009</v>
      </c>
      <c r="BC16" s="4">
        <v>22.616</v>
      </c>
      <c r="BE16" s="33">
        <f t="shared" si="14"/>
        <v>1.3472980763800588E-3</v>
      </c>
      <c r="BF16" s="33">
        <f t="shared" si="15"/>
        <v>1.119667520842027E-3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0.36262879999999997</v>
      </c>
      <c r="J17" s="18">
        <f t="shared" si="1"/>
        <v>1.1241177120767623E-2</v>
      </c>
      <c r="K17" s="18">
        <f t="shared" si="2"/>
        <v>7.0765308740293829E-3</v>
      </c>
      <c r="L17" s="18">
        <f t="shared" si="3"/>
        <v>4.6231109719484416E-3</v>
      </c>
      <c r="M17" s="18">
        <f t="shared" si="4"/>
        <v>4.162736700362886E-3</v>
      </c>
      <c r="N17" s="15">
        <f t="shared" si="5"/>
        <v>2282816</v>
      </c>
      <c r="O17" s="18">
        <f t="shared" si="6"/>
        <v>0.10590843263821136</v>
      </c>
      <c r="P17" s="19">
        <v>34239842</v>
      </c>
      <c r="Q17" s="19">
        <v>1069995.0625</v>
      </c>
      <c r="R17" s="19">
        <v>40498.25</v>
      </c>
      <c r="S17" s="20">
        <v>3626288</v>
      </c>
      <c r="T17" s="20">
        <v>1491368</v>
      </c>
      <c r="U17" s="20">
        <v>791448</v>
      </c>
      <c r="V17" s="20">
        <v>1342856</v>
      </c>
      <c r="W17" s="21">
        <v>69.468378000000001</v>
      </c>
      <c r="X17" s="21">
        <v>71.867181000000002</v>
      </c>
      <c r="Y17" s="21">
        <v>34.163891</v>
      </c>
      <c r="Z17" s="21">
        <v>45.253208999999998</v>
      </c>
      <c r="AA17" s="21">
        <v>45.705962999999997</v>
      </c>
      <c r="AB17" s="22">
        <v>3340.37</v>
      </c>
      <c r="AC17" s="22">
        <v>3099.83</v>
      </c>
      <c r="AD17" s="22">
        <v>12.672000000000001</v>
      </c>
      <c r="AE17" s="22">
        <v>16.036000000000001</v>
      </c>
      <c r="AG17" s="17">
        <f t="shared" si="7"/>
        <v>0.36370959999999997</v>
      </c>
      <c r="AH17" s="18">
        <f t="shared" si="8"/>
        <v>1.127468097989885E-2</v>
      </c>
      <c r="AI17" s="18">
        <f t="shared" si="9"/>
        <v>7.1000902124266187E-3</v>
      </c>
      <c r="AJ17" s="18">
        <f t="shared" si="10"/>
        <v>4.6231109719484416E-3</v>
      </c>
      <c r="AK17" s="18">
        <f t="shared" si="11"/>
        <v>4.1745907674722313E-3</v>
      </c>
      <c r="AL17" s="15">
        <f t="shared" si="12"/>
        <v>2290416</v>
      </c>
      <c r="AM17" s="18">
        <f t="shared" si="13"/>
        <v>0.10622408830040746</v>
      </c>
      <c r="AN17" s="4">
        <v>34239842</v>
      </c>
      <c r="AO17" s="4">
        <v>1069995.0625</v>
      </c>
      <c r="AP17" s="4">
        <v>41855.28125</v>
      </c>
      <c r="AQ17" s="4">
        <v>3637096</v>
      </c>
      <c r="AR17" s="4">
        <v>1491368</v>
      </c>
      <c r="AS17" s="4">
        <v>799048</v>
      </c>
      <c r="AT17" s="4">
        <v>1346680</v>
      </c>
      <c r="AU17" s="4">
        <v>69.468381249999993</v>
      </c>
      <c r="AV17" s="4">
        <v>71.904746875000001</v>
      </c>
      <c r="AW17" s="4">
        <v>34.160940625000002</v>
      </c>
      <c r="AX17" s="4">
        <v>45.226421875</v>
      </c>
      <c r="AY17" s="4">
        <v>45.680915624999997</v>
      </c>
      <c r="AZ17" s="4">
        <v>3236.07</v>
      </c>
      <c r="BA17" s="4">
        <v>4071.02</v>
      </c>
      <c r="BB17" s="4">
        <v>7.78</v>
      </c>
      <c r="BC17" s="4">
        <v>23.088000000000001</v>
      </c>
      <c r="BE17" s="23">
        <f t="shared" si="14"/>
        <v>1.2682593570379208E-3</v>
      </c>
      <c r="BF17" s="23">
        <f t="shared" si="15"/>
        <v>2.1890052147488515E-4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0.65967039999999999</v>
      </c>
      <c r="J18" s="28">
        <f t="shared" si="1"/>
        <v>2.044920813715741E-2</v>
      </c>
      <c r="K18" s="28">
        <f t="shared" si="2"/>
        <v>1.0009420511449429E-2</v>
      </c>
      <c r="L18" s="28">
        <f t="shared" si="3"/>
        <v>7.5560006093684873E-3</v>
      </c>
      <c r="M18" s="28">
        <f t="shared" si="4"/>
        <v>1.0437878079332625E-2</v>
      </c>
      <c r="N18" s="25">
        <f t="shared" si="5"/>
        <v>3228936</v>
      </c>
      <c r="O18" s="28">
        <f t="shared" si="6"/>
        <v>0.18550849578170692</v>
      </c>
      <c r="P18" s="29">
        <v>35560118</v>
      </c>
      <c r="Q18" s="29">
        <v>1111253.6875</v>
      </c>
      <c r="R18" s="29">
        <v>45639.40625</v>
      </c>
      <c r="S18" s="30">
        <v>6596704</v>
      </c>
      <c r="T18" s="30">
        <v>2437488</v>
      </c>
      <c r="U18" s="30">
        <v>791448</v>
      </c>
      <c r="V18" s="30">
        <v>3367152</v>
      </c>
      <c r="W18" s="31">
        <v>70.493262999999999</v>
      </c>
      <c r="X18" s="31">
        <v>73.121421999999995</v>
      </c>
      <c r="Y18" s="31">
        <v>36.525137000000001</v>
      </c>
      <c r="Z18" s="31">
        <v>46.468597000000003</v>
      </c>
      <c r="AA18" s="31">
        <v>46.962015999999998</v>
      </c>
      <c r="AB18" s="32">
        <v>4556.05</v>
      </c>
      <c r="AC18" s="32">
        <v>5571.03</v>
      </c>
      <c r="AD18" s="32">
        <v>18.763999999999999</v>
      </c>
      <c r="AE18" s="32">
        <v>28.370999999999999</v>
      </c>
      <c r="AG18" s="27">
        <f t="shared" si="7"/>
        <v>0.66091919999999993</v>
      </c>
      <c r="AH18" s="28">
        <f t="shared" si="8"/>
        <v>2.0487919850039605E-2</v>
      </c>
      <c r="AI18" s="28">
        <f t="shared" si="9"/>
        <v>1.0032979849846664E-2</v>
      </c>
      <c r="AJ18" s="28">
        <f t="shared" si="10"/>
        <v>7.5560006093684873E-3</v>
      </c>
      <c r="AK18" s="28">
        <f t="shared" si="11"/>
        <v>1.0454940000192939E-2</v>
      </c>
      <c r="AL18" s="25">
        <f t="shared" si="12"/>
        <v>3236536</v>
      </c>
      <c r="AM18" s="28">
        <f t="shared" si="13"/>
        <v>0.18585967571873638</v>
      </c>
      <c r="AN18" s="4">
        <v>35560118</v>
      </c>
      <c r="AO18" s="4">
        <v>1111253.6875</v>
      </c>
      <c r="AP18" s="4">
        <v>47137.125</v>
      </c>
      <c r="AQ18" s="4">
        <v>6609192</v>
      </c>
      <c r="AR18" s="4">
        <v>2437488</v>
      </c>
      <c r="AS18" s="4">
        <v>799048</v>
      </c>
      <c r="AT18" s="4">
        <v>3372656</v>
      </c>
      <c r="AU18" s="4">
        <v>70.527187499999997</v>
      </c>
      <c r="AV18" s="4">
        <v>73.167634375000006</v>
      </c>
      <c r="AW18" s="4">
        <v>36.506765625</v>
      </c>
      <c r="AX18" s="4">
        <v>46.557609374999998</v>
      </c>
      <c r="AY18" s="4">
        <v>47.076759375000002</v>
      </c>
      <c r="AZ18" s="4">
        <v>3322.29</v>
      </c>
      <c r="BA18" s="4">
        <v>4482.71</v>
      </c>
      <c r="BB18" s="4">
        <v>8.1080000000000005</v>
      </c>
      <c r="BC18" s="4">
        <v>24.05</v>
      </c>
      <c r="BE18" s="33">
        <f t="shared" si="14"/>
        <v>1.3477739303339731E-3</v>
      </c>
      <c r="BF18" s="33">
        <f t="shared" si="15"/>
        <v>2.2505158133917513E-4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276</v>
      </c>
      <c r="C19" s="36" t="s">
        <v>270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1.5507152</v>
      </c>
      <c r="J19" s="38">
        <f t="shared" si="1"/>
        <v>4.8070821255969162E-2</v>
      </c>
      <c r="K19" s="38">
        <f t="shared" si="2"/>
        <v>1.7389618857767387E-2</v>
      </c>
      <c r="L19" s="38">
        <f t="shared" si="3"/>
        <v>1.2281086317621594E-2</v>
      </c>
      <c r="M19" s="38">
        <f t="shared" si="4"/>
        <v>3.0679292851826419E-2</v>
      </c>
      <c r="N19" s="35">
        <f t="shared" si="5"/>
        <v>5609712</v>
      </c>
      <c r="O19" s="38">
        <f t="shared" si="6"/>
        <v>0.46128101840522079</v>
      </c>
      <c r="P19" s="39">
        <v>33617581</v>
      </c>
      <c r="Q19" s="39">
        <v>1050549.40625</v>
      </c>
      <c r="R19" s="39">
        <v>19923.5625</v>
      </c>
      <c r="S19" s="40">
        <v>15507152</v>
      </c>
      <c r="T19" s="40">
        <v>3961752</v>
      </c>
      <c r="U19" s="40">
        <v>1647960</v>
      </c>
      <c r="V19" s="40">
        <v>9896824</v>
      </c>
      <c r="W19" s="41">
        <v>71.522969000000003</v>
      </c>
      <c r="X19" s="41">
        <v>75.136296999999999</v>
      </c>
      <c r="Y19" s="41">
        <v>38.812966000000003</v>
      </c>
      <c r="Z19" s="41">
        <v>48.258625000000002</v>
      </c>
      <c r="AA19" s="41">
        <v>48.851872</v>
      </c>
      <c r="AB19" s="42">
        <v>4780.53</v>
      </c>
      <c r="AC19" s="42">
        <v>5955.06</v>
      </c>
      <c r="AD19" s="42">
        <v>16.497</v>
      </c>
      <c r="AE19" s="42">
        <v>28.992000000000001</v>
      </c>
      <c r="AG19" s="37">
        <f t="shared" si="7"/>
        <v>1.5541832</v>
      </c>
      <c r="AH19" s="38">
        <f t="shared" si="8"/>
        <v>4.8178326236971283E-2</v>
      </c>
      <c r="AI19" s="38">
        <f t="shared" si="9"/>
        <v>1.7413178196164624E-2</v>
      </c>
      <c r="AJ19" s="38">
        <f t="shared" si="10"/>
        <v>1.2281086317621594E-2</v>
      </c>
      <c r="AK19" s="38">
        <f t="shared" si="11"/>
        <v>3.0765148040806659E-2</v>
      </c>
      <c r="AL19" s="35">
        <f t="shared" si="12"/>
        <v>5617312</v>
      </c>
      <c r="AM19" s="38">
        <f t="shared" si="13"/>
        <v>0.4623126214821941</v>
      </c>
      <c r="AN19" s="4">
        <v>33617581</v>
      </c>
      <c r="AO19" s="4">
        <v>1050549.40625</v>
      </c>
      <c r="AP19" s="4">
        <v>20673.75</v>
      </c>
      <c r="AQ19" s="4">
        <v>15541832</v>
      </c>
      <c r="AR19" s="4">
        <v>3961752</v>
      </c>
      <c r="AS19" s="4">
        <v>1655560</v>
      </c>
      <c r="AT19" s="4">
        <v>9924520</v>
      </c>
      <c r="AU19" s="4">
        <v>71.472956249999996</v>
      </c>
      <c r="AV19" s="4">
        <v>75.084715625000001</v>
      </c>
      <c r="AW19" s="4">
        <v>38.794040625000001</v>
      </c>
      <c r="AX19" s="4">
        <v>48.287143749999998</v>
      </c>
      <c r="AY19" s="4">
        <v>48.817556250000003</v>
      </c>
      <c r="AZ19" s="4">
        <v>3265.38</v>
      </c>
      <c r="BA19" s="4">
        <v>5132.1099999999997</v>
      </c>
      <c r="BB19" s="4">
        <v>7.4269999999999996</v>
      </c>
      <c r="BC19" s="4">
        <v>25.213999999999999</v>
      </c>
      <c r="BE19" s="43">
        <f t="shared" si="14"/>
        <v>7.1409064203637948E-4</v>
      </c>
      <c r="BF19" s="43">
        <f t="shared" si="15"/>
        <v>-3.1820505280283351E-4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0.29155359999999997</v>
      </c>
      <c r="J20" s="28">
        <f t="shared" si="1"/>
        <v>5.8170438265215388E-3</v>
      </c>
      <c r="K20" s="28">
        <f t="shared" si="2"/>
        <v>4.3555124030871615E-3</v>
      </c>
      <c r="L20" s="28">
        <f t="shared" si="3"/>
        <v>2.4252234185119597E-3</v>
      </c>
      <c r="M20" s="28">
        <f t="shared" si="4"/>
        <v>1.4590733512328076E-3</v>
      </c>
      <c r="N20" s="25">
        <f t="shared" si="5"/>
        <v>1091504</v>
      </c>
      <c r="O20" s="28">
        <f t="shared" si="6"/>
        <v>4.7327354766145857E-2</v>
      </c>
      <c r="P20" s="29">
        <v>30801806</v>
      </c>
      <c r="Q20" s="29">
        <v>962556.4375</v>
      </c>
      <c r="R20" s="29">
        <v>28246.0625</v>
      </c>
      <c r="S20" s="30">
        <v>1457768</v>
      </c>
      <c r="T20" s="30">
        <v>607768</v>
      </c>
      <c r="U20" s="30">
        <v>483736</v>
      </c>
      <c r="V20" s="30">
        <v>365648</v>
      </c>
      <c r="W20" s="31">
        <v>67.130622000000002</v>
      </c>
      <c r="X20" s="31">
        <v>68.790569000000005</v>
      </c>
      <c r="Y20" s="31">
        <v>30.041069</v>
      </c>
      <c r="Z20" s="31">
        <v>39.297615999999998</v>
      </c>
      <c r="AA20" s="31">
        <v>37.967503000000001</v>
      </c>
      <c r="AB20" s="32">
        <v>3424.37</v>
      </c>
      <c r="AC20" s="32">
        <v>2139.23</v>
      </c>
      <c r="AD20" s="32">
        <v>10.558999999999999</v>
      </c>
      <c r="AE20" s="32">
        <v>12.5</v>
      </c>
      <c r="AG20" s="27">
        <f t="shared" si="7"/>
        <v>0.29286240000000002</v>
      </c>
      <c r="AH20" s="28">
        <f t="shared" si="8"/>
        <v>5.8431568532862615E-3</v>
      </c>
      <c r="AI20" s="28">
        <f t="shared" si="9"/>
        <v>4.3822638901639807E-3</v>
      </c>
      <c r="AJ20" s="28">
        <f t="shared" si="10"/>
        <v>2.4252234185119597E-3</v>
      </c>
      <c r="AK20" s="28">
        <f t="shared" si="11"/>
        <v>1.460892963122281E-3</v>
      </c>
      <c r="AL20" s="25">
        <f t="shared" si="12"/>
        <v>1098208</v>
      </c>
      <c r="AM20" s="28">
        <f t="shared" si="13"/>
        <v>4.753980984102036E-2</v>
      </c>
      <c r="AN20" s="4">
        <v>30801806</v>
      </c>
      <c r="AO20" s="4">
        <v>962556.4375</v>
      </c>
      <c r="AP20" s="4">
        <v>29649.5</v>
      </c>
      <c r="AQ20" s="4">
        <v>1464312</v>
      </c>
      <c r="AR20" s="4">
        <v>607768</v>
      </c>
      <c r="AS20" s="4">
        <v>490440</v>
      </c>
      <c r="AT20" s="4">
        <v>366104</v>
      </c>
      <c r="AU20" s="4">
        <v>67.159846874999999</v>
      </c>
      <c r="AV20" s="4">
        <v>68.824628125000004</v>
      </c>
      <c r="AW20" s="4">
        <v>30.032293750000001</v>
      </c>
      <c r="AX20" s="4">
        <v>39.304634374999999</v>
      </c>
      <c r="AY20" s="4">
        <v>37.983246874999999</v>
      </c>
      <c r="AZ20" s="4">
        <v>3805.11</v>
      </c>
      <c r="BA20" s="4">
        <v>3495.96</v>
      </c>
      <c r="BB20" s="4">
        <v>7.431</v>
      </c>
      <c r="BC20" s="4">
        <v>23.48</v>
      </c>
      <c r="BE20" s="33">
        <f t="shared" si="14"/>
        <v>1.4580313894581379E-3</v>
      </c>
      <c r="BF20" s="33">
        <f t="shared" si="15"/>
        <v>1.2321001653325947E-3</v>
      </c>
      <c r="BG20" s="33">
        <f t="array" ref="BG20">AVERAGE(AL20:AL24/AQ20:AQ24) - AVERAGE(N20:N24/S20:S24)</f>
        <v>8.3336230884634155E-5</v>
      </c>
      <c r="BI20" s="34">
        <f>IF( OR(ISBLANK(N20:N24),ISBLANK(AL20:AL24), ISBLANK(W20:W24),ISBLANK(AU20:AU24)), "·", bdRateExtend( N20:N24,W20:W24, AL20:AL24,AU20:AU24))</f>
        <v>1.3777339313083559E-3</v>
      </c>
      <c r="BJ20" s="34">
        <f>IF( OR(ISBLANK(N20:N24),ISBLANK(AL20:AL24), ISBLANK(X20:X24),ISBLANK(AV20:AV24)), "·", bdRateExtend( N20:N24,X20:X24, AL20:AL24,AV20:AV24))</f>
        <v>2.9152231952633834E-4</v>
      </c>
      <c r="BK20" s="34">
        <f>IF( OR(ISBLANK(V20:V24),ISBLANK(AT20:AT24), ISBLANK(Y20:Y24),ISBLANK(AW20:AW24)), "·", bdRateExtend( V20:V24,Y20:Y24, AT20:AT24,AW20:AW24))</f>
        <v>4.4565946267558498E-3</v>
      </c>
      <c r="BL20" s="34">
        <f>IF( OR(ISBLANK(V20:V24),ISBLANK(AT20:AT24), ISBLANK(Z20:Z24),ISBLANK(AX20:AX24)), "·", bdRateExtend( V20:V24,Z20:Z24, AT20:AT24,AX20:AX24))</f>
        <v>-1.2638220261072863E-2</v>
      </c>
      <c r="BM20" s="34">
        <f>IF( OR(ISBLANK(V20:V24),ISBLANK(AT20:AT24), ISBLANK(AA20:AA24),ISBLANK(AY20:AY24)), "·", bdRateExtend( V20:V24,AA20:AA24, AT20:AT24,AY20:AY24))</f>
        <v>-4.5867873824099181E-3</v>
      </c>
      <c r="BO20" s="34">
        <f>IF( OR(ISBLANK(S20:S24),ISBLANK(AQ20:AQ24), ISBLANK(W20:W24),ISBLANK(AU20:AU24)), "·", bdRateExtend( S20:S24,W20:W24, AQ20:AQ24,AU20:AU24))</f>
        <v>-4.3067469032502803E-3</v>
      </c>
      <c r="BP20" s="34">
        <f>IF( OR(ISBLANK(S20:S24),ISBLANK(AQ20:AQ24), ISBLANK(X20:X24),ISBLANK(AV20:AV24)), "·", bdRateExtend( S20:S24,X20:X24, AQ20:AQ24,AV20:AV24))</f>
        <v>-4.5903758023271291E-3</v>
      </c>
      <c r="BQ20" s="34">
        <f>IF( OR(ISBLANK(S20:S24),ISBLANK(AQ20:AQ24), ISBLANK(Y20:Y24),ISBLANK(AW20:AW24)), "·", bdRateExtend( S20:S24,Y20:Y24, AQ20:AQ24,AW20:AW24))</f>
        <v>5.1702026697486581E-3</v>
      </c>
      <c r="BR20" s="34">
        <f>IF( OR(ISBLANK(S20:S24),ISBLANK(AQ20:AQ24), ISBLANK(Z20:Z24),ISBLANK(AX20:AX24)), "·", bdRateExtend( S20:S24,Z20:Z24, AQ20:AQ24,AX20:AX24))</f>
        <v>-5.5209927880079945E-3</v>
      </c>
      <c r="BS20" s="34">
        <f>IF( OR(ISBLANK(S20:S24),ISBLANK(AQ20:AQ24), ISBLANK(AA20:AA24),ISBLANK(AY20:AY24)), "·", bdRateExtend( S20:S24,AA20:AA24, AQ20:AQ24,AY20:AY24))</f>
        <v>2.6089335508050482E-3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0.39893600000000001</v>
      </c>
      <c r="J21" s="18">
        <f t="shared" si="1"/>
        <v>7.9595250958218195E-3</v>
      </c>
      <c r="K21" s="18">
        <f t="shared" si="2"/>
        <v>5.0709071827906406E-3</v>
      </c>
      <c r="L21" s="18">
        <f t="shared" si="3"/>
        <v>3.1406181982154388E-3</v>
      </c>
      <c r="M21" s="18">
        <f t="shared" si="4"/>
        <v>2.8861598408296096E-3</v>
      </c>
      <c r="N21" s="15">
        <f t="shared" si="5"/>
        <v>1270784</v>
      </c>
      <c r="O21" s="18">
        <f t="shared" si="6"/>
        <v>6.3067654499359624E-2</v>
      </c>
      <c r="P21" s="19">
        <v>31627623</v>
      </c>
      <c r="Q21" s="19">
        <v>988363.21875</v>
      </c>
      <c r="R21" s="19">
        <v>32272.96875</v>
      </c>
      <c r="S21" s="20">
        <v>1994680</v>
      </c>
      <c r="T21" s="20">
        <v>787048</v>
      </c>
      <c r="U21" s="20">
        <v>483736</v>
      </c>
      <c r="V21" s="20">
        <v>723280</v>
      </c>
      <c r="W21" s="21">
        <v>68.791021999999998</v>
      </c>
      <c r="X21" s="21">
        <v>70.898105999999999</v>
      </c>
      <c r="Y21" s="21">
        <v>31.547461999999999</v>
      </c>
      <c r="Z21" s="21">
        <v>40.477544000000002</v>
      </c>
      <c r="AA21" s="21">
        <v>39.232833999999997</v>
      </c>
      <c r="AB21" s="22">
        <v>3159.58</v>
      </c>
      <c r="AC21" s="22">
        <v>2145.12</v>
      </c>
      <c r="AD21" s="22">
        <v>9.9269999999999996</v>
      </c>
      <c r="AE21" s="22">
        <v>12.407999999999999</v>
      </c>
      <c r="AG21" s="17">
        <f t="shared" si="7"/>
        <v>0.4001904</v>
      </c>
      <c r="AH21" s="18">
        <f t="shared" si="8"/>
        <v>7.984552740055979E-3</v>
      </c>
      <c r="AI21" s="18">
        <f t="shared" si="9"/>
        <v>5.0976586698674598E-3</v>
      </c>
      <c r="AJ21" s="18">
        <f t="shared" si="10"/>
        <v>3.1406181982154388E-3</v>
      </c>
      <c r="AK21" s="18">
        <f t="shared" si="11"/>
        <v>2.88689407018852E-3</v>
      </c>
      <c r="AL21" s="15">
        <f t="shared" si="12"/>
        <v>1277488</v>
      </c>
      <c r="AM21" s="18">
        <f t="shared" si="13"/>
        <v>6.3265962162252914E-2</v>
      </c>
      <c r="AN21" s="4">
        <v>31627623</v>
      </c>
      <c r="AO21" s="4">
        <v>988363.21875</v>
      </c>
      <c r="AP21" s="4">
        <v>33732.15625</v>
      </c>
      <c r="AQ21" s="4">
        <v>2000952</v>
      </c>
      <c r="AR21" s="4">
        <v>787048</v>
      </c>
      <c r="AS21" s="4">
        <v>490440</v>
      </c>
      <c r="AT21" s="4">
        <v>723464</v>
      </c>
      <c r="AU21" s="4">
        <v>68.823096875000005</v>
      </c>
      <c r="AV21" s="4">
        <v>70.936893749999996</v>
      </c>
      <c r="AW21" s="4">
        <v>31.560403125000001</v>
      </c>
      <c r="AX21" s="4">
        <v>40.488471875000002</v>
      </c>
      <c r="AY21" s="4">
        <v>39.290503125000001</v>
      </c>
      <c r="AZ21" s="4">
        <v>3759.65</v>
      </c>
      <c r="BA21" s="4">
        <v>3759.64</v>
      </c>
      <c r="BB21" s="4">
        <v>8.1349999999999998</v>
      </c>
      <c r="BC21" s="4">
        <v>23.053999999999998</v>
      </c>
      <c r="BE21" s="23">
        <f t="shared" si="14"/>
        <v>1.4763676675923418E-3</v>
      </c>
      <c r="BF21" s="23">
        <f t="shared" si="15"/>
        <v>1.3534520209004253E-3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0.65270399999999995</v>
      </c>
      <c r="J22" s="28">
        <f t="shared" si="1"/>
        <v>1.3022674985820494E-2</v>
      </c>
      <c r="K22" s="28">
        <f t="shared" si="2"/>
        <v>5.9705616085650023E-3</v>
      </c>
      <c r="L22" s="28">
        <f t="shared" si="3"/>
        <v>4.0402726239898009E-3</v>
      </c>
      <c r="M22" s="28">
        <f t="shared" si="4"/>
        <v>7.0496553050539233E-3</v>
      </c>
      <c r="N22" s="25">
        <f t="shared" si="5"/>
        <v>1496240</v>
      </c>
      <c r="O22" s="28">
        <f t="shared" si="6"/>
        <v>9.9659751143782171E-2</v>
      </c>
      <c r="P22" s="29">
        <v>32746620</v>
      </c>
      <c r="Q22" s="29">
        <v>1023331.875</v>
      </c>
      <c r="R22" s="29">
        <v>34640.1875</v>
      </c>
      <c r="S22" s="30">
        <v>3263520</v>
      </c>
      <c r="T22" s="30">
        <v>1012504</v>
      </c>
      <c r="U22" s="30">
        <v>483736</v>
      </c>
      <c r="V22" s="30">
        <v>1766664</v>
      </c>
      <c r="W22" s="31">
        <v>70.003466000000003</v>
      </c>
      <c r="X22" s="31">
        <v>72.449924999999993</v>
      </c>
      <c r="Y22" s="31">
        <v>33.569619000000003</v>
      </c>
      <c r="Z22" s="31">
        <v>41.681911999999997</v>
      </c>
      <c r="AA22" s="31">
        <v>40.571950000000001</v>
      </c>
      <c r="AB22" s="32">
        <v>3196.61</v>
      </c>
      <c r="AC22" s="32">
        <v>2301.1799999999998</v>
      </c>
      <c r="AD22" s="32">
        <v>9.9209999999999994</v>
      </c>
      <c r="AE22" s="32">
        <v>12.510999999999999</v>
      </c>
      <c r="AG22" s="27">
        <f t="shared" si="7"/>
        <v>0.65696319999999997</v>
      </c>
      <c r="AH22" s="28">
        <f t="shared" si="8"/>
        <v>1.3107654053360462E-2</v>
      </c>
      <c r="AI22" s="28">
        <f t="shared" si="9"/>
        <v>5.9973130956418215E-3</v>
      </c>
      <c r="AJ22" s="28">
        <f t="shared" si="10"/>
        <v>4.0402726239898009E-3</v>
      </c>
      <c r="AK22" s="28">
        <f t="shared" si="11"/>
        <v>7.1103409577186402E-3</v>
      </c>
      <c r="AL22" s="25">
        <f t="shared" si="12"/>
        <v>1502944</v>
      </c>
      <c r="AM22" s="28">
        <f t="shared" si="13"/>
        <v>0.10031007780344964</v>
      </c>
      <c r="AN22" s="4">
        <v>32746620</v>
      </c>
      <c r="AO22" s="4">
        <v>1023331.875</v>
      </c>
      <c r="AP22" s="4">
        <v>36056.5625</v>
      </c>
      <c r="AQ22" s="4">
        <v>3284816</v>
      </c>
      <c r="AR22" s="4">
        <v>1012504</v>
      </c>
      <c r="AS22" s="4">
        <v>490440</v>
      </c>
      <c r="AT22" s="4">
        <v>1781872</v>
      </c>
      <c r="AU22" s="4">
        <v>70.031874999999999</v>
      </c>
      <c r="AV22" s="4">
        <v>72.483656249999996</v>
      </c>
      <c r="AW22" s="4">
        <v>33.566303124999997</v>
      </c>
      <c r="AX22" s="4">
        <v>41.756265624999997</v>
      </c>
      <c r="AY22" s="4">
        <v>40.573128124999997</v>
      </c>
      <c r="AZ22" s="4">
        <v>3822.47</v>
      </c>
      <c r="BA22" s="4">
        <v>3940.9</v>
      </c>
      <c r="BB22" s="4">
        <v>8.23</v>
      </c>
      <c r="BC22" s="4">
        <v>19.605</v>
      </c>
      <c r="BE22" s="33">
        <f t="shared" si="14"/>
        <v>1.3840817769895028E-3</v>
      </c>
      <c r="BF22" s="33">
        <f t="shared" si="15"/>
        <v>-9.3145807333055997E-4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1.2117872000000001</v>
      </c>
      <c r="J23" s="18">
        <f t="shared" si="1"/>
        <v>2.4177438559557559E-2</v>
      </c>
      <c r="K23" s="18">
        <f t="shared" si="2"/>
        <v>8.4805406335076959E-3</v>
      </c>
      <c r="L23" s="18">
        <f t="shared" si="3"/>
        <v>6.5502516489324937E-3</v>
      </c>
      <c r="M23" s="18">
        <f t="shared" si="4"/>
        <v>1.5694439853848295E-2</v>
      </c>
      <c r="N23" s="15">
        <f t="shared" si="5"/>
        <v>2125248</v>
      </c>
      <c r="O23" s="18">
        <f t="shared" si="6"/>
        <v>0.18332515587795251</v>
      </c>
      <c r="P23" s="19">
        <v>33050216</v>
      </c>
      <c r="Q23" s="19">
        <v>1032819.25</v>
      </c>
      <c r="R23" s="19">
        <v>36820.71875</v>
      </c>
      <c r="S23" s="20">
        <v>6058936</v>
      </c>
      <c r="T23" s="20">
        <v>1641512</v>
      </c>
      <c r="U23" s="20">
        <v>483736</v>
      </c>
      <c r="V23" s="20">
        <v>3933072</v>
      </c>
      <c r="W23" s="21">
        <v>70.935637999999997</v>
      </c>
      <c r="X23" s="21">
        <v>73.669265999999993</v>
      </c>
      <c r="Y23" s="21">
        <v>35.486553000000001</v>
      </c>
      <c r="Z23" s="21">
        <v>42.753943999999997</v>
      </c>
      <c r="AA23" s="21">
        <v>41.608880999999997</v>
      </c>
      <c r="AB23" s="22">
        <v>3325.89</v>
      </c>
      <c r="AC23" s="22">
        <v>2623.55</v>
      </c>
      <c r="AD23" s="22">
        <v>10.441000000000001</v>
      </c>
      <c r="AE23" s="22">
        <v>12.824999999999999</v>
      </c>
      <c r="AG23" s="17">
        <f t="shared" si="7"/>
        <v>1.2164831999999999</v>
      </c>
      <c r="AH23" s="18">
        <f t="shared" si="8"/>
        <v>2.4271132610357637E-2</v>
      </c>
      <c r="AI23" s="18">
        <f t="shared" si="9"/>
        <v>8.5072921205845142E-3</v>
      </c>
      <c r="AJ23" s="18">
        <f t="shared" si="10"/>
        <v>6.5502516489324937E-3</v>
      </c>
      <c r="AK23" s="18">
        <f t="shared" si="11"/>
        <v>1.5763840489773119E-2</v>
      </c>
      <c r="AL23" s="15">
        <f t="shared" si="12"/>
        <v>2131952</v>
      </c>
      <c r="AM23" s="18">
        <f t="shared" si="13"/>
        <v>0.18403558996407166</v>
      </c>
      <c r="AN23" s="4">
        <v>33050216</v>
      </c>
      <c r="AO23" s="4">
        <v>1032819.25</v>
      </c>
      <c r="AP23" s="4">
        <v>38307</v>
      </c>
      <c r="AQ23" s="4">
        <v>6082416</v>
      </c>
      <c r="AR23" s="4">
        <v>1641512</v>
      </c>
      <c r="AS23" s="4">
        <v>490440</v>
      </c>
      <c r="AT23" s="4">
        <v>3950464</v>
      </c>
      <c r="AU23" s="4">
        <v>70.96858125</v>
      </c>
      <c r="AV23" s="4">
        <v>73.709149999999994</v>
      </c>
      <c r="AW23" s="4">
        <v>35.484331249999997</v>
      </c>
      <c r="AX23" s="4">
        <v>42.764449999999997</v>
      </c>
      <c r="AY23" s="4">
        <v>41.595806250000003</v>
      </c>
      <c r="AZ23" s="4">
        <v>3714.12</v>
      </c>
      <c r="BA23" s="4">
        <v>4175.1899999999996</v>
      </c>
      <c r="BB23" s="4">
        <v>8.2059999999999995</v>
      </c>
      <c r="BC23" s="4">
        <v>23.957000000000001</v>
      </c>
      <c r="BE23" s="23">
        <f t="shared" si="14"/>
        <v>1.4390526222279459E-3</v>
      </c>
      <c r="BF23" s="23">
        <f t="shared" si="15"/>
        <v>-2.5185802609706265E-4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279</v>
      </c>
      <c r="C24" s="46" t="s">
        <v>270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2.3551552</v>
      </c>
      <c r="J24" s="48">
        <f t="shared" si="1"/>
        <v>4.6989785125822831E-2</v>
      </c>
      <c r="K24" s="48">
        <f t="shared" si="2"/>
        <v>1.4427958055759221E-2</v>
      </c>
      <c r="L24" s="48">
        <f t="shared" si="3"/>
        <v>1.0395889646779854E-2</v>
      </c>
      <c r="M24" s="48">
        <f t="shared" si="4"/>
        <v>3.2559368997862041E-2</v>
      </c>
      <c r="N24" s="45">
        <f t="shared" si="5"/>
        <v>3615688</v>
      </c>
      <c r="O24" s="48">
        <f t="shared" si="6"/>
        <v>0.37392246378438387</v>
      </c>
      <c r="P24" s="49">
        <v>31492561</v>
      </c>
      <c r="Q24" s="49">
        <v>984142.53125</v>
      </c>
      <c r="R24" s="49">
        <v>17732.5</v>
      </c>
      <c r="S24" s="50">
        <v>11775776</v>
      </c>
      <c r="T24" s="50">
        <v>2605240</v>
      </c>
      <c r="U24" s="50">
        <v>1010448</v>
      </c>
      <c r="V24" s="50">
        <v>8159472</v>
      </c>
      <c r="W24" s="51">
        <v>71.941288</v>
      </c>
      <c r="X24" s="51">
        <v>75.855563000000004</v>
      </c>
      <c r="Y24" s="51">
        <v>36.955393999999998</v>
      </c>
      <c r="Z24" s="51">
        <v>43.62135</v>
      </c>
      <c r="AA24" s="51">
        <v>42.239159000000001</v>
      </c>
      <c r="AB24" s="52">
        <v>3020.02</v>
      </c>
      <c r="AC24" s="52">
        <v>2830.8</v>
      </c>
      <c r="AD24" s="52">
        <v>10.178000000000001</v>
      </c>
      <c r="AE24" s="52">
        <v>14.670999999999999</v>
      </c>
      <c r="AG24" s="47">
        <f t="shared" si="7"/>
        <v>2.3671199999999999</v>
      </c>
      <c r="AH24" s="48">
        <f t="shared" si="8"/>
        <v>4.7228505436515494E-2</v>
      </c>
      <c r="AI24" s="48">
        <f t="shared" si="9"/>
        <v>1.445470954283604E-2</v>
      </c>
      <c r="AJ24" s="48">
        <f t="shared" si="10"/>
        <v>1.0395889646779854E-2</v>
      </c>
      <c r="AK24" s="48">
        <f t="shared" si="11"/>
        <v>3.2773795893679458E-2</v>
      </c>
      <c r="AL24" s="45">
        <f t="shared" si="12"/>
        <v>3622392</v>
      </c>
      <c r="AM24" s="48">
        <f t="shared" si="13"/>
        <v>0.37582208700016489</v>
      </c>
      <c r="AN24" s="4">
        <v>31492561</v>
      </c>
      <c r="AO24" s="4">
        <v>984142.53125</v>
      </c>
      <c r="AP24" s="4">
        <v>18541.96875</v>
      </c>
      <c r="AQ24" s="4">
        <v>11835600</v>
      </c>
      <c r="AR24" s="4">
        <v>2605240</v>
      </c>
      <c r="AS24" s="4">
        <v>1017152</v>
      </c>
      <c r="AT24" s="4">
        <v>8213208</v>
      </c>
      <c r="AU24" s="4">
        <v>71.867959374999998</v>
      </c>
      <c r="AV24" s="4">
        <v>75.793768749999998</v>
      </c>
      <c r="AW24" s="4">
        <v>36.933634374999997</v>
      </c>
      <c r="AX24" s="4">
        <v>43.580706249999999</v>
      </c>
      <c r="AY24" s="4">
        <v>42.191409374999999</v>
      </c>
      <c r="AZ24" s="4">
        <v>3794.41</v>
      </c>
      <c r="BA24" s="4">
        <v>4741.99</v>
      </c>
      <c r="BB24" s="4">
        <v>8.17</v>
      </c>
      <c r="BC24" s="4">
        <v>25.114000000000001</v>
      </c>
      <c r="BE24" s="53">
        <f t="shared" si="14"/>
        <v>8.2251170363693143E-4</v>
      </c>
      <c r="BF24" s="53">
        <f t="shared" si="15"/>
        <v>-9.8555493238289271E-4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0.24119199999999999</v>
      </c>
      <c r="J25" s="18">
        <f t="shared" si="1"/>
        <v>9.6363252481430055E-3</v>
      </c>
      <c r="K25" s="18">
        <f t="shared" si="2"/>
        <v>6.1818996944967832E-3</v>
      </c>
      <c r="L25" s="18">
        <f t="shared" si="3"/>
        <v>3.6402226237561945E-3</v>
      </c>
      <c r="M25" s="18">
        <f t="shared" si="4"/>
        <v>3.4519644536292839E-3</v>
      </c>
      <c r="N25" s="15">
        <f t="shared" si="5"/>
        <v>1547296</v>
      </c>
      <c r="O25" s="18">
        <f t="shared" si="6"/>
        <v>0.10354602372012418</v>
      </c>
      <c r="P25" s="19">
        <v>23293217</v>
      </c>
      <c r="Q25" s="19">
        <v>727913.03125</v>
      </c>
      <c r="R25" s="19">
        <v>18037.96875</v>
      </c>
      <c r="S25" s="20">
        <v>2411920</v>
      </c>
      <c r="T25" s="20">
        <v>911128</v>
      </c>
      <c r="U25" s="20">
        <v>636168</v>
      </c>
      <c r="V25" s="20">
        <v>864008</v>
      </c>
      <c r="W25" s="21">
        <v>66.258609000000007</v>
      </c>
      <c r="X25" s="21">
        <v>68.024615999999995</v>
      </c>
      <c r="Y25" s="21">
        <v>26.005562000000001</v>
      </c>
      <c r="Z25" s="21">
        <v>32.538881000000003</v>
      </c>
      <c r="AA25" s="21">
        <v>31.726472000000001</v>
      </c>
      <c r="AB25" s="22">
        <v>2526.06</v>
      </c>
      <c r="AC25" s="22">
        <v>3538.41</v>
      </c>
      <c r="AD25" s="22">
        <v>10.223000000000001</v>
      </c>
      <c r="AE25" s="22">
        <v>18.393999999999998</v>
      </c>
      <c r="AG25" s="17">
        <f t="shared" si="7"/>
        <v>0.2417416</v>
      </c>
      <c r="AH25" s="18">
        <f t="shared" si="8"/>
        <v>9.6582833742681652E-3</v>
      </c>
      <c r="AI25" s="18">
        <f t="shared" si="9"/>
        <v>6.1958672361513605E-3</v>
      </c>
      <c r="AJ25" s="18">
        <f t="shared" si="10"/>
        <v>3.6402226237561945E-3</v>
      </c>
      <c r="AK25" s="18">
        <f t="shared" si="11"/>
        <v>3.4624161381168052E-3</v>
      </c>
      <c r="AL25" s="15">
        <f t="shared" si="12"/>
        <v>1550792</v>
      </c>
      <c r="AM25" s="18">
        <f t="shared" si="13"/>
        <v>0.1037819722368104</v>
      </c>
      <c r="AN25" s="4">
        <v>23293217</v>
      </c>
      <c r="AO25" s="4">
        <v>727913.03125</v>
      </c>
      <c r="AP25" s="4">
        <v>18554.28125</v>
      </c>
      <c r="AQ25" s="4">
        <v>2417416</v>
      </c>
      <c r="AR25" s="4">
        <v>911128</v>
      </c>
      <c r="AS25" s="4">
        <v>639664</v>
      </c>
      <c r="AT25" s="4">
        <v>866624</v>
      </c>
      <c r="AU25" s="4">
        <v>66.257625000000004</v>
      </c>
      <c r="AV25" s="4">
        <v>68.040481249999999</v>
      </c>
      <c r="AW25" s="4">
        <v>26.009984374999998</v>
      </c>
      <c r="AX25" s="4">
        <v>32.554171875000002</v>
      </c>
      <c r="AY25" s="4">
        <v>31.727709375</v>
      </c>
      <c r="AZ25" s="4">
        <v>2935.11</v>
      </c>
      <c r="BA25" s="4">
        <v>5838.57</v>
      </c>
      <c r="BB25" s="4">
        <v>7.12</v>
      </c>
      <c r="BC25" s="4">
        <v>35.167000000000002</v>
      </c>
      <c r="BE25" s="23">
        <f t="shared" si="14"/>
        <v>7.0930520245443204E-4</v>
      </c>
      <c r="BF25" s="23">
        <f t="shared" si="15"/>
        <v>-1.2325716642558326E-5</v>
      </c>
      <c r="BG25" s="23">
        <f t="array" ref="BG25">AVERAGE(AL25:AL29/AQ25:AQ29) - AVERAGE(N25:N29/S25:S29)</f>
        <v>1.2187115061496057E-4</v>
      </c>
      <c r="BI25" s="24">
        <f>IF( OR(ISBLANK(N25:N29),ISBLANK(AL25:AL29), ISBLANK(W25:W29),ISBLANK(AU25:AU29)), "·", bdRateExtend( N25:N29,W25:W29, AL25:AL29,AU25:AU29))</f>
        <v>7.8239070233832031E-4</v>
      </c>
      <c r="BJ25" s="24">
        <f>IF( OR(ISBLANK(N25:N29),ISBLANK(AL25:AL29), ISBLANK(X25:X29),ISBLANK(AV25:AV29)), "·", bdRateExtend( N25:N29,X25:X29, AL25:AL29,AV25:AV29))</f>
        <v>-1.4589519489167646E-3</v>
      </c>
      <c r="BK25" s="24">
        <f>IF( OR(ISBLANK(V25:V29),ISBLANK(AT25:AT29), ISBLANK(Y25:Y29),ISBLANK(AW25:AW29)), "·", bdRateExtend( V25:V29,Y25:Y29, AT25:AT29,AW25:AW29))</f>
        <v>2.2067128797838009E-3</v>
      </c>
      <c r="BL25" s="24">
        <f>IF( OR(ISBLANK(V25:V29),ISBLANK(AT25:AT29), ISBLANK(Z25:Z29),ISBLANK(AX25:AX29)), "·", bdRateExtend( V25:V29,Z25:Z29, AT25:AT29,AX25:AX29))</f>
        <v>1.6345770423817907E-3</v>
      </c>
      <c r="BM25" s="24">
        <f>IF( OR(ISBLANK(V25:V29),ISBLANK(AT25:AT29), ISBLANK(AA25:AA29),ISBLANK(AY25:AY29)), "·", bdRateExtend( V25:V29,AA25:AA29, AT25:AT29,AY25:AY29))</f>
        <v>4.1220782846200787E-3</v>
      </c>
      <c r="BO25" s="24">
        <f>IF( OR(ISBLANK(S25:S29),ISBLANK(AQ25:AQ29), ISBLANK(W25:W29),ISBLANK(AU25:AU29)), "·", bdRateExtend( S25:S29,W25:W29, AQ25:AQ29,AU25:AU29))</f>
        <v>-9.2074695178823163E-4</v>
      </c>
      <c r="BP25" s="24">
        <f>IF( OR(ISBLANK(S25:S29),ISBLANK(AQ25:AQ29), ISBLANK(X25:X29),ISBLANK(AV25:AV29)), "·", bdRateExtend( S25:S29,X25:X29, AQ25:AQ29,AV25:AV29))</f>
        <v>-5.6062267220287065E-3</v>
      </c>
      <c r="BQ25" s="24">
        <f>IF( OR(ISBLANK(S25:S29),ISBLANK(AQ25:AQ29), ISBLANK(Y25:Y29),ISBLANK(AW25:AW29)), "·", bdRateExtend( S25:S29,Y25:Y29, AQ25:AQ29,AW25:AW29))</f>
        <v>2.0129346791619707E-3</v>
      </c>
      <c r="BR25" s="24">
        <f>IF( OR(ISBLANK(S25:S29),ISBLANK(AQ25:AQ29), ISBLANK(Z25:Z29),ISBLANK(AX25:AX29)), "·", bdRateExtend( S25:S29,Z25:Z29, AQ25:AQ29,AX25:AX29))</f>
        <v>1.3895872006952636E-3</v>
      </c>
      <c r="BS25" s="24">
        <f>IF( OR(ISBLANK(S25:S29),ISBLANK(AQ25:AQ29), ISBLANK(AA25:AA29),ISBLANK(AY25:AY29)), "·", bdRateExtend( S25:S29,AA25:AA29, AQ25:AQ29,AY25:AY29))</f>
        <v>3.2001582899086056E-3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0.36934240000000002</v>
      </c>
      <c r="J26" s="28">
        <f t="shared" si="1"/>
        <v>1.475630822883733E-2</v>
      </c>
      <c r="K26" s="28">
        <f t="shared" si="2"/>
        <v>7.5744028690161577E-3</v>
      </c>
      <c r="L26" s="28">
        <f t="shared" si="3"/>
        <v>5.0327257982755698E-3</v>
      </c>
      <c r="M26" s="28">
        <f t="shared" si="4"/>
        <v>7.1794442598042338E-3</v>
      </c>
      <c r="N26" s="25">
        <f t="shared" si="5"/>
        <v>1895832</v>
      </c>
      <c r="O26" s="28">
        <f t="shared" si="6"/>
        <v>0.14798915127246642</v>
      </c>
      <c r="P26" s="29">
        <v>24957397</v>
      </c>
      <c r="Q26" s="29">
        <v>779918.65625</v>
      </c>
      <c r="R26" s="29">
        <v>22437.59375</v>
      </c>
      <c r="S26" s="30">
        <v>3693424</v>
      </c>
      <c r="T26" s="30">
        <v>1259664</v>
      </c>
      <c r="U26" s="30">
        <v>636168</v>
      </c>
      <c r="V26" s="30">
        <v>1796976</v>
      </c>
      <c r="W26" s="31">
        <v>68.062038000000001</v>
      </c>
      <c r="X26" s="31">
        <v>70.048766000000001</v>
      </c>
      <c r="Y26" s="31">
        <v>28.064584</v>
      </c>
      <c r="Z26" s="31">
        <v>33.763143999999997</v>
      </c>
      <c r="AA26" s="31">
        <v>33.161641000000003</v>
      </c>
      <c r="AB26" s="32">
        <v>2684.79</v>
      </c>
      <c r="AC26" s="32">
        <v>3973.88</v>
      </c>
      <c r="AD26" s="32">
        <v>10.363</v>
      </c>
      <c r="AE26" s="32">
        <v>20.172999999999998</v>
      </c>
      <c r="AG26" s="27">
        <f t="shared" si="7"/>
        <v>0.37010959999999998</v>
      </c>
      <c r="AH26" s="28">
        <f t="shared" si="8"/>
        <v>1.4786960110866483E-2</v>
      </c>
      <c r="AI26" s="28">
        <f t="shared" si="9"/>
        <v>7.5883704106707349E-3</v>
      </c>
      <c r="AJ26" s="28">
        <f t="shared" si="10"/>
        <v>5.0327257982755698E-3</v>
      </c>
      <c r="AK26" s="28">
        <f t="shared" si="11"/>
        <v>7.1985897001957478E-3</v>
      </c>
      <c r="AL26" s="25">
        <f t="shared" si="12"/>
        <v>1899328</v>
      </c>
      <c r="AM26" s="28">
        <f t="shared" si="13"/>
        <v>0.14829655512552051</v>
      </c>
      <c r="AN26" s="4">
        <v>24957397</v>
      </c>
      <c r="AO26" s="4">
        <v>779918.65625</v>
      </c>
      <c r="AP26" s="4">
        <v>23037.71875</v>
      </c>
      <c r="AQ26" s="4">
        <v>3701096</v>
      </c>
      <c r="AR26" s="4">
        <v>1259664</v>
      </c>
      <c r="AS26" s="4">
        <v>639664</v>
      </c>
      <c r="AT26" s="4">
        <v>1801768</v>
      </c>
      <c r="AU26" s="4">
        <v>68.065106249999999</v>
      </c>
      <c r="AV26" s="4">
        <v>70.069171874999995</v>
      </c>
      <c r="AW26" s="4">
        <v>28.06511875</v>
      </c>
      <c r="AX26" s="4">
        <v>33.750618750000001</v>
      </c>
      <c r="AY26" s="4">
        <v>33.151540625000003</v>
      </c>
      <c r="AZ26" s="4">
        <v>2867.29</v>
      </c>
      <c r="BA26" s="4">
        <v>6290.58</v>
      </c>
      <c r="BB26" s="4">
        <v>7.7880000000000003</v>
      </c>
      <c r="BC26" s="4">
        <v>30.727</v>
      </c>
      <c r="BE26" s="33">
        <f t="shared" si="14"/>
        <v>7.6947127138298974E-4</v>
      </c>
      <c r="BF26" s="33">
        <f t="shared" si="15"/>
        <v>-1.1943281815984808E-4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0.62813039999999998</v>
      </c>
      <c r="J27" s="18">
        <f t="shared" si="1"/>
        <v>2.5095645098702136E-2</v>
      </c>
      <c r="K27" s="18">
        <f t="shared" si="2"/>
        <v>9.5744781243407018E-3</v>
      </c>
      <c r="L27" s="18">
        <f t="shared" si="3"/>
        <v>7.0328010536001139E-3</v>
      </c>
      <c r="M27" s="18">
        <f t="shared" si="4"/>
        <v>1.5518705874344495E-2</v>
      </c>
      <c r="N27" s="15">
        <f t="shared" si="5"/>
        <v>2396440</v>
      </c>
      <c r="O27" s="18">
        <f t="shared" si="6"/>
        <v>0.24862655419204813</v>
      </c>
      <c r="P27" s="19">
        <v>25264011</v>
      </c>
      <c r="Q27" s="19">
        <v>789500.34375</v>
      </c>
      <c r="R27" s="19">
        <v>23649.9375</v>
      </c>
      <c r="S27" s="20">
        <v>6281304</v>
      </c>
      <c r="T27" s="20">
        <v>1760272</v>
      </c>
      <c r="U27" s="20">
        <v>636168</v>
      </c>
      <c r="V27" s="20">
        <v>3884248</v>
      </c>
      <c r="W27" s="21">
        <v>69.418368999999998</v>
      </c>
      <c r="X27" s="21">
        <v>71.767525000000006</v>
      </c>
      <c r="Y27" s="21">
        <v>30.349297</v>
      </c>
      <c r="Z27" s="21">
        <v>35.025328000000002</v>
      </c>
      <c r="AA27" s="21">
        <v>34.500487</v>
      </c>
      <c r="AB27" s="22">
        <v>2953.02</v>
      </c>
      <c r="AC27" s="22">
        <v>5731.63</v>
      </c>
      <c r="AD27" s="22">
        <v>10.451000000000001</v>
      </c>
      <c r="AE27" s="22">
        <v>24.861000000000001</v>
      </c>
      <c r="AG27" s="17">
        <f t="shared" si="7"/>
        <v>0.62817840000000003</v>
      </c>
      <c r="AH27" s="18">
        <f t="shared" si="8"/>
        <v>2.5097562838975077E-2</v>
      </c>
      <c r="AI27" s="18">
        <f t="shared" si="9"/>
        <v>9.588445665995279E-3</v>
      </c>
      <c r="AJ27" s="18">
        <f t="shared" si="10"/>
        <v>7.0328010536001139E-3</v>
      </c>
      <c r="AK27" s="18">
        <f t="shared" si="11"/>
        <v>1.5509117172979797E-2</v>
      </c>
      <c r="AL27" s="15">
        <f t="shared" si="12"/>
        <v>2399936</v>
      </c>
      <c r="AM27" s="18">
        <f t="shared" si="13"/>
        <v>0.24864555355046356</v>
      </c>
      <c r="AN27" s="4">
        <v>25264011</v>
      </c>
      <c r="AO27" s="4">
        <v>789500.34375</v>
      </c>
      <c r="AP27" s="4">
        <v>24266.09375</v>
      </c>
      <c r="AQ27" s="4">
        <v>6281784</v>
      </c>
      <c r="AR27" s="4">
        <v>1760272</v>
      </c>
      <c r="AS27" s="4">
        <v>639664</v>
      </c>
      <c r="AT27" s="4">
        <v>3881848</v>
      </c>
      <c r="AU27" s="4">
        <v>69.418956249999994</v>
      </c>
      <c r="AV27" s="4">
        <v>71.791159375000007</v>
      </c>
      <c r="AW27" s="4">
        <v>30.34155625</v>
      </c>
      <c r="AX27" s="4">
        <v>35.029531249999998</v>
      </c>
      <c r="AY27" s="4">
        <v>34.489515625000003</v>
      </c>
      <c r="AZ27" s="4">
        <v>2512.92</v>
      </c>
      <c r="BA27" s="4">
        <v>5335.91</v>
      </c>
      <c r="BB27" s="4">
        <v>6.165</v>
      </c>
      <c r="BC27" s="4">
        <v>27.228000000000002</v>
      </c>
      <c r="BE27" s="23">
        <f t="shared" si="14"/>
        <v>7.8043822890988893E-4</v>
      </c>
      <c r="BF27" s="23">
        <f t="shared" si="15"/>
        <v>5.273773560269257E-4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1.2664831999999999</v>
      </c>
      <c r="J28" s="28">
        <f t="shared" si="1"/>
        <v>5.059970495086466E-2</v>
      </c>
      <c r="K28" s="28">
        <f t="shared" si="2"/>
        <v>1.3045556056023618E-2</v>
      </c>
      <c r="L28" s="28">
        <f t="shared" si="3"/>
        <v>1.050387898528303E-2</v>
      </c>
      <c r="M28" s="28">
        <f t="shared" si="4"/>
        <v>3.7551687794824103E-2</v>
      </c>
      <c r="N28" s="25">
        <f t="shared" si="5"/>
        <v>3265232</v>
      </c>
      <c r="O28" s="28">
        <f t="shared" si="6"/>
        <v>0.48281592811242469</v>
      </c>
      <c r="P28" s="29">
        <v>26231181</v>
      </c>
      <c r="Q28" s="29">
        <v>819724.40625</v>
      </c>
      <c r="R28" s="29">
        <v>27138.5625</v>
      </c>
      <c r="S28" s="30">
        <v>12664832</v>
      </c>
      <c r="T28" s="30">
        <v>2629064</v>
      </c>
      <c r="U28" s="30">
        <v>636168</v>
      </c>
      <c r="V28" s="30">
        <v>9398984</v>
      </c>
      <c r="W28" s="31">
        <v>70.446950000000001</v>
      </c>
      <c r="X28" s="31">
        <v>72.997608999999997</v>
      </c>
      <c r="Y28" s="31">
        <v>32.832219000000002</v>
      </c>
      <c r="Z28" s="31">
        <v>36.566724999999998</v>
      </c>
      <c r="AA28" s="31">
        <v>36.046300000000002</v>
      </c>
      <c r="AB28" s="32">
        <v>2431.25</v>
      </c>
      <c r="AC28" s="32">
        <v>4406.32</v>
      </c>
      <c r="AD28" s="32">
        <v>10.098000000000001</v>
      </c>
      <c r="AE28" s="32">
        <v>19.952999999999999</v>
      </c>
      <c r="AG28" s="27">
        <f t="shared" si="7"/>
        <v>1.2671071999999999</v>
      </c>
      <c r="AH28" s="28">
        <f t="shared" si="8"/>
        <v>5.0624635574412873E-2</v>
      </c>
      <c r="AI28" s="28">
        <f t="shared" si="9"/>
        <v>1.3059523597678195E-2</v>
      </c>
      <c r="AJ28" s="28">
        <f t="shared" si="10"/>
        <v>1.050387898528303E-2</v>
      </c>
      <c r="AK28" s="28">
        <f t="shared" si="11"/>
        <v>3.7565111976734678E-2</v>
      </c>
      <c r="AL28" s="25">
        <f t="shared" si="12"/>
        <v>3268728</v>
      </c>
      <c r="AM28" s="28">
        <f t="shared" si="13"/>
        <v>0.48305381294117106</v>
      </c>
      <c r="AN28" s="4">
        <v>26231181</v>
      </c>
      <c r="AO28" s="4">
        <v>819724.40625</v>
      </c>
      <c r="AP28" s="4">
        <v>27801.375</v>
      </c>
      <c r="AQ28" s="4">
        <v>12671072</v>
      </c>
      <c r="AR28" s="4">
        <v>2629064</v>
      </c>
      <c r="AS28" s="4">
        <v>639664</v>
      </c>
      <c r="AT28" s="4">
        <v>9402344</v>
      </c>
      <c r="AU28" s="4">
        <v>70.467950000000002</v>
      </c>
      <c r="AV28" s="4">
        <v>73.026318750000002</v>
      </c>
      <c r="AW28" s="4">
        <v>32.826765625</v>
      </c>
      <c r="AX28" s="4">
        <v>36.565159375</v>
      </c>
      <c r="AY28" s="4">
        <v>36.043981250000002</v>
      </c>
      <c r="AZ28" s="4">
        <v>2470.46</v>
      </c>
      <c r="BA28" s="4">
        <v>5774.89</v>
      </c>
      <c r="BB28" s="4">
        <v>5.8840000000000003</v>
      </c>
      <c r="BC28" s="4">
        <v>26.963000000000001</v>
      </c>
      <c r="BE28" s="33">
        <f t="shared" si="14"/>
        <v>8.0857968232539434E-4</v>
      </c>
      <c r="BF28" s="33">
        <f t="shared" si="15"/>
        <v>1.4893850999858627E-4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282</v>
      </c>
      <c r="C29" s="36" t="s">
        <v>270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2.9389632000000003</v>
      </c>
      <c r="J29" s="38">
        <f t="shared" si="1"/>
        <v>0.11742016852765914</v>
      </c>
      <c r="K29" s="38">
        <f t="shared" si="2"/>
        <v>2.1365416531469308E-2</v>
      </c>
      <c r="L29" s="38">
        <f t="shared" si="3"/>
        <v>1.6373378789317942E-2</v>
      </c>
      <c r="M29" s="38">
        <f t="shared" si="4"/>
        <v>9.6052290896172898E-2</v>
      </c>
      <c r="N29" s="35">
        <f t="shared" si="5"/>
        <v>5347648</v>
      </c>
      <c r="O29" s="38">
        <f t="shared" si="6"/>
        <v>1.172249760531384</v>
      </c>
      <c r="P29" s="39">
        <v>25071135</v>
      </c>
      <c r="Q29" s="39">
        <v>783472.96875</v>
      </c>
      <c r="R29" s="39">
        <v>12108.53125</v>
      </c>
      <c r="S29" s="40">
        <v>29389632</v>
      </c>
      <c r="T29" s="40">
        <v>4098168</v>
      </c>
      <c r="U29" s="40">
        <v>1249480</v>
      </c>
      <c r="V29" s="40">
        <v>24041368</v>
      </c>
      <c r="W29" s="41">
        <v>71.482781000000003</v>
      </c>
      <c r="X29" s="41">
        <v>74.907206000000002</v>
      </c>
      <c r="Y29" s="41">
        <v>35.524450000000002</v>
      </c>
      <c r="Z29" s="41">
        <v>38.553016</v>
      </c>
      <c r="AA29" s="41">
        <v>37.999200000000002</v>
      </c>
      <c r="AB29" s="42">
        <v>2519.23</v>
      </c>
      <c r="AC29" s="42">
        <v>5132.32</v>
      </c>
      <c r="AD29" s="42">
        <v>9.5589999999999993</v>
      </c>
      <c r="AE29" s="42">
        <v>22.585999999999999</v>
      </c>
      <c r="AG29" s="37">
        <f t="shared" si="7"/>
        <v>2.9398376000000002</v>
      </c>
      <c r="AH29" s="38">
        <f t="shared" si="8"/>
        <v>0.11745510336296452</v>
      </c>
      <c r="AI29" s="38">
        <f t="shared" si="9"/>
        <v>2.1379384073123883E-2</v>
      </c>
      <c r="AJ29" s="38">
        <f t="shared" si="10"/>
        <v>1.6373378789317942E-2</v>
      </c>
      <c r="AK29" s="38">
        <f t="shared" si="11"/>
        <v>9.6075719289840641E-2</v>
      </c>
      <c r="AL29" s="35">
        <f t="shared" si="12"/>
        <v>5351144</v>
      </c>
      <c r="AM29" s="38">
        <f t="shared" si="13"/>
        <v>1.1725985281480076</v>
      </c>
      <c r="AN29" s="4">
        <v>25071135</v>
      </c>
      <c r="AO29" s="4">
        <v>783472.96875</v>
      </c>
      <c r="AP29" s="4">
        <v>12422.65625</v>
      </c>
      <c r="AQ29" s="4">
        <v>29398376</v>
      </c>
      <c r="AR29" s="4">
        <v>4098168</v>
      </c>
      <c r="AS29" s="4">
        <v>1252976</v>
      </c>
      <c r="AT29" s="4">
        <v>24047232</v>
      </c>
      <c r="AU29" s="4">
        <v>71.453581249999999</v>
      </c>
      <c r="AV29" s="4">
        <v>74.876946875000002</v>
      </c>
      <c r="AW29" s="4">
        <v>35.518815625000002</v>
      </c>
      <c r="AX29" s="4">
        <v>38.555912499999998</v>
      </c>
      <c r="AY29" s="4">
        <v>37.9973375</v>
      </c>
      <c r="AZ29" s="4">
        <v>2474.02</v>
      </c>
      <c r="BA29" s="4">
        <v>6485.03</v>
      </c>
      <c r="BB29" s="4">
        <v>5.5919999999999996</v>
      </c>
      <c r="BC29" s="4">
        <v>29.343</v>
      </c>
      <c r="BE29" s="43">
        <f t="shared" si="14"/>
        <v>4.0093916769224844E-4</v>
      </c>
      <c r="BF29" s="43">
        <f t="shared" si="15"/>
        <v>6.479842185153073E-5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2.0093867636664771E-2</v>
      </c>
      <c r="K30" s="56">
        <f>AVERAGE(K5:K24)</f>
        <v>9.7221395260839293E-3</v>
      </c>
      <c r="L30" s="56">
        <f>AVERAGE(L5:L24)</f>
        <v>6.8467767919660541E-3</v>
      </c>
      <c r="M30" s="56">
        <f>AVERAGE(M5:M24)</f>
        <v>1.0369283515510783E-2</v>
      </c>
      <c r="AH30" s="56">
        <f>AVERAGE(AH5:AH24)</f>
        <v>2.0139978121206333E-2</v>
      </c>
      <c r="AI30" s="56">
        <f>AVERAGE(AI5:AI24)</f>
        <v>9.7424029199519244E-3</v>
      </c>
      <c r="AJ30" s="56">
        <f>AVERAGE(AJ5:AJ24)</f>
        <v>6.8467767919660541E-3</v>
      </c>
      <c r="AK30" s="56">
        <f>AVERAGE(AK5:AK24)</f>
        <v>1.039757520125441E-2</v>
      </c>
      <c r="BG30" s="58">
        <f>AVERAGE(BG5:BG24)</f>
        <v>2.4644601910170372E-4</v>
      </c>
      <c r="BI30" s="5">
        <f>AVERAGE(BI5:BI24)</f>
        <v>1.1850414758680095E-3</v>
      </c>
      <c r="BJ30" s="5">
        <f>AVERAGE(BJ5:BJ24)</f>
        <v>-1.3683945531255681E-3</v>
      </c>
      <c r="BK30" s="5">
        <f>AVERAGE(BK5:BK24)</f>
        <v>3.0532424464054242E-3</v>
      </c>
      <c r="BL30" s="5">
        <f>AVERAGE(BL5:BL24)</f>
        <v>-6.9960128111295206E-3</v>
      </c>
      <c r="BM30" s="5">
        <f>AVERAGE(BM5:BM24)</f>
        <v>-1.2419575265770616E-2</v>
      </c>
      <c r="BO30" s="5">
        <f>AVERAGE(BO5:BO24)</f>
        <v>-1.4056551801175654E-3</v>
      </c>
      <c r="BP30" s="5">
        <f>AVERAGE(BP5:BP24)</f>
        <v>-4.9357580618697439E-3</v>
      </c>
      <c r="BQ30" s="5">
        <f>AVERAGE(BQ5:BQ24)</f>
        <v>3.4057851234615133E-3</v>
      </c>
      <c r="BR30" s="5">
        <f>AVERAGE(BR5:BR24)</f>
        <v>-4.3867807952376325E-3</v>
      </c>
      <c r="BS30" s="5">
        <f>AVERAGE(BS5:BS24)</f>
        <v>-5.5200034788853714E-3</v>
      </c>
    </row>
    <row r="31" spans="1:71" x14ac:dyDescent="0.3">
      <c r="B31" s="55" t="s">
        <v>287</v>
      </c>
      <c r="J31" s="56">
        <f>AVERAGE(J25:J29)</f>
        <v>4.3501630410841249E-2</v>
      </c>
      <c r="K31" s="56">
        <f>AVERAGE(K25:K29)</f>
        <v>1.1548350655069314E-2</v>
      </c>
      <c r="L31" s="56">
        <f>AVERAGE(L25:L29)</f>
        <v>8.5166014500465716E-3</v>
      </c>
      <c r="M31" s="56">
        <f>AVERAGE(M25:M29)</f>
        <v>3.1950818655755005E-2</v>
      </c>
      <c r="AH31" s="56">
        <f>AVERAGE(AH25:AH29)</f>
        <v>4.3524509052297419E-2</v>
      </c>
      <c r="AI31" s="56">
        <f>AVERAGE(AI25:AI29)</f>
        <v>1.1562318196723891E-2</v>
      </c>
      <c r="AJ31" s="56">
        <f>AVERAGE(AJ25:AJ29)</f>
        <v>8.5166014500465716E-3</v>
      </c>
      <c r="AK31" s="56">
        <f>AVERAGE(AK25:AK29)</f>
        <v>3.1962190855573537E-2</v>
      </c>
      <c r="BG31" s="58">
        <f>AVERAGE(BG25:BG29)</f>
        <v>1.2187115061496057E-4</v>
      </c>
      <c r="BI31" s="5">
        <f>AVERAGE(BI25:BI29)</f>
        <v>7.8239070233832031E-4</v>
      </c>
      <c r="BJ31" s="5">
        <f>AVERAGE(BJ25:BJ29)</f>
        <v>-1.4589519489167646E-3</v>
      </c>
      <c r="BK31" s="5">
        <f>AVERAGE(BK25:BK29)</f>
        <v>2.2067128797838009E-3</v>
      </c>
      <c r="BL31" s="5">
        <f>AVERAGE(BL25:BL29)</f>
        <v>1.6345770423817907E-3</v>
      </c>
      <c r="BM31" s="5">
        <f>AVERAGE(BM25:BM29)</f>
        <v>4.1220782846200787E-3</v>
      </c>
      <c r="BO31" s="5">
        <f>AVERAGE(BO25:BO29)</f>
        <v>-9.2074695178823163E-4</v>
      </c>
      <c r="BP31" s="5">
        <f>AVERAGE(BP25:BP29)</f>
        <v>-5.6062267220287065E-3</v>
      </c>
      <c r="BQ31" s="5">
        <f>AVERAGE(BQ25:BQ29)</f>
        <v>2.0129346791619707E-3</v>
      </c>
      <c r="BR31" s="5">
        <f>AVERAGE(BR25:BR29)</f>
        <v>1.3895872006952636E-3</v>
      </c>
      <c r="BS31" s="5">
        <f>AVERAGE(BS25:BS29)</f>
        <v>3.2001582899086056E-3</v>
      </c>
    </row>
    <row r="32" spans="1:71" collapsed="1" x14ac:dyDescent="0.3">
      <c r="B32" s="55" t="s">
        <v>288</v>
      </c>
      <c r="J32" s="56">
        <f>AVERAGE(J5:J29)</f>
        <v>2.4775420191500065E-2</v>
      </c>
      <c r="K32" s="56">
        <f>AVERAGE(K5:K29)</f>
        <v>1.0087381751881007E-2</v>
      </c>
      <c r="L32" s="56">
        <f>AVERAGE(L5:L29)</f>
        <v>7.180741723582156E-3</v>
      </c>
      <c r="M32" s="56">
        <f>AVERAGE(M5:M29)</f>
        <v>1.4685590543559628E-2</v>
      </c>
      <c r="AH32" s="56">
        <f>AVERAGE(AH5:AH29)</f>
        <v>2.4816884307424548E-2</v>
      </c>
      <c r="AI32" s="56">
        <f>AVERAGE(AI5:AI29)</f>
        <v>1.0106385975306317E-2</v>
      </c>
      <c r="AJ32" s="56">
        <f>AVERAGE(AJ5:AJ29)</f>
        <v>7.180741723582156E-3</v>
      </c>
      <c r="AK32" s="56">
        <f>AVERAGE(AK5:AK29)</f>
        <v>1.4710498332118233E-2</v>
      </c>
      <c r="BG32" s="58">
        <f>AVERAGE(BG5:BG29)</f>
        <v>2.215310454043551E-4</v>
      </c>
      <c r="BI32" s="5">
        <f>AVERAGE(BI5:BI29)</f>
        <v>1.1045113211620716E-3</v>
      </c>
      <c r="BJ32" s="5">
        <f>AVERAGE(BJ5:BJ29)</f>
        <v>-1.3865060322838074E-3</v>
      </c>
      <c r="BK32" s="5">
        <f>AVERAGE(BK5:BK29)</f>
        <v>2.8839365330810994E-3</v>
      </c>
      <c r="BL32" s="5">
        <f>AVERAGE(BL5:BL29)</f>
        <v>-5.269894840427258E-3</v>
      </c>
      <c r="BM32" s="5">
        <f>AVERAGE(BM5:BM29)</f>
        <v>-9.1112445556924774E-3</v>
      </c>
      <c r="BO32" s="5">
        <f>AVERAGE(BO5:BO29)</f>
        <v>-1.3086735344516986E-3</v>
      </c>
      <c r="BP32" s="5">
        <f>AVERAGE(BP5:BP29)</f>
        <v>-5.0698517939015367E-3</v>
      </c>
      <c r="BQ32" s="5">
        <f>AVERAGE(BQ5:BQ29)</f>
        <v>3.1272150346016046E-3</v>
      </c>
      <c r="BR32" s="5">
        <f>AVERAGE(BR5:BR29)</f>
        <v>-3.2315071960510532E-3</v>
      </c>
      <c r="BS32" s="5">
        <f>AVERAGE(BS5:BS29)</f>
        <v>-3.7759711251265761E-3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74457.12999999999</v>
      </c>
      <c r="AC33" s="57">
        <f>SUM(AC5:AC24,AC25:AC29)</f>
        <v>87744.430000000022</v>
      </c>
      <c r="AD33" s="57">
        <f>SUM(AD5:AD24,AD25:AD29)</f>
        <v>273.72700000000003</v>
      </c>
      <c r="AE33" s="57">
        <f>SUM(AE5:AE24,AE25:AE29)</f>
        <v>434.76200000000006</v>
      </c>
      <c r="AZ33" s="57">
        <f>SUM(AZ5:AZ24,AZ25:AZ29)</f>
        <v>71604.920000000013</v>
      </c>
      <c r="BA33" s="57">
        <f>SUM(BA5:BA24,BA25:BA29)</f>
        <v>108828.23999999999</v>
      </c>
      <c r="BB33" s="57">
        <f>SUM(BB5:BB24,BB25:BB29)</f>
        <v>167.48800000000003</v>
      </c>
      <c r="BC33" s="57">
        <f>SUM(BC5:BC24,BC25:BC29)</f>
        <v>577.79099999999983</v>
      </c>
    </row>
    <row r="34" spans="1:55" hidden="1" outlineLevel="2" x14ac:dyDescent="0.3">
      <c r="B34" s="55" t="s">
        <v>291</v>
      </c>
      <c r="AZ34" s="58">
        <f>AZ33/AB33</f>
        <v>0.9616932589263113</v>
      </c>
      <c r="BA34" s="58">
        <f>BA33/AC33</f>
        <v>1.2402865914109871</v>
      </c>
      <c r="BB34" s="58">
        <f>BB33/AD33</f>
        <v>0.61187971957461273</v>
      </c>
      <c r="BC34" s="58">
        <f>BC33/AE33</f>
        <v>1.3289822937607236</v>
      </c>
    </row>
    <row r="35" spans="1:55" hidden="1" outlineLevel="2" x14ac:dyDescent="0.3">
      <c r="B35" s="55" t="s">
        <v>292</v>
      </c>
      <c r="AB35" s="57">
        <f>GEOMEAN(AB5:AB24,AB25:AB29)</f>
        <v>2890.0564453204133</v>
      </c>
      <c r="AC35" s="57">
        <f>GEOMEAN(AC5:AC24,AC25:AC29)</f>
        <v>3328.3193582513745</v>
      </c>
      <c r="AD35" s="57">
        <f>GEOMEAN(AD5:AD24,AD25:AD29)</f>
        <v>10.64985609120766</v>
      </c>
      <c r="AE35" s="57">
        <f>GEOMEAN(AE5:AE24,AE25:AE29)</f>
        <v>16.653599568860173</v>
      </c>
      <c r="AZ35" s="57">
        <f>GEOMEAN(AZ5:AZ24,AZ25:AZ29)</f>
        <v>2804.7500337578822</v>
      </c>
      <c r="BA35" s="57">
        <f>GEOMEAN(BA5:BA24,BA25:BA29)</f>
        <v>4245.030717593846</v>
      </c>
      <c r="BB35" s="57">
        <f>GEOMEAN(BB5:BB24,BB25:BB29)</f>
        <v>6.6037149622735907</v>
      </c>
      <c r="BC35" s="57">
        <f>GEOMEAN(BC5:BC24,BC25:BC29)</f>
        <v>22.745213113466697</v>
      </c>
    </row>
    <row r="36" spans="1:55" outlineLevel="2" collapsed="1" x14ac:dyDescent="0.3">
      <c r="B36" s="55" t="s">
        <v>293</v>
      </c>
      <c r="AZ36" s="58">
        <f>AZ35/AB35</f>
        <v>0.97048278704014257</v>
      </c>
      <c r="BA36" s="58">
        <f>BA35/AC35</f>
        <v>1.2754277040963073</v>
      </c>
      <c r="BB36" s="58">
        <f>BB35/AD35</f>
        <v>0.62007551141705153</v>
      </c>
      <c r="BC36" s="58">
        <f>BC35/AE35</f>
        <v>1.365783596478263</v>
      </c>
    </row>
  </sheetData>
  <mergeCells count="41">
    <mergeCell ref="BQ2:BS2"/>
    <mergeCell ref="BE2:BE3"/>
    <mergeCell ref="BF2:BF3"/>
    <mergeCell ref="BG2:BG3"/>
    <mergeCell ref="BI2:BJ2"/>
    <mergeCell ref="BK2:BM2"/>
    <mergeCell ref="BO2:BP2"/>
    <mergeCell ref="AB2:AC2"/>
    <mergeCell ref="BB2:BC2"/>
    <mergeCell ref="AG2:AG3"/>
    <mergeCell ref="AH2:AK2"/>
    <mergeCell ref="AL2:AL3"/>
    <mergeCell ref="AM2:AM3"/>
    <mergeCell ref="AN2:AN3"/>
    <mergeCell ref="AO2:AO3"/>
    <mergeCell ref="AP2:AP3"/>
    <mergeCell ref="AQ2:AT2"/>
    <mergeCell ref="AU2:AV2"/>
    <mergeCell ref="AW2:AY2"/>
    <mergeCell ref="AZ2:BA2"/>
    <mergeCell ref="Q2:Q3"/>
    <mergeCell ref="R2:R3"/>
    <mergeCell ref="S2:V2"/>
    <mergeCell ref="W2:X2"/>
    <mergeCell ref="Y2:AA2"/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AD2:AE2"/>
    <mergeCell ref="I2:I3"/>
    <mergeCell ref="J2:M2"/>
    <mergeCell ref="N2:N3"/>
    <mergeCell ref="O2:O3"/>
    <mergeCell ref="P2:P3"/>
  </mergeCells>
  <conditionalFormatting sqref="BI5:BI32">
    <cfRule type="cellIs" dxfId="31" priority="13" operator="greaterThanOrEqual">
      <formula>0.03</formula>
    </cfRule>
    <cfRule type="cellIs" dxfId="30" priority="14" operator="lessThanOrEqual">
      <formula>-0.03</formula>
    </cfRule>
  </conditionalFormatting>
  <conditionalFormatting sqref="BJ5:BJ32">
    <cfRule type="cellIs" dxfId="29" priority="11" operator="greaterThanOrEqual">
      <formula>0.03</formula>
    </cfRule>
    <cfRule type="cellIs" dxfId="28" priority="12" operator="lessThanOrEqual">
      <formula>-0.03</formula>
    </cfRule>
  </conditionalFormatting>
  <conditionalFormatting sqref="BK5:BK32">
    <cfRule type="cellIs" dxfId="27" priority="17" operator="greaterThanOrEqual">
      <formula>0.03</formula>
    </cfRule>
    <cfRule type="cellIs" dxfId="26" priority="18" operator="lessThanOrEqual">
      <formula>-0.03</formula>
    </cfRule>
  </conditionalFormatting>
  <conditionalFormatting sqref="BL5:BL32">
    <cfRule type="cellIs" dxfId="25" priority="9" operator="greaterThanOrEqual">
      <formula>0.03</formula>
    </cfRule>
    <cfRule type="cellIs" dxfId="24" priority="10" operator="lessThanOrEqual">
      <formula>-0.03</formula>
    </cfRule>
  </conditionalFormatting>
  <conditionalFormatting sqref="BM5:BM32">
    <cfRule type="cellIs" dxfId="23" priority="5" operator="greaterThanOrEqual">
      <formula>0.03</formula>
    </cfRule>
    <cfRule type="cellIs" dxfId="22" priority="6" operator="lessThanOrEqual">
      <formula>-0.03</formula>
    </cfRule>
  </conditionalFormatting>
  <conditionalFormatting sqref="BO5:BO32">
    <cfRule type="cellIs" dxfId="21" priority="3" operator="greaterThanOrEqual">
      <formula>0.03</formula>
    </cfRule>
    <cfRule type="cellIs" dxfId="20" priority="4" operator="lessThanOrEqual">
      <formula>-0.03</formula>
    </cfRule>
  </conditionalFormatting>
  <conditionalFormatting sqref="BP5:BP32">
    <cfRule type="cellIs" dxfId="19" priority="19" operator="greaterThanOrEqual">
      <formula>0.03</formula>
    </cfRule>
    <cfRule type="cellIs" dxfId="18" priority="20" operator="lessThanOrEqual">
      <formula>-0.03</formula>
    </cfRule>
  </conditionalFormatting>
  <conditionalFormatting sqref="BQ5:BQ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R5:BR32">
    <cfRule type="cellIs" dxfId="15" priority="1" operator="greaterThanOrEqual">
      <formula>0.03</formula>
    </cfRule>
    <cfRule type="cellIs" dxfId="14" priority="2" operator="lessThanOrEqual">
      <formula>-0.03</formula>
    </cfRule>
  </conditionalFormatting>
  <conditionalFormatting sqref="BS5:BS32">
    <cfRule type="cellIs" dxfId="13" priority="7" operator="greaterThanOrEqual">
      <formula>0.03</formula>
    </cfRule>
    <cfRule type="cellIs" dxfId="12" priority="8" operator="lessThanOrEqual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74"/>
  <sheetViews>
    <sheetView workbookViewId="0"/>
  </sheetViews>
  <sheetFormatPr defaultRowHeight="14.4" x14ac:dyDescent="0.3"/>
  <sheetData>
    <row r="1" spans="1:2" x14ac:dyDescent="0.3">
      <c r="A1" t="s">
        <v>93</v>
      </c>
      <c r="B1">
        <v>1</v>
      </c>
    </row>
    <row r="2" spans="1:2" x14ac:dyDescent="0.3">
      <c r="A2" t="s">
        <v>96</v>
      </c>
      <c r="B2">
        <v>2</v>
      </c>
    </row>
    <row r="3" spans="1:2" x14ac:dyDescent="0.3">
      <c r="A3" t="s">
        <v>99</v>
      </c>
      <c r="B3">
        <v>3</v>
      </c>
    </row>
    <row r="4" spans="1:2" x14ac:dyDescent="0.3">
      <c r="A4" t="s">
        <v>102</v>
      </c>
      <c r="B4">
        <v>4</v>
      </c>
    </row>
    <row r="5" spans="1:2" x14ac:dyDescent="0.3">
      <c r="A5" t="s">
        <v>105</v>
      </c>
      <c r="B5">
        <v>5</v>
      </c>
    </row>
    <row r="6" spans="1:2" x14ac:dyDescent="0.3">
      <c r="A6" t="s">
        <v>108</v>
      </c>
      <c r="B6">
        <v>6</v>
      </c>
    </row>
    <row r="7" spans="1:2" x14ac:dyDescent="0.3">
      <c r="A7" t="s">
        <v>111</v>
      </c>
      <c r="B7">
        <v>7</v>
      </c>
    </row>
    <row r="8" spans="1:2" x14ac:dyDescent="0.3">
      <c r="A8" t="s">
        <v>114</v>
      </c>
      <c r="B8">
        <v>9</v>
      </c>
    </row>
    <row r="9" spans="1:2" x14ac:dyDescent="0.3">
      <c r="A9" t="s">
        <v>118</v>
      </c>
      <c r="B9">
        <v>10</v>
      </c>
    </row>
    <row r="10" spans="1:2" x14ac:dyDescent="0.3">
      <c r="A10" t="s">
        <v>121</v>
      </c>
      <c r="B10">
        <v>11</v>
      </c>
    </row>
    <row r="11" spans="1:2" x14ac:dyDescent="0.3">
      <c r="A11" t="s">
        <v>124</v>
      </c>
      <c r="B11">
        <v>12</v>
      </c>
    </row>
    <row r="12" spans="1:2" x14ac:dyDescent="0.3">
      <c r="A12" t="s">
        <v>127</v>
      </c>
      <c r="B12">
        <v>13</v>
      </c>
    </row>
    <row r="13" spans="1:2" x14ac:dyDescent="0.3">
      <c r="A13" t="s">
        <v>130</v>
      </c>
      <c r="B13">
        <v>14</v>
      </c>
    </row>
    <row r="14" spans="1:2" x14ac:dyDescent="0.3">
      <c r="A14" t="s">
        <v>133</v>
      </c>
      <c r="B14">
        <v>15</v>
      </c>
    </row>
    <row r="15" spans="1:2" x14ac:dyDescent="0.3">
      <c r="A15" t="s">
        <v>135</v>
      </c>
      <c r="B15">
        <v>16</v>
      </c>
    </row>
    <row r="16" spans="1:2" x14ac:dyDescent="0.3">
      <c r="A16" t="s">
        <v>137</v>
      </c>
      <c r="B16">
        <v>17</v>
      </c>
    </row>
    <row r="17" spans="1:2" x14ac:dyDescent="0.3">
      <c r="A17" t="s">
        <v>139</v>
      </c>
      <c r="B17">
        <v>18</v>
      </c>
    </row>
    <row r="18" spans="1:2" x14ac:dyDescent="0.3">
      <c r="A18" t="s">
        <v>142</v>
      </c>
      <c r="B18">
        <v>19</v>
      </c>
    </row>
    <row r="19" spans="1:2" x14ac:dyDescent="0.3">
      <c r="A19" t="s">
        <v>144</v>
      </c>
      <c r="B19">
        <v>20</v>
      </c>
    </row>
    <row r="20" spans="1:2" x14ac:dyDescent="0.3">
      <c r="A20" t="s">
        <v>147</v>
      </c>
      <c r="B20">
        <v>21</v>
      </c>
    </row>
    <row r="21" spans="1:2" x14ac:dyDescent="0.3">
      <c r="A21" t="s">
        <v>150</v>
      </c>
      <c r="B21">
        <v>22</v>
      </c>
    </row>
    <row r="22" spans="1:2" x14ac:dyDescent="0.3">
      <c r="A22" t="s">
        <v>154</v>
      </c>
      <c r="B22">
        <v>23</v>
      </c>
    </row>
    <row r="23" spans="1:2" x14ac:dyDescent="0.3">
      <c r="A23" t="s">
        <v>157</v>
      </c>
      <c r="B23">
        <v>24</v>
      </c>
    </row>
    <row r="24" spans="1:2" x14ac:dyDescent="0.3">
      <c r="A24" t="s">
        <v>161</v>
      </c>
      <c r="B24">
        <v>25</v>
      </c>
    </row>
    <row r="25" spans="1:2" x14ac:dyDescent="0.3">
      <c r="A25" t="s">
        <v>164</v>
      </c>
      <c r="B25">
        <v>26</v>
      </c>
    </row>
    <row r="26" spans="1:2" x14ac:dyDescent="0.3">
      <c r="A26" t="s">
        <v>167</v>
      </c>
      <c r="B26">
        <v>27</v>
      </c>
    </row>
    <row r="27" spans="1:2" x14ac:dyDescent="0.3">
      <c r="A27" t="s">
        <v>171</v>
      </c>
      <c r="B27">
        <v>28</v>
      </c>
    </row>
    <row r="28" spans="1:2" x14ac:dyDescent="0.3">
      <c r="A28" t="s">
        <v>174</v>
      </c>
      <c r="B28">
        <v>29</v>
      </c>
    </row>
    <row r="29" spans="1:2" x14ac:dyDescent="0.3">
      <c r="A29" t="s">
        <v>177</v>
      </c>
      <c r="B29">
        <v>30</v>
      </c>
    </row>
    <row r="30" spans="1:2" x14ac:dyDescent="0.3">
      <c r="A30" t="s">
        <v>179</v>
      </c>
      <c r="B30">
        <v>31</v>
      </c>
    </row>
    <row r="31" spans="1:2" x14ac:dyDescent="0.3">
      <c r="A31" t="s">
        <v>181</v>
      </c>
      <c r="B31">
        <v>33</v>
      </c>
    </row>
    <row r="32" spans="1:2" x14ac:dyDescent="0.3">
      <c r="A32" t="s">
        <v>183</v>
      </c>
      <c r="B32">
        <v>34</v>
      </c>
    </row>
    <row r="33" spans="1:2" x14ac:dyDescent="0.3">
      <c r="A33" t="s">
        <v>185</v>
      </c>
      <c r="B33">
        <v>35</v>
      </c>
    </row>
    <row r="34" spans="1:2" x14ac:dyDescent="0.3">
      <c r="A34" t="s">
        <v>187</v>
      </c>
      <c r="B34">
        <v>36</v>
      </c>
    </row>
    <row r="35" spans="1:2" x14ac:dyDescent="0.3">
      <c r="A35" t="s">
        <v>189</v>
      </c>
      <c r="B35">
        <v>37</v>
      </c>
    </row>
    <row r="36" spans="1:2" x14ac:dyDescent="0.3">
      <c r="A36" t="s">
        <v>192</v>
      </c>
      <c r="B36">
        <v>38</v>
      </c>
    </row>
    <row r="37" spans="1:2" x14ac:dyDescent="0.3">
      <c r="A37" t="s">
        <v>194</v>
      </c>
      <c r="B37">
        <v>39</v>
      </c>
    </row>
    <row r="38" spans="1:2" x14ac:dyDescent="0.3">
      <c r="A38" t="s">
        <v>196</v>
      </c>
      <c r="B38">
        <v>40</v>
      </c>
    </row>
    <row r="39" spans="1:2" x14ac:dyDescent="0.3">
      <c r="A39" t="s">
        <v>198</v>
      </c>
      <c r="B39">
        <v>41</v>
      </c>
    </row>
    <row r="40" spans="1:2" x14ac:dyDescent="0.3">
      <c r="A40" t="s">
        <v>200</v>
      </c>
      <c r="B40">
        <v>42</v>
      </c>
    </row>
    <row r="41" spans="1:2" x14ac:dyDescent="0.3">
      <c r="A41" t="s">
        <v>202</v>
      </c>
      <c r="B41">
        <v>43</v>
      </c>
    </row>
    <row r="42" spans="1:2" x14ac:dyDescent="0.3">
      <c r="A42" t="s">
        <v>204</v>
      </c>
      <c r="B42">
        <v>44</v>
      </c>
    </row>
    <row r="43" spans="1:2" x14ac:dyDescent="0.3">
      <c r="A43" t="s">
        <v>206</v>
      </c>
      <c r="B43">
        <v>45</v>
      </c>
    </row>
    <row r="44" spans="1:2" x14ac:dyDescent="0.3">
      <c r="A44" t="s">
        <v>208</v>
      </c>
      <c r="B44">
        <v>46</v>
      </c>
    </row>
    <row r="45" spans="1:2" x14ac:dyDescent="0.3">
      <c r="A45" t="s">
        <v>210</v>
      </c>
      <c r="B45">
        <v>47</v>
      </c>
    </row>
    <row r="46" spans="1:2" x14ac:dyDescent="0.3">
      <c r="A46" t="s">
        <v>212</v>
      </c>
      <c r="B46">
        <v>48</v>
      </c>
    </row>
    <row r="47" spans="1:2" x14ac:dyDescent="0.3">
      <c r="A47" t="s">
        <v>214</v>
      </c>
      <c r="B47">
        <v>49</v>
      </c>
    </row>
    <row r="48" spans="1:2" x14ac:dyDescent="0.3">
      <c r="A48" t="s">
        <v>216</v>
      </c>
      <c r="B48">
        <v>50</v>
      </c>
    </row>
    <row r="49" spans="1:2" x14ac:dyDescent="0.3">
      <c r="A49" t="s">
        <v>218</v>
      </c>
      <c r="B49">
        <v>51</v>
      </c>
    </row>
    <row r="50" spans="1:2" x14ac:dyDescent="0.3">
      <c r="A50" t="s">
        <v>220</v>
      </c>
      <c r="B50">
        <v>52</v>
      </c>
    </row>
    <row r="51" spans="1:2" x14ac:dyDescent="0.3">
      <c r="A51" t="s">
        <v>222</v>
      </c>
      <c r="B51">
        <v>53</v>
      </c>
    </row>
    <row r="52" spans="1:2" x14ac:dyDescent="0.3">
      <c r="A52" t="s">
        <v>224</v>
      </c>
      <c r="B52">
        <v>54</v>
      </c>
    </row>
    <row r="53" spans="1:2" x14ac:dyDescent="0.3">
      <c r="A53" t="s">
        <v>226</v>
      </c>
      <c r="B53">
        <v>55</v>
      </c>
    </row>
    <row r="54" spans="1:2" x14ac:dyDescent="0.3">
      <c r="A54" t="s">
        <v>229</v>
      </c>
      <c r="B54">
        <v>57</v>
      </c>
    </row>
    <row r="55" spans="1:2" x14ac:dyDescent="0.3">
      <c r="A55" t="s">
        <v>232</v>
      </c>
      <c r="B55">
        <v>58</v>
      </c>
    </row>
    <row r="56" spans="1:2" x14ac:dyDescent="0.3">
      <c r="A56" t="s">
        <v>234</v>
      </c>
      <c r="B56">
        <v>59</v>
      </c>
    </row>
    <row r="57" spans="1:2" x14ac:dyDescent="0.3">
      <c r="A57" t="s">
        <v>237</v>
      </c>
      <c r="B57">
        <v>61</v>
      </c>
    </row>
    <row r="58" spans="1:2" x14ac:dyDescent="0.3">
      <c r="A58" t="s">
        <v>239</v>
      </c>
      <c r="B58">
        <v>62</v>
      </c>
    </row>
    <row r="59" spans="1:2" x14ac:dyDescent="0.3">
      <c r="A59" t="s">
        <v>242</v>
      </c>
      <c r="B59">
        <v>63</v>
      </c>
    </row>
    <row r="60" spans="1:2" x14ac:dyDescent="0.3">
      <c r="A60" t="s">
        <v>244</v>
      </c>
      <c r="B60">
        <v>64</v>
      </c>
    </row>
    <row r="61" spans="1:2" x14ac:dyDescent="0.3">
      <c r="A61" t="s">
        <v>246</v>
      </c>
      <c r="B61">
        <v>65</v>
      </c>
    </row>
    <row r="62" spans="1:2" x14ac:dyDescent="0.3">
      <c r="A62" t="s">
        <v>249</v>
      </c>
      <c r="B62">
        <v>67</v>
      </c>
    </row>
    <row r="63" spans="1:2" x14ac:dyDescent="0.3">
      <c r="A63" t="s">
        <v>251</v>
      </c>
      <c r="B63">
        <v>68</v>
      </c>
    </row>
    <row r="64" spans="1:2" x14ac:dyDescent="0.3">
      <c r="A64" t="s">
        <v>254</v>
      </c>
      <c r="B64">
        <v>69</v>
      </c>
    </row>
    <row r="65" spans="1:24" x14ac:dyDescent="0.3">
      <c r="A65" t="s">
        <v>256</v>
      </c>
      <c r="B65">
        <v>70</v>
      </c>
    </row>
    <row r="66" spans="1:24" x14ac:dyDescent="0.3">
      <c r="A66" t="s">
        <v>258</v>
      </c>
      <c r="B66">
        <v>71</v>
      </c>
    </row>
    <row r="67" spans="1:24" x14ac:dyDescent="0.3">
      <c r="A67" t="s">
        <v>260</v>
      </c>
      <c r="B67" t="s">
        <v>261</v>
      </c>
    </row>
    <row r="68" spans="1:24" x14ac:dyDescent="0.3">
      <c r="A68" t="s">
        <v>262</v>
      </c>
      <c r="B68" t="s">
        <v>263</v>
      </c>
    </row>
    <row r="69" spans="1:24" x14ac:dyDescent="0.3">
      <c r="A69" t="s">
        <v>271</v>
      </c>
      <c r="B69" t="s">
        <v>272</v>
      </c>
    </row>
    <row r="70" spans="1:24" x14ac:dyDescent="0.3">
      <c r="A70" t="s">
        <v>274</v>
      </c>
      <c r="B70" t="s">
        <v>275</v>
      </c>
    </row>
    <row r="71" spans="1:24" x14ac:dyDescent="0.3">
      <c r="A71" t="s">
        <v>277</v>
      </c>
      <c r="B71" t="s">
        <v>278</v>
      </c>
    </row>
    <row r="72" spans="1:24" x14ac:dyDescent="0.3">
      <c r="A72" t="s">
        <v>280</v>
      </c>
      <c r="B72" t="s">
        <v>281</v>
      </c>
    </row>
    <row r="73" spans="1:24" x14ac:dyDescent="0.3">
      <c r="A73" t="s">
        <v>284</v>
      </c>
      <c r="B73" t="s">
        <v>285</v>
      </c>
    </row>
    <row r="74" spans="1:24" x14ac:dyDescent="0.3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 x14ac:dyDescent="0.3">
      <c r="A75" t="s">
        <v>302</v>
      </c>
      <c r="B75">
        <v>1</v>
      </c>
    </row>
    <row r="76" spans="1:24" x14ac:dyDescent="0.3">
      <c r="A76" t="s">
        <v>303</v>
      </c>
      <c r="B76">
        <v>2</v>
      </c>
    </row>
    <row r="77" spans="1:24" x14ac:dyDescent="0.3">
      <c r="A77" t="s">
        <v>304</v>
      </c>
      <c r="B77">
        <v>3</v>
      </c>
    </row>
    <row r="78" spans="1:24" x14ac:dyDescent="0.3">
      <c r="A78" t="s">
        <v>305</v>
      </c>
      <c r="B78">
        <v>4</v>
      </c>
    </row>
    <row r="79" spans="1:24" x14ac:dyDescent="0.3">
      <c r="A79" t="s">
        <v>306</v>
      </c>
      <c r="B79">
        <v>5</v>
      </c>
    </row>
    <row r="80" spans="1:24" x14ac:dyDescent="0.3">
      <c r="A80" t="s">
        <v>307</v>
      </c>
      <c r="B80">
        <v>6</v>
      </c>
    </row>
    <row r="81" spans="1:2" x14ac:dyDescent="0.3">
      <c r="A81" t="s">
        <v>310</v>
      </c>
      <c r="B81">
        <v>8</v>
      </c>
    </row>
    <row r="82" spans="1:2" x14ac:dyDescent="0.3">
      <c r="A82" t="s">
        <v>311</v>
      </c>
      <c r="B82">
        <v>9</v>
      </c>
    </row>
    <row r="83" spans="1:2" x14ac:dyDescent="0.3">
      <c r="A83" t="s">
        <v>312</v>
      </c>
      <c r="B83">
        <v>10</v>
      </c>
    </row>
    <row r="84" spans="1:2" x14ac:dyDescent="0.3">
      <c r="A84" t="s">
        <v>313</v>
      </c>
      <c r="B84">
        <v>11</v>
      </c>
    </row>
    <row r="85" spans="1:2" x14ac:dyDescent="0.3">
      <c r="A85" t="s">
        <v>314</v>
      </c>
      <c r="B85">
        <v>12</v>
      </c>
    </row>
    <row r="86" spans="1:2" x14ac:dyDescent="0.3">
      <c r="A86" t="s">
        <v>315</v>
      </c>
      <c r="B86">
        <v>13</v>
      </c>
    </row>
    <row r="87" spans="1:2" x14ac:dyDescent="0.3">
      <c r="A87" t="s">
        <v>316</v>
      </c>
      <c r="B87">
        <v>14</v>
      </c>
    </row>
    <row r="88" spans="1:2" x14ac:dyDescent="0.3">
      <c r="A88" t="s">
        <v>317</v>
      </c>
      <c r="B88">
        <v>15</v>
      </c>
    </row>
    <row r="89" spans="1:2" x14ac:dyDescent="0.3">
      <c r="A89" t="s">
        <v>318</v>
      </c>
      <c r="B89">
        <v>16</v>
      </c>
    </row>
    <row r="90" spans="1:2" x14ac:dyDescent="0.3">
      <c r="A90" t="s">
        <v>319</v>
      </c>
      <c r="B90">
        <v>17</v>
      </c>
    </row>
    <row r="91" spans="1:2" x14ac:dyDescent="0.3">
      <c r="A91" t="s">
        <v>320</v>
      </c>
      <c r="B91">
        <v>18</v>
      </c>
    </row>
    <row r="92" spans="1:2" x14ac:dyDescent="0.3">
      <c r="A92" t="s">
        <v>321</v>
      </c>
      <c r="B92">
        <v>19</v>
      </c>
    </row>
    <row r="93" spans="1:2" x14ac:dyDescent="0.3">
      <c r="A93" t="s">
        <v>322</v>
      </c>
      <c r="B93">
        <v>20</v>
      </c>
    </row>
    <row r="94" spans="1:2" x14ac:dyDescent="0.3">
      <c r="A94" t="s">
        <v>323</v>
      </c>
      <c r="B94">
        <v>21</v>
      </c>
    </row>
    <row r="95" spans="1:2" x14ac:dyDescent="0.3">
      <c r="A95" t="s">
        <v>324</v>
      </c>
      <c r="B95">
        <v>22</v>
      </c>
    </row>
    <row r="96" spans="1:2" x14ac:dyDescent="0.3">
      <c r="A96" t="s">
        <v>325</v>
      </c>
      <c r="B96">
        <v>23</v>
      </c>
    </row>
    <row r="97" spans="1:2" x14ac:dyDescent="0.3">
      <c r="A97" t="s">
        <v>326</v>
      </c>
      <c r="B97">
        <v>24</v>
      </c>
    </row>
    <row r="98" spans="1:2" x14ac:dyDescent="0.3">
      <c r="A98" t="s">
        <v>327</v>
      </c>
      <c r="B98">
        <v>25</v>
      </c>
    </row>
    <row r="99" spans="1:2" x14ac:dyDescent="0.3">
      <c r="A99" t="s">
        <v>328</v>
      </c>
      <c r="B99">
        <v>26</v>
      </c>
    </row>
    <row r="100" spans="1:2" x14ac:dyDescent="0.3">
      <c r="A100" t="s">
        <v>329</v>
      </c>
      <c r="B100">
        <v>27</v>
      </c>
    </row>
    <row r="101" spans="1:2" x14ac:dyDescent="0.3">
      <c r="A101" t="s">
        <v>330</v>
      </c>
      <c r="B101">
        <v>28</v>
      </c>
    </row>
    <row r="102" spans="1:2" x14ac:dyDescent="0.3">
      <c r="A102" t="s">
        <v>331</v>
      </c>
      <c r="B102">
        <v>29</v>
      </c>
    </row>
    <row r="103" spans="1:2" x14ac:dyDescent="0.3">
      <c r="A103" t="s">
        <v>333</v>
      </c>
      <c r="B103">
        <v>31</v>
      </c>
    </row>
    <row r="104" spans="1:2" x14ac:dyDescent="0.3">
      <c r="A104" t="s">
        <v>334</v>
      </c>
      <c r="B104">
        <v>32</v>
      </c>
    </row>
    <row r="105" spans="1:2" x14ac:dyDescent="0.3">
      <c r="A105" t="s">
        <v>335</v>
      </c>
      <c r="B105">
        <v>33</v>
      </c>
    </row>
    <row r="106" spans="1:2" x14ac:dyDescent="0.3">
      <c r="A106" t="s">
        <v>336</v>
      </c>
      <c r="B106">
        <v>34</v>
      </c>
    </row>
    <row r="107" spans="1:2" x14ac:dyDescent="0.3">
      <c r="A107" t="s">
        <v>337</v>
      </c>
      <c r="B107">
        <v>35</v>
      </c>
    </row>
    <row r="108" spans="1:2" x14ac:dyDescent="0.3">
      <c r="A108" t="s">
        <v>338</v>
      </c>
      <c r="B108">
        <v>36</v>
      </c>
    </row>
    <row r="109" spans="1:2" x14ac:dyDescent="0.3">
      <c r="A109" t="s">
        <v>339</v>
      </c>
      <c r="B109">
        <v>37</v>
      </c>
    </row>
    <row r="110" spans="1:2" x14ac:dyDescent="0.3">
      <c r="A110" t="s">
        <v>340</v>
      </c>
      <c r="B110">
        <v>38</v>
      </c>
    </row>
    <row r="111" spans="1:2" x14ac:dyDescent="0.3">
      <c r="A111" t="s">
        <v>341</v>
      </c>
      <c r="B111">
        <v>39</v>
      </c>
    </row>
    <row r="112" spans="1:2" x14ac:dyDescent="0.3">
      <c r="A112" t="s">
        <v>342</v>
      </c>
      <c r="B112">
        <v>40</v>
      </c>
    </row>
    <row r="113" spans="1:2" x14ac:dyDescent="0.3">
      <c r="A113" t="s">
        <v>343</v>
      </c>
      <c r="B113">
        <v>41</v>
      </c>
    </row>
    <row r="114" spans="1:2" x14ac:dyDescent="0.3">
      <c r="A114" t="s">
        <v>344</v>
      </c>
      <c r="B114">
        <v>42</v>
      </c>
    </row>
    <row r="115" spans="1:2" x14ac:dyDescent="0.3">
      <c r="A115" t="s">
        <v>345</v>
      </c>
      <c r="B115">
        <v>43</v>
      </c>
    </row>
    <row r="116" spans="1:2" x14ac:dyDescent="0.3">
      <c r="A116" t="s">
        <v>346</v>
      </c>
      <c r="B116">
        <v>44</v>
      </c>
    </row>
    <row r="117" spans="1:2" x14ac:dyDescent="0.3">
      <c r="A117" t="s">
        <v>347</v>
      </c>
      <c r="B117">
        <v>45</v>
      </c>
    </row>
    <row r="118" spans="1:2" x14ac:dyDescent="0.3">
      <c r="A118" t="s">
        <v>348</v>
      </c>
      <c r="B118">
        <v>46</v>
      </c>
    </row>
    <row r="119" spans="1:2" x14ac:dyDescent="0.3">
      <c r="A119" t="s">
        <v>349</v>
      </c>
      <c r="B119">
        <v>47</v>
      </c>
    </row>
    <row r="120" spans="1:2" x14ac:dyDescent="0.3">
      <c r="A120" t="s">
        <v>350</v>
      </c>
      <c r="B120">
        <v>48</v>
      </c>
    </row>
    <row r="121" spans="1:2" x14ac:dyDescent="0.3">
      <c r="A121" t="s">
        <v>351</v>
      </c>
      <c r="B121">
        <v>49</v>
      </c>
    </row>
    <row r="122" spans="1:2" x14ac:dyDescent="0.3">
      <c r="A122" t="s">
        <v>352</v>
      </c>
      <c r="B122">
        <v>50</v>
      </c>
    </row>
    <row r="123" spans="1:2" x14ac:dyDescent="0.3">
      <c r="A123" t="s">
        <v>353</v>
      </c>
      <c r="B123">
        <v>51</v>
      </c>
    </row>
    <row r="124" spans="1:2" x14ac:dyDescent="0.3">
      <c r="A124" t="s">
        <v>354</v>
      </c>
      <c r="B124">
        <v>52</v>
      </c>
    </row>
    <row r="125" spans="1:2" x14ac:dyDescent="0.3">
      <c r="A125" t="s">
        <v>357</v>
      </c>
      <c r="B125">
        <v>54</v>
      </c>
    </row>
    <row r="126" spans="1:2" x14ac:dyDescent="0.3">
      <c r="A126" t="s">
        <v>359</v>
      </c>
      <c r="B126">
        <v>55</v>
      </c>
    </row>
    <row r="127" spans="1:2" x14ac:dyDescent="0.3">
      <c r="A127" t="s">
        <v>361</v>
      </c>
      <c r="B127">
        <v>56</v>
      </c>
    </row>
    <row r="128" spans="1:2" x14ac:dyDescent="0.3">
      <c r="A128" t="s">
        <v>362</v>
      </c>
      <c r="B128">
        <v>57</v>
      </c>
    </row>
    <row r="129" spans="1:23" x14ac:dyDescent="0.3">
      <c r="A129" t="s">
        <v>363</v>
      </c>
      <c r="B129">
        <v>58</v>
      </c>
    </row>
    <row r="130" spans="1:23" x14ac:dyDescent="0.3">
      <c r="A130" t="s">
        <v>365</v>
      </c>
      <c r="B130" t="s">
        <v>366</v>
      </c>
    </row>
    <row r="131" spans="1:23" x14ac:dyDescent="0.3">
      <c r="A131" t="s">
        <v>367</v>
      </c>
      <c r="B131" t="s">
        <v>368</v>
      </c>
    </row>
    <row r="132" spans="1:23" x14ac:dyDescent="0.3">
      <c r="A132" t="s">
        <v>369</v>
      </c>
      <c r="B132" t="s">
        <v>370</v>
      </c>
    </row>
    <row r="133" spans="1:23" x14ac:dyDescent="0.3">
      <c r="A133" t="s">
        <v>371</v>
      </c>
      <c r="B133" t="s">
        <v>372</v>
      </c>
    </row>
    <row r="134" spans="1:23" x14ac:dyDescent="0.3">
      <c r="A134" t="s">
        <v>373</v>
      </c>
      <c r="B134" t="s">
        <v>374</v>
      </c>
    </row>
    <row r="135" spans="1:23" x14ac:dyDescent="0.3">
      <c r="A135" t="s">
        <v>375</v>
      </c>
      <c r="B135" t="s">
        <v>376</v>
      </c>
    </row>
    <row r="136" spans="1:23" x14ac:dyDescent="0.3">
      <c r="A136" t="s">
        <v>377</v>
      </c>
      <c r="B136" t="s">
        <v>378</v>
      </c>
    </row>
    <row r="137" spans="1:23" x14ac:dyDescent="0.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 x14ac:dyDescent="0.3">
      <c r="A138" t="s">
        <v>384</v>
      </c>
      <c r="B138">
        <v>1</v>
      </c>
    </row>
    <row r="139" spans="1:23" x14ac:dyDescent="0.3">
      <c r="A139" t="s">
        <v>385</v>
      </c>
      <c r="B139">
        <v>2</v>
      </c>
    </row>
    <row r="140" spans="1:23" x14ac:dyDescent="0.3">
      <c r="A140" t="s">
        <v>386</v>
      </c>
      <c r="B140">
        <v>3</v>
      </c>
    </row>
    <row r="141" spans="1:23" x14ac:dyDescent="0.3">
      <c r="A141" t="s">
        <v>387</v>
      </c>
      <c r="B141">
        <v>4</v>
      </c>
    </row>
    <row r="142" spans="1:23" x14ac:dyDescent="0.3">
      <c r="A142" t="s">
        <v>388</v>
      </c>
      <c r="B142">
        <v>5</v>
      </c>
    </row>
    <row r="143" spans="1:23" x14ac:dyDescent="0.3">
      <c r="A143" t="s">
        <v>389</v>
      </c>
      <c r="B143">
        <v>6</v>
      </c>
    </row>
    <row r="144" spans="1:23" x14ac:dyDescent="0.3">
      <c r="A144" t="s">
        <v>390</v>
      </c>
      <c r="B144">
        <v>8</v>
      </c>
    </row>
    <row r="145" spans="1:2" x14ac:dyDescent="0.3">
      <c r="A145" t="s">
        <v>391</v>
      </c>
      <c r="B145">
        <v>9</v>
      </c>
    </row>
    <row r="146" spans="1:2" x14ac:dyDescent="0.3">
      <c r="A146" t="s">
        <v>392</v>
      </c>
      <c r="B146">
        <v>10</v>
      </c>
    </row>
    <row r="147" spans="1:2" x14ac:dyDescent="0.3">
      <c r="A147" t="s">
        <v>393</v>
      </c>
      <c r="B147">
        <v>11</v>
      </c>
    </row>
    <row r="148" spans="1:2" x14ac:dyDescent="0.3">
      <c r="A148" t="s">
        <v>394</v>
      </c>
      <c r="B148">
        <v>12</v>
      </c>
    </row>
    <row r="149" spans="1:2" x14ac:dyDescent="0.3">
      <c r="A149" t="s">
        <v>395</v>
      </c>
      <c r="B149">
        <v>13</v>
      </c>
    </row>
    <row r="150" spans="1:2" x14ac:dyDescent="0.3">
      <c r="A150" t="s">
        <v>396</v>
      </c>
      <c r="B150">
        <v>14</v>
      </c>
    </row>
    <row r="151" spans="1:2" x14ac:dyDescent="0.3">
      <c r="A151" t="s">
        <v>397</v>
      </c>
      <c r="B151">
        <v>15</v>
      </c>
    </row>
    <row r="152" spans="1:2" x14ac:dyDescent="0.3">
      <c r="A152" t="s">
        <v>398</v>
      </c>
      <c r="B152">
        <v>16</v>
      </c>
    </row>
    <row r="153" spans="1:2" x14ac:dyDescent="0.3">
      <c r="A153" t="s">
        <v>399</v>
      </c>
      <c r="B153">
        <v>17</v>
      </c>
    </row>
    <row r="154" spans="1:2" x14ac:dyDescent="0.3">
      <c r="A154" t="s">
        <v>400</v>
      </c>
      <c r="B154">
        <v>18</v>
      </c>
    </row>
    <row r="155" spans="1:2" x14ac:dyDescent="0.3">
      <c r="A155" t="s">
        <v>401</v>
      </c>
      <c r="B155">
        <v>19</v>
      </c>
    </row>
    <row r="156" spans="1:2" x14ac:dyDescent="0.3">
      <c r="A156" t="s">
        <v>402</v>
      </c>
      <c r="B156">
        <v>20</v>
      </c>
    </row>
    <row r="157" spans="1:2" x14ac:dyDescent="0.3">
      <c r="A157" t="s">
        <v>403</v>
      </c>
      <c r="B157">
        <v>21</v>
      </c>
    </row>
    <row r="158" spans="1:2" x14ac:dyDescent="0.3">
      <c r="A158" t="s">
        <v>404</v>
      </c>
      <c r="B158">
        <v>22</v>
      </c>
    </row>
    <row r="159" spans="1:2" x14ac:dyDescent="0.3">
      <c r="A159" t="s">
        <v>405</v>
      </c>
      <c r="B159">
        <v>23</v>
      </c>
    </row>
    <row r="160" spans="1:2" x14ac:dyDescent="0.3">
      <c r="A160" t="s">
        <v>406</v>
      </c>
      <c r="B160">
        <v>24</v>
      </c>
    </row>
    <row r="161" spans="1:2" x14ac:dyDescent="0.3">
      <c r="A161" t="s">
        <v>407</v>
      </c>
      <c r="B161">
        <v>25</v>
      </c>
    </row>
    <row r="162" spans="1:2" x14ac:dyDescent="0.3">
      <c r="A162" t="s">
        <v>408</v>
      </c>
      <c r="B162">
        <v>26</v>
      </c>
    </row>
    <row r="163" spans="1:2" x14ac:dyDescent="0.3">
      <c r="A163" t="s">
        <v>409</v>
      </c>
      <c r="B163">
        <v>27</v>
      </c>
    </row>
    <row r="164" spans="1:2" x14ac:dyDescent="0.3">
      <c r="A164" t="s">
        <v>410</v>
      </c>
      <c r="B164">
        <v>28</v>
      </c>
    </row>
    <row r="165" spans="1:2" x14ac:dyDescent="0.3">
      <c r="A165" t="s">
        <v>411</v>
      </c>
      <c r="B165">
        <v>29</v>
      </c>
    </row>
    <row r="166" spans="1:2" x14ac:dyDescent="0.3">
      <c r="A166" t="s">
        <v>412</v>
      </c>
      <c r="B166">
        <v>31</v>
      </c>
    </row>
    <row r="167" spans="1:2" x14ac:dyDescent="0.3">
      <c r="A167" t="s">
        <v>413</v>
      </c>
      <c r="B167">
        <v>32</v>
      </c>
    </row>
    <row r="168" spans="1:2" x14ac:dyDescent="0.3">
      <c r="A168" t="s">
        <v>414</v>
      </c>
      <c r="B168">
        <v>33</v>
      </c>
    </row>
    <row r="169" spans="1:2" x14ac:dyDescent="0.3">
      <c r="A169" t="s">
        <v>415</v>
      </c>
      <c r="B169">
        <v>34</v>
      </c>
    </row>
    <row r="170" spans="1:2" x14ac:dyDescent="0.3">
      <c r="A170" t="s">
        <v>416</v>
      </c>
      <c r="B170">
        <v>35</v>
      </c>
    </row>
    <row r="171" spans="1:2" x14ac:dyDescent="0.3">
      <c r="A171" t="s">
        <v>417</v>
      </c>
      <c r="B171">
        <v>36</v>
      </c>
    </row>
    <row r="172" spans="1:2" x14ac:dyDescent="0.3">
      <c r="A172" t="s">
        <v>418</v>
      </c>
      <c r="B172">
        <v>37</v>
      </c>
    </row>
    <row r="173" spans="1:2" x14ac:dyDescent="0.3">
      <c r="A173" t="s">
        <v>419</v>
      </c>
      <c r="B173">
        <v>38</v>
      </c>
    </row>
    <row r="174" spans="1:2" x14ac:dyDescent="0.3">
      <c r="A174" t="s">
        <v>420</v>
      </c>
      <c r="B174">
        <v>39</v>
      </c>
    </row>
    <row r="175" spans="1:2" x14ac:dyDescent="0.3">
      <c r="A175" t="s">
        <v>421</v>
      </c>
      <c r="B175">
        <v>40</v>
      </c>
    </row>
    <row r="176" spans="1:2" x14ac:dyDescent="0.3">
      <c r="A176" t="s">
        <v>422</v>
      </c>
      <c r="B176">
        <v>41</v>
      </c>
    </row>
    <row r="177" spans="1:2" x14ac:dyDescent="0.3">
      <c r="A177" t="s">
        <v>423</v>
      </c>
      <c r="B177">
        <v>42</v>
      </c>
    </row>
    <row r="178" spans="1:2" x14ac:dyDescent="0.3">
      <c r="A178" t="s">
        <v>424</v>
      </c>
      <c r="B178">
        <v>43</v>
      </c>
    </row>
    <row r="179" spans="1:2" x14ac:dyDescent="0.3">
      <c r="A179" t="s">
        <v>425</v>
      </c>
      <c r="B179">
        <v>44</v>
      </c>
    </row>
    <row r="180" spans="1:2" x14ac:dyDescent="0.3">
      <c r="A180" t="s">
        <v>426</v>
      </c>
      <c r="B180">
        <v>45</v>
      </c>
    </row>
    <row r="181" spans="1:2" x14ac:dyDescent="0.3">
      <c r="A181" t="s">
        <v>427</v>
      </c>
      <c r="B181">
        <v>46</v>
      </c>
    </row>
    <row r="182" spans="1:2" x14ac:dyDescent="0.3">
      <c r="A182" t="s">
        <v>428</v>
      </c>
      <c r="B182">
        <v>47</v>
      </c>
    </row>
    <row r="183" spans="1:2" x14ac:dyDescent="0.3">
      <c r="A183" t="s">
        <v>429</v>
      </c>
      <c r="B183">
        <v>48</v>
      </c>
    </row>
    <row r="184" spans="1:2" x14ac:dyDescent="0.3">
      <c r="A184" t="s">
        <v>430</v>
      </c>
      <c r="B184">
        <v>49</v>
      </c>
    </row>
    <row r="185" spans="1:2" x14ac:dyDescent="0.3">
      <c r="A185" t="s">
        <v>431</v>
      </c>
      <c r="B185">
        <v>50</v>
      </c>
    </row>
    <row r="186" spans="1:2" x14ac:dyDescent="0.3">
      <c r="A186" t="s">
        <v>432</v>
      </c>
      <c r="B186">
        <v>51</v>
      </c>
    </row>
    <row r="187" spans="1:2" x14ac:dyDescent="0.3">
      <c r="A187" t="s">
        <v>433</v>
      </c>
      <c r="B187">
        <v>52</v>
      </c>
    </row>
    <row r="188" spans="1:2" x14ac:dyDescent="0.3">
      <c r="A188" t="s">
        <v>434</v>
      </c>
      <c r="B188">
        <v>54</v>
      </c>
    </row>
    <row r="189" spans="1:2" x14ac:dyDescent="0.3">
      <c r="A189" t="s">
        <v>435</v>
      </c>
      <c r="B189">
        <v>55</v>
      </c>
    </row>
    <row r="190" spans="1:2" x14ac:dyDescent="0.3">
      <c r="A190" t="s">
        <v>436</v>
      </c>
      <c r="B190">
        <v>56</v>
      </c>
    </row>
    <row r="191" spans="1:2" x14ac:dyDescent="0.3">
      <c r="A191" t="s">
        <v>437</v>
      </c>
      <c r="B191">
        <v>57</v>
      </c>
    </row>
    <row r="192" spans="1:2" x14ac:dyDescent="0.3">
      <c r="A192" t="s">
        <v>438</v>
      </c>
      <c r="B192">
        <v>58</v>
      </c>
    </row>
    <row r="193" spans="1:23" x14ac:dyDescent="0.3">
      <c r="A193" t="s">
        <v>440</v>
      </c>
      <c r="B193" t="s">
        <v>441</v>
      </c>
    </row>
    <row r="194" spans="1:23" x14ac:dyDescent="0.3">
      <c r="A194" t="s">
        <v>442</v>
      </c>
      <c r="B194" t="s">
        <v>443</v>
      </c>
    </row>
    <row r="195" spans="1:23" x14ac:dyDescent="0.3">
      <c r="A195" t="s">
        <v>444</v>
      </c>
      <c r="B195" t="s">
        <v>445</v>
      </c>
    </row>
    <row r="196" spans="1:23" x14ac:dyDescent="0.3">
      <c r="A196" t="s">
        <v>446</v>
      </c>
      <c r="B196" t="s">
        <v>447</v>
      </c>
    </row>
    <row r="197" spans="1:23" x14ac:dyDescent="0.3">
      <c r="A197" t="s">
        <v>448</v>
      </c>
      <c r="B197" t="s">
        <v>449</v>
      </c>
    </row>
    <row r="198" spans="1:23" x14ac:dyDescent="0.3">
      <c r="A198" t="s">
        <v>450</v>
      </c>
      <c r="B198" t="s">
        <v>451</v>
      </c>
    </row>
    <row r="199" spans="1:23" x14ac:dyDescent="0.3">
      <c r="A199" t="s">
        <v>452</v>
      </c>
      <c r="B199" t="s">
        <v>453</v>
      </c>
    </row>
    <row r="200" spans="1:23" x14ac:dyDescent="0.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 x14ac:dyDescent="0.3">
      <c r="A201" t="s">
        <v>460</v>
      </c>
      <c r="B201">
        <v>1</v>
      </c>
    </row>
    <row r="202" spans="1:23" x14ac:dyDescent="0.3">
      <c r="A202" t="s">
        <v>461</v>
      </c>
      <c r="B202">
        <v>2</v>
      </c>
    </row>
    <row r="203" spans="1:23" x14ac:dyDescent="0.3">
      <c r="A203" t="s">
        <v>462</v>
      </c>
      <c r="B203">
        <v>3</v>
      </c>
    </row>
    <row r="204" spans="1:23" x14ac:dyDescent="0.3">
      <c r="A204" t="s">
        <v>463</v>
      </c>
      <c r="B204">
        <v>4</v>
      </c>
    </row>
    <row r="205" spans="1:23" x14ac:dyDescent="0.3">
      <c r="A205" t="s">
        <v>464</v>
      </c>
      <c r="B205">
        <v>5</v>
      </c>
    </row>
    <row r="206" spans="1:23" x14ac:dyDescent="0.3">
      <c r="A206" t="s">
        <v>465</v>
      </c>
      <c r="B206">
        <v>6</v>
      </c>
    </row>
    <row r="207" spans="1:23" x14ac:dyDescent="0.3">
      <c r="A207" t="s">
        <v>466</v>
      </c>
      <c r="B207">
        <v>7</v>
      </c>
    </row>
    <row r="208" spans="1:23" x14ac:dyDescent="0.3">
      <c r="A208" t="s">
        <v>467</v>
      </c>
      <c r="B208">
        <v>9</v>
      </c>
    </row>
    <row r="209" spans="1:2" x14ac:dyDescent="0.3">
      <c r="A209" t="s">
        <v>468</v>
      </c>
      <c r="B209">
        <v>10</v>
      </c>
    </row>
    <row r="210" spans="1:2" x14ac:dyDescent="0.3">
      <c r="A210" t="s">
        <v>469</v>
      </c>
      <c r="B210">
        <v>11</v>
      </c>
    </row>
    <row r="211" spans="1:2" x14ac:dyDescent="0.3">
      <c r="A211" t="s">
        <v>470</v>
      </c>
      <c r="B211">
        <v>12</v>
      </c>
    </row>
    <row r="212" spans="1:2" x14ac:dyDescent="0.3">
      <c r="A212" t="s">
        <v>471</v>
      </c>
      <c r="B212">
        <v>13</v>
      </c>
    </row>
    <row r="213" spans="1:2" x14ac:dyDescent="0.3">
      <c r="A213" t="s">
        <v>472</v>
      </c>
      <c r="B213">
        <v>14</v>
      </c>
    </row>
    <row r="214" spans="1:2" x14ac:dyDescent="0.3">
      <c r="A214" t="s">
        <v>473</v>
      </c>
      <c r="B214">
        <v>15</v>
      </c>
    </row>
    <row r="215" spans="1:2" x14ac:dyDescent="0.3">
      <c r="A215" t="s">
        <v>474</v>
      </c>
      <c r="B215">
        <v>16</v>
      </c>
    </row>
    <row r="216" spans="1:2" x14ac:dyDescent="0.3">
      <c r="A216" t="s">
        <v>475</v>
      </c>
      <c r="B216">
        <v>17</v>
      </c>
    </row>
    <row r="217" spans="1:2" x14ac:dyDescent="0.3">
      <c r="A217" t="s">
        <v>476</v>
      </c>
      <c r="B217">
        <v>18</v>
      </c>
    </row>
    <row r="218" spans="1:2" x14ac:dyDescent="0.3">
      <c r="A218" t="s">
        <v>477</v>
      </c>
      <c r="B218">
        <v>19</v>
      </c>
    </row>
    <row r="219" spans="1:2" x14ac:dyDescent="0.3">
      <c r="A219" t="s">
        <v>478</v>
      </c>
      <c r="B219">
        <v>20</v>
      </c>
    </row>
    <row r="220" spans="1:2" x14ac:dyDescent="0.3">
      <c r="A220" t="s">
        <v>479</v>
      </c>
      <c r="B220">
        <v>21</v>
      </c>
    </row>
    <row r="221" spans="1:2" x14ac:dyDescent="0.3">
      <c r="A221" t="s">
        <v>480</v>
      </c>
      <c r="B221">
        <v>22</v>
      </c>
    </row>
    <row r="222" spans="1:2" x14ac:dyDescent="0.3">
      <c r="A222" t="s">
        <v>481</v>
      </c>
      <c r="B222">
        <v>23</v>
      </c>
    </row>
    <row r="223" spans="1:2" x14ac:dyDescent="0.3">
      <c r="A223" t="s">
        <v>482</v>
      </c>
      <c r="B223">
        <v>24</v>
      </c>
    </row>
    <row r="224" spans="1:2" x14ac:dyDescent="0.3">
      <c r="A224" t="s">
        <v>483</v>
      </c>
      <c r="B224">
        <v>25</v>
      </c>
    </row>
    <row r="225" spans="1:2" x14ac:dyDescent="0.3">
      <c r="A225" t="s">
        <v>484</v>
      </c>
      <c r="B225">
        <v>26</v>
      </c>
    </row>
    <row r="226" spans="1:2" x14ac:dyDescent="0.3">
      <c r="A226" t="s">
        <v>485</v>
      </c>
      <c r="B226">
        <v>27</v>
      </c>
    </row>
    <row r="227" spans="1:2" x14ac:dyDescent="0.3">
      <c r="A227" t="s">
        <v>486</v>
      </c>
      <c r="B227">
        <v>28</v>
      </c>
    </row>
    <row r="228" spans="1:2" x14ac:dyDescent="0.3">
      <c r="A228" t="s">
        <v>487</v>
      </c>
      <c r="B228">
        <v>29</v>
      </c>
    </row>
    <row r="229" spans="1:2" x14ac:dyDescent="0.3">
      <c r="A229" t="s">
        <v>488</v>
      </c>
      <c r="B229">
        <v>30</v>
      </c>
    </row>
    <row r="230" spans="1:2" x14ac:dyDescent="0.3">
      <c r="A230" t="s">
        <v>489</v>
      </c>
      <c r="B230">
        <v>31</v>
      </c>
    </row>
    <row r="231" spans="1:2" x14ac:dyDescent="0.3">
      <c r="A231" t="s">
        <v>490</v>
      </c>
      <c r="B231">
        <v>33</v>
      </c>
    </row>
    <row r="232" spans="1:2" x14ac:dyDescent="0.3">
      <c r="A232" t="s">
        <v>491</v>
      </c>
      <c r="B232">
        <v>34</v>
      </c>
    </row>
    <row r="233" spans="1:2" x14ac:dyDescent="0.3">
      <c r="A233" t="s">
        <v>492</v>
      </c>
      <c r="B233">
        <v>35</v>
      </c>
    </row>
    <row r="234" spans="1:2" x14ac:dyDescent="0.3">
      <c r="A234" t="s">
        <v>493</v>
      </c>
      <c r="B234">
        <v>36</v>
      </c>
    </row>
    <row r="235" spans="1:2" x14ac:dyDescent="0.3">
      <c r="A235" t="s">
        <v>494</v>
      </c>
      <c r="B235">
        <v>37</v>
      </c>
    </row>
    <row r="236" spans="1:2" x14ac:dyDescent="0.3">
      <c r="A236" t="s">
        <v>495</v>
      </c>
      <c r="B236">
        <v>38</v>
      </c>
    </row>
    <row r="237" spans="1:2" x14ac:dyDescent="0.3">
      <c r="A237" t="s">
        <v>496</v>
      </c>
      <c r="B237">
        <v>39</v>
      </c>
    </row>
    <row r="238" spans="1:2" x14ac:dyDescent="0.3">
      <c r="A238" t="s">
        <v>497</v>
      </c>
      <c r="B238">
        <v>40</v>
      </c>
    </row>
    <row r="239" spans="1:2" x14ac:dyDescent="0.3">
      <c r="A239" t="s">
        <v>498</v>
      </c>
      <c r="B239">
        <v>41</v>
      </c>
    </row>
    <row r="240" spans="1:2" x14ac:dyDescent="0.3">
      <c r="A240" t="s">
        <v>499</v>
      </c>
      <c r="B240">
        <v>42</v>
      </c>
    </row>
    <row r="241" spans="1:2" x14ac:dyDescent="0.3">
      <c r="A241" t="s">
        <v>500</v>
      </c>
      <c r="B241">
        <v>43</v>
      </c>
    </row>
    <row r="242" spans="1:2" x14ac:dyDescent="0.3">
      <c r="A242" t="s">
        <v>501</v>
      </c>
      <c r="B242">
        <v>44</v>
      </c>
    </row>
    <row r="243" spans="1:2" x14ac:dyDescent="0.3">
      <c r="A243" t="s">
        <v>502</v>
      </c>
      <c r="B243">
        <v>45</v>
      </c>
    </row>
    <row r="244" spans="1:2" x14ac:dyDescent="0.3">
      <c r="A244" t="s">
        <v>503</v>
      </c>
      <c r="B244">
        <v>46</v>
      </c>
    </row>
    <row r="245" spans="1:2" x14ac:dyDescent="0.3">
      <c r="A245" t="s">
        <v>504</v>
      </c>
      <c r="B245">
        <v>47</v>
      </c>
    </row>
    <row r="246" spans="1:2" x14ac:dyDescent="0.3">
      <c r="A246" t="s">
        <v>505</v>
      </c>
      <c r="B246">
        <v>48</v>
      </c>
    </row>
    <row r="247" spans="1:2" x14ac:dyDescent="0.3">
      <c r="A247" t="s">
        <v>506</v>
      </c>
      <c r="B247">
        <v>49</v>
      </c>
    </row>
    <row r="248" spans="1:2" x14ac:dyDescent="0.3">
      <c r="A248" t="s">
        <v>507</v>
      </c>
      <c r="B248">
        <v>50</v>
      </c>
    </row>
    <row r="249" spans="1:2" x14ac:dyDescent="0.3">
      <c r="A249" t="s">
        <v>508</v>
      </c>
      <c r="B249">
        <v>51</v>
      </c>
    </row>
    <row r="250" spans="1:2" x14ac:dyDescent="0.3">
      <c r="A250" t="s">
        <v>509</v>
      </c>
      <c r="B250">
        <v>52</v>
      </c>
    </row>
    <row r="251" spans="1:2" x14ac:dyDescent="0.3">
      <c r="A251" t="s">
        <v>510</v>
      </c>
      <c r="B251">
        <v>53</v>
      </c>
    </row>
    <row r="252" spans="1:2" x14ac:dyDescent="0.3">
      <c r="A252" t="s">
        <v>511</v>
      </c>
      <c r="B252">
        <v>54</v>
      </c>
    </row>
    <row r="253" spans="1:2" x14ac:dyDescent="0.3">
      <c r="A253" t="s">
        <v>512</v>
      </c>
      <c r="B253">
        <v>55</v>
      </c>
    </row>
    <row r="254" spans="1:2" x14ac:dyDescent="0.3">
      <c r="A254" t="s">
        <v>513</v>
      </c>
      <c r="B254">
        <v>57</v>
      </c>
    </row>
    <row r="255" spans="1:2" x14ac:dyDescent="0.3">
      <c r="A255" t="s">
        <v>514</v>
      </c>
      <c r="B255">
        <v>58</v>
      </c>
    </row>
    <row r="256" spans="1:2" x14ac:dyDescent="0.3">
      <c r="A256" t="s">
        <v>515</v>
      </c>
      <c r="B256">
        <v>59</v>
      </c>
    </row>
    <row r="257" spans="1:2" x14ac:dyDescent="0.3">
      <c r="A257" t="s">
        <v>516</v>
      </c>
      <c r="B257">
        <v>61</v>
      </c>
    </row>
    <row r="258" spans="1:2" x14ac:dyDescent="0.3">
      <c r="A258" t="s">
        <v>517</v>
      </c>
      <c r="B258">
        <v>62</v>
      </c>
    </row>
    <row r="259" spans="1:2" x14ac:dyDescent="0.3">
      <c r="A259" t="s">
        <v>518</v>
      </c>
      <c r="B259">
        <v>63</v>
      </c>
    </row>
    <row r="260" spans="1:2" x14ac:dyDescent="0.3">
      <c r="A260" t="s">
        <v>519</v>
      </c>
      <c r="B260">
        <v>64</v>
      </c>
    </row>
    <row r="261" spans="1:2" x14ac:dyDescent="0.3">
      <c r="A261" t="s">
        <v>520</v>
      </c>
      <c r="B261">
        <v>65</v>
      </c>
    </row>
    <row r="262" spans="1:2" x14ac:dyDescent="0.3">
      <c r="A262" t="s">
        <v>521</v>
      </c>
      <c r="B262">
        <v>67</v>
      </c>
    </row>
    <row r="263" spans="1:2" x14ac:dyDescent="0.3">
      <c r="A263" t="s">
        <v>522</v>
      </c>
      <c r="B263">
        <v>68</v>
      </c>
    </row>
    <row r="264" spans="1:2" x14ac:dyDescent="0.3">
      <c r="A264" t="s">
        <v>523</v>
      </c>
      <c r="B264">
        <v>69</v>
      </c>
    </row>
    <row r="265" spans="1:2" x14ac:dyDescent="0.3">
      <c r="A265" t="s">
        <v>524</v>
      </c>
      <c r="B265">
        <v>70</v>
      </c>
    </row>
    <row r="266" spans="1:2" x14ac:dyDescent="0.3">
      <c r="A266" t="s">
        <v>525</v>
      </c>
      <c r="B266">
        <v>71</v>
      </c>
    </row>
    <row r="267" spans="1:2" x14ac:dyDescent="0.3">
      <c r="A267" t="s">
        <v>526</v>
      </c>
      <c r="B267" t="s">
        <v>527</v>
      </c>
    </row>
    <row r="268" spans="1:2" x14ac:dyDescent="0.3">
      <c r="A268" t="s">
        <v>528</v>
      </c>
      <c r="B268" t="s">
        <v>529</v>
      </c>
    </row>
    <row r="269" spans="1:2" x14ac:dyDescent="0.3">
      <c r="A269" t="s">
        <v>530</v>
      </c>
      <c r="B269" t="s">
        <v>531</v>
      </c>
    </row>
    <row r="270" spans="1:2" x14ac:dyDescent="0.3">
      <c r="A270" t="s">
        <v>532</v>
      </c>
      <c r="B270" t="s">
        <v>533</v>
      </c>
    </row>
    <row r="271" spans="1:2" x14ac:dyDescent="0.3">
      <c r="A271" t="s">
        <v>534</v>
      </c>
      <c r="B271" t="s">
        <v>535</v>
      </c>
    </row>
    <row r="272" spans="1:2" x14ac:dyDescent="0.3">
      <c r="A272" t="s">
        <v>536</v>
      </c>
      <c r="B272" t="s">
        <v>537</v>
      </c>
    </row>
    <row r="273" spans="1:24" x14ac:dyDescent="0.3">
      <c r="A273" t="s">
        <v>538</v>
      </c>
      <c r="B273" t="s">
        <v>539</v>
      </c>
    </row>
    <row r="274" spans="1:24" x14ac:dyDescent="0.3">
      <c r="A274" t="s">
        <v>544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A1:BF16"/>
  <sheetViews>
    <sheetView workbookViewId="0">
      <pane xSplit="2" topLeftCell="AI1" activePane="topRight" state="frozen"/>
      <selection pane="topRight" activeCell="AZ9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71" t="s">
        <v>364</v>
      </c>
      <c r="B1" s="71"/>
      <c r="C1" s="71"/>
      <c r="D1" s="71"/>
      <c r="E1" s="71"/>
      <c r="F1" s="71"/>
      <c r="H1" s="67" t="str">
        <f>Summary!C1</f>
        <v>R5.0</v>
      </c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E1" s="68" t="str">
        <f>Summary!C2</f>
        <v>tested</v>
      </c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</row>
    <row r="2" spans="1:58" ht="30" customHeight="1" x14ac:dyDescent="0.3">
      <c r="A2" s="73" t="s">
        <v>91</v>
      </c>
      <c r="B2" s="72" t="s">
        <v>94</v>
      </c>
      <c r="C2" s="73" t="s">
        <v>100</v>
      </c>
      <c r="D2" s="72" t="s">
        <v>103</v>
      </c>
      <c r="E2" s="73" t="s">
        <v>106</v>
      </c>
      <c r="F2" s="72" t="s">
        <v>109</v>
      </c>
      <c r="H2" s="73" t="s">
        <v>308</v>
      </c>
      <c r="I2" s="72" t="s">
        <v>112</v>
      </c>
      <c r="J2" s="70" t="s">
        <v>115</v>
      </c>
      <c r="K2" s="70"/>
      <c r="L2" s="70"/>
      <c r="M2" s="70"/>
      <c r="N2" s="73" t="s">
        <v>128</v>
      </c>
      <c r="O2" s="72" t="s">
        <v>131</v>
      </c>
      <c r="P2" s="73" t="s">
        <v>22</v>
      </c>
      <c r="Q2" s="69" t="s">
        <v>140</v>
      </c>
      <c r="R2" s="69"/>
      <c r="S2" s="69"/>
      <c r="T2" s="69"/>
      <c r="U2" s="70" t="s">
        <v>151</v>
      </c>
      <c r="V2" s="70"/>
      <c r="W2" s="69" t="s">
        <v>158</v>
      </c>
      <c r="X2" s="69"/>
      <c r="Y2" s="69"/>
      <c r="Z2" s="70" t="s">
        <v>168</v>
      </c>
      <c r="AA2" s="70"/>
      <c r="AB2" s="69" t="s">
        <v>175</v>
      </c>
      <c r="AC2" s="69"/>
      <c r="AE2" s="73" t="s">
        <v>308</v>
      </c>
      <c r="AF2" s="72" t="s">
        <v>112</v>
      </c>
      <c r="AG2" s="70" t="s">
        <v>115</v>
      </c>
      <c r="AH2" s="70"/>
      <c r="AI2" s="70"/>
      <c r="AJ2" s="70"/>
      <c r="AK2" s="73" t="s">
        <v>190</v>
      </c>
      <c r="AL2" s="72" t="s">
        <v>131</v>
      </c>
      <c r="AM2" s="73" t="s">
        <v>22</v>
      </c>
      <c r="AN2" s="69" t="s">
        <v>140</v>
      </c>
      <c r="AO2" s="69"/>
      <c r="AP2" s="69"/>
      <c r="AQ2" s="69"/>
      <c r="AR2" s="70" t="s">
        <v>151</v>
      </c>
      <c r="AS2" s="70"/>
      <c r="AT2" s="69" t="s">
        <v>158</v>
      </c>
      <c r="AU2" s="69"/>
      <c r="AV2" s="69"/>
      <c r="AW2" s="70" t="s">
        <v>168</v>
      </c>
      <c r="AX2" s="70"/>
      <c r="AY2" s="69" t="s">
        <v>175</v>
      </c>
      <c r="AZ2" s="69"/>
      <c r="BB2" s="70" t="s">
        <v>355</v>
      </c>
      <c r="BC2" s="70"/>
      <c r="BD2" s="70"/>
      <c r="BE2" s="72" t="s">
        <v>230</v>
      </c>
      <c r="BF2" s="73" t="s">
        <v>230</v>
      </c>
    </row>
    <row r="3" spans="1:58" ht="28.8" x14ac:dyDescent="0.3">
      <c r="A3" s="73"/>
      <c r="B3" s="72"/>
      <c r="C3" s="73"/>
      <c r="D3" s="72"/>
      <c r="E3" s="73"/>
      <c r="F3" s="72"/>
      <c r="H3" s="73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3"/>
      <c r="O3" s="72"/>
      <c r="P3" s="73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3"/>
      <c r="AF3" s="72"/>
      <c r="AG3" s="11" t="s">
        <v>116</v>
      </c>
      <c r="AH3" s="11" t="s">
        <v>119</v>
      </c>
      <c r="AI3" s="11" t="s">
        <v>122</v>
      </c>
      <c r="AJ3" s="11" t="s">
        <v>125</v>
      </c>
      <c r="AK3" s="73"/>
      <c r="AL3" s="72"/>
      <c r="AM3" s="73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2"/>
      <c r="BF3" s="73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0.3018376395774704</v>
      </c>
      <c r="I5" s="17">
        <f>IF(OR(ISBLANK(Q5),ISBLANK(F5)),"·",Q5*F5/E5/1000000)</f>
        <v>215.64463359999999</v>
      </c>
      <c r="J5" s="18">
        <f>IF(ISBLANK(Q5),"·",Q5/C5)</f>
        <v>9.0551291873241109</v>
      </c>
      <c r="K5" s="18">
        <f>IF(N5="","·",N5/C5)</f>
        <v>1.4092676970275817</v>
      </c>
      <c r="L5" s="18">
        <f>IF(R5="","·",R5/C5)</f>
        <v>1.3172218931505875</v>
      </c>
      <c r="M5" s="18">
        <f>IF(ISBLANK(T5),"·",T5/C5)</f>
        <v>7.6457661875715761</v>
      </c>
      <c r="N5" s="15">
        <f>IF(OR(ISBLANK(R5),ISBLANK(S5)),"",R5+S5)</f>
        <v>335612016</v>
      </c>
      <c r="O5" s="18">
        <f>IF(ISBLANK(Q5),"·",Q5/P5)</f>
        <v>9.0551291873241109</v>
      </c>
      <c r="P5" s="19">
        <v>238146391</v>
      </c>
      <c r="Q5" s="20">
        <v>2156446336</v>
      </c>
      <c r="R5" s="20">
        <v>313691640</v>
      </c>
      <c r="S5" s="20">
        <v>21920376</v>
      </c>
      <c r="T5" s="20">
        <v>1820811624</v>
      </c>
      <c r="U5" s="21" t="s">
        <v>546</v>
      </c>
      <c r="V5" s="21" t="s">
        <v>546</v>
      </c>
      <c r="W5" s="21" t="s">
        <v>546</v>
      </c>
      <c r="X5" s="21" t="s">
        <v>546</v>
      </c>
      <c r="Y5" s="21" t="s">
        <v>546</v>
      </c>
      <c r="Z5" s="22">
        <v>27086.3</v>
      </c>
      <c r="AA5" s="22">
        <v>61412.800000000003</v>
      </c>
      <c r="AB5" s="22">
        <v>28.824999999999999</v>
      </c>
      <c r="AC5" s="22">
        <v>234.02099999999999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</row>
    <row r="6" spans="1:58" collapsed="1" x14ac:dyDescent="0.3">
      <c r="A6" s="25"/>
      <c r="B6" s="25" t="s">
        <v>273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0.42961022200671312</v>
      </c>
      <c r="I6" s="27">
        <f>IF(OR(ISBLANK(Q6),ISBLANK(F6)),"·",Q6*F6/E6/1000000)</f>
        <v>281.12134560000004</v>
      </c>
      <c r="J6" s="28">
        <f>IF(ISBLANK(Q6),"·",Q6/C6)</f>
        <v>12.888306660201394</v>
      </c>
      <c r="K6" s="28">
        <f>IF(N6="","·",N6/C6)</f>
        <v>1.7245971485894986</v>
      </c>
      <c r="L6" s="28">
        <f>IF(R6="","·",R6/C6)</f>
        <v>1.5713167817007021</v>
      </c>
      <c r="M6" s="28">
        <f>IF(ISBLANK(T6),"·",T6/C6)</f>
        <v>11.163605459389416</v>
      </c>
      <c r="N6" s="25">
        <f>IF(OR(ISBLANK(R6),ISBLANK(S6)),"",R6+S6)</f>
        <v>376171272</v>
      </c>
      <c r="O6" s="28">
        <f>IF(ISBLANK(Q6),"·",Q6/P6)</f>
        <v>12.888306660201394</v>
      </c>
      <c r="P6" s="29">
        <v>218121242</v>
      </c>
      <c r="Q6" s="30">
        <v>2811213456</v>
      </c>
      <c r="R6" s="30">
        <v>342737568</v>
      </c>
      <c r="S6" s="30">
        <v>33433704</v>
      </c>
      <c r="T6" s="30">
        <v>2435019488</v>
      </c>
      <c r="U6" s="31" t="s">
        <v>546</v>
      </c>
      <c r="V6" s="31" t="s">
        <v>546</v>
      </c>
      <c r="W6" s="31" t="s">
        <v>546</v>
      </c>
      <c r="X6" s="31" t="s">
        <v>546</v>
      </c>
      <c r="Y6" s="31" t="s">
        <v>546</v>
      </c>
      <c r="Z6" s="32">
        <v>25117.8</v>
      </c>
      <c r="AA6" s="32">
        <v>60163.6</v>
      </c>
      <c r="AB6" s="32">
        <v>27.629000000000001</v>
      </c>
      <c r="AC6" s="32">
        <v>231.93799999999999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</row>
    <row r="7" spans="1:58" collapsed="1" x14ac:dyDescent="0.3">
      <c r="A7" s="15"/>
      <c r="B7" s="15" t="s">
        <v>276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0.3328091058149002</v>
      </c>
      <c r="I7" s="17">
        <f>IF(OR(ISBLANK(Q7),ISBLANK(F7)),"·",Q7*F7/E7/1000000)</f>
        <v>322.08237280000003</v>
      </c>
      <c r="J7" s="18">
        <f>IF(ISBLANK(Q7),"·",Q7/C7)</f>
        <v>9.9842731744470061</v>
      </c>
      <c r="K7" s="18">
        <f>IF(N7="","·",N7/C7)</f>
        <v>1.5513997929704539</v>
      </c>
      <c r="L7" s="18">
        <f>IF(R7="","·",R7/C7)</f>
        <v>1.4377344665656162</v>
      </c>
      <c r="M7" s="18">
        <f>IF(ISBLANK(T7),"·",T7/C7)</f>
        <v>8.4328030258523068</v>
      </c>
      <c r="N7" s="15">
        <f>IF(OR(ISBLANK(R7),ISBLANK(S7)),"",R7+S7)</f>
        <v>500465600</v>
      </c>
      <c r="O7" s="18">
        <f>IF(ISBLANK(Q7),"·",Q7/P7)</f>
        <v>9.9842731744470061</v>
      </c>
      <c r="P7" s="19">
        <v>322589704</v>
      </c>
      <c r="Q7" s="20">
        <v>3220823728</v>
      </c>
      <c r="R7" s="20">
        <v>463798336</v>
      </c>
      <c r="S7" s="20">
        <v>36667264</v>
      </c>
      <c r="T7" s="20">
        <v>2720335432</v>
      </c>
      <c r="U7" s="21" t="s">
        <v>546</v>
      </c>
      <c r="V7" s="21" t="s">
        <v>546</v>
      </c>
      <c r="W7" s="21" t="s">
        <v>546</v>
      </c>
      <c r="X7" s="21" t="s">
        <v>546</v>
      </c>
      <c r="Y7" s="21" t="s">
        <v>546</v>
      </c>
      <c r="Z7" s="22">
        <v>36250.1</v>
      </c>
      <c r="AA7" s="22">
        <v>79248.100000000006</v>
      </c>
      <c r="AB7" s="22">
        <v>38.261000000000003</v>
      </c>
      <c r="AC7" s="22">
        <v>262.38900000000001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</row>
    <row r="8" spans="1:58" collapsed="1" x14ac:dyDescent="0.3">
      <c r="A8" s="45"/>
      <c r="B8" s="45" t="s">
        <v>279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0.28148641695704407</v>
      </c>
      <c r="I8" s="47">
        <f>IF(OR(ISBLANK(Q8),ISBLANK(F8)),"·",Q8*F8/E8/1000000)</f>
        <v>423.24785919999999</v>
      </c>
      <c r="J8" s="48">
        <f>IF(ISBLANK(Q8),"·",Q8/C8)</f>
        <v>8.4445925087113221</v>
      </c>
      <c r="K8" s="48">
        <f>IF(N8="","·",N8/C8)</f>
        <v>1.0431245663482789</v>
      </c>
      <c r="L8" s="48">
        <f>IF(R8="","·",R8/C8)</f>
        <v>0.90841659125153507</v>
      </c>
      <c r="M8" s="48">
        <f>IF(ISBLANK(T8),"·",T8/C8)</f>
        <v>7.4013928275073253</v>
      </c>
      <c r="N8" s="45">
        <f>IF(OR(ISBLANK(R8),ISBLANK(S8)),"",R8+S8)</f>
        <v>261410032</v>
      </c>
      <c r="O8" s="48">
        <f>IF(ISBLANK(Q8),"·",Q8/P8)</f>
        <v>8.4445925087113221</v>
      </c>
      <c r="P8" s="49">
        <v>250602891</v>
      </c>
      <c r="Q8" s="50">
        <v>2116239296</v>
      </c>
      <c r="R8" s="50">
        <v>227651824</v>
      </c>
      <c r="S8" s="50">
        <v>33758208</v>
      </c>
      <c r="T8" s="50">
        <v>1854810440</v>
      </c>
      <c r="U8" s="51" t="s">
        <v>546</v>
      </c>
      <c r="V8" s="51" t="s">
        <v>546</v>
      </c>
      <c r="W8" s="51" t="s">
        <v>546</v>
      </c>
      <c r="X8" s="51" t="s">
        <v>546</v>
      </c>
      <c r="Y8" s="51" t="s">
        <v>546</v>
      </c>
      <c r="Z8" s="52">
        <v>29623.3</v>
      </c>
      <c r="AA8" s="52">
        <v>50028.2</v>
      </c>
      <c r="AB8" s="52">
        <v>26.805</v>
      </c>
      <c r="AC8" s="52">
        <v>183.73599999999999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</row>
    <row r="9" spans="1:58" collapsed="1" x14ac:dyDescent="0.3">
      <c r="A9" s="35" t="s">
        <v>283</v>
      </c>
      <c r="B9" s="35" t="s">
        <v>282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0.49582783857462803</v>
      </c>
      <c r="I9" s="37">
        <f>IF(OR(ISBLANK(Q9),ISBLANK(F9)),"·",Q9*F9/E9/1000000)</f>
        <v>372.30906479999999</v>
      </c>
      <c r="J9" s="38">
        <f>IF(ISBLANK(Q9),"·",Q9/C9)</f>
        <v>14.874835157238842</v>
      </c>
      <c r="K9" s="38">
        <f>IF(N9="","·",N9/C9)</f>
        <v>1.5132851097831594</v>
      </c>
      <c r="L9" s="38">
        <f>IF(R9="","·",R9/C9)</f>
        <v>1.4122639858021377</v>
      </c>
      <c r="M9" s="38">
        <f>IF(ISBLANK(T9),"·",T9/C9)</f>
        <v>13.361459370303109</v>
      </c>
      <c r="N9" s="35">
        <f>IF(OR(ISBLANK(R9),ISBLANK(S9)),"",R9+S9)</f>
        <v>378767064</v>
      </c>
      <c r="O9" s="38">
        <f>IF(ISBLANK(Q9),"·",Q9/P9)</f>
        <v>14.874835157238842</v>
      </c>
      <c r="P9" s="39">
        <v>250294582</v>
      </c>
      <c r="Q9" s="40">
        <v>3723090648</v>
      </c>
      <c r="R9" s="40">
        <v>353482024</v>
      </c>
      <c r="S9" s="40">
        <v>25285040</v>
      </c>
      <c r="T9" s="40">
        <v>3344300888</v>
      </c>
      <c r="U9" s="41" t="s">
        <v>546</v>
      </c>
      <c r="V9" s="41" t="s">
        <v>546</v>
      </c>
      <c r="W9" s="41" t="s">
        <v>546</v>
      </c>
      <c r="X9" s="41" t="s">
        <v>546</v>
      </c>
      <c r="Y9" s="41" t="s">
        <v>546</v>
      </c>
      <c r="Z9" s="42">
        <v>28891.5</v>
      </c>
      <c r="AA9" s="42">
        <v>68073.8</v>
      </c>
      <c r="AB9" s="42">
        <v>30.648</v>
      </c>
      <c r="AC9" s="42">
        <v>262.38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</row>
    <row r="10" spans="1:58" x14ac:dyDescent="0.3">
      <c r="B10" s="55" t="s">
        <v>286</v>
      </c>
      <c r="J10" s="56">
        <f>AVERAGE(J5:J8)</f>
        <v>10.093075382670959</v>
      </c>
      <c r="K10" s="56">
        <f>AVERAGE(K5:K8)</f>
        <v>1.4320973012339533</v>
      </c>
      <c r="L10" s="56">
        <f>AVERAGE(L5:L8)</f>
        <v>1.30867243316711</v>
      </c>
      <c r="M10" s="56">
        <f>AVERAGE(M5:M8)</f>
        <v>8.6608918750801553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58" x14ac:dyDescent="0.3">
      <c r="B11" s="55" t="s">
        <v>287</v>
      </c>
      <c r="J11" s="56">
        <f>AVERAGE(J9:J9)</f>
        <v>14.874835157238842</v>
      </c>
      <c r="K11" s="56">
        <f>AVERAGE(K9:K9)</f>
        <v>1.5132851097831594</v>
      </c>
      <c r="L11" s="56">
        <f>AVERAGE(L9:L9)</f>
        <v>1.4122639858021377</v>
      </c>
      <c r="M11" s="56">
        <f>AVERAGE(M9:M9)</f>
        <v>13.361459370303109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58" collapsed="1" x14ac:dyDescent="0.3">
      <c r="B12" s="55" t="s">
        <v>288</v>
      </c>
      <c r="J12" s="56">
        <f>AVERAGE(J5:J9)</f>
        <v>11.049427337584536</v>
      </c>
      <c r="K12" s="56">
        <f>AVERAGE(K5:K9)</f>
        <v>1.4483348629437944</v>
      </c>
      <c r="L12" s="56">
        <f>AVERAGE(L5:L9)</f>
        <v>1.3293907436941157</v>
      </c>
      <c r="M12" s="56">
        <f>AVERAGE(M5:M9)</f>
        <v>9.6010053741247461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146969</v>
      </c>
      <c r="AA13" s="57">
        <f>SUM(AA5:AA8,AA9:AA9)</f>
        <v>318926.5</v>
      </c>
      <c r="AB13" s="57">
        <f>SUM(AB5:AB8,AB9:AB9)</f>
        <v>152.16800000000001</v>
      </c>
      <c r="AC13" s="57">
        <f>SUM(AC5:AC8,AC9:AC9)</f>
        <v>1174.4639999999999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58" hidden="1" outlineLevel="2" x14ac:dyDescent="0.3">
      <c r="B14" s="55" t="s">
        <v>291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58" hidden="1" outlineLevel="2" x14ac:dyDescent="0.3">
      <c r="B15" s="55" t="s">
        <v>292</v>
      </c>
      <c r="Z15" s="57">
        <f>GEOMEAN(Z5:Z8,Z9:Z9)</f>
        <v>29166.801344902527</v>
      </c>
      <c r="AA15" s="57">
        <f>GEOMEAN(AA5:AA8,AA9:AA9)</f>
        <v>63060.192019358932</v>
      </c>
      <c r="AB15" s="57">
        <f>GEOMEAN(AB5:AB8,AB9:AB9)</f>
        <v>30.178784920310918</v>
      </c>
      <c r="AC15" s="57">
        <f>GEOMEAN(AC5:AC8,AC9:AC9)</f>
        <v>232.99117396362251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58" outlineLevel="2" collapsed="1" x14ac:dyDescent="0.3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11" priority="3" operator="greaterThanOrEqual">
      <formula>1.03</formula>
    </cfRule>
    <cfRule type="cellIs" dxfId="10" priority="4" operator="lessThanOrEqual">
      <formula>0.97</formula>
    </cfRule>
  </conditionalFormatting>
  <conditionalFormatting sqref="BC10 BC11 BC12">
    <cfRule type="cellIs" dxfId="9" priority="5" operator="greaterThanOrEqual">
      <formula>1.03</formula>
    </cfRule>
    <cfRule type="cellIs" dxfId="8" priority="6" operator="lessThanOrEqual">
      <formula>0.97</formula>
    </cfRule>
  </conditionalFormatting>
  <conditionalFormatting sqref="BD10 BD11 BD12">
    <cfRule type="cellIs" dxfId="7" priority="1" operator="greaterThanOrEqual">
      <formula>1.03</formula>
    </cfRule>
    <cfRule type="cellIs" dxfId="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/>
  </sheetPr>
  <dimension ref="A1:BF16"/>
  <sheetViews>
    <sheetView workbookViewId="0">
      <pane xSplit="2" topLeftCell="AH1" activePane="topRight" state="frozen"/>
      <selection pane="topRight" activeCell="AZ9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71" t="s">
        <v>439</v>
      </c>
      <c r="B1" s="71"/>
      <c r="C1" s="71"/>
      <c r="D1" s="71"/>
      <c r="E1" s="71"/>
      <c r="F1" s="71"/>
      <c r="H1" s="67" t="str">
        <f>Summary!C1</f>
        <v>R5.0</v>
      </c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E1" s="68" t="str">
        <f>Summary!C2</f>
        <v>tested</v>
      </c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</row>
    <row r="2" spans="1:58" ht="30" customHeight="1" x14ac:dyDescent="0.3">
      <c r="A2" s="73" t="s">
        <v>91</v>
      </c>
      <c r="B2" s="72" t="s">
        <v>94</v>
      </c>
      <c r="C2" s="73" t="s">
        <v>100</v>
      </c>
      <c r="D2" s="72" t="s">
        <v>103</v>
      </c>
      <c r="E2" s="73" t="s">
        <v>106</v>
      </c>
      <c r="F2" s="72" t="s">
        <v>109</v>
      </c>
      <c r="H2" s="73" t="s">
        <v>308</v>
      </c>
      <c r="I2" s="72" t="s">
        <v>112</v>
      </c>
      <c r="J2" s="70" t="s">
        <v>115</v>
      </c>
      <c r="K2" s="70"/>
      <c r="L2" s="70"/>
      <c r="M2" s="70"/>
      <c r="N2" s="73" t="s">
        <v>128</v>
      </c>
      <c r="O2" s="72" t="s">
        <v>131</v>
      </c>
      <c r="P2" s="73" t="s">
        <v>22</v>
      </c>
      <c r="Q2" s="69" t="s">
        <v>140</v>
      </c>
      <c r="R2" s="69"/>
      <c r="S2" s="69"/>
      <c r="T2" s="69"/>
      <c r="U2" s="70" t="s">
        <v>151</v>
      </c>
      <c r="V2" s="70"/>
      <c r="W2" s="69" t="s">
        <v>158</v>
      </c>
      <c r="X2" s="69"/>
      <c r="Y2" s="69"/>
      <c r="Z2" s="70" t="s">
        <v>168</v>
      </c>
      <c r="AA2" s="70"/>
      <c r="AB2" s="69" t="s">
        <v>175</v>
      </c>
      <c r="AC2" s="69"/>
      <c r="AE2" s="73" t="s">
        <v>308</v>
      </c>
      <c r="AF2" s="72" t="s">
        <v>112</v>
      </c>
      <c r="AG2" s="70" t="s">
        <v>115</v>
      </c>
      <c r="AH2" s="70"/>
      <c r="AI2" s="70"/>
      <c r="AJ2" s="70"/>
      <c r="AK2" s="73" t="s">
        <v>190</v>
      </c>
      <c r="AL2" s="72" t="s">
        <v>131</v>
      </c>
      <c r="AM2" s="73" t="s">
        <v>22</v>
      </c>
      <c r="AN2" s="69" t="s">
        <v>140</v>
      </c>
      <c r="AO2" s="69"/>
      <c r="AP2" s="69"/>
      <c r="AQ2" s="69"/>
      <c r="AR2" s="70" t="s">
        <v>151</v>
      </c>
      <c r="AS2" s="70"/>
      <c r="AT2" s="69" t="s">
        <v>158</v>
      </c>
      <c r="AU2" s="69"/>
      <c r="AV2" s="69"/>
      <c r="AW2" s="70" t="s">
        <v>168</v>
      </c>
      <c r="AX2" s="70"/>
      <c r="AY2" s="69" t="s">
        <v>175</v>
      </c>
      <c r="AZ2" s="69"/>
      <c r="BB2" s="70" t="s">
        <v>355</v>
      </c>
      <c r="BC2" s="70"/>
      <c r="BD2" s="70"/>
      <c r="BE2" s="72" t="s">
        <v>230</v>
      </c>
      <c r="BF2" s="73" t="s">
        <v>230</v>
      </c>
    </row>
    <row r="3" spans="1:58" ht="28.8" x14ac:dyDescent="0.3">
      <c r="A3" s="73"/>
      <c r="B3" s="72"/>
      <c r="C3" s="73"/>
      <c r="D3" s="72"/>
      <c r="E3" s="73"/>
      <c r="F3" s="72"/>
      <c r="H3" s="73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3"/>
      <c r="O3" s="72"/>
      <c r="P3" s="73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3"/>
      <c r="AF3" s="72"/>
      <c r="AG3" s="11" t="s">
        <v>116</v>
      </c>
      <c r="AH3" s="11" t="s">
        <v>119</v>
      </c>
      <c r="AI3" s="11" t="s">
        <v>122</v>
      </c>
      <c r="AJ3" s="11" t="s">
        <v>125</v>
      </c>
      <c r="AK3" s="73"/>
      <c r="AL3" s="72"/>
      <c r="AM3" s="73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2"/>
      <c r="BF3" s="73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0.29949184771255538</v>
      </c>
      <c r="I5" s="17">
        <f>IF(OR(ISBLANK(Q5),ISBLANK(F5)),"·",Q5*F5/E5/1000000)</f>
        <v>213.96870799999999</v>
      </c>
      <c r="J5" s="18">
        <f>IF(ISBLANK(Q5),"·",Q5/C5)</f>
        <v>8.9847554313766604</v>
      </c>
      <c r="K5" s="18">
        <f>IF(N5="","·",N5/C5)</f>
        <v>1.4073378588382639</v>
      </c>
      <c r="L5" s="18">
        <f>IF(R5="","·",R5/C5)</f>
        <v>1.3125757761325889</v>
      </c>
      <c r="M5" s="18">
        <f>IF(ISBLANK(T5),"·",T5/C5)</f>
        <v>7.5773222698134441</v>
      </c>
      <c r="N5" s="15">
        <f>IF(OR(ISBLANK(R5),ISBLANK(S5)),"",R5+S5)</f>
        <v>335152432</v>
      </c>
      <c r="O5" s="18">
        <f>IF(ISBLANK(Q5),"·",Q5/P5)</f>
        <v>8.9847554313766604</v>
      </c>
      <c r="P5" s="19">
        <v>238146391</v>
      </c>
      <c r="Q5" s="20">
        <v>2139687080</v>
      </c>
      <c r="R5" s="20">
        <v>312585184</v>
      </c>
      <c r="S5" s="20">
        <v>22567248</v>
      </c>
      <c r="T5" s="20">
        <v>1804511952</v>
      </c>
      <c r="U5" s="21" t="s">
        <v>546</v>
      </c>
      <c r="V5" s="21" t="s">
        <v>546</v>
      </c>
      <c r="W5" s="21" t="s">
        <v>546</v>
      </c>
      <c r="X5" s="21" t="s">
        <v>546</v>
      </c>
      <c r="Y5" s="21" t="s">
        <v>546</v>
      </c>
      <c r="Z5" s="22">
        <v>27234.3</v>
      </c>
      <c r="AA5" s="22">
        <v>83441.899999999994</v>
      </c>
      <c r="AB5" s="22">
        <v>28.568999999999999</v>
      </c>
      <c r="AC5" s="22">
        <v>216.15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</row>
    <row r="6" spans="1:58" collapsed="1" x14ac:dyDescent="0.3">
      <c r="A6" s="25"/>
      <c r="B6" s="25" t="s">
        <v>273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0.42700599819006468</v>
      </c>
      <c r="I6" s="27">
        <f>IF(OR(ISBLANK(Q6),ISBLANK(F6)),"·",Q6*F6/E6/1000000)</f>
        <v>279.417236</v>
      </c>
      <c r="J6" s="28">
        <f>IF(ISBLANK(Q6),"·",Q6/C6)</f>
        <v>12.810179945701941</v>
      </c>
      <c r="K6" s="28">
        <f>IF(N6="","·",N6/C6)</f>
        <v>1.7316856833228558</v>
      </c>
      <c r="L6" s="28">
        <f>IF(R6="","·",R6/C6)</f>
        <v>1.5700844762290507</v>
      </c>
      <c r="M6" s="28">
        <f>IF(ISBLANK(T6),"·",T6/C6)</f>
        <v>11.078390210156606</v>
      </c>
      <c r="N6" s="25">
        <f>IF(OR(ISBLANK(R6),ISBLANK(S6)),"",R6+S6)</f>
        <v>377717432</v>
      </c>
      <c r="O6" s="28">
        <f>IF(ISBLANK(Q6),"·",Q6/P6)</f>
        <v>12.810179945701941</v>
      </c>
      <c r="P6" s="29">
        <v>218121242</v>
      </c>
      <c r="Q6" s="30">
        <v>2794172360</v>
      </c>
      <c r="R6" s="30">
        <v>342468776</v>
      </c>
      <c r="S6" s="30">
        <v>35248656</v>
      </c>
      <c r="T6" s="30">
        <v>2416432232</v>
      </c>
      <c r="U6" s="31" t="s">
        <v>546</v>
      </c>
      <c r="V6" s="31" t="s">
        <v>546</v>
      </c>
      <c r="W6" s="31" t="s">
        <v>546</v>
      </c>
      <c r="X6" s="31" t="s">
        <v>546</v>
      </c>
      <c r="Y6" s="31" t="s">
        <v>546</v>
      </c>
      <c r="Z6" s="32">
        <v>24725.9</v>
      </c>
      <c r="AA6" s="32">
        <v>98082.2</v>
      </c>
      <c r="AB6" s="32">
        <v>27.085000000000001</v>
      </c>
      <c r="AC6" s="32">
        <v>237.12100000000001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</row>
    <row r="7" spans="1:58" collapsed="1" x14ac:dyDescent="0.3">
      <c r="A7" s="15"/>
      <c r="B7" s="15" t="s">
        <v>276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0.3282031402548008</v>
      </c>
      <c r="I7" s="17">
        <f>IF(OR(ISBLANK(Q7),ISBLANK(F7)),"·",Q7*F7/E7/1000000)</f>
        <v>317.62486160000003</v>
      </c>
      <c r="J7" s="18">
        <f>IF(ISBLANK(Q7),"·",Q7/C7)</f>
        <v>9.8460942076440237</v>
      </c>
      <c r="K7" s="18">
        <f>IF(N7="","·",N7/C7)</f>
        <v>1.5360439154003502</v>
      </c>
      <c r="L7" s="18">
        <f>IF(R7="","·",R7/C7)</f>
        <v>1.4210076090959183</v>
      </c>
      <c r="M7" s="18">
        <f>IF(ISBLANK(T7),"·",T7/C7)</f>
        <v>8.3099799366194276</v>
      </c>
      <c r="N7" s="15">
        <f>IF(OR(ISBLANK(R7),ISBLANK(S7)),"",R7+S7)</f>
        <v>495511952</v>
      </c>
      <c r="O7" s="18">
        <f>IF(ISBLANK(Q7),"·",Q7/P7)</f>
        <v>9.8460942076440237</v>
      </c>
      <c r="P7" s="19">
        <v>322589704</v>
      </c>
      <c r="Q7" s="20">
        <v>3176248616</v>
      </c>
      <c r="R7" s="20">
        <v>458402424</v>
      </c>
      <c r="S7" s="20">
        <v>37109528</v>
      </c>
      <c r="T7" s="20">
        <v>2680713968</v>
      </c>
      <c r="U7" s="21" t="s">
        <v>546</v>
      </c>
      <c r="V7" s="21" t="s">
        <v>546</v>
      </c>
      <c r="W7" s="21" t="s">
        <v>546</v>
      </c>
      <c r="X7" s="21" t="s">
        <v>546</v>
      </c>
      <c r="Y7" s="21" t="s">
        <v>546</v>
      </c>
      <c r="Z7" s="22">
        <v>35314.1</v>
      </c>
      <c r="AA7" s="22">
        <v>102636</v>
      </c>
      <c r="AB7" s="22">
        <v>39.530999999999999</v>
      </c>
      <c r="AC7" s="22">
        <v>266.166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</row>
    <row r="8" spans="1:58" collapsed="1" x14ac:dyDescent="0.3">
      <c r="A8" s="45"/>
      <c r="B8" s="45" t="s">
        <v>279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0.2716834600816051</v>
      </c>
      <c r="I8" s="47">
        <f>IF(OR(ISBLANK(Q8),ISBLANK(F8)),"·",Q8*F8/E8/1000000)</f>
        <v>408.50796320000001</v>
      </c>
      <c r="J8" s="48">
        <f>IF(ISBLANK(Q8),"·",Q8/C8)</f>
        <v>8.1505038024481529</v>
      </c>
      <c r="K8" s="48">
        <f>IF(N8="","·",N8/C8)</f>
        <v>0.98303555484521521</v>
      </c>
      <c r="L8" s="48">
        <f>IF(R8="","·",R8/C8)</f>
        <v>0.87260880003176022</v>
      </c>
      <c r="M8" s="48">
        <f>IF(ISBLANK(T8),"·",T8/C8)</f>
        <v>7.16739313274722</v>
      </c>
      <c r="N8" s="45">
        <f>IF(OR(ISBLANK(R8),ISBLANK(S8)),"",R8+S8)</f>
        <v>246351552</v>
      </c>
      <c r="O8" s="48">
        <f>IF(ISBLANK(Q8),"·",Q8/P8)</f>
        <v>8.1505038024481529</v>
      </c>
      <c r="P8" s="49">
        <v>250602891</v>
      </c>
      <c r="Q8" s="50">
        <v>2042539816</v>
      </c>
      <c r="R8" s="50">
        <v>218678288</v>
      </c>
      <c r="S8" s="50">
        <v>27673264</v>
      </c>
      <c r="T8" s="50">
        <v>1796169440</v>
      </c>
      <c r="U8" s="51" t="s">
        <v>546</v>
      </c>
      <c r="V8" s="51" t="s">
        <v>546</v>
      </c>
      <c r="W8" s="51" t="s">
        <v>546</v>
      </c>
      <c r="X8" s="51" t="s">
        <v>546</v>
      </c>
      <c r="Y8" s="51" t="s">
        <v>546</v>
      </c>
      <c r="Z8" s="52">
        <v>29533.4</v>
      </c>
      <c r="AA8" s="52">
        <v>60922.400000000001</v>
      </c>
      <c r="AB8" s="52">
        <v>27.33</v>
      </c>
      <c r="AC8" s="52">
        <v>189.28200000000001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</row>
    <row r="9" spans="1:58" collapsed="1" x14ac:dyDescent="0.3">
      <c r="A9" s="35" t="s">
        <v>283</v>
      </c>
      <c r="B9" s="35" t="s">
        <v>282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0.49234929743704958</v>
      </c>
      <c r="I9" s="37">
        <f>IF(OR(ISBLANK(Q9),ISBLANK(F9)),"·",Q9*F9/E9/1000000)</f>
        <v>369.69708480000003</v>
      </c>
      <c r="J9" s="38">
        <f>IF(ISBLANK(Q9),"·",Q9/C9)</f>
        <v>14.770478923111488</v>
      </c>
      <c r="K9" s="38">
        <f>IF(N9="","·",N9/C9)</f>
        <v>1.5175815511659776</v>
      </c>
      <c r="L9" s="38">
        <f>IF(R9="","·",R9/C9)</f>
        <v>1.4104620450793457</v>
      </c>
      <c r="M9" s="38">
        <f>IF(ISBLANK(T9),"·",T9/C9)</f>
        <v>13.252806694792937</v>
      </c>
      <c r="N9" s="35">
        <f>IF(OR(ISBLANK(R9),ISBLANK(S9)),"",R9+S9)</f>
        <v>379842440</v>
      </c>
      <c r="O9" s="38">
        <f>IF(ISBLANK(Q9),"·",Q9/P9)</f>
        <v>14.770478923111488</v>
      </c>
      <c r="P9" s="39">
        <v>250294582</v>
      </c>
      <c r="Q9" s="40">
        <v>3696970848</v>
      </c>
      <c r="R9" s="40">
        <v>353031008</v>
      </c>
      <c r="S9" s="40">
        <v>26811432</v>
      </c>
      <c r="T9" s="40">
        <v>3317105712</v>
      </c>
      <c r="U9" s="41" t="s">
        <v>546</v>
      </c>
      <c r="V9" s="41" t="s">
        <v>546</v>
      </c>
      <c r="W9" s="41" t="s">
        <v>546</v>
      </c>
      <c r="X9" s="41" t="s">
        <v>546</v>
      </c>
      <c r="Y9" s="41" t="s">
        <v>546</v>
      </c>
      <c r="Z9" s="42">
        <v>28084.3</v>
      </c>
      <c r="AA9" s="42">
        <v>104313</v>
      </c>
      <c r="AB9" s="42">
        <v>30.34</v>
      </c>
      <c r="AC9" s="42">
        <v>275.70600000000002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</row>
    <row r="10" spans="1:58" x14ac:dyDescent="0.3">
      <c r="B10" s="55" t="s">
        <v>286</v>
      </c>
      <c r="J10" s="56">
        <f>AVERAGE(J5:J8)</f>
        <v>9.9478833467926933</v>
      </c>
      <c r="K10" s="56">
        <f>AVERAGE(K5:K8)</f>
        <v>1.4145257531016713</v>
      </c>
      <c r="L10" s="56">
        <f>AVERAGE(L5:L8)</f>
        <v>1.2940691653723295</v>
      </c>
      <c r="M10" s="56">
        <f>AVERAGE(M5:M8)</f>
        <v>8.5332713873341746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58" x14ac:dyDescent="0.3">
      <c r="B11" s="55" t="s">
        <v>287</v>
      </c>
      <c r="J11" s="56">
        <f>AVERAGE(J9:J9)</f>
        <v>14.770478923111488</v>
      </c>
      <c r="K11" s="56">
        <f>AVERAGE(K9:K9)</f>
        <v>1.5175815511659776</v>
      </c>
      <c r="L11" s="56">
        <f>AVERAGE(L9:L9)</f>
        <v>1.4104620450793457</v>
      </c>
      <c r="M11" s="56">
        <f>AVERAGE(M9:M9)</f>
        <v>13.252806694792937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58" x14ac:dyDescent="0.3">
      <c r="B12" s="55" t="s">
        <v>288</v>
      </c>
      <c r="J12" s="56">
        <f>AVERAGE(J5:J9)</f>
        <v>10.912402462056452</v>
      </c>
      <c r="K12" s="56">
        <f>AVERAGE(K5:K9)</f>
        <v>1.4351369127145326</v>
      </c>
      <c r="L12" s="56">
        <f>AVERAGE(L5:L9)</f>
        <v>1.3173477413137327</v>
      </c>
      <c r="M12" s="56">
        <f>AVERAGE(M5:M9)</f>
        <v>9.4771784488259279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144891.99999999997</v>
      </c>
      <c r="AA13" s="57">
        <f>SUM(AA5:AA8,AA9:AA9)</f>
        <v>449395.5</v>
      </c>
      <c r="AB13" s="57">
        <f>SUM(AB5:AB8,AB9:AB9)</f>
        <v>152.85499999999999</v>
      </c>
      <c r="AC13" s="57">
        <f>SUM(AC5:AC8,AC9:AC9)</f>
        <v>1184.4250000000002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58" hidden="1" outlineLevel="2" x14ac:dyDescent="0.3">
      <c r="B14" s="55" t="s">
        <v>291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58" hidden="1" outlineLevel="2" x14ac:dyDescent="0.3">
      <c r="B15" s="55" t="s">
        <v>292</v>
      </c>
      <c r="Z15" s="57">
        <f>GEOMEAN(Z5:Z8,Z9:Z9)</f>
        <v>28773.898270789607</v>
      </c>
      <c r="AA15" s="57">
        <f>GEOMEAN(AA5:AA8,AA9:AA9)</f>
        <v>88201.893411393015</v>
      </c>
      <c r="AB15" s="57">
        <f>GEOMEAN(AB5:AB8,AB9:AB9)</f>
        <v>30.258220094274549</v>
      </c>
      <c r="AC15" s="57">
        <f>GEOMEAN(AC5:AC8,AC9:AC9)</f>
        <v>234.68572492861983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58" outlineLevel="2" collapsed="1" x14ac:dyDescent="0.3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5" priority="3" operator="greaterThanOrEqual">
      <formula>1.03</formula>
    </cfRule>
    <cfRule type="cellIs" dxfId="4" priority="4" operator="lessThanOrEqual">
      <formula>0.97</formula>
    </cfRule>
  </conditionalFormatting>
  <conditionalFormatting sqref="BC10 BC11 BC12">
    <cfRule type="cellIs" dxfId="3" priority="5" operator="greaterThanOrEqual">
      <formula>1.03</formula>
    </cfRule>
    <cfRule type="cellIs" dxfId="2" priority="6" operator="lessThanOrEqual">
      <formula>0.97</formula>
    </cfRule>
  </conditionalFormatting>
  <conditionalFormatting sqref="BD10 BD11 BD1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C2 lossyG,lossyA,interRA</vt:lpstr>
      <vt:lpstr>names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Hossein Najaf-Zadeh</cp:lastModifiedBy>
  <dcterms:created xsi:type="dcterms:W3CDTF">2018-08-31T19:13:00Z</dcterms:created>
  <dcterms:modified xsi:type="dcterms:W3CDTF">2019-05-15T02:18:15Z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