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drawing+xml" PartName="/xl/drawings/drawing1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1"/>
  <bookViews>
    <workbookView activeTab="7" autoFilterDateGrouping="1" firstSheet="2" minimized="0" showHorizontalScroll="1" showSheetTabs="1" showVerticalScroll="1" tabRatio="600" visibility="visible" windowHeight="12768" windowWidth="23256" xWindow="-108" yWindow="-108"/>
  </bookViews>
  <sheets>
    <sheet name="Summary" sheetId="1" state="visible" r:id="rId1"/>
    <sheet name="Graphs" sheetId="2" state="visible" r:id="rId2"/>
    <sheet name="C2 lossyG,lossyA,intra" sheetId="3" state="visible" r:id="rId3"/>
    <sheet name="names" sheetId="4" state="hidden" r:id="rId4"/>
    <sheet name="CW losslG,losslA,intra" sheetId="5" state="visible" r:id="rId5"/>
    <sheet name="CW losslG,losslA,interLD" sheetId="6" state="visible" r:id="rId6"/>
    <sheet name="C2 lossyG,lossyA,interRA" sheetId="7" state="visible" r:id="rId7"/>
    <sheet name="Results" sheetId="8" state="visible" r:id="rId8"/>
  </sheets>
  <definedNames>
    <definedName localSheetId="1" name="all_cols">Graphs!$I$2:$I$39</definedName>
    <definedName localSheetId="1" name="filter_cols">IF(ISREF(Graphs!filter_cols_),Graphs!filter_cols_,Graphs!all_cols)</definedName>
    <definedName localSheetId="1" name="filter_cols_">INDIRECT(HLOOKUP(Graphs!$B$1,Graphs!$M$1:$ZZ$2,2,0))</definedName>
    <definedName localSheetId="1" name="graph_a_A_title">INDIRECT(VLOOKUP("name.A."&amp;Graphs!$B$1,names!$A:$B,2,0))</definedName>
    <definedName localSheetId="1" name="graph_a_B_title">INDIRECT(VLOOKUP("name.B."&amp;Graphs!$B$1,names!$A:$B,2,0))</definedName>
    <definedName localSheetId="1" name="graph_a_title">CONCATENATE(Graphs!graph_a_y_title, " (Graph a)")</definedName>
    <definedName localSheetId="1" name="graph_a_x_range_A">IF(ISREF(Graphs!graph_a_x_range_A_),Graphs!graph_a_x_range_A_,{0})</definedName>
    <definedName localSheetId="1" name="graph_a_x_range_A_">INDEX(INDIRECT(VLOOKUP("range." &amp; Graphs!$B$1 &amp;"."&amp; Graphs!$B$2, names!$A:$B,2,0)), 0, VLOOKUP("col."&amp; Graphs!$B$1 &amp;".A."&amp; Graphs!$B$4, names!$A:$B,2,0))</definedName>
    <definedName localSheetId="1" name="graph_a_x_range_B">IF(ISREF(Graphs!graph_a_x_range_B_),Graphs!graph_a_x_range_B_,{0})</definedName>
    <definedName localSheetId="1" name="graph_a_x_range_B_">INDEX(INDIRECT(VLOOKUP("range." &amp; Graphs!$B$1 &amp;"."&amp; Graphs!$B$2, names!$A:$B,2,0)), 0, VLOOKUP("col."&amp; Graphs!$B$1 &amp;".B."&amp; Graphs!$B$4, names!$A:$B,2,0))</definedName>
    <definedName localSheetId="1" name="graph_a_x_title">OFFSET(Graphs!all_cols, MATCH(Graphs!$B$4, Graphs!all_cols, 0)-1,1,1,1)</definedName>
    <definedName localSheetId="1" name="graph_a_y_range_A">IF(ISREF(Graphs!graph_a_y_range_A_),Graphs!graph_a_y_range_A_,{0})</definedName>
    <definedName localSheetId="1" name="graph_a_y_range_A_">INDEX(INDIRECT(VLOOKUP("range." &amp; Graphs!$B$1 &amp;"."&amp; Graphs!$B$2, names!$A:$B,2,0)), 0, VLOOKUP("col."&amp; Graphs!$B$1 &amp;".A."&amp; Graphs!$D$4, names!$A:$B,2,0))</definedName>
    <definedName localSheetId="1" name="graph_a_y_range_B">IF(ISREF(Graphs!graph_a_y_range_B_),Graphs!graph_a_y_range_B_,{0})</definedName>
    <definedName localSheetId="1" name="graph_a_y_range_B_">INDEX(INDIRECT(VLOOKUP("range." &amp; Graphs!$B$1 &amp;"."&amp; Graphs!$B$2, names!$A:$B,2,0)), 0, VLOOKUP("col."&amp; Graphs!$B$1 &amp;".B."&amp; Graphs!$D$4, names!$A:$B,2,0))</definedName>
    <definedName localSheetId="1" name="graph_a_y_title">OFFSET(Graphs!all_cols, MATCH(Graphs!$D$4, Graphs!all_cols, 0)-1,1,1,1)</definedName>
    <definedName localSheetId="1" name="graph_b_A_title">INDIRECT(VLOOKUP("name.A."&amp;Graphs!$B$1,names!$A:$B,2,0))</definedName>
    <definedName localSheetId="1" name="graph_b_B_title">INDIRECT(VLOOKUP("name.B."&amp;Graphs!$B$1,names!$A:$B,2,0))</definedName>
    <definedName localSheetId="1" name="graph_b_title">CONCATENATE(Graphs!graph_b_y_title, " (Graph b)")</definedName>
    <definedName localSheetId="1" name="graph_b_x_range_A">IF(ISREF(Graphs!graph_b_x_range_A_),Graphs!graph_b_x_range_A_,{0})</definedName>
    <definedName localSheetId="1" name="graph_b_x_range_A_">INDEX(INDIRECT(VLOOKUP("range." &amp; Graphs!$B$1 &amp;"."&amp; Graphs!$B$2, names!$A:$B,2,0)), 0, VLOOKUP("col."&amp; Graphs!$B$1 &amp;".A."&amp; Graphs!$B$5, names!$A:$B,2,0))</definedName>
    <definedName localSheetId="1" name="graph_b_x_range_B">IF(ISREF(Graphs!graph_b_x_range_B_),Graphs!graph_b_x_range_B_,{0})</definedName>
    <definedName localSheetId="1" name="graph_b_x_range_B_">INDEX(INDIRECT(VLOOKUP("range." &amp; Graphs!$B$1 &amp;"."&amp; Graphs!$B$2, names!$A:$B,2,0)), 0, VLOOKUP("col."&amp; Graphs!$B$1 &amp;".B."&amp; Graphs!$B$5, names!$A:$B,2,0))</definedName>
    <definedName localSheetId="1" name="graph_b_x_title">OFFSET(Graphs!all_cols, MATCH(Graphs!$B$5, Graphs!all_cols, 0)-1,1,1,1)</definedName>
    <definedName localSheetId="1" name="graph_b_y_range_A">IF(ISREF(Graphs!graph_b_y_range_A_),Graphs!graph_b_y_range_A_,{0})</definedName>
    <definedName localSheetId="1" name="graph_b_y_range_A_">INDEX(INDIRECT(VLOOKUP("range." &amp; Graphs!$B$1 &amp;"."&amp; Graphs!$B$2, names!$A:$B,2,0)), 0, VLOOKUP("col."&amp; Graphs!$B$1 &amp;".A."&amp; Graphs!$D$5, names!$A:$B,2,0))</definedName>
    <definedName localSheetId="1" name="graph_b_y_range_B">IF(ISREF(Graphs!graph_b_y_range_B_),Graphs!graph_b_y_range_B_,{0})</definedName>
    <definedName localSheetId="1" name="graph_b_y_range_B_">INDEX(INDIRECT(VLOOKUP("range." &amp; Graphs!$B$1 &amp;"."&amp; Graphs!$B$2, names!$A:$B,2,0)), 0, VLOOKUP("col."&amp; Graphs!$B$1 &amp;".B."&amp; Graphs!$D$5, names!$A:$B,2,0))</definedName>
    <definedName localSheetId="1" name="graph_b_y_title">OFFSET(Graphs!all_cols, MATCH(Graphs!$D$5, Graphs!all_cols, 0)-1,1,1,1)</definedName>
    <definedName localSheetId="1" name="graph_c_A_title">INDIRECT(VLOOKUP("name.A."&amp;Graphs!$B$1,names!$A:$B,2,0))</definedName>
    <definedName localSheetId="1" name="graph_c_B_title">INDIRECT(VLOOKUP("name.B."&amp;Graphs!$B$1,names!$A:$B,2,0))</definedName>
    <definedName localSheetId="1" name="graph_c_title">CONCATENATE(Graphs!graph_c_y_title, " (Graph c)")</definedName>
    <definedName localSheetId="1" name="graph_c_x_range_A">IF(ISREF(Graphs!graph_c_x_range_A_),Graphs!graph_c_x_range_A_,{0})</definedName>
    <definedName localSheetId="1" name="graph_c_x_range_A_">INDEX(INDIRECT(VLOOKUP("range." &amp; Graphs!$B$1 &amp;"."&amp; Graphs!$B$2, names!$A:$B,2,0)), 0, VLOOKUP("col."&amp; Graphs!$B$1 &amp;".A."&amp; Graphs!$B$6, names!$A:$B,2,0))</definedName>
    <definedName localSheetId="1" name="graph_c_x_range_B">IF(ISREF(Graphs!graph_c_x_range_B_),Graphs!graph_c_x_range_B_,{0})</definedName>
    <definedName localSheetId="1" name="graph_c_x_range_B_">INDEX(INDIRECT(VLOOKUP("range." &amp; Graphs!$B$1 &amp;"."&amp; Graphs!$B$2, names!$A:$B,2,0)), 0, VLOOKUP("col."&amp; Graphs!$B$1 &amp;".B."&amp; Graphs!$B$6, names!$A:$B,2,0))</definedName>
    <definedName localSheetId="1" name="graph_c_x_title">OFFSET(Graphs!all_cols, MATCH(Graphs!$B$6, Graphs!all_cols, 0)-1,1,1,1)</definedName>
    <definedName localSheetId="1" name="graph_c_y_range_A">IF(ISREF(Graphs!graph_c_y_range_A_),Graphs!graph_c_y_range_A_,{0})</definedName>
    <definedName localSheetId="1" name="graph_c_y_range_A_">INDEX(INDIRECT(VLOOKUP("range." &amp; Graphs!$B$1 &amp;"."&amp; Graphs!$B$2, names!$A:$B,2,0)), 0, VLOOKUP("col."&amp; Graphs!$B$1 &amp;".A."&amp; Graphs!$D$6, names!$A:$B,2,0))</definedName>
    <definedName localSheetId="1" name="graph_c_y_range_B">IF(ISREF(Graphs!graph_c_y_range_B_),Graphs!graph_c_y_range_B_,{0})</definedName>
    <definedName localSheetId="1" name="graph_c_y_range_B_">INDEX(INDIRECT(VLOOKUP("range." &amp; Graphs!$B$1 &amp;"."&amp; Graphs!$B$2, names!$A:$B,2,0)), 0, VLOOKUP("col."&amp; Graphs!$B$1 &amp;".B."&amp; Graphs!$D$6, names!$A:$B,2,0))</definedName>
    <definedName localSheetId="1" name="graph_c_y_title">OFFSET(Graphs!all_cols, MATCH(Graphs!$D$6, Graphs!all_cols, 0)-1,1,1,1)</definedName>
    <definedName localSheetId="1" name="graph_d_A_title">INDIRECT(VLOOKUP("name.A."&amp;Graphs!$B$1,names!$A:$B,2,0))</definedName>
    <definedName localSheetId="1" name="graph_d_B_title">INDIRECT(VLOOKUP("name.B."&amp;Graphs!$B$1,names!$A:$B,2,0))</definedName>
    <definedName localSheetId="1" name="graph_d_title">CONCATENATE(Graphs!graph_d_y_title, " (Graph d)")</definedName>
    <definedName localSheetId="1" name="graph_d_x_range_A">IF(ISREF(Graphs!graph_d_x_range_A_),Graphs!graph_d_x_range_A_,{0})</definedName>
    <definedName localSheetId="1" name="graph_d_x_range_A_">INDEX(INDIRECT(VLOOKUP("range." &amp; Graphs!$B$1 &amp;"."&amp; Graphs!$B$2, names!$A:$B,2,0)), 0, VLOOKUP("col."&amp; Graphs!$B$1 &amp;".A."&amp; Graphs!$B$7, names!$A:$B,2,0))</definedName>
    <definedName localSheetId="1" name="graph_d_x_range_B">IF(ISREF(Graphs!graph_d_x_range_B_),Graphs!graph_d_x_range_B_,{0})</definedName>
    <definedName localSheetId="1" name="graph_d_x_range_B_">INDEX(INDIRECT(VLOOKUP("range." &amp; Graphs!$B$1 &amp;"."&amp; Graphs!$B$2, names!$A:$B,2,0)), 0, VLOOKUP("col."&amp; Graphs!$B$1 &amp;".B."&amp; Graphs!$B$7, names!$A:$B,2,0))</definedName>
    <definedName localSheetId="1" name="graph_d_x_title">OFFSET(Graphs!all_cols, MATCH(Graphs!$B$7, Graphs!all_cols, 0)-1,1,1,1)</definedName>
    <definedName localSheetId="1" name="graph_d_y_range_A">IF(ISREF(Graphs!graph_d_y_range_A_),Graphs!graph_d_y_range_A_,{0})</definedName>
    <definedName localSheetId="1" name="graph_d_y_range_A_">INDEX(INDIRECT(VLOOKUP("range." &amp; Graphs!$B$1 &amp;"."&amp; Graphs!$B$2, names!$A:$B,2,0)), 0, VLOOKUP("col."&amp; Graphs!$B$1 &amp;".A."&amp; Graphs!$D$7, names!$A:$B,2,0))</definedName>
    <definedName localSheetId="1" name="graph_d_y_range_B">IF(ISREF(Graphs!graph_d_y_range_B_),Graphs!graph_d_y_range_B_,{0})</definedName>
    <definedName localSheetId="1" name="graph_d_y_range_B_">INDEX(INDIRECT(VLOOKUP("range." &amp; Graphs!$B$1 &amp;"."&amp; Graphs!$B$2, names!$A:$B,2,0)), 0, VLOOKUP("col."&amp; Graphs!$B$1 &amp;".B."&amp; Graphs!$D$7, names!$A:$B,2,0))</definedName>
    <definedName localSheetId="1" name="graph_d_y_title">OFFSET(Graphs!all_cols, MATCH(Graphs!$D$7, Graphs!all_cols, 0)-1,1,1,1)</definedName>
    <definedName localSheetId="1" name="graph_e_A_title">INDIRECT(VLOOKUP("name.A."&amp;Graphs!$B$1,names!$A:$B,2,0))</definedName>
    <definedName localSheetId="1" name="graph_e_B_title">INDIRECT(VLOOKUP("name.B."&amp;Graphs!$B$1,names!$A:$B,2,0))</definedName>
    <definedName localSheetId="1" name="graph_e_title">CONCATENATE(Graphs!graph_e_y_title, " (Graph e)")</definedName>
    <definedName localSheetId="1" name="graph_e_x_range_A">IF(ISREF(Graphs!graph_e_x_range_A_),Graphs!graph_e_x_range_A_,{0})</definedName>
    <definedName localSheetId="1" name="graph_e_x_range_A_">INDEX(INDIRECT(VLOOKUP("range." &amp; Graphs!$B$1 &amp;"."&amp; Graphs!$B$2, names!$A:$B,2,0)), 0, VLOOKUP("col."&amp; Graphs!$B$1 &amp;".A."&amp; Graphs!$B$8, names!$A:$B,2,0))</definedName>
    <definedName localSheetId="1" name="graph_e_x_range_B">IF(ISREF(Graphs!graph_e_x_range_B_),Graphs!graph_e_x_range_B_,{0})</definedName>
    <definedName localSheetId="1" name="graph_e_x_range_B_">INDEX(INDIRECT(VLOOKUP("range." &amp; Graphs!$B$1 &amp;"."&amp; Graphs!$B$2, names!$A:$B,2,0)), 0, VLOOKUP("col."&amp; Graphs!$B$1 &amp;".B."&amp; Graphs!$B$8, names!$A:$B,2,0))</definedName>
    <definedName localSheetId="1" name="graph_e_x_title">OFFSET(Graphs!all_cols, MATCH(Graphs!$B$8, Graphs!all_cols, 0)-1,1,1,1)</definedName>
    <definedName localSheetId="1" name="graph_e_y_range_A">IF(ISREF(Graphs!graph_e_y_range_A_),Graphs!graph_e_y_range_A_,{0})</definedName>
    <definedName localSheetId="1" name="graph_e_y_range_A_">INDEX(INDIRECT(VLOOKUP("range." &amp; Graphs!$B$1 &amp;"."&amp; Graphs!$B$2, names!$A:$B,2,0)), 0, VLOOKUP("col."&amp; Graphs!$B$1 &amp;".A."&amp; Graphs!$D$8, names!$A:$B,2,0))</definedName>
    <definedName localSheetId="1" name="graph_e_y_range_B">IF(ISREF(Graphs!graph_e_y_range_B_),Graphs!graph_e_y_range_B_,{0})</definedName>
    <definedName localSheetId="1" name="graph_e_y_range_B_">INDEX(INDIRECT(VLOOKUP("range." &amp; Graphs!$B$1 &amp;"."&amp; Graphs!$B$2, names!$A:$B,2,0)), 0, VLOOKUP("col."&amp; Graphs!$B$1 &amp;".B."&amp; Graphs!$D$8, names!$A:$B,2,0))</definedName>
    <definedName localSheetId="1" name="graph_e_y_title">OFFSET(Graphs!all_cols, MATCH(Graphs!$D$8, Graphs!all_cols, 0)-1,1,1,1)</definedName>
    <definedName localSheetId="1" name="graph_f_A_title">INDIRECT(VLOOKUP("name.A."&amp;Graphs!$B$1,names!$A:$B,2,0))</definedName>
    <definedName localSheetId="1" name="graph_f_B_title">INDIRECT(VLOOKUP("name.B."&amp;Graphs!$B$1,names!$A:$B,2,0))</definedName>
    <definedName localSheetId="1" name="graph_f_title">CONCATENATE(Graphs!graph_f_y_title, " (Graph f)")</definedName>
    <definedName localSheetId="1" name="graph_f_x_range_A">IF(ISREF(Graphs!graph_f_x_range_A_),Graphs!graph_f_x_range_A_,{0})</definedName>
    <definedName localSheetId="1" name="graph_f_x_range_A_">INDEX(INDIRECT(VLOOKUP("range." &amp; Graphs!$B$1 &amp;"."&amp; Graphs!$B$2, names!$A:$B,2,0)), 0, VLOOKUP("col."&amp; Graphs!$B$1 &amp;".A."&amp; Graphs!$B$9, names!$A:$B,2,0))</definedName>
    <definedName localSheetId="1" name="graph_f_x_range_B">IF(ISREF(Graphs!graph_f_x_range_B_),Graphs!graph_f_x_range_B_,{0})</definedName>
    <definedName localSheetId="1" name="graph_f_x_range_B_">INDEX(INDIRECT(VLOOKUP("range." &amp; Graphs!$B$1 &amp;"."&amp; Graphs!$B$2, names!$A:$B,2,0)), 0, VLOOKUP("col."&amp; Graphs!$B$1 &amp;".B."&amp; Graphs!$B$9, names!$A:$B,2,0))</definedName>
    <definedName localSheetId="1" name="graph_f_x_title">OFFSET(Graphs!all_cols, MATCH(Graphs!$B$9, Graphs!all_cols, 0)-1,1,1,1)</definedName>
    <definedName localSheetId="1" name="graph_f_y_range_A">IF(ISREF(Graphs!graph_f_y_range_A_),Graphs!graph_f_y_range_A_,{0})</definedName>
    <definedName localSheetId="1" name="graph_f_y_range_A_">INDEX(INDIRECT(VLOOKUP("range." &amp; Graphs!$B$1 &amp;"."&amp; Graphs!$B$2, names!$A:$B,2,0)), 0, VLOOKUP("col."&amp; Graphs!$B$1 &amp;".A."&amp; Graphs!$D$9, names!$A:$B,2,0))</definedName>
    <definedName localSheetId="1" name="graph_f_y_range_B">IF(ISREF(Graphs!graph_f_y_range_B_),Graphs!graph_f_y_range_B_,{0})</definedName>
    <definedName localSheetId="1" name="graph_f_y_range_B_">INDEX(INDIRECT(VLOOKUP("range." &amp; Graphs!$B$1 &amp;"."&amp; Graphs!$B$2, names!$A:$B,2,0)), 0, VLOOKUP("col."&amp; Graphs!$B$1 &amp;".B."&amp; Graphs!$D$9, names!$A:$B,2,0))</definedName>
    <definedName localSheetId="1" name="graph_f_y_title">OFFSET(Graphs!all_cols, MATCH(Graphs!$D$9, Graphs!all_cols, 0)-1,1,1,1)</definedName>
  </definedNames>
  <calcPr calcId="191029" fullCalcOnLoad="1"/>
</workbook>
</file>

<file path=xl/styles.xml><?xml version="1.0" encoding="utf-8"?>
<styleSheet xmlns="http://schemas.openxmlformats.org/spreadsheetml/2006/main">
  <numFmts count="3">
    <numFmt formatCode="0.0%" numFmtId="164"/>
    <numFmt formatCode="0.000" numFmtId="165"/>
    <numFmt formatCode="[&gt;1000]0;[&gt;100]0.0;0.00" numFmtId="166"/>
  </numFmts>
  <fonts count="2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</fonts>
  <fills count="15">
    <fill>
      <patternFill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</borders>
  <cellStyleXfs count="1">
    <xf borderId="0" fillId="0" fontId="0" numFmtId="0"/>
  </cellStyleXfs>
  <cellXfs count="184">
    <xf borderId="0" fillId="0" fontId="0" numFmtId="0" pivotButton="0" quotePrefix="0" xfId="0"/>
    <xf borderId="0" fillId="4" fontId="1" numFmtId="0" pivotButton="0" quotePrefix="0" xfId="0"/>
    <xf applyAlignment="1" borderId="3" fillId="4" fontId="1" numFmtId="0" pivotButton="0" quotePrefix="0" xfId="0">
      <alignment horizontal="center" vertical="center" wrapText="1"/>
    </xf>
    <xf applyAlignment="1" borderId="3" fillId="5" fontId="1" numFmtId="0" pivotButton="0" quotePrefix="0" xfId="0">
      <alignment horizontal="center" vertical="center" wrapText="1"/>
    </xf>
    <xf borderId="0" fillId="0" fontId="0" numFmtId="0" pivotButton="0" quotePrefix="0" xfId="0"/>
    <xf applyAlignment="1" borderId="0" fillId="0" fontId="0" numFmtId="164" pivotButton="0" quotePrefix="0" xfId="0">
      <alignment horizontal="center"/>
    </xf>
    <xf borderId="4" fillId="0" fontId="1" numFmtId="0" pivotButton="0" quotePrefix="0" xfId="0"/>
    <xf applyAlignment="1" borderId="4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borderId="3" fillId="0" fontId="0" numFmtId="0" pivotButton="0" quotePrefix="0" xfId="0"/>
    <xf borderId="0" fillId="6" fontId="0" numFmtId="0" pivotButton="0" quotePrefix="0" xfId="0"/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textRotation="90" wrapText="1"/>
    </xf>
    <xf applyAlignment="1" borderId="3" fillId="4" fontId="1" numFmtId="0" pivotButton="0" quotePrefix="0" xfId="0">
      <alignment horizontal="center" textRotation="90" wrapText="1"/>
    </xf>
    <xf borderId="0" fillId="8" fontId="0" numFmtId="0" pivotButton="0" quotePrefix="0" xfId="0"/>
    <xf applyAlignment="1" borderId="0" fillId="8" fontId="0" numFmtId="0" pivotButton="0" quotePrefix="0" xfId="0">
      <alignment horizontal="center"/>
    </xf>
    <xf applyAlignment="1" borderId="0" fillId="8" fontId="0" numFmtId="165" pivotButton="0" quotePrefix="0" xfId="0">
      <alignment horizontal="center"/>
    </xf>
    <xf applyAlignment="1" borderId="0" fillId="8" fontId="0" numFmtId="2" pivotButton="0" quotePrefix="0" xfId="0">
      <alignment horizontal="center"/>
    </xf>
    <xf borderId="0" fillId="9" fontId="0" numFmtId="0" pivotButton="0" quotePrefix="0" xfId="0"/>
    <xf applyAlignment="1" borderId="0" fillId="9" fontId="0" numFmtId="0" pivotButton="0" quotePrefix="0" xfId="0">
      <alignment horizontal="center"/>
    </xf>
    <xf applyAlignment="1" borderId="0" fillId="9" fontId="0" numFmtId="2" pivotButton="0" quotePrefix="0" xfId="0">
      <alignment horizontal="center"/>
    </xf>
    <xf applyAlignment="1" borderId="0" fillId="9" fontId="0" numFmtId="166" pivotButton="0" quotePrefix="0" xfId="0">
      <alignment horizontal="center"/>
    </xf>
    <xf applyAlignment="1" borderId="0" fillId="8" fontId="0" numFmtId="9" pivotButton="0" quotePrefix="0" xfId="0">
      <alignment horizontal="center"/>
    </xf>
    <xf applyAlignment="1" borderId="0" fillId="8" fontId="0" numFmtId="164" pivotButton="0" quotePrefix="0" xfId="0">
      <alignment horizontal="center"/>
    </xf>
    <xf borderId="0" fillId="10" fontId="0" numFmtId="0" pivotButton="0" quotePrefix="0" xfId="0"/>
    <xf applyAlignment="1" borderId="0" fillId="10" fontId="0" numFmtId="0" pivotButton="0" quotePrefix="0" xfId="0">
      <alignment horizontal="center"/>
    </xf>
    <xf applyAlignment="1" borderId="0" fillId="10" fontId="0" numFmtId="165" pivotButton="0" quotePrefix="0" xfId="0">
      <alignment horizontal="center"/>
    </xf>
    <xf applyAlignment="1" borderId="0" fillId="10" fontId="0" numFmtId="2" pivotButton="0" quotePrefix="0" xfId="0">
      <alignment horizontal="center"/>
    </xf>
    <xf borderId="0" fillId="11" fontId="0" numFmtId="0" pivotButton="0" quotePrefix="0" xfId="0"/>
    <xf applyAlignment="1" borderId="0" fillId="11" fontId="0" numFmtId="0" pivotButton="0" quotePrefix="0" xfId="0">
      <alignment horizontal="center"/>
    </xf>
    <xf applyAlignment="1" borderId="0" fillId="11" fontId="0" numFmtId="2" pivotButton="0" quotePrefix="0" xfId="0">
      <alignment horizontal="center"/>
    </xf>
    <xf applyAlignment="1" borderId="0" fillId="11" fontId="0" numFmtId="166" pivotButton="0" quotePrefix="0" xfId="0">
      <alignment horizontal="center"/>
    </xf>
    <xf applyAlignment="1" borderId="0" fillId="10" fontId="0" numFmtId="9" pivotButton="0" quotePrefix="0" xfId="0">
      <alignment horizontal="center"/>
    </xf>
    <xf applyAlignment="1" borderId="0" fillId="10" fontId="0" numFmtId="164" pivotButton="0" quotePrefix="0" xfId="0">
      <alignment horizontal="center"/>
    </xf>
    <xf borderId="3" fillId="8" fontId="0" numFmtId="0" pivotButton="0" quotePrefix="0" xfId="0"/>
    <xf applyAlignment="1" borderId="3" fillId="8" fontId="0" numFmtId="0" pivotButton="0" quotePrefix="0" xfId="0">
      <alignment horizontal="center"/>
    </xf>
    <xf applyAlignment="1" borderId="3" fillId="8" fontId="0" numFmtId="165" pivotButton="0" quotePrefix="0" xfId="0">
      <alignment horizontal="center"/>
    </xf>
    <xf applyAlignment="1" borderId="3" fillId="8" fontId="0" numFmtId="2" pivotButton="0" quotePrefix="0" xfId="0">
      <alignment horizontal="center"/>
    </xf>
    <xf borderId="3" fillId="9" fontId="0" numFmtId="0" pivotButton="0" quotePrefix="0" xfId="0"/>
    <xf applyAlignment="1" borderId="3" fillId="9" fontId="0" numFmtId="0" pivotButton="0" quotePrefix="0" xfId="0">
      <alignment horizontal="center"/>
    </xf>
    <xf applyAlignment="1" borderId="3" fillId="9" fontId="0" numFmtId="2" pivotButton="0" quotePrefix="0" xfId="0">
      <alignment horizontal="center"/>
    </xf>
    <xf applyAlignment="1" borderId="3" fillId="9" fontId="0" numFmtId="166" pivotButton="0" quotePrefix="0" xfId="0">
      <alignment horizontal="center"/>
    </xf>
    <xf applyAlignment="1" borderId="3" fillId="8" fontId="0" numFmtId="9" pivotButton="0" quotePrefix="0" xfId="0">
      <alignment horizontal="center"/>
    </xf>
    <xf applyAlignment="1" borderId="3" fillId="8" fontId="0" numFmtId="164" pivotButton="0" quotePrefix="0" xfId="0">
      <alignment horizontal="center"/>
    </xf>
    <xf borderId="3" fillId="10" fontId="0" numFmtId="0" pivotButton="0" quotePrefix="0" xfId="0"/>
    <xf applyAlignment="1" borderId="3" fillId="10" fontId="0" numFmtId="0" pivotButton="0" quotePrefix="0" xfId="0">
      <alignment horizontal="center"/>
    </xf>
    <xf applyAlignment="1" borderId="3" fillId="10" fontId="0" numFmtId="165" pivotButton="0" quotePrefix="0" xfId="0">
      <alignment horizontal="center"/>
    </xf>
    <xf applyAlignment="1" borderId="3" fillId="10" fontId="0" numFmtId="2" pivotButton="0" quotePrefix="0" xfId="0">
      <alignment horizontal="center"/>
    </xf>
    <xf borderId="3" fillId="11" fontId="0" numFmtId="0" pivotButton="0" quotePrefix="0" xfId="0"/>
    <xf applyAlignment="1" borderId="3" fillId="11" fontId="0" numFmtId="0" pivotButton="0" quotePrefix="0" xfId="0">
      <alignment horizontal="center"/>
    </xf>
    <xf applyAlignment="1" borderId="3" fillId="11" fontId="0" numFmtId="2" pivotButton="0" quotePrefix="0" xfId="0">
      <alignment horizontal="center"/>
    </xf>
    <xf applyAlignment="1" borderId="3" fillId="11" fontId="0" numFmtId="166" pivotButton="0" quotePrefix="0" xfId="0">
      <alignment horizontal="center"/>
    </xf>
    <xf applyAlignment="1" borderId="3" fillId="10" fontId="0" numFmtId="9" pivotButton="0" quotePrefix="0" xfId="0">
      <alignment horizontal="center"/>
    </xf>
    <xf applyAlignment="1" borderId="3" fillId="10" fontId="0" numFmtId="164" pivotButton="0" quotePrefix="0" xfId="0">
      <alignment horizontal="center"/>
    </xf>
    <xf applyAlignment="1" borderId="0" fillId="0" fontId="1" numFmtId="0" pivotButton="0" quotePrefix="0" xfId="0">
      <alignment wrapText="1"/>
    </xf>
    <xf applyAlignment="1" borderId="0" fillId="0" fontId="0" numFmtId="2" pivotButton="0" quotePrefix="0" xfId="0">
      <alignment horizontal="center"/>
    </xf>
    <xf applyAlignment="1" borderId="0" fillId="0" fontId="0" numFmtId="166" pivotButton="0" quotePrefix="0" xfId="0">
      <alignment horizontal="center"/>
    </xf>
    <xf applyAlignment="1" borderId="9" fillId="4" fontId="1" numFmtId="0" pivotButton="0" quotePrefix="0" xfId="0">
      <alignment horizontal="center" wrapText="1"/>
    </xf>
    <xf applyAlignment="1" borderId="10" fillId="4" fontId="1" numFmtId="0" pivotButton="0" quotePrefix="0" xfId="0">
      <alignment horizontal="center" wrapText="1"/>
    </xf>
    <xf applyAlignment="1" borderId="11" fillId="5" fontId="1" numFmtId="0" pivotButton="0" quotePrefix="0" xfId="0">
      <alignment horizontal="center" wrapText="1"/>
    </xf>
    <xf applyAlignment="1" borderId="10" fillId="5" fontId="1" numFmtId="0" pivotButton="0" quotePrefix="0" xfId="0">
      <alignment horizontal="center" wrapText="1"/>
    </xf>
    <xf applyAlignment="1" borderId="12" fillId="4" fontId="1" numFmtId="0" pivotButton="0" quotePrefix="0" xfId="0">
      <alignment vertical="center" wrapText="1"/>
    </xf>
    <xf applyAlignment="1" borderId="13" fillId="0" fontId="0" numFmtId="9" pivotButton="0" quotePrefix="0" xfId="0">
      <alignment horizontal="center"/>
    </xf>
    <xf applyAlignment="1" borderId="14" fillId="0" fontId="0" numFmtId="9" pivotButton="0" quotePrefix="0" xfId="0">
      <alignment horizontal="center"/>
    </xf>
    <xf applyAlignment="1" borderId="3" fillId="5" fontId="1" numFmtId="0" pivotButton="0" quotePrefix="0" xfId="0">
      <alignment horizontal="center" wrapText="1"/>
    </xf>
    <xf applyAlignment="1" borderId="3" fillId="4" fontId="1" numFmtId="0" pivotButton="0" quotePrefix="0" xfId="0">
      <alignment horizontal="center" wrapText="1"/>
    </xf>
    <xf applyAlignment="1" borderId="19" fillId="12" fontId="1" numFmtId="0" pivotButton="0" quotePrefix="0" xfId="0">
      <alignment horizontal="center" wrapText="1"/>
    </xf>
    <xf applyAlignment="1" borderId="0" fillId="12" fontId="1" numFmtId="0" pivotButton="0" quotePrefix="0" xfId="0">
      <alignment horizontal="center" wrapText="1"/>
    </xf>
    <xf applyAlignment="1" borderId="20" fillId="12" fontId="1" numFmtId="0" pivotButton="0" quotePrefix="0" xfId="0">
      <alignment horizontal="center" wrapText="1"/>
    </xf>
    <xf applyAlignment="1" borderId="23" fillId="12" fontId="0" numFmtId="0" pivotButton="0" quotePrefix="0" xfId="0">
      <alignment horizontal="center"/>
    </xf>
    <xf borderId="24" fillId="12" fontId="0" numFmtId="0" pivotButton="0" quotePrefix="0" xfId="0"/>
    <xf borderId="23" fillId="12" fontId="0" numFmtId="0" pivotButton="0" quotePrefix="0" xfId="0"/>
    <xf borderId="15" fillId="8" fontId="0" numFmtId="0" pivotButton="0" quotePrefix="0" xfId="0"/>
    <xf borderId="2" fillId="8" fontId="0" numFmtId="0" pivotButton="0" quotePrefix="0" xfId="0"/>
    <xf applyAlignment="1" borderId="15" fillId="8" fontId="0" numFmtId="164" pivotButton="0" quotePrefix="0" xfId="0">
      <alignment horizontal="center"/>
    </xf>
    <xf applyAlignment="1" borderId="2" fillId="8" fontId="0" numFmtId="164" pivotButton="0" quotePrefix="0" xfId="0">
      <alignment horizontal="center"/>
    </xf>
    <xf applyAlignment="1" borderId="16" fillId="8" fontId="0" numFmtId="164" pivotButton="0" quotePrefix="0" xfId="0">
      <alignment horizontal="center"/>
    </xf>
    <xf borderId="6" fillId="13" fontId="0" numFmtId="0" pivotButton="0" quotePrefix="0" xfId="0"/>
    <xf borderId="6" fillId="0" fontId="0" numFmtId="9" pivotButton="0" quotePrefix="0" xfId="0"/>
    <xf borderId="7" fillId="0" fontId="0" numFmtId="9" pivotButton="0" quotePrefix="0" xfId="0"/>
    <xf borderId="19" fillId="10" fontId="0" numFmtId="0" pivotButton="0" quotePrefix="0" xfId="0"/>
    <xf borderId="0" fillId="10" fontId="0" numFmtId="0" pivotButton="0" quotePrefix="0" xfId="0"/>
    <xf applyAlignment="1" borderId="19" fillId="10" fontId="0" numFmtId="164" pivotButton="0" quotePrefix="0" xfId="0">
      <alignment horizontal="center"/>
    </xf>
    <xf applyAlignment="1" borderId="0" fillId="10" fontId="0" numFmtId="164" pivotButton="0" quotePrefix="0" xfId="0">
      <alignment horizontal="center"/>
    </xf>
    <xf applyAlignment="1" borderId="20" fillId="10" fontId="0" numFmtId="164" pivotButton="0" quotePrefix="0" xfId="0">
      <alignment horizontal="center"/>
    </xf>
    <xf borderId="23" fillId="14" fontId="0" numFmtId="0" pivotButton="0" quotePrefix="0" xfId="0"/>
    <xf borderId="23" fillId="14" fontId="0" numFmtId="9" pivotButton="0" quotePrefix="0" xfId="0"/>
    <xf borderId="24" fillId="14" fontId="0" numFmtId="9" pivotButton="0" quotePrefix="0" xfId="0"/>
    <xf borderId="19" fillId="8" fontId="0" numFmtId="0" pivotButton="0" quotePrefix="0" xfId="0"/>
    <xf borderId="0" fillId="8" fontId="0" numFmtId="0" pivotButton="0" quotePrefix="0" xfId="0"/>
    <xf applyAlignment="1" borderId="19" fillId="8" fontId="0" numFmtId="164" pivotButton="0" quotePrefix="0" xfId="0">
      <alignment horizontal="center"/>
    </xf>
    <xf applyAlignment="1" borderId="0" fillId="8" fontId="0" numFmtId="164" pivotButton="0" quotePrefix="0" xfId="0">
      <alignment horizontal="center"/>
    </xf>
    <xf applyAlignment="1" borderId="20" fillId="8" fontId="0" numFmtId="164" pivotButton="0" quotePrefix="0" xfId="0">
      <alignment horizontal="center"/>
    </xf>
    <xf borderId="23" fillId="13" fontId="0" numFmtId="0" pivotButton="0" quotePrefix="0" xfId="0"/>
    <xf borderId="23" fillId="13" fontId="0" numFmtId="9" pivotButton="0" quotePrefix="0" xfId="0"/>
    <xf borderId="24" fillId="13" fontId="0" numFmtId="9" pivotButton="0" quotePrefix="0" xfId="0"/>
    <xf borderId="21" fillId="10" fontId="0" numFmtId="0" pivotButton="0" quotePrefix="0" xfId="0"/>
    <xf applyAlignment="1" borderId="21" fillId="10" fontId="0" numFmtId="164" pivotButton="0" quotePrefix="0" xfId="0">
      <alignment horizontal="center"/>
    </xf>
    <xf applyAlignment="1" borderId="22" fillId="10" fontId="0" numFmtId="164" pivotButton="0" quotePrefix="0" xfId="0">
      <alignment horizontal="center"/>
    </xf>
    <xf borderId="9" fillId="14" fontId="0" numFmtId="0" pivotButton="0" quotePrefix="0" xfId="0"/>
    <xf borderId="9" fillId="14" fontId="0" numFmtId="9" pivotButton="0" quotePrefix="0" xfId="0"/>
    <xf borderId="10" fillId="14" fontId="0" numFmtId="9" pivotButton="0" quotePrefix="0" xfId="0"/>
    <xf borderId="21" fillId="8" fontId="0" numFmtId="0" pivotButton="0" quotePrefix="0" xfId="0"/>
    <xf applyAlignment="1" borderId="21" fillId="8" fontId="0" numFmtId="164" pivotButton="0" quotePrefix="0" xfId="0">
      <alignment horizontal="center"/>
    </xf>
    <xf applyAlignment="1" borderId="22" fillId="8" fontId="0" numFmtId="164" pivotButton="0" quotePrefix="0" xfId="0">
      <alignment horizontal="center"/>
    </xf>
    <xf borderId="12" fillId="0" fontId="0" numFmtId="0" pivotButton="0" quotePrefix="0" xfId="0"/>
    <xf borderId="12" fillId="0" fontId="0" numFmtId="9" pivotButton="0" quotePrefix="0" xfId="0"/>
    <xf borderId="14" fillId="0" fontId="0" numFmtId="9" pivotButton="0" quotePrefix="0" xfId="0"/>
    <xf borderId="4" fillId="0" fontId="0" numFmtId="9" pivotButton="0" quotePrefix="0" xfId="0"/>
    <xf applyAlignment="1" borderId="19" fillId="0" fontId="0" numFmtId="164" pivotButton="0" quotePrefix="0" xfId="0">
      <alignment horizontal="center"/>
    </xf>
    <xf applyAlignment="1" borderId="0" fillId="0" fontId="0" numFmtId="164" pivotButton="0" quotePrefix="0" xfId="0">
      <alignment horizontal="center"/>
    </xf>
    <xf applyAlignment="1" borderId="20" fillId="0" fontId="0" numFmtId="164" pivotButton="0" quotePrefix="0" xfId="0">
      <alignment horizontal="center"/>
    </xf>
    <xf applyAlignment="1" borderId="21" fillId="0" fontId="0" numFmtId="164" pivotButton="0" quotePrefix="0" xfId="0">
      <alignment horizontal="center"/>
    </xf>
    <xf applyAlignment="1" borderId="3" fillId="0" fontId="0" numFmtId="164" pivotButton="0" quotePrefix="0" xfId="0">
      <alignment horizontal="center"/>
    </xf>
    <xf applyAlignment="1" borderId="22" fillId="0" fontId="0" numFmtId="164" pivotButton="0" quotePrefix="0" xfId="0">
      <alignment horizontal="center"/>
    </xf>
    <xf applyAlignment="1" borderId="0" fillId="0" fontId="0" numFmtId="9" pivotButton="0" quotePrefix="0" xfId="0">
      <alignment horizontal="center"/>
    </xf>
    <xf applyAlignment="1" borderId="3" fillId="0" fontId="0" numFmtId="9" pivotButton="0" quotePrefix="0" xfId="0">
      <alignment horizontal="center"/>
    </xf>
    <xf applyAlignment="1" borderId="1" fillId="4" fontId="1" numFmtId="0" pivotButton="0" quotePrefix="0" xfId="0">
      <alignment horizontal="center" vertical="center" wrapText="1"/>
    </xf>
    <xf applyAlignment="1" borderId="2" fillId="4" fontId="1" numFmtId="0" pivotButton="0" quotePrefix="0" xfId="0">
      <alignment horizontal="center" vertical="center" wrapText="1"/>
    </xf>
    <xf applyAlignment="1" borderId="0" fillId="4" fontId="1" numFmtId="0" pivotButton="0" quotePrefix="0" xfId="0">
      <alignment horizontal="center" vertical="center" wrapText="1"/>
    </xf>
    <xf applyAlignment="1" borderId="0" fillId="5" fontId="1" numFmtId="0" pivotButton="0" quotePrefix="0" xfId="0">
      <alignment horizontal="center" vertical="center" wrapText="1"/>
    </xf>
    <xf applyAlignment="1" borderId="5" fillId="0" fontId="1" numFmtId="0" pivotButton="0" quotePrefix="0" xfId="0">
      <alignment horizontal="center" wrapText="1"/>
    </xf>
    <xf applyAlignment="1" borderId="8" fillId="0" fontId="1" numFmtId="0" pivotButton="0" quotePrefix="0" xfId="0">
      <alignment horizontal="center" wrapText="1"/>
    </xf>
    <xf applyAlignment="1" borderId="6" fillId="4" fontId="1" numFmtId="0" pivotButton="0" quotePrefix="0" xfId="0">
      <alignment horizontal="center" wrapText="1"/>
    </xf>
    <xf applyAlignment="1" borderId="7" fillId="4" fontId="1" numFmtId="0" pivotButton="0" quotePrefix="0" xfId="0">
      <alignment horizontal="center" wrapText="1"/>
    </xf>
    <xf applyAlignment="1" borderId="6" fillId="5" fontId="1" numFmtId="0" pivotButton="0" quotePrefix="0" xfId="0">
      <alignment horizontal="center" wrapText="1"/>
    </xf>
    <xf applyAlignment="1" borderId="7" fillId="5" fontId="1" numFmtId="0" pivotButton="0" quotePrefix="0" xfId="0">
      <alignment horizontal="center" wrapText="1"/>
    </xf>
    <xf applyAlignment="1" borderId="0" fillId="2" fontId="1" numFmtId="0" pivotButton="0" quotePrefix="0" xfId="0">
      <alignment horizontal="center" wrapText="1"/>
    </xf>
    <xf applyAlignment="1" borderId="0" fillId="3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applyAlignment="1" borderId="0" fillId="5" fontId="1" numFmtId="0" pivotButton="0" quotePrefix="0" xfId="0">
      <alignment horizontal="center" wrapText="1"/>
    </xf>
    <xf applyAlignment="1" borderId="0" fillId="7" fontId="1" numFmtId="0" pivotButton="0" quotePrefix="0" xfId="0">
      <alignment horizontal="left" vertical="top"/>
    </xf>
    <xf applyAlignment="1" borderId="3" fillId="4" fontId="1" numFmtId="0" pivotButton="0" quotePrefix="0" xfId="0">
      <alignment horizontal="center" wrapText="1"/>
    </xf>
    <xf applyAlignment="1" borderId="3" fillId="5" fontId="1" numFmtId="0" pivotButton="0" quotePrefix="0" xfId="0">
      <alignment horizontal="center" wrapText="1"/>
    </xf>
    <xf applyAlignment="1" borderId="19" fillId="0" fontId="1" numFmtId="0" pivotButton="0" quotePrefix="0" xfId="0">
      <alignment horizontal="left" wrapText="1"/>
    </xf>
    <xf applyAlignment="1" borderId="20" fillId="0" fontId="1" numFmtId="0" pivotButton="0" quotePrefix="0" xfId="0">
      <alignment horizontal="left" wrapText="1"/>
    </xf>
    <xf applyAlignment="1" borderId="21" fillId="0" fontId="1" numFmtId="0" pivotButton="0" quotePrefix="0" xfId="0">
      <alignment horizontal="left" wrapText="1"/>
    </xf>
    <xf applyAlignment="1" borderId="22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wrapText="1"/>
    </xf>
    <xf applyAlignment="1" borderId="2" fillId="12" fontId="1" numFmtId="0" pivotButton="0" quotePrefix="0" xfId="0">
      <alignment horizontal="center" wrapText="1"/>
    </xf>
    <xf applyAlignment="1" borderId="16" fillId="12" fontId="1" numFmtId="0" pivotButton="0" quotePrefix="0" xfId="0">
      <alignment horizontal="center" wrapText="1"/>
    </xf>
    <xf applyAlignment="1" borderId="5" fillId="12" fontId="0" numFmtId="0" pivotButton="0" quotePrefix="0" xfId="0">
      <alignment horizontal="center" vertical="center"/>
    </xf>
    <xf applyAlignment="1" borderId="8" fillId="12" fontId="0" numFmtId="0" pivotButton="0" quotePrefix="0" xfId="0">
      <alignment horizontal="center" vertical="center"/>
    </xf>
    <xf applyAlignment="1" borderId="6" fillId="12" fontId="0" numFmtId="0" pivotButton="0" quotePrefix="0" xfId="0">
      <alignment horizontal="center"/>
    </xf>
    <xf applyAlignment="1" borderId="7" fillId="12" fontId="0" numFmtId="0" pivotButton="0" quotePrefix="0" xfId="0">
      <alignment horizontal="center"/>
    </xf>
    <xf applyAlignment="1" borderId="15" fillId="0" fontId="1" numFmtId="0" pivotButton="0" quotePrefix="0" xfId="0">
      <alignment horizontal="left" wrapText="1"/>
    </xf>
    <xf applyAlignment="1" borderId="16" fillId="0" fontId="1" numFmtId="0" pivotButton="0" quotePrefix="0" xfId="0">
      <alignment horizontal="left" wrapText="1"/>
    </xf>
    <xf applyAlignment="1" borderId="15" fillId="12" fontId="1" numFmtId="0" pivotButton="0" quotePrefix="0" xfId="0">
      <alignment horizontal="center" textRotation="180" vertical="top" wrapText="1"/>
    </xf>
    <xf applyAlignment="1" borderId="19" fillId="12" fontId="1" numFmtId="0" pivotButton="0" quotePrefix="0" xfId="0">
      <alignment horizontal="center" textRotation="180" vertical="top" wrapText="1"/>
    </xf>
    <xf applyAlignment="1" borderId="21" fillId="12" fontId="1" numFmtId="0" pivotButton="0" quotePrefix="0" xfId="0">
      <alignment horizontal="center" textRotation="180" vertical="top" wrapText="1"/>
    </xf>
    <xf applyAlignment="1" borderId="16" fillId="12" fontId="1" numFmtId="0" pivotButton="0" quotePrefix="0" xfId="0">
      <alignment horizontal="center" textRotation="180" vertical="top"/>
    </xf>
    <xf applyAlignment="1" borderId="20" fillId="12" fontId="1" numFmtId="0" pivotButton="0" quotePrefix="0" xfId="0">
      <alignment horizontal="center" textRotation="180" vertical="top"/>
    </xf>
    <xf applyAlignment="1" borderId="22" fillId="12" fontId="1" numFmtId="0" pivotButton="0" quotePrefix="0" xfId="0">
      <alignment horizontal="center" textRotation="180" vertical="top"/>
    </xf>
    <xf applyAlignment="1" borderId="17" fillId="12" fontId="0" numFmtId="0" pivotButton="0" quotePrefix="0" xfId="0">
      <alignment horizontal="center"/>
    </xf>
    <xf applyAlignment="1" borderId="1" fillId="12" fontId="0" numFmtId="0" pivotButton="0" quotePrefix="0" xfId="0">
      <alignment horizontal="center"/>
    </xf>
    <xf applyAlignment="1" borderId="18" fillId="12" fontId="0" numFmtId="0" pivotButton="0" quotePrefix="0" xfId="0">
      <alignment horizontal="center"/>
    </xf>
    <xf applyAlignment="1" borderId="0" fillId="5" fontId="1" numFmtId="0" pivotButton="0" quotePrefix="0" xfId="0">
      <alignment horizontal="center" wrapText="1"/>
    </xf>
    <xf applyAlignment="1" borderId="0" fillId="4" fontId="1" numFmtId="0" pivotButton="0" quotePrefix="0" xfId="0">
      <alignment horizontal="center" wrapText="1"/>
    </xf>
    <xf borderId="2" fillId="0" fontId="0" numFmtId="0" pivotButton="0" quotePrefix="0" xfId="0"/>
    <xf applyAlignment="1" borderId="13" fillId="0" fontId="1" numFmtId="0" pivotButton="0" quotePrefix="0" xfId="0">
      <alignment horizontal="center" wrapText="1"/>
    </xf>
    <xf applyAlignment="1" borderId="5" fillId="4" fontId="1" numFmtId="0" pivotButton="0" quotePrefix="0" xfId="0">
      <alignment horizontal="center" wrapText="1"/>
    </xf>
    <xf borderId="7" fillId="0" fontId="0" numFmtId="0" pivotButton="0" quotePrefix="0" xfId="0"/>
    <xf applyAlignment="1" borderId="5" fillId="5" fontId="1" numFmtId="0" pivotButton="0" quotePrefix="0" xfId="0">
      <alignment horizontal="center" wrapText="1"/>
    </xf>
    <xf borderId="8" fillId="0" fontId="0" numFmtId="0" pivotButton="0" quotePrefix="0" xfId="0"/>
    <xf applyAlignment="1" borderId="17" fillId="12" fontId="1" numFmtId="0" pivotButton="0" quotePrefix="0" xfId="0">
      <alignment horizontal="center" textRotation="180" vertical="top" wrapText="1"/>
    </xf>
    <xf applyAlignment="1" borderId="18" fillId="12" fontId="1" numFmtId="0" pivotButton="0" quotePrefix="0" xfId="0">
      <alignment horizontal="center" textRotation="180" vertical="top"/>
    </xf>
    <xf applyAlignment="1" borderId="29" fillId="12" fontId="0" numFmtId="0" pivotButton="0" quotePrefix="0" xfId="0">
      <alignment horizontal="center"/>
    </xf>
    <xf borderId="30" fillId="0" fontId="0" numFmtId="0" pivotButton="0" quotePrefix="0" xfId="0"/>
    <xf borderId="18" fillId="0" fontId="0" numFmtId="0" pivotButton="0" quotePrefix="0" xfId="0"/>
    <xf borderId="19" fillId="0" fontId="0" numFmtId="0" pivotButton="0" quotePrefix="0" xfId="0"/>
    <xf borderId="20" fillId="0" fontId="0" numFmtId="0" pivotButton="0" quotePrefix="0" xfId="0"/>
    <xf applyAlignment="1" borderId="27" fillId="12" fontId="1" numFmtId="0" pivotButton="0" quotePrefix="0" xfId="0">
      <alignment horizontal="center" wrapText="1"/>
    </xf>
    <xf borderId="28" fillId="0" fontId="0" numFmtId="0" pivotButton="0" quotePrefix="0" xfId="0"/>
    <xf borderId="16" fillId="0" fontId="0" numFmtId="0" pivotButton="0" quotePrefix="0" xfId="0"/>
    <xf applyAlignment="1" borderId="31" fillId="12" fontId="1" numFmtId="0" pivotButton="0" quotePrefix="0" xfId="0">
      <alignment horizontal="center" wrapText="1"/>
    </xf>
    <xf borderId="31" fillId="0" fontId="0" numFmtId="0" pivotButton="0" quotePrefix="0" xfId="0"/>
    <xf applyAlignment="1" borderId="13" fillId="12" fontId="0" numFmtId="0" pivotButton="0" quotePrefix="0" xfId="0">
      <alignment horizontal="center" vertical="center"/>
    </xf>
    <xf applyAlignment="1" borderId="5" fillId="12" fontId="0" numFmtId="0" pivotButton="0" quotePrefix="0" xfId="0">
      <alignment horizontal="center"/>
    </xf>
    <xf borderId="21" fillId="0" fontId="0" numFmtId="0" pivotButton="0" quotePrefix="0" xfId="0"/>
    <xf borderId="22" fillId="0" fontId="0" numFmtId="0" pivotButton="0" quotePrefix="0" xfId="0"/>
    <xf applyAlignment="1" borderId="27" fillId="0" fontId="1" numFmtId="0" pivotButton="0" quotePrefix="0" xfId="0">
      <alignment horizontal="left" wrapText="1"/>
    </xf>
    <xf applyAlignment="1" borderId="32" fillId="0" fontId="1" numFmtId="0" pivotButton="0" quotePrefix="0" xfId="0">
      <alignment horizontal="left" wrapText="1"/>
    </xf>
    <xf applyAlignment="1" borderId="33" fillId="0" fontId="1" numFmtId="0" pivotButton="0" quotePrefix="0" xfId="0">
      <alignment horizontal="left" wrapText="1"/>
    </xf>
  </cellXfs>
  <cellStyles count="1">
    <cellStyle builtinId="0" name="Normal" xfId="0"/>
  </cellStyles>
  <dxfs count="122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diagonal/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styles.xml" Type="http://schemas.openxmlformats.org/officeDocument/2006/relationships/styles" /><Relationship Id="rId10" Target="theme/theme1.xml" Type="http://schemas.openxmlformats.org/officeDocument/2006/relationships/theme" /><Relationship Id="rId11" Target="vbaProject.bin" Type="http://schemas.microsoft.com/office/2006/relationships/vbaProject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strRef>
          <f>Graphs!graph_a_title</f>
          <strCache>
            <ptCount val="1"/>
            <pt idx="0">
              <v>D1 Geometry PSNR (Graph a)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Graphs!graph_a_A_title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Graphs!graph_a_B_title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Graphs!graph_a_x_range_B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Graphs!graph_a_y_range_B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10001"/>
        <axId val="50010002"/>
      </scatterChart>
      <valAx>
        <axId val="50010001"/>
        <scaling>
          <orientation val="minMax"/>
        </scaling>
        <delete val="0"/>
        <axPos val="b"/>
        <title>
          <tx>
            <strRef>
              <f>Graphs!graph_a_x_title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10002"/>
        <crosses val="autoZero"/>
        <crossBetween val="midCat"/>
      </valAx>
      <valAx>
        <axId val="50010002"/>
        <scaling>
          <orientation val="minMax"/>
        </scaling>
        <delete val="0"/>
        <axPos val="l"/>
        <majorGridlines/>
        <title>
          <tx>
            <strRef>
              <f>Graphs!graph_a_y_title</f>
              <strCache>
                <ptCount val="1"/>
                <pt idx="0">
                  <v>D1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1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strRef>
          <f>Graphs!graph_b_title</f>
          <strCache>
            <ptCount val="1"/>
            <pt idx="0">
              <v>D2 Geometry PSNR (Graph b)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Graphs!graph_b_A_title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Graphs!graph_b_B_title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Graphs!graph_b_x_range_B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Graphs!graph_b_y_range_B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20001"/>
        <axId val="50020002"/>
      </scatterChart>
      <valAx>
        <axId val="50020001"/>
        <scaling>
          <orientation val="minMax"/>
        </scaling>
        <delete val="0"/>
        <axPos val="b"/>
        <title>
          <tx>
            <strRef>
              <f>Graphs!graph_b_x_title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20002"/>
        <crosses val="autoZero"/>
        <crossBetween val="midCat"/>
      </valAx>
      <valAx>
        <axId val="50020002"/>
        <scaling>
          <orientation val="minMax"/>
        </scaling>
        <delete val="0"/>
        <axPos val="l"/>
        <majorGridlines/>
        <title>
          <tx>
            <strRef>
              <f>Graphs!graph_b_y_title</f>
              <strCache>
                <ptCount val="1"/>
                <pt idx="0">
                  <v>D2 Geometry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2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strRef>
          <f>Graphs!graph_c_title</f>
          <strCache>
            <ptCount val="1"/>
            <pt idx="0">
              <v>Luma End-to-end PSNR (Graph c)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Graphs!graph_c_A_title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Graphs!graph_c_B_title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Graphs!graph_c_x_range_B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Graphs!graph_c_y_range_B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30001"/>
        <axId val="50030002"/>
      </scatterChart>
      <valAx>
        <axId val="50030001"/>
        <scaling>
          <orientation val="minMax"/>
        </scaling>
        <delete val="0"/>
        <axPos val="b"/>
        <title>
          <tx>
            <strRef>
              <f>Graphs!graph_c_x_title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30002"/>
        <crosses val="autoZero"/>
        <crossBetween val="midCat"/>
      </valAx>
      <valAx>
        <axId val="50030002"/>
        <scaling>
          <orientation val="minMax"/>
        </scaling>
        <delete val="0"/>
        <axPos val="l"/>
        <majorGridlines/>
        <title>
          <tx>
            <strRef>
              <f>Graphs!graph_c_y_title</f>
              <strCache>
                <ptCount val="1"/>
                <pt idx="0">
                  <v>Luma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3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strRef>
          <f>Graphs!graph_d_title</f>
          <strCache>
            <ptCount val="1"/>
            <pt idx="0">
              <v>Chroma Cb End-to-end PSNR (Graph d)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Graphs!graph_d_A_title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Graphs!graph_d_B_title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Graphs!graph_d_x_range_B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Graphs!graph_d_y_range_B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40001"/>
        <axId val="50040002"/>
      </scatterChart>
      <valAx>
        <axId val="50040001"/>
        <scaling>
          <orientation val="minMax"/>
        </scaling>
        <delete val="0"/>
        <axPos val="b"/>
        <title>
          <tx>
            <strRef>
              <f>Graphs!graph_d_x_title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40002"/>
        <crosses val="autoZero"/>
        <crossBetween val="midCat"/>
      </valAx>
      <valAx>
        <axId val="50040002"/>
        <scaling>
          <orientation val="minMax"/>
        </scaling>
        <delete val="0"/>
        <axPos val="l"/>
        <majorGridlines/>
        <title>
          <tx>
            <strRef>
              <f>Graphs!graph_d_y_title</f>
              <strCache>
                <ptCount val="1"/>
                <pt idx="0">
                  <v>Chroma Cb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4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strRef>
          <f>Graphs!graph_e_title</f>
          <strCache>
            <ptCount val="1"/>
            <pt idx="0">
              <v>Chroma Cr End-to-end PSNR (Graph e)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Graphs!graph_e_A_title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Graphs!graph_e_y_range_A</f>
              <numCache>
                <formatCode>0.00</formatCode>
                <ptCount val="5"/>
              </numCache>
            </numRef>
          </yVal>
          <smooth val="1"/>
        </ser>
        <ser>
          <idx val="1"/>
          <order val="1"/>
          <tx>
            <strRef>
              <f>Graphs!graph_e_B_title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Graphs!graph_e_x_range_B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Graphs!graph_e_y_range_B</f>
              <numCache>
                <formatCode>0.00</formatCode>
                <ptCount val="5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50001"/>
        <axId val="50050002"/>
      </scatterChart>
      <valAx>
        <axId val="50050001"/>
        <scaling>
          <orientation val="minMax"/>
        </scaling>
        <delete val="0"/>
        <axPos val="b"/>
        <title>
          <tx>
            <strRef>
              <f>Graphs!graph_e_x_title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50002"/>
        <crosses val="autoZero"/>
        <crossBetween val="midCat"/>
      </valAx>
      <valAx>
        <axId val="50050002"/>
        <scaling>
          <orientation val="minMax"/>
        </scaling>
        <delete val="0"/>
        <axPos val="l"/>
        <majorGridlines/>
        <title>
          <tx>
            <strRef>
              <f>Graphs!graph_e_y_title</f>
              <strCache>
                <ptCount val="1"/>
                <pt idx="0">
                  <v>Chroma Cr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0.00" sourceLinked="1"/>
        <majorTickMark val="out"/>
        <minorTickMark val="none"/>
        <tickLblPos val="nextTo"/>
        <crossAx val="5005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strRef>
          <f>Graphs!graph_f_title</f>
          <strCache>
            <ptCount val="1"/>
            <pt idx="0">
              <v>Reflectance End-to-end PSNR (Graph f)</v>
            </pt>
          </strCache>
        </strRef>
      </tx>
      <overlay val="0"/>
      <txPr>
        <a:bodyPr/>
        <a:lstStyle/>
        <a:p>
          <a:pPr>
            <a:defRPr/>
          </a:pPr>
          <a:r>
            <a:t/>
          </a:r>
          <a:endParaRPr lang="en-US"/>
        </a:p>
      </txPr>
    </title>
    <plotArea>
      <layout/>
      <scatterChart>
        <scatterStyle val="smoothMarker"/>
        <varyColors val="0"/>
        <ser>
          <idx val="0"/>
          <order val="0"/>
          <tx>
            <strRef>
              <f>Graphs!graph_f_A_title</f>
              <strCache>
                <ptCount val="1"/>
                <pt idx="0">
                  <v>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Graphs!graph_f_x_range_A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Graphs!graph_f_y_range_A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Graphs!graph_f_B_title</f>
              <strCache>
                <ptCount val="1"/>
                <pt idx="0">
                  <v>tested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strRef>
              <f>Graphs!graph_f_x_range_B</f>
              <strCache>
                <ptCount val="5"/>
                <pt idx="0">
                  <v>·</v>
                </pt>
                <pt idx="1">
                  <v>·</v>
                </pt>
                <pt idx="2">
                  <v>·</v>
                </pt>
                <pt idx="3">
                  <v>·</v>
                </pt>
                <pt idx="4">
                  <v>·</v>
                </pt>
              </strCache>
            </strRef>
          </xVal>
          <yVal>
            <numRef>
              <f>Graphs!graph_f_y_range_B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50060001"/>
        <axId val="50060002"/>
      </scatterChart>
      <valAx>
        <axId val="50060001"/>
        <scaling>
          <orientation val="minMax"/>
        </scaling>
        <delete val="0"/>
        <axPos val="b"/>
        <title>
          <tx>
            <strRef>
              <f>Graphs!graph_f_x_title</f>
              <strCache>
                <ptCount val="1"/>
                <pt idx="0">
                  <v>Total Bits per input point</v>
                </pt>
              </strCache>
            </strRef>
          </tx>
          <overlay val="0"/>
          <txPr>
            <a:bodyPr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2"/>
        <crosses val="autoZero"/>
        <crossBetween val="midCat"/>
      </valAx>
      <valAx>
        <axId val="50060002"/>
        <scaling>
          <orientation val="minMax"/>
        </scaling>
        <delete val="0"/>
        <axPos val="l"/>
        <majorGridlines/>
        <title>
          <tx>
            <strRef>
              <f>Graphs!graph_f_y_title</f>
              <strCache>
                <ptCount val="1"/>
                <pt idx="0">
                  <v>Reflectance End-to-end PSNR</v>
                </pt>
              </strCache>
            </strRef>
          </tx>
          <overlay val="0"/>
          <txPr>
            <a:bodyPr rot="-5400000" vert="horz"/>
            <a:lstStyle/>
            <a:p>
              <a:pPr>
                <a:defRPr/>
              </a:pPr>
              <a:r>
                <a:t/>
              </a:r>
              <a:endParaRPr lang="en-US"/>
            </a:p>
          </txPr>
        </title>
        <numFmt formatCode="General" sourceLinked="1"/>
        <majorTickMark val="out"/>
        <minorTickMark val="none"/>
        <tickLblPos val="nextTo"/>
        <crossAx val="50060001"/>
        <crosses val="autoZero"/>
        <crossBetween val="midCat"/>
      </valAx>
    </plotArea>
    <legend>
      <legendPos val="b"/>
      <overlay val="0"/>
    </legend>
    <plotVisOnly val="1"/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 /><Relationship Id="rId2" Target="/xl/charts/chart2.xml" Type="http://schemas.openxmlformats.org/officeDocument/2006/relationships/chart" /><Relationship Id="rId3" Target="/xl/charts/chart3.xml" Type="http://schemas.openxmlformats.org/officeDocument/2006/relationships/chart" /><Relationship Id="rId4" Target="/xl/charts/chart4.xml" Type="http://schemas.openxmlformats.org/officeDocument/2006/relationships/chart" /><Relationship Id="rId5" Target="/xl/charts/chart5.xml" Type="http://schemas.openxmlformats.org/officeDocument/2006/relationships/chart" /><Relationship Id="rId6" Target="/xl/charts/chart6.xml" Type="http://schemas.openxmlformats.org/officeDocument/2006/relationships/chart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9</row>
      <rowOff>0</rowOff>
    </from>
    <to>
      <col>7</col>
      <colOff>276225</colOff>
      <row>30</row>
      <rowOff>114300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0</colOff>
      <row>9</row>
      <rowOff>0</rowOff>
    </from>
    <to>
      <col>18</col>
      <colOff>257175</colOff>
      <row>30</row>
      <rowOff>114300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0</col>
      <colOff>0</colOff>
      <row>31</row>
      <rowOff>0</rowOff>
    </from>
    <to>
      <col>7</col>
      <colOff>276225</colOff>
      <row>52</row>
      <rowOff>114300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8</col>
      <colOff>0</colOff>
      <row>31</row>
      <rowOff>0</rowOff>
    </from>
    <to>
      <col>18</col>
      <colOff>257175</colOff>
      <row>52</row>
      <rowOff>114300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19</col>
      <colOff>0</colOff>
      <row>31</row>
      <rowOff>0</rowOff>
    </from>
    <to>
      <col>30</col>
      <colOff>152400</colOff>
      <row>52</row>
      <rowOff>114300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19</col>
      <colOff>0</colOff>
      <row>9</row>
      <rowOff>0</rowOff>
    </from>
    <to>
      <col>30</col>
      <colOff>152400</colOff>
      <row>30</row>
      <rowOff>114300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Id="rId1" Target="/xl/drawings/drawing1.xml" Type="http://schemas.openxmlformats.org/officeDocument/2006/relationships/drawing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1:L55"/>
  <sheetViews>
    <sheetView workbookViewId="0">
      <selection activeCell="C2" sqref="C2:E2"/>
    </sheetView>
  </sheetViews>
  <sheetFormatPr baseColWidth="8" defaultRowHeight="14.4"/>
  <cols>
    <col customWidth="1" max="2" min="2" style="4" width="16.6640625"/>
    <col customWidth="1" max="12" min="3" style="4" width="24.6640625"/>
  </cols>
  <sheetData>
    <row r="1">
      <c r="B1" t="inlineStr">
        <is>
          <t>Reference:</t>
        </is>
      </c>
      <c r="C1" s="128" t="inlineStr">
        <is>
          <t>master+r5.2</t>
        </is>
      </c>
    </row>
    <row r="2">
      <c r="B2" t="inlineStr">
        <is>
          <t>Tested:</t>
        </is>
      </c>
      <c r="C2" s="129" t="inlineStr">
        <is>
          <t>mpeg126-integration+r60rc02</t>
        </is>
      </c>
    </row>
    <row customFormat="1" r="4" s="1">
      <c r="B4" s="1" t="inlineStr">
        <is>
          <t>All Intra</t>
        </is>
      </c>
    </row>
    <row r="6">
      <c r="B6" s="118" t="inlineStr">
        <is>
          <t>C2_ai</t>
        </is>
      </c>
      <c r="C6" s="119" t="inlineStr">
        <is>
          <t>lossy geometry, lossy attributes [all intra]</t>
        </is>
      </c>
      <c r="D6" s="159" t="n"/>
      <c r="E6" s="159" t="n"/>
      <c r="F6" s="159" t="n"/>
      <c r="G6" s="159" t="n"/>
      <c r="H6" s="159" t="n"/>
      <c r="I6" s="159" t="n"/>
      <c r="J6" s="159" t="n"/>
      <c r="K6" s="159" t="n"/>
      <c r="L6" s="159" t="n"/>
    </row>
    <row r="7">
      <c r="C7" s="120" t="inlineStr">
        <is>
          <t>Geom. BD‑TotGeomRate [%]</t>
        </is>
      </c>
      <c r="E7" s="121" t="inlineStr">
        <is>
          <t>End-to-End BD‑AttrRate [%]</t>
        </is>
      </c>
      <c r="H7" s="120" t="inlineStr">
        <is>
          <t>Geom. BD‑TotalRate [%]</t>
        </is>
      </c>
      <c r="J7" s="121" t="inlineStr">
        <is>
          <t>End-to-End BD‑TotalRate [%]</t>
        </is>
      </c>
    </row>
    <row r="8">
      <c r="B8" s="9" t="n"/>
      <c r="C8" s="2" t="inlineStr">
        <is>
          <t>D1</t>
        </is>
      </c>
      <c r="D8" s="2" t="inlineStr">
        <is>
          <t>D2</t>
        </is>
      </c>
      <c r="E8" s="3" t="inlineStr">
        <is>
          <t>Luma</t>
        </is>
      </c>
      <c r="F8" s="3" t="inlineStr">
        <is>
          <t>Chroma Cb</t>
        </is>
      </c>
      <c r="G8" s="3" t="inlineStr">
        <is>
          <t>Chroma Cr</t>
        </is>
      </c>
      <c r="H8" s="2" t="inlineStr">
        <is>
          <t>D1</t>
        </is>
      </c>
      <c r="I8" s="2" t="inlineStr">
        <is>
          <t>D2</t>
        </is>
      </c>
      <c r="J8" s="3" t="inlineStr">
        <is>
          <t>Luma</t>
        </is>
      </c>
      <c r="K8" s="3" t="inlineStr">
        <is>
          <t>Chroma Cb</t>
        </is>
      </c>
      <c r="L8" s="3" t="inlineStr">
        <is>
          <t>Chroma Cr</t>
        </is>
      </c>
    </row>
    <row r="9">
      <c r="B9" t="inlineStr">
        <is>
          <t>Cat2-A average</t>
        </is>
      </c>
      <c r="C9" s="111">
        <f>'C2 lossyG,lossyA,intra'!$BI$30:$BI$30</f>
        <v/>
      </c>
      <c r="D9" s="111">
        <f>'C2 lossyG,lossyA,intra'!$BJ$30:$BJ$30</f>
        <v/>
      </c>
      <c r="E9" s="111">
        <f>'C2 lossyG,lossyA,intra'!$BK$30:$BK$30</f>
        <v/>
      </c>
      <c r="F9" s="111">
        <f>'C2 lossyG,lossyA,intra'!$BL$30:$BL$30</f>
        <v/>
      </c>
      <c r="G9" s="111">
        <f>'C2 lossyG,lossyA,intra'!$BM$30:$BM$30</f>
        <v/>
      </c>
      <c r="H9" s="111">
        <f>'C2 lossyG,lossyA,intra'!$BO$30:$BO$30</f>
        <v/>
      </c>
      <c r="I9" s="111">
        <f>'C2 lossyG,lossyA,intra'!$BP$30:$BP$30</f>
        <v/>
      </c>
      <c r="J9" s="111">
        <f>'C2 lossyG,lossyA,intra'!$BQ$30:$BQ$30</f>
        <v/>
      </c>
      <c r="K9" s="111">
        <f>'C2 lossyG,lossyA,intra'!$BR$30:$BR$30</f>
        <v/>
      </c>
      <c r="L9" s="111">
        <f>'C2 lossyG,lossyA,intra'!$BS$30:$BS$30</f>
        <v/>
      </c>
    </row>
    <row r="10">
      <c r="B10" t="inlineStr">
        <is>
          <t>Cat2-B average</t>
        </is>
      </c>
      <c r="C10" s="111">
        <f>'C2 lossyG,lossyA,intra'!$BI$31:$BI$31</f>
        <v/>
      </c>
      <c r="D10" s="111">
        <f>'C2 lossyG,lossyA,intra'!$BJ$31:$BJ$31</f>
        <v/>
      </c>
      <c r="E10" s="111">
        <f>'C2 lossyG,lossyA,intra'!$BK$31:$BK$31</f>
        <v/>
      </c>
      <c r="F10" s="111">
        <f>'C2 lossyG,lossyA,intra'!$BL$31:$BL$31</f>
        <v/>
      </c>
      <c r="G10" s="111">
        <f>'C2 lossyG,lossyA,intra'!$BM$31:$BM$31</f>
        <v/>
      </c>
      <c r="H10" s="111">
        <f>'C2 lossyG,lossyA,intra'!$BO$31:$BO$31</f>
        <v/>
      </c>
      <c r="I10" s="111">
        <f>'C2 lossyG,lossyA,intra'!$BP$31:$BP$31</f>
        <v/>
      </c>
      <c r="J10" s="111">
        <f>'C2 lossyG,lossyA,intra'!$BQ$31:$BQ$31</f>
        <v/>
      </c>
      <c r="K10" s="111">
        <f>'C2 lossyG,lossyA,intra'!$BR$31:$BR$31</f>
        <v/>
      </c>
      <c r="L10" s="111">
        <f>'C2 lossyG,lossyA,intra'!$BS$31:$BS$31</f>
        <v/>
      </c>
    </row>
    <row r="11">
      <c r="B11" s="6" t="inlineStr">
        <is>
          <t>Overall average</t>
        </is>
      </c>
      <c r="C11" s="7">
        <f>'C2 lossyG,lossyA,intra'!$BI$32:$BI$32</f>
        <v/>
      </c>
      <c r="D11" s="7">
        <f>'C2 lossyG,lossyA,intra'!$BJ$32:$BJ$32</f>
        <v/>
      </c>
      <c r="E11" s="7">
        <f>'C2 lossyG,lossyA,intra'!$BK$32:$BK$32</f>
        <v/>
      </c>
      <c r="F11" s="7">
        <f>'C2 lossyG,lossyA,intra'!$BL$32:$BL$32</f>
        <v/>
      </c>
      <c r="G11" s="7">
        <f>'C2 lossyG,lossyA,intra'!$BM$32:$BM$32</f>
        <v/>
      </c>
      <c r="H11" s="7">
        <f>'C2 lossyG,lossyA,intra'!$BO$32:$BO$32</f>
        <v/>
      </c>
      <c r="I11" s="7">
        <f>'C2 lossyG,lossyA,intra'!$BP$32:$BP$32</f>
        <v/>
      </c>
      <c r="J11" s="7">
        <f>'C2 lossyG,lossyA,intra'!$BQ$32:$BQ$32</f>
        <v/>
      </c>
      <c r="K11" s="7">
        <f>'C2 lossyG,lossyA,intra'!$BR$32:$BR$32</f>
        <v/>
      </c>
      <c r="L11" s="7">
        <f>'C2 lossyG,lossyA,intra'!$BS$32:$BS$32</f>
        <v/>
      </c>
    </row>
    <row r="12">
      <c r="B12" t="inlineStr">
        <is>
          <t>Avg. Enc Time [%]</t>
        </is>
      </c>
      <c r="C12" s="116">
        <f>'C2 lossyG,lossyA,intra'!AZ36</f>
        <v/>
      </c>
    </row>
    <row r="13">
      <c r="B13" s="9" t="inlineStr">
        <is>
          <t>Avg. Dec Time [%]</t>
        </is>
      </c>
      <c r="C13" s="117">
        <f>'C2 lossyG,lossyA,intra'!BB36</f>
        <v/>
      </c>
      <c r="D13" s="9" t="n"/>
      <c r="E13" s="9" t="n"/>
      <c r="F13" s="9" t="n"/>
      <c r="G13" s="9" t="n"/>
      <c r="H13" s="9" t="n"/>
      <c r="I13" s="9" t="n"/>
      <c r="J13" s="9" t="n"/>
      <c r="K13" s="9" t="n"/>
      <c r="L13" s="9" t="n"/>
    </row>
    <row r="15">
      <c r="B15" s="118" t="inlineStr">
        <is>
          <t>CW_ai</t>
        </is>
      </c>
      <c r="C15" s="119" t="inlineStr">
        <is>
          <t>lossless geometry, lossless attributes [all intra]</t>
        </is>
      </c>
      <c r="D15" s="159" t="n"/>
      <c r="E15" s="159" t="n"/>
    </row>
    <row r="16">
      <c r="C16" s="120" t="inlineStr">
        <is>
          <t>bpip ratio [%]</t>
        </is>
      </c>
    </row>
    <row r="17">
      <c r="B17" s="9" t="n"/>
      <c r="C17" s="2" t="inlineStr">
        <is>
          <t>Geometry</t>
        </is>
      </c>
      <c r="D17" s="2" t="inlineStr">
        <is>
          <t>Total</t>
        </is>
      </c>
      <c r="E17" s="2" t="inlineStr">
        <is>
          <t>Colour</t>
        </is>
      </c>
    </row>
    <row r="18">
      <c r="B18" t="inlineStr">
        <is>
          <t>Cat2-A average</t>
        </is>
      </c>
      <c r="C18" s="111">
        <f>'CW losslG,losslA,intra'!BC10</f>
        <v/>
      </c>
      <c r="D18" s="111">
        <f>'CW losslG,losslA,intra'!BB10</f>
        <v/>
      </c>
      <c r="E18" s="111">
        <f>'CW losslG,losslA,intra'!BD10</f>
        <v/>
      </c>
    </row>
    <row r="19">
      <c r="B19" t="inlineStr">
        <is>
          <t>Cat2-B average</t>
        </is>
      </c>
      <c r="C19" s="111">
        <f>'CW losslG,losslA,intra'!BC11</f>
        <v/>
      </c>
      <c r="D19" s="111">
        <f>'CW losslG,losslA,intra'!BB11</f>
        <v/>
      </c>
      <c r="E19" s="111">
        <f>'CW losslG,losslA,intra'!BD11</f>
        <v/>
      </c>
    </row>
    <row r="20">
      <c r="B20" s="6" t="inlineStr">
        <is>
          <t>Overall average</t>
        </is>
      </c>
      <c r="C20" s="7">
        <f>'CW losslG,losslA,intra'!BC12</f>
        <v/>
      </c>
      <c r="D20" s="7">
        <f>'CW losslG,losslA,intra'!BB12</f>
        <v/>
      </c>
      <c r="E20" s="7">
        <f>'CW losslG,losslA,intra'!BD12</f>
        <v/>
      </c>
    </row>
    <row r="21">
      <c r="B21" t="inlineStr">
        <is>
          <t>Avg. Enc Time [%]</t>
        </is>
      </c>
      <c r="C21" s="116">
        <f>'CW losslG,losslA,intra'!AW16</f>
        <v/>
      </c>
    </row>
    <row r="22">
      <c r="B22" s="9" t="inlineStr">
        <is>
          <t>Avg. Dec Time [%]</t>
        </is>
      </c>
      <c r="C22" s="117">
        <f>'CW losslG,losslA,intra'!AY16</f>
        <v/>
      </c>
      <c r="D22" s="9" t="n"/>
      <c r="E22" s="9" t="n"/>
    </row>
    <row customFormat="1" r="24" s="1">
      <c r="B24" s="1" t="inlineStr">
        <is>
          <t>Inter, Low Delay</t>
        </is>
      </c>
    </row>
    <row r="26">
      <c r="B26" s="118" t="inlineStr">
        <is>
          <t>CW_ld</t>
        </is>
      </c>
      <c r="C26" s="119" t="inlineStr">
        <is>
          <t>lossless geometry, lossless attributes [inter, low delay]</t>
        </is>
      </c>
      <c r="D26" s="159" t="n"/>
      <c r="E26" s="159" t="n"/>
    </row>
    <row r="27">
      <c r="C27" s="120" t="inlineStr">
        <is>
          <t>bpip ratio [%]</t>
        </is>
      </c>
    </row>
    <row r="28">
      <c r="B28" s="9" t="n"/>
      <c r="C28" s="2" t="inlineStr">
        <is>
          <t>Total</t>
        </is>
      </c>
      <c r="D28" s="2" t="inlineStr">
        <is>
          <t>Geometry</t>
        </is>
      </c>
      <c r="E28" s="2" t="inlineStr">
        <is>
          <t>Colour</t>
        </is>
      </c>
    </row>
    <row r="29">
      <c r="B29" t="inlineStr">
        <is>
          <t>Cat2-A average</t>
        </is>
      </c>
      <c r="C29" s="111">
        <f>'CW losslG,losslA,interLD'!BB10</f>
        <v/>
      </c>
      <c r="D29" s="111">
        <f>'CW losslG,losslA,interLD'!BC10</f>
        <v/>
      </c>
      <c r="E29" s="111">
        <f>'CW losslG,losslA,interLD'!BD10</f>
        <v/>
      </c>
    </row>
    <row r="30">
      <c r="B30" t="inlineStr">
        <is>
          <t>Cat2-B average</t>
        </is>
      </c>
      <c r="C30" s="111">
        <f>'CW losslG,losslA,interLD'!BB11</f>
        <v/>
      </c>
      <c r="D30" s="111">
        <f>'CW losslG,losslA,interLD'!BC11</f>
        <v/>
      </c>
      <c r="E30" s="111">
        <f>'CW losslG,losslA,interLD'!BD11</f>
        <v/>
      </c>
    </row>
    <row r="31">
      <c r="B31" s="6" t="inlineStr">
        <is>
          <t>Overall average</t>
        </is>
      </c>
      <c r="C31" s="7">
        <f>'CW losslG,losslA,interLD'!BB12</f>
        <v/>
      </c>
      <c r="D31" s="7">
        <f>'CW losslG,losslA,interLD'!BC12</f>
        <v/>
      </c>
      <c r="E31" s="7">
        <f>'CW losslG,losslA,interLD'!BD12</f>
        <v/>
      </c>
    </row>
    <row r="32">
      <c r="B32" t="inlineStr">
        <is>
          <t>Avg. Enc Time [%]</t>
        </is>
      </c>
      <c r="C32" s="116">
        <f>'CW losslG,losslA,interLD'!AW16</f>
        <v/>
      </c>
    </row>
    <row r="33">
      <c r="B33" s="9" t="inlineStr">
        <is>
          <t>Avg. Dec Time [%]</t>
        </is>
      </c>
      <c r="C33" s="117">
        <f>'CW losslG,losslA,interLD'!AY16</f>
        <v/>
      </c>
      <c r="D33" s="9" t="n"/>
      <c r="E33" s="9" t="n"/>
    </row>
    <row customFormat="1" r="35" s="1">
      <c r="B35" s="1" t="inlineStr">
        <is>
          <t>Inter, Random Access</t>
        </is>
      </c>
    </row>
    <row r="37">
      <c r="B37" s="118" t="inlineStr">
        <is>
          <t>C2_ra</t>
        </is>
      </c>
      <c r="C37" s="119" t="inlineStr">
        <is>
          <t>lossy geometry, lossy attributes [inter, random access]</t>
        </is>
      </c>
      <c r="D37" s="159" t="n"/>
      <c r="E37" s="159" t="n"/>
      <c r="F37" s="159" t="n"/>
      <c r="G37" s="159" t="n"/>
      <c r="H37" s="159" t="n"/>
      <c r="I37" s="159" t="n"/>
      <c r="J37" s="159" t="n"/>
      <c r="K37" s="159" t="n"/>
      <c r="L37" s="159" t="n"/>
    </row>
    <row r="38">
      <c r="C38" s="120" t="inlineStr">
        <is>
          <t>Geom. BD‑TotGeomRate [%]</t>
        </is>
      </c>
      <c r="E38" s="121" t="inlineStr">
        <is>
          <t>End-to-End BD‑AttrRate [%]</t>
        </is>
      </c>
      <c r="H38" s="120" t="inlineStr">
        <is>
          <t>Geom. BD‑TotalRate [%]</t>
        </is>
      </c>
      <c r="J38" s="121" t="inlineStr">
        <is>
          <t>End-to-End BD‑TotalRate [%]</t>
        </is>
      </c>
    </row>
    <row r="39">
      <c r="B39" s="9" t="n"/>
      <c r="C39" s="2" t="inlineStr">
        <is>
          <t>D1</t>
        </is>
      </c>
      <c r="D39" s="2" t="inlineStr">
        <is>
          <t>D2</t>
        </is>
      </c>
      <c r="E39" s="3" t="inlineStr">
        <is>
          <t>Luma</t>
        </is>
      </c>
      <c r="F39" s="3" t="inlineStr">
        <is>
          <t>Chroma Cb</t>
        </is>
      </c>
      <c r="G39" s="3" t="inlineStr">
        <is>
          <t>Chroma Cr</t>
        </is>
      </c>
      <c r="H39" s="2" t="inlineStr">
        <is>
          <t>D1</t>
        </is>
      </c>
      <c r="I39" s="2" t="inlineStr">
        <is>
          <t>D2</t>
        </is>
      </c>
      <c r="J39" s="3" t="inlineStr">
        <is>
          <t>Luma</t>
        </is>
      </c>
      <c r="K39" s="3" t="inlineStr">
        <is>
          <t>Chroma Cb</t>
        </is>
      </c>
      <c r="L39" s="3" t="inlineStr">
        <is>
          <t>Chroma Cr</t>
        </is>
      </c>
    </row>
    <row r="40">
      <c r="B40" t="inlineStr">
        <is>
          <t>Cat2-A average</t>
        </is>
      </c>
      <c r="C40" s="111">
        <f>'C2 lossyG,lossyA,interRA'!$BI$30:$BI$30</f>
        <v/>
      </c>
      <c r="D40" s="111">
        <f>'C2 lossyG,lossyA,interRA'!$BJ$30:$BJ$30</f>
        <v/>
      </c>
      <c r="E40" s="111">
        <f>'C2 lossyG,lossyA,interRA'!$BK$30:$BK$30</f>
        <v/>
      </c>
      <c r="F40" s="111">
        <f>'C2 lossyG,lossyA,interRA'!$BL$30:$BL$30</f>
        <v/>
      </c>
      <c r="G40" s="111">
        <f>'C2 lossyG,lossyA,interRA'!$BM$30:$BM$30</f>
        <v/>
      </c>
      <c r="H40" s="111">
        <f>'C2 lossyG,lossyA,interRA'!$BO$30:$BO$30</f>
        <v/>
      </c>
      <c r="I40" s="111">
        <f>'C2 lossyG,lossyA,interRA'!$BP$30:$BP$30</f>
        <v/>
      </c>
      <c r="J40" s="111">
        <f>'C2 lossyG,lossyA,interRA'!$BQ$30:$BQ$30</f>
        <v/>
      </c>
      <c r="K40" s="111">
        <f>'C2 lossyG,lossyA,interRA'!$BR$30:$BR$30</f>
        <v/>
      </c>
      <c r="L40" s="111">
        <f>'C2 lossyG,lossyA,interRA'!$BS$30:$BS$30</f>
        <v/>
      </c>
    </row>
    <row r="41">
      <c r="B41" t="inlineStr">
        <is>
          <t>Cat2-B average</t>
        </is>
      </c>
      <c r="C41" s="111">
        <f>'C2 lossyG,lossyA,interRA'!$BI$31:$BI$31</f>
        <v/>
      </c>
      <c r="D41" s="111">
        <f>'C2 lossyG,lossyA,interRA'!$BJ$31:$BJ$31</f>
        <v/>
      </c>
      <c r="E41" s="111">
        <f>'C2 lossyG,lossyA,interRA'!$BK$31:$BK$31</f>
        <v/>
      </c>
      <c r="F41" s="111">
        <f>'C2 lossyG,lossyA,interRA'!$BL$31:$BL$31</f>
        <v/>
      </c>
      <c r="G41" s="111">
        <f>'C2 lossyG,lossyA,interRA'!$BM$31:$BM$31</f>
        <v/>
      </c>
      <c r="H41" s="111">
        <f>'C2 lossyG,lossyA,interRA'!$BO$31:$BO$31</f>
        <v/>
      </c>
      <c r="I41" s="111">
        <f>'C2 lossyG,lossyA,interRA'!$BP$31:$BP$31</f>
        <v/>
      </c>
      <c r="J41" s="111">
        <f>'C2 lossyG,lossyA,interRA'!$BQ$31:$BQ$31</f>
        <v/>
      </c>
      <c r="K41" s="111">
        <f>'C2 lossyG,lossyA,interRA'!$BR$31:$BR$31</f>
        <v/>
      </c>
      <c r="L41" s="111">
        <f>'C2 lossyG,lossyA,interRA'!$BS$31:$BS$31</f>
        <v/>
      </c>
    </row>
    <row r="42">
      <c r="B42" s="6" t="inlineStr">
        <is>
          <t>Overall average</t>
        </is>
      </c>
      <c r="C42" s="7">
        <f>'C2 lossyG,lossyA,interRA'!$BI$32:$BI$32</f>
        <v/>
      </c>
      <c r="D42" s="7">
        <f>'C2 lossyG,lossyA,interRA'!$BJ$32:$BJ$32</f>
        <v/>
      </c>
      <c r="E42" s="7">
        <f>'C2 lossyG,lossyA,interRA'!$BK$32:$BK$32</f>
        <v/>
      </c>
      <c r="F42" s="7">
        <f>'C2 lossyG,lossyA,interRA'!$BL$32:$BL$32</f>
        <v/>
      </c>
      <c r="G42" s="7">
        <f>'C2 lossyG,lossyA,interRA'!$BM$32:$BM$32</f>
        <v/>
      </c>
      <c r="H42" s="7">
        <f>'C2 lossyG,lossyA,interRA'!$BO$32:$BO$32</f>
        <v/>
      </c>
      <c r="I42" s="7">
        <f>'C2 lossyG,lossyA,interRA'!$BP$32:$BP$32</f>
        <v/>
      </c>
      <c r="J42" s="7">
        <f>'C2 lossyG,lossyA,interRA'!$BQ$32:$BQ$32</f>
        <v/>
      </c>
      <c r="K42" s="7">
        <f>'C2 lossyG,lossyA,interRA'!$BR$32:$BR$32</f>
        <v/>
      </c>
      <c r="L42" s="7">
        <f>'C2 lossyG,lossyA,interRA'!$BS$32:$BS$32</f>
        <v/>
      </c>
    </row>
    <row r="43">
      <c r="B43" t="inlineStr">
        <is>
          <t>Avg. Enc Time [%]</t>
        </is>
      </c>
      <c r="C43" s="116">
        <f>'C2 lossyG,lossyA,interRA'!AZ36</f>
        <v/>
      </c>
    </row>
    <row r="44">
      <c r="B44" s="9" t="inlineStr">
        <is>
          <t>Avg. Dec Time [%]</t>
        </is>
      </c>
      <c r="C44" s="117">
        <f>'C2 lossyG,lossyA,interRA'!BB36</f>
        <v/>
      </c>
      <c r="D44" s="9" t="n"/>
      <c r="E44" s="9" t="n"/>
      <c r="F44" s="9" t="n"/>
      <c r="G44" s="9" t="n"/>
      <c r="H44" s="9" t="n"/>
      <c r="I44" s="9" t="n"/>
      <c r="J44" s="9" t="n"/>
      <c r="K44" s="9" t="n"/>
      <c r="L44" s="9" t="n"/>
    </row>
    <row r="50">
      <c r="B50" s="160" t="n"/>
      <c r="C50" s="161" t="inlineStr">
        <is>
          <t>Encoder runtime [%]</t>
        </is>
      </c>
      <c r="D50" s="162" t="n"/>
      <c r="E50" s="163" t="inlineStr">
        <is>
          <t>Decoder runtime [%]</t>
        </is>
      </c>
      <c r="F50" s="162" t="n"/>
    </row>
    <row r="51">
      <c r="B51" s="164" t="n"/>
      <c r="C51" s="58" t="inlineStr">
        <is>
          <t>Self</t>
        </is>
      </c>
      <c r="D51" s="59" t="inlineStr">
        <is>
          <t>Child</t>
        </is>
      </c>
      <c r="E51" s="60" t="inlineStr">
        <is>
          <t>Self</t>
        </is>
      </c>
      <c r="F51" s="61" t="inlineStr">
        <is>
          <t>Child</t>
        </is>
      </c>
    </row>
    <row r="52">
      <c r="B52" s="62" t="inlineStr">
        <is>
          <t>CW_ai</t>
        </is>
      </c>
      <c r="C52" s="63">
        <f>'CW losslG,losslA,intra'!AW16</f>
        <v/>
      </c>
      <c r="D52" s="63">
        <f>'CW losslG,losslA,intra'!AX16</f>
        <v/>
      </c>
      <c r="E52" s="64">
        <f>'CW losslG,losslA,intra'!AY16</f>
        <v/>
      </c>
      <c r="F52" s="63">
        <f>'CW losslG,losslA,intra'!AZ16</f>
        <v/>
      </c>
    </row>
    <row r="53">
      <c r="B53" s="62" t="inlineStr">
        <is>
          <t>CW_ld</t>
        </is>
      </c>
      <c r="C53" s="63">
        <f>'CW losslG,losslA,interLD'!AW16</f>
        <v/>
      </c>
      <c r="D53" s="63">
        <f>'CW losslG,losslA,interLD'!AX16</f>
        <v/>
      </c>
      <c r="E53" s="64">
        <f>'CW losslG,losslA,interLD'!AY16</f>
        <v/>
      </c>
      <c r="F53" s="63">
        <f>'CW losslG,losslA,interLD'!AZ16</f>
        <v/>
      </c>
    </row>
    <row r="54">
      <c r="B54" s="62" t="inlineStr">
        <is>
          <t>C2_ai</t>
        </is>
      </c>
      <c r="C54" s="63">
        <f>'C2 lossyG,lossyA,intra'!AZ36</f>
        <v/>
      </c>
      <c r="D54" s="63">
        <f>'C2 lossyG,lossyA,intra'!BA36</f>
        <v/>
      </c>
      <c r="E54" s="64">
        <f>'C2 lossyG,lossyA,intra'!BB36</f>
        <v/>
      </c>
      <c r="F54" s="63">
        <f>'C2 lossyG,lossyA,intra'!BC36</f>
        <v/>
      </c>
    </row>
    <row r="55">
      <c r="B55" s="62" t="inlineStr">
        <is>
          <t>C2_ra</t>
        </is>
      </c>
      <c r="C55" s="63">
        <f>'C2 lossyG,lossyA,interRA'!AZ36</f>
        <v/>
      </c>
      <c r="D55" s="63">
        <f>'C2 lossyG,lossyA,interRA'!BA36</f>
        <v/>
      </c>
      <c r="E55" s="64">
        <f>'C2 lossyG,lossyA,interRA'!BB36</f>
        <v/>
      </c>
      <c r="F55" s="63">
        <f>'C2 lossyG,lossyA,interRA'!BC36</f>
        <v/>
      </c>
    </row>
  </sheetData>
  <mergeCells count="31">
    <mergeCell ref="B50:B51"/>
    <mergeCell ref="C50:D50"/>
    <mergeCell ref="E50:F50"/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dxfId="1" operator="greaterThanOrEqual" priority="23" type="cellIs">
      <formula>1.03</formula>
    </cfRule>
    <cfRule dxfId="0" operator="lessThanOrEqual" priority="24" type="cellIs">
      <formula>0.97</formula>
    </cfRule>
  </conditionalFormatting>
  <conditionalFormatting sqref="C29 C30 C31">
    <cfRule dxfId="1" operator="greaterThanOrEqual" priority="29" type="cellIs">
      <formula>1.03</formula>
    </cfRule>
    <cfRule dxfId="0" operator="lessThanOrEqual" priority="30" type="cellIs">
      <formula>0.97</formula>
    </cfRule>
  </conditionalFormatting>
  <conditionalFormatting sqref="C40 C41 C42">
    <cfRule dxfId="1" operator="greaterThanOrEqual" priority="35" type="cellIs">
      <formula>0.03</formula>
    </cfRule>
    <cfRule dxfId="0" operator="lessThanOrEqual" priority="36" type="cellIs">
      <formula>-0.03</formula>
    </cfRule>
  </conditionalFormatting>
  <conditionalFormatting sqref="C9 C10 C11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D18 D19 D20">
    <cfRule dxfId="1" operator="greaterThanOrEqual" priority="25" type="cellIs">
      <formula>1.03</formula>
    </cfRule>
    <cfRule dxfId="0" operator="lessThanOrEqual" priority="26" type="cellIs">
      <formula>0.97</formula>
    </cfRule>
  </conditionalFormatting>
  <conditionalFormatting sqref="D29 D30 D31">
    <cfRule dxfId="1" operator="greaterThanOrEqual" priority="31" type="cellIs">
      <formula>1.03</formula>
    </cfRule>
    <cfRule dxfId="0" operator="lessThanOrEqual" priority="32" type="cellIs">
      <formula>0.97</formula>
    </cfRule>
  </conditionalFormatting>
  <conditionalFormatting sqref="D40 D41 D42">
    <cfRule dxfId="1" operator="greaterThanOrEqual" priority="33" type="cellIs">
      <formula>0.03</formula>
    </cfRule>
    <cfRule dxfId="0" operator="lessThanOrEqual" priority="34" type="cellIs">
      <formula>-0.03</formula>
    </cfRule>
  </conditionalFormatting>
  <conditionalFormatting sqref="D9 D10 D11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E18 E19 E20">
    <cfRule dxfId="1" operator="greaterThanOrEqual" priority="21" type="cellIs">
      <formula>1.03</formula>
    </cfRule>
    <cfRule dxfId="0" operator="lessThanOrEqual" priority="22" type="cellIs">
      <formula>0.97</formula>
    </cfRule>
  </conditionalFormatting>
  <conditionalFormatting sqref="E29 E30 E31">
    <cfRule dxfId="1" operator="greaterThanOrEqual" priority="27" type="cellIs">
      <formula>1.03</formula>
    </cfRule>
    <cfRule dxfId="0" operator="lessThanOrEqual" priority="28" type="cellIs">
      <formula>0.97</formula>
    </cfRule>
  </conditionalFormatting>
  <conditionalFormatting sqref="E40 E41 E42">
    <cfRule dxfId="1" operator="greaterThanOrEqual" priority="43" type="cellIs">
      <formula>0.03</formula>
    </cfRule>
    <cfRule dxfId="0" operator="lessThanOrEqual" priority="44" type="cellIs">
      <formula>-0.03</formula>
    </cfRule>
  </conditionalFormatting>
  <conditionalFormatting sqref="E9 E10 E11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F40 F41 F42">
    <cfRule dxfId="1" operator="greaterThanOrEqual" priority="47" type="cellIs">
      <formula>0.03</formula>
    </cfRule>
    <cfRule dxfId="0" operator="lessThanOrEqual" priority="48" type="cellIs">
      <formula>-0.03</formula>
    </cfRule>
  </conditionalFormatting>
  <conditionalFormatting sqref="F9 F10 F11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G40 G41 G42">
    <cfRule dxfId="1" operator="greaterThanOrEqual" priority="49" type="cellIs">
      <formula>0.03</formula>
    </cfRule>
    <cfRule dxfId="0" operator="lessThanOrEqual" priority="50" type="cellIs">
      <formula>-0.03</formula>
    </cfRule>
  </conditionalFormatting>
  <conditionalFormatting sqref="G9 G10 G11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H40 H41 H42">
    <cfRule dxfId="1" operator="greaterThanOrEqual" priority="41" type="cellIs">
      <formula>0.03</formula>
    </cfRule>
    <cfRule dxfId="0" operator="lessThanOrEqual" priority="42" type="cellIs">
      <formula>-0.03</formula>
    </cfRule>
  </conditionalFormatting>
  <conditionalFormatting sqref="H9 H10 H11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I40 I41 I42">
    <cfRule dxfId="1" operator="greaterThanOrEqual" priority="51" type="cellIs">
      <formula>0.03</formula>
    </cfRule>
    <cfRule dxfId="0" operator="lessThanOrEqual" priority="52" type="cellIs">
      <formula>-0.03</formula>
    </cfRule>
  </conditionalFormatting>
  <conditionalFormatting sqref="I9 I10 I11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J40 J41 J42">
    <cfRule dxfId="1" operator="greaterThanOrEqual" priority="37" type="cellIs">
      <formula>0.03</formula>
    </cfRule>
    <cfRule dxfId="0" operator="lessThanOrEqual" priority="38" type="cellIs">
      <formula>-0.03</formula>
    </cfRule>
  </conditionalFormatting>
  <conditionalFormatting sqref="J9 J10 J11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K40 K41 K42">
    <cfRule dxfId="1" operator="greaterThanOrEqual" priority="39" type="cellIs">
      <formula>0.03</formula>
    </cfRule>
    <cfRule dxfId="0" operator="lessThanOrEqual" priority="40" type="cellIs">
      <formula>-0.03</formula>
    </cfRule>
  </conditionalFormatting>
  <conditionalFormatting sqref="K9 K10 K11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L40 L41 L42">
    <cfRule dxfId="1" operator="greaterThanOrEqual" priority="45" type="cellIs">
      <formula>0.03</formula>
    </cfRule>
    <cfRule dxfId="0" operator="lessThanOrEqual" priority="46" type="cellIs">
      <formula>-0.03</formula>
    </cfRule>
  </conditionalFormatting>
  <conditionalFormatting sqref="L9 L10 L11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pageMargins bottom="0.75" footer="0.3" header="0.3" left="0.7" right="0.7" top="0.7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P39"/>
  <sheetViews>
    <sheetView workbookViewId="0">
      <selection activeCell="A1" sqref="A1"/>
    </sheetView>
  </sheetViews>
  <sheetFormatPr baseColWidth="8" defaultRowHeight="14.4"/>
  <cols>
    <col customWidth="1" max="1" min="1" style="4" width="12.6640625"/>
    <col customWidth="1" max="2" min="2" style="4" width="24.6640625"/>
    <col customWidth="1" max="4" min="4" style="4" width="24.6640625"/>
    <col customWidth="1" max="9" min="9" style="4" width="16.6640625"/>
  </cols>
  <sheetData>
    <row r="1">
      <c r="A1" t="inlineStr">
        <is>
          <t>Condition:</t>
        </is>
      </c>
      <c r="B1" s="10">
        <f>M1</f>
        <v/>
      </c>
      <c r="C1" t="inlineStr">
        <is>
          <t>← Select this …</t>
        </is>
      </c>
      <c r="I1" t="inlineStr">
        <is>
          <t>Columns</t>
        </is>
      </c>
      <c r="M1" t="inlineStr">
        <is>
          <t>C2 lossyG,lossyA,intra</t>
        </is>
      </c>
      <c r="N1" t="inlineStr">
        <is>
          <t>CW losslG,losslA,intra</t>
        </is>
      </c>
      <c r="O1" t="inlineStr">
        <is>
          <t>CW losslG,losslA,interLD</t>
        </is>
      </c>
      <c r="P1" t="inlineStr">
        <is>
          <t>C2 lossyG,lossyA,interRA</t>
        </is>
      </c>
    </row>
    <row r="2">
      <c r="A2" t="inlineStr">
        <is>
          <t>Sequence:</t>
        </is>
      </c>
      <c r="B2" s="10">
        <f>HLOOKUP(B1,M1:ZZ3,3,0)</f>
        <v/>
      </c>
      <c r="C2" t="inlineStr">
        <is>
          <t>← … then this</t>
        </is>
      </c>
      <c r="I2" t="inlineStr">
        <is>
          <t>dec.cb-hpsnr</t>
        </is>
      </c>
      <c r="J2" t="inlineStr">
        <is>
          <t>Chroma Cb EtE Hausdorff PSNR</t>
        </is>
      </c>
      <c r="M2" t="inlineStr">
        <is>
          <t>names!$B$74:$X$74</t>
        </is>
      </c>
      <c r="N2" t="inlineStr">
        <is>
          <t>names!$B$137:$W$137</t>
        </is>
      </c>
      <c r="O2" t="inlineStr">
        <is>
          <t>names!$B$200:$W$200</t>
        </is>
      </c>
      <c r="P2" t="inlineStr">
        <is>
          <t>names!$B$274:$X$274</t>
        </is>
      </c>
    </row>
    <row r="3">
      <c r="I3" t="inlineStr">
        <is>
          <t>dec.cb-psnr</t>
        </is>
      </c>
      <c r="J3" t="inlineStr">
        <is>
          <t>Chroma Cb End-to-end PSNR</t>
        </is>
      </c>
      <c r="M3" t="inlineStr">
        <is>
          <t>8ivfbv2_loot_vox10</t>
        </is>
      </c>
      <c r="N3" t="inlineStr">
        <is>
          <t>8ivfbv2_loot_vox10</t>
        </is>
      </c>
      <c r="O3" t="inlineStr">
        <is>
          <t>8ivfbv2_loot_vox10</t>
        </is>
      </c>
      <c r="P3" t="inlineStr">
        <is>
          <t>8ivfbv2_loot_vox10</t>
        </is>
      </c>
    </row>
    <row r="4">
      <c r="A4" t="inlineStr">
        <is>
          <t>X:</t>
        </is>
      </c>
      <c r="B4" s="10" t="inlineStr">
        <is>
          <t>eqn.bpp</t>
        </is>
      </c>
      <c r="C4" t="inlineStr">
        <is>
          <t>Y:</t>
        </is>
      </c>
      <c r="D4" s="10" t="inlineStr">
        <is>
          <t>dec.d1-psnr</t>
        </is>
      </c>
      <c r="E4" t="inlineStr">
        <is>
          <t>← settings for graph a</t>
        </is>
      </c>
      <c r="I4" t="inlineStr">
        <is>
          <t>dec.cr-hpsnr</t>
        </is>
      </c>
      <c r="J4" t="inlineStr">
        <is>
          <t>Chroma Cr EtE Hausdorff PSNR</t>
        </is>
      </c>
      <c r="M4" t="inlineStr">
        <is>
          <t>8ivfbv2_redandblack_vox10</t>
        </is>
      </c>
      <c r="N4" t="inlineStr">
        <is>
          <t>8ivfbv2_redandblack_vox10</t>
        </is>
      </c>
      <c r="O4" t="inlineStr">
        <is>
          <t>8ivfbv2_redandblack_vox10</t>
        </is>
      </c>
      <c r="P4" t="inlineStr">
        <is>
          <t>8ivfbv2_redandblack_vox10</t>
        </is>
      </c>
    </row>
    <row r="5">
      <c r="A5" t="inlineStr">
        <is>
          <t>X:</t>
        </is>
      </c>
      <c r="B5" s="10" t="inlineStr">
        <is>
          <t>eqn.bpp</t>
        </is>
      </c>
      <c r="C5" t="inlineStr">
        <is>
          <t>Y:</t>
        </is>
      </c>
      <c r="D5" s="10" t="inlineStr">
        <is>
          <t>dec.d2-psnr</t>
        </is>
      </c>
      <c r="E5" t="inlineStr">
        <is>
          <t>← settings for graph b</t>
        </is>
      </c>
      <c r="I5" t="inlineStr">
        <is>
          <t>dec.cr-psnr</t>
        </is>
      </c>
      <c r="J5" t="inlineStr">
        <is>
          <t>Chroma Cr End-to-end PSNR</t>
        </is>
      </c>
      <c r="M5" t="inlineStr">
        <is>
          <t>8ivfbv2_soldier_vox10</t>
        </is>
      </c>
      <c r="N5" t="inlineStr">
        <is>
          <t>8ivfbv2_soldier_vox10</t>
        </is>
      </c>
      <c r="O5" t="inlineStr">
        <is>
          <t>8ivfbv2_soldier_vox10</t>
        </is>
      </c>
      <c r="P5" t="inlineStr">
        <is>
          <t>8ivfbv2_soldier_vox10</t>
        </is>
      </c>
    </row>
    <row r="6">
      <c r="A6" t="inlineStr">
        <is>
          <t>X:</t>
        </is>
      </c>
      <c r="B6" s="10" t="inlineStr">
        <is>
          <t>eqn.bpp</t>
        </is>
      </c>
      <c r="C6" t="inlineStr">
        <is>
          <t>Y:</t>
        </is>
      </c>
      <c r="D6" s="10" t="inlineStr">
        <is>
          <t>dec.y-psnr</t>
        </is>
      </c>
      <c r="E6" t="inlineStr">
        <is>
          <t>← settings for graph c</t>
        </is>
      </c>
      <c r="I6" t="inlineStr">
        <is>
          <t>dec.d1-mse</t>
        </is>
      </c>
      <c r="J6" t="inlineStr">
        <is>
          <t>D1 Geometry MSE</t>
        </is>
      </c>
      <c r="M6" t="inlineStr">
        <is>
          <t>queen</t>
        </is>
      </c>
      <c r="N6" t="inlineStr">
        <is>
          <t>queen</t>
        </is>
      </c>
      <c r="O6" t="inlineStr">
        <is>
          <t>queen</t>
        </is>
      </c>
      <c r="P6" t="inlineStr">
        <is>
          <t>queen</t>
        </is>
      </c>
    </row>
    <row r="7">
      <c r="A7" t="inlineStr">
        <is>
          <t>X:</t>
        </is>
      </c>
      <c r="B7" s="10" t="inlineStr">
        <is>
          <t>eqn.bpp</t>
        </is>
      </c>
      <c r="C7" t="inlineStr">
        <is>
          <t>Y:</t>
        </is>
      </c>
      <c r="D7" s="10" t="inlineStr">
        <is>
          <t>dec.cb-psnr</t>
        </is>
      </c>
      <c r="E7" t="inlineStr">
        <is>
          <t>← settings for graph d</t>
        </is>
      </c>
      <c r="I7" t="inlineStr">
        <is>
          <t>dec.d1-psnr</t>
        </is>
      </c>
      <c r="J7" t="inlineStr">
        <is>
          <t>D1 Geometry PSNR</t>
        </is>
      </c>
      <c r="M7" t="inlineStr">
        <is>
          <t>8ivfbv2_longdress_vox10</t>
        </is>
      </c>
      <c r="N7" t="inlineStr">
        <is>
          <t>8ivfbv2_longdress_vox10</t>
        </is>
      </c>
      <c r="O7" t="inlineStr">
        <is>
          <t>8ivfbv2_longdress_vox10</t>
        </is>
      </c>
      <c r="P7" t="inlineStr">
        <is>
          <t>8ivfbv2_longdress_vox10</t>
        </is>
      </c>
    </row>
    <row r="8">
      <c r="A8" t="inlineStr">
        <is>
          <t>X:</t>
        </is>
      </c>
      <c r="B8" s="10" t="inlineStr">
        <is>
          <t>eqn.bpp</t>
        </is>
      </c>
      <c r="C8" t="inlineStr">
        <is>
          <t>Y:</t>
        </is>
      </c>
      <c r="D8" s="10" t="inlineStr">
        <is>
          <t>dec.cr-psnr</t>
        </is>
      </c>
      <c r="E8" t="inlineStr">
        <is>
          <t>← settings for graph e</t>
        </is>
      </c>
      <c r="I8" t="inlineStr">
        <is>
          <t>dec.d2-mse</t>
        </is>
      </c>
      <c r="J8" t="inlineStr">
        <is>
          <t>D2 Geometry MSE</t>
        </is>
      </c>
    </row>
    <row r="9">
      <c r="A9" t="inlineStr">
        <is>
          <t>X:</t>
        </is>
      </c>
      <c r="B9" s="10" t="inlineStr">
        <is>
          <t>eqn.bpp</t>
        </is>
      </c>
      <c r="C9" t="inlineStr">
        <is>
          <t>Y:</t>
        </is>
      </c>
      <c r="D9" s="10" t="inlineStr">
        <is>
          <t>dec.reflectance-psnr</t>
        </is>
      </c>
      <c r="E9" t="inlineStr">
        <is>
          <t>← settings for graph f</t>
        </is>
      </c>
      <c r="I9" t="inlineStr">
        <is>
          <t>dec.d2-psnr</t>
        </is>
      </c>
      <c r="J9" t="inlineStr">
        <is>
          <t>D2 Geometry PSNR</t>
        </is>
      </c>
    </row>
    <row r="10">
      <c r="I10" t="inlineStr">
        <is>
          <t>dec.numduppoints.mean</t>
        </is>
      </c>
      <c r="J10" t="inlineStr">
        <is>
          <t>Mean duplicate points</t>
        </is>
      </c>
    </row>
    <row r="11">
      <c r="I11" t="inlineStr">
        <is>
          <t>dec.numpoints</t>
        </is>
      </c>
      <c r="J11" t="inlineStr">
        <is>
          <t>№ output points</t>
        </is>
      </c>
    </row>
    <row r="12">
      <c r="I12" t="inlineStr">
        <is>
          <t>dec.numpoints.mean</t>
        </is>
      </c>
      <c r="J12" t="inlineStr">
        <is>
          <t>Mean output points</t>
        </is>
      </c>
    </row>
    <row r="13">
      <c r="I13" t="inlineStr">
        <is>
          <t>dec.post-recolour.cb-psnr</t>
        </is>
      </c>
      <c r="J13" t="inlineStr">
        <is>
          <t>Chroma Cb Post recolour PSNR</t>
        </is>
      </c>
    </row>
    <row r="14">
      <c r="I14" t="inlineStr">
        <is>
          <t>dec.post-recolour.cr-psnr</t>
        </is>
      </c>
      <c r="J14" t="inlineStr">
        <is>
          <t>Chroma Cr Post recolour PSNR</t>
        </is>
      </c>
    </row>
    <row r="15">
      <c r="I15" t="inlineStr">
        <is>
          <t>dec.post-recolour.y-psnr</t>
        </is>
      </c>
      <c r="J15" t="inlineStr">
        <is>
          <t>Luma Post recolour PSNR</t>
        </is>
      </c>
    </row>
    <row r="16">
      <c r="I16" t="inlineStr">
        <is>
          <t>dec.reflectance-hpsnr</t>
        </is>
      </c>
      <c r="J16" t="inlineStr">
        <is>
          <t>Reflectance EtE Hausdorff PSNR</t>
        </is>
      </c>
    </row>
    <row r="17">
      <c r="I17" t="inlineStr">
        <is>
          <t>dec.reflectance-psnr</t>
        </is>
      </c>
      <c r="J17" t="inlineStr">
        <is>
          <t>Reflectance End-to-end PSNR</t>
        </is>
      </c>
    </row>
    <row r="18">
      <c r="I18" t="inlineStr">
        <is>
          <t>dec.utime</t>
        </is>
      </c>
      <c r="J18" t="inlineStr">
        <is>
          <t>User Decoder runtime</t>
        </is>
      </c>
    </row>
    <row r="19">
      <c r="I19" t="inlineStr">
        <is>
          <t>dec.utime.children</t>
        </is>
      </c>
      <c r="J19" t="inlineStr">
        <is>
          <t>Child Decoder runtime</t>
        </is>
      </c>
    </row>
    <row r="20">
      <c r="I20" t="inlineStr">
        <is>
          <t>dec.utime.self</t>
        </is>
      </c>
      <c r="J20" t="inlineStr">
        <is>
          <t>Self Decoder runtime</t>
        </is>
      </c>
    </row>
    <row r="21">
      <c r="I21" t="inlineStr">
        <is>
          <t>dec.y-hpsnr</t>
        </is>
      </c>
      <c r="J21" t="inlineStr">
        <is>
          <t>Luma EtE Hausdorff PSNR</t>
        </is>
      </c>
    </row>
    <row r="22">
      <c r="I22" t="inlineStr">
        <is>
          <t>dec.y-psnr</t>
        </is>
      </c>
      <c r="J22" t="inlineStr">
        <is>
          <t>Luma End-to-end PSNR</t>
        </is>
      </c>
    </row>
    <row r="23">
      <c r="I23" t="inlineStr">
        <is>
          <t>enc.bits.colour</t>
        </is>
      </c>
      <c r="J23" t="inlineStr">
        <is>
          <t>Colour Bitstream</t>
        </is>
      </c>
    </row>
    <row r="24">
      <c r="I24" t="inlineStr">
        <is>
          <t>enc.bits.geometry</t>
        </is>
      </c>
      <c r="J24" t="inlineStr">
        <is>
          <t>Geometry Bitstream</t>
        </is>
      </c>
    </row>
    <row r="25">
      <c r="I25" t="inlineStr">
        <is>
          <t>enc.bits.occ+patch</t>
        </is>
      </c>
      <c r="J25" t="inlineStr">
        <is>
          <t>Occ+Patch Bitstream</t>
        </is>
      </c>
    </row>
    <row r="26">
      <c r="I26" t="inlineStr">
        <is>
          <t>enc.bits.reflectance</t>
        </is>
      </c>
      <c r="J26" t="inlineStr">
        <is>
          <t>Reflectance Bitstream</t>
        </is>
      </c>
    </row>
    <row r="27">
      <c r="I27" t="inlineStr">
        <is>
          <t>enc.ext.bits</t>
        </is>
      </c>
      <c r="J27" t="inlineStr">
        <is>
          <t>Total Bitstream</t>
        </is>
      </c>
    </row>
    <row r="28">
      <c r="I28" t="inlineStr">
        <is>
          <t>enc.utime</t>
        </is>
      </c>
      <c r="J28" t="inlineStr">
        <is>
          <t>User Encoder runtime</t>
        </is>
      </c>
    </row>
    <row r="29">
      <c r="I29" t="inlineStr">
        <is>
          <t>enc.utime.children</t>
        </is>
      </c>
      <c r="J29" t="inlineStr">
        <is>
          <t>Child Encoder runtime</t>
        </is>
      </c>
    </row>
    <row r="30">
      <c r="I30" t="inlineStr">
        <is>
          <t>enc.utime.self</t>
        </is>
      </c>
      <c r="J30" t="inlineStr">
        <is>
          <t>Self Encoder runtime</t>
        </is>
      </c>
    </row>
    <row r="31">
      <c r="I31" t="inlineStr">
        <is>
          <t>eqn.bitrate</t>
        </is>
      </c>
      <c r="J31" t="inlineStr">
        <is>
          <t>Rate</t>
        </is>
      </c>
    </row>
    <row r="32">
      <c r="I32" t="inlineStr">
        <is>
          <t>eqn.bits.totalgeometry</t>
        </is>
      </c>
      <c r="J32" t="inlineStr">
        <is>
          <t>eqn.bits.totalgeometry Bitstream</t>
        </is>
      </c>
    </row>
    <row r="33">
      <c r="I33" t="inlineStr">
        <is>
          <t>eqn.bpop</t>
        </is>
      </c>
      <c r="J33" t="inlineStr">
        <is>
          <t>Total Bits per output point</t>
        </is>
      </c>
    </row>
    <row r="34">
      <c r="I34" t="inlineStr">
        <is>
          <t>eqn.bpp</t>
        </is>
      </c>
      <c r="J34" t="inlineStr">
        <is>
          <t>Total Bits per input point</t>
        </is>
      </c>
    </row>
    <row r="35">
      <c r="I35" t="inlineStr">
        <is>
          <t>eqn.bpp.colour</t>
        </is>
      </c>
      <c r="J35" t="inlineStr">
        <is>
          <t>Colour  Bits per input point</t>
        </is>
      </c>
    </row>
    <row r="36">
      <c r="I36" t="inlineStr">
        <is>
          <t>eqn.bpp.geometry</t>
        </is>
      </c>
      <c r="J36" t="inlineStr">
        <is>
          <t>Geometry Bits per input point</t>
        </is>
      </c>
    </row>
    <row r="37">
      <c r="I37" t="inlineStr">
        <is>
          <t>eqn.bpp.geometry+occ+patch</t>
        </is>
      </c>
      <c r="J37" t="inlineStr">
        <is>
          <t>Tot.Geom Bits per input point</t>
        </is>
      </c>
    </row>
    <row r="38">
      <c r="I38" t="inlineStr">
        <is>
          <t>eqn.bpp.reflectance</t>
        </is>
      </c>
      <c r="J38" t="inlineStr">
        <is>
          <t>Reflectance Bits per input point</t>
        </is>
      </c>
    </row>
    <row r="39">
      <c r="I39" t="inlineStr">
        <is>
          <t>eqn.compratio</t>
        </is>
      </c>
      <c r="J39" t="inlineStr">
        <is>
          <t>Comp. ratio</t>
        </is>
      </c>
    </row>
  </sheetData>
  <conditionalFormatting sqref="B2">
    <cfRule dxfId="68" priority="1" type="expression">
      <formula>ISNA(MATCH(B2,OFFSET(M:M,2,MATCH(B1,M1:ZZ1,0)-1,COUNTA(INDEX(M:ZZ,,MATCH(B1,M1:ZZ1,0)))-2),0))</formula>
    </cfRule>
  </conditionalFormatting>
  <conditionalFormatting sqref="B4 D4 B5 D5 B6 D6 B7 D7 B8 D8 B9 D9">
    <cfRule dxfId="68" priority="2" type="expression">
      <formula>ISNA(MATCH(B4,filter_cols,0))</formula>
    </cfRule>
  </conditionalFormatting>
  <dataValidations count="3">
    <dataValidation allowBlank="0" showErrorMessage="1" showInputMessage="1" sqref="B1" type="list">
      <formula1>OFFSET(1:1,0,COLUMN(M1)-1,1,COUNTA(M1:ZZ1))</formula1>
    </dataValidation>
    <dataValidation allowBlank="0" showErrorMessage="1" showInputMessage="1" sqref="B2" type="list">
      <formula1>OFFSET(M:M,2,MATCH(B1,M1:ZZ1,0)-1,COUNTA(INDEX(M:ZZ,,MATCH(B1,M1:ZZ1,0)))-2)</formula1>
    </dataValidation>
    <dataValidation allowBlank="0" showErrorMessage="1" showInputMessage="1" sqref="B4:B9 D4:D9" type="list">
      <formula1>Graphs!filter_cols</formula1>
    </dataValidation>
  </dataValidations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>
  <sheetPr codeName="Sheet4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customHeight="1" ht="14.4" r="1" s="4">
      <c r="A1" s="132" t="inlineStr">
        <is>
          <t>C2_ai — lossy geometry, lossy attributes [all intra]</t>
        </is>
      </c>
      <c r="I1" s="128">
        <f>Summary!$C$1</f>
        <v/>
      </c>
      <c r="AG1" s="129">
        <f>Summary!$C$2</f>
        <v/>
      </c>
    </row>
    <row customHeight="1" ht="30" r="2" s="4" thickBot="1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customHeight="1" ht="15" r="3" s="4" thickBot="1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32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21558664</v>
      </c>
      <c r="Q5" s="19" t="n">
        <v>673708.25</v>
      </c>
      <c r="R5" s="19" t="n">
        <v>13654.3125</v>
      </c>
      <c r="S5" s="20" t="n">
        <v>2410792</v>
      </c>
      <c r="T5" s="20" t="n">
        <v>840048</v>
      </c>
      <c r="U5" s="20" t="n">
        <v>691216</v>
      </c>
      <c r="V5" s="20" t="n">
        <v>879400</v>
      </c>
      <c r="W5" s="21" t="n">
        <v>66.3152</v>
      </c>
      <c r="X5" s="21" t="n">
        <v>68.4126875</v>
      </c>
      <c r="Y5" s="21" t="n">
        <v>32.179003125</v>
      </c>
      <c r="Z5" s="21" t="n">
        <v>44.135365625</v>
      </c>
      <c r="AA5" s="21" t="n">
        <v>43.688628125</v>
      </c>
      <c r="AB5" s="22" t="n">
        <v>3207.36</v>
      </c>
      <c r="AC5" s="22" t="n">
        <v>860.199</v>
      </c>
      <c r="AD5" s="22" t="n">
        <v>4.855</v>
      </c>
      <c r="AE5" s="22" t="n">
        <v>16.188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21558664</v>
      </c>
      <c r="AO5" s="19" t="n">
        <v>673708.25</v>
      </c>
      <c r="AP5" s="19" t="n">
        <v>13654.3125</v>
      </c>
      <c r="AQ5" s="20" t="n">
        <v>2410792</v>
      </c>
      <c r="AR5" s="20" t="n">
        <v>840048</v>
      </c>
      <c r="AS5" s="20" t="n">
        <v>691216</v>
      </c>
      <c r="AT5" s="20" t="n">
        <v>879400</v>
      </c>
      <c r="AU5" s="21" t="n">
        <v>66.3152</v>
      </c>
      <c r="AV5" s="21" t="n">
        <v>68.4126875</v>
      </c>
      <c r="AW5" s="21" t="n">
        <v>32.179003125</v>
      </c>
      <c r="AX5" s="21" t="n">
        <v>44.135365625</v>
      </c>
      <c r="AY5" s="21" t="n">
        <v>43.688628125</v>
      </c>
      <c r="AZ5" s="22" t="n">
        <v>3199.86</v>
      </c>
      <c r="BA5" s="22" t="n">
        <v>865.755</v>
      </c>
      <c r="BB5" s="22" t="n">
        <v>4.762</v>
      </c>
      <c r="BC5" s="22" t="n">
        <v>15.949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32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24145156</v>
      </c>
      <c r="Q6" s="29" t="n">
        <v>754536.125</v>
      </c>
      <c r="R6" s="29" t="n">
        <v>19085.875</v>
      </c>
      <c r="S6" s="30" t="n">
        <v>3735984</v>
      </c>
      <c r="T6" s="30" t="n">
        <v>1160752</v>
      </c>
      <c r="U6" s="30" t="n">
        <v>691216</v>
      </c>
      <c r="V6" s="30" t="n">
        <v>1883888</v>
      </c>
      <c r="W6" s="31" t="n">
        <v>68.236996875</v>
      </c>
      <c r="X6" s="31" t="n">
        <v>70.346675</v>
      </c>
      <c r="Y6" s="31" t="n">
        <v>34.47163125</v>
      </c>
      <c r="Z6" s="31" t="n">
        <v>45.46289375</v>
      </c>
      <c r="AA6" s="31" t="n">
        <v>45.183921875</v>
      </c>
      <c r="AB6" s="32" t="n">
        <v>3217.28</v>
      </c>
      <c r="AC6" s="32" t="n">
        <v>912.0700000000001</v>
      </c>
      <c r="AD6" s="32" t="n">
        <v>5.228</v>
      </c>
      <c r="AE6" s="32" t="n">
        <v>16.777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24145156</v>
      </c>
      <c r="AO6" s="29" t="n">
        <v>754536.125</v>
      </c>
      <c r="AP6" s="29" t="n">
        <v>19085.875</v>
      </c>
      <c r="AQ6" s="30" t="n">
        <v>3735984</v>
      </c>
      <c r="AR6" s="30" t="n">
        <v>1160752</v>
      </c>
      <c r="AS6" s="30" t="n">
        <v>691216</v>
      </c>
      <c r="AT6" s="30" t="n">
        <v>1883888</v>
      </c>
      <c r="AU6" s="31" t="n">
        <v>68.236996875</v>
      </c>
      <c r="AV6" s="31" t="n">
        <v>70.346675</v>
      </c>
      <c r="AW6" s="31" t="n">
        <v>34.47163125</v>
      </c>
      <c r="AX6" s="31" t="n">
        <v>45.46289375</v>
      </c>
      <c r="AY6" s="31" t="n">
        <v>45.183921875</v>
      </c>
      <c r="AZ6" s="32" t="n">
        <v>3205.16</v>
      </c>
      <c r="BA6" s="32" t="n">
        <v>919.7329999999999</v>
      </c>
      <c r="BB6" s="32" t="n">
        <v>4.943</v>
      </c>
      <c r="BC6" s="32" t="n">
        <v>16.036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32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24795715</v>
      </c>
      <c r="Q7" s="19" t="n">
        <v>774866.09375</v>
      </c>
      <c r="R7" s="19" t="n">
        <v>21114.21875</v>
      </c>
      <c r="S7" s="20" t="n">
        <v>6101984</v>
      </c>
      <c r="T7" s="20" t="n">
        <v>1604080</v>
      </c>
      <c r="U7" s="20" t="n">
        <v>691216</v>
      </c>
      <c r="V7" s="20" t="n">
        <v>3806560</v>
      </c>
      <c r="W7" s="21" t="n">
        <v>69.661175</v>
      </c>
      <c r="X7" s="21" t="n">
        <v>72.030415625</v>
      </c>
      <c r="Y7" s="21" t="n">
        <v>37.006359375</v>
      </c>
      <c r="Z7" s="21" t="n">
        <v>46.5696125</v>
      </c>
      <c r="AA7" s="21" t="n">
        <v>46.45190625</v>
      </c>
      <c r="AB7" s="22" t="n">
        <v>3260.11</v>
      </c>
      <c r="AC7" s="22" t="n">
        <v>972.252</v>
      </c>
      <c r="AD7" s="22" t="n">
        <v>5.238</v>
      </c>
      <c r="AE7" s="22" t="n">
        <v>17.094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24795715</v>
      </c>
      <c r="AO7" s="19" t="n">
        <v>774866.09375</v>
      </c>
      <c r="AP7" s="19" t="n">
        <v>21114.21875</v>
      </c>
      <c r="AQ7" s="20" t="n">
        <v>6101984</v>
      </c>
      <c r="AR7" s="20" t="n">
        <v>1604080</v>
      </c>
      <c r="AS7" s="20" t="n">
        <v>691216</v>
      </c>
      <c r="AT7" s="20" t="n">
        <v>3806560</v>
      </c>
      <c r="AU7" s="21" t="n">
        <v>69.661175</v>
      </c>
      <c r="AV7" s="21" t="n">
        <v>72.030415625</v>
      </c>
      <c r="AW7" s="21" t="n">
        <v>37.006359375</v>
      </c>
      <c r="AX7" s="21" t="n">
        <v>46.5696125</v>
      </c>
      <c r="AY7" s="21" t="n">
        <v>46.45190625</v>
      </c>
      <c r="AZ7" s="22" t="n">
        <v>3310.85</v>
      </c>
      <c r="BA7" s="22" t="n">
        <v>973.394</v>
      </c>
      <c r="BB7" s="22" t="n">
        <v>5.159</v>
      </c>
      <c r="BC7" s="22" t="n">
        <v>17.064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32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25961853</v>
      </c>
      <c r="Q8" s="29" t="n">
        <v>811307.90625</v>
      </c>
      <c r="R8" s="29" t="n">
        <v>24718.375</v>
      </c>
      <c r="S8" s="30" t="n">
        <v>10607688</v>
      </c>
      <c r="T8" s="30" t="n">
        <v>2350544</v>
      </c>
      <c r="U8" s="30" t="n">
        <v>691216</v>
      </c>
      <c r="V8" s="30" t="n">
        <v>7565800</v>
      </c>
      <c r="W8" s="31" t="n">
        <v>70.73971874999999</v>
      </c>
      <c r="X8" s="31" t="n">
        <v>73.2784375</v>
      </c>
      <c r="Y8" s="31" t="n">
        <v>39.62754375</v>
      </c>
      <c r="Z8" s="31" t="n">
        <v>47.914721875</v>
      </c>
      <c r="AA8" s="31" t="n">
        <v>47.954315625</v>
      </c>
      <c r="AB8" s="32" t="n">
        <v>3224.53</v>
      </c>
      <c r="AC8" s="32" t="n">
        <v>1057.45</v>
      </c>
      <c r="AD8" s="32" t="n">
        <v>5.335</v>
      </c>
      <c r="AE8" s="32" t="n">
        <v>18.006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25961853</v>
      </c>
      <c r="AO8" s="29" t="n">
        <v>811307.90625</v>
      </c>
      <c r="AP8" s="29" t="n">
        <v>24718.375</v>
      </c>
      <c r="AQ8" s="30" t="n">
        <v>10607688</v>
      </c>
      <c r="AR8" s="30" t="n">
        <v>2350544</v>
      </c>
      <c r="AS8" s="30" t="n">
        <v>691216</v>
      </c>
      <c r="AT8" s="30" t="n">
        <v>7565800</v>
      </c>
      <c r="AU8" s="31" t="n">
        <v>70.73971874999999</v>
      </c>
      <c r="AV8" s="31" t="n">
        <v>73.2784375</v>
      </c>
      <c r="AW8" s="31" t="n">
        <v>39.62754375</v>
      </c>
      <c r="AX8" s="31" t="n">
        <v>47.914721875</v>
      </c>
      <c r="AY8" s="31" t="n">
        <v>47.954315625</v>
      </c>
      <c r="AZ8" s="32" t="n">
        <v>3292.4</v>
      </c>
      <c r="BA8" s="32" t="n">
        <v>1063.88</v>
      </c>
      <c r="BB8" s="32" t="n">
        <v>5.164</v>
      </c>
      <c r="BC8" s="32" t="n">
        <v>17.121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32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25019046</v>
      </c>
      <c r="Q9" s="39" t="n">
        <v>781845.1875</v>
      </c>
      <c r="R9" s="39" t="n">
        <v>10463.8125</v>
      </c>
      <c r="S9" s="40" t="n">
        <v>19290688</v>
      </c>
      <c r="T9" s="40" t="n">
        <v>3594216</v>
      </c>
      <c r="U9" s="40" t="n">
        <v>1298048</v>
      </c>
      <c r="V9" s="40" t="n">
        <v>14398296</v>
      </c>
      <c r="W9" s="41" t="n">
        <v>72.071484375</v>
      </c>
      <c r="X9" s="41" t="n">
        <v>75.30393125000001</v>
      </c>
      <c r="Y9" s="41" t="n">
        <v>42.0463625</v>
      </c>
      <c r="Z9" s="41" t="n">
        <v>49.4445375</v>
      </c>
      <c r="AA9" s="41" t="n">
        <v>49.603828125</v>
      </c>
      <c r="AB9" s="42" t="n">
        <v>3265.43</v>
      </c>
      <c r="AC9" s="42" t="n">
        <v>1219.57</v>
      </c>
      <c r="AD9" s="42" t="n">
        <v>5.114</v>
      </c>
      <c r="AE9" s="42" t="n">
        <v>18.593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25019046</v>
      </c>
      <c r="AO9" s="39" t="n">
        <v>781845.1875</v>
      </c>
      <c r="AP9" s="39" t="n">
        <v>10463.8125</v>
      </c>
      <c r="AQ9" s="40" t="n">
        <v>19290688</v>
      </c>
      <c r="AR9" s="40" t="n">
        <v>3594216</v>
      </c>
      <c r="AS9" s="40" t="n">
        <v>1298048</v>
      </c>
      <c r="AT9" s="40" t="n">
        <v>14398296</v>
      </c>
      <c r="AU9" s="41" t="n">
        <v>72.071484375</v>
      </c>
      <c r="AV9" s="41" t="n">
        <v>75.30393125000001</v>
      </c>
      <c r="AW9" s="41" t="n">
        <v>42.0463625</v>
      </c>
      <c r="AX9" s="41" t="n">
        <v>49.4445375</v>
      </c>
      <c r="AY9" s="41" t="n">
        <v>49.603828125</v>
      </c>
      <c r="AZ9" s="42" t="n">
        <v>3326.93</v>
      </c>
      <c r="BA9" s="42" t="n">
        <v>1215.05</v>
      </c>
      <c r="BB9" s="42" t="n">
        <v>4.978</v>
      </c>
      <c r="BC9" s="42" t="n">
        <v>19.237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32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20616589</v>
      </c>
      <c r="Q10" s="29" t="n">
        <v>644268.40625</v>
      </c>
      <c r="R10" s="29" t="n">
        <v>18739.96875</v>
      </c>
      <c r="S10" s="30" t="n">
        <v>3507312</v>
      </c>
      <c r="T10" s="30" t="n">
        <v>910552</v>
      </c>
      <c r="U10" s="30" t="n">
        <v>893144</v>
      </c>
      <c r="V10" s="30" t="n">
        <v>1703488</v>
      </c>
      <c r="W10" s="31" t="n">
        <v>65.9114125</v>
      </c>
      <c r="X10" s="31" t="n">
        <v>67.86356875</v>
      </c>
      <c r="Y10" s="31" t="n">
        <v>32.5537375</v>
      </c>
      <c r="Z10" s="31" t="n">
        <v>39.25295</v>
      </c>
      <c r="AA10" s="31" t="n">
        <v>32.22900625</v>
      </c>
      <c r="AB10" s="32" t="n">
        <v>3529.59</v>
      </c>
      <c r="AC10" s="32" t="n">
        <v>849.17</v>
      </c>
      <c r="AD10" s="32" t="n">
        <v>4.552</v>
      </c>
      <c r="AE10" s="32" t="n">
        <v>15.471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20616589</v>
      </c>
      <c r="AO10" s="29" t="n">
        <v>644268.40625</v>
      </c>
      <c r="AP10" s="29" t="n">
        <v>18739.96875</v>
      </c>
      <c r="AQ10" s="30" t="n">
        <v>3507312</v>
      </c>
      <c r="AR10" s="30" t="n">
        <v>910552</v>
      </c>
      <c r="AS10" s="30" t="n">
        <v>893144</v>
      </c>
      <c r="AT10" s="30" t="n">
        <v>1703488</v>
      </c>
      <c r="AU10" s="31" t="n">
        <v>65.9114125</v>
      </c>
      <c r="AV10" s="31" t="n">
        <v>67.86356875</v>
      </c>
      <c r="AW10" s="31" t="n">
        <v>32.5537375</v>
      </c>
      <c r="AX10" s="31" t="n">
        <v>39.25295</v>
      </c>
      <c r="AY10" s="31" t="n">
        <v>32.22900625</v>
      </c>
      <c r="AZ10" s="32" t="n">
        <v>3608.42</v>
      </c>
      <c r="BA10" s="32" t="n">
        <v>854.528</v>
      </c>
      <c r="BB10" s="32" t="n">
        <v>4.447</v>
      </c>
      <c r="BC10" s="32" t="n">
        <v>15.274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32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22354923</v>
      </c>
      <c r="Q11" s="19" t="n">
        <v>698591.34375</v>
      </c>
      <c r="R11" s="19" t="n">
        <v>24804.25</v>
      </c>
      <c r="S11" s="20" t="n">
        <v>5061464</v>
      </c>
      <c r="T11" s="20" t="n">
        <v>1274456</v>
      </c>
      <c r="U11" s="20" t="n">
        <v>893144</v>
      </c>
      <c r="V11" s="20" t="n">
        <v>2893736</v>
      </c>
      <c r="W11" s="21" t="n">
        <v>67.647353125</v>
      </c>
      <c r="X11" s="21" t="n">
        <v>69.71185625</v>
      </c>
      <c r="Y11" s="21" t="n">
        <v>34.420765625</v>
      </c>
      <c r="Z11" s="21" t="n">
        <v>40.13378125</v>
      </c>
      <c r="AA11" s="21" t="n">
        <v>34.021765625</v>
      </c>
      <c r="AB11" s="22" t="n">
        <v>3542.61</v>
      </c>
      <c r="AC11" s="22" t="n">
        <v>906.537</v>
      </c>
      <c r="AD11" s="22" t="n">
        <v>4.717</v>
      </c>
      <c r="AE11" s="22" t="n">
        <v>16.462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22354923</v>
      </c>
      <c r="AO11" s="19" t="n">
        <v>698591.34375</v>
      </c>
      <c r="AP11" s="19" t="n">
        <v>24804.25</v>
      </c>
      <c r="AQ11" s="20" t="n">
        <v>5061464</v>
      </c>
      <c r="AR11" s="20" t="n">
        <v>1274456</v>
      </c>
      <c r="AS11" s="20" t="n">
        <v>893144</v>
      </c>
      <c r="AT11" s="20" t="n">
        <v>2893736</v>
      </c>
      <c r="AU11" s="21" t="n">
        <v>67.647353125</v>
      </c>
      <c r="AV11" s="21" t="n">
        <v>69.71185625</v>
      </c>
      <c r="AW11" s="21" t="n">
        <v>34.420765625</v>
      </c>
      <c r="AX11" s="21" t="n">
        <v>40.13378125</v>
      </c>
      <c r="AY11" s="21" t="n">
        <v>34.021765625</v>
      </c>
      <c r="AZ11" s="22" t="n">
        <v>3519.57</v>
      </c>
      <c r="BA11" s="22" t="n">
        <v>919.34</v>
      </c>
      <c r="BB11" s="22" t="n">
        <v>4.799</v>
      </c>
      <c r="BC11" s="22" t="n">
        <v>16.132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32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22744184</v>
      </c>
      <c r="Q12" s="29" t="n">
        <v>710755.75</v>
      </c>
      <c r="R12" s="29" t="n">
        <v>26442.53125</v>
      </c>
      <c r="S12" s="30" t="n">
        <v>7838800</v>
      </c>
      <c r="T12" s="30" t="n">
        <v>1810568</v>
      </c>
      <c r="U12" s="30" t="n">
        <v>893144</v>
      </c>
      <c r="V12" s="30" t="n">
        <v>5134960</v>
      </c>
      <c r="W12" s="31" t="n">
        <v>69.01900625</v>
      </c>
      <c r="X12" s="31" t="n">
        <v>71.354128125</v>
      </c>
      <c r="Y12" s="31" t="n">
        <v>36.53320625</v>
      </c>
      <c r="Z12" s="31" t="n">
        <v>41.05535625</v>
      </c>
      <c r="AA12" s="31" t="n">
        <v>35.8284875</v>
      </c>
      <c r="AB12" s="32" t="n">
        <v>3467.66</v>
      </c>
      <c r="AC12" s="32" t="n">
        <v>970.729</v>
      </c>
      <c r="AD12" s="32" t="n">
        <v>4.772</v>
      </c>
      <c r="AE12" s="32" t="n">
        <v>16.731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22744184</v>
      </c>
      <c r="AO12" s="29" t="n">
        <v>710755.75</v>
      </c>
      <c r="AP12" s="29" t="n">
        <v>26442.53125</v>
      </c>
      <c r="AQ12" s="30" t="n">
        <v>7838800</v>
      </c>
      <c r="AR12" s="30" t="n">
        <v>1810568</v>
      </c>
      <c r="AS12" s="30" t="n">
        <v>893144</v>
      </c>
      <c r="AT12" s="30" t="n">
        <v>5134960</v>
      </c>
      <c r="AU12" s="31" t="n">
        <v>69.01900625</v>
      </c>
      <c r="AV12" s="31" t="n">
        <v>71.354128125</v>
      </c>
      <c r="AW12" s="31" t="n">
        <v>36.53320625</v>
      </c>
      <c r="AX12" s="31" t="n">
        <v>41.05535625</v>
      </c>
      <c r="AY12" s="31" t="n">
        <v>35.8284875</v>
      </c>
      <c r="AZ12" s="32" t="n">
        <v>3494.18</v>
      </c>
      <c r="BA12" s="32" t="n">
        <v>968.3339999999999</v>
      </c>
      <c r="BB12" s="32" t="n">
        <v>4.861</v>
      </c>
      <c r="BC12" s="32" t="n">
        <v>16.618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32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23724251</v>
      </c>
      <c r="Q13" s="19" t="n">
        <v>741382.84375</v>
      </c>
      <c r="R13" s="19" t="n">
        <v>30299.78125</v>
      </c>
      <c r="S13" s="20" t="n">
        <v>13566824</v>
      </c>
      <c r="T13" s="20" t="n">
        <v>2754040</v>
      </c>
      <c r="U13" s="20" t="n">
        <v>893144</v>
      </c>
      <c r="V13" s="20" t="n">
        <v>9919512</v>
      </c>
      <c r="W13" s="21" t="n">
        <v>70.047775</v>
      </c>
      <c r="X13" s="21" t="n">
        <v>72.59493437499999</v>
      </c>
      <c r="Y13" s="21" t="n">
        <v>38.87225</v>
      </c>
      <c r="Z13" s="21" t="n">
        <v>42.22015</v>
      </c>
      <c r="AA13" s="21" t="n">
        <v>37.913215625</v>
      </c>
      <c r="AB13" s="22" t="n">
        <v>3683.84</v>
      </c>
      <c r="AC13" s="22" t="n">
        <v>1134.11</v>
      </c>
      <c r="AD13" s="22" t="n">
        <v>5.173</v>
      </c>
      <c r="AE13" s="22" t="n">
        <v>17.986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23724251</v>
      </c>
      <c r="AO13" s="19" t="n">
        <v>741382.84375</v>
      </c>
      <c r="AP13" s="19" t="n">
        <v>30299.78125</v>
      </c>
      <c r="AQ13" s="20" t="n">
        <v>13566824</v>
      </c>
      <c r="AR13" s="20" t="n">
        <v>2754040</v>
      </c>
      <c r="AS13" s="20" t="n">
        <v>893144</v>
      </c>
      <c r="AT13" s="20" t="n">
        <v>9919512</v>
      </c>
      <c r="AU13" s="21" t="n">
        <v>70.047775</v>
      </c>
      <c r="AV13" s="21" t="n">
        <v>72.59493437499999</v>
      </c>
      <c r="AW13" s="21" t="n">
        <v>38.87225</v>
      </c>
      <c r="AX13" s="21" t="n">
        <v>42.22015</v>
      </c>
      <c r="AY13" s="21" t="n">
        <v>37.913215625</v>
      </c>
      <c r="AZ13" s="22" t="n">
        <v>3502.3</v>
      </c>
      <c r="BA13" s="22" t="n">
        <v>1079.46</v>
      </c>
      <c r="BB13" s="22" t="n">
        <v>4.964</v>
      </c>
      <c r="BC13" s="22" t="n">
        <v>17.2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32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22484037</v>
      </c>
      <c r="Q14" s="49" t="n">
        <v>702626.15625</v>
      </c>
      <c r="R14" s="49" t="n">
        <v>14049.1875</v>
      </c>
      <c r="S14" s="50" t="n">
        <v>24510064</v>
      </c>
      <c r="T14" s="50" t="n">
        <v>4326168</v>
      </c>
      <c r="U14" s="50" t="n">
        <v>1663472</v>
      </c>
      <c r="V14" s="50" t="n">
        <v>18520296</v>
      </c>
      <c r="W14" s="51" t="n">
        <v>71.21169374999999</v>
      </c>
      <c r="X14" s="51" t="n">
        <v>74.745203125</v>
      </c>
      <c r="Y14" s="51" t="n">
        <v>41.1344625</v>
      </c>
      <c r="Z14" s="51" t="n">
        <v>43.5541875</v>
      </c>
      <c r="AA14" s="51" t="n">
        <v>39.763240625</v>
      </c>
      <c r="AB14" s="52" t="n">
        <v>3702.94</v>
      </c>
      <c r="AC14" s="52" t="n">
        <v>1289.25</v>
      </c>
      <c r="AD14" s="52" t="n">
        <v>4.777</v>
      </c>
      <c r="AE14" s="52" t="n">
        <v>18.286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22484037</v>
      </c>
      <c r="AO14" s="49" t="n">
        <v>702626.15625</v>
      </c>
      <c r="AP14" s="49" t="n">
        <v>14049.1875</v>
      </c>
      <c r="AQ14" s="50" t="n">
        <v>24510064</v>
      </c>
      <c r="AR14" s="50" t="n">
        <v>4326168</v>
      </c>
      <c r="AS14" s="50" t="n">
        <v>1663472</v>
      </c>
      <c r="AT14" s="50" t="n">
        <v>18520296</v>
      </c>
      <c r="AU14" s="51" t="n">
        <v>71.21169374999999</v>
      </c>
      <c r="AV14" s="51" t="n">
        <v>74.745203125</v>
      </c>
      <c r="AW14" s="51" t="n">
        <v>41.1344625</v>
      </c>
      <c r="AX14" s="51" t="n">
        <v>43.5541875</v>
      </c>
      <c r="AY14" s="51" t="n">
        <v>39.763240625</v>
      </c>
      <c r="AZ14" s="52" t="n">
        <v>3546.37</v>
      </c>
      <c r="BA14" s="52" t="n">
        <v>1251.16</v>
      </c>
      <c r="BB14" s="52" t="n">
        <v>4.816</v>
      </c>
      <c r="BC14" s="52" t="n">
        <v>18.521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32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31019055</v>
      </c>
      <c r="Q15" s="19" t="n">
        <v>969345.46875</v>
      </c>
      <c r="R15" s="19" t="n">
        <v>30632.5625</v>
      </c>
      <c r="S15" s="20" t="n">
        <v>4829408</v>
      </c>
      <c r="T15" s="20" t="n">
        <v>1393008</v>
      </c>
      <c r="U15" s="20" t="n">
        <v>1278936</v>
      </c>
      <c r="V15" s="20" t="n">
        <v>2157336</v>
      </c>
      <c r="W15" s="21" t="n">
        <v>65.9936625</v>
      </c>
      <c r="X15" s="21" t="n">
        <v>67.834546875</v>
      </c>
      <c r="Y15" s="21" t="n">
        <v>29.619846875</v>
      </c>
      <c r="Z15" s="21" t="n">
        <v>43.19093125</v>
      </c>
      <c r="AA15" s="21" t="n">
        <v>43.488175</v>
      </c>
      <c r="AB15" s="22" t="n">
        <v>4079.64</v>
      </c>
      <c r="AC15" s="22" t="n">
        <v>1112.06</v>
      </c>
      <c r="AD15" s="22" t="n">
        <v>6.569</v>
      </c>
      <c r="AE15" s="22" t="n">
        <v>19.882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31019055</v>
      </c>
      <c r="AO15" s="19" t="n">
        <v>969345.46875</v>
      </c>
      <c r="AP15" s="19" t="n">
        <v>30632.5625</v>
      </c>
      <c r="AQ15" s="20" t="n">
        <v>4829408</v>
      </c>
      <c r="AR15" s="20" t="n">
        <v>1393008</v>
      </c>
      <c r="AS15" s="20" t="n">
        <v>1278936</v>
      </c>
      <c r="AT15" s="20" t="n">
        <v>2157336</v>
      </c>
      <c r="AU15" s="21" t="n">
        <v>65.9936625</v>
      </c>
      <c r="AV15" s="21" t="n">
        <v>67.834546875</v>
      </c>
      <c r="AW15" s="21" t="n">
        <v>29.619846875</v>
      </c>
      <c r="AX15" s="21" t="n">
        <v>43.19093125</v>
      </c>
      <c r="AY15" s="21" t="n">
        <v>43.488175</v>
      </c>
      <c r="AZ15" s="22" t="n">
        <v>4132.41</v>
      </c>
      <c r="BA15" s="22" t="n">
        <v>1137.06</v>
      </c>
      <c r="BB15" s="22" t="n">
        <v>7.047</v>
      </c>
      <c r="BC15" s="22" t="n">
        <v>19.969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32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33531705</v>
      </c>
      <c r="Q16" s="29" t="n">
        <v>1047865.78125</v>
      </c>
      <c r="R16" s="29" t="n">
        <v>38886.46875</v>
      </c>
      <c r="S16" s="30" t="n">
        <v>7709968</v>
      </c>
      <c r="T16" s="30" t="n">
        <v>1933024</v>
      </c>
      <c r="U16" s="30" t="n">
        <v>1278936</v>
      </c>
      <c r="V16" s="30" t="n">
        <v>4497880</v>
      </c>
      <c r="W16" s="31" t="n">
        <v>67.82427187499999</v>
      </c>
      <c r="X16" s="31" t="n">
        <v>69.87709687500001</v>
      </c>
      <c r="Y16" s="31" t="n">
        <v>32.06926875</v>
      </c>
      <c r="Z16" s="31" t="n">
        <v>44.04045</v>
      </c>
      <c r="AA16" s="31" t="n">
        <v>44.4599625</v>
      </c>
      <c r="AB16" s="32" t="n">
        <v>4081.57</v>
      </c>
      <c r="AC16" s="32" t="n">
        <v>1183.41</v>
      </c>
      <c r="AD16" s="32" t="n">
        <v>7.046</v>
      </c>
      <c r="AE16" s="32" t="n">
        <v>19.509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33531705</v>
      </c>
      <c r="AO16" s="29" t="n">
        <v>1047865.78125</v>
      </c>
      <c r="AP16" s="29" t="n">
        <v>38886.46875</v>
      </c>
      <c r="AQ16" s="30" t="n">
        <v>7709968</v>
      </c>
      <c r="AR16" s="30" t="n">
        <v>1933024</v>
      </c>
      <c r="AS16" s="30" t="n">
        <v>1278936</v>
      </c>
      <c r="AT16" s="30" t="n">
        <v>4497880</v>
      </c>
      <c r="AU16" s="31" t="n">
        <v>67.82427187499999</v>
      </c>
      <c r="AV16" s="31" t="n">
        <v>69.87709687500001</v>
      </c>
      <c r="AW16" s="31" t="n">
        <v>32.06926875</v>
      </c>
      <c r="AX16" s="31" t="n">
        <v>44.04045</v>
      </c>
      <c r="AY16" s="31" t="n">
        <v>44.4599625</v>
      </c>
      <c r="AZ16" s="32" t="n">
        <v>4220.34</v>
      </c>
      <c r="BA16" s="32" t="n">
        <v>1210.86</v>
      </c>
      <c r="BB16" s="32" t="n">
        <v>7.436</v>
      </c>
      <c r="BC16" s="32" t="n">
        <v>20.891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32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34039269</v>
      </c>
      <c r="Q17" s="19" t="n">
        <v>1063727.15625</v>
      </c>
      <c r="R17" s="19" t="n">
        <v>40807.28125</v>
      </c>
      <c r="S17" s="20" t="n">
        <v>12981304</v>
      </c>
      <c r="T17" s="20" t="n">
        <v>2734336</v>
      </c>
      <c r="U17" s="20" t="n">
        <v>1278936</v>
      </c>
      <c r="V17" s="20" t="n">
        <v>8967904</v>
      </c>
      <c r="W17" s="21" t="n">
        <v>69.26124375000001</v>
      </c>
      <c r="X17" s="21" t="n">
        <v>71.672759375</v>
      </c>
      <c r="Y17" s="21" t="n">
        <v>34.620125</v>
      </c>
      <c r="Z17" s="21" t="n">
        <v>44.856715625</v>
      </c>
      <c r="AA17" s="21" t="n">
        <v>45.372</v>
      </c>
      <c r="AB17" s="22" t="n">
        <v>4113.84</v>
      </c>
      <c r="AC17" s="22" t="n">
        <v>1281.51</v>
      </c>
      <c r="AD17" s="22" t="n">
        <v>7.298</v>
      </c>
      <c r="AE17" s="22" t="n">
        <v>20.53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34039269</v>
      </c>
      <c r="AO17" s="19" t="n">
        <v>1063727.15625</v>
      </c>
      <c r="AP17" s="19" t="n">
        <v>40807.28125</v>
      </c>
      <c r="AQ17" s="20" t="n">
        <v>12981304</v>
      </c>
      <c r="AR17" s="20" t="n">
        <v>2734336</v>
      </c>
      <c r="AS17" s="20" t="n">
        <v>1278936</v>
      </c>
      <c r="AT17" s="20" t="n">
        <v>8967904</v>
      </c>
      <c r="AU17" s="21" t="n">
        <v>69.26124375000001</v>
      </c>
      <c r="AV17" s="21" t="n">
        <v>71.672759375</v>
      </c>
      <c r="AW17" s="21" t="n">
        <v>34.620125</v>
      </c>
      <c r="AX17" s="21" t="n">
        <v>44.856715625</v>
      </c>
      <c r="AY17" s="21" t="n">
        <v>45.372</v>
      </c>
      <c r="AZ17" s="22" t="n">
        <v>4225.81</v>
      </c>
      <c r="BA17" s="22" t="n">
        <v>1307.64</v>
      </c>
      <c r="BB17" s="22" t="n">
        <v>7.277</v>
      </c>
      <c r="BC17" s="22" t="n">
        <v>20.556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32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35557316</v>
      </c>
      <c r="Q18" s="29" t="n">
        <v>1111166.125</v>
      </c>
      <c r="R18" s="29" t="n">
        <v>46580.46875</v>
      </c>
      <c r="S18" s="30" t="n">
        <v>23443248</v>
      </c>
      <c r="T18" s="30" t="n">
        <v>4055024</v>
      </c>
      <c r="U18" s="30" t="n">
        <v>1278936</v>
      </c>
      <c r="V18" s="30" t="n">
        <v>18109160</v>
      </c>
      <c r="W18" s="31" t="n">
        <v>70.38201562499999</v>
      </c>
      <c r="X18" s="31" t="n">
        <v>73.005503125</v>
      </c>
      <c r="Y18" s="31" t="n">
        <v>37.274690625</v>
      </c>
      <c r="Z18" s="31" t="n">
        <v>46.213653125</v>
      </c>
      <c r="AA18" s="31" t="n">
        <v>46.780184375</v>
      </c>
      <c r="AB18" s="32" t="n">
        <v>4081.74</v>
      </c>
      <c r="AC18" s="32" t="n">
        <v>1503.41</v>
      </c>
      <c r="AD18" s="32" t="n">
        <v>7.359</v>
      </c>
      <c r="AE18" s="32" t="n">
        <v>21.259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35557316</v>
      </c>
      <c r="AO18" s="29" t="n">
        <v>1111166.125</v>
      </c>
      <c r="AP18" s="29" t="n">
        <v>46580.46875</v>
      </c>
      <c r="AQ18" s="30" t="n">
        <v>23443248</v>
      </c>
      <c r="AR18" s="30" t="n">
        <v>4055024</v>
      </c>
      <c r="AS18" s="30" t="n">
        <v>1278936</v>
      </c>
      <c r="AT18" s="30" t="n">
        <v>18109160</v>
      </c>
      <c r="AU18" s="31" t="n">
        <v>70.38201562499999</v>
      </c>
      <c r="AV18" s="31" t="n">
        <v>73.005503125</v>
      </c>
      <c r="AW18" s="31" t="n">
        <v>37.274690625</v>
      </c>
      <c r="AX18" s="31" t="n">
        <v>46.213653125</v>
      </c>
      <c r="AY18" s="31" t="n">
        <v>46.780184375</v>
      </c>
      <c r="AZ18" s="32" t="n">
        <v>4214.31</v>
      </c>
      <c r="BA18" s="32" t="n">
        <v>1503.74</v>
      </c>
      <c r="BB18" s="32" t="n">
        <v>7.511</v>
      </c>
      <c r="BC18" s="32" t="n">
        <v>21.49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32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33750608</v>
      </c>
      <c r="Q19" s="39" t="n">
        <v>1054706.5</v>
      </c>
      <c r="R19" s="39" t="n">
        <v>20504</v>
      </c>
      <c r="S19" s="40" t="n">
        <v>42438904</v>
      </c>
      <c r="T19" s="40" t="n">
        <v>6222336</v>
      </c>
      <c r="U19" s="40" t="n">
        <v>2388640</v>
      </c>
      <c r="V19" s="40" t="n">
        <v>33827800</v>
      </c>
      <c r="W19" s="41" t="n">
        <v>71.53780625</v>
      </c>
      <c r="X19" s="41" t="n">
        <v>75.080746875</v>
      </c>
      <c r="Y19" s="41" t="n">
        <v>39.3547375</v>
      </c>
      <c r="Z19" s="41" t="n">
        <v>47.98359375</v>
      </c>
      <c r="AA19" s="41" t="n">
        <v>48.584184375</v>
      </c>
      <c r="AB19" s="42" t="n">
        <v>3954.38</v>
      </c>
      <c r="AC19" s="42" t="n">
        <v>1773.49</v>
      </c>
      <c r="AD19" s="42" t="n">
        <v>6.961</v>
      </c>
      <c r="AE19" s="42" t="n">
        <v>23.108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33750608</v>
      </c>
      <c r="AO19" s="39" t="n">
        <v>1054706.5</v>
      </c>
      <c r="AP19" s="39" t="n">
        <v>20504</v>
      </c>
      <c r="AQ19" s="40" t="n">
        <v>42438904</v>
      </c>
      <c r="AR19" s="40" t="n">
        <v>6222336</v>
      </c>
      <c r="AS19" s="40" t="n">
        <v>2388640</v>
      </c>
      <c r="AT19" s="40" t="n">
        <v>33827800</v>
      </c>
      <c r="AU19" s="41" t="n">
        <v>71.53780625</v>
      </c>
      <c r="AV19" s="41" t="n">
        <v>75.080746875</v>
      </c>
      <c r="AW19" s="41" t="n">
        <v>39.3547375</v>
      </c>
      <c r="AX19" s="41" t="n">
        <v>47.98359375</v>
      </c>
      <c r="AY19" s="41" t="n">
        <v>48.584184375</v>
      </c>
      <c r="AZ19" s="42" t="n">
        <v>4187.11</v>
      </c>
      <c r="BA19" s="42" t="n">
        <v>1819.32</v>
      </c>
      <c r="BB19" s="42" t="n">
        <v>7.25</v>
      </c>
      <c r="BC19" s="42" t="n">
        <v>23.22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32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30230438</v>
      </c>
      <c r="Q20" s="29" t="n">
        <v>944701.1875</v>
      </c>
      <c r="R20" s="29" t="n">
        <v>27161</v>
      </c>
      <c r="S20" s="30" t="n">
        <v>3420104</v>
      </c>
      <c r="T20" s="30" t="n">
        <v>942120</v>
      </c>
      <c r="U20" s="30" t="n">
        <v>972024</v>
      </c>
      <c r="V20" s="30" t="n">
        <v>1505832</v>
      </c>
      <c r="W20" s="31" t="n">
        <v>67.065771875</v>
      </c>
      <c r="X20" s="31" t="n">
        <v>68.733975</v>
      </c>
      <c r="Y20" s="31" t="n">
        <v>30.891359375</v>
      </c>
      <c r="Z20" s="31" t="n">
        <v>39.585940625</v>
      </c>
      <c r="AA20" s="31" t="n">
        <v>38.404590625</v>
      </c>
      <c r="AB20" s="32" t="n">
        <v>4110.2</v>
      </c>
      <c r="AC20" s="32" t="n">
        <v>953.816</v>
      </c>
      <c r="AD20" s="32" t="n">
        <v>5.898</v>
      </c>
      <c r="AE20" s="32" t="n">
        <v>16.508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30230438</v>
      </c>
      <c r="AO20" s="29" t="n">
        <v>944701.1875</v>
      </c>
      <c r="AP20" s="29" t="n">
        <v>27161</v>
      </c>
      <c r="AQ20" s="30" t="n">
        <v>3420104</v>
      </c>
      <c r="AR20" s="30" t="n">
        <v>942120</v>
      </c>
      <c r="AS20" s="30" t="n">
        <v>972024</v>
      </c>
      <c r="AT20" s="30" t="n">
        <v>1505832</v>
      </c>
      <c r="AU20" s="31" t="n">
        <v>67.065771875</v>
      </c>
      <c r="AV20" s="31" t="n">
        <v>68.733975</v>
      </c>
      <c r="AW20" s="31" t="n">
        <v>30.891359375</v>
      </c>
      <c r="AX20" s="31" t="n">
        <v>39.585940625</v>
      </c>
      <c r="AY20" s="31" t="n">
        <v>38.404590625</v>
      </c>
      <c r="AZ20" s="32" t="n">
        <v>4315.36</v>
      </c>
      <c r="BA20" s="32" t="n">
        <v>974.386</v>
      </c>
      <c r="BB20" s="32" t="n">
        <v>6.062</v>
      </c>
      <c r="BC20" s="32" t="n">
        <v>16.486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32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31582662</v>
      </c>
      <c r="Q21" s="19" t="n">
        <v>986958.1875</v>
      </c>
      <c r="R21" s="19" t="n">
        <v>32537.78125</v>
      </c>
      <c r="S21" s="20" t="n">
        <v>5377120</v>
      </c>
      <c r="T21" s="20" t="n">
        <v>1295592</v>
      </c>
      <c r="U21" s="20" t="n">
        <v>972024</v>
      </c>
      <c r="V21" s="20" t="n">
        <v>3109376</v>
      </c>
      <c r="W21" s="21" t="n">
        <v>68.659734375</v>
      </c>
      <c r="X21" s="21" t="n">
        <v>70.74042812499999</v>
      </c>
      <c r="Y21" s="21" t="n">
        <v>32.783678125</v>
      </c>
      <c r="Z21" s="21" t="n">
        <v>40.733425</v>
      </c>
      <c r="AA21" s="21" t="n">
        <v>39.70215</v>
      </c>
      <c r="AB21" s="22" t="n">
        <v>4318.78</v>
      </c>
      <c r="AC21" s="22" t="n">
        <v>1018.86</v>
      </c>
      <c r="AD21" s="22" t="n">
        <v>5.979</v>
      </c>
      <c r="AE21" s="22" t="n">
        <v>16.821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31582662</v>
      </c>
      <c r="AO21" s="19" t="n">
        <v>986958.1875</v>
      </c>
      <c r="AP21" s="19" t="n">
        <v>32537.78125</v>
      </c>
      <c r="AQ21" s="20" t="n">
        <v>5377120</v>
      </c>
      <c r="AR21" s="20" t="n">
        <v>1295592</v>
      </c>
      <c r="AS21" s="20" t="n">
        <v>972024</v>
      </c>
      <c r="AT21" s="20" t="n">
        <v>3109376</v>
      </c>
      <c r="AU21" s="21" t="n">
        <v>68.659734375</v>
      </c>
      <c r="AV21" s="21" t="n">
        <v>70.74042812499999</v>
      </c>
      <c r="AW21" s="21" t="n">
        <v>32.783678125</v>
      </c>
      <c r="AX21" s="21" t="n">
        <v>40.733425</v>
      </c>
      <c r="AY21" s="21" t="n">
        <v>39.70215</v>
      </c>
      <c r="AZ21" s="22" t="n">
        <v>4436.4</v>
      </c>
      <c r="BA21" s="22" t="n">
        <v>1039.91</v>
      </c>
      <c r="BB21" s="22" t="n">
        <v>6.305</v>
      </c>
      <c r="BC21" s="22" t="n">
        <v>16.79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32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32910555</v>
      </c>
      <c r="Q22" s="29" t="n">
        <v>1028454.84375</v>
      </c>
      <c r="R22" s="29" t="n">
        <v>34769.59375</v>
      </c>
      <c r="S22" s="30" t="n">
        <v>8903296</v>
      </c>
      <c r="T22" s="30" t="n">
        <v>1827104</v>
      </c>
      <c r="U22" s="30" t="n">
        <v>972024</v>
      </c>
      <c r="V22" s="30" t="n">
        <v>6104040</v>
      </c>
      <c r="W22" s="31" t="n">
        <v>69.83164375</v>
      </c>
      <c r="X22" s="31" t="n">
        <v>72.240359375</v>
      </c>
      <c r="Y22" s="31" t="n">
        <v>34.62775</v>
      </c>
      <c r="Z22" s="31" t="n">
        <v>41.76993125</v>
      </c>
      <c r="AA22" s="31" t="n">
        <v>40.77408125</v>
      </c>
      <c r="AB22" s="32" t="n">
        <v>4121.6</v>
      </c>
      <c r="AC22" s="32" t="n">
        <v>1088.62</v>
      </c>
      <c r="AD22" s="32" t="n">
        <v>5.947</v>
      </c>
      <c r="AE22" s="32" t="n">
        <v>16.56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32910555</v>
      </c>
      <c r="AO22" s="29" t="n">
        <v>1028454.84375</v>
      </c>
      <c r="AP22" s="29" t="n">
        <v>34769.59375</v>
      </c>
      <c r="AQ22" s="30" t="n">
        <v>8903296</v>
      </c>
      <c r="AR22" s="30" t="n">
        <v>1827104</v>
      </c>
      <c r="AS22" s="30" t="n">
        <v>972024</v>
      </c>
      <c r="AT22" s="30" t="n">
        <v>6104040</v>
      </c>
      <c r="AU22" s="31" t="n">
        <v>69.83164375</v>
      </c>
      <c r="AV22" s="31" t="n">
        <v>72.240359375</v>
      </c>
      <c r="AW22" s="31" t="n">
        <v>34.62775</v>
      </c>
      <c r="AX22" s="31" t="n">
        <v>41.76993125</v>
      </c>
      <c r="AY22" s="31" t="n">
        <v>40.77408125</v>
      </c>
      <c r="AZ22" s="32" t="n">
        <v>4435</v>
      </c>
      <c r="BA22" s="32" t="n">
        <v>1127.45</v>
      </c>
      <c r="BB22" s="32" t="n">
        <v>6.122</v>
      </c>
      <c r="BC22" s="32" t="n">
        <v>17.388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32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32954716</v>
      </c>
      <c r="Q23" s="19" t="n">
        <v>1029834.875</v>
      </c>
      <c r="R23" s="19" t="n">
        <v>36665.46875</v>
      </c>
      <c r="S23" s="20" t="n">
        <v>15518768</v>
      </c>
      <c r="T23" s="20" t="n">
        <v>2743128</v>
      </c>
      <c r="U23" s="20" t="n">
        <v>972024</v>
      </c>
      <c r="V23" s="20" t="n">
        <v>11803488</v>
      </c>
      <c r="W23" s="21" t="n">
        <v>70.837203125</v>
      </c>
      <c r="X23" s="21" t="n">
        <v>73.56796875000001</v>
      </c>
      <c r="Y23" s="21" t="n">
        <v>36.275915625</v>
      </c>
      <c r="Z23" s="21" t="n">
        <v>42.959853125</v>
      </c>
      <c r="AA23" s="21" t="n">
        <v>41.852284375</v>
      </c>
      <c r="AB23" s="22" t="n">
        <v>4138.47</v>
      </c>
      <c r="AC23" s="22" t="n">
        <v>1219.48</v>
      </c>
      <c r="AD23" s="22" t="n">
        <v>6.052</v>
      </c>
      <c r="AE23" s="22" t="n">
        <v>17.63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32954716</v>
      </c>
      <c r="AO23" s="19" t="n">
        <v>1029834.875</v>
      </c>
      <c r="AP23" s="19" t="n">
        <v>36665.46875</v>
      </c>
      <c r="AQ23" s="20" t="n">
        <v>15518768</v>
      </c>
      <c r="AR23" s="20" t="n">
        <v>2743128</v>
      </c>
      <c r="AS23" s="20" t="n">
        <v>972024</v>
      </c>
      <c r="AT23" s="20" t="n">
        <v>11803488</v>
      </c>
      <c r="AU23" s="21" t="n">
        <v>70.837203125</v>
      </c>
      <c r="AV23" s="21" t="n">
        <v>73.56796875000001</v>
      </c>
      <c r="AW23" s="21" t="n">
        <v>36.275915625</v>
      </c>
      <c r="AX23" s="21" t="n">
        <v>42.959853125</v>
      </c>
      <c r="AY23" s="21" t="n">
        <v>41.852284375</v>
      </c>
      <c r="AZ23" s="22" t="n">
        <v>4453.72</v>
      </c>
      <c r="BA23" s="22" t="n">
        <v>1259.97</v>
      </c>
      <c r="BB23" s="22" t="n">
        <v>6.083</v>
      </c>
      <c r="BC23" s="22" t="n">
        <v>17.928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32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31584915</v>
      </c>
      <c r="Q24" s="49" t="n">
        <v>987028.59375</v>
      </c>
      <c r="R24" s="49" t="n">
        <v>18072.71875</v>
      </c>
      <c r="S24" s="50" t="n">
        <v>26344032</v>
      </c>
      <c r="T24" s="50" t="n">
        <v>4257608</v>
      </c>
      <c r="U24" s="50" t="n">
        <v>1875344</v>
      </c>
      <c r="V24" s="50" t="n">
        <v>20210952</v>
      </c>
      <c r="W24" s="51" t="n">
        <v>71.89376249999999</v>
      </c>
      <c r="X24" s="51" t="n">
        <v>75.707471875</v>
      </c>
      <c r="Y24" s="51" t="n">
        <v>37.304571875</v>
      </c>
      <c r="Z24" s="51" t="n">
        <v>43.80514375</v>
      </c>
      <c r="AA24" s="51" t="n">
        <v>42.435971875</v>
      </c>
      <c r="AB24" s="52" t="n">
        <v>4376.3</v>
      </c>
      <c r="AC24" s="52" t="n">
        <v>1429.91</v>
      </c>
      <c r="AD24" s="52" t="n">
        <v>5.89</v>
      </c>
      <c r="AE24" s="52" t="n">
        <v>18.762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31584915</v>
      </c>
      <c r="AO24" s="49" t="n">
        <v>987028.59375</v>
      </c>
      <c r="AP24" s="49" t="n">
        <v>18072.71875</v>
      </c>
      <c r="AQ24" s="50" t="n">
        <v>26344032</v>
      </c>
      <c r="AR24" s="50" t="n">
        <v>4257608</v>
      </c>
      <c r="AS24" s="50" t="n">
        <v>1875344</v>
      </c>
      <c r="AT24" s="50" t="n">
        <v>20210952</v>
      </c>
      <c r="AU24" s="51" t="n">
        <v>71.89376249999999</v>
      </c>
      <c r="AV24" s="51" t="n">
        <v>75.707471875</v>
      </c>
      <c r="AW24" s="51" t="n">
        <v>37.304571875</v>
      </c>
      <c r="AX24" s="51" t="n">
        <v>43.80514375</v>
      </c>
      <c r="AY24" s="51" t="n">
        <v>42.435971875</v>
      </c>
      <c r="AZ24" s="52" t="n">
        <v>4474.98</v>
      </c>
      <c r="BA24" s="52" t="n">
        <v>1440.74</v>
      </c>
      <c r="BB24" s="52" t="n">
        <v>6.057</v>
      </c>
      <c r="BC24" s="52" t="n">
        <v>18.917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32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23048304</v>
      </c>
      <c r="Q25" s="19" t="n">
        <v>720259.5</v>
      </c>
      <c r="R25" s="19" t="n">
        <v>17692.46875</v>
      </c>
      <c r="S25" s="20" t="n">
        <v>5059072</v>
      </c>
      <c r="T25" s="20" t="n">
        <v>957856</v>
      </c>
      <c r="U25" s="20" t="n">
        <v>810608</v>
      </c>
      <c r="V25" s="20" t="n">
        <v>3290480</v>
      </c>
      <c r="W25" s="21" t="n">
        <v>66.19877187500001</v>
      </c>
      <c r="X25" s="21" t="n">
        <v>68.019659375</v>
      </c>
      <c r="Y25" s="21" t="n">
        <v>27.5129875</v>
      </c>
      <c r="Z25" s="21" t="n">
        <v>33.296790625</v>
      </c>
      <c r="AA25" s="21" t="n">
        <v>32.7412875</v>
      </c>
      <c r="AB25" s="22" t="n">
        <v>3389.83</v>
      </c>
      <c r="AC25" s="22" t="n">
        <v>1336.28</v>
      </c>
      <c r="AD25" s="22" t="n">
        <v>5.289</v>
      </c>
      <c r="AE25" s="22" t="n">
        <v>22.958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23048304</v>
      </c>
      <c r="AO25" s="19" t="n">
        <v>720259.5</v>
      </c>
      <c r="AP25" s="19" t="n">
        <v>17692.46875</v>
      </c>
      <c r="AQ25" s="20" t="n">
        <v>5059072</v>
      </c>
      <c r="AR25" s="20" t="n">
        <v>957856</v>
      </c>
      <c r="AS25" s="20" t="n">
        <v>810608</v>
      </c>
      <c r="AT25" s="20" t="n">
        <v>3290480</v>
      </c>
      <c r="AU25" s="21" t="n">
        <v>66.19877187500001</v>
      </c>
      <c r="AV25" s="21" t="n">
        <v>68.019659375</v>
      </c>
      <c r="AW25" s="21" t="n">
        <v>27.5129875</v>
      </c>
      <c r="AX25" s="21" t="n">
        <v>33.296790625</v>
      </c>
      <c r="AY25" s="21" t="n">
        <v>32.7412875</v>
      </c>
      <c r="AZ25" s="22" t="n">
        <v>3422.51</v>
      </c>
      <c r="BA25" s="22" t="n">
        <v>1342.98</v>
      </c>
      <c r="BB25" s="22" t="n">
        <v>5.852</v>
      </c>
      <c r="BC25" s="22" t="n">
        <v>25.003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32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24960947</v>
      </c>
      <c r="Q26" s="29" t="n">
        <v>780029.59375</v>
      </c>
      <c r="R26" s="29" t="n">
        <v>23053.84375</v>
      </c>
      <c r="S26" s="30" t="n">
        <v>8696720</v>
      </c>
      <c r="T26" s="30" t="n">
        <v>1330848</v>
      </c>
      <c r="U26" s="30" t="n">
        <v>810608</v>
      </c>
      <c r="V26" s="30" t="n">
        <v>6555136</v>
      </c>
      <c r="W26" s="31" t="n">
        <v>68.025103125</v>
      </c>
      <c r="X26" s="31" t="n">
        <v>69.987703125</v>
      </c>
      <c r="Y26" s="31" t="n">
        <v>29.930740625</v>
      </c>
      <c r="Z26" s="31" t="n">
        <v>34.47745</v>
      </c>
      <c r="AA26" s="31" t="n">
        <v>34.06664375</v>
      </c>
      <c r="AB26" s="32" t="n">
        <v>3204.66</v>
      </c>
      <c r="AC26" s="32" t="n">
        <v>1382.67</v>
      </c>
      <c r="AD26" s="32" t="n">
        <v>6.018</v>
      </c>
      <c r="AE26" s="32" t="n">
        <v>25.667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24960947</v>
      </c>
      <c r="AO26" s="29" t="n">
        <v>780029.59375</v>
      </c>
      <c r="AP26" s="29" t="n">
        <v>23053.84375</v>
      </c>
      <c r="AQ26" s="30" t="n">
        <v>8696720</v>
      </c>
      <c r="AR26" s="30" t="n">
        <v>1330848</v>
      </c>
      <c r="AS26" s="30" t="n">
        <v>810608</v>
      </c>
      <c r="AT26" s="30" t="n">
        <v>6555136</v>
      </c>
      <c r="AU26" s="31" t="n">
        <v>68.025103125</v>
      </c>
      <c r="AV26" s="31" t="n">
        <v>69.987703125</v>
      </c>
      <c r="AW26" s="31" t="n">
        <v>29.930740625</v>
      </c>
      <c r="AX26" s="31" t="n">
        <v>34.47745</v>
      </c>
      <c r="AY26" s="31" t="n">
        <v>34.06664375</v>
      </c>
      <c r="AZ26" s="32" t="n">
        <v>3349.03</v>
      </c>
      <c r="BA26" s="32" t="n">
        <v>1396.33</v>
      </c>
      <c r="BB26" s="32" t="n">
        <v>6.298</v>
      </c>
      <c r="BC26" s="32" t="n">
        <v>26.388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32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25333628</v>
      </c>
      <c r="Q27" s="19" t="n">
        <v>791675.875</v>
      </c>
      <c r="R27" s="19" t="n">
        <v>24565.9375</v>
      </c>
      <c r="S27" s="20" t="n">
        <v>15714472</v>
      </c>
      <c r="T27" s="20" t="n">
        <v>1869504</v>
      </c>
      <c r="U27" s="20" t="n">
        <v>810608</v>
      </c>
      <c r="V27" s="20" t="n">
        <v>13034232</v>
      </c>
      <c r="W27" s="21" t="n">
        <v>69.40108125</v>
      </c>
      <c r="X27" s="21" t="n">
        <v>71.728734375</v>
      </c>
      <c r="Y27" s="21" t="n">
        <v>32.427734375</v>
      </c>
      <c r="Z27" s="21" t="n">
        <v>35.742928125</v>
      </c>
      <c r="AA27" s="21" t="n">
        <v>35.408390625</v>
      </c>
      <c r="AB27" s="22" t="n">
        <v>3207.95</v>
      </c>
      <c r="AC27" s="22" t="n">
        <v>1479.65</v>
      </c>
      <c r="AD27" s="22" t="n">
        <v>6.133</v>
      </c>
      <c r="AE27" s="22" t="n">
        <v>26.477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25333628</v>
      </c>
      <c r="AO27" s="19" t="n">
        <v>791675.875</v>
      </c>
      <c r="AP27" s="19" t="n">
        <v>24565.9375</v>
      </c>
      <c r="AQ27" s="20" t="n">
        <v>15714472</v>
      </c>
      <c r="AR27" s="20" t="n">
        <v>1869504</v>
      </c>
      <c r="AS27" s="20" t="n">
        <v>810608</v>
      </c>
      <c r="AT27" s="20" t="n">
        <v>13034232</v>
      </c>
      <c r="AU27" s="21" t="n">
        <v>69.40108125</v>
      </c>
      <c r="AV27" s="21" t="n">
        <v>71.728734375</v>
      </c>
      <c r="AW27" s="21" t="n">
        <v>32.427734375</v>
      </c>
      <c r="AX27" s="21" t="n">
        <v>35.742928125</v>
      </c>
      <c r="AY27" s="21" t="n">
        <v>35.408390625</v>
      </c>
      <c r="AZ27" s="22" t="n">
        <v>3394.63</v>
      </c>
      <c r="BA27" s="22" t="n">
        <v>1523.46</v>
      </c>
      <c r="BB27" s="22" t="n">
        <v>5.944</v>
      </c>
      <c r="BC27" s="22" t="n">
        <v>26.088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32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26296196</v>
      </c>
      <c r="Q28" s="29" t="n">
        <v>821756.125</v>
      </c>
      <c r="R28" s="29" t="n">
        <v>28034.46875</v>
      </c>
      <c r="S28" s="30" t="n">
        <v>29768608</v>
      </c>
      <c r="T28" s="30" t="n">
        <v>2754824</v>
      </c>
      <c r="U28" s="30" t="n">
        <v>810608</v>
      </c>
      <c r="V28" s="30" t="n">
        <v>26203048</v>
      </c>
      <c r="W28" s="31" t="n">
        <v>70.442003125</v>
      </c>
      <c r="X28" s="31" t="n">
        <v>73.00402187500001</v>
      </c>
      <c r="Y28" s="31" t="n">
        <v>34.88680625</v>
      </c>
      <c r="Z28" s="31" t="n">
        <v>37.567675</v>
      </c>
      <c r="AA28" s="31" t="n">
        <v>37.1775625</v>
      </c>
      <c r="AB28" s="32" t="n">
        <v>3229.21</v>
      </c>
      <c r="AC28" s="32" t="n">
        <v>1651.83</v>
      </c>
      <c r="AD28" s="32" t="n">
        <v>5.589</v>
      </c>
      <c r="AE28" s="32" t="n">
        <v>25.323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26296196</v>
      </c>
      <c r="AO28" s="29" t="n">
        <v>821756.125</v>
      </c>
      <c r="AP28" s="29" t="n">
        <v>28034.46875</v>
      </c>
      <c r="AQ28" s="30" t="n">
        <v>29768608</v>
      </c>
      <c r="AR28" s="30" t="n">
        <v>2754824</v>
      </c>
      <c r="AS28" s="30" t="n">
        <v>810608</v>
      </c>
      <c r="AT28" s="30" t="n">
        <v>26203048</v>
      </c>
      <c r="AU28" s="31" t="n">
        <v>70.442003125</v>
      </c>
      <c r="AV28" s="31" t="n">
        <v>73.00402187500001</v>
      </c>
      <c r="AW28" s="31" t="n">
        <v>34.88680625</v>
      </c>
      <c r="AX28" s="31" t="n">
        <v>37.567675</v>
      </c>
      <c r="AY28" s="31" t="n">
        <v>37.1775625</v>
      </c>
      <c r="AZ28" s="32" t="n">
        <v>3353.32</v>
      </c>
      <c r="BA28" s="32" t="n">
        <v>1723.12</v>
      </c>
      <c r="BB28" s="32" t="n">
        <v>5.914</v>
      </c>
      <c r="BC28" s="32" t="n">
        <v>27.417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32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25144011</v>
      </c>
      <c r="Q29" s="39" t="n">
        <v>785750.34375</v>
      </c>
      <c r="R29" s="39" t="n">
        <v>12609.28125</v>
      </c>
      <c r="S29" s="40" t="n">
        <v>52029568</v>
      </c>
      <c r="T29" s="40" t="n">
        <v>4213272</v>
      </c>
      <c r="U29" s="40" t="n">
        <v>1515584</v>
      </c>
      <c r="V29" s="40" t="n">
        <v>46300584</v>
      </c>
      <c r="W29" s="41" t="n">
        <v>71.52085624999999</v>
      </c>
      <c r="X29" s="41" t="n">
        <v>74.9123125</v>
      </c>
      <c r="Y29" s="41" t="n">
        <v>36.559071875</v>
      </c>
      <c r="Z29" s="41" t="n">
        <v>39.64964375</v>
      </c>
      <c r="AA29" s="41" t="n">
        <v>39.047978125</v>
      </c>
      <c r="AB29" s="42" t="n">
        <v>3304.41</v>
      </c>
      <c r="AC29" s="42" t="n">
        <v>1902.53</v>
      </c>
      <c r="AD29" s="42" t="n">
        <v>5.461</v>
      </c>
      <c r="AE29" s="42" t="n">
        <v>26.836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25144011</v>
      </c>
      <c r="AO29" s="39" t="n">
        <v>785750.34375</v>
      </c>
      <c r="AP29" s="39" t="n">
        <v>12609.28125</v>
      </c>
      <c r="AQ29" s="40" t="n">
        <v>52029568</v>
      </c>
      <c r="AR29" s="40" t="n">
        <v>4213272</v>
      </c>
      <c r="AS29" s="40" t="n">
        <v>1515584</v>
      </c>
      <c r="AT29" s="40" t="n">
        <v>46300584</v>
      </c>
      <c r="AU29" s="41" t="n">
        <v>71.52085624999999</v>
      </c>
      <c r="AV29" s="41" t="n">
        <v>74.9123125</v>
      </c>
      <c r="AW29" s="41" t="n">
        <v>36.559071875</v>
      </c>
      <c r="AX29" s="41" t="n">
        <v>39.64964375</v>
      </c>
      <c r="AY29" s="41" t="n">
        <v>39.047978125</v>
      </c>
      <c r="AZ29" s="42" t="n">
        <v>3444.81</v>
      </c>
      <c r="BA29" s="42" t="n">
        <v>1986.96</v>
      </c>
      <c r="BB29" s="42" t="n">
        <v>5.759</v>
      </c>
      <c r="BC29" s="42" t="n">
        <v>27.818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X274"/>
  <sheetViews>
    <sheetView workbookViewId="0">
      <selection activeCell="A1" sqref="A1"/>
    </sheetView>
  </sheetViews>
  <sheetFormatPr baseColWidth="8" defaultRowHeight="14.4"/>
  <sheetData>
    <row r="1">
      <c r="A1" t="inlineStr">
        <is>
          <t>col.C2 lossyG,lossyA,intra.class</t>
        </is>
      </c>
      <c r="B1" t="n">
        <v>1</v>
      </c>
    </row>
    <row r="2">
      <c r="A2" t="inlineStr">
        <is>
          <t>col.C2 lossyG,lossyA,intra.sequence</t>
        </is>
      </c>
      <c r="B2" t="n">
        <v>2</v>
      </c>
    </row>
    <row r="3">
      <c r="A3" t="inlineStr">
        <is>
          <t>col.C2 lossyG,lossyA,intra.variant</t>
        </is>
      </c>
      <c r="B3" t="n">
        <v>3</v>
      </c>
    </row>
    <row r="4">
      <c r="A4" t="inlineStr">
        <is>
          <t>col.C2 lossyG,lossyA,intra.src.numpoints</t>
        </is>
      </c>
      <c r="B4" t="n">
        <v>4</v>
      </c>
    </row>
    <row r="5">
      <c r="A5" t="inlineStr">
        <is>
          <t>col.C2 lossyG,lossyA,intra.src.geometry-precision</t>
        </is>
      </c>
      <c r="B5" t="n">
        <v>5</v>
      </c>
    </row>
    <row r="6">
      <c r="A6" t="inlineStr">
        <is>
          <t>col.C2 lossyG,lossyA,intra.src.framecount</t>
        </is>
      </c>
      <c r="B6" t="n">
        <v>6</v>
      </c>
    </row>
    <row r="7">
      <c r="A7" t="inlineStr">
        <is>
          <t>col.C2 lossyG,lossyA,intra.src.framerate</t>
        </is>
      </c>
      <c r="B7" t="n">
        <v>7</v>
      </c>
    </row>
    <row r="8">
      <c r="A8" t="inlineStr">
        <is>
          <t>col.C2 lossyG,lossyA,intra.A.eqn.bitrate</t>
        </is>
      </c>
      <c r="B8" t="n">
        <v>9</v>
      </c>
    </row>
    <row r="9">
      <c r="A9" t="inlineStr">
        <is>
          <t>col.C2 lossyG,lossyA,intra.A.eqn.bpp</t>
        </is>
      </c>
      <c r="B9" t="n">
        <v>10</v>
      </c>
    </row>
    <row r="10">
      <c r="A10" t="inlineStr">
        <is>
          <t>col.C2 lossyG,lossyA,intra.A.eqn.bpp.geometry+occ+patch</t>
        </is>
      </c>
      <c r="B10" t="n">
        <v>11</v>
      </c>
    </row>
    <row r="11">
      <c r="A11" t="inlineStr">
        <is>
          <t>col.C2 lossyG,lossyA,intra.A.eqn.bpp.geometry</t>
        </is>
      </c>
      <c r="B11" t="n">
        <v>12</v>
      </c>
    </row>
    <row r="12">
      <c r="A12" t="inlineStr">
        <is>
          <t>col.C2 lossyG,lossyA,intra.A.eqn.bpp.colour</t>
        </is>
      </c>
      <c r="B12" t="n">
        <v>13</v>
      </c>
    </row>
    <row r="13">
      <c r="A13" t="inlineStr">
        <is>
          <t>col.C2 lossyG,lossyA,intra.A.eqn.bits.totalgeometry</t>
        </is>
      </c>
      <c r="B13" t="n">
        <v>14</v>
      </c>
    </row>
    <row r="14">
      <c r="A14" t="inlineStr">
        <is>
          <t>col.C2 lossyG,lossyA,intra.A.eqn.bpop</t>
        </is>
      </c>
      <c r="B14" t="n">
        <v>15</v>
      </c>
    </row>
    <row r="15">
      <c r="A15" t="inlineStr">
        <is>
          <t>col.C2 lossyG,lossyA,intra.A.dec.numpoints</t>
        </is>
      </c>
      <c r="B15" t="n">
        <v>16</v>
      </c>
    </row>
    <row r="16">
      <c r="A16" t="inlineStr">
        <is>
          <t>col.C2 lossyG,lossyA,intra.A.dec.numpoints.mean</t>
        </is>
      </c>
      <c r="B16" t="n">
        <v>17</v>
      </c>
    </row>
    <row r="17">
      <c r="A17" t="inlineStr">
        <is>
          <t>col.C2 lossyG,lossyA,intra.A.dec.numduppoints.mean</t>
        </is>
      </c>
      <c r="B17" t="n">
        <v>18</v>
      </c>
    </row>
    <row r="18">
      <c r="A18" t="inlineStr">
        <is>
          <t>col.C2 lossyG,lossyA,intra.A.enc.ext.bits</t>
        </is>
      </c>
      <c r="B18" t="n">
        <v>19</v>
      </c>
    </row>
    <row r="19">
      <c r="A19" t="inlineStr">
        <is>
          <t>col.C2 lossyG,lossyA,intra.A.enc.bits.geometry</t>
        </is>
      </c>
      <c r="B19" t="n">
        <v>20</v>
      </c>
    </row>
    <row r="20">
      <c r="A20" t="inlineStr">
        <is>
          <t>col.C2 lossyG,lossyA,intra.A.enc.bits.occ+patch</t>
        </is>
      </c>
      <c r="B20" t="n">
        <v>21</v>
      </c>
    </row>
    <row r="21">
      <c r="A21" t="inlineStr">
        <is>
          <t>col.C2 lossyG,lossyA,intra.A.enc.bits.colour</t>
        </is>
      </c>
      <c r="B21" t="n">
        <v>22</v>
      </c>
    </row>
    <row r="22">
      <c r="A22" t="inlineStr">
        <is>
          <t>col.C2 lossyG,lossyA,intra.A.dec.d1-psnr</t>
        </is>
      </c>
      <c r="B22" t="n">
        <v>23</v>
      </c>
    </row>
    <row r="23">
      <c r="A23" t="inlineStr">
        <is>
          <t>col.C2 lossyG,lossyA,intra.A.dec.d2-psnr</t>
        </is>
      </c>
      <c r="B23" t="n">
        <v>24</v>
      </c>
    </row>
    <row r="24">
      <c r="A24" t="inlineStr">
        <is>
          <t>col.C2 lossyG,lossyA,intra.A.dec.y-psnr</t>
        </is>
      </c>
      <c r="B24" t="n">
        <v>25</v>
      </c>
    </row>
    <row r="25">
      <c r="A25" t="inlineStr">
        <is>
          <t>col.C2 lossyG,lossyA,intra.A.dec.cb-psnr</t>
        </is>
      </c>
      <c r="B25" t="n">
        <v>26</v>
      </c>
    </row>
    <row r="26">
      <c r="A26" t="inlineStr">
        <is>
          <t>col.C2 lossyG,lossyA,intra.A.dec.cr-psnr</t>
        </is>
      </c>
      <c r="B26" t="n">
        <v>27</v>
      </c>
    </row>
    <row r="27">
      <c r="A27" t="inlineStr">
        <is>
          <t>col.C2 lossyG,lossyA,intra.A.enc.utime.self</t>
        </is>
      </c>
      <c r="B27" t="n">
        <v>28</v>
      </c>
    </row>
    <row r="28">
      <c r="A28" t="inlineStr">
        <is>
          <t>col.C2 lossyG,lossyA,intra.A.enc.utime.children</t>
        </is>
      </c>
      <c r="B28" t="n">
        <v>29</v>
      </c>
    </row>
    <row r="29">
      <c r="A29" t="inlineStr">
        <is>
          <t>col.C2 lossyG,lossyA,intra.A.dec.utime.self</t>
        </is>
      </c>
      <c r="B29" t="n">
        <v>30</v>
      </c>
    </row>
    <row r="30">
      <c r="A30" t="inlineStr">
        <is>
          <t>col.C2 lossyG,lossyA,intra.A.dec.utime.children</t>
        </is>
      </c>
      <c r="B30" t="n">
        <v>31</v>
      </c>
    </row>
    <row r="31">
      <c r="A31" t="inlineStr">
        <is>
          <t>col.C2 lossyG,lossyA,intra.B.eqn.bitrate</t>
        </is>
      </c>
      <c r="B31" t="n">
        <v>33</v>
      </c>
    </row>
    <row r="32">
      <c r="A32" t="inlineStr">
        <is>
          <t>col.C2 lossyG,lossyA,intra.B.eqn.bpp</t>
        </is>
      </c>
      <c r="B32" t="n">
        <v>34</v>
      </c>
    </row>
    <row r="33">
      <c r="A33" t="inlineStr">
        <is>
          <t>col.C2 lossyG,lossyA,intra.B.eqn.bpp.geometry+occ+patch</t>
        </is>
      </c>
      <c r="B33" t="n">
        <v>35</v>
      </c>
    </row>
    <row r="34">
      <c r="A34" t="inlineStr">
        <is>
          <t>col.C2 lossyG,lossyA,intra.B.eqn.bpp.geometry</t>
        </is>
      </c>
      <c r="B34" t="n">
        <v>36</v>
      </c>
    </row>
    <row r="35">
      <c r="A35" t="inlineStr">
        <is>
          <t>col.C2 lossyG,lossyA,intra.B.eqn.bpp.colour</t>
        </is>
      </c>
      <c r="B35" t="n">
        <v>37</v>
      </c>
    </row>
    <row r="36">
      <c r="A36" t="inlineStr">
        <is>
          <t>col.C2 lossyG,lossyA,intra.B.eqn.bits.totalgeometry</t>
        </is>
      </c>
      <c r="B36" t="n">
        <v>38</v>
      </c>
    </row>
    <row r="37">
      <c r="A37" t="inlineStr">
        <is>
          <t>col.C2 lossyG,lossyA,intra.B.eqn.bpop</t>
        </is>
      </c>
      <c r="B37" t="n">
        <v>39</v>
      </c>
    </row>
    <row r="38">
      <c r="A38" t="inlineStr">
        <is>
          <t>col.C2 lossyG,lossyA,intra.B.dec.numpoints</t>
        </is>
      </c>
      <c r="B38" t="n">
        <v>40</v>
      </c>
    </row>
    <row r="39">
      <c r="A39" t="inlineStr">
        <is>
          <t>col.C2 lossyG,lossyA,intra.B.dec.numpoints.mean</t>
        </is>
      </c>
      <c r="B39" t="n">
        <v>41</v>
      </c>
    </row>
    <row r="40">
      <c r="A40" t="inlineStr">
        <is>
          <t>col.C2 lossyG,lossyA,intra.B.dec.numduppoints.mean</t>
        </is>
      </c>
      <c r="B40" t="n">
        <v>42</v>
      </c>
    </row>
    <row r="41">
      <c r="A41" t="inlineStr">
        <is>
          <t>col.C2 lossyG,lossyA,intra.B.enc.ext.bits</t>
        </is>
      </c>
      <c r="B41" t="n">
        <v>43</v>
      </c>
    </row>
    <row r="42">
      <c r="A42" t="inlineStr">
        <is>
          <t>col.C2 lossyG,lossyA,intra.B.enc.bits.geometry</t>
        </is>
      </c>
      <c r="B42" t="n">
        <v>44</v>
      </c>
    </row>
    <row r="43">
      <c r="A43" t="inlineStr">
        <is>
          <t>col.C2 lossyG,lossyA,intra.B.enc.bits.occ+patch</t>
        </is>
      </c>
      <c r="B43" t="n">
        <v>45</v>
      </c>
    </row>
    <row r="44">
      <c r="A44" t="inlineStr">
        <is>
          <t>col.C2 lossyG,lossyA,intra.B.enc.bits.colour</t>
        </is>
      </c>
      <c r="B44" t="n">
        <v>46</v>
      </c>
    </row>
    <row r="45">
      <c r="A45" t="inlineStr">
        <is>
          <t>col.C2 lossyG,lossyA,intra.B.dec.d1-psnr</t>
        </is>
      </c>
      <c r="B45" t="n">
        <v>47</v>
      </c>
    </row>
    <row r="46">
      <c r="A46" t="inlineStr">
        <is>
          <t>col.C2 lossyG,lossyA,intra.B.dec.d2-psnr</t>
        </is>
      </c>
      <c r="B46" t="n">
        <v>48</v>
      </c>
    </row>
    <row r="47">
      <c r="A47" t="inlineStr">
        <is>
          <t>col.C2 lossyG,lossyA,intra.B.dec.y-psnr</t>
        </is>
      </c>
      <c r="B47" t="n">
        <v>49</v>
      </c>
    </row>
    <row r="48">
      <c r="A48" t="inlineStr">
        <is>
          <t>col.C2 lossyG,lossyA,intra.B.dec.cb-psnr</t>
        </is>
      </c>
      <c r="B48" t="n">
        <v>50</v>
      </c>
    </row>
    <row r="49">
      <c r="A49" t="inlineStr">
        <is>
          <t>col.C2 lossyG,lossyA,intra.B.dec.cr-psnr</t>
        </is>
      </c>
      <c r="B49" t="n">
        <v>51</v>
      </c>
    </row>
    <row r="50">
      <c r="A50" t="inlineStr">
        <is>
          <t>col.C2 lossyG,lossyA,intra.B.enc.utime.self</t>
        </is>
      </c>
      <c r="B50" t="n">
        <v>52</v>
      </c>
    </row>
    <row r="51">
      <c r="A51" t="inlineStr">
        <is>
          <t>col.C2 lossyG,lossyA,intra.B.enc.utime.children</t>
        </is>
      </c>
      <c r="B51" t="n">
        <v>53</v>
      </c>
    </row>
    <row r="52">
      <c r="A52" t="inlineStr">
        <is>
          <t>col.C2 lossyG,lossyA,intra.B.dec.utime.self</t>
        </is>
      </c>
      <c r="B52" t="n">
        <v>54</v>
      </c>
    </row>
    <row r="53">
      <c r="A53" t="inlineStr">
        <is>
          <t>col.C2 lossyG,lossyA,intra.B.dec.utime.children</t>
        </is>
      </c>
      <c r="B53" t="n">
        <v>55</v>
      </c>
    </row>
    <row r="54">
      <c r="A54" t="inlineStr">
        <is>
          <t>col.C2 lossyG,lossyA,intra.eqn.ab.delta-duppoints_ratio</t>
        </is>
      </c>
      <c r="B54" t="n">
        <v>57</v>
      </c>
    </row>
    <row r="55">
      <c r="A55" t="inlineStr">
        <is>
          <t>col.C2 lossyG,lossyA,intra.eqn.ab.delta-geom_texture_bits_ratio</t>
        </is>
      </c>
      <c r="B55" t="n">
        <v>58</v>
      </c>
    </row>
    <row r="56">
      <c r="A56" t="inlineStr">
        <is>
          <t>col.C2 lossyG,lossyA,intra.eqn.ab.summary-delta-geom_texture_bits_ratio</t>
        </is>
      </c>
      <c r="B56" t="n">
        <v>59</v>
      </c>
    </row>
    <row r="57">
      <c r="A57" t="inlineStr">
        <is>
          <t>col.C2 lossyG,lossyA,intra.eqn.ab.bdrate-d1-geomrate</t>
        </is>
      </c>
      <c r="B57" t="n">
        <v>61</v>
      </c>
    </row>
    <row r="58">
      <c r="A58" t="inlineStr">
        <is>
          <t>col.C2 lossyG,lossyA,intra.eqn.ab.bdrate-d2-geomrate</t>
        </is>
      </c>
      <c r="B58" t="n">
        <v>62</v>
      </c>
    </row>
    <row r="59">
      <c r="A59" t="inlineStr">
        <is>
          <t>col.C2 lossyG,lossyA,intra.eqn.ab.bdrate-y-attrrate</t>
        </is>
      </c>
      <c r="B59" t="n">
        <v>63</v>
      </c>
    </row>
    <row r="60">
      <c r="A60" t="inlineStr">
        <is>
          <t>col.C2 lossyG,lossyA,intra.eqn.ab.bdrate-cb-attrrate</t>
        </is>
      </c>
      <c r="B60" t="n">
        <v>64</v>
      </c>
    </row>
    <row r="61">
      <c r="A61" t="inlineStr">
        <is>
          <t>col.C2 lossyG,lossyA,intra.eqn.ab.bdrate-cr-attrrate</t>
        </is>
      </c>
      <c r="B61" t="n">
        <v>65</v>
      </c>
    </row>
    <row r="62">
      <c r="A62" t="inlineStr">
        <is>
          <t>col.C2 lossyG,lossyA,intra.eqn.ab.bdrate-d1</t>
        </is>
      </c>
      <c r="B62" t="n">
        <v>67</v>
      </c>
    </row>
    <row r="63">
      <c r="A63" t="inlineStr">
        <is>
          <t>col.C2 lossyG,lossyA,intra.eqn.ab.bdrate-d2</t>
        </is>
      </c>
      <c r="B63" t="n">
        <v>68</v>
      </c>
    </row>
    <row r="64">
      <c r="A64" t="inlineStr">
        <is>
          <t>col.C2 lossyG,lossyA,intra.eqn.ab.bdrate-y</t>
        </is>
      </c>
      <c r="B64" t="n">
        <v>69</v>
      </c>
    </row>
    <row r="65">
      <c r="A65" t="inlineStr">
        <is>
          <t>col.C2 lossyG,lossyA,intra.eqn.ab.bdrate-cb</t>
        </is>
      </c>
      <c r="B65" t="n">
        <v>70</v>
      </c>
    </row>
    <row r="66">
      <c r="A66" t="inlineStr">
        <is>
          <t>col.C2 lossyG,lossyA,intra.eqn.ab.bdrate-cr</t>
        </is>
      </c>
      <c r="B66" t="n">
        <v>71</v>
      </c>
    </row>
    <row r="67">
      <c r="A67" t="inlineStr">
        <is>
          <t>name.A.C2 lossyG,lossyA,intra</t>
        </is>
      </c>
      <c r="B67" t="inlineStr">
        <is>
          <t>'C2 lossyG,lossyA,intra'!$I$1</t>
        </is>
      </c>
    </row>
    <row r="68">
      <c r="A68" t="inlineStr">
        <is>
          <t>name.B.C2 lossyG,lossyA,intra</t>
        </is>
      </c>
      <c r="B68" t="inlineStr">
        <is>
          <t>'C2 lossyG,lossyA,intra'!$AG$1</t>
        </is>
      </c>
    </row>
    <row r="69">
      <c r="A69" t="inlineStr">
        <is>
          <t>range.C2 lossyG,lossyA,intra.8ivfbv2_loot_vox10</t>
        </is>
      </c>
      <c r="B69" t="inlineStr">
        <is>
          <t>'C2 lossyG,lossyA,intra'!$A$5:$BS$9</t>
        </is>
      </c>
    </row>
    <row r="70">
      <c r="A70" t="inlineStr">
        <is>
          <t>range.C2 lossyG,lossyA,intra.8ivfbv2_redandblack_vox10</t>
        </is>
      </c>
      <c r="B70" t="inlineStr">
        <is>
          <t>'C2 lossyG,lossyA,intra'!$A$10:$BS$14</t>
        </is>
      </c>
    </row>
    <row r="71">
      <c r="A71" t="inlineStr">
        <is>
          <t>range.C2 lossyG,lossyA,intra.8ivfbv2_soldier_vox10</t>
        </is>
      </c>
      <c r="B71" t="inlineStr">
        <is>
          <t>'C2 lossyG,lossyA,intra'!$A$15:$BS$19</t>
        </is>
      </c>
    </row>
    <row r="72">
      <c r="A72" t="inlineStr">
        <is>
          <t>range.C2 lossyG,lossyA,intra.queen</t>
        </is>
      </c>
      <c r="B72" t="inlineStr">
        <is>
          <t>'C2 lossyG,lossyA,intra'!$A$20:$BS$24</t>
        </is>
      </c>
    </row>
    <row r="73">
      <c r="A73" t="inlineStr">
        <is>
          <t>range.C2 lossyG,lossyA,intra.8ivfbv2_longdress_vox10</t>
        </is>
      </c>
      <c r="B73" t="inlineStr">
        <is>
          <t>'C2 lossyG,lossyA,intra'!$A$25:$BS$29</t>
        </is>
      </c>
    </row>
    <row r="74">
      <c r="A74" t="inlineStr">
        <is>
          <t>cols.C2 lossyG,lossyA,intra</t>
        </is>
      </c>
      <c r="B74" t="inlineStr">
        <is>
          <t>enc.utime.self</t>
        </is>
      </c>
      <c r="C74" t="inlineStr">
        <is>
          <t>dec.y-psnr</t>
        </is>
      </c>
      <c r="D74" t="inlineStr">
        <is>
          <t>eqn.bits.totalgeometry</t>
        </is>
      </c>
      <c r="E74" t="inlineStr">
        <is>
          <t>enc.bits.colour</t>
        </is>
      </c>
      <c r="F74" t="inlineStr">
        <is>
          <t>eqn.bpop</t>
        </is>
      </c>
      <c r="G74" t="inlineStr">
        <is>
          <t>eqn.bpp.colour</t>
        </is>
      </c>
      <c r="H74" t="inlineStr">
        <is>
          <t>dec.numduppoints.mean</t>
        </is>
      </c>
      <c r="I74" t="inlineStr">
        <is>
          <t>dec.utime.children</t>
        </is>
      </c>
      <c r="J74" t="inlineStr">
        <is>
          <t>enc.bits.occ+patch</t>
        </is>
      </c>
      <c r="K74" t="inlineStr">
        <is>
          <t>enc.bits.geometry</t>
        </is>
      </c>
      <c r="L74" t="inlineStr">
        <is>
          <t>dec.numpoints.mean</t>
        </is>
      </c>
      <c r="M74" t="inlineStr">
        <is>
          <t>dec.utime.self</t>
        </is>
      </c>
      <c r="N74" t="inlineStr">
        <is>
          <t>eqn.bpp</t>
        </is>
      </c>
      <c r="O74" t="inlineStr">
        <is>
          <t>eqn.bitrate</t>
        </is>
      </c>
      <c r="P74" t="inlineStr">
        <is>
          <t>dec.cb-psnr</t>
        </is>
      </c>
      <c r="Q74" t="inlineStr">
        <is>
          <t>dec.d2-psnr</t>
        </is>
      </c>
      <c r="R74" t="inlineStr">
        <is>
          <t>dec.cr-psnr</t>
        </is>
      </c>
      <c r="S74" t="inlineStr">
        <is>
          <t>eqn.bpp.geometry</t>
        </is>
      </c>
      <c r="T74" t="inlineStr">
        <is>
          <t>enc.utime.children</t>
        </is>
      </c>
      <c r="U74" t="inlineStr">
        <is>
          <t>eqn.bpp.geometry+occ+patch</t>
        </is>
      </c>
      <c r="V74" t="inlineStr">
        <is>
          <t>dec.numpoints</t>
        </is>
      </c>
      <c r="W74" t="inlineStr">
        <is>
          <t>dec.d1-psnr</t>
        </is>
      </c>
      <c r="X74" t="inlineStr">
        <is>
          <t>enc.ext.bits</t>
        </is>
      </c>
    </row>
    <row r="75">
      <c r="A75" t="inlineStr">
        <is>
          <t>col.CW losslG,losslA,intra.class</t>
        </is>
      </c>
      <c r="B75" t="n">
        <v>1</v>
      </c>
    </row>
    <row r="76">
      <c r="A76" t="inlineStr">
        <is>
          <t>col.CW losslG,losslA,intra.sequence</t>
        </is>
      </c>
      <c r="B76" t="n">
        <v>2</v>
      </c>
    </row>
    <row r="77">
      <c r="A77" t="inlineStr">
        <is>
          <t>col.CW losslG,losslA,intra.src.numpoints</t>
        </is>
      </c>
      <c r="B77" t="n">
        <v>3</v>
      </c>
    </row>
    <row r="78">
      <c r="A78" t="inlineStr">
        <is>
          <t>col.CW losslG,losslA,intra.src.geometry-precision</t>
        </is>
      </c>
      <c r="B78" t="n">
        <v>4</v>
      </c>
    </row>
    <row r="79">
      <c r="A79" t="inlineStr">
        <is>
          <t>col.CW losslG,losslA,intra.src.framecount</t>
        </is>
      </c>
      <c r="B79" t="n">
        <v>5</v>
      </c>
    </row>
    <row r="80">
      <c r="A80" t="inlineStr">
        <is>
          <t>col.CW losslG,losslA,intra.src.framerate</t>
        </is>
      </c>
      <c r="B80" t="n">
        <v>6</v>
      </c>
    </row>
    <row r="81">
      <c r="A81" t="inlineStr">
        <is>
          <t>col.CW losslG,losslA,intra.A.eqn.compratio</t>
        </is>
      </c>
      <c r="B81" t="n">
        <v>8</v>
      </c>
    </row>
    <row r="82">
      <c r="A82" t="inlineStr">
        <is>
          <t>col.CW losslG,losslA,intra.A.eqn.bitrate</t>
        </is>
      </c>
      <c r="B82" t="n">
        <v>9</v>
      </c>
    </row>
    <row r="83">
      <c r="A83" t="inlineStr">
        <is>
          <t>col.CW losslG,losslA,intra.A.eqn.bpp</t>
        </is>
      </c>
      <c r="B83" t="n">
        <v>10</v>
      </c>
    </row>
    <row r="84">
      <c r="A84" t="inlineStr">
        <is>
          <t>col.CW losslG,losslA,intra.A.eqn.bpp.geometry+occ+patch</t>
        </is>
      </c>
      <c r="B84" t="n">
        <v>11</v>
      </c>
    </row>
    <row r="85">
      <c r="A85" t="inlineStr">
        <is>
          <t>col.CW losslG,losslA,intra.A.eqn.bpp.geometry</t>
        </is>
      </c>
      <c r="B85" t="n">
        <v>12</v>
      </c>
    </row>
    <row r="86">
      <c r="A86" t="inlineStr">
        <is>
          <t>col.CW losslG,losslA,intra.A.eqn.bpp.colour</t>
        </is>
      </c>
      <c r="B86" t="n">
        <v>13</v>
      </c>
    </row>
    <row r="87">
      <c r="A87" t="inlineStr">
        <is>
          <t>col.CW losslG,losslA,intra.A.eqn.bits.totalgeometry</t>
        </is>
      </c>
      <c r="B87" t="n">
        <v>14</v>
      </c>
    </row>
    <row r="88">
      <c r="A88" t="inlineStr">
        <is>
          <t>col.CW losslG,losslA,intra.A.eqn.bpop</t>
        </is>
      </c>
      <c r="B88" t="n">
        <v>15</v>
      </c>
    </row>
    <row r="89">
      <c r="A89" t="inlineStr">
        <is>
          <t>col.CW losslG,losslA,intra.A.dec.numpoints</t>
        </is>
      </c>
      <c r="B89" t="n">
        <v>16</v>
      </c>
    </row>
    <row r="90">
      <c r="A90" t="inlineStr">
        <is>
          <t>col.CW losslG,losslA,intra.A.enc.ext.bits</t>
        </is>
      </c>
      <c r="B90" t="n">
        <v>17</v>
      </c>
    </row>
    <row r="91">
      <c r="A91" t="inlineStr">
        <is>
          <t>col.CW losslG,losslA,intra.A.enc.bits.geometry</t>
        </is>
      </c>
      <c r="B91" t="n">
        <v>18</v>
      </c>
    </row>
    <row r="92">
      <c r="A92" t="inlineStr">
        <is>
          <t>col.CW losslG,losslA,intra.A.enc.bits.occ+patch</t>
        </is>
      </c>
      <c r="B92" t="n">
        <v>19</v>
      </c>
    </row>
    <row r="93">
      <c r="A93" t="inlineStr">
        <is>
          <t>col.CW losslG,losslA,intra.A.enc.bits.colour</t>
        </is>
      </c>
      <c r="B93" t="n">
        <v>20</v>
      </c>
    </row>
    <row r="94">
      <c r="A94" t="inlineStr">
        <is>
          <t>col.CW losslG,losslA,intra.A.dec.d1-psnr</t>
        </is>
      </c>
      <c r="B94" t="n">
        <v>21</v>
      </c>
    </row>
    <row r="95">
      <c r="A95" t="inlineStr">
        <is>
          <t>col.CW losslG,losslA,intra.A.dec.d2-psnr</t>
        </is>
      </c>
      <c r="B95" t="n">
        <v>22</v>
      </c>
    </row>
    <row r="96">
      <c r="A96" t="inlineStr">
        <is>
          <t>col.CW losslG,losslA,intra.A.dec.y-psnr</t>
        </is>
      </c>
      <c r="B96" t="n">
        <v>23</v>
      </c>
    </row>
    <row r="97">
      <c r="A97" t="inlineStr">
        <is>
          <t>col.CW losslG,losslA,intra.A.dec.cb-psnr</t>
        </is>
      </c>
      <c r="B97" t="n">
        <v>24</v>
      </c>
    </row>
    <row r="98">
      <c r="A98" t="inlineStr">
        <is>
          <t>col.CW losslG,losslA,intra.A.dec.cr-psnr</t>
        </is>
      </c>
      <c r="B98" t="n">
        <v>25</v>
      </c>
    </row>
    <row r="99">
      <c r="A99" t="inlineStr">
        <is>
          <t>col.CW losslG,losslA,intra.A.enc.utime.self</t>
        </is>
      </c>
      <c r="B99" t="n">
        <v>26</v>
      </c>
    </row>
    <row r="100">
      <c r="A100" t="inlineStr">
        <is>
          <t>col.CW losslG,losslA,intra.A.enc.utime.children</t>
        </is>
      </c>
      <c r="B100" t="n">
        <v>27</v>
      </c>
    </row>
    <row r="101">
      <c r="A101" t="inlineStr">
        <is>
          <t>col.CW losslG,losslA,intra.A.dec.utime.self</t>
        </is>
      </c>
      <c r="B101" t="n">
        <v>28</v>
      </c>
    </row>
    <row r="102">
      <c r="A102" t="inlineStr">
        <is>
          <t>col.CW losslG,losslA,intra.A.dec.utime.children</t>
        </is>
      </c>
      <c r="B102" t="n">
        <v>29</v>
      </c>
    </row>
    <row r="103">
      <c r="A103" t="inlineStr">
        <is>
          <t>col.CW losslG,losslA,intra.B.eqn.compratio</t>
        </is>
      </c>
      <c r="B103" t="n">
        <v>31</v>
      </c>
    </row>
    <row r="104">
      <c r="A104" t="inlineStr">
        <is>
          <t>col.CW losslG,losslA,intra.B.eqn.bitrate</t>
        </is>
      </c>
      <c r="B104" t="n">
        <v>32</v>
      </c>
    </row>
    <row r="105">
      <c r="A105" t="inlineStr">
        <is>
          <t>col.CW losslG,losslA,intra.B.eqn.bpp</t>
        </is>
      </c>
      <c r="B105" t="n">
        <v>33</v>
      </c>
    </row>
    <row r="106">
      <c r="A106" t="inlineStr">
        <is>
          <t>col.CW losslG,losslA,intra.B.eqn.bpp.geometry+occ+patch</t>
        </is>
      </c>
      <c r="B106" t="n">
        <v>34</v>
      </c>
    </row>
    <row r="107">
      <c r="A107" t="inlineStr">
        <is>
          <t>col.CW losslG,losslA,intra.B.eqn.bpp.geometry</t>
        </is>
      </c>
      <c r="B107" t="n">
        <v>35</v>
      </c>
    </row>
    <row r="108">
      <c r="A108" t="inlineStr">
        <is>
          <t>col.CW losslG,losslA,intra.B.eqn.bpp.colour</t>
        </is>
      </c>
      <c r="B108" t="n">
        <v>36</v>
      </c>
    </row>
    <row r="109">
      <c r="A109" t="inlineStr">
        <is>
          <t>col.CW losslG,losslA,intra.B.eqn.bits.totalgeometry</t>
        </is>
      </c>
      <c r="B109" t="n">
        <v>37</v>
      </c>
    </row>
    <row r="110">
      <c r="A110" t="inlineStr">
        <is>
          <t>col.CW losslG,losslA,intra.B.eqn.bpop</t>
        </is>
      </c>
      <c r="B110" t="n">
        <v>38</v>
      </c>
    </row>
    <row r="111">
      <c r="A111" t="inlineStr">
        <is>
          <t>col.CW losslG,losslA,intra.B.dec.numpoints</t>
        </is>
      </c>
      <c r="B111" t="n">
        <v>39</v>
      </c>
    </row>
    <row r="112">
      <c r="A112" t="inlineStr">
        <is>
          <t>col.CW losslG,losslA,intra.B.enc.ext.bits</t>
        </is>
      </c>
      <c r="B112" t="n">
        <v>40</v>
      </c>
    </row>
    <row r="113">
      <c r="A113" t="inlineStr">
        <is>
          <t>col.CW losslG,losslA,intra.B.enc.bits.geometry</t>
        </is>
      </c>
      <c r="B113" t="n">
        <v>41</v>
      </c>
    </row>
    <row r="114">
      <c r="A114" t="inlineStr">
        <is>
          <t>col.CW losslG,losslA,intra.B.enc.bits.occ+patch</t>
        </is>
      </c>
      <c r="B114" t="n">
        <v>42</v>
      </c>
    </row>
    <row r="115">
      <c r="A115" t="inlineStr">
        <is>
          <t>col.CW losslG,losslA,intra.B.enc.bits.colour</t>
        </is>
      </c>
      <c r="B115" t="n">
        <v>43</v>
      </c>
    </row>
    <row r="116">
      <c r="A116" t="inlineStr">
        <is>
          <t>col.CW losslG,losslA,intra.B.dec.d1-psnr</t>
        </is>
      </c>
      <c r="B116" t="n">
        <v>44</v>
      </c>
    </row>
    <row r="117">
      <c r="A117" t="inlineStr">
        <is>
          <t>col.CW losslG,losslA,intra.B.dec.d2-psnr</t>
        </is>
      </c>
      <c r="B117" t="n">
        <v>45</v>
      </c>
    </row>
    <row r="118">
      <c r="A118" t="inlineStr">
        <is>
          <t>col.CW losslG,losslA,intra.B.dec.y-psnr</t>
        </is>
      </c>
      <c r="B118" t="n">
        <v>46</v>
      </c>
    </row>
    <row r="119">
      <c r="A119" t="inlineStr">
        <is>
          <t>col.CW losslG,losslA,intra.B.dec.cb-psnr</t>
        </is>
      </c>
      <c r="B119" t="n">
        <v>47</v>
      </c>
    </row>
    <row r="120">
      <c r="A120" t="inlineStr">
        <is>
          <t>col.CW losslG,losslA,intra.B.dec.cr-psnr</t>
        </is>
      </c>
      <c r="B120" t="n">
        <v>48</v>
      </c>
    </row>
    <row r="121">
      <c r="A121" t="inlineStr">
        <is>
          <t>col.CW losslG,losslA,intra.B.enc.utime.self</t>
        </is>
      </c>
      <c r="B121" t="n">
        <v>49</v>
      </c>
    </row>
    <row r="122">
      <c r="A122" t="inlineStr">
        <is>
          <t>col.CW losslG,losslA,intra.B.enc.utime.children</t>
        </is>
      </c>
      <c r="B122" t="n">
        <v>50</v>
      </c>
    </row>
    <row r="123">
      <c r="A123" t="inlineStr">
        <is>
          <t>col.CW losslG,losslA,intra.B.dec.utime.self</t>
        </is>
      </c>
      <c r="B123" t="n">
        <v>51</v>
      </c>
    </row>
    <row r="124">
      <c r="A124" t="inlineStr">
        <is>
          <t>col.CW losslG,losslA,intra.B.dec.utime.children</t>
        </is>
      </c>
      <c r="B124" t="n">
        <v>52</v>
      </c>
    </row>
    <row r="125">
      <c r="A125" t="inlineStr">
        <is>
          <t>col.CW losslG,losslA,intra.eqn.ab.ratio-bpp</t>
        </is>
      </c>
      <c r="B125" t="n">
        <v>54</v>
      </c>
    </row>
    <row r="126">
      <c r="A126" t="inlineStr">
        <is>
          <t>col.CW losslG,losslA,intra.eqn.ab.ratio-bpp-geometry</t>
        </is>
      </c>
      <c r="B126" t="n">
        <v>55</v>
      </c>
    </row>
    <row r="127">
      <c r="A127" t="inlineStr">
        <is>
          <t>col.CW losslG,losslA,intra.eqn.ab.ratio-bpp-colour</t>
        </is>
      </c>
      <c r="B127" t="n">
        <v>56</v>
      </c>
    </row>
    <row r="128">
      <c r="A128" t="inlineStr">
        <is>
          <t>col.CW losslG,losslA,intra.eqn.ab.delta-geom_texture_bits_ratio</t>
        </is>
      </c>
      <c r="B128" t="n">
        <v>57</v>
      </c>
    </row>
    <row r="129">
      <c r="A129" t="inlineStr">
        <is>
          <t>col.CW losslG,losslA,intra.eqn.ab.summary-delta-geom_texture_bits_ratio</t>
        </is>
      </c>
      <c r="B129" t="n">
        <v>58</v>
      </c>
    </row>
    <row r="130">
      <c r="A130" t="inlineStr">
        <is>
          <t>name.A.CW losslG,losslA,intra</t>
        </is>
      </c>
      <c r="B130" t="inlineStr">
        <is>
          <t>'CW losslG,losslA,intra'!$H$1</t>
        </is>
      </c>
    </row>
    <row r="131">
      <c r="A131" t="inlineStr">
        <is>
          <t>name.B.CW losslG,losslA,intra</t>
        </is>
      </c>
      <c r="B131" t="inlineStr">
        <is>
          <t>'CW losslG,losslA,intra'!$AE$1</t>
        </is>
      </c>
    </row>
    <row r="132">
      <c r="A132" t="inlineStr">
        <is>
          <t>range.CW losslG,losslA,intra.8ivfbv2_loot_vox10</t>
        </is>
      </c>
      <c r="B132" t="inlineStr">
        <is>
          <t>'CW losslG,losslA,intra'!$A$5:$BF$5</t>
        </is>
      </c>
    </row>
    <row r="133">
      <c r="A133" t="inlineStr">
        <is>
          <t>range.CW losslG,losslA,intra.8ivfbv2_redandblack_vox10</t>
        </is>
      </c>
      <c r="B133" t="inlineStr">
        <is>
          <t>'CW losslG,losslA,intra'!$A$6:$BF$6</t>
        </is>
      </c>
    </row>
    <row r="134">
      <c r="A134" t="inlineStr">
        <is>
          <t>range.CW losslG,losslA,intra.8ivfbv2_soldier_vox10</t>
        </is>
      </c>
      <c r="B134" t="inlineStr">
        <is>
          <t>'CW losslG,losslA,intra'!$A$7:$BF$7</t>
        </is>
      </c>
    </row>
    <row r="135">
      <c r="A135" t="inlineStr">
        <is>
          <t>range.CW losslG,losslA,intra.queen</t>
        </is>
      </c>
      <c r="B135" t="inlineStr">
        <is>
          <t>'CW losslG,losslA,intra'!$A$8:$BF$8</t>
        </is>
      </c>
    </row>
    <row r="136">
      <c r="A136" t="inlineStr">
        <is>
          <t>range.CW losslG,losslA,intra.8ivfbv2_longdress_vox10</t>
        </is>
      </c>
      <c r="B136" t="inlineStr">
        <is>
          <t>'CW losslG,losslA,intra'!$A$9:$BF$9</t>
        </is>
      </c>
    </row>
    <row r="137">
      <c r="A137" t="inlineStr">
        <is>
          <t>cols.CW losslG,losslA,intra</t>
        </is>
      </c>
      <c r="B137" t="inlineStr">
        <is>
          <t>eqn.bpp.geometry</t>
        </is>
      </c>
      <c r="C137" t="inlineStr">
        <is>
          <t>dec.cr-psnr</t>
        </is>
      </c>
      <c r="D137" t="inlineStr">
        <is>
          <t>dec.y-psnr</t>
        </is>
      </c>
      <c r="E137" t="inlineStr">
        <is>
          <t>enc.utime.self</t>
        </is>
      </c>
      <c r="F137" t="inlineStr">
        <is>
          <t>eqn.bpp</t>
        </is>
      </c>
      <c r="G137" t="inlineStr">
        <is>
          <t>eqn.bpp.colour</t>
        </is>
      </c>
      <c r="H137" t="inlineStr">
        <is>
          <t>enc.bits.geometry</t>
        </is>
      </c>
      <c r="I137" t="inlineStr">
        <is>
          <t>eqn.bpop</t>
        </is>
      </c>
      <c r="J137" t="inlineStr">
        <is>
          <t>enc.bits.colour</t>
        </is>
      </c>
      <c r="K137" t="inlineStr">
        <is>
          <t>enc.utime.children</t>
        </is>
      </c>
      <c r="L137" t="inlineStr">
        <is>
          <t>eqn.bits.totalgeometry</t>
        </is>
      </c>
      <c r="M137" t="inlineStr">
        <is>
          <t>dec.d2-psnr</t>
        </is>
      </c>
      <c r="N137" t="inlineStr">
        <is>
          <t>eqn.compratio</t>
        </is>
      </c>
      <c r="O137" t="inlineStr">
        <is>
          <t>dec.utime.self</t>
        </is>
      </c>
      <c r="P137" t="inlineStr">
        <is>
          <t>enc.bits.occ+patch</t>
        </is>
      </c>
      <c r="Q137" t="inlineStr">
        <is>
          <t>eqn.bpp.geometry+occ+patch</t>
        </is>
      </c>
      <c r="R137" t="inlineStr">
        <is>
          <t>dec.utime.children</t>
        </is>
      </c>
      <c r="S137" t="inlineStr">
        <is>
          <t>dec.d1-psnr</t>
        </is>
      </c>
      <c r="T137" t="inlineStr">
        <is>
          <t>dec.numpoints</t>
        </is>
      </c>
      <c r="U137" t="inlineStr">
        <is>
          <t>eqn.bitrate</t>
        </is>
      </c>
      <c r="V137" t="inlineStr">
        <is>
          <t>dec.cb-psnr</t>
        </is>
      </c>
      <c r="W137" t="inlineStr">
        <is>
          <t>enc.ext.bits</t>
        </is>
      </c>
    </row>
    <row r="138">
      <c r="A138" t="inlineStr">
        <is>
          <t>col.CW losslG,losslA,interLD.class</t>
        </is>
      </c>
      <c r="B138" t="n">
        <v>1</v>
      </c>
    </row>
    <row r="139">
      <c r="A139" t="inlineStr">
        <is>
          <t>col.CW losslG,losslA,interLD.sequence</t>
        </is>
      </c>
      <c r="B139" t="n">
        <v>2</v>
      </c>
    </row>
    <row r="140">
      <c r="A140" t="inlineStr">
        <is>
          <t>col.CW losslG,losslA,interLD.src.numpoints</t>
        </is>
      </c>
      <c r="B140" t="n">
        <v>3</v>
      </c>
    </row>
    <row r="141">
      <c r="A141" t="inlineStr">
        <is>
          <t>col.CW losslG,losslA,interLD.src.geometry-precision</t>
        </is>
      </c>
      <c r="B141" t="n">
        <v>4</v>
      </c>
    </row>
    <row r="142">
      <c r="A142" t="inlineStr">
        <is>
          <t>col.CW losslG,losslA,interLD.src.framecount</t>
        </is>
      </c>
      <c r="B142" t="n">
        <v>5</v>
      </c>
    </row>
    <row r="143">
      <c r="A143" t="inlineStr">
        <is>
          <t>col.CW losslG,losslA,interLD.src.framerate</t>
        </is>
      </c>
      <c r="B143" t="n">
        <v>6</v>
      </c>
    </row>
    <row r="144">
      <c r="A144" t="inlineStr">
        <is>
          <t>col.CW losslG,losslA,interLD.A.eqn.compratio</t>
        </is>
      </c>
      <c r="B144" t="n">
        <v>8</v>
      </c>
    </row>
    <row r="145">
      <c r="A145" t="inlineStr">
        <is>
          <t>col.CW losslG,losslA,interLD.A.eqn.bitrate</t>
        </is>
      </c>
      <c r="B145" t="n">
        <v>9</v>
      </c>
    </row>
    <row r="146">
      <c r="A146" t="inlineStr">
        <is>
          <t>col.CW losslG,losslA,interLD.A.eqn.bpp</t>
        </is>
      </c>
      <c r="B146" t="n">
        <v>10</v>
      </c>
    </row>
    <row r="147">
      <c r="A147" t="inlineStr">
        <is>
          <t>col.CW losslG,losslA,interLD.A.eqn.bpp.geometry+occ+patch</t>
        </is>
      </c>
      <c r="B147" t="n">
        <v>11</v>
      </c>
    </row>
    <row r="148">
      <c r="A148" t="inlineStr">
        <is>
          <t>col.CW losslG,losslA,interLD.A.eqn.bpp.geometry</t>
        </is>
      </c>
      <c r="B148" t="n">
        <v>12</v>
      </c>
    </row>
    <row r="149">
      <c r="A149" t="inlineStr">
        <is>
          <t>col.CW losslG,losslA,interLD.A.eqn.bpp.colour</t>
        </is>
      </c>
      <c r="B149" t="n">
        <v>13</v>
      </c>
    </row>
    <row r="150">
      <c r="A150" t="inlineStr">
        <is>
          <t>col.CW losslG,losslA,interLD.A.eqn.bits.totalgeometry</t>
        </is>
      </c>
      <c r="B150" t="n">
        <v>14</v>
      </c>
    </row>
    <row r="151">
      <c r="A151" t="inlineStr">
        <is>
          <t>col.CW losslG,losslA,interLD.A.eqn.bpop</t>
        </is>
      </c>
      <c r="B151" t="n">
        <v>15</v>
      </c>
    </row>
    <row r="152">
      <c r="A152" t="inlineStr">
        <is>
          <t>col.CW losslG,losslA,interLD.A.dec.numpoints</t>
        </is>
      </c>
      <c r="B152" t="n">
        <v>16</v>
      </c>
    </row>
    <row r="153">
      <c r="A153" t="inlineStr">
        <is>
          <t>col.CW losslG,losslA,interLD.A.enc.ext.bits</t>
        </is>
      </c>
      <c r="B153" t="n">
        <v>17</v>
      </c>
    </row>
    <row r="154">
      <c r="A154" t="inlineStr">
        <is>
          <t>col.CW losslG,losslA,interLD.A.enc.bits.geometry</t>
        </is>
      </c>
      <c r="B154" t="n">
        <v>18</v>
      </c>
    </row>
    <row r="155">
      <c r="A155" t="inlineStr">
        <is>
          <t>col.CW losslG,losslA,interLD.A.enc.bits.occ+patch</t>
        </is>
      </c>
      <c r="B155" t="n">
        <v>19</v>
      </c>
    </row>
    <row r="156">
      <c r="A156" t="inlineStr">
        <is>
          <t>col.CW losslG,losslA,interLD.A.enc.bits.colour</t>
        </is>
      </c>
      <c r="B156" t="n">
        <v>20</v>
      </c>
    </row>
    <row r="157">
      <c r="A157" t="inlineStr">
        <is>
          <t>col.CW losslG,losslA,interLD.A.dec.d1-psnr</t>
        </is>
      </c>
      <c r="B157" t="n">
        <v>21</v>
      </c>
    </row>
    <row r="158">
      <c r="A158" t="inlineStr">
        <is>
          <t>col.CW losslG,losslA,interLD.A.dec.d2-psnr</t>
        </is>
      </c>
      <c r="B158" t="n">
        <v>22</v>
      </c>
    </row>
    <row r="159">
      <c r="A159" t="inlineStr">
        <is>
          <t>col.CW losslG,losslA,interLD.A.dec.y-psnr</t>
        </is>
      </c>
      <c r="B159" t="n">
        <v>23</v>
      </c>
    </row>
    <row r="160">
      <c r="A160" t="inlineStr">
        <is>
          <t>col.CW losslG,losslA,interLD.A.dec.cb-psnr</t>
        </is>
      </c>
      <c r="B160" t="n">
        <v>24</v>
      </c>
    </row>
    <row r="161">
      <c r="A161" t="inlineStr">
        <is>
          <t>col.CW losslG,losslA,interLD.A.dec.cr-psnr</t>
        </is>
      </c>
      <c r="B161" t="n">
        <v>25</v>
      </c>
    </row>
    <row r="162">
      <c r="A162" t="inlineStr">
        <is>
          <t>col.CW losslG,losslA,interLD.A.enc.utime.self</t>
        </is>
      </c>
      <c r="B162" t="n">
        <v>26</v>
      </c>
    </row>
    <row r="163">
      <c r="A163" t="inlineStr">
        <is>
          <t>col.CW losslG,losslA,interLD.A.enc.utime.children</t>
        </is>
      </c>
      <c r="B163" t="n">
        <v>27</v>
      </c>
    </row>
    <row r="164">
      <c r="A164" t="inlineStr">
        <is>
          <t>col.CW losslG,losslA,interLD.A.dec.utime.self</t>
        </is>
      </c>
      <c r="B164" t="n">
        <v>28</v>
      </c>
    </row>
    <row r="165">
      <c r="A165" t="inlineStr">
        <is>
          <t>col.CW losslG,losslA,interLD.A.dec.utime.children</t>
        </is>
      </c>
      <c r="B165" t="n">
        <v>29</v>
      </c>
    </row>
    <row r="166">
      <c r="A166" t="inlineStr">
        <is>
          <t>col.CW losslG,losslA,interLD.B.eqn.compratio</t>
        </is>
      </c>
      <c r="B166" t="n">
        <v>31</v>
      </c>
    </row>
    <row r="167">
      <c r="A167" t="inlineStr">
        <is>
          <t>col.CW losslG,losslA,interLD.B.eqn.bitrate</t>
        </is>
      </c>
      <c r="B167" t="n">
        <v>32</v>
      </c>
    </row>
    <row r="168">
      <c r="A168" t="inlineStr">
        <is>
          <t>col.CW losslG,losslA,interLD.B.eqn.bpp</t>
        </is>
      </c>
      <c r="B168" t="n">
        <v>33</v>
      </c>
    </row>
    <row r="169">
      <c r="A169" t="inlineStr">
        <is>
          <t>col.CW losslG,losslA,interLD.B.eqn.bpp.geometry+occ+patch</t>
        </is>
      </c>
      <c r="B169" t="n">
        <v>34</v>
      </c>
    </row>
    <row r="170">
      <c r="A170" t="inlineStr">
        <is>
          <t>col.CW losslG,losslA,interLD.B.eqn.bpp.geometry</t>
        </is>
      </c>
      <c r="B170" t="n">
        <v>35</v>
      </c>
    </row>
    <row r="171">
      <c r="A171" t="inlineStr">
        <is>
          <t>col.CW losslG,losslA,interLD.B.eqn.bpp.colour</t>
        </is>
      </c>
      <c r="B171" t="n">
        <v>36</v>
      </c>
    </row>
    <row r="172">
      <c r="A172" t="inlineStr">
        <is>
          <t>col.CW losslG,losslA,interLD.B.eqn.bits.totalgeometry</t>
        </is>
      </c>
      <c r="B172" t="n">
        <v>37</v>
      </c>
    </row>
    <row r="173">
      <c r="A173" t="inlineStr">
        <is>
          <t>col.CW losslG,losslA,interLD.B.eqn.bpop</t>
        </is>
      </c>
      <c r="B173" t="n">
        <v>38</v>
      </c>
    </row>
    <row r="174">
      <c r="A174" t="inlineStr">
        <is>
          <t>col.CW losslG,losslA,interLD.B.dec.numpoints</t>
        </is>
      </c>
      <c r="B174" t="n">
        <v>39</v>
      </c>
    </row>
    <row r="175">
      <c r="A175" t="inlineStr">
        <is>
          <t>col.CW losslG,losslA,interLD.B.enc.ext.bits</t>
        </is>
      </c>
      <c r="B175" t="n">
        <v>40</v>
      </c>
    </row>
    <row r="176">
      <c r="A176" t="inlineStr">
        <is>
          <t>col.CW losslG,losslA,interLD.B.enc.bits.geometry</t>
        </is>
      </c>
      <c r="B176" t="n">
        <v>41</v>
      </c>
    </row>
    <row r="177">
      <c r="A177" t="inlineStr">
        <is>
          <t>col.CW losslG,losslA,interLD.B.enc.bits.occ+patch</t>
        </is>
      </c>
      <c r="B177" t="n">
        <v>42</v>
      </c>
    </row>
    <row r="178">
      <c r="A178" t="inlineStr">
        <is>
          <t>col.CW losslG,losslA,interLD.B.enc.bits.colour</t>
        </is>
      </c>
      <c r="B178" t="n">
        <v>43</v>
      </c>
    </row>
    <row r="179">
      <c r="A179" t="inlineStr">
        <is>
          <t>col.CW losslG,losslA,interLD.B.dec.d1-psnr</t>
        </is>
      </c>
      <c r="B179" t="n">
        <v>44</v>
      </c>
    </row>
    <row r="180">
      <c r="A180" t="inlineStr">
        <is>
          <t>col.CW losslG,losslA,interLD.B.dec.d2-psnr</t>
        </is>
      </c>
      <c r="B180" t="n">
        <v>45</v>
      </c>
    </row>
    <row r="181">
      <c r="A181" t="inlineStr">
        <is>
          <t>col.CW losslG,losslA,interLD.B.dec.y-psnr</t>
        </is>
      </c>
      <c r="B181" t="n">
        <v>46</v>
      </c>
    </row>
    <row r="182">
      <c r="A182" t="inlineStr">
        <is>
          <t>col.CW losslG,losslA,interLD.B.dec.cb-psnr</t>
        </is>
      </c>
      <c r="B182" t="n">
        <v>47</v>
      </c>
    </row>
    <row r="183">
      <c r="A183" t="inlineStr">
        <is>
          <t>col.CW losslG,losslA,interLD.B.dec.cr-psnr</t>
        </is>
      </c>
      <c r="B183" t="n">
        <v>48</v>
      </c>
    </row>
    <row r="184">
      <c r="A184" t="inlineStr">
        <is>
          <t>col.CW losslG,losslA,interLD.B.enc.utime.self</t>
        </is>
      </c>
      <c r="B184" t="n">
        <v>49</v>
      </c>
    </row>
    <row r="185">
      <c r="A185" t="inlineStr">
        <is>
          <t>col.CW losslG,losslA,interLD.B.enc.utime.children</t>
        </is>
      </c>
      <c r="B185" t="n">
        <v>50</v>
      </c>
    </row>
    <row r="186">
      <c r="A186" t="inlineStr">
        <is>
          <t>col.CW losslG,losslA,interLD.B.dec.utime.self</t>
        </is>
      </c>
      <c r="B186" t="n">
        <v>51</v>
      </c>
    </row>
    <row r="187">
      <c r="A187" t="inlineStr">
        <is>
          <t>col.CW losslG,losslA,interLD.B.dec.utime.children</t>
        </is>
      </c>
      <c r="B187" t="n">
        <v>52</v>
      </c>
    </row>
    <row r="188">
      <c r="A188" t="inlineStr">
        <is>
          <t>col.CW losslG,losslA,interLD.eqn.ab.ratio-bpp</t>
        </is>
      </c>
      <c r="B188" t="n">
        <v>54</v>
      </c>
    </row>
    <row r="189">
      <c r="A189" t="inlineStr">
        <is>
          <t>col.CW losslG,losslA,interLD.eqn.ab.ratio-bpp-geometry</t>
        </is>
      </c>
      <c r="B189" t="n">
        <v>55</v>
      </c>
    </row>
    <row r="190">
      <c r="A190" t="inlineStr">
        <is>
          <t>col.CW losslG,losslA,interLD.eqn.ab.ratio-bpp-colour</t>
        </is>
      </c>
      <c r="B190" t="n">
        <v>56</v>
      </c>
    </row>
    <row r="191">
      <c r="A191" t="inlineStr">
        <is>
          <t>col.CW losslG,losslA,interLD.eqn.ab.delta-geom_texture_bits_ratio</t>
        </is>
      </c>
      <c r="B191" t="n">
        <v>57</v>
      </c>
    </row>
    <row r="192">
      <c r="A192" t="inlineStr">
        <is>
          <t>col.CW losslG,losslA,interLD.eqn.ab.summary-delta-geom_texture_bits_ratio</t>
        </is>
      </c>
      <c r="B192" t="n">
        <v>58</v>
      </c>
    </row>
    <row r="193">
      <c r="A193" t="inlineStr">
        <is>
          <t>name.A.CW losslG,losslA,interLD</t>
        </is>
      </c>
      <c r="B193" t="inlineStr">
        <is>
          <t>'CW losslG,losslA,interLD'!$H$1</t>
        </is>
      </c>
    </row>
    <row r="194">
      <c r="A194" t="inlineStr">
        <is>
          <t>name.B.CW losslG,losslA,interLD</t>
        </is>
      </c>
      <c r="B194" t="inlineStr">
        <is>
          <t>'CW losslG,losslA,interLD'!$AE$1</t>
        </is>
      </c>
    </row>
    <row r="195">
      <c r="A195" t="inlineStr">
        <is>
          <t>range.CW losslG,losslA,interLD.8ivfbv2_loot_vox10</t>
        </is>
      </c>
      <c r="B195" t="inlineStr">
        <is>
          <t>'CW losslG,losslA,interLD'!$A$5:$BF$5</t>
        </is>
      </c>
    </row>
    <row r="196">
      <c r="A196" t="inlineStr">
        <is>
          <t>range.CW losslG,losslA,interLD.8ivfbv2_redandblack_vox10</t>
        </is>
      </c>
      <c r="B196" t="inlineStr">
        <is>
          <t>'CW losslG,losslA,interLD'!$A$6:$BF$6</t>
        </is>
      </c>
    </row>
    <row r="197">
      <c r="A197" t="inlineStr">
        <is>
          <t>range.CW losslG,losslA,interLD.8ivfbv2_soldier_vox10</t>
        </is>
      </c>
      <c r="B197" t="inlineStr">
        <is>
          <t>'CW losslG,losslA,interLD'!$A$7:$BF$7</t>
        </is>
      </c>
    </row>
    <row r="198">
      <c r="A198" t="inlineStr">
        <is>
          <t>range.CW losslG,losslA,interLD.queen</t>
        </is>
      </c>
      <c r="B198" t="inlineStr">
        <is>
          <t>'CW losslG,losslA,interLD'!$A$8:$BF$8</t>
        </is>
      </c>
    </row>
    <row r="199">
      <c r="A199" t="inlineStr">
        <is>
          <t>range.CW losslG,losslA,interLD.8ivfbv2_longdress_vox10</t>
        </is>
      </c>
      <c r="B199" t="inlineStr">
        <is>
          <t>'CW losslG,losslA,interLD'!$A$9:$BF$9</t>
        </is>
      </c>
    </row>
    <row r="200">
      <c r="A200" t="inlineStr">
        <is>
          <t>cols.CW losslG,losslA,interLD</t>
        </is>
      </c>
      <c r="B200" t="inlineStr">
        <is>
          <t>dec.d2-psnr</t>
        </is>
      </c>
      <c r="C200" t="inlineStr">
        <is>
          <t>dec.y-psnr</t>
        </is>
      </c>
      <c r="D200" t="inlineStr">
        <is>
          <t>enc.utime.self</t>
        </is>
      </c>
      <c r="E200" t="inlineStr">
        <is>
          <t>eqn.bpop</t>
        </is>
      </c>
      <c r="F200" t="inlineStr">
        <is>
          <t>eqn.compratio</t>
        </is>
      </c>
      <c r="G200" t="inlineStr">
        <is>
          <t>dec.utime.self</t>
        </is>
      </c>
      <c r="H200" t="inlineStr">
        <is>
          <t>eqn.bits.totalgeometry</t>
        </is>
      </c>
      <c r="I200" t="inlineStr">
        <is>
          <t>dec.cr-psnr</t>
        </is>
      </c>
      <c r="J200" t="inlineStr">
        <is>
          <t>eqn.bpp.geometry</t>
        </is>
      </c>
      <c r="K200" t="inlineStr">
        <is>
          <t>eqn.bpp</t>
        </is>
      </c>
      <c r="L200" t="inlineStr">
        <is>
          <t>enc.bits.geometry</t>
        </is>
      </c>
      <c r="M200" t="inlineStr">
        <is>
          <t>eqn.bpp.colour</t>
        </is>
      </c>
      <c r="N200" t="inlineStr">
        <is>
          <t>enc.utime.children</t>
        </is>
      </c>
      <c r="O200" t="inlineStr">
        <is>
          <t>enc.bits.colour</t>
        </is>
      </c>
      <c r="P200" t="inlineStr">
        <is>
          <t>dec.numpoints</t>
        </is>
      </c>
      <c r="Q200" t="inlineStr">
        <is>
          <t>dec.utime.children</t>
        </is>
      </c>
      <c r="R200" t="inlineStr">
        <is>
          <t>enc.ext.bits</t>
        </is>
      </c>
      <c r="S200" t="inlineStr">
        <is>
          <t>eqn.bpp.geometry+occ+patch</t>
        </is>
      </c>
      <c r="T200" t="inlineStr">
        <is>
          <t>eqn.bitrate</t>
        </is>
      </c>
      <c r="U200" t="inlineStr">
        <is>
          <t>dec.cb-psnr</t>
        </is>
      </c>
      <c r="V200" t="inlineStr">
        <is>
          <t>dec.d1-psnr</t>
        </is>
      </c>
      <c r="W200" t="inlineStr">
        <is>
          <t>enc.bits.occ+patch</t>
        </is>
      </c>
    </row>
    <row r="201">
      <c r="A201" t="inlineStr">
        <is>
          <t>col.C2 lossyG,lossyA,interRA.class</t>
        </is>
      </c>
      <c r="B201" t="n">
        <v>1</v>
      </c>
    </row>
    <row r="202">
      <c r="A202" t="inlineStr">
        <is>
          <t>col.C2 lossyG,lossyA,interRA.sequence</t>
        </is>
      </c>
      <c r="B202" t="n">
        <v>2</v>
      </c>
    </row>
    <row r="203">
      <c r="A203" t="inlineStr">
        <is>
          <t>col.C2 lossyG,lossyA,interRA.variant</t>
        </is>
      </c>
      <c r="B203" t="n">
        <v>3</v>
      </c>
    </row>
    <row r="204">
      <c r="A204" t="inlineStr">
        <is>
          <t>col.C2 lossyG,lossyA,interRA.src.numpoints</t>
        </is>
      </c>
      <c r="B204" t="n">
        <v>4</v>
      </c>
    </row>
    <row r="205">
      <c r="A205" t="inlineStr">
        <is>
          <t>col.C2 lossyG,lossyA,interRA.src.geometry-precision</t>
        </is>
      </c>
      <c r="B205" t="n">
        <v>5</v>
      </c>
    </row>
    <row r="206">
      <c r="A206" t="inlineStr">
        <is>
          <t>col.C2 lossyG,lossyA,interRA.src.framecount</t>
        </is>
      </c>
      <c r="B206" t="n">
        <v>6</v>
      </c>
    </row>
    <row r="207">
      <c r="A207" t="inlineStr">
        <is>
          <t>col.C2 lossyG,lossyA,interRA.src.framerate</t>
        </is>
      </c>
      <c r="B207" t="n">
        <v>7</v>
      </c>
    </row>
    <row r="208">
      <c r="A208" t="inlineStr">
        <is>
          <t>col.C2 lossyG,lossyA,interRA.A.eqn.bitrate</t>
        </is>
      </c>
      <c r="B208" t="n">
        <v>9</v>
      </c>
    </row>
    <row r="209">
      <c r="A209" t="inlineStr">
        <is>
          <t>col.C2 lossyG,lossyA,interRA.A.eqn.bpp</t>
        </is>
      </c>
      <c r="B209" t="n">
        <v>10</v>
      </c>
    </row>
    <row r="210">
      <c r="A210" t="inlineStr">
        <is>
          <t>col.C2 lossyG,lossyA,interRA.A.eqn.bpp.geometry+occ+patch</t>
        </is>
      </c>
      <c r="B210" t="n">
        <v>11</v>
      </c>
    </row>
    <row r="211">
      <c r="A211" t="inlineStr">
        <is>
          <t>col.C2 lossyG,lossyA,interRA.A.eqn.bpp.geometry</t>
        </is>
      </c>
      <c r="B211" t="n">
        <v>12</v>
      </c>
    </row>
    <row r="212">
      <c r="A212" t="inlineStr">
        <is>
          <t>col.C2 lossyG,lossyA,interRA.A.eqn.bpp.colour</t>
        </is>
      </c>
      <c r="B212" t="n">
        <v>13</v>
      </c>
    </row>
    <row r="213">
      <c r="A213" t="inlineStr">
        <is>
          <t>col.C2 lossyG,lossyA,interRA.A.eqn.bits.totalgeometry</t>
        </is>
      </c>
      <c r="B213" t="n">
        <v>14</v>
      </c>
    </row>
    <row r="214">
      <c r="A214" t="inlineStr">
        <is>
          <t>col.C2 lossyG,lossyA,interRA.A.eqn.bpop</t>
        </is>
      </c>
      <c r="B214" t="n">
        <v>15</v>
      </c>
    </row>
    <row r="215">
      <c r="A215" t="inlineStr">
        <is>
          <t>col.C2 lossyG,lossyA,interRA.A.dec.numpoints</t>
        </is>
      </c>
      <c r="B215" t="n">
        <v>16</v>
      </c>
    </row>
    <row r="216">
      <c r="A216" t="inlineStr">
        <is>
          <t>col.C2 lossyG,lossyA,interRA.A.dec.numpoints.mean</t>
        </is>
      </c>
      <c r="B216" t="n">
        <v>17</v>
      </c>
    </row>
    <row r="217">
      <c r="A217" t="inlineStr">
        <is>
          <t>col.C2 lossyG,lossyA,interRA.A.dec.numduppoints.mean</t>
        </is>
      </c>
      <c r="B217" t="n">
        <v>18</v>
      </c>
    </row>
    <row r="218">
      <c r="A218" t="inlineStr">
        <is>
          <t>col.C2 lossyG,lossyA,interRA.A.enc.ext.bits</t>
        </is>
      </c>
      <c r="B218" t="n">
        <v>19</v>
      </c>
    </row>
    <row r="219">
      <c r="A219" t="inlineStr">
        <is>
          <t>col.C2 lossyG,lossyA,interRA.A.enc.bits.geometry</t>
        </is>
      </c>
      <c r="B219" t="n">
        <v>20</v>
      </c>
    </row>
    <row r="220">
      <c r="A220" t="inlineStr">
        <is>
          <t>col.C2 lossyG,lossyA,interRA.A.enc.bits.occ+patch</t>
        </is>
      </c>
      <c r="B220" t="n">
        <v>21</v>
      </c>
    </row>
    <row r="221">
      <c r="A221" t="inlineStr">
        <is>
          <t>col.C2 lossyG,lossyA,interRA.A.enc.bits.colour</t>
        </is>
      </c>
      <c r="B221" t="n">
        <v>22</v>
      </c>
    </row>
    <row r="222">
      <c r="A222" t="inlineStr">
        <is>
          <t>col.C2 lossyG,lossyA,interRA.A.dec.d1-psnr</t>
        </is>
      </c>
      <c r="B222" t="n">
        <v>23</v>
      </c>
    </row>
    <row r="223">
      <c r="A223" t="inlineStr">
        <is>
          <t>col.C2 lossyG,lossyA,interRA.A.dec.d2-psnr</t>
        </is>
      </c>
      <c r="B223" t="n">
        <v>24</v>
      </c>
    </row>
    <row r="224">
      <c r="A224" t="inlineStr">
        <is>
          <t>col.C2 lossyG,lossyA,interRA.A.dec.y-psnr</t>
        </is>
      </c>
      <c r="B224" t="n">
        <v>25</v>
      </c>
    </row>
    <row r="225">
      <c r="A225" t="inlineStr">
        <is>
          <t>col.C2 lossyG,lossyA,interRA.A.dec.cb-psnr</t>
        </is>
      </c>
      <c r="B225" t="n">
        <v>26</v>
      </c>
    </row>
    <row r="226">
      <c r="A226" t="inlineStr">
        <is>
          <t>col.C2 lossyG,lossyA,interRA.A.dec.cr-psnr</t>
        </is>
      </c>
      <c r="B226" t="n">
        <v>27</v>
      </c>
    </row>
    <row r="227">
      <c r="A227" t="inlineStr">
        <is>
          <t>col.C2 lossyG,lossyA,interRA.A.enc.utime.self</t>
        </is>
      </c>
      <c r="B227" t="n">
        <v>28</v>
      </c>
    </row>
    <row r="228">
      <c r="A228" t="inlineStr">
        <is>
          <t>col.C2 lossyG,lossyA,interRA.A.enc.utime.children</t>
        </is>
      </c>
      <c r="B228" t="n">
        <v>29</v>
      </c>
    </row>
    <row r="229">
      <c r="A229" t="inlineStr">
        <is>
          <t>col.C2 lossyG,lossyA,interRA.A.dec.utime.self</t>
        </is>
      </c>
      <c r="B229" t="n">
        <v>30</v>
      </c>
    </row>
    <row r="230">
      <c r="A230" t="inlineStr">
        <is>
          <t>col.C2 lossyG,lossyA,interRA.A.dec.utime.children</t>
        </is>
      </c>
      <c r="B230" t="n">
        <v>31</v>
      </c>
    </row>
    <row r="231">
      <c r="A231" t="inlineStr">
        <is>
          <t>col.C2 lossyG,lossyA,interRA.B.eqn.bitrate</t>
        </is>
      </c>
      <c r="B231" t="n">
        <v>33</v>
      </c>
    </row>
    <row r="232">
      <c r="A232" t="inlineStr">
        <is>
          <t>col.C2 lossyG,lossyA,interRA.B.eqn.bpp</t>
        </is>
      </c>
      <c r="B232" t="n">
        <v>34</v>
      </c>
    </row>
    <row r="233">
      <c r="A233" t="inlineStr">
        <is>
          <t>col.C2 lossyG,lossyA,interRA.B.eqn.bpp.geometry+occ+patch</t>
        </is>
      </c>
      <c r="B233" t="n">
        <v>35</v>
      </c>
    </row>
    <row r="234">
      <c r="A234" t="inlineStr">
        <is>
          <t>col.C2 lossyG,lossyA,interRA.B.eqn.bpp.geometry</t>
        </is>
      </c>
      <c r="B234" t="n">
        <v>36</v>
      </c>
    </row>
    <row r="235">
      <c r="A235" t="inlineStr">
        <is>
          <t>col.C2 lossyG,lossyA,interRA.B.eqn.bpp.colour</t>
        </is>
      </c>
      <c r="B235" t="n">
        <v>37</v>
      </c>
    </row>
    <row r="236">
      <c r="A236" t="inlineStr">
        <is>
          <t>col.C2 lossyG,lossyA,interRA.B.eqn.bits.totalgeometry</t>
        </is>
      </c>
      <c r="B236" t="n">
        <v>38</v>
      </c>
    </row>
    <row r="237">
      <c r="A237" t="inlineStr">
        <is>
          <t>col.C2 lossyG,lossyA,interRA.B.eqn.bpop</t>
        </is>
      </c>
      <c r="B237" t="n">
        <v>39</v>
      </c>
    </row>
    <row r="238">
      <c r="A238" t="inlineStr">
        <is>
          <t>col.C2 lossyG,lossyA,interRA.B.dec.numpoints</t>
        </is>
      </c>
      <c r="B238" t="n">
        <v>40</v>
      </c>
    </row>
    <row r="239">
      <c r="A239" t="inlineStr">
        <is>
          <t>col.C2 lossyG,lossyA,interRA.B.dec.numpoints.mean</t>
        </is>
      </c>
      <c r="B239" t="n">
        <v>41</v>
      </c>
    </row>
    <row r="240">
      <c r="A240" t="inlineStr">
        <is>
          <t>col.C2 lossyG,lossyA,interRA.B.dec.numduppoints.mean</t>
        </is>
      </c>
      <c r="B240" t="n">
        <v>42</v>
      </c>
    </row>
    <row r="241">
      <c r="A241" t="inlineStr">
        <is>
          <t>col.C2 lossyG,lossyA,interRA.B.enc.ext.bits</t>
        </is>
      </c>
      <c r="B241" t="n">
        <v>43</v>
      </c>
    </row>
    <row r="242">
      <c r="A242" t="inlineStr">
        <is>
          <t>col.C2 lossyG,lossyA,interRA.B.enc.bits.geometry</t>
        </is>
      </c>
      <c r="B242" t="n">
        <v>44</v>
      </c>
    </row>
    <row r="243">
      <c r="A243" t="inlineStr">
        <is>
          <t>col.C2 lossyG,lossyA,interRA.B.enc.bits.occ+patch</t>
        </is>
      </c>
      <c r="B243" t="n">
        <v>45</v>
      </c>
    </row>
    <row r="244">
      <c r="A244" t="inlineStr">
        <is>
          <t>col.C2 lossyG,lossyA,interRA.B.enc.bits.colour</t>
        </is>
      </c>
      <c r="B244" t="n">
        <v>46</v>
      </c>
    </row>
    <row r="245">
      <c r="A245" t="inlineStr">
        <is>
          <t>col.C2 lossyG,lossyA,interRA.B.dec.d1-psnr</t>
        </is>
      </c>
      <c r="B245" t="n">
        <v>47</v>
      </c>
    </row>
    <row r="246">
      <c r="A246" t="inlineStr">
        <is>
          <t>col.C2 lossyG,lossyA,interRA.B.dec.d2-psnr</t>
        </is>
      </c>
      <c r="B246" t="n">
        <v>48</v>
      </c>
    </row>
    <row r="247">
      <c r="A247" t="inlineStr">
        <is>
          <t>col.C2 lossyG,lossyA,interRA.B.dec.y-psnr</t>
        </is>
      </c>
      <c r="B247" t="n">
        <v>49</v>
      </c>
    </row>
    <row r="248">
      <c r="A248" t="inlineStr">
        <is>
          <t>col.C2 lossyG,lossyA,interRA.B.dec.cb-psnr</t>
        </is>
      </c>
      <c r="B248" t="n">
        <v>50</v>
      </c>
    </row>
    <row r="249">
      <c r="A249" t="inlineStr">
        <is>
          <t>col.C2 lossyG,lossyA,interRA.B.dec.cr-psnr</t>
        </is>
      </c>
      <c r="B249" t="n">
        <v>51</v>
      </c>
    </row>
    <row r="250">
      <c r="A250" t="inlineStr">
        <is>
          <t>col.C2 lossyG,lossyA,interRA.B.enc.utime.self</t>
        </is>
      </c>
      <c r="B250" t="n">
        <v>52</v>
      </c>
    </row>
    <row r="251">
      <c r="A251" t="inlineStr">
        <is>
          <t>col.C2 lossyG,lossyA,interRA.B.enc.utime.children</t>
        </is>
      </c>
      <c r="B251" t="n">
        <v>53</v>
      </c>
    </row>
    <row r="252">
      <c r="A252" t="inlineStr">
        <is>
          <t>col.C2 lossyG,lossyA,interRA.B.dec.utime.self</t>
        </is>
      </c>
      <c r="B252" t="n">
        <v>54</v>
      </c>
    </row>
    <row r="253">
      <c r="A253" t="inlineStr">
        <is>
          <t>col.C2 lossyG,lossyA,interRA.B.dec.utime.children</t>
        </is>
      </c>
      <c r="B253" t="n">
        <v>55</v>
      </c>
    </row>
    <row r="254">
      <c r="A254" t="inlineStr">
        <is>
          <t>col.C2 lossyG,lossyA,interRA.eqn.ab.delta-duppoints_ratio</t>
        </is>
      </c>
      <c r="B254" t="n">
        <v>57</v>
      </c>
    </row>
    <row r="255">
      <c r="A255" t="inlineStr">
        <is>
          <t>col.C2 lossyG,lossyA,interRA.eqn.ab.delta-geom_texture_bits_ratio</t>
        </is>
      </c>
      <c r="B255" t="n">
        <v>58</v>
      </c>
    </row>
    <row r="256">
      <c r="A256" t="inlineStr">
        <is>
          <t>col.C2 lossyG,lossyA,interRA.eqn.ab.summary-delta-geom_texture_bits_ratio</t>
        </is>
      </c>
      <c r="B256" t="n">
        <v>59</v>
      </c>
    </row>
    <row r="257">
      <c r="A257" t="inlineStr">
        <is>
          <t>col.C2 lossyG,lossyA,interRA.eqn.ab.bdrate-d1-geomrate</t>
        </is>
      </c>
      <c r="B257" t="n">
        <v>61</v>
      </c>
    </row>
    <row r="258">
      <c r="A258" t="inlineStr">
        <is>
          <t>col.C2 lossyG,lossyA,interRA.eqn.ab.bdrate-d2-geomrate</t>
        </is>
      </c>
      <c r="B258" t="n">
        <v>62</v>
      </c>
    </row>
    <row r="259">
      <c r="A259" t="inlineStr">
        <is>
          <t>col.C2 lossyG,lossyA,interRA.eqn.ab.bdrate-y-attrrate</t>
        </is>
      </c>
      <c r="B259" t="n">
        <v>63</v>
      </c>
    </row>
    <row r="260">
      <c r="A260" t="inlineStr">
        <is>
          <t>col.C2 lossyG,lossyA,interRA.eqn.ab.bdrate-cb-attrrate</t>
        </is>
      </c>
      <c r="B260" t="n">
        <v>64</v>
      </c>
    </row>
    <row r="261">
      <c r="A261" t="inlineStr">
        <is>
          <t>col.C2 lossyG,lossyA,interRA.eqn.ab.bdrate-cr-attrrate</t>
        </is>
      </c>
      <c r="B261" t="n">
        <v>65</v>
      </c>
    </row>
    <row r="262">
      <c r="A262" t="inlineStr">
        <is>
          <t>col.C2 lossyG,lossyA,interRA.eqn.ab.bdrate-d1</t>
        </is>
      </c>
      <c r="B262" t="n">
        <v>67</v>
      </c>
    </row>
    <row r="263">
      <c r="A263" t="inlineStr">
        <is>
          <t>col.C2 lossyG,lossyA,interRA.eqn.ab.bdrate-d2</t>
        </is>
      </c>
      <c r="B263" t="n">
        <v>68</v>
      </c>
    </row>
    <row r="264">
      <c r="A264" t="inlineStr">
        <is>
          <t>col.C2 lossyG,lossyA,interRA.eqn.ab.bdrate-y</t>
        </is>
      </c>
      <c r="B264" t="n">
        <v>69</v>
      </c>
    </row>
    <row r="265">
      <c r="A265" t="inlineStr">
        <is>
          <t>col.C2 lossyG,lossyA,interRA.eqn.ab.bdrate-cb</t>
        </is>
      </c>
      <c r="B265" t="n">
        <v>70</v>
      </c>
    </row>
    <row r="266">
      <c r="A266" t="inlineStr">
        <is>
          <t>col.C2 lossyG,lossyA,interRA.eqn.ab.bdrate-cr</t>
        </is>
      </c>
      <c r="B266" t="n">
        <v>71</v>
      </c>
    </row>
    <row r="267">
      <c r="A267" t="inlineStr">
        <is>
          <t>name.A.C2 lossyG,lossyA,interRA</t>
        </is>
      </c>
      <c r="B267" t="inlineStr">
        <is>
          <t>'C2 lossyG,lossyA,interRA'!$I$1</t>
        </is>
      </c>
    </row>
    <row r="268">
      <c r="A268" t="inlineStr">
        <is>
          <t>name.B.C2 lossyG,lossyA,interRA</t>
        </is>
      </c>
      <c r="B268" t="inlineStr">
        <is>
          <t>'C2 lossyG,lossyA,interRA'!$AG$1</t>
        </is>
      </c>
    </row>
    <row r="269">
      <c r="A269" t="inlineStr">
        <is>
          <t>range.C2 lossyG,lossyA,interRA.8ivfbv2_loot_vox10</t>
        </is>
      </c>
      <c r="B269" t="inlineStr">
        <is>
          <t>'C2 lossyG,lossyA,interRA'!$A$5:$BS$9</t>
        </is>
      </c>
    </row>
    <row r="270">
      <c r="A270" t="inlineStr">
        <is>
          <t>range.C2 lossyG,lossyA,interRA.8ivfbv2_redandblack_vox10</t>
        </is>
      </c>
      <c r="B270" t="inlineStr">
        <is>
          <t>'C2 lossyG,lossyA,interRA'!$A$10:$BS$14</t>
        </is>
      </c>
    </row>
    <row r="271">
      <c r="A271" t="inlineStr">
        <is>
          <t>range.C2 lossyG,lossyA,interRA.8ivfbv2_soldier_vox10</t>
        </is>
      </c>
      <c r="B271" t="inlineStr">
        <is>
          <t>'C2 lossyG,lossyA,interRA'!$A$15:$BS$19</t>
        </is>
      </c>
    </row>
    <row r="272">
      <c r="A272" t="inlineStr">
        <is>
          <t>range.C2 lossyG,lossyA,interRA.queen</t>
        </is>
      </c>
      <c r="B272" t="inlineStr">
        <is>
          <t>'C2 lossyG,lossyA,interRA'!$A$20:$BS$24</t>
        </is>
      </c>
    </row>
    <row r="273">
      <c r="A273" t="inlineStr">
        <is>
          <t>range.C2 lossyG,lossyA,interRA.8ivfbv2_longdress_vox10</t>
        </is>
      </c>
      <c r="B273" t="inlineStr">
        <is>
          <t>'C2 lossyG,lossyA,interRA'!$A$25:$BS$29</t>
        </is>
      </c>
    </row>
    <row r="274">
      <c r="A274" t="inlineStr">
        <is>
          <t>cols.C2 lossyG,lossyA,interRA</t>
        </is>
      </c>
      <c r="B274" t="inlineStr">
        <is>
          <t>eqn.bits.totalgeometry</t>
        </is>
      </c>
      <c r="C274" t="inlineStr">
        <is>
          <t>dec.y-psnr</t>
        </is>
      </c>
      <c r="D274" t="inlineStr">
        <is>
          <t>dec.numduppoints.mean</t>
        </is>
      </c>
      <c r="E274" t="inlineStr">
        <is>
          <t>eqn.bpop</t>
        </is>
      </c>
      <c r="F274" t="inlineStr">
        <is>
          <t>eqn.bpp.colour</t>
        </is>
      </c>
      <c r="G274" t="inlineStr">
        <is>
          <t>enc.bits.colour</t>
        </is>
      </c>
      <c r="H274" t="inlineStr">
        <is>
          <t>enc.utime.self</t>
        </is>
      </c>
      <c r="I274" t="inlineStr">
        <is>
          <t>dec.d2-psnr</t>
        </is>
      </c>
      <c r="J274" t="inlineStr">
        <is>
          <t>dec.utime.children</t>
        </is>
      </c>
      <c r="K274" t="inlineStr">
        <is>
          <t>eqn.bitrate</t>
        </is>
      </c>
      <c r="L274" t="inlineStr">
        <is>
          <t>dec.cb-psnr</t>
        </is>
      </c>
      <c r="M274" t="inlineStr">
        <is>
          <t>dec.numpoints.mean</t>
        </is>
      </c>
      <c r="N274" t="inlineStr">
        <is>
          <t>dec.utime.self</t>
        </is>
      </c>
      <c r="O274" t="inlineStr">
        <is>
          <t>eqn.bpp</t>
        </is>
      </c>
      <c r="P274" t="inlineStr">
        <is>
          <t>enc.bits.occ+patch</t>
        </is>
      </c>
      <c r="Q274" t="inlineStr">
        <is>
          <t>enc.bits.geometry</t>
        </is>
      </c>
      <c r="R274" t="inlineStr">
        <is>
          <t>enc.utime.children</t>
        </is>
      </c>
      <c r="S274" t="inlineStr">
        <is>
          <t>dec.cr-psnr</t>
        </is>
      </c>
      <c r="T274" t="inlineStr">
        <is>
          <t>eqn.bpp.geometry</t>
        </is>
      </c>
      <c r="U274" t="inlineStr">
        <is>
          <t>dec.d1-psnr</t>
        </is>
      </c>
      <c r="V274" t="inlineStr">
        <is>
          <t>dec.numpoints</t>
        </is>
      </c>
      <c r="W274" t="inlineStr">
        <is>
          <t>enc.ext.bits</t>
        </is>
      </c>
      <c r="X274" t="inlineStr">
        <is>
          <t>eqn.bpp.geometry+occ+patch</t>
        </is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6">
    <outlinePr summaryBelow="0"/>
    <pageSetUpPr/>
  </sheetPr>
  <dimension ref="A1:BF16"/>
  <sheetViews>
    <sheetView workbookViewId="0">
      <pane activePane="topRight" state="frozen" topLeftCell="Q1" xSplit="2"/>
      <selection activeCell="AE2" pane="topRight" sqref="AE2:AE3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CW_ai — lossless geometry, lossless attributes [all intra]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32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24964341</v>
      </c>
      <c r="Q5" s="20" t="n">
        <v>221193816</v>
      </c>
      <c r="R5" s="20" t="n">
        <v>31842784</v>
      </c>
      <c r="S5" s="20" t="n">
        <v>2013136</v>
      </c>
      <c r="T5" s="20" t="n">
        <v>187337768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2351.19</v>
      </c>
      <c r="AA5" s="22" t="n">
        <v>4508.47</v>
      </c>
      <c r="AB5" s="22" t="n">
        <v>2.636</v>
      </c>
      <c r="AC5" s="22" t="n">
        <v>17.773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24964341</v>
      </c>
      <c r="AN5" s="20" t="n">
        <v>221681760</v>
      </c>
      <c r="AO5" s="20" t="n">
        <v>32330728</v>
      </c>
      <c r="AP5" s="20" t="n">
        <v>2013136</v>
      </c>
      <c r="AQ5" s="20" t="n">
        <v>187337768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2423.66</v>
      </c>
      <c r="AX5" s="22" t="n">
        <v>3906.43</v>
      </c>
      <c r="AY5" s="22" t="n">
        <v>2.575</v>
      </c>
      <c r="AZ5" s="22" t="n">
        <v>17.201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32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22654789</v>
      </c>
      <c r="Q6" s="30" t="n">
        <v>288816016</v>
      </c>
      <c r="R6" s="30" t="n">
        <v>34612152</v>
      </c>
      <c r="S6" s="30" t="n">
        <v>3194176</v>
      </c>
      <c r="T6" s="30" t="n">
        <v>251009560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2144.28</v>
      </c>
      <c r="AA6" s="32" t="n">
        <v>4534.56</v>
      </c>
      <c r="AB6" s="32" t="n">
        <v>2.407</v>
      </c>
      <c r="AC6" s="32" t="n">
        <v>18.044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22654789</v>
      </c>
      <c r="AN6" s="30" t="n">
        <v>288976936</v>
      </c>
      <c r="AO6" s="30" t="n">
        <v>34773072</v>
      </c>
      <c r="AP6" s="30" t="n">
        <v>3194176</v>
      </c>
      <c r="AQ6" s="30" t="n">
        <v>251009560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2226.16</v>
      </c>
      <c r="AX6" s="32" t="n">
        <v>3993.42</v>
      </c>
      <c r="AY6" s="32" t="n">
        <v>2.356</v>
      </c>
      <c r="AZ6" s="32" t="n">
        <v>18.15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32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33947718</v>
      </c>
      <c r="Q7" s="20" t="n">
        <v>331400504</v>
      </c>
      <c r="R7" s="20" t="n">
        <v>46888096</v>
      </c>
      <c r="S7" s="20" t="n">
        <v>3848032</v>
      </c>
      <c r="T7" s="20" t="n">
        <v>280664248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3361.2</v>
      </c>
      <c r="AA7" s="22" t="n">
        <v>6400.29</v>
      </c>
      <c r="AB7" s="22" t="n">
        <v>3.52</v>
      </c>
      <c r="AC7" s="22" t="n">
        <v>21.208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33947718</v>
      </c>
      <c r="AN7" s="20" t="n">
        <v>335317784</v>
      </c>
      <c r="AO7" s="20" t="n">
        <v>50805376</v>
      </c>
      <c r="AP7" s="20" t="n">
        <v>3848032</v>
      </c>
      <c r="AQ7" s="20" t="n">
        <v>280664248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3224.99</v>
      </c>
      <c r="AX7" s="22" t="n">
        <v>5791.34</v>
      </c>
      <c r="AY7" s="22" t="n">
        <v>3.719</v>
      </c>
      <c r="AZ7" s="22" t="n">
        <v>22.128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32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32209643</v>
      </c>
      <c r="Q8" s="50" t="n">
        <v>246223344</v>
      </c>
      <c r="R8" s="50" t="n">
        <v>26948072</v>
      </c>
      <c r="S8" s="50" t="n">
        <v>4845136</v>
      </c>
      <c r="T8" s="50" t="n">
        <v>214430008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3142.66</v>
      </c>
      <c r="AA8" s="52" t="n">
        <v>4465.83</v>
      </c>
      <c r="AB8" s="52" t="n">
        <v>2.893</v>
      </c>
      <c r="AC8" s="52" t="n">
        <v>16.629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32209643</v>
      </c>
      <c r="AN8" s="50" t="n">
        <v>254293248</v>
      </c>
      <c r="AO8" s="50" t="n">
        <v>35017976</v>
      </c>
      <c r="AP8" s="50" t="n">
        <v>4845136</v>
      </c>
      <c r="AQ8" s="50" t="n">
        <v>214430008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3164.97</v>
      </c>
      <c r="AX8" s="52" t="n">
        <v>4029.21</v>
      </c>
      <c r="AY8" s="52" t="n">
        <v>2.99</v>
      </c>
      <c r="AZ8" s="52" t="n">
        <v>18.381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32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25312408</v>
      </c>
      <c r="Q9" s="40" t="n">
        <v>380681272</v>
      </c>
      <c r="R9" s="40" t="n">
        <v>35788888</v>
      </c>
      <c r="S9" s="40" t="n">
        <v>2539792</v>
      </c>
      <c r="T9" s="40" t="n">
        <v>342352464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2512.34</v>
      </c>
      <c r="AA9" s="42" t="n">
        <v>5648.68</v>
      </c>
      <c r="AB9" s="42" t="n">
        <v>2.847</v>
      </c>
      <c r="AC9" s="42" t="n">
        <v>23.608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25312408</v>
      </c>
      <c r="AN9" s="40" t="n">
        <v>380764440</v>
      </c>
      <c r="AO9" s="40" t="n">
        <v>35872056</v>
      </c>
      <c r="AP9" s="40" t="n">
        <v>2539792</v>
      </c>
      <c r="AQ9" s="40" t="n">
        <v>342352464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2479.14</v>
      </c>
      <c r="AX9" s="42" t="n">
        <v>4851.07</v>
      </c>
      <c r="AY9" s="42" t="n">
        <v>2.85</v>
      </c>
      <c r="AZ9" s="42" t="n">
        <v>23.582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6.xml><?xml version="1.0" encoding="utf-8"?>
<worksheet xmlns="http://schemas.openxmlformats.org/spreadsheetml/2006/main">
  <sheetPr codeName="Sheet7">
    <outlinePr summaryBelow="0"/>
    <pageSetUpPr/>
  </sheetPr>
  <dimension ref="A1:BF16"/>
  <sheetViews>
    <sheetView workbookViewId="0">
      <pane activePane="topRight" state="frozen" topLeftCell="AM1" xSplit="2"/>
      <selection activeCell="BA1" pane="topRight" sqref="BA1"/>
    </sheetView>
  </sheetViews>
  <sheetFormatPr baseColWidth="8" defaultRowHeight="14.4" outlineLevelRow="2"/>
  <cols>
    <col customWidth="1" max="2" min="2" style="4" width="24.6640625"/>
    <col customWidth="1" max="4" min="3" style="4" width="10.6640625"/>
    <col customWidth="1" max="7" min="7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0" min="17" style="4" width="12.6640625"/>
    <col customWidth="1" max="25" min="21" style="4" width="11.6640625"/>
    <col customWidth="1" max="30" min="30" style="4" width="1.6640625"/>
    <col customWidth="1" max="36" min="33" style="4" width="10.6640625"/>
    <col customWidth="1" hidden="1" max="37" min="37" style="4" width="24.6640625"/>
    <col customWidth="1" max="38" min="38" style="4" width="12.6640625"/>
    <col customWidth="1" max="39" min="39" style="4" width="10.6640625"/>
    <col customWidth="1" max="43" min="40" style="4" width="12.6640625"/>
    <col customWidth="1" max="48" min="44" style="4" width="11.6640625"/>
    <col customWidth="1" max="53" min="53" style="4" width="1.6640625"/>
    <col customWidth="1" max="59" min="59" style="4" width="1.6640625"/>
  </cols>
  <sheetData>
    <row r="1">
      <c r="A1" s="132" t="inlineStr">
        <is>
          <t>CW_ld — lossless geometry, lossless attributes [inter, low delay]</t>
        </is>
      </c>
      <c r="H1" s="128">
        <f>Summary!$C$1</f>
        <v/>
      </c>
      <c r="AE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№ input points</t>
        </is>
      </c>
      <c r="D2" s="133" t="inlineStr">
        <is>
          <t>Geometry precision [bits]</t>
        </is>
      </c>
      <c r="E2" s="134" t="inlineStr">
        <is>
          <t>№ frames</t>
        </is>
      </c>
      <c r="F2" s="133" t="inlineStr">
        <is>
          <t>Frame rate [fps]</t>
        </is>
      </c>
      <c r="H2" s="134" t="inlineStr">
        <is>
          <t>Comp. ratio [%]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58" t="inlineStr">
        <is>
          <t>Bitstream [bits]</t>
        </is>
      </c>
      <c r="U2" s="157" t="inlineStr">
        <is>
          <t>Geometry PSNR [dB]</t>
        </is>
      </c>
      <c r="W2" s="158" t="inlineStr">
        <is>
          <t>End-to-end PSNR [dB]</t>
        </is>
      </c>
      <c r="Z2" s="157" t="inlineStr">
        <is>
          <t>Encoder runtime [s]</t>
        </is>
      </c>
      <c r="AB2" s="158" t="inlineStr">
        <is>
          <t>Decoder runtime [s]</t>
        </is>
      </c>
      <c r="AE2" s="134" t="inlineStr">
        <is>
          <t>Comp. ratio [%]</t>
        </is>
      </c>
      <c r="AF2" s="133" t="inlineStr">
        <is>
          <t>Rate [Mbps]</t>
        </is>
      </c>
      <c r="AG2" s="157" t="inlineStr">
        <is>
          <t>Bits per input point [bpip]</t>
        </is>
      </c>
      <c r="AK2" s="134" t="inlineStr">
        <is>
          <t>B.eqn.bits.totalgeometry Bitstream [bits]</t>
        </is>
      </c>
      <c r="AL2" s="133" t="inlineStr">
        <is>
          <t>Total Bits per output point [bpop]</t>
        </is>
      </c>
      <c r="AM2" s="134" t="inlineStr">
        <is>
          <t>№ output points</t>
        </is>
      </c>
      <c r="AN2" s="158" t="inlineStr">
        <is>
          <t>Bitstream [bits]</t>
        </is>
      </c>
      <c r="AR2" s="157" t="inlineStr">
        <is>
          <t>Geometry PSNR [dB]</t>
        </is>
      </c>
      <c r="AT2" s="158" t="inlineStr">
        <is>
          <t>End-to-end PSNR [dB]</t>
        </is>
      </c>
      <c r="AW2" s="157" t="inlineStr">
        <is>
          <t>Encoder runtime [s]</t>
        </is>
      </c>
      <c r="AY2" s="158" t="inlineStr">
        <is>
          <t>Decoder runtime [s]</t>
        </is>
      </c>
      <c r="BB2" s="157" t="inlineStr">
        <is>
          <t>bpip ratio [%]</t>
        </is>
      </c>
      <c r="BE2" s="133" t="inlineStr">
        <is>
          <t>Shift in G:T bits ratio [pp]</t>
        </is>
      </c>
      <c r="BF2" s="134" t="inlineStr">
        <is>
          <t>Shift in G:T bits ratio [pp]</t>
        </is>
      </c>
    </row>
    <row customHeight="1" ht="28.8" r="3" s="4">
      <c r="A3" s="9" t="n"/>
      <c r="B3" s="9" t="n"/>
      <c r="C3" s="9" t="n"/>
      <c r="D3" s="9" t="n"/>
      <c r="E3" s="9" t="n"/>
      <c r="F3" s="9" t="n"/>
      <c r="H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133" t="inlineStr">
        <is>
          <t>Total</t>
        </is>
      </c>
      <c r="R3" s="133" t="inlineStr">
        <is>
          <t>Geometry</t>
        </is>
      </c>
      <c r="S3" s="133" t="inlineStr">
        <is>
          <t>Occ+Patch</t>
        </is>
      </c>
      <c r="T3" s="133" t="inlineStr">
        <is>
          <t>Colour</t>
        </is>
      </c>
      <c r="U3" s="134" t="inlineStr">
        <is>
          <t>D1</t>
        </is>
      </c>
      <c r="V3" s="134" t="inlineStr">
        <is>
          <t>D2</t>
        </is>
      </c>
      <c r="W3" s="133" t="inlineStr">
        <is>
          <t>Luma</t>
        </is>
      </c>
      <c r="X3" s="133" t="inlineStr">
        <is>
          <t>Chroma Cb</t>
        </is>
      </c>
      <c r="Y3" s="133" t="inlineStr">
        <is>
          <t>Chroma Cr</t>
        </is>
      </c>
      <c r="Z3" s="134" t="inlineStr">
        <is>
          <t>Self</t>
        </is>
      </c>
      <c r="AA3" s="134" t="inlineStr">
        <is>
          <t>Child</t>
        </is>
      </c>
      <c r="AB3" s="133" t="inlineStr">
        <is>
          <t>Self</t>
        </is>
      </c>
      <c r="AC3" s="133" t="inlineStr">
        <is>
          <t>Child</t>
        </is>
      </c>
      <c r="AE3" s="9" t="n"/>
      <c r="AF3" s="9" t="n"/>
      <c r="AG3" s="134" t="inlineStr">
        <is>
          <t>Total</t>
        </is>
      </c>
      <c r="AH3" s="134" t="inlineStr">
        <is>
          <t>Tot.Geom</t>
        </is>
      </c>
      <c r="AI3" s="134" t="inlineStr">
        <is>
          <t>Geometry</t>
        </is>
      </c>
      <c r="AJ3" s="134" t="inlineStr">
        <is>
          <t xml:space="preserve">Colour </t>
        </is>
      </c>
      <c r="AK3" s="9" t="n"/>
      <c r="AL3" s="9" t="n"/>
      <c r="AM3" s="9" t="n"/>
      <c r="AN3" s="133" t="inlineStr">
        <is>
          <t>Total</t>
        </is>
      </c>
      <c r="AO3" s="133" t="inlineStr">
        <is>
          <t>Geometry</t>
        </is>
      </c>
      <c r="AP3" s="133" t="inlineStr">
        <is>
          <t>Occ+Patch</t>
        </is>
      </c>
      <c r="AQ3" s="133" t="inlineStr">
        <is>
          <t>Colour</t>
        </is>
      </c>
      <c r="AR3" s="134" t="inlineStr">
        <is>
          <t>D1</t>
        </is>
      </c>
      <c r="AS3" s="134" t="inlineStr">
        <is>
          <t>D2</t>
        </is>
      </c>
      <c r="AT3" s="133" t="inlineStr">
        <is>
          <t>Luma</t>
        </is>
      </c>
      <c r="AU3" s="133" t="inlineStr">
        <is>
          <t>Chroma Cb</t>
        </is>
      </c>
      <c r="AV3" s="133" t="inlineStr">
        <is>
          <t>Chroma Cr</t>
        </is>
      </c>
      <c r="AW3" s="134" t="inlineStr">
        <is>
          <t>Self</t>
        </is>
      </c>
      <c r="AX3" s="134" t="inlineStr">
        <is>
          <t>Child</t>
        </is>
      </c>
      <c r="AY3" s="133" t="inlineStr">
        <is>
          <t>Self</t>
        </is>
      </c>
      <c r="AZ3" s="133" t="inlineStr">
        <is>
          <t>Child</t>
        </is>
      </c>
      <c r="BB3" s="134" t="inlineStr">
        <is>
          <t>Total</t>
        </is>
      </c>
      <c r="BC3" s="134" t="inlineStr">
        <is>
          <t>Geometry</t>
        </is>
      </c>
      <c r="BD3" s="134" t="inlineStr">
        <is>
          <t>Colour</t>
        </is>
      </c>
      <c r="BE3" s="9" t="n"/>
      <c r="BF3" s="9" t="n"/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src.numpoints</t>
        </is>
      </c>
      <c r="D4" s="14" t="inlineStr">
        <is>
          <t>src.geometry-precision</t>
        </is>
      </c>
      <c r="E4" s="13" t="inlineStr">
        <is>
          <t>src.framecount</t>
        </is>
      </c>
      <c r="F4" s="14" t="inlineStr">
        <is>
          <t>src.framerate</t>
        </is>
      </c>
      <c r="H4" s="13" t="inlineStr">
        <is>
          <t>A.eqn.compratio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A.enc.ext.bits</t>
        </is>
      </c>
      <c r="R4" s="14" t="inlineStr">
        <is>
          <t>A.enc.bits.geometry</t>
        </is>
      </c>
      <c r="S4" s="14" t="inlineStr">
        <is>
          <t>A.enc.bits.occ+patch</t>
        </is>
      </c>
      <c r="T4" s="14" t="inlineStr">
        <is>
          <t>A.enc.bits.colour</t>
        </is>
      </c>
      <c r="U4" s="13" t="inlineStr">
        <is>
          <t>A.dec.d1-psnr</t>
        </is>
      </c>
      <c r="V4" s="13" t="inlineStr">
        <is>
          <t>A.dec.d2-psnr</t>
        </is>
      </c>
      <c r="W4" s="14" t="inlineStr">
        <is>
          <t>A.dec.y-psnr</t>
        </is>
      </c>
      <c r="X4" s="14" t="inlineStr">
        <is>
          <t>A.dec.cb-psnr</t>
        </is>
      </c>
      <c r="Y4" s="14" t="inlineStr">
        <is>
          <t>A.dec.cr-psnr</t>
        </is>
      </c>
      <c r="Z4" s="13" t="inlineStr">
        <is>
          <t>A.enc.utime.self</t>
        </is>
      </c>
      <c r="AA4" s="13" t="inlineStr">
        <is>
          <t>A.enc.utime.children</t>
        </is>
      </c>
      <c r="AB4" s="14" t="inlineStr">
        <is>
          <t>A.dec.utime.self</t>
        </is>
      </c>
      <c r="AC4" s="14" t="inlineStr">
        <is>
          <t>A.dec.utime.children</t>
        </is>
      </c>
      <c r="AE4" s="13" t="inlineStr">
        <is>
          <t>B.eqn.compratio</t>
        </is>
      </c>
      <c r="AF4" s="14" t="inlineStr">
        <is>
          <t>B.eqn.bitrate</t>
        </is>
      </c>
      <c r="AG4" s="13" t="inlineStr">
        <is>
          <t>B.eqn.bpp</t>
        </is>
      </c>
      <c r="AH4" s="13" t="inlineStr">
        <is>
          <t>B.eqn.bpp.geometry+occ+patch</t>
        </is>
      </c>
      <c r="AI4" s="13" t="inlineStr">
        <is>
          <t>B.eqn.bpp.geometry</t>
        </is>
      </c>
      <c r="AJ4" s="13" t="inlineStr">
        <is>
          <t>B.eqn.bpp.colour</t>
        </is>
      </c>
      <c r="AK4" s="13" t="inlineStr">
        <is>
          <t>B.eqn.bits.totalgeometry</t>
        </is>
      </c>
      <c r="AL4" s="14" t="inlineStr">
        <is>
          <t>B.eqn.bpop</t>
        </is>
      </c>
      <c r="AM4" s="13" t="inlineStr">
        <is>
          <t>B.dec.numpoints</t>
        </is>
      </c>
      <c r="AN4" s="14" t="inlineStr">
        <is>
          <t>B.enc.ext.bits</t>
        </is>
      </c>
      <c r="AO4" s="14" t="inlineStr">
        <is>
          <t>B.enc.bits.geometry</t>
        </is>
      </c>
      <c r="AP4" s="14" t="inlineStr">
        <is>
          <t>B.enc.bits.occ+patch</t>
        </is>
      </c>
      <c r="AQ4" s="14" t="inlineStr">
        <is>
          <t>B.enc.bits.colour</t>
        </is>
      </c>
      <c r="AR4" s="13" t="inlineStr">
        <is>
          <t>B.dec.d1-psnr</t>
        </is>
      </c>
      <c r="AS4" s="13" t="inlineStr">
        <is>
          <t>B.dec.d2-psnr</t>
        </is>
      </c>
      <c r="AT4" s="14" t="inlineStr">
        <is>
          <t>B.dec.y-psnr</t>
        </is>
      </c>
      <c r="AU4" s="14" t="inlineStr">
        <is>
          <t>B.dec.cb-psnr</t>
        </is>
      </c>
      <c r="AV4" s="14" t="inlineStr">
        <is>
          <t>B.dec.cr-psnr</t>
        </is>
      </c>
      <c r="AW4" s="13" t="inlineStr">
        <is>
          <t>B.enc.utime.self</t>
        </is>
      </c>
      <c r="AX4" s="13" t="inlineStr">
        <is>
          <t>B.enc.utime.children</t>
        </is>
      </c>
      <c r="AY4" s="14" t="inlineStr">
        <is>
          <t>B.dec.utime.self</t>
        </is>
      </c>
      <c r="AZ4" s="14" t="inlineStr">
        <is>
          <t>B.dec.utime.children</t>
        </is>
      </c>
      <c r="BB4" s="13" t="inlineStr">
        <is>
          <t>eqn.ab.ratio-bpp</t>
        </is>
      </c>
      <c r="BC4" s="13" t="inlineStr">
        <is>
          <t>eqn.ab.ratio-bpp-geometry</t>
        </is>
      </c>
      <c r="BD4" s="13" t="inlineStr">
        <is>
          <t>eqn.ab.ratio-bpp-colour</t>
        </is>
      </c>
      <c r="BE4" s="14" t="inlineStr">
        <is>
          <t>eqn.ab.delta-geom_texture_bits_ratio</t>
        </is>
      </c>
      <c r="BF4" s="13" t="inlineStr">
        <is>
          <t>eqn.ab.summary-delta-geom_texture_bits_ratio</t>
        </is>
      </c>
    </row>
    <row collapsed="1" r="5" s="4">
      <c r="A5" s="90" t="inlineStr">
        <is>
          <t>cat2-A</t>
        </is>
      </c>
      <c r="B5" s="90" t="inlineStr">
        <is>
          <t>8ivfbv2_loot_vox10</t>
        </is>
      </c>
      <c r="C5" s="90" t="n">
        <v>238146391</v>
      </c>
      <c r="D5" s="16" t="n">
        <v>10</v>
      </c>
      <c r="E5" s="16" t="n">
        <v>32</v>
      </c>
      <c r="F5" s="16" t="n">
        <v>30</v>
      </c>
      <c r="H5" s="23">
        <f>IF(ISBLANK(Q5),"·",Q5/(C5*D5*3))</f>
        <v/>
      </c>
      <c r="I5" s="17">
        <f>IF(OR(ISBLANK(Q5),ISBLANK(F5)),"·",Q5*F5/E5/1000000)</f>
        <v/>
      </c>
      <c r="J5" s="18">
        <f>IF(ISBLANK(Q5),"·",Q5/C5)</f>
        <v/>
      </c>
      <c r="K5" s="18">
        <f>IF(N5="","·",N5/C5)</f>
        <v/>
      </c>
      <c r="L5" s="18">
        <f>IF(R5="","·",R5/C5)</f>
        <v/>
      </c>
      <c r="M5" s="18">
        <f>IF(ISBLANK(T5),"·",T5/C5)</f>
        <v/>
      </c>
      <c r="N5" s="90">
        <f>IF(OR(ISBLANK(R5),ISBLANK(S5)),"",R5+S5)</f>
        <v/>
      </c>
      <c r="O5" s="18" t="n">
        <v>16</v>
      </c>
      <c r="P5" s="19" t="n">
        <v>24964341</v>
      </c>
      <c r="Q5" s="20" t="n">
        <v>219335392</v>
      </c>
      <c r="R5" s="20" t="n">
        <v>31703488</v>
      </c>
      <c r="S5" s="20" t="n">
        <v>2027904</v>
      </c>
      <c r="T5" s="20" t="n">
        <v>185603872</v>
      </c>
      <c r="U5" s="21" t="inlineStr">
        <is>
          <t>inf</t>
        </is>
      </c>
      <c r="V5" s="21" t="inlineStr">
        <is>
          <t>inf</t>
        </is>
      </c>
      <c r="W5" s="21" t="inlineStr">
        <is>
          <t>inf</t>
        </is>
      </c>
      <c r="X5" s="21" t="inlineStr">
        <is>
          <t>inf</t>
        </is>
      </c>
      <c r="Y5" s="21" t="inlineStr">
        <is>
          <t>inf</t>
        </is>
      </c>
      <c r="Z5" s="22" t="n">
        <v>2464.54</v>
      </c>
      <c r="AA5" s="22" t="n">
        <v>5758.72</v>
      </c>
      <c r="AB5" s="22" t="n">
        <v>2.69</v>
      </c>
      <c r="AC5" s="22" t="n">
        <v>18.72</v>
      </c>
      <c r="AE5" s="23">
        <f>IF(ISBLANK(AN5),"·",AN5/(C5*D5*3))</f>
        <v/>
      </c>
      <c r="AF5" s="17">
        <f>IF(OR(ISBLANK(AN5),ISBLANK(F5)),"·",AN5*F5/E5/1000000)</f>
        <v/>
      </c>
      <c r="AG5" s="18">
        <f>IF(ISBLANK(AN5),"·",AN5/C5)</f>
        <v/>
      </c>
      <c r="AH5" s="18">
        <f>IF(AK5="","·",AK5/C5)</f>
        <v/>
      </c>
      <c r="AI5" s="18">
        <f>IF(AO5="","·",AO5/C5)</f>
        <v/>
      </c>
      <c r="AJ5" s="18">
        <f>IF(ISBLANK(AQ5),"·",AQ5/C5)</f>
        <v/>
      </c>
      <c r="AK5" s="90">
        <f>IF(OR(ISBLANK(AO5),ISBLANK(AP5)),"",AO5+AP5)</f>
        <v/>
      </c>
      <c r="AL5" s="18" t="n">
        <v>16</v>
      </c>
      <c r="AM5" s="19" t="n">
        <v>24964341</v>
      </c>
      <c r="AN5" s="20" t="n">
        <v>219335392</v>
      </c>
      <c r="AO5" s="20" t="n">
        <v>31703488</v>
      </c>
      <c r="AP5" s="20" t="n">
        <v>2027904</v>
      </c>
      <c r="AQ5" s="20" t="n">
        <v>185603872</v>
      </c>
      <c r="AR5" s="21" t="inlineStr">
        <is>
          <t>inf</t>
        </is>
      </c>
      <c r="AS5" s="21" t="inlineStr">
        <is>
          <t>inf</t>
        </is>
      </c>
      <c r="AT5" s="21" t="inlineStr">
        <is>
          <t>inf</t>
        </is>
      </c>
      <c r="AU5" s="21" t="inlineStr">
        <is>
          <t>inf</t>
        </is>
      </c>
      <c r="AV5" s="21" t="inlineStr">
        <is>
          <t>inf</t>
        </is>
      </c>
      <c r="AW5" s="22" t="n">
        <v>2417.91</v>
      </c>
      <c r="AX5" s="22" t="n">
        <v>5571.24</v>
      </c>
      <c r="AY5" s="22" t="n">
        <v>2.682</v>
      </c>
      <c r="AZ5" s="22" t="n">
        <v>18.528</v>
      </c>
      <c r="BB5" s="92">
        <f>AG5/J5</f>
        <v/>
      </c>
      <c r="BC5" s="92">
        <f>AI5/L5</f>
        <v/>
      </c>
      <c r="BD5" s="92">
        <f>AJ5/M5</f>
        <v/>
      </c>
      <c r="BE5" s="23">
        <f>(AK5/AN5) - (N5/Q5)</f>
        <v/>
      </c>
      <c r="BF5" s="23">
        <f ref="BF5" t="array">AVERAGE(AK5:AK5/AN5:AN5) - AVERAGE(N5:N5/Q5:Q5)</f>
        <v/>
      </c>
    </row>
    <row collapsed="1" r="6" s="4">
      <c r="A6" s="82" t="n"/>
      <c r="B6" s="82" t="inlineStr">
        <is>
          <t>8ivfbv2_redandblack_vox10</t>
        </is>
      </c>
      <c r="C6" s="82" t="n">
        <v>218121242</v>
      </c>
      <c r="D6" s="26" t="n">
        <v>10</v>
      </c>
      <c r="E6" s="26" t="n">
        <v>32</v>
      </c>
      <c r="F6" s="26" t="n">
        <v>30</v>
      </c>
      <c r="H6" s="33">
        <f>IF(ISBLANK(Q6),"·",Q6/(C6*D6*3))</f>
        <v/>
      </c>
      <c r="I6" s="27">
        <f>IF(OR(ISBLANK(Q6),ISBLANK(F6)),"·",Q6*F6/E6/1000000)</f>
        <v/>
      </c>
      <c r="J6" s="28">
        <f>IF(ISBLANK(Q6),"·",Q6/C6)</f>
        <v/>
      </c>
      <c r="K6" s="28">
        <f>IF(N6="","·",N6/C6)</f>
        <v/>
      </c>
      <c r="L6" s="28">
        <f>IF(R6="","·",R6/C6)</f>
        <v/>
      </c>
      <c r="M6" s="28">
        <f>IF(ISBLANK(T6),"·",T6/C6)</f>
        <v/>
      </c>
      <c r="N6" s="82">
        <f>IF(OR(ISBLANK(R6),ISBLANK(S6)),"",R6+S6)</f>
        <v/>
      </c>
      <c r="O6" s="28" t="n">
        <v>16</v>
      </c>
      <c r="P6" s="29" t="n">
        <v>22654789</v>
      </c>
      <c r="Q6" s="30" t="n">
        <v>287235336</v>
      </c>
      <c r="R6" s="30" t="n">
        <v>34588608</v>
      </c>
      <c r="S6" s="30" t="n">
        <v>3366688</v>
      </c>
      <c r="T6" s="30" t="n">
        <v>249279912</v>
      </c>
      <c r="U6" s="31" t="inlineStr">
        <is>
          <t>inf</t>
        </is>
      </c>
      <c r="V6" s="31" t="inlineStr">
        <is>
          <t>inf</t>
        </is>
      </c>
      <c r="W6" s="31" t="inlineStr">
        <is>
          <t>inf</t>
        </is>
      </c>
      <c r="X6" s="31" t="inlineStr">
        <is>
          <t>inf</t>
        </is>
      </c>
      <c r="Y6" s="31" t="inlineStr">
        <is>
          <t>inf</t>
        </is>
      </c>
      <c r="Z6" s="32" t="n">
        <v>2243.31</v>
      </c>
      <c r="AA6" s="32" t="n">
        <v>7632.64</v>
      </c>
      <c r="AB6" s="32" t="n">
        <v>2.528</v>
      </c>
      <c r="AC6" s="32" t="n">
        <v>20.882</v>
      </c>
      <c r="AE6" s="33">
        <f>IF(ISBLANK(AN6),"·",AN6/(C6*D6*3))</f>
        <v/>
      </c>
      <c r="AF6" s="27">
        <f>IF(OR(ISBLANK(AN6),ISBLANK(F6)),"·",AN6*F6/E6/1000000)</f>
        <v/>
      </c>
      <c r="AG6" s="28">
        <f>IF(ISBLANK(AN6),"·",AN6/C6)</f>
        <v/>
      </c>
      <c r="AH6" s="28">
        <f>IF(AK6="","·",AK6/C6)</f>
        <v/>
      </c>
      <c r="AI6" s="28">
        <f>IF(AO6="","·",AO6/C6)</f>
        <v/>
      </c>
      <c r="AJ6" s="28">
        <f>IF(ISBLANK(AQ6),"·",AQ6/C6)</f>
        <v/>
      </c>
      <c r="AK6" s="82">
        <f>IF(OR(ISBLANK(AO6),ISBLANK(AP6)),"",AO6+AP6)</f>
        <v/>
      </c>
      <c r="AL6" s="28" t="n">
        <v>16</v>
      </c>
      <c r="AM6" s="29" t="n">
        <v>22654789</v>
      </c>
      <c r="AN6" s="30" t="n">
        <v>287235336</v>
      </c>
      <c r="AO6" s="30" t="n">
        <v>34588608</v>
      </c>
      <c r="AP6" s="30" t="n">
        <v>3366688</v>
      </c>
      <c r="AQ6" s="30" t="n">
        <v>249279912</v>
      </c>
      <c r="AR6" s="31" t="inlineStr">
        <is>
          <t>inf</t>
        </is>
      </c>
      <c r="AS6" s="31" t="inlineStr">
        <is>
          <t>inf</t>
        </is>
      </c>
      <c r="AT6" s="31" t="inlineStr">
        <is>
          <t>inf</t>
        </is>
      </c>
      <c r="AU6" s="31" t="inlineStr">
        <is>
          <t>inf</t>
        </is>
      </c>
      <c r="AV6" s="31" t="inlineStr">
        <is>
          <t>inf</t>
        </is>
      </c>
      <c r="AW6" s="32" t="n">
        <v>2217.82</v>
      </c>
      <c r="AX6" s="32" t="n">
        <v>7492.51</v>
      </c>
      <c r="AY6" s="32" t="n">
        <v>2.623</v>
      </c>
      <c r="AZ6" s="32" t="n">
        <v>22.486</v>
      </c>
      <c r="BB6" s="84">
        <f>AG6/J6</f>
        <v/>
      </c>
      <c r="BC6" s="84">
        <f>AI6/L6</f>
        <v/>
      </c>
      <c r="BD6" s="84">
        <f>AJ6/M6</f>
        <v/>
      </c>
      <c r="BE6" s="33">
        <f>(AK6/AN6) - (N6/Q6)</f>
        <v/>
      </c>
      <c r="BF6" s="33">
        <f ref="BF6" t="array">AVERAGE(AK6:AK6/AN6:AN6) - AVERAGE(N6:N6/Q6:Q6)</f>
        <v/>
      </c>
    </row>
    <row collapsed="1" r="7" s="4">
      <c r="A7" s="90" t="n"/>
      <c r="B7" s="90" t="inlineStr">
        <is>
          <t>8ivfbv2_soldier_vox10</t>
        </is>
      </c>
      <c r="C7" s="90" t="n">
        <v>322589704</v>
      </c>
      <c r="D7" s="16" t="n">
        <v>10</v>
      </c>
      <c r="E7" s="16" t="n">
        <v>32</v>
      </c>
      <c r="F7" s="16" t="n">
        <v>30</v>
      </c>
      <c r="H7" s="23">
        <f>IF(ISBLANK(Q7),"·",Q7/(C7*D7*3))</f>
        <v/>
      </c>
      <c r="I7" s="17">
        <f>IF(OR(ISBLANK(Q7),ISBLANK(F7)),"·",Q7*F7/E7/1000000)</f>
        <v/>
      </c>
      <c r="J7" s="18">
        <f>IF(ISBLANK(Q7),"·",Q7/C7)</f>
        <v/>
      </c>
      <c r="K7" s="18">
        <f>IF(N7="","·",N7/C7)</f>
        <v/>
      </c>
      <c r="L7" s="18">
        <f>IF(R7="","·",R7/C7)</f>
        <v/>
      </c>
      <c r="M7" s="18">
        <f>IF(ISBLANK(T7),"·",T7/C7)</f>
        <v/>
      </c>
      <c r="N7" s="90">
        <f>IF(OR(ISBLANK(R7),ISBLANK(S7)),"",R7+S7)</f>
        <v/>
      </c>
      <c r="O7" s="18" t="n">
        <v>16</v>
      </c>
      <c r="P7" s="19" t="n">
        <v>33947718</v>
      </c>
      <c r="Q7" s="20" t="n">
        <v>326945888</v>
      </c>
      <c r="R7" s="20" t="n">
        <v>46281464</v>
      </c>
      <c r="S7" s="20" t="n">
        <v>3872496</v>
      </c>
      <c r="T7" s="20" t="n">
        <v>276791800</v>
      </c>
      <c r="U7" s="21" t="inlineStr">
        <is>
          <t>inf</t>
        </is>
      </c>
      <c r="V7" s="21" t="inlineStr">
        <is>
          <t>inf</t>
        </is>
      </c>
      <c r="W7" s="21" t="inlineStr">
        <is>
          <t>inf</t>
        </is>
      </c>
      <c r="X7" s="21" t="inlineStr">
        <is>
          <t>inf</t>
        </is>
      </c>
      <c r="Y7" s="21" t="inlineStr">
        <is>
          <t>inf</t>
        </is>
      </c>
      <c r="Z7" s="22" t="n">
        <v>3176.66</v>
      </c>
      <c r="AA7" s="22" t="n">
        <v>7969.76</v>
      </c>
      <c r="AB7" s="22" t="n">
        <v>3.997</v>
      </c>
      <c r="AC7" s="22" t="n">
        <v>24.133</v>
      </c>
      <c r="AE7" s="23">
        <f>IF(ISBLANK(AN7),"·",AN7/(C7*D7*3))</f>
        <v/>
      </c>
      <c r="AF7" s="17">
        <f>IF(OR(ISBLANK(AN7),ISBLANK(F7)),"·",AN7*F7/E7/1000000)</f>
        <v/>
      </c>
      <c r="AG7" s="18">
        <f>IF(ISBLANK(AN7),"·",AN7/C7)</f>
        <v/>
      </c>
      <c r="AH7" s="18">
        <f>IF(AK7="","·",AK7/C7)</f>
        <v/>
      </c>
      <c r="AI7" s="18">
        <f>IF(AO7="","·",AO7/C7)</f>
        <v/>
      </c>
      <c r="AJ7" s="18">
        <f>IF(ISBLANK(AQ7),"·",AQ7/C7)</f>
        <v/>
      </c>
      <c r="AK7" s="90">
        <f>IF(OR(ISBLANK(AO7),ISBLANK(AP7)),"",AO7+AP7)</f>
        <v/>
      </c>
      <c r="AL7" s="18" t="n">
        <v>16</v>
      </c>
      <c r="AM7" s="19" t="n">
        <v>33947718</v>
      </c>
      <c r="AN7" s="20" t="n">
        <v>326945888</v>
      </c>
      <c r="AO7" s="20" t="n">
        <v>46281464</v>
      </c>
      <c r="AP7" s="20" t="n">
        <v>3872496</v>
      </c>
      <c r="AQ7" s="20" t="n">
        <v>276791800</v>
      </c>
      <c r="AR7" s="21" t="inlineStr">
        <is>
          <t>inf</t>
        </is>
      </c>
      <c r="AS7" s="21" t="inlineStr">
        <is>
          <t>inf</t>
        </is>
      </c>
      <c r="AT7" s="21" t="inlineStr">
        <is>
          <t>inf</t>
        </is>
      </c>
      <c r="AU7" s="21" t="inlineStr">
        <is>
          <t>inf</t>
        </is>
      </c>
      <c r="AV7" s="21" t="inlineStr">
        <is>
          <t>inf</t>
        </is>
      </c>
      <c r="AW7" s="22" t="n">
        <v>3227.79</v>
      </c>
      <c r="AX7" s="22" t="n">
        <v>7962.19</v>
      </c>
      <c r="AY7" s="22" t="n">
        <v>3.791</v>
      </c>
      <c r="AZ7" s="22" t="n">
        <v>22.547</v>
      </c>
      <c r="BB7" s="92">
        <f>AG7/J7</f>
        <v/>
      </c>
      <c r="BC7" s="92">
        <f>AI7/L7</f>
        <v/>
      </c>
      <c r="BD7" s="92">
        <f>AJ7/M7</f>
        <v/>
      </c>
      <c r="BE7" s="23">
        <f>(AK7/AN7) - (N7/Q7)</f>
        <v/>
      </c>
      <c r="BF7" s="23">
        <f ref="BF7" t="array">AVERAGE(AK7:AK7/AN7:AN7) - AVERAGE(N7:N7/Q7:Q7)</f>
        <v/>
      </c>
    </row>
    <row collapsed="1" r="8" s="4">
      <c r="A8" s="45" t="n"/>
      <c r="B8" s="45" t="inlineStr">
        <is>
          <t>queen</t>
        </is>
      </c>
      <c r="C8" s="45" t="n">
        <v>250602891</v>
      </c>
      <c r="D8" s="46" t="n">
        <v>10</v>
      </c>
      <c r="E8" s="46" t="n">
        <v>32</v>
      </c>
      <c r="F8" s="46" t="n">
        <v>50</v>
      </c>
      <c r="H8" s="53">
        <f>IF(ISBLANK(Q8),"·",Q8/(C8*D8*3))</f>
        <v/>
      </c>
      <c r="I8" s="47">
        <f>IF(OR(ISBLANK(Q8),ISBLANK(F8)),"·",Q8*F8/E8/1000000)</f>
        <v/>
      </c>
      <c r="J8" s="48">
        <f>IF(ISBLANK(Q8),"·",Q8/C8)</f>
        <v/>
      </c>
      <c r="K8" s="48">
        <f>IF(N8="","·",N8/C8)</f>
        <v/>
      </c>
      <c r="L8" s="48">
        <f>IF(R8="","·",R8/C8)</f>
        <v/>
      </c>
      <c r="M8" s="48">
        <f>IF(ISBLANK(T8),"·",T8/C8)</f>
        <v/>
      </c>
      <c r="N8" s="45">
        <f>IF(OR(ISBLANK(R8),ISBLANK(S8)),"",R8+S8)</f>
        <v/>
      </c>
      <c r="O8" s="48" t="n">
        <v>16</v>
      </c>
      <c r="P8" s="49" t="n">
        <v>32209643</v>
      </c>
      <c r="Q8" s="50" t="n">
        <v>232641608</v>
      </c>
      <c r="R8" s="50" t="n">
        <v>25396328</v>
      </c>
      <c r="S8" s="50" t="n">
        <v>3242616</v>
      </c>
      <c r="T8" s="50" t="n">
        <v>204002536</v>
      </c>
      <c r="U8" s="51" t="inlineStr">
        <is>
          <t>inf</t>
        </is>
      </c>
      <c r="V8" s="51" t="inlineStr">
        <is>
          <t>inf</t>
        </is>
      </c>
      <c r="W8" s="51" t="inlineStr">
        <is>
          <t>inf</t>
        </is>
      </c>
      <c r="X8" s="51" t="inlineStr">
        <is>
          <t>inf</t>
        </is>
      </c>
      <c r="Y8" s="51" t="inlineStr">
        <is>
          <t>inf</t>
        </is>
      </c>
      <c r="Z8" s="52" t="n">
        <v>3297.07</v>
      </c>
      <c r="AA8" s="52" t="n">
        <v>5342.62</v>
      </c>
      <c r="AB8" s="52" t="n">
        <v>2.981</v>
      </c>
      <c r="AC8" s="52" t="n">
        <v>17.222</v>
      </c>
      <c r="AE8" s="53">
        <f>IF(ISBLANK(AN8),"·",AN8/(C8*D8*3))</f>
        <v/>
      </c>
      <c r="AF8" s="47">
        <f>IF(OR(ISBLANK(AN8),ISBLANK(F8)),"·",AN8*F8/E8/1000000)</f>
        <v/>
      </c>
      <c r="AG8" s="48">
        <f>IF(ISBLANK(AN8),"·",AN8/C8)</f>
        <v/>
      </c>
      <c r="AH8" s="48">
        <f>IF(AK8="","·",AK8/C8)</f>
        <v/>
      </c>
      <c r="AI8" s="48">
        <f>IF(AO8="","·",AO8/C8)</f>
        <v/>
      </c>
      <c r="AJ8" s="48">
        <f>IF(ISBLANK(AQ8),"·",AQ8/C8)</f>
        <v/>
      </c>
      <c r="AK8" s="45">
        <f>IF(OR(ISBLANK(AO8),ISBLANK(AP8)),"",AO8+AP8)</f>
        <v/>
      </c>
      <c r="AL8" s="48" t="n">
        <v>16</v>
      </c>
      <c r="AM8" s="49" t="n">
        <v>32209643</v>
      </c>
      <c r="AN8" s="50" t="n">
        <v>232641608</v>
      </c>
      <c r="AO8" s="50" t="n">
        <v>25396328</v>
      </c>
      <c r="AP8" s="50" t="n">
        <v>3242616</v>
      </c>
      <c r="AQ8" s="50" t="n">
        <v>204002536</v>
      </c>
      <c r="AR8" s="51" t="inlineStr">
        <is>
          <t>inf</t>
        </is>
      </c>
      <c r="AS8" s="51" t="inlineStr">
        <is>
          <t>inf</t>
        </is>
      </c>
      <c r="AT8" s="51" t="inlineStr">
        <is>
          <t>inf</t>
        </is>
      </c>
      <c r="AU8" s="51" t="inlineStr">
        <is>
          <t>inf</t>
        </is>
      </c>
      <c r="AV8" s="51" t="inlineStr">
        <is>
          <t>inf</t>
        </is>
      </c>
      <c r="AW8" s="52" t="n">
        <v>3197.66</v>
      </c>
      <c r="AX8" s="52" t="n">
        <v>5168.14</v>
      </c>
      <c r="AY8" s="52" t="n">
        <v>2.924</v>
      </c>
      <c r="AZ8" s="52" t="n">
        <v>17.188</v>
      </c>
      <c r="BB8" s="54">
        <f>AG8/J8</f>
        <v/>
      </c>
      <c r="BC8" s="54">
        <f>AI8/L8</f>
        <v/>
      </c>
      <c r="BD8" s="54">
        <f>AJ8/M8</f>
        <v/>
      </c>
      <c r="BE8" s="53">
        <f>(AK8/AN8) - (N8/Q8)</f>
        <v/>
      </c>
      <c r="BF8" s="53">
        <f ref="BF8" t="array">AVERAGE(AK8:AK8/AN8:AN8) - AVERAGE(N8:N8/Q8:Q8)</f>
        <v/>
      </c>
    </row>
    <row collapsed="1" r="9" s="4">
      <c r="A9" s="35" t="inlineStr">
        <is>
          <t>cat2-B</t>
        </is>
      </c>
      <c r="B9" s="35" t="inlineStr">
        <is>
          <t>8ivfbv2_longdress_vox10</t>
        </is>
      </c>
      <c r="C9" s="35" t="n">
        <v>250294582</v>
      </c>
      <c r="D9" s="36" t="n">
        <v>10</v>
      </c>
      <c r="E9" s="36" t="n">
        <v>32</v>
      </c>
      <c r="F9" s="36" t="n">
        <v>30</v>
      </c>
      <c r="H9" s="43">
        <f>IF(ISBLANK(Q9),"·",Q9/(C9*D9*3))</f>
        <v/>
      </c>
      <c r="I9" s="37">
        <f>IF(OR(ISBLANK(Q9),ISBLANK(F9)),"·",Q9*F9/E9/1000000)</f>
        <v/>
      </c>
      <c r="J9" s="38">
        <f>IF(ISBLANK(Q9),"·",Q9/C9)</f>
        <v/>
      </c>
      <c r="K9" s="38">
        <f>IF(N9="","·",N9/C9)</f>
        <v/>
      </c>
      <c r="L9" s="38">
        <f>IF(R9="","·",R9/C9)</f>
        <v/>
      </c>
      <c r="M9" s="38">
        <f>IF(ISBLANK(T9),"·",T9/C9)</f>
        <v/>
      </c>
      <c r="N9" s="35">
        <f>IF(OR(ISBLANK(R9),ISBLANK(S9)),"",R9+S9)</f>
        <v/>
      </c>
      <c r="O9" s="38" t="n">
        <v>16</v>
      </c>
      <c r="P9" s="39" t="n">
        <v>25312408</v>
      </c>
      <c r="Q9" s="40" t="n">
        <v>377671000</v>
      </c>
      <c r="R9" s="40" t="n">
        <v>35739480</v>
      </c>
      <c r="S9" s="40" t="n">
        <v>2705656</v>
      </c>
      <c r="T9" s="40" t="n">
        <v>339225736</v>
      </c>
      <c r="U9" s="41" t="inlineStr">
        <is>
          <t>inf</t>
        </is>
      </c>
      <c r="V9" s="41" t="inlineStr">
        <is>
          <t>inf</t>
        </is>
      </c>
      <c r="W9" s="41" t="inlineStr">
        <is>
          <t>inf</t>
        </is>
      </c>
      <c r="X9" s="41" t="inlineStr">
        <is>
          <t>inf</t>
        </is>
      </c>
      <c r="Y9" s="41" t="inlineStr">
        <is>
          <t>inf</t>
        </is>
      </c>
      <c r="Z9" s="42" t="n">
        <v>2518.19</v>
      </c>
      <c r="AA9" s="42" t="n">
        <v>8209.360000000001</v>
      </c>
      <c r="AB9" s="42" t="n">
        <v>2.648</v>
      </c>
      <c r="AC9" s="42" t="n">
        <v>22.248</v>
      </c>
      <c r="AE9" s="43">
        <f>IF(ISBLANK(AN9),"·",AN9/(C9*D9*3))</f>
        <v/>
      </c>
      <c r="AF9" s="37">
        <f>IF(OR(ISBLANK(AN9),ISBLANK(F9)),"·",AN9*F9/E9/1000000)</f>
        <v/>
      </c>
      <c r="AG9" s="38">
        <f>IF(ISBLANK(AN9),"·",AN9/C9)</f>
        <v/>
      </c>
      <c r="AH9" s="38">
        <f>IF(AK9="","·",AK9/C9)</f>
        <v/>
      </c>
      <c r="AI9" s="38">
        <f>IF(AO9="","·",AO9/C9)</f>
        <v/>
      </c>
      <c r="AJ9" s="38">
        <f>IF(ISBLANK(AQ9),"·",AQ9/C9)</f>
        <v/>
      </c>
      <c r="AK9" s="35">
        <f>IF(OR(ISBLANK(AO9),ISBLANK(AP9)),"",AO9+AP9)</f>
        <v/>
      </c>
      <c r="AL9" s="38" t="n">
        <v>16</v>
      </c>
      <c r="AM9" s="39" t="n">
        <v>25312408</v>
      </c>
      <c r="AN9" s="40" t="n">
        <v>377671000</v>
      </c>
      <c r="AO9" s="40" t="n">
        <v>35739480</v>
      </c>
      <c r="AP9" s="40" t="n">
        <v>2705656</v>
      </c>
      <c r="AQ9" s="40" t="n">
        <v>339225736</v>
      </c>
      <c r="AR9" s="41" t="inlineStr">
        <is>
          <t>inf</t>
        </is>
      </c>
      <c r="AS9" s="41" t="inlineStr">
        <is>
          <t>inf</t>
        </is>
      </c>
      <c r="AT9" s="41" t="inlineStr">
        <is>
          <t>inf</t>
        </is>
      </c>
      <c r="AU9" s="41" t="inlineStr">
        <is>
          <t>inf</t>
        </is>
      </c>
      <c r="AV9" s="41" t="inlineStr">
        <is>
          <t>inf</t>
        </is>
      </c>
      <c r="AW9" s="42" t="n">
        <v>2361.04</v>
      </c>
      <c r="AX9" s="42" t="n">
        <v>7916.43</v>
      </c>
      <c r="AY9" s="42" t="n">
        <v>2.793</v>
      </c>
      <c r="AZ9" s="42" t="n">
        <v>22.229</v>
      </c>
      <c r="BB9" s="44">
        <f>AG9/J9</f>
        <v/>
      </c>
      <c r="BC9" s="44">
        <f>AI9/L9</f>
        <v/>
      </c>
      <c r="BD9" s="44">
        <f>AJ9/M9</f>
        <v/>
      </c>
      <c r="BE9" s="43">
        <f>(AK9/AN9) - (N9/Q9)</f>
        <v/>
      </c>
      <c r="BF9" s="43">
        <f ref="BF9" t="array">AVERAGE(AK9:AK9/AN9:AN9) - AVERAGE(N9:N9/Q9:Q9)</f>
        <v/>
      </c>
    </row>
    <row r="10">
      <c r="B10" s="55" t="inlineStr">
        <is>
          <t>Cat2-A average</t>
        </is>
      </c>
      <c r="J10" s="56">
        <f>AVERAGE(J5:J8)</f>
        <v/>
      </c>
      <c r="K10" s="56">
        <f>AVERAGE(K5:K8)</f>
        <v/>
      </c>
      <c r="L10" s="56">
        <f>AVERAGE(L5:L8)</f>
        <v/>
      </c>
      <c r="M10" s="56">
        <f>AVERAGE(M5:M8)</f>
        <v/>
      </c>
      <c r="AG10" s="56">
        <f>AVERAGE(AG5:AG8)</f>
        <v/>
      </c>
      <c r="AH10" s="56">
        <f>AVERAGE(AH5:AH8)</f>
        <v/>
      </c>
      <c r="AI10" s="56">
        <f>AVERAGE(AI5:AI8)</f>
        <v/>
      </c>
      <c r="AJ10" s="56">
        <f>AVERAGE(AJ5:AJ8)</f>
        <v/>
      </c>
      <c r="BB10" s="111">
        <f>AG10/J10</f>
        <v/>
      </c>
      <c r="BC10" s="111">
        <f>AI10/L10</f>
        <v/>
      </c>
      <c r="BD10" s="111">
        <f>AJ10/M10</f>
        <v/>
      </c>
      <c r="BF10" s="116">
        <f>AVERAGE(BF5:BF8)</f>
        <v/>
      </c>
    </row>
    <row r="11">
      <c r="B11" s="55" t="inlineStr">
        <is>
          <t>Cat2-B average</t>
        </is>
      </c>
      <c r="J11" s="56">
        <f>AVERAGE(J9:J9)</f>
        <v/>
      </c>
      <c r="K11" s="56">
        <f>AVERAGE(K9:K9)</f>
        <v/>
      </c>
      <c r="L11" s="56">
        <f>AVERAGE(L9:L9)</f>
        <v/>
      </c>
      <c r="M11" s="56">
        <f>AVERAGE(M9:M9)</f>
        <v/>
      </c>
      <c r="AG11" s="56">
        <f>AVERAGE(AG9:AG9)</f>
        <v/>
      </c>
      <c r="AH11" s="56">
        <f>AVERAGE(AH9:AH9)</f>
        <v/>
      </c>
      <c r="AI11" s="56">
        <f>AVERAGE(AI9:AI9)</f>
        <v/>
      </c>
      <c r="AJ11" s="56">
        <f>AVERAGE(AJ9:AJ9)</f>
        <v/>
      </c>
      <c r="BB11" s="111">
        <f>AG11/J11</f>
        <v/>
      </c>
      <c r="BC11" s="111">
        <f>AI11/L11</f>
        <v/>
      </c>
      <c r="BD11" s="111">
        <f>AJ11/M11</f>
        <v/>
      </c>
      <c r="BF11" s="116">
        <f>AVERAGE(BF9:BF9)</f>
        <v/>
      </c>
    </row>
    <row r="12">
      <c r="B12" s="55" t="inlineStr">
        <is>
          <t>Overall average</t>
        </is>
      </c>
      <c r="J12" s="56">
        <f>AVERAGE(J5:J9)</f>
        <v/>
      </c>
      <c r="K12" s="56">
        <f>AVERAGE(K5:K9)</f>
        <v/>
      </c>
      <c r="L12" s="56">
        <f>AVERAGE(L5:L9)</f>
        <v/>
      </c>
      <c r="M12" s="56">
        <f>AVERAGE(M5:M9)</f>
        <v/>
      </c>
      <c r="AG12" s="56">
        <f>AVERAGE(AG5:AG9)</f>
        <v/>
      </c>
      <c r="AH12" s="56">
        <f>AVERAGE(AH5:AH9)</f>
        <v/>
      </c>
      <c r="AI12" s="56">
        <f>AVERAGE(AI5:AI9)</f>
        <v/>
      </c>
      <c r="AJ12" s="56">
        <f>AVERAGE(AJ5:AJ9)</f>
        <v/>
      </c>
      <c r="BB12" s="111">
        <f>AG12/J12</f>
        <v/>
      </c>
      <c r="BC12" s="111">
        <f>AI12/L12</f>
        <v/>
      </c>
      <c r="BD12" s="111">
        <f>AJ12/M12</f>
        <v/>
      </c>
      <c r="BF12" s="116">
        <f>AVERAGE(BF5:BF9)</f>
        <v/>
      </c>
    </row>
    <row hidden="1" outlineLevel="2" r="13" s="4">
      <c r="A13" s="55" t="inlineStr">
        <is>
          <t>Overall</t>
        </is>
      </c>
      <c r="B13" s="55" t="inlineStr">
        <is>
          <t>Total time [s]</t>
        </is>
      </c>
      <c r="Z13" s="57">
        <f>SUM(Z5:Z8,Z9:Z9)</f>
        <v/>
      </c>
      <c r="AA13" s="57">
        <f>SUM(AA5:AA8,AA9:AA9)</f>
        <v/>
      </c>
      <c r="AB13" s="57">
        <f>SUM(AB5:AB8,AB9:AB9)</f>
        <v/>
      </c>
      <c r="AC13" s="57">
        <f>SUM(AC5:AC8,AC9:AC9)</f>
        <v/>
      </c>
      <c r="AW13" s="57">
        <f>SUM(AW5:AW8,AW9:AW9)</f>
        <v/>
      </c>
      <c r="AX13" s="57">
        <f>SUM(AX5:AX8,AX9:AX9)</f>
        <v/>
      </c>
      <c r="AY13" s="57">
        <f>SUM(AY5:AY8,AY9:AY9)</f>
        <v/>
      </c>
      <c r="AZ13" s="57">
        <f>SUM(AZ5:AZ8,AZ9:AZ9)</f>
        <v/>
      </c>
    </row>
    <row hidden="1" outlineLevel="2" r="14" s="4">
      <c r="B14" s="55" t="inlineStr">
        <is>
          <t>Total time [%]</t>
        </is>
      </c>
      <c r="AW14" s="116">
        <f>AW13/Z13</f>
        <v/>
      </c>
      <c r="AX14" s="116">
        <f>AX13/AA13</f>
        <v/>
      </c>
      <c r="AY14" s="116">
        <f>AY13/AB13</f>
        <v/>
      </c>
      <c r="AZ14" s="116">
        <f>AZ13/AC13</f>
        <v/>
      </c>
    </row>
    <row hidden="1" outlineLevel="2" r="15" s="4">
      <c r="B15" s="55" t="inlineStr">
        <is>
          <t>Avg (geometric) time [s]</t>
        </is>
      </c>
      <c r="Z15" s="57">
        <f>GEOMEAN(Z5:Z8,Z9:Z9)</f>
        <v/>
      </c>
      <c r="AA15" s="57">
        <f>GEOMEAN(AA5:AA8,AA9:AA9)</f>
        <v/>
      </c>
      <c r="AB15" s="57">
        <f>GEOMEAN(AB5:AB8,AB9:AB9)</f>
        <v/>
      </c>
      <c r="AC15" s="57">
        <f>GEOMEAN(AC5:AC8,AC9:AC9)</f>
        <v/>
      </c>
      <c r="AW15" s="57">
        <f>GEOMEAN(AW5:AW8,AW9:AW9)</f>
        <v/>
      </c>
      <c r="AX15" s="57">
        <f>GEOMEAN(AX5:AX8,AX9:AX9)</f>
        <v/>
      </c>
      <c r="AY15" s="57">
        <f>GEOMEAN(AY5:AY8,AY9:AY9)</f>
        <v/>
      </c>
      <c r="AZ15" s="57">
        <f>GEOMEAN(AZ5:AZ8,AZ9:AZ9)</f>
        <v/>
      </c>
    </row>
    <row collapsed="1" outlineLevel="2" r="16" s="4">
      <c r="B16" s="55" t="inlineStr">
        <is>
          <t>Avg (geometric) time [%]</t>
        </is>
      </c>
      <c r="AW16" s="116">
        <f>AW15/Z15</f>
        <v/>
      </c>
      <c r="AX16" s="116">
        <f>AX15/AA15</f>
        <v/>
      </c>
      <c r="AY16" s="116">
        <f>AY15/AB15</f>
        <v/>
      </c>
      <c r="AZ16" s="116">
        <f>AZ15/AC15</f>
        <v/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dxfId="1" operator="greaterThanOrEqual" priority="3" type="cellIs">
      <formula>1.03</formula>
    </cfRule>
    <cfRule dxfId="0" operator="lessThanOrEqual" priority="4" type="cellIs">
      <formula>0.97</formula>
    </cfRule>
  </conditionalFormatting>
  <conditionalFormatting sqref="BC10 BC11 BC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BD10 BD11 BD12">
    <cfRule dxfId="1" operator="greaterThanOrEqual" priority="1" type="cellIs">
      <formula>1.03</formula>
    </cfRule>
    <cfRule dxfId="0" operator="lessThanOrEqual" priority="2" type="cellIs">
      <formula>0.97</formula>
    </cfRule>
  </conditionalFormatting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8">
    <outlinePr summaryBelow="0"/>
    <pageSetUpPr/>
  </sheetPr>
  <dimension ref="A1:BS36"/>
  <sheetViews>
    <sheetView workbookViewId="0">
      <pane activePane="topRight" state="frozen" topLeftCell="AO1" xSplit="2"/>
      <selection activeCell="BD1" pane="topRight" sqref="BD1"/>
    </sheetView>
  </sheetViews>
  <sheetFormatPr baseColWidth="8" defaultRowHeight="14.4" outlineLevelRow="2"/>
  <cols>
    <col customWidth="1" max="2" min="2" style="4" width="24.6640625"/>
    <col customWidth="1" max="5" min="4" style="4" width="10.6640625"/>
    <col customWidth="1" max="8" min="8" style="4" width="1.6640625"/>
    <col customWidth="1" max="13" min="10" style="4" width="10.6640625"/>
    <col customWidth="1" hidden="1" max="14" min="14" style="4" width="24.6640625"/>
    <col customWidth="1" max="15" min="15" style="4" width="12.6640625"/>
    <col customWidth="1" max="16" min="16" style="4" width="10.6640625"/>
    <col customWidth="1" max="22" min="19" style="4" width="12.6640625"/>
    <col customWidth="1" max="27" min="23" style="4" width="11.6640625"/>
    <col customWidth="1" max="32" min="32" style="4" width="1.6640625"/>
    <col customWidth="1" max="37" min="34" style="4" width="10.6640625"/>
    <col customWidth="1" hidden="1" max="38" min="38" style="4" width="24.6640625"/>
    <col customWidth="1" max="39" min="39" style="4" width="12.6640625"/>
    <col customWidth="1" max="40" min="40" style="4" width="10.6640625"/>
    <col customWidth="1" max="46" min="43" style="4" width="12.6640625"/>
    <col customWidth="1" max="51" min="47" style="4" width="11.6640625"/>
    <col customWidth="1" max="56" min="56" style="4" width="1.6640625"/>
    <col customWidth="1" max="60" min="60" style="4" width="1.6640625"/>
    <col customWidth="1" max="65" min="63" style="4" width="11.6640625"/>
    <col customWidth="1" max="66" min="66" style="4" width="1.6640625"/>
    <col customWidth="1" max="71" min="69" style="4" width="11.6640625"/>
    <col customWidth="1" max="72" min="72" style="4" width="1.6640625"/>
  </cols>
  <sheetData>
    <row r="1">
      <c r="A1" s="132" t="inlineStr">
        <is>
          <t>C2_ra — lossy geometry, lossy attributes [inter, random access]</t>
        </is>
      </c>
      <c r="I1" s="128">
        <f>Summary!$C$1</f>
        <v/>
      </c>
      <c r="AG1" s="129">
        <f>Summary!$C$2</f>
        <v/>
      </c>
    </row>
    <row customHeight="1" ht="30" r="2" s="4">
      <c r="A2" s="134" t="inlineStr">
        <is>
          <t>Class</t>
        </is>
      </c>
      <c r="B2" s="133" t="inlineStr">
        <is>
          <t>Sequence</t>
        </is>
      </c>
      <c r="C2" s="134" t="inlineStr">
        <is>
          <t>Variant</t>
        </is>
      </c>
      <c r="D2" s="133" t="inlineStr">
        <is>
          <t>№ input points</t>
        </is>
      </c>
      <c r="E2" s="134" t="inlineStr">
        <is>
          <t>Geometry precision [bits]</t>
        </is>
      </c>
      <c r="F2" s="133" t="inlineStr">
        <is>
          <t>№ frames</t>
        </is>
      </c>
      <c r="G2" s="134" t="inlineStr">
        <is>
          <t>Frame rate [fps]</t>
        </is>
      </c>
      <c r="I2" s="133" t="inlineStr">
        <is>
          <t>Rate [Mbps]</t>
        </is>
      </c>
      <c r="J2" s="157" t="inlineStr">
        <is>
          <t>Bits per input point [bpip]</t>
        </is>
      </c>
      <c r="N2" s="134" t="inlineStr">
        <is>
          <t>A.eqn.bits.totalgeometry Bitstream [bits]</t>
        </is>
      </c>
      <c r="O2" s="133" t="inlineStr">
        <is>
          <t>Total Bits per output point [bpop]</t>
        </is>
      </c>
      <c r="P2" s="134" t="inlineStr">
        <is>
          <t>№ output points</t>
        </is>
      </c>
      <c r="Q2" s="133" t="inlineStr">
        <is>
          <t>Mean output points</t>
        </is>
      </c>
      <c r="R2" s="134" t="inlineStr">
        <is>
          <t>Mean duplicate points</t>
        </is>
      </c>
      <c r="S2" s="158" t="inlineStr">
        <is>
          <t>Bitstream [bits]</t>
        </is>
      </c>
      <c r="W2" s="157" t="inlineStr">
        <is>
          <t>Geometry PSNR [dB]</t>
        </is>
      </c>
      <c r="Y2" s="158" t="inlineStr">
        <is>
          <t>End-to-end PSNR [dB]</t>
        </is>
      </c>
      <c r="AB2" s="157" t="inlineStr">
        <is>
          <t>Encoder runtime [s]</t>
        </is>
      </c>
      <c r="AD2" s="158" t="inlineStr">
        <is>
          <t>Decoder runtime [s]</t>
        </is>
      </c>
      <c r="AG2" s="134" t="inlineStr">
        <is>
          <t>Rate [Mbps]</t>
        </is>
      </c>
      <c r="AH2" s="158" t="inlineStr">
        <is>
          <t>Bits per input point [bpip]</t>
        </is>
      </c>
      <c r="AL2" s="133" t="inlineStr">
        <is>
          <t>B.eqn.bits.totalgeometry Bitstream [bits]</t>
        </is>
      </c>
      <c r="AM2" s="134" t="inlineStr">
        <is>
          <t>Total Bits per output point [bpop]</t>
        </is>
      </c>
      <c r="AN2" s="133" t="inlineStr">
        <is>
          <t>№ output points</t>
        </is>
      </c>
      <c r="AO2" s="134" t="inlineStr">
        <is>
          <t>Mean output points</t>
        </is>
      </c>
      <c r="AP2" s="133" t="inlineStr">
        <is>
          <t>Mean duplicate points</t>
        </is>
      </c>
      <c r="AQ2" s="157" t="inlineStr">
        <is>
          <t>Bitstream [bits]</t>
        </is>
      </c>
      <c r="AU2" s="158" t="inlineStr">
        <is>
          <t>Geometry PSNR [dB]</t>
        </is>
      </c>
      <c r="AW2" s="157" t="inlineStr">
        <is>
          <t>End-to-end PSNR [dB]</t>
        </is>
      </c>
      <c r="AZ2" s="158" t="inlineStr">
        <is>
          <t>Encoder runtime [s]</t>
        </is>
      </c>
      <c r="BB2" s="157" t="inlineStr">
        <is>
          <t>Decoder runtime [s]</t>
        </is>
      </c>
      <c r="BE2" s="133" t="inlineStr">
        <is>
          <t>Shift in duppoint ratio [pp]</t>
        </is>
      </c>
      <c r="BF2" s="134" t="inlineStr">
        <is>
          <t>Shift in G:T bits ratio [pp]</t>
        </is>
      </c>
      <c r="BG2" s="133" t="inlineStr">
        <is>
          <t>Shift in G:T bits ratio [pp]</t>
        </is>
      </c>
      <c r="BI2" s="157" t="inlineStr">
        <is>
          <t>Geom. BD‑TotGeomRate [%]</t>
        </is>
      </c>
      <c r="BK2" s="158" t="inlineStr">
        <is>
          <t>End-to-End BD‑AttrRate [%]</t>
        </is>
      </c>
      <c r="BO2" s="157" t="inlineStr">
        <is>
          <t>Geom. BD‑TotalRate [%]</t>
        </is>
      </c>
      <c r="BQ2" s="158" t="inlineStr">
        <is>
          <t>End-to-End BD‑TotalRate [%]</t>
        </is>
      </c>
    </row>
    <row r="3">
      <c r="A3" s="9" t="n"/>
      <c r="B3" s="9" t="n"/>
      <c r="C3" s="9" t="n"/>
      <c r="D3" s="9" t="n"/>
      <c r="E3" s="9" t="n"/>
      <c r="F3" s="9" t="n"/>
      <c r="G3" s="9" t="n"/>
      <c r="I3" s="9" t="n"/>
      <c r="J3" s="134" t="inlineStr">
        <is>
          <t>Total</t>
        </is>
      </c>
      <c r="K3" s="134" t="inlineStr">
        <is>
          <t>Tot.Geom</t>
        </is>
      </c>
      <c r="L3" s="134" t="inlineStr">
        <is>
          <t>Geometry</t>
        </is>
      </c>
      <c r="M3" s="134" t="inlineStr">
        <is>
          <t xml:space="preserve">Colour </t>
        </is>
      </c>
      <c r="N3" s="9" t="n"/>
      <c r="O3" s="9" t="n"/>
      <c r="P3" s="9" t="n"/>
      <c r="Q3" s="9" t="n"/>
      <c r="R3" s="9" t="n"/>
      <c r="S3" s="133" t="inlineStr">
        <is>
          <t>Total</t>
        </is>
      </c>
      <c r="T3" s="133" t="inlineStr">
        <is>
          <t>Geometry</t>
        </is>
      </c>
      <c r="U3" s="133" t="inlineStr">
        <is>
          <t>Occ+Patch</t>
        </is>
      </c>
      <c r="V3" s="133" t="inlineStr">
        <is>
          <t>Colour</t>
        </is>
      </c>
      <c r="W3" s="134" t="inlineStr">
        <is>
          <t>D1</t>
        </is>
      </c>
      <c r="X3" s="134" t="inlineStr">
        <is>
          <t>D2</t>
        </is>
      </c>
      <c r="Y3" s="133" t="inlineStr">
        <is>
          <t>Luma</t>
        </is>
      </c>
      <c r="Z3" s="133" t="inlineStr">
        <is>
          <t>Chroma Cb</t>
        </is>
      </c>
      <c r="AA3" s="133" t="inlineStr">
        <is>
          <t>Chroma Cr</t>
        </is>
      </c>
      <c r="AB3" s="134" t="inlineStr">
        <is>
          <t>Self</t>
        </is>
      </c>
      <c r="AC3" s="134" t="inlineStr">
        <is>
          <t>Child</t>
        </is>
      </c>
      <c r="AD3" s="133" t="inlineStr">
        <is>
          <t>Self</t>
        </is>
      </c>
      <c r="AE3" s="133" t="inlineStr">
        <is>
          <t>Child</t>
        </is>
      </c>
      <c r="AG3" s="9" t="n"/>
      <c r="AH3" s="133" t="inlineStr">
        <is>
          <t>Total</t>
        </is>
      </c>
      <c r="AI3" s="133" t="inlineStr">
        <is>
          <t>Tot.Geom</t>
        </is>
      </c>
      <c r="AJ3" s="133" t="inlineStr">
        <is>
          <t>Geometry</t>
        </is>
      </c>
      <c r="AK3" s="133" t="inlineStr">
        <is>
          <t xml:space="preserve">Colour </t>
        </is>
      </c>
      <c r="AL3" s="9" t="n"/>
      <c r="AM3" s="9" t="n"/>
      <c r="AN3" s="9" t="n"/>
      <c r="AO3" s="9" t="n"/>
      <c r="AP3" s="9" t="n"/>
      <c r="AQ3" s="134" t="inlineStr">
        <is>
          <t>Total</t>
        </is>
      </c>
      <c r="AR3" s="134" t="inlineStr">
        <is>
          <t>Geometry</t>
        </is>
      </c>
      <c r="AS3" s="134" t="inlineStr">
        <is>
          <t>Occ+Patch</t>
        </is>
      </c>
      <c r="AT3" s="134" t="inlineStr">
        <is>
          <t>Colour</t>
        </is>
      </c>
      <c r="AU3" s="133" t="inlineStr">
        <is>
          <t>D1</t>
        </is>
      </c>
      <c r="AV3" s="133" t="inlineStr">
        <is>
          <t>D2</t>
        </is>
      </c>
      <c r="AW3" s="134" t="inlineStr">
        <is>
          <t>Luma</t>
        </is>
      </c>
      <c r="AX3" s="134" t="inlineStr">
        <is>
          <t>Chroma Cb</t>
        </is>
      </c>
      <c r="AY3" s="134" t="inlineStr">
        <is>
          <t>Chroma Cr</t>
        </is>
      </c>
      <c r="AZ3" s="133" t="inlineStr">
        <is>
          <t>Self</t>
        </is>
      </c>
      <c r="BA3" s="133" t="inlineStr">
        <is>
          <t>Child</t>
        </is>
      </c>
      <c r="BB3" s="134" t="inlineStr">
        <is>
          <t>Self</t>
        </is>
      </c>
      <c r="BC3" s="134" t="inlineStr">
        <is>
          <t>Child</t>
        </is>
      </c>
      <c r="BE3" s="9" t="n"/>
      <c r="BF3" s="9" t="n"/>
      <c r="BG3" s="9" t="n"/>
      <c r="BI3" s="134" t="inlineStr">
        <is>
          <t>D1</t>
        </is>
      </c>
      <c r="BJ3" s="134" t="inlineStr">
        <is>
          <t>D2</t>
        </is>
      </c>
      <c r="BK3" s="133" t="inlineStr">
        <is>
          <t>Luma</t>
        </is>
      </c>
      <c r="BL3" s="133" t="inlineStr">
        <is>
          <t>Chroma Cb</t>
        </is>
      </c>
      <c r="BM3" s="133" t="inlineStr">
        <is>
          <t>Chroma Cr</t>
        </is>
      </c>
      <c r="BO3" s="134" t="inlineStr">
        <is>
          <t>D1</t>
        </is>
      </c>
      <c r="BP3" s="134" t="inlineStr">
        <is>
          <t>D2</t>
        </is>
      </c>
      <c r="BQ3" s="133" t="inlineStr">
        <is>
          <t>Luma</t>
        </is>
      </c>
      <c r="BR3" s="133" t="inlineStr">
        <is>
          <t>Chroma Cb</t>
        </is>
      </c>
      <c r="BS3" s="133" t="inlineStr">
        <is>
          <t>Chroma Cr</t>
        </is>
      </c>
    </row>
    <row customHeight="1" hidden="1" ht="123" r="4" s="4">
      <c r="A4" s="13" t="inlineStr">
        <is>
          <t>class</t>
        </is>
      </c>
      <c r="B4" s="14" t="inlineStr">
        <is>
          <t>sequence</t>
        </is>
      </c>
      <c r="C4" s="13" t="inlineStr">
        <is>
          <t>variant</t>
        </is>
      </c>
      <c r="D4" s="14" t="inlineStr">
        <is>
          <t>src.numpoints</t>
        </is>
      </c>
      <c r="E4" s="13" t="inlineStr">
        <is>
          <t>src.geometry-precision</t>
        </is>
      </c>
      <c r="F4" s="14" t="inlineStr">
        <is>
          <t>src.framecount</t>
        </is>
      </c>
      <c r="G4" s="13" t="inlineStr">
        <is>
          <t>src.framerate</t>
        </is>
      </c>
      <c r="I4" s="14" t="inlineStr">
        <is>
          <t>A.eqn.bitrate</t>
        </is>
      </c>
      <c r="J4" s="13" t="inlineStr">
        <is>
          <t>A.eqn.bpp</t>
        </is>
      </c>
      <c r="K4" s="13" t="inlineStr">
        <is>
          <t>A.eqn.bpp.geometry+occ+patch</t>
        </is>
      </c>
      <c r="L4" s="13" t="inlineStr">
        <is>
          <t>A.eqn.bpp.geometry</t>
        </is>
      </c>
      <c r="M4" s="13" t="inlineStr">
        <is>
          <t>A.eqn.bpp.colour</t>
        </is>
      </c>
      <c r="N4" s="13" t="inlineStr">
        <is>
          <t>A.eqn.bits.totalgeometry</t>
        </is>
      </c>
      <c r="O4" s="14" t="inlineStr">
        <is>
          <t>A.eqn.bpop</t>
        </is>
      </c>
      <c r="P4" s="13" t="inlineStr">
        <is>
          <t>A.dec.numpoints</t>
        </is>
      </c>
      <c r="Q4" s="14" t="inlineStr">
        <is>
          <t>A.dec.numpoints.mean</t>
        </is>
      </c>
      <c r="R4" s="13" t="inlineStr">
        <is>
          <t>A.dec.numduppoints.mean</t>
        </is>
      </c>
      <c r="S4" s="14" t="inlineStr">
        <is>
          <t>A.enc.ext.bits</t>
        </is>
      </c>
      <c r="T4" s="14" t="inlineStr">
        <is>
          <t>A.enc.bits.geometry</t>
        </is>
      </c>
      <c r="U4" s="14" t="inlineStr">
        <is>
          <t>A.enc.bits.occ+patch</t>
        </is>
      </c>
      <c r="V4" s="14" t="inlineStr">
        <is>
          <t>A.enc.bits.colour</t>
        </is>
      </c>
      <c r="W4" s="13" t="inlineStr">
        <is>
          <t>A.dec.d1-psnr</t>
        </is>
      </c>
      <c r="X4" s="13" t="inlineStr">
        <is>
          <t>A.dec.d2-psnr</t>
        </is>
      </c>
      <c r="Y4" s="14" t="inlineStr">
        <is>
          <t>A.dec.y-psnr</t>
        </is>
      </c>
      <c r="Z4" s="14" t="inlineStr">
        <is>
          <t>A.dec.cb-psnr</t>
        </is>
      </c>
      <c r="AA4" s="14" t="inlineStr">
        <is>
          <t>A.dec.cr-psnr</t>
        </is>
      </c>
      <c r="AB4" s="13" t="inlineStr">
        <is>
          <t>A.enc.utime.self</t>
        </is>
      </c>
      <c r="AC4" s="13" t="inlineStr">
        <is>
          <t>A.enc.utime.children</t>
        </is>
      </c>
      <c r="AD4" s="14" t="inlineStr">
        <is>
          <t>A.dec.utime.self</t>
        </is>
      </c>
      <c r="AE4" s="14" t="inlineStr">
        <is>
          <t>A.dec.utime.children</t>
        </is>
      </c>
      <c r="AG4" s="13" t="inlineStr">
        <is>
          <t>B.eqn.bitrate</t>
        </is>
      </c>
      <c r="AH4" s="14" t="inlineStr">
        <is>
          <t>B.eqn.bpp</t>
        </is>
      </c>
      <c r="AI4" s="14" t="inlineStr">
        <is>
          <t>B.eqn.bpp.geometry+occ+patch</t>
        </is>
      </c>
      <c r="AJ4" s="14" t="inlineStr">
        <is>
          <t>B.eqn.bpp.geometry</t>
        </is>
      </c>
      <c r="AK4" s="14" t="inlineStr">
        <is>
          <t>B.eqn.bpp.colour</t>
        </is>
      </c>
      <c r="AL4" s="14" t="inlineStr">
        <is>
          <t>B.eqn.bits.totalgeometry</t>
        </is>
      </c>
      <c r="AM4" s="13" t="inlineStr">
        <is>
          <t>B.eqn.bpop</t>
        </is>
      </c>
      <c r="AN4" s="14" t="inlineStr">
        <is>
          <t>B.dec.numpoints</t>
        </is>
      </c>
      <c r="AO4" s="13" t="inlineStr">
        <is>
          <t>B.dec.numpoints.mean</t>
        </is>
      </c>
      <c r="AP4" s="14" t="inlineStr">
        <is>
          <t>B.dec.numduppoints.mean</t>
        </is>
      </c>
      <c r="AQ4" s="13" t="inlineStr">
        <is>
          <t>B.enc.ext.bits</t>
        </is>
      </c>
      <c r="AR4" s="13" t="inlineStr">
        <is>
          <t>B.enc.bits.geometry</t>
        </is>
      </c>
      <c r="AS4" s="13" t="inlineStr">
        <is>
          <t>B.enc.bits.occ+patch</t>
        </is>
      </c>
      <c r="AT4" s="13" t="inlineStr">
        <is>
          <t>B.enc.bits.colour</t>
        </is>
      </c>
      <c r="AU4" s="14" t="inlineStr">
        <is>
          <t>B.dec.d1-psnr</t>
        </is>
      </c>
      <c r="AV4" s="14" t="inlineStr">
        <is>
          <t>B.dec.d2-psnr</t>
        </is>
      </c>
      <c r="AW4" s="13" t="inlineStr">
        <is>
          <t>B.dec.y-psnr</t>
        </is>
      </c>
      <c r="AX4" s="13" t="inlineStr">
        <is>
          <t>B.dec.cb-psnr</t>
        </is>
      </c>
      <c r="AY4" s="13" t="inlineStr">
        <is>
          <t>B.dec.cr-psnr</t>
        </is>
      </c>
      <c r="AZ4" s="14" t="inlineStr">
        <is>
          <t>B.enc.utime.self</t>
        </is>
      </c>
      <c r="BA4" s="14" t="inlineStr">
        <is>
          <t>B.enc.utime.children</t>
        </is>
      </c>
      <c r="BB4" s="13" t="inlineStr">
        <is>
          <t>B.dec.utime.self</t>
        </is>
      </c>
      <c r="BC4" s="13" t="inlineStr">
        <is>
          <t>B.dec.utime.children</t>
        </is>
      </c>
      <c r="BE4" s="14" t="inlineStr">
        <is>
          <t>eqn.ab.delta-duppoints_ratio</t>
        </is>
      </c>
      <c r="BF4" s="13" t="inlineStr">
        <is>
          <t>eqn.ab.delta-geom_texture_bits_ratio</t>
        </is>
      </c>
      <c r="BG4" s="14" t="inlineStr">
        <is>
          <t>eqn.ab.summary-delta-geom_texture_bits_ratio</t>
        </is>
      </c>
      <c r="BI4" s="13" t="inlineStr">
        <is>
          <t>eqn.ab.bdrate-d1-geomrate</t>
        </is>
      </c>
      <c r="BJ4" s="13" t="inlineStr">
        <is>
          <t>eqn.ab.bdrate-d2-geomrate</t>
        </is>
      </c>
      <c r="BK4" s="14" t="inlineStr">
        <is>
          <t>eqn.ab.bdrate-y-attrrate</t>
        </is>
      </c>
      <c r="BL4" s="14" t="inlineStr">
        <is>
          <t>eqn.ab.bdrate-cb-attrrate</t>
        </is>
      </c>
      <c r="BM4" s="14" t="inlineStr">
        <is>
          <t>eqn.ab.bdrate-cr-attrrate</t>
        </is>
      </c>
      <c r="BO4" s="13" t="inlineStr">
        <is>
          <t>eqn.ab.bdrate-d1</t>
        </is>
      </c>
      <c r="BP4" s="13" t="inlineStr">
        <is>
          <t>eqn.ab.bdrate-d2</t>
        </is>
      </c>
      <c r="BQ4" s="14" t="inlineStr">
        <is>
          <t>eqn.ab.bdrate-y</t>
        </is>
      </c>
      <c r="BR4" s="14" t="inlineStr">
        <is>
          <t>eqn.ab.bdrate-cb</t>
        </is>
      </c>
      <c r="BS4" s="14" t="inlineStr">
        <is>
          <t>eqn.ab.bdrate-cr</t>
        </is>
      </c>
    </row>
    <row r="5">
      <c r="A5" s="90" t="inlineStr">
        <is>
          <t>cat2-A</t>
        </is>
      </c>
      <c r="B5" s="90" t="inlineStr">
        <is>
          <t>8ivfbv2_loot_vox10</t>
        </is>
      </c>
      <c r="C5" s="16" t="inlineStr">
        <is>
          <t>r01</t>
        </is>
      </c>
      <c r="D5" s="90" t="n">
        <v>238146391</v>
      </c>
      <c r="E5" s="16" t="n">
        <v>10</v>
      </c>
      <c r="F5" s="16" t="n">
        <v>32</v>
      </c>
      <c r="G5" s="16" t="n">
        <v>30</v>
      </c>
      <c r="I5" s="17">
        <f>IF(OR(ISBLANK(S5),ISBLANK(G5)),"·",S5*G5/F5/1000000)</f>
        <v/>
      </c>
      <c r="J5" s="18">
        <f>IF(ISBLANK(S5),"·",S5/D5)</f>
        <v/>
      </c>
      <c r="K5" s="18">
        <f>IF(N5="","·",N5/D5)</f>
        <v/>
      </c>
      <c r="L5" s="18">
        <f>IF(T5="","·",T5/D5)</f>
        <v/>
      </c>
      <c r="M5" s="18">
        <f>IF(ISBLANK(V5),"·",V5/D5)</f>
        <v/>
      </c>
      <c r="N5" s="90">
        <f>IF(OR(ISBLANK(T5),ISBLANK(U5)),"",T5+U5)</f>
        <v/>
      </c>
      <c r="O5" s="18" t="n">
        <v>16</v>
      </c>
      <c r="P5" s="19" t="n">
        <v>23291477</v>
      </c>
      <c r="Q5" s="19" t="n">
        <v>727858.65625</v>
      </c>
      <c r="R5" s="19" t="n">
        <v>16263.4375</v>
      </c>
      <c r="S5" s="20" t="n">
        <v>1314608</v>
      </c>
      <c r="T5" s="20" t="n">
        <v>653144</v>
      </c>
      <c r="U5" s="20" t="n">
        <v>443096</v>
      </c>
      <c r="V5" s="20" t="n">
        <v>218240</v>
      </c>
      <c r="W5" s="21" t="n">
        <v>66.75517499999999</v>
      </c>
      <c r="X5" s="21" t="n">
        <v>68.482021875</v>
      </c>
      <c r="Y5" s="21" t="n">
        <v>31.71188125</v>
      </c>
      <c r="Z5" s="21" t="n">
        <v>44.2066375</v>
      </c>
      <c r="AA5" s="21" t="n">
        <v>43.81155</v>
      </c>
      <c r="AB5" s="22" t="n">
        <v>3322.8</v>
      </c>
      <c r="AC5" s="22" t="n">
        <v>3094.12</v>
      </c>
      <c r="AD5" s="22" t="n">
        <v>4.985</v>
      </c>
      <c r="AE5" s="22" t="n">
        <v>17.072</v>
      </c>
      <c r="AG5" s="17">
        <f>IF(OR(ISBLANK(AQ5),ISBLANK(G5)),"·",AQ5*G5/F5/1000000)</f>
        <v/>
      </c>
      <c r="AH5" s="18">
        <f>IF(ISBLANK(AQ5),"·",AQ5/D5)</f>
        <v/>
      </c>
      <c r="AI5" s="18">
        <f>IF(AL5="","·",AL5/D5)</f>
        <v/>
      </c>
      <c r="AJ5" s="18">
        <f>IF(AR5="","·",AR5/D5)</f>
        <v/>
      </c>
      <c r="AK5" s="18">
        <f>IF(ISBLANK(AT5),"·",AT5/D5)</f>
        <v/>
      </c>
      <c r="AL5" s="90">
        <f>IF(OR(ISBLANK(AR5),ISBLANK(AS5)),"",AR5+AS5)</f>
        <v/>
      </c>
      <c r="AM5" s="18" t="n">
        <v>16</v>
      </c>
      <c r="AN5" s="19" t="n">
        <v>23291477</v>
      </c>
      <c r="AO5" s="19" t="n">
        <v>727858.65625</v>
      </c>
      <c r="AP5" s="19" t="n">
        <v>16263.4375</v>
      </c>
      <c r="AQ5" s="20" t="n">
        <v>1314608</v>
      </c>
      <c r="AR5" s="20" t="n">
        <v>653144</v>
      </c>
      <c r="AS5" s="20" t="n">
        <v>443096</v>
      </c>
      <c r="AT5" s="20" t="n">
        <v>218240</v>
      </c>
      <c r="AU5" s="21" t="n">
        <v>66.75517499999999</v>
      </c>
      <c r="AV5" s="21" t="n">
        <v>68.482021875</v>
      </c>
      <c r="AW5" s="21" t="n">
        <v>31.71188125</v>
      </c>
      <c r="AX5" s="21" t="n">
        <v>44.2066375</v>
      </c>
      <c r="AY5" s="21" t="n">
        <v>43.81155</v>
      </c>
      <c r="AZ5" s="22" t="n">
        <v>3576.13</v>
      </c>
      <c r="BA5" s="22" t="n">
        <v>3212.43</v>
      </c>
      <c r="BB5" s="22" t="n">
        <v>4.97</v>
      </c>
      <c r="BC5" s="22" t="n">
        <v>17.449</v>
      </c>
      <c r="BE5" s="23">
        <f>(AP5/AO5) - (R5/Q5)</f>
        <v/>
      </c>
      <c r="BF5" s="23">
        <f>(AL5/AQ5) - (N5/S5)</f>
        <v/>
      </c>
      <c r="BG5" s="23">
        <f ref="BG5" t="array">AVERAGE(AL5:AL9/AQ5:AQ9) - AVERAGE(N5:N9/S5:S9)</f>
        <v/>
      </c>
      <c r="BI5" s="92">
        <f>IF( OR(ISBLANK(N5:N9),ISBLANK(AL5:AL9), ISBLANK(W5:W9),ISBLANK(AU5:AU9)), "·", bdRateExtend( N5:N9,W5:W9, AL5:AL9,AU5:AU9))</f>
        <v/>
      </c>
      <c r="BJ5" s="92">
        <f>IF( OR(ISBLANK(N5:N9),ISBLANK(AL5:AL9), ISBLANK(X5:X9),ISBLANK(AV5:AV9)), "·", bdRateExtend( N5:N9,X5:X9, AL5:AL9,AV5:AV9))</f>
        <v/>
      </c>
      <c r="BK5" s="92">
        <f>IF( OR(ISBLANK(V5:V9),ISBLANK(AT5:AT9), ISBLANK(Y5:Y9),ISBLANK(AW5:AW9)), "·", bdRateExtend( V5:V9,Y5:Y9, AT5:AT9,AW5:AW9))</f>
        <v/>
      </c>
      <c r="BL5" s="92">
        <f>IF( OR(ISBLANK(V5:V9),ISBLANK(AT5:AT9), ISBLANK(Z5:Z9),ISBLANK(AX5:AX9)), "·", bdRateExtend( V5:V9,Z5:Z9, AT5:AT9,AX5:AX9))</f>
        <v/>
      </c>
      <c r="BM5" s="92">
        <f>IF( OR(ISBLANK(V5:V9),ISBLANK(AT5:AT9), ISBLANK(AA5:AA9),ISBLANK(AY5:AY9)), "·", bdRateExtend( V5:V9,AA5:AA9, AT5:AT9,AY5:AY9))</f>
        <v/>
      </c>
      <c r="BO5" s="92">
        <f>IF( OR(ISBLANK(S5:S9),ISBLANK(AQ5:AQ9), ISBLANK(W5:W9),ISBLANK(AU5:AU9)), "·", bdRateExtend( S5:S9,W5:W9, AQ5:AQ9,AU5:AU9))</f>
        <v/>
      </c>
      <c r="BP5" s="92">
        <f>IF( OR(ISBLANK(S5:S9),ISBLANK(AQ5:AQ9), ISBLANK(X5:X9),ISBLANK(AV5:AV9)), "·", bdRateExtend( S5:S9,X5:X9, AQ5:AQ9,AV5:AV9))</f>
        <v/>
      </c>
      <c r="BQ5" s="92">
        <f>IF( OR(ISBLANK(S5:S9),ISBLANK(AQ5:AQ9), ISBLANK(Y5:Y9),ISBLANK(AW5:AW9)), "·", bdRateExtend( S5:S9,Y5:Y9, AQ5:AQ9,AW5:AW9))</f>
        <v/>
      </c>
      <c r="BR5" s="92">
        <f>IF( OR(ISBLANK(S5:S9),ISBLANK(AQ5:AQ9), ISBLANK(Z5:Z9),ISBLANK(AX5:AX9)), "·", bdRateExtend( S5:S9,Z5:Z9, AQ5:AQ9,AX5:AX9))</f>
        <v/>
      </c>
      <c r="BS5" s="92">
        <f>IF( OR(ISBLANK(S5:S9),ISBLANK(AQ5:AQ9), ISBLANK(AA5:AA9),ISBLANK(AY5:AY9)), "·", bdRateExtend( S5:S9,AA5:AA9, AQ5:AQ9,AY5:AY9))</f>
        <v/>
      </c>
    </row>
    <row outlineLevel="1" r="6" s="4">
      <c r="A6" s="82" t="n"/>
      <c r="B6" s="82" t="inlineStr">
        <is>
          <t>8ivfbv2_loot_vox10</t>
        </is>
      </c>
      <c r="C6" s="26" t="inlineStr">
        <is>
          <t>r02</t>
        </is>
      </c>
      <c r="D6" s="82" t="n">
        <v>238146391</v>
      </c>
      <c r="E6" s="26" t="n">
        <v>10</v>
      </c>
      <c r="F6" s="26" t="n">
        <v>32</v>
      </c>
      <c r="G6" s="26" t="n">
        <v>30</v>
      </c>
      <c r="I6" s="27">
        <f>IF(OR(ISBLANK(S6),ISBLANK(G6)),"·",S6*G6/F6/1000000)</f>
        <v/>
      </c>
      <c r="J6" s="28">
        <f>IF(ISBLANK(S6),"·",S6/D6)</f>
        <v/>
      </c>
      <c r="K6" s="28">
        <f>IF(N6="","·",N6/D6)</f>
        <v/>
      </c>
      <c r="L6" s="28">
        <f>IF(T6="","·",T6/D6)</f>
        <v/>
      </c>
      <c r="M6" s="28">
        <f>IF(ISBLANK(V6),"·",V6/D6)</f>
        <v/>
      </c>
      <c r="N6" s="82">
        <f>IF(OR(ISBLANK(T6),ISBLANK(U6)),"",T6+U6)</f>
        <v/>
      </c>
      <c r="O6" s="28" t="n">
        <v>16</v>
      </c>
      <c r="P6" s="29" t="n">
        <v>24771760</v>
      </c>
      <c r="Q6" s="29" t="n">
        <v>774117.5</v>
      </c>
      <c r="R6" s="29" t="n">
        <v>20008.375</v>
      </c>
      <c r="S6" s="30" t="n">
        <v>1700768</v>
      </c>
      <c r="T6" s="30" t="n">
        <v>879952</v>
      </c>
      <c r="U6" s="30" t="n">
        <v>443096</v>
      </c>
      <c r="V6" s="30" t="n">
        <v>377592</v>
      </c>
      <c r="W6" s="31" t="n">
        <v>68.4840875</v>
      </c>
      <c r="X6" s="31" t="n">
        <v>70.47016875</v>
      </c>
      <c r="Y6" s="31" t="n">
        <v>33.79880625</v>
      </c>
      <c r="Z6" s="31" t="n">
        <v>45.36506875</v>
      </c>
      <c r="AA6" s="31" t="n">
        <v>44.907209375</v>
      </c>
      <c r="AB6" s="32" t="n">
        <v>3461.04</v>
      </c>
      <c r="AC6" s="32" t="n">
        <v>3409.05</v>
      </c>
      <c r="AD6" s="32" t="n">
        <v>5.234</v>
      </c>
      <c r="AE6" s="32" t="n">
        <v>18.153</v>
      </c>
      <c r="AG6" s="27">
        <f>IF(OR(ISBLANK(AQ6),ISBLANK(G6)),"·",AQ6*G6/F6/1000000)</f>
        <v/>
      </c>
      <c r="AH6" s="28">
        <f>IF(ISBLANK(AQ6),"·",AQ6/D6)</f>
        <v/>
      </c>
      <c r="AI6" s="28">
        <f>IF(AL6="","·",AL6/D6)</f>
        <v/>
      </c>
      <c r="AJ6" s="28">
        <f>IF(AR6="","·",AR6/D6)</f>
        <v/>
      </c>
      <c r="AK6" s="28">
        <f>IF(ISBLANK(AT6),"·",AT6/D6)</f>
        <v/>
      </c>
      <c r="AL6" s="82">
        <f>IF(OR(ISBLANK(AR6),ISBLANK(AS6)),"",AR6+AS6)</f>
        <v/>
      </c>
      <c r="AM6" s="28" t="n">
        <v>16</v>
      </c>
      <c r="AN6" s="29" t="n">
        <v>24771760</v>
      </c>
      <c r="AO6" s="29" t="n">
        <v>774117.5</v>
      </c>
      <c r="AP6" s="29" t="n">
        <v>20008.375</v>
      </c>
      <c r="AQ6" s="30" t="n">
        <v>1700768</v>
      </c>
      <c r="AR6" s="30" t="n">
        <v>879952</v>
      </c>
      <c r="AS6" s="30" t="n">
        <v>443096</v>
      </c>
      <c r="AT6" s="30" t="n">
        <v>377592</v>
      </c>
      <c r="AU6" s="31" t="n">
        <v>68.4840875</v>
      </c>
      <c r="AV6" s="31" t="n">
        <v>70.47016875</v>
      </c>
      <c r="AW6" s="31" t="n">
        <v>33.79880625</v>
      </c>
      <c r="AX6" s="31" t="n">
        <v>45.36506875</v>
      </c>
      <c r="AY6" s="31" t="n">
        <v>44.907209375</v>
      </c>
      <c r="AZ6" s="32" t="n">
        <v>3632.72</v>
      </c>
      <c r="BA6" s="32" t="n">
        <v>3390.27</v>
      </c>
      <c r="BB6" s="32" t="n">
        <v>5.08</v>
      </c>
      <c r="BC6" s="32" t="n">
        <v>17.483</v>
      </c>
      <c r="BE6" s="33">
        <f>(AP6/AO6) - (R6/Q6)</f>
        <v/>
      </c>
      <c r="BF6" s="33">
        <f>(AL6/AQ6) - (N6/S6)</f>
        <v/>
      </c>
      <c r="BG6" s="33" t="n"/>
      <c r="BI6" s="84" t="n"/>
      <c r="BJ6" s="84" t="n"/>
      <c r="BK6" s="84" t="n"/>
      <c r="BL6" s="84" t="n"/>
      <c r="BM6" s="84" t="n"/>
      <c r="BO6" s="84" t="n"/>
      <c r="BP6" s="84" t="n"/>
      <c r="BQ6" s="84" t="n"/>
      <c r="BR6" s="84" t="n"/>
      <c r="BS6" s="84" t="n"/>
    </row>
    <row outlineLevel="1" r="7" s="4">
      <c r="A7" s="90" t="n"/>
      <c r="B7" s="90" t="inlineStr">
        <is>
          <t>8ivfbv2_loot_vox10</t>
        </is>
      </c>
      <c r="C7" s="16" t="inlineStr">
        <is>
          <t>r03</t>
        </is>
      </c>
      <c r="D7" s="90" t="n">
        <v>238146391</v>
      </c>
      <c r="E7" s="16" t="n">
        <v>10</v>
      </c>
      <c r="F7" s="16" t="n">
        <v>32</v>
      </c>
      <c r="G7" s="16" t="n">
        <v>30</v>
      </c>
      <c r="I7" s="17">
        <f>IF(OR(ISBLANK(S7),ISBLANK(G7)),"·",S7*G7/F7/1000000)</f>
        <v/>
      </c>
      <c r="J7" s="18">
        <f>IF(ISBLANK(S7),"·",S7/D7)</f>
        <v/>
      </c>
      <c r="K7" s="18">
        <f>IF(N7="","·",N7/D7)</f>
        <v/>
      </c>
      <c r="L7" s="18">
        <f>IF(T7="","·",T7/D7)</f>
        <v/>
      </c>
      <c r="M7" s="18">
        <f>IF(ISBLANK(V7),"·",V7/D7)</f>
        <v/>
      </c>
      <c r="N7" s="90">
        <f>IF(OR(ISBLANK(T7),ISBLANK(U7)),"",T7+U7)</f>
        <v/>
      </c>
      <c r="O7" s="18" t="n">
        <v>16</v>
      </c>
      <c r="P7" s="19" t="n">
        <v>24950327</v>
      </c>
      <c r="Q7" s="19" t="n">
        <v>779697.71875</v>
      </c>
      <c r="R7" s="19" t="n">
        <v>21339.03125</v>
      </c>
      <c r="S7" s="20" t="n">
        <v>2333880</v>
      </c>
      <c r="T7" s="20" t="n">
        <v>1173728</v>
      </c>
      <c r="U7" s="20" t="n">
        <v>443096</v>
      </c>
      <c r="V7" s="20" t="n">
        <v>716928</v>
      </c>
      <c r="W7" s="21" t="n">
        <v>69.81380312500001</v>
      </c>
      <c r="X7" s="21" t="n">
        <v>72.14883437500001</v>
      </c>
      <c r="Y7" s="21" t="n">
        <v>36.26318125</v>
      </c>
      <c r="Z7" s="21" t="n">
        <v>46.8651375</v>
      </c>
      <c r="AA7" s="21" t="n">
        <v>46.592928125</v>
      </c>
      <c r="AB7" s="22" t="n">
        <v>3297.9</v>
      </c>
      <c r="AC7" s="22" t="n">
        <v>3540.22</v>
      </c>
      <c r="AD7" s="22" t="n">
        <v>5.083</v>
      </c>
      <c r="AE7" s="22" t="n">
        <v>17.717</v>
      </c>
      <c r="AG7" s="17">
        <f>IF(OR(ISBLANK(AQ7),ISBLANK(G7)),"·",AQ7*G7/F7/1000000)</f>
        <v/>
      </c>
      <c r="AH7" s="18">
        <f>IF(ISBLANK(AQ7),"·",AQ7/D7)</f>
        <v/>
      </c>
      <c r="AI7" s="18">
        <f>IF(AL7="","·",AL7/D7)</f>
        <v/>
      </c>
      <c r="AJ7" s="18">
        <f>IF(AR7="","·",AR7/D7)</f>
        <v/>
      </c>
      <c r="AK7" s="18">
        <f>IF(ISBLANK(AT7),"·",AT7/D7)</f>
        <v/>
      </c>
      <c r="AL7" s="90">
        <f>IF(OR(ISBLANK(AR7),ISBLANK(AS7)),"",AR7+AS7)</f>
        <v/>
      </c>
      <c r="AM7" s="18" t="n">
        <v>16</v>
      </c>
      <c r="AN7" s="19" t="n">
        <v>24950327</v>
      </c>
      <c r="AO7" s="19" t="n">
        <v>779697.71875</v>
      </c>
      <c r="AP7" s="19" t="n">
        <v>21339.03125</v>
      </c>
      <c r="AQ7" s="20" t="n">
        <v>2333880</v>
      </c>
      <c r="AR7" s="20" t="n">
        <v>1173728</v>
      </c>
      <c r="AS7" s="20" t="n">
        <v>443096</v>
      </c>
      <c r="AT7" s="20" t="n">
        <v>716928</v>
      </c>
      <c r="AU7" s="21" t="n">
        <v>69.81380312500001</v>
      </c>
      <c r="AV7" s="21" t="n">
        <v>72.14883437500001</v>
      </c>
      <c r="AW7" s="21" t="n">
        <v>36.26318125</v>
      </c>
      <c r="AX7" s="21" t="n">
        <v>46.8651375</v>
      </c>
      <c r="AY7" s="21" t="n">
        <v>46.592928125</v>
      </c>
      <c r="AZ7" s="22" t="n">
        <v>3634.18</v>
      </c>
      <c r="BA7" s="22" t="n">
        <v>3608.99</v>
      </c>
      <c r="BB7" s="22" t="n">
        <v>5.128</v>
      </c>
      <c r="BC7" s="22" t="n">
        <v>17.708</v>
      </c>
      <c r="BE7" s="23">
        <f>(AP7/AO7) - (R7/Q7)</f>
        <v/>
      </c>
      <c r="BF7" s="23">
        <f>(AL7/AQ7) - (N7/S7)</f>
        <v/>
      </c>
      <c r="BG7" s="23" t="n"/>
      <c r="BI7" s="92" t="n"/>
      <c r="BJ7" s="92" t="n"/>
      <c r="BK7" s="92" t="n"/>
      <c r="BL7" s="92" t="n"/>
      <c r="BM7" s="92" t="n"/>
      <c r="BO7" s="92" t="n"/>
      <c r="BP7" s="92" t="n"/>
      <c r="BQ7" s="92" t="n"/>
      <c r="BR7" s="92" t="n"/>
      <c r="BS7" s="92" t="n"/>
    </row>
    <row outlineLevel="1" r="8" s="4">
      <c r="A8" s="82" t="n"/>
      <c r="B8" s="82" t="inlineStr">
        <is>
          <t>8ivfbv2_loot_vox10</t>
        </is>
      </c>
      <c r="C8" s="26" t="inlineStr">
        <is>
          <t>r04</t>
        </is>
      </c>
      <c r="D8" s="82" t="n">
        <v>238146391</v>
      </c>
      <c r="E8" s="26" t="n">
        <v>10</v>
      </c>
      <c r="F8" s="26" t="n">
        <v>32</v>
      </c>
      <c r="G8" s="26" t="n">
        <v>30</v>
      </c>
      <c r="I8" s="27">
        <f>IF(OR(ISBLANK(S8),ISBLANK(G8)),"·",S8*G8/F8/1000000)</f>
        <v/>
      </c>
      <c r="J8" s="28">
        <f>IF(ISBLANK(S8),"·",S8/D8)</f>
        <v/>
      </c>
      <c r="K8" s="28">
        <f>IF(N8="","·",N8/D8)</f>
        <v/>
      </c>
      <c r="L8" s="28">
        <f>IF(T8="","·",T8/D8)</f>
        <v/>
      </c>
      <c r="M8" s="28">
        <f>IF(ISBLANK(V8),"·",V8/D8)</f>
        <v/>
      </c>
      <c r="N8" s="82">
        <f>IF(OR(ISBLANK(T8),ISBLANK(U8)),"",T8+U8)</f>
        <v/>
      </c>
      <c r="O8" s="28" t="n">
        <v>16</v>
      </c>
      <c r="P8" s="29" t="n">
        <v>26043919</v>
      </c>
      <c r="Q8" s="29" t="n">
        <v>813872.46875</v>
      </c>
      <c r="R8" s="29" t="n">
        <v>24933.6875</v>
      </c>
      <c r="S8" s="30" t="n">
        <v>3822888</v>
      </c>
      <c r="T8" s="30" t="n">
        <v>1808576</v>
      </c>
      <c r="U8" s="30" t="n">
        <v>443096</v>
      </c>
      <c r="V8" s="30" t="n">
        <v>1571088</v>
      </c>
      <c r="W8" s="31" t="n">
        <v>70.79770625</v>
      </c>
      <c r="X8" s="31" t="n">
        <v>73.33115625000001</v>
      </c>
      <c r="Y8" s="31" t="n">
        <v>38.72625</v>
      </c>
      <c r="Z8" s="31" t="n">
        <v>48.146503125</v>
      </c>
      <c r="AA8" s="31" t="n">
        <v>48.0468625</v>
      </c>
      <c r="AB8" s="32" t="n">
        <v>3287.4</v>
      </c>
      <c r="AC8" s="32" t="n">
        <v>3758.85</v>
      </c>
      <c r="AD8" s="32" t="n">
        <v>5.13</v>
      </c>
      <c r="AE8" s="32" t="n">
        <v>18.095</v>
      </c>
      <c r="AG8" s="27">
        <f>IF(OR(ISBLANK(AQ8),ISBLANK(G8)),"·",AQ8*G8/F8/1000000)</f>
        <v/>
      </c>
      <c r="AH8" s="28">
        <f>IF(ISBLANK(AQ8),"·",AQ8/D8)</f>
        <v/>
      </c>
      <c r="AI8" s="28">
        <f>IF(AL8="","·",AL8/D8)</f>
        <v/>
      </c>
      <c r="AJ8" s="28">
        <f>IF(AR8="","·",AR8/D8)</f>
        <v/>
      </c>
      <c r="AK8" s="28">
        <f>IF(ISBLANK(AT8),"·",AT8/D8)</f>
        <v/>
      </c>
      <c r="AL8" s="82">
        <f>IF(OR(ISBLANK(AR8),ISBLANK(AS8)),"",AR8+AS8)</f>
        <v/>
      </c>
      <c r="AM8" s="28" t="n">
        <v>16</v>
      </c>
      <c r="AN8" s="29" t="n">
        <v>26043919</v>
      </c>
      <c r="AO8" s="29" t="n">
        <v>813872.46875</v>
      </c>
      <c r="AP8" s="29" t="n">
        <v>24933.6875</v>
      </c>
      <c r="AQ8" s="30" t="n">
        <v>3822888</v>
      </c>
      <c r="AR8" s="30" t="n">
        <v>1808576</v>
      </c>
      <c r="AS8" s="30" t="n">
        <v>443096</v>
      </c>
      <c r="AT8" s="30" t="n">
        <v>1571088</v>
      </c>
      <c r="AU8" s="31" t="n">
        <v>70.79770625</v>
      </c>
      <c r="AV8" s="31" t="n">
        <v>73.33115625000001</v>
      </c>
      <c r="AW8" s="31" t="n">
        <v>38.72625</v>
      </c>
      <c r="AX8" s="31" t="n">
        <v>48.146503125</v>
      </c>
      <c r="AY8" s="31" t="n">
        <v>48.0468625</v>
      </c>
      <c r="AZ8" s="32" t="n">
        <v>3573.41</v>
      </c>
      <c r="BA8" s="32" t="n">
        <v>3918.43</v>
      </c>
      <c r="BB8" s="32" t="n">
        <v>5.251</v>
      </c>
      <c r="BC8" s="32" t="n">
        <v>18.291</v>
      </c>
      <c r="BE8" s="33">
        <f>(AP8/AO8) - (R8/Q8)</f>
        <v/>
      </c>
      <c r="BF8" s="33">
        <f>(AL8/AQ8) - (N8/S8)</f>
        <v/>
      </c>
      <c r="BG8" s="33" t="n"/>
      <c r="BI8" s="84" t="n"/>
      <c r="BJ8" s="84" t="n"/>
      <c r="BK8" s="84" t="n"/>
      <c r="BL8" s="84" t="n"/>
      <c r="BM8" s="84" t="n"/>
      <c r="BO8" s="84" t="n"/>
      <c r="BP8" s="84" t="n"/>
      <c r="BQ8" s="84" t="n"/>
      <c r="BR8" s="84" t="n"/>
      <c r="BS8" s="84" t="n"/>
    </row>
    <row outlineLevel="1" r="9" s="4">
      <c r="A9" s="90" t="n"/>
      <c r="B9" s="35" t="inlineStr">
        <is>
          <t>8ivfbv2_loot_vox10</t>
        </is>
      </c>
      <c r="C9" s="36" t="inlineStr">
        <is>
          <t>r05</t>
        </is>
      </c>
      <c r="D9" s="35" t="n">
        <v>238146391</v>
      </c>
      <c r="E9" s="36" t="n">
        <v>10</v>
      </c>
      <c r="F9" s="36" t="n">
        <v>32</v>
      </c>
      <c r="G9" s="36" t="n">
        <v>30</v>
      </c>
      <c r="I9" s="37">
        <f>IF(OR(ISBLANK(S9),ISBLANK(G9)),"·",S9*G9/F9/1000000)</f>
        <v/>
      </c>
      <c r="J9" s="38">
        <f>IF(ISBLANK(S9),"·",S9/D9)</f>
        <v/>
      </c>
      <c r="K9" s="38">
        <f>IF(N9="","·",N9/D9)</f>
        <v/>
      </c>
      <c r="L9" s="38">
        <f>IF(T9="","·",T9/D9)</f>
        <v/>
      </c>
      <c r="M9" s="38">
        <f>IF(ISBLANK(V9),"·",V9/D9)</f>
        <v/>
      </c>
      <c r="N9" s="35">
        <f>IF(OR(ISBLANK(T9),ISBLANK(U9)),"",T9+U9)</f>
        <v/>
      </c>
      <c r="O9" s="38" t="n">
        <v>16</v>
      </c>
      <c r="P9" s="39" t="n">
        <v>25040643</v>
      </c>
      <c r="Q9" s="39" t="n">
        <v>782520.09375</v>
      </c>
      <c r="R9" s="39" t="n">
        <v>10525.34375</v>
      </c>
      <c r="S9" s="40" t="n">
        <v>8100752</v>
      </c>
      <c r="T9" s="40" t="n">
        <v>2928576</v>
      </c>
      <c r="U9" s="40" t="n">
        <v>923792</v>
      </c>
      <c r="V9" s="40" t="n">
        <v>4248256</v>
      </c>
      <c r="W9" s="41" t="n">
        <v>72.0469125</v>
      </c>
      <c r="X9" s="41" t="n">
        <v>75.23998437500001</v>
      </c>
      <c r="Y9" s="41" t="n">
        <v>41.158309375</v>
      </c>
      <c r="Z9" s="41" t="n">
        <v>49.56608125</v>
      </c>
      <c r="AA9" s="41" t="n">
        <v>49.604275</v>
      </c>
      <c r="AB9" s="42" t="n">
        <v>3299.59</v>
      </c>
      <c r="AC9" s="42" t="n">
        <v>4211.88</v>
      </c>
      <c r="AD9" s="42" t="n">
        <v>5.121</v>
      </c>
      <c r="AE9" s="42" t="n">
        <v>19.853</v>
      </c>
      <c r="AG9" s="37">
        <f>IF(OR(ISBLANK(AQ9),ISBLANK(G9)),"·",AQ9*G9/F9/1000000)</f>
        <v/>
      </c>
      <c r="AH9" s="38">
        <f>IF(ISBLANK(AQ9),"·",AQ9/D9)</f>
        <v/>
      </c>
      <c r="AI9" s="38">
        <f>IF(AL9="","·",AL9/D9)</f>
        <v/>
      </c>
      <c r="AJ9" s="38">
        <f>IF(AR9="","·",AR9/D9)</f>
        <v/>
      </c>
      <c r="AK9" s="38">
        <f>IF(ISBLANK(AT9),"·",AT9/D9)</f>
        <v/>
      </c>
      <c r="AL9" s="35">
        <f>IF(OR(ISBLANK(AR9),ISBLANK(AS9)),"",AR9+AS9)</f>
        <v/>
      </c>
      <c r="AM9" s="38" t="n">
        <v>16</v>
      </c>
      <c r="AN9" s="39" t="n">
        <v>25040643</v>
      </c>
      <c r="AO9" s="39" t="n">
        <v>782520.09375</v>
      </c>
      <c r="AP9" s="39" t="n">
        <v>10525.34375</v>
      </c>
      <c r="AQ9" s="40" t="n">
        <v>8100752</v>
      </c>
      <c r="AR9" s="40" t="n">
        <v>2928576</v>
      </c>
      <c r="AS9" s="40" t="n">
        <v>923792</v>
      </c>
      <c r="AT9" s="40" t="n">
        <v>4248256</v>
      </c>
      <c r="AU9" s="41" t="n">
        <v>72.0469125</v>
      </c>
      <c r="AV9" s="41" t="n">
        <v>75.23998437500001</v>
      </c>
      <c r="AW9" s="41" t="n">
        <v>41.158309375</v>
      </c>
      <c r="AX9" s="41" t="n">
        <v>49.56608125</v>
      </c>
      <c r="AY9" s="41" t="n">
        <v>49.604275</v>
      </c>
      <c r="AZ9" s="42" t="n">
        <v>3546.64</v>
      </c>
      <c r="BA9" s="42" t="n">
        <v>4350.66</v>
      </c>
      <c r="BB9" s="42" t="n">
        <v>5.12</v>
      </c>
      <c r="BC9" s="42" t="n">
        <v>19.685</v>
      </c>
      <c r="BE9" s="43">
        <f>(AP9/AO9) - (R9/Q9)</f>
        <v/>
      </c>
      <c r="BF9" s="43">
        <f>(AL9/AQ9) - (N9/S9)</f>
        <v/>
      </c>
      <c r="BG9" s="43" t="n"/>
      <c r="BI9" s="44" t="n"/>
      <c r="BJ9" s="44" t="n"/>
      <c r="BK9" s="44" t="n"/>
      <c r="BL9" s="44" t="n"/>
      <c r="BM9" s="44" t="n"/>
      <c r="BO9" s="44" t="n"/>
      <c r="BP9" s="44" t="n"/>
      <c r="BQ9" s="44" t="n"/>
      <c r="BR9" s="44" t="n"/>
      <c r="BS9" s="44" t="n"/>
    </row>
    <row r="10">
      <c r="A10" s="82" t="n"/>
      <c r="B10" s="82" t="inlineStr">
        <is>
          <t>8ivfbv2_redandblack_vox10</t>
        </is>
      </c>
      <c r="C10" s="26" t="inlineStr">
        <is>
          <t>r01</t>
        </is>
      </c>
      <c r="D10" s="82" t="n">
        <v>218121242</v>
      </c>
      <c r="E10" s="26" t="n">
        <v>10</v>
      </c>
      <c r="F10" s="26" t="n">
        <v>32</v>
      </c>
      <c r="G10" s="26" t="n">
        <v>30</v>
      </c>
      <c r="I10" s="27">
        <f>IF(OR(ISBLANK(S10),ISBLANK(G10)),"·",S10*G10/F10/1000000)</f>
        <v/>
      </c>
      <c r="J10" s="28">
        <f>IF(ISBLANK(S10),"·",S10/D10)</f>
        <v/>
      </c>
      <c r="K10" s="28">
        <f>IF(N10="","·",N10/D10)</f>
        <v/>
      </c>
      <c r="L10" s="28">
        <f>IF(T10="","·",T10/D10)</f>
        <v/>
      </c>
      <c r="M10" s="28">
        <f>IF(ISBLANK(V10),"·",V10/D10)</f>
        <v/>
      </c>
      <c r="N10" s="82">
        <f>IF(OR(ISBLANK(T10),ISBLANK(U10)),"",T10+U10)</f>
        <v/>
      </c>
      <c r="O10" s="28" t="n">
        <v>16</v>
      </c>
      <c r="P10" s="29" t="n">
        <v>20922161</v>
      </c>
      <c r="Q10" s="29" t="n">
        <v>653817.53125</v>
      </c>
      <c r="R10" s="29" t="n">
        <v>19494.9375</v>
      </c>
      <c r="S10" s="30" t="n">
        <v>2245248</v>
      </c>
      <c r="T10" s="30" t="n">
        <v>894712</v>
      </c>
      <c r="U10" s="30" t="n">
        <v>741832</v>
      </c>
      <c r="V10" s="30" t="n">
        <v>608576</v>
      </c>
      <c r="W10" s="31" t="n">
        <v>65.96427187499999</v>
      </c>
      <c r="X10" s="31" t="n">
        <v>67.86496875</v>
      </c>
      <c r="Y10" s="31" t="n">
        <v>31.11000625</v>
      </c>
      <c r="Z10" s="31" t="n">
        <v>38.60944375</v>
      </c>
      <c r="AA10" s="31" t="n">
        <v>30.07931875</v>
      </c>
      <c r="AB10" s="32" t="n">
        <v>3545.89</v>
      </c>
      <c r="AC10" s="32" t="n">
        <v>4303.02</v>
      </c>
      <c r="AD10" s="32" t="n">
        <v>4.804</v>
      </c>
      <c r="AE10" s="32" t="n">
        <v>22.529</v>
      </c>
      <c r="AG10" s="27">
        <f>IF(OR(ISBLANK(AQ10),ISBLANK(G10)),"·",AQ10*G10/F10/1000000)</f>
        <v/>
      </c>
      <c r="AH10" s="28">
        <f>IF(ISBLANK(AQ10),"·",AQ10/D10)</f>
        <v/>
      </c>
      <c r="AI10" s="28">
        <f>IF(AL10="","·",AL10/D10)</f>
        <v/>
      </c>
      <c r="AJ10" s="28">
        <f>IF(AR10="","·",AR10/D10)</f>
        <v/>
      </c>
      <c r="AK10" s="28">
        <f>IF(ISBLANK(AT10),"·",AT10/D10)</f>
        <v/>
      </c>
      <c r="AL10" s="82">
        <f>IF(OR(ISBLANK(AR10),ISBLANK(AS10)),"",AR10+AS10)</f>
        <v/>
      </c>
      <c r="AM10" s="28" t="n">
        <v>16</v>
      </c>
      <c r="AN10" s="29" t="n">
        <v>20922161</v>
      </c>
      <c r="AO10" s="29" t="n">
        <v>653817.53125</v>
      </c>
      <c r="AP10" s="29" t="n">
        <v>19494.9375</v>
      </c>
      <c r="AQ10" s="30" t="n">
        <v>2245248</v>
      </c>
      <c r="AR10" s="30" t="n">
        <v>894712</v>
      </c>
      <c r="AS10" s="30" t="n">
        <v>741832</v>
      </c>
      <c r="AT10" s="30" t="n">
        <v>608576</v>
      </c>
      <c r="AU10" s="31" t="n">
        <v>65.96427187499999</v>
      </c>
      <c r="AV10" s="31" t="n">
        <v>67.86496875</v>
      </c>
      <c r="AW10" s="31" t="n">
        <v>31.11000625</v>
      </c>
      <c r="AX10" s="31" t="n">
        <v>38.60944375</v>
      </c>
      <c r="AY10" s="31" t="n">
        <v>30.07931875</v>
      </c>
      <c r="AZ10" s="32" t="n">
        <v>3797.06</v>
      </c>
      <c r="BA10" s="32" t="n">
        <v>4452.27</v>
      </c>
      <c r="BB10" s="32" t="n">
        <v>4.848</v>
      </c>
      <c r="BC10" s="32" t="n">
        <v>22.479</v>
      </c>
      <c r="BE10" s="33">
        <f>(AP10/AO10) - (R10/Q10)</f>
        <v/>
      </c>
      <c r="BF10" s="33">
        <f>(AL10/AQ10) - (N10/S10)</f>
        <v/>
      </c>
      <c r="BG10" s="33">
        <f ref="BG10" t="array">AVERAGE(AL10:AL14/AQ10:AQ14) - AVERAGE(N10:N14/S10:S14)</f>
        <v/>
      </c>
      <c r="BI10" s="84">
        <f>IF( OR(ISBLANK(N10:N14),ISBLANK(AL10:AL14), ISBLANK(W10:W14),ISBLANK(AU10:AU14)), "·", bdRateExtend( N10:N14,W10:W14, AL10:AL14,AU10:AU14))</f>
        <v/>
      </c>
      <c r="BJ10" s="84">
        <f>IF( OR(ISBLANK(N10:N14),ISBLANK(AL10:AL14), ISBLANK(X10:X14),ISBLANK(AV10:AV14)), "·", bdRateExtend( N10:N14,X10:X14, AL10:AL14,AV10:AV14))</f>
        <v/>
      </c>
      <c r="BK10" s="84">
        <f>IF( OR(ISBLANK(V10:V14),ISBLANK(AT10:AT14), ISBLANK(Y10:Y14),ISBLANK(AW10:AW14)), "·", bdRateExtend( V10:V14,Y10:Y14, AT10:AT14,AW10:AW14))</f>
        <v/>
      </c>
      <c r="BL10" s="84">
        <f>IF( OR(ISBLANK(V10:V14),ISBLANK(AT10:AT14), ISBLANK(Z10:Z14),ISBLANK(AX10:AX14)), "·", bdRateExtend( V10:V14,Z10:Z14, AT10:AT14,AX10:AX14))</f>
        <v/>
      </c>
      <c r="BM10" s="84">
        <f>IF( OR(ISBLANK(V10:V14),ISBLANK(AT10:AT14), ISBLANK(AA10:AA14),ISBLANK(AY10:AY14)), "·", bdRateExtend( V10:V14,AA10:AA14, AT10:AT14,AY10:AY14))</f>
        <v/>
      </c>
      <c r="BO10" s="84">
        <f>IF( OR(ISBLANK(S10:S14),ISBLANK(AQ10:AQ14), ISBLANK(W10:W14),ISBLANK(AU10:AU14)), "·", bdRateExtend( S10:S14,W10:W14, AQ10:AQ14,AU10:AU14))</f>
        <v/>
      </c>
      <c r="BP10" s="84">
        <f>IF( OR(ISBLANK(S10:S14),ISBLANK(AQ10:AQ14), ISBLANK(X10:X14),ISBLANK(AV10:AV14)), "·", bdRateExtend( S10:S14,X10:X14, AQ10:AQ14,AV10:AV14))</f>
        <v/>
      </c>
      <c r="BQ10" s="84">
        <f>IF( OR(ISBLANK(S10:S14),ISBLANK(AQ10:AQ14), ISBLANK(Y10:Y14),ISBLANK(AW10:AW14)), "·", bdRateExtend( S10:S14,Y10:Y14, AQ10:AQ14,AW10:AW14))</f>
        <v/>
      </c>
      <c r="BR10" s="84">
        <f>IF( OR(ISBLANK(S10:S14),ISBLANK(AQ10:AQ14), ISBLANK(Z10:Z14),ISBLANK(AX10:AX14)), "·", bdRateExtend( S10:S14,Z10:Z14, AQ10:AQ14,AX10:AX14))</f>
        <v/>
      </c>
      <c r="BS10" s="84">
        <f>IF( OR(ISBLANK(S10:S14),ISBLANK(AQ10:AQ14), ISBLANK(AA10:AA14),ISBLANK(AY10:AY14)), "·", bdRateExtend( S10:S14,AA10:AA14, AQ10:AQ14,AY10:AY14))</f>
        <v/>
      </c>
    </row>
    <row outlineLevel="1" r="11" s="4">
      <c r="A11" s="90" t="n"/>
      <c r="B11" s="90" t="inlineStr">
        <is>
          <t>8ivfbv2_redandblack_vox10</t>
        </is>
      </c>
      <c r="C11" s="16" t="inlineStr">
        <is>
          <t>r02</t>
        </is>
      </c>
      <c r="D11" s="90" t="n">
        <v>218121242</v>
      </c>
      <c r="E11" s="16" t="n">
        <v>10</v>
      </c>
      <c r="F11" s="16" t="n">
        <v>32</v>
      </c>
      <c r="G11" s="16" t="n">
        <v>30</v>
      </c>
      <c r="I11" s="17">
        <f>IF(OR(ISBLANK(S11),ISBLANK(G11)),"·",S11*G11/F11/1000000)</f>
        <v/>
      </c>
      <c r="J11" s="18">
        <f>IF(ISBLANK(S11),"·",S11/D11)</f>
        <v/>
      </c>
      <c r="K11" s="18">
        <f>IF(N11="","·",N11/D11)</f>
        <v/>
      </c>
      <c r="L11" s="18">
        <f>IF(T11="","·",T11/D11)</f>
        <v/>
      </c>
      <c r="M11" s="18">
        <f>IF(ISBLANK(V11),"·",V11/D11)</f>
        <v/>
      </c>
      <c r="N11" s="90">
        <f>IF(OR(ISBLANK(T11),ISBLANK(U11)),"",T11+U11)</f>
        <v/>
      </c>
      <c r="O11" s="18" t="n">
        <v>16</v>
      </c>
      <c r="P11" s="19" t="n">
        <v>22420610</v>
      </c>
      <c r="Q11" s="19" t="n">
        <v>700644.0625</v>
      </c>
      <c r="R11" s="19" t="n">
        <v>24865.21875</v>
      </c>
      <c r="S11" s="20" t="n">
        <v>3042136</v>
      </c>
      <c r="T11" s="20" t="n">
        <v>1233376</v>
      </c>
      <c r="U11" s="20" t="n">
        <v>741832</v>
      </c>
      <c r="V11" s="20" t="n">
        <v>1066800</v>
      </c>
      <c r="W11" s="21" t="n">
        <v>67.688396875</v>
      </c>
      <c r="X11" s="21" t="n">
        <v>69.747328125</v>
      </c>
      <c r="Y11" s="21" t="n">
        <v>32.972578125</v>
      </c>
      <c r="Z11" s="21" t="n">
        <v>39.67699375</v>
      </c>
      <c r="AA11" s="21" t="n">
        <v>32.356859375</v>
      </c>
      <c r="AB11" s="22" t="n">
        <v>3563.53</v>
      </c>
      <c r="AC11" s="22" t="n">
        <v>4540.72</v>
      </c>
      <c r="AD11" s="22" t="n">
        <v>4.826</v>
      </c>
      <c r="AE11" s="22" t="n">
        <v>22.583</v>
      </c>
      <c r="AG11" s="17">
        <f>IF(OR(ISBLANK(AQ11),ISBLANK(G11)),"·",AQ11*G11/F11/1000000)</f>
        <v/>
      </c>
      <c r="AH11" s="18">
        <f>IF(ISBLANK(AQ11),"·",AQ11/D11)</f>
        <v/>
      </c>
      <c r="AI11" s="18">
        <f>IF(AL11="","·",AL11/D11)</f>
        <v/>
      </c>
      <c r="AJ11" s="18">
        <f>IF(AR11="","·",AR11/D11)</f>
        <v/>
      </c>
      <c r="AK11" s="18">
        <f>IF(ISBLANK(AT11),"·",AT11/D11)</f>
        <v/>
      </c>
      <c r="AL11" s="90">
        <f>IF(OR(ISBLANK(AR11),ISBLANK(AS11)),"",AR11+AS11)</f>
        <v/>
      </c>
      <c r="AM11" s="18" t="n">
        <v>16</v>
      </c>
      <c r="AN11" s="19" t="n">
        <v>22420610</v>
      </c>
      <c r="AO11" s="19" t="n">
        <v>700644.0625</v>
      </c>
      <c r="AP11" s="19" t="n">
        <v>24865.21875</v>
      </c>
      <c r="AQ11" s="20" t="n">
        <v>3042136</v>
      </c>
      <c r="AR11" s="20" t="n">
        <v>1233376</v>
      </c>
      <c r="AS11" s="20" t="n">
        <v>741832</v>
      </c>
      <c r="AT11" s="20" t="n">
        <v>1066800</v>
      </c>
      <c r="AU11" s="21" t="n">
        <v>67.688396875</v>
      </c>
      <c r="AV11" s="21" t="n">
        <v>69.747328125</v>
      </c>
      <c r="AW11" s="21" t="n">
        <v>32.972578125</v>
      </c>
      <c r="AX11" s="21" t="n">
        <v>39.67699375</v>
      </c>
      <c r="AY11" s="21" t="n">
        <v>32.356859375</v>
      </c>
      <c r="AZ11" s="22" t="n">
        <v>3585.23</v>
      </c>
      <c r="BA11" s="22" t="n">
        <v>4438.8</v>
      </c>
      <c r="BB11" s="22" t="n">
        <v>4.945</v>
      </c>
      <c r="BC11" s="22" t="n">
        <v>22.548</v>
      </c>
      <c r="BE11" s="23">
        <f>(AP11/AO11) - (R11/Q11)</f>
        <v/>
      </c>
      <c r="BF11" s="23">
        <f>(AL11/AQ11) - (N11/S11)</f>
        <v/>
      </c>
      <c r="BG11" s="23" t="n"/>
      <c r="BI11" s="92" t="n"/>
      <c r="BJ11" s="92" t="n"/>
      <c r="BK11" s="92" t="n"/>
      <c r="BL11" s="92" t="n"/>
      <c r="BM11" s="92" t="n"/>
      <c r="BO11" s="92" t="n"/>
      <c r="BP11" s="92" t="n"/>
      <c r="BQ11" s="92" t="n"/>
      <c r="BR11" s="92" t="n"/>
      <c r="BS11" s="92" t="n"/>
    </row>
    <row outlineLevel="1" r="12" s="4">
      <c r="A12" s="82" t="n"/>
      <c r="B12" s="82" t="inlineStr">
        <is>
          <t>8ivfbv2_redandblack_vox10</t>
        </is>
      </c>
      <c r="C12" s="26" t="inlineStr">
        <is>
          <t>r03</t>
        </is>
      </c>
      <c r="D12" s="82" t="n">
        <v>218121242</v>
      </c>
      <c r="E12" s="26" t="n">
        <v>10</v>
      </c>
      <c r="F12" s="26" t="n">
        <v>32</v>
      </c>
      <c r="G12" s="26" t="n">
        <v>30</v>
      </c>
      <c r="I12" s="27">
        <f>IF(OR(ISBLANK(S12),ISBLANK(G12)),"·",S12*G12/F12/1000000)</f>
        <v/>
      </c>
      <c r="J12" s="28">
        <f>IF(ISBLANK(S12),"·",S12/D12)</f>
        <v/>
      </c>
      <c r="K12" s="28">
        <f>IF(N12="","·",N12/D12)</f>
        <v/>
      </c>
      <c r="L12" s="28">
        <f>IF(T12="","·",T12/D12)</f>
        <v/>
      </c>
      <c r="M12" s="28">
        <f>IF(ISBLANK(V12),"·",V12/D12)</f>
        <v/>
      </c>
      <c r="N12" s="82">
        <f>IF(OR(ISBLANK(T12),ISBLANK(U12)),"",T12+U12)</f>
        <v/>
      </c>
      <c r="O12" s="28" t="n">
        <v>16</v>
      </c>
      <c r="P12" s="29" t="n">
        <v>22788844</v>
      </c>
      <c r="Q12" s="29" t="n">
        <v>712151.375</v>
      </c>
      <c r="R12" s="29" t="n">
        <v>26439.4375</v>
      </c>
      <c r="S12" s="30" t="n">
        <v>4294864</v>
      </c>
      <c r="T12" s="30" t="n">
        <v>1725808</v>
      </c>
      <c r="U12" s="30" t="n">
        <v>741832</v>
      </c>
      <c r="V12" s="30" t="n">
        <v>1827096</v>
      </c>
      <c r="W12" s="31" t="n">
        <v>69.049475</v>
      </c>
      <c r="X12" s="31" t="n">
        <v>71.393259375</v>
      </c>
      <c r="Y12" s="31" t="n">
        <v>35.019659375</v>
      </c>
      <c r="Z12" s="31" t="n">
        <v>40.725065625</v>
      </c>
      <c r="AA12" s="31" t="n">
        <v>34.284575</v>
      </c>
      <c r="AB12" s="32" t="n">
        <v>3582.81</v>
      </c>
      <c r="AC12" s="32" t="n">
        <v>4784.71</v>
      </c>
      <c r="AD12" s="32" t="n">
        <v>4.808</v>
      </c>
      <c r="AE12" s="32" t="n">
        <v>22.304</v>
      </c>
      <c r="AG12" s="27">
        <f>IF(OR(ISBLANK(AQ12),ISBLANK(G12)),"·",AQ12*G12/F12/1000000)</f>
        <v/>
      </c>
      <c r="AH12" s="28">
        <f>IF(ISBLANK(AQ12),"·",AQ12/D12)</f>
        <v/>
      </c>
      <c r="AI12" s="28">
        <f>IF(AL12="","·",AL12/D12)</f>
        <v/>
      </c>
      <c r="AJ12" s="28">
        <f>IF(AR12="","·",AR12/D12)</f>
        <v/>
      </c>
      <c r="AK12" s="28">
        <f>IF(ISBLANK(AT12),"·",AT12/D12)</f>
        <v/>
      </c>
      <c r="AL12" s="82">
        <f>IF(OR(ISBLANK(AR12),ISBLANK(AS12)),"",AR12+AS12)</f>
        <v/>
      </c>
      <c r="AM12" s="28" t="n">
        <v>16</v>
      </c>
      <c r="AN12" s="29" t="n">
        <v>22788844</v>
      </c>
      <c r="AO12" s="29" t="n">
        <v>712151.375</v>
      </c>
      <c r="AP12" s="29" t="n">
        <v>26439.4375</v>
      </c>
      <c r="AQ12" s="30" t="n">
        <v>4294864</v>
      </c>
      <c r="AR12" s="30" t="n">
        <v>1725808</v>
      </c>
      <c r="AS12" s="30" t="n">
        <v>741832</v>
      </c>
      <c r="AT12" s="30" t="n">
        <v>1827096</v>
      </c>
      <c r="AU12" s="31" t="n">
        <v>69.049475</v>
      </c>
      <c r="AV12" s="31" t="n">
        <v>71.393259375</v>
      </c>
      <c r="AW12" s="31" t="n">
        <v>35.019659375</v>
      </c>
      <c r="AX12" s="31" t="n">
        <v>40.725065625</v>
      </c>
      <c r="AY12" s="31" t="n">
        <v>34.284575</v>
      </c>
      <c r="AZ12" s="32" t="n">
        <v>3562.75</v>
      </c>
      <c r="BA12" s="32" t="n">
        <v>4678.54</v>
      </c>
      <c r="BB12" s="32" t="n">
        <v>4.682</v>
      </c>
      <c r="BC12" s="32" t="n">
        <v>21.155</v>
      </c>
      <c r="BE12" s="33">
        <f>(AP12/AO12) - (R12/Q12)</f>
        <v/>
      </c>
      <c r="BF12" s="33">
        <f>(AL12/AQ12) - (N12/S12)</f>
        <v/>
      </c>
      <c r="BG12" s="33" t="n"/>
      <c r="BI12" s="84" t="n"/>
      <c r="BJ12" s="84" t="n"/>
      <c r="BK12" s="84" t="n"/>
      <c r="BL12" s="84" t="n"/>
      <c r="BM12" s="84" t="n"/>
      <c r="BO12" s="84" t="n"/>
      <c r="BP12" s="84" t="n"/>
      <c r="BQ12" s="84" t="n"/>
      <c r="BR12" s="84" t="n"/>
      <c r="BS12" s="84" t="n"/>
    </row>
    <row outlineLevel="1" r="13" s="4">
      <c r="A13" s="90" t="n"/>
      <c r="B13" s="90" t="inlineStr">
        <is>
          <t>8ivfbv2_redandblack_vox10</t>
        </is>
      </c>
      <c r="C13" s="16" t="inlineStr">
        <is>
          <t>r04</t>
        </is>
      </c>
      <c r="D13" s="90" t="n">
        <v>218121242</v>
      </c>
      <c r="E13" s="16" t="n">
        <v>10</v>
      </c>
      <c r="F13" s="16" t="n">
        <v>32</v>
      </c>
      <c r="G13" s="16" t="n">
        <v>30</v>
      </c>
      <c r="I13" s="17">
        <f>IF(OR(ISBLANK(S13),ISBLANK(G13)),"·",S13*G13/F13/1000000)</f>
        <v/>
      </c>
      <c r="J13" s="18">
        <f>IF(ISBLANK(S13),"·",S13/D13)</f>
        <v/>
      </c>
      <c r="K13" s="18">
        <f>IF(N13="","·",N13/D13)</f>
        <v/>
      </c>
      <c r="L13" s="18">
        <f>IF(T13="","·",T13/D13)</f>
        <v/>
      </c>
      <c r="M13" s="18">
        <f>IF(ISBLANK(V13),"·",V13/D13)</f>
        <v/>
      </c>
      <c r="N13" s="90">
        <f>IF(OR(ISBLANK(T13),ISBLANK(U13)),"",T13+U13)</f>
        <v/>
      </c>
      <c r="O13" s="18" t="n">
        <v>16</v>
      </c>
      <c r="P13" s="19" t="n">
        <v>23752542</v>
      </c>
      <c r="Q13" s="19" t="n">
        <v>742266.9375</v>
      </c>
      <c r="R13" s="19" t="n">
        <v>30458.15625</v>
      </c>
      <c r="S13" s="20" t="n">
        <v>6953792</v>
      </c>
      <c r="T13" s="20" t="n">
        <v>2629584</v>
      </c>
      <c r="U13" s="20" t="n">
        <v>741832</v>
      </c>
      <c r="V13" s="20" t="n">
        <v>3582248</v>
      </c>
      <c r="W13" s="21" t="n">
        <v>70.030603125</v>
      </c>
      <c r="X13" s="21" t="n">
        <v>72.561171875</v>
      </c>
      <c r="Y13" s="21" t="n">
        <v>37.21360625</v>
      </c>
      <c r="Z13" s="21" t="n">
        <v>41.784290625</v>
      </c>
      <c r="AA13" s="21" t="n">
        <v>36.2862125</v>
      </c>
      <c r="AB13" s="22" t="n">
        <v>3581.58</v>
      </c>
      <c r="AC13" s="22" t="n">
        <v>5069.48</v>
      </c>
      <c r="AD13" s="22" t="n">
        <v>4.827</v>
      </c>
      <c r="AE13" s="22" t="n">
        <v>22.29</v>
      </c>
      <c r="AG13" s="17">
        <f>IF(OR(ISBLANK(AQ13),ISBLANK(G13)),"·",AQ13*G13/F13/1000000)</f>
        <v/>
      </c>
      <c r="AH13" s="18">
        <f>IF(ISBLANK(AQ13),"·",AQ13/D13)</f>
        <v/>
      </c>
      <c r="AI13" s="18">
        <f>IF(AL13="","·",AL13/D13)</f>
        <v/>
      </c>
      <c r="AJ13" s="18">
        <f>IF(AR13="","·",AR13/D13)</f>
        <v/>
      </c>
      <c r="AK13" s="18">
        <f>IF(ISBLANK(AT13),"·",AT13/D13)</f>
        <v/>
      </c>
      <c r="AL13" s="90">
        <f>IF(OR(ISBLANK(AR13),ISBLANK(AS13)),"",AR13+AS13)</f>
        <v/>
      </c>
      <c r="AM13" s="18" t="n">
        <v>16</v>
      </c>
      <c r="AN13" s="19" t="n">
        <v>23752542</v>
      </c>
      <c r="AO13" s="19" t="n">
        <v>742266.9375</v>
      </c>
      <c r="AP13" s="19" t="n">
        <v>30458.15625</v>
      </c>
      <c r="AQ13" s="20" t="n">
        <v>6953792</v>
      </c>
      <c r="AR13" s="20" t="n">
        <v>2629584</v>
      </c>
      <c r="AS13" s="20" t="n">
        <v>741832</v>
      </c>
      <c r="AT13" s="20" t="n">
        <v>3582248</v>
      </c>
      <c r="AU13" s="21" t="n">
        <v>70.030603125</v>
      </c>
      <c r="AV13" s="21" t="n">
        <v>72.561171875</v>
      </c>
      <c r="AW13" s="21" t="n">
        <v>37.21360625</v>
      </c>
      <c r="AX13" s="21" t="n">
        <v>41.784290625</v>
      </c>
      <c r="AY13" s="21" t="n">
        <v>36.2862125</v>
      </c>
      <c r="AZ13" s="22" t="n">
        <v>3591.63</v>
      </c>
      <c r="BA13" s="22" t="n">
        <v>4957.26</v>
      </c>
      <c r="BB13" s="22" t="n">
        <v>4.63</v>
      </c>
      <c r="BC13" s="22" t="n">
        <v>21.6</v>
      </c>
      <c r="BE13" s="23">
        <f>(AP13/AO13) - (R13/Q13)</f>
        <v/>
      </c>
      <c r="BF13" s="23">
        <f>(AL13/AQ13) - (N13/S13)</f>
        <v/>
      </c>
      <c r="BG13" s="23" t="n"/>
      <c r="BI13" s="92" t="n"/>
      <c r="BJ13" s="92" t="n"/>
      <c r="BK13" s="92" t="n"/>
      <c r="BL13" s="92" t="n"/>
      <c r="BM13" s="92" t="n"/>
      <c r="BO13" s="92" t="n"/>
      <c r="BP13" s="92" t="n"/>
      <c r="BQ13" s="92" t="n"/>
      <c r="BR13" s="92" t="n"/>
      <c r="BS13" s="92" t="n"/>
    </row>
    <row outlineLevel="1" r="14" s="4">
      <c r="A14" s="82" t="n"/>
      <c r="B14" s="45" t="inlineStr">
        <is>
          <t>8ivfbv2_redandblack_vox10</t>
        </is>
      </c>
      <c r="C14" s="46" t="inlineStr">
        <is>
          <t>r05</t>
        </is>
      </c>
      <c r="D14" s="45" t="n">
        <v>218121242</v>
      </c>
      <c r="E14" s="46" t="n">
        <v>10</v>
      </c>
      <c r="F14" s="46" t="n">
        <v>32</v>
      </c>
      <c r="G14" s="46" t="n">
        <v>30</v>
      </c>
      <c r="I14" s="47">
        <f>IF(OR(ISBLANK(S14),ISBLANK(G14)),"·",S14*G14/F14/1000000)</f>
        <v/>
      </c>
      <c r="J14" s="48">
        <f>IF(ISBLANK(S14),"·",S14/D14)</f>
        <v/>
      </c>
      <c r="K14" s="48">
        <f>IF(N14="","·",N14/D14)</f>
        <v/>
      </c>
      <c r="L14" s="48">
        <f>IF(T14="","·",T14/D14)</f>
        <v/>
      </c>
      <c r="M14" s="48">
        <f>IF(ISBLANK(V14),"·",V14/D14)</f>
        <v/>
      </c>
      <c r="N14" s="45">
        <f>IF(OR(ISBLANK(T14),ISBLANK(U14)),"",T14+U14)</f>
        <v/>
      </c>
      <c r="O14" s="48" t="n">
        <v>16</v>
      </c>
      <c r="P14" s="49" t="n">
        <v>22508472</v>
      </c>
      <c r="Q14" s="49" t="n">
        <v>703389.75</v>
      </c>
      <c r="R14" s="49" t="n">
        <v>13989.71875</v>
      </c>
      <c r="S14" s="50" t="n">
        <v>14070080</v>
      </c>
      <c r="T14" s="50" t="n">
        <v>4235384</v>
      </c>
      <c r="U14" s="50" t="n">
        <v>1433824</v>
      </c>
      <c r="V14" s="50" t="n">
        <v>8400744</v>
      </c>
      <c r="W14" s="51" t="n">
        <v>71.21810000000001</v>
      </c>
      <c r="X14" s="51" t="n">
        <v>74.73070312500001</v>
      </c>
      <c r="Y14" s="51" t="n">
        <v>39.64613125</v>
      </c>
      <c r="Z14" s="51" t="n">
        <v>43.08841875</v>
      </c>
      <c r="AA14" s="51" t="n">
        <v>38.527559375</v>
      </c>
      <c r="AB14" s="52" t="n">
        <v>3579.88</v>
      </c>
      <c r="AC14" s="52" t="n">
        <v>5555.92</v>
      </c>
      <c r="AD14" s="52" t="n">
        <v>4.518</v>
      </c>
      <c r="AE14" s="52" t="n">
        <v>23.194</v>
      </c>
      <c r="AG14" s="47">
        <f>IF(OR(ISBLANK(AQ14),ISBLANK(G14)),"·",AQ14*G14/F14/1000000)</f>
        <v/>
      </c>
      <c r="AH14" s="48">
        <f>IF(ISBLANK(AQ14),"·",AQ14/D14)</f>
        <v/>
      </c>
      <c r="AI14" s="48">
        <f>IF(AL14="","·",AL14/D14)</f>
        <v/>
      </c>
      <c r="AJ14" s="48">
        <f>IF(AR14="","·",AR14/D14)</f>
        <v/>
      </c>
      <c r="AK14" s="48">
        <f>IF(ISBLANK(AT14),"·",AT14/D14)</f>
        <v/>
      </c>
      <c r="AL14" s="45">
        <f>IF(OR(ISBLANK(AR14),ISBLANK(AS14)),"",AR14+AS14)</f>
        <v/>
      </c>
      <c r="AM14" s="48" t="n">
        <v>16</v>
      </c>
      <c r="AN14" s="49" t="n">
        <v>22508472</v>
      </c>
      <c r="AO14" s="49" t="n">
        <v>703389.75</v>
      </c>
      <c r="AP14" s="49" t="n">
        <v>13989.71875</v>
      </c>
      <c r="AQ14" s="50" t="n">
        <v>14070080</v>
      </c>
      <c r="AR14" s="50" t="n">
        <v>4235384</v>
      </c>
      <c r="AS14" s="50" t="n">
        <v>1433824</v>
      </c>
      <c r="AT14" s="50" t="n">
        <v>8400744</v>
      </c>
      <c r="AU14" s="51" t="n">
        <v>71.21810000000001</v>
      </c>
      <c r="AV14" s="51" t="n">
        <v>74.73070312500001</v>
      </c>
      <c r="AW14" s="51" t="n">
        <v>39.64613125</v>
      </c>
      <c r="AX14" s="51" t="n">
        <v>43.08841875</v>
      </c>
      <c r="AY14" s="51" t="n">
        <v>38.527559375</v>
      </c>
      <c r="AZ14" s="52" t="n">
        <v>3581.06</v>
      </c>
      <c r="BA14" s="52" t="n">
        <v>5439.23</v>
      </c>
      <c r="BB14" s="52" t="n">
        <v>4.485</v>
      </c>
      <c r="BC14" s="52" t="n">
        <v>23.024</v>
      </c>
      <c r="BE14" s="53">
        <f>(AP14/AO14) - (R14/Q14)</f>
        <v/>
      </c>
      <c r="BF14" s="53">
        <f>(AL14/AQ14) - (N14/S14)</f>
        <v/>
      </c>
      <c r="BG14" s="53" t="n"/>
      <c r="BI14" s="54" t="n"/>
      <c r="BJ14" s="54" t="n"/>
      <c r="BK14" s="54" t="n"/>
      <c r="BL14" s="54" t="n"/>
      <c r="BM14" s="54" t="n"/>
      <c r="BO14" s="54" t="n"/>
      <c r="BP14" s="54" t="n"/>
      <c r="BQ14" s="54" t="n"/>
      <c r="BR14" s="54" t="n"/>
      <c r="BS14" s="54" t="n"/>
    </row>
    <row r="15">
      <c r="A15" s="90" t="n"/>
      <c r="B15" s="90" t="inlineStr">
        <is>
          <t>8ivfbv2_soldier_vox10</t>
        </is>
      </c>
      <c r="C15" s="16" t="inlineStr">
        <is>
          <t>r01</t>
        </is>
      </c>
      <c r="D15" s="90" t="n">
        <v>322589704</v>
      </c>
      <c r="E15" s="16" t="n">
        <v>10</v>
      </c>
      <c r="F15" s="16" t="n">
        <v>32</v>
      </c>
      <c r="G15" s="16" t="n">
        <v>30</v>
      </c>
      <c r="I15" s="17">
        <f>IF(OR(ISBLANK(S15),ISBLANK(G15)),"·",S15*G15/F15/1000000)</f>
        <v/>
      </c>
      <c r="J15" s="18">
        <f>IF(ISBLANK(S15),"·",S15/D15)</f>
        <v/>
      </c>
      <c r="K15" s="18">
        <f>IF(N15="","·",N15/D15)</f>
        <v/>
      </c>
      <c r="L15" s="18">
        <f>IF(T15="","·",T15/D15)</f>
        <v/>
      </c>
      <c r="M15" s="18">
        <f>IF(ISBLANK(V15),"·",V15/D15)</f>
        <v/>
      </c>
      <c r="N15" s="90">
        <f>IF(OR(ISBLANK(T15),ISBLANK(U15)),"",T15+U15)</f>
        <v/>
      </c>
      <c r="O15" s="18" t="n">
        <v>16</v>
      </c>
      <c r="P15" s="19" t="n">
        <v>32523696</v>
      </c>
      <c r="Q15" s="19" t="n">
        <v>1016365.5</v>
      </c>
      <c r="R15" s="19" t="n">
        <v>34573</v>
      </c>
      <c r="S15" s="20" t="n">
        <v>2151624</v>
      </c>
      <c r="T15" s="20" t="n">
        <v>896096</v>
      </c>
      <c r="U15" s="20" t="n">
        <v>844952</v>
      </c>
      <c r="V15" s="20" t="n">
        <v>410448</v>
      </c>
      <c r="W15" s="21" t="n">
        <v>66.386921875</v>
      </c>
      <c r="X15" s="21" t="n">
        <v>67.9975125</v>
      </c>
      <c r="Y15" s="21" t="n">
        <v>29.264875</v>
      </c>
      <c r="Z15" s="21" t="n">
        <v>43.24673125</v>
      </c>
      <c r="AA15" s="21" t="n">
        <v>43.583284375</v>
      </c>
      <c r="AB15" s="22" t="n">
        <v>3907.6</v>
      </c>
      <c r="AC15" s="22" t="n">
        <v>3643.99</v>
      </c>
      <c r="AD15" s="22" t="n">
        <v>6.549</v>
      </c>
      <c r="AE15" s="22" t="n">
        <v>20.272</v>
      </c>
      <c r="AG15" s="17">
        <f>IF(OR(ISBLANK(AQ15),ISBLANK(G15)),"·",AQ15*G15/F15/1000000)</f>
        <v/>
      </c>
      <c r="AH15" s="18">
        <f>IF(ISBLANK(AQ15),"·",AQ15/D15)</f>
        <v/>
      </c>
      <c r="AI15" s="18">
        <f>IF(AL15="","·",AL15/D15)</f>
        <v/>
      </c>
      <c r="AJ15" s="18">
        <f>IF(AR15="","·",AR15/D15)</f>
        <v/>
      </c>
      <c r="AK15" s="18">
        <f>IF(ISBLANK(AT15),"·",AT15/D15)</f>
        <v/>
      </c>
      <c r="AL15" s="90">
        <f>IF(OR(ISBLANK(AR15),ISBLANK(AS15)),"",AR15+AS15)</f>
        <v/>
      </c>
      <c r="AM15" s="18" t="n">
        <v>16</v>
      </c>
      <c r="AN15" s="19" t="n">
        <v>32523696</v>
      </c>
      <c r="AO15" s="19" t="n">
        <v>1016365.5</v>
      </c>
      <c r="AP15" s="19" t="n">
        <v>34573</v>
      </c>
      <c r="AQ15" s="20" t="n">
        <v>2151624</v>
      </c>
      <c r="AR15" s="20" t="n">
        <v>896096</v>
      </c>
      <c r="AS15" s="20" t="n">
        <v>844952</v>
      </c>
      <c r="AT15" s="20" t="n">
        <v>410448</v>
      </c>
      <c r="AU15" s="21" t="n">
        <v>66.386921875</v>
      </c>
      <c r="AV15" s="21" t="n">
        <v>67.9975125</v>
      </c>
      <c r="AW15" s="21" t="n">
        <v>29.264875</v>
      </c>
      <c r="AX15" s="21" t="n">
        <v>43.24673125</v>
      </c>
      <c r="AY15" s="21" t="n">
        <v>43.583284375</v>
      </c>
      <c r="AZ15" s="22" t="n">
        <v>3936.13</v>
      </c>
      <c r="BA15" s="22" t="n">
        <v>3583.43</v>
      </c>
      <c r="BB15" s="22" t="n">
        <v>6.642</v>
      </c>
      <c r="BC15" s="22" t="n">
        <v>20.56</v>
      </c>
      <c r="BE15" s="23">
        <f>(AP15/AO15) - (R15/Q15)</f>
        <v/>
      </c>
      <c r="BF15" s="23">
        <f>(AL15/AQ15) - (N15/S15)</f>
        <v/>
      </c>
      <c r="BG15" s="23">
        <f ref="BG15" t="array">AVERAGE(AL15:AL19/AQ15:AQ19) - AVERAGE(N15:N19/S15:S19)</f>
        <v/>
      </c>
      <c r="BI15" s="92">
        <f>IF( OR(ISBLANK(N15:N19),ISBLANK(AL15:AL19), ISBLANK(W15:W19),ISBLANK(AU15:AU19)), "·", bdRateExtend( N15:N19,W15:W19, AL15:AL19,AU15:AU19))</f>
        <v/>
      </c>
      <c r="BJ15" s="92">
        <f>IF( OR(ISBLANK(N15:N19),ISBLANK(AL15:AL19), ISBLANK(X15:X19),ISBLANK(AV15:AV19)), "·", bdRateExtend( N15:N19,X15:X19, AL15:AL19,AV15:AV19))</f>
        <v/>
      </c>
      <c r="BK15" s="92">
        <f>IF( OR(ISBLANK(V15:V19),ISBLANK(AT15:AT19), ISBLANK(Y15:Y19),ISBLANK(AW15:AW19)), "·", bdRateExtend( V15:V19,Y15:Y19, AT15:AT19,AW15:AW19))</f>
        <v/>
      </c>
      <c r="BL15" s="92">
        <f>IF( OR(ISBLANK(V15:V19),ISBLANK(AT15:AT19), ISBLANK(Z15:Z19),ISBLANK(AX15:AX19)), "·", bdRateExtend( V15:V19,Z15:Z19, AT15:AT19,AX15:AX19))</f>
        <v/>
      </c>
      <c r="BM15" s="92">
        <f>IF( OR(ISBLANK(V15:V19),ISBLANK(AT15:AT19), ISBLANK(AA15:AA19),ISBLANK(AY15:AY19)), "·", bdRateExtend( V15:V19,AA15:AA19, AT15:AT19,AY15:AY19))</f>
        <v/>
      </c>
      <c r="BO15" s="92">
        <f>IF( OR(ISBLANK(S15:S19),ISBLANK(AQ15:AQ19), ISBLANK(W15:W19),ISBLANK(AU15:AU19)), "·", bdRateExtend( S15:S19,W15:W19, AQ15:AQ19,AU15:AU19))</f>
        <v/>
      </c>
      <c r="BP15" s="92">
        <f>IF( OR(ISBLANK(S15:S19),ISBLANK(AQ15:AQ19), ISBLANK(X15:X19),ISBLANK(AV15:AV19)), "·", bdRateExtend( S15:S19,X15:X19, AQ15:AQ19,AV15:AV19))</f>
        <v/>
      </c>
      <c r="BQ15" s="92">
        <f>IF( OR(ISBLANK(S15:S19),ISBLANK(AQ15:AQ19), ISBLANK(Y15:Y19),ISBLANK(AW15:AW19)), "·", bdRateExtend( S15:S19,Y15:Y19, AQ15:AQ19,AW15:AW19))</f>
        <v/>
      </c>
      <c r="BR15" s="92">
        <f>IF( OR(ISBLANK(S15:S19),ISBLANK(AQ15:AQ19), ISBLANK(Z15:Z19),ISBLANK(AX15:AX19)), "·", bdRateExtend( S15:S19,Z15:Z19, AQ15:AQ19,AX15:AX19))</f>
        <v/>
      </c>
      <c r="BS15" s="92">
        <f>IF( OR(ISBLANK(S15:S19),ISBLANK(AQ15:AQ19), ISBLANK(AA15:AA19),ISBLANK(AY15:AY19)), "·", bdRateExtend( S15:S19,AA15:AA19, AQ15:AQ19,AY15:AY19))</f>
        <v/>
      </c>
    </row>
    <row outlineLevel="1" r="16" s="4">
      <c r="A16" s="82" t="n"/>
      <c r="B16" s="82" t="inlineStr">
        <is>
          <t>8ivfbv2_soldier_vox10</t>
        </is>
      </c>
      <c r="C16" s="26" t="inlineStr">
        <is>
          <t>r02</t>
        </is>
      </c>
      <c r="D16" s="82" t="n">
        <v>322589704</v>
      </c>
      <c r="E16" s="26" t="n">
        <v>10</v>
      </c>
      <c r="F16" s="26" t="n">
        <v>32</v>
      </c>
      <c r="G16" s="26" t="n">
        <v>30</v>
      </c>
      <c r="I16" s="27">
        <f>IF(OR(ISBLANK(S16),ISBLANK(G16)),"·",S16*G16/F16/1000000)</f>
        <v/>
      </c>
      <c r="J16" s="28">
        <f>IF(ISBLANK(S16),"·",S16/D16)</f>
        <v/>
      </c>
      <c r="K16" s="28">
        <f>IF(N16="","·",N16/D16)</f>
        <v/>
      </c>
      <c r="L16" s="28">
        <f>IF(T16="","·",T16/D16)</f>
        <v/>
      </c>
      <c r="M16" s="28">
        <f>IF(ISBLANK(V16),"·",V16/D16)</f>
        <v/>
      </c>
      <c r="N16" s="82">
        <f>IF(OR(ISBLANK(T16),ISBLANK(U16)),"",T16+U16)</f>
        <v/>
      </c>
      <c r="O16" s="28" t="n">
        <v>16</v>
      </c>
      <c r="P16" s="29" t="n">
        <v>34098408</v>
      </c>
      <c r="Q16" s="29" t="n">
        <v>1065575.25</v>
      </c>
      <c r="R16" s="29" t="n">
        <v>40281.5</v>
      </c>
      <c r="S16" s="30" t="n">
        <v>2761104</v>
      </c>
      <c r="T16" s="30" t="n">
        <v>1178312</v>
      </c>
      <c r="U16" s="30" t="n">
        <v>844952</v>
      </c>
      <c r="V16" s="30" t="n">
        <v>737712</v>
      </c>
      <c r="W16" s="31" t="n">
        <v>68.10158125</v>
      </c>
      <c r="X16" s="31" t="n">
        <v>70.12139999999999</v>
      </c>
      <c r="Y16" s="31" t="n">
        <v>31.679615625</v>
      </c>
      <c r="Z16" s="31" t="n">
        <v>43.969490625</v>
      </c>
      <c r="AA16" s="31" t="n">
        <v>44.250634375</v>
      </c>
      <c r="AB16" s="32" t="n">
        <v>3988.72</v>
      </c>
      <c r="AC16" s="32" t="n">
        <v>3953.14</v>
      </c>
      <c r="AD16" s="32" t="n">
        <v>7.032</v>
      </c>
      <c r="AE16" s="32" t="n">
        <v>20.492</v>
      </c>
      <c r="AG16" s="27">
        <f>IF(OR(ISBLANK(AQ16),ISBLANK(G16)),"·",AQ16*G16/F16/1000000)</f>
        <v/>
      </c>
      <c r="AH16" s="28">
        <f>IF(ISBLANK(AQ16),"·",AQ16/D16)</f>
        <v/>
      </c>
      <c r="AI16" s="28">
        <f>IF(AL16="","·",AL16/D16)</f>
        <v/>
      </c>
      <c r="AJ16" s="28">
        <f>IF(AR16="","·",AR16/D16)</f>
        <v/>
      </c>
      <c r="AK16" s="28">
        <f>IF(ISBLANK(AT16),"·",AT16/D16)</f>
        <v/>
      </c>
      <c r="AL16" s="82">
        <f>IF(OR(ISBLANK(AR16),ISBLANK(AS16)),"",AR16+AS16)</f>
        <v/>
      </c>
      <c r="AM16" s="28" t="n">
        <v>16</v>
      </c>
      <c r="AN16" s="29" t="n">
        <v>34098408</v>
      </c>
      <c r="AO16" s="29" t="n">
        <v>1065575.25</v>
      </c>
      <c r="AP16" s="29" t="n">
        <v>40281.5</v>
      </c>
      <c r="AQ16" s="30" t="n">
        <v>2761104</v>
      </c>
      <c r="AR16" s="30" t="n">
        <v>1178312</v>
      </c>
      <c r="AS16" s="30" t="n">
        <v>844952</v>
      </c>
      <c r="AT16" s="30" t="n">
        <v>737712</v>
      </c>
      <c r="AU16" s="31" t="n">
        <v>68.10158125</v>
      </c>
      <c r="AV16" s="31" t="n">
        <v>70.12139999999999</v>
      </c>
      <c r="AW16" s="31" t="n">
        <v>31.679615625</v>
      </c>
      <c r="AX16" s="31" t="n">
        <v>43.969490625</v>
      </c>
      <c r="AY16" s="31" t="n">
        <v>44.250634375</v>
      </c>
      <c r="AZ16" s="32" t="n">
        <v>3928.78</v>
      </c>
      <c r="BA16" s="32" t="n">
        <v>3797.89</v>
      </c>
      <c r="BB16" s="32" t="n">
        <v>6.931</v>
      </c>
      <c r="BC16" s="32" t="n">
        <v>20.481</v>
      </c>
      <c r="BE16" s="33">
        <f>(AP16/AO16) - (R16/Q16)</f>
        <v/>
      </c>
      <c r="BF16" s="33">
        <f>(AL16/AQ16) - (N16/S16)</f>
        <v/>
      </c>
      <c r="BG16" s="33" t="n"/>
      <c r="BI16" s="84" t="n"/>
      <c r="BJ16" s="84" t="n"/>
      <c r="BK16" s="84" t="n"/>
      <c r="BL16" s="84" t="n"/>
      <c r="BM16" s="84" t="n"/>
      <c r="BO16" s="84" t="n"/>
      <c r="BP16" s="84" t="n"/>
      <c r="BQ16" s="84" t="n"/>
      <c r="BR16" s="84" t="n"/>
      <c r="BS16" s="84" t="n"/>
    </row>
    <row outlineLevel="1" r="17" s="4">
      <c r="A17" s="90" t="n"/>
      <c r="B17" s="90" t="inlineStr">
        <is>
          <t>8ivfbv2_soldier_vox10</t>
        </is>
      </c>
      <c r="C17" s="16" t="inlineStr">
        <is>
          <t>r03</t>
        </is>
      </c>
      <c r="D17" s="90" t="n">
        <v>322589704</v>
      </c>
      <c r="E17" s="16" t="n">
        <v>10</v>
      </c>
      <c r="F17" s="16" t="n">
        <v>32</v>
      </c>
      <c r="G17" s="16" t="n">
        <v>30</v>
      </c>
      <c r="I17" s="17">
        <f>IF(OR(ISBLANK(S17),ISBLANK(G17)),"·",S17*G17/F17/1000000)</f>
        <v/>
      </c>
      <c r="J17" s="18">
        <f>IF(ISBLANK(S17),"·",S17/D17)</f>
        <v/>
      </c>
      <c r="K17" s="18">
        <f>IF(N17="","·",N17/D17)</f>
        <v/>
      </c>
      <c r="L17" s="18">
        <f>IF(T17="","·",T17/D17)</f>
        <v/>
      </c>
      <c r="M17" s="18">
        <f>IF(ISBLANK(V17),"·",V17/D17)</f>
        <v/>
      </c>
      <c r="N17" s="90">
        <f>IF(OR(ISBLANK(T17),ISBLANK(U17)),"",T17+U17)</f>
        <v/>
      </c>
      <c r="O17" s="18" t="n">
        <v>16</v>
      </c>
      <c r="P17" s="19" t="n">
        <v>34244062</v>
      </c>
      <c r="Q17" s="19" t="n">
        <v>1070126.9375</v>
      </c>
      <c r="R17" s="19" t="n">
        <v>41416.84375</v>
      </c>
      <c r="S17" s="20" t="n">
        <v>3816896</v>
      </c>
      <c r="T17" s="20" t="n">
        <v>1520168</v>
      </c>
      <c r="U17" s="20" t="n">
        <v>844952</v>
      </c>
      <c r="V17" s="20" t="n">
        <v>1451648</v>
      </c>
      <c r="W17" s="21" t="n">
        <v>69.444721875</v>
      </c>
      <c r="X17" s="21" t="n">
        <v>71.859571875</v>
      </c>
      <c r="Y17" s="21" t="n">
        <v>34.128753125</v>
      </c>
      <c r="Z17" s="21" t="n">
        <v>45.224303125</v>
      </c>
      <c r="AA17" s="21" t="n">
        <v>45.659125</v>
      </c>
      <c r="AB17" s="22" t="n">
        <v>4067.09</v>
      </c>
      <c r="AC17" s="22" t="n">
        <v>4218.65</v>
      </c>
      <c r="AD17" s="22" t="n">
        <v>7.041</v>
      </c>
      <c r="AE17" s="22" t="n">
        <v>21.005</v>
      </c>
      <c r="AG17" s="17">
        <f>IF(OR(ISBLANK(AQ17),ISBLANK(G17)),"·",AQ17*G17/F17/1000000)</f>
        <v/>
      </c>
      <c r="AH17" s="18">
        <f>IF(ISBLANK(AQ17),"·",AQ17/D17)</f>
        <v/>
      </c>
      <c r="AI17" s="18">
        <f>IF(AL17="","·",AL17/D17)</f>
        <v/>
      </c>
      <c r="AJ17" s="18">
        <f>IF(AR17="","·",AR17/D17)</f>
        <v/>
      </c>
      <c r="AK17" s="18">
        <f>IF(ISBLANK(AT17),"·",AT17/D17)</f>
        <v/>
      </c>
      <c r="AL17" s="90">
        <f>IF(OR(ISBLANK(AR17),ISBLANK(AS17)),"",AR17+AS17)</f>
        <v/>
      </c>
      <c r="AM17" s="18" t="n">
        <v>16</v>
      </c>
      <c r="AN17" s="19" t="n">
        <v>34244062</v>
      </c>
      <c r="AO17" s="19" t="n">
        <v>1070126.9375</v>
      </c>
      <c r="AP17" s="19" t="n">
        <v>41416.84375</v>
      </c>
      <c r="AQ17" s="20" t="n">
        <v>3816896</v>
      </c>
      <c r="AR17" s="20" t="n">
        <v>1520168</v>
      </c>
      <c r="AS17" s="20" t="n">
        <v>844952</v>
      </c>
      <c r="AT17" s="20" t="n">
        <v>1451648</v>
      </c>
      <c r="AU17" s="21" t="n">
        <v>69.444721875</v>
      </c>
      <c r="AV17" s="21" t="n">
        <v>71.859571875</v>
      </c>
      <c r="AW17" s="21" t="n">
        <v>34.128753125</v>
      </c>
      <c r="AX17" s="21" t="n">
        <v>45.224303125</v>
      </c>
      <c r="AY17" s="21" t="n">
        <v>45.659125</v>
      </c>
      <c r="AZ17" s="22" t="n">
        <v>3915.47</v>
      </c>
      <c r="BA17" s="22" t="n">
        <v>4040.4</v>
      </c>
      <c r="BB17" s="22" t="n">
        <v>7.124</v>
      </c>
      <c r="BC17" s="22" t="n">
        <v>20.864</v>
      </c>
      <c r="BE17" s="23">
        <f>(AP17/AO17) - (R17/Q17)</f>
        <v/>
      </c>
      <c r="BF17" s="23">
        <f>(AL17/AQ17) - (N17/S17)</f>
        <v/>
      </c>
      <c r="BG17" s="23" t="n"/>
      <c r="BI17" s="92" t="n"/>
      <c r="BJ17" s="92" t="n"/>
      <c r="BK17" s="92" t="n"/>
      <c r="BL17" s="92" t="n"/>
      <c r="BM17" s="92" t="n"/>
      <c r="BO17" s="92" t="n"/>
      <c r="BP17" s="92" t="n"/>
      <c r="BQ17" s="92" t="n"/>
      <c r="BR17" s="92" t="n"/>
      <c r="BS17" s="92" t="n"/>
    </row>
    <row outlineLevel="1" r="18" s="4">
      <c r="A18" s="82" t="n"/>
      <c r="B18" s="82" t="inlineStr">
        <is>
          <t>8ivfbv2_soldier_vox10</t>
        </is>
      </c>
      <c r="C18" s="26" t="inlineStr">
        <is>
          <t>r04</t>
        </is>
      </c>
      <c r="D18" s="82" t="n">
        <v>322589704</v>
      </c>
      <c r="E18" s="26" t="n">
        <v>10</v>
      </c>
      <c r="F18" s="26" t="n">
        <v>32</v>
      </c>
      <c r="G18" s="26" t="n">
        <v>30</v>
      </c>
      <c r="I18" s="27">
        <f>IF(OR(ISBLANK(S18),ISBLANK(G18)),"·",S18*G18/F18/1000000)</f>
        <v/>
      </c>
      <c r="J18" s="28">
        <f>IF(ISBLANK(S18),"·",S18/D18)</f>
        <v/>
      </c>
      <c r="K18" s="28">
        <f>IF(N18="","·",N18/D18)</f>
        <v/>
      </c>
      <c r="L18" s="28">
        <f>IF(T18="","·",T18/D18)</f>
        <v/>
      </c>
      <c r="M18" s="28">
        <f>IF(ISBLANK(V18),"·",V18/D18)</f>
        <v/>
      </c>
      <c r="N18" s="82">
        <f>IF(OR(ISBLANK(T18),ISBLANK(U18)),"",T18+U18)</f>
        <v/>
      </c>
      <c r="O18" s="28" t="n">
        <v>16</v>
      </c>
      <c r="P18" s="29" t="n">
        <v>35617214</v>
      </c>
      <c r="Q18" s="29" t="n">
        <v>1113037.9375</v>
      </c>
      <c r="R18" s="29" t="n">
        <v>46682.59375</v>
      </c>
      <c r="S18" s="30" t="n">
        <v>6835744</v>
      </c>
      <c r="T18" s="30" t="n">
        <v>2464584</v>
      </c>
      <c r="U18" s="30" t="n">
        <v>844952</v>
      </c>
      <c r="V18" s="30" t="n">
        <v>3526080</v>
      </c>
      <c r="W18" s="31" t="n">
        <v>70.503553125</v>
      </c>
      <c r="X18" s="31" t="n">
        <v>73.14129687499999</v>
      </c>
      <c r="Y18" s="31" t="n">
        <v>36.484928125</v>
      </c>
      <c r="Z18" s="31" t="n">
        <v>46.4962875</v>
      </c>
      <c r="AA18" s="31" t="n">
        <v>47.021078125</v>
      </c>
      <c r="AB18" s="32" t="n">
        <v>4058.02</v>
      </c>
      <c r="AC18" s="32" t="n">
        <v>4589</v>
      </c>
      <c r="AD18" s="32" t="n">
        <v>6.753</v>
      </c>
      <c r="AE18" s="32" t="n">
        <v>20.548</v>
      </c>
      <c r="AG18" s="27">
        <f>IF(OR(ISBLANK(AQ18),ISBLANK(G18)),"·",AQ18*G18/F18/1000000)</f>
        <v/>
      </c>
      <c r="AH18" s="28">
        <f>IF(ISBLANK(AQ18),"·",AQ18/D18)</f>
        <v/>
      </c>
      <c r="AI18" s="28">
        <f>IF(AL18="","·",AL18/D18)</f>
        <v/>
      </c>
      <c r="AJ18" s="28">
        <f>IF(AR18="","·",AR18/D18)</f>
        <v/>
      </c>
      <c r="AK18" s="28">
        <f>IF(ISBLANK(AT18),"·",AT18/D18)</f>
        <v/>
      </c>
      <c r="AL18" s="82">
        <f>IF(OR(ISBLANK(AR18),ISBLANK(AS18)),"",AR18+AS18)</f>
        <v/>
      </c>
      <c r="AM18" s="28" t="n">
        <v>16</v>
      </c>
      <c r="AN18" s="29" t="n">
        <v>35617214</v>
      </c>
      <c r="AO18" s="29" t="n">
        <v>1113037.9375</v>
      </c>
      <c r="AP18" s="29" t="n">
        <v>46682.59375</v>
      </c>
      <c r="AQ18" s="30" t="n">
        <v>6835744</v>
      </c>
      <c r="AR18" s="30" t="n">
        <v>2464584</v>
      </c>
      <c r="AS18" s="30" t="n">
        <v>844952</v>
      </c>
      <c r="AT18" s="30" t="n">
        <v>3526080</v>
      </c>
      <c r="AU18" s="31" t="n">
        <v>70.503553125</v>
      </c>
      <c r="AV18" s="31" t="n">
        <v>73.14129687499999</v>
      </c>
      <c r="AW18" s="31" t="n">
        <v>36.484928125</v>
      </c>
      <c r="AX18" s="31" t="n">
        <v>46.4962875</v>
      </c>
      <c r="AY18" s="31" t="n">
        <v>47.021078125</v>
      </c>
      <c r="AZ18" s="32" t="n">
        <v>3918.67</v>
      </c>
      <c r="BA18" s="32" t="n">
        <v>4429.1</v>
      </c>
      <c r="BB18" s="32" t="n">
        <v>7.009</v>
      </c>
      <c r="BC18" s="32" t="n">
        <v>21.124</v>
      </c>
      <c r="BE18" s="33">
        <f>(AP18/AO18) - (R18/Q18)</f>
        <v/>
      </c>
      <c r="BF18" s="33">
        <f>(AL18/AQ18) - (N18/S18)</f>
        <v/>
      </c>
      <c r="BG18" s="33" t="n"/>
      <c r="BI18" s="84" t="n"/>
      <c r="BJ18" s="84" t="n"/>
      <c r="BK18" s="84" t="n"/>
      <c r="BL18" s="84" t="n"/>
      <c r="BM18" s="84" t="n"/>
      <c r="BO18" s="84" t="n"/>
      <c r="BP18" s="84" t="n"/>
      <c r="BQ18" s="84" t="n"/>
      <c r="BR18" s="84" t="n"/>
      <c r="BS18" s="84" t="n"/>
    </row>
    <row outlineLevel="1" r="19" s="4">
      <c r="A19" s="90" t="n"/>
      <c r="B19" s="35" t="inlineStr">
        <is>
          <t>8ivfbv2_soldier_vox10</t>
        </is>
      </c>
      <c r="C19" s="36" t="inlineStr">
        <is>
          <t>r05</t>
        </is>
      </c>
      <c r="D19" s="35" t="n">
        <v>322589704</v>
      </c>
      <c r="E19" s="36" t="n">
        <v>10</v>
      </c>
      <c r="F19" s="36" t="n">
        <v>32</v>
      </c>
      <c r="G19" s="36" t="n">
        <v>30</v>
      </c>
      <c r="I19" s="37">
        <f>IF(OR(ISBLANK(S19),ISBLANK(G19)),"·",S19*G19/F19/1000000)</f>
        <v/>
      </c>
      <c r="J19" s="38">
        <f>IF(ISBLANK(S19),"·",S19/D19)</f>
        <v/>
      </c>
      <c r="K19" s="38">
        <f>IF(N19="","·",N19/D19)</f>
        <v/>
      </c>
      <c r="L19" s="38">
        <f>IF(T19="","·",T19/D19)</f>
        <v/>
      </c>
      <c r="M19" s="38">
        <f>IF(ISBLANK(V19),"·",V19/D19)</f>
        <v/>
      </c>
      <c r="N19" s="35">
        <f>IF(OR(ISBLANK(T19),ISBLANK(U19)),"",T19+U19)</f>
        <v/>
      </c>
      <c r="O19" s="38" t="n">
        <v>16</v>
      </c>
      <c r="P19" s="39" t="n">
        <v>33671783</v>
      </c>
      <c r="Q19" s="39" t="n">
        <v>1052243.21875</v>
      </c>
      <c r="R19" s="39" t="n">
        <v>20401.53125</v>
      </c>
      <c r="S19" s="40" t="n">
        <v>15821200</v>
      </c>
      <c r="T19" s="40" t="n">
        <v>3996992</v>
      </c>
      <c r="U19" s="40" t="n">
        <v>1724032</v>
      </c>
      <c r="V19" s="40" t="n">
        <v>10100048</v>
      </c>
      <c r="W19" s="41" t="n">
        <v>71.550134375</v>
      </c>
      <c r="X19" s="41" t="n">
        <v>75.140709375</v>
      </c>
      <c r="Y19" s="41" t="n">
        <v>38.807453125</v>
      </c>
      <c r="Z19" s="41" t="n">
        <v>48.244996875</v>
      </c>
      <c r="AA19" s="41" t="n">
        <v>48.837115625</v>
      </c>
      <c r="AB19" s="42" t="n">
        <v>4006.19</v>
      </c>
      <c r="AC19" s="42" t="n">
        <v>5218.12</v>
      </c>
      <c r="AD19" s="42" t="n">
        <v>6.488</v>
      </c>
      <c r="AE19" s="42" t="n">
        <v>22.641</v>
      </c>
      <c r="AG19" s="37">
        <f>IF(OR(ISBLANK(AQ19),ISBLANK(G19)),"·",AQ19*G19/F19/1000000)</f>
        <v/>
      </c>
      <c r="AH19" s="38">
        <f>IF(ISBLANK(AQ19),"·",AQ19/D19)</f>
        <v/>
      </c>
      <c r="AI19" s="38">
        <f>IF(AL19="","·",AL19/D19)</f>
        <v/>
      </c>
      <c r="AJ19" s="38">
        <f>IF(AR19="","·",AR19/D19)</f>
        <v/>
      </c>
      <c r="AK19" s="38">
        <f>IF(ISBLANK(AT19),"·",AT19/D19)</f>
        <v/>
      </c>
      <c r="AL19" s="35">
        <f>IF(OR(ISBLANK(AR19),ISBLANK(AS19)),"",AR19+AS19)</f>
        <v/>
      </c>
      <c r="AM19" s="38" t="n">
        <v>16</v>
      </c>
      <c r="AN19" s="39" t="n">
        <v>33671783</v>
      </c>
      <c r="AO19" s="39" t="n">
        <v>1052243.21875</v>
      </c>
      <c r="AP19" s="39" t="n">
        <v>20401.53125</v>
      </c>
      <c r="AQ19" s="40" t="n">
        <v>15821200</v>
      </c>
      <c r="AR19" s="40" t="n">
        <v>3996992</v>
      </c>
      <c r="AS19" s="40" t="n">
        <v>1724032</v>
      </c>
      <c r="AT19" s="40" t="n">
        <v>10100048</v>
      </c>
      <c r="AU19" s="41" t="n">
        <v>71.550134375</v>
      </c>
      <c r="AV19" s="41" t="n">
        <v>75.140709375</v>
      </c>
      <c r="AW19" s="41" t="n">
        <v>38.807453125</v>
      </c>
      <c r="AX19" s="41" t="n">
        <v>48.244996875</v>
      </c>
      <c r="AY19" s="41" t="n">
        <v>48.837115625</v>
      </c>
      <c r="AZ19" s="42" t="n">
        <v>4027.86</v>
      </c>
      <c r="BA19" s="42" t="n">
        <v>5164.03</v>
      </c>
      <c r="BB19" s="42" t="n">
        <v>6.897</v>
      </c>
      <c r="BC19" s="42" t="n">
        <v>24.617</v>
      </c>
      <c r="BE19" s="43">
        <f>(AP19/AO19) - (R19/Q19)</f>
        <v/>
      </c>
      <c r="BF19" s="43">
        <f>(AL19/AQ19) - (N19/S19)</f>
        <v/>
      </c>
      <c r="BG19" s="43" t="n"/>
      <c r="BI19" s="44" t="n"/>
      <c r="BJ19" s="44" t="n"/>
      <c r="BK19" s="44" t="n"/>
      <c r="BL19" s="44" t="n"/>
      <c r="BM19" s="44" t="n"/>
      <c r="BO19" s="44" t="n"/>
      <c r="BP19" s="44" t="n"/>
      <c r="BQ19" s="44" t="n"/>
      <c r="BR19" s="44" t="n"/>
      <c r="BS19" s="44" t="n"/>
    </row>
    <row r="20">
      <c r="A20" s="82" t="n"/>
      <c r="B20" s="82" t="inlineStr">
        <is>
          <t>queen</t>
        </is>
      </c>
      <c r="C20" s="26" t="inlineStr">
        <is>
          <t>r01</t>
        </is>
      </c>
      <c r="D20" s="82" t="n">
        <v>250602891</v>
      </c>
      <c r="E20" s="26" t="n">
        <v>10</v>
      </c>
      <c r="F20" s="26" t="n">
        <v>32</v>
      </c>
      <c r="G20" s="26" t="n">
        <v>50</v>
      </c>
      <c r="I20" s="27">
        <f>IF(OR(ISBLANK(S20),ISBLANK(G20)),"·",S20*G20/F20/1000000)</f>
        <v/>
      </c>
      <c r="J20" s="28">
        <f>IF(ISBLANK(S20),"·",S20/D20)</f>
        <v/>
      </c>
      <c r="K20" s="28">
        <f>IF(N20="","·",N20/D20)</f>
        <v/>
      </c>
      <c r="L20" s="28">
        <f>IF(T20="","·",T20/D20)</f>
        <v/>
      </c>
      <c r="M20" s="28">
        <f>IF(ISBLANK(V20),"·",V20/D20)</f>
        <v/>
      </c>
      <c r="N20" s="82">
        <f>IF(OR(ISBLANK(T20),ISBLANK(U20)),"",T20+U20)</f>
        <v/>
      </c>
      <c r="O20" s="28" t="n">
        <v>16</v>
      </c>
      <c r="P20" s="29" t="n">
        <v>30801806</v>
      </c>
      <c r="Q20" s="29" t="n">
        <v>962556.4375</v>
      </c>
      <c r="R20" s="29" t="n">
        <v>28246.0625</v>
      </c>
      <c r="S20" s="30" t="n">
        <v>1466576</v>
      </c>
      <c r="T20" s="30" t="n">
        <v>607768</v>
      </c>
      <c r="U20" s="30" t="n">
        <v>482256</v>
      </c>
      <c r="V20" s="30" t="n">
        <v>376424</v>
      </c>
      <c r="W20" s="31" t="n">
        <v>67.130621875</v>
      </c>
      <c r="X20" s="31" t="n">
        <v>68.79056875000001</v>
      </c>
      <c r="Y20" s="31" t="n">
        <v>30.040628125</v>
      </c>
      <c r="Z20" s="31" t="n">
        <v>39.385453125</v>
      </c>
      <c r="AA20" s="31" t="n">
        <v>38.0092375</v>
      </c>
      <c r="AB20" s="32" t="n">
        <v>4347.74</v>
      </c>
      <c r="AC20" s="32" t="n">
        <v>2946.78</v>
      </c>
      <c r="AD20" s="32" t="n">
        <v>5.824</v>
      </c>
      <c r="AE20" s="32" t="n">
        <v>17.091</v>
      </c>
      <c r="AG20" s="27">
        <f>IF(OR(ISBLANK(AQ20),ISBLANK(G20)),"·",AQ20*G20/F20/1000000)</f>
        <v/>
      </c>
      <c r="AH20" s="28">
        <f>IF(ISBLANK(AQ20),"·",AQ20/D20)</f>
        <v/>
      </c>
      <c r="AI20" s="28">
        <f>IF(AL20="","·",AL20/D20)</f>
        <v/>
      </c>
      <c r="AJ20" s="28">
        <f>IF(AR20="","·",AR20/D20)</f>
        <v/>
      </c>
      <c r="AK20" s="28">
        <f>IF(ISBLANK(AT20),"·",AT20/D20)</f>
        <v/>
      </c>
      <c r="AL20" s="82">
        <f>IF(OR(ISBLANK(AR20),ISBLANK(AS20)),"",AR20+AS20)</f>
        <v/>
      </c>
      <c r="AM20" s="28" t="n">
        <v>16</v>
      </c>
      <c r="AN20" s="29" t="n">
        <v>30801806</v>
      </c>
      <c r="AO20" s="29" t="n">
        <v>962556.4375</v>
      </c>
      <c r="AP20" s="29" t="n">
        <v>28246.0625</v>
      </c>
      <c r="AQ20" s="30" t="n">
        <v>1466576</v>
      </c>
      <c r="AR20" s="30" t="n">
        <v>607768</v>
      </c>
      <c r="AS20" s="30" t="n">
        <v>482256</v>
      </c>
      <c r="AT20" s="30" t="n">
        <v>376424</v>
      </c>
      <c r="AU20" s="31" t="n">
        <v>67.130621875</v>
      </c>
      <c r="AV20" s="31" t="n">
        <v>68.79056875000001</v>
      </c>
      <c r="AW20" s="31" t="n">
        <v>30.040628125</v>
      </c>
      <c r="AX20" s="31" t="n">
        <v>39.385453125</v>
      </c>
      <c r="AY20" s="31" t="n">
        <v>38.0092375</v>
      </c>
      <c r="AZ20" s="32" t="n">
        <v>4304.94</v>
      </c>
      <c r="BA20" s="32" t="n">
        <v>2789.93</v>
      </c>
      <c r="BB20" s="32" t="n">
        <v>5.645</v>
      </c>
      <c r="BC20" s="32" t="n">
        <v>16.522</v>
      </c>
      <c r="BE20" s="33">
        <f>(AP20/AO20) - (R20/Q20)</f>
        <v/>
      </c>
      <c r="BF20" s="33">
        <f>(AL20/AQ20) - (N20/S20)</f>
        <v/>
      </c>
      <c r="BG20" s="33">
        <f ref="BG20" t="array">AVERAGE(AL20:AL24/AQ20:AQ24) - AVERAGE(N20:N24/S20:S24)</f>
        <v/>
      </c>
      <c r="BI20" s="84">
        <f>IF( OR(ISBLANK(N20:N24),ISBLANK(AL20:AL24), ISBLANK(W20:W24),ISBLANK(AU20:AU24)), "·", bdRateExtend( N20:N24,W20:W24, AL20:AL24,AU20:AU24))</f>
        <v/>
      </c>
      <c r="BJ20" s="84">
        <f>IF( OR(ISBLANK(N20:N24),ISBLANK(AL20:AL24), ISBLANK(X20:X24),ISBLANK(AV20:AV24)), "·", bdRateExtend( N20:N24,X20:X24, AL20:AL24,AV20:AV24))</f>
        <v/>
      </c>
      <c r="BK20" s="84">
        <f>IF( OR(ISBLANK(V20:V24),ISBLANK(AT20:AT24), ISBLANK(Y20:Y24),ISBLANK(AW20:AW24)), "·", bdRateExtend( V20:V24,Y20:Y24, AT20:AT24,AW20:AW24))</f>
        <v/>
      </c>
      <c r="BL20" s="84">
        <f>IF( OR(ISBLANK(V20:V24),ISBLANK(AT20:AT24), ISBLANK(Z20:Z24),ISBLANK(AX20:AX24)), "·", bdRateExtend( V20:V24,Z20:Z24, AT20:AT24,AX20:AX24))</f>
        <v/>
      </c>
      <c r="BM20" s="84">
        <f>IF( OR(ISBLANK(V20:V24),ISBLANK(AT20:AT24), ISBLANK(AA20:AA24),ISBLANK(AY20:AY24)), "·", bdRateExtend( V20:V24,AA20:AA24, AT20:AT24,AY20:AY24))</f>
        <v/>
      </c>
      <c r="BO20" s="84">
        <f>IF( OR(ISBLANK(S20:S24),ISBLANK(AQ20:AQ24), ISBLANK(W20:W24),ISBLANK(AU20:AU24)), "·", bdRateExtend( S20:S24,W20:W24, AQ20:AQ24,AU20:AU24))</f>
        <v/>
      </c>
      <c r="BP20" s="84">
        <f>IF( OR(ISBLANK(S20:S24),ISBLANK(AQ20:AQ24), ISBLANK(X20:X24),ISBLANK(AV20:AV24)), "·", bdRateExtend( S20:S24,X20:X24, AQ20:AQ24,AV20:AV24))</f>
        <v/>
      </c>
      <c r="BQ20" s="84">
        <f>IF( OR(ISBLANK(S20:S24),ISBLANK(AQ20:AQ24), ISBLANK(Y20:Y24),ISBLANK(AW20:AW24)), "·", bdRateExtend( S20:S24,Y20:Y24, AQ20:AQ24,AW20:AW24))</f>
        <v/>
      </c>
      <c r="BR20" s="84">
        <f>IF( OR(ISBLANK(S20:S24),ISBLANK(AQ20:AQ24), ISBLANK(Z20:Z24),ISBLANK(AX20:AX24)), "·", bdRateExtend( S20:S24,Z20:Z24, AQ20:AQ24,AX20:AX24))</f>
        <v/>
      </c>
      <c r="BS20" s="84">
        <f>IF( OR(ISBLANK(S20:S24),ISBLANK(AQ20:AQ24), ISBLANK(AA20:AA24),ISBLANK(AY20:AY24)), "·", bdRateExtend( S20:S24,AA20:AA24, AQ20:AQ24,AY20:AY24))</f>
        <v/>
      </c>
    </row>
    <row outlineLevel="1" r="21" s="4">
      <c r="A21" s="90" t="n"/>
      <c r="B21" s="90" t="inlineStr">
        <is>
          <t>queen</t>
        </is>
      </c>
      <c r="C21" s="16" t="inlineStr">
        <is>
          <t>r02</t>
        </is>
      </c>
      <c r="D21" s="90" t="n">
        <v>250602891</v>
      </c>
      <c r="E21" s="16" t="n">
        <v>10</v>
      </c>
      <c r="F21" s="16" t="n">
        <v>32</v>
      </c>
      <c r="G21" s="16" t="n">
        <v>50</v>
      </c>
      <c r="I21" s="17">
        <f>IF(OR(ISBLANK(S21),ISBLANK(G21)),"·",S21*G21/F21/1000000)</f>
        <v/>
      </c>
      <c r="J21" s="18">
        <f>IF(ISBLANK(S21),"·",S21/D21)</f>
        <v/>
      </c>
      <c r="K21" s="18">
        <f>IF(N21="","·",N21/D21)</f>
        <v/>
      </c>
      <c r="L21" s="18">
        <f>IF(T21="","·",T21/D21)</f>
        <v/>
      </c>
      <c r="M21" s="18">
        <f>IF(ISBLANK(V21),"·",V21/D21)</f>
        <v/>
      </c>
      <c r="N21" s="90">
        <f>IF(OR(ISBLANK(T21),ISBLANK(U21)),"",T21+U21)</f>
        <v/>
      </c>
      <c r="O21" s="18" t="n">
        <v>16</v>
      </c>
      <c r="P21" s="19" t="n">
        <v>31627623</v>
      </c>
      <c r="Q21" s="19" t="n">
        <v>988363.21875</v>
      </c>
      <c r="R21" s="19" t="n">
        <v>32272.96875</v>
      </c>
      <c r="S21" s="20" t="n">
        <v>2003904</v>
      </c>
      <c r="T21" s="20" t="n">
        <v>787048</v>
      </c>
      <c r="U21" s="20" t="n">
        <v>482256</v>
      </c>
      <c r="V21" s="20" t="n">
        <v>734472</v>
      </c>
      <c r="W21" s="21" t="n">
        <v>68.791021875</v>
      </c>
      <c r="X21" s="21" t="n">
        <v>70.89810625</v>
      </c>
      <c r="Y21" s="21" t="n">
        <v>31.562603125</v>
      </c>
      <c r="Z21" s="21" t="n">
        <v>40.492534375</v>
      </c>
      <c r="AA21" s="21" t="n">
        <v>39.29564375</v>
      </c>
      <c r="AB21" s="22" t="n">
        <v>4384.92</v>
      </c>
      <c r="AC21" s="22" t="n">
        <v>3110.82</v>
      </c>
      <c r="AD21" s="22" t="n">
        <v>5.791</v>
      </c>
      <c r="AE21" s="22" t="n">
        <v>16.776</v>
      </c>
      <c r="AG21" s="17">
        <f>IF(OR(ISBLANK(AQ21),ISBLANK(G21)),"·",AQ21*G21/F21/1000000)</f>
        <v/>
      </c>
      <c r="AH21" s="18">
        <f>IF(ISBLANK(AQ21),"·",AQ21/D21)</f>
        <v/>
      </c>
      <c r="AI21" s="18">
        <f>IF(AL21="","·",AL21/D21)</f>
        <v/>
      </c>
      <c r="AJ21" s="18">
        <f>IF(AR21="","·",AR21/D21)</f>
        <v/>
      </c>
      <c r="AK21" s="18">
        <f>IF(ISBLANK(AT21),"·",AT21/D21)</f>
        <v/>
      </c>
      <c r="AL21" s="90">
        <f>IF(OR(ISBLANK(AR21),ISBLANK(AS21)),"",AR21+AS21)</f>
        <v/>
      </c>
      <c r="AM21" s="18" t="n">
        <v>16</v>
      </c>
      <c r="AN21" s="19" t="n">
        <v>31627623</v>
      </c>
      <c r="AO21" s="19" t="n">
        <v>988363.21875</v>
      </c>
      <c r="AP21" s="19" t="n">
        <v>32272.96875</v>
      </c>
      <c r="AQ21" s="20" t="n">
        <v>2003904</v>
      </c>
      <c r="AR21" s="20" t="n">
        <v>787048</v>
      </c>
      <c r="AS21" s="20" t="n">
        <v>482256</v>
      </c>
      <c r="AT21" s="20" t="n">
        <v>734472</v>
      </c>
      <c r="AU21" s="21" t="n">
        <v>68.791021875</v>
      </c>
      <c r="AV21" s="21" t="n">
        <v>70.89810625</v>
      </c>
      <c r="AW21" s="21" t="n">
        <v>31.562603125</v>
      </c>
      <c r="AX21" s="21" t="n">
        <v>40.492534375</v>
      </c>
      <c r="AY21" s="21" t="n">
        <v>39.29564375</v>
      </c>
      <c r="AZ21" s="22" t="n">
        <v>4330.16</v>
      </c>
      <c r="BA21" s="22" t="n">
        <v>2897.93</v>
      </c>
      <c r="BB21" s="22" t="n">
        <v>5.348</v>
      </c>
      <c r="BC21" s="22" t="n">
        <v>15.799</v>
      </c>
      <c r="BE21" s="23">
        <f>(AP21/AO21) - (R21/Q21)</f>
        <v/>
      </c>
      <c r="BF21" s="23">
        <f>(AL21/AQ21) - (N21/S21)</f>
        <v/>
      </c>
      <c r="BG21" s="23" t="n"/>
      <c r="BI21" s="92" t="n"/>
      <c r="BJ21" s="92" t="n"/>
      <c r="BK21" s="92" t="n"/>
      <c r="BL21" s="92" t="n"/>
      <c r="BM21" s="92" t="n"/>
      <c r="BO21" s="92" t="n"/>
      <c r="BP21" s="92" t="n"/>
      <c r="BQ21" s="92" t="n"/>
      <c r="BR21" s="92" t="n"/>
      <c r="BS21" s="92" t="n"/>
    </row>
    <row outlineLevel="1" r="22" s="4">
      <c r="A22" s="82" t="n"/>
      <c r="B22" s="82" t="inlineStr">
        <is>
          <t>queen</t>
        </is>
      </c>
      <c r="C22" s="26" t="inlineStr">
        <is>
          <t>r03</t>
        </is>
      </c>
      <c r="D22" s="82" t="n">
        <v>250602891</v>
      </c>
      <c r="E22" s="26" t="n">
        <v>10</v>
      </c>
      <c r="F22" s="26" t="n">
        <v>32</v>
      </c>
      <c r="G22" s="26" t="n">
        <v>50</v>
      </c>
      <c r="I22" s="27">
        <f>IF(OR(ISBLANK(S22),ISBLANK(G22)),"·",S22*G22/F22/1000000)</f>
        <v/>
      </c>
      <c r="J22" s="28">
        <f>IF(ISBLANK(S22),"·",S22/D22)</f>
        <v/>
      </c>
      <c r="K22" s="28">
        <f>IF(N22="","·",N22/D22)</f>
        <v/>
      </c>
      <c r="L22" s="28">
        <f>IF(T22="","·",T22/D22)</f>
        <v/>
      </c>
      <c r="M22" s="28">
        <f>IF(ISBLANK(V22),"·",V22/D22)</f>
        <v/>
      </c>
      <c r="N22" s="82">
        <f>IF(OR(ISBLANK(T22),ISBLANK(U22)),"",T22+U22)</f>
        <v/>
      </c>
      <c r="O22" s="28" t="n">
        <v>16</v>
      </c>
      <c r="P22" s="29" t="n">
        <v>32746620</v>
      </c>
      <c r="Q22" s="29" t="n">
        <v>1023331.875</v>
      </c>
      <c r="R22" s="29" t="n">
        <v>34640.1875</v>
      </c>
      <c r="S22" s="30" t="n">
        <v>3278520</v>
      </c>
      <c r="T22" s="30" t="n">
        <v>1012504</v>
      </c>
      <c r="U22" s="30" t="n">
        <v>482256</v>
      </c>
      <c r="V22" s="30" t="n">
        <v>1783632</v>
      </c>
      <c r="W22" s="31" t="n">
        <v>70.003465625</v>
      </c>
      <c r="X22" s="31" t="n">
        <v>72.44992499999999</v>
      </c>
      <c r="Y22" s="31" t="n">
        <v>33.580721875</v>
      </c>
      <c r="Z22" s="31" t="n">
        <v>41.718596875</v>
      </c>
      <c r="AA22" s="31" t="n">
        <v>40.58314375</v>
      </c>
      <c r="AB22" s="32" t="n">
        <v>4251.38</v>
      </c>
      <c r="AC22" s="32" t="n">
        <v>3155.15</v>
      </c>
      <c r="AD22" s="32" t="n">
        <v>5.741</v>
      </c>
      <c r="AE22" s="32" t="n">
        <v>17.053</v>
      </c>
      <c r="AG22" s="27">
        <f>IF(OR(ISBLANK(AQ22),ISBLANK(G22)),"·",AQ22*G22/F22/1000000)</f>
        <v/>
      </c>
      <c r="AH22" s="28">
        <f>IF(ISBLANK(AQ22),"·",AQ22/D22)</f>
        <v/>
      </c>
      <c r="AI22" s="28">
        <f>IF(AL22="","·",AL22/D22)</f>
        <v/>
      </c>
      <c r="AJ22" s="28">
        <f>IF(AR22="","·",AR22/D22)</f>
        <v/>
      </c>
      <c r="AK22" s="28">
        <f>IF(ISBLANK(AT22),"·",AT22/D22)</f>
        <v/>
      </c>
      <c r="AL22" s="82">
        <f>IF(OR(ISBLANK(AR22),ISBLANK(AS22)),"",AR22+AS22)</f>
        <v/>
      </c>
      <c r="AM22" s="28" t="n">
        <v>16</v>
      </c>
      <c r="AN22" s="29" t="n">
        <v>32746620</v>
      </c>
      <c r="AO22" s="29" t="n">
        <v>1023331.875</v>
      </c>
      <c r="AP22" s="29" t="n">
        <v>34640.1875</v>
      </c>
      <c r="AQ22" s="30" t="n">
        <v>3278520</v>
      </c>
      <c r="AR22" s="30" t="n">
        <v>1012504</v>
      </c>
      <c r="AS22" s="30" t="n">
        <v>482256</v>
      </c>
      <c r="AT22" s="30" t="n">
        <v>1783632</v>
      </c>
      <c r="AU22" s="31" t="n">
        <v>70.003465625</v>
      </c>
      <c r="AV22" s="31" t="n">
        <v>72.44992499999999</v>
      </c>
      <c r="AW22" s="31" t="n">
        <v>33.580721875</v>
      </c>
      <c r="AX22" s="31" t="n">
        <v>41.718596875</v>
      </c>
      <c r="AY22" s="31" t="n">
        <v>40.58314375</v>
      </c>
      <c r="AZ22" s="32" t="n">
        <v>4253.29</v>
      </c>
      <c r="BA22" s="32" t="n">
        <v>3131.53</v>
      </c>
      <c r="BB22" s="32" t="n">
        <v>5.914</v>
      </c>
      <c r="BC22" s="32" t="n">
        <v>17.327</v>
      </c>
      <c r="BE22" s="33">
        <f>(AP22/AO22) - (R22/Q22)</f>
        <v/>
      </c>
      <c r="BF22" s="33">
        <f>(AL22/AQ22) - (N22/S22)</f>
        <v/>
      </c>
      <c r="BG22" s="33" t="n"/>
      <c r="BI22" s="84" t="n"/>
      <c r="BJ22" s="84" t="n"/>
      <c r="BK22" s="84" t="n"/>
      <c r="BL22" s="84" t="n"/>
      <c r="BM22" s="84" t="n"/>
      <c r="BO22" s="84" t="n"/>
      <c r="BP22" s="84" t="n"/>
      <c r="BQ22" s="84" t="n"/>
      <c r="BR22" s="84" t="n"/>
      <c r="BS22" s="84" t="n"/>
    </row>
    <row outlineLevel="1" r="23" s="4">
      <c r="A23" s="90" t="n"/>
      <c r="B23" s="90" t="inlineStr">
        <is>
          <t>queen</t>
        </is>
      </c>
      <c r="C23" s="16" t="inlineStr">
        <is>
          <t>r04</t>
        </is>
      </c>
      <c r="D23" s="90" t="n">
        <v>250602891</v>
      </c>
      <c r="E23" s="16" t="n">
        <v>10</v>
      </c>
      <c r="F23" s="16" t="n">
        <v>32</v>
      </c>
      <c r="G23" s="16" t="n">
        <v>50</v>
      </c>
      <c r="I23" s="17">
        <f>IF(OR(ISBLANK(S23),ISBLANK(G23)),"·",S23*G23/F23/1000000)</f>
        <v/>
      </c>
      <c r="J23" s="18">
        <f>IF(ISBLANK(S23),"·",S23/D23)</f>
        <v/>
      </c>
      <c r="K23" s="18">
        <f>IF(N23="","·",N23/D23)</f>
        <v/>
      </c>
      <c r="L23" s="18">
        <f>IF(T23="","·",T23/D23)</f>
        <v/>
      </c>
      <c r="M23" s="18">
        <f>IF(ISBLANK(V23),"·",V23/D23)</f>
        <v/>
      </c>
      <c r="N23" s="90">
        <f>IF(OR(ISBLANK(T23),ISBLANK(U23)),"",T23+U23)</f>
        <v/>
      </c>
      <c r="O23" s="18" t="n">
        <v>16</v>
      </c>
      <c r="P23" s="19" t="n">
        <v>33050216</v>
      </c>
      <c r="Q23" s="19" t="n">
        <v>1032819.25</v>
      </c>
      <c r="R23" s="19" t="n">
        <v>36820.71875</v>
      </c>
      <c r="S23" s="20" t="n">
        <v>6070912</v>
      </c>
      <c r="T23" s="20" t="n">
        <v>1641512</v>
      </c>
      <c r="U23" s="20" t="n">
        <v>482256</v>
      </c>
      <c r="V23" s="20" t="n">
        <v>3947016</v>
      </c>
      <c r="W23" s="21" t="n">
        <v>70.9356375</v>
      </c>
      <c r="X23" s="21" t="n">
        <v>73.66926875</v>
      </c>
      <c r="Y23" s="21" t="n">
        <v>35.489134375</v>
      </c>
      <c r="Z23" s="21" t="n">
        <v>42.832921875</v>
      </c>
      <c r="AA23" s="21" t="n">
        <v>41.608640625</v>
      </c>
      <c r="AB23" s="22" t="n">
        <v>4341.44</v>
      </c>
      <c r="AC23" s="22" t="n">
        <v>3522.92</v>
      </c>
      <c r="AD23" s="22" t="n">
        <v>5.717</v>
      </c>
      <c r="AE23" s="22" t="n">
        <v>17.292</v>
      </c>
      <c r="AG23" s="17">
        <f>IF(OR(ISBLANK(AQ23),ISBLANK(G23)),"·",AQ23*G23/F23/1000000)</f>
        <v/>
      </c>
      <c r="AH23" s="18">
        <f>IF(ISBLANK(AQ23),"·",AQ23/D23)</f>
        <v/>
      </c>
      <c r="AI23" s="18">
        <f>IF(AL23="","·",AL23/D23)</f>
        <v/>
      </c>
      <c r="AJ23" s="18">
        <f>IF(AR23="","·",AR23/D23)</f>
        <v/>
      </c>
      <c r="AK23" s="18">
        <f>IF(ISBLANK(AT23),"·",AT23/D23)</f>
        <v/>
      </c>
      <c r="AL23" s="90">
        <f>IF(OR(ISBLANK(AR23),ISBLANK(AS23)),"",AR23+AS23)</f>
        <v/>
      </c>
      <c r="AM23" s="18" t="n">
        <v>16</v>
      </c>
      <c r="AN23" s="19" t="n">
        <v>33050216</v>
      </c>
      <c r="AO23" s="19" t="n">
        <v>1032819.25</v>
      </c>
      <c r="AP23" s="19" t="n">
        <v>36820.71875</v>
      </c>
      <c r="AQ23" s="20" t="n">
        <v>6070912</v>
      </c>
      <c r="AR23" s="20" t="n">
        <v>1641512</v>
      </c>
      <c r="AS23" s="20" t="n">
        <v>482256</v>
      </c>
      <c r="AT23" s="20" t="n">
        <v>3947016</v>
      </c>
      <c r="AU23" s="21" t="n">
        <v>70.9356375</v>
      </c>
      <c r="AV23" s="21" t="n">
        <v>73.66926875</v>
      </c>
      <c r="AW23" s="21" t="n">
        <v>35.489134375</v>
      </c>
      <c r="AX23" s="21" t="n">
        <v>42.832921875</v>
      </c>
      <c r="AY23" s="21" t="n">
        <v>41.608640625</v>
      </c>
      <c r="AZ23" s="22" t="n">
        <v>4248.43</v>
      </c>
      <c r="BA23" s="22" t="n">
        <v>3388.41</v>
      </c>
      <c r="BB23" s="22" t="n">
        <v>5.796</v>
      </c>
      <c r="BC23" s="22" t="n">
        <v>17.586</v>
      </c>
      <c r="BE23" s="23">
        <f>(AP23/AO23) - (R23/Q23)</f>
        <v/>
      </c>
      <c r="BF23" s="23">
        <f>(AL23/AQ23) - (N23/S23)</f>
        <v/>
      </c>
      <c r="BG23" s="23" t="n"/>
      <c r="BI23" s="92" t="n"/>
      <c r="BJ23" s="92" t="n"/>
      <c r="BK23" s="92" t="n"/>
      <c r="BL23" s="92" t="n"/>
      <c r="BM23" s="92" t="n"/>
      <c r="BO23" s="92" t="n"/>
      <c r="BP23" s="92" t="n"/>
      <c r="BQ23" s="92" t="n"/>
      <c r="BR23" s="92" t="n"/>
      <c r="BS23" s="92" t="n"/>
    </row>
    <row outlineLevel="1" r="24" s="4">
      <c r="A24" s="45" t="n"/>
      <c r="B24" s="45" t="inlineStr">
        <is>
          <t>queen</t>
        </is>
      </c>
      <c r="C24" s="46" t="inlineStr">
        <is>
          <t>r05</t>
        </is>
      </c>
      <c r="D24" s="45" t="n">
        <v>250602891</v>
      </c>
      <c r="E24" s="46" t="n">
        <v>10</v>
      </c>
      <c r="F24" s="46" t="n">
        <v>32</v>
      </c>
      <c r="G24" s="46" t="n">
        <v>50</v>
      </c>
      <c r="I24" s="47">
        <f>IF(OR(ISBLANK(S24),ISBLANK(G24)),"·",S24*G24/F24/1000000)</f>
        <v/>
      </c>
      <c r="J24" s="48">
        <f>IF(ISBLANK(S24),"·",S24/D24)</f>
        <v/>
      </c>
      <c r="K24" s="48">
        <f>IF(N24="","·",N24/D24)</f>
        <v/>
      </c>
      <c r="L24" s="48">
        <f>IF(T24="","·",T24/D24)</f>
        <v/>
      </c>
      <c r="M24" s="48">
        <f>IF(ISBLANK(V24),"·",V24/D24)</f>
        <v/>
      </c>
      <c r="N24" s="45">
        <f>IF(OR(ISBLANK(T24),ISBLANK(U24)),"",T24+U24)</f>
        <v/>
      </c>
      <c r="O24" s="48" t="n">
        <v>16</v>
      </c>
      <c r="P24" s="49" t="n">
        <v>31492561</v>
      </c>
      <c r="Q24" s="49" t="n">
        <v>984142.53125</v>
      </c>
      <c r="R24" s="49" t="n">
        <v>17732.5</v>
      </c>
      <c r="S24" s="50" t="n">
        <v>11778904</v>
      </c>
      <c r="T24" s="50" t="n">
        <v>2605240</v>
      </c>
      <c r="U24" s="50" t="n">
        <v>1008968</v>
      </c>
      <c r="V24" s="50" t="n">
        <v>8164568</v>
      </c>
      <c r="W24" s="51" t="n">
        <v>71.9412875</v>
      </c>
      <c r="X24" s="51" t="n">
        <v>75.8555625</v>
      </c>
      <c r="Y24" s="51" t="n">
        <v>36.95869375</v>
      </c>
      <c r="Z24" s="51" t="n">
        <v>43.6241</v>
      </c>
      <c r="AA24" s="51" t="n">
        <v>42.268915625</v>
      </c>
      <c r="AB24" s="52" t="n">
        <v>4486.51</v>
      </c>
      <c r="AC24" s="52" t="n">
        <v>3938.28</v>
      </c>
      <c r="AD24" s="52" t="n">
        <v>5.33</v>
      </c>
      <c r="AE24" s="52" t="n">
        <v>17.817</v>
      </c>
      <c r="AG24" s="47">
        <f>IF(OR(ISBLANK(AQ24),ISBLANK(G24)),"·",AQ24*G24/F24/1000000)</f>
        <v/>
      </c>
      <c r="AH24" s="48">
        <f>IF(ISBLANK(AQ24),"·",AQ24/D24)</f>
        <v/>
      </c>
      <c r="AI24" s="48">
        <f>IF(AL24="","·",AL24/D24)</f>
        <v/>
      </c>
      <c r="AJ24" s="48">
        <f>IF(AR24="","·",AR24/D24)</f>
        <v/>
      </c>
      <c r="AK24" s="48">
        <f>IF(ISBLANK(AT24),"·",AT24/D24)</f>
        <v/>
      </c>
      <c r="AL24" s="45">
        <f>IF(OR(ISBLANK(AR24),ISBLANK(AS24)),"",AR24+AS24)</f>
        <v/>
      </c>
      <c r="AM24" s="48" t="n">
        <v>16</v>
      </c>
      <c r="AN24" s="49" t="n">
        <v>31492561</v>
      </c>
      <c r="AO24" s="49" t="n">
        <v>984142.53125</v>
      </c>
      <c r="AP24" s="49" t="n">
        <v>17732.5</v>
      </c>
      <c r="AQ24" s="50" t="n">
        <v>11778904</v>
      </c>
      <c r="AR24" s="50" t="n">
        <v>2605240</v>
      </c>
      <c r="AS24" s="50" t="n">
        <v>1008968</v>
      </c>
      <c r="AT24" s="50" t="n">
        <v>8164568</v>
      </c>
      <c r="AU24" s="51" t="n">
        <v>71.9412875</v>
      </c>
      <c r="AV24" s="51" t="n">
        <v>75.8555625</v>
      </c>
      <c r="AW24" s="51" t="n">
        <v>36.95869375</v>
      </c>
      <c r="AX24" s="51" t="n">
        <v>43.6241</v>
      </c>
      <c r="AY24" s="51" t="n">
        <v>42.268915625</v>
      </c>
      <c r="AZ24" s="52" t="n">
        <v>4549.82</v>
      </c>
      <c r="BA24" s="52" t="n">
        <v>3959.82</v>
      </c>
      <c r="BB24" s="52" t="n">
        <v>5.528</v>
      </c>
      <c r="BC24" s="52" t="n">
        <v>18.405</v>
      </c>
      <c r="BE24" s="53">
        <f>(AP24/AO24) - (R24/Q24)</f>
        <v/>
      </c>
      <c r="BF24" s="53">
        <f>(AL24/AQ24) - (N24/S24)</f>
        <v/>
      </c>
      <c r="BG24" s="53" t="n"/>
      <c r="BI24" s="54" t="n"/>
      <c r="BJ24" s="54" t="n"/>
      <c r="BK24" s="54" t="n"/>
      <c r="BL24" s="54" t="n"/>
      <c r="BM24" s="54" t="n"/>
      <c r="BO24" s="54" t="n"/>
      <c r="BP24" s="54" t="n"/>
      <c r="BQ24" s="54" t="n"/>
      <c r="BR24" s="54" t="n"/>
      <c r="BS24" s="54" t="n"/>
    </row>
    <row r="25">
      <c r="A25" s="90" t="inlineStr">
        <is>
          <t>cat2-B</t>
        </is>
      </c>
      <c r="B25" s="90" t="inlineStr">
        <is>
          <t>8ivfbv2_longdress_vox10</t>
        </is>
      </c>
      <c r="C25" s="16" t="inlineStr">
        <is>
          <t>r01</t>
        </is>
      </c>
      <c r="D25" s="90" t="n">
        <v>250294582</v>
      </c>
      <c r="E25" s="16" t="n">
        <v>10</v>
      </c>
      <c r="F25" s="16" t="n">
        <v>32</v>
      </c>
      <c r="G25" s="16" t="n">
        <v>30</v>
      </c>
      <c r="I25" s="17">
        <f>IF(OR(ISBLANK(S25),ISBLANK(G25)),"·",S25*G25/F25/1000000)</f>
        <v/>
      </c>
      <c r="J25" s="18">
        <f>IF(ISBLANK(S25),"·",S25/D25)</f>
        <v/>
      </c>
      <c r="K25" s="18">
        <f>IF(N25="","·",N25/D25)</f>
        <v/>
      </c>
      <c r="L25" s="18">
        <f>IF(T25="","·",T25/D25)</f>
        <v/>
      </c>
      <c r="M25" s="18">
        <f>IF(ISBLANK(V25),"·",V25/D25)</f>
        <v/>
      </c>
      <c r="N25" s="90">
        <f>IF(OR(ISBLANK(T25),ISBLANK(U25)),"",T25+U25)</f>
        <v/>
      </c>
      <c r="O25" s="18" t="n">
        <v>16</v>
      </c>
      <c r="P25" s="19" t="n">
        <v>23257329</v>
      </c>
      <c r="Q25" s="19" t="n">
        <v>726791.53125</v>
      </c>
      <c r="R25" s="19" t="n">
        <v>18230.15625</v>
      </c>
      <c r="S25" s="20" t="n">
        <v>2455048</v>
      </c>
      <c r="T25" s="20" t="n">
        <v>921536</v>
      </c>
      <c r="U25" s="20" t="n">
        <v>650504</v>
      </c>
      <c r="V25" s="20" t="n">
        <v>882880</v>
      </c>
      <c r="W25" s="21" t="n">
        <v>66.245484375</v>
      </c>
      <c r="X25" s="21" t="n">
        <v>68.00564375</v>
      </c>
      <c r="Y25" s="21" t="n">
        <v>26.014425</v>
      </c>
      <c r="Z25" s="21" t="n">
        <v>32.4974125</v>
      </c>
      <c r="AA25" s="21" t="n">
        <v>31.71371875</v>
      </c>
      <c r="AB25" s="22" t="n">
        <v>3315.83</v>
      </c>
      <c r="AC25" s="22" t="n">
        <v>4325.01</v>
      </c>
      <c r="AD25" s="22" t="n">
        <v>5.093</v>
      </c>
      <c r="AE25" s="22" t="n">
        <v>22.042</v>
      </c>
      <c r="AG25" s="17">
        <f>IF(OR(ISBLANK(AQ25),ISBLANK(G25)),"·",AQ25*G25/F25/1000000)</f>
        <v/>
      </c>
      <c r="AH25" s="18">
        <f>IF(ISBLANK(AQ25),"·",AQ25/D25)</f>
        <v/>
      </c>
      <c r="AI25" s="18">
        <f>IF(AL25="","·",AL25/D25)</f>
        <v/>
      </c>
      <c r="AJ25" s="18">
        <f>IF(AR25="","·",AR25/D25)</f>
        <v/>
      </c>
      <c r="AK25" s="18">
        <f>IF(ISBLANK(AT25),"·",AT25/D25)</f>
        <v/>
      </c>
      <c r="AL25" s="90">
        <f>IF(OR(ISBLANK(AR25),ISBLANK(AS25)),"",AR25+AS25)</f>
        <v/>
      </c>
      <c r="AM25" s="18" t="n">
        <v>16</v>
      </c>
      <c r="AN25" s="19" t="n">
        <v>23257329</v>
      </c>
      <c r="AO25" s="19" t="n">
        <v>726791.53125</v>
      </c>
      <c r="AP25" s="19" t="n">
        <v>18230.15625</v>
      </c>
      <c r="AQ25" s="20" t="n">
        <v>2455048</v>
      </c>
      <c r="AR25" s="20" t="n">
        <v>921536</v>
      </c>
      <c r="AS25" s="20" t="n">
        <v>650504</v>
      </c>
      <c r="AT25" s="20" t="n">
        <v>882880</v>
      </c>
      <c r="AU25" s="21" t="n">
        <v>66.245484375</v>
      </c>
      <c r="AV25" s="21" t="n">
        <v>68.00564375</v>
      </c>
      <c r="AW25" s="21" t="n">
        <v>26.014425</v>
      </c>
      <c r="AX25" s="21" t="n">
        <v>32.4974125</v>
      </c>
      <c r="AY25" s="21" t="n">
        <v>31.71371875</v>
      </c>
      <c r="AZ25" s="22" t="n">
        <v>3287.54</v>
      </c>
      <c r="BA25" s="22" t="n">
        <v>4152.83</v>
      </c>
      <c r="BB25" s="22" t="n">
        <v>5.079</v>
      </c>
      <c r="BC25" s="22" t="n">
        <v>22.223</v>
      </c>
      <c r="BE25" s="23">
        <f>(AP25/AO25) - (R25/Q25)</f>
        <v/>
      </c>
      <c r="BF25" s="23">
        <f>(AL25/AQ25) - (N25/S25)</f>
        <v/>
      </c>
      <c r="BG25" s="23">
        <f ref="BG25" t="array">AVERAGE(AL25:AL29/AQ25:AQ29) - AVERAGE(N25:N29/S25:S29)</f>
        <v/>
      </c>
      <c r="BI25" s="92">
        <f>IF( OR(ISBLANK(N25:N29),ISBLANK(AL25:AL29), ISBLANK(W25:W29),ISBLANK(AU25:AU29)), "·", bdRateExtend( N25:N29,W25:W29, AL25:AL29,AU25:AU29))</f>
        <v/>
      </c>
      <c r="BJ25" s="92">
        <f>IF( OR(ISBLANK(N25:N29),ISBLANK(AL25:AL29), ISBLANK(X25:X29),ISBLANK(AV25:AV29)), "·", bdRateExtend( N25:N29,X25:X29, AL25:AL29,AV25:AV29))</f>
        <v/>
      </c>
      <c r="BK25" s="92">
        <f>IF( OR(ISBLANK(V25:V29),ISBLANK(AT25:AT29), ISBLANK(Y25:Y29),ISBLANK(AW25:AW29)), "·", bdRateExtend( V25:V29,Y25:Y29, AT25:AT29,AW25:AW29))</f>
        <v/>
      </c>
      <c r="BL25" s="92">
        <f>IF( OR(ISBLANK(V25:V29),ISBLANK(AT25:AT29), ISBLANK(Z25:Z29),ISBLANK(AX25:AX29)), "·", bdRateExtend( V25:V29,Z25:Z29, AT25:AT29,AX25:AX29))</f>
        <v/>
      </c>
      <c r="BM25" s="92">
        <f>IF( OR(ISBLANK(V25:V29),ISBLANK(AT25:AT29), ISBLANK(AA25:AA29),ISBLANK(AY25:AY29)), "·", bdRateExtend( V25:V29,AA25:AA29, AT25:AT29,AY25:AY29))</f>
        <v/>
      </c>
      <c r="BO25" s="92">
        <f>IF( OR(ISBLANK(S25:S29),ISBLANK(AQ25:AQ29), ISBLANK(W25:W29),ISBLANK(AU25:AU29)), "·", bdRateExtend( S25:S29,W25:W29, AQ25:AQ29,AU25:AU29))</f>
        <v/>
      </c>
      <c r="BP25" s="92">
        <f>IF( OR(ISBLANK(S25:S29),ISBLANK(AQ25:AQ29), ISBLANK(X25:X29),ISBLANK(AV25:AV29)), "·", bdRateExtend( S25:S29,X25:X29, AQ25:AQ29,AV25:AV29))</f>
        <v/>
      </c>
      <c r="BQ25" s="92">
        <f>IF( OR(ISBLANK(S25:S29),ISBLANK(AQ25:AQ29), ISBLANK(Y25:Y29),ISBLANK(AW25:AW29)), "·", bdRateExtend( S25:S29,Y25:Y29, AQ25:AQ29,AW25:AW29))</f>
        <v/>
      </c>
      <c r="BR25" s="92">
        <f>IF( OR(ISBLANK(S25:S29),ISBLANK(AQ25:AQ29), ISBLANK(Z25:Z29),ISBLANK(AX25:AX29)), "·", bdRateExtend( S25:S29,Z25:Z29, AQ25:AQ29,AX25:AX29))</f>
        <v/>
      </c>
      <c r="BS25" s="92">
        <f>IF( OR(ISBLANK(S25:S29),ISBLANK(AQ25:AQ29), ISBLANK(AA25:AA29),ISBLANK(AY25:AY29)), "·", bdRateExtend( S25:S29,AA25:AA29, AQ25:AQ29,AY25:AY29))</f>
        <v/>
      </c>
    </row>
    <row outlineLevel="1" r="26" s="4">
      <c r="A26" s="82" t="n"/>
      <c r="B26" s="82" t="inlineStr">
        <is>
          <t>8ivfbv2_longdress_vox10</t>
        </is>
      </c>
      <c r="C26" s="26" t="inlineStr">
        <is>
          <t>r02</t>
        </is>
      </c>
      <c r="D26" s="82" t="n">
        <v>250294582</v>
      </c>
      <c r="E26" s="26" t="n">
        <v>10</v>
      </c>
      <c r="F26" s="26" t="n">
        <v>32</v>
      </c>
      <c r="G26" s="26" t="n">
        <v>30</v>
      </c>
      <c r="I26" s="27">
        <f>IF(OR(ISBLANK(S26),ISBLANK(G26)),"·",S26*G26/F26/1000000)</f>
        <v/>
      </c>
      <c r="J26" s="28">
        <f>IF(ISBLANK(S26),"·",S26/D26)</f>
        <v/>
      </c>
      <c r="K26" s="28">
        <f>IF(N26="","·",N26/D26)</f>
        <v/>
      </c>
      <c r="L26" s="28">
        <f>IF(T26="","·",T26/D26)</f>
        <v/>
      </c>
      <c r="M26" s="28">
        <f>IF(ISBLANK(V26),"·",V26/D26)</f>
        <v/>
      </c>
      <c r="N26" s="82">
        <f>IF(OR(ISBLANK(T26),ISBLANK(U26)),"",T26+U26)</f>
        <v/>
      </c>
      <c r="O26" s="28" t="n">
        <v>16</v>
      </c>
      <c r="P26" s="29" t="n">
        <v>24989980</v>
      </c>
      <c r="Q26" s="29" t="n">
        <v>780936.875</v>
      </c>
      <c r="R26" s="29" t="n">
        <v>23153.53125</v>
      </c>
      <c r="S26" s="30" t="n">
        <v>3731576</v>
      </c>
      <c r="T26" s="30" t="n">
        <v>1269128</v>
      </c>
      <c r="U26" s="30" t="n">
        <v>650504</v>
      </c>
      <c r="V26" s="30" t="n">
        <v>1811816</v>
      </c>
      <c r="W26" s="31" t="n">
        <v>68.037040625</v>
      </c>
      <c r="X26" s="31" t="n">
        <v>70.00908124999999</v>
      </c>
      <c r="Y26" s="31" t="n">
        <v>28.056684375</v>
      </c>
      <c r="Z26" s="31" t="n">
        <v>33.75400625</v>
      </c>
      <c r="AA26" s="31" t="n">
        <v>33.1617</v>
      </c>
      <c r="AB26" s="32" t="n">
        <v>3296.23</v>
      </c>
      <c r="AC26" s="32" t="n">
        <v>4495.46</v>
      </c>
      <c r="AD26" s="32" t="n">
        <v>5.146</v>
      </c>
      <c r="AE26" s="32" t="n">
        <v>21.569</v>
      </c>
      <c r="AG26" s="27">
        <f>IF(OR(ISBLANK(AQ26),ISBLANK(G26)),"·",AQ26*G26/F26/1000000)</f>
        <v/>
      </c>
      <c r="AH26" s="28">
        <f>IF(ISBLANK(AQ26),"·",AQ26/D26)</f>
        <v/>
      </c>
      <c r="AI26" s="28">
        <f>IF(AL26="","·",AL26/D26)</f>
        <v/>
      </c>
      <c r="AJ26" s="28">
        <f>IF(AR26="","·",AR26/D26)</f>
        <v/>
      </c>
      <c r="AK26" s="28">
        <f>IF(ISBLANK(AT26),"·",AT26/D26)</f>
        <v/>
      </c>
      <c r="AL26" s="82">
        <f>IF(OR(ISBLANK(AR26),ISBLANK(AS26)),"",AR26+AS26)</f>
        <v/>
      </c>
      <c r="AM26" s="28" t="n">
        <v>16</v>
      </c>
      <c r="AN26" s="29" t="n">
        <v>24989980</v>
      </c>
      <c r="AO26" s="29" t="n">
        <v>780936.875</v>
      </c>
      <c r="AP26" s="29" t="n">
        <v>23153.53125</v>
      </c>
      <c r="AQ26" s="30" t="n">
        <v>3731576</v>
      </c>
      <c r="AR26" s="30" t="n">
        <v>1269128</v>
      </c>
      <c r="AS26" s="30" t="n">
        <v>650504</v>
      </c>
      <c r="AT26" s="30" t="n">
        <v>1811816</v>
      </c>
      <c r="AU26" s="31" t="n">
        <v>68.037040625</v>
      </c>
      <c r="AV26" s="31" t="n">
        <v>70.00908124999999</v>
      </c>
      <c r="AW26" s="31" t="n">
        <v>28.056684375</v>
      </c>
      <c r="AX26" s="31" t="n">
        <v>33.75400625</v>
      </c>
      <c r="AY26" s="31" t="n">
        <v>33.1617</v>
      </c>
      <c r="AZ26" s="32" t="n">
        <v>3454.07</v>
      </c>
      <c r="BA26" s="32" t="n">
        <v>4712.37</v>
      </c>
      <c r="BB26" s="32" t="n">
        <v>5.212</v>
      </c>
      <c r="BC26" s="32" t="n">
        <v>22.236</v>
      </c>
      <c r="BE26" s="33">
        <f>(AP26/AO26) - (R26/Q26)</f>
        <v/>
      </c>
      <c r="BF26" s="33">
        <f>(AL26/AQ26) - (N26/S26)</f>
        <v/>
      </c>
      <c r="BG26" s="33" t="n"/>
      <c r="BI26" s="84" t="n"/>
      <c r="BJ26" s="84" t="n"/>
      <c r="BK26" s="84" t="n"/>
      <c r="BL26" s="84" t="n"/>
      <c r="BM26" s="84" t="n"/>
      <c r="BO26" s="84" t="n"/>
      <c r="BP26" s="84" t="n"/>
      <c r="BQ26" s="84" t="n"/>
      <c r="BR26" s="84" t="n"/>
      <c r="BS26" s="84" t="n"/>
    </row>
    <row outlineLevel="1" r="27" s="4">
      <c r="A27" s="90" t="n"/>
      <c r="B27" s="90" t="inlineStr">
        <is>
          <t>8ivfbv2_longdress_vox10</t>
        </is>
      </c>
      <c r="C27" s="16" t="inlineStr">
        <is>
          <t>r03</t>
        </is>
      </c>
      <c r="D27" s="90" t="n">
        <v>250294582</v>
      </c>
      <c r="E27" s="16" t="n">
        <v>10</v>
      </c>
      <c r="F27" s="16" t="n">
        <v>32</v>
      </c>
      <c r="G27" s="16" t="n">
        <v>30</v>
      </c>
      <c r="I27" s="17">
        <f>IF(OR(ISBLANK(S27),ISBLANK(G27)),"·",S27*G27/F27/1000000)</f>
        <v/>
      </c>
      <c r="J27" s="18">
        <f>IF(ISBLANK(S27),"·",S27/D27)</f>
        <v/>
      </c>
      <c r="K27" s="18">
        <f>IF(N27="","·",N27/D27)</f>
        <v/>
      </c>
      <c r="L27" s="18">
        <f>IF(T27="","·",T27/D27)</f>
        <v/>
      </c>
      <c r="M27" s="18">
        <f>IF(ISBLANK(V27),"·",V27/D27)</f>
        <v/>
      </c>
      <c r="N27" s="90">
        <f>IF(OR(ISBLANK(T27),ISBLANK(U27)),"",T27+U27)</f>
        <v/>
      </c>
      <c r="O27" s="18" t="n">
        <v>16</v>
      </c>
      <c r="P27" s="19" t="n">
        <v>25283662</v>
      </c>
      <c r="Q27" s="19" t="n">
        <v>790114.4375</v>
      </c>
      <c r="R27" s="19" t="n">
        <v>24406.4375</v>
      </c>
      <c r="S27" s="20" t="n">
        <v>6339088</v>
      </c>
      <c r="T27" s="20" t="n">
        <v>1772480</v>
      </c>
      <c r="U27" s="20" t="n">
        <v>650504</v>
      </c>
      <c r="V27" s="20" t="n">
        <v>3915976</v>
      </c>
      <c r="W27" s="21" t="n">
        <v>69.41045</v>
      </c>
      <c r="X27" s="21" t="n">
        <v>71.75165625</v>
      </c>
      <c r="Y27" s="21" t="n">
        <v>30.35624375</v>
      </c>
      <c r="Z27" s="21" t="n">
        <v>35.031253125</v>
      </c>
      <c r="AA27" s="21" t="n">
        <v>34.50640625</v>
      </c>
      <c r="AB27" s="22" t="n">
        <v>3292.35</v>
      </c>
      <c r="AC27" s="22" t="n">
        <v>4805.49</v>
      </c>
      <c r="AD27" s="22" t="n">
        <v>5.083</v>
      </c>
      <c r="AE27" s="22" t="n">
        <v>21.829</v>
      </c>
      <c r="AG27" s="17">
        <f>IF(OR(ISBLANK(AQ27),ISBLANK(G27)),"·",AQ27*G27/F27/1000000)</f>
        <v/>
      </c>
      <c r="AH27" s="18">
        <f>IF(ISBLANK(AQ27),"·",AQ27/D27)</f>
        <v/>
      </c>
      <c r="AI27" s="18">
        <f>IF(AL27="","·",AL27/D27)</f>
        <v/>
      </c>
      <c r="AJ27" s="18">
        <f>IF(AR27="","·",AR27/D27)</f>
        <v/>
      </c>
      <c r="AK27" s="18">
        <f>IF(ISBLANK(AT27),"·",AT27/D27)</f>
        <v/>
      </c>
      <c r="AL27" s="90">
        <f>IF(OR(ISBLANK(AR27),ISBLANK(AS27)),"",AR27+AS27)</f>
        <v/>
      </c>
      <c r="AM27" s="18" t="n">
        <v>16</v>
      </c>
      <c r="AN27" s="19" t="n">
        <v>25283662</v>
      </c>
      <c r="AO27" s="19" t="n">
        <v>790114.4375</v>
      </c>
      <c r="AP27" s="19" t="n">
        <v>24406.4375</v>
      </c>
      <c r="AQ27" s="20" t="n">
        <v>6339088</v>
      </c>
      <c r="AR27" s="20" t="n">
        <v>1772480</v>
      </c>
      <c r="AS27" s="20" t="n">
        <v>650504</v>
      </c>
      <c r="AT27" s="20" t="n">
        <v>3915976</v>
      </c>
      <c r="AU27" s="21" t="n">
        <v>69.41045</v>
      </c>
      <c r="AV27" s="21" t="n">
        <v>71.75165625</v>
      </c>
      <c r="AW27" s="21" t="n">
        <v>30.35624375</v>
      </c>
      <c r="AX27" s="21" t="n">
        <v>35.031253125</v>
      </c>
      <c r="AY27" s="21" t="n">
        <v>34.50640625</v>
      </c>
      <c r="AZ27" s="22" t="n">
        <v>3263.61</v>
      </c>
      <c r="BA27" s="22" t="n">
        <v>4783.14</v>
      </c>
      <c r="BB27" s="22" t="n">
        <v>5.34</v>
      </c>
      <c r="BC27" s="22" t="n">
        <v>22.933</v>
      </c>
      <c r="BE27" s="23">
        <f>(AP27/AO27) - (R27/Q27)</f>
        <v/>
      </c>
      <c r="BF27" s="23">
        <f>(AL27/AQ27) - (N27/S27)</f>
        <v/>
      </c>
      <c r="BG27" s="23" t="n"/>
      <c r="BI27" s="92" t="n"/>
      <c r="BJ27" s="92" t="n"/>
      <c r="BK27" s="92" t="n"/>
      <c r="BL27" s="92" t="n"/>
      <c r="BM27" s="92" t="n"/>
      <c r="BO27" s="92" t="n"/>
      <c r="BP27" s="92" t="n"/>
      <c r="BQ27" s="92" t="n"/>
      <c r="BR27" s="92" t="n"/>
      <c r="BS27" s="92" t="n"/>
    </row>
    <row outlineLevel="1" r="28" s="4">
      <c r="A28" s="82" t="n"/>
      <c r="B28" s="82" t="inlineStr">
        <is>
          <t>8ivfbv2_longdress_vox10</t>
        </is>
      </c>
      <c r="C28" s="26" t="inlineStr">
        <is>
          <t>r04</t>
        </is>
      </c>
      <c r="D28" s="82" t="n">
        <v>250294582</v>
      </c>
      <c r="E28" s="26" t="n">
        <v>10</v>
      </c>
      <c r="F28" s="26" t="n">
        <v>32</v>
      </c>
      <c r="G28" s="26" t="n">
        <v>30</v>
      </c>
      <c r="I28" s="27">
        <f>IF(OR(ISBLANK(S28),ISBLANK(G28)),"·",S28*G28/F28/1000000)</f>
        <v/>
      </c>
      <c r="J28" s="28">
        <f>IF(ISBLANK(S28),"·",S28/D28)</f>
        <v/>
      </c>
      <c r="K28" s="28">
        <f>IF(N28="","·",N28/D28)</f>
        <v/>
      </c>
      <c r="L28" s="28">
        <f>IF(T28="","·",T28/D28)</f>
        <v/>
      </c>
      <c r="M28" s="28">
        <f>IF(ISBLANK(V28),"·",V28/D28)</f>
        <v/>
      </c>
      <c r="N28" s="82">
        <f>IF(OR(ISBLANK(T28),ISBLANK(U28)),"",T28+U28)</f>
        <v/>
      </c>
      <c r="O28" s="28" t="n">
        <v>16</v>
      </c>
      <c r="P28" s="29" t="n">
        <v>26301637</v>
      </c>
      <c r="Q28" s="29" t="n">
        <v>821926.15625</v>
      </c>
      <c r="R28" s="29" t="n">
        <v>28152.53125</v>
      </c>
      <c r="S28" s="30" t="n">
        <v>12736760</v>
      </c>
      <c r="T28" s="30" t="n">
        <v>2636024</v>
      </c>
      <c r="U28" s="30" t="n">
        <v>650504</v>
      </c>
      <c r="V28" s="30" t="n">
        <v>9450104</v>
      </c>
      <c r="W28" s="31" t="n">
        <v>70.4343125</v>
      </c>
      <c r="X28" s="31" t="n">
        <v>72.984228125</v>
      </c>
      <c r="Y28" s="31" t="n">
        <v>32.8420125</v>
      </c>
      <c r="Z28" s="31" t="n">
        <v>36.5765875</v>
      </c>
      <c r="AA28" s="31" t="n">
        <v>36.06678125</v>
      </c>
      <c r="AB28" s="32" t="n">
        <v>3251.38</v>
      </c>
      <c r="AC28" s="32" t="n">
        <v>5136.7</v>
      </c>
      <c r="AD28" s="32" t="n">
        <v>4.955</v>
      </c>
      <c r="AE28" s="32" t="n">
        <v>22.066</v>
      </c>
      <c r="AG28" s="27">
        <f>IF(OR(ISBLANK(AQ28),ISBLANK(G28)),"·",AQ28*G28/F28/1000000)</f>
        <v/>
      </c>
      <c r="AH28" s="28">
        <f>IF(ISBLANK(AQ28),"·",AQ28/D28)</f>
        <v/>
      </c>
      <c r="AI28" s="28">
        <f>IF(AL28="","·",AL28/D28)</f>
        <v/>
      </c>
      <c r="AJ28" s="28">
        <f>IF(AR28="","·",AR28/D28)</f>
        <v/>
      </c>
      <c r="AK28" s="28">
        <f>IF(ISBLANK(AT28),"·",AT28/D28)</f>
        <v/>
      </c>
      <c r="AL28" s="82">
        <f>IF(OR(ISBLANK(AR28),ISBLANK(AS28)),"",AR28+AS28)</f>
        <v/>
      </c>
      <c r="AM28" s="28" t="n">
        <v>16</v>
      </c>
      <c r="AN28" s="29" t="n">
        <v>26301637</v>
      </c>
      <c r="AO28" s="29" t="n">
        <v>821926.15625</v>
      </c>
      <c r="AP28" s="29" t="n">
        <v>28152.53125</v>
      </c>
      <c r="AQ28" s="30" t="n">
        <v>12736760</v>
      </c>
      <c r="AR28" s="30" t="n">
        <v>2636024</v>
      </c>
      <c r="AS28" s="30" t="n">
        <v>650504</v>
      </c>
      <c r="AT28" s="30" t="n">
        <v>9450104</v>
      </c>
      <c r="AU28" s="31" t="n">
        <v>70.4343125</v>
      </c>
      <c r="AV28" s="31" t="n">
        <v>72.984228125</v>
      </c>
      <c r="AW28" s="31" t="n">
        <v>32.8420125</v>
      </c>
      <c r="AX28" s="31" t="n">
        <v>36.5765875</v>
      </c>
      <c r="AY28" s="31" t="n">
        <v>36.06678125</v>
      </c>
      <c r="AZ28" s="32" t="n">
        <v>3437.05</v>
      </c>
      <c r="BA28" s="32" t="n">
        <v>5371.19</v>
      </c>
      <c r="BB28" s="32" t="n">
        <v>5.136</v>
      </c>
      <c r="BC28" s="32" t="n">
        <v>22.36</v>
      </c>
      <c r="BE28" s="33">
        <f>(AP28/AO28) - (R28/Q28)</f>
        <v/>
      </c>
      <c r="BF28" s="33">
        <f>(AL28/AQ28) - (N28/S28)</f>
        <v/>
      </c>
      <c r="BG28" s="33" t="n"/>
      <c r="BI28" s="84" t="n"/>
      <c r="BJ28" s="84" t="n"/>
      <c r="BK28" s="84" t="n"/>
      <c r="BL28" s="84" t="n"/>
      <c r="BM28" s="84" t="n"/>
      <c r="BO28" s="84" t="n"/>
      <c r="BP28" s="84" t="n"/>
      <c r="BQ28" s="84" t="n"/>
      <c r="BR28" s="84" t="n"/>
      <c r="BS28" s="84" t="n"/>
    </row>
    <row outlineLevel="1" r="29" s="4">
      <c r="A29" s="35" t="n"/>
      <c r="B29" s="35" t="inlineStr">
        <is>
          <t>8ivfbv2_longdress_vox10</t>
        </is>
      </c>
      <c r="C29" s="36" t="inlineStr">
        <is>
          <t>r05</t>
        </is>
      </c>
      <c r="D29" s="35" t="n">
        <v>250294582</v>
      </c>
      <c r="E29" s="36" t="n">
        <v>10</v>
      </c>
      <c r="F29" s="36" t="n">
        <v>32</v>
      </c>
      <c r="G29" s="36" t="n">
        <v>30</v>
      </c>
      <c r="I29" s="37">
        <f>IF(OR(ISBLANK(S29),ISBLANK(G29)),"·",S29*G29/F29/1000000)</f>
        <v/>
      </c>
      <c r="J29" s="38">
        <f>IF(ISBLANK(S29),"·",S29/D29)</f>
        <v/>
      </c>
      <c r="K29" s="38">
        <f>IF(N29="","·",N29/D29)</f>
        <v/>
      </c>
      <c r="L29" s="38">
        <f>IF(T29="","·",T29/D29)</f>
        <v/>
      </c>
      <c r="M29" s="38">
        <f>IF(ISBLANK(V29),"·",V29/D29)</f>
        <v/>
      </c>
      <c r="N29" s="35">
        <f>IF(OR(ISBLANK(T29),ISBLANK(U29)),"",T29+U29)</f>
        <v/>
      </c>
      <c r="O29" s="38" t="n">
        <v>16</v>
      </c>
      <c r="P29" s="39" t="n">
        <v>25146858</v>
      </c>
      <c r="Q29" s="39" t="n">
        <v>785839.3125</v>
      </c>
      <c r="R29" s="39" t="n">
        <v>12625.625</v>
      </c>
      <c r="S29" s="40" t="n">
        <v>29432440</v>
      </c>
      <c r="T29" s="40" t="n">
        <v>4119848</v>
      </c>
      <c r="U29" s="40" t="n">
        <v>1281440</v>
      </c>
      <c r="V29" s="40" t="n">
        <v>24031024</v>
      </c>
      <c r="W29" s="41" t="n">
        <v>71.51018125</v>
      </c>
      <c r="X29" s="41" t="n">
        <v>74.895196875</v>
      </c>
      <c r="Y29" s="41" t="n">
        <v>35.532253125</v>
      </c>
      <c r="Z29" s="41" t="n">
        <v>38.5845</v>
      </c>
      <c r="AA29" s="41" t="n">
        <v>38.02228125</v>
      </c>
      <c r="AB29" s="42" t="n">
        <v>3284.04</v>
      </c>
      <c r="AC29" s="42" t="n">
        <v>5970.08</v>
      </c>
      <c r="AD29" s="42" t="n">
        <v>5.143</v>
      </c>
      <c r="AE29" s="42" t="n">
        <v>24.529</v>
      </c>
      <c r="AG29" s="37">
        <f>IF(OR(ISBLANK(AQ29),ISBLANK(G29)),"·",AQ29*G29/F29/1000000)</f>
        <v/>
      </c>
      <c r="AH29" s="38">
        <f>IF(ISBLANK(AQ29),"·",AQ29/D29)</f>
        <v/>
      </c>
      <c r="AI29" s="38">
        <f>IF(AL29="","·",AL29/D29)</f>
        <v/>
      </c>
      <c r="AJ29" s="38">
        <f>IF(AR29="","·",AR29/D29)</f>
        <v/>
      </c>
      <c r="AK29" s="38">
        <f>IF(ISBLANK(AT29),"·",AT29/D29)</f>
        <v/>
      </c>
      <c r="AL29" s="35">
        <f>IF(OR(ISBLANK(AR29),ISBLANK(AS29)),"",AR29+AS29)</f>
        <v/>
      </c>
      <c r="AM29" s="38" t="n">
        <v>16</v>
      </c>
      <c r="AN29" s="39" t="n">
        <v>25146858</v>
      </c>
      <c r="AO29" s="39" t="n">
        <v>785839.3125</v>
      </c>
      <c r="AP29" s="39" t="n">
        <v>12625.625</v>
      </c>
      <c r="AQ29" s="40" t="n">
        <v>29432440</v>
      </c>
      <c r="AR29" s="40" t="n">
        <v>4119848</v>
      </c>
      <c r="AS29" s="40" t="n">
        <v>1281440</v>
      </c>
      <c r="AT29" s="40" t="n">
        <v>24031024</v>
      </c>
      <c r="AU29" s="41" t="n">
        <v>71.51018125</v>
      </c>
      <c r="AV29" s="41" t="n">
        <v>74.895196875</v>
      </c>
      <c r="AW29" s="41" t="n">
        <v>35.532253125</v>
      </c>
      <c r="AX29" s="41" t="n">
        <v>38.5845</v>
      </c>
      <c r="AY29" s="41" t="n">
        <v>38.02228125</v>
      </c>
      <c r="AZ29" s="42" t="n">
        <v>3284.47</v>
      </c>
      <c r="BA29" s="42" t="n">
        <v>5653.86</v>
      </c>
      <c r="BB29" s="42" t="n">
        <v>4.851</v>
      </c>
      <c r="BC29" s="42" t="n">
        <v>23.532</v>
      </c>
      <c r="BE29" s="43">
        <f>(AP29/AO29) - (R29/Q29)</f>
        <v/>
      </c>
      <c r="BF29" s="43">
        <f>(AL29/AQ29) - (N29/S29)</f>
        <v/>
      </c>
      <c r="BG29" s="43" t="n"/>
      <c r="BI29" s="44" t="n"/>
      <c r="BJ29" s="44" t="n"/>
      <c r="BK29" s="44" t="n"/>
      <c r="BL29" s="44" t="n"/>
      <c r="BM29" s="44" t="n"/>
      <c r="BO29" s="44" t="n"/>
      <c r="BP29" s="44" t="n"/>
      <c r="BQ29" s="44" t="n"/>
      <c r="BR29" s="44" t="n"/>
      <c r="BS29" s="44" t="n"/>
    </row>
    <row r="30">
      <c r="B30" s="55" t="inlineStr">
        <is>
          <t>Cat2-A average</t>
        </is>
      </c>
      <c r="J30" s="56">
        <f>AVERAGE(J5:J24)</f>
        <v/>
      </c>
      <c r="K30" s="56">
        <f>AVERAGE(K5:K24)</f>
        <v/>
      </c>
      <c r="L30" s="56">
        <f>AVERAGE(L5:L24)</f>
        <v/>
      </c>
      <c r="M30" s="56">
        <f>AVERAGE(M5:M24)</f>
        <v/>
      </c>
      <c r="AH30" s="56">
        <f>AVERAGE(AH5:AH24)</f>
        <v/>
      </c>
      <c r="AI30" s="56">
        <f>AVERAGE(AI5:AI24)</f>
        <v/>
      </c>
      <c r="AJ30" s="56">
        <f>AVERAGE(AJ5:AJ24)</f>
        <v/>
      </c>
      <c r="AK30" s="56">
        <f>AVERAGE(AK5:AK24)</f>
        <v/>
      </c>
      <c r="BG30" s="116">
        <f>AVERAGE(BG5:BG24)</f>
        <v/>
      </c>
      <c r="BI30" s="111">
        <f>AVERAGE(BI5:BI24)</f>
        <v/>
      </c>
      <c r="BJ30" s="111">
        <f>AVERAGE(BJ5:BJ24)</f>
        <v/>
      </c>
      <c r="BK30" s="111">
        <f>AVERAGE(BK5:BK24)</f>
        <v/>
      </c>
      <c r="BL30" s="111">
        <f>AVERAGE(BL5:BL24)</f>
        <v/>
      </c>
      <c r="BM30" s="111">
        <f>AVERAGE(BM5:BM24)</f>
        <v/>
      </c>
      <c r="BO30" s="111">
        <f>AVERAGE(BO5:BO24)</f>
        <v/>
      </c>
      <c r="BP30" s="111">
        <f>AVERAGE(BP5:BP24)</f>
        <v/>
      </c>
      <c r="BQ30" s="111">
        <f>AVERAGE(BQ5:BQ24)</f>
        <v/>
      </c>
      <c r="BR30" s="111">
        <f>AVERAGE(BR5:BR24)</f>
        <v/>
      </c>
      <c r="BS30" s="111">
        <f>AVERAGE(BS5:BS24)</f>
        <v/>
      </c>
    </row>
    <row r="31">
      <c r="B31" s="55" t="inlineStr">
        <is>
          <t>Cat2-B average</t>
        </is>
      </c>
      <c r="J31" s="56">
        <f>AVERAGE(J25:J29)</f>
        <v/>
      </c>
      <c r="K31" s="56">
        <f>AVERAGE(K25:K29)</f>
        <v/>
      </c>
      <c r="L31" s="56">
        <f>AVERAGE(L25:L29)</f>
        <v/>
      </c>
      <c r="M31" s="56">
        <f>AVERAGE(M25:M29)</f>
        <v/>
      </c>
      <c r="AH31" s="56">
        <f>AVERAGE(AH25:AH29)</f>
        <v/>
      </c>
      <c r="AI31" s="56">
        <f>AVERAGE(AI25:AI29)</f>
        <v/>
      </c>
      <c r="AJ31" s="56">
        <f>AVERAGE(AJ25:AJ29)</f>
        <v/>
      </c>
      <c r="AK31" s="56">
        <f>AVERAGE(AK25:AK29)</f>
        <v/>
      </c>
      <c r="BG31" s="116">
        <f>AVERAGE(BG25:BG29)</f>
        <v/>
      </c>
      <c r="BI31" s="111">
        <f>AVERAGE(BI25:BI29)</f>
        <v/>
      </c>
      <c r="BJ31" s="111">
        <f>AVERAGE(BJ25:BJ29)</f>
        <v/>
      </c>
      <c r="BK31" s="111">
        <f>AVERAGE(BK25:BK29)</f>
        <v/>
      </c>
      <c r="BL31" s="111">
        <f>AVERAGE(BL25:BL29)</f>
        <v/>
      </c>
      <c r="BM31" s="111">
        <f>AVERAGE(BM25:BM29)</f>
        <v/>
      </c>
      <c r="BO31" s="111">
        <f>AVERAGE(BO25:BO29)</f>
        <v/>
      </c>
      <c r="BP31" s="111">
        <f>AVERAGE(BP25:BP29)</f>
        <v/>
      </c>
      <c r="BQ31" s="111">
        <f>AVERAGE(BQ25:BQ29)</f>
        <v/>
      </c>
      <c r="BR31" s="111">
        <f>AVERAGE(BR25:BR29)</f>
        <v/>
      </c>
      <c r="BS31" s="111">
        <f>AVERAGE(BS25:BS29)</f>
        <v/>
      </c>
    </row>
    <row r="32">
      <c r="B32" s="55" t="inlineStr">
        <is>
          <t>Overall average</t>
        </is>
      </c>
      <c r="J32" s="56">
        <f>AVERAGE(J5:J29)</f>
        <v/>
      </c>
      <c r="K32" s="56">
        <f>AVERAGE(K5:K29)</f>
        <v/>
      </c>
      <c r="L32" s="56">
        <f>AVERAGE(L5:L29)</f>
        <v/>
      </c>
      <c r="M32" s="56">
        <f>AVERAGE(M5:M29)</f>
        <v/>
      </c>
      <c r="AH32" s="56">
        <f>AVERAGE(AH5:AH29)</f>
        <v/>
      </c>
      <c r="AI32" s="56">
        <f>AVERAGE(AI5:AI29)</f>
        <v/>
      </c>
      <c r="AJ32" s="56">
        <f>AVERAGE(AJ5:AJ29)</f>
        <v/>
      </c>
      <c r="AK32" s="56">
        <f>AVERAGE(AK5:AK29)</f>
        <v/>
      </c>
      <c r="BG32" s="116">
        <f>AVERAGE(BG5:BG29)</f>
        <v/>
      </c>
      <c r="BI32" s="111">
        <f>AVERAGE(BI5:BI29)</f>
        <v/>
      </c>
      <c r="BJ32" s="111">
        <f>AVERAGE(BJ5:BJ29)</f>
        <v/>
      </c>
      <c r="BK32" s="111">
        <f>AVERAGE(BK5:BK29)</f>
        <v/>
      </c>
      <c r="BL32" s="111">
        <f>AVERAGE(BL5:BL29)</f>
        <v/>
      </c>
      <c r="BM32" s="111">
        <f>AVERAGE(BM5:BM29)</f>
        <v/>
      </c>
      <c r="BO32" s="111">
        <f>AVERAGE(BO5:BO29)</f>
        <v/>
      </c>
      <c r="BP32" s="111">
        <f>AVERAGE(BP5:BP29)</f>
        <v/>
      </c>
      <c r="BQ32" s="111">
        <f>AVERAGE(BQ5:BQ29)</f>
        <v/>
      </c>
      <c r="BR32" s="111">
        <f>AVERAGE(BR5:BR29)</f>
        <v/>
      </c>
      <c r="BS32" s="111">
        <f>AVERAGE(BS5:BS29)</f>
        <v/>
      </c>
    </row>
    <row hidden="1" outlineLevel="2" r="33" s="4">
      <c r="A33" s="55" t="inlineStr">
        <is>
          <t>Overall</t>
        </is>
      </c>
      <c r="B33" s="55" t="inlineStr">
        <is>
          <t>Total time [s]</t>
        </is>
      </c>
      <c r="AB33" s="57">
        <f>SUM(AB5:AB24,AB25:AB29)</f>
        <v/>
      </c>
      <c r="AC33" s="57">
        <f>SUM(AC5:AC24,AC25:AC29)</f>
        <v/>
      </c>
      <c r="AD33" s="57">
        <f>SUM(AD5:AD24,AD25:AD29)</f>
        <v/>
      </c>
      <c r="AE33" s="57">
        <f>SUM(AE5:AE24,AE25:AE29)</f>
        <v/>
      </c>
      <c r="AZ33" s="57">
        <f>SUM(AZ5:AZ24,AZ25:AZ29)</f>
        <v/>
      </c>
      <c r="BA33" s="57">
        <f>SUM(BA5:BA24,BA25:BA29)</f>
        <v/>
      </c>
      <c r="BB33" s="57">
        <f>SUM(BB5:BB24,BB25:BB29)</f>
        <v/>
      </c>
      <c r="BC33" s="57">
        <f>SUM(BC5:BC24,BC25:BC29)</f>
        <v/>
      </c>
    </row>
    <row hidden="1" outlineLevel="2" r="34" s="4">
      <c r="B34" s="55" t="inlineStr">
        <is>
          <t>Total time [%]</t>
        </is>
      </c>
      <c r="AZ34" s="116">
        <f>AZ33/AB33</f>
        <v/>
      </c>
      <c r="BA34" s="116">
        <f>BA33/AC33</f>
        <v/>
      </c>
      <c r="BB34" s="116">
        <f>BB33/AD33</f>
        <v/>
      </c>
      <c r="BC34" s="116">
        <f>BC33/AE33</f>
        <v/>
      </c>
    </row>
    <row hidden="1" outlineLevel="2" r="35" s="4">
      <c r="B35" s="55" t="inlineStr">
        <is>
          <t>Avg (geometric) time [s]</t>
        </is>
      </c>
      <c r="AB35" s="57">
        <f>GEOMEAN(AB5:AB24,AB25:AB29)</f>
        <v/>
      </c>
      <c r="AC35" s="57">
        <f>GEOMEAN(AC5:AC24,AC25:AC29)</f>
        <v/>
      </c>
      <c r="AD35" s="57">
        <f>GEOMEAN(AD5:AD24,AD25:AD29)</f>
        <v/>
      </c>
      <c r="AE35" s="57">
        <f>GEOMEAN(AE5:AE24,AE25:AE29)</f>
        <v/>
      </c>
      <c r="AZ35" s="57">
        <f>GEOMEAN(AZ5:AZ24,AZ25:AZ29)</f>
        <v/>
      </c>
      <c r="BA35" s="57">
        <f>GEOMEAN(BA5:BA24,BA25:BA29)</f>
        <v/>
      </c>
      <c r="BB35" s="57">
        <f>GEOMEAN(BB5:BB24,BB25:BB29)</f>
        <v/>
      </c>
      <c r="BC35" s="57">
        <f>GEOMEAN(BC5:BC24,BC25:BC29)</f>
        <v/>
      </c>
    </row>
    <row collapsed="1" outlineLevel="2" r="36" s="4">
      <c r="B36" s="55" t="inlineStr">
        <is>
          <t>Avg (geometric) time [%]</t>
        </is>
      </c>
      <c r="AZ36" s="116">
        <f>AZ35/AB35</f>
        <v/>
      </c>
      <c r="BA36" s="116">
        <f>BA35/AC35</f>
        <v/>
      </c>
      <c r="BB36" s="116">
        <f>BB35/AD35</f>
        <v/>
      </c>
      <c r="BC36" s="116">
        <f>BC35/AE35</f>
        <v/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dxfId="1" operator="greaterThanOrEqual" priority="17" type="cellIs">
      <formula>0.03</formula>
    </cfRule>
    <cfRule dxfId="0" operator="lessThanOrEqual" priority="18" type="cellIs">
      <formula>-0.03</formula>
    </cfRule>
  </conditionalFormatting>
  <conditionalFormatting sqref="BJ5 BJ6 BJ7 BJ8 BJ9 BJ10 BJ11 BJ12 BJ13 BJ14 BJ15 BJ16 BJ17 BJ18 BJ19 BJ20 BJ21 BJ22 BJ23 BJ24 BJ25 BJ26 BJ27 BJ28 BJ29 BJ30 BJ31 BJ32">
    <cfRule dxfId="1" operator="greaterThanOrEqual" priority="15" type="cellIs">
      <formula>0.03</formula>
    </cfRule>
    <cfRule dxfId="0" operator="lessThanOrEqual" priority="16" type="cellIs">
      <formula>-0.03</formula>
    </cfRule>
  </conditionalFormatting>
  <conditionalFormatting sqref="BK5 BK6 BK7 BK8 BK9 BK10 BK11 BK12 BK13 BK14 BK15 BK16 BK17 BK18 BK19 BK20 BK21 BK22 BK23 BK24 BK25 BK26 BK27 BK28 BK29 BK30 BK31 BK32">
    <cfRule dxfId="1" operator="greaterThanOrEqual" priority="11" type="cellIs">
      <formula>0.03</formula>
    </cfRule>
    <cfRule dxfId="0" operator="lessThanOrEqual" priority="12" type="cellIs">
      <formula>-0.03</formula>
    </cfRule>
  </conditionalFormatting>
  <conditionalFormatting sqref="BL5 BL6 BL7 BL8 BL9 BL10 BL11 BL12 BL13 BL14 BL15 BL16 BL17 BL18 BL19 BL20 BL21 BL22 BL23 BL24 BL25 BL26 BL27 BL28 BL29 BL30 BL31 BL32">
    <cfRule dxfId="1" operator="greaterThanOrEqual" priority="5" type="cellIs">
      <formula>0.03</formula>
    </cfRule>
    <cfRule dxfId="0" operator="lessThanOrEqual" priority="6" type="cellIs">
      <formula>-0.03</formula>
    </cfRule>
  </conditionalFormatting>
  <conditionalFormatting sqref="BM5 BM6 BM7 BM8 BM9 BM10 BM11 BM12 BM13 BM14 BM15 BM16 BM17 BM18 BM19 BM20 BM21 BM22 BM23 BM24 BM25 BM26 BM27 BM28 BM29 BM30 BM31 BM32">
    <cfRule dxfId="1" operator="greaterThanOrEqual" priority="7" type="cellIs">
      <formula>0.03</formula>
    </cfRule>
    <cfRule dxfId="0" operator="lessThanOrEqual" priority="8" type="cellIs">
      <formula>-0.03</formula>
    </cfRule>
  </conditionalFormatting>
  <conditionalFormatting sqref="BO5 BO6 BO7 BO8 BO9 BO10 BO11 BO12 BO13 BO14 BO15 BO16 BO17 BO18 BO19 BO20 BO21 BO22 BO23 BO24 BO25 BO26 BO27 BO28 BO29 BO30 BO31 BO3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conditionalFormatting sqref="BP5 BP6 BP7 BP8 BP9 BP10 BP11 BP12 BP13 BP14 BP15 BP16 BP17 BP18 BP19 BP20 BP21 BP22 BP23 BP24 BP25 BP26 BP27 BP28 BP29 BP30 BP31 BP32">
    <cfRule dxfId="1" operator="greaterThanOrEqual" priority="13" type="cellIs">
      <formula>0.03</formula>
    </cfRule>
    <cfRule dxfId="0" operator="lessThanOrEqual" priority="14" type="cellIs">
      <formula>-0.03</formula>
    </cfRule>
  </conditionalFormatting>
  <conditionalFormatting sqref="BQ5 BQ6 BQ7 BQ8 BQ9 BQ10 BQ11 BQ12 BQ13 BQ14 BQ15 BQ16 BQ17 BQ18 BQ19 BQ20 BQ21 BQ22 BQ23 BQ24 BQ25 BQ26 BQ27 BQ28 BQ29 BQ30 BQ31 BQ32">
    <cfRule dxfId="1" operator="greaterThanOrEqual" priority="19" type="cellIs">
      <formula>0.03</formula>
    </cfRule>
    <cfRule dxfId="0" operator="lessThanOrEqual" priority="20" type="cellIs">
      <formula>-0.03</formula>
    </cfRule>
  </conditionalFormatting>
  <conditionalFormatting sqref="BR5 BR6 BR7 BR8 BR9 BR10 BR11 BR12 BR13 BR14 BR15 BR16 BR17 BR18 BR19 BR20 BR21 BR22 BR23 BR24 BR25 BR26 BR27 BR28 BR29 BR30 BR31 BR32">
    <cfRule dxfId="1" operator="greaterThanOrEqual" priority="9" type="cellIs">
      <formula>0.03</formula>
    </cfRule>
    <cfRule dxfId="0" operator="lessThanOrEqual" priority="10" type="cellIs">
      <formula>-0.03</formula>
    </cfRule>
  </conditionalFormatting>
  <conditionalFormatting sqref="BS5 BS6 BS7 BS8 BS9 BS10 BS11 BS12 BS13 BS14 BS15 BS16 BS17 BS18 BS19 BS20 BS21 BS22 BS23 BS24 BS25 BS26 BS27 BS28 BS29 BS30 BS31 BS3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pageMargins bottom="0.75" footer="0.3" header="0.3" left="0.7" right="0.7" top="0.7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X12"/>
  <sheetViews>
    <sheetView tabSelected="1" workbookViewId="0">
      <selection activeCell="I17" sqref="I17"/>
    </sheetView>
  </sheetViews>
  <sheetFormatPr baseColWidth="8" defaultRowHeight="14.4"/>
  <cols>
    <col customWidth="1" max="1" min="1" style="4" width="2.44140625"/>
    <col customWidth="1" max="2" min="2" style="4" width="6.21875"/>
    <col customWidth="1" max="18" min="3" style="4" width="6.88671875"/>
  </cols>
  <sheetData>
    <row customHeight="1" ht="15" r="1" s="4" thickBot="1"/>
    <row customHeight="1" ht="15" r="2" s="4" thickBot="1">
      <c r="A2" s="165" t="inlineStr">
        <is>
          <t>Class</t>
        </is>
      </c>
      <c r="B2" s="166" t="inlineStr">
        <is>
          <t>Seq.</t>
        </is>
      </c>
      <c r="C2" s="167" t="inlineStr">
        <is>
          <t>CWAI</t>
        </is>
      </c>
      <c r="D2" s="168" t="n"/>
      <c r="E2" s="169" t="n"/>
      <c r="F2" s="167" t="inlineStr">
        <is>
          <t>CWLD</t>
        </is>
      </c>
      <c r="G2" s="168" t="n"/>
      <c r="H2" s="169" t="n"/>
      <c r="I2" s="167" t="inlineStr">
        <is>
          <t>C2AI</t>
        </is>
      </c>
      <c r="J2" s="168" t="n"/>
      <c r="K2" s="168" t="n"/>
      <c r="L2" s="168" t="n"/>
      <c r="M2" s="169" t="n"/>
      <c r="N2" s="167" t="inlineStr">
        <is>
          <t>C2RA</t>
        </is>
      </c>
      <c r="O2" s="168" t="n"/>
      <c r="P2" s="168" t="n"/>
      <c r="Q2" s="168" t="n"/>
      <c r="R2" s="169" t="n"/>
    </row>
    <row customHeight="1" ht="14.4" r="3" s="4">
      <c r="A3" s="170" t="n"/>
      <c r="B3" s="171" t="n"/>
      <c r="C3" s="172" t="inlineStr">
        <is>
          <t>bpip ratio [%]</t>
        </is>
      </c>
      <c r="D3" s="173" t="n"/>
      <c r="E3" s="174" t="n"/>
      <c r="F3" s="172" t="inlineStr">
        <is>
          <t>bpip ratio [%]</t>
        </is>
      </c>
      <c r="G3" s="173" t="n"/>
      <c r="H3" s="174" t="n"/>
      <c r="I3" s="139" t="inlineStr">
        <is>
          <t>Geom. BD‑TotalRate [%]</t>
        </is>
      </c>
      <c r="J3" s="173" t="n"/>
      <c r="K3" s="175" t="inlineStr">
        <is>
          <t>End-to-End BD‑TotalRate [%]</t>
        </is>
      </c>
      <c r="L3" s="159" t="n"/>
      <c r="M3" s="176" t="n"/>
      <c r="N3" s="139" t="inlineStr">
        <is>
          <t>Geom. BD‑TotalRate [%]</t>
        </is>
      </c>
      <c r="O3" s="173" t="n"/>
      <c r="P3" s="175" t="inlineStr">
        <is>
          <t>End-to-End BD‑TotalRate [%]</t>
        </is>
      </c>
      <c r="Q3" s="159" t="n"/>
      <c r="R3" s="176" t="n"/>
      <c r="T3" s="177" t="inlineStr">
        <is>
          <t>Cond.</t>
        </is>
      </c>
      <c r="U3" s="178" t="inlineStr">
        <is>
          <t>Encoder runtime [%]</t>
        </is>
      </c>
      <c r="V3" s="162" t="n"/>
      <c r="W3" s="178" t="inlineStr">
        <is>
          <t>Decoder runtime [%]</t>
        </is>
      </c>
      <c r="X3" s="162" t="n"/>
    </row>
    <row customHeight="1" ht="15" r="4" s="4" thickBot="1">
      <c r="A4" s="179" t="n"/>
      <c r="B4" s="180" t="n"/>
      <c r="C4" s="67" t="inlineStr">
        <is>
          <t>Total</t>
        </is>
      </c>
      <c r="D4" s="68" t="inlineStr">
        <is>
          <t>Geo.</t>
        </is>
      </c>
      <c r="E4" s="69" t="inlineStr">
        <is>
          <t>Colour</t>
        </is>
      </c>
      <c r="F4" s="67" t="inlineStr">
        <is>
          <t>Total</t>
        </is>
      </c>
      <c r="G4" s="68" t="inlineStr">
        <is>
          <t>Geo.</t>
        </is>
      </c>
      <c r="H4" s="69" t="inlineStr">
        <is>
          <t>Colour</t>
        </is>
      </c>
      <c r="I4" s="67" t="inlineStr">
        <is>
          <t>D1</t>
        </is>
      </c>
      <c r="J4" s="68" t="inlineStr">
        <is>
          <t>D2</t>
        </is>
      </c>
      <c r="K4" s="68" t="inlineStr">
        <is>
          <t>Luma</t>
        </is>
      </c>
      <c r="L4" s="68" t="inlineStr">
        <is>
          <t xml:space="preserve"> Cb</t>
        </is>
      </c>
      <c r="M4" s="69" t="inlineStr">
        <is>
          <t>Cr</t>
        </is>
      </c>
      <c r="N4" s="67" t="inlineStr">
        <is>
          <t>D1</t>
        </is>
      </c>
      <c r="O4" s="68" t="inlineStr">
        <is>
          <t>D2</t>
        </is>
      </c>
      <c r="P4" s="68" t="inlineStr">
        <is>
          <t>Luma</t>
        </is>
      </c>
      <c r="Q4" s="68" t="inlineStr">
        <is>
          <t>Cb</t>
        </is>
      </c>
      <c r="R4" s="69" t="inlineStr">
        <is>
          <t>Cr</t>
        </is>
      </c>
      <c r="T4" s="164" t="n"/>
      <c r="U4" s="70" t="inlineStr">
        <is>
          <t>Self</t>
        </is>
      </c>
      <c r="V4" s="71" t="inlineStr">
        <is>
          <t>Child</t>
        </is>
      </c>
      <c r="W4" s="72" t="inlineStr">
        <is>
          <t>Self</t>
        </is>
      </c>
      <c r="X4" s="71" t="inlineStr">
        <is>
          <t>Child</t>
        </is>
      </c>
    </row>
    <row r="5">
      <c r="A5" s="73" t="inlineStr">
        <is>
          <t>A</t>
        </is>
      </c>
      <c r="B5" s="74" t="inlineStr">
        <is>
          <t>Loot</t>
        </is>
      </c>
      <c r="C5" s="75">
        <f>'CW losslG,losslA,intra'!BB5</f>
        <v/>
      </c>
      <c r="D5" s="76">
        <f>'CW losslG,losslA,intra'!BC5</f>
        <v/>
      </c>
      <c r="E5" s="77">
        <f>'CW losslG,losslA,intra'!BD5</f>
        <v/>
      </c>
      <c r="F5" s="75">
        <f>'CW losslG,losslA,interLD'!BB5</f>
        <v/>
      </c>
      <c r="G5" s="76">
        <f>'CW losslG,losslA,interLD'!BC5</f>
        <v/>
      </c>
      <c r="H5" s="77">
        <f>'CW losslG,losslA,interLD'!BD5</f>
        <v/>
      </c>
      <c r="I5" s="75">
        <f>'C2 lossyG,lossyA,intra'!BO5</f>
        <v/>
      </c>
      <c r="J5" s="76">
        <f>'C2 lossyG,lossyA,intra'!BP5</f>
        <v/>
      </c>
      <c r="K5" s="76">
        <f>'C2 lossyG,lossyA,intra'!BQ5</f>
        <v/>
      </c>
      <c r="L5" s="76">
        <f>'C2 lossyG,lossyA,intra'!BR5</f>
        <v/>
      </c>
      <c r="M5" s="77">
        <f>'C2 lossyG,lossyA,intra'!BS5</f>
        <v/>
      </c>
      <c r="N5" s="75">
        <f>'C2 lossyG,lossyA,interRA'!BO5</f>
        <v/>
      </c>
      <c r="O5" s="76">
        <f>'C2 lossyG,lossyA,interRA'!BP5</f>
        <v/>
      </c>
      <c r="P5" s="76">
        <f>'C2 lossyG,lossyA,interRA'!BQ5</f>
        <v/>
      </c>
      <c r="Q5" s="76">
        <f>'C2 lossyG,lossyA,interRA'!BR5</f>
        <v/>
      </c>
      <c r="R5" s="77">
        <f>'C2 lossyG,lossyA,interRA'!BS5</f>
        <v/>
      </c>
      <c r="T5" s="78" t="inlineStr">
        <is>
          <t>CWAI</t>
        </is>
      </c>
      <c r="U5" s="79">
        <f>'CW losslG,losslA,intra'!AW16</f>
        <v/>
      </c>
      <c r="V5" s="80">
        <f>'CW losslG,losslA,intra'!AX16</f>
        <v/>
      </c>
      <c r="W5" s="79">
        <f>'CW losslG,losslA,intra'!AY16</f>
        <v/>
      </c>
      <c r="X5" s="80">
        <f>'CW losslG,losslA,intra'!AZ16</f>
        <v/>
      </c>
    </row>
    <row r="6">
      <c r="A6" s="81" t="n"/>
      <c r="B6" s="82" t="inlineStr">
        <is>
          <t>R&amp;B</t>
        </is>
      </c>
      <c r="C6" s="83">
        <f>'CW losslG,losslA,intra'!BB6</f>
        <v/>
      </c>
      <c r="D6" s="84">
        <f>'CW losslG,losslA,intra'!BC6</f>
        <v/>
      </c>
      <c r="E6" s="85">
        <f>'CW losslG,losslA,intra'!BD6</f>
        <v/>
      </c>
      <c r="F6" s="83">
        <f>'CW losslG,losslA,interLD'!BB6</f>
        <v/>
      </c>
      <c r="G6" s="84">
        <f>'CW losslG,losslA,interLD'!BC6</f>
        <v/>
      </c>
      <c r="H6" s="85">
        <f>'CW losslG,losslA,interLD'!BD6</f>
        <v/>
      </c>
      <c r="I6" s="83">
        <f>'C2 lossyG,lossyA,intra'!BO10</f>
        <v/>
      </c>
      <c r="J6" s="84">
        <f>'C2 lossyG,lossyA,intra'!BP10</f>
        <v/>
      </c>
      <c r="K6" s="84">
        <f>'C2 lossyG,lossyA,intra'!BQ10</f>
        <v/>
      </c>
      <c r="L6" s="84">
        <f>'C2 lossyG,lossyA,intra'!BR10</f>
        <v/>
      </c>
      <c r="M6" s="85">
        <f>'C2 lossyG,lossyA,intra'!BS10</f>
        <v/>
      </c>
      <c r="N6" s="83">
        <f>'C2 lossyG,lossyA,interRA'!BO10</f>
        <v/>
      </c>
      <c r="O6" s="84">
        <f>'C2 lossyG,lossyA,interRA'!BP10</f>
        <v/>
      </c>
      <c r="P6" s="84">
        <f>'C2 lossyG,lossyA,interRA'!BQ10</f>
        <v/>
      </c>
      <c r="Q6" s="84">
        <f>'C2 lossyG,lossyA,interRA'!BR10</f>
        <v/>
      </c>
      <c r="R6" s="85">
        <f>'C2 lossyG,lossyA,interRA'!BS10</f>
        <v/>
      </c>
      <c r="T6" s="86" t="inlineStr">
        <is>
          <t>CWLD</t>
        </is>
      </c>
      <c r="U6" s="87">
        <f>'CW losslG,losslA,interLD'!AW16</f>
        <v/>
      </c>
      <c r="V6" s="88">
        <f>'CW losslG,losslA,interLD'!AX16</f>
        <v/>
      </c>
      <c r="W6" s="87">
        <f>'CW losslG,losslA,interLD'!AY16</f>
        <v/>
      </c>
      <c r="X6" s="88">
        <f>'CW losslG,losslA,interLD'!AZ16</f>
        <v/>
      </c>
    </row>
    <row r="7">
      <c r="A7" s="89" t="n"/>
      <c r="B7" s="90" t="inlineStr">
        <is>
          <t>Soldier</t>
        </is>
      </c>
      <c r="C7" s="91">
        <f>'CW losslG,losslA,intra'!BB7</f>
        <v/>
      </c>
      <c r="D7" s="92">
        <f>'CW losslG,losslA,intra'!BC7</f>
        <v/>
      </c>
      <c r="E7" s="93">
        <f>'CW losslG,losslA,intra'!BD7</f>
        <v/>
      </c>
      <c r="F7" s="91">
        <f>'CW losslG,losslA,interLD'!BB7</f>
        <v/>
      </c>
      <c r="G7" s="92">
        <f>'CW losslG,losslA,interLD'!BC7</f>
        <v/>
      </c>
      <c r="H7" s="93">
        <f>'CW losslG,losslA,interLD'!BD7</f>
        <v/>
      </c>
      <c r="I7" s="91">
        <f>'C2 lossyG,lossyA,intra'!BO15</f>
        <v/>
      </c>
      <c r="J7" s="92">
        <f>'C2 lossyG,lossyA,intra'!BP15</f>
        <v/>
      </c>
      <c r="K7" s="92">
        <f>'C2 lossyG,lossyA,intra'!BQ15</f>
        <v/>
      </c>
      <c r="L7" s="92">
        <f>'C2 lossyG,lossyA,intra'!BR15</f>
        <v/>
      </c>
      <c r="M7" s="93">
        <f>'C2 lossyG,lossyA,intra'!BS15</f>
        <v/>
      </c>
      <c r="N7" s="91">
        <f>'C2 lossyG,lossyA,interRA'!BO15</f>
        <v/>
      </c>
      <c r="O7" s="92">
        <f>'C2 lossyG,lossyA,interRA'!BP15</f>
        <v/>
      </c>
      <c r="P7" s="92">
        <f>'C2 lossyG,lossyA,interRA'!BQ15</f>
        <v/>
      </c>
      <c r="Q7" s="92">
        <f>'C2 lossyG,lossyA,interRA'!BR15</f>
        <v/>
      </c>
      <c r="R7" s="93">
        <f>'C2 lossyG,lossyA,interRA'!BS15</f>
        <v/>
      </c>
      <c r="T7" s="94" t="inlineStr">
        <is>
          <t>C2AI</t>
        </is>
      </c>
      <c r="U7" s="95">
        <f>'C2 lossyG,lossyA,intra'!AZ36</f>
        <v/>
      </c>
      <c r="V7" s="96">
        <f>'C2 lossyG,lossyA,intra'!BA36</f>
        <v/>
      </c>
      <c r="W7" s="95">
        <f>'C2 lossyG,lossyA,intra'!BB36</f>
        <v/>
      </c>
      <c r="X7" s="96">
        <f>'C2 lossyG,lossyA,intra'!BC36</f>
        <v/>
      </c>
    </row>
    <row customHeight="1" ht="15" r="8" s="4" thickBot="1">
      <c r="A8" s="97" t="n"/>
      <c r="B8" s="45" t="inlineStr">
        <is>
          <t>Queen</t>
        </is>
      </c>
      <c r="C8" s="98">
        <f>'CW losslG,losslA,intra'!BB8</f>
        <v/>
      </c>
      <c r="D8" s="54">
        <f>'CW losslG,losslA,intra'!BC8</f>
        <v/>
      </c>
      <c r="E8" s="99">
        <f>'CW losslG,losslA,intra'!BD8</f>
        <v/>
      </c>
      <c r="F8" s="98">
        <f>'CW losslG,losslA,interLD'!BB8</f>
        <v/>
      </c>
      <c r="G8" s="54">
        <f>'CW losslG,losslA,interLD'!BC8</f>
        <v/>
      </c>
      <c r="H8" s="99">
        <f>'CW losslG,losslA,interLD'!BD8</f>
        <v/>
      </c>
      <c r="I8" s="98">
        <f>'C2 lossyG,lossyA,intra'!BO20</f>
        <v/>
      </c>
      <c r="J8" s="54">
        <f>'C2 lossyG,lossyA,intra'!BP20</f>
        <v/>
      </c>
      <c r="K8" s="54">
        <f>'C2 lossyG,lossyA,intra'!BQ20</f>
        <v/>
      </c>
      <c r="L8" s="54">
        <f>'C2 lossyG,lossyA,intra'!BR20</f>
        <v/>
      </c>
      <c r="M8" s="99">
        <f>'C2 lossyG,lossyA,intra'!BS20</f>
        <v/>
      </c>
      <c r="N8" s="98">
        <f>'C2 lossyG,lossyA,interRA'!BO20</f>
        <v/>
      </c>
      <c r="O8" s="54">
        <f>'C2 lossyG,lossyA,interRA'!BP20</f>
        <v/>
      </c>
      <c r="P8" s="54">
        <f>'C2 lossyG,lossyA,interRA'!BQ20</f>
        <v/>
      </c>
      <c r="Q8" s="54">
        <f>'C2 lossyG,lossyA,interRA'!BR20</f>
        <v/>
      </c>
      <c r="R8" s="99">
        <f>'C2 lossyG,lossyA,interRA'!BS20</f>
        <v/>
      </c>
      <c r="T8" s="100" t="inlineStr">
        <is>
          <t>C2RA</t>
        </is>
      </c>
      <c r="U8" s="101">
        <f>'C2 lossyG,lossyA,interRA'!AZ36</f>
        <v/>
      </c>
      <c r="V8" s="102">
        <f>'C2 lossyG,lossyA,interRA'!BA36</f>
        <v/>
      </c>
      <c r="W8" s="101">
        <f>'C2 lossyG,lossyA,interRA'!BB36</f>
        <v/>
      </c>
      <c r="X8" s="102">
        <f>'C2 lossyG,lossyA,interRA'!BC36</f>
        <v/>
      </c>
    </row>
    <row customHeight="1" ht="15" r="9" s="4" thickBot="1">
      <c r="A9" s="103" t="inlineStr">
        <is>
          <t>B</t>
        </is>
      </c>
      <c r="B9" s="35" t="inlineStr">
        <is>
          <t>Long.</t>
        </is>
      </c>
      <c r="C9" s="104">
        <f>'CW losslG,losslA,intra'!BB9</f>
        <v/>
      </c>
      <c r="D9" s="44">
        <f>'CW losslG,losslA,intra'!BC9</f>
        <v/>
      </c>
      <c r="E9" s="105">
        <f>'CW losslG,losslA,intra'!BD9</f>
        <v/>
      </c>
      <c r="F9" s="104">
        <f>'CW losslG,losslA,interLD'!BB9</f>
        <v/>
      </c>
      <c r="G9" s="44">
        <f>'CW losslG,losslA,interLD'!BC9</f>
        <v/>
      </c>
      <c r="H9" s="105">
        <f>'CW losslG,losslA,interLD'!BD9</f>
        <v/>
      </c>
      <c r="I9" s="104">
        <f>'C2 lossyG,lossyA,intra'!BO25</f>
        <v/>
      </c>
      <c r="J9" s="44">
        <f>'C2 lossyG,lossyA,intra'!BP25</f>
        <v/>
      </c>
      <c r="K9" s="44">
        <f>'C2 lossyG,lossyA,intra'!BQ25</f>
        <v/>
      </c>
      <c r="L9" s="44">
        <f>'C2 lossyG,lossyA,intra'!BR25</f>
        <v/>
      </c>
      <c r="M9" s="105">
        <f>'C2 lossyG,lossyA,intra'!BS25</f>
        <v/>
      </c>
      <c r="N9" s="104">
        <f>'C2 lossyG,lossyA,interRA'!BO25</f>
        <v/>
      </c>
      <c r="O9" s="44">
        <f>'C2 lossyG,lossyA,interRA'!BP25</f>
        <v/>
      </c>
      <c r="P9" s="44">
        <f>'C2 lossyG,lossyA,interRA'!BQ25</f>
        <v/>
      </c>
      <c r="Q9" s="44">
        <f>'C2 lossyG,lossyA,interRA'!BR25</f>
        <v/>
      </c>
      <c r="R9" s="105">
        <f>'C2 lossyG,lossyA,interRA'!BS25</f>
        <v/>
      </c>
      <c r="T9" s="106" t="inlineStr">
        <is>
          <t>Avg.</t>
        </is>
      </c>
      <c r="U9" s="107">
        <f>AVERAGE(U5:U8)</f>
        <v/>
      </c>
      <c r="V9" s="108">
        <f>AVERAGE(V5:V8)</f>
        <v/>
      </c>
      <c r="W9" s="109">
        <f>AVERAGE(W5:W8)</f>
        <v/>
      </c>
      <c r="X9" s="108">
        <f>AVERAGE(X5:X8)</f>
        <v/>
      </c>
    </row>
    <row r="10">
      <c r="A10" s="181" t="inlineStr">
        <is>
          <t>A avg</t>
        </is>
      </c>
      <c r="B10" s="174" t="n"/>
      <c r="C10" s="110">
        <f>'CW losslG,losslA,intra'!BB10</f>
        <v/>
      </c>
      <c r="D10" s="111">
        <f>'CW losslG,losslA,intra'!BC10</f>
        <v/>
      </c>
      <c r="E10" s="112">
        <f>'CW losslG,losslA,intra'!BD10</f>
        <v/>
      </c>
      <c r="F10" s="110">
        <f>'CW losslG,losslA,interLD'!BB10</f>
        <v/>
      </c>
      <c r="G10" s="111">
        <f>'CW losslG,losslA,interLD'!BC10</f>
        <v/>
      </c>
      <c r="H10" s="112">
        <f>'CW losslG,losslA,interLD'!BD10</f>
        <v/>
      </c>
      <c r="I10" s="110">
        <f>'C2 lossyG,lossyA,intra'!BO30</f>
        <v/>
      </c>
      <c r="J10" s="111">
        <f>'C2 lossyG,lossyA,intra'!BP30</f>
        <v/>
      </c>
      <c r="K10" s="111">
        <f>'C2 lossyG,lossyA,intra'!BQ30</f>
        <v/>
      </c>
      <c r="L10" s="111">
        <f>'C2 lossyG,lossyA,intra'!BR30</f>
        <v/>
      </c>
      <c r="M10" s="112">
        <f>'C2 lossyG,lossyA,intra'!BS30</f>
        <v/>
      </c>
      <c r="N10" s="110">
        <f>'C2 lossyG,lossyA,interRA'!BO30</f>
        <v/>
      </c>
      <c r="O10" s="111">
        <f>'C2 lossyG,lossyA,interRA'!BP30</f>
        <v/>
      </c>
      <c r="P10" s="111">
        <f>'C2 lossyG,lossyA,interRA'!BQ30</f>
        <v/>
      </c>
      <c r="Q10" s="111">
        <f>'C2 lossyG,lossyA,interRA'!BR30</f>
        <v/>
      </c>
      <c r="R10" s="112">
        <f>'C2 lossyG,lossyA,interRA'!BS30</f>
        <v/>
      </c>
    </row>
    <row r="11">
      <c r="A11" s="182" t="inlineStr">
        <is>
          <t>B avg</t>
        </is>
      </c>
      <c r="B11" s="171" t="n"/>
      <c r="C11" s="110">
        <f>'CW losslG,losslA,intra'!BB11</f>
        <v/>
      </c>
      <c r="D11" s="111">
        <f>'CW losslG,losslA,intra'!BC11</f>
        <v/>
      </c>
      <c r="E11" s="112">
        <f>'CW losslG,losslA,intra'!BD11</f>
        <v/>
      </c>
      <c r="F11" s="110">
        <f>'CW losslG,losslA,interLD'!BB11</f>
        <v/>
      </c>
      <c r="G11" s="111">
        <f>'CW losslG,losslA,interLD'!BC11</f>
        <v/>
      </c>
      <c r="H11" s="112">
        <f>'CW losslG,losslA,interLD'!BD11</f>
        <v/>
      </c>
      <c r="I11" s="110">
        <f>'C2 lossyG,lossyA,intra'!BO31</f>
        <v/>
      </c>
      <c r="J11" s="111">
        <f>'C2 lossyG,lossyA,intra'!BP31</f>
        <v/>
      </c>
      <c r="K11" s="111">
        <f>'C2 lossyG,lossyA,intra'!BQ31</f>
        <v/>
      </c>
      <c r="L11" s="111">
        <f>'C2 lossyG,lossyA,intra'!BR31</f>
        <v/>
      </c>
      <c r="M11" s="112">
        <f>'C2 lossyG,lossyA,intra'!BS31</f>
        <v/>
      </c>
      <c r="N11" s="110">
        <f>'C2 lossyG,lossyA,interRA'!BO31</f>
        <v/>
      </c>
      <c r="O11" s="111">
        <f>'C2 lossyG,lossyA,interRA'!BP31</f>
        <v/>
      </c>
      <c r="P11" s="111">
        <f>'C2 lossyG,lossyA,interRA'!BQ31</f>
        <v/>
      </c>
      <c r="Q11" s="111">
        <f>'C2 lossyG,lossyA,interRA'!BR31</f>
        <v/>
      </c>
      <c r="R11" s="112">
        <f>'C2 lossyG,lossyA,interRA'!BS31</f>
        <v/>
      </c>
    </row>
    <row customHeight="1" ht="15" r="12" s="4" thickBot="1">
      <c r="A12" s="183" t="inlineStr">
        <is>
          <t>Overall average</t>
        </is>
      </c>
      <c r="B12" s="180" t="n"/>
      <c r="C12" s="113">
        <f>'CW losslG,losslA,intra'!BB12</f>
        <v/>
      </c>
      <c r="D12" s="114">
        <f>'CW losslG,losslA,intra'!BC12</f>
        <v/>
      </c>
      <c r="E12" s="115">
        <f>'CW losslG,losslA,intra'!BD12</f>
        <v/>
      </c>
      <c r="F12" s="113">
        <f>'CW losslG,losslA,interLD'!BB12</f>
        <v/>
      </c>
      <c r="G12" s="114">
        <f>'CW losslG,losslA,interLD'!BC12</f>
        <v/>
      </c>
      <c r="H12" s="115">
        <f>'CW losslG,losslA,interLD'!BD12</f>
        <v/>
      </c>
      <c r="I12" s="113">
        <f>'C2 lossyG,lossyA,intra'!BO32</f>
        <v/>
      </c>
      <c r="J12" s="114">
        <f>'C2 lossyG,lossyA,intra'!BP32</f>
        <v/>
      </c>
      <c r="K12" s="114">
        <f>'C2 lossyG,lossyA,intra'!BQ32</f>
        <v/>
      </c>
      <c r="L12" s="114">
        <f>'C2 lossyG,lossyA,intra'!BR32</f>
        <v/>
      </c>
      <c r="M12" s="115">
        <f>'C2 lossyG,lossyA,intra'!BS32</f>
        <v/>
      </c>
      <c r="N12" s="113">
        <f>'C2 lossyG,lossyA,interRA'!BO32</f>
        <v/>
      </c>
      <c r="O12" s="114">
        <f>'C2 lossyG,lossyA,interRA'!BP32</f>
        <v/>
      </c>
      <c r="P12" s="114">
        <f>'C2 lossyG,lossyA,interRA'!BQ32</f>
        <v/>
      </c>
      <c r="Q12" s="114">
        <f>'C2 lossyG,lossyA,interRA'!BR32</f>
        <v/>
      </c>
      <c r="R12" s="115">
        <f>'C2 lossyG,lossyA,interRA'!BS32</f>
        <v/>
      </c>
    </row>
  </sheetData>
  <mergeCells count="18">
    <mergeCell ref="U3:V3"/>
    <mergeCell ref="W3:X3"/>
    <mergeCell ref="A10:B10"/>
    <mergeCell ref="A2:A4"/>
    <mergeCell ref="B2:B4"/>
    <mergeCell ref="C2:E2"/>
    <mergeCell ref="F2:H2"/>
    <mergeCell ref="I2:M2"/>
    <mergeCell ref="N2:R2"/>
    <mergeCell ref="C3:E3"/>
    <mergeCell ref="F3:H3"/>
    <mergeCell ref="I3:J3"/>
    <mergeCell ref="K3:M3"/>
    <mergeCell ref="A11:B11"/>
    <mergeCell ref="A12:B12"/>
    <mergeCell ref="N3:O3"/>
    <mergeCell ref="P3:R3"/>
    <mergeCell ref="T3:T4"/>
  </mergeCells>
  <conditionalFormatting sqref="C10:C12">
    <cfRule dxfId="1" operator="greaterThanOrEqual" priority="15" type="cellIs">
      <formula>1.03</formula>
    </cfRule>
    <cfRule dxfId="0" operator="lessThanOrEqual" priority="16" type="cellIs">
      <formula>0.97</formula>
    </cfRule>
  </conditionalFormatting>
  <conditionalFormatting sqref="D10:D12">
    <cfRule dxfId="1" operator="greaterThanOrEqual" priority="13" type="cellIs">
      <formula>1.03</formula>
    </cfRule>
    <cfRule dxfId="0" operator="lessThanOrEqual" priority="14" type="cellIs">
      <formula>0.97</formula>
    </cfRule>
  </conditionalFormatting>
  <conditionalFormatting sqref="E10:E12">
    <cfRule dxfId="1" operator="greaterThanOrEqual" priority="11" type="cellIs">
      <formula>1.03</formula>
    </cfRule>
    <cfRule dxfId="0" operator="lessThanOrEqual" priority="12" type="cellIs">
      <formula>0.97</formula>
    </cfRule>
  </conditionalFormatting>
  <conditionalFormatting sqref="F10:F12">
    <cfRule dxfId="1" operator="greaterThanOrEqual" priority="9" type="cellIs">
      <formula>1.03</formula>
    </cfRule>
    <cfRule dxfId="0" operator="lessThanOrEqual" priority="10" type="cellIs">
      <formula>0.97</formula>
    </cfRule>
  </conditionalFormatting>
  <conditionalFormatting sqref="G10:G12">
    <cfRule dxfId="1" operator="greaterThanOrEqual" priority="7" type="cellIs">
      <formula>1.03</formula>
    </cfRule>
    <cfRule dxfId="0" operator="lessThanOrEqual" priority="8" type="cellIs">
      <formula>0.97</formula>
    </cfRule>
  </conditionalFormatting>
  <conditionalFormatting sqref="H10:H12">
    <cfRule dxfId="1" operator="greaterThanOrEqual" priority="5" type="cellIs">
      <formula>1.03</formula>
    </cfRule>
    <cfRule dxfId="0" operator="lessThanOrEqual" priority="6" type="cellIs">
      <formula>0.97</formula>
    </cfRule>
  </conditionalFormatting>
  <conditionalFormatting sqref="N5:R9 I5:M12">
    <cfRule dxfId="1" operator="greaterThanOrEqual" priority="3" type="cellIs">
      <formula>0.03</formula>
    </cfRule>
    <cfRule dxfId="0" operator="lessThanOrEqual" priority="4" type="cellIs">
      <formula>-0.03</formula>
    </cfRule>
  </conditionalFormatting>
  <conditionalFormatting sqref="N10:R12">
    <cfRule dxfId="1" operator="greaterThanOrEqual" priority="1" type="cellIs">
      <formula>0.03</formula>
    </cfRule>
    <cfRule dxfId="0" operator="lessThanOrEqual" priority="2" type="cellIs">
      <formula>-0.03</formula>
    </cfRule>
  </conditionalFormatting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MPEG point cloud compression common test condition reporting template N17523</dc:title>
  <dcterms:created xsi:type="dcterms:W3CDTF">2018-08-31T19:13:00Z</dcterms:created>
  <dcterms:modified xsi:type="dcterms:W3CDTF">2019-04-19T06:31:25Z</dcterms:modified>
  <cp:lastModifiedBy>Ricard Julien</cp:lastModifiedBy>
</cp:coreProperties>
</file>