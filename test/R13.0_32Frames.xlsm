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3\tm2_r130_v22_beta\test\"/>
    </mc:Choice>
  </mc:AlternateContent>
  <xr:revisionPtr revIDLastSave="0" documentId="13_ncr:1_{523B8B93-D4F4-4C1A-A680-919FA2B079C9}" xr6:coauthVersionLast="46" xr6:coauthVersionMax="46" xr10:uidLastSave="{00000000-0000-0000-0000-000000000000}"/>
  <bookViews>
    <workbookView xWindow="5748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B47" i="7" s="1"/>
  <c r="BA46" i="7"/>
  <c r="AZ46" i="7"/>
  <c r="AZ47" i="7" s="1"/>
  <c r="AE46" i="7"/>
  <c r="AD46" i="7"/>
  <c r="AC46" i="7"/>
  <c r="AB46" i="7"/>
  <c r="BC44" i="7"/>
  <c r="BB44" i="7"/>
  <c r="BA44" i="7"/>
  <c r="AZ44" i="7"/>
  <c r="AE44" i="7"/>
  <c r="AD44" i="7"/>
  <c r="BB45" i="7" s="1"/>
  <c r="AC44" i="7"/>
  <c r="BA45" i="7" s="1"/>
  <c r="AB44" i="7"/>
  <c r="AZ45" i="7" s="1"/>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M37" i="7"/>
  <c r="L37" i="7"/>
  <c r="J37" i="7"/>
  <c r="I37" i="7"/>
  <c r="BF36" i="7"/>
  <c r="AL36" i="7"/>
  <c r="AI36" i="7" s="1"/>
  <c r="AK36" i="7"/>
  <c r="AJ36" i="7"/>
  <c r="AH36" i="7"/>
  <c r="AG36" i="7"/>
  <c r="N36" i="7"/>
  <c r="M36" i="7"/>
  <c r="L36" i="7"/>
  <c r="J36" i="7"/>
  <c r="I36" i="7"/>
  <c r="BF35" i="7"/>
  <c r="AL35" i="7"/>
  <c r="BH35" i="7" s="1" a="1"/>
  <c r="BH35" i="7" s="1"/>
  <c r="AK35" i="7"/>
  <c r="AJ35" i="7"/>
  <c r="AH35" i="7"/>
  <c r="AG35" i="7"/>
  <c r="N35" i="7"/>
  <c r="M35" i="7"/>
  <c r="L35" i="7"/>
  <c r="K35" i="7"/>
  <c r="J35" i="7"/>
  <c r="I35" i="7"/>
  <c r="BF34" i="7"/>
  <c r="AL34" i="7"/>
  <c r="BG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I31" i="7" s="1"/>
  <c r="AK31" i="7"/>
  <c r="AJ31" i="7"/>
  <c r="AH31" i="7"/>
  <c r="AG31" i="7"/>
  <c r="N31" i="7"/>
  <c r="M31" i="7"/>
  <c r="L31" i="7"/>
  <c r="K31" i="7"/>
  <c r="J31" i="7"/>
  <c r="I31" i="7"/>
  <c r="BH30" i="7" a="1"/>
  <c r="BF30" i="7"/>
  <c r="AL30" i="7"/>
  <c r="AK30" i="7"/>
  <c r="AJ30" i="7"/>
  <c r="AH30" i="7"/>
  <c r="AH42" i="7" s="1"/>
  <c r="AG30" i="7"/>
  <c r="N30" i="7"/>
  <c r="M30" i="7"/>
  <c r="L30" i="7"/>
  <c r="J30" i="7"/>
  <c r="J42" i="7" s="1"/>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H25" i="7" a="1"/>
  <c r="BF25" i="7"/>
  <c r="AL25" i="7"/>
  <c r="AI25" i="7" s="1"/>
  <c r="AK25" i="7"/>
  <c r="AJ25" i="7"/>
  <c r="AJ41" i="7" s="1"/>
  <c r="AH25" i="7"/>
  <c r="AG25" i="7"/>
  <c r="N25" i="7"/>
  <c r="M25" i="7"/>
  <c r="L25" i="7"/>
  <c r="J25" i="7"/>
  <c r="I25" i="7"/>
  <c r="BF24" i="7"/>
  <c r="AL24" i="7"/>
  <c r="AI24" i="7" s="1"/>
  <c r="AK24" i="7"/>
  <c r="AJ24" i="7"/>
  <c r="AH24" i="7"/>
  <c r="AG24" i="7"/>
  <c r="N24" i="7"/>
  <c r="K24" i="7" s="1"/>
  <c r="M24" i="7"/>
  <c r="L24" i="7"/>
  <c r="J24" i="7"/>
  <c r="I24" i="7"/>
  <c r="BF23" i="7"/>
  <c r="AL23" i="7"/>
  <c r="AI23" i="7" s="1"/>
  <c r="BE23" i="7" s="1"/>
  <c r="AK23" i="7"/>
  <c r="AJ23" i="7"/>
  <c r="AH23" i="7"/>
  <c r="AG23" i="7"/>
  <c r="N23" i="7"/>
  <c r="M23" i="7"/>
  <c r="L23" i="7"/>
  <c r="K23" i="7"/>
  <c r="J23" i="7"/>
  <c r="I23" i="7"/>
  <c r="BF22" i="7"/>
  <c r="AL22" i="7"/>
  <c r="BG22" i="7" s="1"/>
  <c r="AK22" i="7"/>
  <c r="AJ22" i="7"/>
  <c r="AH22" i="7"/>
  <c r="AG22" i="7"/>
  <c r="N22" i="7"/>
  <c r="K22" i="7" s="1"/>
  <c r="M22" i="7"/>
  <c r="L22" i="7"/>
  <c r="J22" i="7"/>
  <c r="I22" i="7"/>
  <c r="BF21" i="7"/>
  <c r="AL21" i="7"/>
  <c r="AI21" i="7" s="1"/>
  <c r="BE21" i="7" s="1"/>
  <c r="AK21" i="7"/>
  <c r="AJ21" i="7"/>
  <c r="AH21" i="7"/>
  <c r="AG21" i="7"/>
  <c r="N21" i="7"/>
  <c r="M21" i="7"/>
  <c r="L21" i="7"/>
  <c r="K21" i="7"/>
  <c r="J21" i="7"/>
  <c r="I21" i="7"/>
  <c r="BH20" i="7" a="1"/>
  <c r="BH20" i="7" s="1"/>
  <c r="BF20" i="7"/>
  <c r="AL20" i="7"/>
  <c r="AI20" i="7" s="1"/>
  <c r="AK20" i="7"/>
  <c r="AJ20" i="7"/>
  <c r="AH20" i="7"/>
  <c r="AG20" i="7"/>
  <c r="N20" i="7"/>
  <c r="M20" i="7"/>
  <c r="L20" i="7"/>
  <c r="J20" i="7"/>
  <c r="I20" i="7"/>
  <c r="BG19" i="7"/>
  <c r="BF19" i="7"/>
  <c r="AL19" i="7"/>
  <c r="AI19" i="7" s="1"/>
  <c r="AK19" i="7"/>
  <c r="AJ19" i="7"/>
  <c r="AH19" i="7"/>
  <c r="AG19" i="7"/>
  <c r="N19" i="7"/>
  <c r="M19" i="7"/>
  <c r="L19" i="7"/>
  <c r="K19" i="7"/>
  <c r="J19" i="7"/>
  <c r="I19" i="7"/>
  <c r="BF18" i="7"/>
  <c r="AL18" i="7"/>
  <c r="BG18" i="7" s="1"/>
  <c r="AK18" i="7"/>
  <c r="AJ18" i="7"/>
  <c r="AH18" i="7"/>
  <c r="AG18" i="7"/>
  <c r="N18" i="7"/>
  <c r="K18" i="7" s="1"/>
  <c r="M18" i="7"/>
  <c r="L18" i="7"/>
  <c r="J18" i="7"/>
  <c r="I18" i="7"/>
  <c r="BF17" i="7"/>
  <c r="AL17" i="7"/>
  <c r="BG17" i="7" s="1"/>
  <c r="AK17" i="7"/>
  <c r="AJ17" i="7"/>
  <c r="AH17" i="7"/>
  <c r="AG17" i="7"/>
  <c r="N17" i="7"/>
  <c r="M17" i="7"/>
  <c r="L17" i="7"/>
  <c r="K17" i="7"/>
  <c r="J17" i="7"/>
  <c r="I17" i="7"/>
  <c r="BF16" i="7"/>
  <c r="AL16" i="7"/>
  <c r="AI16" i="7" s="1"/>
  <c r="AK16" i="7"/>
  <c r="AJ16" i="7"/>
  <c r="AH16" i="7"/>
  <c r="AG16" i="7"/>
  <c r="N16" i="7"/>
  <c r="K16" i="7" s="1"/>
  <c r="M16" i="7"/>
  <c r="L16" i="7"/>
  <c r="J16" i="7"/>
  <c r="I16" i="7"/>
  <c r="BF15" i="7"/>
  <c r="AL15" i="7"/>
  <c r="BH15" i="7" s="1" a="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K11" i="7"/>
  <c r="AJ11" i="7"/>
  <c r="AI11" i="7"/>
  <c r="AH11" i="7"/>
  <c r="AG11" i="7"/>
  <c r="N11" i="7"/>
  <c r="K11" i="7" s="1"/>
  <c r="M11" i="7"/>
  <c r="L11" i="7"/>
  <c r="J11" i="7"/>
  <c r="I11" i="7"/>
  <c r="BH10" i="7" a="1"/>
  <c r="BF10" i="7"/>
  <c r="AL10" i="7"/>
  <c r="AK10" i="7"/>
  <c r="AJ10" i="7"/>
  <c r="AH10" i="7"/>
  <c r="AG10" i="7"/>
  <c r="N10" i="7"/>
  <c r="M10" i="7"/>
  <c r="L10" i="7"/>
  <c r="J10" i="7"/>
  <c r="I10" i="7"/>
  <c r="BG9" i="7"/>
  <c r="BF9" i="7"/>
  <c r="AL9" i="7"/>
  <c r="AI9" i="7" s="1"/>
  <c r="AK9" i="7"/>
  <c r="AJ9" i="7"/>
  <c r="AH9" i="7"/>
  <c r="AG9" i="7"/>
  <c r="N9" i="7"/>
  <c r="M9" i="7"/>
  <c r="L9" i="7"/>
  <c r="K9" i="7"/>
  <c r="J9" i="7"/>
  <c r="I9" i="7"/>
  <c r="BF8" i="7"/>
  <c r="AL8" i="7"/>
  <c r="AI8" i="7" s="1"/>
  <c r="BE8" i="7" s="1"/>
  <c r="AK8" i="7"/>
  <c r="AJ8" i="7"/>
  <c r="AH8" i="7"/>
  <c r="AG8" i="7"/>
  <c r="N8" i="7"/>
  <c r="K8" i="7" s="1"/>
  <c r="M8" i="7"/>
  <c r="L8" i="7"/>
  <c r="J8" i="7"/>
  <c r="I8" i="7"/>
  <c r="BF7" i="7"/>
  <c r="AL7" i="7"/>
  <c r="BG7" i="7" s="1"/>
  <c r="AK7" i="7"/>
  <c r="AJ7" i="7"/>
  <c r="AH7" i="7"/>
  <c r="AG7" i="7"/>
  <c r="N7" i="7"/>
  <c r="M7" i="7"/>
  <c r="L7" i="7"/>
  <c r="K7" i="7"/>
  <c r="J7" i="7"/>
  <c r="I7" i="7"/>
  <c r="BF6" i="7"/>
  <c r="AL6" i="7"/>
  <c r="BG6" i="7" s="1"/>
  <c r="AK6" i="7"/>
  <c r="AJ6" i="7"/>
  <c r="AH6" i="7"/>
  <c r="AG6" i="7"/>
  <c r="N6" i="7"/>
  <c r="K6" i="7" s="1"/>
  <c r="M6" i="7"/>
  <c r="L6" i="7"/>
  <c r="J6" i="7"/>
  <c r="I6" i="7"/>
  <c r="BH5" i="7" a="1"/>
  <c r="BH5" i="7" s="1"/>
  <c r="BG5" i="7"/>
  <c r="BF5" i="7"/>
  <c r="AL5" i="7"/>
  <c r="AI5" i="7" s="1"/>
  <c r="AK5" i="7"/>
  <c r="AJ5" i="7"/>
  <c r="AH5" i="7"/>
  <c r="AG5" i="7"/>
  <c r="N5" i="7"/>
  <c r="M5" i="7"/>
  <c r="L5" i="7"/>
  <c r="K5" i="7"/>
  <c r="J5" i="7"/>
  <c r="I5" i="7"/>
  <c r="AG1" i="7"/>
  <c r="I1" i="7"/>
  <c r="AZ18" i="6"/>
  <c r="AY18" i="6"/>
  <c r="AX18" i="6"/>
  <c r="AW18" i="6"/>
  <c r="AC18" i="6"/>
  <c r="AB18" i="6"/>
  <c r="AA18" i="6"/>
  <c r="AX19" i="6" s="1"/>
  <c r="Z18" i="6"/>
  <c r="AZ16" i="6"/>
  <c r="AY16" i="6"/>
  <c r="AX16" i="6"/>
  <c r="AW16" i="6"/>
  <c r="AC16" i="6"/>
  <c r="AB16" i="6"/>
  <c r="AA16" i="6"/>
  <c r="AX17" i="6" s="1"/>
  <c r="Z16" i="6"/>
  <c r="M15" i="6"/>
  <c r="AI14" i="6"/>
  <c r="AI13" i="6"/>
  <c r="AI12" i="6"/>
  <c r="AK11" i="6"/>
  <c r="BG11" i="6" s="1" a="1"/>
  <c r="AJ11" i="6"/>
  <c r="AI11" i="6"/>
  <c r="AG11" i="6"/>
  <c r="BB11" i="6" s="1"/>
  <c r="AF11" i="6"/>
  <c r="AE11" i="6"/>
  <c r="N11" i="6"/>
  <c r="K11" i="6" s="1"/>
  <c r="M11" i="6"/>
  <c r="BE11" i="6" s="1"/>
  <c r="L11" i="6"/>
  <c r="BD11" i="6" s="1"/>
  <c r="J11" i="6"/>
  <c r="I11" i="6"/>
  <c r="H11" i="6"/>
  <c r="AK10" i="6"/>
  <c r="AJ10" i="6"/>
  <c r="BE10" i="6" s="1"/>
  <c r="AI10" i="6"/>
  <c r="AG10" i="6"/>
  <c r="AF10" i="6"/>
  <c r="AE10" i="6"/>
  <c r="N10" i="6"/>
  <c r="K10" i="6" s="1"/>
  <c r="K14" i="6" s="1"/>
  <c r="M10" i="6"/>
  <c r="L10" i="6"/>
  <c r="L14" i="6" s="1"/>
  <c r="J10" i="6"/>
  <c r="J14" i="6" s="1"/>
  <c r="I10" i="6"/>
  <c r="H10" i="6"/>
  <c r="AK9" i="6"/>
  <c r="BG9" i="6" s="1" a="1"/>
  <c r="BG9" i="6" s="1"/>
  <c r="BG13" i="6" s="1"/>
  <c r="AJ9" i="6"/>
  <c r="AJ13" i="6" s="1"/>
  <c r="AI9" i="6"/>
  <c r="AG9" i="6"/>
  <c r="AF9" i="6"/>
  <c r="AE9" i="6"/>
  <c r="N9" i="6"/>
  <c r="K9" i="6" s="1"/>
  <c r="K13" i="6" s="1"/>
  <c r="M9" i="6"/>
  <c r="M13" i="6" s="1"/>
  <c r="L9" i="6"/>
  <c r="L13" i="6" s="1"/>
  <c r="J9" i="6"/>
  <c r="J13" i="6" s="1"/>
  <c r="I9" i="6"/>
  <c r="H9" i="6"/>
  <c r="AK8" i="6"/>
  <c r="AH8" i="6" s="1"/>
  <c r="BC8" i="6" s="1"/>
  <c r="AJ8" i="6"/>
  <c r="AI8" i="6"/>
  <c r="BD8" i="6" s="1"/>
  <c r="AG8" i="6"/>
  <c r="AF8" i="6"/>
  <c r="AE8" i="6"/>
  <c r="N8" i="6"/>
  <c r="K8" i="6" s="1"/>
  <c r="M8" i="6"/>
  <c r="BE8" i="6" s="1"/>
  <c r="L8" i="6"/>
  <c r="J8" i="6"/>
  <c r="I8" i="6"/>
  <c r="H8" i="6"/>
  <c r="AK7" i="6"/>
  <c r="BG7" i="6" s="1" a="1"/>
  <c r="BG7" i="6" s="1"/>
  <c r="AJ7" i="6"/>
  <c r="BE7" i="6" s="1"/>
  <c r="AI7" i="6"/>
  <c r="AG7" i="6"/>
  <c r="AF7" i="6"/>
  <c r="AE7" i="6"/>
  <c r="N7" i="6"/>
  <c r="K7" i="6" s="1"/>
  <c r="M7" i="6"/>
  <c r="L7" i="6"/>
  <c r="J7" i="6"/>
  <c r="I7" i="6"/>
  <c r="H7" i="6"/>
  <c r="BD6" i="6"/>
  <c r="AK6" i="6"/>
  <c r="AH6" i="6" s="1"/>
  <c r="BC6" i="6" s="1"/>
  <c r="AJ6" i="6"/>
  <c r="BE6" i="6" s="1"/>
  <c r="AI6" i="6"/>
  <c r="AG6" i="6"/>
  <c r="AF6" i="6"/>
  <c r="AE6" i="6"/>
  <c r="N6" i="6"/>
  <c r="K6" i="6" s="1"/>
  <c r="M6" i="6"/>
  <c r="L6" i="6"/>
  <c r="J6" i="6"/>
  <c r="I6" i="6"/>
  <c r="H6" i="6"/>
  <c r="AK5" i="6"/>
  <c r="BG5" i="6" s="1" a="1"/>
  <c r="BG5" i="6" s="1"/>
  <c r="AJ5" i="6"/>
  <c r="BE5" i="6" s="1"/>
  <c r="AI5" i="6"/>
  <c r="AG5" i="6"/>
  <c r="AF5" i="6"/>
  <c r="AE5" i="6"/>
  <c r="N5" i="6"/>
  <c r="K5" i="6" s="1"/>
  <c r="M5" i="6"/>
  <c r="M12" i="6" s="1"/>
  <c r="L5" i="6"/>
  <c r="BD5" i="6" s="1"/>
  <c r="J5" i="6"/>
  <c r="I5" i="6"/>
  <c r="H5" i="6"/>
  <c r="AE1" i="6"/>
  <c r="H1" i="6"/>
  <c r="AZ18" i="5"/>
  <c r="AY18" i="5"/>
  <c r="AX18" i="5"/>
  <c r="AW18" i="5"/>
  <c r="AC18" i="5"/>
  <c r="AB18" i="5"/>
  <c r="AA18" i="5"/>
  <c r="Z18" i="5"/>
  <c r="AZ16" i="5"/>
  <c r="AY16" i="5"/>
  <c r="AX16" i="5"/>
  <c r="AX17" i="5" s="1"/>
  <c r="AW16" i="5"/>
  <c r="AC16" i="5"/>
  <c r="AZ17" i="5" s="1"/>
  <c r="AB16" i="5"/>
  <c r="AA16" i="5"/>
  <c r="Z16" i="5"/>
  <c r="AI13" i="5"/>
  <c r="AK11" i="5"/>
  <c r="AH11" i="5" s="1"/>
  <c r="AJ11" i="5"/>
  <c r="BE11" i="5" s="1"/>
  <c r="AI11" i="5"/>
  <c r="AG11" i="5"/>
  <c r="BB11" i="5" s="1"/>
  <c r="AF11" i="5"/>
  <c r="AE11" i="5"/>
  <c r="N11" i="5"/>
  <c r="K11" i="5" s="1"/>
  <c r="M11" i="5"/>
  <c r="L11" i="5"/>
  <c r="BD11" i="5" s="1"/>
  <c r="J11" i="5"/>
  <c r="I11" i="5"/>
  <c r="H11" i="5"/>
  <c r="AK10" i="5"/>
  <c r="AH10" i="5" s="1"/>
  <c r="AJ10" i="5"/>
  <c r="BE10" i="5" s="1"/>
  <c r="AI10" i="5"/>
  <c r="AI14" i="5" s="1"/>
  <c r="AG10" i="5"/>
  <c r="BB10" i="5" s="1"/>
  <c r="AF10" i="5"/>
  <c r="AE10" i="5"/>
  <c r="N10" i="5"/>
  <c r="K10" i="5" s="1"/>
  <c r="M10" i="5"/>
  <c r="M14" i="5" s="1"/>
  <c r="L10" i="5"/>
  <c r="J10" i="5"/>
  <c r="J14" i="5" s="1"/>
  <c r="I10" i="5"/>
  <c r="H10" i="5"/>
  <c r="AK9" i="5"/>
  <c r="AH9" i="5" s="1"/>
  <c r="AJ9" i="5"/>
  <c r="AI9" i="5"/>
  <c r="AG9" i="5"/>
  <c r="AF9" i="5"/>
  <c r="AE9" i="5"/>
  <c r="N9" i="5"/>
  <c r="K9" i="5" s="1"/>
  <c r="K13" i="5" s="1"/>
  <c r="M9" i="5"/>
  <c r="M13" i="5" s="1"/>
  <c r="L9" i="5"/>
  <c r="J9" i="5"/>
  <c r="J13" i="5" s="1"/>
  <c r="I9" i="5"/>
  <c r="H9" i="5"/>
  <c r="BD8" i="5"/>
  <c r="AK8" i="5"/>
  <c r="AH8" i="5" s="1"/>
  <c r="BC8" i="5" s="1"/>
  <c r="AJ8" i="5"/>
  <c r="BE8" i="5" s="1"/>
  <c r="AI8" i="5"/>
  <c r="AG8" i="5"/>
  <c r="BB8" i="5" s="1"/>
  <c r="AF8" i="5"/>
  <c r="AE8" i="5"/>
  <c r="N8" i="5"/>
  <c r="K8" i="5" s="1"/>
  <c r="M8" i="5"/>
  <c r="L8" i="5"/>
  <c r="J8" i="5"/>
  <c r="I8" i="5"/>
  <c r="H8" i="5"/>
  <c r="BD7" i="5"/>
  <c r="AK7" i="5"/>
  <c r="AH7" i="5" s="1"/>
  <c r="BC7" i="5" s="1"/>
  <c r="AJ7" i="5"/>
  <c r="BE7" i="5" s="1"/>
  <c r="AI7" i="5"/>
  <c r="AG7" i="5"/>
  <c r="AF7" i="5"/>
  <c r="AE7" i="5"/>
  <c r="N7" i="5"/>
  <c r="K7" i="5" s="1"/>
  <c r="M7" i="5"/>
  <c r="L7" i="5"/>
  <c r="J7" i="5"/>
  <c r="I7" i="5"/>
  <c r="H7" i="5"/>
  <c r="BD6" i="5"/>
  <c r="AK6" i="5"/>
  <c r="AH6" i="5" s="1"/>
  <c r="BC6" i="5" s="1"/>
  <c r="AJ6" i="5"/>
  <c r="BE6" i="5" s="1"/>
  <c r="AI6" i="5"/>
  <c r="AG6" i="5"/>
  <c r="AF6" i="5"/>
  <c r="AE6" i="5"/>
  <c r="N6" i="5"/>
  <c r="K6" i="5" s="1"/>
  <c r="M6" i="5"/>
  <c r="L6" i="5"/>
  <c r="J6" i="5"/>
  <c r="I6" i="5"/>
  <c r="H6" i="5"/>
  <c r="BD5" i="5"/>
  <c r="AK5" i="5"/>
  <c r="AH5" i="5" s="1"/>
  <c r="AJ5" i="5"/>
  <c r="AI5" i="5"/>
  <c r="AI15" i="5" s="1"/>
  <c r="AG5" i="5"/>
  <c r="AF5" i="5"/>
  <c r="AE5" i="5"/>
  <c r="N5" i="5"/>
  <c r="K5" i="5" s="1"/>
  <c r="M5" i="5"/>
  <c r="M12" i="5" s="1"/>
  <c r="L5" i="5"/>
  <c r="J5" i="5"/>
  <c r="J12" i="5" s="1"/>
  <c r="I5" i="5"/>
  <c r="H5" i="5"/>
  <c r="AE1" i="5"/>
  <c r="H1" i="5"/>
  <c r="BC46" i="3"/>
  <c r="BB46" i="3"/>
  <c r="BA46" i="3"/>
  <c r="AZ46" i="3"/>
  <c r="AE46" i="3"/>
  <c r="AD46" i="3"/>
  <c r="AC46" i="3"/>
  <c r="AB46" i="3"/>
  <c r="AZ47" i="3" s="1"/>
  <c r="BC44" i="3"/>
  <c r="BB44" i="3"/>
  <c r="BB45" i="3" s="1"/>
  <c r="BA44" i="3"/>
  <c r="AZ44" i="3"/>
  <c r="AE44" i="3"/>
  <c r="AD44" i="3"/>
  <c r="AC44" i="3"/>
  <c r="AB44" i="3"/>
  <c r="BF39" i="3"/>
  <c r="AL39" i="3"/>
  <c r="AK39" i="3"/>
  <c r="AJ39" i="3"/>
  <c r="AI39" i="3"/>
  <c r="AH39" i="3"/>
  <c r="AG39" i="3"/>
  <c r="N39" i="3"/>
  <c r="K39" i="3" s="1"/>
  <c r="M39" i="3"/>
  <c r="L39" i="3"/>
  <c r="J39" i="3"/>
  <c r="I39" i="3"/>
  <c r="BF38" i="3"/>
  <c r="AL38" i="3"/>
  <c r="AI38" i="3" s="1"/>
  <c r="AK38" i="3"/>
  <c r="AJ38" i="3"/>
  <c r="AH38" i="3"/>
  <c r="AG38" i="3"/>
  <c r="N38" i="3"/>
  <c r="K38" i="3" s="1"/>
  <c r="M38" i="3"/>
  <c r="L38" i="3"/>
  <c r="J38" i="3"/>
  <c r="I38" i="3"/>
  <c r="BF37" i="3"/>
  <c r="AL37" i="3"/>
  <c r="BG37" i="3" s="1"/>
  <c r="AK37" i="3"/>
  <c r="AJ37" i="3"/>
  <c r="AH37" i="3"/>
  <c r="AG37" i="3"/>
  <c r="N37" i="3"/>
  <c r="K37" i="3" s="1"/>
  <c r="M37" i="3"/>
  <c r="L37" i="3"/>
  <c r="J37" i="3"/>
  <c r="I37" i="3"/>
  <c r="BF36" i="3"/>
  <c r="AL36" i="3"/>
  <c r="BG36" i="3" s="1"/>
  <c r="AK36" i="3"/>
  <c r="AJ36" i="3"/>
  <c r="AH36" i="3"/>
  <c r="AG36" i="3"/>
  <c r="N36" i="3"/>
  <c r="M36" i="3"/>
  <c r="L36" i="3"/>
  <c r="K36" i="3"/>
  <c r="J36" i="3"/>
  <c r="I36" i="3"/>
  <c r="BG35" i="3"/>
  <c r="BF35" i="3"/>
  <c r="AL35" i="3"/>
  <c r="AK35" i="3"/>
  <c r="AJ35" i="3"/>
  <c r="AI35" i="3"/>
  <c r="AH35" i="3"/>
  <c r="AG35" i="3"/>
  <c r="N35" i="3"/>
  <c r="M35" i="3"/>
  <c r="L35" i="3"/>
  <c r="K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G32" i="3"/>
  <c r="BF32" i="3"/>
  <c r="AL32" i="3"/>
  <c r="AK32" i="3"/>
  <c r="AJ32" i="3"/>
  <c r="AI32" i="3"/>
  <c r="AH32" i="3"/>
  <c r="AG32" i="3"/>
  <c r="N32" i="3"/>
  <c r="M32" i="3"/>
  <c r="L32" i="3"/>
  <c r="K32" i="3"/>
  <c r="J32" i="3"/>
  <c r="I32" i="3"/>
  <c r="BF31" i="3"/>
  <c r="AL31" i="3"/>
  <c r="AK31" i="3"/>
  <c r="AJ31" i="3"/>
  <c r="AH31" i="3"/>
  <c r="AG31" i="3"/>
  <c r="N31" i="3"/>
  <c r="K31" i="3" s="1"/>
  <c r="M31" i="3"/>
  <c r="L31" i="3"/>
  <c r="J31" i="3"/>
  <c r="I31" i="3"/>
  <c r="BF30" i="3"/>
  <c r="AL30" i="3"/>
  <c r="BG30" i="3" s="1"/>
  <c r="AK30" i="3"/>
  <c r="AJ30" i="3"/>
  <c r="AH30" i="3"/>
  <c r="AH42" i="3" s="1"/>
  <c r="AG30" i="3"/>
  <c r="N30" i="3"/>
  <c r="M30" i="3"/>
  <c r="M42" i="3" s="1"/>
  <c r="L30" i="3"/>
  <c r="L42" i="3" s="1"/>
  <c r="J30" i="3"/>
  <c r="I30" i="3"/>
  <c r="BF29" i="3"/>
  <c r="AL29" i="3"/>
  <c r="AK29" i="3"/>
  <c r="AJ29" i="3"/>
  <c r="AI29" i="3"/>
  <c r="AH29" i="3"/>
  <c r="AG29" i="3"/>
  <c r="N29" i="3"/>
  <c r="M29" i="3"/>
  <c r="L29" i="3"/>
  <c r="K29" i="3"/>
  <c r="J29" i="3"/>
  <c r="I29" i="3"/>
  <c r="BF28" i="3"/>
  <c r="AL28" i="3"/>
  <c r="AI28" i="3" s="1"/>
  <c r="AK28" i="3"/>
  <c r="AJ28" i="3"/>
  <c r="AH28" i="3"/>
  <c r="AG28" i="3"/>
  <c r="N28" i="3"/>
  <c r="K28" i="3" s="1"/>
  <c r="M28" i="3"/>
  <c r="L28" i="3"/>
  <c r="J28" i="3"/>
  <c r="I28" i="3"/>
  <c r="BF27" i="3"/>
  <c r="AL27" i="3"/>
  <c r="BG27" i="3" s="1"/>
  <c r="AK27" i="3"/>
  <c r="AJ27" i="3"/>
  <c r="AI27" i="3"/>
  <c r="AH27" i="3"/>
  <c r="AG27" i="3"/>
  <c r="N27" i="3"/>
  <c r="K27" i="3" s="1"/>
  <c r="M27" i="3"/>
  <c r="L27" i="3"/>
  <c r="J27" i="3"/>
  <c r="I27" i="3"/>
  <c r="BF26" i="3"/>
  <c r="AL26" i="3"/>
  <c r="AK26" i="3"/>
  <c r="AJ26" i="3"/>
  <c r="AH26" i="3"/>
  <c r="AG26" i="3"/>
  <c r="N26" i="3"/>
  <c r="K26" i="3" s="1"/>
  <c r="M26" i="3"/>
  <c r="L26" i="3"/>
  <c r="J26" i="3"/>
  <c r="I26" i="3"/>
  <c r="BF25" i="3"/>
  <c r="AL25" i="3"/>
  <c r="BH25" i="3" s="1" a="1"/>
  <c r="AK25" i="3"/>
  <c r="AJ25" i="3"/>
  <c r="AJ41" i="3" s="1"/>
  <c r="AI25" i="3"/>
  <c r="AH25" i="3"/>
  <c r="AG25" i="3"/>
  <c r="N25" i="3"/>
  <c r="M25" i="3"/>
  <c r="M41" i="3" s="1"/>
  <c r="L25" i="3"/>
  <c r="K25" i="3"/>
  <c r="J25" i="3"/>
  <c r="J41" i="3" s="1"/>
  <c r="I25" i="3"/>
  <c r="BF24" i="3"/>
  <c r="AL24" i="3"/>
  <c r="AI24" i="3" s="1"/>
  <c r="AK24" i="3"/>
  <c r="AJ24" i="3"/>
  <c r="AH24" i="3"/>
  <c r="AG24" i="3"/>
  <c r="N24" i="3"/>
  <c r="K24" i="3" s="1"/>
  <c r="M24" i="3"/>
  <c r="L24" i="3"/>
  <c r="J24" i="3"/>
  <c r="I24" i="3"/>
  <c r="BF23" i="3"/>
  <c r="AL23" i="3"/>
  <c r="AK23" i="3"/>
  <c r="AJ23" i="3"/>
  <c r="AI23" i="3"/>
  <c r="AH23" i="3"/>
  <c r="AG23" i="3"/>
  <c r="N23" i="3"/>
  <c r="M23" i="3"/>
  <c r="L23" i="3"/>
  <c r="K23" i="3"/>
  <c r="J23" i="3"/>
  <c r="I23" i="3"/>
  <c r="BF22" i="3"/>
  <c r="AL22" i="3"/>
  <c r="AK22" i="3"/>
  <c r="AJ22" i="3"/>
  <c r="AH22" i="3"/>
  <c r="AG22" i="3"/>
  <c r="N22" i="3"/>
  <c r="K22" i="3" s="1"/>
  <c r="M22" i="3"/>
  <c r="L22" i="3"/>
  <c r="J22" i="3"/>
  <c r="I22" i="3"/>
  <c r="BF21" i="3"/>
  <c r="AL21" i="3"/>
  <c r="AK21" i="3"/>
  <c r="AJ21" i="3"/>
  <c r="AI21" i="3"/>
  <c r="AH21" i="3"/>
  <c r="AG21" i="3"/>
  <c r="N21" i="3"/>
  <c r="K21" i="3" s="1"/>
  <c r="M21" i="3"/>
  <c r="L21" i="3"/>
  <c r="J21" i="3"/>
  <c r="I21" i="3"/>
  <c r="BF20" i="3"/>
  <c r="AL20" i="3"/>
  <c r="AI20" i="3" s="1"/>
  <c r="AK20" i="3"/>
  <c r="AJ20" i="3"/>
  <c r="AH20" i="3"/>
  <c r="AG20" i="3"/>
  <c r="N20" i="3"/>
  <c r="M20" i="3"/>
  <c r="L20" i="3"/>
  <c r="J20" i="3"/>
  <c r="I20" i="3"/>
  <c r="BF19" i="3"/>
  <c r="AL19" i="3"/>
  <c r="AK19" i="3"/>
  <c r="AJ19" i="3"/>
  <c r="AI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BH15" i="3" s="1" a="1"/>
  <c r="AK15" i="3"/>
  <c r="AJ15" i="3"/>
  <c r="AI15" i="3"/>
  <c r="AH15" i="3"/>
  <c r="AG15" i="3"/>
  <c r="N15" i="3"/>
  <c r="K15" i="3" s="1"/>
  <c r="M15" i="3"/>
  <c r="L15" i="3"/>
  <c r="J15" i="3"/>
  <c r="I15" i="3"/>
  <c r="BF14" i="3"/>
  <c r="AL14" i="3"/>
  <c r="BG14" i="3" s="1"/>
  <c r="AK14" i="3"/>
  <c r="AJ14" i="3"/>
  <c r="AH14" i="3"/>
  <c r="AG14" i="3"/>
  <c r="N14" i="3"/>
  <c r="K14" i="3" s="1"/>
  <c r="M14" i="3"/>
  <c r="L14" i="3"/>
  <c r="J14" i="3"/>
  <c r="I14" i="3"/>
  <c r="BF13" i="3"/>
  <c r="AL13" i="3"/>
  <c r="BG13" i="3" s="1"/>
  <c r="AK13" i="3"/>
  <c r="AJ13" i="3"/>
  <c r="AI13" i="3"/>
  <c r="AH13" i="3"/>
  <c r="AG13" i="3"/>
  <c r="N13" i="3"/>
  <c r="K13" i="3" s="1"/>
  <c r="M13" i="3"/>
  <c r="L13" i="3"/>
  <c r="J13" i="3"/>
  <c r="I13" i="3"/>
  <c r="BF12" i="3"/>
  <c r="AL12" i="3"/>
  <c r="AI12" i="3" s="1"/>
  <c r="BE12" i="3" s="1"/>
  <c r="AK12" i="3"/>
  <c r="AJ12" i="3"/>
  <c r="AH12" i="3"/>
  <c r="AG12" i="3"/>
  <c r="N12" i="3"/>
  <c r="K12" i="3" s="1"/>
  <c r="M12" i="3"/>
  <c r="L12" i="3"/>
  <c r="J12" i="3"/>
  <c r="I12" i="3"/>
  <c r="BF11" i="3"/>
  <c r="AL11" i="3"/>
  <c r="BG11" i="3" s="1"/>
  <c r="AK11" i="3"/>
  <c r="AJ11" i="3"/>
  <c r="AI11" i="3"/>
  <c r="BE11" i="3" s="1"/>
  <c r="AH11" i="3"/>
  <c r="AG11" i="3"/>
  <c r="N11" i="3"/>
  <c r="M11" i="3"/>
  <c r="L11" i="3"/>
  <c r="K11" i="3"/>
  <c r="J11" i="3"/>
  <c r="I11" i="3"/>
  <c r="BH10" i="3" a="1"/>
  <c r="BF10" i="3"/>
  <c r="AL10" i="3"/>
  <c r="BG10" i="3" s="1"/>
  <c r="AK10" i="3"/>
  <c r="AJ10" i="3"/>
  <c r="AH10" i="3"/>
  <c r="AG10" i="3"/>
  <c r="N10" i="3"/>
  <c r="K10" i="3" s="1"/>
  <c r="M10" i="3"/>
  <c r="L10" i="3"/>
  <c r="J10" i="3"/>
  <c r="I10" i="3"/>
  <c r="BF9" i="3"/>
  <c r="AL9" i="3"/>
  <c r="BG9" i="3" s="1"/>
  <c r="AK9" i="3"/>
  <c r="AJ9" i="3"/>
  <c r="AI9" i="3"/>
  <c r="AH9" i="3"/>
  <c r="AG9" i="3"/>
  <c r="N9" i="3"/>
  <c r="M9" i="3"/>
  <c r="L9" i="3"/>
  <c r="K9" i="3"/>
  <c r="J9" i="3"/>
  <c r="I9" i="3"/>
  <c r="BF8" i="3"/>
  <c r="AL8" i="3"/>
  <c r="AI8" i="3" s="1"/>
  <c r="BE8" i="3" s="1"/>
  <c r="AK8" i="3"/>
  <c r="AJ8" i="3"/>
  <c r="AH8" i="3"/>
  <c r="AG8" i="3"/>
  <c r="N8" i="3"/>
  <c r="K8" i="3" s="1"/>
  <c r="M8" i="3"/>
  <c r="L8" i="3"/>
  <c r="J8" i="3"/>
  <c r="I8" i="3"/>
  <c r="BF7" i="3"/>
  <c r="AL7" i="3"/>
  <c r="BG7" i="3" s="1"/>
  <c r="AK7" i="3"/>
  <c r="AJ7" i="3"/>
  <c r="AI7" i="3"/>
  <c r="AH7" i="3"/>
  <c r="AG7" i="3"/>
  <c r="N7" i="3"/>
  <c r="M7" i="3"/>
  <c r="L7" i="3"/>
  <c r="K7" i="3"/>
  <c r="J7" i="3"/>
  <c r="I7" i="3"/>
  <c r="BF6" i="3"/>
  <c r="AL6" i="3"/>
  <c r="AK6" i="3"/>
  <c r="AJ6" i="3"/>
  <c r="AH6" i="3"/>
  <c r="AG6" i="3"/>
  <c r="N6" i="3"/>
  <c r="K6" i="3" s="1"/>
  <c r="M6" i="3"/>
  <c r="L6" i="3"/>
  <c r="J6" i="3"/>
  <c r="I6" i="3"/>
  <c r="BF5" i="3"/>
  <c r="AL5" i="3"/>
  <c r="BG5" i="3" s="1"/>
  <c r="AK5" i="3"/>
  <c r="AJ5" i="3"/>
  <c r="AH5" i="3"/>
  <c r="AG5" i="3"/>
  <c r="N5" i="3"/>
  <c r="M5" i="3"/>
  <c r="L5" i="3"/>
  <c r="K5" i="3"/>
  <c r="J5" i="3"/>
  <c r="I5" i="3"/>
  <c r="AG1" i="3"/>
  <c r="I1" i="3"/>
  <c r="B1" i="2"/>
  <c r="B2" i="2" s="1"/>
  <c r="BT35" i="7"/>
  <c r="BP30" i="7"/>
  <c r="BN25" i="7"/>
  <c r="BS20" i="7"/>
  <c r="BR15" i="7"/>
  <c r="BT10" i="7"/>
  <c r="BS5" i="7"/>
  <c r="BP35" i="3"/>
  <c r="BM30" i="3"/>
  <c r="BT15" i="3"/>
  <c r="BS5" i="3"/>
  <c r="BN5" i="7"/>
  <c r="BS35" i="7"/>
  <c r="BN30" i="7"/>
  <c r="BM25" i="7"/>
  <c r="BR20" i="7"/>
  <c r="BQ15" i="7"/>
  <c r="BS10" i="7"/>
  <c r="BR5" i="7"/>
  <c r="BN35" i="3"/>
  <c r="BK35" i="3"/>
  <c r="BL30" i="3"/>
  <c r="BS15" i="3"/>
  <c r="BT10" i="3"/>
  <c r="BR5" i="3"/>
  <c r="BM15" i="7"/>
  <c r="BP15" i="3"/>
  <c r="BR35" i="7"/>
  <c r="BJ35" i="7"/>
  <c r="BM30" i="7"/>
  <c r="BL25" i="7"/>
  <c r="BJ25" i="7"/>
  <c r="BQ20" i="7"/>
  <c r="BK20" i="7"/>
  <c r="BP15" i="7"/>
  <c r="BR10" i="7"/>
  <c r="BQ5" i="7"/>
  <c r="BM35" i="3"/>
  <c r="BR15" i="3"/>
  <c r="BS10" i="3"/>
  <c r="BQ5" i="3"/>
  <c r="BN20" i="7"/>
  <c r="BS20" i="3"/>
  <c r="BQ35" i="7"/>
  <c r="BL30" i="7"/>
  <c r="BK25" i="7"/>
  <c r="BP20" i="7"/>
  <c r="BN15" i="7"/>
  <c r="BJ15" i="7"/>
  <c r="BQ10" i="7"/>
  <c r="BK10" i="7"/>
  <c r="BP5" i="7"/>
  <c r="BL35" i="3"/>
  <c r="BT25" i="3"/>
  <c r="BT20" i="3"/>
  <c r="BQ15" i="3"/>
  <c r="BR10" i="3"/>
  <c r="BP5" i="3"/>
  <c r="BP10" i="7"/>
  <c r="BJ35" i="3"/>
  <c r="BN5" i="3"/>
  <c r="BP35" i="7"/>
  <c r="BN35" i="7"/>
  <c r="BM20" i="7"/>
  <c r="BL15" i="7"/>
  <c r="BN10" i="7"/>
  <c r="BM5" i="7"/>
  <c r="BR25" i="3"/>
  <c r="BR20" i="3"/>
  <c r="BK20" i="3"/>
  <c r="BN15" i="3"/>
  <c r="BJ15" i="3"/>
  <c r="BP10" i="3"/>
  <c r="BM5" i="3"/>
  <c r="BS25" i="3"/>
  <c r="BM35" i="7"/>
  <c r="BL20" i="7"/>
  <c r="BK15" i="7"/>
  <c r="BM10" i="7"/>
  <c r="BL5" i="7"/>
  <c r="BJ5" i="7"/>
  <c r="BT30" i="3"/>
  <c r="BQ25" i="3"/>
  <c r="BQ20" i="3"/>
  <c r="BM15" i="3"/>
  <c r="BN10" i="3"/>
  <c r="BL5" i="3"/>
  <c r="BL35" i="7"/>
  <c r="BT25" i="7"/>
  <c r="BL10" i="7"/>
  <c r="BK5" i="7"/>
  <c r="BS30" i="3"/>
  <c r="BP25" i="3"/>
  <c r="BJ25" i="3"/>
  <c r="BP20" i="3"/>
  <c r="BL15" i="3"/>
  <c r="BM10" i="3"/>
  <c r="BK5" i="3"/>
  <c r="BT5" i="3"/>
  <c r="BT30" i="7"/>
  <c r="BS25" i="7"/>
  <c r="BT35" i="3"/>
  <c r="BR30" i="3"/>
  <c r="BK30" i="3"/>
  <c r="BN25" i="3"/>
  <c r="BN20" i="3"/>
  <c r="BK15" i="3"/>
  <c r="BL10" i="3"/>
  <c r="BT5" i="7"/>
  <c r="BQ10" i="3"/>
  <c r="BS30" i="7"/>
  <c r="BR25" i="7"/>
  <c r="BS35" i="3"/>
  <c r="BQ30" i="3"/>
  <c r="BM25" i="3"/>
  <c r="BM20" i="3"/>
  <c r="BP25" i="7"/>
  <c r="BT20" i="7"/>
  <c r="BN30" i="3"/>
  <c r="BR30" i="7"/>
  <c r="BQ25" i="7"/>
  <c r="BT15" i="7"/>
  <c r="BR35" i="3"/>
  <c r="BP30" i="3"/>
  <c r="BL25" i="3"/>
  <c r="BL20" i="3"/>
  <c r="BK30" i="7"/>
  <c r="BS15" i="7"/>
  <c r="BQ35" i="3"/>
  <c r="BJ5" i="3"/>
  <c r="BQ30" i="7"/>
  <c r="C47" i="1" l="1"/>
  <c r="C48" i="1"/>
  <c r="AK41" i="7"/>
  <c r="BH30" i="7"/>
  <c r="BH42" i="7" s="1"/>
  <c r="BG21" i="7"/>
  <c r="BG13" i="7"/>
  <c r="BG23" i="7"/>
  <c r="BG31" i="7"/>
  <c r="BE17" i="7"/>
  <c r="BE9" i="7"/>
  <c r="AJ43" i="7"/>
  <c r="BE31" i="7"/>
  <c r="AI7" i="7"/>
  <c r="BE7" i="7" s="1"/>
  <c r="AI15" i="7"/>
  <c r="BE15" i="7" s="1"/>
  <c r="AI17" i="7"/>
  <c r="BG29" i="7"/>
  <c r="BG36" i="7"/>
  <c r="BG37" i="7"/>
  <c r="BG38" i="7"/>
  <c r="BG25" i="7"/>
  <c r="BG33" i="7"/>
  <c r="AJ42" i="7"/>
  <c r="BA47" i="7"/>
  <c r="BE5" i="7"/>
  <c r="AK42" i="7"/>
  <c r="L43" i="7"/>
  <c r="BE11" i="7"/>
  <c r="L42" i="7"/>
  <c r="BG10" i="7"/>
  <c r="BE24" i="7"/>
  <c r="M42" i="7"/>
  <c r="BE27" i="7"/>
  <c r="BC47" i="7"/>
  <c r="BH10" i="7"/>
  <c r="BE12" i="7"/>
  <c r="J41" i="7"/>
  <c r="BG26" i="7"/>
  <c r="BC45" i="7"/>
  <c r="BG11" i="7"/>
  <c r="BG14" i="7"/>
  <c r="K25" i="7"/>
  <c r="BE25" i="7" s="1"/>
  <c r="BE28" i="7"/>
  <c r="BH15" i="7"/>
  <c r="BE16" i="7"/>
  <c r="BE19" i="7"/>
  <c r="L41" i="7"/>
  <c r="BH25" i="7"/>
  <c r="BH41" i="7" s="1"/>
  <c r="K13" i="7"/>
  <c r="BE13" i="7" s="1"/>
  <c r="M41" i="7"/>
  <c r="BG27" i="7"/>
  <c r="BG30" i="7"/>
  <c r="BE38" i="7"/>
  <c r="BG39" i="7"/>
  <c r="BG15" i="7"/>
  <c r="K29" i="7"/>
  <c r="BE29" i="7" s="1"/>
  <c r="BE32" i="7"/>
  <c r="BD7" i="6"/>
  <c r="AI15" i="6"/>
  <c r="AH11" i="6"/>
  <c r="J15" i="6"/>
  <c r="BD9" i="6"/>
  <c r="BC11" i="6"/>
  <c r="AW19" i="6"/>
  <c r="AY19" i="6"/>
  <c r="BG11" i="6"/>
  <c r="AW17" i="6"/>
  <c r="AZ19" i="6"/>
  <c r="AY17" i="6"/>
  <c r="BB6" i="6"/>
  <c r="BB7" i="6"/>
  <c r="BB8" i="6"/>
  <c r="BD10" i="5"/>
  <c r="AI12" i="5"/>
  <c r="BD9" i="5"/>
  <c r="AG14" i="5"/>
  <c r="BB14" i="5" s="1"/>
  <c r="AW19" i="5"/>
  <c r="AW17" i="5"/>
  <c r="AZ19" i="5"/>
  <c r="C23" i="1"/>
  <c r="J15" i="5"/>
  <c r="M15" i="5"/>
  <c r="AX19" i="5"/>
  <c r="BB5" i="5"/>
  <c r="BB6" i="5"/>
  <c r="BE5" i="5"/>
  <c r="BB7" i="5"/>
  <c r="AY17" i="5"/>
  <c r="AI5" i="3"/>
  <c r="AH41" i="3"/>
  <c r="AK43" i="3"/>
  <c r="AK42" i="3"/>
  <c r="AI36" i="3"/>
  <c r="AJ42" i="3"/>
  <c r="BG25" i="3"/>
  <c r="BC47" i="3"/>
  <c r="AZ45" i="3"/>
  <c r="BH10" i="3"/>
  <c r="BG23" i="3"/>
  <c r="BC45" i="3"/>
  <c r="AH43" i="3"/>
  <c r="BG29" i="3"/>
  <c r="C13" i="1"/>
  <c r="BE13" i="3"/>
  <c r="BE39" i="3"/>
  <c r="BE15" i="3"/>
  <c r="L41" i="3"/>
  <c r="BE38" i="3"/>
  <c r="BE17" i="3"/>
  <c r="BE19" i="3"/>
  <c r="J42" i="3"/>
  <c r="BH15" i="3"/>
  <c r="BE16" i="3"/>
  <c r="BE21" i="3"/>
  <c r="BG39" i="3"/>
  <c r="BG18" i="3"/>
  <c r="BE23" i="3"/>
  <c r="BG15" i="3"/>
  <c r="BA47" i="3"/>
  <c r="L43" i="3"/>
  <c r="BG17" i="3"/>
  <c r="BG22" i="3"/>
  <c r="BE27" i="3"/>
  <c r="BB47" i="3"/>
  <c r="BG19" i="3"/>
  <c r="BE24" i="3"/>
  <c r="BE29" i="3"/>
  <c r="BE7" i="3"/>
  <c r="BE9" i="3"/>
  <c r="BG21" i="3"/>
  <c r="BH25" i="3"/>
  <c r="BH41" i="3" s="1"/>
  <c r="BG26" i="3"/>
  <c r="BG6" i="3"/>
  <c r="BE28" i="3"/>
  <c r="BG31" i="3"/>
  <c r="BG34" i="3"/>
  <c r="BA45" i="3"/>
  <c r="BQ42" i="7"/>
  <c r="BL41" i="3"/>
  <c r="E10" i="1" s="1"/>
  <c r="BQ41" i="7"/>
  <c r="BR42" i="7"/>
  <c r="BN42" i="3"/>
  <c r="G11" i="1" s="1"/>
  <c r="BP41" i="7"/>
  <c r="BM41" i="3"/>
  <c r="F10" i="1" s="1"/>
  <c r="BR41" i="7"/>
  <c r="BS42" i="7"/>
  <c r="BN41" i="3"/>
  <c r="G10" i="1" s="1"/>
  <c r="BK42" i="3"/>
  <c r="D11" i="1" s="1"/>
  <c r="BT42" i="7"/>
  <c r="BJ41" i="3"/>
  <c r="C10" i="1" s="1"/>
  <c r="BM40" i="3"/>
  <c r="F9" i="1" s="1"/>
  <c r="BM43" i="7"/>
  <c r="F46" i="1" s="1"/>
  <c r="BN43" i="3"/>
  <c r="G12" i="1" s="1"/>
  <c r="BK41" i="7"/>
  <c r="D44" i="1" s="1"/>
  <c r="BL42" i="7"/>
  <c r="E45" i="1" s="1"/>
  <c r="BJ41" i="7"/>
  <c r="C44" i="1" s="1"/>
  <c r="BL41" i="7"/>
  <c r="E44" i="1" s="1"/>
  <c r="BM42" i="7"/>
  <c r="F45" i="1" s="1"/>
  <c r="BL42" i="3"/>
  <c r="E11" i="1" s="1"/>
  <c r="BM41" i="7"/>
  <c r="F44" i="1" s="1"/>
  <c r="BN42" i="7"/>
  <c r="G45" i="1" s="1"/>
  <c r="BN43" i="7"/>
  <c r="G46" i="1" s="1"/>
  <c r="BM42" i="3"/>
  <c r="F11" i="1" s="1"/>
  <c r="BN41" i="7"/>
  <c r="G44" i="1" s="1"/>
  <c r="BP42" i="7"/>
  <c r="BQ40" i="3"/>
  <c r="BR40" i="3"/>
  <c r="BP41" i="3"/>
  <c r="BC9" i="5"/>
  <c r="AH13" i="5"/>
  <c r="BC13" i="5" s="1"/>
  <c r="AH14" i="5"/>
  <c r="BC10" i="5"/>
  <c r="BC11" i="5"/>
  <c r="K15" i="5"/>
  <c r="K12" i="5"/>
  <c r="K15" i="6"/>
  <c r="K12" i="6"/>
  <c r="BE33" i="3"/>
  <c r="AH15" i="5"/>
  <c r="AH12" i="5"/>
  <c r="BC5" i="5"/>
  <c r="K14" i="5"/>
  <c r="AJ12" i="6"/>
  <c r="BE12" i="6" s="1"/>
  <c r="E21" i="1"/>
  <c r="BH30" i="3" a="1"/>
  <c r="BH30" i="3" s="1"/>
  <c r="AI34" i="3"/>
  <c r="BE34" i="3" s="1"/>
  <c r="BG38" i="3"/>
  <c r="BN40" i="3"/>
  <c r="G9" i="1" s="1"/>
  <c r="L15" i="5"/>
  <c r="BD15" i="5" s="1"/>
  <c r="L12" i="5"/>
  <c r="BD12" i="5" s="1"/>
  <c r="BF5" i="5"/>
  <c r="BF7" i="5"/>
  <c r="BF9" i="5"/>
  <c r="BF11" i="5"/>
  <c r="L13" i="5"/>
  <c r="AJ14" i="5"/>
  <c r="BE14" i="5" s="1"/>
  <c r="AJ43" i="3"/>
  <c r="AJ40" i="3"/>
  <c r="BG33" i="3"/>
  <c r="BE35" i="3"/>
  <c r="BE36" i="3"/>
  <c r="BT40" i="3"/>
  <c r="BR41" i="3"/>
  <c r="BP42" i="3"/>
  <c r="BM43" i="3"/>
  <c r="F12" i="1" s="1"/>
  <c r="BG6" i="5" a="1"/>
  <c r="BG6" i="5" s="1"/>
  <c r="BG8" i="5" a="1"/>
  <c r="BG8" i="5" s="1"/>
  <c r="BG10" i="5" a="1"/>
  <c r="BG10" i="5" s="1"/>
  <c r="BD13" i="5"/>
  <c r="BF9" i="6"/>
  <c r="BH40" i="7"/>
  <c r="I9" i="1"/>
  <c r="BP43" i="3"/>
  <c r="BP40" i="3"/>
  <c r="AK41" i="3"/>
  <c r="AI30" i="3"/>
  <c r="L40" i="3"/>
  <c r="BS41" i="3"/>
  <c r="BQ42" i="3"/>
  <c r="AH10" i="6"/>
  <c r="BG10" i="6" a="1"/>
  <c r="BG10" i="6" s="1"/>
  <c r="BG14" i="6" s="1"/>
  <c r="BF10" i="6"/>
  <c r="BD13" i="6"/>
  <c r="M43" i="7"/>
  <c r="M40" i="7"/>
  <c r="BB10" i="6"/>
  <c r="AG14" i="6"/>
  <c r="BB14" i="6" s="1"/>
  <c r="J9" i="1"/>
  <c r="AI6" i="3"/>
  <c r="BE6" i="3" s="1"/>
  <c r="BG8" i="3"/>
  <c r="AI10" i="3"/>
  <c r="BE10" i="3" s="1"/>
  <c r="BG12" i="3"/>
  <c r="AI14" i="3"/>
  <c r="BE14" i="3" s="1"/>
  <c r="BG16" i="3"/>
  <c r="AI18" i="3"/>
  <c r="BE18" i="3" s="1"/>
  <c r="K20" i="3"/>
  <c r="K40" i="3" s="1"/>
  <c r="BG20" i="3"/>
  <c r="AI22" i="3"/>
  <c r="BE22" i="3" s="1"/>
  <c r="BG24" i="3"/>
  <c r="BQ41" i="3"/>
  <c r="AI26" i="3"/>
  <c r="BE26" i="3" s="1"/>
  <c r="BG28" i="3"/>
  <c r="AI37" i="3"/>
  <c r="BE37" i="3" s="1"/>
  <c r="AH40" i="3"/>
  <c r="BS42" i="3"/>
  <c r="BQ43" i="3"/>
  <c r="BB9" i="5"/>
  <c r="AG13" i="5"/>
  <c r="BB13" i="5" s="1"/>
  <c r="AG12" i="5"/>
  <c r="BB12" i="5" s="1"/>
  <c r="L12" i="6"/>
  <c r="BD12" i="6" s="1"/>
  <c r="L15" i="6"/>
  <c r="BD15" i="6" s="1"/>
  <c r="BF5" i="6"/>
  <c r="BF7" i="6"/>
  <c r="BD10" i="6"/>
  <c r="BE13" i="6"/>
  <c r="BL43" i="7"/>
  <c r="E46" i="1" s="1"/>
  <c r="BL40" i="7"/>
  <c r="E43" i="1" s="1"/>
  <c r="BE5" i="3"/>
  <c r="BE25" i="3"/>
  <c r="AI31" i="3"/>
  <c r="BE31" i="3" s="1"/>
  <c r="BT42" i="3"/>
  <c r="BR43" i="3"/>
  <c r="BF6" i="5"/>
  <c r="BF8" i="5"/>
  <c r="BF10" i="5"/>
  <c r="AY19" i="5"/>
  <c r="K41" i="7"/>
  <c r="BH20" i="3" a="1"/>
  <c r="BH20" i="3" s="1"/>
  <c r="BR42" i="3"/>
  <c r="AK40" i="3"/>
  <c r="BT43" i="3"/>
  <c r="AJ12" i="5"/>
  <c r="BE12" i="5" s="1"/>
  <c r="AG15" i="5"/>
  <c r="BB15" i="5" s="1"/>
  <c r="AH43" i="7"/>
  <c r="AH40" i="7"/>
  <c r="AG15" i="6"/>
  <c r="BB15" i="6" s="1"/>
  <c r="AJ15" i="6"/>
  <c r="BE15" i="6" s="1"/>
  <c r="K41" i="3"/>
  <c r="BT41" i="3"/>
  <c r="BE32" i="3"/>
  <c r="AJ13" i="5"/>
  <c r="BE13" i="5" s="1"/>
  <c r="BE9" i="5"/>
  <c r="BG6" i="6" a="1"/>
  <c r="BG6" i="6" s="1"/>
  <c r="BG8" i="6" a="1"/>
  <c r="BG8" i="6" s="1"/>
  <c r="BH35" i="3" a="1"/>
  <c r="BH35" i="3" s="1"/>
  <c r="BG5" i="5" a="1"/>
  <c r="BG5" i="5" s="1"/>
  <c r="BG7" i="5" a="1"/>
  <c r="BG7" i="5" s="1"/>
  <c r="BG9" i="5" a="1"/>
  <c r="BG9" i="5" s="1"/>
  <c r="BG13" i="5" s="1"/>
  <c r="BG11" i="5" a="1"/>
  <c r="BG11" i="5" s="1"/>
  <c r="L14" i="5"/>
  <c r="BD14" i="5" s="1"/>
  <c r="AJ15" i="5"/>
  <c r="BE15" i="5" s="1"/>
  <c r="BB9" i="6"/>
  <c r="AG13" i="6"/>
  <c r="BB13" i="6" s="1"/>
  <c r="BD14" i="6"/>
  <c r="BL43" i="3"/>
  <c r="E12" i="1" s="1"/>
  <c r="BL40" i="3"/>
  <c r="E9" i="1" s="1"/>
  <c r="J43" i="3"/>
  <c r="J40" i="3"/>
  <c r="BH5" i="3" a="1"/>
  <c r="BH5" i="3" s="1"/>
  <c r="K30" i="3"/>
  <c r="K42" i="3" s="1"/>
  <c r="AG12" i="6"/>
  <c r="BB5" i="6"/>
  <c r="AH9" i="6"/>
  <c r="AK43" i="7"/>
  <c r="J43" i="7"/>
  <c r="J40" i="7"/>
  <c r="BS43" i="3"/>
  <c r="BS40" i="3"/>
  <c r="M43" i="3"/>
  <c r="M40" i="3"/>
  <c r="J45" i="1"/>
  <c r="AH5" i="6"/>
  <c r="BF6" i="6"/>
  <c r="AH7" i="6"/>
  <c r="BC7" i="6" s="1"/>
  <c r="BF8" i="6"/>
  <c r="AZ17" i="6"/>
  <c r="BS43" i="7"/>
  <c r="BS40" i="7"/>
  <c r="AH41" i="7"/>
  <c r="M14" i="6"/>
  <c r="AI6" i="7"/>
  <c r="BE6" i="7" s="1"/>
  <c r="BG8" i="7"/>
  <c r="AI10" i="7"/>
  <c r="BG12" i="7"/>
  <c r="AI14" i="7"/>
  <c r="BE14" i="7" s="1"/>
  <c r="BG16" i="7"/>
  <c r="AI18" i="7"/>
  <c r="BE18" i="7" s="1"/>
  <c r="K20" i="7"/>
  <c r="BE20" i="7" s="1"/>
  <c r="BG20" i="7"/>
  <c r="AI22" i="7"/>
  <c r="BE22" i="7" s="1"/>
  <c r="BG24" i="7"/>
  <c r="AI26" i="7"/>
  <c r="BE26" i="7" s="1"/>
  <c r="BG28" i="7"/>
  <c r="AI30" i="7"/>
  <c r="BG32" i="7"/>
  <c r="AI34" i="7"/>
  <c r="BE34" i="7" s="1"/>
  <c r="K36" i="7"/>
  <c r="BE36" i="7" s="1"/>
  <c r="L40" i="7"/>
  <c r="BN40" i="7"/>
  <c r="G43" i="1" s="1"/>
  <c r="BS41" i="7"/>
  <c r="BP40" i="7"/>
  <c r="BT41" i="7"/>
  <c r="BP43" i="7"/>
  <c r="BQ40" i="7"/>
  <c r="BQ43" i="7"/>
  <c r="K33" i="7"/>
  <c r="BE33" i="7" s="1"/>
  <c r="AI35" i="7"/>
  <c r="BE35" i="7" s="1"/>
  <c r="K37" i="7"/>
  <c r="BE37" i="7" s="1"/>
  <c r="AI39" i="7"/>
  <c r="BE39" i="7" s="1"/>
  <c r="BR40" i="7"/>
  <c r="BR43" i="7"/>
  <c r="BF11" i="6"/>
  <c r="AJ14" i="6"/>
  <c r="AJ40" i="7"/>
  <c r="AK40" i="7"/>
  <c r="BT40" i="7"/>
  <c r="BT43" i="7"/>
  <c r="K10" i="7"/>
  <c r="K30" i="7"/>
  <c r="J12" i="6"/>
  <c r="BE9" i="6"/>
  <c r="BG35" i="7"/>
  <c r="BK40" i="7"/>
  <c r="D43" i="1" s="1"/>
  <c r="BM40" i="7"/>
  <c r="F43" i="1" s="1"/>
  <c r="BJ30" i="3"/>
  <c r="BK35" i="7"/>
  <c r="BJ10" i="3"/>
  <c r="BJ20" i="3"/>
  <c r="BK25" i="3"/>
  <c r="BJ30" i="7"/>
  <c r="BJ20" i="7"/>
  <c r="BK10" i="3"/>
  <c r="BJ10" i="7"/>
  <c r="K43" i="7" l="1"/>
  <c r="BH43" i="7"/>
  <c r="K45" i="1"/>
  <c r="K42" i="7"/>
  <c r="C36" i="1"/>
  <c r="C35" i="1"/>
  <c r="BG15" i="6"/>
  <c r="BC14" i="5"/>
  <c r="BC12" i="5"/>
  <c r="BC15" i="5"/>
  <c r="C14" i="1"/>
  <c r="K43" i="3"/>
  <c r="BE20" i="3"/>
  <c r="BJ43" i="7"/>
  <c r="C46" i="1" s="1"/>
  <c r="BJ40" i="7"/>
  <c r="C43" i="1" s="1"/>
  <c r="BK40" i="3"/>
  <c r="D9" i="1" s="1"/>
  <c r="BK43" i="3"/>
  <c r="D12" i="1" s="1"/>
  <c r="BJ42" i="7"/>
  <c r="C45" i="1" s="1"/>
  <c r="BK41" i="3"/>
  <c r="D10" i="1" s="1"/>
  <c r="BJ40" i="3"/>
  <c r="C9" i="1" s="1"/>
  <c r="BJ43" i="3"/>
  <c r="C12" i="1" s="1"/>
  <c r="BK42" i="7"/>
  <c r="D45" i="1" s="1"/>
  <c r="BK43" i="7"/>
  <c r="D46" i="1" s="1"/>
  <c r="BJ42" i="3"/>
  <c r="C11" i="1" s="1"/>
  <c r="I44" i="1"/>
  <c r="J44" i="1"/>
  <c r="H45" i="1"/>
  <c r="L45" i="1"/>
  <c r="H44" i="1"/>
  <c r="I45" i="1"/>
  <c r="H10" i="1"/>
  <c r="H46" i="1"/>
  <c r="J11" i="1"/>
  <c r="I10" i="1"/>
  <c r="AI42" i="3"/>
  <c r="BE42" i="3" s="1"/>
  <c r="BE30" i="3"/>
  <c r="C22" i="1"/>
  <c r="C21" i="1"/>
  <c r="L12" i="1"/>
  <c r="K10" i="1"/>
  <c r="K40" i="7"/>
  <c r="K46" i="1"/>
  <c r="D34" i="1"/>
  <c r="E19" i="1"/>
  <c r="H9" i="1"/>
  <c r="AI41" i="7"/>
  <c r="BE41" i="7" s="1"/>
  <c r="BH42" i="3"/>
  <c r="BH43" i="3"/>
  <c r="BH40" i="3"/>
  <c r="L46" i="1"/>
  <c r="J10" i="1"/>
  <c r="L11" i="1"/>
  <c r="L44" i="1"/>
  <c r="H43" i="1"/>
  <c r="E33" i="1"/>
  <c r="E20" i="1"/>
  <c r="D21" i="1"/>
  <c r="C24" i="1"/>
  <c r="I12" i="1"/>
  <c r="L9" i="1"/>
  <c r="AI41" i="3"/>
  <c r="BE41" i="3" s="1"/>
  <c r="AI40" i="3"/>
  <c r="BE40" i="3" s="1"/>
  <c r="BG12" i="5"/>
  <c r="BG15" i="5"/>
  <c r="C20" i="1"/>
  <c r="BC9" i="6"/>
  <c r="AH13" i="6"/>
  <c r="BC13" i="6" s="1"/>
  <c r="E32" i="1"/>
  <c r="K11" i="1"/>
  <c r="C19" i="1"/>
  <c r="K43" i="1"/>
  <c r="L10" i="1"/>
  <c r="K44" i="1"/>
  <c r="E34" i="1"/>
  <c r="H11" i="1"/>
  <c r="L43" i="1"/>
  <c r="BE14" i="6"/>
  <c r="I46" i="1"/>
  <c r="BE10" i="7"/>
  <c r="AH15" i="6"/>
  <c r="BC15" i="6" s="1"/>
  <c r="AH12" i="6"/>
  <c r="BC12" i="6" s="1"/>
  <c r="BC5" i="6"/>
  <c r="BB12" i="6"/>
  <c r="D22" i="1"/>
  <c r="D20" i="1"/>
  <c r="E22" i="1"/>
  <c r="D32" i="1"/>
  <c r="BC10" i="6"/>
  <c r="AH14" i="6"/>
  <c r="BC14" i="6" s="1"/>
  <c r="D31" i="1"/>
  <c r="BG12" i="6"/>
  <c r="J46" i="1"/>
  <c r="BG14" i="5"/>
  <c r="J43" i="1"/>
  <c r="K9" i="1"/>
  <c r="AI40" i="7"/>
  <c r="K12" i="1"/>
  <c r="AI43" i="7"/>
  <c r="BE43" i="7" s="1"/>
  <c r="H12" i="1"/>
  <c r="I43" i="1"/>
  <c r="AI42" i="7"/>
  <c r="BE42" i="7" s="1"/>
  <c r="BE30" i="7"/>
  <c r="D19" i="1"/>
  <c r="J12" i="1"/>
  <c r="I11" i="1"/>
  <c r="AI43" i="3"/>
  <c r="BE43" i="3" s="1"/>
  <c r="BE40" i="7" l="1"/>
  <c r="C31" i="1"/>
  <c r="C34" i="1"/>
  <c r="C32" i="1"/>
  <c r="C33" i="1"/>
  <c r="D33" i="1"/>
  <c r="E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<sst xmlns="http://schemas.openxmlformats.org/spreadsheetml/2006/main" count="1459" uniqueCount="575">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</sst>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ALL_master+r130</c:v>
                </c:pt>
              </c:strCache>
            </c:strRef>
          </c:tx>
          <c:spPr>
            <a:ln>
              <a:prstDash val="solid"/>
            </a:ln>
          </c:spPr>
          <c:marker>
            <c:symbol val="none"/>
          </c:marker>
          <c:xVal>
            <c:numRef>
              <c:f>Graphs!graph_a_x_range_A</c:f>
              <c:numCache>
                <c:formatCode>0.00</c:formatCode>
                <c:ptCount val="5"/>
                <c:pt idx="0">
                  <c:v>3.529392137628489E-3</c:v>
                </c:pt>
                <c:pt idx="1">
                  <c:v>4.8935950492737046E-3</c:v>
                </c:pt>
                <c:pt idx="2">
                  <c:v>6.8409014856748345E-3</c:v>
                </c:pt>
                <c:pt idx="3">
                  <c:v>1.0102928664579259E-2</c:v>
                </c:pt>
                <c:pt idx="4">
                  <c:v>1.5549964811350007E-2</c:v>
                </c:pt>
              </c:numCache>
            </c:numRef>
          </c:xVal>
          <c:yVal>
            <c:numRef>
              <c:f>Graphs!graph_a_y_range_A</c:f>
              <c:numCache>
                <c:formatCode>0.00</c:formatCode>
                <c:ptCount val="5"/>
                <c:pt idx="0">
                  <c:v>66.354631249999997</c:v>
                </c:pt>
                <c:pt idx="1">
                  <c:v>68.255984374999997</c:v>
                </c:pt>
                <c:pt idx="2">
                  <c:v>69.683721875000003</c:v>
                </c:pt>
                <c:pt idx="3">
                  <c:v>70.836840624999994</c:v>
                </c:pt>
                <c:pt idx="4">
                  <c:v>71.945243750000003</c:v>
                </c:pt>
              </c:numCache>
            </c:numRef>
          </c:yVal>
          <c:smooth val="1"/>
          <c:extLst>
            <c:ext xmlns:c16="http://schemas.microsoft.com/office/drawing/2014/chart" uri="{C3380CC4-5D6E-409C-BE32-E72D297353CC}">
              <c16:uniqueId val="{00000000-621F-4830-A67C-2514D80169C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621F-4830-A67C-2514D80169C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ALL_master+r130</c:v>
                </c:pt>
              </c:strCache>
            </c:strRef>
          </c:tx>
          <c:spPr>
            <a:ln>
              <a:prstDash val="solid"/>
            </a:ln>
          </c:spPr>
          <c:marker>
            <c:symbol val="none"/>
          </c:marker>
          <c:xVal>
            <c:numRef>
              <c:f>Graphs!graph_b_x_range_A</c:f>
              <c:numCache>
                <c:formatCode>0.00</c:formatCode>
                <c:ptCount val="5"/>
                <c:pt idx="0">
                  <c:v>3.529392137628489E-3</c:v>
                </c:pt>
                <c:pt idx="1">
                  <c:v>4.8935950492737046E-3</c:v>
                </c:pt>
                <c:pt idx="2">
                  <c:v>6.8409014856748345E-3</c:v>
                </c:pt>
                <c:pt idx="3">
                  <c:v>1.0102928664579259E-2</c:v>
                </c:pt>
                <c:pt idx="4">
                  <c:v>1.5549964811350007E-2</c:v>
                </c:pt>
              </c:numCache>
            </c:numRef>
          </c:xVal>
          <c:yVal>
            <c:numRef>
              <c:f>Graphs!graph_b_y_range_A</c:f>
              <c:numCache>
                <c:formatCode>0.00</c:formatCode>
                <c:ptCount val="5"/>
                <c:pt idx="0">
                  <c:v>68.478521874999998</c:v>
                </c:pt>
                <c:pt idx="1">
                  <c:v>70.4384625</c:v>
                </c:pt>
                <c:pt idx="2">
                  <c:v>72.129403124999996</c:v>
                </c:pt>
                <c:pt idx="3">
                  <c:v>73.406981250000001</c:v>
                </c:pt>
                <c:pt idx="4">
                  <c:v>75.319246875000005</c:v>
                </c:pt>
              </c:numCache>
            </c:numRef>
          </c:yVal>
          <c:smooth val="1"/>
          <c:extLst>
            <c:ext xmlns:c16="http://schemas.microsoft.com/office/drawing/2014/chart" uri="{C3380CC4-5D6E-409C-BE32-E72D297353CC}">
              <c16:uniqueId val="{00000000-A447-4C22-A339-0EBD44A5E63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A447-4C22-A339-0EBD44A5E63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ALL_master+r130</c:v>
                </c:pt>
              </c:strCache>
            </c:strRef>
          </c:tx>
          <c:spPr>
            <a:ln>
              <a:prstDash val="solid"/>
            </a:ln>
          </c:spPr>
          <c:marker>
            <c:symbol val="none"/>
          </c:marker>
          <c:xVal>
            <c:numRef>
              <c:f>Graphs!graph_c_x_range_A</c:f>
              <c:numCache>
                <c:formatCode>0.00</c:formatCode>
                <c:ptCount val="5"/>
                <c:pt idx="0">
                  <c:v>3.5807219098273045E-3</c:v>
                </c:pt>
                <c:pt idx="1">
                  <c:v>7.6621778408558789E-3</c:v>
                </c:pt>
                <c:pt idx="2">
                  <c:v>1.5459701003824995E-2</c:v>
                </c:pt>
                <c:pt idx="3">
                  <c:v>2.9505448184600033E-2</c:v>
                </c:pt>
                <c:pt idx="4">
                  <c:v>5.4644506454015508E-2</c:v>
                </c:pt>
              </c:numCache>
            </c:numRef>
          </c:xVal>
          <c:yVal>
            <c:numRef>
              <c:f>Graphs!graph_c_y_range_A</c:f>
              <c:numCache>
                <c:formatCode>0.00</c:formatCode>
                <c:ptCount val="5"/>
                <c:pt idx="0">
                  <c:v>32.105368749999997</c:v>
                </c:pt>
                <c:pt idx="1">
                  <c:v>34.355712500000003</c:v>
                </c:pt>
                <c:pt idx="2">
                  <c:v>36.896806249999997</c:v>
                </c:pt>
                <c:pt idx="3">
                  <c:v>39.524643750000003</c:v>
                </c:pt>
                <c:pt idx="4">
                  <c:v>42.092659374999997</c:v>
                </c:pt>
              </c:numCache>
            </c:numRef>
          </c:yVal>
          <c:smooth val="1"/>
          <c:extLst>
            <c:ext xmlns:c16="http://schemas.microsoft.com/office/drawing/2014/chart" uri="{C3380CC4-5D6E-409C-BE32-E72D297353CC}">
              <c16:uniqueId val="{00000000-1B1D-4DEF-99A4-DE5EB705E720}"/>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1B1D-4DEF-99A4-DE5EB705E72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ALL_master+r130</c:v>
                </c:pt>
              </c:strCache>
            </c:strRef>
          </c:tx>
          <c:spPr>
            <a:ln>
              <a:prstDash val="solid"/>
            </a:ln>
          </c:spPr>
          <c:marker>
            <c:symbol val="none"/>
          </c:marker>
          <c:xVal>
            <c:numRef>
              <c:f>Graphs!graph_d_x_range_A</c:f>
              <c:numCache>
                <c:formatCode>0.00</c:formatCode>
                <c:ptCount val="5"/>
                <c:pt idx="0">
                  <c:v>3.5807219098273045E-3</c:v>
                </c:pt>
                <c:pt idx="1">
                  <c:v>7.6621778408558789E-3</c:v>
                </c:pt>
                <c:pt idx="2">
                  <c:v>1.5459701003824995E-2</c:v>
                </c:pt>
                <c:pt idx="3">
                  <c:v>2.9505448184600033E-2</c:v>
                </c:pt>
                <c:pt idx="4">
                  <c:v>5.4644506454015508E-2</c:v>
                </c:pt>
              </c:numCache>
            </c:numRef>
          </c:xVal>
          <c:yVal>
            <c:numRef>
              <c:f>Graphs!graph_d_y_range_A</c:f>
              <c:numCache>
                <c:formatCode>0.00</c:formatCode>
                <c:ptCount val="5"/>
                <c:pt idx="0">
                  <c:v>44.165406249999997</c:v>
                </c:pt>
                <c:pt idx="1">
                  <c:v>45.462940625000002</c:v>
                </c:pt>
                <c:pt idx="2">
                  <c:v>46.595978125000002</c:v>
                </c:pt>
                <c:pt idx="3">
                  <c:v>47.911165625000002</c:v>
                </c:pt>
                <c:pt idx="4">
                  <c:v>49.412693750000003</c:v>
                </c:pt>
              </c:numCache>
            </c:numRef>
          </c:yVal>
          <c:smooth val="1"/>
          <c:extLst>
            <c:ext xmlns:c16="http://schemas.microsoft.com/office/drawing/2014/chart" uri="{C3380CC4-5D6E-409C-BE32-E72D297353CC}">
              <c16:uniqueId val="{00000000-1D01-495D-BD11-42472F7589A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1D01-495D-BD11-42472F7589A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ALL_master+r130</c:v>
                </c:pt>
              </c:strCache>
            </c:strRef>
          </c:tx>
          <c:spPr>
            <a:ln>
              <a:prstDash val="solid"/>
            </a:ln>
          </c:spPr>
          <c:marker>
            <c:symbol val="none"/>
          </c:marker>
          <c:xVal>
            <c:numRef>
              <c:f>Graphs!graph_e_x_range_A</c:f>
              <c:numCache>
                <c:formatCode>0.00</c:formatCode>
                <c:ptCount val="5"/>
                <c:pt idx="0">
                  <c:v>3.5807219098273045E-3</c:v>
                </c:pt>
                <c:pt idx="1">
                  <c:v>7.6621778408558789E-3</c:v>
                </c:pt>
                <c:pt idx="2">
                  <c:v>1.5459701003824995E-2</c:v>
                </c:pt>
                <c:pt idx="3">
                  <c:v>2.9505448184600033E-2</c:v>
                </c:pt>
                <c:pt idx="4">
                  <c:v>5.4644506454015508E-2</c:v>
                </c:pt>
              </c:numCache>
            </c:numRef>
          </c:xVal>
          <c:yVal>
            <c:numRef>
              <c:f>Graphs!graph_e_y_range_A</c:f>
              <c:numCache>
                <c:formatCode>0.00</c:formatCode>
                <c:ptCount val="5"/>
                <c:pt idx="0">
                  <c:v>43.847446875000003</c:v>
                </c:pt>
                <c:pt idx="1">
                  <c:v>45.263540624999997</c:v>
                </c:pt>
                <c:pt idx="2">
                  <c:v>46.493756249999997</c:v>
                </c:pt>
                <c:pt idx="3">
                  <c:v>47.950046874999998</c:v>
                </c:pt>
                <c:pt idx="4">
                  <c:v>49.544709374999996</c:v>
                </c:pt>
              </c:numCache>
            </c:numRef>
          </c:yVal>
          <c:smooth val="1"/>
          <c:extLst>
            <c:ext xmlns:c16="http://schemas.microsoft.com/office/drawing/2014/chart" uri="{C3380CC4-5D6E-409C-BE32-E72D297353CC}">
              <c16:uniqueId val="{00000000-1804-40D5-995B-A4F7B7386165}"/>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1804-40D5-995B-A4F7B738616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ALL_master+r130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925-4CBC-81C0-E792F0ED8A1A}"/>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925-4CBC-81C0-E792F0ED8A1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V50" sqref="AV5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ALL_master+r130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2.1782024999999998</v>
      </c>
      <c r="J5" s="12">
        <f t="shared" ref="J5:J39" si="1">IF(ISBLANK(S5),"·",S5/D5)</f>
        <v>9.7562511455401395E-3</v>
      </c>
      <c r="K5" s="12">
        <f t="shared" ref="K5:K39" si="2">IF(N5="","·",N5/D5)</f>
        <v>6.1755292357128354E-3</v>
      </c>
      <c r="L5" s="12">
        <f t="shared" ref="L5:L39" si="3">IF(T5="","·",T5/D5)</f>
        <v>3.529392137628489E-3</v>
      </c>
      <c r="M5" s="12">
        <f t="shared" ref="M5:M39" si="4">IF(ISBLANK(V5),"·",V5/D5)</f>
        <v>3.5807219098273045E-3</v>
      </c>
      <c r="N5" s="54">
        <f t="shared" ref="N5:N39" si="5">IF(OR(ISBLANK(T5),ISBLANK(U5)),"",T5+U5)</f>
        <v>1470680</v>
      </c>
      <c r="O5" s="12">
        <v>16</v>
      </c>
      <c r="P5" s="13">
        <v>21785839</v>
      </c>
      <c r="Q5" s="13">
        <v>680807.46875</v>
      </c>
      <c r="R5" s="13">
        <v>13493.71875</v>
      </c>
      <c r="S5" s="14">
        <v>2323416</v>
      </c>
      <c r="T5" s="14">
        <v>840512</v>
      </c>
      <c r="U5" s="14">
        <v>630168</v>
      </c>
      <c r="V5" s="14">
        <v>852736</v>
      </c>
      <c r="W5" s="15">
        <v>66.354631249999997</v>
      </c>
      <c r="X5" s="15">
        <v>68.478521874999998</v>
      </c>
      <c r="Y5" s="15">
        <v>32.105368749999997</v>
      </c>
      <c r="Z5" s="15">
        <v>44.165406249999997</v>
      </c>
      <c r="AA5" s="15">
        <v>43.847446875000003</v>
      </c>
      <c r="AB5" s="16">
        <v>2281.42</v>
      </c>
      <c r="AC5" s="16">
        <v>0</v>
      </c>
      <c r="AD5" s="16">
        <v>36.314999999999998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3.3940125000000001</v>
      </c>
      <c r="J6" s="21">
        <f t="shared" si="1"/>
        <v>1.520190998821393E-2</v>
      </c>
      <c r="K6" s="21">
        <f t="shared" si="2"/>
        <v>7.5397321473580506E-3</v>
      </c>
      <c r="L6" s="21">
        <f t="shared" si="3"/>
        <v>4.8935950492737046E-3</v>
      </c>
      <c r="M6" s="21">
        <f t="shared" si="4"/>
        <v>7.6621778408558789E-3</v>
      </c>
      <c r="N6" s="18">
        <f t="shared" si="5"/>
        <v>1795560</v>
      </c>
      <c r="O6" s="21">
        <v>16</v>
      </c>
      <c r="P6" s="22">
        <v>24191962</v>
      </c>
      <c r="Q6" s="22">
        <v>755998.8125</v>
      </c>
      <c r="R6" s="22">
        <v>19085.96875</v>
      </c>
      <c r="S6" s="23">
        <v>3620280</v>
      </c>
      <c r="T6" s="23">
        <v>1165392</v>
      </c>
      <c r="U6" s="23">
        <v>630168</v>
      </c>
      <c r="V6" s="23">
        <v>1824720</v>
      </c>
      <c r="W6" s="24">
        <v>68.255984374999997</v>
      </c>
      <c r="X6" s="24">
        <v>70.4384625</v>
      </c>
      <c r="Y6" s="24">
        <v>34.355712500000003</v>
      </c>
      <c r="Z6" s="24">
        <v>45.462940625000002</v>
      </c>
      <c r="AA6" s="24">
        <v>45.263540624999997</v>
      </c>
      <c r="AB6" s="25">
        <v>2073.42</v>
      </c>
      <c r="AC6" s="25">
        <v>0</v>
      </c>
      <c r="AD6" s="25">
        <v>33.506</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5.5696649999999996</v>
      </c>
      <c r="J7" s="12">
        <f t="shared" si="1"/>
        <v>2.4946739587584175E-2</v>
      </c>
      <c r="K7" s="12">
        <f t="shared" si="2"/>
        <v>9.4870385837591796E-3</v>
      </c>
      <c r="L7" s="12">
        <f t="shared" si="3"/>
        <v>6.8409014856748345E-3</v>
      </c>
      <c r="M7" s="12">
        <f t="shared" si="4"/>
        <v>1.5459701003824995E-2</v>
      </c>
      <c r="N7" s="54">
        <f t="shared" si="5"/>
        <v>2259304</v>
      </c>
      <c r="O7" s="12">
        <v>16</v>
      </c>
      <c r="P7" s="13">
        <v>24808216</v>
      </c>
      <c r="Q7" s="13">
        <v>775256.75</v>
      </c>
      <c r="R7" s="13">
        <v>20954.78125</v>
      </c>
      <c r="S7" s="14">
        <v>5940976</v>
      </c>
      <c r="T7" s="14">
        <v>1629136</v>
      </c>
      <c r="U7" s="14">
        <v>630168</v>
      </c>
      <c r="V7" s="14">
        <v>3681672</v>
      </c>
      <c r="W7" s="15">
        <v>69.683721875000003</v>
      </c>
      <c r="X7" s="15">
        <v>72.129403124999996</v>
      </c>
      <c r="Y7" s="15">
        <v>36.896806249999997</v>
      </c>
      <c r="Z7" s="15">
        <v>46.595978125000002</v>
      </c>
      <c r="AA7" s="15">
        <v>46.493756249999997</v>
      </c>
      <c r="AB7" s="16">
        <v>2413.4899999999998</v>
      </c>
      <c r="AC7" s="16">
        <v>0</v>
      </c>
      <c r="AD7" s="16">
        <v>41.430999999999997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9.4338374999999992</v>
      </c>
      <c r="J8" s="21">
        <f t="shared" si="1"/>
        <v>4.2254513947263636E-2</v>
      </c>
      <c r="K8" s="21">
        <f t="shared" si="2"/>
        <v>1.2749065762663605E-2</v>
      </c>
      <c r="L8" s="21">
        <f t="shared" si="3"/>
        <v>1.0102928664579259E-2</v>
      </c>
      <c r="M8" s="21">
        <f t="shared" si="4"/>
        <v>2.9505448184600033E-2</v>
      </c>
      <c r="N8" s="18">
        <f t="shared" si="5"/>
        <v>3036144</v>
      </c>
      <c r="O8" s="21">
        <v>16</v>
      </c>
      <c r="P8" s="22">
        <v>25797809</v>
      </c>
      <c r="Q8" s="22">
        <v>806181.53125</v>
      </c>
      <c r="R8" s="22">
        <v>24199.84375</v>
      </c>
      <c r="S8" s="23">
        <v>10062760</v>
      </c>
      <c r="T8" s="23">
        <v>2405976</v>
      </c>
      <c r="U8" s="23">
        <v>630168</v>
      </c>
      <c r="V8" s="23">
        <v>7026616</v>
      </c>
      <c r="W8" s="24">
        <v>70.836840624999994</v>
      </c>
      <c r="X8" s="24">
        <v>73.406981250000001</v>
      </c>
      <c r="Y8" s="24">
        <v>39.524643750000003</v>
      </c>
      <c r="Z8" s="24">
        <v>47.911165625000002</v>
      </c>
      <c r="AA8" s="24">
        <v>47.950046874999998</v>
      </c>
      <c r="AB8" s="25">
        <v>2594.29</v>
      </c>
      <c r="AC8" s="25">
        <v>0</v>
      </c>
      <c r="AD8" s="25">
        <v>41.567</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16.811377499999999</v>
      </c>
      <c r="J9" s="30">
        <f t="shared" si="1"/>
        <v>7.5298793841473755E-2</v>
      </c>
      <c r="K9" s="30">
        <f t="shared" si="2"/>
        <v>2.0654287387458246E-2</v>
      </c>
      <c r="L9" s="30">
        <f t="shared" si="3"/>
        <v>1.5549964811350007E-2</v>
      </c>
      <c r="M9" s="30">
        <f t="shared" si="4"/>
        <v>5.4644506454015508E-2</v>
      </c>
      <c r="N9" s="27">
        <f t="shared" si="5"/>
        <v>4918744</v>
      </c>
      <c r="O9" s="30">
        <v>16</v>
      </c>
      <c r="P9" s="31">
        <v>24868389</v>
      </c>
      <c r="Q9" s="31">
        <v>777137.15625</v>
      </c>
      <c r="R9" s="31">
        <v>10635.96875</v>
      </c>
      <c r="S9" s="32">
        <v>17932136</v>
      </c>
      <c r="T9" s="32">
        <v>3703168</v>
      </c>
      <c r="U9" s="32">
        <v>1215576</v>
      </c>
      <c r="V9" s="32">
        <v>13013392</v>
      </c>
      <c r="W9" s="33">
        <v>71.945243750000003</v>
      </c>
      <c r="X9" s="33">
        <v>75.319246875000005</v>
      </c>
      <c r="Y9" s="33">
        <v>42.092659374999997</v>
      </c>
      <c r="Z9" s="33">
        <v>49.412693750000003</v>
      </c>
      <c r="AA9" s="33">
        <v>49.544709374999996</v>
      </c>
      <c r="AB9" s="34">
        <v>2685.95</v>
      </c>
      <c r="AC9" s="34">
        <v>0</v>
      </c>
      <c r="AD9" s="34">
        <v>41.405999999999999</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3.1839374999999999</v>
      </c>
      <c r="J10" s="21">
        <f t="shared" si="1"/>
        <v>1.5570239600964679E-2</v>
      </c>
      <c r="K10" s="21">
        <f t="shared" si="2"/>
        <v>8.0468274612153553E-3</v>
      </c>
      <c r="L10" s="21">
        <f t="shared" si="3"/>
        <v>4.2831958567336598E-3</v>
      </c>
      <c r="M10" s="21">
        <f t="shared" si="4"/>
        <v>7.5234121397493234E-3</v>
      </c>
      <c r="N10" s="18">
        <f t="shared" si="5"/>
        <v>1755184</v>
      </c>
      <c r="O10" s="21">
        <v>16</v>
      </c>
      <c r="P10" s="22">
        <v>20669095</v>
      </c>
      <c r="Q10" s="22">
        <v>645909.21875</v>
      </c>
      <c r="R10" s="22">
        <v>18184.71875</v>
      </c>
      <c r="S10" s="23">
        <v>3396200</v>
      </c>
      <c r="T10" s="23">
        <v>934256</v>
      </c>
      <c r="U10" s="23">
        <v>820928</v>
      </c>
      <c r="V10" s="23">
        <v>1641016</v>
      </c>
      <c r="W10" s="24">
        <v>65.902412499999997</v>
      </c>
      <c r="X10" s="24">
        <v>67.818875000000006</v>
      </c>
      <c r="Y10" s="24">
        <v>32.387412500000003</v>
      </c>
      <c r="Z10" s="24">
        <v>39.175156250000001</v>
      </c>
      <c r="AA10" s="24">
        <v>32.088762500000001</v>
      </c>
      <c r="AB10" s="25">
        <v>2335.4299999999998</v>
      </c>
      <c r="AC10" s="25">
        <v>0</v>
      </c>
      <c r="AD10" s="25">
        <v>37.723999999999997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4.5986925000000003</v>
      </c>
      <c r="J11" s="12">
        <f t="shared" si="1"/>
        <v>2.2488740459308407E-2</v>
      </c>
      <c r="K11" s="12">
        <f t="shared" si="2"/>
        <v>9.8013012414444253E-3</v>
      </c>
      <c r="L11" s="12">
        <f t="shared" si="3"/>
        <v>6.0376696369627307E-3</v>
      </c>
      <c r="M11" s="12">
        <f t="shared" si="4"/>
        <v>1.268743921786398E-2</v>
      </c>
      <c r="N11" s="54">
        <f t="shared" si="5"/>
        <v>2137872</v>
      </c>
      <c r="O11" s="12">
        <v>16</v>
      </c>
      <c r="P11" s="13">
        <v>22097416</v>
      </c>
      <c r="Q11" s="13">
        <v>690544.25</v>
      </c>
      <c r="R11" s="13">
        <v>22962.71875</v>
      </c>
      <c r="S11" s="14">
        <v>4905272</v>
      </c>
      <c r="T11" s="14">
        <v>1316944</v>
      </c>
      <c r="U11" s="14">
        <v>820928</v>
      </c>
      <c r="V11" s="14">
        <v>2767400</v>
      </c>
      <c r="W11" s="15">
        <v>67.609743750000007</v>
      </c>
      <c r="X11" s="15">
        <v>69.703928125000004</v>
      </c>
      <c r="Y11" s="15">
        <v>34.243778124999999</v>
      </c>
      <c r="Z11" s="15">
        <v>40.024018750000003</v>
      </c>
      <c r="AA11" s="15">
        <v>33.861578125000001</v>
      </c>
      <c r="AB11" s="16">
        <v>2536.34</v>
      </c>
      <c r="AC11" s="16">
        <v>0</v>
      </c>
      <c r="AD11" s="16">
        <v>41.509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7.1173725000000001</v>
      </c>
      <c r="J12" s="21">
        <f t="shared" si="1"/>
        <v>3.4805706818779251E-2</v>
      </c>
      <c r="K12" s="21">
        <f t="shared" si="2"/>
        <v>1.2476657362880778E-2</v>
      </c>
      <c r="L12" s="21">
        <f t="shared" si="3"/>
        <v>8.7130257583990841E-3</v>
      </c>
      <c r="M12" s="21">
        <f t="shared" si="4"/>
        <v>2.2329049455898475E-2</v>
      </c>
      <c r="N12" s="18">
        <f t="shared" si="5"/>
        <v>2721424</v>
      </c>
      <c r="O12" s="21">
        <v>16</v>
      </c>
      <c r="P12" s="22">
        <v>22514733</v>
      </c>
      <c r="Q12" s="22">
        <v>703585.40625</v>
      </c>
      <c r="R12" s="22">
        <v>24682.8125</v>
      </c>
      <c r="S12" s="23">
        <v>7591864</v>
      </c>
      <c r="T12" s="23">
        <v>1900496</v>
      </c>
      <c r="U12" s="23">
        <v>820928</v>
      </c>
      <c r="V12" s="23">
        <v>4870440</v>
      </c>
      <c r="W12" s="24">
        <v>68.954471874999996</v>
      </c>
      <c r="X12" s="24">
        <v>71.328387500000005</v>
      </c>
      <c r="Y12" s="24">
        <v>36.344050000000003</v>
      </c>
      <c r="Z12" s="24">
        <v>40.924225</v>
      </c>
      <c r="AA12" s="24">
        <v>35.641859375000003</v>
      </c>
      <c r="AB12" s="25">
        <v>2602.54</v>
      </c>
      <c r="AC12" s="25">
        <v>0</v>
      </c>
      <c r="AD12" s="25">
        <v>42.786999999999999</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12.0016575</v>
      </c>
      <c r="J13" s="12">
        <f t="shared" si="1"/>
        <v>5.8691065036205872E-2</v>
      </c>
      <c r="K13" s="12">
        <f t="shared" si="2"/>
        <v>1.7160841216922833E-2</v>
      </c>
      <c r="L13" s="12">
        <f t="shared" si="3"/>
        <v>1.339720961244114E-2</v>
      </c>
      <c r="M13" s="12">
        <f t="shared" si="4"/>
        <v>4.1530223819283042E-2</v>
      </c>
      <c r="N13" s="54">
        <f t="shared" si="5"/>
        <v>3743144</v>
      </c>
      <c r="O13" s="12">
        <v>16</v>
      </c>
      <c r="P13" s="13">
        <v>23299291</v>
      </c>
      <c r="Q13" s="13">
        <v>728102.84375</v>
      </c>
      <c r="R13" s="13">
        <v>28059</v>
      </c>
      <c r="S13" s="14">
        <v>12801768</v>
      </c>
      <c r="T13" s="14">
        <v>2922216</v>
      </c>
      <c r="U13" s="14">
        <v>820928</v>
      </c>
      <c r="V13" s="14">
        <v>9058624</v>
      </c>
      <c r="W13" s="15">
        <v>70.067156249999996</v>
      </c>
      <c r="X13" s="15">
        <v>72.583796875000004</v>
      </c>
      <c r="Y13" s="15">
        <v>38.661590625000002</v>
      </c>
      <c r="Z13" s="15">
        <v>42.108584375</v>
      </c>
      <c r="AA13" s="15">
        <v>37.692184374999997</v>
      </c>
      <c r="AB13" s="16">
        <v>2635.47</v>
      </c>
      <c r="AC13" s="16">
        <v>0</v>
      </c>
      <c r="AD13" s="16">
        <v>41.927</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21.556552499999999</v>
      </c>
      <c r="J14" s="40">
        <f t="shared" si="1"/>
        <v>0.10541685802430925</v>
      </c>
      <c r="K14" s="40">
        <f t="shared" si="2"/>
        <v>2.8239230363450801E-2</v>
      </c>
      <c r="L14" s="40">
        <f t="shared" si="3"/>
        <v>2.1155096852052583E-2</v>
      </c>
      <c r="M14" s="40">
        <f t="shared" si="4"/>
        <v>7.717762766085845E-2</v>
      </c>
      <c r="N14" s="37">
        <f t="shared" si="5"/>
        <v>6159576</v>
      </c>
      <c r="O14" s="40">
        <v>16</v>
      </c>
      <c r="P14" s="41">
        <v>22125335</v>
      </c>
      <c r="Q14" s="41">
        <v>691416.71875</v>
      </c>
      <c r="R14" s="41">
        <v>13294.1875</v>
      </c>
      <c r="S14" s="42">
        <v>22993656</v>
      </c>
      <c r="T14" s="42">
        <v>4614376</v>
      </c>
      <c r="U14" s="42">
        <v>1545200</v>
      </c>
      <c r="V14" s="42">
        <v>16834080</v>
      </c>
      <c r="W14" s="43">
        <v>70.921865624999995</v>
      </c>
      <c r="X14" s="43">
        <v>74.681325000000001</v>
      </c>
      <c r="Y14" s="43">
        <v>40.919334374999998</v>
      </c>
      <c r="Z14" s="43">
        <v>43.42165</v>
      </c>
      <c r="AA14" s="43">
        <v>39.491034374999998</v>
      </c>
      <c r="AB14" s="44">
        <v>2823.09</v>
      </c>
      <c r="AC14" s="44">
        <v>0</v>
      </c>
      <c r="AD14" s="44">
        <v>41.064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4.3991024999999997</v>
      </c>
      <c r="J15" s="12">
        <f t="shared" si="1"/>
        <v>1.4545957114613924E-2</v>
      </c>
      <c r="K15" s="12">
        <f t="shared" si="2"/>
        <v>8.2232506713853463E-3</v>
      </c>
      <c r="L15" s="12">
        <f t="shared" si="3"/>
        <v>4.3939654069058568E-3</v>
      </c>
      <c r="M15" s="12">
        <f t="shared" si="4"/>
        <v>6.3227064432285788E-3</v>
      </c>
      <c r="N15" s="54">
        <f t="shared" si="5"/>
        <v>2652736</v>
      </c>
      <c r="O15" s="12">
        <v>16</v>
      </c>
      <c r="P15" s="13">
        <v>31086837</v>
      </c>
      <c r="Q15" s="13">
        <v>971463.65625</v>
      </c>
      <c r="R15" s="13">
        <v>27944.34375</v>
      </c>
      <c r="S15" s="14">
        <v>4692376</v>
      </c>
      <c r="T15" s="14">
        <v>1417448</v>
      </c>
      <c r="U15" s="14">
        <v>1235288</v>
      </c>
      <c r="V15" s="14">
        <v>2039640</v>
      </c>
      <c r="W15" s="15">
        <v>65.923106250000004</v>
      </c>
      <c r="X15" s="15">
        <v>67.661796874999993</v>
      </c>
      <c r="Y15" s="15">
        <v>29.416015625</v>
      </c>
      <c r="Z15" s="15">
        <v>43.127603125</v>
      </c>
      <c r="AA15" s="15">
        <v>43.264449999999997</v>
      </c>
      <c r="AB15" s="16">
        <v>2855.71</v>
      </c>
      <c r="AC15" s="16">
        <v>0</v>
      </c>
      <c r="AD15" s="16">
        <v>47.296999999999997</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6.9951449999999999</v>
      </c>
      <c r="J16" s="21">
        <f t="shared" si="1"/>
        <v>2.3129963255119883E-2</v>
      </c>
      <c r="K16" s="21">
        <f t="shared" si="2"/>
        <v>1.0028639971720859E-2</v>
      </c>
      <c r="L16" s="21">
        <f t="shared" si="3"/>
        <v>6.1993547072413694E-3</v>
      </c>
      <c r="M16" s="21">
        <f t="shared" si="4"/>
        <v>1.3101323283399026E-2</v>
      </c>
      <c r="N16" s="18">
        <f t="shared" si="5"/>
        <v>3235136</v>
      </c>
      <c r="O16" s="21">
        <v>16</v>
      </c>
      <c r="P16" s="22">
        <v>33185472</v>
      </c>
      <c r="Q16" s="22">
        <v>1037046</v>
      </c>
      <c r="R16" s="22">
        <v>34748.53125</v>
      </c>
      <c r="S16" s="23">
        <v>7461488</v>
      </c>
      <c r="T16" s="23">
        <v>1999848</v>
      </c>
      <c r="U16" s="23">
        <v>1235288</v>
      </c>
      <c r="V16" s="23">
        <v>4226352</v>
      </c>
      <c r="W16" s="24">
        <v>67.712850000000003</v>
      </c>
      <c r="X16" s="24">
        <v>69.741403125000005</v>
      </c>
      <c r="Y16" s="24">
        <v>31.808668749999999</v>
      </c>
      <c r="Z16" s="24">
        <v>43.978478125000002</v>
      </c>
      <c r="AA16" s="24">
        <v>44.264781249999999</v>
      </c>
      <c r="AB16" s="25">
        <v>2939.61</v>
      </c>
      <c r="AC16" s="25">
        <v>0</v>
      </c>
      <c r="AD16" s="25">
        <v>50.097000000000001</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11.68059</v>
      </c>
      <c r="J17" s="12">
        <f t="shared" si="1"/>
        <v>3.8622732980963338E-2</v>
      </c>
      <c r="K17" s="12">
        <f t="shared" si="2"/>
        <v>1.2787016909876331E-2</v>
      </c>
      <c r="L17" s="12">
        <f t="shared" si="3"/>
        <v>8.9577316453968419E-3</v>
      </c>
      <c r="M17" s="12">
        <f t="shared" si="4"/>
        <v>2.5835716071087006E-2</v>
      </c>
      <c r="N17" s="54">
        <f t="shared" si="5"/>
        <v>4124960</v>
      </c>
      <c r="O17" s="12">
        <v>16</v>
      </c>
      <c r="P17" s="13">
        <v>33602137</v>
      </c>
      <c r="Q17" s="13">
        <v>1050066.78125</v>
      </c>
      <c r="R17" s="13">
        <v>36579.4375</v>
      </c>
      <c r="S17" s="14">
        <v>12459296</v>
      </c>
      <c r="T17" s="14">
        <v>2889672</v>
      </c>
      <c r="U17" s="14">
        <v>1235288</v>
      </c>
      <c r="V17" s="14">
        <v>8334336</v>
      </c>
      <c r="W17" s="15">
        <v>69.134240625000004</v>
      </c>
      <c r="X17" s="15">
        <v>71.597499999999997</v>
      </c>
      <c r="Y17" s="15">
        <v>34.351259374999998</v>
      </c>
      <c r="Z17" s="15">
        <v>44.801000000000002</v>
      </c>
      <c r="AA17" s="15">
        <v>45.210156249999997</v>
      </c>
      <c r="AB17" s="16">
        <v>2943.28</v>
      </c>
      <c r="AC17" s="16">
        <v>0</v>
      </c>
      <c r="AD17" s="16">
        <v>53.499000000000002</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20.169074999999999</v>
      </c>
      <c r="J18" s="21">
        <f t="shared" si="1"/>
        <v>6.6690535169715154E-2</v>
      </c>
      <c r="K18" s="21">
        <f t="shared" si="2"/>
        <v>1.7290967228141912E-2</v>
      </c>
      <c r="L18" s="21">
        <f t="shared" si="3"/>
        <v>1.3461681963662424E-2</v>
      </c>
      <c r="M18" s="21">
        <f t="shared" si="4"/>
        <v>4.9399567941573234E-2</v>
      </c>
      <c r="N18" s="18">
        <f t="shared" si="5"/>
        <v>5577888</v>
      </c>
      <c r="O18" s="21">
        <v>16</v>
      </c>
      <c r="P18" s="22">
        <v>34802570</v>
      </c>
      <c r="Q18" s="22">
        <v>1087580.3125</v>
      </c>
      <c r="R18" s="22">
        <v>40873.28125</v>
      </c>
      <c r="S18" s="23">
        <v>21513680</v>
      </c>
      <c r="T18" s="23">
        <v>4342600</v>
      </c>
      <c r="U18" s="23">
        <v>1235288</v>
      </c>
      <c r="V18" s="23">
        <v>15935792</v>
      </c>
      <c r="W18" s="24">
        <v>70.372421875000001</v>
      </c>
      <c r="X18" s="24">
        <v>72.950706249999996</v>
      </c>
      <c r="Y18" s="24">
        <v>37.032699999999998</v>
      </c>
      <c r="Z18" s="24">
        <v>46.141668750000001</v>
      </c>
      <c r="AA18" s="24">
        <v>46.647603125000003</v>
      </c>
      <c r="AB18" s="25">
        <v>3345.43</v>
      </c>
      <c r="AC18" s="25">
        <v>0</v>
      </c>
      <c r="AD18" s="25">
        <v>57.386000000000003</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35.683590000000002</v>
      </c>
      <c r="J19" s="30">
        <f t="shared" si="1"/>
        <v>0.11799042414571297</v>
      </c>
      <c r="K19" s="30">
        <f t="shared" si="2"/>
        <v>2.7760241225801799E-2</v>
      </c>
      <c r="L19" s="30">
        <f t="shared" si="3"/>
        <v>2.0649090523980271E-2</v>
      </c>
      <c r="M19" s="30">
        <f t="shared" si="4"/>
        <v>9.0230182919911167E-2</v>
      </c>
      <c r="N19" s="27">
        <f t="shared" si="5"/>
        <v>8955168</v>
      </c>
      <c r="O19" s="30">
        <v>16</v>
      </c>
      <c r="P19" s="31">
        <v>33042374</v>
      </c>
      <c r="Q19" s="31">
        <v>1032574.1875</v>
      </c>
      <c r="R19" s="31">
        <v>17761.0625</v>
      </c>
      <c r="S19" s="32">
        <v>38062496</v>
      </c>
      <c r="T19" s="32">
        <v>6661184</v>
      </c>
      <c r="U19" s="32">
        <v>2293984</v>
      </c>
      <c r="V19" s="32">
        <v>29107328</v>
      </c>
      <c r="W19" s="33">
        <v>71.149421875000002</v>
      </c>
      <c r="X19" s="33">
        <v>75.002240624999999</v>
      </c>
      <c r="Y19" s="33">
        <v>39.490021874999996</v>
      </c>
      <c r="Z19" s="33">
        <v>47.872225</v>
      </c>
      <c r="AA19" s="33">
        <v>48.471881250000003</v>
      </c>
      <c r="AB19" s="34">
        <v>3633.04</v>
      </c>
      <c r="AC19" s="34">
        <v>0</v>
      </c>
      <c r="AD19" s="34">
        <v>53.603000000000002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5.0895250000000001</v>
      </c>
      <c r="J20" s="21">
        <f t="shared" si="1"/>
        <v>1.2997838879679964E-2</v>
      </c>
      <c r="K20" s="21">
        <f t="shared" si="2"/>
        <v>7.5669996959452472E-3</v>
      </c>
      <c r="L20" s="21">
        <f t="shared" si="3"/>
        <v>3.7781208198432157E-3</v>
      </c>
      <c r="M20" s="21">
        <f t="shared" si="4"/>
        <v>5.4308391837347156E-3</v>
      </c>
      <c r="N20" s="18">
        <f t="shared" si="5"/>
        <v>1896312</v>
      </c>
      <c r="O20" s="21">
        <v>16</v>
      </c>
      <c r="P20" s="22">
        <v>30323913</v>
      </c>
      <c r="Q20" s="22">
        <v>947622.28125</v>
      </c>
      <c r="R20" s="22">
        <v>27816.5625</v>
      </c>
      <c r="S20" s="23">
        <v>3257296</v>
      </c>
      <c r="T20" s="23">
        <v>946808</v>
      </c>
      <c r="U20" s="23">
        <v>949504</v>
      </c>
      <c r="V20" s="23">
        <v>1360984</v>
      </c>
      <c r="W20" s="24">
        <v>67.129975000000002</v>
      </c>
      <c r="X20" s="24">
        <v>68.82336875</v>
      </c>
      <c r="Y20" s="24">
        <v>30.707646874999998</v>
      </c>
      <c r="Z20" s="24">
        <v>39.523800000000001</v>
      </c>
      <c r="AA20" s="24">
        <v>38.234321874999999</v>
      </c>
      <c r="AB20" s="25">
        <v>2907.46</v>
      </c>
      <c r="AC20" s="25">
        <v>0</v>
      </c>
      <c r="AD20" s="25">
        <v>46.262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7.5903375000000004</v>
      </c>
      <c r="J21" s="12">
        <f t="shared" si="1"/>
        <v>1.9384516996653483E-2</v>
      </c>
      <c r="K21" s="12">
        <f t="shared" si="2"/>
        <v>9.0166557575746403E-3</v>
      </c>
      <c r="L21" s="12">
        <f t="shared" si="3"/>
        <v>5.2277768814726084E-3</v>
      </c>
      <c r="M21" s="12">
        <f t="shared" si="4"/>
        <v>1.0367861239078843E-2</v>
      </c>
      <c r="N21" s="54">
        <f t="shared" si="5"/>
        <v>2259600</v>
      </c>
      <c r="O21" s="12">
        <v>16</v>
      </c>
      <c r="P21" s="13">
        <v>31547254</v>
      </c>
      <c r="Q21" s="13">
        <v>985851.6875</v>
      </c>
      <c r="R21" s="13">
        <v>32992.53125</v>
      </c>
      <c r="S21" s="14">
        <v>4857816</v>
      </c>
      <c r="T21" s="14">
        <v>1310096</v>
      </c>
      <c r="U21" s="14">
        <v>949504</v>
      </c>
      <c r="V21" s="14">
        <v>2598216</v>
      </c>
      <c r="W21" s="15">
        <v>68.684825000000004</v>
      </c>
      <c r="X21" s="15">
        <v>70.763768749999997</v>
      </c>
      <c r="Y21" s="15">
        <v>32.498399999999997</v>
      </c>
      <c r="Z21" s="15">
        <v>40.653237500000003</v>
      </c>
      <c r="AA21" s="15">
        <v>39.544649999999997</v>
      </c>
      <c r="AB21" s="16">
        <v>2968.23</v>
      </c>
      <c r="AC21" s="16">
        <v>0</v>
      </c>
      <c r="AD21" s="16">
        <v>48.079000000000001</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12.356949999999999</v>
      </c>
      <c r="J22" s="21">
        <f t="shared" si="1"/>
        <v>3.1557688614214749E-2</v>
      </c>
      <c r="K22" s="21">
        <f t="shared" si="2"/>
        <v>1.1276677570331781E-2</v>
      </c>
      <c r="L22" s="21">
        <f t="shared" si="3"/>
        <v>7.4877986942297487E-3</v>
      </c>
      <c r="M22" s="21">
        <f t="shared" si="4"/>
        <v>2.0281011043882968E-2</v>
      </c>
      <c r="N22" s="18">
        <f t="shared" si="5"/>
        <v>2825968</v>
      </c>
      <c r="O22" s="21">
        <v>16</v>
      </c>
      <c r="P22" s="22">
        <v>32778173</v>
      </c>
      <c r="Q22" s="22">
        <v>1024317.90625</v>
      </c>
      <c r="R22" s="22">
        <v>35188.46875</v>
      </c>
      <c r="S22" s="23">
        <v>7908448</v>
      </c>
      <c r="T22" s="23">
        <v>1876464</v>
      </c>
      <c r="U22" s="23">
        <v>949504</v>
      </c>
      <c r="V22" s="23">
        <v>5082480</v>
      </c>
      <c r="W22" s="24">
        <v>69.862159375000005</v>
      </c>
      <c r="X22" s="24">
        <v>72.260553125000001</v>
      </c>
      <c r="Y22" s="24">
        <v>34.237665624999998</v>
      </c>
      <c r="Z22" s="24">
        <v>41.667446875000003</v>
      </c>
      <c r="AA22" s="24">
        <v>40.554246874999997</v>
      </c>
      <c r="AB22" s="25">
        <v>3088.42</v>
      </c>
      <c r="AC22" s="25">
        <v>0</v>
      </c>
      <c r="AD22" s="25">
        <v>47.545000000000002</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21.999387500000001</v>
      </c>
      <c r="J23" s="12">
        <f t="shared" si="1"/>
        <v>5.6182943236676386E-2</v>
      </c>
      <c r="K23" s="12">
        <f t="shared" si="2"/>
        <v>1.5198100807224925E-2</v>
      </c>
      <c r="L23" s="12">
        <f t="shared" si="3"/>
        <v>1.1409221931122893E-2</v>
      </c>
      <c r="M23" s="12">
        <f t="shared" si="4"/>
        <v>4.0984842429451461E-2</v>
      </c>
      <c r="N23" s="54">
        <f t="shared" si="5"/>
        <v>3808688</v>
      </c>
      <c r="O23" s="12">
        <v>16</v>
      </c>
      <c r="P23" s="13">
        <v>32789353</v>
      </c>
      <c r="Q23" s="13">
        <v>1024667.28125</v>
      </c>
      <c r="R23" s="13">
        <v>36955.375</v>
      </c>
      <c r="S23" s="14">
        <v>14079608</v>
      </c>
      <c r="T23" s="14">
        <v>2859184</v>
      </c>
      <c r="U23" s="14">
        <v>949504</v>
      </c>
      <c r="V23" s="14">
        <v>10270920</v>
      </c>
      <c r="W23" s="15">
        <v>70.885131250000001</v>
      </c>
      <c r="X23" s="15">
        <v>73.609525000000005</v>
      </c>
      <c r="Y23" s="15">
        <v>35.685465624999999</v>
      </c>
      <c r="Z23" s="15">
        <v>42.817409374999997</v>
      </c>
      <c r="AA23" s="15">
        <v>41.612731250000003</v>
      </c>
      <c r="AB23" s="16">
        <v>3193.14</v>
      </c>
      <c r="AC23" s="16">
        <v>0</v>
      </c>
      <c r="AD23" s="16">
        <v>50.904000000000003</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38.630125</v>
      </c>
      <c r="J24" s="40">
        <f t="shared" si="1"/>
        <v>9.8655206655217723E-2</v>
      </c>
      <c r="K24" s="40">
        <f t="shared" si="2"/>
        <v>2.525780917667067E-2</v>
      </c>
      <c r="L24" s="40">
        <f t="shared" si="3"/>
        <v>1.7940830538942187E-2</v>
      </c>
      <c r="M24" s="40">
        <f t="shared" si="4"/>
        <v>7.3397397478547038E-2</v>
      </c>
      <c r="N24" s="37">
        <f t="shared" si="5"/>
        <v>6329680</v>
      </c>
      <c r="O24" s="40">
        <v>16</v>
      </c>
      <c r="P24" s="41">
        <v>31420466</v>
      </c>
      <c r="Q24" s="41">
        <v>981889.5625</v>
      </c>
      <c r="R24" s="41">
        <v>18332.15625</v>
      </c>
      <c r="S24" s="42">
        <v>24723280</v>
      </c>
      <c r="T24" s="42">
        <v>4496024</v>
      </c>
      <c r="U24" s="42">
        <v>1833656</v>
      </c>
      <c r="V24" s="42">
        <v>18393600</v>
      </c>
      <c r="W24" s="43">
        <v>71.729253125</v>
      </c>
      <c r="X24" s="43">
        <v>75.633028124999996</v>
      </c>
      <c r="Y24" s="43">
        <v>36.551428125000001</v>
      </c>
      <c r="Z24" s="43">
        <v>43.594028125000001</v>
      </c>
      <c r="AA24" s="43">
        <v>42.058259374999999</v>
      </c>
      <c r="AB24" s="44">
        <v>3379.88</v>
      </c>
      <c r="AC24" s="44">
        <v>0</v>
      </c>
      <c r="AD24" s="44">
        <v>49.637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4.3625775000000004</v>
      </c>
      <c r="J25" s="12">
        <f t="shared" si="1"/>
        <v>1.8591756812378783E-2</v>
      </c>
      <c r="K25" s="12">
        <f t="shared" si="2"/>
        <v>6.4623372470763267E-3</v>
      </c>
      <c r="L25" s="12">
        <f t="shared" si="3"/>
        <v>3.7149825320629591E-3</v>
      </c>
      <c r="M25" s="12">
        <f t="shared" si="4"/>
        <v>1.2129419565302457E-2</v>
      </c>
      <c r="N25" s="54">
        <f t="shared" si="5"/>
        <v>1617488</v>
      </c>
      <c r="O25" s="12">
        <v>16</v>
      </c>
      <c r="P25" s="13">
        <v>23138862</v>
      </c>
      <c r="Q25" s="13">
        <v>723089.4375</v>
      </c>
      <c r="R25" s="13">
        <v>14043</v>
      </c>
      <c r="S25" s="14">
        <v>4653416</v>
      </c>
      <c r="T25" s="14">
        <v>929840</v>
      </c>
      <c r="U25" s="14">
        <v>687648</v>
      </c>
      <c r="V25" s="14">
        <v>3035928</v>
      </c>
      <c r="W25" s="15">
        <v>66.207503125000002</v>
      </c>
      <c r="X25" s="15">
        <v>67.988171875000006</v>
      </c>
      <c r="Y25" s="15">
        <v>27.334253125</v>
      </c>
      <c r="Z25" s="15">
        <v>33.162240625000003</v>
      </c>
      <c r="AA25" s="15">
        <v>32.598315624999998</v>
      </c>
      <c r="AB25" s="16">
        <v>1992.82</v>
      </c>
      <c r="AC25" s="16">
        <v>0</v>
      </c>
      <c r="AD25" s="16">
        <v>38.880000000000003</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7.4909774999999996</v>
      </c>
      <c r="J26" s="21">
        <f t="shared" si="1"/>
        <v>3.1923887189855352E-2</v>
      </c>
      <c r="K26" s="21">
        <f t="shared" si="2"/>
        <v>7.9848951744388944E-3</v>
      </c>
      <c r="L26" s="21">
        <f t="shared" si="3"/>
        <v>5.237540459425526E-3</v>
      </c>
      <c r="M26" s="21">
        <f t="shared" si="4"/>
        <v>2.3938992015416459E-2</v>
      </c>
      <c r="N26" s="18">
        <f t="shared" si="5"/>
        <v>1998576</v>
      </c>
      <c r="O26" s="21">
        <v>16</v>
      </c>
      <c r="P26" s="22">
        <v>24580782</v>
      </c>
      <c r="Q26" s="22">
        <v>768149.4375</v>
      </c>
      <c r="R26" s="22">
        <v>17704.5625</v>
      </c>
      <c r="S26" s="23">
        <v>7990376</v>
      </c>
      <c r="T26" s="23">
        <v>1310928</v>
      </c>
      <c r="U26" s="23">
        <v>687648</v>
      </c>
      <c r="V26" s="23">
        <v>5991800</v>
      </c>
      <c r="W26" s="24">
        <v>67.944759375000004</v>
      </c>
      <c r="X26" s="24">
        <v>69.940765624999997</v>
      </c>
      <c r="Y26" s="24">
        <v>29.715568749999999</v>
      </c>
      <c r="Z26" s="24">
        <v>34.339240625000002</v>
      </c>
      <c r="AA26" s="24">
        <v>33.890012499999997</v>
      </c>
      <c r="AB26" s="25">
        <v>2081.5700000000002</v>
      </c>
      <c r="AC26" s="25">
        <v>0</v>
      </c>
      <c r="AD26" s="25">
        <v>41.015999999999998</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13.189875000000001</v>
      </c>
      <c r="J27" s="12">
        <f t="shared" si="1"/>
        <v>5.6210565516755774E-2</v>
      </c>
      <c r="K27" s="12">
        <f t="shared" si="2"/>
        <v>1.0284713234423908E-2</v>
      </c>
      <c r="L27" s="12">
        <f t="shared" si="3"/>
        <v>7.5373585194105398E-3</v>
      </c>
      <c r="M27" s="12">
        <f t="shared" si="4"/>
        <v>4.5925852282331862E-2</v>
      </c>
      <c r="N27" s="54">
        <f t="shared" si="5"/>
        <v>2574208</v>
      </c>
      <c r="O27" s="12">
        <v>16</v>
      </c>
      <c r="P27" s="13">
        <v>24854010</v>
      </c>
      <c r="Q27" s="13">
        <v>776687.8125</v>
      </c>
      <c r="R27" s="13">
        <v>18708.78125</v>
      </c>
      <c r="S27" s="14">
        <v>14069200</v>
      </c>
      <c r="T27" s="14">
        <v>1886560</v>
      </c>
      <c r="U27" s="14">
        <v>687648</v>
      </c>
      <c r="V27" s="14">
        <v>11494992</v>
      </c>
      <c r="W27" s="15">
        <v>69.264525000000006</v>
      </c>
      <c r="X27" s="15">
        <v>71.652259375</v>
      </c>
      <c r="Y27" s="15">
        <v>32.213275000000003</v>
      </c>
      <c r="Z27" s="15">
        <v>35.579071874999997</v>
      </c>
      <c r="AA27" s="15">
        <v>35.2021625</v>
      </c>
      <c r="AB27" s="16">
        <v>2156.7600000000002</v>
      </c>
      <c r="AC27" s="16">
        <v>0</v>
      </c>
      <c r="AD27" s="16">
        <v>42.354999999999997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24.455549999999999</v>
      </c>
      <c r="J28" s="21">
        <f t="shared" si="1"/>
        <v>0.10422087362642153</v>
      </c>
      <c r="K28" s="21">
        <f t="shared" si="2"/>
        <v>1.4137133819380877E-2</v>
      </c>
      <c r="L28" s="21">
        <f t="shared" si="3"/>
        <v>1.1389779104367509E-2</v>
      </c>
      <c r="M28" s="21">
        <f t="shared" si="4"/>
        <v>9.0083739807040653E-2</v>
      </c>
      <c r="N28" s="18">
        <f t="shared" si="5"/>
        <v>3538448</v>
      </c>
      <c r="O28" s="21">
        <v>16</v>
      </c>
      <c r="P28" s="22">
        <v>25513363</v>
      </c>
      <c r="Q28" s="22">
        <v>797292.59375</v>
      </c>
      <c r="R28" s="22">
        <v>20938.96875</v>
      </c>
      <c r="S28" s="23">
        <v>26085920</v>
      </c>
      <c r="T28" s="23">
        <v>2850800</v>
      </c>
      <c r="U28" s="23">
        <v>687648</v>
      </c>
      <c r="V28" s="23">
        <v>22547472</v>
      </c>
      <c r="W28" s="24">
        <v>70.431274999999999</v>
      </c>
      <c r="X28" s="24">
        <v>72.970459375000004</v>
      </c>
      <c r="Y28" s="24">
        <v>34.907443749999999</v>
      </c>
      <c r="Z28" s="24">
        <v>37.368850000000002</v>
      </c>
      <c r="AA28" s="24">
        <v>36.934975000000001</v>
      </c>
      <c r="AB28" s="25">
        <v>2352.44</v>
      </c>
      <c r="AC28" s="25">
        <v>0</v>
      </c>
      <c r="AD28" s="25">
        <v>43.115000000000002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44.179027499999997</v>
      </c>
      <c r="J29" s="30">
        <f t="shared" si="1"/>
        <v>0.18827533390235351</v>
      </c>
      <c r="K29" s="30">
        <f t="shared" si="2"/>
        <v>2.2852496263782489E-2</v>
      </c>
      <c r="L29" s="30">
        <f t="shared" si="3"/>
        <v>1.7627644852496249E-2</v>
      </c>
      <c r="M29" s="30">
        <f t="shared" si="4"/>
        <v>0.16542283763857102</v>
      </c>
      <c r="N29" s="27">
        <f t="shared" si="5"/>
        <v>5719856</v>
      </c>
      <c r="O29" s="30">
        <v>16</v>
      </c>
      <c r="P29" s="31">
        <v>24573675</v>
      </c>
      <c r="Q29" s="31">
        <v>767927.34375</v>
      </c>
      <c r="R29" s="31">
        <v>9762.375</v>
      </c>
      <c r="S29" s="32">
        <v>47124296</v>
      </c>
      <c r="T29" s="32">
        <v>4412104</v>
      </c>
      <c r="U29" s="32">
        <v>1307752</v>
      </c>
      <c r="V29" s="32">
        <v>41404440</v>
      </c>
      <c r="W29" s="33">
        <v>71.151587500000005</v>
      </c>
      <c r="X29" s="33">
        <v>74.903300000000002</v>
      </c>
      <c r="Y29" s="33">
        <v>37.34015625</v>
      </c>
      <c r="Z29" s="33">
        <v>39.402134375000003</v>
      </c>
      <c r="AA29" s="33">
        <v>38.755974999999999</v>
      </c>
      <c r="AB29" s="34">
        <v>2618.41</v>
      </c>
      <c r="AC29" s="34">
        <v>0</v>
      </c>
      <c r="AD29" s="34">
        <v>43.271000000000001</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5.7078749999999996</v>
      </c>
      <c r="J30" s="21">
        <f t="shared" si="1"/>
        <v>1.6217459975145499E-2</v>
      </c>
      <c r="K30" s="21">
        <f t="shared" si="2"/>
        <v>9.8485935603349582E-3</v>
      </c>
      <c r="L30" s="21">
        <f t="shared" si="3"/>
        <v>6.146823273175935E-3</v>
      </c>
      <c r="M30" s="21">
        <f t="shared" si="4"/>
        <v>6.36886641481054E-3</v>
      </c>
      <c r="N30" s="18">
        <f t="shared" si="5"/>
        <v>3697384</v>
      </c>
      <c r="O30" s="21">
        <v>16</v>
      </c>
      <c r="P30" s="22">
        <v>84194639</v>
      </c>
      <c r="Q30" s="22">
        <v>2631082.46875</v>
      </c>
      <c r="R30" s="22">
        <v>31461</v>
      </c>
      <c r="S30" s="23">
        <v>6088400</v>
      </c>
      <c r="T30" s="23">
        <v>2307656</v>
      </c>
      <c r="U30" s="23">
        <v>1389728</v>
      </c>
      <c r="V30" s="23">
        <v>2391016</v>
      </c>
      <c r="W30" s="24">
        <v>73.452484374999997</v>
      </c>
      <c r="X30" s="24">
        <v>75.663084374999997</v>
      </c>
      <c r="Y30" s="24">
        <v>34.728074999999997</v>
      </c>
      <c r="Z30" s="24">
        <v>42.119109375000001</v>
      </c>
      <c r="AA30" s="24">
        <v>43.747453125</v>
      </c>
      <c r="AB30" s="25">
        <v>6435.39</v>
      </c>
      <c r="AC30" s="25">
        <v>0</v>
      </c>
      <c r="AD30" s="25">
        <v>130.12100000000001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8.1599249999999994</v>
      </c>
      <c r="J31" s="12">
        <f t="shared" si="1"/>
        <v>2.3184329910463899E-2</v>
      </c>
      <c r="K31" s="12">
        <f t="shared" si="2"/>
        <v>1.2108788172678147E-2</v>
      </c>
      <c r="L31" s="12">
        <f t="shared" si="3"/>
        <v>8.4070178855191208E-3</v>
      </c>
      <c r="M31" s="12">
        <f t="shared" si="4"/>
        <v>1.1075541737785754E-2</v>
      </c>
      <c r="N31" s="54">
        <f t="shared" si="5"/>
        <v>4545912</v>
      </c>
      <c r="O31" s="12">
        <v>16</v>
      </c>
      <c r="P31" s="13">
        <v>89719549</v>
      </c>
      <c r="Q31" s="13">
        <v>2803735.90625</v>
      </c>
      <c r="R31" s="13">
        <v>39437.8125</v>
      </c>
      <c r="S31" s="14">
        <v>8703920</v>
      </c>
      <c r="T31" s="14">
        <v>3156184</v>
      </c>
      <c r="U31" s="14">
        <v>1389728</v>
      </c>
      <c r="V31" s="14">
        <v>4158008</v>
      </c>
      <c r="W31" s="15">
        <v>75.152653125000001</v>
      </c>
      <c r="X31" s="15">
        <v>77.552834375000003</v>
      </c>
      <c r="Y31" s="15">
        <v>36.649075000000003</v>
      </c>
      <c r="Z31" s="15">
        <v>42.655696874999997</v>
      </c>
      <c r="AA31" s="15">
        <v>45.027949999999997</v>
      </c>
      <c r="AB31" s="16">
        <v>6494.73</v>
      </c>
      <c r="AC31" s="16">
        <v>0</v>
      </c>
      <c r="AD31" s="16">
        <v>138.45599999999999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12.6333</v>
      </c>
      <c r="J32" s="21">
        <f t="shared" si="1"/>
        <v>3.5894275383396734E-2</v>
      </c>
      <c r="K32" s="21">
        <f t="shared" si="2"/>
        <v>1.5396965817228145E-2</v>
      </c>
      <c r="L32" s="21">
        <f t="shared" si="3"/>
        <v>1.1695195530069121E-2</v>
      </c>
      <c r="M32" s="21">
        <f t="shared" si="4"/>
        <v>2.0497309566168589E-2</v>
      </c>
      <c r="N32" s="18">
        <f t="shared" si="5"/>
        <v>5780368</v>
      </c>
      <c r="O32" s="21">
        <v>16</v>
      </c>
      <c r="P32" s="22">
        <v>91500313</v>
      </c>
      <c r="Q32" s="22">
        <v>2859384.78125</v>
      </c>
      <c r="R32" s="22">
        <v>42605.34375</v>
      </c>
      <c r="S32" s="23">
        <v>13475520</v>
      </c>
      <c r="T32" s="23">
        <v>4390640</v>
      </c>
      <c r="U32" s="23">
        <v>1389728</v>
      </c>
      <c r="V32" s="23">
        <v>7695152</v>
      </c>
      <c r="W32" s="24">
        <v>76.435353125000006</v>
      </c>
      <c r="X32" s="24">
        <v>79.124187500000005</v>
      </c>
      <c r="Y32" s="24">
        <v>38.391687500000003</v>
      </c>
      <c r="Z32" s="24">
        <v>43.175890625000001</v>
      </c>
      <c r="AA32" s="24">
        <v>46.201321874999998</v>
      </c>
      <c r="AB32" s="25">
        <v>6634.53</v>
      </c>
      <c r="AC32" s="25">
        <v>0</v>
      </c>
      <c r="AD32" s="25">
        <v>142.321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21.155257500000001</v>
      </c>
      <c r="J33" s="12">
        <f t="shared" si="1"/>
        <v>6.0107227605745855E-2</v>
      </c>
      <c r="K33" s="12">
        <f t="shared" si="2"/>
        <v>2.0865534660933077E-2</v>
      </c>
      <c r="L33" s="12">
        <f t="shared" si="3"/>
        <v>1.7163764373774051E-2</v>
      </c>
      <c r="M33" s="12">
        <f t="shared" si="4"/>
        <v>3.9241692944812778E-2</v>
      </c>
      <c r="N33" s="54">
        <f t="shared" si="5"/>
        <v>7833392</v>
      </c>
      <c r="O33" s="12">
        <v>16</v>
      </c>
      <c r="P33" s="13">
        <v>93793354</v>
      </c>
      <c r="Q33" s="13">
        <v>2931042.3125</v>
      </c>
      <c r="R33" s="13">
        <v>47265.78125</v>
      </c>
      <c r="S33" s="14">
        <v>22565608</v>
      </c>
      <c r="T33" s="14">
        <v>6443664</v>
      </c>
      <c r="U33" s="14">
        <v>1389728</v>
      </c>
      <c r="V33" s="14">
        <v>14732216</v>
      </c>
      <c r="W33" s="15">
        <v>77.585893749999997</v>
      </c>
      <c r="X33" s="15">
        <v>80.310262499999993</v>
      </c>
      <c r="Y33" s="15">
        <v>39.993034375000001</v>
      </c>
      <c r="Z33" s="15">
        <v>43.8977875</v>
      </c>
      <c r="AA33" s="15">
        <v>47.813834374999999</v>
      </c>
      <c r="AB33" s="16">
        <v>6870.07</v>
      </c>
      <c r="AC33" s="16">
        <v>0</v>
      </c>
      <c r="AD33" s="16">
        <v>141.94900000000001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39.8449125</v>
      </c>
      <c r="J34" s="40">
        <f t="shared" si="1"/>
        <v>0.11320907933021038</v>
      </c>
      <c r="K34" s="40">
        <f t="shared" si="2"/>
        <v>3.3506800187081999E-2</v>
      </c>
      <c r="L34" s="40">
        <f t="shared" si="3"/>
        <v>2.6091091989551538E-2</v>
      </c>
      <c r="M34" s="40">
        <f t="shared" si="4"/>
        <v>7.9702279143128371E-2</v>
      </c>
      <c r="N34" s="37">
        <f t="shared" si="5"/>
        <v>12579208</v>
      </c>
      <c r="O34" s="40">
        <v>16</v>
      </c>
      <c r="P34" s="41">
        <v>91942258</v>
      </c>
      <c r="Q34" s="41">
        <v>2873195.5625</v>
      </c>
      <c r="R34" s="41">
        <v>18754.5</v>
      </c>
      <c r="S34" s="42">
        <v>42501240</v>
      </c>
      <c r="T34" s="42">
        <v>9795184</v>
      </c>
      <c r="U34" s="42">
        <v>2784024</v>
      </c>
      <c r="V34" s="42">
        <v>29922032</v>
      </c>
      <c r="W34" s="43">
        <v>78.522015624999995</v>
      </c>
      <c r="X34" s="43">
        <v>81.989699999999999</v>
      </c>
      <c r="Y34" s="43">
        <v>41.504265625000002</v>
      </c>
      <c r="Z34" s="43">
        <v>44.694984374999997</v>
      </c>
      <c r="AA34" s="43">
        <v>49.214115624999998</v>
      </c>
      <c r="AB34" s="44">
        <v>7290.51</v>
      </c>
      <c r="AC34" s="44">
        <v>0</v>
      </c>
      <c r="AD34" s="44">
        <v>134.27699999999999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6.0675675</v>
      </c>
      <c r="J35" s="12">
        <f t="shared" si="1"/>
        <v>1.942452839671039E-2</v>
      </c>
      <c r="K35" s="12">
        <f t="shared" si="2"/>
        <v>1.1390354308490296E-2</v>
      </c>
      <c r="L35" s="12">
        <f t="shared" si="3"/>
        <v>6.9764014323941683E-3</v>
      </c>
      <c r="M35" s="12">
        <f t="shared" si="4"/>
        <v>8.0341740882200943E-3</v>
      </c>
      <c r="N35" s="54">
        <f t="shared" si="5"/>
        <v>3795160</v>
      </c>
      <c r="O35" s="12">
        <v>16</v>
      </c>
      <c r="P35" s="13">
        <v>74778557</v>
      </c>
      <c r="Q35" s="13">
        <v>2336829.90625</v>
      </c>
      <c r="R35" s="13">
        <v>30441.96875</v>
      </c>
      <c r="S35" s="14">
        <v>6472072</v>
      </c>
      <c r="T35" s="14">
        <v>2324472</v>
      </c>
      <c r="U35" s="14">
        <v>1470688</v>
      </c>
      <c r="V35" s="14">
        <v>2676912</v>
      </c>
      <c r="W35" s="15">
        <v>73.193674999999999</v>
      </c>
      <c r="X35" s="15">
        <v>75.403146875000004</v>
      </c>
      <c r="Y35" s="15">
        <v>34.0176625</v>
      </c>
      <c r="Z35" s="15">
        <v>42.567028125</v>
      </c>
      <c r="AA35" s="15">
        <v>43.978003125000001</v>
      </c>
      <c r="AB35" s="16">
        <v>5944.48</v>
      </c>
      <c r="AC35" s="16">
        <v>0</v>
      </c>
      <c r="AD35" s="16">
        <v>122.452</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8.6932725000000008</v>
      </c>
      <c r="J36" s="21">
        <f t="shared" si="1"/>
        <v>2.7830381538662984E-2</v>
      </c>
      <c r="K36" s="21">
        <f t="shared" si="2"/>
        <v>1.3980198588322496E-2</v>
      </c>
      <c r="L36" s="21">
        <f t="shared" si="3"/>
        <v>9.5662457122263709E-3</v>
      </c>
      <c r="M36" s="21">
        <f t="shared" si="4"/>
        <v>1.3850182950340488E-2</v>
      </c>
      <c r="N36" s="18">
        <f t="shared" si="5"/>
        <v>4658072</v>
      </c>
      <c r="O36" s="21">
        <v>16</v>
      </c>
      <c r="P36" s="22">
        <v>79943738</v>
      </c>
      <c r="Q36" s="22">
        <v>2498241.8125</v>
      </c>
      <c r="R36" s="22">
        <v>38917.4375</v>
      </c>
      <c r="S36" s="23">
        <v>9272824</v>
      </c>
      <c r="T36" s="23">
        <v>3187384</v>
      </c>
      <c r="U36" s="23">
        <v>1470688</v>
      </c>
      <c r="V36" s="23">
        <v>4614752</v>
      </c>
      <c r="W36" s="24">
        <v>74.934209374999995</v>
      </c>
      <c r="X36" s="24">
        <v>77.349309375000004</v>
      </c>
      <c r="Y36" s="24">
        <v>36.100590625000002</v>
      </c>
      <c r="Z36" s="24">
        <v>43.206612499999999</v>
      </c>
      <c r="AA36" s="24">
        <v>45.366546874999997</v>
      </c>
      <c r="AB36" s="25">
        <v>6138.04</v>
      </c>
      <c r="AC36" s="25">
        <v>0</v>
      </c>
      <c r="AD36" s="25">
        <v>125.843</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13.279845</v>
      </c>
      <c r="J37" s="12">
        <f t="shared" si="1"/>
        <v>4.2513697013904249E-2</v>
      </c>
      <c r="K37" s="12">
        <f t="shared" si="2"/>
        <v>1.7700614677140632E-2</v>
      </c>
      <c r="L37" s="12">
        <f t="shared" si="3"/>
        <v>1.3286661801044507E-2</v>
      </c>
      <c r="M37" s="12">
        <f t="shared" si="4"/>
        <v>2.4813082336763617E-2</v>
      </c>
      <c r="N37" s="54">
        <f t="shared" si="5"/>
        <v>5897680</v>
      </c>
      <c r="O37" s="12">
        <v>16</v>
      </c>
      <c r="P37" s="13">
        <v>81681853</v>
      </c>
      <c r="Q37" s="13">
        <v>2552557.90625</v>
      </c>
      <c r="R37" s="13">
        <v>42032.5625</v>
      </c>
      <c r="S37" s="14">
        <v>14165168</v>
      </c>
      <c r="T37" s="14">
        <v>4426992</v>
      </c>
      <c r="U37" s="14">
        <v>1470688</v>
      </c>
      <c r="V37" s="14">
        <v>8267488</v>
      </c>
      <c r="W37" s="15">
        <v>76.244415625000002</v>
      </c>
      <c r="X37" s="15">
        <v>78.960109375000002</v>
      </c>
      <c r="Y37" s="15">
        <v>37.932615624999997</v>
      </c>
      <c r="Z37" s="15">
        <v>43.749587499999997</v>
      </c>
      <c r="AA37" s="15">
        <v>46.4671375</v>
      </c>
      <c r="AB37" s="16">
        <v>6277.47</v>
      </c>
      <c r="AC37" s="16">
        <v>0</v>
      </c>
      <c r="AD37" s="16">
        <v>131.869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22.352527500000001</v>
      </c>
      <c r="J38" s="21">
        <f t="shared" si="1"/>
        <v>7.1558710333589182E-2</v>
      </c>
      <c r="K38" s="21">
        <f t="shared" si="2"/>
        <v>2.3906406340184375E-2</v>
      </c>
      <c r="L38" s="21">
        <f t="shared" si="3"/>
        <v>1.9492453464088247E-2</v>
      </c>
      <c r="M38" s="21">
        <f t="shared" si="4"/>
        <v>4.765230399340481E-2</v>
      </c>
      <c r="N38" s="18">
        <f t="shared" si="5"/>
        <v>7965392</v>
      </c>
      <c r="O38" s="21">
        <v>16</v>
      </c>
      <c r="P38" s="22">
        <v>83704060</v>
      </c>
      <c r="Q38" s="22">
        <v>2615751.875</v>
      </c>
      <c r="R38" s="22">
        <v>46678.40625</v>
      </c>
      <c r="S38" s="23">
        <v>23842696</v>
      </c>
      <c r="T38" s="23">
        <v>6494704</v>
      </c>
      <c r="U38" s="23">
        <v>1470688</v>
      </c>
      <c r="V38" s="23">
        <v>15877304</v>
      </c>
      <c r="W38" s="24">
        <v>77.427518750000004</v>
      </c>
      <c r="X38" s="24">
        <v>80.182268750000006</v>
      </c>
      <c r="Y38" s="24">
        <v>39.701293749999998</v>
      </c>
      <c r="Z38" s="24">
        <v>44.545281250000002</v>
      </c>
      <c r="AA38" s="24">
        <v>47.796296875000003</v>
      </c>
      <c r="AB38" s="25">
        <v>6507.06</v>
      </c>
      <c r="AC38" s="25">
        <v>0</v>
      </c>
      <c r="AD38" s="25">
        <v>135.50800000000001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41.252122499999999</v>
      </c>
      <c r="J39" s="30">
        <f t="shared" si="1"/>
        <v>0.13206330624683213</v>
      </c>
      <c r="K39" s="30">
        <f t="shared" si="2"/>
        <v>3.8427388347577744E-2</v>
      </c>
      <c r="L39" s="30">
        <f t="shared" si="3"/>
        <v>2.9594584499328551E-2</v>
      </c>
      <c r="M39" s="30">
        <f t="shared" si="4"/>
        <v>9.3635917899254378E-2</v>
      </c>
      <c r="N39" s="27">
        <f t="shared" si="5"/>
        <v>12803648</v>
      </c>
      <c r="O39" s="30">
        <v>16</v>
      </c>
      <c r="P39" s="31">
        <v>82029822</v>
      </c>
      <c r="Q39" s="31">
        <v>2563431.9375</v>
      </c>
      <c r="R39" s="31">
        <v>18624.8125</v>
      </c>
      <c r="S39" s="32">
        <v>44002264</v>
      </c>
      <c r="T39" s="32">
        <v>9860640</v>
      </c>
      <c r="U39" s="32">
        <v>2943008</v>
      </c>
      <c r="V39" s="32">
        <v>31198616</v>
      </c>
      <c r="W39" s="33">
        <v>78.321349999999995</v>
      </c>
      <c r="X39" s="33">
        <v>81.871643750000004</v>
      </c>
      <c r="Y39" s="33">
        <v>41.292031250000001</v>
      </c>
      <c r="Z39" s="33">
        <v>45.5426</v>
      </c>
      <c r="AA39" s="33">
        <v>49.12885</v>
      </c>
      <c r="AB39" s="34">
        <v>6978.21</v>
      </c>
      <c r="AC39" s="34">
        <v>0</v>
      </c>
      <c r="AD39" s="34">
        <v>130.911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4.4209431274910532E-2</v>
      </c>
      <c r="K40" s="48">
        <f>AVERAGE(K5:K24)</f>
        <v>1.3836843488876982E-2</v>
      </c>
      <c r="L40" s="48">
        <f>AVERAGE(L5:L24)</f>
        <v>9.7004276488946439E-3</v>
      </c>
      <c r="M40" s="48">
        <f>AVERAGE(M5:M24)</f>
        <v>3.037258778603355E-2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7.9844483409552997E-2</v>
      </c>
      <c r="K41" s="48">
        <f>AVERAGE(K25:K29)</f>
        <v>1.2344315147820499E-2</v>
      </c>
      <c r="L41" s="48">
        <f>AVERAGE(L25:L29)</f>
        <v>9.1014610935525563E-3</v>
      </c>
      <c r="M41" s="48">
        <f>AVERAGE(M25:M29)</f>
        <v>6.7500168261732482E-2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5.4200299573466129E-2</v>
      </c>
      <c r="K42" s="48">
        <f>AVERAGE(K30:K39)</f>
        <v>1.9713164465997187E-2</v>
      </c>
      <c r="L42" s="48">
        <f>AVERAGE(L30:L39)</f>
        <v>1.484202399611716E-2</v>
      </c>
      <c r="M42" s="48">
        <f>AVERAGE(M30:M39)</f>
        <v>3.4487135107468946E-2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5.21546868080182E-2</v>
      </c>
      <c r="K43" s="48">
        <f>AVERAGE(K5:K39)</f>
        <v>1.5302574005046116E-2</v>
      </c>
      <c r="L43" s="48">
        <f>AVERAGE(L5:L39)</f>
        <v>1.1083888525909349E-2</v>
      </c>
      <c r="M43" s="48">
        <f>AVERAGE(M5:M39)</f>
        <v>3.6852112802972084E-2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133008.12999999998</v>
      </c>
      <c r="AC44" s="49">
        <f>SUM(AC5:AC24,AC25:AC29,AC30:AC39)</f>
        <v>0</v>
      </c>
      <c r="AD44" s="49">
        <f>SUM(AD5:AD24,AD25:AD29,AD30:AD39)</f>
        <v>2445.8889999999997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3444.082211931388</v>
      </c>
      <c r="AC46" s="49" t="e">
        <f>GEOMEAN(AC5:AC24,AC25:AC29,AC30:AC39)</f>
        <v>#NUM!</v>
      </c>
      <c r="AD46" s="49">
        <f>GEOMEAN(AD5:AD24,AD25:AD29,AD30:AD39)</f>
        <v>60.512392993814409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33" sqref="AR33"/>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ALL_master+r130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1.7207732563990052E-2</v>
      </c>
      <c r="I5" s="11">
        <f t="shared" ref="I5:I11" si="1">IF(OR(ISBLANK(Q5),ISBLANK(F5)),"·",Q5*F5/E5/1000000)</f>
        <v>207.45919499999999</v>
      </c>
      <c r="J5" s="12">
        <f t="shared" ref="J5:J11" si="2">IF(ISBLANK(Q5),"·",Q5/C5)</f>
        <v>0.92921755845546283</v>
      </c>
      <c r="K5" s="12">
        <f t="shared" ref="K5:K11" si="3">IF(N5="","·",N5/C5)</f>
        <v>0.14055415183680026</v>
      </c>
      <c r="L5" s="12">
        <f t="shared" ref="L5:L11" si="4">IF(R5="","·",R5/C5)</f>
        <v>0.13165414713339074</v>
      </c>
      <c r="M5" s="12">
        <f t="shared" ref="M5:M11" si="5">IF(ISBLANK(T5),"·",T5/C5)</f>
        <v>0.78866340661866252</v>
      </c>
      <c r="N5" s="54">
        <f t="shared" ref="N5:N11" si="6">IF(OR(ISBLANK(R5),ISBLANK(S5)),"",R5+S5)</f>
        <v>33472464</v>
      </c>
      <c r="O5" s="12">
        <v>16</v>
      </c>
      <c r="P5" s="13">
        <v>24964341</v>
      </c>
      <c r="Q5" s="14">
        <v>221289808</v>
      </c>
      <c r="R5" s="14">
        <v>31352960</v>
      </c>
      <c r="S5" s="14">
        <v>2119504</v>
      </c>
      <c r="T5" s="14">
        <v>187817344</v>
      </c>
      <c r="U5" s="15" t="s">
        <v>571</v>
      </c>
      <c r="V5" s="15" t="s">
        <v>571</v>
      </c>
      <c r="W5" s="15" t="s">
        <v>571</v>
      </c>
      <c r="X5" s="15" t="s">
        <v>571</v>
      </c>
      <c r="Y5" s="15" t="s">
        <v>571</v>
      </c>
      <c r="Z5" s="16">
        <v>6499.63</v>
      </c>
      <c r="AA5" s="16">
        <v>0</v>
      </c>
      <c r="AB5" s="16">
        <v>37.9</v>
      </c>
      <c r="AC5" s="16">
        <v>0</v>
      </c>
      <c r="AE5" s="17">
        <f t="shared" ref="AE5:AE11" si="7">IF(ISBLANK(Q5),"·",Q5/(C5*(D5*3+IF(AND(ISNUMBER(T5),T5&gt;0),24,0))))</f>
        <v>1.7207732563990052E-2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2.4581077303379335E-2</v>
      </c>
      <c r="I6" s="20">
        <f t="shared" si="1"/>
        <v>271.43378999999999</v>
      </c>
      <c r="J6" s="21">
        <f t="shared" si="2"/>
        <v>1.327378174382484</v>
      </c>
      <c r="K6" s="21">
        <f t="shared" si="3"/>
        <v>0.17157224879546579</v>
      </c>
      <c r="L6" s="21">
        <f t="shared" si="4"/>
        <v>0.15634416752495844</v>
      </c>
      <c r="M6" s="21">
        <f t="shared" si="5"/>
        <v>1.1558059255870183</v>
      </c>
      <c r="N6" s="18">
        <f t="shared" si="6"/>
        <v>37423552</v>
      </c>
      <c r="O6" s="21">
        <v>16</v>
      </c>
      <c r="P6" s="22">
        <v>22654789</v>
      </c>
      <c r="Q6" s="23">
        <v>289529376</v>
      </c>
      <c r="R6" s="23">
        <v>34101984</v>
      </c>
      <c r="S6" s="23">
        <v>3321568</v>
      </c>
      <c r="T6" s="23">
        <v>252105824</v>
      </c>
      <c r="U6" s="24" t="s">
        <v>571</v>
      </c>
      <c r="V6" s="24" t="s">
        <v>571</v>
      </c>
      <c r="W6" s="24" t="s">
        <v>571</v>
      </c>
      <c r="X6" s="24" t="s">
        <v>571</v>
      </c>
      <c r="Y6" s="24" t="s">
        <v>571</v>
      </c>
      <c r="Z6" s="25">
        <v>6339.73</v>
      </c>
      <c r="AA6" s="25">
        <v>0</v>
      </c>
      <c r="AB6" s="25">
        <v>34.255000000000003</v>
      </c>
      <c r="AC6" s="25">
        <v>0</v>
      </c>
      <c r="AE6" s="26">
        <f t="shared" si="7"/>
        <v>2.4581077303379335E-2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1.941891739612004E-2</v>
      </c>
      <c r="I7" s="11">
        <f t="shared" si="1"/>
        <v>317.13235500000002</v>
      </c>
      <c r="J7" s="12">
        <f t="shared" si="2"/>
        <v>1.0486215393904823</v>
      </c>
      <c r="K7" s="12">
        <f t="shared" si="3"/>
        <v>0.16732509230982773</v>
      </c>
      <c r="L7" s="12">
        <f t="shared" si="4"/>
        <v>0.15458328453037051</v>
      </c>
      <c r="M7" s="12">
        <f t="shared" si="5"/>
        <v>0.88129644708065447</v>
      </c>
      <c r="N7" s="54">
        <f t="shared" si="6"/>
        <v>53977352</v>
      </c>
      <c r="O7" s="12">
        <v>16</v>
      </c>
      <c r="P7" s="13">
        <v>33947718</v>
      </c>
      <c r="Q7" s="14">
        <v>338274512</v>
      </c>
      <c r="R7" s="14">
        <v>49866976</v>
      </c>
      <c r="S7" s="14">
        <v>4110376</v>
      </c>
      <c r="T7" s="14">
        <v>284297160</v>
      </c>
      <c r="U7" s="15" t="s">
        <v>571</v>
      </c>
      <c r="V7" s="15" t="s">
        <v>571</v>
      </c>
      <c r="W7" s="15" t="s">
        <v>571</v>
      </c>
      <c r="X7" s="15" t="s">
        <v>571</v>
      </c>
      <c r="Y7" s="15" t="s">
        <v>571</v>
      </c>
      <c r="Z7" s="16">
        <v>8959.91</v>
      </c>
      <c r="AA7" s="16">
        <v>0</v>
      </c>
      <c r="AB7" s="16">
        <v>42.347000000000001</v>
      </c>
      <c r="AC7" s="16">
        <v>0</v>
      </c>
      <c r="AE7" s="17">
        <f t="shared" si="7"/>
        <v>1.941891739612004E-2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1.9324278266207234E-2</v>
      </c>
      <c r="I8" s="39">
        <f t="shared" si="1"/>
        <v>408.60449999999997</v>
      </c>
      <c r="J8" s="40">
        <f t="shared" si="2"/>
        <v>1.0435110263751906</v>
      </c>
      <c r="K8" s="40">
        <f t="shared" si="3"/>
        <v>0.15718797114754754</v>
      </c>
      <c r="L8" s="40">
        <f t="shared" si="4"/>
        <v>0.13711273586225309</v>
      </c>
      <c r="M8" s="40">
        <f t="shared" si="5"/>
        <v>0.88632305522764299</v>
      </c>
      <c r="N8" s="37">
        <f t="shared" si="6"/>
        <v>39391760</v>
      </c>
      <c r="O8" s="40">
        <v>16</v>
      </c>
      <c r="P8" s="41">
        <v>32209643</v>
      </c>
      <c r="Q8" s="42">
        <v>261506880</v>
      </c>
      <c r="R8" s="42">
        <v>34360848</v>
      </c>
      <c r="S8" s="42">
        <v>5030912</v>
      </c>
      <c r="T8" s="42">
        <v>222115120</v>
      </c>
      <c r="U8" s="43" t="s">
        <v>571</v>
      </c>
      <c r="V8" s="43" t="s">
        <v>571</v>
      </c>
      <c r="W8" s="43" t="s">
        <v>571</v>
      </c>
      <c r="X8" s="43" t="s">
        <v>571</v>
      </c>
      <c r="Y8" s="43" t="s">
        <v>571</v>
      </c>
      <c r="Z8" s="44">
        <v>6906.82</v>
      </c>
      <c r="AA8" s="44">
        <v>0</v>
      </c>
      <c r="AB8" s="44">
        <v>36.148000000000003</v>
      </c>
      <c r="AC8" s="44">
        <v>0</v>
      </c>
      <c r="AE8" s="46">
        <f t="shared" si="7"/>
        <v>1.9324278266207234E-2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2.7983096659605206E-2</v>
      </c>
      <c r="I9" s="29">
        <f t="shared" si="1"/>
        <v>354.57838500000003</v>
      </c>
      <c r="J9" s="30">
        <f t="shared" si="2"/>
        <v>1.5110872196186811</v>
      </c>
      <c r="K9" s="30">
        <f t="shared" si="3"/>
        <v>0.14715559444271151</v>
      </c>
      <c r="L9" s="30">
        <f t="shared" si="4"/>
        <v>0.13754164283108614</v>
      </c>
      <c r="M9" s="30">
        <f t="shared" si="5"/>
        <v>1.3639316251759697</v>
      </c>
      <c r="N9" s="27">
        <f t="shared" si="6"/>
        <v>36832248</v>
      </c>
      <c r="O9" s="30">
        <v>16</v>
      </c>
      <c r="P9" s="31">
        <v>25312408</v>
      </c>
      <c r="Q9" s="32">
        <v>378216944</v>
      </c>
      <c r="R9" s="32">
        <v>34425928</v>
      </c>
      <c r="S9" s="32">
        <v>2406320</v>
      </c>
      <c r="T9" s="32">
        <v>341384696</v>
      </c>
      <c r="U9" s="33" t="s">
        <v>571</v>
      </c>
      <c r="V9" s="33" t="s">
        <v>571</v>
      </c>
      <c r="W9" s="33" t="s">
        <v>571</v>
      </c>
      <c r="X9" s="33" t="s">
        <v>571</v>
      </c>
      <c r="Y9" s="33" t="s">
        <v>571</v>
      </c>
      <c r="Z9" s="34">
        <v>6184.71</v>
      </c>
      <c r="AA9" s="34">
        <v>0</v>
      </c>
      <c r="AB9" s="34">
        <v>36.450000000000003</v>
      </c>
      <c r="AC9" s="34">
        <v>0</v>
      </c>
      <c r="AE9" s="36">
        <f t="shared" si="7"/>
        <v>2.7983096659605206E-2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4.2388455942934118E-2</v>
      </c>
      <c r="I10" s="20">
        <f t="shared" si="1"/>
        <v>850.382025</v>
      </c>
      <c r="J10" s="21">
        <f t="shared" si="2"/>
        <v>2.4161419887472446</v>
      </c>
      <c r="K10" s="21">
        <f t="shared" si="3"/>
        <v>0.2667514855840874</v>
      </c>
      <c r="L10" s="21">
        <f t="shared" si="4"/>
        <v>0.25448560508510121</v>
      </c>
      <c r="M10" s="21">
        <f t="shared" si="5"/>
        <v>2.1493905031631573</v>
      </c>
      <c r="N10" s="18">
        <f t="shared" si="6"/>
        <v>100144520</v>
      </c>
      <c r="O10" s="21">
        <v>16</v>
      </c>
      <c r="P10" s="22">
        <v>92854683</v>
      </c>
      <c r="Q10" s="23">
        <v>907074160</v>
      </c>
      <c r="R10" s="23">
        <v>95539632</v>
      </c>
      <c r="S10" s="23">
        <v>4604888</v>
      </c>
      <c r="T10" s="23">
        <v>806929640</v>
      </c>
      <c r="U10" s="24" t="s">
        <v>571</v>
      </c>
      <c r="V10" s="24" t="s">
        <v>571</v>
      </c>
      <c r="W10" s="24" t="s">
        <v>571</v>
      </c>
      <c r="X10" s="24" t="s">
        <v>571</v>
      </c>
      <c r="Y10" s="24" t="s">
        <v>571</v>
      </c>
      <c r="Z10" s="25">
        <v>19624.3</v>
      </c>
      <c r="AA10" s="25">
        <v>0</v>
      </c>
      <c r="AB10" s="25">
        <v>112.256</v>
      </c>
      <c r="AC10" s="25">
        <v>0</v>
      </c>
      <c r="AE10" s="26">
        <f t="shared" si="7"/>
        <v>4.2388455942934118E-2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4.3560122919344399E-2</v>
      </c>
      <c r="I11" s="29">
        <f t="shared" si="1"/>
        <v>775.58264999999994</v>
      </c>
      <c r="J11" s="30">
        <f t="shared" si="2"/>
        <v>2.482927006402631</v>
      </c>
      <c r="K11" s="30">
        <f t="shared" si="3"/>
        <v>0.28579571741874216</v>
      </c>
      <c r="L11" s="30">
        <f t="shared" si="4"/>
        <v>0.27160379622733094</v>
      </c>
      <c r="M11" s="30">
        <f t="shared" si="5"/>
        <v>2.1971312889838885</v>
      </c>
      <c r="N11" s="27">
        <f t="shared" si="6"/>
        <v>95224472</v>
      </c>
      <c r="O11" s="30">
        <v>16</v>
      </c>
      <c r="P11" s="31">
        <v>83104648</v>
      </c>
      <c r="Q11" s="32">
        <v>827288160</v>
      </c>
      <c r="R11" s="32">
        <v>90495856</v>
      </c>
      <c r="S11" s="32">
        <v>4728616</v>
      </c>
      <c r="T11" s="32">
        <v>732063688</v>
      </c>
      <c r="U11" s="33" t="s">
        <v>571</v>
      </c>
      <c r="V11" s="33" t="s">
        <v>571</v>
      </c>
      <c r="W11" s="33" t="s">
        <v>571</v>
      </c>
      <c r="X11" s="33" t="s">
        <v>571</v>
      </c>
      <c r="Y11" s="33" t="s">
        <v>571</v>
      </c>
      <c r="Z11" s="34">
        <v>18088.5</v>
      </c>
      <c r="AA11" s="34">
        <v>0</v>
      </c>
      <c r="AB11" s="34">
        <v>102.85899999999999</v>
      </c>
      <c r="AC11" s="34">
        <v>0</v>
      </c>
      <c r="AE11" s="36">
        <f t="shared" si="7"/>
        <v>4.3560122919344399E-2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1.0871820746509049</v>
      </c>
      <c r="K12" s="48">
        <f>AVERAGE(K5:K8)</f>
        <v>0.15915986602241033</v>
      </c>
      <c r="L12" s="48">
        <f>AVERAGE(L5:L8)</f>
        <v>0.1449235837627432</v>
      </c>
      <c r="M12" s="48">
        <f>AVERAGE(M5:M8)</f>
        <v>0.9280222086284946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1.5110872196186811</v>
      </c>
      <c r="K13" s="48">
        <f>AVERAGE(K9:K9)</f>
        <v>0.14715559444271151</v>
      </c>
      <c r="L13" s="48">
        <f>AVERAGE(L9:L9)</f>
        <v>0.13754164283108614</v>
      </c>
      <c r="M13" s="48">
        <f>AVERAGE(M9:M9)</f>
        <v>1.3639316251759697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2.4495344975749376</v>
      </c>
      <c r="K14" s="48">
        <f>AVERAGE(K10:K11)</f>
        <v>0.27627360150141478</v>
      </c>
      <c r="L14" s="48">
        <f>AVERAGE(L10:L11)</f>
        <v>0.2630447006562161</v>
      </c>
      <c r="M14" s="48">
        <f>AVERAGE(M10:M11)</f>
        <v>2.1732608960735229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1.5369835019103111</v>
      </c>
      <c r="K15" s="48">
        <f>AVERAGE(K5:K11)</f>
        <v>0.19090603736216893</v>
      </c>
      <c r="L15" s="48">
        <f>AVERAGE(L5:L11)</f>
        <v>0.17761791131349874</v>
      </c>
      <c r="M15" s="48">
        <f>AVERAGE(M5:M11)</f>
        <v>1.3460774645481419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72603.600000000006</v>
      </c>
      <c r="AA16" s="49">
        <f>SUM(AA5:AA8,AA9:AA9,AA10:AA11)</f>
        <v>0</v>
      </c>
      <c r="AB16" s="49">
        <f>SUM(AB5:AB8,AB9:AB9,AB10:AB11)</f>
        <v>402.21499999999997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9204.6690603319621</v>
      </c>
      <c r="AA18" s="49" t="e">
        <f>GEOMEAN(AA5:AA8,AA9:AA9,AA10:AA11)</f>
        <v>#NUM!</v>
      </c>
      <c r="AB18" s="49">
        <f>GEOMEAN(AB5:AB8,AB9:AB9,AB10:AB11)</f>
        <v>50.489699440669447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22" sqref="AR22"/>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ALL_master+r130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1.7040407534689685E-2</v>
      </c>
      <c r="I5" s="11">
        <f t="shared" ref="I5:I11" si="1">IF(OR(ISBLANK(Q5),ISBLANK(F5)),"·",Q5*F5/E5/1000000)</f>
        <v>205.44189750000001</v>
      </c>
      <c r="J5" s="12">
        <f t="shared" ref="J5:J11" si="2">IF(ISBLANK(Q5),"·",Q5/C5)</f>
        <v>0.92018200687324292</v>
      </c>
      <c r="K5" s="12">
        <f t="shared" ref="K5:K11" si="3">IF(N5="","·",N5/C5)</f>
        <v>0.13655815594534876</v>
      </c>
      <c r="L5" s="12">
        <f t="shared" ref="L5:L11" si="4">IF(R5="","·",R5/C5)</f>
        <v>0.1276869066640611</v>
      </c>
      <c r="M5" s="12">
        <f t="shared" ref="M5:M11" si="5">IF(ISBLANK(T5),"·",T5/C5)</f>
        <v>0.78362385092789422</v>
      </c>
      <c r="N5" s="54">
        <f t="shared" ref="N5:N11" si="6">IF(OR(ISBLANK(R5),ISBLANK(S5)),"",R5+S5)</f>
        <v>32520832</v>
      </c>
      <c r="O5" s="12">
        <v>16</v>
      </c>
      <c r="P5" s="13">
        <v>24964341</v>
      </c>
      <c r="Q5" s="14">
        <v>219138024</v>
      </c>
      <c r="R5" s="14">
        <v>30408176</v>
      </c>
      <c r="S5" s="14">
        <v>2112656</v>
      </c>
      <c r="T5" s="14">
        <v>186617192</v>
      </c>
      <c r="U5" s="15" t="s">
        <v>571</v>
      </c>
      <c r="V5" s="15" t="s">
        <v>571</v>
      </c>
      <c r="W5" s="15" t="s">
        <v>571</v>
      </c>
      <c r="X5" s="15" t="s">
        <v>571</v>
      </c>
      <c r="Y5" s="15" t="s">
        <v>571</v>
      </c>
      <c r="Z5" s="16">
        <v>7751.52</v>
      </c>
      <c r="AA5" s="16">
        <v>0</v>
      </c>
      <c r="AB5" s="16">
        <v>30.765000000000001</v>
      </c>
      <c r="AC5" s="16">
        <v>0</v>
      </c>
      <c r="AE5" s="17">
        <f t="shared" ref="AE5:AE11" si="7">IF(ISBLANK(Q5),"·",Q5/(C5*(D5*3+IF(AND(ISNUMBER(T5),T5&gt;0),24,0))))</f>
        <v>1.7040407534689685E-2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2.4455930458739669E-2</v>
      </c>
      <c r="I6" s="20">
        <f t="shared" si="1"/>
        <v>270.05187000000001</v>
      </c>
      <c r="J6" s="21">
        <f t="shared" si="2"/>
        <v>1.320620244771942</v>
      </c>
      <c r="K6" s="21">
        <f t="shared" si="3"/>
        <v>0.17090117247727757</v>
      </c>
      <c r="L6" s="21">
        <f t="shared" si="4"/>
        <v>0.15521837162471319</v>
      </c>
      <c r="M6" s="21">
        <f t="shared" si="5"/>
        <v>1.1497190722946644</v>
      </c>
      <c r="N6" s="18">
        <f t="shared" si="6"/>
        <v>37277176</v>
      </c>
      <c r="O6" s="21">
        <v>16</v>
      </c>
      <c r="P6" s="22">
        <v>22654789</v>
      </c>
      <c r="Q6" s="23">
        <v>288055328</v>
      </c>
      <c r="R6" s="23">
        <v>33856424</v>
      </c>
      <c r="S6" s="23">
        <v>3420752</v>
      </c>
      <c r="T6" s="23">
        <v>250778152</v>
      </c>
      <c r="U6" s="24" t="s">
        <v>571</v>
      </c>
      <c r="V6" s="24" t="s">
        <v>571</v>
      </c>
      <c r="W6" s="24" t="s">
        <v>571</v>
      </c>
      <c r="X6" s="24" t="s">
        <v>571</v>
      </c>
      <c r="Y6" s="24" t="s">
        <v>571</v>
      </c>
      <c r="Z6" s="25">
        <v>9325.2099999999991</v>
      </c>
      <c r="AA6" s="25">
        <v>0</v>
      </c>
      <c r="AB6" s="25">
        <v>31.277000000000001</v>
      </c>
      <c r="AC6" s="25">
        <v>0</v>
      </c>
      <c r="AE6" s="26">
        <f t="shared" si="7"/>
        <v>2.4455930458739669E-2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1.8793212597042121E-2</v>
      </c>
      <c r="I7" s="11">
        <f t="shared" si="1"/>
        <v>306.913905</v>
      </c>
      <c r="J7" s="12">
        <f t="shared" si="2"/>
        <v>1.0148334802402745</v>
      </c>
      <c r="K7" s="12">
        <f t="shared" si="3"/>
        <v>0.14885295905166274</v>
      </c>
      <c r="L7" s="12">
        <f t="shared" si="4"/>
        <v>0.13703614049628812</v>
      </c>
      <c r="M7" s="12">
        <f t="shared" si="5"/>
        <v>0.8659805211886118</v>
      </c>
      <c r="N7" s="54">
        <f t="shared" si="6"/>
        <v>48018432</v>
      </c>
      <c r="O7" s="12">
        <v>16</v>
      </c>
      <c r="P7" s="13">
        <v>33947718</v>
      </c>
      <c r="Q7" s="14">
        <v>327374832</v>
      </c>
      <c r="R7" s="14">
        <v>44206448</v>
      </c>
      <c r="S7" s="14">
        <v>3811984</v>
      </c>
      <c r="T7" s="14">
        <v>279356400</v>
      </c>
      <c r="U7" s="15" t="s">
        <v>571</v>
      </c>
      <c r="V7" s="15" t="s">
        <v>571</v>
      </c>
      <c r="W7" s="15" t="s">
        <v>571</v>
      </c>
      <c r="X7" s="15" t="s">
        <v>571</v>
      </c>
      <c r="Y7" s="15" t="s">
        <v>571</v>
      </c>
      <c r="Z7" s="16">
        <v>10464.9</v>
      </c>
      <c r="AA7" s="16">
        <v>0</v>
      </c>
      <c r="AB7" s="16">
        <v>38.308</v>
      </c>
      <c r="AC7" s="16">
        <v>0</v>
      </c>
      <c r="AE7" s="17">
        <f t="shared" si="7"/>
        <v>1.8793212597042121E-2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1.7297777450767864E-2</v>
      </c>
      <c r="I8" s="39">
        <f t="shared" si="1"/>
        <v>365.75491249999999</v>
      </c>
      <c r="J8" s="40">
        <f t="shared" si="2"/>
        <v>0.93407998234146472</v>
      </c>
      <c r="K8" s="40">
        <f t="shared" si="3"/>
        <v>0.10944888899944893</v>
      </c>
      <c r="L8" s="40">
        <f t="shared" si="4"/>
        <v>9.6235825148561438E-2</v>
      </c>
      <c r="M8" s="40">
        <f t="shared" si="5"/>
        <v>0.82463109334201579</v>
      </c>
      <c r="N8" s="37">
        <f t="shared" si="6"/>
        <v>27428208</v>
      </c>
      <c r="O8" s="40">
        <v>16</v>
      </c>
      <c r="P8" s="41">
        <v>32209643</v>
      </c>
      <c r="Q8" s="42">
        <v>234083144</v>
      </c>
      <c r="R8" s="42">
        <v>24116976</v>
      </c>
      <c r="S8" s="42">
        <v>3311232</v>
      </c>
      <c r="T8" s="42">
        <v>206654936</v>
      </c>
      <c r="U8" s="43" t="s">
        <v>571</v>
      </c>
      <c r="V8" s="43" t="s">
        <v>571</v>
      </c>
      <c r="W8" s="43" t="s">
        <v>571</v>
      </c>
      <c r="X8" s="43" t="s">
        <v>571</v>
      </c>
      <c r="Y8" s="43" t="s">
        <v>571</v>
      </c>
      <c r="Z8" s="44">
        <v>8231.6200000000008</v>
      </c>
      <c r="AA8" s="44">
        <v>0</v>
      </c>
      <c r="AB8" s="44">
        <v>33.965000000000003</v>
      </c>
      <c r="AC8" s="44">
        <v>0</v>
      </c>
      <c r="AE8" s="46">
        <f t="shared" si="7"/>
        <v>1.7297777450767864E-2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2.7810621965440707E-2</v>
      </c>
      <c r="I9" s="29">
        <f t="shared" si="1"/>
        <v>352.39292999999998</v>
      </c>
      <c r="J9" s="30">
        <f t="shared" si="2"/>
        <v>1.5017735861337982</v>
      </c>
      <c r="K9" s="30">
        <f t="shared" si="3"/>
        <v>0.14676907389070051</v>
      </c>
      <c r="L9" s="30">
        <f t="shared" si="4"/>
        <v>0.13694154993734542</v>
      </c>
      <c r="M9" s="30">
        <f t="shared" si="5"/>
        <v>1.3550045122430976</v>
      </c>
      <c r="N9" s="27">
        <f t="shared" si="6"/>
        <v>36735504</v>
      </c>
      <c r="O9" s="30">
        <v>16</v>
      </c>
      <c r="P9" s="31">
        <v>25312408</v>
      </c>
      <c r="Q9" s="32">
        <v>375885792</v>
      </c>
      <c r="R9" s="32">
        <v>34275728</v>
      </c>
      <c r="S9" s="32">
        <v>2459776</v>
      </c>
      <c r="T9" s="32">
        <v>339150288</v>
      </c>
      <c r="U9" s="33" t="s">
        <v>571</v>
      </c>
      <c r="V9" s="33" t="s">
        <v>571</v>
      </c>
      <c r="W9" s="33" t="s">
        <v>571</v>
      </c>
      <c r="X9" s="33" t="s">
        <v>571</v>
      </c>
      <c r="Y9" s="33" t="s">
        <v>571</v>
      </c>
      <c r="Z9" s="34">
        <v>10188.9</v>
      </c>
      <c r="AA9" s="34">
        <v>0</v>
      </c>
      <c r="AB9" s="34">
        <v>37.798000000000002</v>
      </c>
      <c r="AC9" s="34">
        <v>0</v>
      </c>
      <c r="AE9" s="36">
        <f t="shared" si="7"/>
        <v>2.7810621965440707E-2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4.2346619761079209E-2</v>
      </c>
      <c r="I10" s="20">
        <f t="shared" si="1"/>
        <v>849.54272249999997</v>
      </c>
      <c r="J10" s="21">
        <f t="shared" si="2"/>
        <v>2.4137573263815151</v>
      </c>
      <c r="K10" s="21">
        <f t="shared" si="3"/>
        <v>0.26493022039894093</v>
      </c>
      <c r="L10" s="21">
        <f t="shared" si="4"/>
        <v>0.2524243969273246</v>
      </c>
      <c r="M10" s="21">
        <f t="shared" si="5"/>
        <v>2.1488271059825741</v>
      </c>
      <c r="N10" s="18">
        <f t="shared" si="6"/>
        <v>99460776</v>
      </c>
      <c r="O10" s="21">
        <v>16</v>
      </c>
      <c r="P10" s="22">
        <v>92854683</v>
      </c>
      <c r="Q10" s="23">
        <v>906178904</v>
      </c>
      <c r="R10" s="23">
        <v>94765808</v>
      </c>
      <c r="S10" s="23">
        <v>4694968</v>
      </c>
      <c r="T10" s="23">
        <v>806718128</v>
      </c>
      <c r="U10" s="24" t="s">
        <v>571</v>
      </c>
      <c r="V10" s="24" t="s">
        <v>571</v>
      </c>
      <c r="W10" s="24" t="s">
        <v>571</v>
      </c>
      <c r="X10" s="24" t="s">
        <v>571</v>
      </c>
      <c r="Y10" s="24" t="s">
        <v>571</v>
      </c>
      <c r="Z10" s="25">
        <v>32177.599999999999</v>
      </c>
      <c r="AA10" s="25">
        <v>0</v>
      </c>
      <c r="AB10" s="25">
        <v>109.444</v>
      </c>
      <c r="AC10" s="25">
        <v>0</v>
      </c>
      <c r="AE10" s="26">
        <f t="shared" si="7"/>
        <v>4.2346619761079209E-2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4.3553205011574954E-2</v>
      </c>
      <c r="I11" s="29">
        <f t="shared" si="1"/>
        <v>775.45947750000005</v>
      </c>
      <c r="J11" s="30">
        <f t="shared" si="2"/>
        <v>2.4825326856597725</v>
      </c>
      <c r="K11" s="30">
        <f t="shared" si="3"/>
        <v>0.28580645001157279</v>
      </c>
      <c r="L11" s="30">
        <f t="shared" si="4"/>
        <v>0.27120241646368454</v>
      </c>
      <c r="M11" s="30">
        <f t="shared" si="5"/>
        <v>2.1967262356481996</v>
      </c>
      <c r="N11" s="27">
        <f t="shared" si="6"/>
        <v>95228048</v>
      </c>
      <c r="O11" s="30">
        <v>16</v>
      </c>
      <c r="P11" s="31">
        <v>83104648</v>
      </c>
      <c r="Q11" s="32">
        <v>827156776</v>
      </c>
      <c r="R11" s="32">
        <v>90362120</v>
      </c>
      <c r="S11" s="32">
        <v>4865928</v>
      </c>
      <c r="T11" s="32">
        <v>731928728</v>
      </c>
      <c r="U11" s="33" t="s">
        <v>571</v>
      </c>
      <c r="V11" s="33" t="s">
        <v>571</v>
      </c>
      <c r="W11" s="33" t="s">
        <v>571</v>
      </c>
      <c r="X11" s="33" t="s">
        <v>571</v>
      </c>
      <c r="Y11" s="33" t="s">
        <v>571</v>
      </c>
      <c r="Z11" s="34">
        <v>33600.199999999997</v>
      </c>
      <c r="AA11" s="34">
        <v>0</v>
      </c>
      <c r="AB11" s="34">
        <v>98.334000000000003</v>
      </c>
      <c r="AC11" s="34">
        <v>0</v>
      </c>
      <c r="AE11" s="36">
        <f t="shared" si="7"/>
        <v>4.3553205011574954E-2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1.0474289285567311</v>
      </c>
      <c r="K12" s="48">
        <f>AVERAGE(K5:K8)</f>
        <v>0.14144029411843451</v>
      </c>
      <c r="L12" s="48">
        <f>AVERAGE(L5:L8)</f>
        <v>0.12904431098340596</v>
      </c>
      <c r="M12" s="48">
        <f>AVERAGE(M5:M8)</f>
        <v>0.90598863443829658</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1.5017735861337982</v>
      </c>
      <c r="K13" s="48">
        <f>AVERAGE(K9:K9)</f>
        <v>0.14676907389070051</v>
      </c>
      <c r="L13" s="48">
        <f>AVERAGE(L9:L9)</f>
        <v>0.13694154993734542</v>
      </c>
      <c r="M13" s="48">
        <f>AVERAGE(M9:M9)</f>
        <v>1.3550045122430976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2.4481450060206438</v>
      </c>
      <c r="K14" s="48">
        <f>AVERAGE(K10:K11)</f>
        <v>0.27536833520525683</v>
      </c>
      <c r="L14" s="48">
        <f>AVERAGE(L10:L11)</f>
        <v>0.26181340669550457</v>
      </c>
      <c r="M14" s="48">
        <f>AVERAGE(M10:M11)</f>
        <v>2.1727766708153871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1.5125399017717156</v>
      </c>
      <c r="K15" s="48">
        <f>AVERAGE(K5:K11)</f>
        <v>0.18046670296785031</v>
      </c>
      <c r="L15" s="48">
        <f>AVERAGE(L5:L11)</f>
        <v>0.16810651532313978</v>
      </c>
      <c r="M15" s="48">
        <f>AVERAGE(M5:M11)</f>
        <v>1.3320731988038654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111739.95</v>
      </c>
      <c r="AA16" s="49">
        <f>SUM(AA5:AA8,AA9:AA9,AA10:AA11)</f>
        <v>0</v>
      </c>
      <c r="AB16" s="49">
        <f>SUM(AB5:AB8,AB9:AB9,AB10:AB11)</f>
        <v>379.89100000000002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13166.48395651138</v>
      </c>
      <c r="AA18" s="49" t="e">
        <f>GEOMEAN(AA5:AA8,AA9:AA9,AA10:AA11)</f>
        <v>#NUM!</v>
      </c>
      <c r="AB18" s="49">
        <f>GEOMEAN(AB5:AB8,AB9:AB9,AB10:AB11)</f>
        <v>47.035302510428551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Y53" sqref="AY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ALL_master+r130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1.052055</v>
      </c>
      <c r="J5" s="12">
        <f t="shared" ref="J5:J39" si="1">IF(ISBLANK(S5),"·",S5/D5)</f>
        <v>4.7121940218695143E-3</v>
      </c>
      <c r="K5" s="12">
        <f t="shared" ref="K5:K39" si="2">IF(N5="","·",N5/D5)</f>
        <v>4.1200204457433913E-3</v>
      </c>
      <c r="L5" s="12">
        <f t="shared" ref="L5:L39" si="3">IF(T5="","·",T5/D5)</f>
        <v>2.633035912771821E-3</v>
      </c>
      <c r="M5" s="12">
        <f t="shared" ref="M5:M39" si="4">IF(ISBLANK(V5),"·",V5/D5)</f>
        <v>5.9217357612612325E-4</v>
      </c>
      <c r="N5" s="54">
        <f t="shared" ref="N5:N39" si="5">IF(OR(ISBLANK(T5),ISBLANK(U5)),"",T5+U5)</f>
        <v>981168</v>
      </c>
      <c r="O5" s="12">
        <v>16</v>
      </c>
      <c r="P5" s="13">
        <v>23692128</v>
      </c>
      <c r="Q5" s="13">
        <v>740379</v>
      </c>
      <c r="R5" s="13">
        <v>17288.65625</v>
      </c>
      <c r="S5" s="14">
        <v>1122192</v>
      </c>
      <c r="T5" s="14">
        <v>627048</v>
      </c>
      <c r="U5" s="14">
        <v>354120</v>
      </c>
      <c r="V5" s="14">
        <v>141024</v>
      </c>
      <c r="W5" s="15">
        <v>66.884268750000004</v>
      </c>
      <c r="X5" s="15">
        <v>68.636793749999995</v>
      </c>
      <c r="Y5" s="15">
        <v>31.75198125</v>
      </c>
      <c r="Z5" s="15">
        <v>44.612749999999998</v>
      </c>
      <c r="AA5" s="15">
        <v>44.223821874999999</v>
      </c>
      <c r="AB5" s="16">
        <v>4879.4399999999996</v>
      </c>
      <c r="AC5" s="16">
        <v>0</v>
      </c>
      <c r="AD5" s="16">
        <v>37.271999999999998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1.3581525000000001</v>
      </c>
      <c r="J6" s="21">
        <f t="shared" si="1"/>
        <v>6.083216268433814E-3</v>
      </c>
      <c r="K6" s="21">
        <f t="shared" si="2"/>
        <v>4.99810219672823E-3</v>
      </c>
      <c r="L6" s="21">
        <f t="shared" si="3"/>
        <v>3.5111176637566597E-3</v>
      </c>
      <c r="M6" s="21">
        <f t="shared" si="4"/>
        <v>1.0851140717055838E-3</v>
      </c>
      <c r="N6" s="18">
        <f t="shared" si="5"/>
        <v>1190280</v>
      </c>
      <c r="O6" s="21">
        <v>16</v>
      </c>
      <c r="P6" s="22">
        <v>24701037</v>
      </c>
      <c r="Q6" s="22">
        <v>771907.40625</v>
      </c>
      <c r="R6" s="22">
        <v>20068</v>
      </c>
      <c r="S6" s="23">
        <v>1448696</v>
      </c>
      <c r="T6" s="23">
        <v>836160</v>
      </c>
      <c r="U6" s="23">
        <v>354120</v>
      </c>
      <c r="V6" s="23">
        <v>258416</v>
      </c>
      <c r="W6" s="24">
        <v>68.546018750000002</v>
      </c>
      <c r="X6" s="24">
        <v>70.637450000000001</v>
      </c>
      <c r="Y6" s="24">
        <v>33.860399999999998</v>
      </c>
      <c r="Z6" s="24">
        <v>45.447196875000003</v>
      </c>
      <c r="AA6" s="24">
        <v>45.140856249999999</v>
      </c>
      <c r="AB6" s="25">
        <v>4554.72</v>
      </c>
      <c r="AC6" s="25">
        <v>0</v>
      </c>
      <c r="AD6" s="25">
        <v>34.337000000000003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1.8594225</v>
      </c>
      <c r="J7" s="12">
        <f t="shared" si="1"/>
        <v>8.3284235031720472E-3</v>
      </c>
      <c r="K7" s="12">
        <f t="shared" si="2"/>
        <v>6.1469753702881012E-3</v>
      </c>
      <c r="L7" s="12">
        <f t="shared" si="3"/>
        <v>4.6599908373165314E-3</v>
      </c>
      <c r="M7" s="12">
        <f t="shared" si="4"/>
        <v>2.1814481328839455E-3</v>
      </c>
      <c r="N7" s="54">
        <f t="shared" si="5"/>
        <v>1463880</v>
      </c>
      <c r="O7" s="12">
        <v>16</v>
      </c>
      <c r="P7" s="13">
        <v>24903160</v>
      </c>
      <c r="Q7" s="13">
        <v>778223.75</v>
      </c>
      <c r="R7" s="13">
        <v>21295.71875</v>
      </c>
      <c r="S7" s="14">
        <v>1983384</v>
      </c>
      <c r="T7" s="14">
        <v>1109760</v>
      </c>
      <c r="U7" s="14">
        <v>354120</v>
      </c>
      <c r="V7" s="14">
        <v>519504</v>
      </c>
      <c r="W7" s="15">
        <v>69.834218750000005</v>
      </c>
      <c r="X7" s="15">
        <v>72.284884375000004</v>
      </c>
      <c r="Y7" s="15">
        <v>36.229993749999998</v>
      </c>
      <c r="Z7" s="15">
        <v>46.909218750000001</v>
      </c>
      <c r="AA7" s="15">
        <v>46.7233375</v>
      </c>
      <c r="AB7" s="16">
        <v>4772.43</v>
      </c>
      <c r="AC7" s="16">
        <v>0</v>
      </c>
      <c r="AD7" s="16">
        <v>35.241999999999997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3.0875249999999999</v>
      </c>
      <c r="J8" s="21">
        <f t="shared" si="1"/>
        <v>1.3829140916941294E-2</v>
      </c>
      <c r="K8" s="21">
        <f t="shared" si="2"/>
        <v>8.9324553316451477E-3</v>
      </c>
      <c r="L8" s="21">
        <f t="shared" si="3"/>
        <v>7.445470798673577E-3</v>
      </c>
      <c r="M8" s="21">
        <f t="shared" si="4"/>
        <v>4.8966855852961471E-3</v>
      </c>
      <c r="N8" s="18">
        <f t="shared" si="5"/>
        <v>2127232</v>
      </c>
      <c r="O8" s="21">
        <v>16</v>
      </c>
      <c r="P8" s="22">
        <v>25904948</v>
      </c>
      <c r="Q8" s="22">
        <v>809529.625</v>
      </c>
      <c r="R8" s="22">
        <v>24484.125</v>
      </c>
      <c r="S8" s="23">
        <v>3293360</v>
      </c>
      <c r="T8" s="23">
        <v>1773112</v>
      </c>
      <c r="U8" s="23">
        <v>354120</v>
      </c>
      <c r="V8" s="23">
        <v>1166128</v>
      </c>
      <c r="W8" s="24">
        <v>70.909125000000003</v>
      </c>
      <c r="X8" s="24">
        <v>73.473293749999996</v>
      </c>
      <c r="Y8" s="24">
        <v>38.688724999999998</v>
      </c>
      <c r="Z8" s="24">
        <v>48.180071875000003</v>
      </c>
      <c r="AA8" s="24">
        <v>48.078343750000002</v>
      </c>
      <c r="AB8" s="25">
        <v>5290.83</v>
      </c>
      <c r="AC8" s="25">
        <v>0</v>
      </c>
      <c r="AD8" s="25">
        <v>36.728000000000002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6.2714024999999998</v>
      </c>
      <c r="J9" s="30">
        <f t="shared" si="1"/>
        <v>2.8089848315190298E-2</v>
      </c>
      <c r="K9" s="30">
        <f t="shared" si="2"/>
        <v>1.5533403569403661E-2</v>
      </c>
      <c r="L9" s="30">
        <f t="shared" si="3"/>
        <v>1.2128304728329896E-2</v>
      </c>
      <c r="M9" s="30">
        <f t="shared" si="4"/>
        <v>1.2556444745786637E-2</v>
      </c>
      <c r="N9" s="27">
        <f t="shared" si="5"/>
        <v>3699224</v>
      </c>
      <c r="O9" s="30">
        <v>16</v>
      </c>
      <c r="P9" s="31">
        <v>24929633</v>
      </c>
      <c r="Q9" s="31">
        <v>779051.03125</v>
      </c>
      <c r="R9" s="31">
        <v>10646</v>
      </c>
      <c r="S9" s="32">
        <v>6689496</v>
      </c>
      <c r="T9" s="32">
        <v>2888312</v>
      </c>
      <c r="U9" s="32">
        <v>810912</v>
      </c>
      <c r="V9" s="32">
        <v>2990272</v>
      </c>
      <c r="W9" s="33">
        <v>71.948431249999999</v>
      </c>
      <c r="X9" s="33">
        <v>75.243146874999994</v>
      </c>
      <c r="Y9" s="33">
        <v>41.12033125</v>
      </c>
      <c r="Z9" s="33">
        <v>49.584375000000001</v>
      </c>
      <c r="AA9" s="33">
        <v>49.687881249999997</v>
      </c>
      <c r="AB9" s="34">
        <v>5762.23</v>
      </c>
      <c r="AC9" s="34">
        <v>0</v>
      </c>
      <c r="AD9" s="34">
        <v>35.978000000000002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1.9331624999999999</v>
      </c>
      <c r="J10" s="21">
        <f t="shared" si="1"/>
        <v>9.4536413835384272E-3</v>
      </c>
      <c r="K10" s="21">
        <f t="shared" si="2"/>
        <v>7.0960901643866486E-3</v>
      </c>
      <c r="L10" s="21">
        <f t="shared" si="3"/>
        <v>4.0882950776522722E-3</v>
      </c>
      <c r="M10" s="21">
        <f t="shared" si="4"/>
        <v>2.3575512191517782E-3</v>
      </c>
      <c r="N10" s="18">
        <f t="shared" si="5"/>
        <v>1547808</v>
      </c>
      <c r="O10" s="21">
        <v>16</v>
      </c>
      <c r="P10" s="22">
        <v>21010633</v>
      </c>
      <c r="Q10" s="22">
        <v>656582.28125</v>
      </c>
      <c r="R10" s="22">
        <v>18991.84375</v>
      </c>
      <c r="S10" s="23">
        <v>2062040</v>
      </c>
      <c r="T10" s="23">
        <v>891744</v>
      </c>
      <c r="U10" s="23">
        <v>656064</v>
      </c>
      <c r="V10" s="23">
        <v>514232</v>
      </c>
      <c r="W10" s="24">
        <v>65.981356250000005</v>
      </c>
      <c r="X10" s="24">
        <v>67.847628125</v>
      </c>
      <c r="Y10" s="24">
        <v>31.015684374999999</v>
      </c>
      <c r="Z10" s="24">
        <v>38.759784375000002</v>
      </c>
      <c r="AA10" s="24">
        <v>30.117090624999999</v>
      </c>
      <c r="AB10" s="25">
        <v>5202.55</v>
      </c>
      <c r="AC10" s="25">
        <v>0</v>
      </c>
      <c r="AD10" s="25">
        <v>33.686</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2.6494949999999999</v>
      </c>
      <c r="J11" s="12">
        <f t="shared" si="1"/>
        <v>1.2956683971201668E-2</v>
      </c>
      <c r="K11" s="12">
        <f t="shared" si="2"/>
        <v>8.7498126386058271E-3</v>
      </c>
      <c r="L11" s="12">
        <f t="shared" si="3"/>
        <v>5.7420175518714499E-3</v>
      </c>
      <c r="M11" s="12">
        <f t="shared" si="4"/>
        <v>4.2068713325958415E-3</v>
      </c>
      <c r="N11" s="54">
        <f t="shared" si="5"/>
        <v>1908520</v>
      </c>
      <c r="O11" s="12">
        <v>16</v>
      </c>
      <c r="P11" s="13">
        <v>22231592</v>
      </c>
      <c r="Q11" s="13">
        <v>694737.25</v>
      </c>
      <c r="R11" s="13">
        <v>23343.46875</v>
      </c>
      <c r="S11" s="14">
        <v>2826128</v>
      </c>
      <c r="T11" s="14">
        <v>1252456</v>
      </c>
      <c r="U11" s="14">
        <v>656064</v>
      </c>
      <c r="V11" s="14">
        <v>917608</v>
      </c>
      <c r="W11" s="15">
        <v>67.669937500000003</v>
      </c>
      <c r="X11" s="15">
        <v>69.741881250000006</v>
      </c>
      <c r="Y11" s="15">
        <v>32.857475000000001</v>
      </c>
      <c r="Z11" s="15">
        <v>39.657640624999999</v>
      </c>
      <c r="AA11" s="15">
        <v>32.276203125000002</v>
      </c>
      <c r="AB11" s="16">
        <v>5487.13</v>
      </c>
      <c r="AC11" s="16">
        <v>0</v>
      </c>
      <c r="AD11" s="16">
        <v>34.768999999999998</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3.7970475000000001</v>
      </c>
      <c r="J12" s="21">
        <f t="shared" si="1"/>
        <v>1.8568498706788034E-2</v>
      </c>
      <c r="K12" s="21">
        <f t="shared" si="2"/>
        <v>1.1241601127505042E-2</v>
      </c>
      <c r="L12" s="21">
        <f t="shared" si="3"/>
        <v>8.2338060407706644E-3</v>
      </c>
      <c r="M12" s="21">
        <f t="shared" si="4"/>
        <v>7.3268975792829937E-3</v>
      </c>
      <c r="N12" s="18">
        <f t="shared" si="5"/>
        <v>2452032</v>
      </c>
      <c r="O12" s="21">
        <v>16</v>
      </c>
      <c r="P12" s="22">
        <v>22533731</v>
      </c>
      <c r="Q12" s="22">
        <v>704179.09375</v>
      </c>
      <c r="R12" s="22">
        <v>24743.71875</v>
      </c>
      <c r="S12" s="23">
        <v>4050184</v>
      </c>
      <c r="T12" s="23">
        <v>1795968</v>
      </c>
      <c r="U12" s="23">
        <v>656064</v>
      </c>
      <c r="V12" s="23">
        <v>1598152</v>
      </c>
      <c r="W12" s="24">
        <v>68.980999999999995</v>
      </c>
      <c r="X12" s="24">
        <v>71.364709375000004</v>
      </c>
      <c r="Y12" s="24">
        <v>34.877781249999998</v>
      </c>
      <c r="Z12" s="24">
        <v>40.698321874999998</v>
      </c>
      <c r="AA12" s="24">
        <v>34.148456250000002</v>
      </c>
      <c r="AB12" s="25">
        <v>5769.05</v>
      </c>
      <c r="AC12" s="25">
        <v>0</v>
      </c>
      <c r="AD12" s="25">
        <v>35.356000000000002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6.1883549999999996</v>
      </c>
      <c r="J13" s="12">
        <f t="shared" si="1"/>
        <v>3.0262582128520982E-2</v>
      </c>
      <c r="K13" s="12">
        <f t="shared" si="2"/>
        <v>1.5929709404460479E-2</v>
      </c>
      <c r="L13" s="12">
        <f t="shared" si="3"/>
        <v>1.2921914317726102E-2</v>
      </c>
      <c r="M13" s="12">
        <f t="shared" si="4"/>
        <v>1.4332872724060503E-2</v>
      </c>
      <c r="N13" s="54">
        <f t="shared" si="5"/>
        <v>3474608</v>
      </c>
      <c r="O13" s="12">
        <v>16</v>
      </c>
      <c r="P13" s="13">
        <v>23333808</v>
      </c>
      <c r="Q13" s="13">
        <v>729181.5</v>
      </c>
      <c r="R13" s="13">
        <v>28094.8125</v>
      </c>
      <c r="S13" s="14">
        <v>6600912</v>
      </c>
      <c r="T13" s="14">
        <v>2818544</v>
      </c>
      <c r="U13" s="14">
        <v>656064</v>
      </c>
      <c r="V13" s="14">
        <v>3126304</v>
      </c>
      <c r="W13" s="15">
        <v>70.104118749999998</v>
      </c>
      <c r="X13" s="15">
        <v>72.629740624999997</v>
      </c>
      <c r="Y13" s="15">
        <v>37.063299999999998</v>
      </c>
      <c r="Z13" s="15">
        <v>41.710718749999998</v>
      </c>
      <c r="AA13" s="15">
        <v>36.097518749999999</v>
      </c>
      <c r="AB13" s="16">
        <v>6109.89</v>
      </c>
      <c r="AC13" s="16">
        <v>0</v>
      </c>
      <c r="AD13" s="16">
        <v>35.703000000000003</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12.1947525</v>
      </c>
      <c r="J14" s="40">
        <f t="shared" si="1"/>
        <v>5.9635347207494811E-2</v>
      </c>
      <c r="K14" s="40">
        <f t="shared" si="2"/>
        <v>2.6702213624842645E-2</v>
      </c>
      <c r="L14" s="40">
        <f t="shared" si="3"/>
        <v>2.0757556478612018E-2</v>
      </c>
      <c r="M14" s="40">
        <f t="shared" si="4"/>
        <v>3.2933133582652166E-2</v>
      </c>
      <c r="N14" s="37">
        <f t="shared" si="5"/>
        <v>5824320</v>
      </c>
      <c r="O14" s="40">
        <v>16</v>
      </c>
      <c r="P14" s="41">
        <v>22138009</v>
      </c>
      <c r="Q14" s="41">
        <v>691812.78125</v>
      </c>
      <c r="R14" s="41">
        <v>13346.5625</v>
      </c>
      <c r="S14" s="42">
        <v>13007736</v>
      </c>
      <c r="T14" s="42">
        <v>4527664</v>
      </c>
      <c r="U14" s="42">
        <v>1296656</v>
      </c>
      <c r="V14" s="42">
        <v>7183416</v>
      </c>
      <c r="W14" s="43">
        <v>70.909634374999996</v>
      </c>
      <c r="X14" s="43">
        <v>74.660718750000001</v>
      </c>
      <c r="Y14" s="43">
        <v>39.448806249999997</v>
      </c>
      <c r="Z14" s="43">
        <v>42.977103124999999</v>
      </c>
      <c r="AA14" s="43">
        <v>38.252503124999997</v>
      </c>
      <c r="AB14" s="44">
        <v>6643.08</v>
      </c>
      <c r="AC14" s="44">
        <v>0</v>
      </c>
      <c r="AD14" s="44">
        <v>37.058999999999997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1.6149225</v>
      </c>
      <c r="J15" s="12">
        <f t="shared" si="1"/>
        <v>5.3398604439030698E-3</v>
      </c>
      <c r="K15" s="12">
        <f t="shared" si="2"/>
        <v>4.4968825167464119E-3</v>
      </c>
      <c r="L15" s="12">
        <f t="shared" si="3"/>
        <v>2.3925872104089223E-3</v>
      </c>
      <c r="M15" s="12">
        <f t="shared" si="4"/>
        <v>8.4297792715665838E-4</v>
      </c>
      <c r="N15" s="54">
        <f t="shared" si="5"/>
        <v>1450648</v>
      </c>
      <c r="O15" s="12">
        <v>16</v>
      </c>
      <c r="P15" s="13">
        <v>32449704</v>
      </c>
      <c r="Q15" s="13">
        <v>1014053.25</v>
      </c>
      <c r="R15" s="13">
        <v>31893.9375</v>
      </c>
      <c r="S15" s="14">
        <v>1722584</v>
      </c>
      <c r="T15" s="14">
        <v>771824</v>
      </c>
      <c r="U15" s="14">
        <v>678824</v>
      </c>
      <c r="V15" s="14">
        <v>271936</v>
      </c>
      <c r="W15" s="15">
        <v>66.31821875</v>
      </c>
      <c r="X15" s="15">
        <v>67.870740624999996</v>
      </c>
      <c r="Y15" s="15">
        <v>29.276081250000001</v>
      </c>
      <c r="Z15" s="15">
        <v>43.339096875000003</v>
      </c>
      <c r="AA15" s="15">
        <v>43.597250000000003</v>
      </c>
      <c r="AB15" s="16">
        <v>4906.42</v>
      </c>
      <c r="AC15" s="16">
        <v>0</v>
      </c>
      <c r="AD15" s="16">
        <v>44.35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2.1099074999999998</v>
      </c>
      <c r="J16" s="21">
        <f t="shared" si="1"/>
        <v>6.9765648813143767E-3</v>
      </c>
      <c r="K16" s="21">
        <f t="shared" si="2"/>
        <v>5.411778424273578E-3</v>
      </c>
      <c r="L16" s="21">
        <f t="shared" si="3"/>
        <v>3.3074831179360888E-3</v>
      </c>
      <c r="M16" s="21">
        <f t="shared" si="4"/>
        <v>1.5647864570407987E-3</v>
      </c>
      <c r="N16" s="18">
        <f t="shared" si="5"/>
        <v>1745784</v>
      </c>
      <c r="O16" s="21">
        <v>16</v>
      </c>
      <c r="P16" s="22">
        <v>33687750</v>
      </c>
      <c r="Q16" s="22">
        <v>1052742.1875</v>
      </c>
      <c r="R16" s="22">
        <v>36252.375</v>
      </c>
      <c r="S16" s="23">
        <v>2250568</v>
      </c>
      <c r="T16" s="23">
        <v>1066960</v>
      </c>
      <c r="U16" s="23">
        <v>678824</v>
      </c>
      <c r="V16" s="23">
        <v>504784</v>
      </c>
      <c r="W16" s="24">
        <v>68.014846875000003</v>
      </c>
      <c r="X16" s="24">
        <v>70.014628125000002</v>
      </c>
      <c r="Y16" s="24">
        <v>31.575556250000002</v>
      </c>
      <c r="Z16" s="24">
        <v>44.024524999999997</v>
      </c>
      <c r="AA16" s="24">
        <v>44.307521874999999</v>
      </c>
      <c r="AB16" s="25">
        <v>5117.2299999999996</v>
      </c>
      <c r="AC16" s="25">
        <v>0</v>
      </c>
      <c r="AD16" s="25">
        <v>45.442999999999998</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2.9860799999999998</v>
      </c>
      <c r="J17" s="12">
        <f t="shared" si="1"/>
        <v>9.8736939229777769E-3</v>
      </c>
      <c r="K17" s="12">
        <f t="shared" si="2"/>
        <v>6.634235294750759E-3</v>
      </c>
      <c r="L17" s="12">
        <f t="shared" si="3"/>
        <v>4.529939988413269E-3</v>
      </c>
      <c r="M17" s="12">
        <f t="shared" si="4"/>
        <v>3.2394586282270188E-3</v>
      </c>
      <c r="N17" s="54">
        <f t="shared" si="5"/>
        <v>2140136</v>
      </c>
      <c r="O17" s="12">
        <v>16</v>
      </c>
      <c r="P17" s="13">
        <v>33827594</v>
      </c>
      <c r="Q17" s="13">
        <v>1057112.3125</v>
      </c>
      <c r="R17" s="13">
        <v>37441.25</v>
      </c>
      <c r="S17" s="14">
        <v>3185152</v>
      </c>
      <c r="T17" s="14">
        <v>1461312</v>
      </c>
      <c r="U17" s="14">
        <v>678824</v>
      </c>
      <c r="V17" s="14">
        <v>1045016</v>
      </c>
      <c r="W17" s="15">
        <v>69.352246875000006</v>
      </c>
      <c r="X17" s="15">
        <v>71.824134375</v>
      </c>
      <c r="Y17" s="15">
        <v>33.946993749999997</v>
      </c>
      <c r="Z17" s="15">
        <v>45.17235625</v>
      </c>
      <c r="AA17" s="15">
        <v>45.643025000000002</v>
      </c>
      <c r="AB17" s="16">
        <v>5356.67</v>
      </c>
      <c r="AC17" s="16">
        <v>0</v>
      </c>
      <c r="AD17" s="16">
        <v>45.29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5.2577550000000004</v>
      </c>
      <c r="J18" s="21">
        <f t="shared" si="1"/>
        <v>1.73851549831237E-2</v>
      </c>
      <c r="K18" s="21">
        <f t="shared" si="2"/>
        <v>9.874090711834994E-3</v>
      </c>
      <c r="L18" s="21">
        <f t="shared" si="3"/>
        <v>7.7697954054975048E-3</v>
      </c>
      <c r="M18" s="21">
        <f t="shared" si="4"/>
        <v>7.5110642712887081E-3</v>
      </c>
      <c r="N18" s="18">
        <f t="shared" si="5"/>
        <v>3185280</v>
      </c>
      <c r="O18" s="21">
        <v>16</v>
      </c>
      <c r="P18" s="22">
        <v>34900469</v>
      </c>
      <c r="Q18" s="22">
        <v>1090639.65625</v>
      </c>
      <c r="R18" s="22">
        <v>41535.15625</v>
      </c>
      <c r="S18" s="23">
        <v>5608272</v>
      </c>
      <c r="T18" s="23">
        <v>2506456</v>
      </c>
      <c r="U18" s="23">
        <v>678824</v>
      </c>
      <c r="V18" s="23">
        <v>2422992</v>
      </c>
      <c r="W18" s="24">
        <v>70.536618750000002</v>
      </c>
      <c r="X18" s="24">
        <v>73.133396875000003</v>
      </c>
      <c r="Y18" s="24">
        <v>36.295881250000001</v>
      </c>
      <c r="Z18" s="24">
        <v>46.443096875000002</v>
      </c>
      <c r="AA18" s="24">
        <v>46.9851125</v>
      </c>
      <c r="AB18" s="25">
        <v>5748.09</v>
      </c>
      <c r="AC18" s="25">
        <v>0</v>
      </c>
      <c r="AD18" s="25">
        <v>46.957999999999998</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11.378985</v>
      </c>
      <c r="J19" s="30">
        <f t="shared" si="1"/>
        <v>3.7625453786956572E-2</v>
      </c>
      <c r="K19" s="30">
        <f t="shared" si="2"/>
        <v>1.7417989261058375E-2</v>
      </c>
      <c r="L19" s="30">
        <f t="shared" si="3"/>
        <v>1.2825654224847795E-2</v>
      </c>
      <c r="M19" s="30">
        <f t="shared" si="4"/>
        <v>2.0207464525898198E-2</v>
      </c>
      <c r="N19" s="27">
        <f t="shared" si="5"/>
        <v>5618864</v>
      </c>
      <c r="O19" s="30">
        <v>16</v>
      </c>
      <c r="P19" s="31">
        <v>33005293</v>
      </c>
      <c r="Q19" s="31">
        <v>1031415.40625</v>
      </c>
      <c r="R19" s="31">
        <v>17821.6875</v>
      </c>
      <c r="S19" s="32">
        <v>12137584</v>
      </c>
      <c r="T19" s="32">
        <v>4137424</v>
      </c>
      <c r="U19" s="32">
        <v>1481440</v>
      </c>
      <c r="V19" s="32">
        <v>6518720</v>
      </c>
      <c r="W19" s="33">
        <v>71.179921875000005</v>
      </c>
      <c r="X19" s="33">
        <v>75.073774999999998</v>
      </c>
      <c r="Y19" s="33">
        <v>38.662796874999998</v>
      </c>
      <c r="Z19" s="33">
        <v>48.158562500000002</v>
      </c>
      <c r="AA19" s="33">
        <v>48.796384375000002</v>
      </c>
      <c r="AB19" s="34">
        <v>6337.19</v>
      </c>
      <c r="AC19" s="34">
        <v>0</v>
      </c>
      <c r="AD19" s="34">
        <v>43.076000000000001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1.9661625</v>
      </c>
      <c r="J20" s="21">
        <f t="shared" si="1"/>
        <v>5.0212668935251826E-3</v>
      </c>
      <c r="K20" s="21">
        <f t="shared" si="2"/>
        <v>3.9098990282598134E-3</v>
      </c>
      <c r="L20" s="21">
        <f t="shared" si="3"/>
        <v>2.3071082607742143E-3</v>
      </c>
      <c r="M20" s="21">
        <f t="shared" si="4"/>
        <v>1.1113678652653692E-3</v>
      </c>
      <c r="N20" s="18">
        <f t="shared" si="5"/>
        <v>979832</v>
      </c>
      <c r="O20" s="21">
        <v>16</v>
      </c>
      <c r="P20" s="22">
        <v>30276530</v>
      </c>
      <c r="Q20" s="22">
        <v>946141.5625</v>
      </c>
      <c r="R20" s="22">
        <v>28243.625</v>
      </c>
      <c r="S20" s="23">
        <v>1258344</v>
      </c>
      <c r="T20" s="23">
        <v>578168</v>
      </c>
      <c r="U20" s="23">
        <v>401664</v>
      </c>
      <c r="V20" s="23">
        <v>278512</v>
      </c>
      <c r="W20" s="24">
        <v>67.313171874999995</v>
      </c>
      <c r="X20" s="24">
        <v>69.047368750000004</v>
      </c>
      <c r="Y20" s="24">
        <v>30.001075</v>
      </c>
      <c r="Z20" s="24">
        <v>39.608259375000003</v>
      </c>
      <c r="AA20" s="24">
        <v>38.146409374999998</v>
      </c>
      <c r="AB20" s="25">
        <v>5034.3999999999996</v>
      </c>
      <c r="AC20" s="25">
        <v>0</v>
      </c>
      <c r="AD20" s="25">
        <v>42.51</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2.6490874999999998</v>
      </c>
      <c r="J21" s="12">
        <f t="shared" si="1"/>
        <v>6.7653489280776096E-3</v>
      </c>
      <c r="K21" s="12">
        <f t="shared" si="2"/>
        <v>4.6575360537241366E-3</v>
      </c>
      <c r="L21" s="12">
        <f t="shared" si="3"/>
        <v>3.0547452862385374E-3</v>
      </c>
      <c r="M21" s="12">
        <f t="shared" si="4"/>
        <v>2.1078128743534726E-3</v>
      </c>
      <c r="N21" s="54">
        <f t="shared" si="5"/>
        <v>1167192</v>
      </c>
      <c r="O21" s="12">
        <v>16</v>
      </c>
      <c r="P21" s="13">
        <v>31490570</v>
      </c>
      <c r="Q21" s="13">
        <v>984080.3125</v>
      </c>
      <c r="R21" s="13">
        <v>33475.375</v>
      </c>
      <c r="S21" s="14">
        <v>1695416</v>
      </c>
      <c r="T21" s="14">
        <v>765528</v>
      </c>
      <c r="U21" s="14">
        <v>401664</v>
      </c>
      <c r="V21" s="14">
        <v>528224</v>
      </c>
      <c r="W21" s="15">
        <v>68.918284374999999</v>
      </c>
      <c r="X21" s="15">
        <v>71.058824999999999</v>
      </c>
      <c r="Y21" s="15">
        <v>31.511781249999999</v>
      </c>
      <c r="Z21" s="15">
        <v>40.562375000000003</v>
      </c>
      <c r="AA21" s="15">
        <v>39.2956875</v>
      </c>
      <c r="AB21" s="16">
        <v>5078.84</v>
      </c>
      <c r="AC21" s="16">
        <v>0</v>
      </c>
      <c r="AD21" s="16">
        <v>43.44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4.0452750000000002</v>
      </c>
      <c r="J22" s="21">
        <f t="shared" si="1"/>
        <v>1.0330990156055302E-2</v>
      </c>
      <c r="K22" s="21">
        <f t="shared" si="2"/>
        <v>5.5594889366220443E-3</v>
      </c>
      <c r="L22" s="21">
        <f t="shared" si="3"/>
        <v>3.9566981691364442E-3</v>
      </c>
      <c r="M22" s="21">
        <f t="shared" si="4"/>
        <v>4.7715012194332589E-3</v>
      </c>
      <c r="N22" s="18">
        <f t="shared" si="5"/>
        <v>1393224</v>
      </c>
      <c r="O22" s="21">
        <v>16</v>
      </c>
      <c r="P22" s="22">
        <v>32659642</v>
      </c>
      <c r="Q22" s="22">
        <v>1020613.8125</v>
      </c>
      <c r="R22" s="22">
        <v>35250.375</v>
      </c>
      <c r="S22" s="23">
        <v>2588976</v>
      </c>
      <c r="T22" s="23">
        <v>991560</v>
      </c>
      <c r="U22" s="23">
        <v>401664</v>
      </c>
      <c r="V22" s="23">
        <v>1195752</v>
      </c>
      <c r="W22" s="24">
        <v>70.088359374999996</v>
      </c>
      <c r="X22" s="24">
        <v>72.539978125000005</v>
      </c>
      <c r="Y22" s="24">
        <v>33.344799999999999</v>
      </c>
      <c r="Z22" s="24">
        <v>41.713075000000003</v>
      </c>
      <c r="AA22" s="24">
        <v>40.467459374999997</v>
      </c>
      <c r="AB22" s="25">
        <v>5378.15</v>
      </c>
      <c r="AC22" s="25">
        <v>0</v>
      </c>
      <c r="AD22" s="25">
        <v>43.362000000000002</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7.6303124999999996</v>
      </c>
      <c r="J23" s="12">
        <f t="shared" si="1"/>
        <v>1.948660680055762E-2</v>
      </c>
      <c r="K23" s="12">
        <f t="shared" si="2"/>
        <v>8.2601441337721831E-3</v>
      </c>
      <c r="L23" s="12">
        <f t="shared" si="3"/>
        <v>6.6573533662865848E-3</v>
      </c>
      <c r="M23" s="12">
        <f t="shared" si="4"/>
        <v>1.1226462666785435E-2</v>
      </c>
      <c r="N23" s="54">
        <f t="shared" si="5"/>
        <v>2070016</v>
      </c>
      <c r="O23" s="12">
        <v>16</v>
      </c>
      <c r="P23" s="13">
        <v>32814375</v>
      </c>
      <c r="Q23" s="13">
        <v>1025449.21875</v>
      </c>
      <c r="R23" s="13">
        <v>37498.3125</v>
      </c>
      <c r="S23" s="14">
        <v>4883400</v>
      </c>
      <c r="T23" s="14">
        <v>1668352</v>
      </c>
      <c r="U23" s="14">
        <v>401664</v>
      </c>
      <c r="V23" s="14">
        <v>2813384</v>
      </c>
      <c r="W23" s="15">
        <v>71.052946875000004</v>
      </c>
      <c r="X23" s="15">
        <v>73.810550000000006</v>
      </c>
      <c r="Y23" s="15">
        <v>35.141599999999997</v>
      </c>
      <c r="Z23" s="15">
        <v>42.709343750000002</v>
      </c>
      <c r="AA23" s="15">
        <v>41.421456249999999</v>
      </c>
      <c r="AB23" s="16">
        <v>5688.92</v>
      </c>
      <c r="AC23" s="16">
        <v>0</v>
      </c>
      <c r="AD23" s="16">
        <v>43.89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15.568875</v>
      </c>
      <c r="J24" s="40">
        <f t="shared" si="1"/>
        <v>3.976043516592951E-2</v>
      </c>
      <c r="K24" s="40">
        <f t="shared" si="2"/>
        <v>1.4297456767966815E-2</v>
      </c>
      <c r="L24" s="40">
        <f t="shared" si="3"/>
        <v>1.0723387863869456E-2</v>
      </c>
      <c r="M24" s="40">
        <f t="shared" si="4"/>
        <v>2.5462978397962695E-2</v>
      </c>
      <c r="N24" s="37">
        <f t="shared" si="5"/>
        <v>3582984</v>
      </c>
      <c r="O24" s="40">
        <v>16</v>
      </c>
      <c r="P24" s="41">
        <v>31315849</v>
      </c>
      <c r="Q24" s="41">
        <v>978620.28125</v>
      </c>
      <c r="R24" s="41">
        <v>17899.90625</v>
      </c>
      <c r="S24" s="42">
        <v>9964080</v>
      </c>
      <c r="T24" s="42">
        <v>2687312</v>
      </c>
      <c r="U24" s="42">
        <v>895672</v>
      </c>
      <c r="V24" s="42">
        <v>6381096</v>
      </c>
      <c r="W24" s="43">
        <v>71.78538125</v>
      </c>
      <c r="X24" s="43">
        <v>75.816868749999998</v>
      </c>
      <c r="Y24" s="43">
        <v>36.188825000000001</v>
      </c>
      <c r="Z24" s="43">
        <v>43.432306250000003</v>
      </c>
      <c r="AA24" s="43">
        <v>41.892534374999997</v>
      </c>
      <c r="AB24" s="44">
        <v>6091.29</v>
      </c>
      <c r="AC24" s="44">
        <v>0</v>
      </c>
      <c r="AD24" s="44">
        <v>42.927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2.0512950000000001</v>
      </c>
      <c r="J25" s="12">
        <f t="shared" si="1"/>
        <v>8.7418911848439456E-3</v>
      </c>
      <c r="K25" s="12">
        <f t="shared" si="2"/>
        <v>5.6737944091814181E-3</v>
      </c>
      <c r="L25" s="12">
        <f t="shared" si="3"/>
        <v>3.5242952242569917E-3</v>
      </c>
      <c r="M25" s="12">
        <f t="shared" si="4"/>
        <v>3.068096775662527E-3</v>
      </c>
      <c r="N25" s="54">
        <f t="shared" si="5"/>
        <v>1420120</v>
      </c>
      <c r="O25" s="12">
        <v>16</v>
      </c>
      <c r="P25" s="13">
        <v>23471131</v>
      </c>
      <c r="Q25" s="13">
        <v>733472.84375</v>
      </c>
      <c r="R25" s="13">
        <v>14485.53125</v>
      </c>
      <c r="S25" s="14">
        <v>2188048</v>
      </c>
      <c r="T25" s="14">
        <v>882112</v>
      </c>
      <c r="U25" s="14">
        <v>538008</v>
      </c>
      <c r="V25" s="14">
        <v>767928</v>
      </c>
      <c r="W25" s="15">
        <v>66.278818749999999</v>
      </c>
      <c r="X25" s="15">
        <v>68.012412499999996</v>
      </c>
      <c r="Y25" s="15">
        <v>25.920353124999998</v>
      </c>
      <c r="Z25" s="15">
        <v>32.470756250000001</v>
      </c>
      <c r="AA25" s="15">
        <v>31.677740624999998</v>
      </c>
      <c r="AB25" s="16">
        <v>5236.6899999999996</v>
      </c>
      <c r="AC25" s="16">
        <v>0</v>
      </c>
      <c r="AD25" s="16">
        <v>36.067999999999998</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3.1726350000000001</v>
      </c>
      <c r="J26" s="21">
        <f t="shared" si="1"/>
        <v>1.3520644246306538E-2</v>
      </c>
      <c r="K26" s="21">
        <f t="shared" si="2"/>
        <v>7.1611618025355416E-3</v>
      </c>
      <c r="L26" s="21">
        <f t="shared" si="3"/>
        <v>5.011662617611116E-3</v>
      </c>
      <c r="M26" s="21">
        <f t="shared" si="4"/>
        <v>6.3594824437709961E-3</v>
      </c>
      <c r="N26" s="18">
        <f t="shared" si="5"/>
        <v>1792400</v>
      </c>
      <c r="O26" s="21">
        <v>16</v>
      </c>
      <c r="P26" s="22">
        <v>24603925</v>
      </c>
      <c r="Q26" s="22">
        <v>768872.65625</v>
      </c>
      <c r="R26" s="22">
        <v>17675.15625</v>
      </c>
      <c r="S26" s="23">
        <v>3384144</v>
      </c>
      <c r="T26" s="23">
        <v>1254392</v>
      </c>
      <c r="U26" s="23">
        <v>538008</v>
      </c>
      <c r="V26" s="23">
        <v>1591744</v>
      </c>
      <c r="W26" s="24">
        <v>67.993459375</v>
      </c>
      <c r="X26" s="24">
        <v>70.001112500000005</v>
      </c>
      <c r="Y26" s="24">
        <v>27.948221875000002</v>
      </c>
      <c r="Z26" s="24">
        <v>33.660603125000002</v>
      </c>
      <c r="AA26" s="24">
        <v>33.040696875000002</v>
      </c>
      <c r="AB26" s="25">
        <v>5585.7</v>
      </c>
      <c r="AC26" s="25">
        <v>0</v>
      </c>
      <c r="AD26" s="25">
        <v>37.337000000000003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5.3474775000000001</v>
      </c>
      <c r="J27" s="12">
        <f t="shared" si="1"/>
        <v>2.2789051023086069E-2</v>
      </c>
      <c r="K27" s="12">
        <f t="shared" si="2"/>
        <v>9.3202177264867844E-3</v>
      </c>
      <c r="L27" s="12">
        <f t="shared" si="3"/>
        <v>7.1707185415623579E-3</v>
      </c>
      <c r="M27" s="12">
        <f t="shared" si="4"/>
        <v>1.3468833296599285E-2</v>
      </c>
      <c r="N27" s="54">
        <f t="shared" si="5"/>
        <v>2332800</v>
      </c>
      <c r="O27" s="12">
        <v>16</v>
      </c>
      <c r="P27" s="13">
        <v>24855934</v>
      </c>
      <c r="Q27" s="13">
        <v>776747.9375</v>
      </c>
      <c r="R27" s="13">
        <v>18614.96875</v>
      </c>
      <c r="S27" s="14">
        <v>5703976</v>
      </c>
      <c r="T27" s="14">
        <v>1794792</v>
      </c>
      <c r="U27" s="14">
        <v>538008</v>
      </c>
      <c r="V27" s="14">
        <v>3371176</v>
      </c>
      <c r="W27" s="15">
        <v>69.298418749999996</v>
      </c>
      <c r="X27" s="15">
        <v>71.688100000000006</v>
      </c>
      <c r="Y27" s="15">
        <v>30.214378125</v>
      </c>
      <c r="Z27" s="15">
        <v>34.915359375000001</v>
      </c>
      <c r="AA27" s="15">
        <v>34.364087499999997</v>
      </c>
      <c r="AB27" s="16">
        <v>5925.46</v>
      </c>
      <c r="AC27" s="16">
        <v>0</v>
      </c>
      <c r="AD27" s="16">
        <v>37.923000000000002</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10.313129999999999</v>
      </c>
      <c r="J28" s="21">
        <f t="shared" si="1"/>
        <v>4.3950899424582829E-2</v>
      </c>
      <c r="K28" s="21">
        <f t="shared" si="2"/>
        <v>1.3217033998762307E-2</v>
      </c>
      <c r="L28" s="21">
        <f t="shared" si="3"/>
        <v>1.1067534813837879E-2</v>
      </c>
      <c r="M28" s="21">
        <f t="shared" si="4"/>
        <v>3.0733865425820524E-2</v>
      </c>
      <c r="N28" s="18">
        <f t="shared" si="5"/>
        <v>3308152</v>
      </c>
      <c r="O28" s="21">
        <v>16</v>
      </c>
      <c r="P28" s="22">
        <v>25575001</v>
      </c>
      <c r="Q28" s="22">
        <v>799218.78125</v>
      </c>
      <c r="R28" s="22">
        <v>20984.21875</v>
      </c>
      <c r="S28" s="23">
        <v>11000672</v>
      </c>
      <c r="T28" s="23">
        <v>2770144</v>
      </c>
      <c r="U28" s="23">
        <v>538008</v>
      </c>
      <c r="V28" s="23">
        <v>7692520</v>
      </c>
      <c r="W28" s="24">
        <v>70.470590625</v>
      </c>
      <c r="X28" s="24">
        <v>73.003634375000004</v>
      </c>
      <c r="Y28" s="24">
        <v>32.702040625000002</v>
      </c>
      <c r="Z28" s="24">
        <v>36.418225</v>
      </c>
      <c r="AA28" s="24">
        <v>35.864284374999997</v>
      </c>
      <c r="AB28" s="25">
        <v>6370.51</v>
      </c>
      <c r="AC28" s="25">
        <v>0</v>
      </c>
      <c r="AD28" s="25">
        <v>40.414000000000001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23.884679999999999</v>
      </c>
      <c r="J29" s="30">
        <f t="shared" si="1"/>
        <v>0.10178802831617026</v>
      </c>
      <c r="K29" s="30">
        <f t="shared" si="2"/>
        <v>2.1610088227958527E-2</v>
      </c>
      <c r="L29" s="30">
        <f t="shared" si="3"/>
        <v>1.7261292535689008E-2</v>
      </c>
      <c r="M29" s="30">
        <f t="shared" si="4"/>
        <v>8.0177940088211733E-2</v>
      </c>
      <c r="N29" s="27">
        <f t="shared" si="5"/>
        <v>5408888</v>
      </c>
      <c r="O29" s="30">
        <v>16</v>
      </c>
      <c r="P29" s="31">
        <v>24584027</v>
      </c>
      <c r="Q29" s="31">
        <v>768250.84375</v>
      </c>
      <c r="R29" s="31">
        <v>9800.96875</v>
      </c>
      <c r="S29" s="32">
        <v>25476992</v>
      </c>
      <c r="T29" s="32">
        <v>4320408</v>
      </c>
      <c r="U29" s="32">
        <v>1088480</v>
      </c>
      <c r="V29" s="32">
        <v>20068104</v>
      </c>
      <c r="W29" s="33">
        <v>71.136790625000003</v>
      </c>
      <c r="X29" s="33">
        <v>74.864337500000005</v>
      </c>
      <c r="Y29" s="33">
        <v>35.736903124999998</v>
      </c>
      <c r="Z29" s="33">
        <v>38.368868749999997</v>
      </c>
      <c r="AA29" s="33">
        <v>37.758084375000003</v>
      </c>
      <c r="AB29" s="34">
        <v>7082.88</v>
      </c>
      <c r="AC29" s="34">
        <v>0</v>
      </c>
      <c r="AD29" s="34">
        <v>38.329000000000001</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3.6323175000000001</v>
      </c>
      <c r="J30" s="21">
        <f t="shared" si="1"/>
        <v>1.0320296725711506E-2</v>
      </c>
      <c r="K30" s="21">
        <f t="shared" si="2"/>
        <v>8.1847829599809938E-3</v>
      </c>
      <c r="L30" s="21">
        <f t="shared" si="3"/>
        <v>5.1523384961178371E-3</v>
      </c>
      <c r="M30" s="21">
        <f t="shared" si="4"/>
        <v>2.1355137657305119E-3</v>
      </c>
      <c r="N30" s="18">
        <f t="shared" si="5"/>
        <v>3072752</v>
      </c>
      <c r="O30" s="21">
        <v>16</v>
      </c>
      <c r="P30" s="22">
        <v>86257277</v>
      </c>
      <c r="Q30" s="22">
        <v>2695539.90625</v>
      </c>
      <c r="R30" s="22">
        <v>32931.25</v>
      </c>
      <c r="S30" s="23">
        <v>3874472</v>
      </c>
      <c r="T30" s="23">
        <v>1934304</v>
      </c>
      <c r="U30" s="23">
        <v>1138448</v>
      </c>
      <c r="V30" s="23">
        <v>801720</v>
      </c>
      <c r="W30" s="24">
        <v>73.632999999999996</v>
      </c>
      <c r="X30" s="24">
        <v>75.669718750000001</v>
      </c>
      <c r="Y30" s="24">
        <v>33.193259374999997</v>
      </c>
      <c r="Z30" s="24">
        <v>41.822543750000001</v>
      </c>
      <c r="AA30" s="24">
        <v>43.460431249999999</v>
      </c>
      <c r="AB30" s="25">
        <v>18075.400000000001</v>
      </c>
      <c r="AC30" s="25">
        <v>0</v>
      </c>
      <c r="AD30" s="25">
        <v>125.417</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4.8547799999999999</v>
      </c>
      <c r="J31" s="12">
        <f t="shared" si="1"/>
        <v>1.3793609765129205E-2</v>
      </c>
      <c r="K31" s="12">
        <f t="shared" si="2"/>
        <v>1.0100256660402587E-2</v>
      </c>
      <c r="L31" s="12">
        <f t="shared" si="3"/>
        <v>7.0678121965394303E-3</v>
      </c>
      <c r="M31" s="12">
        <f t="shared" si="4"/>
        <v>3.6933531047266184E-3</v>
      </c>
      <c r="N31" s="54">
        <f t="shared" si="5"/>
        <v>3791864</v>
      </c>
      <c r="O31" s="12">
        <v>16</v>
      </c>
      <c r="P31" s="13">
        <v>90463396</v>
      </c>
      <c r="Q31" s="13">
        <v>2826981.125</v>
      </c>
      <c r="R31" s="13">
        <v>39929.34375</v>
      </c>
      <c r="S31" s="14">
        <v>5178432</v>
      </c>
      <c r="T31" s="14">
        <v>2653416</v>
      </c>
      <c r="U31" s="14">
        <v>1138448</v>
      </c>
      <c r="V31" s="14">
        <v>1386568</v>
      </c>
      <c r="W31" s="15">
        <v>75.237043749999998</v>
      </c>
      <c r="X31" s="15">
        <v>77.560374999999993</v>
      </c>
      <c r="Y31" s="15">
        <v>35.162596874999998</v>
      </c>
      <c r="Z31" s="15">
        <v>42.445434374999998</v>
      </c>
      <c r="AA31" s="15">
        <v>44.621493749999999</v>
      </c>
      <c r="AB31" s="16">
        <v>18882.900000000001</v>
      </c>
      <c r="AC31" s="16">
        <v>0</v>
      </c>
      <c r="AD31" s="16">
        <v>127.63800000000001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7.0465125000000004</v>
      </c>
      <c r="J32" s="21">
        <f t="shared" si="1"/>
        <v>2.0020854421849189E-2</v>
      </c>
      <c r="K32" s="21">
        <f t="shared" si="2"/>
        <v>1.2977015213250155E-2</v>
      </c>
      <c r="L32" s="21">
        <f t="shared" si="3"/>
        <v>9.9445707493870002E-3</v>
      </c>
      <c r="M32" s="21">
        <f t="shared" si="4"/>
        <v>7.0438392085990344E-3</v>
      </c>
      <c r="N32" s="18">
        <f t="shared" si="5"/>
        <v>4871864</v>
      </c>
      <c r="O32" s="21">
        <v>16</v>
      </c>
      <c r="P32" s="22">
        <v>91577690</v>
      </c>
      <c r="Q32" s="22">
        <v>2861802.8125</v>
      </c>
      <c r="R32" s="22">
        <v>42558.21875</v>
      </c>
      <c r="S32" s="23">
        <v>7516280</v>
      </c>
      <c r="T32" s="23">
        <v>3733416</v>
      </c>
      <c r="U32" s="23">
        <v>1138448</v>
      </c>
      <c r="V32" s="23">
        <v>2644416</v>
      </c>
      <c r="W32" s="24">
        <v>76.450540625000002</v>
      </c>
      <c r="X32" s="24">
        <v>79.112596874999994</v>
      </c>
      <c r="Y32" s="24">
        <v>36.954278125000002</v>
      </c>
      <c r="Z32" s="24">
        <v>43.078318750000001</v>
      </c>
      <c r="AA32" s="24">
        <v>46.071112499999998</v>
      </c>
      <c r="AB32" s="25">
        <v>19940.599999999999</v>
      </c>
      <c r="AC32" s="25">
        <v>0</v>
      </c>
      <c r="AD32" s="25">
        <v>130.24299999999999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11.806687500000001</v>
      </c>
      <c r="J33" s="12">
        <f t="shared" si="1"/>
        <v>3.3545668391529365E-2</v>
      </c>
      <c r="K33" s="12">
        <f t="shared" si="2"/>
        <v>1.8174316380082871E-2</v>
      </c>
      <c r="L33" s="12">
        <f t="shared" si="3"/>
        <v>1.5141871916219712E-2</v>
      </c>
      <c r="M33" s="12">
        <f t="shared" si="4"/>
        <v>1.5371352011446494E-2</v>
      </c>
      <c r="N33" s="54">
        <f t="shared" si="5"/>
        <v>6823048</v>
      </c>
      <c r="O33" s="12">
        <v>16</v>
      </c>
      <c r="P33" s="13">
        <v>93892491</v>
      </c>
      <c r="Q33" s="13">
        <v>2934140.34375</v>
      </c>
      <c r="R33" s="13">
        <v>47454.65625</v>
      </c>
      <c r="S33" s="14">
        <v>12593800</v>
      </c>
      <c r="T33" s="14">
        <v>5684600</v>
      </c>
      <c r="U33" s="14">
        <v>1138448</v>
      </c>
      <c r="V33" s="14">
        <v>5770752</v>
      </c>
      <c r="W33" s="15">
        <v>77.563749999999999</v>
      </c>
      <c r="X33" s="15">
        <v>80.260212499999994</v>
      </c>
      <c r="Y33" s="15">
        <v>38.702296875000002</v>
      </c>
      <c r="Z33" s="15">
        <v>43.686187500000003</v>
      </c>
      <c r="AA33" s="15">
        <v>47.337668749999999</v>
      </c>
      <c r="AB33" s="16">
        <v>21011.7</v>
      </c>
      <c r="AC33" s="16">
        <v>0</v>
      </c>
      <c r="AD33" s="16">
        <v>133.489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24.380085000000001</v>
      </c>
      <c r="J34" s="40">
        <f t="shared" si="1"/>
        <v>6.9269746215210592E-2</v>
      </c>
      <c r="K34" s="40">
        <f t="shared" si="2"/>
        <v>3.0615785697405876E-2</v>
      </c>
      <c r="L34" s="40">
        <f t="shared" si="3"/>
        <v>2.4326978407654954E-2</v>
      </c>
      <c r="M34" s="40">
        <f t="shared" si="4"/>
        <v>3.865396051780471E-2</v>
      </c>
      <c r="N34" s="37">
        <f t="shared" si="5"/>
        <v>11493856</v>
      </c>
      <c r="O34" s="40">
        <v>16</v>
      </c>
      <c r="P34" s="41">
        <v>91994628</v>
      </c>
      <c r="Q34" s="41">
        <v>2874832.125</v>
      </c>
      <c r="R34" s="41">
        <v>18636.71875</v>
      </c>
      <c r="S34" s="42">
        <v>26005424</v>
      </c>
      <c r="T34" s="42">
        <v>9132896</v>
      </c>
      <c r="U34" s="42">
        <v>2360960</v>
      </c>
      <c r="V34" s="42">
        <v>14511568</v>
      </c>
      <c r="W34" s="43">
        <v>78.478296874999998</v>
      </c>
      <c r="X34" s="43">
        <v>81.904243750000006</v>
      </c>
      <c r="Y34" s="43">
        <v>40.49875625</v>
      </c>
      <c r="Z34" s="43">
        <v>44.367487500000003</v>
      </c>
      <c r="AA34" s="43">
        <v>48.782087500000003</v>
      </c>
      <c r="AB34" s="44">
        <v>22649</v>
      </c>
      <c r="AC34" s="44">
        <v>0</v>
      </c>
      <c r="AD34" s="44">
        <v>133.97499999999999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4.3192349999999999</v>
      </c>
      <c r="J35" s="12">
        <f t="shared" si="1"/>
        <v>1.3827469230390169E-2</v>
      </c>
      <c r="K35" s="12">
        <f t="shared" si="2"/>
        <v>1.0559286667221364E-2</v>
      </c>
      <c r="L35" s="12">
        <f t="shared" si="3"/>
        <v>6.7821342990770066E-3</v>
      </c>
      <c r="M35" s="12">
        <f t="shared" si="4"/>
        <v>3.2681825631688047E-3</v>
      </c>
      <c r="N35" s="54">
        <f t="shared" si="5"/>
        <v>3518256</v>
      </c>
      <c r="O35" s="12">
        <v>16</v>
      </c>
      <c r="P35" s="13">
        <v>75171639</v>
      </c>
      <c r="Q35" s="13">
        <v>2349113.71875</v>
      </c>
      <c r="R35" s="13">
        <v>30593.28125</v>
      </c>
      <c r="S35" s="14">
        <v>4607184</v>
      </c>
      <c r="T35" s="14">
        <v>2259744</v>
      </c>
      <c r="U35" s="14">
        <v>1258512</v>
      </c>
      <c r="V35" s="14">
        <v>1088928</v>
      </c>
      <c r="W35" s="15">
        <v>73.209165624999997</v>
      </c>
      <c r="X35" s="15">
        <v>75.382359374999993</v>
      </c>
      <c r="Y35" s="15">
        <v>31.814631250000001</v>
      </c>
      <c r="Z35" s="15">
        <v>42.257371874999997</v>
      </c>
      <c r="AA35" s="15">
        <v>43.446628124999997</v>
      </c>
      <c r="AB35" s="16">
        <v>17328.8</v>
      </c>
      <c r="AC35" s="16">
        <v>0</v>
      </c>
      <c r="AD35" s="16">
        <v>114.666</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5.8258799999999997</v>
      </c>
      <c r="J36" s="21">
        <f t="shared" si="1"/>
        <v>1.8650797291637402E-2</v>
      </c>
      <c r="K36" s="21">
        <f t="shared" si="2"/>
        <v>1.3094099397237357E-2</v>
      </c>
      <c r="L36" s="21">
        <f t="shared" si="3"/>
        <v>9.3169470290930013E-3</v>
      </c>
      <c r="M36" s="21">
        <f t="shared" si="4"/>
        <v>5.5566978944000447E-3</v>
      </c>
      <c r="N36" s="18">
        <f t="shared" si="5"/>
        <v>4362832</v>
      </c>
      <c r="O36" s="21">
        <v>16</v>
      </c>
      <c r="P36" s="22">
        <v>79961210</v>
      </c>
      <c r="Q36" s="22">
        <v>2498787.8125</v>
      </c>
      <c r="R36" s="22">
        <v>38420.28125</v>
      </c>
      <c r="S36" s="23">
        <v>6214272</v>
      </c>
      <c r="T36" s="23">
        <v>3104320</v>
      </c>
      <c r="U36" s="23">
        <v>1258512</v>
      </c>
      <c r="V36" s="23">
        <v>1851440</v>
      </c>
      <c r="W36" s="24">
        <v>74.936565625</v>
      </c>
      <c r="X36" s="24">
        <v>77.345237499999996</v>
      </c>
      <c r="Y36" s="24">
        <v>34.069078124999997</v>
      </c>
      <c r="Z36" s="24">
        <v>42.995862500000001</v>
      </c>
      <c r="AA36" s="24">
        <v>44.788365624999997</v>
      </c>
      <c r="AB36" s="25">
        <v>18214.599999999999</v>
      </c>
      <c r="AC36" s="25">
        <v>0</v>
      </c>
      <c r="AD36" s="25">
        <v>117.172</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8.3860124999999996</v>
      </c>
      <c r="J37" s="12">
        <f t="shared" si="1"/>
        <v>2.684672860111046E-2</v>
      </c>
      <c r="K37" s="12">
        <f t="shared" si="2"/>
        <v>1.6776003005294065E-2</v>
      </c>
      <c r="L37" s="12">
        <f t="shared" si="3"/>
        <v>1.2998850637149707E-2</v>
      </c>
      <c r="M37" s="12">
        <f t="shared" si="4"/>
        <v>1.0070725595816395E-2</v>
      </c>
      <c r="N37" s="54">
        <f t="shared" si="5"/>
        <v>5589608</v>
      </c>
      <c r="O37" s="12">
        <v>16</v>
      </c>
      <c r="P37" s="13">
        <v>81699522</v>
      </c>
      <c r="Q37" s="13">
        <v>2553110.0625</v>
      </c>
      <c r="R37" s="13">
        <v>41944.8125</v>
      </c>
      <c r="S37" s="14">
        <v>8945080</v>
      </c>
      <c r="T37" s="14">
        <v>4331096</v>
      </c>
      <c r="U37" s="14">
        <v>1258512</v>
      </c>
      <c r="V37" s="14">
        <v>3355472</v>
      </c>
      <c r="W37" s="15">
        <v>76.252581250000006</v>
      </c>
      <c r="X37" s="15">
        <v>78.956393750000004</v>
      </c>
      <c r="Y37" s="15">
        <v>36.145699999999998</v>
      </c>
      <c r="Z37" s="15">
        <v>43.582978124999997</v>
      </c>
      <c r="AA37" s="15">
        <v>46.117628125000003</v>
      </c>
      <c r="AB37" s="16">
        <v>19051.400000000001</v>
      </c>
      <c r="AC37" s="16">
        <v>0</v>
      </c>
      <c r="AD37" s="16">
        <v>118.67100000000001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13.738312499999999</v>
      </c>
      <c r="J38" s="21">
        <f t="shared" si="1"/>
        <v>4.3981421101476216E-2</v>
      </c>
      <c r="K38" s="21">
        <f t="shared" si="2"/>
        <v>2.3026933984940979E-2</v>
      </c>
      <c r="L38" s="21">
        <f t="shared" si="3"/>
        <v>1.9249781616796621E-2</v>
      </c>
      <c r="M38" s="21">
        <f t="shared" si="4"/>
        <v>2.0954487116535241E-2</v>
      </c>
      <c r="N38" s="18">
        <f t="shared" si="5"/>
        <v>7672360</v>
      </c>
      <c r="O38" s="21">
        <v>16</v>
      </c>
      <c r="P38" s="22">
        <v>83829868</v>
      </c>
      <c r="Q38" s="22">
        <v>2619683.375</v>
      </c>
      <c r="R38" s="22">
        <v>46889.53125</v>
      </c>
      <c r="S38" s="23">
        <v>14654200</v>
      </c>
      <c r="T38" s="23">
        <v>6413848</v>
      </c>
      <c r="U38" s="23">
        <v>1258512</v>
      </c>
      <c r="V38" s="23">
        <v>6981840</v>
      </c>
      <c r="W38" s="24">
        <v>77.428771874999995</v>
      </c>
      <c r="X38" s="24">
        <v>80.151403125000002</v>
      </c>
      <c r="Y38" s="24">
        <v>38.095384375000002</v>
      </c>
      <c r="Z38" s="24">
        <v>44.186740624999999</v>
      </c>
      <c r="AA38" s="24">
        <v>47.269693750000002</v>
      </c>
      <c r="AB38" s="25">
        <v>19891.599999999999</v>
      </c>
      <c r="AC38" s="25">
        <v>0</v>
      </c>
      <c r="AD38" s="25">
        <v>120.843</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27.554047499999999</v>
      </c>
      <c r="J39" s="30">
        <f t="shared" si="1"/>
        <v>8.8210700269598472E-2</v>
      </c>
      <c r="K39" s="30">
        <f t="shared" si="2"/>
        <v>3.7474084397358415E-2</v>
      </c>
      <c r="L39" s="30">
        <f t="shared" si="3"/>
        <v>2.9763688864666925E-2</v>
      </c>
      <c r="M39" s="30">
        <f t="shared" si="4"/>
        <v>5.0736615872240057E-2</v>
      </c>
      <c r="N39" s="27">
        <f t="shared" si="5"/>
        <v>12486016</v>
      </c>
      <c r="O39" s="30">
        <v>16</v>
      </c>
      <c r="P39" s="31">
        <v>81969668</v>
      </c>
      <c r="Q39" s="31">
        <v>2561552.125</v>
      </c>
      <c r="R39" s="31">
        <v>18543.125</v>
      </c>
      <c r="S39" s="32">
        <v>29390984</v>
      </c>
      <c r="T39" s="32">
        <v>9916984</v>
      </c>
      <c r="U39" s="32">
        <v>2569032</v>
      </c>
      <c r="V39" s="32">
        <v>16904968</v>
      </c>
      <c r="W39" s="33">
        <v>78.304278124999996</v>
      </c>
      <c r="X39" s="33">
        <v>81.862446875000003</v>
      </c>
      <c r="Y39" s="33">
        <v>40.158643750000003</v>
      </c>
      <c r="Z39" s="33">
        <v>45.128656249999999</v>
      </c>
      <c r="AA39" s="33">
        <v>48.634012499999997</v>
      </c>
      <c r="AB39" s="34">
        <v>21448.9</v>
      </c>
      <c r="AC39" s="34">
        <v>0</v>
      </c>
      <c r="AD39" s="34">
        <v>120.70099999999999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1.7524247619278583E-2</v>
      </c>
      <c r="K40" s="48">
        <f>AVERAGE(K5:K24)</f>
        <v>9.4984942501309122E-3</v>
      </c>
      <c r="L40" s="48">
        <f>AVERAGE(L5:L24)</f>
        <v>6.98231311504449E-3</v>
      </c>
      <c r="M40" s="48">
        <f>AVERAGE(M5:M24)</f>
        <v>8.0257533691476656E-3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3.8158102838997933E-2</v>
      </c>
      <c r="K41" s="48">
        <f>AVERAGE(K25:K29)</f>
        <v>1.1396459232984915E-2</v>
      </c>
      <c r="L41" s="48">
        <f>AVERAGE(L25:L29)</f>
        <v>8.8071007465914709E-3</v>
      </c>
      <c r="M41" s="48">
        <f>AVERAGE(M25:M29)</f>
        <v>2.6761643606013012E-2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3.3846729201364258E-2</v>
      </c>
      <c r="K42" s="48">
        <f>AVERAGE(K30:K39)</f>
        <v>1.8098256436317468E-2</v>
      </c>
      <c r="L42" s="48">
        <f>AVERAGE(L30:L39)</f>
        <v>1.3974497421270219E-2</v>
      </c>
      <c r="M42" s="48">
        <f>AVERAGE(M30:M39)</f>
        <v>1.5748472765046789E-2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2.5135507388405826E-2</v>
      </c>
      <c r="K43" s="48">
        <f>AVERAGE(K5:K39)</f>
        <v>1.2226707015163358E-2</v>
      </c>
      <c r="L43" s="48">
        <f>AVERAGE(L5:L39)</f>
        <v>9.24076400704427E-3</v>
      </c>
      <c r="M43" s="48">
        <f>AVERAGE(M5:M39)</f>
        <v>1.2908800373242466E-2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335904.69</v>
      </c>
      <c r="AC44" s="49">
        <f>SUM(AC5:AC24,AC25:AC29,AC30:AC39)</f>
        <v>0</v>
      </c>
      <c r="AD44" s="49">
        <f>SUM(AD5:AD24,AD25:AD29,AD30:AD39)</f>
        <v>2230.2619999999997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7951.5374842748251</v>
      </c>
      <c r="AC46" s="49" t="e">
        <f>GEOMEAN(AC5:AC24,AC25:AC29,AC30:AC39)</f>
        <v>#NUM!</v>
      </c>
      <c r="AD46" s="49">
        <f>GEOMEAN(AD5:AD24,AD25:AD29,AD30:AD39)</f>
        <v>54.576347343281483</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2021-03-22T09:33:00Z</dcterms:modified>
</cp:coreProperties>
</file>