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worksCE/VPCC52_maxdepth/mpeg-pcc-tmc2/test/"/>
    </mc:Choice>
  </mc:AlternateContent>
  <xr:revisionPtr revIDLastSave="0" documentId="13_ncr:1_{979555FD-7689-2044-B62B-A89EF85AE65A}" xr6:coauthVersionLast="36" xr6:coauthVersionMax="36" xr10:uidLastSave="{00000000-0000-0000-0000-000000000000}"/>
  <bookViews>
    <workbookView xWindow="5480" yWindow="2740" windowWidth="39660" windowHeight="20800" activeTab="2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  <sheet name="Results" sheetId="10" r:id="rId8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R12" i="10" l="1"/>
  <c r="Q12" i="10"/>
  <c r="P12" i="10"/>
  <c r="O12" i="10"/>
  <c r="N12" i="10"/>
  <c r="M12" i="10"/>
  <c r="L12" i="10"/>
  <c r="K12" i="10"/>
  <c r="J12" i="10"/>
  <c r="I12" i="10"/>
  <c r="R11" i="10"/>
  <c r="Q11" i="10"/>
  <c r="P11" i="10"/>
  <c r="O11" i="10"/>
  <c r="N11" i="10"/>
  <c r="M11" i="10"/>
  <c r="L11" i="10"/>
  <c r="K11" i="10"/>
  <c r="J11" i="10"/>
  <c r="I11" i="10"/>
  <c r="R10" i="10"/>
  <c r="Q10" i="10"/>
  <c r="P10" i="10"/>
  <c r="O10" i="10"/>
  <c r="N10" i="10"/>
  <c r="M10" i="10"/>
  <c r="L10" i="10"/>
  <c r="K10" i="10"/>
  <c r="J10" i="10"/>
  <c r="I10" i="10"/>
  <c r="R9" i="10"/>
  <c r="Q9" i="10"/>
  <c r="P9" i="10"/>
  <c r="O9" i="10"/>
  <c r="N9" i="10"/>
  <c r="M9" i="10"/>
  <c r="L9" i="10"/>
  <c r="K9" i="10"/>
  <c r="J9" i="10"/>
  <c r="I9" i="10"/>
  <c r="X8" i="10"/>
  <c r="W8" i="10"/>
  <c r="V8" i="10"/>
  <c r="U8" i="10"/>
  <c r="R8" i="10"/>
  <c r="Q8" i="10"/>
  <c r="P8" i="10"/>
  <c r="O8" i="10"/>
  <c r="N8" i="10"/>
  <c r="M8" i="10"/>
  <c r="L8" i="10"/>
  <c r="K8" i="10"/>
  <c r="J8" i="10"/>
  <c r="I8" i="10"/>
  <c r="H8" i="10"/>
  <c r="G8" i="10"/>
  <c r="X7" i="10"/>
  <c r="W7" i="10"/>
  <c r="V7" i="10"/>
  <c r="U7" i="10"/>
  <c r="R7" i="10"/>
  <c r="Q7" i="10"/>
  <c r="P7" i="10"/>
  <c r="O7" i="10"/>
  <c r="N7" i="10"/>
  <c r="M7" i="10"/>
  <c r="L7" i="10"/>
  <c r="K7" i="10"/>
  <c r="J7" i="10"/>
  <c r="I7" i="10"/>
  <c r="R6" i="10"/>
  <c r="Q6" i="10"/>
  <c r="P6" i="10"/>
  <c r="O6" i="10"/>
  <c r="N6" i="10"/>
  <c r="M6" i="10"/>
  <c r="L6" i="10"/>
  <c r="K6" i="10"/>
  <c r="J6" i="10"/>
  <c r="I6" i="10"/>
  <c r="H6" i="10"/>
  <c r="G6" i="10"/>
  <c r="R5" i="10"/>
  <c r="Q5" i="10"/>
  <c r="P5" i="10"/>
  <c r="O5" i="10"/>
  <c r="N5" i="10"/>
  <c r="M5" i="10"/>
  <c r="L5" i="10"/>
  <c r="K5" i="10"/>
  <c r="J5" i="10"/>
  <c r="I5" i="10"/>
  <c r="D5" i="10"/>
  <c r="BC35" i="7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L29" i="7"/>
  <c r="AI29" i="7" s="1"/>
  <c r="AK29" i="7"/>
  <c r="AJ29" i="7"/>
  <c r="AH29" i="7"/>
  <c r="AG29" i="7"/>
  <c r="N29" i="7"/>
  <c r="K29" i="7" s="1"/>
  <c r="M29" i="7"/>
  <c r="L29" i="7"/>
  <c r="J29" i="7"/>
  <c r="I29" i="7"/>
  <c r="BE28" i="7"/>
  <c r="AL28" i="7"/>
  <c r="AI28" i="7" s="1"/>
  <c r="AK28" i="7"/>
  <c r="AJ28" i="7"/>
  <c r="AH28" i="7"/>
  <c r="AG28" i="7"/>
  <c r="N28" i="7"/>
  <c r="K28" i="7" s="1"/>
  <c r="M28" i="7"/>
  <c r="L28" i="7"/>
  <c r="J28" i="7"/>
  <c r="I28" i="7"/>
  <c r="BE27" i="7"/>
  <c r="AL27" i="7"/>
  <c r="AK27" i="7"/>
  <c r="AJ27" i="7"/>
  <c r="AI27" i="7"/>
  <c r="AH27" i="7"/>
  <c r="AG27" i="7"/>
  <c r="N27" i="7"/>
  <c r="K27" i="7" s="1"/>
  <c r="M27" i="7"/>
  <c r="L27" i="7"/>
  <c r="J27" i="7"/>
  <c r="I27" i="7"/>
  <c r="BE26" i="7"/>
  <c r="AL26" i="7"/>
  <c r="AI26" i="7" s="1"/>
  <c r="AK26" i="7"/>
  <c r="AJ26" i="7"/>
  <c r="AH26" i="7"/>
  <c r="AG26" i="7"/>
  <c r="N26" i="7"/>
  <c r="BF26" i="7" s="1"/>
  <c r="M26" i="7"/>
  <c r="L26" i="7"/>
  <c r="J26" i="7"/>
  <c r="I26" i="7"/>
  <c r="BE25" i="7"/>
  <c r="AL25" i="7"/>
  <c r="BF25" i="7" s="1"/>
  <c r="AK25" i="7"/>
  <c r="AJ25" i="7"/>
  <c r="AH25" i="7"/>
  <c r="AH31" i="7" s="1"/>
  <c r="AG25" i="7"/>
  <c r="N25" i="7"/>
  <c r="K25" i="7" s="1"/>
  <c r="M25" i="7"/>
  <c r="L25" i="7"/>
  <c r="L31" i="7" s="1"/>
  <c r="J25" i="7"/>
  <c r="I25" i="7"/>
  <c r="BF24" i="7"/>
  <c r="BE24" i="7"/>
  <c r="AL24" i="7"/>
  <c r="AI24" i="7" s="1"/>
  <c r="AK24" i="7"/>
  <c r="AJ24" i="7"/>
  <c r="AH24" i="7"/>
  <c r="AG24" i="7"/>
  <c r="N24" i="7"/>
  <c r="K24" i="7" s="1"/>
  <c r="M24" i="7"/>
  <c r="L24" i="7"/>
  <c r="J24" i="7"/>
  <c r="I24" i="7"/>
  <c r="BE23" i="7"/>
  <c r="AL23" i="7"/>
  <c r="BF23" i="7" s="1"/>
  <c r="AK23" i="7"/>
  <c r="AJ23" i="7"/>
  <c r="AH23" i="7"/>
  <c r="AG23" i="7"/>
  <c r="N23" i="7"/>
  <c r="K23" i="7" s="1"/>
  <c r="M23" i="7"/>
  <c r="L23" i="7"/>
  <c r="J23" i="7"/>
  <c r="I23" i="7"/>
  <c r="BE22" i="7"/>
  <c r="AL22" i="7"/>
  <c r="AI22" i="7" s="1"/>
  <c r="AK22" i="7"/>
  <c r="AJ22" i="7"/>
  <c r="AH22" i="7"/>
  <c r="AG22" i="7"/>
  <c r="N22" i="7"/>
  <c r="M22" i="7"/>
  <c r="L22" i="7"/>
  <c r="K22" i="7"/>
  <c r="J22" i="7"/>
  <c r="I22" i="7"/>
  <c r="BE21" i="7"/>
  <c r="AL21" i="7"/>
  <c r="AK21" i="7"/>
  <c r="AJ21" i="7"/>
  <c r="AH21" i="7"/>
  <c r="AG21" i="7"/>
  <c r="N21" i="7"/>
  <c r="K21" i="7" s="1"/>
  <c r="M21" i="7"/>
  <c r="L21" i="7"/>
  <c r="J21" i="7"/>
  <c r="I21" i="7"/>
  <c r="BE20" i="7"/>
  <c r="AL20" i="7"/>
  <c r="BF20" i="7" s="1"/>
  <c r="AK20" i="7"/>
  <c r="AJ20" i="7"/>
  <c r="AH20" i="7"/>
  <c r="AG20" i="7"/>
  <c r="N20" i="7"/>
  <c r="M20" i="7"/>
  <c r="L20" i="7"/>
  <c r="J20" i="7"/>
  <c r="I20" i="7"/>
  <c r="BE19" i="7"/>
  <c r="AL19" i="7"/>
  <c r="BG15" i="7" s="1" a="1"/>
  <c r="AK19" i="7"/>
  <c r="AJ19" i="7"/>
  <c r="AH19" i="7"/>
  <c r="AG19" i="7"/>
  <c r="N19" i="7"/>
  <c r="K19" i="7" s="1"/>
  <c r="M19" i="7"/>
  <c r="L19" i="7"/>
  <c r="J19" i="7"/>
  <c r="I19" i="7"/>
  <c r="BE18" i="7"/>
  <c r="AL18" i="7"/>
  <c r="AK18" i="7"/>
  <c r="AJ18" i="7"/>
  <c r="AH18" i="7"/>
  <c r="AG18" i="7"/>
  <c r="N18" i="7"/>
  <c r="K18" i="7" s="1"/>
  <c r="M18" i="7"/>
  <c r="L18" i="7"/>
  <c r="J18" i="7"/>
  <c r="I18" i="7"/>
  <c r="BE17" i="7"/>
  <c r="AL17" i="7"/>
  <c r="AK17" i="7"/>
  <c r="AJ17" i="7"/>
  <c r="AI17" i="7"/>
  <c r="AH17" i="7"/>
  <c r="AG17" i="7"/>
  <c r="N17" i="7"/>
  <c r="K17" i="7" s="1"/>
  <c r="M17" i="7"/>
  <c r="L17" i="7"/>
  <c r="J17" i="7"/>
  <c r="I17" i="7"/>
  <c r="BE16" i="7"/>
  <c r="AL16" i="7"/>
  <c r="AI16" i="7" s="1"/>
  <c r="AK16" i="7"/>
  <c r="AJ16" i="7"/>
  <c r="AH16" i="7"/>
  <c r="AG16" i="7"/>
  <c r="N16" i="7"/>
  <c r="K16" i="7" s="1"/>
  <c r="M16" i="7"/>
  <c r="L16" i="7"/>
  <c r="J16" i="7"/>
  <c r="I16" i="7"/>
  <c r="BE15" i="7"/>
  <c r="AL15" i="7"/>
  <c r="AI15" i="7" s="1"/>
  <c r="AK15" i="7"/>
  <c r="AJ15" i="7"/>
  <c r="AH15" i="7"/>
  <c r="AG15" i="7"/>
  <c r="N15" i="7"/>
  <c r="M15" i="7"/>
  <c r="L15" i="7"/>
  <c r="J15" i="7"/>
  <c r="I15" i="7"/>
  <c r="BE14" i="7"/>
  <c r="AL14" i="7"/>
  <c r="AK14" i="7"/>
  <c r="AJ14" i="7"/>
  <c r="AH14" i="7"/>
  <c r="AG14" i="7"/>
  <c r="N14" i="7"/>
  <c r="K14" i="7" s="1"/>
  <c r="M14" i="7"/>
  <c r="L14" i="7"/>
  <c r="J14" i="7"/>
  <c r="I14" i="7"/>
  <c r="BE13" i="7"/>
  <c r="AL13" i="7"/>
  <c r="AK13" i="7"/>
  <c r="AJ13" i="7"/>
  <c r="AH13" i="7"/>
  <c r="AG13" i="7"/>
  <c r="N13" i="7"/>
  <c r="K13" i="7" s="1"/>
  <c r="M13" i="7"/>
  <c r="L13" i="7"/>
  <c r="J13" i="7"/>
  <c r="I13" i="7"/>
  <c r="BE12" i="7"/>
  <c r="AL12" i="7"/>
  <c r="AI12" i="7" s="1"/>
  <c r="AK12" i="7"/>
  <c r="AJ12" i="7"/>
  <c r="AH12" i="7"/>
  <c r="AG12" i="7"/>
  <c r="N12" i="7"/>
  <c r="K12" i="7" s="1"/>
  <c r="M12" i="7"/>
  <c r="L12" i="7"/>
  <c r="J12" i="7"/>
  <c r="I12" i="7"/>
  <c r="BE11" i="7"/>
  <c r="AL11" i="7"/>
  <c r="AI11" i="7" s="1"/>
  <c r="AK11" i="7"/>
  <c r="AJ11" i="7"/>
  <c r="AH11" i="7"/>
  <c r="AG11" i="7"/>
  <c r="N11" i="7"/>
  <c r="K11" i="7" s="1"/>
  <c r="M11" i="7"/>
  <c r="L11" i="7"/>
  <c r="J11" i="7"/>
  <c r="I11" i="7"/>
  <c r="BE10" i="7"/>
  <c r="AL10" i="7"/>
  <c r="AI10" i="7" s="1"/>
  <c r="AK10" i="7"/>
  <c r="AJ10" i="7"/>
  <c r="AH10" i="7"/>
  <c r="AG10" i="7"/>
  <c r="N10" i="7"/>
  <c r="M10" i="7"/>
  <c r="L10" i="7"/>
  <c r="J10" i="7"/>
  <c r="I10" i="7"/>
  <c r="BE9" i="7"/>
  <c r="AL9" i="7"/>
  <c r="AK9" i="7"/>
  <c r="AJ9" i="7"/>
  <c r="AH9" i="7"/>
  <c r="AG9" i="7"/>
  <c r="N9" i="7"/>
  <c r="K9" i="7" s="1"/>
  <c r="M9" i="7"/>
  <c r="L9" i="7"/>
  <c r="J9" i="7"/>
  <c r="I9" i="7"/>
  <c r="BE8" i="7"/>
  <c r="AL8" i="7"/>
  <c r="AK8" i="7"/>
  <c r="AJ8" i="7"/>
  <c r="AH8" i="7"/>
  <c r="AG8" i="7"/>
  <c r="N8" i="7"/>
  <c r="M8" i="7"/>
  <c r="L8" i="7"/>
  <c r="K8" i="7"/>
  <c r="J8" i="7"/>
  <c r="I8" i="7"/>
  <c r="BE7" i="7"/>
  <c r="AL7" i="7"/>
  <c r="AK7" i="7"/>
  <c r="AJ7" i="7"/>
  <c r="AI7" i="7"/>
  <c r="AH7" i="7"/>
  <c r="AG7" i="7"/>
  <c r="N7" i="7"/>
  <c r="K7" i="7" s="1"/>
  <c r="M7" i="7"/>
  <c r="L7" i="7"/>
  <c r="J7" i="7"/>
  <c r="I7" i="7"/>
  <c r="BF6" i="7"/>
  <c r="BE6" i="7"/>
  <c r="AL6" i="7"/>
  <c r="AI6" i="7" s="1"/>
  <c r="AK6" i="7"/>
  <c r="AJ6" i="7"/>
  <c r="AH6" i="7"/>
  <c r="AG6" i="7"/>
  <c r="N6" i="7"/>
  <c r="K6" i="7" s="1"/>
  <c r="M6" i="7"/>
  <c r="L6" i="7"/>
  <c r="J6" i="7"/>
  <c r="I6" i="7"/>
  <c r="BG5" i="7" a="1"/>
  <c r="BG5" i="7" s="1"/>
  <c r="BE5" i="7"/>
  <c r="AL5" i="7"/>
  <c r="AI5" i="7" s="1"/>
  <c r="AK5" i="7"/>
  <c r="AJ5" i="7"/>
  <c r="AH5" i="7"/>
  <c r="AG5" i="7"/>
  <c r="N5" i="7"/>
  <c r="M5" i="7"/>
  <c r="L5" i="7"/>
  <c r="J5" i="7"/>
  <c r="I5" i="7"/>
  <c r="AZ16" i="6"/>
  <c r="X6" i="10" s="1"/>
  <c r="AZ15" i="6"/>
  <c r="AY15" i="6"/>
  <c r="AY16" i="6" s="1"/>
  <c r="W6" i="10" s="1"/>
  <c r="AX15" i="6"/>
  <c r="AW15" i="6"/>
  <c r="AC15" i="6"/>
  <c r="AB15" i="6"/>
  <c r="AA15" i="6"/>
  <c r="Z15" i="6"/>
  <c r="AZ13" i="6"/>
  <c r="AZ14" i="6" s="1"/>
  <c r="AY13" i="6"/>
  <c r="AY14" i="6" s="1"/>
  <c r="AX13" i="6"/>
  <c r="AX14" i="6" s="1"/>
  <c r="AW13" i="6"/>
  <c r="AW14" i="6" s="1"/>
  <c r="AC13" i="6"/>
  <c r="AB13" i="6"/>
  <c r="AA13" i="6"/>
  <c r="Z13" i="6"/>
  <c r="L12" i="6"/>
  <c r="L11" i="6"/>
  <c r="L10" i="6"/>
  <c r="AK9" i="6"/>
  <c r="AH9" i="6" s="1"/>
  <c r="AH11" i="6" s="1"/>
  <c r="AJ9" i="6"/>
  <c r="BD9" i="6" s="1"/>
  <c r="H9" i="10" s="1"/>
  <c r="AI9" i="6"/>
  <c r="BC9" i="6" s="1"/>
  <c r="G9" i="10" s="1"/>
  <c r="AG9" i="6"/>
  <c r="AG11" i="6" s="1"/>
  <c r="AF9" i="6"/>
  <c r="AE9" i="6"/>
  <c r="N9" i="6"/>
  <c r="K9" i="6" s="1"/>
  <c r="K11" i="6" s="1"/>
  <c r="M9" i="6"/>
  <c r="M11" i="6" s="1"/>
  <c r="L9" i="6"/>
  <c r="J9" i="6"/>
  <c r="J11" i="6" s="1"/>
  <c r="I9" i="6"/>
  <c r="H9" i="6"/>
  <c r="AK8" i="6"/>
  <c r="AH8" i="6" s="1"/>
  <c r="AJ8" i="6"/>
  <c r="BD8" i="6" s="1"/>
  <c r="AI8" i="6"/>
  <c r="BC8" i="6" s="1"/>
  <c r="AG8" i="6"/>
  <c r="BB8" i="6" s="1"/>
  <c r="F8" i="10" s="1"/>
  <c r="AF8" i="6"/>
  <c r="AE8" i="6"/>
  <c r="N8" i="6"/>
  <c r="K8" i="6" s="1"/>
  <c r="M8" i="6"/>
  <c r="L8" i="6"/>
  <c r="J8" i="6"/>
  <c r="I8" i="6"/>
  <c r="H8" i="6"/>
  <c r="AK7" i="6"/>
  <c r="AJ7" i="6"/>
  <c r="BD7" i="6" s="1"/>
  <c r="H7" i="10" s="1"/>
  <c r="AI7" i="6"/>
  <c r="BC7" i="6" s="1"/>
  <c r="G7" i="10" s="1"/>
  <c r="AH7" i="6"/>
  <c r="AG7" i="6"/>
  <c r="BB7" i="6" s="1"/>
  <c r="F7" i="10" s="1"/>
  <c r="AF7" i="6"/>
  <c r="AE7" i="6"/>
  <c r="N7" i="6"/>
  <c r="K7" i="6" s="1"/>
  <c r="M7" i="6"/>
  <c r="L7" i="6"/>
  <c r="J7" i="6"/>
  <c r="I7" i="6"/>
  <c r="H7" i="6"/>
  <c r="AK6" i="6"/>
  <c r="AH6" i="6" s="1"/>
  <c r="AJ6" i="6"/>
  <c r="BD6" i="6" s="1"/>
  <c r="AI6" i="6"/>
  <c r="BC6" i="6" s="1"/>
  <c r="AG6" i="6"/>
  <c r="BB6" i="6" s="1"/>
  <c r="F6" i="10" s="1"/>
  <c r="AF6" i="6"/>
  <c r="AE6" i="6"/>
  <c r="N6" i="6"/>
  <c r="K6" i="6" s="1"/>
  <c r="M6" i="6"/>
  <c r="L6" i="6"/>
  <c r="J6" i="6"/>
  <c r="I6" i="6"/>
  <c r="H6" i="6"/>
  <c r="AK5" i="6"/>
  <c r="AJ5" i="6"/>
  <c r="BD5" i="6" s="1"/>
  <c r="H5" i="10" s="1"/>
  <c r="AI5" i="6"/>
  <c r="BC5" i="6" s="1"/>
  <c r="G5" i="10" s="1"/>
  <c r="AH5" i="6"/>
  <c r="AG5" i="6"/>
  <c r="BB5" i="6" s="1"/>
  <c r="F5" i="10" s="1"/>
  <c r="AF5" i="6"/>
  <c r="AE5" i="6"/>
  <c r="N5" i="6"/>
  <c r="K5" i="6" s="1"/>
  <c r="K12" i="6" s="1"/>
  <c r="M5" i="6"/>
  <c r="L5" i="6"/>
  <c r="J5" i="6"/>
  <c r="I5" i="6"/>
  <c r="H5" i="6"/>
  <c r="AE1" i="6"/>
  <c r="H1" i="6"/>
  <c r="AZ16" i="5"/>
  <c r="X5" i="10" s="1"/>
  <c r="AZ15" i="5"/>
  <c r="AY15" i="5"/>
  <c r="AY16" i="5" s="1"/>
  <c r="W5" i="10" s="1"/>
  <c r="AX15" i="5"/>
  <c r="AX16" i="5" s="1"/>
  <c r="V5" i="10" s="1"/>
  <c r="AW15" i="5"/>
  <c r="AW16" i="5" s="1"/>
  <c r="U5" i="10" s="1"/>
  <c r="AC15" i="5"/>
  <c r="AB15" i="5"/>
  <c r="AA15" i="5"/>
  <c r="Z15" i="5"/>
  <c r="AZ13" i="5"/>
  <c r="AZ14" i="5" s="1"/>
  <c r="AY13" i="5"/>
  <c r="AY14" i="5" s="1"/>
  <c r="AX13" i="5"/>
  <c r="AX14" i="5" s="1"/>
  <c r="AW13" i="5"/>
  <c r="AW14" i="5" s="1"/>
  <c r="AC13" i="5"/>
  <c r="AB13" i="5"/>
  <c r="AA13" i="5"/>
  <c r="Z13" i="5"/>
  <c r="M12" i="5"/>
  <c r="J12" i="5"/>
  <c r="AJ11" i="5"/>
  <c r="BD11" i="5" s="1"/>
  <c r="E11" i="10" s="1"/>
  <c r="M11" i="5"/>
  <c r="J11" i="5"/>
  <c r="AG10" i="5"/>
  <c r="BB10" i="5" s="1"/>
  <c r="C10" i="10" s="1"/>
  <c r="M10" i="5"/>
  <c r="J10" i="5"/>
  <c r="BF9" i="5" a="1"/>
  <c r="BF9" i="5" s="1"/>
  <c r="BF11" i="5" s="1"/>
  <c r="BD9" i="5"/>
  <c r="E9" i="10" s="1"/>
  <c r="AK9" i="5"/>
  <c r="BE9" i="5" s="1"/>
  <c r="AJ9" i="5"/>
  <c r="AI9" i="5"/>
  <c r="AI11" i="5" s="1"/>
  <c r="BC11" i="5" s="1"/>
  <c r="D11" i="10" s="1"/>
  <c r="AG9" i="5"/>
  <c r="AG11" i="5" s="1"/>
  <c r="AF9" i="5"/>
  <c r="AE9" i="5"/>
  <c r="N9" i="5"/>
  <c r="M9" i="5"/>
  <c r="L9" i="5"/>
  <c r="L11" i="5" s="1"/>
  <c r="K9" i="5"/>
  <c r="K11" i="5" s="1"/>
  <c r="J9" i="5"/>
  <c r="I9" i="5"/>
  <c r="H9" i="5"/>
  <c r="BF8" i="5" a="1"/>
  <c r="BF8" i="5" s="1"/>
  <c r="AK8" i="5"/>
  <c r="BE8" i="5" s="1"/>
  <c r="AJ8" i="5"/>
  <c r="BD8" i="5" s="1"/>
  <c r="E8" i="10" s="1"/>
  <c r="AI8" i="5"/>
  <c r="BC8" i="5" s="1"/>
  <c r="D8" i="10" s="1"/>
  <c r="AG8" i="5"/>
  <c r="AF8" i="5"/>
  <c r="AE8" i="5"/>
  <c r="N8" i="5"/>
  <c r="M8" i="5"/>
  <c r="L8" i="5"/>
  <c r="K8" i="5"/>
  <c r="J8" i="5"/>
  <c r="I8" i="5"/>
  <c r="H8" i="5"/>
  <c r="BF7" i="5" a="1"/>
  <c r="BF7" i="5" s="1"/>
  <c r="AK7" i="5"/>
  <c r="BE7" i="5" s="1"/>
  <c r="AJ7" i="5"/>
  <c r="BD7" i="5" s="1"/>
  <c r="E7" i="10" s="1"/>
  <c r="AI7" i="5"/>
  <c r="AH7" i="5"/>
  <c r="AG7" i="5"/>
  <c r="AF7" i="5"/>
  <c r="AE7" i="5"/>
  <c r="N7" i="5"/>
  <c r="M7" i="5"/>
  <c r="L7" i="5"/>
  <c r="K7" i="5"/>
  <c r="J7" i="5"/>
  <c r="BB7" i="5" s="1"/>
  <c r="C7" i="10" s="1"/>
  <c r="I7" i="5"/>
  <c r="H7" i="5"/>
  <c r="BF6" i="5" a="1"/>
  <c r="BF6" i="5" s="1"/>
  <c r="BD6" i="5"/>
  <c r="E6" i="10" s="1"/>
  <c r="AK6" i="5"/>
  <c r="BE6" i="5" s="1"/>
  <c r="AJ6" i="5"/>
  <c r="AI6" i="5"/>
  <c r="BC6" i="5" s="1"/>
  <c r="D6" i="10" s="1"/>
  <c r="AG6" i="5"/>
  <c r="AF6" i="5"/>
  <c r="AE6" i="5"/>
  <c r="N6" i="5"/>
  <c r="M6" i="5"/>
  <c r="L6" i="5"/>
  <c r="K6" i="5"/>
  <c r="J6" i="5"/>
  <c r="I6" i="5"/>
  <c r="H6" i="5"/>
  <c r="BF5" i="5" a="1"/>
  <c r="BF5" i="5" s="1"/>
  <c r="BC5" i="5"/>
  <c r="AK5" i="5"/>
  <c r="BE5" i="5" s="1"/>
  <c r="AJ5" i="5"/>
  <c r="AJ12" i="5" s="1"/>
  <c r="BD12" i="5" s="1"/>
  <c r="E12" i="10" s="1"/>
  <c r="AI5" i="5"/>
  <c r="AG5" i="5"/>
  <c r="AG12" i="5" s="1"/>
  <c r="BB12" i="5" s="1"/>
  <c r="C12" i="10" s="1"/>
  <c r="AF5" i="5"/>
  <c r="AE5" i="5"/>
  <c r="N5" i="5"/>
  <c r="M5" i="5"/>
  <c r="L5" i="5"/>
  <c r="K5" i="5"/>
  <c r="J5" i="5"/>
  <c r="I5" i="5"/>
  <c r="H5" i="5"/>
  <c r="AE1" i="5"/>
  <c r="H1" i="5"/>
  <c r="BC35" i="3"/>
  <c r="BB35" i="3"/>
  <c r="BA35" i="3"/>
  <c r="AZ35" i="3"/>
  <c r="AE35" i="3"/>
  <c r="AD35" i="3"/>
  <c r="AC35" i="3"/>
  <c r="BA36" i="3" s="1"/>
  <c r="AB35" i="3"/>
  <c r="BB34" i="3"/>
  <c r="BA34" i="3"/>
  <c r="BC33" i="3"/>
  <c r="BB33" i="3"/>
  <c r="BA33" i="3"/>
  <c r="AZ33" i="3"/>
  <c r="AE33" i="3"/>
  <c r="AD33" i="3"/>
  <c r="AC33" i="3"/>
  <c r="AB33" i="3"/>
  <c r="BE29" i="3"/>
  <c r="AL29" i="3"/>
  <c r="AK29" i="3"/>
  <c r="AJ29" i="3"/>
  <c r="AI29" i="3"/>
  <c r="AH29" i="3"/>
  <c r="AG29" i="3"/>
  <c r="N29" i="3"/>
  <c r="K29" i="3" s="1"/>
  <c r="M29" i="3"/>
  <c r="L29" i="3"/>
  <c r="J29" i="3"/>
  <c r="I29" i="3"/>
  <c r="BE28" i="3"/>
  <c r="AL28" i="3"/>
  <c r="AK28" i="3"/>
  <c r="AJ28" i="3"/>
  <c r="AH28" i="3"/>
  <c r="AG28" i="3"/>
  <c r="N28" i="3"/>
  <c r="K28" i="3" s="1"/>
  <c r="M28" i="3"/>
  <c r="L28" i="3"/>
  <c r="J28" i="3"/>
  <c r="I28" i="3"/>
  <c r="BE27" i="3"/>
  <c r="AL27" i="3"/>
  <c r="AI27" i="3" s="1"/>
  <c r="AK27" i="3"/>
  <c r="AJ27" i="3"/>
  <c r="AH27" i="3"/>
  <c r="AG27" i="3"/>
  <c r="N27" i="3"/>
  <c r="K27" i="3" s="1"/>
  <c r="M27" i="3"/>
  <c r="L27" i="3"/>
  <c r="J27" i="3"/>
  <c r="I27" i="3"/>
  <c r="BE26" i="3"/>
  <c r="AL26" i="3"/>
  <c r="AK26" i="3"/>
  <c r="AJ26" i="3"/>
  <c r="AH26" i="3"/>
  <c r="AG26" i="3"/>
  <c r="N26" i="3"/>
  <c r="K26" i="3" s="1"/>
  <c r="M26" i="3"/>
  <c r="L26" i="3"/>
  <c r="J26" i="3"/>
  <c r="I26" i="3"/>
  <c r="BE25" i="3"/>
  <c r="AL25" i="3"/>
  <c r="AI25" i="3" s="1"/>
  <c r="AK25" i="3"/>
  <c r="AJ25" i="3"/>
  <c r="AH25" i="3"/>
  <c r="AG25" i="3"/>
  <c r="N25" i="3"/>
  <c r="M25" i="3"/>
  <c r="L25" i="3"/>
  <c r="J25" i="3"/>
  <c r="J31" i="3" s="1"/>
  <c r="I25" i="3"/>
  <c r="BE24" i="3"/>
  <c r="AL24" i="3"/>
  <c r="AK24" i="3"/>
  <c r="AJ24" i="3"/>
  <c r="AH24" i="3"/>
  <c r="AG24" i="3"/>
  <c r="N24" i="3"/>
  <c r="K24" i="3" s="1"/>
  <c r="M24" i="3"/>
  <c r="L24" i="3"/>
  <c r="J24" i="3"/>
  <c r="I24" i="3"/>
  <c r="BE23" i="3"/>
  <c r="AL23" i="3"/>
  <c r="AI23" i="3" s="1"/>
  <c r="AK23" i="3"/>
  <c r="AJ23" i="3"/>
  <c r="AH23" i="3"/>
  <c r="AG23" i="3"/>
  <c r="N23" i="3"/>
  <c r="K23" i="3" s="1"/>
  <c r="M23" i="3"/>
  <c r="L23" i="3"/>
  <c r="J23" i="3"/>
  <c r="I23" i="3"/>
  <c r="BE22" i="3"/>
  <c r="AL22" i="3"/>
  <c r="AK22" i="3"/>
  <c r="AJ22" i="3"/>
  <c r="AH22" i="3"/>
  <c r="AG22" i="3"/>
  <c r="N22" i="3"/>
  <c r="K22" i="3" s="1"/>
  <c r="M22" i="3"/>
  <c r="L22" i="3"/>
  <c r="J22" i="3"/>
  <c r="I22" i="3"/>
  <c r="BE21" i="3"/>
  <c r="AL21" i="3"/>
  <c r="AI21" i="3" s="1"/>
  <c r="AK21" i="3"/>
  <c r="AJ21" i="3"/>
  <c r="AH21" i="3"/>
  <c r="AG21" i="3"/>
  <c r="N21" i="3"/>
  <c r="BF21" i="3" s="1"/>
  <c r="M21" i="3"/>
  <c r="L21" i="3"/>
  <c r="J21" i="3"/>
  <c r="I21" i="3"/>
  <c r="BE20" i="3"/>
  <c r="AL20" i="3"/>
  <c r="AK20" i="3"/>
  <c r="AJ20" i="3"/>
  <c r="AH20" i="3"/>
  <c r="AG20" i="3"/>
  <c r="N20" i="3"/>
  <c r="K20" i="3" s="1"/>
  <c r="M20" i="3"/>
  <c r="L20" i="3"/>
  <c r="J20" i="3"/>
  <c r="I20" i="3"/>
  <c r="BE19" i="3"/>
  <c r="AL19" i="3"/>
  <c r="AI19" i="3" s="1"/>
  <c r="AK19" i="3"/>
  <c r="AJ19" i="3"/>
  <c r="AH19" i="3"/>
  <c r="AG19" i="3"/>
  <c r="N19" i="3"/>
  <c r="BF19" i="3" s="1"/>
  <c r="M19" i="3"/>
  <c r="L19" i="3"/>
  <c r="J19" i="3"/>
  <c r="I19" i="3"/>
  <c r="BE18" i="3"/>
  <c r="AL18" i="3"/>
  <c r="AK18" i="3"/>
  <c r="AJ18" i="3"/>
  <c r="AH18" i="3"/>
  <c r="AG18" i="3"/>
  <c r="N18" i="3"/>
  <c r="K18" i="3" s="1"/>
  <c r="M18" i="3"/>
  <c r="L18" i="3"/>
  <c r="J18" i="3"/>
  <c r="I18" i="3"/>
  <c r="BE17" i="3"/>
  <c r="AL17" i="3"/>
  <c r="AI17" i="3" s="1"/>
  <c r="AK17" i="3"/>
  <c r="AJ17" i="3"/>
  <c r="AH17" i="3"/>
  <c r="AG17" i="3"/>
  <c r="N17" i="3"/>
  <c r="BF17" i="3" s="1"/>
  <c r="M17" i="3"/>
  <c r="L17" i="3"/>
  <c r="J17" i="3"/>
  <c r="I17" i="3"/>
  <c r="BE16" i="3"/>
  <c r="AL16" i="3"/>
  <c r="AK16" i="3"/>
  <c r="AJ16" i="3"/>
  <c r="AH16" i="3"/>
  <c r="AG16" i="3"/>
  <c r="N16" i="3"/>
  <c r="K16" i="3" s="1"/>
  <c r="M16" i="3"/>
  <c r="L16" i="3"/>
  <c r="J16" i="3"/>
  <c r="I16" i="3"/>
  <c r="BE15" i="3"/>
  <c r="AL15" i="3"/>
  <c r="AI15" i="3" s="1"/>
  <c r="AK15" i="3"/>
  <c r="AJ15" i="3"/>
  <c r="AH15" i="3"/>
  <c r="AG15" i="3"/>
  <c r="N15" i="3"/>
  <c r="M15" i="3"/>
  <c r="L15" i="3"/>
  <c r="J15" i="3"/>
  <c r="I15" i="3"/>
  <c r="BE14" i="3"/>
  <c r="AL14" i="3"/>
  <c r="AK14" i="3"/>
  <c r="AJ14" i="3"/>
  <c r="AH14" i="3"/>
  <c r="AG14" i="3"/>
  <c r="N14" i="3"/>
  <c r="K14" i="3" s="1"/>
  <c r="M14" i="3"/>
  <c r="L14" i="3"/>
  <c r="J14" i="3"/>
  <c r="I14" i="3"/>
  <c r="BE13" i="3"/>
  <c r="AL13" i="3"/>
  <c r="AI13" i="3" s="1"/>
  <c r="AK13" i="3"/>
  <c r="AJ13" i="3"/>
  <c r="AH13" i="3"/>
  <c r="AG13" i="3"/>
  <c r="N13" i="3"/>
  <c r="BF13" i="3" s="1"/>
  <c r="M13" i="3"/>
  <c r="L13" i="3"/>
  <c r="J13" i="3"/>
  <c r="I13" i="3"/>
  <c r="BE12" i="3"/>
  <c r="AL12" i="3"/>
  <c r="AK12" i="3"/>
  <c r="AJ12" i="3"/>
  <c r="AH12" i="3"/>
  <c r="AG12" i="3"/>
  <c r="N12" i="3"/>
  <c r="K12" i="3" s="1"/>
  <c r="M12" i="3"/>
  <c r="L12" i="3"/>
  <c r="J12" i="3"/>
  <c r="I12" i="3"/>
  <c r="BE11" i="3"/>
  <c r="AL11" i="3"/>
  <c r="AI11" i="3" s="1"/>
  <c r="AK11" i="3"/>
  <c r="AJ11" i="3"/>
  <c r="AH11" i="3"/>
  <c r="AG11" i="3"/>
  <c r="N11" i="3"/>
  <c r="BF11" i="3" s="1"/>
  <c r="M11" i="3"/>
  <c r="L11" i="3"/>
  <c r="J11" i="3"/>
  <c r="I11" i="3"/>
  <c r="BE10" i="3"/>
  <c r="AL10" i="3"/>
  <c r="AK10" i="3"/>
  <c r="AJ10" i="3"/>
  <c r="AH10" i="3"/>
  <c r="AG10" i="3"/>
  <c r="N10" i="3"/>
  <c r="K10" i="3" s="1"/>
  <c r="M10" i="3"/>
  <c r="L10" i="3"/>
  <c r="J10" i="3"/>
  <c r="I10" i="3"/>
  <c r="BE9" i="3"/>
  <c r="AL9" i="3"/>
  <c r="AI9" i="3" s="1"/>
  <c r="AK9" i="3"/>
  <c r="AJ9" i="3"/>
  <c r="AH9" i="3"/>
  <c r="AG9" i="3"/>
  <c r="N9" i="3"/>
  <c r="BF9" i="3" s="1"/>
  <c r="M9" i="3"/>
  <c r="L9" i="3"/>
  <c r="J9" i="3"/>
  <c r="I9" i="3"/>
  <c r="BE8" i="3"/>
  <c r="AL8" i="3"/>
  <c r="AK8" i="3"/>
  <c r="AJ8" i="3"/>
  <c r="AH8" i="3"/>
  <c r="AG8" i="3"/>
  <c r="N8" i="3"/>
  <c r="K8" i="3" s="1"/>
  <c r="M8" i="3"/>
  <c r="L8" i="3"/>
  <c r="J8" i="3"/>
  <c r="I8" i="3"/>
  <c r="BE7" i="3"/>
  <c r="AL7" i="3"/>
  <c r="AI7" i="3" s="1"/>
  <c r="AK7" i="3"/>
  <c r="AJ7" i="3"/>
  <c r="AH7" i="3"/>
  <c r="AG7" i="3"/>
  <c r="N7" i="3"/>
  <c r="K7" i="3" s="1"/>
  <c r="M7" i="3"/>
  <c r="L7" i="3"/>
  <c r="J7" i="3"/>
  <c r="I7" i="3"/>
  <c r="BE6" i="3"/>
  <c r="AL6" i="3"/>
  <c r="AK6" i="3"/>
  <c r="AJ6" i="3"/>
  <c r="AH6" i="3"/>
  <c r="AG6" i="3"/>
  <c r="N6" i="3"/>
  <c r="K6" i="3" s="1"/>
  <c r="M6" i="3"/>
  <c r="L6" i="3"/>
  <c r="L30" i="3" s="1"/>
  <c r="J6" i="3"/>
  <c r="I6" i="3"/>
  <c r="BE5" i="3"/>
  <c r="AL5" i="3"/>
  <c r="AI5" i="3" s="1"/>
  <c r="AK5" i="3"/>
  <c r="AJ5" i="3"/>
  <c r="AH5" i="3"/>
  <c r="AG5" i="3"/>
  <c r="N5" i="3"/>
  <c r="M5" i="3"/>
  <c r="L5" i="3"/>
  <c r="J5" i="3"/>
  <c r="J30" i="3" s="1"/>
  <c r="I5" i="3"/>
  <c r="B2" i="2"/>
  <c r="B1" i="2"/>
  <c r="E52" i="1"/>
  <c r="D52" i="1"/>
  <c r="C22" i="1"/>
  <c r="BQ25" i="7"/>
  <c r="BP25" i="7"/>
  <c r="BK25" i="7"/>
  <c r="BS20" i="7"/>
  <c r="BO20" i="7"/>
  <c r="BR15" i="7"/>
  <c r="BM15" i="7"/>
  <c r="BQ10" i="7"/>
  <c r="BL10" i="7"/>
  <c r="BP5" i="7"/>
  <c r="BK5" i="7"/>
  <c r="BS25" i="3"/>
  <c r="BO25" i="3"/>
  <c r="BR20" i="3"/>
  <c r="BM20" i="3"/>
  <c r="BQ15" i="3"/>
  <c r="BL15" i="3"/>
  <c r="BI15" i="3"/>
  <c r="BP10" i="3"/>
  <c r="BK10" i="3"/>
  <c r="BS5" i="3"/>
  <c r="BO5" i="3"/>
  <c r="BK20" i="7"/>
  <c r="BR10" i="7"/>
  <c r="BL5" i="7"/>
  <c r="BK25" i="3"/>
  <c r="BM15" i="3"/>
  <c r="BK5" i="3"/>
  <c r="BS25" i="7"/>
  <c r="BO25" i="7"/>
  <c r="BR20" i="7"/>
  <c r="BM20" i="7"/>
  <c r="BQ15" i="7"/>
  <c r="BL15" i="7"/>
  <c r="BP10" i="7"/>
  <c r="BK10" i="7"/>
  <c r="BS5" i="7"/>
  <c r="BO5" i="7"/>
  <c r="BR25" i="3"/>
  <c r="BM25" i="3"/>
  <c r="BQ20" i="3"/>
  <c r="BL20" i="3"/>
  <c r="BP15" i="3"/>
  <c r="BK15" i="3"/>
  <c r="BS10" i="3"/>
  <c r="BO10" i="3"/>
  <c r="BR5" i="3"/>
  <c r="BM5" i="3"/>
  <c r="BP20" i="7"/>
  <c r="BO15" i="7"/>
  <c r="BM10" i="7"/>
  <c r="BP25" i="3"/>
  <c r="BO20" i="3"/>
  <c r="BQ10" i="3"/>
  <c r="BP5" i="3"/>
  <c r="BR25" i="7"/>
  <c r="BM25" i="7"/>
  <c r="BQ20" i="7"/>
  <c r="BL20" i="7"/>
  <c r="BP15" i="7"/>
  <c r="BK15" i="7"/>
  <c r="BS10" i="7"/>
  <c r="BO10" i="7"/>
  <c r="BR5" i="7"/>
  <c r="BM5" i="7"/>
  <c r="BQ25" i="3"/>
  <c r="BL25" i="3"/>
  <c r="BI25" i="3"/>
  <c r="BP20" i="3"/>
  <c r="BK20" i="3"/>
  <c r="BS15" i="3"/>
  <c r="BO15" i="3"/>
  <c r="BR10" i="3"/>
  <c r="BM10" i="3"/>
  <c r="BQ5" i="3"/>
  <c r="BL5" i="3"/>
  <c r="BI5" i="3"/>
  <c r="BL25" i="7"/>
  <c r="BS15" i="7"/>
  <c r="BQ5" i="7"/>
  <c r="BS20" i="3"/>
  <c r="BR15" i="3"/>
  <c r="BL10" i="3"/>
  <c r="BF12" i="5" l="1"/>
  <c r="BB11" i="5"/>
  <c r="C11" i="10" s="1"/>
  <c r="C19" i="1"/>
  <c r="BB5" i="5"/>
  <c r="C5" i="10" s="1"/>
  <c r="AH5" i="5"/>
  <c r="BC7" i="5"/>
  <c r="D7" i="10" s="1"/>
  <c r="W9" i="10"/>
  <c r="X9" i="10"/>
  <c r="BD5" i="5"/>
  <c r="E5" i="10" s="1"/>
  <c r="BB6" i="5"/>
  <c r="C6" i="10" s="1"/>
  <c r="AH6" i="5"/>
  <c r="AH10" i="5" s="1"/>
  <c r="BB8" i="5"/>
  <c r="C8" i="10" s="1"/>
  <c r="AH8" i="5"/>
  <c r="BB9" i="5"/>
  <c r="C9" i="10" s="1"/>
  <c r="AH9" i="5"/>
  <c r="AH11" i="5" s="1"/>
  <c r="BC9" i="5"/>
  <c r="D9" i="10" s="1"/>
  <c r="AI10" i="6"/>
  <c r="BC10" i="6" s="1"/>
  <c r="G10" i="10" s="1"/>
  <c r="AI12" i="6"/>
  <c r="BC12" i="6" s="1"/>
  <c r="G12" i="10" s="1"/>
  <c r="AH12" i="6"/>
  <c r="BB9" i="6"/>
  <c r="F9" i="10" s="1"/>
  <c r="AI11" i="6"/>
  <c r="BC11" i="6" s="1"/>
  <c r="G11" i="10" s="1"/>
  <c r="AK30" i="7"/>
  <c r="AI23" i="7"/>
  <c r="AI25" i="7"/>
  <c r="AI31" i="7" s="1"/>
  <c r="AJ31" i="7"/>
  <c r="AK31" i="7"/>
  <c r="BF10" i="7"/>
  <c r="BF12" i="7"/>
  <c r="BF22" i="7"/>
  <c r="AH32" i="3"/>
  <c r="AH31" i="3"/>
  <c r="AK31" i="3"/>
  <c r="AJ32" i="3"/>
  <c r="AJ31" i="3"/>
  <c r="L30" i="7"/>
  <c r="BA34" i="7"/>
  <c r="BA36" i="7"/>
  <c r="BF29" i="7"/>
  <c r="BB34" i="7"/>
  <c r="BB36" i="7"/>
  <c r="AZ34" i="7"/>
  <c r="AZ36" i="7"/>
  <c r="BG15" i="7"/>
  <c r="M31" i="7"/>
  <c r="BF13" i="7"/>
  <c r="BF16" i="7"/>
  <c r="BF27" i="7"/>
  <c r="BC34" i="7"/>
  <c r="BC36" i="7"/>
  <c r="BC34" i="3"/>
  <c r="BF8" i="3"/>
  <c r="BF12" i="3"/>
  <c r="BF16" i="3"/>
  <c r="BF20" i="3"/>
  <c r="BF24" i="3"/>
  <c r="AZ34" i="3"/>
  <c r="BB36" i="3"/>
  <c r="M30" i="3"/>
  <c r="M31" i="3"/>
  <c r="BC36" i="3"/>
  <c r="BF6" i="3"/>
  <c r="BF10" i="3"/>
  <c r="BF14" i="3"/>
  <c r="BF18" i="3"/>
  <c r="BF22" i="3"/>
  <c r="BF26" i="3"/>
  <c r="AZ36" i="3"/>
  <c r="BL31" i="7"/>
  <c r="F41" i="1" s="1"/>
  <c r="BL30" i="3"/>
  <c r="F9" i="1" s="1"/>
  <c r="BL32" i="3"/>
  <c r="F11" i="1" s="1"/>
  <c r="BI31" i="3"/>
  <c r="C10" i="1" s="1"/>
  <c r="BL31" i="3"/>
  <c r="F10" i="1" s="1"/>
  <c r="BQ31" i="3"/>
  <c r="BM31" i="7"/>
  <c r="G41" i="1" s="1"/>
  <c r="BP31" i="3"/>
  <c r="BM30" i="3"/>
  <c r="G9" i="1" s="1"/>
  <c r="BM31" i="3"/>
  <c r="G10" i="1" s="1"/>
  <c r="BO30" i="7"/>
  <c r="BS30" i="7"/>
  <c r="BK32" i="3"/>
  <c r="E11" i="1" s="1"/>
  <c r="BK31" i="3"/>
  <c r="E10" i="1" s="1"/>
  <c r="BK30" i="7"/>
  <c r="E40" i="1" s="1"/>
  <c r="BP30" i="7"/>
  <c r="BK31" i="7"/>
  <c r="E41" i="1" s="1"/>
  <c r="BP31" i="7"/>
  <c r="D54" i="1"/>
  <c r="D20" i="1"/>
  <c r="E20" i="1"/>
  <c r="D18" i="1"/>
  <c r="C52" i="1"/>
  <c r="C21" i="1"/>
  <c r="D30" i="1"/>
  <c r="D19" i="1"/>
  <c r="C33" i="1"/>
  <c r="E53" i="1"/>
  <c r="D29" i="1"/>
  <c r="D31" i="1"/>
  <c r="BO32" i="3"/>
  <c r="BF15" i="3"/>
  <c r="BG20" i="3" a="1"/>
  <c r="BG20" i="3" s="1"/>
  <c r="BF23" i="3"/>
  <c r="BF25" i="3"/>
  <c r="BF10" i="5"/>
  <c r="K15" i="7"/>
  <c r="BF21" i="7"/>
  <c r="AI21" i="7"/>
  <c r="AK32" i="3"/>
  <c r="AI6" i="3"/>
  <c r="AI8" i="3"/>
  <c r="K9" i="3"/>
  <c r="AI10" i="3"/>
  <c r="K11" i="3"/>
  <c r="AI12" i="3"/>
  <c r="K13" i="3"/>
  <c r="AI14" i="3"/>
  <c r="K15" i="3"/>
  <c r="AI16" i="3"/>
  <c r="K17" i="3"/>
  <c r="AI18" i="3"/>
  <c r="K19" i="3"/>
  <c r="AI20" i="3"/>
  <c r="K21" i="3"/>
  <c r="AI22" i="3"/>
  <c r="AI24" i="3"/>
  <c r="K25" i="3"/>
  <c r="K31" i="3" s="1"/>
  <c r="AI26" i="3"/>
  <c r="BF28" i="3"/>
  <c r="AI28" i="3"/>
  <c r="BK30" i="3"/>
  <c r="E9" i="1" s="1"/>
  <c r="BM32" i="3"/>
  <c r="G11" i="1" s="1"/>
  <c r="K12" i="5"/>
  <c r="K10" i="5"/>
  <c r="AI12" i="5"/>
  <c r="BC12" i="5" s="1"/>
  <c r="D12" i="10" s="1"/>
  <c r="AI10" i="5"/>
  <c r="BC10" i="5" s="1"/>
  <c r="D10" i="10" s="1"/>
  <c r="J12" i="6"/>
  <c r="J10" i="6"/>
  <c r="BE5" i="6"/>
  <c r="BE6" i="6"/>
  <c r="BE7" i="6"/>
  <c r="BE8" i="6"/>
  <c r="BE9" i="6"/>
  <c r="AH10" i="6"/>
  <c r="BF7" i="7"/>
  <c r="K10" i="7"/>
  <c r="AI18" i="7"/>
  <c r="BF18" i="7"/>
  <c r="BR31" i="7"/>
  <c r="K26" i="7"/>
  <c r="BS32" i="3"/>
  <c r="BG10" i="3" a="1"/>
  <c r="BG10" i="3" s="1"/>
  <c r="BS31" i="3"/>
  <c r="AX16" i="6"/>
  <c r="V6" i="10" s="1"/>
  <c r="V9" i="10" s="1"/>
  <c r="AI8" i="7"/>
  <c r="BF8" i="7"/>
  <c r="BF15" i="7"/>
  <c r="BQ31" i="7"/>
  <c r="BP32" i="3"/>
  <c r="F52" i="1"/>
  <c r="L32" i="3"/>
  <c r="AH30" i="3"/>
  <c r="BG5" i="3" a="1"/>
  <c r="BG5" i="3" s="1"/>
  <c r="BQ30" i="3"/>
  <c r="BG15" i="3" a="1"/>
  <c r="BG15" i="3" s="1"/>
  <c r="L31" i="3"/>
  <c r="BG25" i="3" a="1"/>
  <c r="BG25" i="3" s="1"/>
  <c r="BG31" i="3" s="1"/>
  <c r="BF27" i="3"/>
  <c r="AJ30" i="3"/>
  <c r="BO30" i="3"/>
  <c r="J32" i="3"/>
  <c r="BQ32" i="3"/>
  <c r="L12" i="5"/>
  <c r="L10" i="5"/>
  <c r="AJ10" i="5"/>
  <c r="BD10" i="5" s="1"/>
  <c r="E10" i="10" s="1"/>
  <c r="BL30" i="7"/>
  <c r="F40" i="1" s="1"/>
  <c r="BL32" i="7"/>
  <c r="F42" i="1" s="1"/>
  <c r="BQ30" i="7"/>
  <c r="BQ32" i="7"/>
  <c r="BF11" i="7"/>
  <c r="AI14" i="7"/>
  <c r="BF14" i="7"/>
  <c r="BF17" i="7"/>
  <c r="K20" i="7"/>
  <c r="K31" i="7"/>
  <c r="BG25" i="7" a="1"/>
  <c r="BG25" i="7" s="1"/>
  <c r="BG31" i="7" s="1"/>
  <c r="BF28" i="7"/>
  <c r="BF5" i="3"/>
  <c r="BF7" i="3"/>
  <c r="BO31" i="3"/>
  <c r="BS30" i="3"/>
  <c r="J30" i="7"/>
  <c r="J32" i="7"/>
  <c r="BF19" i="7"/>
  <c r="AI19" i="7"/>
  <c r="K5" i="3"/>
  <c r="E19" i="1"/>
  <c r="F53" i="1"/>
  <c r="M32" i="3"/>
  <c r="BR30" i="3"/>
  <c r="BR31" i="3"/>
  <c r="BF29" i="3"/>
  <c r="AK30" i="3"/>
  <c r="BP30" i="3"/>
  <c r="BR32" i="3"/>
  <c r="M12" i="6"/>
  <c r="M10" i="6"/>
  <c r="AG12" i="6"/>
  <c r="BB12" i="6" s="1"/>
  <c r="F12" i="10" s="1"/>
  <c r="AG10" i="6"/>
  <c r="BB10" i="6" s="1"/>
  <c r="F10" i="10" s="1"/>
  <c r="BF5" i="6" a="1"/>
  <c r="BF5" i="6" s="1"/>
  <c r="BF6" i="6" a="1"/>
  <c r="BF6" i="6" s="1"/>
  <c r="BF7" i="6" a="1"/>
  <c r="BF7" i="6" s="1"/>
  <c r="BF8" i="6" a="1"/>
  <c r="BF8" i="6" s="1"/>
  <c r="BB11" i="6"/>
  <c r="F11" i="10" s="1"/>
  <c r="BF9" i="6" a="1"/>
  <c r="BF9" i="6" s="1"/>
  <c r="BF11" i="6" s="1"/>
  <c r="K10" i="6"/>
  <c r="K5" i="7"/>
  <c r="AJ32" i="7"/>
  <c r="AJ30" i="7"/>
  <c r="BF5" i="7"/>
  <c r="BF9" i="7"/>
  <c r="AI9" i="7"/>
  <c r="AI13" i="7"/>
  <c r="AI30" i="7" s="1"/>
  <c r="AJ10" i="6"/>
  <c r="BD10" i="6" s="1"/>
  <c r="H10" i="10" s="1"/>
  <c r="AJ11" i="6"/>
  <c r="BD11" i="6" s="1"/>
  <c r="H11" i="10" s="1"/>
  <c r="AJ12" i="6"/>
  <c r="L32" i="7"/>
  <c r="AH30" i="7"/>
  <c r="BM32" i="7"/>
  <c r="G42" i="1" s="1"/>
  <c r="BM30" i="7"/>
  <c r="G40" i="1" s="1"/>
  <c r="BR32" i="7"/>
  <c r="BR30" i="7"/>
  <c r="BG10" i="7" a="1"/>
  <c r="BG10" i="7" s="1"/>
  <c r="AI20" i="7"/>
  <c r="BG20" i="7" a="1"/>
  <c r="BG20" i="7" s="1"/>
  <c r="J31" i="7"/>
  <c r="AW16" i="6"/>
  <c r="U6" i="10" s="1"/>
  <c r="U9" i="10" s="1"/>
  <c r="M30" i="7"/>
  <c r="M32" i="7"/>
  <c r="BO32" i="7"/>
  <c r="BS32" i="7"/>
  <c r="AH32" i="7"/>
  <c r="BO31" i="7"/>
  <c r="BS31" i="7"/>
  <c r="AK32" i="7"/>
  <c r="BK32" i="7"/>
  <c r="E42" i="1" s="1"/>
  <c r="BP32" i="7"/>
  <c r="BI15" i="7"/>
  <c r="BI10" i="3"/>
  <c r="BJ5" i="3"/>
  <c r="BJ25" i="7"/>
  <c r="BJ15" i="3"/>
  <c r="BJ15" i="7"/>
  <c r="BJ10" i="3"/>
  <c r="BI5" i="7"/>
  <c r="BJ20" i="3"/>
  <c r="BI20" i="7"/>
  <c r="BI25" i="7"/>
  <c r="BI10" i="7"/>
  <c r="BJ20" i="7"/>
  <c r="BJ5" i="7"/>
  <c r="BJ25" i="3"/>
  <c r="BI20" i="3"/>
  <c r="BJ10" i="7"/>
  <c r="AH12" i="5" l="1"/>
  <c r="BG30" i="7"/>
  <c r="AI32" i="7"/>
  <c r="AI31" i="3"/>
  <c r="AI30" i="3"/>
  <c r="C55" i="1"/>
  <c r="F55" i="1"/>
  <c r="D55" i="1"/>
  <c r="BG32" i="7"/>
  <c r="C43" i="1"/>
  <c r="E55" i="1"/>
  <c r="C44" i="1"/>
  <c r="F54" i="1"/>
  <c r="C13" i="1"/>
  <c r="C54" i="1"/>
  <c r="C12" i="1"/>
  <c r="E54" i="1"/>
  <c r="BJ31" i="3"/>
  <c r="D10" i="1" s="1"/>
  <c r="BI31" i="7"/>
  <c r="C41" i="1" s="1"/>
  <c r="BJ31" i="7"/>
  <c r="D41" i="1" s="1"/>
  <c r="BI32" i="3"/>
  <c r="C11" i="1" s="1"/>
  <c r="BI30" i="3"/>
  <c r="C9" i="1" s="1"/>
  <c r="H40" i="1"/>
  <c r="I10" i="1"/>
  <c r="I40" i="1"/>
  <c r="J10" i="1"/>
  <c r="I41" i="1"/>
  <c r="L40" i="1"/>
  <c r="L42" i="1"/>
  <c r="BJ32" i="7"/>
  <c r="D42" i="1" s="1"/>
  <c r="BJ30" i="7"/>
  <c r="D40" i="1" s="1"/>
  <c r="H10" i="1"/>
  <c r="E18" i="1"/>
  <c r="C18" i="1"/>
  <c r="H11" i="1"/>
  <c r="K32" i="7"/>
  <c r="K30" i="7"/>
  <c r="C29" i="1"/>
  <c r="K11" i="1"/>
  <c r="K10" i="1"/>
  <c r="K30" i="3"/>
  <c r="K32" i="3"/>
  <c r="J40" i="1"/>
  <c r="H9" i="1"/>
  <c r="J9" i="1"/>
  <c r="L10" i="1"/>
  <c r="C20" i="1"/>
  <c r="C53" i="1"/>
  <c r="C32" i="1"/>
  <c r="C30" i="1"/>
  <c r="D53" i="1"/>
  <c r="K41" i="1"/>
  <c r="L41" i="1"/>
  <c r="BD12" i="6"/>
  <c r="H12" i="10" s="1"/>
  <c r="I42" i="1"/>
  <c r="H41" i="1"/>
  <c r="H42" i="1"/>
  <c r="K40" i="1"/>
  <c r="E30" i="1"/>
  <c r="C31" i="1"/>
  <c r="I9" i="1"/>
  <c r="AI32" i="3"/>
  <c r="BF12" i="6"/>
  <c r="BF10" i="6"/>
  <c r="J41" i="1"/>
  <c r="L11" i="1"/>
  <c r="K42" i="1"/>
  <c r="E29" i="1"/>
  <c r="BI32" i="7"/>
  <c r="C42" i="1" s="1"/>
  <c r="BI30" i="7"/>
  <c r="C40" i="1" s="1"/>
  <c r="K9" i="1"/>
  <c r="L9" i="1"/>
  <c r="BJ32" i="3"/>
  <c r="D11" i="1" s="1"/>
  <c r="BJ30" i="3"/>
  <c r="D9" i="1" s="1"/>
  <c r="J42" i="1"/>
  <c r="J11" i="1"/>
  <c r="BG30" i="3"/>
  <c r="BG32" i="3"/>
  <c r="I11" i="1"/>
  <c r="E31" i="1" l="1"/>
</calcChain>
</file>

<file path=xl/sharedStrings.xml><?xml version="1.0" encoding="utf-8"?>
<sst xmlns="http://schemas.openxmlformats.org/spreadsheetml/2006/main" count="1412" uniqueCount="573">
  <si>
    <t>Reference:</t>
  </si>
  <si>
    <t>master+r5.2</t>
  </si>
  <si>
    <t>Tested:</t>
  </si>
  <si>
    <t>mpeg126-integration+r60rc02</t>
  </si>
  <si>
    <t>All Intra</t>
  </si>
  <si>
    <t>C2_ai</t>
  </si>
  <si>
    <t>lossy geometry, lossy attributes [all intra]</t>
  </si>
  <si>
    <t>Geom. BD‑TotGeomRate [%]</t>
  </si>
  <si>
    <t>End-to-End BD‑AttrRate [%]</t>
  </si>
  <si>
    <t>Geom. BD‑TotalRate [%]</t>
  </si>
  <si>
    <t>End-to-End BD‑TotalRate [%]</t>
  </si>
  <si>
    <t>D1</t>
  </si>
  <si>
    <t>D2</t>
  </si>
  <si>
    <t>Luma</t>
  </si>
  <si>
    <t>Chroma Cb</t>
  </si>
  <si>
    <t>Chroma Cr</t>
  </si>
  <si>
    <t>Cat2-A average</t>
  </si>
  <si>
    <t>Cat2-B average</t>
  </si>
  <si>
    <t>Overall average</t>
  </si>
  <si>
    <t>Avg. Enc Time [%]</t>
  </si>
  <si>
    <t>Avg. Dec Time [%]</t>
  </si>
  <si>
    <t>CW_ai</t>
  </si>
  <si>
    <t>lossless geometry, lossless attributes [all intra]</t>
  </si>
  <si>
    <t>bpip ratio [%]</t>
  </si>
  <si>
    <t>Geometry</t>
  </si>
  <si>
    <t>Total</t>
  </si>
  <si>
    <t>Colour</t>
  </si>
  <si>
    <t>Inter, Low Delay</t>
  </si>
  <si>
    <t>CW_ld</t>
  </si>
  <si>
    <t>lossless geometry, lossless attributes [inter, low delay]</t>
  </si>
  <si>
    <t>Inter, Random Access</t>
  </si>
  <si>
    <t>C2_ra</t>
  </si>
  <si>
    <t>lossy geometry, lossy attributes [inter, random access]</t>
  </si>
  <si>
    <t>Encoder runtime [%]</t>
  </si>
  <si>
    <t>Decoder runtime [%]</t>
  </si>
  <si>
    <t>Self</t>
  </si>
  <si>
    <t>Child</t>
  </si>
  <si>
    <t>Condition:</t>
  </si>
  <si>
    <t>← Select this …</t>
  </si>
  <si>
    <t>Columns</t>
  </si>
  <si>
    <t>C2 lossyG,lossyA,intra</t>
  </si>
  <si>
    <t>CW losslG,losslA,intra</t>
  </si>
  <si>
    <t>CW losslG,losslA,interLD</t>
  </si>
  <si>
    <t>C2 lossyG,lossyA,interRA</t>
  </si>
  <si>
    <t>Sequence:</t>
  </si>
  <si>
    <t>← … then this</t>
  </si>
  <si>
    <t>dec.cb-hpsnr</t>
  </si>
  <si>
    <t>Chroma Cb EtE Hausdorff PSNR</t>
  </si>
  <si>
    <t>names!$B$74:$X$74</t>
  </si>
  <si>
    <t>names!$B$137:$W$137</t>
  </si>
  <si>
    <t>names!$B$200:$W$200</t>
  </si>
  <si>
    <t>names!$B$274:$X$274</t>
  </si>
  <si>
    <t>dec.cb-psnr</t>
  </si>
  <si>
    <t>Chroma Cb End-to-end PSNR</t>
  </si>
  <si>
    <t>8ivfbv2_loot_vox10</t>
  </si>
  <si>
    <t>X:</t>
  </si>
  <si>
    <t>eqn.bpp</t>
  </si>
  <si>
    <t>Y:</t>
  </si>
  <si>
    <t>dec.d1-psnr</t>
  </si>
  <si>
    <t>← settings for graph a</t>
  </si>
  <si>
    <t>dec.cr-hpsnr</t>
  </si>
  <si>
    <t>Chroma Cr EtE Hausdorff PSNR</t>
  </si>
  <si>
    <t>8ivfbv2_redandblack_vox10</t>
  </si>
  <si>
    <t>dec.d2-psnr</t>
  </si>
  <si>
    <t>← settings for graph b</t>
  </si>
  <si>
    <t>dec.cr-psnr</t>
  </si>
  <si>
    <t>Chroma Cr End-to-end PSNR</t>
  </si>
  <si>
    <t>8ivfbv2_soldier_vox10</t>
  </si>
  <si>
    <t>dec.y-psnr</t>
  </si>
  <si>
    <t>← settings for graph c</t>
  </si>
  <si>
    <t>dec.d1-mse</t>
  </si>
  <si>
    <t>D1 Geometry MSE</t>
  </si>
  <si>
    <t>queen</t>
  </si>
  <si>
    <t>← settings for graph d</t>
  </si>
  <si>
    <t>D1 Geometry PSNR</t>
  </si>
  <si>
    <t>8ivfbv2_longdress_vox10</t>
  </si>
  <si>
    <t>← settings for graph e</t>
  </si>
  <si>
    <t>dec.d2-mse</t>
  </si>
  <si>
    <t>D2 Geometry MSE</t>
  </si>
  <si>
    <t>dec.reflectance-psnr</t>
  </si>
  <si>
    <t>← settings for graph f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</si>
  <si>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</si>
  <si>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</si>
  <si>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</si>
  <si>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</si>
  <si>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</si>
  <si>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</si>
  <si>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</si>
  <si>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</si>
  <si>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</si>
  <si>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</si>
  <si>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</si>
  <si>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</si>
  <si>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</si>
  <si>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</si>
  <si>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</si>
  <si>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</si>
  <si>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</si>
  <si>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</si>
  <si>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</si>
  <si>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</si>
  <si>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</si>
  <si>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</si>
  <si>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</si>
  <si>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</si>
  <si>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</si>
  <si>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</si>
  <si>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</si>
  <si>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</si>
  <si>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</si>
  <si>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</si>
  <si>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</si>
  <si>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</si>
  <si>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</si>
  <si>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</si>
  <si>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</si>
  <si>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</si>
  <si>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</si>
  <si>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</si>
  <si>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</si>
  <si>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</si>
  <si>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</si>
  <si>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</si>
  <si>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</si>
  <si>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</si>
  <si>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</si>
  <si>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</si>
  <si>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</si>
  <si>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</si>
  <si>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</si>
  <si>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</si>
  <si>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</si>
  <si>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</si>
  <si>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</si>
  <si>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</si>
  <si>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</si>
  <si>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</si>
  <si>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</si>
  <si>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</si>
  <si>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C2_ai — lossy geometry, lossy attributes [all intra]</t>
  </si>
  <si>
    <t>Class</t>
  </si>
  <si>
    <t>Sequence</t>
  </si>
  <si>
    <t>Variant</t>
  </si>
  <si>
    <t>№ input points</t>
  </si>
  <si>
    <t>Geometry precision [bits]</t>
  </si>
  <si>
    <t>№ frames</t>
  </si>
  <si>
    <t>Frame rate [fps]</t>
  </si>
  <si>
    <t>Rate [Mbps]</t>
  </si>
  <si>
    <t>Bits per input point [bpip]</t>
  </si>
  <si>
    <t>A.eqn.bits.totalgeometry Bitstream [bits]</t>
  </si>
  <si>
    <t>Total Bits per output point [bpop]</t>
  </si>
  <si>
    <t>Bitstream [bits]</t>
  </si>
  <si>
    <t>Geometry PSNR [dB]</t>
  </si>
  <si>
    <t>End-to-end PSNR [dB]</t>
  </si>
  <si>
    <t>Encoder runtime [s]</t>
  </si>
  <si>
    <t>Decoder runtime [s]</t>
  </si>
  <si>
    <t>B.eqn.bits.totalgeometry Bitstream [bits]</t>
  </si>
  <si>
    <t>Shift in duppoint ratio [pp]</t>
  </si>
  <si>
    <t>Shift in G:T bits ratio [pp]</t>
  </si>
  <si>
    <t>Tot.Geom</t>
  </si>
  <si>
    <t xml:space="preserve">Colour </t>
  </si>
  <si>
    <t>Occ+Patch</t>
  </si>
  <si>
    <t>class</t>
  </si>
  <si>
    <t>sequence</t>
  </si>
  <si>
    <t>variant</t>
  </si>
  <si>
    <t>src.numpoints</t>
  </si>
  <si>
    <t>src.geometry-precision</t>
  </si>
  <si>
    <t>src.framecount</t>
  </si>
  <si>
    <t>src.framerate</t>
  </si>
  <si>
    <t>A.eqn.bitrate</t>
  </si>
  <si>
    <t>A.eqn.bpp</t>
  </si>
  <si>
    <t>A.eqn.bpp.geometry+occ+patch</t>
  </si>
  <si>
    <t>A.eqn.bpp.geometry</t>
  </si>
  <si>
    <t>A.eqn.bpp.colour</t>
  </si>
  <si>
    <t>A.eqn.bits.totalgeometry</t>
  </si>
  <si>
    <t>A.eqn.bpop</t>
  </si>
  <si>
    <t>A.dec.numpoints</t>
  </si>
  <si>
    <t>A.dec.numpoints.mean</t>
  </si>
  <si>
    <t>A.dec.numduppoints.mean</t>
  </si>
  <si>
    <t>A.enc.ext.bits</t>
  </si>
  <si>
    <t>A.enc.bits.geometry</t>
  </si>
  <si>
    <t>A.enc.bits.occ+patch</t>
  </si>
  <si>
    <t>A.enc.bits.colour</t>
  </si>
  <si>
    <t>A.dec.d1-psnr</t>
  </si>
  <si>
    <t>A.dec.d2-psnr</t>
  </si>
  <si>
    <t>A.dec.y-psnr</t>
  </si>
  <si>
    <t>A.dec.cb-psnr</t>
  </si>
  <si>
    <t>A.dec.cr-psnr</t>
  </si>
  <si>
    <t>A.enc.utime.self</t>
  </si>
  <si>
    <t>A.enc.utime.children</t>
  </si>
  <si>
    <t>A.dec.utime.self</t>
  </si>
  <si>
    <t>A.dec.utime.children</t>
  </si>
  <si>
    <t>B.eqn.bitrate</t>
  </si>
  <si>
    <t>B.eqn.bpp</t>
  </si>
  <si>
    <t>B.eqn.bpp.geometry+occ+patch</t>
  </si>
  <si>
    <t>B.eqn.bpp.geometry</t>
  </si>
  <si>
    <t>B.eqn.bpp.colour</t>
  </si>
  <si>
    <t>B.eqn.bits.totalgeometry</t>
  </si>
  <si>
    <t>B.eqn.bpop</t>
  </si>
  <si>
    <t>B.dec.numpoints</t>
  </si>
  <si>
    <t>B.dec.numpoints.mean</t>
  </si>
  <si>
    <t>B.dec.numduppoints.mean</t>
  </si>
  <si>
    <t>B.enc.ext.bits</t>
  </si>
  <si>
    <t>B.enc.bits.geometry</t>
  </si>
  <si>
    <t>B.enc.bits.occ+patch</t>
  </si>
  <si>
    <t>B.enc.bits.colour</t>
  </si>
  <si>
    <t>B.dec.d1-psnr</t>
  </si>
  <si>
    <t>B.dec.d2-psnr</t>
  </si>
  <si>
    <t>B.dec.y-psnr</t>
  </si>
  <si>
    <t>B.dec.cb-psnr</t>
  </si>
  <si>
    <t>B.dec.cr-psnr</t>
  </si>
  <si>
    <t>B.enc.utime.self</t>
  </si>
  <si>
    <t>B.enc.utime.children</t>
  </si>
  <si>
    <t>B.dec.utime.self</t>
  </si>
  <si>
    <t>B.dec.utime.children</t>
  </si>
  <si>
    <t>eqn.ab.delta-duppoints_ratio</t>
  </si>
  <si>
    <t>eqn.ab.delta-geom_texture_bits_ratio</t>
  </si>
  <si>
    <t>eqn.ab.summary-delta-geom_texture_bits_ratio</t>
  </si>
  <si>
    <t>eqn.ab.bdrate-d1-geomrate</t>
  </si>
  <si>
    <t>eqn.ab.bdrate-d2-geomrate</t>
  </si>
  <si>
    <t>eqn.ab.bdrate-y-attrrate</t>
  </si>
  <si>
    <t>eqn.ab.bdrate-cb-attrrate</t>
  </si>
  <si>
    <t>eqn.ab.bdrate-cr-attrrate</t>
  </si>
  <si>
    <t>eqn.ab.bdrate-d1</t>
  </si>
  <si>
    <t>eqn.ab.bdrate-d2</t>
  </si>
  <si>
    <t>eqn.ab.bdrate-y</t>
  </si>
  <si>
    <t>eqn.ab.bdrate-cb</t>
  </si>
  <si>
    <t>eqn.ab.bdrate-cr</t>
  </si>
  <si>
    <t>cat2-A</t>
  </si>
  <si>
    <t>r01</t>
  </si>
  <si>
    <t>r02</t>
  </si>
  <si>
    <t>r03</t>
  </si>
  <si>
    <t>r04</t>
  </si>
  <si>
    <t>r05</t>
  </si>
  <si>
    <t>cat2-B</t>
  </si>
  <si>
    <t>Overall</t>
  </si>
  <si>
    <t>Total time [s]</t>
  </si>
  <si>
    <t>Total time [%]</t>
  </si>
  <si>
    <t>Avg (geometric) time [s]</t>
  </si>
  <si>
    <t>Avg (geometric) time [%]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</si>
  <si>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</si>
  <si>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</si>
  <si>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</si>
  <si>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</si>
  <si>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</si>
  <si>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</si>
  <si>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</si>
  <si>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</si>
  <si>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</si>
  <si>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lossyG,lossyA,intra.A.eqn.bpp.geometry+occ+patch</t>
  </si>
  <si>
    <t>col.C2 lossyG,lossyA,intra.A.eqn.bpp.geometry</t>
  </si>
  <si>
    <t>col.C2 lossyG,lossyA,intra.A.eqn.bpp.colour</t>
  </si>
  <si>
    <t>col.C2 lossyG,lossyA,intra.A.eqn.bits.totalgeometry</t>
  </si>
  <si>
    <t>col.C2 lossyG,lossyA,intra.A.eqn.bpop</t>
  </si>
  <si>
    <t>col.C2 lossyG,lossyA,intra.A.dec.numpoints</t>
  </si>
  <si>
    <t>col.C2 lossyG,lossyA,intra.A.dec.numpoints.mean</t>
  </si>
  <si>
    <t>col.C2 lossyG,lossyA,intra.A.dec.numduppoints.mean</t>
  </si>
  <si>
    <t>col.C2 lossyG,lossyA,intra.A.enc.ext.bits</t>
  </si>
  <si>
    <t>col.C2 lossyG,lossyA,intra.A.enc.bits.geometry</t>
  </si>
  <si>
    <t>col.C2 lossyG,lossyA,intra.A.enc.bits.occ+patch</t>
  </si>
  <si>
    <t>col.C2 lossyG,lossyA,intra.A.enc.bits.colour</t>
  </si>
  <si>
    <t>col.C2 lossyG,lossyA,intra.A.dec.d1-psnr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</si>
  <si>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</si>
  <si>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</si>
  <si>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</si>
  <si>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</si>
  <si>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lossyG,lossyA,intra.A.enc.utime.self</t>
  </si>
  <si>
    <t>col.C2 lossyG,lossyA,intra.A.enc.utime.children</t>
  </si>
  <si>
    <t>col.C2 lossyG,lossyA,intra.A.dec.utime.self</t>
  </si>
  <si>
    <t>col.C2 lossyG,lossyA,intra.A.dec.utime.children</t>
  </si>
  <si>
    <t>col.C2 lossyG,lossyA,intra.B.eqn.bitrate</t>
  </si>
  <si>
    <t>col.C2 lossyG,lossyA,intra.B.eqn.bpp</t>
  </si>
  <si>
    <t>col.C2 lossyG,lossyA,intra.B.eqn.bpp.geometry+occ+patch</t>
  </si>
  <si>
    <t>col.C2 lossyG,lossyA,intra.B.eqn.bpp.geometry</t>
  </si>
  <si>
    <t>col.C2 lossyG,lossyA,intra.B.eqn.bpp.colour</t>
  </si>
  <si>
    <t>col.C2 lossyG,lossyA,intra.B.eqn.bits.totalgeometry</t>
  </si>
  <si>
    <t>col.C2 lossyG,lossyA,intra.B.eqn.bpop</t>
  </si>
  <si>
    <t>col.C2 lossyG,lossyA,intra.B.dec.numpoints</t>
  </si>
  <si>
    <t>col.C2 lossyG,lossyA,intra.B.dec.numpoints.mean</t>
  </si>
  <si>
    <t>col.C2 lossyG,lossyA,intra.B.dec.numduppoints.mean</t>
  </si>
  <si>
    <t>col.C2 lossyG,lossyA,intra.B.enc.ext.bits</t>
  </si>
  <si>
    <t>col.C2 lossyG,lossyA,intra.B.enc.bits.geometry</t>
  </si>
  <si>
    <t>col.C2 lossyG,lossyA,intra.B.enc.bits.occ+patch</t>
  </si>
  <si>
    <t>col.C2 lossyG,lossyA,intra.B.enc.bits.colour</t>
  </si>
  <si>
    <t>col.C2 lossyG,lossyA,intra.B.dec.d1-psnr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</si>
  <si>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</si>
  <si>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</si>
  <si>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</si>
  <si>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</si>
  <si>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lossyG,lossyA,intra.B.enc.utime.self</t>
  </si>
  <si>
    <t>col.C2 lossyG,lossyA,intra.B.enc.utime.children</t>
  </si>
  <si>
    <t>col.C2 lossyG,lossyA,intra.B.dec.utime.self</t>
  </si>
  <si>
    <t>col.C2 lossyG,lossyA,intra.B.dec.utime.children</t>
  </si>
  <si>
    <t>col.C2 lossyG,lossyA,intra.eqn.ab.delta-duppoints_ratio</t>
  </si>
  <si>
    <t>col.C2 lossyG,lossyA,intra.eqn.ab.delta-geom_texture_bits_ratio</t>
  </si>
  <si>
    <t>col.C2 lossyG,lossyA,intra.eqn.ab.summary-delta-geom_texture_bits_ratio</t>
  </si>
  <si>
    <t>col.C2 lossyG,lossyA,intra.eqn.ab.bdrate-d1-geomrate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</si>
  <si>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</si>
  <si>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</si>
  <si>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</si>
  <si>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</si>
  <si>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lossyG,lossyA,intra.eqn.ab.bdrate-d1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</si>
  <si>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</si>
  <si>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</si>
  <si>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</si>
  <si>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</si>
  <si>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name.A.C2 lossyG,lossyA,intra</t>
  </si>
  <si>
    <t>'C2 lossyG,lossyA,intra'!$I$1</t>
  </si>
  <si>
    <t>name.B.C2 lossyG,lossyA,intra</t>
  </si>
  <si>
    <t>'C2 lossyG,lossyA,intra'!$AG$1</t>
  </si>
  <si>
    <t>range.C2 lossyG,lossyA,intra.8ivfbv2_loot_vox10</t>
  </si>
  <si>
    <t>'C2 lossyG,lossyA,intra'!$A$5:$BS$9</t>
  </si>
  <si>
    <t>range.C2 lossyG,lossyA,intra.8ivfbv2_redandblack_vox10</t>
  </si>
  <si>
    <t>'C2 lossyG,lossyA,intra'!$A$10:$BS$14</t>
  </si>
  <si>
    <t>range.C2 lossyG,lossyA,intra.8ivfbv2_soldier_vox10</t>
  </si>
  <si>
    <t>'C2 lossyG,lossyA,intra'!$A$15:$BS$19</t>
  </si>
  <si>
    <t>range.C2 lossyG,lossyA,intra.queen</t>
  </si>
  <si>
    <t>'C2 lossyG,lossyA,intra'!$A$20:$BS$24</t>
  </si>
  <si>
    <t>range.C2 lossyG,lossyA,intra.8ivfbv2_longdress_vox10</t>
  </si>
  <si>
    <t>'C2 lossyG,lossyA,intra'!$A$25:$BS$29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</si>
  <si>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</si>
  <si>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</si>
  <si>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</si>
  <si>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</si>
  <si>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</si>
  <si>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</si>
  <si>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</si>
  <si>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</si>
  <si>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</si>
  <si>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</si>
  <si>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</si>
  <si>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</si>
  <si>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</si>
  <si>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</si>
  <si>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</si>
  <si>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</si>
  <si>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</si>
  <si>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</si>
  <si>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</si>
  <si>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</si>
  <si>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</si>
  <si>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</si>
  <si>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</si>
  <si>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</si>
  <si>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</si>
  <si>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</si>
  <si>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</si>
  <si>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</si>
  <si>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</si>
  <si>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</si>
  <si>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</si>
  <si>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</si>
  <si>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</si>
  <si>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</si>
  <si>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</si>
  <si>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</si>
  <si>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</si>
  <si>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</si>
  <si>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</si>
  <si>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</si>
  <si>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</si>
  <si>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</si>
  <si>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</si>
  <si>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</si>
  <si>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</si>
  <si>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</si>
  <si>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</si>
  <si>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</si>
  <si>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</si>
  <si>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</si>
  <si>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</si>
  <si>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col.CW losslG,losslA,intra.eqn.ab.ratio-bpp</t>
  </si>
  <si>
    <t>col.CW losslG,losslA,intra.eqn.ab.ratio-bpp-geometry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</si>
  <si>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</si>
  <si>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</si>
  <si>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</si>
  <si>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</si>
  <si>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</si>
  <si>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</si>
  <si>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</si>
  <si>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</si>
  <si>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</si>
  <si>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</si>
  <si>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</si>
  <si>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</si>
  <si>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</si>
  <si>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</si>
  <si>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</si>
  <si>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</si>
  <si>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</si>
  <si>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cols.CW losslG,losslA,intra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</si>
  <si>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</si>
  <si>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</si>
  <si>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</si>
  <si>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</si>
  <si>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</si>
  <si>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</si>
  <si>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</si>
  <si>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</si>
  <si>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</si>
  <si>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</si>
  <si>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</si>
  <si>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</si>
  <si>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</si>
  <si>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</si>
  <si>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</si>
  <si>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</si>
  <si>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</si>
  <si>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</si>
  <si>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</si>
  <si>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</si>
  <si>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</si>
  <si>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</si>
  <si>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</si>
  <si>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</si>
  <si>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</si>
  <si>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</si>
  <si>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</si>
  <si>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</si>
  <si>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</si>
  <si>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</si>
  <si>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</si>
  <si>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</si>
  <si>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</si>
  <si>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</si>
  <si>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</si>
  <si>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</si>
  <si>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</si>
  <si>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</si>
  <si>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</si>
  <si>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</si>
  <si>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</si>
  <si>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</si>
  <si>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</si>
  <si>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</si>
  <si>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</si>
  <si>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</si>
  <si>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</si>
  <si>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</si>
  <si>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</si>
  <si>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</si>
  <si>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</si>
  <si>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</si>
  <si>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</si>
  <si>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</si>
  <si>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</si>
  <si>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</si>
  <si>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</si>
  <si>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</si>
  <si>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</si>
  <si>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</si>
  <si>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</si>
  <si>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</si>
  <si>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</si>
  <si>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</si>
  <si>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</si>
  <si>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</si>
  <si>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</si>
  <si>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</si>
  <si>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</si>
  <si>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cols.CW losslG,losslA,interLD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</si>
  <si>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</si>
  <si>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</si>
  <si>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</si>
  <si>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</si>
  <si>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</si>
  <si>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</si>
  <si>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</si>
  <si>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</si>
  <si>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</si>
  <si>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</si>
  <si>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</si>
  <si>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</si>
  <si>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</si>
  <si>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</si>
  <si>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</si>
  <si>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</si>
  <si>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</si>
  <si>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</si>
  <si>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</si>
  <si>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</si>
  <si>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</si>
  <si>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</si>
  <si>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</si>
  <si>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</si>
  <si>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</si>
  <si>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</si>
  <si>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</si>
  <si>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</si>
  <si>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</si>
  <si>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</si>
  <si>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</si>
  <si>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</si>
  <si>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</si>
  <si>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</si>
  <si>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</si>
  <si>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</si>
  <si>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</si>
  <si>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</si>
  <si>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</si>
  <si>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</si>
  <si>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</si>
  <si>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</si>
  <si>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</si>
  <si>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</si>
  <si>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</si>
  <si>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</si>
  <si>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</si>
  <si>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</si>
  <si>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</si>
  <si>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</si>
  <si>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</si>
  <si>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</si>
  <si>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</si>
  <si>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</si>
  <si>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</si>
  <si>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</si>
  <si>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</si>
  <si>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</si>
  <si>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</si>
  <si>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</si>
  <si>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</si>
  <si>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</si>
  <si>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</si>
  <si>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</si>
  <si>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</si>
  <si>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</si>
  <si>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</si>
  <si>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</si>
  <si>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</si>
  <si>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</si>
  <si>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</si>
  <si>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</si>
  <si>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</si>
  <si>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</si>
  <si>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</si>
  <si>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</si>
  <si>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</si>
  <si>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</si>
  <si>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</si>
  <si>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</si>
  <si>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cols.C2 lossyG,lossyA,interRA</t>
  </si>
  <si>
    <t>CW_ai — lossless geometry, lossless attributes [all intra]</t>
  </si>
  <si>
    <t>Comp. ratio [%]</t>
  </si>
  <si>
    <t>A.eqn.compratio</t>
  </si>
  <si>
    <t>B.eqn.compratio</t>
  </si>
  <si>
    <t>eqn.ab.ratio-bpp</t>
  </si>
  <si>
    <t>eqn.ab.ratio-bpp-geometry</t>
  </si>
  <si>
    <t>eqn.ab.ratio-bpp-colour</t>
  </si>
  <si>
    <t>inf</t>
  </si>
  <si>
    <t>CW_ld — lossless geometry, lossless attributes [inter, low delay]</t>
  </si>
  <si>
    <t>C2_ra — lossy geometry, lossy attributes [inter, random access]</t>
  </si>
  <si>
    <t>Seq.</t>
  </si>
  <si>
    <t>CWAI</t>
  </si>
  <si>
    <t>CWLD</t>
  </si>
  <si>
    <t>C2AI</t>
  </si>
  <si>
    <t>C2RA</t>
  </si>
  <si>
    <t>Cond.</t>
  </si>
  <si>
    <t>Geo.</t>
  </si>
  <si>
    <t xml:space="preserve"> Cb</t>
  </si>
  <si>
    <t>Cr</t>
  </si>
  <si>
    <t>Cb</t>
  </si>
  <si>
    <t>A</t>
  </si>
  <si>
    <t>Loot</t>
  </si>
  <si>
    <t>R&amp;B</t>
  </si>
  <si>
    <t>Soldier</t>
  </si>
  <si>
    <t>Queen</t>
  </si>
  <si>
    <t>B</t>
  </si>
  <si>
    <t>Long.</t>
  </si>
  <si>
    <t>Avg.</t>
  </si>
  <si>
    <t>A avg</t>
  </si>
  <si>
    <t>B avg</t>
  </si>
  <si>
    <t>r6.0rc0.3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</si>
</sst>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center" wrapText="1"/>
    </xf>
    <xf numFmtId="0" fontId="1" fillId="5" borderId="10" xfId="0" applyFont="1" applyFill="1" applyBorder="1" applyAlignment="1">
      <alignment horizontal="center" wrapText="1"/>
    </xf>
    <xf numFmtId="0" fontId="1" fillId="4" borderId="12" xfId="0" applyFont="1" applyFill="1" applyBorder="1" applyAlignment="1">
      <alignment vertical="center" wrapText="1"/>
    </xf>
    <xf numFmtId="9" fontId="0" fillId="0" borderId="13" xfId="0" applyNumberFormat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1" fillId="12" borderId="18" xfId="0" applyFont="1" applyFill="1" applyBorder="1" applyAlignment="1">
      <alignment horizontal="center" wrapText="1"/>
    </xf>
    <xf numFmtId="0" fontId="1" fillId="12" borderId="0" xfId="0" applyFont="1" applyFill="1" applyAlignment="1">
      <alignment horizontal="center" wrapText="1"/>
    </xf>
    <xf numFmtId="0" fontId="1" fillId="12" borderId="19" xfId="0" applyFont="1" applyFill="1" applyBorder="1" applyAlignment="1">
      <alignment horizontal="center" wrapText="1"/>
    </xf>
    <xf numFmtId="0" fontId="0" fillId="12" borderId="22" xfId="0" applyFill="1" applyBorder="1" applyAlignment="1">
      <alignment horizontal="center"/>
    </xf>
    <xf numFmtId="0" fontId="0" fillId="12" borderId="23" xfId="0" applyFill="1" applyBorder="1"/>
    <xf numFmtId="0" fontId="0" fillId="12" borderId="22" xfId="0" applyFill="1" applyBorder="1"/>
    <xf numFmtId="0" fontId="0" fillId="8" borderId="15" xfId="0" applyFill="1" applyBorder="1"/>
    <xf numFmtId="164" fontId="0" fillId="8" borderId="15" xfId="0" applyNumberFormat="1" applyFill="1" applyBorder="1" applyAlignment="1">
      <alignment horizontal="center"/>
    </xf>
    <xf numFmtId="0" fontId="0" fillId="13" borderId="6" xfId="0" applyFill="1" applyBorder="1"/>
    <xf numFmtId="9" fontId="0" fillId="0" borderId="6" xfId="0" applyNumberFormat="1" applyBorder="1"/>
    <xf numFmtId="9" fontId="0" fillId="0" borderId="7" xfId="0" applyNumberFormat="1" applyBorder="1"/>
    <xf numFmtId="0" fontId="0" fillId="10" borderId="18" xfId="0" applyFill="1" applyBorder="1"/>
    <xf numFmtId="0" fontId="0" fillId="10" borderId="0" xfId="0" applyFill="1"/>
    <xf numFmtId="164" fontId="0" fillId="10" borderId="18" xfId="0" applyNumberFormat="1" applyFill="1" applyBorder="1" applyAlignment="1">
      <alignment horizontal="center"/>
    </xf>
    <xf numFmtId="164" fontId="0" fillId="10" borderId="0" xfId="0" applyNumberFormat="1" applyFill="1" applyAlignment="1">
      <alignment horizontal="center"/>
    </xf>
    <xf numFmtId="164" fontId="0" fillId="10" borderId="19" xfId="0" applyNumberFormat="1" applyFill="1" applyBorder="1" applyAlignment="1">
      <alignment horizontal="center"/>
    </xf>
    <xf numFmtId="0" fontId="0" fillId="14" borderId="22" xfId="0" applyFill="1" applyBorder="1"/>
    <xf numFmtId="9" fontId="0" fillId="14" borderId="22" xfId="0" applyNumberFormat="1" applyFill="1" applyBorder="1"/>
    <xf numFmtId="9" fontId="0" fillId="14" borderId="23" xfId="0" applyNumberFormat="1" applyFill="1" applyBorder="1"/>
    <xf numFmtId="0" fontId="0" fillId="8" borderId="18" xfId="0" applyFill="1" applyBorder="1"/>
    <xf numFmtId="0" fontId="0" fillId="8" borderId="0" xfId="0" applyFill="1"/>
    <xf numFmtId="164" fontId="0" fillId="8" borderId="18" xfId="0" applyNumberFormat="1" applyFill="1" applyBorder="1" applyAlignment="1">
      <alignment horizontal="center"/>
    </xf>
    <xf numFmtId="164" fontId="0" fillId="8" borderId="0" xfId="0" applyNumberFormat="1" applyFill="1" applyAlignment="1">
      <alignment horizontal="center"/>
    </xf>
    <xf numFmtId="164" fontId="0" fillId="8" borderId="19" xfId="0" applyNumberFormat="1" applyFill="1" applyBorder="1" applyAlignment="1">
      <alignment horizontal="center"/>
    </xf>
    <xf numFmtId="0" fontId="0" fillId="13" borderId="22" xfId="0" applyFill="1" applyBorder="1"/>
    <xf numFmtId="9" fontId="0" fillId="13" borderId="22" xfId="0" applyNumberFormat="1" applyFill="1" applyBorder="1"/>
    <xf numFmtId="9" fontId="0" fillId="13" borderId="23" xfId="0" applyNumberFormat="1" applyFill="1" applyBorder="1"/>
    <xf numFmtId="0" fontId="0" fillId="10" borderId="20" xfId="0" applyFill="1" applyBorder="1"/>
    <xf numFmtId="164" fontId="0" fillId="10" borderId="20" xfId="0" applyNumberFormat="1" applyFill="1" applyBorder="1" applyAlignment="1">
      <alignment horizontal="center"/>
    </xf>
    <xf numFmtId="164" fontId="0" fillId="10" borderId="21" xfId="0" applyNumberFormat="1" applyFill="1" applyBorder="1" applyAlignment="1">
      <alignment horizontal="center"/>
    </xf>
    <xf numFmtId="0" fontId="0" fillId="14" borderId="9" xfId="0" applyFill="1" applyBorder="1"/>
    <xf numFmtId="9" fontId="0" fillId="14" borderId="9" xfId="0" applyNumberFormat="1" applyFill="1" applyBorder="1"/>
    <xf numFmtId="9" fontId="0" fillId="14" borderId="10" xfId="0" applyNumberFormat="1" applyFill="1" applyBorder="1"/>
    <xf numFmtId="0" fontId="0" fillId="8" borderId="20" xfId="0" applyFill="1" applyBorder="1"/>
    <xf numFmtId="164" fontId="0" fillId="8" borderId="20" xfId="0" applyNumberFormat="1" applyFill="1" applyBorder="1" applyAlignment="1">
      <alignment horizontal="center"/>
    </xf>
    <xf numFmtId="164" fontId="0" fillId="8" borderId="21" xfId="0" applyNumberFormat="1" applyFill="1" applyBorder="1" applyAlignment="1">
      <alignment horizontal="center"/>
    </xf>
    <xf numFmtId="0" fontId="0" fillId="0" borderId="12" xfId="0" applyBorder="1"/>
    <xf numFmtId="9" fontId="0" fillId="0" borderId="12" xfId="0" applyNumberFormat="1" applyBorder="1"/>
    <xf numFmtId="9" fontId="0" fillId="0" borderId="14" xfId="0" applyNumberFormat="1" applyBorder="1"/>
    <xf numFmtId="9" fontId="0" fillId="0" borderId="4" xfId="0" applyNumberFormat="1" applyBorder="1"/>
    <xf numFmtId="164" fontId="0" fillId="0" borderId="18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0" fillId="0" borderId="8" xfId="0" applyBorder="1"/>
    <xf numFmtId="0" fontId="1" fillId="4" borderId="5" xfId="0" applyFont="1" applyFill="1" applyBorder="1" applyAlignment="1">
      <alignment horizontal="center" wrapText="1"/>
    </xf>
    <xf numFmtId="0" fontId="0" fillId="0" borderId="7" xfId="0" applyBorder="1"/>
    <xf numFmtId="0" fontId="1" fillId="5" borderId="5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/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0" fillId="12" borderId="5" xfId="0" applyFill="1" applyBorder="1" applyAlignment="1">
      <alignment horizontal="center"/>
    </xf>
    <xf numFmtId="0" fontId="1" fillId="0" borderId="24" xfId="0" applyFont="1" applyBorder="1" applyAlignment="1">
      <alignment horizontal="left" wrapText="1"/>
    </xf>
    <xf numFmtId="0" fontId="1" fillId="12" borderId="16" xfId="0" applyFont="1" applyFill="1" applyBorder="1" applyAlignment="1">
      <alignment horizontal="center" vertical="top" textRotation="180" wrapText="1"/>
    </xf>
    <xf numFmtId="0" fontId="0" fillId="0" borderId="18" xfId="0" applyBorder="1"/>
    <xf numFmtId="0" fontId="0" fillId="0" borderId="20" xfId="0" applyBorder="1"/>
    <xf numFmtId="0" fontId="1" fillId="12" borderId="17" xfId="0" applyFont="1" applyFill="1" applyBorder="1" applyAlignment="1">
      <alignment horizontal="center" vertical="top" textRotation="180"/>
    </xf>
    <xf numFmtId="0" fontId="0" fillId="0" borderId="19" xfId="0" applyBorder="1"/>
    <xf numFmtId="0" fontId="0" fillId="0" borderId="21" xfId="0" applyBorder="1"/>
    <xf numFmtId="0" fontId="0" fillId="12" borderId="26" xfId="0" applyFill="1" applyBorder="1" applyAlignment="1">
      <alignment horizontal="center"/>
    </xf>
    <xf numFmtId="0" fontId="0" fillId="0" borderId="27" xfId="0" applyBorder="1"/>
    <xf numFmtId="0" fontId="0" fillId="0" borderId="17" xfId="0" applyBorder="1"/>
    <xf numFmtId="0" fontId="1" fillId="12" borderId="24" xfId="0" applyFont="1" applyFill="1" applyBorder="1" applyAlignment="1">
      <alignment horizontal="center" wrapText="1"/>
    </xf>
    <xf numFmtId="0" fontId="0" fillId="0" borderId="25" xfId="0" applyBorder="1"/>
    <xf numFmtId="0" fontId="1" fillId="12" borderId="15" xfId="0" applyFont="1" applyFill="1" applyBorder="1" applyAlignment="1">
      <alignment horizontal="center" wrapText="1"/>
    </xf>
    <xf numFmtId="0" fontId="1" fillId="12" borderId="28" xfId="0" applyFont="1" applyFill="1" applyBorder="1" applyAlignment="1">
      <alignment horizontal="center" wrapText="1"/>
    </xf>
    <xf numFmtId="0" fontId="0" fillId="0" borderId="28" xfId="0" applyBorder="1"/>
    <xf numFmtId="0" fontId="1" fillId="0" borderId="29" xfId="0" applyFont="1" applyBorder="1" applyAlignment="1">
      <alignment horizontal="left" wrapText="1"/>
    </xf>
    <xf numFmtId="0" fontId="1" fillId="0" borderId="30" xfId="0" applyFont="1" applyBorder="1" applyAlignment="1">
      <alignment horizontal="left" wrapText="1"/>
    </xf>
    <xf numFmtId="0" fontId="0" fillId="12" borderId="13" xfId="0" applyFill="1" applyBorder="1" applyAlignment="1">
      <alignment horizontal="center" vertical="center"/>
    </xf>
    <xf numFmtId="0" fontId="0" fillId="8" borderId="25" xfId="0" applyFill="1" applyBorder="1"/>
    <xf numFmtId="164" fontId="0" fillId="8" borderId="25" xfId="0" applyNumberFormat="1" applyFill="1" applyBorder="1" applyAlignment="1">
      <alignment horizontal="center"/>
    </xf>
    <xf numFmtId="164" fontId="0" fillId="8" borderId="28" xfId="0" applyNumberFormat="1" applyFill="1" applyBorder="1" applyAlignment="1">
      <alignment horizontal="center"/>
    </xf>
  </cellXfs>
  <cellStyles count="1">
    <cellStyle name="Normal" xfId="0" builtin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mpeg126-integration+r60rc02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72.071484374999997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4-8947-A2D1-29B71D19CA3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r6.0rc0.3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Graphs!graph_a_x_range_B</c:f>
              <c:numCache>
                <c:formatCode>0.00</c:formatCode>
                <c:ptCount val="5"/>
                <c:pt idx="0">
                  <c:v>1.0144281380270844E-2</c:v>
                </c:pt>
                <c:pt idx="1">
                  <c:v>1.5708892267025789E-2</c:v>
                </c:pt>
                <c:pt idx="2">
                  <c:v>2.5643957795690467E-2</c:v>
                </c:pt>
                <c:pt idx="3">
                  <c:v>4.4563849804467537E-2</c:v>
                </c:pt>
                <c:pt idx="4">
                  <c:v>8.1024616493138454E-2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68.236997000000002</c:v>
                </c:pt>
                <c:pt idx="2">
                  <c:v>69.661175</c:v>
                </c:pt>
                <c:pt idx="3">
                  <c:v>70.739718999999994</c:v>
                </c:pt>
                <c:pt idx="4">
                  <c:v>72.071483999999998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D4-8947-A2D1-29B71D19C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mpeg126-integration+r60rc02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72.030415625000003</c:v>
                </c:pt>
                <c:pt idx="3">
                  <c:v>73.278437499999995</c:v>
                </c:pt>
                <c:pt idx="4">
                  <c:v>75.303931250000005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99-AC4A-8F6A-27F76182C4E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r6.0rc0.3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Graphs!graph_b_x_range_B</c:f>
              <c:numCache>
                <c:formatCode>0.00</c:formatCode>
                <c:ptCount val="5"/>
                <c:pt idx="0">
                  <c:v>1.0144281380270844E-2</c:v>
                </c:pt>
                <c:pt idx="1">
                  <c:v>1.5708892267025789E-2</c:v>
                </c:pt>
                <c:pt idx="2">
                  <c:v>2.5643957795690467E-2</c:v>
                </c:pt>
                <c:pt idx="3">
                  <c:v>4.4563849804467537E-2</c:v>
                </c:pt>
                <c:pt idx="4">
                  <c:v>8.1024616493138454E-2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68.412688000000003</c:v>
                </c:pt>
                <c:pt idx="1">
                  <c:v>70.346675000000005</c:v>
                </c:pt>
                <c:pt idx="2">
                  <c:v>72.030416000000002</c:v>
                </c:pt>
                <c:pt idx="3">
                  <c:v>73.278436999999997</c:v>
                </c:pt>
                <c:pt idx="4">
                  <c:v>75.303931000000006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99-AC4A-8F6A-27F76182C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mpeg126-integration+r60rc02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34.471631250000002</c:v>
                </c:pt>
                <c:pt idx="2">
                  <c:v>37.006359375000002</c:v>
                </c:pt>
                <c:pt idx="3">
                  <c:v>39.627543750000001</c:v>
                </c:pt>
                <c:pt idx="4">
                  <c:v>42.046362500000001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2-E441-A7E2-6638842E35B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r6.0rc0.3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Graphs!graph_c_x_range_B</c:f>
              <c:numCache>
                <c:formatCode>0.00</c:formatCode>
                <c:ptCount val="5"/>
                <c:pt idx="0">
                  <c:v>1.0144281380270844E-2</c:v>
                </c:pt>
                <c:pt idx="1">
                  <c:v>1.5708892267025789E-2</c:v>
                </c:pt>
                <c:pt idx="2">
                  <c:v>2.5643957795690467E-2</c:v>
                </c:pt>
                <c:pt idx="3">
                  <c:v>4.4563849804467537E-2</c:v>
                </c:pt>
                <c:pt idx="4">
                  <c:v>8.1024616493138454E-2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32.179003000000002</c:v>
                </c:pt>
                <c:pt idx="1">
                  <c:v>34.471631000000002</c:v>
                </c:pt>
                <c:pt idx="2">
                  <c:v>37.006359000000003</c:v>
                </c:pt>
                <c:pt idx="3">
                  <c:v>39.627544</c:v>
                </c:pt>
                <c:pt idx="4">
                  <c:v>42.046362000000002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2-E441-A7E2-6638842E3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mpeg126-integration+r60rc02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46.569612499999998</c:v>
                </c:pt>
                <c:pt idx="3">
                  <c:v>47.914721874999998</c:v>
                </c:pt>
                <c:pt idx="4">
                  <c:v>49.444537500000003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49-BA40-B705-A8CB21BB7032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r6.0rc0.3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Graphs!graph_d_x_range_B</c:f>
              <c:numCache>
                <c:formatCode>0.00</c:formatCode>
                <c:ptCount val="5"/>
                <c:pt idx="0">
                  <c:v>1.0144281380270844E-2</c:v>
                </c:pt>
                <c:pt idx="1">
                  <c:v>1.5708892267025789E-2</c:v>
                </c:pt>
                <c:pt idx="2">
                  <c:v>2.5643957795690467E-2</c:v>
                </c:pt>
                <c:pt idx="3">
                  <c:v>4.4563849804467537E-2</c:v>
                </c:pt>
                <c:pt idx="4">
                  <c:v>8.1024616493138454E-2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44.135365999999998</c:v>
                </c:pt>
                <c:pt idx="1">
                  <c:v>45.462893999999999</c:v>
                </c:pt>
                <c:pt idx="2">
                  <c:v>46.569611999999999</c:v>
                </c:pt>
                <c:pt idx="3">
                  <c:v>47.914721999999998</c:v>
                </c:pt>
                <c:pt idx="4">
                  <c:v>49.444536999999997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49-BA40-B705-A8CB21BB7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mpeg126-integration+r60rc02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47.954315625</c:v>
                </c:pt>
                <c:pt idx="4">
                  <c:v>49.603828125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E-3A48-A662-497BFAF37210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r6.0rc0.3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Graphs!graph_e_x_range_B</c:f>
              <c:numCache>
                <c:formatCode>0.00</c:formatCode>
                <c:ptCount val="5"/>
                <c:pt idx="0">
                  <c:v>1.0144281380270844E-2</c:v>
                </c:pt>
                <c:pt idx="1">
                  <c:v>1.5708892267025789E-2</c:v>
                </c:pt>
                <c:pt idx="2">
                  <c:v>2.5643957795690467E-2</c:v>
                </c:pt>
                <c:pt idx="3">
                  <c:v>4.4563849804467537E-2</c:v>
                </c:pt>
                <c:pt idx="4">
                  <c:v>8.1024616493138454E-2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43.688628000000001</c:v>
                </c:pt>
                <c:pt idx="1">
                  <c:v>45.183922000000003</c:v>
                </c:pt>
                <c:pt idx="2">
                  <c:v>46.451906000000001</c:v>
                </c:pt>
                <c:pt idx="3">
                  <c:v>47.954315999999999</c:v>
                </c:pt>
                <c:pt idx="4">
                  <c:v>49.603828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E-3A48-A662-497BFAF37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mpeg126-integration+r60rc02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</c:formatCode>
                <c:ptCount val="5"/>
                <c:pt idx="0">
                  <c:v>1.012315151985654E-2</c:v>
                </c:pt>
                <c:pt idx="1">
                  <c:v>1.5687762406611485E-2</c:v>
                </c:pt>
                <c:pt idx="2">
                  <c:v>2.5622827935276163E-2</c:v>
                </c:pt>
                <c:pt idx="3">
                  <c:v>4.4542719944053233E-2</c:v>
                </c:pt>
                <c:pt idx="4">
                  <c:v>8.100348663272415E-2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03-4F4E-BFC0-DA79BEDAE28C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r6.0rc0.3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Graphs!graph_f_x_range_B</c:f>
              <c:numCache>
                <c:formatCode>0.00</c:formatCode>
                <c:ptCount val="5"/>
                <c:pt idx="0">
                  <c:v>1.0144281380270844E-2</c:v>
                </c:pt>
                <c:pt idx="1">
                  <c:v>1.5708892267025789E-2</c:v>
                </c:pt>
                <c:pt idx="2">
                  <c:v>2.5643957795690467E-2</c:v>
                </c:pt>
                <c:pt idx="3">
                  <c:v>4.4563849804467537E-2</c:v>
                </c:pt>
                <c:pt idx="4">
                  <c:v>8.1024616493138454E-2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03-4F4E-BFC0-DA79BEDAE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5"/>
  <sheetViews>
    <sheetView workbookViewId="0">
      <selection activeCell="C2" sqref="C2:E2"/>
    </sheetView>
  </sheetViews>
  <sheetFormatPr baseColWidth="10" defaultColWidth="8.83203125" defaultRowHeight="15" x14ac:dyDescent="0.2"/>
  <cols>
    <col min="2" max="2" width="16.6640625" style="4" customWidth="1"/>
    <col min="3" max="12" width="24.6640625" style="4" customWidth="1"/>
  </cols>
  <sheetData>
    <row r="1" spans="2:12" x14ac:dyDescent="0.2">
      <c r="B1" t="s">
        <v>0</v>
      </c>
      <c r="C1" s="111" t="s">
        <v>1</v>
      </c>
      <c r="D1" s="112"/>
      <c r="E1" s="112"/>
    </row>
    <row r="2" spans="2:12" x14ac:dyDescent="0.2">
      <c r="B2" t="s">
        <v>2</v>
      </c>
      <c r="C2" s="113" t="s">
        <v>3</v>
      </c>
      <c r="D2" s="112"/>
      <c r="E2" s="112"/>
    </row>
    <row r="4" spans="2:12" s="1" customFormat="1" x14ac:dyDescent="0.2">
      <c r="B4" s="1" t="s">
        <v>4</v>
      </c>
    </row>
    <row r="6" spans="2:12" x14ac:dyDescent="0.2">
      <c r="B6" s="114" t="s">
        <v>5</v>
      </c>
      <c r="C6" s="116" t="s">
        <v>6</v>
      </c>
      <c r="D6" s="117"/>
      <c r="E6" s="117"/>
      <c r="F6" s="117"/>
      <c r="G6" s="117"/>
      <c r="H6" s="117"/>
      <c r="I6" s="117"/>
      <c r="J6" s="117"/>
      <c r="K6" s="117"/>
      <c r="L6" s="117"/>
    </row>
    <row r="7" spans="2:12" x14ac:dyDescent="0.2">
      <c r="B7" s="112"/>
      <c r="C7" s="118" t="s">
        <v>7</v>
      </c>
      <c r="D7" s="112"/>
      <c r="E7" s="119" t="s">
        <v>8</v>
      </c>
      <c r="F7" s="112"/>
      <c r="G7" s="112"/>
      <c r="H7" s="118" t="s">
        <v>9</v>
      </c>
      <c r="I7" s="112"/>
      <c r="J7" s="119" t="s">
        <v>10</v>
      </c>
      <c r="K7" s="112"/>
      <c r="L7" s="112"/>
    </row>
    <row r="8" spans="2:12" ht="16" x14ac:dyDescent="0.2">
      <c r="B8" s="115"/>
      <c r="C8" s="2" t="s">
        <v>11</v>
      </c>
      <c r="D8" s="2" t="s">
        <v>12</v>
      </c>
      <c r="E8" s="3" t="s">
        <v>13</v>
      </c>
      <c r="F8" s="3" t="s">
        <v>14</v>
      </c>
      <c r="G8" s="3" t="s">
        <v>15</v>
      </c>
      <c r="H8" s="2" t="s">
        <v>11</v>
      </c>
      <c r="I8" s="2" t="s">
        <v>12</v>
      </c>
      <c r="J8" s="3" t="s">
        <v>13</v>
      </c>
      <c r="K8" s="3" t="s">
        <v>14</v>
      </c>
      <c r="L8" s="3" t="s">
        <v>15</v>
      </c>
    </row>
    <row r="9" spans="2:12" x14ac:dyDescent="0.2">
      <c r="B9" t="s">
        <v>16</v>
      </c>
      <c r="C9" s="98">
        <f>'C2 lossyG,lossyA,intra'!$BI$30:$BI$30</f>
        <v>3.8855868312621111E-3</v>
      </c>
      <c r="D9" s="98">
        <f>'C2 lossyG,lossyA,intra'!$BJ$30:$BJ$30</f>
        <v>3.6711686127538501E-3</v>
      </c>
      <c r="E9" s="98">
        <f>'C2 lossyG,lossyA,intra'!$BK$30:$BK$30</f>
        <v>-1.1342435379813054E-8</v>
      </c>
      <c r="F9" s="98">
        <f>'C2 lossyG,lossyA,intra'!$BL$30:$BL$30</f>
        <v>1.0192978128209518E-8</v>
      </c>
      <c r="G9" s="98">
        <f>'C2 lossyG,lossyA,intra'!$BM$30:$BM$30</f>
        <v>-2.0311054449440036E-8</v>
      </c>
      <c r="H9" s="98">
        <f>'C2 lossyG,lossyA,intra'!$BO$30:$BO$30</f>
        <v>1.6178962953845022E-3</v>
      </c>
      <c r="I9" s="98">
        <f>'C2 lossyG,lossyA,intra'!$BP$30:$BP$30</f>
        <v>1.4741112253416344E-3</v>
      </c>
      <c r="J9" s="98">
        <f>'C2 lossyG,lossyA,intra'!$BQ$30:$BQ$30</f>
        <v>1.4882891433506962E-3</v>
      </c>
      <c r="K9" s="98">
        <f>'C2 lossyG,lossyA,intra'!$BR$30:$BR$30</f>
        <v>1.3742009206875183E-3</v>
      </c>
      <c r="L9" s="98">
        <f>'C2 lossyG,lossyA,intra'!$BS$30:$BS$30</f>
        <v>1.4550388513474011E-3</v>
      </c>
    </row>
    <row r="10" spans="2:12" x14ac:dyDescent="0.2">
      <c r="B10" t="s">
        <v>17</v>
      </c>
      <c r="C10" s="98">
        <f>'C2 lossyG,lossyA,intra'!$BI$31:$BI$31</f>
        <v>3.6408332431701051E-3</v>
      </c>
      <c r="D10" s="98">
        <f>'C2 lossyG,lossyA,intra'!$BJ$31:$BJ$31</f>
        <v>3.4500276620159642E-3</v>
      </c>
      <c r="E10" s="98">
        <f>'C2 lossyG,lossyA,intra'!$BK$31:$BK$31</f>
        <v>2.5755371391156245E-8</v>
      </c>
      <c r="F10" s="98">
        <f>'C2 lossyG,lossyA,intra'!$BL$31:$BL$31</f>
        <v>-9.9262474906325338E-9</v>
      </c>
      <c r="G10" s="98">
        <f>'C2 lossyG,lossyA,intra'!$BM$31:$BM$31</f>
        <v>-1.056598463167191E-7</v>
      </c>
      <c r="H10" s="98">
        <f>'C2 lossyG,lossyA,intra'!$BO$31:$BO$31</f>
        <v>8.7245448754114108E-4</v>
      </c>
      <c r="I10" s="98">
        <f>'C2 lossyG,lossyA,intra'!$BP$31:$BP$31</f>
        <v>7.8731196446679697E-4</v>
      </c>
      <c r="J10" s="98">
        <f>'C2 lossyG,lossyA,intra'!$BQ$31:$BQ$31</f>
        <v>7.977794420173101E-4</v>
      </c>
      <c r="K10" s="98">
        <f>'C2 lossyG,lossyA,intra'!$BR$31:$BR$31</f>
        <v>6.4703930510234819E-4</v>
      </c>
      <c r="L10" s="98">
        <f>'C2 lossyG,lossyA,intra'!$BS$31:$BS$31</f>
        <v>6.8598239377926085E-4</v>
      </c>
    </row>
    <row r="11" spans="2:12" x14ac:dyDescent="0.2">
      <c r="B11" s="5" t="s">
        <v>18</v>
      </c>
      <c r="C11" s="6">
        <f>'C2 lossyG,lossyA,intra'!$BI$32:$BI$32</f>
        <v>3.8366361136437099E-3</v>
      </c>
      <c r="D11" s="6">
        <f>'C2 lossyG,lossyA,intra'!$BJ$32:$BJ$32</f>
        <v>3.6269404226062728E-3</v>
      </c>
      <c r="E11" s="6">
        <f>'C2 lossyG,lossyA,intra'!$BK$32:$BK$32</f>
        <v>-3.9228740256191941E-9</v>
      </c>
      <c r="F11" s="6">
        <f>'C2 lossyG,lossyA,intra'!$BL$32:$BL$32</f>
        <v>6.1691330044411078E-9</v>
      </c>
      <c r="G11" s="6">
        <f>'C2 lossyG,lossyA,intra'!$BM$32:$BM$32</f>
        <v>-3.7380812822895845E-8</v>
      </c>
      <c r="H11" s="6">
        <f>'C2 lossyG,lossyA,intra'!$BO$32:$BO$32</f>
        <v>1.4688079338158299E-3</v>
      </c>
      <c r="I11" s="6">
        <f>'C2 lossyG,lossyA,intra'!$BP$32:$BP$32</f>
        <v>1.336751373166667E-3</v>
      </c>
      <c r="J11" s="6">
        <f>'C2 lossyG,lossyA,intra'!$BQ$32:$BQ$32</f>
        <v>1.3501872030840189E-3</v>
      </c>
      <c r="K11" s="6">
        <f>'C2 lossyG,lossyA,intra'!$BR$32:$BR$32</f>
        <v>1.2287685975704843E-3</v>
      </c>
      <c r="L11" s="6">
        <f>'C2 lossyG,lossyA,intra'!$BS$32:$BS$32</f>
        <v>1.3012275598337729E-3</v>
      </c>
    </row>
    <row r="12" spans="2:12" x14ac:dyDescent="0.2">
      <c r="B12" t="s">
        <v>19</v>
      </c>
      <c r="C12" s="120">
        <f>'C2 lossyG,lossyA,intra'!AZ36</f>
        <v>1.0676832248493719</v>
      </c>
      <c r="D12" s="112"/>
      <c r="E12" s="112"/>
      <c r="F12" s="112"/>
      <c r="G12" s="112"/>
      <c r="H12" s="112"/>
      <c r="I12" s="112"/>
      <c r="J12" s="112"/>
      <c r="K12" s="112"/>
      <c r="L12" s="112"/>
    </row>
    <row r="13" spans="2:12" x14ac:dyDescent="0.2">
      <c r="B13" s="7" t="s">
        <v>20</v>
      </c>
      <c r="C13" s="121">
        <f>'C2 lossyG,lossyA,intra'!BB36</f>
        <v>1.8507319411089758</v>
      </c>
      <c r="D13" s="115"/>
      <c r="E13" s="115"/>
      <c r="F13" s="115"/>
      <c r="G13" s="115"/>
      <c r="H13" s="115"/>
      <c r="I13" s="115"/>
      <c r="J13" s="115"/>
      <c r="K13" s="115"/>
      <c r="L13" s="115"/>
    </row>
    <row r="15" spans="2:12" x14ac:dyDescent="0.2">
      <c r="B15" s="114" t="s">
        <v>21</v>
      </c>
      <c r="C15" s="116" t="s">
        <v>22</v>
      </c>
      <c r="D15" s="117"/>
      <c r="E15" s="117"/>
    </row>
    <row r="16" spans="2:12" x14ac:dyDescent="0.2">
      <c r="B16" s="112"/>
      <c r="C16" s="118" t="s">
        <v>23</v>
      </c>
      <c r="D16" s="112"/>
      <c r="E16" s="112"/>
    </row>
    <row r="17" spans="2:5" ht="16" x14ac:dyDescent="0.2">
      <c r="B17" s="115"/>
      <c r="C17" s="2" t="s">
        <v>24</v>
      </c>
      <c r="D17" s="2" t="s">
        <v>25</v>
      </c>
      <c r="E17" s="2" t="s">
        <v>26</v>
      </c>
    </row>
    <row r="18" spans="2:5" x14ac:dyDescent="0.2">
      <c r="B18" t="s">
        <v>16</v>
      </c>
      <c r="C18" s="98" t="e">
        <f>'CW losslG,losslA,intra'!BC10</f>
        <v>#DIV/0!</v>
      </c>
      <c r="D18" s="98" t="e">
        <f>'CW losslG,losslA,intra'!BB10</f>
        <v>#DIV/0!</v>
      </c>
      <c r="E18" s="98" t="e">
        <f>'CW losslG,losslA,intra'!BD10</f>
        <v>#DIV/0!</v>
      </c>
    </row>
    <row r="19" spans="2:5" x14ac:dyDescent="0.2">
      <c r="B19" t="s">
        <v>17</v>
      </c>
      <c r="C19" s="98" t="e">
        <f>'CW losslG,losslA,intra'!BC11</f>
        <v>#DIV/0!</v>
      </c>
      <c r="D19" s="98" t="e">
        <f>'CW losslG,losslA,intra'!BB11</f>
        <v>#DIV/0!</v>
      </c>
      <c r="E19" s="98" t="e">
        <f>'CW losslG,losslA,intra'!BD11</f>
        <v>#DIV/0!</v>
      </c>
    </row>
    <row r="20" spans="2:5" x14ac:dyDescent="0.2">
      <c r="B20" s="5" t="s">
        <v>18</v>
      </c>
      <c r="C20" s="6" t="e">
        <f>'CW losslG,losslA,intra'!BC12</f>
        <v>#DIV/0!</v>
      </c>
      <c r="D20" s="6" t="e">
        <f>'CW losslG,losslA,intra'!BB12</f>
        <v>#DIV/0!</v>
      </c>
      <c r="E20" s="6" t="e">
        <f>'CW losslG,losslA,intra'!BD12</f>
        <v>#DIV/0!</v>
      </c>
    </row>
    <row r="21" spans="2:5" x14ac:dyDescent="0.2">
      <c r="B21" t="s">
        <v>19</v>
      </c>
      <c r="C21" s="120" t="e">
        <f>'CW losslG,losslA,intra'!AW16</f>
        <v>#NUM!</v>
      </c>
      <c r="D21" s="112"/>
      <c r="E21" s="112"/>
    </row>
    <row r="22" spans="2:5" x14ac:dyDescent="0.2">
      <c r="B22" s="7" t="s">
        <v>20</v>
      </c>
      <c r="C22" s="121" t="e">
        <f>'CW losslG,losslA,intra'!AY16</f>
        <v>#NUM!</v>
      </c>
      <c r="D22" s="115"/>
      <c r="E22" s="115"/>
    </row>
    <row r="24" spans="2:5" s="1" customFormat="1" x14ac:dyDescent="0.2">
      <c r="B24" s="1" t="s">
        <v>27</v>
      </c>
    </row>
    <row r="26" spans="2:5" x14ac:dyDescent="0.2">
      <c r="B26" s="114" t="s">
        <v>28</v>
      </c>
      <c r="C26" s="116" t="s">
        <v>29</v>
      </c>
      <c r="D26" s="117"/>
      <c r="E26" s="117"/>
    </row>
    <row r="27" spans="2:5" x14ac:dyDescent="0.2">
      <c r="B27" s="112"/>
      <c r="C27" s="118" t="s">
        <v>23</v>
      </c>
      <c r="D27" s="112"/>
      <c r="E27" s="112"/>
    </row>
    <row r="28" spans="2:5" ht="16" x14ac:dyDescent="0.2">
      <c r="B28" s="115"/>
      <c r="C28" s="2" t="s">
        <v>25</v>
      </c>
      <c r="D28" s="2" t="s">
        <v>24</v>
      </c>
      <c r="E28" s="2" t="s">
        <v>26</v>
      </c>
    </row>
    <row r="29" spans="2:5" x14ac:dyDescent="0.2">
      <c r="B29" t="s">
        <v>16</v>
      </c>
      <c r="C29" s="98" t="e">
        <f>'CW losslG,losslA,interLD'!BB10</f>
        <v>#DIV/0!</v>
      </c>
      <c r="D29" s="98" t="e">
        <f>'CW losslG,losslA,interLD'!BC10</f>
        <v>#DIV/0!</v>
      </c>
      <c r="E29" s="98" t="e">
        <f>'CW losslG,losslA,interLD'!BD10</f>
        <v>#DIV/0!</v>
      </c>
    </row>
    <row r="30" spans="2:5" x14ac:dyDescent="0.2">
      <c r="B30" t="s">
        <v>17</v>
      </c>
      <c r="C30" s="98" t="e">
        <f>'CW losslG,losslA,interLD'!BB11</f>
        <v>#DIV/0!</v>
      </c>
      <c r="D30" s="98" t="e">
        <f>'CW losslG,losslA,interLD'!BC11</f>
        <v>#DIV/0!</v>
      </c>
      <c r="E30" s="98" t="e">
        <f>'CW losslG,losslA,interLD'!BD11</f>
        <v>#DIV/0!</v>
      </c>
    </row>
    <row r="31" spans="2:5" x14ac:dyDescent="0.2">
      <c r="B31" s="5" t="s">
        <v>18</v>
      </c>
      <c r="C31" s="6" t="e">
        <f>'CW losslG,losslA,interLD'!BB12</f>
        <v>#DIV/0!</v>
      </c>
      <c r="D31" s="6" t="e">
        <f>'CW losslG,losslA,interLD'!BC12</f>
        <v>#DIV/0!</v>
      </c>
      <c r="E31" s="6" t="e">
        <f>'CW losslG,losslA,interLD'!BD12</f>
        <v>#DIV/0!</v>
      </c>
    </row>
    <row r="32" spans="2:5" x14ac:dyDescent="0.2">
      <c r="B32" t="s">
        <v>19</v>
      </c>
      <c r="C32" s="120" t="e">
        <f>'CW losslG,losslA,interLD'!AW16</f>
        <v>#NUM!</v>
      </c>
      <c r="D32" s="112"/>
      <c r="E32" s="112"/>
    </row>
    <row r="33" spans="2:12" x14ac:dyDescent="0.2">
      <c r="B33" s="7" t="s">
        <v>20</v>
      </c>
      <c r="C33" s="121" t="e">
        <f>'CW losslG,losslA,interLD'!AY16</f>
        <v>#NUM!</v>
      </c>
      <c r="D33" s="115"/>
      <c r="E33" s="115"/>
    </row>
    <row r="35" spans="2:12" s="1" customFormat="1" x14ac:dyDescent="0.2">
      <c r="B35" s="1" t="s">
        <v>30</v>
      </c>
    </row>
    <row r="37" spans="2:12" x14ac:dyDescent="0.2">
      <c r="B37" s="114" t="s">
        <v>31</v>
      </c>
      <c r="C37" s="116" t="s">
        <v>32</v>
      </c>
      <c r="D37" s="117"/>
      <c r="E37" s="117"/>
      <c r="F37" s="117"/>
      <c r="G37" s="117"/>
      <c r="H37" s="117"/>
      <c r="I37" s="117"/>
      <c r="J37" s="117"/>
      <c r="K37" s="117"/>
      <c r="L37" s="117"/>
    </row>
    <row r="38" spans="2:12" x14ac:dyDescent="0.2">
      <c r="B38" s="112"/>
      <c r="C38" s="118" t="s">
        <v>7</v>
      </c>
      <c r="D38" s="112"/>
      <c r="E38" s="119" t="s">
        <v>8</v>
      </c>
      <c r="F38" s="112"/>
      <c r="G38" s="112"/>
      <c r="H38" s="118" t="s">
        <v>9</v>
      </c>
      <c r="I38" s="112"/>
      <c r="J38" s="119" t="s">
        <v>10</v>
      </c>
      <c r="K38" s="112"/>
      <c r="L38" s="112"/>
    </row>
    <row r="39" spans="2:12" ht="16" x14ac:dyDescent="0.2">
      <c r="B39" s="115"/>
      <c r="C39" s="2" t="s">
        <v>11</v>
      </c>
      <c r="D39" s="2" t="s">
        <v>12</v>
      </c>
      <c r="E39" s="3" t="s">
        <v>13</v>
      </c>
      <c r="F39" s="3" t="s">
        <v>14</v>
      </c>
      <c r="G39" s="3" t="s">
        <v>15</v>
      </c>
      <c r="H39" s="2" t="s">
        <v>11</v>
      </c>
      <c r="I39" s="2" t="s">
        <v>12</v>
      </c>
      <c r="J39" s="3" t="s">
        <v>13</v>
      </c>
      <c r="K39" s="3" t="s">
        <v>14</v>
      </c>
      <c r="L39" s="3" t="s">
        <v>15</v>
      </c>
    </row>
    <row r="40" spans="2:12" x14ac:dyDescent="0.2">
      <c r="B40" t="s">
        <v>16</v>
      </c>
      <c r="C40" s="98">
        <f>'C2 lossyG,lossyA,interRA'!$BI$30:$BI$30</f>
        <v>2.2977326280847477E-3</v>
      </c>
      <c r="D40" s="98">
        <f>'C2 lossyG,lossyA,interRA'!$BJ$30:$BJ$30</f>
        <v>2.1670872340075475E-3</v>
      </c>
      <c r="E40" s="98">
        <f>'C2 lossyG,lossyA,interRA'!$BK$30:$BK$30</f>
        <v>4.3804455673868148E-8</v>
      </c>
      <c r="F40" s="98">
        <f>'C2 lossyG,lossyA,interRA'!$BL$30:$BL$30</f>
        <v>-3.1187479737626589E-8</v>
      </c>
      <c r="G40" s="98">
        <f>'C2 lossyG,lossyA,interRA'!$BM$30:$BM$30</f>
        <v>5.748645032221944E-9</v>
      </c>
      <c r="H40" s="98">
        <f>'C2 lossyG,lossyA,interRA'!$BO$30:$BO$30</f>
        <v>1.5961803926398122E-3</v>
      </c>
      <c r="I40" s="98">
        <f>'C2 lossyG,lossyA,interRA'!$BP$30:$BP$30</f>
        <v>1.4690309855580064E-3</v>
      </c>
      <c r="J40" s="98">
        <f>'C2 lossyG,lossyA,interRA'!$BQ$30:$BQ$30</f>
        <v>1.4328737138686876E-3</v>
      </c>
      <c r="K40" s="98">
        <f>'C2 lossyG,lossyA,interRA'!$BR$30:$BR$30</f>
        <v>1.410149142017425E-3</v>
      </c>
      <c r="L40" s="98">
        <f>'C2 lossyG,lossyA,interRA'!$BS$30:$BS$30</f>
        <v>1.4482301262965791E-3</v>
      </c>
    </row>
    <row r="41" spans="2:12" x14ac:dyDescent="0.2">
      <c r="B41" t="s">
        <v>17</v>
      </c>
      <c r="C41" s="98">
        <f>'C2 lossyG,lossyA,interRA'!$BI$31:$BI$31</f>
        <v>2.3624765291330174E-3</v>
      </c>
      <c r="D41" s="98">
        <f>'C2 lossyG,lossyA,interRA'!$BJ$31:$BJ$31</f>
        <v>2.2425929025358116E-3</v>
      </c>
      <c r="E41" s="98">
        <f>'C2 lossyG,lossyA,interRA'!$BK$31:$BK$31</f>
        <v>-3.8858477324765772E-8</v>
      </c>
      <c r="F41" s="98">
        <f>'C2 lossyG,lossyA,interRA'!$BL$31:$BL$31</f>
        <v>1.6538018043910085E-7</v>
      </c>
      <c r="G41" s="98">
        <f>'C2 lossyG,lossyA,interRA'!$BM$31:$BM$31</f>
        <v>7.6124016645806591E-8</v>
      </c>
      <c r="H41" s="98">
        <f>'C2 lossyG,lossyA,interRA'!$BO$31:$BO$31</f>
        <v>1.1941028378914531E-3</v>
      </c>
      <c r="I41" s="98">
        <f>'C2 lossyG,lossyA,interRA'!$BP$31:$BP$31</f>
        <v>1.0887184416712437E-3</v>
      </c>
      <c r="J41" s="98">
        <f>'C2 lossyG,lossyA,interRA'!$BQ$31:$BQ$31</f>
        <v>9.7749764169186015E-4</v>
      </c>
      <c r="K41" s="98">
        <f>'C2 lossyG,lossyA,interRA'!$BR$31:$BR$31</f>
        <v>9.2942813329899288E-4</v>
      </c>
      <c r="L41" s="98">
        <f>'C2 lossyG,lossyA,interRA'!$BS$31:$BS$31</f>
        <v>9.7139402223000992E-4</v>
      </c>
    </row>
    <row r="42" spans="2:12" x14ac:dyDescent="0.2">
      <c r="B42" s="5" t="s">
        <v>18</v>
      </c>
      <c r="C42" s="6">
        <f>'C2 lossyG,lossyA,interRA'!$BI$32:$BI$32</f>
        <v>2.3106814082944015E-3</v>
      </c>
      <c r="D42" s="6">
        <f>'C2 lossyG,lossyA,interRA'!$BJ$32:$BJ$32</f>
        <v>2.1821883677132004E-3</v>
      </c>
      <c r="E42" s="6">
        <f>'C2 lossyG,lossyA,interRA'!$BK$32:$BK$32</f>
        <v>2.7271869074141365E-8</v>
      </c>
      <c r="F42" s="6">
        <f>'C2 lossyG,lossyA,interRA'!$BL$32:$BL$32</f>
        <v>8.1260522977189001E-9</v>
      </c>
      <c r="G42" s="6">
        <f>'C2 lossyG,lossyA,interRA'!$BM$32:$BM$32</f>
        <v>1.9823719354938872E-8</v>
      </c>
      <c r="H42" s="6">
        <f>'C2 lossyG,lossyA,interRA'!$BO$32:$BO$32</f>
        <v>1.5157648816901403E-3</v>
      </c>
      <c r="I42" s="6">
        <f>'C2 lossyG,lossyA,interRA'!$BP$32:$BP$32</f>
        <v>1.3929684767806539E-3</v>
      </c>
      <c r="J42" s="6">
        <f>'C2 lossyG,lossyA,interRA'!$BQ$32:$BQ$32</f>
        <v>1.3417984994333221E-3</v>
      </c>
      <c r="K42" s="6">
        <f>'C2 lossyG,lossyA,interRA'!$BR$32:$BR$32</f>
        <v>1.3140049402737386E-3</v>
      </c>
      <c r="L42" s="6">
        <f>'C2 lossyG,lossyA,interRA'!$BS$32:$BS$32</f>
        <v>1.3528629054832652E-3</v>
      </c>
    </row>
    <row r="43" spans="2:12" x14ac:dyDescent="0.2">
      <c r="B43" t="s">
        <v>19</v>
      </c>
      <c r="C43" s="120">
        <f>'C2 lossyG,lossyA,interRA'!AZ36</f>
        <v>1.102714828610615</v>
      </c>
      <c r="D43" s="112"/>
      <c r="E43" s="112"/>
      <c r="F43" s="112"/>
      <c r="G43" s="112"/>
      <c r="H43" s="112"/>
      <c r="I43" s="112"/>
      <c r="J43" s="112"/>
      <c r="K43" s="112"/>
      <c r="L43" s="112"/>
    </row>
    <row r="44" spans="2:12" x14ac:dyDescent="0.2">
      <c r="B44" s="7" t="s">
        <v>20</v>
      </c>
      <c r="C44" s="121">
        <f>'C2 lossyG,lossyA,interRA'!BB36</f>
        <v>1.9707518186290383</v>
      </c>
      <c r="D44" s="115"/>
      <c r="E44" s="115"/>
      <c r="F44" s="115"/>
      <c r="G44" s="115"/>
      <c r="H44" s="115"/>
      <c r="I44" s="115"/>
      <c r="J44" s="115"/>
      <c r="K44" s="115"/>
      <c r="L44" s="115"/>
    </row>
    <row r="50" spans="2:6" x14ac:dyDescent="0.2">
      <c r="B50" s="106"/>
      <c r="C50" s="108" t="s">
        <v>33</v>
      </c>
      <c r="D50" s="109"/>
      <c r="E50" s="110" t="s">
        <v>34</v>
      </c>
      <c r="F50" s="109"/>
    </row>
    <row r="51" spans="2:6" ht="16" x14ac:dyDescent="0.2">
      <c r="B51" s="107"/>
      <c r="C51" s="50" t="s">
        <v>35</v>
      </c>
      <c r="D51" s="51" t="s">
        <v>36</v>
      </c>
      <c r="E51" s="52" t="s">
        <v>35</v>
      </c>
      <c r="F51" s="53" t="s">
        <v>36</v>
      </c>
    </row>
    <row r="52" spans="2:6" ht="16" x14ac:dyDescent="0.2">
      <c r="B52" s="54" t="s">
        <v>21</v>
      </c>
      <c r="C52" s="55" t="e">
        <f>'CW losslG,losslA,intra'!AW16</f>
        <v>#NUM!</v>
      </c>
      <c r="D52" s="55" t="e">
        <f>'CW losslG,losslA,intra'!AX16</f>
        <v>#NUM!</v>
      </c>
      <c r="E52" s="56" t="e">
        <f>'CW losslG,losslA,intra'!AY16</f>
        <v>#NUM!</v>
      </c>
      <c r="F52" s="55" t="e">
        <f>'CW losslG,losslA,intra'!AZ16</f>
        <v>#NUM!</v>
      </c>
    </row>
    <row r="53" spans="2:6" ht="16" x14ac:dyDescent="0.2">
      <c r="B53" s="54" t="s">
        <v>28</v>
      </c>
      <c r="C53" s="55" t="e">
        <f>'CW losslG,losslA,interLD'!AW16</f>
        <v>#NUM!</v>
      </c>
      <c r="D53" s="55" t="e">
        <f>'CW losslG,losslA,interLD'!AX16</f>
        <v>#NUM!</v>
      </c>
      <c r="E53" s="56" t="e">
        <f>'CW losslG,losslA,interLD'!AY16</f>
        <v>#NUM!</v>
      </c>
      <c r="F53" s="55" t="e">
        <f>'CW losslG,losslA,interLD'!AZ16</f>
        <v>#NUM!</v>
      </c>
    </row>
    <row r="54" spans="2:6" ht="16" x14ac:dyDescent="0.2">
      <c r="B54" s="54" t="s">
        <v>5</v>
      </c>
      <c r="C54" s="55">
        <f>'C2 lossyG,lossyA,intra'!AZ36</f>
        <v>1.0676832248493719</v>
      </c>
      <c r="D54" s="55">
        <f>'C2 lossyG,lossyA,intra'!BA36</f>
        <v>0.9121333349505335</v>
      </c>
      <c r="E54" s="56">
        <f>'C2 lossyG,lossyA,intra'!BB36</f>
        <v>1.8507319411089758</v>
      </c>
      <c r="F54" s="55">
        <f>'C2 lossyG,lossyA,intra'!BC36</f>
        <v>0.82696168602892617</v>
      </c>
    </row>
    <row r="55" spans="2:6" ht="16" x14ac:dyDescent="0.2">
      <c r="B55" s="54" t="s">
        <v>31</v>
      </c>
      <c r="C55" s="55">
        <f>'C2 lossyG,lossyA,interRA'!AZ36</f>
        <v>1.102714828610615</v>
      </c>
      <c r="D55" s="55">
        <f>'C2 lossyG,lossyA,interRA'!BA36</f>
        <v>0.8239378093698343</v>
      </c>
      <c r="E55" s="56">
        <f>'C2 lossyG,lossyA,interRA'!BB36</f>
        <v>1.9707518186290383</v>
      </c>
      <c r="F55" s="55">
        <f>'C2 lossyG,lossyA,interRA'!BC36</f>
        <v>0.8446231781279181</v>
      </c>
    </row>
  </sheetData>
  <mergeCells count="31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</mergeCells>
  <conditionalFormatting sqref="C18 C19 C20">
    <cfRule type="cellIs" dxfId="121" priority="23" operator="greaterThanOrEqual">
      <formula>1.03</formula>
    </cfRule>
    <cfRule type="cellIs" dxfId="120" priority="24" operator="lessThanOrEqual">
      <formula>0.97</formula>
    </cfRule>
  </conditionalFormatting>
  <conditionalFormatting sqref="C29 C30 C31">
    <cfRule type="cellIs" dxfId="119" priority="29" operator="greaterThanOrEqual">
      <formula>1.03</formula>
    </cfRule>
    <cfRule type="cellIs" dxfId="118" priority="30" operator="lessThanOrEqual">
      <formula>0.97</formula>
    </cfRule>
  </conditionalFormatting>
  <conditionalFormatting sqref="C40 C41 C42">
    <cfRule type="cellIs" dxfId="117" priority="35" operator="greaterThanOrEqual">
      <formula>0.03</formula>
    </cfRule>
    <cfRule type="cellIs" dxfId="116" priority="36" operator="lessThanOrEqual">
      <formula>-0.03</formula>
    </cfRule>
  </conditionalFormatting>
  <conditionalFormatting sqref="C9 C10 C11">
    <cfRule type="cellIs" dxfId="115" priority="1" operator="greaterThanOrEqual">
      <formula>0.03</formula>
    </cfRule>
    <cfRule type="cellIs" dxfId="114" priority="2" operator="lessThanOrEqual">
      <formula>-0.03</formula>
    </cfRule>
  </conditionalFormatting>
  <conditionalFormatting sqref="D18 D19 D20">
    <cfRule type="cellIs" dxfId="113" priority="25" operator="greaterThanOrEqual">
      <formula>1.03</formula>
    </cfRule>
    <cfRule type="cellIs" dxfId="112" priority="26" operator="lessThanOrEqual">
      <formula>0.97</formula>
    </cfRule>
  </conditionalFormatting>
  <conditionalFormatting sqref="D29 D30 D31">
    <cfRule type="cellIs" dxfId="111" priority="31" operator="greaterThanOrEqual">
      <formula>1.03</formula>
    </cfRule>
    <cfRule type="cellIs" dxfId="110" priority="32" operator="lessThanOrEqual">
      <formula>0.97</formula>
    </cfRule>
  </conditionalFormatting>
  <conditionalFormatting sqref="D40 D41 D42">
    <cfRule type="cellIs" dxfId="109" priority="33" operator="greaterThanOrEqual">
      <formula>0.03</formula>
    </cfRule>
    <cfRule type="cellIs" dxfId="108" priority="34" operator="lessThanOrEqual">
      <formula>-0.03</formula>
    </cfRule>
  </conditionalFormatting>
  <conditionalFormatting sqref="D9 D10 D11">
    <cfRule type="cellIs" dxfId="107" priority="7" operator="greaterThanOrEqual">
      <formula>0.03</formula>
    </cfRule>
    <cfRule type="cellIs" dxfId="106" priority="8" operator="lessThanOrEqual">
      <formula>-0.03</formula>
    </cfRule>
  </conditionalFormatting>
  <conditionalFormatting sqref="E18 E19 E20">
    <cfRule type="cellIs" dxfId="105" priority="21" operator="greaterThanOrEqual">
      <formula>1.03</formula>
    </cfRule>
    <cfRule type="cellIs" dxfId="104" priority="22" operator="lessThanOrEqual">
      <formula>0.97</formula>
    </cfRule>
  </conditionalFormatting>
  <conditionalFormatting sqref="E29 E30 E31">
    <cfRule type="cellIs" dxfId="103" priority="27" operator="greaterThanOrEqual">
      <formula>1.03</formula>
    </cfRule>
    <cfRule type="cellIs" dxfId="102" priority="28" operator="lessThanOrEqual">
      <formula>0.97</formula>
    </cfRule>
  </conditionalFormatting>
  <conditionalFormatting sqref="E40 E41 E42">
    <cfRule type="cellIs" dxfId="101" priority="43" operator="greaterThanOrEqual">
      <formula>0.03</formula>
    </cfRule>
    <cfRule type="cellIs" dxfId="100" priority="44" operator="lessThanOrEqual">
      <formula>-0.03</formula>
    </cfRule>
  </conditionalFormatting>
  <conditionalFormatting sqref="E9 E10 E11">
    <cfRule type="cellIs" dxfId="99" priority="19" operator="greaterThanOrEqual">
      <formula>0.03</formula>
    </cfRule>
    <cfRule type="cellIs" dxfId="98" priority="20" operator="lessThanOrEqual">
      <formula>-0.03</formula>
    </cfRule>
  </conditionalFormatting>
  <conditionalFormatting sqref="F40 F41 F42">
    <cfRule type="cellIs" dxfId="97" priority="47" operator="greaterThanOrEqual">
      <formula>0.03</formula>
    </cfRule>
    <cfRule type="cellIs" dxfId="96" priority="48" operator="lessThanOrEqual">
      <formula>-0.03</formula>
    </cfRule>
  </conditionalFormatting>
  <conditionalFormatting sqref="F9 F10 F11">
    <cfRule type="cellIs" dxfId="95" priority="11" operator="greaterThanOrEqual">
      <formula>0.03</formula>
    </cfRule>
    <cfRule type="cellIs" dxfId="94" priority="12" operator="lessThanOrEqual">
      <formula>-0.03</formula>
    </cfRule>
  </conditionalFormatting>
  <conditionalFormatting sqref="G40 G41 G42">
    <cfRule type="cellIs" dxfId="93" priority="49" operator="greaterThanOrEqual">
      <formula>0.03</formula>
    </cfRule>
    <cfRule type="cellIs" dxfId="92" priority="50" operator="lessThanOrEqual">
      <formula>-0.03</formula>
    </cfRule>
  </conditionalFormatting>
  <conditionalFormatting sqref="G9 G10 G11">
    <cfRule type="cellIs" dxfId="91" priority="9" operator="greaterThanOrEqual">
      <formula>0.03</formula>
    </cfRule>
    <cfRule type="cellIs" dxfId="90" priority="10" operator="lessThanOrEqual">
      <formula>-0.03</formula>
    </cfRule>
  </conditionalFormatting>
  <conditionalFormatting sqref="H40 H41 H42">
    <cfRule type="cellIs" dxfId="89" priority="41" operator="greaterThanOrEqual">
      <formula>0.03</formula>
    </cfRule>
    <cfRule type="cellIs" dxfId="88" priority="42" operator="lessThanOrEqual">
      <formula>-0.03</formula>
    </cfRule>
  </conditionalFormatting>
  <conditionalFormatting sqref="H9 H10 H11">
    <cfRule type="cellIs" dxfId="87" priority="17" operator="greaterThanOrEqual">
      <formula>0.03</formula>
    </cfRule>
    <cfRule type="cellIs" dxfId="86" priority="18" operator="lessThanOrEqual">
      <formula>-0.03</formula>
    </cfRule>
  </conditionalFormatting>
  <conditionalFormatting sqref="I40 I41 I42">
    <cfRule type="cellIs" dxfId="85" priority="51" operator="greaterThanOrEqual">
      <formula>0.03</formula>
    </cfRule>
    <cfRule type="cellIs" dxfId="84" priority="52" operator="lessThanOrEqual">
      <formula>-0.03</formula>
    </cfRule>
  </conditionalFormatting>
  <conditionalFormatting sqref="I9 I10 I11">
    <cfRule type="cellIs" dxfId="83" priority="15" operator="greaterThanOrEqual">
      <formula>0.03</formula>
    </cfRule>
    <cfRule type="cellIs" dxfId="82" priority="16" operator="lessThanOrEqual">
      <formula>-0.03</formula>
    </cfRule>
  </conditionalFormatting>
  <conditionalFormatting sqref="J40 J41 J42">
    <cfRule type="cellIs" dxfId="81" priority="37" operator="greaterThanOrEqual">
      <formula>0.03</formula>
    </cfRule>
    <cfRule type="cellIs" dxfId="80" priority="38" operator="lessThanOrEqual">
      <formula>-0.03</formula>
    </cfRule>
  </conditionalFormatting>
  <conditionalFormatting sqref="J9 J10 J11">
    <cfRule type="cellIs" dxfId="79" priority="5" operator="greaterThanOrEqual">
      <formula>0.03</formula>
    </cfRule>
    <cfRule type="cellIs" dxfId="78" priority="6" operator="lessThanOrEqual">
      <formula>-0.03</formula>
    </cfRule>
  </conditionalFormatting>
  <conditionalFormatting sqref="K40 K41 K42">
    <cfRule type="cellIs" dxfId="77" priority="39" operator="greaterThanOrEqual">
      <formula>0.03</formula>
    </cfRule>
    <cfRule type="cellIs" dxfId="76" priority="40" operator="lessThanOrEqual">
      <formula>-0.03</formula>
    </cfRule>
  </conditionalFormatting>
  <conditionalFormatting sqref="K9 K10 K11">
    <cfRule type="cellIs" dxfId="75" priority="3" operator="greaterThanOrEqual">
      <formula>0.03</formula>
    </cfRule>
    <cfRule type="cellIs" dxfId="74" priority="4" operator="lessThanOrEqual">
      <formula>-0.03</formula>
    </cfRule>
  </conditionalFormatting>
  <conditionalFormatting sqref="L40 L41 L42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L9 L10 L11">
    <cfRule type="cellIs" dxfId="71" priority="13" operator="greaterThanOrEqual">
      <formula>0.03</formula>
    </cfRule>
    <cfRule type="cellIs" dxfId="70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9"/>
  <sheetViews>
    <sheetView workbookViewId="0"/>
  </sheetViews>
  <sheetFormatPr baseColWidth="10" defaultColWidth="8.83203125" defaultRowHeight="15" x14ac:dyDescent="0.2"/>
  <cols>
    <col min="1" max="1" width="12.6640625" style="4" customWidth="1"/>
    <col min="2" max="2" width="24.6640625" style="4" customWidth="1"/>
    <col min="4" max="4" width="24.6640625" style="4" customWidth="1"/>
    <col min="9" max="9" width="16.6640625" style="4" customWidth="1"/>
  </cols>
  <sheetData>
    <row r="1" spans="1:16" x14ac:dyDescent="0.2">
      <c r="A1" t="s">
        <v>37</v>
      </c>
      <c r="B1" s="8" t="str">
        <f>M1</f>
        <v>C2 lossyG,lossyA,intra</v>
      </c>
      <c r="C1" t="s">
        <v>38</v>
      </c>
      <c r="I1" t="s">
        <v>39</v>
      </c>
      <c r="M1" t="s">
        <v>40</v>
      </c>
      <c r="N1" t="s">
        <v>41</v>
      </c>
      <c r="O1" t="s">
        <v>42</v>
      </c>
      <c r="P1" t="s">
        <v>43</v>
      </c>
    </row>
    <row r="2" spans="1:16" x14ac:dyDescent="0.2">
      <c r="A2" t="s">
        <v>44</v>
      </c>
      <c r="B2" s="8" t="str">
        <f>HLOOKUP(B1,M1:ZZ3,3,0)</f>
        <v>8ivfbv2_loot_vox10</v>
      </c>
      <c r="C2" t="s">
        <v>45</v>
      </c>
      <c r="I2" t="s">
        <v>46</v>
      </c>
      <c r="J2" t="s">
        <v>47</v>
      </c>
      <c r="M2" t="s">
        <v>48</v>
      </c>
      <c r="N2" t="s">
        <v>49</v>
      </c>
      <c r="O2" t="s">
        <v>50</v>
      </c>
      <c r="P2" t="s">
        <v>51</v>
      </c>
    </row>
    <row r="3" spans="1:16" x14ac:dyDescent="0.2">
      <c r="I3" t="s">
        <v>52</v>
      </c>
      <c r="J3" t="s">
        <v>53</v>
      </c>
      <c r="M3" t="s">
        <v>54</v>
      </c>
      <c r="N3" t="s">
        <v>54</v>
      </c>
      <c r="O3" t="s">
        <v>54</v>
      </c>
      <c r="P3" t="s">
        <v>54</v>
      </c>
    </row>
    <row r="4" spans="1:16" x14ac:dyDescent="0.2">
      <c r="A4" t="s">
        <v>55</v>
      </c>
      <c r="B4" s="8" t="s">
        <v>56</v>
      </c>
      <c r="C4" t="s">
        <v>57</v>
      </c>
      <c r="D4" s="8" t="s">
        <v>58</v>
      </c>
      <c r="E4" t="s">
        <v>59</v>
      </c>
      <c r="I4" t="s">
        <v>60</v>
      </c>
      <c r="J4" t="s">
        <v>61</v>
      </c>
      <c r="M4" t="s">
        <v>62</v>
      </c>
      <c r="N4" t="s">
        <v>62</v>
      </c>
      <c r="O4" t="s">
        <v>62</v>
      </c>
      <c r="P4" t="s">
        <v>62</v>
      </c>
    </row>
    <row r="5" spans="1:16" x14ac:dyDescent="0.2">
      <c r="A5" t="s">
        <v>55</v>
      </c>
      <c r="B5" s="8" t="s">
        <v>56</v>
      </c>
      <c r="C5" t="s">
        <v>57</v>
      </c>
      <c r="D5" s="8" t="s">
        <v>63</v>
      </c>
      <c r="E5" t="s">
        <v>64</v>
      </c>
      <c r="I5" t="s">
        <v>65</v>
      </c>
      <c r="J5" t="s">
        <v>66</v>
      </c>
      <c r="M5" t="s">
        <v>67</v>
      </c>
      <c r="N5" t="s">
        <v>67</v>
      </c>
      <c r="O5" t="s">
        <v>67</v>
      </c>
      <c r="P5" t="s">
        <v>67</v>
      </c>
    </row>
    <row r="6" spans="1:16" x14ac:dyDescent="0.2">
      <c r="A6" t="s">
        <v>55</v>
      </c>
      <c r="B6" s="8" t="s">
        <v>56</v>
      </c>
      <c r="C6" t="s">
        <v>57</v>
      </c>
      <c r="D6" s="8" t="s">
        <v>68</v>
      </c>
      <c r="E6" t="s">
        <v>69</v>
      </c>
      <c r="I6" t="s">
        <v>70</v>
      </c>
      <c r="J6" t="s">
        <v>71</v>
      </c>
      <c r="M6" t="s">
        <v>72</v>
      </c>
      <c r="N6" t="s">
        <v>72</v>
      </c>
      <c r="O6" t="s">
        <v>72</v>
      </c>
      <c r="P6" t="s">
        <v>72</v>
      </c>
    </row>
    <row r="7" spans="1:16" x14ac:dyDescent="0.2">
      <c r="A7" t="s">
        <v>55</v>
      </c>
      <c r="B7" s="8" t="s">
        <v>56</v>
      </c>
      <c r="C7" t="s">
        <v>57</v>
      </c>
      <c r="D7" s="8" t="s">
        <v>52</v>
      </c>
      <c r="E7" t="s">
        <v>73</v>
      </c>
      <c r="I7" t="s">
        <v>58</v>
      </c>
      <c r="J7" t="s">
        <v>74</v>
      </c>
      <c r="M7" t="s">
        <v>75</v>
      </c>
      <c r="N7" t="s">
        <v>75</v>
      </c>
      <c r="O7" t="s">
        <v>75</v>
      </c>
      <c r="P7" t="s">
        <v>75</v>
      </c>
    </row>
    <row r="8" spans="1:16" x14ac:dyDescent="0.2">
      <c r="A8" t="s">
        <v>55</v>
      </c>
      <c r="B8" s="8" t="s">
        <v>56</v>
      </c>
      <c r="C8" t="s">
        <v>57</v>
      </c>
      <c r="D8" s="8" t="s">
        <v>65</v>
      </c>
      <c r="E8" t="s">
        <v>76</v>
      </c>
      <c r="I8" t="s">
        <v>77</v>
      </c>
      <c r="J8" t="s">
        <v>78</v>
      </c>
    </row>
    <row r="9" spans="1:16" x14ac:dyDescent="0.2">
      <c r="A9" t="s">
        <v>55</v>
      </c>
      <c r="B9" s="8" t="s">
        <v>56</v>
      </c>
      <c r="C9" t="s">
        <v>57</v>
      </c>
      <c r="D9" s="8" t="s">
        <v>79</v>
      </c>
      <c r="E9" t="s">
        <v>80</v>
      </c>
      <c r="I9" t="s">
        <v>63</v>
      </c>
      <c r="J9" t="s">
        <v>81</v>
      </c>
    </row>
    <row r="10" spans="1:16" x14ac:dyDescent="0.2">
      <c r="I10" t="s">
        <v>82</v>
      </c>
      <c r="J10" t="s">
        <v>83</v>
      </c>
    </row>
    <row r="11" spans="1:16" x14ac:dyDescent="0.2">
      <c r="I11" t="s">
        <v>84</v>
      </c>
      <c r="J11" t="s">
        <v>85</v>
      </c>
    </row>
    <row r="12" spans="1:16" x14ac:dyDescent="0.2">
      <c r="I12" t="s">
        <v>86</v>
      </c>
      <c r="J12" t="s">
        <v>87</v>
      </c>
    </row>
    <row r="13" spans="1:16" x14ac:dyDescent="0.2">
      <c r="I13" t="s">
        <v>88</v>
      </c>
      <c r="J13" t="s">
        <v>89</v>
      </c>
    </row>
    <row r="14" spans="1:16" x14ac:dyDescent="0.2">
      <c r="I14" t="s">
        <v>90</v>
      </c>
      <c r="J14" t="s">
        <v>91</v>
      </c>
    </row>
    <row r="15" spans="1:16" x14ac:dyDescent="0.2">
      <c r="I15" t="s">
        <v>92</v>
      </c>
      <c r="J15" t="s">
        <v>93</v>
      </c>
    </row>
    <row r="16" spans="1:16" x14ac:dyDescent="0.2">
      <c r="I16" t="s">
        <v>94</v>
      </c>
      <c r="J16" t="s">
        <v>95</v>
      </c>
    </row>
    <row r="17" spans="9:10" x14ac:dyDescent="0.2">
      <c r="I17" t="s">
        <v>79</v>
      </c>
      <c r="J17" t="s">
        <v>96</v>
      </c>
    </row>
    <row r="18" spans="9:10" x14ac:dyDescent="0.2">
      <c r="I18" t="s">
        <v>97</v>
      </c>
      <c r="J18" t="s">
        <v>98</v>
      </c>
    </row>
    <row r="19" spans="9:10" x14ac:dyDescent="0.2">
      <c r="I19" t="s">
        <v>99</v>
      </c>
      <c r="J19" t="s">
        <v>100</v>
      </c>
    </row>
    <row r="20" spans="9:10" x14ac:dyDescent="0.2">
      <c r="I20" t="s">
        <v>101</v>
      </c>
      <c r="J20" t="s">
        <v>102</v>
      </c>
    </row>
    <row r="21" spans="9:10" x14ac:dyDescent="0.2">
      <c r="I21" t="s">
        <v>103</v>
      </c>
      <c r="J21" t="s">
        <v>104</v>
      </c>
    </row>
    <row r="22" spans="9:10" x14ac:dyDescent="0.2">
      <c r="I22" t="s">
        <v>68</v>
      </c>
      <c r="J22" t="s">
        <v>105</v>
      </c>
    </row>
    <row r="23" spans="9:10" x14ac:dyDescent="0.2">
      <c r="I23" t="s">
        <v>106</v>
      </c>
      <c r="J23" t="s">
        <v>107</v>
      </c>
    </row>
    <row r="24" spans="9:10" x14ac:dyDescent="0.2">
      <c r="I24" t="s">
        <v>108</v>
      </c>
      <c r="J24" t="s">
        <v>109</v>
      </c>
    </row>
    <row r="25" spans="9:10" x14ac:dyDescent="0.2">
      <c r="I25" t="s">
        <v>110</v>
      </c>
      <c r="J25" t="s">
        <v>111</v>
      </c>
    </row>
    <row r="26" spans="9:10" x14ac:dyDescent="0.2">
      <c r="I26" t="s">
        <v>112</v>
      </c>
      <c r="J26" t="s">
        <v>113</v>
      </c>
    </row>
    <row r="27" spans="9:10" x14ac:dyDescent="0.2">
      <c r="I27" t="s">
        <v>114</v>
      </c>
      <c r="J27" t="s">
        <v>115</v>
      </c>
    </row>
    <row r="28" spans="9:10" x14ac:dyDescent="0.2">
      <c r="I28" t="s">
        <v>116</v>
      </c>
      <c r="J28" t="s">
        <v>117</v>
      </c>
    </row>
    <row r="29" spans="9:10" x14ac:dyDescent="0.2">
      <c r="I29" t="s">
        <v>118</v>
      </c>
      <c r="J29" t="s">
        <v>119</v>
      </c>
    </row>
    <row r="30" spans="9:10" x14ac:dyDescent="0.2">
      <c r="I30" t="s">
        <v>120</v>
      </c>
      <c r="J30" t="s">
        <v>121</v>
      </c>
    </row>
    <row r="31" spans="9:10" x14ac:dyDescent="0.2">
      <c r="I31" t="s">
        <v>122</v>
      </c>
      <c r="J31" t="s">
        <v>123</v>
      </c>
    </row>
    <row r="32" spans="9:10" x14ac:dyDescent="0.2">
      <c r="I32" t="s">
        <v>124</v>
      </c>
      <c r="J32" t="s">
        <v>125</v>
      </c>
    </row>
    <row r="33" spans="9:10" x14ac:dyDescent="0.2">
      <c r="I33" t="s">
        <v>126</v>
      </c>
      <c r="J33" t="s">
        <v>127</v>
      </c>
    </row>
    <row r="34" spans="9:10" x14ac:dyDescent="0.2">
      <c r="I34" t="s">
        <v>56</v>
      </c>
      <c r="J34" t="s">
        <v>128</v>
      </c>
    </row>
    <row r="35" spans="9:10" x14ac:dyDescent="0.2">
      <c r="I35" t="s">
        <v>129</v>
      </c>
      <c r="J35" t="s">
        <v>130</v>
      </c>
    </row>
    <row r="36" spans="9:10" x14ac:dyDescent="0.2">
      <c r="I36" t="s">
        <v>131</v>
      </c>
      <c r="J36" t="s">
        <v>132</v>
      </c>
    </row>
    <row r="37" spans="9:10" x14ac:dyDescent="0.2">
      <c r="I37" t="s">
        <v>133</v>
      </c>
      <c r="J37" t="s">
        <v>134</v>
      </c>
    </row>
    <row r="38" spans="9:10" x14ac:dyDescent="0.2">
      <c r="I38" t="s">
        <v>135</v>
      </c>
      <c r="J38" t="s">
        <v>136</v>
      </c>
    </row>
    <row r="39" spans="9:10" x14ac:dyDescent="0.2">
      <c r="I39" t="s">
        <v>137</v>
      </c>
      <c r="J39" t="s">
        <v>138</v>
      </c>
    </row>
  </sheetData>
  <conditionalFormatting sqref="B2">
    <cfRule type="expression" dxfId="6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68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/>
  </sheetPr>
  <dimension ref="A1:BT36"/>
  <sheetViews>
    <sheetView tabSelected="1" workbookViewId="0">
      <pane xSplit="2" topLeftCell="AE1" activePane="topRight" state="frozen"/>
      <selection pane="topRight" activeCell="AG2" sqref="AG2:AG3"/>
    </sheetView>
  </sheetViews>
  <sheetFormatPr baseColWidth="10" defaultColWidth="8.83203125" defaultRowHeight="15" outlineLevelRow="2" x14ac:dyDescent="0.2"/>
  <cols>
    <col min="2" max="2" width="24.6640625" style="4" customWidth="1"/>
    <col min="4" max="5" width="10.6640625" style="4" customWidth="1"/>
    <col min="8" max="8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9" max="22" width="12.6640625" style="4" customWidth="1"/>
    <col min="23" max="27" width="11.6640625" style="4" customWidth="1"/>
    <col min="32" max="32" width="1.6640625" style="4" customWidth="1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3" max="46" width="12.6640625" style="4" customWidth="1"/>
    <col min="47" max="51" width="11.6640625" style="4" customWidth="1"/>
    <col min="56" max="56" width="1.6640625" style="4" customWidth="1"/>
    <col min="60" max="60" width="1.6640625" style="4" customWidth="1"/>
    <col min="63" max="65" width="11.6640625" style="4" customWidth="1"/>
    <col min="66" max="66" width="1.6640625" style="4" customWidth="1"/>
    <col min="69" max="71" width="11.6640625" style="4" customWidth="1"/>
    <col min="72" max="72" width="1.6640625" style="4" customWidth="1"/>
  </cols>
  <sheetData>
    <row r="1" spans="1:71" ht="14.5" customHeight="1" x14ac:dyDescent="0.2">
      <c r="A1" s="126" t="s">
        <v>139</v>
      </c>
      <c r="B1" s="112"/>
      <c r="C1" s="112"/>
      <c r="D1" s="112"/>
      <c r="E1" s="112"/>
      <c r="F1" s="112"/>
      <c r="G1" s="112"/>
      <c r="I1" s="111" t="s">
        <v>3</v>
      </c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G1" s="113" t="s">
        <v>572</v>
      </c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</row>
    <row r="2" spans="1:71" ht="30" customHeight="1" thickBot="1" x14ac:dyDescent="0.25">
      <c r="A2" s="122" t="s">
        <v>140</v>
      </c>
      <c r="B2" s="123" t="s">
        <v>141</v>
      </c>
      <c r="C2" s="122" t="s">
        <v>142</v>
      </c>
      <c r="D2" s="123" t="s">
        <v>143</v>
      </c>
      <c r="E2" s="122" t="s">
        <v>144</v>
      </c>
      <c r="F2" s="123" t="s">
        <v>145</v>
      </c>
      <c r="G2" s="122" t="s">
        <v>146</v>
      </c>
      <c r="I2" s="123" t="s">
        <v>147</v>
      </c>
      <c r="J2" s="124" t="s">
        <v>148</v>
      </c>
      <c r="K2" s="112"/>
      <c r="L2" s="112"/>
      <c r="M2" s="112"/>
      <c r="N2" s="122" t="s">
        <v>149</v>
      </c>
      <c r="O2" s="123" t="s">
        <v>150</v>
      </c>
      <c r="P2" s="122" t="s">
        <v>85</v>
      </c>
      <c r="Q2" s="123" t="s">
        <v>87</v>
      </c>
      <c r="R2" s="122" t="s">
        <v>83</v>
      </c>
      <c r="S2" s="125" t="s">
        <v>151</v>
      </c>
      <c r="T2" s="112"/>
      <c r="U2" s="112"/>
      <c r="V2" s="112"/>
      <c r="W2" s="124" t="s">
        <v>152</v>
      </c>
      <c r="X2" s="112"/>
      <c r="Y2" s="125" t="s">
        <v>153</v>
      </c>
      <c r="Z2" s="112"/>
      <c r="AA2" s="112"/>
      <c r="AB2" s="124" t="s">
        <v>154</v>
      </c>
      <c r="AC2" s="112"/>
      <c r="AD2" s="125" t="s">
        <v>155</v>
      </c>
      <c r="AE2" s="112"/>
      <c r="AG2" s="122" t="s">
        <v>147</v>
      </c>
      <c r="AH2" s="125" t="s">
        <v>148</v>
      </c>
      <c r="AI2" s="112"/>
      <c r="AJ2" s="112"/>
      <c r="AK2" s="112"/>
      <c r="AL2" s="123" t="s">
        <v>156</v>
      </c>
      <c r="AM2" s="122" t="s">
        <v>150</v>
      </c>
      <c r="AN2" s="123" t="s">
        <v>85</v>
      </c>
      <c r="AO2" s="122" t="s">
        <v>87</v>
      </c>
      <c r="AP2" s="123" t="s">
        <v>83</v>
      </c>
      <c r="AQ2" s="124" t="s">
        <v>151</v>
      </c>
      <c r="AR2" s="112"/>
      <c r="AS2" s="112"/>
      <c r="AT2" s="112"/>
      <c r="AU2" s="125" t="s">
        <v>152</v>
      </c>
      <c r="AV2" s="112"/>
      <c r="AW2" s="124" t="s">
        <v>153</v>
      </c>
      <c r="AX2" s="112"/>
      <c r="AY2" s="112"/>
      <c r="AZ2" s="125" t="s">
        <v>154</v>
      </c>
      <c r="BA2" s="112"/>
      <c r="BB2" s="124" t="s">
        <v>155</v>
      </c>
      <c r="BC2" s="112"/>
      <c r="BE2" s="123" t="s">
        <v>157</v>
      </c>
      <c r="BF2" s="122" t="s">
        <v>158</v>
      </c>
      <c r="BG2" s="123" t="s">
        <v>158</v>
      </c>
      <c r="BI2" s="124" t="s">
        <v>7</v>
      </c>
      <c r="BJ2" s="112"/>
      <c r="BK2" s="125" t="s">
        <v>8</v>
      </c>
      <c r="BL2" s="112"/>
      <c r="BM2" s="112"/>
      <c r="BO2" s="124" t="s">
        <v>9</v>
      </c>
      <c r="BP2" s="112"/>
      <c r="BQ2" s="125" t="s">
        <v>10</v>
      </c>
      <c r="BR2" s="112"/>
      <c r="BS2" s="112"/>
    </row>
    <row r="3" spans="1:71" ht="15" customHeight="1" thickBot="1" x14ac:dyDescent="0.25">
      <c r="A3" s="115"/>
      <c r="B3" s="115"/>
      <c r="C3" s="115"/>
      <c r="D3" s="115"/>
      <c r="E3" s="115"/>
      <c r="F3" s="115"/>
      <c r="G3" s="115"/>
      <c r="I3" s="115"/>
      <c r="J3" s="105" t="s">
        <v>25</v>
      </c>
      <c r="K3" s="105" t="s">
        <v>159</v>
      </c>
      <c r="L3" s="105" t="s">
        <v>24</v>
      </c>
      <c r="M3" s="105" t="s">
        <v>160</v>
      </c>
      <c r="N3" s="115"/>
      <c r="O3" s="115"/>
      <c r="P3" s="115"/>
      <c r="Q3" s="115"/>
      <c r="R3" s="115"/>
      <c r="S3" s="104" t="s">
        <v>25</v>
      </c>
      <c r="T3" s="104" t="s">
        <v>24</v>
      </c>
      <c r="U3" s="104" t="s">
        <v>161</v>
      </c>
      <c r="V3" s="104" t="s">
        <v>26</v>
      </c>
      <c r="W3" s="105" t="s">
        <v>11</v>
      </c>
      <c r="X3" s="105" t="s">
        <v>12</v>
      </c>
      <c r="Y3" s="104" t="s">
        <v>13</v>
      </c>
      <c r="Z3" s="104" t="s">
        <v>14</v>
      </c>
      <c r="AA3" s="104" t="s">
        <v>15</v>
      </c>
      <c r="AB3" s="105" t="s">
        <v>35</v>
      </c>
      <c r="AC3" s="105" t="s">
        <v>36</v>
      </c>
      <c r="AD3" s="104" t="s">
        <v>35</v>
      </c>
      <c r="AE3" s="104" t="s">
        <v>36</v>
      </c>
      <c r="AG3" s="115"/>
      <c r="AH3" s="104" t="s">
        <v>25</v>
      </c>
      <c r="AI3" s="104" t="s">
        <v>159</v>
      </c>
      <c r="AJ3" s="104" t="s">
        <v>24</v>
      </c>
      <c r="AK3" s="104" t="s">
        <v>160</v>
      </c>
      <c r="AL3" s="115"/>
      <c r="AM3" s="115"/>
      <c r="AN3" s="115"/>
      <c r="AO3" s="115"/>
      <c r="AP3" s="115"/>
      <c r="AQ3" s="105" t="s">
        <v>25</v>
      </c>
      <c r="AR3" s="105" t="s">
        <v>24</v>
      </c>
      <c r="AS3" s="105" t="s">
        <v>161</v>
      </c>
      <c r="AT3" s="105" t="s">
        <v>26</v>
      </c>
      <c r="AU3" s="104" t="s">
        <v>11</v>
      </c>
      <c r="AV3" s="104" t="s">
        <v>12</v>
      </c>
      <c r="AW3" s="105" t="s">
        <v>13</v>
      </c>
      <c r="AX3" s="105" t="s">
        <v>14</v>
      </c>
      <c r="AY3" s="105" t="s">
        <v>15</v>
      </c>
      <c r="AZ3" s="104" t="s">
        <v>35</v>
      </c>
      <c r="BA3" s="104" t="s">
        <v>36</v>
      </c>
      <c r="BB3" s="105" t="s">
        <v>35</v>
      </c>
      <c r="BC3" s="105" t="s">
        <v>36</v>
      </c>
      <c r="BE3" s="115"/>
      <c r="BF3" s="115"/>
      <c r="BG3" s="115"/>
      <c r="BI3" s="105" t="s">
        <v>11</v>
      </c>
      <c r="BJ3" s="105" t="s">
        <v>12</v>
      </c>
      <c r="BK3" s="104" t="s">
        <v>13</v>
      </c>
      <c r="BL3" s="104" t="s">
        <v>14</v>
      </c>
      <c r="BM3" s="104" t="s">
        <v>15</v>
      </c>
      <c r="BO3" s="105" t="s">
        <v>11</v>
      </c>
      <c r="BP3" s="105" t="s">
        <v>12</v>
      </c>
      <c r="BQ3" s="104" t="s">
        <v>13</v>
      </c>
      <c r="BR3" s="104" t="s">
        <v>14</v>
      </c>
      <c r="BS3" s="104" t="s">
        <v>15</v>
      </c>
    </row>
    <row r="4" spans="1:71" ht="123" hidden="1" customHeight="1" x14ac:dyDescent="0.2">
      <c r="A4" s="9" t="s">
        <v>162</v>
      </c>
      <c r="B4" s="10" t="s">
        <v>163</v>
      </c>
      <c r="C4" s="9" t="s">
        <v>164</v>
      </c>
      <c r="D4" s="10" t="s">
        <v>165</v>
      </c>
      <c r="E4" s="9" t="s">
        <v>166</v>
      </c>
      <c r="F4" s="10" t="s">
        <v>167</v>
      </c>
      <c r="G4" s="9" t="s">
        <v>168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177</v>
      </c>
      <c r="R4" s="9" t="s">
        <v>178</v>
      </c>
      <c r="S4" s="10" t="s">
        <v>179</v>
      </c>
      <c r="T4" s="10" t="s">
        <v>180</v>
      </c>
      <c r="U4" s="10" t="s">
        <v>181</v>
      </c>
      <c r="V4" s="10" t="s">
        <v>182</v>
      </c>
      <c r="W4" s="9" t="s">
        <v>183</v>
      </c>
      <c r="X4" s="9" t="s">
        <v>184</v>
      </c>
      <c r="Y4" s="10" t="s">
        <v>185</v>
      </c>
      <c r="Z4" s="10" t="s">
        <v>186</v>
      </c>
      <c r="AA4" s="10" t="s">
        <v>187</v>
      </c>
      <c r="AB4" s="9" t="s">
        <v>188</v>
      </c>
      <c r="AC4" s="9" t="s">
        <v>189</v>
      </c>
      <c r="AD4" s="10" t="s">
        <v>190</v>
      </c>
      <c r="AE4" s="10" t="s">
        <v>191</v>
      </c>
      <c r="AG4" s="9" t="s">
        <v>192</v>
      </c>
      <c r="AH4" s="10" t="s">
        <v>193</v>
      </c>
      <c r="AI4" s="10" t="s">
        <v>194</v>
      </c>
      <c r="AJ4" s="10" t="s">
        <v>195</v>
      </c>
      <c r="AK4" s="10" t="s">
        <v>196</v>
      </c>
      <c r="AL4" s="10" t="s">
        <v>197</v>
      </c>
      <c r="AM4" s="9" t="s">
        <v>198</v>
      </c>
      <c r="AN4" s="10" t="s">
        <v>199</v>
      </c>
      <c r="AO4" s="9" t="s">
        <v>200</v>
      </c>
      <c r="AP4" s="10" t="s">
        <v>201</v>
      </c>
      <c r="AQ4" s="9" t="s">
        <v>202</v>
      </c>
      <c r="AR4" s="9" t="s">
        <v>203</v>
      </c>
      <c r="AS4" s="9" t="s">
        <v>204</v>
      </c>
      <c r="AT4" s="9" t="s">
        <v>205</v>
      </c>
      <c r="AU4" s="10" t="s">
        <v>206</v>
      </c>
      <c r="AV4" s="10" t="s">
        <v>207</v>
      </c>
      <c r="AW4" s="9" t="s">
        <v>208</v>
      </c>
      <c r="AX4" s="9" t="s">
        <v>209</v>
      </c>
      <c r="AY4" s="9" t="s">
        <v>210</v>
      </c>
      <c r="AZ4" s="10" t="s">
        <v>211</v>
      </c>
      <c r="BA4" s="10" t="s">
        <v>212</v>
      </c>
      <c r="BB4" s="9" t="s">
        <v>213</v>
      </c>
      <c r="BC4" s="9" t="s">
        <v>214</v>
      </c>
      <c r="BE4" s="10" t="s">
        <v>215</v>
      </c>
      <c r="BF4" s="9" t="s">
        <v>216</v>
      </c>
      <c r="BG4" s="10" t="s">
        <v>217</v>
      </c>
      <c r="BI4" s="9" t="s">
        <v>218</v>
      </c>
      <c r="BJ4" s="9" t="s">
        <v>219</v>
      </c>
      <c r="BK4" s="10" t="s">
        <v>220</v>
      </c>
      <c r="BL4" s="10" t="s">
        <v>221</v>
      </c>
      <c r="BM4" s="10" t="s">
        <v>222</v>
      </c>
      <c r="BO4" s="9" t="s">
        <v>223</v>
      </c>
      <c r="BP4" s="9" t="s">
        <v>224</v>
      </c>
      <c r="BQ4" s="10" t="s">
        <v>225</v>
      </c>
      <c r="BR4" s="10" t="s">
        <v>226</v>
      </c>
      <c r="BS4" s="10" t="s">
        <v>227</v>
      </c>
    </row>
    <row r="5" spans="1:71" x14ac:dyDescent="0.2">
      <c r="A5" s="77" t="s">
        <v>228</v>
      </c>
      <c r="B5" s="77" t="s">
        <v>54</v>
      </c>
      <c r="C5" s="11" t="s">
        <v>229</v>
      </c>
      <c r="D5" s="77">
        <v>238146391</v>
      </c>
      <c r="E5" s="11">
        <v>10</v>
      </c>
      <c r="F5" s="11">
        <v>32</v>
      </c>
      <c r="G5" s="11">
        <v>30</v>
      </c>
      <c r="I5" s="12">
        <f t="shared" ref="I5:I29" si="0">IF(OR(ISBLANK(S5),ISBLANK(G5)),"·",S5*G5/F5/1000000)</f>
        <v>2.2601174999999998</v>
      </c>
      <c r="J5" s="13">
        <f t="shared" ref="J5:J29" si="1">IF(ISBLANK(S5),"·",S5/D5)</f>
        <v>1.012315151985654E-2</v>
      </c>
      <c r="K5" s="13">
        <f t="shared" ref="K5:K29" si="2">IF(N5="","·",N5/D5)</f>
        <v>6.4299273802557854E-3</v>
      </c>
      <c r="L5" s="13">
        <f t="shared" ref="L5:L29" si="3">IF(T5="","·",T5/D5)</f>
        <v>3.5274437562230368E-3</v>
      </c>
      <c r="M5" s="13">
        <f t="shared" ref="M5:M29" si="4">IF(ISBLANK(V5),"·",V5/D5)</f>
        <v>3.6926866550751132E-3</v>
      </c>
      <c r="N5" s="77">
        <f t="shared" ref="N5:N29" si="5">IF(OR(ISBLANK(T5),ISBLANK(U5)),"",T5+U5)</f>
        <v>1531264</v>
      </c>
      <c r="O5" s="13">
        <v>16</v>
      </c>
      <c r="P5" s="14">
        <v>21558664</v>
      </c>
      <c r="Q5" s="14">
        <v>673708.25</v>
      </c>
      <c r="R5" s="14">
        <v>13654.3125</v>
      </c>
      <c r="S5" s="15">
        <v>2410792</v>
      </c>
      <c r="T5" s="15">
        <v>840048</v>
      </c>
      <c r="U5" s="15">
        <v>691216</v>
      </c>
      <c r="V5" s="15">
        <v>879400</v>
      </c>
      <c r="W5" s="16">
        <v>66.315200000000004</v>
      </c>
      <c r="X5" s="16">
        <v>68.412687500000004</v>
      </c>
      <c r="Y5" s="16">
        <v>32.179003125000001</v>
      </c>
      <c r="Z5" s="16">
        <v>44.135365624999999</v>
      </c>
      <c r="AA5" s="16">
        <v>43.688628125000001</v>
      </c>
      <c r="AB5" s="17">
        <v>3199.86</v>
      </c>
      <c r="AC5" s="17">
        <v>865.755</v>
      </c>
      <c r="AD5" s="17">
        <v>4.7619999999999996</v>
      </c>
      <c r="AE5" s="17">
        <v>15.949</v>
      </c>
      <c r="AG5" s="12">
        <f t="shared" ref="AG5:AG29" si="6">IF(OR(ISBLANK(AQ5),ISBLANK(G5)),"·",AQ5*G5/F5/1000000)</f>
        <v>2.2648350000000002</v>
      </c>
      <c r="AH5" s="13">
        <f t="shared" ref="AH5:AH29" si="7">IF(ISBLANK(AQ5),"·",AQ5/D5)</f>
        <v>1.0144281380270844E-2</v>
      </c>
      <c r="AI5" s="13">
        <f t="shared" ref="AI5:AI29" si="8">IF(AL5="","·",AL5/D5)</f>
        <v>6.4490416736989308E-3</v>
      </c>
      <c r="AJ5" s="13">
        <f t="shared" ref="AJ5:AJ29" si="9">IF(AR5="","·",AR5/D5)</f>
        <v>3.5274437562230368E-3</v>
      </c>
      <c r="AK5" s="13">
        <f t="shared" ref="AK5:AK29" si="10">IF(ISBLANK(AT5),"·",AT5/D5)</f>
        <v>3.6926866550751132E-3</v>
      </c>
      <c r="AL5" s="77">
        <f t="shared" ref="AL5:AL29" si="11">IF(OR(ISBLANK(AR5),ISBLANK(AS5)),"",AR5+AS5)</f>
        <v>1535816</v>
      </c>
      <c r="AM5" s="13">
        <v>16</v>
      </c>
      <c r="AN5" s="14">
        <v>21558664</v>
      </c>
      <c r="AO5" s="14">
        <v>673708.25</v>
      </c>
      <c r="AP5" s="14">
        <v>13654.3125</v>
      </c>
      <c r="AQ5" s="15">
        <v>2415824</v>
      </c>
      <c r="AR5" s="15">
        <v>840048</v>
      </c>
      <c r="AS5" s="15">
        <v>695768</v>
      </c>
      <c r="AT5" s="15">
        <v>879400</v>
      </c>
      <c r="AU5" s="16">
        <v>66.315200000000004</v>
      </c>
      <c r="AV5" s="16">
        <v>68.412688000000003</v>
      </c>
      <c r="AW5" s="16">
        <v>32.179003000000002</v>
      </c>
      <c r="AX5" s="16">
        <v>44.135365999999998</v>
      </c>
      <c r="AY5" s="16">
        <v>43.688628000000001</v>
      </c>
      <c r="AZ5" s="17">
        <v>3220.84</v>
      </c>
      <c r="BA5" s="17">
        <v>709.39</v>
      </c>
      <c r="BB5" s="17">
        <v>8.4440000000000008</v>
      </c>
      <c r="BC5" s="17">
        <v>11.628</v>
      </c>
      <c r="BE5" s="18">
        <f t="shared" ref="BE5:BE29" si="12">(AP5/AO5) - (R5/Q5)</f>
        <v>0</v>
      </c>
      <c r="BF5" s="18">
        <f t="shared" ref="BF5:BF29" si="13">(AL5/AQ5) - (N5/S5)</f>
        <v>5.6122547030901249E-4</v>
      </c>
      <c r="BG5" s="18">
        <f t="array" ref="BG5">AVERAGE(AL5:AL9/AQ5:AQ9) - AVERAGE(N5:N9/S5:S9)</f>
        <v>4.0187813385006432E-4</v>
      </c>
      <c r="BI5" s="79">
        <f>IF( OR(ISBLANK(N5:N9),ISBLANK(AL5:AL9), ISBLANK(W5:W9),ISBLANK(AU5:AU9)), "·", bdRateExtend( N5:N9,W5:W9, AL5:AL9,AU5:AU9))</f>
        <v>2.0688829664432529E-3</v>
      </c>
      <c r="BJ5" s="79">
        <f>IF( OR(ISBLANK(N5:N9),ISBLANK(AL5:AL9), ISBLANK(X5:X9),ISBLANK(AV5:AV9)), "·", bdRateExtend( N5:N9,X5:X9, AL5:AL9,AV5:AV9))</f>
        <v>1.9726955291086146E-3</v>
      </c>
      <c r="BK5" s="79">
        <f>IF( OR(ISBLANK(V5:V9),ISBLANK(AT5:AT9), ISBLANK(Y5:Y9),ISBLANK(AW5:AW9)), "·", bdRateExtend( V5:V9,Y5:Y9, AT5:AT9,AW5:AW9))</f>
        <v>4.2459297411312491E-8</v>
      </c>
      <c r="BL5" s="79">
        <f>IF( OR(ISBLANK(V5:V9),ISBLANK(AT5:AT9), ISBLANK(Z5:Z9),ISBLANK(AX5:AX9)), "·", bdRateExtend( V5:V9,Z5:Z9, AT5:AT9,AX5:AX9))</f>
        <v>-2.8113718020250644E-9</v>
      </c>
      <c r="BM5" s="79">
        <f>IF( OR(ISBLANK(V5:V9),ISBLANK(AT5:AT9), ISBLANK(AA5:AA9),ISBLANK(AY5:AY9)), "·", bdRateExtend( V5:V9,AA5:AA9, AT5:AT9,AY5:AY9))</f>
        <v>-3.2739318367447368E-8</v>
      </c>
      <c r="BO5" s="79">
        <f>IF( OR(ISBLANK(S5:S9),ISBLANK(AQ5:AQ9), ISBLANK(W5:W9),ISBLANK(AU5:AU9)), "·", bdRateExtend( S5:S9,W5:W9, AQ5:AQ9,AU5:AU9))</f>
        <v>1.041114060124082E-3</v>
      </c>
      <c r="BP5" s="79">
        <f>IF( OR(ISBLANK(S5:S9),ISBLANK(AQ5:AQ9), ISBLANK(X5:X9),ISBLANK(AV5:AV9)), "·", bdRateExtend( S5:S9,X5:X9, AQ5:AQ9,AV5:AV9))</f>
        <v>9.570004586245684E-4</v>
      </c>
      <c r="BQ5" s="79">
        <f>IF( OR(ISBLANK(S5:S9),ISBLANK(AQ5:AQ9), ISBLANK(Y5:Y9),ISBLANK(AW5:AW9)), "·", bdRateExtend( S5:S9,Y5:Y9, AQ5:AQ9,AW5:AW9))</f>
        <v>9.2461349666650428E-4</v>
      </c>
      <c r="BR5" s="79">
        <f>IF( OR(ISBLANK(S5:S9),ISBLANK(AQ5:AQ9), ISBLANK(Z5:Z9),ISBLANK(AX5:AX9)), "·", bdRateExtend( S5:S9,Z5:Z9, AQ5:AQ9,AX5:AX9))</f>
        <v>9.1163047761799731E-4</v>
      </c>
      <c r="BS5" s="79">
        <f>IF( OR(ISBLANK(S5:S9),ISBLANK(AQ5:AQ9), ISBLANK(AA5:AA9),ISBLANK(AY5:AY9)), "·", bdRateExtend( S5:S9,AA5:AA9, AQ5:AQ9,AY5:AY9))</f>
        <v>9.2004416154822799E-4</v>
      </c>
    </row>
    <row r="6" spans="1:71" outlineLevel="1" x14ac:dyDescent="0.2">
      <c r="A6" s="69"/>
      <c r="B6" s="69" t="s">
        <v>54</v>
      </c>
      <c r="C6" s="19" t="s">
        <v>230</v>
      </c>
      <c r="D6" s="69">
        <v>238146391</v>
      </c>
      <c r="E6" s="19">
        <v>10</v>
      </c>
      <c r="F6" s="19">
        <v>32</v>
      </c>
      <c r="G6" s="19">
        <v>30</v>
      </c>
      <c r="I6" s="20">
        <f t="shared" si="0"/>
        <v>3.5024850000000001</v>
      </c>
      <c r="J6" s="21">
        <f t="shared" si="1"/>
        <v>1.5687762406611485E-2</v>
      </c>
      <c r="K6" s="21">
        <f t="shared" si="2"/>
        <v>7.7765948592519295E-3</v>
      </c>
      <c r="L6" s="21">
        <f t="shared" si="3"/>
        <v>4.8741112352191805E-3</v>
      </c>
      <c r="M6" s="21">
        <f t="shared" si="4"/>
        <v>7.9106300628339152E-3</v>
      </c>
      <c r="N6" s="69">
        <f t="shared" si="5"/>
        <v>1851968</v>
      </c>
      <c r="O6" s="21">
        <v>16</v>
      </c>
      <c r="P6" s="22">
        <v>24145156</v>
      </c>
      <c r="Q6" s="22">
        <v>754536.125</v>
      </c>
      <c r="R6" s="22">
        <v>19085.875</v>
      </c>
      <c r="S6" s="23">
        <v>3735984</v>
      </c>
      <c r="T6" s="23">
        <v>1160752</v>
      </c>
      <c r="U6" s="23">
        <v>691216</v>
      </c>
      <c r="V6" s="23">
        <v>1883888</v>
      </c>
      <c r="W6" s="24">
        <v>68.236996875000003</v>
      </c>
      <c r="X6" s="24">
        <v>70.346675000000005</v>
      </c>
      <c r="Y6" s="24">
        <v>34.471631250000002</v>
      </c>
      <c r="Z6" s="24">
        <v>45.462893749999999</v>
      </c>
      <c r="AA6" s="24">
        <v>45.183921875000003</v>
      </c>
      <c r="AB6" s="25">
        <v>3205.16</v>
      </c>
      <c r="AC6" s="25">
        <v>919.73299999999995</v>
      </c>
      <c r="AD6" s="25">
        <v>4.9429999999999996</v>
      </c>
      <c r="AE6" s="25">
        <v>16.036000000000001</v>
      </c>
      <c r="AG6" s="20">
        <f t="shared" si="6"/>
        <v>3.5072025</v>
      </c>
      <c r="AH6" s="21">
        <f t="shared" si="7"/>
        <v>1.5708892267025789E-2</v>
      </c>
      <c r="AI6" s="21">
        <f t="shared" si="8"/>
        <v>7.795709152695075E-3</v>
      </c>
      <c r="AJ6" s="21">
        <f t="shared" si="9"/>
        <v>4.8741112352191805E-3</v>
      </c>
      <c r="AK6" s="21">
        <f t="shared" si="10"/>
        <v>7.9106300628339152E-3</v>
      </c>
      <c r="AL6" s="69">
        <f t="shared" si="11"/>
        <v>1856520</v>
      </c>
      <c r="AM6" s="21">
        <v>16</v>
      </c>
      <c r="AN6" s="22">
        <v>24145156</v>
      </c>
      <c r="AO6" s="22">
        <v>754536.125</v>
      </c>
      <c r="AP6" s="22">
        <v>19085.875</v>
      </c>
      <c r="AQ6" s="23">
        <v>3741016</v>
      </c>
      <c r="AR6" s="23">
        <v>1160752</v>
      </c>
      <c r="AS6" s="23">
        <v>695768</v>
      </c>
      <c r="AT6" s="23">
        <v>1883888</v>
      </c>
      <c r="AU6" s="24">
        <v>68.236997000000002</v>
      </c>
      <c r="AV6" s="24">
        <v>70.346675000000005</v>
      </c>
      <c r="AW6" s="24">
        <v>34.471631000000002</v>
      </c>
      <c r="AX6" s="24">
        <v>45.462893999999999</v>
      </c>
      <c r="AY6" s="24">
        <v>45.183922000000003</v>
      </c>
      <c r="AZ6" s="25">
        <v>3562.97</v>
      </c>
      <c r="BA6" s="25">
        <v>848.05799999999999</v>
      </c>
      <c r="BB6" s="25">
        <v>9.99</v>
      </c>
      <c r="BC6" s="25">
        <v>13.023</v>
      </c>
      <c r="BE6" s="26">
        <f t="shared" si="12"/>
        <v>0</v>
      </c>
      <c r="BF6" s="26">
        <f t="shared" si="13"/>
        <v>5.5000639909386084E-4</v>
      </c>
      <c r="BG6" s="26"/>
      <c r="BI6" s="71"/>
      <c r="BJ6" s="71"/>
      <c r="BK6" s="71"/>
      <c r="BL6" s="71"/>
      <c r="BM6" s="71"/>
      <c r="BO6" s="71"/>
      <c r="BP6" s="71"/>
      <c r="BQ6" s="71"/>
      <c r="BR6" s="71"/>
      <c r="BS6" s="71"/>
    </row>
    <row r="7" spans="1:71" outlineLevel="1" x14ac:dyDescent="0.2">
      <c r="A7" s="77"/>
      <c r="B7" s="77" t="s">
        <v>54</v>
      </c>
      <c r="C7" s="11" t="s">
        <v>231</v>
      </c>
      <c r="D7" s="77">
        <v>238146391</v>
      </c>
      <c r="E7" s="11">
        <v>10</v>
      </c>
      <c r="F7" s="11">
        <v>32</v>
      </c>
      <c r="G7" s="11">
        <v>30</v>
      </c>
      <c r="I7" s="12">
        <f t="shared" si="0"/>
        <v>5.7206099999999998</v>
      </c>
      <c r="J7" s="13">
        <f t="shared" si="1"/>
        <v>2.5622827935276163E-2</v>
      </c>
      <c r="K7" s="13">
        <f t="shared" si="2"/>
        <v>9.6381725138131522E-3</v>
      </c>
      <c r="L7" s="13">
        <f t="shared" si="3"/>
        <v>6.735688889780404E-3</v>
      </c>
      <c r="M7" s="13">
        <f t="shared" si="4"/>
        <v>1.5984117936937371E-2</v>
      </c>
      <c r="N7" s="77">
        <f t="shared" si="5"/>
        <v>2295296</v>
      </c>
      <c r="O7" s="13">
        <v>16</v>
      </c>
      <c r="P7" s="14">
        <v>24795715</v>
      </c>
      <c r="Q7" s="14">
        <v>774866.09375</v>
      </c>
      <c r="R7" s="14">
        <v>21114.21875</v>
      </c>
      <c r="S7" s="15">
        <v>6101984</v>
      </c>
      <c r="T7" s="15">
        <v>1604080</v>
      </c>
      <c r="U7" s="15">
        <v>691216</v>
      </c>
      <c r="V7" s="15">
        <v>3806560</v>
      </c>
      <c r="W7" s="16">
        <v>69.661175</v>
      </c>
      <c r="X7" s="16">
        <v>72.030415625000003</v>
      </c>
      <c r="Y7" s="16">
        <v>37.006359375000002</v>
      </c>
      <c r="Z7" s="16">
        <v>46.569612499999998</v>
      </c>
      <c r="AA7" s="16">
        <v>46.45190625</v>
      </c>
      <c r="AB7" s="17">
        <v>3310.85</v>
      </c>
      <c r="AC7" s="17">
        <v>973.39400000000001</v>
      </c>
      <c r="AD7" s="17">
        <v>5.1589999999999998</v>
      </c>
      <c r="AE7" s="17">
        <v>17.064</v>
      </c>
      <c r="AG7" s="12">
        <f t="shared" si="6"/>
        <v>5.7253274999999997</v>
      </c>
      <c r="AH7" s="13">
        <f t="shared" si="7"/>
        <v>2.5643957795690467E-2</v>
      </c>
      <c r="AI7" s="13">
        <f t="shared" si="8"/>
        <v>9.6572868072562976E-3</v>
      </c>
      <c r="AJ7" s="13">
        <f t="shared" si="9"/>
        <v>6.735688889780404E-3</v>
      </c>
      <c r="AK7" s="13">
        <f t="shared" si="10"/>
        <v>1.5984117936937371E-2</v>
      </c>
      <c r="AL7" s="77">
        <f t="shared" si="11"/>
        <v>2299848</v>
      </c>
      <c r="AM7" s="13">
        <v>16</v>
      </c>
      <c r="AN7" s="14">
        <v>24795715</v>
      </c>
      <c r="AO7" s="14">
        <v>774866.09375</v>
      </c>
      <c r="AP7" s="14">
        <v>21114.21875</v>
      </c>
      <c r="AQ7" s="15">
        <v>6107016</v>
      </c>
      <c r="AR7" s="15">
        <v>1604080</v>
      </c>
      <c r="AS7" s="15">
        <v>695768</v>
      </c>
      <c r="AT7" s="15">
        <v>3806560</v>
      </c>
      <c r="AU7" s="16">
        <v>69.661175</v>
      </c>
      <c r="AV7" s="16">
        <v>72.030416000000002</v>
      </c>
      <c r="AW7" s="16">
        <v>37.006359000000003</v>
      </c>
      <c r="AX7" s="16">
        <v>46.569611999999999</v>
      </c>
      <c r="AY7" s="16">
        <v>46.451906000000001</v>
      </c>
      <c r="AZ7" s="17">
        <v>3473.32</v>
      </c>
      <c r="BA7" s="17">
        <v>808.59299999999996</v>
      </c>
      <c r="BB7" s="17">
        <v>9.1709999999999994</v>
      </c>
      <c r="BC7" s="17">
        <v>12.382999999999999</v>
      </c>
      <c r="BE7" s="18">
        <f t="shared" si="12"/>
        <v>0</v>
      </c>
      <c r="BF7" s="18">
        <f t="shared" si="13"/>
        <v>4.3543107951210525E-4</v>
      </c>
      <c r="BG7" s="18"/>
      <c r="BI7" s="79"/>
      <c r="BJ7" s="79"/>
      <c r="BK7" s="79"/>
      <c r="BL7" s="79"/>
      <c r="BM7" s="79"/>
      <c r="BO7" s="79"/>
      <c r="BP7" s="79"/>
      <c r="BQ7" s="79"/>
      <c r="BR7" s="79"/>
      <c r="BS7" s="79"/>
    </row>
    <row r="8" spans="1:71" outlineLevel="1" x14ac:dyDescent="0.2">
      <c r="A8" s="69"/>
      <c r="B8" s="69" t="s">
        <v>54</v>
      </c>
      <c r="C8" s="19" t="s">
        <v>232</v>
      </c>
      <c r="D8" s="69">
        <v>238146391</v>
      </c>
      <c r="E8" s="19">
        <v>10</v>
      </c>
      <c r="F8" s="19">
        <v>32</v>
      </c>
      <c r="G8" s="19">
        <v>30</v>
      </c>
      <c r="I8" s="20">
        <f t="shared" si="0"/>
        <v>9.9447074999999998</v>
      </c>
      <c r="J8" s="21">
        <f t="shared" si="1"/>
        <v>4.4542719944053233E-2</v>
      </c>
      <c r="K8" s="21">
        <f t="shared" si="2"/>
        <v>1.2772647896226149E-2</v>
      </c>
      <c r="L8" s="21">
        <f t="shared" si="3"/>
        <v>9.8701642721934005E-3</v>
      </c>
      <c r="M8" s="21">
        <f t="shared" si="4"/>
        <v>3.1769534563301442E-2</v>
      </c>
      <c r="N8" s="69">
        <f t="shared" si="5"/>
        <v>3041760</v>
      </c>
      <c r="O8" s="21">
        <v>16</v>
      </c>
      <c r="P8" s="22">
        <v>25961853</v>
      </c>
      <c r="Q8" s="22">
        <v>811307.90625</v>
      </c>
      <c r="R8" s="22">
        <v>24718.375</v>
      </c>
      <c r="S8" s="23">
        <v>10607688</v>
      </c>
      <c r="T8" s="23">
        <v>2350544</v>
      </c>
      <c r="U8" s="23">
        <v>691216</v>
      </c>
      <c r="V8" s="23">
        <v>7565800</v>
      </c>
      <c r="W8" s="24">
        <v>70.739718749999994</v>
      </c>
      <c r="X8" s="24">
        <v>73.278437499999995</v>
      </c>
      <c r="Y8" s="24">
        <v>39.627543750000001</v>
      </c>
      <c r="Z8" s="24">
        <v>47.914721874999998</v>
      </c>
      <c r="AA8" s="24">
        <v>47.954315625</v>
      </c>
      <c r="AB8" s="25">
        <v>3292.4</v>
      </c>
      <c r="AC8" s="25">
        <v>1063.8800000000001</v>
      </c>
      <c r="AD8" s="25">
        <v>5.1639999999999997</v>
      </c>
      <c r="AE8" s="25">
        <v>17.120999999999999</v>
      </c>
      <c r="AG8" s="20">
        <f t="shared" si="6"/>
        <v>9.9494249999999997</v>
      </c>
      <c r="AH8" s="21">
        <f t="shared" si="7"/>
        <v>4.4563849804467537E-2</v>
      </c>
      <c r="AI8" s="21">
        <f t="shared" si="8"/>
        <v>1.2791762189669294E-2</v>
      </c>
      <c r="AJ8" s="21">
        <f t="shared" si="9"/>
        <v>9.8701642721934005E-3</v>
      </c>
      <c r="AK8" s="21">
        <f t="shared" si="10"/>
        <v>3.1769534563301442E-2</v>
      </c>
      <c r="AL8" s="69">
        <f t="shared" si="11"/>
        <v>3046312</v>
      </c>
      <c r="AM8" s="21">
        <v>16</v>
      </c>
      <c r="AN8" s="22">
        <v>25961853</v>
      </c>
      <c r="AO8" s="22">
        <v>811307.90625</v>
      </c>
      <c r="AP8" s="22">
        <v>24718.375</v>
      </c>
      <c r="AQ8" s="23">
        <v>10612720</v>
      </c>
      <c r="AR8" s="23">
        <v>2350544</v>
      </c>
      <c r="AS8" s="23">
        <v>695768</v>
      </c>
      <c r="AT8" s="23">
        <v>7565800</v>
      </c>
      <c r="AU8" s="24">
        <v>70.739718999999994</v>
      </c>
      <c r="AV8" s="24">
        <v>73.278436999999997</v>
      </c>
      <c r="AW8" s="24">
        <v>39.627544</v>
      </c>
      <c r="AX8" s="24">
        <v>47.914721999999998</v>
      </c>
      <c r="AY8" s="24">
        <v>47.954315999999999</v>
      </c>
      <c r="AZ8" s="25">
        <v>4475.25</v>
      </c>
      <c r="BA8" s="25">
        <v>1451.67</v>
      </c>
      <c r="BB8" s="25">
        <v>12.968</v>
      </c>
      <c r="BC8" s="25">
        <v>19.34</v>
      </c>
      <c r="BE8" s="26">
        <f t="shared" si="12"/>
        <v>0</v>
      </c>
      <c r="BF8" s="26">
        <f t="shared" si="13"/>
        <v>2.9295707481941102E-4</v>
      </c>
      <c r="BG8" s="26"/>
      <c r="BI8" s="71"/>
      <c r="BJ8" s="71"/>
      <c r="BK8" s="71"/>
      <c r="BL8" s="71"/>
      <c r="BM8" s="71"/>
      <c r="BO8" s="71"/>
      <c r="BP8" s="71"/>
      <c r="BQ8" s="71"/>
      <c r="BR8" s="71"/>
      <c r="BS8" s="71"/>
    </row>
    <row r="9" spans="1:71" outlineLevel="1" x14ac:dyDescent="0.2">
      <c r="A9" s="77"/>
      <c r="B9" s="27" t="s">
        <v>54</v>
      </c>
      <c r="C9" s="28" t="s">
        <v>233</v>
      </c>
      <c r="D9" s="27">
        <v>238146391</v>
      </c>
      <c r="E9" s="28">
        <v>10</v>
      </c>
      <c r="F9" s="28">
        <v>32</v>
      </c>
      <c r="G9" s="28">
        <v>30</v>
      </c>
      <c r="I9" s="29">
        <f t="shared" si="0"/>
        <v>18.08502</v>
      </c>
      <c r="J9" s="30">
        <f t="shared" si="1"/>
        <v>8.100348663272415E-2</v>
      </c>
      <c r="K9" s="30">
        <f t="shared" si="2"/>
        <v>2.0543095276216047E-2</v>
      </c>
      <c r="L9" s="30">
        <f t="shared" si="3"/>
        <v>1.5092464701680068E-2</v>
      </c>
      <c r="M9" s="30">
        <f t="shared" si="4"/>
        <v>6.0459853871982466E-2</v>
      </c>
      <c r="N9" s="27">
        <f t="shared" si="5"/>
        <v>4892264</v>
      </c>
      <c r="O9" s="30">
        <v>16</v>
      </c>
      <c r="P9" s="31">
        <v>25019046</v>
      </c>
      <c r="Q9" s="31">
        <v>781845.1875</v>
      </c>
      <c r="R9" s="31">
        <v>10463.8125</v>
      </c>
      <c r="S9" s="32">
        <v>19290688</v>
      </c>
      <c r="T9" s="32">
        <v>3594216</v>
      </c>
      <c r="U9" s="32">
        <v>1298048</v>
      </c>
      <c r="V9" s="32">
        <v>14398296</v>
      </c>
      <c r="W9" s="33">
        <v>72.071484374999997</v>
      </c>
      <c r="X9" s="33">
        <v>75.303931250000005</v>
      </c>
      <c r="Y9" s="33">
        <v>42.046362500000001</v>
      </c>
      <c r="Z9" s="33">
        <v>49.444537500000003</v>
      </c>
      <c r="AA9" s="33">
        <v>49.603828125</v>
      </c>
      <c r="AB9" s="34">
        <v>3326.93</v>
      </c>
      <c r="AC9" s="34">
        <v>1215.05</v>
      </c>
      <c r="AD9" s="34">
        <v>4.9779999999999998</v>
      </c>
      <c r="AE9" s="34">
        <v>19.236999999999998</v>
      </c>
      <c r="AG9" s="29">
        <f t="shared" si="6"/>
        <v>18.089737499999998</v>
      </c>
      <c r="AH9" s="30">
        <f t="shared" si="7"/>
        <v>8.1024616493138454E-2</v>
      </c>
      <c r="AI9" s="30">
        <f t="shared" si="8"/>
        <v>2.0562209569659193E-2</v>
      </c>
      <c r="AJ9" s="30">
        <f t="shared" si="9"/>
        <v>1.5092464701680068E-2</v>
      </c>
      <c r="AK9" s="30">
        <f t="shared" si="10"/>
        <v>6.0459853871982466E-2</v>
      </c>
      <c r="AL9" s="27">
        <f t="shared" si="11"/>
        <v>4896816</v>
      </c>
      <c r="AM9" s="30">
        <v>16</v>
      </c>
      <c r="AN9" s="31">
        <v>25019046</v>
      </c>
      <c r="AO9" s="31">
        <v>781845.1875</v>
      </c>
      <c r="AP9" s="31">
        <v>10463.8125</v>
      </c>
      <c r="AQ9" s="32">
        <v>19295720</v>
      </c>
      <c r="AR9" s="32">
        <v>3594216</v>
      </c>
      <c r="AS9" s="32">
        <v>1302600</v>
      </c>
      <c r="AT9" s="32">
        <v>14398296</v>
      </c>
      <c r="AU9" s="33">
        <v>72.071483999999998</v>
      </c>
      <c r="AV9" s="33">
        <v>75.303931000000006</v>
      </c>
      <c r="AW9" s="33">
        <v>42.046362000000002</v>
      </c>
      <c r="AX9" s="33">
        <v>49.444536999999997</v>
      </c>
      <c r="AY9" s="33">
        <v>49.603828</v>
      </c>
      <c r="AZ9" s="34">
        <v>3283.66</v>
      </c>
      <c r="BA9" s="34">
        <v>1050.3399999999999</v>
      </c>
      <c r="BB9" s="34">
        <v>9.1159999999999997</v>
      </c>
      <c r="BC9" s="34">
        <v>15.102</v>
      </c>
      <c r="BE9" s="35">
        <f t="shared" si="12"/>
        <v>0</v>
      </c>
      <c r="BF9" s="35">
        <f t="shared" si="13"/>
        <v>1.6977064551576548E-4</v>
      </c>
      <c r="BG9" s="35"/>
      <c r="BI9" s="36"/>
      <c r="BJ9" s="36"/>
      <c r="BK9" s="36"/>
      <c r="BL9" s="36"/>
      <c r="BM9" s="36"/>
      <c r="BO9" s="36"/>
      <c r="BP9" s="36"/>
      <c r="BQ9" s="36"/>
      <c r="BR9" s="36"/>
      <c r="BS9" s="36"/>
    </row>
    <row r="10" spans="1:71" x14ac:dyDescent="0.2">
      <c r="A10" s="69"/>
      <c r="B10" s="69" t="s">
        <v>62</v>
      </c>
      <c r="C10" s="19" t="s">
        <v>229</v>
      </c>
      <c r="D10" s="69">
        <v>218121242</v>
      </c>
      <c r="E10" s="19">
        <v>10</v>
      </c>
      <c r="F10" s="19">
        <v>32</v>
      </c>
      <c r="G10" s="19">
        <v>30</v>
      </c>
      <c r="I10" s="20">
        <f t="shared" si="0"/>
        <v>3.2881049999999998</v>
      </c>
      <c r="J10" s="21">
        <f t="shared" si="1"/>
        <v>1.6079644365861442E-2</v>
      </c>
      <c r="K10" s="21">
        <f t="shared" si="2"/>
        <v>8.2692358775400699E-3</v>
      </c>
      <c r="L10" s="21">
        <f t="shared" si="3"/>
        <v>4.1745223511976881E-3</v>
      </c>
      <c r="M10" s="21">
        <f t="shared" si="4"/>
        <v>7.8098216587268472E-3</v>
      </c>
      <c r="N10" s="69">
        <f t="shared" si="5"/>
        <v>1803696</v>
      </c>
      <c r="O10" s="21">
        <v>16</v>
      </c>
      <c r="P10" s="22">
        <v>20616589</v>
      </c>
      <c r="Q10" s="22">
        <v>644268.40625</v>
      </c>
      <c r="R10" s="22">
        <v>18739.96875</v>
      </c>
      <c r="S10" s="23">
        <v>3507312</v>
      </c>
      <c r="T10" s="23">
        <v>910552</v>
      </c>
      <c r="U10" s="23">
        <v>893144</v>
      </c>
      <c r="V10" s="23">
        <v>1703488</v>
      </c>
      <c r="W10" s="24">
        <v>65.911412499999997</v>
      </c>
      <c r="X10" s="24">
        <v>67.863568749999999</v>
      </c>
      <c r="Y10" s="24">
        <v>32.553737499999997</v>
      </c>
      <c r="Z10" s="24">
        <v>39.252949999999998</v>
      </c>
      <c r="AA10" s="24">
        <v>32.229006249999998</v>
      </c>
      <c r="AB10" s="25">
        <v>3608.42</v>
      </c>
      <c r="AC10" s="25">
        <v>854.52800000000002</v>
      </c>
      <c r="AD10" s="25">
        <v>4.4470000000000001</v>
      </c>
      <c r="AE10" s="25">
        <v>15.273999999999999</v>
      </c>
      <c r="AG10" s="20">
        <f t="shared" si="6"/>
        <v>3.3000525000000001</v>
      </c>
      <c r="AH10" s="21">
        <f t="shared" si="7"/>
        <v>1.6138070587366268E-2</v>
      </c>
      <c r="AI10" s="21">
        <f t="shared" si="8"/>
        <v>8.3254614880654311E-3</v>
      </c>
      <c r="AJ10" s="21">
        <f t="shared" si="9"/>
        <v>4.1745223511976881E-3</v>
      </c>
      <c r="AK10" s="21">
        <f t="shared" si="10"/>
        <v>7.8098216587268472E-3</v>
      </c>
      <c r="AL10" s="69">
        <f t="shared" si="11"/>
        <v>1815960</v>
      </c>
      <c r="AM10" s="21">
        <v>16</v>
      </c>
      <c r="AN10" s="22">
        <v>20616589</v>
      </c>
      <c r="AO10" s="22">
        <v>644268.40625</v>
      </c>
      <c r="AP10" s="22">
        <v>18739.96875</v>
      </c>
      <c r="AQ10" s="23">
        <v>3520056</v>
      </c>
      <c r="AR10" s="23">
        <v>910552</v>
      </c>
      <c r="AS10" s="23">
        <v>905408</v>
      </c>
      <c r="AT10" s="23">
        <v>1703488</v>
      </c>
      <c r="AU10" s="24">
        <v>65.911409000000006</v>
      </c>
      <c r="AV10" s="24">
        <v>67.863568999999998</v>
      </c>
      <c r="AW10" s="24">
        <v>32.553738000000003</v>
      </c>
      <c r="AX10" s="24">
        <v>39.252949999999998</v>
      </c>
      <c r="AY10" s="24">
        <v>32.229005999999998</v>
      </c>
      <c r="AZ10" s="25">
        <v>4175.5</v>
      </c>
      <c r="BA10" s="25">
        <v>993.62300000000005</v>
      </c>
      <c r="BB10" s="25">
        <v>10.526</v>
      </c>
      <c r="BC10" s="25">
        <v>16.158999999999999</v>
      </c>
      <c r="BE10" s="26">
        <f t="shared" si="12"/>
        <v>0</v>
      </c>
      <c r="BF10" s="26">
        <f t="shared" si="13"/>
        <v>1.6221835861456313E-3</v>
      </c>
      <c r="BG10" s="26">
        <f t="array" ref="BG10">AVERAGE(AL10:AL14/AQ10:AQ14) - AVERAGE(N10:N14/S10:S14)</f>
        <v>9.9792562927047967E-4</v>
      </c>
      <c r="BI10" s="71">
        <f>IF( OR(ISBLANK(N10:N14),ISBLANK(AL10:AL14), ISBLANK(W10:W14),ISBLANK(AU10:AU14)), "·", bdRateExtend( N10:N14,W10:W14, AL10:AL14,AU10:AU14))</f>
        <v>4.7359973335441286E-3</v>
      </c>
      <c r="BJ10" s="71">
        <f>IF( OR(ISBLANK(N10:N14),ISBLANK(AL10:AL14), ISBLANK(X10:X14),ISBLANK(AV10:AV14)), "·", bdRateExtend( N10:N14,X10:X14, AL10:AL14,AV10:AV14))</f>
        <v>4.4315589891839036E-3</v>
      </c>
      <c r="BK10" s="71">
        <f>IF( OR(ISBLANK(V10:V14),ISBLANK(AT10:AT14), ISBLANK(Y10:Y14),ISBLANK(AW10:AW14)), "·", bdRateExtend( V10:V14,Y10:Y14, AT10:AT14,AW10:AW14))</f>
        <v>-3.5395721798003876E-8</v>
      </c>
      <c r="BL10" s="71">
        <f>IF( OR(ISBLANK(V10:V14),ISBLANK(AT10:AT14), ISBLANK(Z10:Z14),ISBLANK(AX10:AX14)), "·", bdRateExtend( V10:V14,Z10:Z14, AT10:AT14,AX10:AX14))</f>
        <v>4.4438809299052195E-8</v>
      </c>
      <c r="BM10" s="71">
        <f>IF( OR(ISBLANK(V10:V14),ISBLANK(AT10:AT14), ISBLANK(AA10:AA14),ISBLANK(AY10:AY14)), "·", bdRateExtend( V10:V14,AA10:AA14, AT10:AT14,AY10:AY14))</f>
        <v>-1.125236321897205E-7</v>
      </c>
      <c r="BO10" s="71">
        <f>IF( OR(ISBLANK(S10:S14),ISBLANK(AQ10:AQ14), ISBLANK(W10:W14),ISBLANK(AU10:AU14)), "·", bdRateExtend( S10:S14,W10:W14, AQ10:AQ14,AU10:AU14))</f>
        <v>1.9448838636306753E-3</v>
      </c>
      <c r="BP10" s="71">
        <f>IF( OR(ISBLANK(S10:S14),ISBLANK(AQ10:AQ14), ISBLANK(X10:X14),ISBLANK(AV10:AV14)), "·", bdRateExtend( S10:S14,X10:X14, AQ10:AQ14,AV10:AV14))</f>
        <v>1.7523986022167648E-3</v>
      </c>
      <c r="BQ10" s="71">
        <f>IF( OR(ISBLANK(S10:S14),ISBLANK(AQ10:AQ14), ISBLANK(Y10:Y14),ISBLANK(AW10:AW14)), "·", bdRateExtend( S10:S14,Y10:Y14, AQ10:AQ14,AW10:AW14))</f>
        <v>1.6967182868536934E-3</v>
      </c>
      <c r="BR10" s="71">
        <f>IF( OR(ISBLANK(S10:S14),ISBLANK(AQ10:AQ14), ISBLANK(Z10:Z14),ISBLANK(AX10:AX14)), "·", bdRateExtend( S10:S14,Z10:Z14, AQ10:AQ14,AX10:AX14))</f>
        <v>1.6185511337132308E-3</v>
      </c>
      <c r="BS10" s="71">
        <f>IF( OR(ISBLANK(S10:S14),ISBLANK(AQ10:AQ14), ISBLANK(AA10:AA14),ISBLANK(AY10:AY14)), "·", bdRateExtend( S10:S14,AA10:AA14, AQ10:AQ14,AY10:AY14))</f>
        <v>1.7421852896200019E-3</v>
      </c>
    </row>
    <row r="11" spans="1:71" outlineLevel="1" x14ac:dyDescent="0.2">
      <c r="A11" s="77"/>
      <c r="B11" s="77" t="s">
        <v>62</v>
      </c>
      <c r="C11" s="11" t="s">
        <v>230</v>
      </c>
      <c r="D11" s="77">
        <v>218121242</v>
      </c>
      <c r="E11" s="11">
        <v>10</v>
      </c>
      <c r="F11" s="11">
        <v>32</v>
      </c>
      <c r="G11" s="11">
        <v>30</v>
      </c>
      <c r="I11" s="12">
        <f t="shared" si="0"/>
        <v>4.7451224999999999</v>
      </c>
      <c r="J11" s="13">
        <f t="shared" si="1"/>
        <v>2.3204819272026701E-2</v>
      </c>
      <c r="K11" s="13">
        <f t="shared" si="2"/>
        <v>9.9375924147726974E-3</v>
      </c>
      <c r="L11" s="13">
        <f t="shared" si="3"/>
        <v>5.8428788884303164E-3</v>
      </c>
      <c r="M11" s="13">
        <f t="shared" si="4"/>
        <v>1.3266640027659479E-2</v>
      </c>
      <c r="N11" s="77">
        <f t="shared" si="5"/>
        <v>2167600</v>
      </c>
      <c r="O11" s="13">
        <v>16</v>
      </c>
      <c r="P11" s="14">
        <v>22354923</v>
      </c>
      <c r="Q11" s="14">
        <v>698591.34375</v>
      </c>
      <c r="R11" s="14">
        <v>24804.25</v>
      </c>
      <c r="S11" s="15">
        <v>5061464</v>
      </c>
      <c r="T11" s="15">
        <v>1274456</v>
      </c>
      <c r="U11" s="15">
        <v>893144</v>
      </c>
      <c r="V11" s="15">
        <v>2893736</v>
      </c>
      <c r="W11" s="16">
        <v>67.647353124999995</v>
      </c>
      <c r="X11" s="16">
        <v>69.711856249999997</v>
      </c>
      <c r="Y11" s="16">
        <v>34.420765625000001</v>
      </c>
      <c r="Z11" s="16">
        <v>40.133781249999998</v>
      </c>
      <c r="AA11" s="16">
        <v>34.021765625</v>
      </c>
      <c r="AB11" s="17">
        <v>3519.57</v>
      </c>
      <c r="AC11" s="17">
        <v>919.34</v>
      </c>
      <c r="AD11" s="17">
        <v>4.7990000000000004</v>
      </c>
      <c r="AE11" s="17">
        <v>16.132000000000001</v>
      </c>
      <c r="AG11" s="12">
        <f t="shared" si="6"/>
        <v>4.7570699999999997</v>
      </c>
      <c r="AH11" s="13">
        <f t="shared" si="7"/>
        <v>2.326324549353153E-2</v>
      </c>
      <c r="AI11" s="13">
        <f t="shared" si="8"/>
        <v>9.9938180252980586E-3</v>
      </c>
      <c r="AJ11" s="13">
        <f t="shared" si="9"/>
        <v>5.8428788884303164E-3</v>
      </c>
      <c r="AK11" s="13">
        <f t="shared" si="10"/>
        <v>1.3266640027659479E-2</v>
      </c>
      <c r="AL11" s="77">
        <f t="shared" si="11"/>
        <v>2179864</v>
      </c>
      <c r="AM11" s="13">
        <v>16</v>
      </c>
      <c r="AN11" s="14">
        <v>22354923</v>
      </c>
      <c r="AO11" s="14">
        <v>698591.34375</v>
      </c>
      <c r="AP11" s="14">
        <v>24804.25</v>
      </c>
      <c r="AQ11" s="15">
        <v>5074208</v>
      </c>
      <c r="AR11" s="15">
        <v>1274456</v>
      </c>
      <c r="AS11" s="15">
        <v>905408</v>
      </c>
      <c r="AT11" s="15">
        <v>2893736</v>
      </c>
      <c r="AU11" s="16">
        <v>67.647352999999995</v>
      </c>
      <c r="AV11" s="16">
        <v>69.711855999999997</v>
      </c>
      <c r="AW11" s="16">
        <v>34.420766</v>
      </c>
      <c r="AX11" s="16">
        <v>40.133780999999999</v>
      </c>
      <c r="AY11" s="16">
        <v>34.021766</v>
      </c>
      <c r="AZ11" s="17">
        <v>3590</v>
      </c>
      <c r="BA11" s="17">
        <v>764.21299999999997</v>
      </c>
      <c r="BB11" s="17">
        <v>8.0920000000000005</v>
      </c>
      <c r="BC11" s="17">
        <v>11.457000000000001</v>
      </c>
      <c r="BE11" s="18">
        <f t="shared" si="12"/>
        <v>0</v>
      </c>
      <c r="BF11" s="18">
        <f t="shared" si="13"/>
        <v>1.3413544329459182E-3</v>
      </c>
      <c r="BG11" s="18"/>
      <c r="BI11" s="79"/>
      <c r="BJ11" s="79"/>
      <c r="BK11" s="79"/>
      <c r="BL11" s="79"/>
      <c r="BM11" s="79"/>
      <c r="BO11" s="79"/>
      <c r="BP11" s="79"/>
      <c r="BQ11" s="79"/>
      <c r="BR11" s="79"/>
      <c r="BS11" s="79"/>
    </row>
    <row r="12" spans="1:71" outlineLevel="1" x14ac:dyDescent="0.2">
      <c r="A12" s="69"/>
      <c r="B12" s="69" t="s">
        <v>62</v>
      </c>
      <c r="C12" s="19" t="s">
        <v>231</v>
      </c>
      <c r="D12" s="69">
        <v>218121242</v>
      </c>
      <c r="E12" s="19">
        <v>10</v>
      </c>
      <c r="F12" s="19">
        <v>32</v>
      </c>
      <c r="G12" s="19">
        <v>30</v>
      </c>
      <c r="I12" s="20">
        <f t="shared" si="0"/>
        <v>7.3488749999999996</v>
      </c>
      <c r="J12" s="21">
        <f t="shared" si="1"/>
        <v>3.5937811137165633E-2</v>
      </c>
      <c r="K12" s="21">
        <f t="shared" si="2"/>
        <v>1.2395454817738476E-2</v>
      </c>
      <c r="L12" s="21">
        <f t="shared" si="3"/>
        <v>8.3007412913960951E-3</v>
      </c>
      <c r="M12" s="21">
        <f t="shared" si="4"/>
        <v>2.3541769489832633E-2</v>
      </c>
      <c r="N12" s="69">
        <f t="shared" si="5"/>
        <v>2703712</v>
      </c>
      <c r="O12" s="21">
        <v>16</v>
      </c>
      <c r="P12" s="22">
        <v>22744184</v>
      </c>
      <c r="Q12" s="22">
        <v>710755.75</v>
      </c>
      <c r="R12" s="22">
        <v>26442.53125</v>
      </c>
      <c r="S12" s="23">
        <v>7838800</v>
      </c>
      <c r="T12" s="23">
        <v>1810568</v>
      </c>
      <c r="U12" s="23">
        <v>893144</v>
      </c>
      <c r="V12" s="23">
        <v>5134960</v>
      </c>
      <c r="W12" s="24">
        <v>69.019006250000004</v>
      </c>
      <c r="X12" s="24">
        <v>71.354128125000003</v>
      </c>
      <c r="Y12" s="24">
        <v>36.533206249999999</v>
      </c>
      <c r="Z12" s="24">
        <v>41.055356250000003</v>
      </c>
      <c r="AA12" s="24">
        <v>35.828487500000001</v>
      </c>
      <c r="AB12" s="25">
        <v>3494.18</v>
      </c>
      <c r="AC12" s="25">
        <v>968.33399999999995</v>
      </c>
      <c r="AD12" s="25">
        <v>4.8609999999999998</v>
      </c>
      <c r="AE12" s="25">
        <v>16.617999999999999</v>
      </c>
      <c r="AG12" s="20">
        <f t="shared" si="6"/>
        <v>7.3608225000000003</v>
      </c>
      <c r="AH12" s="21">
        <f t="shared" si="7"/>
        <v>3.5996237358670462E-2</v>
      </c>
      <c r="AI12" s="21">
        <f t="shared" si="8"/>
        <v>1.2451680428263837E-2</v>
      </c>
      <c r="AJ12" s="21">
        <f t="shared" si="9"/>
        <v>8.3007412913960951E-3</v>
      </c>
      <c r="AK12" s="21">
        <f t="shared" si="10"/>
        <v>2.3541769489832633E-2</v>
      </c>
      <c r="AL12" s="69">
        <f t="shared" si="11"/>
        <v>2715976</v>
      </c>
      <c r="AM12" s="21">
        <v>16</v>
      </c>
      <c r="AN12" s="22">
        <v>22744184</v>
      </c>
      <c r="AO12" s="22">
        <v>710755.75</v>
      </c>
      <c r="AP12" s="22">
        <v>26442.53125</v>
      </c>
      <c r="AQ12" s="23">
        <v>7851544</v>
      </c>
      <c r="AR12" s="23">
        <v>1810568</v>
      </c>
      <c r="AS12" s="23">
        <v>905408</v>
      </c>
      <c r="AT12" s="23">
        <v>5134960</v>
      </c>
      <c r="AU12" s="24">
        <v>69.019006000000005</v>
      </c>
      <c r="AV12" s="24">
        <v>71.354128000000003</v>
      </c>
      <c r="AW12" s="24">
        <v>36.533206</v>
      </c>
      <c r="AX12" s="24">
        <v>41.055356000000003</v>
      </c>
      <c r="AY12" s="24">
        <v>35.828488</v>
      </c>
      <c r="AZ12" s="25">
        <v>3731.61</v>
      </c>
      <c r="BA12" s="25">
        <v>920.07399999999996</v>
      </c>
      <c r="BB12" s="25">
        <v>8.8339999999999996</v>
      </c>
      <c r="BC12" s="25">
        <v>12.853999999999999</v>
      </c>
      <c r="BE12" s="26">
        <f t="shared" si="12"/>
        <v>0</v>
      </c>
      <c r="BF12" s="26">
        <f t="shared" si="13"/>
        <v>1.0021488463410333E-3</v>
      </c>
      <c r="BG12" s="26"/>
      <c r="BI12" s="71"/>
      <c r="BJ12" s="71"/>
      <c r="BK12" s="71"/>
      <c r="BL12" s="71"/>
      <c r="BM12" s="71"/>
      <c r="BO12" s="71"/>
      <c r="BP12" s="71"/>
      <c r="BQ12" s="71"/>
      <c r="BR12" s="71"/>
      <c r="BS12" s="71"/>
    </row>
    <row r="13" spans="1:71" outlineLevel="1" x14ac:dyDescent="0.2">
      <c r="A13" s="77"/>
      <c r="B13" s="77" t="s">
        <v>62</v>
      </c>
      <c r="C13" s="11" t="s">
        <v>232</v>
      </c>
      <c r="D13" s="77">
        <v>218121242</v>
      </c>
      <c r="E13" s="11">
        <v>10</v>
      </c>
      <c r="F13" s="11">
        <v>32</v>
      </c>
      <c r="G13" s="11">
        <v>30</v>
      </c>
      <c r="I13" s="12">
        <f t="shared" si="0"/>
        <v>12.718897500000001</v>
      </c>
      <c r="J13" s="13">
        <f t="shared" si="1"/>
        <v>6.2198545522677708E-2</v>
      </c>
      <c r="K13" s="13">
        <f t="shared" si="2"/>
        <v>1.6720902405277887E-2</v>
      </c>
      <c r="L13" s="13">
        <f t="shared" si="3"/>
        <v>1.2626188878935504E-2</v>
      </c>
      <c r="M13" s="13">
        <f t="shared" si="4"/>
        <v>4.5477056287805295E-2</v>
      </c>
      <c r="N13" s="77">
        <f t="shared" si="5"/>
        <v>3647184</v>
      </c>
      <c r="O13" s="13">
        <v>16</v>
      </c>
      <c r="P13" s="14">
        <v>23724251</v>
      </c>
      <c r="Q13" s="14">
        <v>741382.84375</v>
      </c>
      <c r="R13" s="14">
        <v>30299.78125</v>
      </c>
      <c r="S13" s="15">
        <v>13566824</v>
      </c>
      <c r="T13" s="15">
        <v>2754040</v>
      </c>
      <c r="U13" s="15">
        <v>893144</v>
      </c>
      <c r="V13" s="15">
        <v>9919512</v>
      </c>
      <c r="W13" s="16">
        <v>70.047775000000001</v>
      </c>
      <c r="X13" s="16">
        <v>72.594934374999994</v>
      </c>
      <c r="Y13" s="16">
        <v>38.872250000000001</v>
      </c>
      <c r="Z13" s="16">
        <v>42.220149999999997</v>
      </c>
      <c r="AA13" s="16">
        <v>37.913215624999999</v>
      </c>
      <c r="AB13" s="17">
        <v>3502.3</v>
      </c>
      <c r="AC13" s="17">
        <v>1079.46</v>
      </c>
      <c r="AD13" s="17">
        <v>4.9640000000000004</v>
      </c>
      <c r="AE13" s="17">
        <v>17.2</v>
      </c>
      <c r="AG13" s="12">
        <f t="shared" si="6"/>
        <v>12.730845</v>
      </c>
      <c r="AH13" s="13">
        <f t="shared" si="7"/>
        <v>6.2256971744182529E-2</v>
      </c>
      <c r="AI13" s="13">
        <f t="shared" si="8"/>
        <v>1.6777128015803246E-2</v>
      </c>
      <c r="AJ13" s="13">
        <f t="shared" si="9"/>
        <v>1.2626188878935504E-2</v>
      </c>
      <c r="AK13" s="13">
        <f t="shared" si="10"/>
        <v>4.5477056287805295E-2</v>
      </c>
      <c r="AL13" s="77">
        <f t="shared" si="11"/>
        <v>3659448</v>
      </c>
      <c r="AM13" s="13">
        <v>16</v>
      </c>
      <c r="AN13" s="14">
        <v>23724251</v>
      </c>
      <c r="AO13" s="14">
        <v>741382.84375</v>
      </c>
      <c r="AP13" s="14">
        <v>30299.78125</v>
      </c>
      <c r="AQ13" s="15">
        <v>13579568</v>
      </c>
      <c r="AR13" s="15">
        <v>2754040</v>
      </c>
      <c r="AS13" s="15">
        <v>905408</v>
      </c>
      <c r="AT13" s="15">
        <v>9919512</v>
      </c>
      <c r="AU13" s="16">
        <v>70.047775000000001</v>
      </c>
      <c r="AV13" s="16">
        <v>72.594933999999995</v>
      </c>
      <c r="AW13" s="16">
        <v>38.872250000000001</v>
      </c>
      <c r="AX13" s="16">
        <v>42.220149999999997</v>
      </c>
      <c r="AY13" s="16">
        <v>37.913215999999998</v>
      </c>
      <c r="AZ13" s="17">
        <v>3606.38</v>
      </c>
      <c r="BA13" s="17">
        <v>935.04700000000003</v>
      </c>
      <c r="BB13" s="17">
        <v>8.827</v>
      </c>
      <c r="BC13" s="17">
        <v>13.566000000000001</v>
      </c>
      <c r="BE13" s="18">
        <f t="shared" si="12"/>
        <v>0</v>
      </c>
      <c r="BF13" s="18">
        <f t="shared" si="13"/>
        <v>6.5083194603232641E-4</v>
      </c>
      <c r="BG13" s="18"/>
      <c r="BI13" s="79"/>
      <c r="BJ13" s="79"/>
      <c r="BK13" s="79"/>
      <c r="BL13" s="79"/>
      <c r="BM13" s="79"/>
      <c r="BO13" s="79"/>
      <c r="BP13" s="79"/>
      <c r="BQ13" s="79"/>
      <c r="BR13" s="79"/>
      <c r="BS13" s="79"/>
    </row>
    <row r="14" spans="1:71" outlineLevel="1" x14ac:dyDescent="0.2">
      <c r="A14" s="69"/>
      <c r="B14" s="37" t="s">
        <v>62</v>
      </c>
      <c r="C14" s="38" t="s">
        <v>233</v>
      </c>
      <c r="D14" s="37">
        <v>218121242</v>
      </c>
      <c r="E14" s="38">
        <v>10</v>
      </c>
      <c r="F14" s="38">
        <v>32</v>
      </c>
      <c r="G14" s="38">
        <v>30</v>
      </c>
      <c r="I14" s="39">
        <f t="shared" si="0"/>
        <v>22.978185</v>
      </c>
      <c r="J14" s="40">
        <f t="shared" si="1"/>
        <v>0.11236899155378915</v>
      </c>
      <c r="K14" s="40">
        <f t="shared" si="2"/>
        <v>2.7460140723020457E-2</v>
      </c>
      <c r="L14" s="40">
        <f t="shared" si="3"/>
        <v>1.9833776666281774E-2</v>
      </c>
      <c r="M14" s="40">
        <f t="shared" si="4"/>
        <v>8.4908264001174169E-2</v>
      </c>
      <c r="N14" s="37">
        <f t="shared" si="5"/>
        <v>5989640</v>
      </c>
      <c r="O14" s="40">
        <v>16</v>
      </c>
      <c r="P14" s="41">
        <v>22484037</v>
      </c>
      <c r="Q14" s="41">
        <v>702626.15625</v>
      </c>
      <c r="R14" s="41">
        <v>14049.1875</v>
      </c>
      <c r="S14" s="42">
        <v>24510064</v>
      </c>
      <c r="T14" s="42">
        <v>4326168</v>
      </c>
      <c r="U14" s="42">
        <v>1663472</v>
      </c>
      <c r="V14" s="42">
        <v>18520296</v>
      </c>
      <c r="W14" s="43">
        <v>71.211693749999995</v>
      </c>
      <c r="X14" s="43">
        <v>74.745203125000003</v>
      </c>
      <c r="Y14" s="43">
        <v>41.134462499999998</v>
      </c>
      <c r="Z14" s="43">
        <v>43.554187499999998</v>
      </c>
      <c r="AA14" s="43">
        <v>39.763240625000002</v>
      </c>
      <c r="AB14" s="44">
        <v>3546.37</v>
      </c>
      <c r="AC14" s="44">
        <v>1251.1600000000001</v>
      </c>
      <c r="AD14" s="44">
        <v>4.8159999999999998</v>
      </c>
      <c r="AE14" s="44">
        <v>18.521000000000001</v>
      </c>
      <c r="AG14" s="39">
        <f t="shared" si="6"/>
        <v>22.990132500000001</v>
      </c>
      <c r="AH14" s="40">
        <f t="shared" si="7"/>
        <v>0.11242741777529398</v>
      </c>
      <c r="AI14" s="40">
        <f t="shared" si="8"/>
        <v>2.7516366333545816E-2</v>
      </c>
      <c r="AJ14" s="40">
        <f t="shared" si="9"/>
        <v>1.9833776666281774E-2</v>
      </c>
      <c r="AK14" s="40">
        <f t="shared" si="10"/>
        <v>8.4908264001174169E-2</v>
      </c>
      <c r="AL14" s="37">
        <f t="shared" si="11"/>
        <v>6001904</v>
      </c>
      <c r="AM14" s="40">
        <v>16</v>
      </c>
      <c r="AN14" s="41">
        <v>22484037</v>
      </c>
      <c r="AO14" s="41">
        <v>702626.15625</v>
      </c>
      <c r="AP14" s="41">
        <v>14049.1875</v>
      </c>
      <c r="AQ14" s="42">
        <v>24522808</v>
      </c>
      <c r="AR14" s="42">
        <v>4326168</v>
      </c>
      <c r="AS14" s="42">
        <v>1675736</v>
      </c>
      <c r="AT14" s="42">
        <v>18520296</v>
      </c>
      <c r="AU14" s="43">
        <v>71.211693999999994</v>
      </c>
      <c r="AV14" s="43">
        <v>74.745203000000004</v>
      </c>
      <c r="AW14" s="43">
        <v>41.134462999999997</v>
      </c>
      <c r="AX14" s="43">
        <v>43.554188000000003</v>
      </c>
      <c r="AY14" s="43">
        <v>39.763241000000001</v>
      </c>
      <c r="AZ14" s="44">
        <v>4373.09</v>
      </c>
      <c r="BA14" s="44">
        <v>1335.41</v>
      </c>
      <c r="BB14" s="44">
        <v>9.5060000000000002</v>
      </c>
      <c r="BC14" s="44">
        <v>19.742999999999999</v>
      </c>
      <c r="BE14" s="45">
        <f t="shared" si="12"/>
        <v>0</v>
      </c>
      <c r="BF14" s="45">
        <f t="shared" si="13"/>
        <v>3.7310933488746145E-4</v>
      </c>
      <c r="BG14" s="45"/>
      <c r="BI14" s="46"/>
      <c r="BJ14" s="46"/>
      <c r="BK14" s="46"/>
      <c r="BL14" s="46"/>
      <c r="BM14" s="46"/>
      <c r="BO14" s="46"/>
      <c r="BP14" s="46"/>
      <c r="BQ14" s="46"/>
      <c r="BR14" s="46"/>
      <c r="BS14" s="46"/>
    </row>
    <row r="15" spans="1:71" x14ac:dyDescent="0.2">
      <c r="A15" s="77"/>
      <c r="B15" s="77" t="s">
        <v>67</v>
      </c>
      <c r="C15" s="11" t="s">
        <v>229</v>
      </c>
      <c r="D15" s="77">
        <v>322589704</v>
      </c>
      <c r="E15" s="11">
        <v>10</v>
      </c>
      <c r="F15" s="11">
        <v>32</v>
      </c>
      <c r="G15" s="11">
        <v>30</v>
      </c>
      <c r="I15" s="12">
        <f t="shared" si="0"/>
        <v>4.5275699999999999</v>
      </c>
      <c r="J15" s="13">
        <f t="shared" si="1"/>
        <v>1.4970744385567867E-2</v>
      </c>
      <c r="K15" s="13">
        <f t="shared" si="2"/>
        <v>8.2827937992714113E-3</v>
      </c>
      <c r="L15" s="13">
        <f t="shared" si="3"/>
        <v>4.3182035344810632E-3</v>
      </c>
      <c r="M15" s="13">
        <f t="shared" si="4"/>
        <v>6.6875537974392385E-3</v>
      </c>
      <c r="N15" s="77">
        <f t="shared" si="5"/>
        <v>2671944</v>
      </c>
      <c r="O15" s="13">
        <v>16</v>
      </c>
      <c r="P15" s="14">
        <v>31019055</v>
      </c>
      <c r="Q15" s="14">
        <v>969345.46875</v>
      </c>
      <c r="R15" s="14">
        <v>30632.5625</v>
      </c>
      <c r="S15" s="15">
        <v>4829408</v>
      </c>
      <c r="T15" s="15">
        <v>1393008</v>
      </c>
      <c r="U15" s="15">
        <v>1278936</v>
      </c>
      <c r="V15" s="15">
        <v>2157336</v>
      </c>
      <c r="W15" s="16">
        <v>65.993662499999999</v>
      </c>
      <c r="X15" s="16">
        <v>67.834546875000001</v>
      </c>
      <c r="Y15" s="16">
        <v>29.619846875</v>
      </c>
      <c r="Z15" s="16">
        <v>43.190931249999998</v>
      </c>
      <c r="AA15" s="16">
        <v>43.488174999999998</v>
      </c>
      <c r="AB15" s="17">
        <v>4132.41</v>
      </c>
      <c r="AC15" s="17">
        <v>1137.06</v>
      </c>
      <c r="AD15" s="17">
        <v>7.0469999999999997</v>
      </c>
      <c r="AE15" s="17">
        <v>19.969000000000001</v>
      </c>
      <c r="AG15" s="12">
        <f t="shared" si="6"/>
        <v>4.5420150000000001</v>
      </c>
      <c r="AH15" s="13">
        <f t="shared" si="7"/>
        <v>1.5018507844255315E-2</v>
      </c>
      <c r="AI15" s="13">
        <f t="shared" si="8"/>
        <v>8.3290692997442968E-3</v>
      </c>
      <c r="AJ15" s="13">
        <f t="shared" si="9"/>
        <v>4.3182035344810632E-3</v>
      </c>
      <c r="AK15" s="13">
        <f t="shared" si="10"/>
        <v>6.6875537974392385E-3</v>
      </c>
      <c r="AL15" s="77">
        <f t="shared" si="11"/>
        <v>2686872</v>
      </c>
      <c r="AM15" s="13">
        <v>16</v>
      </c>
      <c r="AN15" s="14">
        <v>31019055</v>
      </c>
      <c r="AO15" s="14">
        <v>969345.46875</v>
      </c>
      <c r="AP15" s="14">
        <v>30632.5625</v>
      </c>
      <c r="AQ15" s="15">
        <v>4844816</v>
      </c>
      <c r="AR15" s="15">
        <v>1393008</v>
      </c>
      <c r="AS15" s="15">
        <v>1293864</v>
      </c>
      <c r="AT15" s="15">
        <v>2157336</v>
      </c>
      <c r="AU15" s="16">
        <v>65.993662</v>
      </c>
      <c r="AV15" s="16">
        <v>67.834547000000001</v>
      </c>
      <c r="AW15" s="16">
        <v>29.619847</v>
      </c>
      <c r="AX15" s="16">
        <v>43.190930999999999</v>
      </c>
      <c r="AY15" s="16">
        <v>43.488174999999998</v>
      </c>
      <c r="AZ15" s="17">
        <v>3892.3</v>
      </c>
      <c r="BA15" s="17">
        <v>863.05100000000004</v>
      </c>
      <c r="BB15" s="17">
        <v>11.324999999999999</v>
      </c>
      <c r="BC15" s="17">
        <v>13.771000000000001</v>
      </c>
      <c r="BE15" s="18">
        <f t="shared" si="12"/>
        <v>0</v>
      </c>
      <c r="BF15" s="18">
        <f t="shared" si="13"/>
        <v>1.3216782288317797E-3</v>
      </c>
      <c r="BG15" s="18">
        <f t="array" ref="BG15">AVERAGE(AL15:AL19/AQ15:AQ19) - AVERAGE(N15:N19/S15:S19)</f>
        <v>7.9401963840797229E-4</v>
      </c>
      <c r="BI15" s="79">
        <f>IF( OR(ISBLANK(N15:N19),ISBLANK(AL15:AL19), ISBLANK(W15:W19),ISBLANK(AU15:AU19)), "·", bdRateExtend( N15:N19,W15:W19, AL15:AL19,AU15:AU19))</f>
        <v>3.9211784606476563E-3</v>
      </c>
      <c r="BJ15" s="79">
        <f>IF( OR(ISBLANK(N15:N19),ISBLANK(AL15:AL19), ISBLANK(X15:X19),ISBLANK(AV15:AV19)), "·", bdRateExtend( N15:N19,X15:X19, AL15:AL19,AV15:AV19))</f>
        <v>3.723909332404407E-3</v>
      </c>
      <c r="BK15" s="79">
        <f>IF( OR(ISBLANK(V15:V19),ISBLANK(AT15:AT19), ISBLANK(Y15:Y19),ISBLANK(AW15:AW19)), "·", bdRateExtend( V15:V19,Y15:Y19, AT15:AT19,AW15:AW19))</f>
        <v>-4.1609910184092769E-8</v>
      </c>
      <c r="BL15" s="79">
        <f>IF( OR(ISBLANK(V15:V19),ISBLANK(AT15:AT19), ISBLANK(Z15:Z19),ISBLANK(AX15:AX19)), "·", bdRateExtend( V15:V19,Z15:Z19, AT15:AT19,AX15:AX19))</f>
        <v>-2.1857594623142518E-8</v>
      </c>
      <c r="BM15" s="79">
        <f>IF( OR(ISBLANK(V15:V19),ISBLANK(AT15:AT19), ISBLANK(AA15:AA19),ISBLANK(AY15:AY19)), "·", bdRateExtend( V15:V19,AA15:AA19, AT15:AT19,AY15:AY19))</f>
        <v>-5.9937050878033915E-9</v>
      </c>
      <c r="BO15" s="79">
        <f>IF( OR(ISBLANK(S15:S19),ISBLANK(AQ15:AQ19), ISBLANK(W15:W19),ISBLANK(AU15:AU19)), "·", bdRateExtend( S15:S19,W15:W19, AQ15:AQ19,AU15:AU19))</f>
        <v>1.5480870216322273E-3</v>
      </c>
      <c r="BP15" s="79">
        <f>IF( OR(ISBLANK(S15:S19),ISBLANK(AQ15:AQ19), ISBLANK(X15:X19),ISBLANK(AV15:AV19)), "·", bdRateExtend( S15:S19,X15:X19, AQ15:AQ19,AV15:AV19))</f>
        <v>1.415872885888847E-3</v>
      </c>
      <c r="BQ15" s="79">
        <f>IF( OR(ISBLANK(S15:S19),ISBLANK(AQ15:AQ19), ISBLANK(Y15:Y19),ISBLANK(AW15:AW19)), "·", bdRateExtend( S15:S19,Y15:Y19, AQ15:AQ19,AW15:AW19))</f>
        <v>1.4064553058448226E-3</v>
      </c>
      <c r="BR15" s="79">
        <f>IF( OR(ISBLANK(S15:S19),ISBLANK(AQ15:AQ19), ISBLANK(Z15:Z19),ISBLANK(AX15:AX19)), "·", bdRateExtend( S15:S19,Z15:Z19, AQ15:AQ19,AX15:AX19))</f>
        <v>1.1447800724129209E-3</v>
      </c>
      <c r="BS15" s="79">
        <f>IF( OR(ISBLANK(S15:S19),ISBLANK(AQ15:AQ19), ISBLANK(AA15:AA19),ISBLANK(AY15:AY19)), "·", bdRateExtend( S15:S19,AA15:AA19, AQ15:AQ19,AY15:AY19))</f>
        <v>1.1813007755299143E-3</v>
      </c>
    </row>
    <row r="16" spans="1:71" outlineLevel="1" x14ac:dyDescent="0.2">
      <c r="A16" s="69"/>
      <c r="B16" s="69" t="s">
        <v>67</v>
      </c>
      <c r="C16" s="19" t="s">
        <v>230</v>
      </c>
      <c r="D16" s="69">
        <v>322589704</v>
      </c>
      <c r="E16" s="19">
        <v>10</v>
      </c>
      <c r="F16" s="19">
        <v>32</v>
      </c>
      <c r="G16" s="19">
        <v>30</v>
      </c>
      <c r="I16" s="20">
        <f t="shared" si="0"/>
        <v>7.2280949999999997</v>
      </c>
      <c r="J16" s="21">
        <f t="shared" si="1"/>
        <v>2.3900229624191603E-2</v>
      </c>
      <c r="K16" s="21">
        <f t="shared" si="2"/>
        <v>9.9567963892610786E-3</v>
      </c>
      <c r="L16" s="21">
        <f t="shared" si="3"/>
        <v>5.9922061244707305E-3</v>
      </c>
      <c r="M16" s="21">
        <f t="shared" si="4"/>
        <v>1.3943036446073307E-2</v>
      </c>
      <c r="N16" s="69">
        <f t="shared" si="5"/>
        <v>3211960</v>
      </c>
      <c r="O16" s="21">
        <v>16</v>
      </c>
      <c r="P16" s="22">
        <v>33531705</v>
      </c>
      <c r="Q16" s="22">
        <v>1047865.78125</v>
      </c>
      <c r="R16" s="22">
        <v>38886.46875</v>
      </c>
      <c r="S16" s="23">
        <v>7709968</v>
      </c>
      <c r="T16" s="23">
        <v>1933024</v>
      </c>
      <c r="U16" s="23">
        <v>1278936</v>
      </c>
      <c r="V16" s="23">
        <v>4497880</v>
      </c>
      <c r="W16" s="24">
        <v>67.824271874999994</v>
      </c>
      <c r="X16" s="24">
        <v>69.877096875000007</v>
      </c>
      <c r="Y16" s="24">
        <v>32.069268749999999</v>
      </c>
      <c r="Z16" s="24">
        <v>44.04045</v>
      </c>
      <c r="AA16" s="24">
        <v>44.459962500000003</v>
      </c>
      <c r="AB16" s="25">
        <v>4220.34</v>
      </c>
      <c r="AC16" s="25">
        <v>1210.8599999999999</v>
      </c>
      <c r="AD16" s="25">
        <v>7.4359999999999999</v>
      </c>
      <c r="AE16" s="25">
        <v>20.890999999999998</v>
      </c>
      <c r="AG16" s="20">
        <f t="shared" si="6"/>
        <v>7.24254</v>
      </c>
      <c r="AH16" s="21">
        <f t="shared" si="7"/>
        <v>2.3947993082879048E-2</v>
      </c>
      <c r="AI16" s="21">
        <f t="shared" si="8"/>
        <v>1.0003071889733964E-2</v>
      </c>
      <c r="AJ16" s="21">
        <f t="shared" si="9"/>
        <v>5.9922061244707305E-3</v>
      </c>
      <c r="AK16" s="21">
        <f t="shared" si="10"/>
        <v>1.3943036446073307E-2</v>
      </c>
      <c r="AL16" s="69">
        <f t="shared" si="11"/>
        <v>3226888</v>
      </c>
      <c r="AM16" s="21">
        <v>16</v>
      </c>
      <c r="AN16" s="22">
        <v>33531705</v>
      </c>
      <c r="AO16" s="22">
        <v>1047865.78125</v>
      </c>
      <c r="AP16" s="22">
        <v>38886.46875</v>
      </c>
      <c r="AQ16" s="23">
        <v>7725376</v>
      </c>
      <c r="AR16" s="23">
        <v>1933024</v>
      </c>
      <c r="AS16" s="23">
        <v>1293864</v>
      </c>
      <c r="AT16" s="23">
        <v>4497880</v>
      </c>
      <c r="AU16" s="24">
        <v>67.824271999999993</v>
      </c>
      <c r="AV16" s="24">
        <v>69.877097000000006</v>
      </c>
      <c r="AW16" s="24">
        <v>32.069268999999998</v>
      </c>
      <c r="AX16" s="24">
        <v>44.04045</v>
      </c>
      <c r="AY16" s="24">
        <v>44.459963000000002</v>
      </c>
      <c r="AZ16" s="25">
        <v>4378.9799999999996</v>
      </c>
      <c r="BA16" s="25">
        <v>988.81100000000004</v>
      </c>
      <c r="BB16" s="25">
        <v>12.394</v>
      </c>
      <c r="BC16" s="25">
        <v>14.750999999999999</v>
      </c>
      <c r="BE16" s="26">
        <f t="shared" si="12"/>
        <v>0</v>
      </c>
      <c r="BF16" s="26">
        <f t="shared" si="13"/>
        <v>1.1014418609511245E-3</v>
      </c>
      <c r="BG16" s="26"/>
      <c r="BI16" s="71"/>
      <c r="BJ16" s="71"/>
      <c r="BK16" s="71"/>
      <c r="BL16" s="71"/>
      <c r="BM16" s="71"/>
      <c r="BO16" s="71"/>
      <c r="BP16" s="71"/>
      <c r="BQ16" s="71"/>
      <c r="BR16" s="71"/>
      <c r="BS16" s="71"/>
    </row>
    <row r="17" spans="1:71" outlineLevel="1" x14ac:dyDescent="0.2">
      <c r="A17" s="77"/>
      <c r="B17" s="77" t="s">
        <v>67</v>
      </c>
      <c r="C17" s="11" t="s">
        <v>231</v>
      </c>
      <c r="D17" s="77">
        <v>322589704</v>
      </c>
      <c r="E17" s="11">
        <v>10</v>
      </c>
      <c r="F17" s="11">
        <v>32</v>
      </c>
      <c r="G17" s="11">
        <v>30</v>
      </c>
      <c r="I17" s="12">
        <f t="shared" si="0"/>
        <v>12.1699725</v>
      </c>
      <c r="J17" s="13">
        <f t="shared" si="1"/>
        <v>4.0240912338603343E-2</v>
      </c>
      <c r="K17" s="13">
        <f t="shared" si="2"/>
        <v>1.2440793832651275E-2</v>
      </c>
      <c r="L17" s="13">
        <f t="shared" si="3"/>
        <v>8.4762035678609265E-3</v>
      </c>
      <c r="M17" s="13">
        <f t="shared" si="4"/>
        <v>2.7799721717094852E-2</v>
      </c>
      <c r="N17" s="77">
        <f t="shared" si="5"/>
        <v>4013272</v>
      </c>
      <c r="O17" s="13">
        <v>16</v>
      </c>
      <c r="P17" s="14">
        <v>34039269</v>
      </c>
      <c r="Q17" s="14">
        <v>1063727.15625</v>
      </c>
      <c r="R17" s="14">
        <v>40807.28125</v>
      </c>
      <c r="S17" s="15">
        <v>12981304</v>
      </c>
      <c r="T17" s="15">
        <v>2734336</v>
      </c>
      <c r="U17" s="15">
        <v>1278936</v>
      </c>
      <c r="V17" s="15">
        <v>8967904</v>
      </c>
      <c r="W17" s="16">
        <v>69.261243750000006</v>
      </c>
      <c r="X17" s="16">
        <v>71.672759374999998</v>
      </c>
      <c r="Y17" s="16">
        <v>34.620125000000002</v>
      </c>
      <c r="Z17" s="16">
        <v>44.856715625</v>
      </c>
      <c r="AA17" s="16">
        <v>45.372</v>
      </c>
      <c r="AB17" s="17">
        <v>4225.8100000000004</v>
      </c>
      <c r="AC17" s="17">
        <v>1307.6400000000001</v>
      </c>
      <c r="AD17" s="17">
        <v>7.2770000000000001</v>
      </c>
      <c r="AE17" s="17">
        <v>20.556000000000001</v>
      </c>
      <c r="AG17" s="12">
        <f t="shared" si="6"/>
        <v>12.1844175</v>
      </c>
      <c r="AH17" s="13">
        <f t="shared" si="7"/>
        <v>4.0288675797290792E-2</v>
      </c>
      <c r="AI17" s="13">
        <f t="shared" si="8"/>
        <v>1.248706933312416E-2</v>
      </c>
      <c r="AJ17" s="13">
        <f t="shared" si="9"/>
        <v>8.4762035678609265E-3</v>
      </c>
      <c r="AK17" s="13">
        <f t="shared" si="10"/>
        <v>2.7799721717094852E-2</v>
      </c>
      <c r="AL17" s="77">
        <f t="shared" si="11"/>
        <v>4028200</v>
      </c>
      <c r="AM17" s="13">
        <v>16</v>
      </c>
      <c r="AN17" s="14">
        <v>34039269</v>
      </c>
      <c r="AO17" s="14">
        <v>1063727.15625</v>
      </c>
      <c r="AP17" s="14">
        <v>40807.28125</v>
      </c>
      <c r="AQ17" s="15">
        <v>12996712</v>
      </c>
      <c r="AR17" s="15">
        <v>2734336</v>
      </c>
      <c r="AS17" s="15">
        <v>1293864</v>
      </c>
      <c r="AT17" s="15">
        <v>8967904</v>
      </c>
      <c r="AU17" s="16">
        <v>69.261244000000005</v>
      </c>
      <c r="AV17" s="16">
        <v>71.672758999999999</v>
      </c>
      <c r="AW17" s="16">
        <v>34.620125000000002</v>
      </c>
      <c r="AX17" s="16">
        <v>44.856715999999999</v>
      </c>
      <c r="AY17" s="16">
        <v>45.372</v>
      </c>
      <c r="AZ17" s="17">
        <v>4681.5</v>
      </c>
      <c r="BA17" s="17">
        <v>1312.46</v>
      </c>
      <c r="BB17" s="17">
        <v>16.530999999999999</v>
      </c>
      <c r="BC17" s="17">
        <v>21.663</v>
      </c>
      <c r="BE17" s="18">
        <f t="shared" si="12"/>
        <v>0</v>
      </c>
      <c r="BF17" s="18">
        <f t="shared" si="13"/>
        <v>7.8208210573166292E-4</v>
      </c>
      <c r="BG17" s="18"/>
      <c r="BI17" s="79"/>
      <c r="BJ17" s="79"/>
      <c r="BK17" s="79"/>
      <c r="BL17" s="79"/>
      <c r="BM17" s="79"/>
      <c r="BO17" s="79"/>
      <c r="BP17" s="79"/>
      <c r="BQ17" s="79"/>
      <c r="BR17" s="79"/>
      <c r="BS17" s="79"/>
    </row>
    <row r="18" spans="1:71" outlineLevel="1" x14ac:dyDescent="0.2">
      <c r="A18" s="69"/>
      <c r="B18" s="69" t="s">
        <v>67</v>
      </c>
      <c r="C18" s="19" t="s">
        <v>232</v>
      </c>
      <c r="D18" s="69">
        <v>322589704</v>
      </c>
      <c r="E18" s="19">
        <v>10</v>
      </c>
      <c r="F18" s="19">
        <v>32</v>
      </c>
      <c r="G18" s="19">
        <v>30</v>
      </c>
      <c r="I18" s="20">
        <f t="shared" si="0"/>
        <v>21.978045000000002</v>
      </c>
      <c r="J18" s="21">
        <f t="shared" si="1"/>
        <v>7.2672027995041036E-2</v>
      </c>
      <c r="K18" s="21">
        <f t="shared" si="2"/>
        <v>1.653481166280496E-2</v>
      </c>
      <c r="L18" s="21">
        <f t="shared" si="3"/>
        <v>1.2570221398014612E-2</v>
      </c>
      <c r="M18" s="21">
        <f t="shared" si="4"/>
        <v>5.6136819543378853E-2</v>
      </c>
      <c r="N18" s="69">
        <f t="shared" si="5"/>
        <v>5333960</v>
      </c>
      <c r="O18" s="21">
        <v>16</v>
      </c>
      <c r="P18" s="22">
        <v>35557316</v>
      </c>
      <c r="Q18" s="22">
        <v>1111166.125</v>
      </c>
      <c r="R18" s="22">
        <v>46580.46875</v>
      </c>
      <c r="S18" s="23">
        <v>23443248</v>
      </c>
      <c r="T18" s="23">
        <v>4055024</v>
      </c>
      <c r="U18" s="23">
        <v>1278936</v>
      </c>
      <c r="V18" s="23">
        <v>18109160</v>
      </c>
      <c r="W18" s="24">
        <v>70.382015624999994</v>
      </c>
      <c r="X18" s="24">
        <v>73.005503125000004</v>
      </c>
      <c r="Y18" s="24">
        <v>37.274690624999998</v>
      </c>
      <c r="Z18" s="24">
        <v>46.213653125</v>
      </c>
      <c r="AA18" s="24">
        <v>46.780184374999997</v>
      </c>
      <c r="AB18" s="25">
        <v>4214.3100000000004</v>
      </c>
      <c r="AC18" s="25">
        <v>1503.74</v>
      </c>
      <c r="AD18" s="25">
        <v>7.5110000000000001</v>
      </c>
      <c r="AE18" s="25">
        <v>21.49</v>
      </c>
      <c r="AG18" s="20">
        <f t="shared" si="6"/>
        <v>21.99249</v>
      </c>
      <c r="AH18" s="21">
        <f t="shared" si="7"/>
        <v>7.2719791453728477E-2</v>
      </c>
      <c r="AI18" s="21">
        <f t="shared" si="8"/>
        <v>1.6581087163277847E-2</v>
      </c>
      <c r="AJ18" s="21">
        <f t="shared" si="9"/>
        <v>1.2570221398014612E-2</v>
      </c>
      <c r="AK18" s="21">
        <f t="shared" si="10"/>
        <v>5.6136819543378853E-2</v>
      </c>
      <c r="AL18" s="69">
        <f t="shared" si="11"/>
        <v>5348888</v>
      </c>
      <c r="AM18" s="21">
        <v>16</v>
      </c>
      <c r="AN18" s="22">
        <v>35557316</v>
      </c>
      <c r="AO18" s="22">
        <v>1111166.125</v>
      </c>
      <c r="AP18" s="22">
        <v>46580.46875</v>
      </c>
      <c r="AQ18" s="23">
        <v>23458656</v>
      </c>
      <c r="AR18" s="23">
        <v>4055024</v>
      </c>
      <c r="AS18" s="23">
        <v>1293864</v>
      </c>
      <c r="AT18" s="23">
        <v>18109160</v>
      </c>
      <c r="AU18" s="24">
        <v>70.382015999999993</v>
      </c>
      <c r="AV18" s="24">
        <v>73.005503000000004</v>
      </c>
      <c r="AW18" s="24">
        <v>37.274690999999997</v>
      </c>
      <c r="AX18" s="24">
        <v>46.213653000000001</v>
      </c>
      <c r="AY18" s="24">
        <v>46.780183999999998</v>
      </c>
      <c r="AZ18" s="25">
        <v>3963.6</v>
      </c>
      <c r="BA18" s="25">
        <v>1190.95</v>
      </c>
      <c r="BB18" s="25">
        <v>13.49</v>
      </c>
      <c r="BC18" s="25">
        <v>17.498999999999999</v>
      </c>
      <c r="BE18" s="26">
        <f t="shared" si="12"/>
        <v>0</v>
      </c>
      <c r="BF18" s="26">
        <f t="shared" si="13"/>
        <v>4.8691075043474918E-4</v>
      </c>
      <c r="BG18" s="26"/>
      <c r="BI18" s="71"/>
      <c r="BJ18" s="71"/>
      <c r="BK18" s="71"/>
      <c r="BL18" s="71"/>
      <c r="BM18" s="71"/>
      <c r="BO18" s="71"/>
      <c r="BP18" s="71"/>
      <c r="BQ18" s="71"/>
      <c r="BR18" s="71"/>
      <c r="BS18" s="71"/>
    </row>
    <row r="19" spans="1:71" outlineLevel="1" x14ac:dyDescent="0.2">
      <c r="A19" s="77"/>
      <c r="B19" s="27" t="s">
        <v>67</v>
      </c>
      <c r="C19" s="28" t="s">
        <v>233</v>
      </c>
      <c r="D19" s="27">
        <v>322589704</v>
      </c>
      <c r="E19" s="28">
        <v>10</v>
      </c>
      <c r="F19" s="28">
        <v>32</v>
      </c>
      <c r="G19" s="28">
        <v>30</v>
      </c>
      <c r="I19" s="29">
        <f t="shared" si="0"/>
        <v>39.786472500000002</v>
      </c>
      <c r="J19" s="30">
        <f t="shared" si="1"/>
        <v>0.13155690796628772</v>
      </c>
      <c r="K19" s="30">
        <f t="shared" si="2"/>
        <v>2.6693275988746372E-2</v>
      </c>
      <c r="L19" s="30">
        <f t="shared" si="3"/>
        <v>1.9288699927013171E-2</v>
      </c>
      <c r="M19" s="30">
        <f t="shared" si="4"/>
        <v>0.10486323518868414</v>
      </c>
      <c r="N19" s="27">
        <f t="shared" si="5"/>
        <v>8610976</v>
      </c>
      <c r="O19" s="30">
        <v>16</v>
      </c>
      <c r="P19" s="31">
        <v>33750608</v>
      </c>
      <c r="Q19" s="31">
        <v>1054706.5</v>
      </c>
      <c r="R19" s="31">
        <v>20504</v>
      </c>
      <c r="S19" s="32">
        <v>42438904</v>
      </c>
      <c r="T19" s="32">
        <v>6222336</v>
      </c>
      <c r="U19" s="32">
        <v>2388640</v>
      </c>
      <c r="V19" s="32">
        <v>33827800</v>
      </c>
      <c r="W19" s="33">
        <v>71.537806250000003</v>
      </c>
      <c r="X19" s="33">
        <v>75.080746875000003</v>
      </c>
      <c r="Y19" s="33">
        <v>39.354737499999999</v>
      </c>
      <c r="Z19" s="33">
        <v>47.983593749999997</v>
      </c>
      <c r="AA19" s="33">
        <v>48.584184375</v>
      </c>
      <c r="AB19" s="34">
        <v>4187.1099999999997</v>
      </c>
      <c r="AC19" s="34">
        <v>1819.32</v>
      </c>
      <c r="AD19" s="34">
        <v>7.25</v>
      </c>
      <c r="AE19" s="34">
        <v>23.22</v>
      </c>
      <c r="AG19" s="29">
        <f t="shared" si="6"/>
        <v>39.800917499999997</v>
      </c>
      <c r="AH19" s="30">
        <f t="shared" si="7"/>
        <v>0.13160467142497517</v>
      </c>
      <c r="AI19" s="30">
        <f t="shared" si="8"/>
        <v>2.6739551489219259E-2</v>
      </c>
      <c r="AJ19" s="30">
        <f t="shared" si="9"/>
        <v>1.9288699927013171E-2</v>
      </c>
      <c r="AK19" s="30">
        <f t="shared" si="10"/>
        <v>0.10486323518868414</v>
      </c>
      <c r="AL19" s="27">
        <f t="shared" si="11"/>
        <v>8625904</v>
      </c>
      <c r="AM19" s="30">
        <v>16</v>
      </c>
      <c r="AN19" s="31">
        <v>33750608</v>
      </c>
      <c r="AO19" s="31">
        <v>1054706.5</v>
      </c>
      <c r="AP19" s="31">
        <v>20504</v>
      </c>
      <c r="AQ19" s="32">
        <v>42454312</v>
      </c>
      <c r="AR19" s="32">
        <v>6222336</v>
      </c>
      <c r="AS19" s="32">
        <v>2403568</v>
      </c>
      <c r="AT19" s="32">
        <v>33827800</v>
      </c>
      <c r="AU19" s="33">
        <v>71.537806000000003</v>
      </c>
      <c r="AV19" s="33">
        <v>75.080747000000002</v>
      </c>
      <c r="AW19" s="33">
        <v>39.354737</v>
      </c>
      <c r="AX19" s="33">
        <v>47.983593999999997</v>
      </c>
      <c r="AY19" s="33">
        <v>48.584184</v>
      </c>
      <c r="AZ19" s="34">
        <v>4254.59</v>
      </c>
      <c r="BA19" s="34">
        <v>1500.41</v>
      </c>
      <c r="BB19" s="34">
        <v>11.945</v>
      </c>
      <c r="BC19" s="34">
        <v>18.792000000000002</v>
      </c>
      <c r="BE19" s="35">
        <f t="shared" si="12"/>
        <v>0</v>
      </c>
      <c r="BF19" s="35">
        <f t="shared" si="13"/>
        <v>2.7798524609040642E-4</v>
      </c>
      <c r="BG19" s="35"/>
      <c r="BI19" s="36"/>
      <c r="BJ19" s="36"/>
      <c r="BK19" s="36"/>
      <c r="BL19" s="36"/>
      <c r="BM19" s="36"/>
      <c r="BO19" s="36"/>
      <c r="BP19" s="36"/>
      <c r="BQ19" s="36"/>
      <c r="BR19" s="36"/>
      <c r="BS19" s="36"/>
    </row>
    <row r="20" spans="1:71" x14ac:dyDescent="0.2">
      <c r="A20" s="69"/>
      <c r="B20" s="69" t="s">
        <v>72</v>
      </c>
      <c r="C20" s="19" t="s">
        <v>229</v>
      </c>
      <c r="D20" s="69">
        <v>250602891</v>
      </c>
      <c r="E20" s="19">
        <v>10</v>
      </c>
      <c r="F20" s="19">
        <v>32</v>
      </c>
      <c r="G20" s="19">
        <v>50</v>
      </c>
      <c r="I20" s="20">
        <f t="shared" si="0"/>
        <v>5.3439125000000001</v>
      </c>
      <c r="J20" s="21">
        <f t="shared" si="1"/>
        <v>1.3647504170253167E-2</v>
      </c>
      <c r="K20" s="21">
        <f t="shared" si="2"/>
        <v>7.6381560977283377E-3</v>
      </c>
      <c r="L20" s="21">
        <f t="shared" si="3"/>
        <v>3.759413932698805E-3</v>
      </c>
      <c r="M20" s="21">
        <f t="shared" si="4"/>
        <v>6.0088373042751532E-3</v>
      </c>
      <c r="N20" s="69">
        <f t="shared" si="5"/>
        <v>1914144</v>
      </c>
      <c r="O20" s="21">
        <v>16</v>
      </c>
      <c r="P20" s="22">
        <v>30230438</v>
      </c>
      <c r="Q20" s="22">
        <v>944701.1875</v>
      </c>
      <c r="R20" s="22">
        <v>27161</v>
      </c>
      <c r="S20" s="23">
        <v>3420104</v>
      </c>
      <c r="T20" s="23">
        <v>942120</v>
      </c>
      <c r="U20" s="23">
        <v>972024</v>
      </c>
      <c r="V20" s="23">
        <v>1505832</v>
      </c>
      <c r="W20" s="24">
        <v>67.065771874999996</v>
      </c>
      <c r="X20" s="24">
        <v>68.733975000000001</v>
      </c>
      <c r="Y20" s="24">
        <v>30.891359375</v>
      </c>
      <c r="Z20" s="24">
        <v>39.585940624999999</v>
      </c>
      <c r="AA20" s="24">
        <v>38.404590624999997</v>
      </c>
      <c r="AB20" s="25">
        <v>4315.3599999999997</v>
      </c>
      <c r="AC20" s="25">
        <v>974.38599999999997</v>
      </c>
      <c r="AD20" s="25">
        <v>6.0620000000000003</v>
      </c>
      <c r="AE20" s="25">
        <v>16.486000000000001</v>
      </c>
      <c r="AG20" s="20">
        <f t="shared" si="6"/>
        <v>5.3649874999999998</v>
      </c>
      <c r="AH20" s="21">
        <f t="shared" si="7"/>
        <v>1.3701326374562854E-2</v>
      </c>
      <c r="AI20" s="21">
        <f t="shared" si="8"/>
        <v>7.6900629211017358E-3</v>
      </c>
      <c r="AJ20" s="21">
        <f t="shared" si="9"/>
        <v>3.759413932698805E-3</v>
      </c>
      <c r="AK20" s="21">
        <f t="shared" si="10"/>
        <v>6.0088373042751532E-3</v>
      </c>
      <c r="AL20" s="69">
        <f t="shared" si="11"/>
        <v>1927152</v>
      </c>
      <c r="AM20" s="21">
        <v>16</v>
      </c>
      <c r="AN20" s="22">
        <v>30230438</v>
      </c>
      <c r="AO20" s="22">
        <v>944701.1875</v>
      </c>
      <c r="AP20" s="22">
        <v>27161</v>
      </c>
      <c r="AQ20" s="23">
        <v>3433592</v>
      </c>
      <c r="AR20" s="23">
        <v>942120</v>
      </c>
      <c r="AS20" s="23">
        <v>985032</v>
      </c>
      <c r="AT20" s="23">
        <v>1505832</v>
      </c>
      <c r="AU20" s="24">
        <v>67.065771999999996</v>
      </c>
      <c r="AV20" s="24">
        <v>68.733975000000001</v>
      </c>
      <c r="AW20" s="24">
        <v>30.891359000000001</v>
      </c>
      <c r="AX20" s="24">
        <v>39.585940999999998</v>
      </c>
      <c r="AY20" s="24">
        <v>38.404591000000003</v>
      </c>
      <c r="AZ20" s="25">
        <v>4522.9799999999996</v>
      </c>
      <c r="BA20" s="25">
        <v>811.94200000000001</v>
      </c>
      <c r="BB20" s="25">
        <v>10.395</v>
      </c>
      <c r="BC20" s="25">
        <v>12.173999999999999</v>
      </c>
      <c r="BE20" s="26">
        <f t="shared" si="12"/>
        <v>0</v>
      </c>
      <c r="BF20" s="26">
        <f t="shared" si="13"/>
        <v>1.5899134994922237E-3</v>
      </c>
      <c r="BG20" s="26">
        <f t="array" ref="BG20">AVERAGE(AL20:AL24/AQ20:AQ24) - AVERAGE(N20:N24/S20:S24)</f>
        <v>9.8700996998046797E-4</v>
      </c>
      <c r="BI20" s="71">
        <f>IF( OR(ISBLANK(N20:N24),ISBLANK(AL20:AL24), ISBLANK(W20:W24),ISBLANK(AU20:AU24)), "·", bdRateExtend( N20:N24,W20:W24, AL20:AL24,AU20:AU24))</f>
        <v>4.8162885644134068E-3</v>
      </c>
      <c r="BJ20" s="71">
        <f>IF( OR(ISBLANK(N20:N24),ISBLANK(AL20:AL24), ISBLANK(X20:X24),ISBLANK(AV20:AV24)), "·", bdRateExtend( N20:N24,X20:X24, AL20:AL24,AV20:AV24))</f>
        <v>4.5565106003184752E-3</v>
      </c>
      <c r="BK20" s="71">
        <f>IF( OR(ISBLANK(V20:V24),ISBLANK(AT20:AT24), ISBLANK(Y20:Y24),ISBLANK(AW20:AW24)), "·", bdRateExtend( V20:V24,Y20:Y24, AT20:AT24,AW20:AW24))</f>
        <v>-1.0823406948468062E-8</v>
      </c>
      <c r="BL20" s="71">
        <f>IF( OR(ISBLANK(V20:V24),ISBLANK(AT20:AT24), ISBLANK(Z20:Z24),ISBLANK(AX20:AX24)), "·", bdRateExtend( V20:V24,Z20:Z24, AT20:AT24,AX20:AX24))</f>
        <v>2.1002069638953458E-8</v>
      </c>
      <c r="BM20" s="71">
        <f>IF( OR(ISBLANK(V20:V24),ISBLANK(AT20:AT24), ISBLANK(AA20:AA24),ISBLANK(AY20:AY24)), "·", bdRateExtend( V20:V24,AA20:AA24, AT20:AT24,AY20:AY24))</f>
        <v>7.0012437847211118E-8</v>
      </c>
      <c r="BO20" s="71">
        <f>IF( OR(ISBLANK(S20:S24),ISBLANK(AQ20:AQ24), ISBLANK(W20:W24),ISBLANK(AU20:AU24)), "·", bdRateExtend( S20:S24,W20:W24, AQ20:AQ24,AU20:AU24))</f>
        <v>1.9375002361510241E-3</v>
      </c>
      <c r="BP20" s="71">
        <f>IF( OR(ISBLANK(S20:S24),ISBLANK(AQ20:AQ24), ISBLANK(X20:X24),ISBLANK(AV20:AV24)), "·", bdRateExtend( S20:S24,X20:X24, AQ20:AQ24,AV20:AV24))</f>
        <v>1.7711729546363575E-3</v>
      </c>
      <c r="BQ20" s="71">
        <f>IF( OR(ISBLANK(S20:S24),ISBLANK(AQ20:AQ24), ISBLANK(Y20:Y24),ISBLANK(AW20:AW24)), "·", bdRateExtend( S20:S24,Y20:Y24, AQ20:AQ24,AW20:AW24))</f>
        <v>1.9253694840377644E-3</v>
      </c>
      <c r="BR20" s="71">
        <f>IF( OR(ISBLANK(S20:S24),ISBLANK(AQ20:AQ24), ISBLANK(Z20:Z24),ISBLANK(AX20:AX24)), "·", bdRateExtend( S20:S24,Z20:Z24, AQ20:AQ24,AX20:AX24))</f>
        <v>1.8218419990059243E-3</v>
      </c>
      <c r="BS20" s="71">
        <f>IF( OR(ISBLANK(S20:S24),ISBLANK(AQ20:AQ24), ISBLANK(AA20:AA24),ISBLANK(AY20:AY24)), "·", bdRateExtend( S20:S24,AA20:AA24, AQ20:AQ24,AY20:AY24))</f>
        <v>1.9766251786914601E-3</v>
      </c>
    </row>
    <row r="21" spans="1:71" outlineLevel="1" x14ac:dyDescent="0.2">
      <c r="A21" s="77"/>
      <c r="B21" s="77" t="s">
        <v>72</v>
      </c>
      <c r="C21" s="11" t="s">
        <v>230</v>
      </c>
      <c r="D21" s="77">
        <v>250602891</v>
      </c>
      <c r="E21" s="11">
        <v>10</v>
      </c>
      <c r="F21" s="11">
        <v>32</v>
      </c>
      <c r="G21" s="11">
        <v>50</v>
      </c>
      <c r="I21" s="12">
        <f t="shared" si="0"/>
        <v>8.4017499999999998</v>
      </c>
      <c r="J21" s="13">
        <f t="shared" si="1"/>
        <v>2.1456735708607608E-2</v>
      </c>
      <c r="K21" s="13">
        <f t="shared" si="2"/>
        <v>9.0486426192106454E-3</v>
      </c>
      <c r="L21" s="13">
        <f t="shared" si="3"/>
        <v>5.1699004541811136E-3</v>
      </c>
      <c r="M21" s="13">
        <f t="shared" si="4"/>
        <v>1.2407582321147284E-2</v>
      </c>
      <c r="N21" s="77">
        <f t="shared" si="5"/>
        <v>2267616</v>
      </c>
      <c r="O21" s="13">
        <v>16</v>
      </c>
      <c r="P21" s="14">
        <v>31582662</v>
      </c>
      <c r="Q21" s="14">
        <v>986958.1875</v>
      </c>
      <c r="R21" s="14">
        <v>32537.78125</v>
      </c>
      <c r="S21" s="15">
        <v>5377120</v>
      </c>
      <c r="T21" s="15">
        <v>1295592</v>
      </c>
      <c r="U21" s="15">
        <v>972024</v>
      </c>
      <c r="V21" s="15">
        <v>3109376</v>
      </c>
      <c r="W21" s="16">
        <v>68.659734374999999</v>
      </c>
      <c r="X21" s="16">
        <v>70.740428124999994</v>
      </c>
      <c r="Y21" s="16">
        <v>32.783678125000002</v>
      </c>
      <c r="Z21" s="16">
        <v>40.733424999999997</v>
      </c>
      <c r="AA21" s="16">
        <v>39.702150000000003</v>
      </c>
      <c r="AB21" s="17">
        <v>4436.3999999999996</v>
      </c>
      <c r="AC21" s="17">
        <v>1039.9100000000001</v>
      </c>
      <c r="AD21" s="17">
        <v>6.3049999999999997</v>
      </c>
      <c r="AE21" s="17">
        <v>16.79</v>
      </c>
      <c r="AG21" s="12">
        <f t="shared" si="6"/>
        <v>8.4228249999999996</v>
      </c>
      <c r="AH21" s="13">
        <f t="shared" si="7"/>
        <v>2.1510557912917293E-2</v>
      </c>
      <c r="AI21" s="13">
        <f t="shared" si="8"/>
        <v>9.1005494425840435E-3</v>
      </c>
      <c r="AJ21" s="13">
        <f t="shared" si="9"/>
        <v>5.1699004541811136E-3</v>
      </c>
      <c r="AK21" s="13">
        <f t="shared" si="10"/>
        <v>1.2407582321147284E-2</v>
      </c>
      <c r="AL21" s="77">
        <f t="shared" si="11"/>
        <v>2280624</v>
      </c>
      <c r="AM21" s="13">
        <v>16</v>
      </c>
      <c r="AN21" s="14">
        <v>31582662</v>
      </c>
      <c r="AO21" s="14">
        <v>986958.1875</v>
      </c>
      <c r="AP21" s="14">
        <v>32537.78125</v>
      </c>
      <c r="AQ21" s="15">
        <v>5390608</v>
      </c>
      <c r="AR21" s="15">
        <v>1295592</v>
      </c>
      <c r="AS21" s="15">
        <v>985032</v>
      </c>
      <c r="AT21" s="15">
        <v>3109376</v>
      </c>
      <c r="AU21" s="16">
        <v>68.659734</v>
      </c>
      <c r="AV21" s="16">
        <v>70.740427999999994</v>
      </c>
      <c r="AW21" s="16">
        <v>32.783678000000002</v>
      </c>
      <c r="AX21" s="16">
        <v>40.733424999999997</v>
      </c>
      <c r="AY21" s="16">
        <v>39.702150000000003</v>
      </c>
      <c r="AZ21" s="17">
        <v>4108.2700000000004</v>
      </c>
      <c r="BA21" s="17">
        <v>818.25400000000002</v>
      </c>
      <c r="BB21" s="17">
        <v>9.9350000000000005</v>
      </c>
      <c r="BC21" s="17">
        <v>12.112</v>
      </c>
      <c r="BE21" s="18">
        <f t="shared" si="12"/>
        <v>0</v>
      </c>
      <c r="BF21" s="18">
        <f t="shared" si="13"/>
        <v>1.3578984874670352E-3</v>
      </c>
      <c r="BG21" s="18"/>
      <c r="BI21" s="79"/>
      <c r="BJ21" s="79"/>
      <c r="BK21" s="79"/>
      <c r="BL21" s="79"/>
      <c r="BM21" s="79"/>
      <c r="BO21" s="79"/>
      <c r="BP21" s="79"/>
      <c r="BQ21" s="79"/>
      <c r="BR21" s="79"/>
      <c r="BS21" s="79"/>
    </row>
    <row r="22" spans="1:71" outlineLevel="1" x14ac:dyDescent="0.2">
      <c r="A22" s="69"/>
      <c r="B22" s="69" t="s">
        <v>72</v>
      </c>
      <c r="C22" s="19" t="s">
        <v>231</v>
      </c>
      <c r="D22" s="69">
        <v>250602891</v>
      </c>
      <c r="E22" s="19">
        <v>10</v>
      </c>
      <c r="F22" s="19">
        <v>32</v>
      </c>
      <c r="G22" s="19">
        <v>50</v>
      </c>
      <c r="I22" s="20">
        <f t="shared" si="0"/>
        <v>13.9114</v>
      </c>
      <c r="J22" s="21">
        <f t="shared" si="1"/>
        <v>3.5527507142764765E-2</v>
      </c>
      <c r="K22" s="21">
        <f t="shared" si="2"/>
        <v>1.116957585297769E-2</v>
      </c>
      <c r="L22" s="21">
        <f t="shared" si="3"/>
        <v>7.2908336879481568E-3</v>
      </c>
      <c r="M22" s="21">
        <f t="shared" si="4"/>
        <v>2.4357420521537398E-2</v>
      </c>
      <c r="N22" s="69">
        <f t="shared" si="5"/>
        <v>2799128</v>
      </c>
      <c r="O22" s="21">
        <v>16</v>
      </c>
      <c r="P22" s="22">
        <v>32910555</v>
      </c>
      <c r="Q22" s="22">
        <v>1028454.84375</v>
      </c>
      <c r="R22" s="22">
        <v>34769.59375</v>
      </c>
      <c r="S22" s="23">
        <v>8903296</v>
      </c>
      <c r="T22" s="23">
        <v>1827104</v>
      </c>
      <c r="U22" s="23">
        <v>972024</v>
      </c>
      <c r="V22" s="23">
        <v>6104040</v>
      </c>
      <c r="W22" s="24">
        <v>69.831643749999998</v>
      </c>
      <c r="X22" s="24">
        <v>72.240359374999997</v>
      </c>
      <c r="Y22" s="24">
        <v>34.627749999999999</v>
      </c>
      <c r="Z22" s="24">
        <v>41.769931249999999</v>
      </c>
      <c r="AA22" s="24">
        <v>40.774081250000002</v>
      </c>
      <c r="AB22" s="25">
        <v>4435</v>
      </c>
      <c r="AC22" s="25">
        <v>1127.45</v>
      </c>
      <c r="AD22" s="25">
        <v>6.1219999999999999</v>
      </c>
      <c r="AE22" s="25">
        <v>17.388000000000002</v>
      </c>
      <c r="AG22" s="20">
        <f t="shared" si="6"/>
        <v>13.932475</v>
      </c>
      <c r="AH22" s="21">
        <f t="shared" si="7"/>
        <v>3.5581329347074454E-2</v>
      </c>
      <c r="AI22" s="21">
        <f t="shared" si="8"/>
        <v>1.1221482676351088E-2</v>
      </c>
      <c r="AJ22" s="21">
        <f t="shared" si="9"/>
        <v>7.2908336879481568E-3</v>
      </c>
      <c r="AK22" s="21">
        <f t="shared" si="10"/>
        <v>2.4357420521537398E-2</v>
      </c>
      <c r="AL22" s="69">
        <f t="shared" si="11"/>
        <v>2812136</v>
      </c>
      <c r="AM22" s="21">
        <v>16</v>
      </c>
      <c r="AN22" s="22">
        <v>32910555</v>
      </c>
      <c r="AO22" s="22">
        <v>1028454.84375</v>
      </c>
      <c r="AP22" s="22">
        <v>34769.59375</v>
      </c>
      <c r="AQ22" s="23">
        <v>8916784</v>
      </c>
      <c r="AR22" s="23">
        <v>1827104</v>
      </c>
      <c r="AS22" s="23">
        <v>985032</v>
      </c>
      <c r="AT22" s="23">
        <v>6104040</v>
      </c>
      <c r="AU22" s="24">
        <v>69.831643999999997</v>
      </c>
      <c r="AV22" s="24">
        <v>72.240358999999998</v>
      </c>
      <c r="AW22" s="24">
        <v>34.627749999999999</v>
      </c>
      <c r="AX22" s="24">
        <v>41.769931</v>
      </c>
      <c r="AY22" s="24">
        <v>40.774081000000002</v>
      </c>
      <c r="AZ22" s="25">
        <v>4241.3599999999997</v>
      </c>
      <c r="BA22" s="25">
        <v>880.9</v>
      </c>
      <c r="BB22" s="25">
        <v>10.32</v>
      </c>
      <c r="BC22" s="25">
        <v>12.667999999999999</v>
      </c>
      <c r="BE22" s="26">
        <f t="shared" si="12"/>
        <v>0</v>
      </c>
      <c r="BF22" s="26">
        <f t="shared" si="13"/>
        <v>9.8325542188226756E-4</v>
      </c>
      <c r="BG22" s="26"/>
      <c r="BI22" s="71"/>
      <c r="BJ22" s="71"/>
      <c r="BK22" s="71"/>
      <c r="BL22" s="71"/>
      <c r="BM22" s="71"/>
      <c r="BO22" s="71"/>
      <c r="BP22" s="71"/>
      <c r="BQ22" s="71"/>
      <c r="BR22" s="71"/>
      <c r="BS22" s="71"/>
    </row>
    <row r="23" spans="1:71" outlineLevel="1" x14ac:dyDescent="0.2">
      <c r="A23" s="77"/>
      <c r="B23" s="77" t="s">
        <v>72</v>
      </c>
      <c r="C23" s="11" t="s">
        <v>232</v>
      </c>
      <c r="D23" s="77">
        <v>250602891</v>
      </c>
      <c r="E23" s="11">
        <v>10</v>
      </c>
      <c r="F23" s="11">
        <v>32</v>
      </c>
      <c r="G23" s="11">
        <v>50</v>
      </c>
      <c r="I23" s="12">
        <f t="shared" si="0"/>
        <v>24.248075</v>
      </c>
      <c r="J23" s="13">
        <f t="shared" si="1"/>
        <v>6.1925734128901171E-2</v>
      </c>
      <c r="K23" s="13">
        <f t="shared" si="2"/>
        <v>1.4824856908773651E-2</v>
      </c>
      <c r="L23" s="13">
        <f t="shared" si="3"/>
        <v>1.0946114743744118E-2</v>
      </c>
      <c r="M23" s="13">
        <f t="shared" si="4"/>
        <v>4.7100366451877845E-2</v>
      </c>
      <c r="N23" s="77">
        <f t="shared" si="5"/>
        <v>3715152</v>
      </c>
      <c r="O23" s="13">
        <v>16</v>
      </c>
      <c r="P23" s="14">
        <v>32954716</v>
      </c>
      <c r="Q23" s="14">
        <v>1029834.875</v>
      </c>
      <c r="R23" s="14">
        <v>36665.46875</v>
      </c>
      <c r="S23" s="15">
        <v>15518768</v>
      </c>
      <c r="T23" s="15">
        <v>2743128</v>
      </c>
      <c r="U23" s="15">
        <v>972024</v>
      </c>
      <c r="V23" s="15">
        <v>11803488</v>
      </c>
      <c r="W23" s="16">
        <v>70.837203125000002</v>
      </c>
      <c r="X23" s="16">
        <v>73.567968750000006</v>
      </c>
      <c r="Y23" s="16">
        <v>36.275915625000003</v>
      </c>
      <c r="Z23" s="16">
        <v>42.959853125000002</v>
      </c>
      <c r="AA23" s="16">
        <v>41.852284375000004</v>
      </c>
      <c r="AB23" s="17">
        <v>4453.72</v>
      </c>
      <c r="AC23" s="17">
        <v>1259.97</v>
      </c>
      <c r="AD23" s="17">
        <v>6.0830000000000002</v>
      </c>
      <c r="AE23" s="17">
        <v>17.928000000000001</v>
      </c>
      <c r="AG23" s="12">
        <f t="shared" si="6"/>
        <v>24.26915</v>
      </c>
      <c r="AH23" s="13">
        <f t="shared" si="7"/>
        <v>6.197955633321086E-2</v>
      </c>
      <c r="AI23" s="13">
        <f t="shared" si="8"/>
        <v>1.4876763732147049E-2</v>
      </c>
      <c r="AJ23" s="13">
        <f t="shared" si="9"/>
        <v>1.0946114743744118E-2</v>
      </c>
      <c r="AK23" s="13">
        <f t="shared" si="10"/>
        <v>4.7100366451877845E-2</v>
      </c>
      <c r="AL23" s="77">
        <f t="shared" si="11"/>
        <v>3728160</v>
      </c>
      <c r="AM23" s="13">
        <v>16</v>
      </c>
      <c r="AN23" s="14">
        <v>32954716</v>
      </c>
      <c r="AO23" s="14">
        <v>1029834.875</v>
      </c>
      <c r="AP23" s="14">
        <v>36665.46875</v>
      </c>
      <c r="AQ23" s="15">
        <v>15532256</v>
      </c>
      <c r="AR23" s="15">
        <v>2743128</v>
      </c>
      <c r="AS23" s="15">
        <v>985032</v>
      </c>
      <c r="AT23" s="15">
        <v>11803488</v>
      </c>
      <c r="AU23" s="16">
        <v>70.837203000000002</v>
      </c>
      <c r="AV23" s="16">
        <v>73.567969000000005</v>
      </c>
      <c r="AW23" s="16">
        <v>36.275916000000002</v>
      </c>
      <c r="AX23" s="16">
        <v>42.959853000000003</v>
      </c>
      <c r="AY23" s="16">
        <v>41.852283999999997</v>
      </c>
      <c r="AZ23" s="17">
        <v>5271.3</v>
      </c>
      <c r="BA23" s="17">
        <v>1560.03</v>
      </c>
      <c r="BB23" s="17">
        <v>13.823</v>
      </c>
      <c r="BC23" s="17">
        <v>19.733000000000001</v>
      </c>
      <c r="BE23" s="18">
        <f t="shared" si="12"/>
        <v>0</v>
      </c>
      <c r="BF23" s="18">
        <f t="shared" si="13"/>
        <v>6.2959356877972938E-4</v>
      </c>
      <c r="BG23" s="18"/>
      <c r="BI23" s="79"/>
      <c r="BJ23" s="79"/>
      <c r="BK23" s="79"/>
      <c r="BL23" s="79"/>
      <c r="BM23" s="79"/>
      <c r="BO23" s="79"/>
      <c r="BP23" s="79"/>
      <c r="BQ23" s="79"/>
      <c r="BR23" s="79"/>
      <c r="BS23" s="79"/>
    </row>
    <row r="24" spans="1:71" outlineLevel="1" x14ac:dyDescent="0.2">
      <c r="A24" s="37"/>
      <c r="B24" s="37" t="s">
        <v>72</v>
      </c>
      <c r="C24" s="38" t="s">
        <v>233</v>
      </c>
      <c r="D24" s="37">
        <v>250602891</v>
      </c>
      <c r="E24" s="38">
        <v>10</v>
      </c>
      <c r="F24" s="38">
        <v>32</v>
      </c>
      <c r="G24" s="38">
        <v>50</v>
      </c>
      <c r="I24" s="39">
        <f t="shared" si="0"/>
        <v>41.162550000000003</v>
      </c>
      <c r="J24" s="40">
        <f t="shared" si="1"/>
        <v>0.10512261807865576</v>
      </c>
      <c r="K24" s="40">
        <f t="shared" si="2"/>
        <v>2.4472790299933132E-2</v>
      </c>
      <c r="L24" s="40">
        <f t="shared" si="3"/>
        <v>1.6989460827888055E-2</v>
      </c>
      <c r="M24" s="40">
        <f t="shared" si="4"/>
        <v>8.0649317010472954E-2</v>
      </c>
      <c r="N24" s="37">
        <f t="shared" si="5"/>
        <v>6132952</v>
      </c>
      <c r="O24" s="40">
        <v>16</v>
      </c>
      <c r="P24" s="41">
        <v>31584915</v>
      </c>
      <c r="Q24" s="41">
        <v>987028.59375</v>
      </c>
      <c r="R24" s="41">
        <v>18072.71875</v>
      </c>
      <c r="S24" s="42">
        <v>26344032</v>
      </c>
      <c r="T24" s="42">
        <v>4257608</v>
      </c>
      <c r="U24" s="42">
        <v>1875344</v>
      </c>
      <c r="V24" s="42">
        <v>20210952</v>
      </c>
      <c r="W24" s="43">
        <v>71.893762499999994</v>
      </c>
      <c r="X24" s="43">
        <v>75.707471874999996</v>
      </c>
      <c r="Y24" s="43">
        <v>37.304571875000001</v>
      </c>
      <c r="Z24" s="43">
        <v>43.805143749999999</v>
      </c>
      <c r="AA24" s="43">
        <v>42.435971875</v>
      </c>
      <c r="AB24" s="44">
        <v>4474.9799999999996</v>
      </c>
      <c r="AC24" s="44">
        <v>1440.74</v>
      </c>
      <c r="AD24" s="44">
        <v>6.0570000000000004</v>
      </c>
      <c r="AE24" s="44">
        <v>18.917000000000002</v>
      </c>
      <c r="AG24" s="39">
        <f t="shared" si="6"/>
        <v>41.183624999999999</v>
      </c>
      <c r="AH24" s="40">
        <f t="shared" si="7"/>
        <v>0.10517644028296545</v>
      </c>
      <c r="AI24" s="40">
        <f t="shared" si="8"/>
        <v>2.452469712330653E-2</v>
      </c>
      <c r="AJ24" s="40">
        <f t="shared" si="9"/>
        <v>1.6989460827888055E-2</v>
      </c>
      <c r="AK24" s="40">
        <f t="shared" si="10"/>
        <v>8.0649317010472954E-2</v>
      </c>
      <c r="AL24" s="37">
        <f t="shared" si="11"/>
        <v>6145960</v>
      </c>
      <c r="AM24" s="40">
        <v>16</v>
      </c>
      <c r="AN24" s="41">
        <v>31584915</v>
      </c>
      <c r="AO24" s="41">
        <v>987028.59375</v>
      </c>
      <c r="AP24" s="41">
        <v>18072.71875</v>
      </c>
      <c r="AQ24" s="42">
        <v>26357520</v>
      </c>
      <c r="AR24" s="42">
        <v>4257608</v>
      </c>
      <c r="AS24" s="42">
        <v>1888352</v>
      </c>
      <c r="AT24" s="42">
        <v>20210952</v>
      </c>
      <c r="AU24" s="43">
        <v>71.893763000000007</v>
      </c>
      <c r="AV24" s="43">
        <v>75.707471999999996</v>
      </c>
      <c r="AW24" s="43">
        <v>37.304572</v>
      </c>
      <c r="AX24" s="43">
        <v>43.805143999999999</v>
      </c>
      <c r="AY24" s="43">
        <v>42.435972</v>
      </c>
      <c r="AZ24" s="44">
        <v>4151</v>
      </c>
      <c r="BA24" s="44">
        <v>1155.3</v>
      </c>
      <c r="BB24" s="44">
        <v>9.6379999999999999</v>
      </c>
      <c r="BC24" s="44">
        <v>14.680999999999999</v>
      </c>
      <c r="BE24" s="45">
        <f t="shared" si="12"/>
        <v>0</v>
      </c>
      <c r="BF24" s="45">
        <f t="shared" si="13"/>
        <v>3.7438887228127826E-4</v>
      </c>
      <c r="BG24" s="45"/>
      <c r="BI24" s="46"/>
      <c r="BJ24" s="46"/>
      <c r="BK24" s="46"/>
      <c r="BL24" s="46"/>
      <c r="BM24" s="46"/>
      <c r="BO24" s="46"/>
      <c r="BP24" s="46"/>
      <c r="BQ24" s="46"/>
      <c r="BR24" s="46"/>
      <c r="BS24" s="46"/>
    </row>
    <row r="25" spans="1:71" x14ac:dyDescent="0.2">
      <c r="A25" s="77" t="s">
        <v>234</v>
      </c>
      <c r="B25" s="77" t="s">
        <v>75</v>
      </c>
      <c r="C25" s="11" t="s">
        <v>229</v>
      </c>
      <c r="D25" s="77">
        <v>250294582</v>
      </c>
      <c r="E25" s="11">
        <v>10</v>
      </c>
      <c r="F25" s="11">
        <v>32</v>
      </c>
      <c r="G25" s="11">
        <v>30</v>
      </c>
      <c r="I25" s="12">
        <f t="shared" si="0"/>
        <v>4.7428800000000004</v>
      </c>
      <c r="J25" s="13">
        <f t="shared" si="1"/>
        <v>2.0212471079377979E-2</v>
      </c>
      <c r="K25" s="13">
        <f t="shared" si="2"/>
        <v>7.0655304875916168E-3</v>
      </c>
      <c r="L25" s="13">
        <f t="shared" si="3"/>
        <v>3.8269146393268712E-3</v>
      </c>
      <c r="M25" s="13">
        <f t="shared" si="4"/>
        <v>1.3146429194380244E-2</v>
      </c>
      <c r="N25" s="77">
        <f t="shared" si="5"/>
        <v>1768464</v>
      </c>
      <c r="O25" s="13">
        <v>16</v>
      </c>
      <c r="P25" s="14">
        <v>23048304</v>
      </c>
      <c r="Q25" s="14">
        <v>720259.5</v>
      </c>
      <c r="R25" s="14">
        <v>17692.46875</v>
      </c>
      <c r="S25" s="15">
        <v>5059072</v>
      </c>
      <c r="T25" s="15">
        <v>957856</v>
      </c>
      <c r="U25" s="15">
        <v>810608</v>
      </c>
      <c r="V25" s="15">
        <v>3290480</v>
      </c>
      <c r="W25" s="16">
        <v>66.198771875000006</v>
      </c>
      <c r="X25" s="16">
        <v>68.019659375000003</v>
      </c>
      <c r="Y25" s="16">
        <v>27.512987500000001</v>
      </c>
      <c r="Z25" s="16">
        <v>33.296790625</v>
      </c>
      <c r="AA25" s="16">
        <v>32.741287499999999</v>
      </c>
      <c r="AB25" s="17">
        <v>3422.51</v>
      </c>
      <c r="AC25" s="17">
        <v>1342.98</v>
      </c>
      <c r="AD25" s="17">
        <v>5.8520000000000003</v>
      </c>
      <c r="AE25" s="17">
        <v>25.003</v>
      </c>
      <c r="AG25" s="12">
        <f t="shared" si="6"/>
        <v>4.7519175000000002</v>
      </c>
      <c r="AH25" s="13">
        <f t="shared" si="7"/>
        <v>2.0250985696526183E-2</v>
      </c>
      <c r="AI25" s="13">
        <f t="shared" si="8"/>
        <v>7.1021273644668826E-3</v>
      </c>
      <c r="AJ25" s="13">
        <f t="shared" si="9"/>
        <v>3.8269146393268712E-3</v>
      </c>
      <c r="AK25" s="13">
        <f t="shared" si="10"/>
        <v>1.3146429194380244E-2</v>
      </c>
      <c r="AL25" s="77">
        <f t="shared" si="11"/>
        <v>1777624</v>
      </c>
      <c r="AM25" s="13">
        <v>16</v>
      </c>
      <c r="AN25" s="14">
        <v>23048304</v>
      </c>
      <c r="AO25" s="14">
        <v>720259.5</v>
      </c>
      <c r="AP25" s="14">
        <v>17692.46875</v>
      </c>
      <c r="AQ25" s="15">
        <v>5068712</v>
      </c>
      <c r="AR25" s="15">
        <v>957856</v>
      </c>
      <c r="AS25" s="15">
        <v>819768</v>
      </c>
      <c r="AT25" s="15">
        <v>3290480</v>
      </c>
      <c r="AU25" s="16">
        <v>66.198772000000005</v>
      </c>
      <c r="AV25" s="16">
        <v>68.019659000000004</v>
      </c>
      <c r="AW25" s="16">
        <v>27.512986999999999</v>
      </c>
      <c r="AX25" s="16">
        <v>33.296790999999999</v>
      </c>
      <c r="AY25" s="16">
        <v>32.741287</v>
      </c>
      <c r="AZ25" s="17">
        <v>3300.05</v>
      </c>
      <c r="BA25" s="17">
        <v>1020.37</v>
      </c>
      <c r="BB25" s="17">
        <v>9.1039999999999992</v>
      </c>
      <c r="BC25" s="17">
        <v>16.515999999999998</v>
      </c>
      <c r="BE25" s="18">
        <f t="shared" si="12"/>
        <v>0</v>
      </c>
      <c r="BF25" s="18">
        <f t="shared" si="13"/>
        <v>1.1423441329146411E-3</v>
      </c>
      <c r="BG25" s="18">
        <f t="array" ref="BG25">AVERAGE(AL25:AL29/AQ25:AQ29) - AVERAGE(N25:N29/S25:S29)</f>
        <v>5.6484981075641261E-4</v>
      </c>
      <c r="BI25" s="79">
        <f>IF( OR(ISBLANK(N25:N29),ISBLANK(AL25:AL29), ISBLANK(W25:W29),ISBLANK(AU25:AU29)), "·", bdRateExtend( N25:N29,W25:W29, AL25:AL29,AU25:AU29))</f>
        <v>3.6408332431701051E-3</v>
      </c>
      <c r="BJ25" s="79">
        <f>IF( OR(ISBLANK(N25:N29),ISBLANK(AL25:AL29), ISBLANK(X25:X29),ISBLANK(AV25:AV29)), "·", bdRateExtend( N25:N29,X25:X29, AL25:AL29,AV25:AV29))</f>
        <v>3.4500276620159642E-3</v>
      </c>
      <c r="BK25" s="79">
        <f>IF( OR(ISBLANK(V25:V29),ISBLANK(AT25:AT29), ISBLANK(Y25:Y29),ISBLANK(AW25:AW29)), "·", bdRateExtend( V25:V29,Y25:Y29, AT25:AT29,AW25:AW29))</f>
        <v>2.5755371391156245E-8</v>
      </c>
      <c r="BL25" s="79">
        <f>IF( OR(ISBLANK(V25:V29),ISBLANK(AT25:AT29), ISBLANK(Z25:Z29),ISBLANK(AX25:AX29)), "·", bdRateExtend( V25:V29,Z25:Z29, AT25:AT29,AX25:AX29))</f>
        <v>-9.9262474906325338E-9</v>
      </c>
      <c r="BM25" s="79">
        <f>IF( OR(ISBLANK(V25:V29),ISBLANK(AT25:AT29), ISBLANK(AA25:AA29),ISBLANK(AY25:AY29)), "·", bdRateExtend( V25:V29,AA25:AA29, AT25:AT29,AY25:AY29))</f>
        <v>-1.056598463167191E-7</v>
      </c>
      <c r="BO25" s="79">
        <f>IF( OR(ISBLANK(S25:S29),ISBLANK(AQ25:AQ29), ISBLANK(W25:W29),ISBLANK(AU25:AU29)), "·", bdRateExtend( S25:S29,W25:W29, AQ25:AQ29,AU25:AU29))</f>
        <v>8.7245448754114108E-4</v>
      </c>
      <c r="BP25" s="79">
        <f>IF( OR(ISBLANK(S25:S29),ISBLANK(AQ25:AQ29), ISBLANK(X25:X29),ISBLANK(AV25:AV29)), "·", bdRateExtend( S25:S29,X25:X29, AQ25:AQ29,AV25:AV29))</f>
        <v>7.8731196446679697E-4</v>
      </c>
      <c r="BQ25" s="79">
        <f>IF( OR(ISBLANK(S25:S29),ISBLANK(AQ25:AQ29), ISBLANK(Y25:Y29),ISBLANK(AW25:AW29)), "·", bdRateExtend( S25:S29,Y25:Y29, AQ25:AQ29,AW25:AW29))</f>
        <v>7.977794420173101E-4</v>
      </c>
      <c r="BR25" s="79">
        <f>IF( OR(ISBLANK(S25:S29),ISBLANK(AQ25:AQ29), ISBLANK(Z25:Z29),ISBLANK(AX25:AX29)), "·", bdRateExtend( S25:S29,Z25:Z29, AQ25:AQ29,AX25:AX29))</f>
        <v>6.4703930510234819E-4</v>
      </c>
      <c r="BS25" s="79">
        <f>IF( OR(ISBLANK(S25:S29),ISBLANK(AQ25:AQ29), ISBLANK(AA25:AA29),ISBLANK(AY25:AY29)), "·", bdRateExtend( S25:S29,AA25:AA29, AQ25:AQ29,AY25:AY29))</f>
        <v>6.8598239377926085E-4</v>
      </c>
    </row>
    <row r="26" spans="1:71" outlineLevel="1" x14ac:dyDescent="0.2">
      <c r="A26" s="69"/>
      <c r="B26" s="69" t="s">
        <v>75</v>
      </c>
      <c r="C26" s="19" t="s">
        <v>230</v>
      </c>
      <c r="D26" s="69">
        <v>250294582</v>
      </c>
      <c r="E26" s="19">
        <v>10</v>
      </c>
      <c r="F26" s="19">
        <v>32</v>
      </c>
      <c r="G26" s="19">
        <v>30</v>
      </c>
      <c r="I26" s="20">
        <f t="shared" si="0"/>
        <v>8.1531749999999992</v>
      </c>
      <c r="J26" s="21">
        <f t="shared" si="1"/>
        <v>3.4745937888499723E-2</v>
      </c>
      <c r="K26" s="21">
        <f t="shared" si="2"/>
        <v>8.5557425290172674E-3</v>
      </c>
      <c r="L26" s="21">
        <f t="shared" si="3"/>
        <v>5.3171266807525222E-3</v>
      </c>
      <c r="M26" s="21">
        <f t="shared" si="4"/>
        <v>2.6189683962076334E-2</v>
      </c>
      <c r="N26" s="69">
        <f t="shared" si="5"/>
        <v>2141456</v>
      </c>
      <c r="O26" s="21">
        <v>16</v>
      </c>
      <c r="P26" s="22">
        <v>24960947</v>
      </c>
      <c r="Q26" s="22">
        <v>780029.59375</v>
      </c>
      <c r="R26" s="22">
        <v>23053.84375</v>
      </c>
      <c r="S26" s="23">
        <v>8696720</v>
      </c>
      <c r="T26" s="23">
        <v>1330848</v>
      </c>
      <c r="U26" s="23">
        <v>810608</v>
      </c>
      <c r="V26" s="23">
        <v>6555136</v>
      </c>
      <c r="W26" s="24">
        <v>68.025103125000001</v>
      </c>
      <c r="X26" s="24">
        <v>69.987703124999996</v>
      </c>
      <c r="Y26" s="24">
        <v>29.930740624999999</v>
      </c>
      <c r="Z26" s="24">
        <v>34.477449999999997</v>
      </c>
      <c r="AA26" s="24">
        <v>34.066643749999997</v>
      </c>
      <c r="AB26" s="25">
        <v>3349.03</v>
      </c>
      <c r="AC26" s="25">
        <v>1396.33</v>
      </c>
      <c r="AD26" s="25">
        <v>6.298</v>
      </c>
      <c r="AE26" s="25">
        <v>26.388000000000002</v>
      </c>
      <c r="AG26" s="20">
        <f t="shared" si="6"/>
        <v>8.1622125000000008</v>
      </c>
      <c r="AH26" s="21">
        <f t="shared" si="7"/>
        <v>3.4784452505647927E-2</v>
      </c>
      <c r="AI26" s="21">
        <f t="shared" si="8"/>
        <v>8.592339405892534E-3</v>
      </c>
      <c r="AJ26" s="21">
        <f t="shared" si="9"/>
        <v>5.3171266807525222E-3</v>
      </c>
      <c r="AK26" s="21">
        <f t="shared" si="10"/>
        <v>2.6189683962076334E-2</v>
      </c>
      <c r="AL26" s="69">
        <f t="shared" si="11"/>
        <v>2150616</v>
      </c>
      <c r="AM26" s="21">
        <v>16</v>
      </c>
      <c r="AN26" s="22">
        <v>24960947</v>
      </c>
      <c r="AO26" s="22">
        <v>780029.59375</v>
      </c>
      <c r="AP26" s="22">
        <v>23053.84375</v>
      </c>
      <c r="AQ26" s="23">
        <v>8706360</v>
      </c>
      <c r="AR26" s="23">
        <v>1330848</v>
      </c>
      <c r="AS26" s="23">
        <v>819768</v>
      </c>
      <c r="AT26" s="23">
        <v>6555136</v>
      </c>
      <c r="AU26" s="24">
        <v>68.025103000000001</v>
      </c>
      <c r="AV26" s="24">
        <v>69.987702999999996</v>
      </c>
      <c r="AW26" s="24">
        <v>29.930741000000001</v>
      </c>
      <c r="AX26" s="24">
        <v>34.477449999999997</v>
      </c>
      <c r="AY26" s="24">
        <v>34.066643999999997</v>
      </c>
      <c r="AZ26" s="25">
        <v>3554.29</v>
      </c>
      <c r="BA26" s="25">
        <v>1111.08</v>
      </c>
      <c r="BB26" s="25">
        <v>9.68</v>
      </c>
      <c r="BC26" s="25">
        <v>17.327999999999999</v>
      </c>
      <c r="BE26" s="26">
        <f t="shared" si="12"/>
        <v>0</v>
      </c>
      <c r="BF26" s="26">
        <f t="shared" si="13"/>
        <v>7.7946160875841386E-4</v>
      </c>
      <c r="BG26" s="26"/>
      <c r="BI26" s="71"/>
      <c r="BJ26" s="71"/>
      <c r="BK26" s="71"/>
      <c r="BL26" s="71"/>
      <c r="BM26" s="71"/>
      <c r="BO26" s="71"/>
      <c r="BP26" s="71"/>
      <c r="BQ26" s="71"/>
      <c r="BR26" s="71"/>
      <c r="BS26" s="71"/>
    </row>
    <row r="27" spans="1:71" outlineLevel="1" x14ac:dyDescent="0.2">
      <c r="A27" s="77"/>
      <c r="B27" s="77" t="s">
        <v>75</v>
      </c>
      <c r="C27" s="11" t="s">
        <v>231</v>
      </c>
      <c r="D27" s="77">
        <v>250294582</v>
      </c>
      <c r="E27" s="11">
        <v>10</v>
      </c>
      <c r="F27" s="11">
        <v>32</v>
      </c>
      <c r="G27" s="11">
        <v>30</v>
      </c>
      <c r="I27" s="12">
        <f t="shared" si="0"/>
        <v>14.732317500000001</v>
      </c>
      <c r="J27" s="13">
        <f t="shared" si="1"/>
        <v>6.2783907963297428E-2</v>
      </c>
      <c r="K27" s="13">
        <f t="shared" si="2"/>
        <v>1.0707830663310164E-2</v>
      </c>
      <c r="L27" s="13">
        <f t="shared" si="3"/>
        <v>7.4692148150454175E-3</v>
      </c>
      <c r="M27" s="13">
        <f t="shared" si="4"/>
        <v>5.2075565902581146E-2</v>
      </c>
      <c r="N27" s="77">
        <f t="shared" si="5"/>
        <v>2680112</v>
      </c>
      <c r="O27" s="13">
        <v>16</v>
      </c>
      <c r="P27" s="14">
        <v>25333628</v>
      </c>
      <c r="Q27" s="14">
        <v>791675.875</v>
      </c>
      <c r="R27" s="14">
        <v>24565.9375</v>
      </c>
      <c r="S27" s="15">
        <v>15714472</v>
      </c>
      <c r="T27" s="15">
        <v>1869504</v>
      </c>
      <c r="U27" s="15">
        <v>810608</v>
      </c>
      <c r="V27" s="15">
        <v>13034232</v>
      </c>
      <c r="W27" s="16">
        <v>69.401081250000004</v>
      </c>
      <c r="X27" s="16">
        <v>71.728734375000002</v>
      </c>
      <c r="Y27" s="16">
        <v>32.427734375</v>
      </c>
      <c r="Z27" s="16">
        <v>35.742928124999999</v>
      </c>
      <c r="AA27" s="16">
        <v>35.408390625000003</v>
      </c>
      <c r="AB27" s="17">
        <v>3394.63</v>
      </c>
      <c r="AC27" s="17">
        <v>1523.46</v>
      </c>
      <c r="AD27" s="17">
        <v>5.944</v>
      </c>
      <c r="AE27" s="17">
        <v>26.088000000000001</v>
      </c>
      <c r="AG27" s="12">
        <f t="shared" si="6"/>
        <v>14.741355</v>
      </c>
      <c r="AH27" s="13">
        <f t="shared" si="7"/>
        <v>6.2822422580445625E-2</v>
      </c>
      <c r="AI27" s="13">
        <f t="shared" si="8"/>
        <v>1.0744427540185428E-2</v>
      </c>
      <c r="AJ27" s="13">
        <f t="shared" si="9"/>
        <v>7.4692148150454175E-3</v>
      </c>
      <c r="AK27" s="13">
        <f t="shared" si="10"/>
        <v>5.2075565902581146E-2</v>
      </c>
      <c r="AL27" s="77">
        <f t="shared" si="11"/>
        <v>2689272</v>
      </c>
      <c r="AM27" s="13">
        <v>16</v>
      </c>
      <c r="AN27" s="14">
        <v>25333628</v>
      </c>
      <c r="AO27" s="14">
        <v>791675.875</v>
      </c>
      <c r="AP27" s="14">
        <v>24565.9375</v>
      </c>
      <c r="AQ27" s="15">
        <v>15724112</v>
      </c>
      <c r="AR27" s="15">
        <v>1869504</v>
      </c>
      <c r="AS27" s="15">
        <v>819768</v>
      </c>
      <c r="AT27" s="15">
        <v>13034232</v>
      </c>
      <c r="AU27" s="16">
        <v>69.401081000000005</v>
      </c>
      <c r="AV27" s="16">
        <v>71.728734000000003</v>
      </c>
      <c r="AW27" s="16">
        <v>32.427734000000001</v>
      </c>
      <c r="AX27" s="16">
        <v>35.742927999999999</v>
      </c>
      <c r="AY27" s="16">
        <v>35.408391000000002</v>
      </c>
      <c r="AZ27" s="17">
        <v>3367.75</v>
      </c>
      <c r="BA27" s="17">
        <v>1152.3599999999999</v>
      </c>
      <c r="BB27" s="17">
        <v>9.0180000000000007</v>
      </c>
      <c r="BC27" s="17">
        <v>17.356000000000002</v>
      </c>
      <c r="BE27" s="18">
        <f t="shared" si="12"/>
        <v>0</v>
      </c>
      <c r="BF27" s="18">
        <f t="shared" si="13"/>
        <v>4.7798518615352337E-4</v>
      </c>
      <c r="BG27" s="18"/>
      <c r="BI27" s="79"/>
      <c r="BJ27" s="79"/>
      <c r="BK27" s="79"/>
      <c r="BL27" s="79"/>
      <c r="BM27" s="79"/>
      <c r="BO27" s="79"/>
      <c r="BP27" s="79"/>
      <c r="BQ27" s="79"/>
      <c r="BR27" s="79"/>
      <c r="BS27" s="79"/>
    </row>
    <row r="28" spans="1:71" outlineLevel="1" x14ac:dyDescent="0.2">
      <c r="A28" s="69"/>
      <c r="B28" s="69" t="s">
        <v>75</v>
      </c>
      <c r="C28" s="19" t="s">
        <v>232</v>
      </c>
      <c r="D28" s="69">
        <v>250294582</v>
      </c>
      <c r="E28" s="19">
        <v>10</v>
      </c>
      <c r="F28" s="19">
        <v>32</v>
      </c>
      <c r="G28" s="19">
        <v>30</v>
      </c>
      <c r="I28" s="20">
        <f t="shared" si="0"/>
        <v>27.908069999999999</v>
      </c>
      <c r="J28" s="21">
        <f t="shared" si="1"/>
        <v>0.11893428839782078</v>
      </c>
      <c r="K28" s="21">
        <f t="shared" si="2"/>
        <v>1.4244942785057968E-2</v>
      </c>
      <c r="L28" s="21">
        <f t="shared" si="3"/>
        <v>1.1006326936793223E-2</v>
      </c>
      <c r="M28" s="21">
        <f t="shared" si="4"/>
        <v>0.10468883421535669</v>
      </c>
      <c r="N28" s="69">
        <f t="shared" si="5"/>
        <v>3565432</v>
      </c>
      <c r="O28" s="21">
        <v>16</v>
      </c>
      <c r="P28" s="22">
        <v>26296196</v>
      </c>
      <c r="Q28" s="22">
        <v>821756.125</v>
      </c>
      <c r="R28" s="22">
        <v>28034.46875</v>
      </c>
      <c r="S28" s="23">
        <v>29768608</v>
      </c>
      <c r="T28" s="23">
        <v>2754824</v>
      </c>
      <c r="U28" s="23">
        <v>810608</v>
      </c>
      <c r="V28" s="23">
        <v>26203048</v>
      </c>
      <c r="W28" s="24">
        <v>70.442003124999999</v>
      </c>
      <c r="X28" s="24">
        <v>73.004021875000007</v>
      </c>
      <c r="Y28" s="24">
        <v>34.886806249999999</v>
      </c>
      <c r="Z28" s="24">
        <v>37.567675000000001</v>
      </c>
      <c r="AA28" s="24">
        <v>37.177562500000001</v>
      </c>
      <c r="AB28" s="25">
        <v>3353.32</v>
      </c>
      <c r="AC28" s="25">
        <v>1723.12</v>
      </c>
      <c r="AD28" s="25">
        <v>5.9139999999999997</v>
      </c>
      <c r="AE28" s="25">
        <v>27.417000000000002</v>
      </c>
      <c r="AG28" s="20">
        <f t="shared" si="6"/>
        <v>27.9171075</v>
      </c>
      <c r="AH28" s="21">
        <f t="shared" si="7"/>
        <v>0.11897280301496897</v>
      </c>
      <c r="AI28" s="21">
        <f t="shared" si="8"/>
        <v>1.4281539661933233E-2</v>
      </c>
      <c r="AJ28" s="21">
        <f t="shared" si="9"/>
        <v>1.1006326936793223E-2</v>
      </c>
      <c r="AK28" s="21">
        <f t="shared" si="10"/>
        <v>0.10468883421535669</v>
      </c>
      <c r="AL28" s="69">
        <f t="shared" si="11"/>
        <v>3574592</v>
      </c>
      <c r="AM28" s="21">
        <v>16</v>
      </c>
      <c r="AN28" s="22">
        <v>26296196</v>
      </c>
      <c r="AO28" s="22">
        <v>821756.125</v>
      </c>
      <c r="AP28" s="22">
        <v>28034.46875</v>
      </c>
      <c r="AQ28" s="23">
        <v>29778248</v>
      </c>
      <c r="AR28" s="23">
        <v>2754824</v>
      </c>
      <c r="AS28" s="23">
        <v>819768</v>
      </c>
      <c r="AT28" s="23">
        <v>26203048</v>
      </c>
      <c r="AU28" s="24">
        <v>70.442003</v>
      </c>
      <c r="AV28" s="24">
        <v>73.004022000000006</v>
      </c>
      <c r="AW28" s="24">
        <v>34.886806</v>
      </c>
      <c r="AX28" s="24">
        <v>37.567675000000001</v>
      </c>
      <c r="AY28" s="24">
        <v>37.177562999999999</v>
      </c>
      <c r="AZ28" s="25">
        <v>4424.6000000000004</v>
      </c>
      <c r="BA28" s="25">
        <v>2110.6799999999998</v>
      </c>
      <c r="BB28" s="25">
        <v>14.323</v>
      </c>
      <c r="BC28" s="25">
        <v>30.652999999999999</v>
      </c>
      <c r="BE28" s="26">
        <f t="shared" si="12"/>
        <v>0</v>
      </c>
      <c r="BF28" s="26">
        <f t="shared" si="13"/>
        <v>2.6883389385810863E-4</v>
      </c>
      <c r="BG28" s="26"/>
      <c r="BI28" s="71"/>
      <c r="BJ28" s="71"/>
      <c r="BK28" s="71"/>
      <c r="BL28" s="71"/>
      <c r="BM28" s="71"/>
      <c r="BO28" s="71"/>
      <c r="BP28" s="71"/>
      <c r="BQ28" s="71"/>
      <c r="BR28" s="71"/>
      <c r="BS28" s="71"/>
    </row>
    <row r="29" spans="1:71" outlineLevel="1" x14ac:dyDescent="0.2">
      <c r="A29" s="27"/>
      <c r="B29" s="27" t="s">
        <v>75</v>
      </c>
      <c r="C29" s="28" t="s">
        <v>233</v>
      </c>
      <c r="D29" s="27">
        <v>250294582</v>
      </c>
      <c r="E29" s="28">
        <v>10</v>
      </c>
      <c r="F29" s="28">
        <v>32</v>
      </c>
      <c r="G29" s="28">
        <v>30</v>
      </c>
      <c r="I29" s="29">
        <f t="shared" si="0"/>
        <v>48.777720000000002</v>
      </c>
      <c r="J29" s="30">
        <f t="shared" si="1"/>
        <v>0.20787332903594374</v>
      </c>
      <c r="K29" s="30">
        <f t="shared" si="2"/>
        <v>2.288845389390011E-2</v>
      </c>
      <c r="L29" s="30">
        <f t="shared" si="3"/>
        <v>1.6833252906768872E-2</v>
      </c>
      <c r="M29" s="30">
        <f t="shared" si="4"/>
        <v>0.1849843637446375</v>
      </c>
      <c r="N29" s="27">
        <f t="shared" si="5"/>
        <v>5728856</v>
      </c>
      <c r="O29" s="30">
        <v>16</v>
      </c>
      <c r="P29" s="31">
        <v>25144011</v>
      </c>
      <c r="Q29" s="31">
        <v>785750.34375</v>
      </c>
      <c r="R29" s="31">
        <v>12609.28125</v>
      </c>
      <c r="S29" s="32">
        <v>52029568</v>
      </c>
      <c r="T29" s="32">
        <v>4213272</v>
      </c>
      <c r="U29" s="32">
        <v>1515584</v>
      </c>
      <c r="V29" s="32">
        <v>46300584</v>
      </c>
      <c r="W29" s="33">
        <v>71.520856249999994</v>
      </c>
      <c r="X29" s="33">
        <v>74.912312499999999</v>
      </c>
      <c r="Y29" s="33">
        <v>36.559071875000001</v>
      </c>
      <c r="Z29" s="33">
        <v>39.649643750000003</v>
      </c>
      <c r="AA29" s="33">
        <v>39.047978125</v>
      </c>
      <c r="AB29" s="34">
        <v>3444.81</v>
      </c>
      <c r="AC29" s="34">
        <v>1986.96</v>
      </c>
      <c r="AD29" s="34">
        <v>5.7590000000000003</v>
      </c>
      <c r="AE29" s="34">
        <v>27.818000000000001</v>
      </c>
      <c r="AG29" s="29">
        <f t="shared" si="6"/>
        <v>48.7867575</v>
      </c>
      <c r="AH29" s="30">
        <f t="shared" si="7"/>
        <v>0.20791184365309193</v>
      </c>
      <c r="AI29" s="30">
        <f t="shared" si="8"/>
        <v>2.2925050770775373E-2</v>
      </c>
      <c r="AJ29" s="30">
        <f t="shared" si="9"/>
        <v>1.6833252906768872E-2</v>
      </c>
      <c r="AK29" s="30">
        <f t="shared" si="10"/>
        <v>0.1849843637446375</v>
      </c>
      <c r="AL29" s="27">
        <f t="shared" si="11"/>
        <v>5738016</v>
      </c>
      <c r="AM29" s="30">
        <v>16</v>
      </c>
      <c r="AN29" s="31">
        <v>25144011</v>
      </c>
      <c r="AO29" s="31">
        <v>785750.34375</v>
      </c>
      <c r="AP29" s="31">
        <v>12609.28125</v>
      </c>
      <c r="AQ29" s="32">
        <v>52039208</v>
      </c>
      <c r="AR29" s="32">
        <v>4213272</v>
      </c>
      <c r="AS29" s="32">
        <v>1524744</v>
      </c>
      <c r="AT29" s="32">
        <v>46300584</v>
      </c>
      <c r="AU29" s="33">
        <v>71.520855999999995</v>
      </c>
      <c r="AV29" s="33">
        <v>74.912312</v>
      </c>
      <c r="AW29" s="33">
        <v>36.559072</v>
      </c>
      <c r="AX29" s="33">
        <v>39.649644000000002</v>
      </c>
      <c r="AY29" s="33">
        <v>39.047978000000001</v>
      </c>
      <c r="AZ29" s="34">
        <v>4974.63</v>
      </c>
      <c r="BA29" s="34">
        <v>2739.57</v>
      </c>
      <c r="BB29" s="34">
        <v>14.302</v>
      </c>
      <c r="BC29" s="34">
        <v>35.741</v>
      </c>
      <c r="BE29" s="35">
        <f t="shared" si="12"/>
        <v>0</v>
      </c>
      <c r="BF29" s="35">
        <f t="shared" si="13"/>
        <v>1.5562423209719567E-4</v>
      </c>
      <c r="BG29" s="35"/>
      <c r="BI29" s="36"/>
      <c r="BJ29" s="36"/>
      <c r="BK29" s="36"/>
      <c r="BL29" s="36"/>
      <c r="BM29" s="36"/>
      <c r="BO29" s="36"/>
      <c r="BP29" s="36"/>
      <c r="BQ29" s="36"/>
      <c r="BR29" s="36"/>
      <c r="BS29" s="36"/>
    </row>
    <row r="30" spans="1:71" ht="16" x14ac:dyDescent="0.2">
      <c r="B30" s="47" t="s">
        <v>16</v>
      </c>
      <c r="J30" s="48">
        <f>AVERAGE(J5:J24)</f>
        <v>4.7389534091445813E-2</v>
      </c>
      <c r="K30" s="48">
        <f>AVERAGE(K5:K24)</f>
        <v>1.3650312880773563E-2</v>
      </c>
      <c r="L30" s="48">
        <f>AVERAGE(L5:L24)</f>
        <v>9.2839619564819113E-3</v>
      </c>
      <c r="M30" s="48">
        <f>AVERAGE(M5:M24)</f>
        <v>3.3738713242865488E-2</v>
      </c>
      <c r="AH30" s="48">
        <f>AVERAGE(AH5:AH24)</f>
        <v>4.7434819527674886E-2</v>
      </c>
      <c r="AI30" s="48">
        <f>AVERAGE(AI5:AI24)</f>
        <v>1.3693693437727259E-2</v>
      </c>
      <c r="AJ30" s="48">
        <f>AVERAGE(AJ5:AJ24)</f>
        <v>9.2839619564819113E-3</v>
      </c>
      <c r="AK30" s="48">
        <f>AVERAGE(AK5:AK24)</f>
        <v>3.3738713242865488E-2</v>
      </c>
      <c r="BG30" s="103">
        <f>AVERAGE(BG5:BG24)</f>
        <v>7.9520834287724607E-4</v>
      </c>
      <c r="BI30" s="98">
        <f>AVERAGE(BI5:BI24)</f>
        <v>3.8855868312621111E-3</v>
      </c>
      <c r="BJ30" s="98">
        <f>AVERAGE(BJ5:BJ24)</f>
        <v>3.6711686127538501E-3</v>
      </c>
      <c r="BK30" s="98">
        <f>AVERAGE(BK5:BK24)</f>
        <v>-1.1342435379813054E-8</v>
      </c>
      <c r="BL30" s="98">
        <f>AVERAGE(BL5:BL24)</f>
        <v>1.0192978128209518E-8</v>
      </c>
      <c r="BM30" s="98">
        <f>AVERAGE(BM5:BM24)</f>
        <v>-2.0311054449440036E-8</v>
      </c>
      <c r="BO30" s="98">
        <f>AVERAGE(BO5:BO24)</f>
        <v>1.6178962953845022E-3</v>
      </c>
      <c r="BP30" s="98">
        <f>AVERAGE(BP5:BP24)</f>
        <v>1.4741112253416344E-3</v>
      </c>
      <c r="BQ30" s="98">
        <f>AVERAGE(BQ5:BQ24)</f>
        <v>1.4882891433506962E-3</v>
      </c>
      <c r="BR30" s="98">
        <f>AVERAGE(BR5:BR24)</f>
        <v>1.3742009206875183E-3</v>
      </c>
      <c r="BS30" s="98">
        <f>AVERAGE(BS5:BS24)</f>
        <v>1.4550388513474011E-3</v>
      </c>
    </row>
    <row r="31" spans="1:71" ht="16" x14ac:dyDescent="0.2">
      <c r="B31" s="47" t="s">
        <v>17</v>
      </c>
      <c r="J31" s="48">
        <f>AVERAGE(J25:J29)</f>
        <v>8.8909986872987928E-2</v>
      </c>
      <c r="K31" s="48">
        <f>AVERAGE(K25:K29)</f>
        <v>1.2692500071775425E-2</v>
      </c>
      <c r="L31" s="48">
        <f>AVERAGE(L25:L29)</f>
        <v>8.8905671957373814E-3</v>
      </c>
      <c r="M31" s="48">
        <f>AVERAGE(M25:M29)</f>
        <v>7.6216975403806383E-2</v>
      </c>
      <c r="AH31" s="48">
        <f>AVERAGE(AH25:AH29)</f>
        <v>8.8948501490136139E-2</v>
      </c>
      <c r="AI31" s="48">
        <f>AVERAGE(AI25:AI29)</f>
        <v>1.272909694865069E-2</v>
      </c>
      <c r="AJ31" s="48">
        <f>AVERAGE(AJ25:AJ29)</f>
        <v>8.8905671957373814E-3</v>
      </c>
      <c r="AK31" s="48">
        <f>AVERAGE(AK25:AK29)</f>
        <v>7.6216975403806383E-2</v>
      </c>
      <c r="BG31" s="103">
        <f>AVERAGE(BG25:BG29)</f>
        <v>5.6484981075641261E-4</v>
      </c>
      <c r="BI31" s="98">
        <f>AVERAGE(BI25:BI29)</f>
        <v>3.6408332431701051E-3</v>
      </c>
      <c r="BJ31" s="98">
        <f>AVERAGE(BJ25:BJ29)</f>
        <v>3.4500276620159642E-3</v>
      </c>
      <c r="BK31" s="98">
        <f>AVERAGE(BK25:BK29)</f>
        <v>2.5755371391156245E-8</v>
      </c>
      <c r="BL31" s="98">
        <f>AVERAGE(BL25:BL29)</f>
        <v>-9.9262474906325338E-9</v>
      </c>
      <c r="BM31" s="98">
        <f>AVERAGE(BM25:BM29)</f>
        <v>-1.056598463167191E-7</v>
      </c>
      <c r="BO31" s="98">
        <f>AVERAGE(BO25:BO29)</f>
        <v>8.7245448754114108E-4</v>
      </c>
      <c r="BP31" s="98">
        <f>AVERAGE(BP25:BP29)</f>
        <v>7.8731196446679697E-4</v>
      </c>
      <c r="BQ31" s="98">
        <f>AVERAGE(BQ25:BQ29)</f>
        <v>7.977794420173101E-4</v>
      </c>
      <c r="BR31" s="98">
        <f>AVERAGE(BR25:BR29)</f>
        <v>6.4703930510234819E-4</v>
      </c>
      <c r="BS31" s="98">
        <f>AVERAGE(BS25:BS29)</f>
        <v>6.8598239377926085E-4</v>
      </c>
    </row>
    <row r="32" spans="1:71" ht="16" x14ac:dyDescent="0.2">
      <c r="B32" s="47" t="s">
        <v>18</v>
      </c>
      <c r="J32" s="48">
        <f>AVERAGE(J5:J29)</f>
        <v>5.5693624647754243E-2</v>
      </c>
      <c r="K32" s="48">
        <f>AVERAGE(K5:K29)</f>
        <v>1.3458750318973933E-2</v>
      </c>
      <c r="L32" s="48">
        <f>AVERAGE(L5:L29)</f>
        <v>9.205283004333006E-3</v>
      </c>
      <c r="M32" s="48">
        <f>AVERAGE(M5:M29)</f>
        <v>4.2234365675053669E-2</v>
      </c>
      <c r="AH32" s="48">
        <f>AVERAGE(AH5:AH29)</f>
        <v>5.5737555920167138E-2</v>
      </c>
      <c r="AI32" s="48">
        <f>AVERAGE(AI5:AI29)</f>
        <v>1.3500774139911947E-2</v>
      </c>
      <c r="AJ32" s="48">
        <f>AVERAGE(AJ5:AJ29)</f>
        <v>9.205283004333006E-3</v>
      </c>
      <c r="AK32" s="48">
        <f>AVERAGE(AK5:AK29)</f>
        <v>4.2234365675053669E-2</v>
      </c>
      <c r="BG32" s="103">
        <f>AVERAGE(BG5:BG29)</f>
        <v>7.4913663645307933E-4</v>
      </c>
      <c r="BI32" s="98">
        <f>AVERAGE(BI5:BI29)</f>
        <v>3.8366361136437099E-3</v>
      </c>
      <c r="BJ32" s="98">
        <f>AVERAGE(BJ5:BJ29)</f>
        <v>3.6269404226062728E-3</v>
      </c>
      <c r="BK32" s="98">
        <f>AVERAGE(BK5:BK29)</f>
        <v>-3.9228740256191941E-9</v>
      </c>
      <c r="BL32" s="98">
        <f>AVERAGE(BL5:BL29)</f>
        <v>6.1691330044411078E-9</v>
      </c>
      <c r="BM32" s="98">
        <f>AVERAGE(BM5:BM29)</f>
        <v>-3.7380812822895845E-8</v>
      </c>
      <c r="BO32" s="98">
        <f>AVERAGE(BO5:BO29)</f>
        <v>1.4688079338158299E-3</v>
      </c>
      <c r="BP32" s="98">
        <f>AVERAGE(BP5:BP29)</f>
        <v>1.336751373166667E-3</v>
      </c>
      <c r="BQ32" s="98">
        <f>AVERAGE(BQ5:BQ29)</f>
        <v>1.3501872030840189E-3</v>
      </c>
      <c r="BR32" s="98">
        <f>AVERAGE(BR5:BR29)</f>
        <v>1.2287685975704843E-3</v>
      </c>
      <c r="BS32" s="98">
        <f>AVERAGE(BS5:BS29)</f>
        <v>1.3012275598337729E-3</v>
      </c>
    </row>
    <row r="33" spans="1:55" ht="16" hidden="1" outlineLevel="2" x14ac:dyDescent="0.2">
      <c r="A33" s="47" t="s">
        <v>235</v>
      </c>
      <c r="B33" s="47" t="s">
        <v>236</v>
      </c>
      <c r="AB33" s="49">
        <f>SUM(AB5:AB24,AB25:AB29)</f>
        <v>94065.78</v>
      </c>
      <c r="AC33" s="49">
        <f>SUM(AC5:AC24,AC25:AC29)</f>
        <v>30904.560000000001</v>
      </c>
      <c r="AD33" s="49">
        <f>SUM(AD5:AD24,AD25:AD29)</f>
        <v>145.80999999999995</v>
      </c>
      <c r="AE33" s="49">
        <f>SUM(AE5:AE24,AE25:AE29)</f>
        <v>495.50099999999998</v>
      </c>
      <c r="AZ33" s="49">
        <f>SUM(AZ5:AZ24,AZ25:AZ29)</f>
        <v>100579.82</v>
      </c>
      <c r="BA33" s="49">
        <f>SUM(BA5:BA24,BA25:BA29)</f>
        <v>29032.585999999996</v>
      </c>
      <c r="BB33" s="49">
        <f>SUM(BB5:BB24,BB25:BB29)</f>
        <v>271.69700000000006</v>
      </c>
      <c r="BC33" s="49">
        <f>SUM(BC5:BC24,BC25:BC29)</f>
        <v>420.69300000000004</v>
      </c>
    </row>
    <row r="34" spans="1:55" ht="16" hidden="1" outlineLevel="2" x14ac:dyDescent="0.2">
      <c r="B34" s="47" t="s">
        <v>237</v>
      </c>
      <c r="AZ34" s="103">
        <f>AZ33/AB33</f>
        <v>1.0692498377199446</v>
      </c>
      <c r="BA34" s="103">
        <f>BA33/AC33</f>
        <v>0.93942725604247379</v>
      </c>
      <c r="BB34" s="103">
        <f>BB33/AD33</f>
        <v>1.863363280982101</v>
      </c>
      <c r="BC34" s="103">
        <f>BC33/AE33</f>
        <v>0.84902553173454753</v>
      </c>
    </row>
    <row r="35" spans="1:55" ht="16" hidden="1" outlineLevel="2" x14ac:dyDescent="0.2">
      <c r="B35" s="47" t="s">
        <v>238</v>
      </c>
      <c r="AB35" s="49">
        <f>GEOMEAN(AB5:AB24,AB25:AB29)</f>
        <v>3734.9154276026402</v>
      </c>
      <c r="AC35" s="49">
        <f>GEOMEAN(AC5:AC24,AC25:AC29)</f>
        <v>1203.6150072057255</v>
      </c>
      <c r="AD35" s="49">
        <f>GEOMEAN(AD5:AD24,AD25:AD29)</f>
        <v>5.7621235300993945</v>
      </c>
      <c r="AE35" s="49">
        <f>GEOMEAN(AE5:AE24,AE25:AE29)</f>
        <v>19.472113281858448</v>
      </c>
      <c r="AZ35" s="49">
        <f>GEOMEAN(AZ5:AZ24,AZ25:AZ29)</f>
        <v>3987.7065482824578</v>
      </c>
      <c r="BA35" s="49">
        <f>GEOMEAN(BA5:BA24,BA25:BA29)</f>
        <v>1097.8573705190688</v>
      </c>
      <c r="BB35" s="49">
        <f>GEOMEAN(BB5:BB24,BB25:BB29)</f>
        <v>10.664146065770556</v>
      </c>
      <c r="BC35" s="49">
        <f>GEOMEAN(BC5:BC24,BC25:BC29)</f>
        <v>16.102691630111909</v>
      </c>
    </row>
    <row r="36" spans="1:55" ht="16" outlineLevel="2" collapsed="1" x14ac:dyDescent="0.2">
      <c r="B36" s="47" t="s">
        <v>239</v>
      </c>
      <c r="AZ36" s="103">
        <f>AZ35/AB35</f>
        <v>1.0676832248493719</v>
      </c>
      <c r="BA36" s="103">
        <f>BA35/AC35</f>
        <v>0.9121333349505335</v>
      </c>
      <c r="BB36" s="103">
        <f>BB35/AD35</f>
        <v>1.8507319411089758</v>
      </c>
      <c r="BC36" s="103">
        <f>BC35/AE35</f>
        <v>0.82696168602892617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67" priority="13" operator="greaterThanOrEqual">
      <formula>0.03</formula>
    </cfRule>
    <cfRule type="cellIs" dxfId="66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65" priority="11" operator="greaterThanOrEqual">
      <formula>0.03</formula>
    </cfRule>
    <cfRule type="cellIs" dxfId="64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63" priority="17" operator="greaterThanOrEqual">
      <formula>0.03</formula>
    </cfRule>
    <cfRule type="cellIs" dxfId="62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61" priority="9" operator="greaterThanOrEqual">
      <formula>0.03</formula>
    </cfRule>
    <cfRule type="cellIs" dxfId="60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59" priority="5" operator="greaterThanOrEqual">
      <formula>0.03</formula>
    </cfRule>
    <cfRule type="cellIs" dxfId="58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57" priority="3" operator="greaterThanOrEqual">
      <formula>0.03</formula>
    </cfRule>
    <cfRule type="cellIs" dxfId="56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55" priority="19" operator="greaterThanOrEqual">
      <formula>0.03</formula>
    </cfRule>
    <cfRule type="cellIs" dxfId="54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3" priority="15" operator="greaterThanOrEqual">
      <formula>0.03</formula>
    </cfRule>
    <cfRule type="cellIs" dxfId="52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51" priority="1" operator="greaterThanOrEqual">
      <formula>0.03</formula>
    </cfRule>
    <cfRule type="cellIs" dxfId="50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49" priority="7" operator="greaterThanOrEqual">
      <formula>0.03</formula>
    </cfRule>
    <cfRule type="cellIs" dxfId="48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240</v>
      </c>
      <c r="B1">
        <v>1</v>
      </c>
    </row>
    <row r="2" spans="1:2" x14ac:dyDescent="0.2">
      <c r="A2" t="s">
        <v>241</v>
      </c>
      <c r="B2">
        <v>2</v>
      </c>
    </row>
    <row r="3" spans="1:2" x14ac:dyDescent="0.2">
      <c r="A3" t="s">
        <v>242</v>
      </c>
      <c r="B3">
        <v>3</v>
      </c>
    </row>
    <row r="4" spans="1:2" x14ac:dyDescent="0.2">
      <c r="A4" t="s">
        <v>243</v>
      </c>
      <c r="B4">
        <v>4</v>
      </c>
    </row>
    <row r="5" spans="1:2" x14ac:dyDescent="0.2">
      <c r="A5" t="s">
        <v>244</v>
      </c>
      <c r="B5">
        <v>5</v>
      </c>
    </row>
    <row r="6" spans="1:2" x14ac:dyDescent="0.2">
      <c r="A6" t="s">
        <v>245</v>
      </c>
      <c r="B6">
        <v>6</v>
      </c>
    </row>
    <row r="7" spans="1:2" x14ac:dyDescent="0.2">
      <c r="A7" t="s">
        <v>246</v>
      </c>
      <c r="B7">
        <v>7</v>
      </c>
    </row>
    <row r="8" spans="1:2" x14ac:dyDescent="0.2">
      <c r="A8" t="s">
        <v>247</v>
      </c>
      <c r="B8">
        <v>9</v>
      </c>
    </row>
    <row r="9" spans="1:2" x14ac:dyDescent="0.2">
      <c r="A9" t="s">
        <v>248</v>
      </c>
      <c r="B9">
        <v>10</v>
      </c>
    </row>
    <row r="10" spans="1:2" x14ac:dyDescent="0.2">
      <c r="A10" t="s">
        <v>249</v>
      </c>
      <c r="B10">
        <v>11</v>
      </c>
    </row>
    <row r="11" spans="1:2" x14ac:dyDescent="0.2">
      <c r="A11" t="s">
        <v>250</v>
      </c>
      <c r="B11">
        <v>12</v>
      </c>
    </row>
    <row r="12" spans="1:2" x14ac:dyDescent="0.2">
      <c r="A12" t="s">
        <v>251</v>
      </c>
      <c r="B12">
        <v>13</v>
      </c>
    </row>
    <row r="13" spans="1:2" x14ac:dyDescent="0.2">
      <c r="A13" t="s">
        <v>252</v>
      </c>
      <c r="B13">
        <v>14</v>
      </c>
    </row>
    <row r="14" spans="1:2" x14ac:dyDescent="0.2">
      <c r="A14" t="s">
        <v>253</v>
      </c>
      <c r="B14">
        <v>15</v>
      </c>
    </row>
    <row r="15" spans="1:2" x14ac:dyDescent="0.2">
      <c r="A15" t="s">
        <v>254</v>
      </c>
      <c r="B15">
        <v>16</v>
      </c>
    </row>
    <row r="16" spans="1:2" x14ac:dyDescent="0.2">
      <c r="A16" t="s">
        <v>255</v>
      </c>
      <c r="B16">
        <v>17</v>
      </c>
    </row>
    <row r="17" spans="1:2" x14ac:dyDescent="0.2">
      <c r="A17" t="s">
        <v>256</v>
      </c>
      <c r="B17">
        <v>18</v>
      </c>
    </row>
    <row r="18" spans="1:2" x14ac:dyDescent="0.2">
      <c r="A18" t="s">
        <v>257</v>
      </c>
      <c r="B18">
        <v>19</v>
      </c>
    </row>
    <row r="19" spans="1:2" x14ac:dyDescent="0.2">
      <c r="A19" t="s">
        <v>258</v>
      </c>
      <c r="B19">
        <v>20</v>
      </c>
    </row>
    <row r="20" spans="1:2" x14ac:dyDescent="0.2">
      <c r="A20" t="s">
        <v>259</v>
      </c>
      <c r="B20">
        <v>21</v>
      </c>
    </row>
    <row r="21" spans="1:2" x14ac:dyDescent="0.2">
      <c r="A21" t="s">
        <v>260</v>
      </c>
      <c r="B21">
        <v>22</v>
      </c>
    </row>
    <row r="22" spans="1:2" x14ac:dyDescent="0.2">
      <c r="A22" t="s">
        <v>261</v>
      </c>
      <c r="B22">
        <v>23</v>
      </c>
    </row>
    <row r="23" spans="1:2" x14ac:dyDescent="0.2">
      <c r="A23" t="s">
        <v>262</v>
      </c>
      <c r="B23">
        <v>24</v>
      </c>
    </row>
    <row r="24" spans="1:2" x14ac:dyDescent="0.2">
      <c r="A24" t="s">
        <v>263</v>
      </c>
      <c r="B24">
        <v>25</v>
      </c>
    </row>
    <row r="25" spans="1:2" x14ac:dyDescent="0.2">
      <c r="A25" t="s">
        <v>264</v>
      </c>
      <c r="B25">
        <v>26</v>
      </c>
    </row>
    <row r="26" spans="1:2" x14ac:dyDescent="0.2">
      <c r="A26" t="s">
        <v>265</v>
      </c>
      <c r="B26">
        <v>27</v>
      </c>
    </row>
    <row r="27" spans="1:2" x14ac:dyDescent="0.2">
      <c r="A27" t="s">
        <v>266</v>
      </c>
      <c r="B27">
        <v>28</v>
      </c>
    </row>
    <row r="28" spans="1:2" x14ac:dyDescent="0.2">
      <c r="A28" t="s">
        <v>267</v>
      </c>
      <c r="B28">
        <v>29</v>
      </c>
    </row>
    <row r="29" spans="1:2" x14ac:dyDescent="0.2">
      <c r="A29" t="s">
        <v>268</v>
      </c>
      <c r="B29">
        <v>30</v>
      </c>
    </row>
    <row r="30" spans="1:2" x14ac:dyDescent="0.2">
      <c r="A30" t="s">
        <v>269</v>
      </c>
      <c r="B30">
        <v>31</v>
      </c>
    </row>
    <row r="31" spans="1:2" x14ac:dyDescent="0.2">
      <c r="A31" t="s">
        <v>270</v>
      </c>
      <c r="B31">
        <v>33</v>
      </c>
    </row>
    <row r="32" spans="1:2" x14ac:dyDescent="0.2">
      <c r="A32" t="s">
        <v>271</v>
      </c>
      <c r="B32">
        <v>34</v>
      </c>
    </row>
    <row r="33" spans="1:2" x14ac:dyDescent="0.2">
      <c r="A33" t="s">
        <v>272</v>
      </c>
      <c r="B33">
        <v>35</v>
      </c>
    </row>
    <row r="34" spans="1:2" x14ac:dyDescent="0.2">
      <c r="A34" t="s">
        <v>273</v>
      </c>
      <c r="B34">
        <v>36</v>
      </c>
    </row>
    <row r="35" spans="1:2" x14ac:dyDescent="0.2">
      <c r="A35" t="s">
        <v>274</v>
      </c>
      <c r="B35">
        <v>37</v>
      </c>
    </row>
    <row r="36" spans="1:2" x14ac:dyDescent="0.2">
      <c r="A36" t="s">
        <v>275</v>
      </c>
      <c r="B36">
        <v>38</v>
      </c>
    </row>
    <row r="37" spans="1:2" x14ac:dyDescent="0.2">
      <c r="A37" t="s">
        <v>276</v>
      </c>
      <c r="B37">
        <v>39</v>
      </c>
    </row>
    <row r="38" spans="1:2" x14ac:dyDescent="0.2">
      <c r="A38" t="s">
        <v>277</v>
      </c>
      <c r="B38">
        <v>40</v>
      </c>
    </row>
    <row r="39" spans="1:2" x14ac:dyDescent="0.2">
      <c r="A39" t="s">
        <v>278</v>
      </c>
      <c r="B39">
        <v>41</v>
      </c>
    </row>
    <row r="40" spans="1:2" x14ac:dyDescent="0.2">
      <c r="A40" t="s">
        <v>279</v>
      </c>
      <c r="B40">
        <v>42</v>
      </c>
    </row>
    <row r="41" spans="1:2" x14ac:dyDescent="0.2">
      <c r="A41" t="s">
        <v>280</v>
      </c>
      <c r="B41">
        <v>43</v>
      </c>
    </row>
    <row r="42" spans="1:2" x14ac:dyDescent="0.2">
      <c r="A42" t="s">
        <v>281</v>
      </c>
      <c r="B42">
        <v>44</v>
      </c>
    </row>
    <row r="43" spans="1:2" x14ac:dyDescent="0.2">
      <c r="A43" t="s">
        <v>282</v>
      </c>
      <c r="B43">
        <v>45</v>
      </c>
    </row>
    <row r="44" spans="1:2" x14ac:dyDescent="0.2">
      <c r="A44" t="s">
        <v>283</v>
      </c>
      <c r="B44">
        <v>46</v>
      </c>
    </row>
    <row r="45" spans="1:2" x14ac:dyDescent="0.2">
      <c r="A45" t="s">
        <v>284</v>
      </c>
      <c r="B45">
        <v>47</v>
      </c>
    </row>
    <row r="46" spans="1:2" x14ac:dyDescent="0.2">
      <c r="A46" t="s">
        <v>285</v>
      </c>
      <c r="B46">
        <v>48</v>
      </c>
    </row>
    <row r="47" spans="1:2" x14ac:dyDescent="0.2">
      <c r="A47" t="s">
        <v>286</v>
      </c>
      <c r="B47">
        <v>49</v>
      </c>
    </row>
    <row r="48" spans="1:2" x14ac:dyDescent="0.2">
      <c r="A48" t="s">
        <v>287</v>
      </c>
      <c r="B48">
        <v>50</v>
      </c>
    </row>
    <row r="49" spans="1:2" x14ac:dyDescent="0.2">
      <c r="A49" t="s">
        <v>288</v>
      </c>
      <c r="B49">
        <v>51</v>
      </c>
    </row>
    <row r="50" spans="1:2" x14ac:dyDescent="0.2">
      <c r="A50" t="s">
        <v>289</v>
      </c>
      <c r="B50">
        <v>52</v>
      </c>
    </row>
    <row r="51" spans="1:2" x14ac:dyDescent="0.2">
      <c r="A51" t="s">
        <v>290</v>
      </c>
      <c r="B51">
        <v>53</v>
      </c>
    </row>
    <row r="52" spans="1:2" x14ac:dyDescent="0.2">
      <c r="A52" t="s">
        <v>291</v>
      </c>
      <c r="B52">
        <v>54</v>
      </c>
    </row>
    <row r="53" spans="1:2" x14ac:dyDescent="0.2">
      <c r="A53" t="s">
        <v>292</v>
      </c>
      <c r="B53">
        <v>55</v>
      </c>
    </row>
    <row r="54" spans="1:2" x14ac:dyDescent="0.2">
      <c r="A54" t="s">
        <v>293</v>
      </c>
      <c r="B54">
        <v>57</v>
      </c>
    </row>
    <row r="55" spans="1:2" x14ac:dyDescent="0.2">
      <c r="A55" t="s">
        <v>294</v>
      </c>
      <c r="B55">
        <v>58</v>
      </c>
    </row>
    <row r="56" spans="1:2" x14ac:dyDescent="0.2">
      <c r="A56" t="s">
        <v>295</v>
      </c>
      <c r="B56">
        <v>59</v>
      </c>
    </row>
    <row r="57" spans="1:2" x14ac:dyDescent="0.2">
      <c r="A57" t="s">
        <v>296</v>
      </c>
      <c r="B57">
        <v>61</v>
      </c>
    </row>
    <row r="58" spans="1:2" x14ac:dyDescent="0.2">
      <c r="A58" t="s">
        <v>297</v>
      </c>
      <c r="B58">
        <v>62</v>
      </c>
    </row>
    <row r="59" spans="1:2" x14ac:dyDescent="0.2">
      <c r="A59" t="s">
        <v>298</v>
      </c>
      <c r="B59">
        <v>63</v>
      </c>
    </row>
    <row r="60" spans="1:2" x14ac:dyDescent="0.2">
      <c r="A60" t="s">
        <v>299</v>
      </c>
      <c r="B60">
        <v>64</v>
      </c>
    </row>
    <row r="61" spans="1:2" x14ac:dyDescent="0.2">
      <c r="A61" t="s">
        <v>300</v>
      </c>
      <c r="B61">
        <v>65</v>
      </c>
    </row>
    <row r="62" spans="1:2" x14ac:dyDescent="0.2">
      <c r="A62" t="s">
        <v>301</v>
      </c>
      <c r="B62">
        <v>67</v>
      </c>
    </row>
    <row r="63" spans="1:2" x14ac:dyDescent="0.2">
      <c r="A63" t="s">
        <v>302</v>
      </c>
      <c r="B63">
        <v>68</v>
      </c>
    </row>
    <row r="64" spans="1:2" x14ac:dyDescent="0.2">
      <c r="A64" t="s">
        <v>303</v>
      </c>
      <c r="B64">
        <v>69</v>
      </c>
    </row>
    <row r="65" spans="1:24" x14ac:dyDescent="0.2">
      <c r="A65" t="s">
        <v>304</v>
      </c>
      <c r="B65">
        <v>70</v>
      </c>
    </row>
    <row r="66" spans="1:24" x14ac:dyDescent="0.2">
      <c r="A66" t="s">
        <v>305</v>
      </c>
      <c r="B66">
        <v>71</v>
      </c>
    </row>
    <row r="67" spans="1:24" x14ac:dyDescent="0.2">
      <c r="A67" t="s">
        <v>306</v>
      </c>
      <c r="B67" t="s">
        <v>307</v>
      </c>
    </row>
    <row r="68" spans="1:24" x14ac:dyDescent="0.2">
      <c r="A68" t="s">
        <v>308</v>
      </c>
      <c r="B68" t="s">
        <v>309</v>
      </c>
    </row>
    <row r="69" spans="1:24" x14ac:dyDescent="0.2">
      <c r="A69" t="s">
        <v>310</v>
      </c>
      <c r="B69" t="s">
        <v>311</v>
      </c>
    </row>
    <row r="70" spans="1:24" x14ac:dyDescent="0.2">
      <c r="A70" t="s">
        <v>312</v>
      </c>
      <c r="B70" t="s">
        <v>313</v>
      </c>
    </row>
    <row r="71" spans="1:24" x14ac:dyDescent="0.2">
      <c r="A71" t="s">
        <v>314</v>
      </c>
      <c r="B71" t="s">
        <v>315</v>
      </c>
    </row>
    <row r="72" spans="1:24" x14ac:dyDescent="0.2">
      <c r="A72" t="s">
        <v>316</v>
      </c>
      <c r="B72" t="s">
        <v>317</v>
      </c>
    </row>
    <row r="73" spans="1:24" x14ac:dyDescent="0.2">
      <c r="A73" t="s">
        <v>318</v>
      </c>
      <c r="B73" t="s">
        <v>319</v>
      </c>
    </row>
    <row r="74" spans="1:24" x14ac:dyDescent="0.2">
      <c r="A74" t="s">
        <v>320</v>
      </c>
      <c r="B74" t="s">
        <v>120</v>
      </c>
      <c r="C74" t="s">
        <v>68</v>
      </c>
      <c r="D74" t="s">
        <v>124</v>
      </c>
      <c r="E74" t="s">
        <v>106</v>
      </c>
      <c r="F74" t="s">
        <v>126</v>
      </c>
      <c r="G74" t="s">
        <v>129</v>
      </c>
      <c r="H74" t="s">
        <v>82</v>
      </c>
      <c r="I74" t="s">
        <v>99</v>
      </c>
      <c r="J74" t="s">
        <v>110</v>
      </c>
      <c r="K74" t="s">
        <v>108</v>
      </c>
      <c r="L74" t="s">
        <v>86</v>
      </c>
      <c r="M74" t="s">
        <v>101</v>
      </c>
      <c r="N74" t="s">
        <v>56</v>
      </c>
      <c r="O74" t="s">
        <v>122</v>
      </c>
      <c r="P74" t="s">
        <v>52</v>
      </c>
      <c r="Q74" t="s">
        <v>63</v>
      </c>
      <c r="R74" t="s">
        <v>65</v>
      </c>
      <c r="S74" t="s">
        <v>131</v>
      </c>
      <c r="T74" t="s">
        <v>118</v>
      </c>
      <c r="U74" t="s">
        <v>133</v>
      </c>
      <c r="V74" t="s">
        <v>84</v>
      </c>
      <c r="W74" t="s">
        <v>58</v>
      </c>
      <c r="X74" t="s">
        <v>114</v>
      </c>
    </row>
    <row r="75" spans="1:24" x14ac:dyDescent="0.2">
      <c r="A75" t="s">
        <v>321</v>
      </c>
      <c r="B75">
        <v>1</v>
      </c>
    </row>
    <row r="76" spans="1:24" x14ac:dyDescent="0.2">
      <c r="A76" t="s">
        <v>322</v>
      </c>
      <c r="B76">
        <v>2</v>
      </c>
    </row>
    <row r="77" spans="1:24" x14ac:dyDescent="0.2">
      <c r="A77" t="s">
        <v>323</v>
      </c>
      <c r="B77">
        <v>3</v>
      </c>
    </row>
    <row r="78" spans="1:24" x14ac:dyDescent="0.2">
      <c r="A78" t="s">
        <v>324</v>
      </c>
      <c r="B78">
        <v>4</v>
      </c>
    </row>
    <row r="79" spans="1:24" x14ac:dyDescent="0.2">
      <c r="A79" t="s">
        <v>325</v>
      </c>
      <c r="B79">
        <v>5</v>
      </c>
    </row>
    <row r="80" spans="1:24" x14ac:dyDescent="0.2">
      <c r="A80" t="s">
        <v>326</v>
      </c>
      <c r="B80">
        <v>6</v>
      </c>
    </row>
    <row r="81" spans="1:2" x14ac:dyDescent="0.2">
      <c r="A81" t="s">
        <v>327</v>
      </c>
      <c r="B81">
        <v>8</v>
      </c>
    </row>
    <row r="82" spans="1:2" x14ac:dyDescent="0.2">
      <c r="A82" t="s">
        <v>328</v>
      </c>
      <c r="B82">
        <v>9</v>
      </c>
    </row>
    <row r="83" spans="1:2" x14ac:dyDescent="0.2">
      <c r="A83" t="s">
        <v>329</v>
      </c>
      <c r="B83">
        <v>10</v>
      </c>
    </row>
    <row r="84" spans="1:2" x14ac:dyDescent="0.2">
      <c r="A84" t="s">
        <v>330</v>
      </c>
      <c r="B84">
        <v>11</v>
      </c>
    </row>
    <row r="85" spans="1:2" x14ac:dyDescent="0.2">
      <c r="A85" t="s">
        <v>331</v>
      </c>
      <c r="B85">
        <v>12</v>
      </c>
    </row>
    <row r="86" spans="1:2" x14ac:dyDescent="0.2">
      <c r="A86" t="s">
        <v>332</v>
      </c>
      <c r="B86">
        <v>13</v>
      </c>
    </row>
    <row r="87" spans="1:2" x14ac:dyDescent="0.2">
      <c r="A87" t="s">
        <v>333</v>
      </c>
      <c r="B87">
        <v>14</v>
      </c>
    </row>
    <row r="88" spans="1:2" x14ac:dyDescent="0.2">
      <c r="A88" t="s">
        <v>334</v>
      </c>
      <c r="B88">
        <v>15</v>
      </c>
    </row>
    <row r="89" spans="1:2" x14ac:dyDescent="0.2">
      <c r="A89" t="s">
        <v>335</v>
      </c>
      <c r="B89">
        <v>16</v>
      </c>
    </row>
    <row r="90" spans="1:2" x14ac:dyDescent="0.2">
      <c r="A90" t="s">
        <v>336</v>
      </c>
      <c r="B90">
        <v>17</v>
      </c>
    </row>
    <row r="91" spans="1:2" x14ac:dyDescent="0.2">
      <c r="A91" t="s">
        <v>337</v>
      </c>
      <c r="B91">
        <v>18</v>
      </c>
    </row>
    <row r="92" spans="1:2" x14ac:dyDescent="0.2">
      <c r="A92" t="s">
        <v>338</v>
      </c>
      <c r="B92">
        <v>19</v>
      </c>
    </row>
    <row r="93" spans="1:2" x14ac:dyDescent="0.2">
      <c r="A93" t="s">
        <v>339</v>
      </c>
      <c r="B93">
        <v>20</v>
      </c>
    </row>
    <row r="94" spans="1:2" x14ac:dyDescent="0.2">
      <c r="A94" t="s">
        <v>340</v>
      </c>
      <c r="B94">
        <v>21</v>
      </c>
    </row>
    <row r="95" spans="1:2" x14ac:dyDescent="0.2">
      <c r="A95" t="s">
        <v>341</v>
      </c>
      <c r="B95">
        <v>22</v>
      </c>
    </row>
    <row r="96" spans="1:2" x14ac:dyDescent="0.2">
      <c r="A96" t="s">
        <v>342</v>
      </c>
      <c r="B96">
        <v>23</v>
      </c>
    </row>
    <row r="97" spans="1:2" x14ac:dyDescent="0.2">
      <c r="A97" t="s">
        <v>343</v>
      </c>
      <c r="B97">
        <v>24</v>
      </c>
    </row>
    <row r="98" spans="1:2" x14ac:dyDescent="0.2">
      <c r="A98" t="s">
        <v>344</v>
      </c>
      <c r="B98">
        <v>25</v>
      </c>
    </row>
    <row r="99" spans="1:2" x14ac:dyDescent="0.2">
      <c r="A99" t="s">
        <v>345</v>
      </c>
      <c r="B99">
        <v>26</v>
      </c>
    </row>
    <row r="100" spans="1:2" x14ac:dyDescent="0.2">
      <c r="A100" t="s">
        <v>346</v>
      </c>
      <c r="B100">
        <v>27</v>
      </c>
    </row>
    <row r="101" spans="1:2" x14ac:dyDescent="0.2">
      <c r="A101" t="s">
        <v>347</v>
      </c>
      <c r="B101">
        <v>28</v>
      </c>
    </row>
    <row r="102" spans="1:2" x14ac:dyDescent="0.2">
      <c r="A102" t="s">
        <v>348</v>
      </c>
      <c r="B102">
        <v>29</v>
      </c>
    </row>
    <row r="103" spans="1:2" x14ac:dyDescent="0.2">
      <c r="A103" t="s">
        <v>349</v>
      </c>
      <c r="B103">
        <v>31</v>
      </c>
    </row>
    <row r="104" spans="1:2" x14ac:dyDescent="0.2">
      <c r="A104" t="s">
        <v>350</v>
      </c>
      <c r="B104">
        <v>32</v>
      </c>
    </row>
    <row r="105" spans="1:2" x14ac:dyDescent="0.2">
      <c r="A105" t="s">
        <v>351</v>
      </c>
      <c r="B105">
        <v>33</v>
      </c>
    </row>
    <row r="106" spans="1:2" x14ac:dyDescent="0.2">
      <c r="A106" t="s">
        <v>352</v>
      </c>
      <c r="B106">
        <v>34</v>
      </c>
    </row>
    <row r="107" spans="1:2" x14ac:dyDescent="0.2">
      <c r="A107" t="s">
        <v>353</v>
      </c>
      <c r="B107">
        <v>35</v>
      </c>
    </row>
    <row r="108" spans="1:2" x14ac:dyDescent="0.2">
      <c r="A108" t="s">
        <v>354</v>
      </c>
      <c r="B108">
        <v>36</v>
      </c>
    </row>
    <row r="109" spans="1:2" x14ac:dyDescent="0.2">
      <c r="A109" t="s">
        <v>355</v>
      </c>
      <c r="B109">
        <v>37</v>
      </c>
    </row>
    <row r="110" spans="1:2" x14ac:dyDescent="0.2">
      <c r="A110" t="s">
        <v>356</v>
      </c>
      <c r="B110">
        <v>38</v>
      </c>
    </row>
    <row r="111" spans="1:2" x14ac:dyDescent="0.2">
      <c r="A111" t="s">
        <v>357</v>
      </c>
      <c r="B111">
        <v>39</v>
      </c>
    </row>
    <row r="112" spans="1:2" x14ac:dyDescent="0.2">
      <c r="A112" t="s">
        <v>358</v>
      </c>
      <c r="B112">
        <v>40</v>
      </c>
    </row>
    <row r="113" spans="1:2" x14ac:dyDescent="0.2">
      <c r="A113" t="s">
        <v>359</v>
      </c>
      <c r="B113">
        <v>41</v>
      </c>
    </row>
    <row r="114" spans="1:2" x14ac:dyDescent="0.2">
      <c r="A114" t="s">
        <v>360</v>
      </c>
      <c r="B114">
        <v>42</v>
      </c>
    </row>
    <row r="115" spans="1:2" x14ac:dyDescent="0.2">
      <c r="A115" t="s">
        <v>361</v>
      </c>
      <c r="B115">
        <v>43</v>
      </c>
    </row>
    <row r="116" spans="1:2" x14ac:dyDescent="0.2">
      <c r="A116" t="s">
        <v>362</v>
      </c>
      <c r="B116">
        <v>44</v>
      </c>
    </row>
    <row r="117" spans="1:2" x14ac:dyDescent="0.2">
      <c r="A117" t="s">
        <v>363</v>
      </c>
      <c r="B117">
        <v>45</v>
      </c>
    </row>
    <row r="118" spans="1:2" x14ac:dyDescent="0.2">
      <c r="A118" t="s">
        <v>364</v>
      </c>
      <c r="B118">
        <v>46</v>
      </c>
    </row>
    <row r="119" spans="1:2" x14ac:dyDescent="0.2">
      <c r="A119" t="s">
        <v>365</v>
      </c>
      <c r="B119">
        <v>47</v>
      </c>
    </row>
    <row r="120" spans="1:2" x14ac:dyDescent="0.2">
      <c r="A120" t="s">
        <v>366</v>
      </c>
      <c r="B120">
        <v>48</v>
      </c>
    </row>
    <row r="121" spans="1:2" x14ac:dyDescent="0.2">
      <c r="A121" t="s">
        <v>367</v>
      </c>
      <c r="B121">
        <v>49</v>
      </c>
    </row>
    <row r="122" spans="1:2" x14ac:dyDescent="0.2">
      <c r="A122" t="s">
        <v>368</v>
      </c>
      <c r="B122">
        <v>50</v>
      </c>
    </row>
    <row r="123" spans="1:2" x14ac:dyDescent="0.2">
      <c r="A123" t="s">
        <v>369</v>
      </c>
      <c r="B123">
        <v>51</v>
      </c>
    </row>
    <row r="124" spans="1:2" x14ac:dyDescent="0.2">
      <c r="A124" t="s">
        <v>370</v>
      </c>
      <c r="B124">
        <v>52</v>
      </c>
    </row>
    <row r="125" spans="1:2" x14ac:dyDescent="0.2">
      <c r="A125" t="s">
        <v>371</v>
      </c>
      <c r="B125">
        <v>54</v>
      </c>
    </row>
    <row r="126" spans="1:2" x14ac:dyDescent="0.2">
      <c r="A126" t="s">
        <v>372</v>
      </c>
      <c r="B126">
        <v>55</v>
      </c>
    </row>
    <row r="127" spans="1:2" x14ac:dyDescent="0.2">
      <c r="A127" t="s">
        <v>373</v>
      </c>
      <c r="B127">
        <v>56</v>
      </c>
    </row>
    <row r="128" spans="1:2" x14ac:dyDescent="0.2">
      <c r="A128" t="s">
        <v>374</v>
      </c>
      <c r="B128">
        <v>57</v>
      </c>
    </row>
    <row r="129" spans="1:23" x14ac:dyDescent="0.2">
      <c r="A129" t="s">
        <v>375</v>
      </c>
      <c r="B129">
        <v>58</v>
      </c>
    </row>
    <row r="130" spans="1:23" x14ac:dyDescent="0.2">
      <c r="A130" t="s">
        <v>376</v>
      </c>
      <c r="B130" t="s">
        <v>377</v>
      </c>
    </row>
    <row r="131" spans="1:23" x14ac:dyDescent="0.2">
      <c r="A131" t="s">
        <v>378</v>
      </c>
      <c r="B131" t="s">
        <v>379</v>
      </c>
    </row>
    <row r="132" spans="1:23" x14ac:dyDescent="0.2">
      <c r="A132" t="s">
        <v>380</v>
      </c>
      <c r="B132" t="s">
        <v>381</v>
      </c>
    </row>
    <row r="133" spans="1:23" x14ac:dyDescent="0.2">
      <c r="A133" t="s">
        <v>382</v>
      </c>
      <c r="B133" t="s">
        <v>383</v>
      </c>
    </row>
    <row r="134" spans="1:23" x14ac:dyDescent="0.2">
      <c r="A134" t="s">
        <v>384</v>
      </c>
      <c r="B134" t="s">
        <v>385</v>
      </c>
    </row>
    <row r="135" spans="1:23" x14ac:dyDescent="0.2">
      <c r="A135" t="s">
        <v>386</v>
      </c>
      <c r="B135" t="s">
        <v>387</v>
      </c>
    </row>
    <row r="136" spans="1:23" x14ac:dyDescent="0.2">
      <c r="A136" t="s">
        <v>388</v>
      </c>
      <c r="B136" t="s">
        <v>389</v>
      </c>
    </row>
    <row r="137" spans="1:23" x14ac:dyDescent="0.2">
      <c r="A137" t="s">
        <v>390</v>
      </c>
      <c r="B137" t="s">
        <v>131</v>
      </c>
      <c r="C137" t="s">
        <v>65</v>
      </c>
      <c r="D137" t="s">
        <v>68</v>
      </c>
      <c r="E137" t="s">
        <v>120</v>
      </c>
      <c r="F137" t="s">
        <v>56</v>
      </c>
      <c r="G137" t="s">
        <v>129</v>
      </c>
      <c r="H137" t="s">
        <v>108</v>
      </c>
      <c r="I137" t="s">
        <v>126</v>
      </c>
      <c r="J137" t="s">
        <v>106</v>
      </c>
      <c r="K137" t="s">
        <v>118</v>
      </c>
      <c r="L137" t="s">
        <v>124</v>
      </c>
      <c r="M137" t="s">
        <v>63</v>
      </c>
      <c r="N137" t="s">
        <v>137</v>
      </c>
      <c r="O137" t="s">
        <v>101</v>
      </c>
      <c r="P137" t="s">
        <v>110</v>
      </c>
      <c r="Q137" t="s">
        <v>133</v>
      </c>
      <c r="R137" t="s">
        <v>99</v>
      </c>
      <c r="S137" t="s">
        <v>58</v>
      </c>
      <c r="T137" t="s">
        <v>84</v>
      </c>
      <c r="U137" t="s">
        <v>122</v>
      </c>
      <c r="V137" t="s">
        <v>52</v>
      </c>
      <c r="W137" t="s">
        <v>114</v>
      </c>
    </row>
    <row r="138" spans="1:23" x14ac:dyDescent="0.2">
      <c r="A138" t="s">
        <v>391</v>
      </c>
      <c r="B138">
        <v>1</v>
      </c>
    </row>
    <row r="139" spans="1:23" x14ac:dyDescent="0.2">
      <c r="A139" t="s">
        <v>392</v>
      </c>
      <c r="B139">
        <v>2</v>
      </c>
    </row>
    <row r="140" spans="1:23" x14ac:dyDescent="0.2">
      <c r="A140" t="s">
        <v>393</v>
      </c>
      <c r="B140">
        <v>3</v>
      </c>
    </row>
    <row r="141" spans="1:23" x14ac:dyDescent="0.2">
      <c r="A141" t="s">
        <v>394</v>
      </c>
      <c r="B141">
        <v>4</v>
      </c>
    </row>
    <row r="142" spans="1:23" x14ac:dyDescent="0.2">
      <c r="A142" t="s">
        <v>395</v>
      </c>
      <c r="B142">
        <v>5</v>
      </c>
    </row>
    <row r="143" spans="1:23" x14ac:dyDescent="0.2">
      <c r="A143" t="s">
        <v>396</v>
      </c>
      <c r="B143">
        <v>6</v>
      </c>
    </row>
    <row r="144" spans="1:23" x14ac:dyDescent="0.2">
      <c r="A144" t="s">
        <v>397</v>
      </c>
      <c r="B144">
        <v>8</v>
      </c>
    </row>
    <row r="145" spans="1:2" x14ac:dyDescent="0.2">
      <c r="A145" t="s">
        <v>398</v>
      </c>
      <c r="B145">
        <v>9</v>
      </c>
    </row>
    <row r="146" spans="1:2" x14ac:dyDescent="0.2">
      <c r="A146" t="s">
        <v>399</v>
      </c>
      <c r="B146">
        <v>10</v>
      </c>
    </row>
    <row r="147" spans="1:2" x14ac:dyDescent="0.2">
      <c r="A147" t="s">
        <v>400</v>
      </c>
      <c r="B147">
        <v>11</v>
      </c>
    </row>
    <row r="148" spans="1:2" x14ac:dyDescent="0.2">
      <c r="A148" t="s">
        <v>401</v>
      </c>
      <c r="B148">
        <v>12</v>
      </c>
    </row>
    <row r="149" spans="1:2" x14ac:dyDescent="0.2">
      <c r="A149" t="s">
        <v>402</v>
      </c>
      <c r="B149">
        <v>13</v>
      </c>
    </row>
    <row r="150" spans="1:2" x14ac:dyDescent="0.2">
      <c r="A150" t="s">
        <v>403</v>
      </c>
      <c r="B150">
        <v>14</v>
      </c>
    </row>
    <row r="151" spans="1:2" x14ac:dyDescent="0.2">
      <c r="A151" t="s">
        <v>404</v>
      </c>
      <c r="B151">
        <v>15</v>
      </c>
    </row>
    <row r="152" spans="1:2" x14ac:dyDescent="0.2">
      <c r="A152" t="s">
        <v>405</v>
      </c>
      <c r="B152">
        <v>16</v>
      </c>
    </row>
    <row r="153" spans="1:2" x14ac:dyDescent="0.2">
      <c r="A153" t="s">
        <v>406</v>
      </c>
      <c r="B153">
        <v>17</v>
      </c>
    </row>
    <row r="154" spans="1:2" x14ac:dyDescent="0.2">
      <c r="A154" t="s">
        <v>407</v>
      </c>
      <c r="B154">
        <v>18</v>
      </c>
    </row>
    <row r="155" spans="1:2" x14ac:dyDescent="0.2">
      <c r="A155" t="s">
        <v>408</v>
      </c>
      <c r="B155">
        <v>19</v>
      </c>
    </row>
    <row r="156" spans="1:2" x14ac:dyDescent="0.2">
      <c r="A156" t="s">
        <v>409</v>
      </c>
      <c r="B156">
        <v>20</v>
      </c>
    </row>
    <row r="157" spans="1:2" x14ac:dyDescent="0.2">
      <c r="A157" t="s">
        <v>410</v>
      </c>
      <c r="B157">
        <v>21</v>
      </c>
    </row>
    <row r="158" spans="1:2" x14ac:dyDescent="0.2">
      <c r="A158" t="s">
        <v>411</v>
      </c>
      <c r="B158">
        <v>22</v>
      </c>
    </row>
    <row r="159" spans="1:2" x14ac:dyDescent="0.2">
      <c r="A159" t="s">
        <v>412</v>
      </c>
      <c r="B159">
        <v>23</v>
      </c>
    </row>
    <row r="160" spans="1:2" x14ac:dyDescent="0.2">
      <c r="A160" t="s">
        <v>413</v>
      </c>
      <c r="B160">
        <v>24</v>
      </c>
    </row>
    <row r="161" spans="1:2" x14ac:dyDescent="0.2">
      <c r="A161" t="s">
        <v>414</v>
      </c>
      <c r="B161">
        <v>25</v>
      </c>
    </row>
    <row r="162" spans="1:2" x14ac:dyDescent="0.2">
      <c r="A162" t="s">
        <v>415</v>
      </c>
      <c r="B162">
        <v>26</v>
      </c>
    </row>
    <row r="163" spans="1:2" x14ac:dyDescent="0.2">
      <c r="A163" t="s">
        <v>416</v>
      </c>
      <c r="B163">
        <v>27</v>
      </c>
    </row>
    <row r="164" spans="1:2" x14ac:dyDescent="0.2">
      <c r="A164" t="s">
        <v>417</v>
      </c>
      <c r="B164">
        <v>28</v>
      </c>
    </row>
    <row r="165" spans="1:2" x14ac:dyDescent="0.2">
      <c r="A165" t="s">
        <v>418</v>
      </c>
      <c r="B165">
        <v>29</v>
      </c>
    </row>
    <row r="166" spans="1:2" x14ac:dyDescent="0.2">
      <c r="A166" t="s">
        <v>419</v>
      </c>
      <c r="B166">
        <v>31</v>
      </c>
    </row>
    <row r="167" spans="1:2" x14ac:dyDescent="0.2">
      <c r="A167" t="s">
        <v>420</v>
      </c>
      <c r="B167">
        <v>32</v>
      </c>
    </row>
    <row r="168" spans="1:2" x14ac:dyDescent="0.2">
      <c r="A168" t="s">
        <v>421</v>
      </c>
      <c r="B168">
        <v>33</v>
      </c>
    </row>
    <row r="169" spans="1:2" x14ac:dyDescent="0.2">
      <c r="A169" t="s">
        <v>422</v>
      </c>
      <c r="B169">
        <v>34</v>
      </c>
    </row>
    <row r="170" spans="1:2" x14ac:dyDescent="0.2">
      <c r="A170" t="s">
        <v>423</v>
      </c>
      <c r="B170">
        <v>35</v>
      </c>
    </row>
    <row r="171" spans="1:2" x14ac:dyDescent="0.2">
      <c r="A171" t="s">
        <v>424</v>
      </c>
      <c r="B171">
        <v>36</v>
      </c>
    </row>
    <row r="172" spans="1:2" x14ac:dyDescent="0.2">
      <c r="A172" t="s">
        <v>425</v>
      </c>
      <c r="B172">
        <v>37</v>
      </c>
    </row>
    <row r="173" spans="1:2" x14ac:dyDescent="0.2">
      <c r="A173" t="s">
        <v>426</v>
      </c>
      <c r="B173">
        <v>38</v>
      </c>
    </row>
    <row r="174" spans="1:2" x14ac:dyDescent="0.2">
      <c r="A174" t="s">
        <v>427</v>
      </c>
      <c r="B174">
        <v>39</v>
      </c>
    </row>
    <row r="175" spans="1:2" x14ac:dyDescent="0.2">
      <c r="A175" t="s">
        <v>428</v>
      </c>
      <c r="B175">
        <v>40</v>
      </c>
    </row>
    <row r="176" spans="1:2" x14ac:dyDescent="0.2">
      <c r="A176" t="s">
        <v>429</v>
      </c>
      <c r="B176">
        <v>41</v>
      </c>
    </row>
    <row r="177" spans="1:2" x14ac:dyDescent="0.2">
      <c r="A177" t="s">
        <v>430</v>
      </c>
      <c r="B177">
        <v>42</v>
      </c>
    </row>
    <row r="178" spans="1:2" x14ac:dyDescent="0.2">
      <c r="A178" t="s">
        <v>431</v>
      </c>
      <c r="B178">
        <v>43</v>
      </c>
    </row>
    <row r="179" spans="1:2" x14ac:dyDescent="0.2">
      <c r="A179" t="s">
        <v>432</v>
      </c>
      <c r="B179">
        <v>44</v>
      </c>
    </row>
    <row r="180" spans="1:2" x14ac:dyDescent="0.2">
      <c r="A180" t="s">
        <v>433</v>
      </c>
      <c r="B180">
        <v>45</v>
      </c>
    </row>
    <row r="181" spans="1:2" x14ac:dyDescent="0.2">
      <c r="A181" t="s">
        <v>434</v>
      </c>
      <c r="B181">
        <v>46</v>
      </c>
    </row>
    <row r="182" spans="1:2" x14ac:dyDescent="0.2">
      <c r="A182" t="s">
        <v>435</v>
      </c>
      <c r="B182">
        <v>47</v>
      </c>
    </row>
    <row r="183" spans="1:2" x14ac:dyDescent="0.2">
      <c r="A183" t="s">
        <v>436</v>
      </c>
      <c r="B183">
        <v>48</v>
      </c>
    </row>
    <row r="184" spans="1:2" x14ac:dyDescent="0.2">
      <c r="A184" t="s">
        <v>437</v>
      </c>
      <c r="B184">
        <v>49</v>
      </c>
    </row>
    <row r="185" spans="1:2" x14ac:dyDescent="0.2">
      <c r="A185" t="s">
        <v>438</v>
      </c>
      <c r="B185">
        <v>50</v>
      </c>
    </row>
    <row r="186" spans="1:2" x14ac:dyDescent="0.2">
      <c r="A186" t="s">
        <v>439</v>
      </c>
      <c r="B186">
        <v>51</v>
      </c>
    </row>
    <row r="187" spans="1:2" x14ac:dyDescent="0.2">
      <c r="A187" t="s">
        <v>440</v>
      </c>
      <c r="B187">
        <v>52</v>
      </c>
    </row>
    <row r="188" spans="1:2" x14ac:dyDescent="0.2">
      <c r="A188" t="s">
        <v>441</v>
      </c>
      <c r="B188">
        <v>54</v>
      </c>
    </row>
    <row r="189" spans="1:2" x14ac:dyDescent="0.2">
      <c r="A189" t="s">
        <v>442</v>
      </c>
      <c r="B189">
        <v>55</v>
      </c>
    </row>
    <row r="190" spans="1:2" x14ac:dyDescent="0.2">
      <c r="A190" t="s">
        <v>443</v>
      </c>
      <c r="B190">
        <v>56</v>
      </c>
    </row>
    <row r="191" spans="1:2" x14ac:dyDescent="0.2">
      <c r="A191" t="s">
        <v>444</v>
      </c>
      <c r="B191">
        <v>57</v>
      </c>
    </row>
    <row r="192" spans="1:2" x14ac:dyDescent="0.2">
      <c r="A192" t="s">
        <v>445</v>
      </c>
      <c r="B192">
        <v>58</v>
      </c>
    </row>
    <row r="193" spans="1:23" x14ac:dyDescent="0.2">
      <c r="A193" t="s">
        <v>446</v>
      </c>
      <c r="B193" t="s">
        <v>447</v>
      </c>
    </row>
    <row r="194" spans="1:23" x14ac:dyDescent="0.2">
      <c r="A194" t="s">
        <v>448</v>
      </c>
      <c r="B194" t="s">
        <v>449</v>
      </c>
    </row>
    <row r="195" spans="1:23" x14ac:dyDescent="0.2">
      <c r="A195" t="s">
        <v>450</v>
      </c>
      <c r="B195" t="s">
        <v>451</v>
      </c>
    </row>
    <row r="196" spans="1:23" x14ac:dyDescent="0.2">
      <c r="A196" t="s">
        <v>452</v>
      </c>
      <c r="B196" t="s">
        <v>453</v>
      </c>
    </row>
    <row r="197" spans="1:23" x14ac:dyDescent="0.2">
      <c r="A197" t="s">
        <v>454</v>
      </c>
      <c r="B197" t="s">
        <v>455</v>
      </c>
    </row>
    <row r="198" spans="1:23" x14ac:dyDescent="0.2">
      <c r="A198" t="s">
        <v>456</v>
      </c>
      <c r="B198" t="s">
        <v>457</v>
      </c>
    </row>
    <row r="199" spans="1:23" x14ac:dyDescent="0.2">
      <c r="A199" t="s">
        <v>458</v>
      </c>
      <c r="B199" t="s">
        <v>459</v>
      </c>
    </row>
    <row r="200" spans="1:23" x14ac:dyDescent="0.2">
      <c r="A200" t="s">
        <v>460</v>
      </c>
      <c r="B200" t="s">
        <v>63</v>
      </c>
      <c r="C200" t="s">
        <v>68</v>
      </c>
      <c r="D200" t="s">
        <v>120</v>
      </c>
      <c r="E200" t="s">
        <v>126</v>
      </c>
      <c r="F200" t="s">
        <v>137</v>
      </c>
      <c r="G200" t="s">
        <v>101</v>
      </c>
      <c r="H200" t="s">
        <v>124</v>
      </c>
      <c r="I200" t="s">
        <v>65</v>
      </c>
      <c r="J200" t="s">
        <v>131</v>
      </c>
      <c r="K200" t="s">
        <v>56</v>
      </c>
      <c r="L200" t="s">
        <v>108</v>
      </c>
      <c r="M200" t="s">
        <v>129</v>
      </c>
      <c r="N200" t="s">
        <v>118</v>
      </c>
      <c r="O200" t="s">
        <v>106</v>
      </c>
      <c r="P200" t="s">
        <v>84</v>
      </c>
      <c r="Q200" t="s">
        <v>99</v>
      </c>
      <c r="R200" t="s">
        <v>114</v>
      </c>
      <c r="S200" t="s">
        <v>133</v>
      </c>
      <c r="T200" t="s">
        <v>122</v>
      </c>
      <c r="U200" t="s">
        <v>52</v>
      </c>
      <c r="V200" t="s">
        <v>58</v>
      </c>
      <c r="W200" t="s">
        <v>110</v>
      </c>
    </row>
    <row r="201" spans="1:23" x14ac:dyDescent="0.2">
      <c r="A201" t="s">
        <v>461</v>
      </c>
      <c r="B201">
        <v>1</v>
      </c>
    </row>
    <row r="202" spans="1:23" x14ac:dyDescent="0.2">
      <c r="A202" t="s">
        <v>462</v>
      </c>
      <c r="B202">
        <v>2</v>
      </c>
    </row>
    <row r="203" spans="1:23" x14ac:dyDescent="0.2">
      <c r="A203" t="s">
        <v>463</v>
      </c>
      <c r="B203">
        <v>3</v>
      </c>
    </row>
    <row r="204" spans="1:23" x14ac:dyDescent="0.2">
      <c r="A204" t="s">
        <v>464</v>
      </c>
      <c r="B204">
        <v>4</v>
      </c>
    </row>
    <row r="205" spans="1:23" x14ac:dyDescent="0.2">
      <c r="A205" t="s">
        <v>465</v>
      </c>
      <c r="B205">
        <v>5</v>
      </c>
    </row>
    <row r="206" spans="1:23" x14ac:dyDescent="0.2">
      <c r="A206" t="s">
        <v>466</v>
      </c>
      <c r="B206">
        <v>6</v>
      </c>
    </row>
    <row r="207" spans="1:23" x14ac:dyDescent="0.2">
      <c r="A207" t="s">
        <v>467</v>
      </c>
      <c r="B207">
        <v>7</v>
      </c>
    </row>
    <row r="208" spans="1:23" x14ac:dyDescent="0.2">
      <c r="A208" t="s">
        <v>468</v>
      </c>
      <c r="B208">
        <v>9</v>
      </c>
    </row>
    <row r="209" spans="1:2" x14ac:dyDescent="0.2">
      <c r="A209" t="s">
        <v>469</v>
      </c>
      <c r="B209">
        <v>10</v>
      </c>
    </row>
    <row r="210" spans="1:2" x14ac:dyDescent="0.2">
      <c r="A210" t="s">
        <v>470</v>
      </c>
      <c r="B210">
        <v>11</v>
      </c>
    </row>
    <row r="211" spans="1:2" x14ac:dyDescent="0.2">
      <c r="A211" t="s">
        <v>471</v>
      </c>
      <c r="B211">
        <v>12</v>
      </c>
    </row>
    <row r="212" spans="1:2" x14ac:dyDescent="0.2">
      <c r="A212" t="s">
        <v>472</v>
      </c>
      <c r="B212">
        <v>13</v>
      </c>
    </row>
    <row r="213" spans="1:2" x14ac:dyDescent="0.2">
      <c r="A213" t="s">
        <v>473</v>
      </c>
      <c r="B213">
        <v>14</v>
      </c>
    </row>
    <row r="214" spans="1:2" x14ac:dyDescent="0.2">
      <c r="A214" t="s">
        <v>474</v>
      </c>
      <c r="B214">
        <v>15</v>
      </c>
    </row>
    <row r="215" spans="1:2" x14ac:dyDescent="0.2">
      <c r="A215" t="s">
        <v>475</v>
      </c>
      <c r="B215">
        <v>16</v>
      </c>
    </row>
    <row r="216" spans="1:2" x14ac:dyDescent="0.2">
      <c r="A216" t="s">
        <v>476</v>
      </c>
      <c r="B216">
        <v>17</v>
      </c>
    </row>
    <row r="217" spans="1:2" x14ac:dyDescent="0.2">
      <c r="A217" t="s">
        <v>477</v>
      </c>
      <c r="B217">
        <v>18</v>
      </c>
    </row>
    <row r="218" spans="1:2" x14ac:dyDescent="0.2">
      <c r="A218" t="s">
        <v>478</v>
      </c>
      <c r="B218">
        <v>19</v>
      </c>
    </row>
    <row r="219" spans="1:2" x14ac:dyDescent="0.2">
      <c r="A219" t="s">
        <v>479</v>
      </c>
      <c r="B219">
        <v>20</v>
      </c>
    </row>
    <row r="220" spans="1:2" x14ac:dyDescent="0.2">
      <c r="A220" t="s">
        <v>480</v>
      </c>
      <c r="B220">
        <v>21</v>
      </c>
    </row>
    <row r="221" spans="1:2" x14ac:dyDescent="0.2">
      <c r="A221" t="s">
        <v>481</v>
      </c>
      <c r="B221">
        <v>22</v>
      </c>
    </row>
    <row r="222" spans="1:2" x14ac:dyDescent="0.2">
      <c r="A222" t="s">
        <v>482</v>
      </c>
      <c r="B222">
        <v>23</v>
      </c>
    </row>
    <row r="223" spans="1:2" x14ac:dyDescent="0.2">
      <c r="A223" t="s">
        <v>483</v>
      </c>
      <c r="B223">
        <v>24</v>
      </c>
    </row>
    <row r="224" spans="1:2" x14ac:dyDescent="0.2">
      <c r="A224" t="s">
        <v>484</v>
      </c>
      <c r="B224">
        <v>25</v>
      </c>
    </row>
    <row r="225" spans="1:2" x14ac:dyDescent="0.2">
      <c r="A225" t="s">
        <v>485</v>
      </c>
      <c r="B225">
        <v>26</v>
      </c>
    </row>
    <row r="226" spans="1:2" x14ac:dyDescent="0.2">
      <c r="A226" t="s">
        <v>486</v>
      </c>
      <c r="B226">
        <v>27</v>
      </c>
    </row>
    <row r="227" spans="1:2" x14ac:dyDescent="0.2">
      <c r="A227" t="s">
        <v>487</v>
      </c>
      <c r="B227">
        <v>28</v>
      </c>
    </row>
    <row r="228" spans="1:2" x14ac:dyDescent="0.2">
      <c r="A228" t="s">
        <v>488</v>
      </c>
      <c r="B228">
        <v>29</v>
      </c>
    </row>
    <row r="229" spans="1:2" x14ac:dyDescent="0.2">
      <c r="A229" t="s">
        <v>489</v>
      </c>
      <c r="B229">
        <v>30</v>
      </c>
    </row>
    <row r="230" spans="1:2" x14ac:dyDescent="0.2">
      <c r="A230" t="s">
        <v>490</v>
      </c>
      <c r="B230">
        <v>31</v>
      </c>
    </row>
    <row r="231" spans="1:2" x14ac:dyDescent="0.2">
      <c r="A231" t="s">
        <v>491</v>
      </c>
      <c r="B231">
        <v>33</v>
      </c>
    </row>
    <row r="232" spans="1:2" x14ac:dyDescent="0.2">
      <c r="A232" t="s">
        <v>492</v>
      </c>
      <c r="B232">
        <v>34</v>
      </c>
    </row>
    <row r="233" spans="1:2" x14ac:dyDescent="0.2">
      <c r="A233" t="s">
        <v>493</v>
      </c>
      <c r="B233">
        <v>35</v>
      </c>
    </row>
    <row r="234" spans="1:2" x14ac:dyDescent="0.2">
      <c r="A234" t="s">
        <v>494</v>
      </c>
      <c r="B234">
        <v>36</v>
      </c>
    </row>
    <row r="235" spans="1:2" x14ac:dyDescent="0.2">
      <c r="A235" t="s">
        <v>495</v>
      </c>
      <c r="B235">
        <v>37</v>
      </c>
    </row>
    <row r="236" spans="1:2" x14ac:dyDescent="0.2">
      <c r="A236" t="s">
        <v>496</v>
      </c>
      <c r="B236">
        <v>38</v>
      </c>
    </row>
    <row r="237" spans="1:2" x14ac:dyDescent="0.2">
      <c r="A237" t="s">
        <v>497</v>
      </c>
      <c r="B237">
        <v>39</v>
      </c>
    </row>
    <row r="238" spans="1:2" x14ac:dyDescent="0.2">
      <c r="A238" t="s">
        <v>498</v>
      </c>
      <c r="B238">
        <v>40</v>
      </c>
    </row>
    <row r="239" spans="1:2" x14ac:dyDescent="0.2">
      <c r="A239" t="s">
        <v>499</v>
      </c>
      <c r="B239">
        <v>41</v>
      </c>
    </row>
    <row r="240" spans="1:2" x14ac:dyDescent="0.2">
      <c r="A240" t="s">
        <v>500</v>
      </c>
      <c r="B240">
        <v>42</v>
      </c>
    </row>
    <row r="241" spans="1:2" x14ac:dyDescent="0.2">
      <c r="A241" t="s">
        <v>501</v>
      </c>
      <c r="B241">
        <v>43</v>
      </c>
    </row>
    <row r="242" spans="1:2" x14ac:dyDescent="0.2">
      <c r="A242" t="s">
        <v>502</v>
      </c>
      <c r="B242">
        <v>44</v>
      </c>
    </row>
    <row r="243" spans="1:2" x14ac:dyDescent="0.2">
      <c r="A243" t="s">
        <v>503</v>
      </c>
      <c r="B243">
        <v>45</v>
      </c>
    </row>
    <row r="244" spans="1:2" x14ac:dyDescent="0.2">
      <c r="A244" t="s">
        <v>504</v>
      </c>
      <c r="B244">
        <v>46</v>
      </c>
    </row>
    <row r="245" spans="1:2" x14ac:dyDescent="0.2">
      <c r="A245" t="s">
        <v>505</v>
      </c>
      <c r="B245">
        <v>47</v>
      </c>
    </row>
    <row r="246" spans="1:2" x14ac:dyDescent="0.2">
      <c r="A246" t="s">
        <v>506</v>
      </c>
      <c r="B246">
        <v>48</v>
      </c>
    </row>
    <row r="247" spans="1:2" x14ac:dyDescent="0.2">
      <c r="A247" t="s">
        <v>507</v>
      </c>
      <c r="B247">
        <v>49</v>
      </c>
    </row>
    <row r="248" spans="1:2" x14ac:dyDescent="0.2">
      <c r="A248" t="s">
        <v>508</v>
      </c>
      <c r="B248">
        <v>50</v>
      </c>
    </row>
    <row r="249" spans="1:2" x14ac:dyDescent="0.2">
      <c r="A249" t="s">
        <v>509</v>
      </c>
      <c r="B249">
        <v>51</v>
      </c>
    </row>
    <row r="250" spans="1:2" x14ac:dyDescent="0.2">
      <c r="A250" t="s">
        <v>510</v>
      </c>
      <c r="B250">
        <v>52</v>
      </c>
    </row>
    <row r="251" spans="1:2" x14ac:dyDescent="0.2">
      <c r="A251" t="s">
        <v>511</v>
      </c>
      <c r="B251">
        <v>53</v>
      </c>
    </row>
    <row r="252" spans="1:2" x14ac:dyDescent="0.2">
      <c r="A252" t="s">
        <v>512</v>
      </c>
      <c r="B252">
        <v>54</v>
      </c>
    </row>
    <row r="253" spans="1:2" x14ac:dyDescent="0.2">
      <c r="A253" t="s">
        <v>513</v>
      </c>
      <c r="B253">
        <v>55</v>
      </c>
    </row>
    <row r="254" spans="1:2" x14ac:dyDescent="0.2">
      <c r="A254" t="s">
        <v>514</v>
      </c>
      <c r="B254">
        <v>57</v>
      </c>
    </row>
    <row r="255" spans="1:2" x14ac:dyDescent="0.2">
      <c r="A255" t="s">
        <v>515</v>
      </c>
      <c r="B255">
        <v>58</v>
      </c>
    </row>
    <row r="256" spans="1:2" x14ac:dyDescent="0.2">
      <c r="A256" t="s">
        <v>516</v>
      </c>
      <c r="B256">
        <v>59</v>
      </c>
    </row>
    <row r="257" spans="1:2" x14ac:dyDescent="0.2">
      <c r="A257" t="s">
        <v>517</v>
      </c>
      <c r="B257">
        <v>61</v>
      </c>
    </row>
    <row r="258" spans="1:2" x14ac:dyDescent="0.2">
      <c r="A258" t="s">
        <v>518</v>
      </c>
      <c r="B258">
        <v>62</v>
      </c>
    </row>
    <row r="259" spans="1:2" x14ac:dyDescent="0.2">
      <c r="A259" t="s">
        <v>519</v>
      </c>
      <c r="B259">
        <v>63</v>
      </c>
    </row>
    <row r="260" spans="1:2" x14ac:dyDescent="0.2">
      <c r="A260" t="s">
        <v>520</v>
      </c>
      <c r="B260">
        <v>64</v>
      </c>
    </row>
    <row r="261" spans="1:2" x14ac:dyDescent="0.2">
      <c r="A261" t="s">
        <v>521</v>
      </c>
      <c r="B261">
        <v>65</v>
      </c>
    </row>
    <row r="262" spans="1:2" x14ac:dyDescent="0.2">
      <c r="A262" t="s">
        <v>522</v>
      </c>
      <c r="B262">
        <v>67</v>
      </c>
    </row>
    <row r="263" spans="1:2" x14ac:dyDescent="0.2">
      <c r="A263" t="s">
        <v>523</v>
      </c>
      <c r="B263">
        <v>68</v>
      </c>
    </row>
    <row r="264" spans="1:2" x14ac:dyDescent="0.2">
      <c r="A264" t="s">
        <v>524</v>
      </c>
      <c r="B264">
        <v>69</v>
      </c>
    </row>
    <row r="265" spans="1:2" x14ac:dyDescent="0.2">
      <c r="A265" t="s">
        <v>525</v>
      </c>
      <c r="B265">
        <v>70</v>
      </c>
    </row>
    <row r="266" spans="1:2" x14ac:dyDescent="0.2">
      <c r="A266" t="s">
        <v>526</v>
      </c>
      <c r="B266">
        <v>71</v>
      </c>
    </row>
    <row r="267" spans="1:2" x14ac:dyDescent="0.2">
      <c r="A267" t="s">
        <v>527</v>
      </c>
      <c r="B267" t="s">
        <v>528</v>
      </c>
    </row>
    <row r="268" spans="1:2" x14ac:dyDescent="0.2">
      <c r="A268" t="s">
        <v>529</v>
      </c>
      <c r="B268" t="s">
        <v>530</v>
      </c>
    </row>
    <row r="269" spans="1:2" x14ac:dyDescent="0.2">
      <c r="A269" t="s">
        <v>531</v>
      </c>
      <c r="B269" t="s">
        <v>532</v>
      </c>
    </row>
    <row r="270" spans="1:2" x14ac:dyDescent="0.2">
      <c r="A270" t="s">
        <v>533</v>
      </c>
      <c r="B270" t="s">
        <v>534</v>
      </c>
    </row>
    <row r="271" spans="1:2" x14ac:dyDescent="0.2">
      <c r="A271" t="s">
        <v>535</v>
      </c>
      <c r="B271" t="s">
        <v>536</v>
      </c>
    </row>
    <row r="272" spans="1:2" x14ac:dyDescent="0.2">
      <c r="A272" t="s">
        <v>537</v>
      </c>
      <c r="B272" t="s">
        <v>538</v>
      </c>
    </row>
    <row r="273" spans="1:24" x14ac:dyDescent="0.2">
      <c r="A273" t="s">
        <v>539</v>
      </c>
      <c r="B273" t="s">
        <v>540</v>
      </c>
    </row>
    <row r="274" spans="1:24" x14ac:dyDescent="0.2">
      <c r="A274" t="s">
        <v>541</v>
      </c>
      <c r="B274" t="s">
        <v>124</v>
      </c>
      <c r="C274" t="s">
        <v>68</v>
      </c>
      <c r="D274" t="s">
        <v>82</v>
      </c>
      <c r="E274" t="s">
        <v>126</v>
      </c>
      <c r="F274" t="s">
        <v>129</v>
      </c>
      <c r="G274" t="s">
        <v>106</v>
      </c>
      <c r="H274" t="s">
        <v>120</v>
      </c>
      <c r="I274" t="s">
        <v>63</v>
      </c>
      <c r="J274" t="s">
        <v>99</v>
      </c>
      <c r="K274" t="s">
        <v>122</v>
      </c>
      <c r="L274" t="s">
        <v>52</v>
      </c>
      <c r="M274" t="s">
        <v>86</v>
      </c>
      <c r="N274" t="s">
        <v>101</v>
      </c>
      <c r="O274" t="s">
        <v>56</v>
      </c>
      <c r="P274" t="s">
        <v>110</v>
      </c>
      <c r="Q274" t="s">
        <v>108</v>
      </c>
      <c r="R274" t="s">
        <v>118</v>
      </c>
      <c r="S274" t="s">
        <v>65</v>
      </c>
      <c r="T274" t="s">
        <v>131</v>
      </c>
      <c r="U274" t="s">
        <v>58</v>
      </c>
      <c r="V274" t="s">
        <v>84</v>
      </c>
      <c r="W274" t="s">
        <v>114</v>
      </c>
      <c r="X274" t="s">
        <v>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BG16"/>
  <sheetViews>
    <sheetView workbookViewId="0">
      <pane xSplit="2" topLeftCell="Z1" activePane="topRight" state="frozen"/>
      <selection pane="topRight" activeCell="AR30" sqref="AR30"/>
    </sheetView>
  </sheetViews>
  <sheetFormatPr baseColWidth="10" defaultColWidth="8.83203125" defaultRowHeight="15" outlineLevelRow="2" x14ac:dyDescent="0.2"/>
  <cols>
    <col min="2" max="2" width="24.6640625" style="4" customWidth="1"/>
    <col min="3" max="4" width="10.6640625" style="4" customWidth="1"/>
    <col min="7" max="7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20" width="12.6640625" style="4" customWidth="1"/>
    <col min="21" max="25" width="11.6640625" style="4" customWidth="1"/>
    <col min="30" max="30" width="1.6640625" style="4" customWidth="1"/>
    <col min="33" max="36" width="10.6640625" style="4" customWidth="1"/>
    <col min="37" max="37" width="24.6640625" style="4" hidden="1" customWidth="1"/>
    <col min="38" max="38" width="12.6640625" style="4" customWidth="1"/>
    <col min="39" max="39" width="10.6640625" style="4" customWidth="1"/>
    <col min="40" max="43" width="12.6640625" style="4" customWidth="1"/>
    <col min="44" max="48" width="11.6640625" style="4" customWidth="1"/>
    <col min="53" max="53" width="1.6640625" style="4" customWidth="1"/>
    <col min="59" max="59" width="1.6640625" style="4" customWidth="1"/>
  </cols>
  <sheetData>
    <row r="1" spans="1:58" x14ac:dyDescent="0.2">
      <c r="A1" s="126" t="s">
        <v>542</v>
      </c>
      <c r="B1" s="112"/>
      <c r="C1" s="112"/>
      <c r="D1" s="112"/>
      <c r="E1" s="112"/>
      <c r="F1" s="112"/>
      <c r="H1" s="111" t="str">
        <f>Summary!$C$1</f>
        <v>master+r5.2</v>
      </c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E1" s="113" t="str">
        <f>Summary!$C$2</f>
        <v>mpeg126-integration+r60rc02</v>
      </c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</row>
    <row r="2" spans="1:58" ht="30" customHeight="1" x14ac:dyDescent="0.2">
      <c r="A2" s="122" t="s">
        <v>140</v>
      </c>
      <c r="B2" s="123" t="s">
        <v>141</v>
      </c>
      <c r="C2" s="122" t="s">
        <v>143</v>
      </c>
      <c r="D2" s="123" t="s">
        <v>144</v>
      </c>
      <c r="E2" s="122" t="s">
        <v>145</v>
      </c>
      <c r="F2" s="123" t="s">
        <v>146</v>
      </c>
      <c r="H2" s="122" t="s">
        <v>543</v>
      </c>
      <c r="I2" s="123" t="s">
        <v>147</v>
      </c>
      <c r="J2" s="124" t="s">
        <v>148</v>
      </c>
      <c r="K2" s="112"/>
      <c r="L2" s="112"/>
      <c r="M2" s="112"/>
      <c r="N2" s="122" t="s">
        <v>149</v>
      </c>
      <c r="O2" s="123" t="s">
        <v>150</v>
      </c>
      <c r="P2" s="122" t="s">
        <v>85</v>
      </c>
      <c r="Q2" s="125" t="s">
        <v>151</v>
      </c>
      <c r="R2" s="112"/>
      <c r="S2" s="112"/>
      <c r="T2" s="112"/>
      <c r="U2" s="124" t="s">
        <v>152</v>
      </c>
      <c r="V2" s="112"/>
      <c r="W2" s="125" t="s">
        <v>153</v>
      </c>
      <c r="X2" s="112"/>
      <c r="Y2" s="112"/>
      <c r="Z2" s="124" t="s">
        <v>154</v>
      </c>
      <c r="AA2" s="112"/>
      <c r="AB2" s="125" t="s">
        <v>155</v>
      </c>
      <c r="AC2" s="112"/>
      <c r="AE2" s="122" t="s">
        <v>543</v>
      </c>
      <c r="AF2" s="123" t="s">
        <v>147</v>
      </c>
      <c r="AG2" s="124" t="s">
        <v>148</v>
      </c>
      <c r="AH2" s="112"/>
      <c r="AI2" s="112"/>
      <c r="AJ2" s="112"/>
      <c r="AK2" s="122" t="s">
        <v>156</v>
      </c>
      <c r="AL2" s="123" t="s">
        <v>150</v>
      </c>
      <c r="AM2" s="122" t="s">
        <v>85</v>
      </c>
      <c r="AN2" s="125" t="s">
        <v>151</v>
      </c>
      <c r="AO2" s="112"/>
      <c r="AP2" s="112"/>
      <c r="AQ2" s="112"/>
      <c r="AR2" s="124" t="s">
        <v>152</v>
      </c>
      <c r="AS2" s="112"/>
      <c r="AT2" s="125" t="s">
        <v>153</v>
      </c>
      <c r="AU2" s="112"/>
      <c r="AV2" s="112"/>
      <c r="AW2" s="124" t="s">
        <v>154</v>
      </c>
      <c r="AX2" s="112"/>
      <c r="AY2" s="125" t="s">
        <v>155</v>
      </c>
      <c r="AZ2" s="112"/>
      <c r="BB2" s="124" t="s">
        <v>23</v>
      </c>
      <c r="BC2" s="112"/>
      <c r="BD2" s="112"/>
      <c r="BE2" s="123" t="s">
        <v>158</v>
      </c>
      <c r="BF2" s="122" t="s">
        <v>158</v>
      </c>
    </row>
    <row r="3" spans="1:58" ht="28.75" customHeight="1" x14ac:dyDescent="0.2">
      <c r="A3" s="115"/>
      <c r="B3" s="115"/>
      <c r="C3" s="115"/>
      <c r="D3" s="115"/>
      <c r="E3" s="115"/>
      <c r="F3" s="115"/>
      <c r="H3" s="115"/>
      <c r="I3" s="115"/>
      <c r="J3" s="105" t="s">
        <v>25</v>
      </c>
      <c r="K3" s="105" t="s">
        <v>159</v>
      </c>
      <c r="L3" s="105" t="s">
        <v>24</v>
      </c>
      <c r="M3" s="105" t="s">
        <v>160</v>
      </c>
      <c r="N3" s="115"/>
      <c r="O3" s="115"/>
      <c r="P3" s="115"/>
      <c r="Q3" s="104" t="s">
        <v>25</v>
      </c>
      <c r="R3" s="104" t="s">
        <v>24</v>
      </c>
      <c r="S3" s="104" t="s">
        <v>161</v>
      </c>
      <c r="T3" s="104" t="s">
        <v>26</v>
      </c>
      <c r="U3" s="105" t="s">
        <v>11</v>
      </c>
      <c r="V3" s="105" t="s">
        <v>12</v>
      </c>
      <c r="W3" s="104" t="s">
        <v>13</v>
      </c>
      <c r="X3" s="104" t="s">
        <v>14</v>
      </c>
      <c r="Y3" s="104" t="s">
        <v>15</v>
      </c>
      <c r="Z3" s="105" t="s">
        <v>35</v>
      </c>
      <c r="AA3" s="105" t="s">
        <v>36</v>
      </c>
      <c r="AB3" s="104" t="s">
        <v>35</v>
      </c>
      <c r="AC3" s="104" t="s">
        <v>36</v>
      </c>
      <c r="AE3" s="115"/>
      <c r="AF3" s="115"/>
      <c r="AG3" s="105" t="s">
        <v>25</v>
      </c>
      <c r="AH3" s="105" t="s">
        <v>159</v>
      </c>
      <c r="AI3" s="105" t="s">
        <v>24</v>
      </c>
      <c r="AJ3" s="105" t="s">
        <v>160</v>
      </c>
      <c r="AK3" s="115"/>
      <c r="AL3" s="115"/>
      <c r="AM3" s="115"/>
      <c r="AN3" s="104" t="s">
        <v>25</v>
      </c>
      <c r="AO3" s="104" t="s">
        <v>24</v>
      </c>
      <c r="AP3" s="104" t="s">
        <v>161</v>
      </c>
      <c r="AQ3" s="104" t="s">
        <v>26</v>
      </c>
      <c r="AR3" s="105" t="s">
        <v>11</v>
      </c>
      <c r="AS3" s="105" t="s">
        <v>12</v>
      </c>
      <c r="AT3" s="104" t="s">
        <v>13</v>
      </c>
      <c r="AU3" s="104" t="s">
        <v>14</v>
      </c>
      <c r="AV3" s="104" t="s">
        <v>15</v>
      </c>
      <c r="AW3" s="105" t="s">
        <v>35</v>
      </c>
      <c r="AX3" s="105" t="s">
        <v>36</v>
      </c>
      <c r="AY3" s="104" t="s">
        <v>35</v>
      </c>
      <c r="AZ3" s="104" t="s">
        <v>36</v>
      </c>
      <c r="BB3" s="105" t="s">
        <v>25</v>
      </c>
      <c r="BC3" s="105" t="s">
        <v>24</v>
      </c>
      <c r="BD3" s="105" t="s">
        <v>26</v>
      </c>
      <c r="BE3" s="115"/>
      <c r="BF3" s="115"/>
    </row>
    <row r="4" spans="1:58" ht="123" hidden="1" customHeight="1" x14ac:dyDescent="0.2">
      <c r="A4" s="9" t="s">
        <v>162</v>
      </c>
      <c r="B4" s="10" t="s">
        <v>163</v>
      </c>
      <c r="C4" s="9" t="s">
        <v>165</v>
      </c>
      <c r="D4" s="10" t="s">
        <v>166</v>
      </c>
      <c r="E4" s="9" t="s">
        <v>167</v>
      </c>
      <c r="F4" s="10" t="s">
        <v>168</v>
      </c>
      <c r="H4" s="9" t="s">
        <v>544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179</v>
      </c>
      <c r="R4" s="10" t="s">
        <v>180</v>
      </c>
      <c r="S4" s="10" t="s">
        <v>181</v>
      </c>
      <c r="T4" s="10" t="s">
        <v>182</v>
      </c>
      <c r="U4" s="9" t="s">
        <v>183</v>
      </c>
      <c r="V4" s="9" t="s">
        <v>184</v>
      </c>
      <c r="W4" s="10" t="s">
        <v>185</v>
      </c>
      <c r="X4" s="10" t="s">
        <v>186</v>
      </c>
      <c r="Y4" s="10" t="s">
        <v>187</v>
      </c>
      <c r="Z4" s="9" t="s">
        <v>188</v>
      </c>
      <c r="AA4" s="9" t="s">
        <v>189</v>
      </c>
      <c r="AB4" s="10" t="s">
        <v>190</v>
      </c>
      <c r="AC4" s="10" t="s">
        <v>191</v>
      </c>
      <c r="AE4" s="9" t="s">
        <v>545</v>
      </c>
      <c r="AF4" s="10" t="s">
        <v>192</v>
      </c>
      <c r="AG4" s="9" t="s">
        <v>193</v>
      </c>
      <c r="AH4" s="9" t="s">
        <v>194</v>
      </c>
      <c r="AI4" s="9" t="s">
        <v>195</v>
      </c>
      <c r="AJ4" s="9" t="s">
        <v>196</v>
      </c>
      <c r="AK4" s="9" t="s">
        <v>197</v>
      </c>
      <c r="AL4" s="10" t="s">
        <v>198</v>
      </c>
      <c r="AM4" s="9" t="s">
        <v>199</v>
      </c>
      <c r="AN4" s="10" t="s">
        <v>202</v>
      </c>
      <c r="AO4" s="10" t="s">
        <v>203</v>
      </c>
      <c r="AP4" s="10" t="s">
        <v>204</v>
      </c>
      <c r="AQ4" s="10" t="s">
        <v>205</v>
      </c>
      <c r="AR4" s="9" t="s">
        <v>206</v>
      </c>
      <c r="AS4" s="9" t="s">
        <v>207</v>
      </c>
      <c r="AT4" s="10" t="s">
        <v>208</v>
      </c>
      <c r="AU4" s="10" t="s">
        <v>209</v>
      </c>
      <c r="AV4" s="10" t="s">
        <v>210</v>
      </c>
      <c r="AW4" s="9" t="s">
        <v>211</v>
      </c>
      <c r="AX4" s="9" t="s">
        <v>212</v>
      </c>
      <c r="AY4" s="10" t="s">
        <v>213</v>
      </c>
      <c r="AZ4" s="10" t="s">
        <v>214</v>
      </c>
      <c r="BB4" s="9" t="s">
        <v>546</v>
      </c>
      <c r="BC4" s="9" t="s">
        <v>547</v>
      </c>
      <c r="BD4" s="9" t="s">
        <v>548</v>
      </c>
      <c r="BE4" s="10" t="s">
        <v>216</v>
      </c>
      <c r="BF4" s="9" t="s">
        <v>217</v>
      </c>
    </row>
    <row r="5" spans="1:58" collapsed="1" x14ac:dyDescent="0.2">
      <c r="A5" s="77" t="s">
        <v>228</v>
      </c>
      <c r="B5" s="77" t="s">
        <v>54</v>
      </c>
      <c r="C5" s="77">
        <v>238146391</v>
      </c>
      <c r="D5" s="11">
        <v>10</v>
      </c>
      <c r="E5" s="11">
        <v>32</v>
      </c>
      <c r="F5" s="11">
        <v>30</v>
      </c>
      <c r="H5" s="18">
        <f>IF(ISBLANK(Q5),"·",Q5/(C5*D5*3))</f>
        <v>3.096048262180047E-2</v>
      </c>
      <c r="I5" s="12">
        <f>IF(OR(ISBLANK(Q5),ISBLANK(F5)),"·",Q5*F5/E5/1000000)</f>
        <v>207.3692025</v>
      </c>
      <c r="J5" s="13">
        <f>IF(ISBLANK(Q5),"·",Q5/C5)</f>
        <v>0.92881447865401412</v>
      </c>
      <c r="K5" s="13">
        <f>IF(N5="","·",N5/C5)</f>
        <v>0.1421643211044924</v>
      </c>
      <c r="L5" s="13">
        <f>IF(R5="","·",R5/C5)</f>
        <v>0.13371096604189142</v>
      </c>
      <c r="M5" s="13">
        <f>IF(ISBLANK(T5),"·",T5/C5)</f>
        <v>0.78664962006499606</v>
      </c>
      <c r="N5" s="77">
        <f>IF(OR(ISBLANK(R5),ISBLANK(S5)),"",R5+S5)</f>
        <v>33855920</v>
      </c>
      <c r="O5" s="13">
        <v>16</v>
      </c>
      <c r="P5" s="14">
        <v>24964341</v>
      </c>
      <c r="Q5" s="15">
        <v>221193816</v>
      </c>
      <c r="R5" s="15">
        <v>31842784</v>
      </c>
      <c r="S5" s="15">
        <v>2013136</v>
      </c>
      <c r="T5" s="15">
        <v>187337768</v>
      </c>
      <c r="U5" s="16" t="s">
        <v>549</v>
      </c>
      <c r="V5" s="16" t="s">
        <v>549</v>
      </c>
      <c r="W5" s="16" t="s">
        <v>549</v>
      </c>
      <c r="X5" s="16" t="s">
        <v>549</v>
      </c>
      <c r="Y5" s="16" t="s">
        <v>549</v>
      </c>
      <c r="Z5" s="17">
        <v>2351.19</v>
      </c>
      <c r="AA5" s="17">
        <v>4508.47</v>
      </c>
      <c r="AB5" s="17">
        <v>2.6360000000000001</v>
      </c>
      <c r="AC5" s="17">
        <v>17.773</v>
      </c>
      <c r="AE5" s="18" t="str">
        <f>IF(ISBLANK(AN5),"·",AN5/(C5*D5*3))</f>
        <v>·</v>
      </c>
      <c r="AF5" s="12" t="str">
        <f>IF(OR(ISBLANK(AN5),ISBLANK(F5)),"·",AN5*F5/E5/1000000)</f>
        <v>·</v>
      </c>
      <c r="AG5" s="13" t="str">
        <f>IF(ISBLANK(AN5),"·",AN5/C5)</f>
        <v>·</v>
      </c>
      <c r="AH5" s="13" t="str">
        <f>IF(AK5="","·",AK5/C5)</f>
        <v>·</v>
      </c>
      <c r="AI5" s="13" t="str">
        <f>IF(AO5="","·",AO5/C5)</f>
        <v>·</v>
      </c>
      <c r="AJ5" s="13" t="str">
        <f>IF(ISBLANK(AQ5),"·",AQ5/C5)</f>
        <v>·</v>
      </c>
      <c r="AK5" s="77" t="str">
        <f>IF(OR(ISBLANK(AO5),ISBLANK(AP5)),"",AO5+AP5)</f>
        <v/>
      </c>
      <c r="AL5" s="13">
        <v>16</v>
      </c>
      <c r="AM5" s="14"/>
      <c r="AN5" s="15"/>
      <c r="AO5" s="15"/>
      <c r="AP5" s="15"/>
      <c r="AQ5" s="15"/>
      <c r="AR5" s="16"/>
      <c r="AS5" s="16"/>
      <c r="AT5" s="16"/>
      <c r="AU5" s="16"/>
      <c r="AV5" s="16"/>
      <c r="AW5" s="17"/>
      <c r="AX5" s="17"/>
      <c r="AY5" s="17"/>
      <c r="AZ5" s="17"/>
      <c r="BB5" s="79" t="e">
        <f t="shared" ref="BB5:BB12" si="0">AG5/J5</f>
        <v>#VALUE!</v>
      </c>
      <c r="BC5" s="79" t="e">
        <f t="shared" ref="BC5:BD12" si="1">AI5/L5</f>
        <v>#VALUE!</v>
      </c>
      <c r="BD5" s="79" t="e">
        <f t="shared" si="1"/>
        <v>#VALUE!</v>
      </c>
      <c r="BE5" s="18" t="e">
        <f>(AK5/AN5) - (N5/Q5)</f>
        <v>#VALUE!</v>
      </c>
      <c r="BF5" s="18" t="e">
        <f t="array" ref="BF5">AVERAGE(AK5:AK5/AN5:AN5) - AVERAGE(N5:N5/Q5:Q5)</f>
        <v>#VALUE!</v>
      </c>
    </row>
    <row r="6" spans="1:58" collapsed="1" x14ac:dyDescent="0.2">
      <c r="A6" s="69"/>
      <c r="B6" s="69" t="s">
        <v>62</v>
      </c>
      <c r="C6" s="69">
        <v>218121242</v>
      </c>
      <c r="D6" s="19">
        <v>10</v>
      </c>
      <c r="E6" s="19">
        <v>32</v>
      </c>
      <c r="F6" s="19">
        <v>30</v>
      </c>
      <c r="H6" s="26">
        <f>IF(ISBLANK(Q6),"·",Q6/(C6*D6*3))</f>
        <v>4.413692332328336E-2</v>
      </c>
      <c r="I6" s="20">
        <f>IF(OR(ISBLANK(Q6),ISBLANK(F6)),"·",Q6*F6/E6/1000000)</f>
        <v>270.76501500000001</v>
      </c>
      <c r="J6" s="21">
        <f>IF(ISBLANK(Q6),"·",Q6/C6)</f>
        <v>1.3241076996985006</v>
      </c>
      <c r="K6" s="21">
        <f>IF(N6="","·",N6/C6)</f>
        <v>0.17332712602104108</v>
      </c>
      <c r="L6" s="21">
        <f>IF(R6="","·",R6/C6)</f>
        <v>0.15868308690448407</v>
      </c>
      <c r="M6" s="21">
        <f>IF(ISBLANK(T6),"·",T6/C6)</f>
        <v>1.1507799868478652</v>
      </c>
      <c r="N6" s="69">
        <f>IF(OR(ISBLANK(R6),ISBLANK(S6)),"",R6+S6)</f>
        <v>37806328</v>
      </c>
      <c r="O6" s="21">
        <v>16</v>
      </c>
      <c r="P6" s="22">
        <v>22654789</v>
      </c>
      <c r="Q6" s="23">
        <v>288816016</v>
      </c>
      <c r="R6" s="23">
        <v>34612152</v>
      </c>
      <c r="S6" s="23">
        <v>3194176</v>
      </c>
      <c r="T6" s="23">
        <v>251009560</v>
      </c>
      <c r="U6" s="24" t="s">
        <v>549</v>
      </c>
      <c r="V6" s="24" t="s">
        <v>549</v>
      </c>
      <c r="W6" s="24" t="s">
        <v>549</v>
      </c>
      <c r="X6" s="24" t="s">
        <v>549</v>
      </c>
      <c r="Y6" s="24" t="s">
        <v>549</v>
      </c>
      <c r="Z6" s="25">
        <v>2144.2800000000002</v>
      </c>
      <c r="AA6" s="25">
        <v>4534.5600000000004</v>
      </c>
      <c r="AB6" s="25">
        <v>2.407</v>
      </c>
      <c r="AC6" s="25">
        <v>18.044</v>
      </c>
      <c r="AE6" s="26" t="str">
        <f>IF(ISBLANK(AN6),"·",AN6/(C6*D6*3))</f>
        <v>·</v>
      </c>
      <c r="AF6" s="20" t="str">
        <f>IF(OR(ISBLANK(AN6),ISBLANK(F6)),"·",AN6*F6/E6/1000000)</f>
        <v>·</v>
      </c>
      <c r="AG6" s="21" t="str">
        <f>IF(ISBLANK(AN6),"·",AN6/C6)</f>
        <v>·</v>
      </c>
      <c r="AH6" s="21" t="str">
        <f>IF(AK6="","·",AK6/C6)</f>
        <v>·</v>
      </c>
      <c r="AI6" s="21" t="str">
        <f>IF(AO6="","·",AO6/C6)</f>
        <v>·</v>
      </c>
      <c r="AJ6" s="21" t="str">
        <f>IF(ISBLANK(AQ6),"·",AQ6/C6)</f>
        <v>·</v>
      </c>
      <c r="AK6" s="69" t="str">
        <f>IF(OR(ISBLANK(AO6),ISBLANK(AP6)),"",AO6+AP6)</f>
        <v/>
      </c>
      <c r="AL6" s="21">
        <v>16</v>
      </c>
      <c r="AM6" s="22"/>
      <c r="AN6" s="23"/>
      <c r="AO6" s="23"/>
      <c r="AP6" s="23"/>
      <c r="AQ6" s="23"/>
      <c r="AR6" s="24"/>
      <c r="AS6" s="24"/>
      <c r="AT6" s="24"/>
      <c r="AU6" s="24"/>
      <c r="AV6" s="24"/>
      <c r="AW6" s="25"/>
      <c r="AX6" s="25"/>
      <c r="AY6" s="25"/>
      <c r="AZ6" s="25"/>
      <c r="BB6" s="71" t="e">
        <f t="shared" si="0"/>
        <v>#VALUE!</v>
      </c>
      <c r="BC6" s="71" t="e">
        <f t="shared" si="1"/>
        <v>#VALUE!</v>
      </c>
      <c r="BD6" s="71" t="e">
        <f t="shared" si="1"/>
        <v>#VALUE!</v>
      </c>
      <c r="BE6" s="26" t="e">
        <f>(AK6/AN6) - (N6/Q6)</f>
        <v>#VALUE!</v>
      </c>
      <c r="BF6" s="26" t="e">
        <f t="array" ref="BF6">AVERAGE(AK6:AK6/AN6:AN6) - AVERAGE(N6:N6/Q6:Q6)</f>
        <v>#VALUE!</v>
      </c>
    </row>
    <row r="7" spans="1:58" collapsed="1" x14ac:dyDescent="0.2">
      <c r="A7" s="77"/>
      <c r="B7" s="77" t="s">
        <v>67</v>
      </c>
      <c r="C7" s="77">
        <v>322589704</v>
      </c>
      <c r="D7" s="11">
        <v>10</v>
      </c>
      <c r="E7" s="11">
        <v>32</v>
      </c>
      <c r="F7" s="11">
        <v>30</v>
      </c>
      <c r="H7" s="18">
        <f>IF(ISBLANK(Q7),"·",Q7/(C7*D7*3))</f>
        <v>3.4243757099782286E-2</v>
      </c>
      <c r="I7" s="12">
        <f>IF(OR(ISBLANK(Q7),ISBLANK(F7)),"·",Q7*F7/E7/1000000)</f>
        <v>310.6879725</v>
      </c>
      <c r="J7" s="13">
        <f>IF(ISBLANK(Q7),"·",Q7/C7)</f>
        <v>1.0273127129934687</v>
      </c>
      <c r="K7" s="13">
        <f>IF(N7="","·",N7/C7)</f>
        <v>0.15727758006808551</v>
      </c>
      <c r="L7" s="13">
        <f>IF(R7="","·",R7/C7)</f>
        <v>0.14534901585079726</v>
      </c>
      <c r="M7" s="13">
        <f>IF(ISBLANK(T7),"·",T7/C7)</f>
        <v>0.87003473613652593</v>
      </c>
      <c r="N7" s="77">
        <f>IF(OR(ISBLANK(R7),ISBLANK(S7)),"",R7+S7)</f>
        <v>50736128</v>
      </c>
      <c r="O7" s="13">
        <v>16</v>
      </c>
      <c r="P7" s="14">
        <v>33947718</v>
      </c>
      <c r="Q7" s="15">
        <v>331400504</v>
      </c>
      <c r="R7" s="15">
        <v>46888096</v>
      </c>
      <c r="S7" s="15">
        <v>3848032</v>
      </c>
      <c r="T7" s="15">
        <v>280664248</v>
      </c>
      <c r="U7" s="16" t="s">
        <v>549</v>
      </c>
      <c r="V7" s="16" t="s">
        <v>549</v>
      </c>
      <c r="W7" s="16" t="s">
        <v>549</v>
      </c>
      <c r="X7" s="16" t="s">
        <v>549</v>
      </c>
      <c r="Y7" s="16" t="s">
        <v>549</v>
      </c>
      <c r="Z7" s="17">
        <v>3361.2</v>
      </c>
      <c r="AA7" s="17">
        <v>6400.29</v>
      </c>
      <c r="AB7" s="17">
        <v>3.52</v>
      </c>
      <c r="AC7" s="17">
        <v>21.207999999999998</v>
      </c>
      <c r="AE7" s="18" t="str">
        <f>IF(ISBLANK(AN7),"·",AN7/(C7*D7*3))</f>
        <v>·</v>
      </c>
      <c r="AF7" s="12" t="str">
        <f>IF(OR(ISBLANK(AN7),ISBLANK(F7)),"·",AN7*F7/E7/1000000)</f>
        <v>·</v>
      </c>
      <c r="AG7" s="13" t="str">
        <f>IF(ISBLANK(AN7),"·",AN7/C7)</f>
        <v>·</v>
      </c>
      <c r="AH7" s="13" t="str">
        <f>IF(AK7="","·",AK7/C7)</f>
        <v>·</v>
      </c>
      <c r="AI7" s="13" t="str">
        <f>IF(AO7="","·",AO7/C7)</f>
        <v>·</v>
      </c>
      <c r="AJ7" s="13" t="str">
        <f>IF(ISBLANK(AQ7),"·",AQ7/C7)</f>
        <v>·</v>
      </c>
      <c r="AK7" s="77" t="str">
        <f>IF(OR(ISBLANK(AO7),ISBLANK(AP7)),"",AO7+AP7)</f>
        <v/>
      </c>
      <c r="AL7" s="13">
        <v>16</v>
      </c>
      <c r="AM7" s="14"/>
      <c r="AN7" s="15"/>
      <c r="AO7" s="15"/>
      <c r="AP7" s="15"/>
      <c r="AQ7" s="15"/>
      <c r="AR7" s="16"/>
      <c r="AS7" s="16"/>
      <c r="AT7" s="16"/>
      <c r="AU7" s="16"/>
      <c r="AV7" s="16"/>
      <c r="AW7" s="17"/>
      <c r="AX7" s="17"/>
      <c r="AY7" s="17"/>
      <c r="AZ7" s="17"/>
      <c r="BB7" s="79" t="e">
        <f t="shared" si="0"/>
        <v>#VALUE!</v>
      </c>
      <c r="BC7" s="79" t="e">
        <f t="shared" si="1"/>
        <v>#VALUE!</v>
      </c>
      <c r="BD7" s="79" t="e">
        <f t="shared" si="1"/>
        <v>#VALUE!</v>
      </c>
      <c r="BE7" s="18" t="e">
        <f>(AK7/AN7) - (N7/Q7)</f>
        <v>#VALUE!</v>
      </c>
      <c r="BF7" s="18" t="e">
        <f t="array" ref="BF7">AVERAGE(AK7:AK7/AN7:AN7) - AVERAGE(N7:N7/Q7:Q7)</f>
        <v>#VALUE!</v>
      </c>
    </row>
    <row r="8" spans="1:58" collapsed="1" x14ac:dyDescent="0.2">
      <c r="A8" s="37"/>
      <c r="B8" s="37" t="s">
        <v>72</v>
      </c>
      <c r="C8" s="37">
        <v>250602891</v>
      </c>
      <c r="D8" s="38">
        <v>10</v>
      </c>
      <c r="E8" s="38">
        <v>32</v>
      </c>
      <c r="F8" s="38">
        <v>50</v>
      </c>
      <c r="H8" s="45">
        <f>IF(ISBLANK(Q8),"·",Q8/(C8*D8*3))</f>
        <v>3.2750798553237759E-2</v>
      </c>
      <c r="I8" s="39">
        <f>IF(OR(ISBLANK(Q8),ISBLANK(F8)),"·",Q8*F8/E8/1000000)</f>
        <v>384.723975</v>
      </c>
      <c r="J8" s="40">
        <f>IF(ISBLANK(Q8),"·",Q8/C8)</f>
        <v>0.98252395659713276</v>
      </c>
      <c r="K8" s="40">
        <f>IF(N8="","·",N8/C8)</f>
        <v>0.12686688438881577</v>
      </c>
      <c r="L8" s="40">
        <f>IF(R8="","·",R8/C8)</f>
        <v>0.10753296537189588</v>
      </c>
      <c r="M8" s="40">
        <f>IF(ISBLANK(T8),"·",T8/C8)</f>
        <v>0.8556565614400673</v>
      </c>
      <c r="N8" s="37">
        <f>IF(OR(ISBLANK(R8),ISBLANK(S8)),"",R8+S8)</f>
        <v>31793208</v>
      </c>
      <c r="O8" s="40">
        <v>16</v>
      </c>
      <c r="P8" s="41">
        <v>32209643</v>
      </c>
      <c r="Q8" s="42">
        <v>246223344</v>
      </c>
      <c r="R8" s="42">
        <v>26948072</v>
      </c>
      <c r="S8" s="42">
        <v>4845136</v>
      </c>
      <c r="T8" s="42">
        <v>214430008</v>
      </c>
      <c r="U8" s="43" t="s">
        <v>549</v>
      </c>
      <c r="V8" s="43" t="s">
        <v>549</v>
      </c>
      <c r="W8" s="43" t="s">
        <v>549</v>
      </c>
      <c r="X8" s="43" t="s">
        <v>549</v>
      </c>
      <c r="Y8" s="43" t="s">
        <v>549</v>
      </c>
      <c r="Z8" s="44">
        <v>3142.66</v>
      </c>
      <c r="AA8" s="44">
        <v>4465.83</v>
      </c>
      <c r="AB8" s="44">
        <v>2.8929999999999998</v>
      </c>
      <c r="AC8" s="44">
        <v>16.629000000000001</v>
      </c>
      <c r="AE8" s="45" t="str">
        <f>IF(ISBLANK(AN8),"·",AN8/(C8*D8*3))</f>
        <v>·</v>
      </c>
      <c r="AF8" s="39" t="str">
        <f>IF(OR(ISBLANK(AN8),ISBLANK(F8)),"·",AN8*F8/E8/1000000)</f>
        <v>·</v>
      </c>
      <c r="AG8" s="40" t="str">
        <f>IF(ISBLANK(AN8),"·",AN8/C8)</f>
        <v>·</v>
      </c>
      <c r="AH8" s="40" t="str">
        <f>IF(AK8="","·",AK8/C8)</f>
        <v>·</v>
      </c>
      <c r="AI8" s="40" t="str">
        <f>IF(AO8="","·",AO8/C8)</f>
        <v>·</v>
      </c>
      <c r="AJ8" s="40" t="str">
        <f>IF(ISBLANK(AQ8),"·",AQ8/C8)</f>
        <v>·</v>
      </c>
      <c r="AK8" s="37" t="str">
        <f>IF(OR(ISBLANK(AO8),ISBLANK(AP8)),"",AO8+AP8)</f>
        <v/>
      </c>
      <c r="AL8" s="40">
        <v>16</v>
      </c>
      <c r="AM8" s="41"/>
      <c r="AN8" s="42"/>
      <c r="AO8" s="42"/>
      <c r="AP8" s="42"/>
      <c r="AQ8" s="42"/>
      <c r="AR8" s="43"/>
      <c r="AS8" s="43"/>
      <c r="AT8" s="43"/>
      <c r="AU8" s="43"/>
      <c r="AV8" s="43"/>
      <c r="AW8" s="44"/>
      <c r="AX8" s="44"/>
      <c r="AY8" s="44"/>
      <c r="AZ8" s="44"/>
      <c r="BB8" s="46" t="e">
        <f t="shared" si="0"/>
        <v>#VALUE!</v>
      </c>
      <c r="BC8" s="46" t="e">
        <f t="shared" si="1"/>
        <v>#VALUE!</v>
      </c>
      <c r="BD8" s="46" t="e">
        <f t="shared" si="1"/>
        <v>#VALUE!</v>
      </c>
      <c r="BE8" s="45" t="e">
        <f>(AK8/AN8) - (N8/Q8)</f>
        <v>#VALUE!</v>
      </c>
      <c r="BF8" s="45" t="e">
        <f t="array" ref="BF8">AVERAGE(AK8:AK8/AN8:AN8) - AVERAGE(N8:N8/Q8:Q8)</f>
        <v>#VALUE!</v>
      </c>
    </row>
    <row r="9" spans="1:58" collapsed="1" x14ac:dyDescent="0.2">
      <c r="A9" s="27" t="s">
        <v>234</v>
      </c>
      <c r="B9" s="27" t="s">
        <v>75</v>
      </c>
      <c r="C9" s="27">
        <v>250294582</v>
      </c>
      <c r="D9" s="28">
        <v>10</v>
      </c>
      <c r="E9" s="28">
        <v>32</v>
      </c>
      <c r="F9" s="28">
        <v>30</v>
      </c>
      <c r="H9" s="35">
        <f>IF(ISBLANK(Q9),"·",Q9/(C9*D9*3))</f>
        <v>5.0697764338076379E-2</v>
      </c>
      <c r="I9" s="29">
        <f>IF(OR(ISBLANK(Q9),ISBLANK(F9)),"·",Q9*F9/E9/1000000)</f>
        <v>356.88869249999999</v>
      </c>
      <c r="J9" s="30">
        <f>IF(ISBLANK(Q9),"·",Q9/C9)</f>
        <v>1.5209329301422914</v>
      </c>
      <c r="K9" s="30">
        <f>IF(N9="","·",N9/C9)</f>
        <v>0.15313427759295245</v>
      </c>
      <c r="L9" s="30">
        <f>IF(R9="","·",R9/C9)</f>
        <v>0.14298706633609831</v>
      </c>
      <c r="M9" s="30">
        <f>IF(ISBLANK(T9),"·",T9/C9)</f>
        <v>1.3677981411519327</v>
      </c>
      <c r="N9" s="27">
        <f>IF(OR(ISBLANK(R9),ISBLANK(S9)),"",R9+S9)</f>
        <v>38328680</v>
      </c>
      <c r="O9" s="30">
        <v>16</v>
      </c>
      <c r="P9" s="31">
        <v>25312408</v>
      </c>
      <c r="Q9" s="32">
        <v>380681272</v>
      </c>
      <c r="R9" s="32">
        <v>35788888</v>
      </c>
      <c r="S9" s="32">
        <v>2539792</v>
      </c>
      <c r="T9" s="32">
        <v>342352464</v>
      </c>
      <c r="U9" s="33" t="s">
        <v>549</v>
      </c>
      <c r="V9" s="33" t="s">
        <v>549</v>
      </c>
      <c r="W9" s="33" t="s">
        <v>549</v>
      </c>
      <c r="X9" s="33" t="s">
        <v>549</v>
      </c>
      <c r="Y9" s="33" t="s">
        <v>549</v>
      </c>
      <c r="Z9" s="34">
        <v>2512.34</v>
      </c>
      <c r="AA9" s="34">
        <v>5648.68</v>
      </c>
      <c r="AB9" s="34">
        <v>2.847</v>
      </c>
      <c r="AC9" s="34">
        <v>23.608000000000001</v>
      </c>
      <c r="AE9" s="35" t="str">
        <f>IF(ISBLANK(AN9),"·",AN9/(C9*D9*3))</f>
        <v>·</v>
      </c>
      <c r="AF9" s="29" t="str">
        <f>IF(OR(ISBLANK(AN9),ISBLANK(F9)),"·",AN9*F9/E9/1000000)</f>
        <v>·</v>
      </c>
      <c r="AG9" s="30" t="str">
        <f>IF(ISBLANK(AN9),"·",AN9/C9)</f>
        <v>·</v>
      </c>
      <c r="AH9" s="30" t="str">
        <f>IF(AK9="","·",AK9/C9)</f>
        <v>·</v>
      </c>
      <c r="AI9" s="30" t="str">
        <f>IF(AO9="","·",AO9/C9)</f>
        <v>·</v>
      </c>
      <c r="AJ9" s="30" t="str">
        <f>IF(ISBLANK(AQ9),"·",AQ9/C9)</f>
        <v>·</v>
      </c>
      <c r="AK9" s="27" t="str">
        <f>IF(OR(ISBLANK(AO9),ISBLANK(AP9)),"",AO9+AP9)</f>
        <v/>
      </c>
      <c r="AL9" s="30">
        <v>16</v>
      </c>
      <c r="AM9" s="31"/>
      <c r="AN9" s="32"/>
      <c r="AO9" s="32"/>
      <c r="AP9" s="32"/>
      <c r="AQ9" s="32"/>
      <c r="AR9" s="33"/>
      <c r="AS9" s="33"/>
      <c r="AT9" s="33"/>
      <c r="AU9" s="33"/>
      <c r="AV9" s="33"/>
      <c r="AW9" s="34"/>
      <c r="AX9" s="34"/>
      <c r="AY9" s="34"/>
      <c r="AZ9" s="34"/>
      <c r="BB9" s="36" t="e">
        <f t="shared" si="0"/>
        <v>#VALUE!</v>
      </c>
      <c r="BC9" s="36" t="e">
        <f t="shared" si="1"/>
        <v>#VALUE!</v>
      </c>
      <c r="BD9" s="36" t="e">
        <f t="shared" si="1"/>
        <v>#VALUE!</v>
      </c>
      <c r="BE9" s="35" t="e">
        <f>(AK9/AN9) - (N9/Q9)</f>
        <v>#VALUE!</v>
      </c>
      <c r="BF9" s="35" t="e">
        <f t="array" ref="BF9">AVERAGE(AK9:AK9/AN9:AN9) - AVERAGE(N9:N9/Q9:Q9)</f>
        <v>#VALUE!</v>
      </c>
    </row>
    <row r="10" spans="1:58" ht="16" x14ac:dyDescent="0.2">
      <c r="B10" s="47" t="s">
        <v>16</v>
      </c>
      <c r="J10" s="48">
        <f>AVERAGE(J5:J8)</f>
        <v>1.0656897119857791</v>
      </c>
      <c r="K10" s="48">
        <f>AVERAGE(K5:K8)</f>
        <v>0.1499089778956087</v>
      </c>
      <c r="L10" s="48">
        <f>AVERAGE(L5:L8)</f>
        <v>0.13631900854226714</v>
      </c>
      <c r="M10" s="48">
        <f>AVERAGE(M5:M8)</f>
        <v>0.91578022612236354</v>
      </c>
      <c r="AG10" s="48" t="e">
        <f>AVERAGE(AG5:AG8)</f>
        <v>#DIV/0!</v>
      </c>
      <c r="AH10" s="48" t="e">
        <f>AVERAGE(AH5:AH8)</f>
        <v>#DIV/0!</v>
      </c>
      <c r="AI10" s="48" t="e">
        <f>AVERAGE(AI5:AI8)</f>
        <v>#DIV/0!</v>
      </c>
      <c r="AJ10" s="48" t="e">
        <f>AVERAGE(AJ5:AJ8)</f>
        <v>#DIV/0!</v>
      </c>
      <c r="BB10" s="98" t="e">
        <f t="shared" si="0"/>
        <v>#DIV/0!</v>
      </c>
      <c r="BC10" s="98" t="e">
        <f t="shared" si="1"/>
        <v>#DIV/0!</v>
      </c>
      <c r="BD10" s="98" t="e">
        <f t="shared" si="1"/>
        <v>#DIV/0!</v>
      </c>
      <c r="BF10" s="103" t="e">
        <f>AVERAGE(BF5:BF8)</f>
        <v>#VALUE!</v>
      </c>
    </row>
    <row r="11" spans="1:58" ht="16" x14ac:dyDescent="0.2">
      <c r="B11" s="47" t="s">
        <v>17</v>
      </c>
      <c r="J11" s="48">
        <f>AVERAGE(J9:J9)</f>
        <v>1.5209329301422914</v>
      </c>
      <c r="K11" s="48">
        <f>AVERAGE(K9:K9)</f>
        <v>0.15313427759295245</v>
      </c>
      <c r="L11" s="48">
        <f>AVERAGE(L9:L9)</f>
        <v>0.14298706633609831</v>
      </c>
      <c r="M11" s="48">
        <f>AVERAGE(M9:M9)</f>
        <v>1.3677981411519327</v>
      </c>
      <c r="AG11" s="48" t="e">
        <f>AVERAGE(AG9:AG9)</f>
        <v>#DIV/0!</v>
      </c>
      <c r="AH11" s="48" t="e">
        <f>AVERAGE(AH9:AH9)</f>
        <v>#DIV/0!</v>
      </c>
      <c r="AI11" s="48" t="e">
        <f>AVERAGE(AI9:AI9)</f>
        <v>#DIV/0!</v>
      </c>
      <c r="AJ11" s="48" t="e">
        <f>AVERAGE(AJ9:AJ9)</f>
        <v>#DIV/0!</v>
      </c>
      <c r="BB11" s="98" t="e">
        <f t="shared" si="0"/>
        <v>#DIV/0!</v>
      </c>
      <c r="BC11" s="98" t="e">
        <f t="shared" si="1"/>
        <v>#DIV/0!</v>
      </c>
      <c r="BD11" s="98" t="e">
        <f t="shared" si="1"/>
        <v>#DIV/0!</v>
      </c>
      <c r="BF11" s="103" t="e">
        <f>AVERAGE(BF9:BF9)</f>
        <v>#VALUE!</v>
      </c>
    </row>
    <row r="12" spans="1:58" ht="16" x14ac:dyDescent="0.2">
      <c r="B12" s="47" t="s">
        <v>18</v>
      </c>
      <c r="J12" s="48">
        <f>AVERAGE(J5:J9)</f>
        <v>1.1567383556170816</v>
      </c>
      <c r="K12" s="48">
        <f>AVERAGE(K5:K9)</f>
        <v>0.15055403783507745</v>
      </c>
      <c r="L12" s="48">
        <f>AVERAGE(L5:L9)</f>
        <v>0.13765262010103338</v>
      </c>
      <c r="M12" s="48">
        <f>AVERAGE(M5:M9)</f>
        <v>1.0061838091282773</v>
      </c>
      <c r="AG12" s="48" t="e">
        <f>AVERAGE(AG5:AG9)</f>
        <v>#DIV/0!</v>
      </c>
      <c r="AH12" s="48" t="e">
        <f>AVERAGE(AH5:AH9)</f>
        <v>#DIV/0!</v>
      </c>
      <c r="AI12" s="48" t="e">
        <f>AVERAGE(AI5:AI9)</f>
        <v>#DIV/0!</v>
      </c>
      <c r="AJ12" s="48" t="e">
        <f>AVERAGE(AJ5:AJ9)</f>
        <v>#DIV/0!</v>
      </c>
      <c r="BB12" s="98" t="e">
        <f t="shared" si="0"/>
        <v>#DIV/0!</v>
      </c>
      <c r="BC12" s="98" t="e">
        <f t="shared" si="1"/>
        <v>#DIV/0!</v>
      </c>
      <c r="BD12" s="98" t="e">
        <f t="shared" si="1"/>
        <v>#DIV/0!</v>
      </c>
      <c r="BF12" s="103" t="e">
        <f>AVERAGE(BF5:BF9)</f>
        <v>#VALUE!</v>
      </c>
    </row>
    <row r="13" spans="1:58" ht="16" hidden="1" outlineLevel="2" x14ac:dyDescent="0.2">
      <c r="A13" s="47" t="s">
        <v>235</v>
      </c>
      <c r="B13" s="47" t="s">
        <v>236</v>
      </c>
      <c r="Z13" s="49">
        <f>SUM(Z5:Z8,Z9:Z9)</f>
        <v>13511.67</v>
      </c>
      <c r="AA13" s="49">
        <f>SUM(AA5:AA8,AA9:AA9)</f>
        <v>25557.83</v>
      </c>
      <c r="AB13" s="49">
        <f>SUM(AB5:AB8,AB9:AB9)</f>
        <v>14.302999999999999</v>
      </c>
      <c r="AC13" s="49">
        <f>SUM(AC5:AC8,AC9:AC9)</f>
        <v>97.262</v>
      </c>
      <c r="AW13" s="49">
        <f>SUM(AW5:AW8,AW9:AW9)</f>
        <v>0</v>
      </c>
      <c r="AX13" s="49">
        <f>SUM(AX5:AX8,AX9:AX9)</f>
        <v>0</v>
      </c>
      <c r="AY13" s="49">
        <f>SUM(AY5:AY8,AY9:AY9)</f>
        <v>0</v>
      </c>
      <c r="AZ13" s="49">
        <f>SUM(AZ5:AZ8,AZ9:AZ9)</f>
        <v>0</v>
      </c>
    </row>
    <row r="14" spans="1:58" ht="16" hidden="1" outlineLevel="2" x14ac:dyDescent="0.2">
      <c r="B14" s="47" t="s">
        <v>237</v>
      </c>
      <c r="AW14" s="103">
        <f>AW13/Z13</f>
        <v>0</v>
      </c>
      <c r="AX14" s="103">
        <f>AX13/AA13</f>
        <v>0</v>
      </c>
      <c r="AY14" s="103">
        <f>AY13/AB13</f>
        <v>0</v>
      </c>
      <c r="AZ14" s="103">
        <f>AZ13/AC13</f>
        <v>0</v>
      </c>
    </row>
    <row r="15" spans="1:58" ht="16" hidden="1" outlineLevel="2" x14ac:dyDescent="0.2">
      <c r="B15" s="47" t="s">
        <v>238</v>
      </c>
      <c r="Z15" s="49">
        <f>GEOMEAN(Z5:Z8,Z9:Z9)</f>
        <v>2662.4893379788991</v>
      </c>
      <c r="AA15" s="49">
        <f>GEOMEAN(AA5:AA8,AA9:AA9)</f>
        <v>5055.0171080461187</v>
      </c>
      <c r="AB15" s="49">
        <f>GEOMEAN(AB5:AB8,AB9:AB9)</f>
        <v>2.8375270615387769</v>
      </c>
      <c r="AC15" s="49">
        <f>GEOMEAN(AC5:AC8,AC9:AC9)</f>
        <v>19.288733855480238</v>
      </c>
      <c r="AW15" s="49" t="e">
        <f>GEOMEAN(AW5:AW8,AW9:AW9)</f>
        <v>#NUM!</v>
      </c>
      <c r="AX15" s="49" t="e">
        <f>GEOMEAN(AX5:AX8,AX9:AX9)</f>
        <v>#NUM!</v>
      </c>
      <c r="AY15" s="49" t="e">
        <f>GEOMEAN(AY5:AY8,AY9:AY9)</f>
        <v>#NUM!</v>
      </c>
      <c r="AZ15" s="49" t="e">
        <f>GEOMEAN(AZ5:AZ8,AZ9:AZ9)</f>
        <v>#NUM!</v>
      </c>
    </row>
    <row r="16" spans="1:58" ht="16" outlineLevel="2" collapsed="1" x14ac:dyDescent="0.2">
      <c r="B16" s="47" t="s">
        <v>239</v>
      </c>
      <c r="AW16" s="103" t="e">
        <f>AW15/Z15</f>
        <v>#NUM!</v>
      </c>
      <c r="AX16" s="103" t="e">
        <f>AX15/AA15</f>
        <v>#NUM!</v>
      </c>
      <c r="AY16" s="103" t="e">
        <f>AY15/AB15</f>
        <v>#NUM!</v>
      </c>
      <c r="AZ16" s="103" t="e">
        <f>AZ15/AC15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47" priority="3" operator="greaterThanOrEqual">
      <formula>1.03</formula>
    </cfRule>
    <cfRule type="cellIs" dxfId="46" priority="4" operator="lessThanOrEqual">
      <formula>0.97</formula>
    </cfRule>
  </conditionalFormatting>
  <conditionalFormatting sqref="BC10 BC11 BC12">
    <cfRule type="cellIs" dxfId="45" priority="5" operator="greaterThanOrEqual">
      <formula>1.03</formula>
    </cfRule>
    <cfRule type="cellIs" dxfId="44" priority="6" operator="lessThanOrEqual">
      <formula>0.97</formula>
    </cfRule>
  </conditionalFormatting>
  <conditionalFormatting sqref="BD10 BD11 BD12">
    <cfRule type="cellIs" dxfId="43" priority="1" operator="greaterThanOrEqual">
      <formula>1.03</formula>
    </cfRule>
    <cfRule type="cellIs" dxfId="42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outlinePr summaryBelow="0"/>
  </sheetPr>
  <dimension ref="A1:BG16"/>
  <sheetViews>
    <sheetView topLeftCell="A10" workbookViewId="0">
      <pane xSplit="2" topLeftCell="AL1" activePane="topRight" state="frozen"/>
      <selection pane="topRight" activeCell="AM5" sqref="AM5:AZ9"/>
    </sheetView>
  </sheetViews>
  <sheetFormatPr baseColWidth="10" defaultColWidth="8.83203125" defaultRowHeight="15" outlineLevelRow="2" x14ac:dyDescent="0.2"/>
  <cols>
    <col min="2" max="2" width="24.6640625" style="4" customWidth="1"/>
    <col min="3" max="4" width="10.6640625" style="4" customWidth="1"/>
    <col min="7" max="7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7" max="20" width="12.6640625" style="4" customWidth="1"/>
    <col min="21" max="25" width="11.6640625" style="4" customWidth="1"/>
    <col min="30" max="30" width="1.6640625" style="4" customWidth="1"/>
    <col min="33" max="36" width="10.6640625" style="4" customWidth="1"/>
    <col min="37" max="37" width="24.6640625" style="4" hidden="1" customWidth="1"/>
    <col min="38" max="38" width="12.6640625" style="4" customWidth="1"/>
    <col min="39" max="39" width="10.6640625" style="4" customWidth="1"/>
    <col min="40" max="43" width="12.6640625" style="4" customWidth="1"/>
    <col min="44" max="48" width="11.6640625" style="4" customWidth="1"/>
    <col min="53" max="53" width="1.6640625" style="4" customWidth="1"/>
    <col min="59" max="59" width="1.6640625" style="4" customWidth="1"/>
  </cols>
  <sheetData>
    <row r="1" spans="1:58" x14ac:dyDescent="0.2">
      <c r="A1" s="126" t="s">
        <v>550</v>
      </c>
      <c r="B1" s="112"/>
      <c r="C1" s="112"/>
      <c r="D1" s="112"/>
      <c r="E1" s="112"/>
      <c r="F1" s="112"/>
      <c r="H1" s="111" t="str">
        <f>Summary!$C$1</f>
        <v>master+r5.2</v>
      </c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E1" s="113" t="str">
        <f>Summary!$C$2</f>
        <v>mpeg126-integration+r60rc02</v>
      </c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</row>
    <row r="2" spans="1:58" ht="30" customHeight="1" x14ac:dyDescent="0.2">
      <c r="A2" s="122" t="s">
        <v>140</v>
      </c>
      <c r="B2" s="123" t="s">
        <v>141</v>
      </c>
      <c r="C2" s="122" t="s">
        <v>143</v>
      </c>
      <c r="D2" s="123" t="s">
        <v>144</v>
      </c>
      <c r="E2" s="122" t="s">
        <v>145</v>
      </c>
      <c r="F2" s="123" t="s">
        <v>146</v>
      </c>
      <c r="H2" s="122" t="s">
        <v>543</v>
      </c>
      <c r="I2" s="123" t="s">
        <v>147</v>
      </c>
      <c r="J2" s="124" t="s">
        <v>148</v>
      </c>
      <c r="K2" s="112"/>
      <c r="L2" s="112"/>
      <c r="M2" s="112"/>
      <c r="N2" s="122" t="s">
        <v>149</v>
      </c>
      <c r="O2" s="123" t="s">
        <v>150</v>
      </c>
      <c r="P2" s="122" t="s">
        <v>85</v>
      </c>
      <c r="Q2" s="125" t="s">
        <v>151</v>
      </c>
      <c r="R2" s="112"/>
      <c r="S2" s="112"/>
      <c r="T2" s="112"/>
      <c r="U2" s="124" t="s">
        <v>152</v>
      </c>
      <c r="V2" s="112"/>
      <c r="W2" s="125" t="s">
        <v>153</v>
      </c>
      <c r="X2" s="112"/>
      <c r="Y2" s="112"/>
      <c r="Z2" s="124" t="s">
        <v>154</v>
      </c>
      <c r="AA2" s="112"/>
      <c r="AB2" s="125" t="s">
        <v>155</v>
      </c>
      <c r="AC2" s="112"/>
      <c r="AE2" s="122" t="s">
        <v>543</v>
      </c>
      <c r="AF2" s="123" t="s">
        <v>147</v>
      </c>
      <c r="AG2" s="124" t="s">
        <v>148</v>
      </c>
      <c r="AH2" s="112"/>
      <c r="AI2" s="112"/>
      <c r="AJ2" s="112"/>
      <c r="AK2" s="122" t="s">
        <v>156</v>
      </c>
      <c r="AL2" s="123" t="s">
        <v>150</v>
      </c>
      <c r="AM2" s="122" t="s">
        <v>85</v>
      </c>
      <c r="AN2" s="125" t="s">
        <v>151</v>
      </c>
      <c r="AO2" s="112"/>
      <c r="AP2" s="112"/>
      <c r="AQ2" s="112"/>
      <c r="AR2" s="124" t="s">
        <v>152</v>
      </c>
      <c r="AS2" s="112"/>
      <c r="AT2" s="125" t="s">
        <v>153</v>
      </c>
      <c r="AU2" s="112"/>
      <c r="AV2" s="112"/>
      <c r="AW2" s="124" t="s">
        <v>154</v>
      </c>
      <c r="AX2" s="112"/>
      <c r="AY2" s="125" t="s">
        <v>155</v>
      </c>
      <c r="AZ2" s="112"/>
      <c r="BB2" s="124" t="s">
        <v>23</v>
      </c>
      <c r="BC2" s="112"/>
      <c r="BD2" s="112"/>
      <c r="BE2" s="123" t="s">
        <v>158</v>
      </c>
      <c r="BF2" s="122" t="s">
        <v>158</v>
      </c>
    </row>
    <row r="3" spans="1:58" ht="28.75" customHeight="1" x14ac:dyDescent="0.2">
      <c r="A3" s="115"/>
      <c r="B3" s="115"/>
      <c r="C3" s="115"/>
      <c r="D3" s="115"/>
      <c r="E3" s="115"/>
      <c r="F3" s="115"/>
      <c r="H3" s="115"/>
      <c r="I3" s="115"/>
      <c r="J3" s="105" t="s">
        <v>25</v>
      </c>
      <c r="K3" s="105" t="s">
        <v>159</v>
      </c>
      <c r="L3" s="105" t="s">
        <v>24</v>
      </c>
      <c r="M3" s="105" t="s">
        <v>160</v>
      </c>
      <c r="N3" s="115"/>
      <c r="O3" s="115"/>
      <c r="P3" s="115"/>
      <c r="Q3" s="104" t="s">
        <v>25</v>
      </c>
      <c r="R3" s="104" t="s">
        <v>24</v>
      </c>
      <c r="S3" s="104" t="s">
        <v>161</v>
      </c>
      <c r="T3" s="104" t="s">
        <v>26</v>
      </c>
      <c r="U3" s="105" t="s">
        <v>11</v>
      </c>
      <c r="V3" s="105" t="s">
        <v>12</v>
      </c>
      <c r="W3" s="104" t="s">
        <v>13</v>
      </c>
      <c r="X3" s="104" t="s">
        <v>14</v>
      </c>
      <c r="Y3" s="104" t="s">
        <v>15</v>
      </c>
      <c r="Z3" s="105" t="s">
        <v>35</v>
      </c>
      <c r="AA3" s="105" t="s">
        <v>36</v>
      </c>
      <c r="AB3" s="104" t="s">
        <v>35</v>
      </c>
      <c r="AC3" s="104" t="s">
        <v>36</v>
      </c>
      <c r="AE3" s="115"/>
      <c r="AF3" s="115"/>
      <c r="AG3" s="105" t="s">
        <v>25</v>
      </c>
      <c r="AH3" s="105" t="s">
        <v>159</v>
      </c>
      <c r="AI3" s="105" t="s">
        <v>24</v>
      </c>
      <c r="AJ3" s="105" t="s">
        <v>160</v>
      </c>
      <c r="AK3" s="115"/>
      <c r="AL3" s="115"/>
      <c r="AM3" s="115"/>
      <c r="AN3" s="104" t="s">
        <v>25</v>
      </c>
      <c r="AO3" s="104" t="s">
        <v>24</v>
      </c>
      <c r="AP3" s="104" t="s">
        <v>161</v>
      </c>
      <c r="AQ3" s="104" t="s">
        <v>26</v>
      </c>
      <c r="AR3" s="105" t="s">
        <v>11</v>
      </c>
      <c r="AS3" s="105" t="s">
        <v>12</v>
      </c>
      <c r="AT3" s="104" t="s">
        <v>13</v>
      </c>
      <c r="AU3" s="104" t="s">
        <v>14</v>
      </c>
      <c r="AV3" s="104" t="s">
        <v>15</v>
      </c>
      <c r="AW3" s="105" t="s">
        <v>35</v>
      </c>
      <c r="AX3" s="105" t="s">
        <v>36</v>
      </c>
      <c r="AY3" s="104" t="s">
        <v>35</v>
      </c>
      <c r="AZ3" s="104" t="s">
        <v>36</v>
      </c>
      <c r="BB3" s="105" t="s">
        <v>25</v>
      </c>
      <c r="BC3" s="105" t="s">
        <v>24</v>
      </c>
      <c r="BD3" s="105" t="s">
        <v>26</v>
      </c>
      <c r="BE3" s="115"/>
      <c r="BF3" s="115"/>
    </row>
    <row r="4" spans="1:58" ht="123" hidden="1" customHeight="1" x14ac:dyDescent="0.2">
      <c r="A4" s="9" t="s">
        <v>162</v>
      </c>
      <c r="B4" s="10" t="s">
        <v>163</v>
      </c>
      <c r="C4" s="9" t="s">
        <v>165</v>
      </c>
      <c r="D4" s="10" t="s">
        <v>166</v>
      </c>
      <c r="E4" s="9" t="s">
        <v>167</v>
      </c>
      <c r="F4" s="10" t="s">
        <v>168</v>
      </c>
      <c r="H4" s="9" t="s">
        <v>544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179</v>
      </c>
      <c r="R4" s="10" t="s">
        <v>180</v>
      </c>
      <c r="S4" s="10" t="s">
        <v>181</v>
      </c>
      <c r="T4" s="10" t="s">
        <v>182</v>
      </c>
      <c r="U4" s="9" t="s">
        <v>183</v>
      </c>
      <c r="V4" s="9" t="s">
        <v>184</v>
      </c>
      <c r="W4" s="10" t="s">
        <v>185</v>
      </c>
      <c r="X4" s="10" t="s">
        <v>186</v>
      </c>
      <c r="Y4" s="10" t="s">
        <v>187</v>
      </c>
      <c r="Z4" s="9" t="s">
        <v>188</v>
      </c>
      <c r="AA4" s="9" t="s">
        <v>189</v>
      </c>
      <c r="AB4" s="10" t="s">
        <v>190</v>
      </c>
      <c r="AC4" s="10" t="s">
        <v>191</v>
      </c>
      <c r="AE4" s="9" t="s">
        <v>545</v>
      </c>
      <c r="AF4" s="10" t="s">
        <v>192</v>
      </c>
      <c r="AG4" s="9" t="s">
        <v>193</v>
      </c>
      <c r="AH4" s="9" t="s">
        <v>194</v>
      </c>
      <c r="AI4" s="9" t="s">
        <v>195</v>
      </c>
      <c r="AJ4" s="9" t="s">
        <v>196</v>
      </c>
      <c r="AK4" s="9" t="s">
        <v>197</v>
      </c>
      <c r="AL4" s="10" t="s">
        <v>198</v>
      </c>
      <c r="AM4" s="9" t="s">
        <v>199</v>
      </c>
      <c r="AN4" s="10" t="s">
        <v>202</v>
      </c>
      <c r="AO4" s="10" t="s">
        <v>203</v>
      </c>
      <c r="AP4" s="10" t="s">
        <v>204</v>
      </c>
      <c r="AQ4" s="10" t="s">
        <v>205</v>
      </c>
      <c r="AR4" s="9" t="s">
        <v>206</v>
      </c>
      <c r="AS4" s="9" t="s">
        <v>207</v>
      </c>
      <c r="AT4" s="10" t="s">
        <v>208</v>
      </c>
      <c r="AU4" s="10" t="s">
        <v>209</v>
      </c>
      <c r="AV4" s="10" t="s">
        <v>210</v>
      </c>
      <c r="AW4" s="9" t="s">
        <v>211</v>
      </c>
      <c r="AX4" s="9" t="s">
        <v>212</v>
      </c>
      <c r="AY4" s="10" t="s">
        <v>213</v>
      </c>
      <c r="AZ4" s="10" t="s">
        <v>214</v>
      </c>
      <c r="BB4" s="9" t="s">
        <v>546</v>
      </c>
      <c r="BC4" s="9" t="s">
        <v>547</v>
      </c>
      <c r="BD4" s="9" t="s">
        <v>548</v>
      </c>
      <c r="BE4" s="10" t="s">
        <v>216</v>
      </c>
      <c r="BF4" s="9" t="s">
        <v>217</v>
      </c>
    </row>
    <row r="5" spans="1:58" collapsed="1" x14ac:dyDescent="0.2">
      <c r="A5" s="77" t="s">
        <v>228</v>
      </c>
      <c r="B5" s="77" t="s">
        <v>54</v>
      </c>
      <c r="C5" s="77">
        <v>238146391</v>
      </c>
      <c r="D5" s="11">
        <v>10</v>
      </c>
      <c r="E5" s="11">
        <v>32</v>
      </c>
      <c r="F5" s="11">
        <v>30</v>
      </c>
      <c r="H5" s="18">
        <f>IF(ISBLANK(Q5),"·",Q5/(C5*D5*3))</f>
        <v>3.0700359147300006E-2</v>
      </c>
      <c r="I5" s="12">
        <f>IF(OR(ISBLANK(Q5),ISBLANK(F5)),"·",Q5*F5/E5/1000000)</f>
        <v>205.62692999999999</v>
      </c>
      <c r="J5" s="13">
        <f>IF(ISBLANK(Q5),"·",Q5/C5)</f>
        <v>0.92101077441900014</v>
      </c>
      <c r="K5" s="13">
        <f>IF(N5="","·",N5/C5)</f>
        <v>0.14164141584660839</v>
      </c>
      <c r="L5" s="13">
        <f>IF(R5="","·",R5/C5)</f>
        <v>0.13312604850686147</v>
      </c>
      <c r="M5" s="13">
        <f>IF(ISBLANK(T5),"·",T5/C5)</f>
        <v>0.77936882108786609</v>
      </c>
      <c r="N5" s="77">
        <f>IF(OR(ISBLANK(R5),ISBLANK(S5)),"",R5+S5)</f>
        <v>33731392</v>
      </c>
      <c r="O5" s="13">
        <v>16</v>
      </c>
      <c r="P5" s="14">
        <v>24964341</v>
      </c>
      <c r="Q5" s="15">
        <v>219335392</v>
      </c>
      <c r="R5" s="15">
        <v>31703488</v>
      </c>
      <c r="S5" s="15">
        <v>2027904</v>
      </c>
      <c r="T5" s="15">
        <v>185603872</v>
      </c>
      <c r="U5" s="16" t="s">
        <v>549</v>
      </c>
      <c r="V5" s="16" t="s">
        <v>549</v>
      </c>
      <c r="W5" s="16" t="s">
        <v>549</v>
      </c>
      <c r="X5" s="16" t="s">
        <v>549</v>
      </c>
      <c r="Y5" s="16" t="s">
        <v>549</v>
      </c>
      <c r="Z5" s="17">
        <v>2464.54</v>
      </c>
      <c r="AA5" s="17">
        <v>5758.72</v>
      </c>
      <c r="AB5" s="17">
        <v>2.69</v>
      </c>
      <c r="AC5" s="17">
        <v>18.72</v>
      </c>
      <c r="AE5" s="18" t="str">
        <f>IF(ISBLANK(AN5),"·",AN5/(C5*D5*3))</f>
        <v>·</v>
      </c>
      <c r="AF5" s="12" t="str">
        <f>IF(OR(ISBLANK(AN5),ISBLANK(F5)),"·",AN5*F5/E5/1000000)</f>
        <v>·</v>
      </c>
      <c r="AG5" s="13" t="str">
        <f>IF(ISBLANK(AN5),"·",AN5/C5)</f>
        <v>·</v>
      </c>
      <c r="AH5" s="13" t="str">
        <f>IF(AK5="","·",AK5/C5)</f>
        <v>·</v>
      </c>
      <c r="AI5" s="13" t="str">
        <f>IF(AO5="","·",AO5/C5)</f>
        <v>·</v>
      </c>
      <c r="AJ5" s="13" t="str">
        <f>IF(ISBLANK(AQ5),"·",AQ5/C5)</f>
        <v>·</v>
      </c>
      <c r="AK5" s="77" t="str">
        <f>IF(OR(ISBLANK(AO5),ISBLANK(AP5)),"",AO5+AP5)</f>
        <v/>
      </c>
      <c r="AL5" s="13">
        <v>16</v>
      </c>
      <c r="AM5" s="14"/>
      <c r="AN5" s="15"/>
      <c r="AO5" s="15"/>
      <c r="AP5" s="15"/>
      <c r="AQ5" s="15"/>
      <c r="AR5" s="16"/>
      <c r="AS5" s="16"/>
      <c r="AT5" s="16"/>
      <c r="AU5" s="16"/>
      <c r="AV5" s="16"/>
      <c r="AW5" s="17"/>
      <c r="AX5" s="17"/>
      <c r="AY5" s="17"/>
      <c r="AZ5" s="17"/>
      <c r="BB5" s="79" t="e">
        <f t="shared" ref="BB5:BB12" si="0">AG5/J5</f>
        <v>#VALUE!</v>
      </c>
      <c r="BC5" s="79" t="e">
        <f t="shared" ref="BC5:BD12" si="1">AI5/L5</f>
        <v>#VALUE!</v>
      </c>
      <c r="BD5" s="79" t="e">
        <f t="shared" si="1"/>
        <v>#VALUE!</v>
      </c>
      <c r="BE5" s="18" t="e">
        <f>(AK5/AN5) - (N5/Q5)</f>
        <v>#VALUE!</v>
      </c>
      <c r="BF5" s="18" t="e">
        <f t="array" ref="BF5">AVERAGE(AK5:AK5/AN5:AN5) - AVERAGE(N5:N5/Q5:Q5)</f>
        <v>#VALUE!</v>
      </c>
    </row>
    <row r="6" spans="1:58" collapsed="1" x14ac:dyDescent="0.2">
      <c r="A6" s="69"/>
      <c r="B6" s="69" t="s">
        <v>62</v>
      </c>
      <c r="C6" s="69">
        <v>218121242</v>
      </c>
      <c r="D6" s="19">
        <v>10</v>
      </c>
      <c r="E6" s="19">
        <v>32</v>
      </c>
      <c r="F6" s="19">
        <v>30</v>
      </c>
      <c r="H6" s="26">
        <f>IF(ISBLANK(Q6),"·",Q6/(C6*D6*3))</f>
        <v>4.3895363478629011E-2</v>
      </c>
      <c r="I6" s="20">
        <f>IF(OR(ISBLANK(Q6),ISBLANK(F6)),"·",Q6*F6/E6/1000000)</f>
        <v>269.28312749999998</v>
      </c>
      <c r="J6" s="21">
        <f>IF(ISBLANK(Q6),"·",Q6/C6)</f>
        <v>1.3168609043588704</v>
      </c>
      <c r="K6" s="21">
        <f>IF(N6="","·",N6/C6)</f>
        <v>0.17401008563851841</v>
      </c>
      <c r="L6" s="21">
        <f>IF(R6="","·",R6/C6)</f>
        <v>0.15857514693594124</v>
      </c>
      <c r="M6" s="21">
        <f>IF(ISBLANK(T6),"·",T6/C6)</f>
        <v>1.1428502318907574</v>
      </c>
      <c r="N6" s="69">
        <f>IF(OR(ISBLANK(R6),ISBLANK(S6)),"",R6+S6)</f>
        <v>37955296</v>
      </c>
      <c r="O6" s="21">
        <v>16</v>
      </c>
      <c r="P6" s="22">
        <v>22654789</v>
      </c>
      <c r="Q6" s="23">
        <v>287235336</v>
      </c>
      <c r="R6" s="23">
        <v>34588608</v>
      </c>
      <c r="S6" s="23">
        <v>3366688</v>
      </c>
      <c r="T6" s="23">
        <v>249279912</v>
      </c>
      <c r="U6" s="24" t="s">
        <v>549</v>
      </c>
      <c r="V6" s="24" t="s">
        <v>549</v>
      </c>
      <c r="W6" s="24" t="s">
        <v>549</v>
      </c>
      <c r="X6" s="24" t="s">
        <v>549</v>
      </c>
      <c r="Y6" s="24" t="s">
        <v>549</v>
      </c>
      <c r="Z6" s="25">
        <v>2243.31</v>
      </c>
      <c r="AA6" s="25">
        <v>7632.64</v>
      </c>
      <c r="AB6" s="25">
        <v>2.528</v>
      </c>
      <c r="AC6" s="25">
        <v>20.882000000000001</v>
      </c>
      <c r="AE6" s="26" t="str">
        <f>IF(ISBLANK(AN6),"·",AN6/(C6*D6*3))</f>
        <v>·</v>
      </c>
      <c r="AF6" s="20" t="str">
        <f>IF(OR(ISBLANK(AN6),ISBLANK(F6)),"·",AN6*F6/E6/1000000)</f>
        <v>·</v>
      </c>
      <c r="AG6" s="21" t="str">
        <f>IF(ISBLANK(AN6),"·",AN6/C6)</f>
        <v>·</v>
      </c>
      <c r="AH6" s="21" t="str">
        <f>IF(AK6="","·",AK6/C6)</f>
        <v>·</v>
      </c>
      <c r="AI6" s="21" t="str">
        <f>IF(AO6="","·",AO6/C6)</f>
        <v>·</v>
      </c>
      <c r="AJ6" s="21" t="str">
        <f>IF(ISBLANK(AQ6),"·",AQ6/C6)</f>
        <v>·</v>
      </c>
      <c r="AK6" s="69" t="str">
        <f>IF(OR(ISBLANK(AO6),ISBLANK(AP6)),"",AO6+AP6)</f>
        <v/>
      </c>
      <c r="AL6" s="21">
        <v>16</v>
      </c>
      <c r="AM6" s="22"/>
      <c r="AN6" s="23"/>
      <c r="AO6" s="23"/>
      <c r="AP6" s="23"/>
      <c r="AQ6" s="23"/>
      <c r="AR6" s="24"/>
      <c r="AS6" s="24"/>
      <c r="AT6" s="24"/>
      <c r="AU6" s="24"/>
      <c r="AV6" s="24"/>
      <c r="AW6" s="25"/>
      <c r="AX6" s="25"/>
      <c r="AY6" s="25"/>
      <c r="AZ6" s="25"/>
      <c r="BB6" s="71" t="e">
        <f t="shared" si="0"/>
        <v>#VALUE!</v>
      </c>
      <c r="BC6" s="71" t="e">
        <f t="shared" si="1"/>
        <v>#VALUE!</v>
      </c>
      <c r="BD6" s="71" t="e">
        <f t="shared" si="1"/>
        <v>#VALUE!</v>
      </c>
      <c r="BE6" s="26" t="e">
        <f>(AK6/AN6) - (N6/Q6)</f>
        <v>#VALUE!</v>
      </c>
      <c r="BF6" s="26" t="e">
        <f t="array" ref="BF6">AVERAGE(AK6:AK6/AN6:AN6) - AVERAGE(N6:N6/Q6:Q6)</f>
        <v>#VALUE!</v>
      </c>
    </row>
    <row r="7" spans="1:58" collapsed="1" x14ac:dyDescent="0.2">
      <c r="A7" s="77"/>
      <c r="B7" s="77" t="s">
        <v>67</v>
      </c>
      <c r="C7" s="77">
        <v>322589704</v>
      </c>
      <c r="D7" s="11">
        <v>10</v>
      </c>
      <c r="E7" s="11">
        <v>32</v>
      </c>
      <c r="F7" s="11">
        <v>30</v>
      </c>
      <c r="H7" s="18">
        <f>IF(ISBLANK(Q7),"·",Q7/(C7*D7*3))</f>
        <v>3.378345970603782E-2</v>
      </c>
      <c r="I7" s="12">
        <f>IF(OR(ISBLANK(Q7),ISBLANK(F7)),"·",Q7*F7/E7/1000000)</f>
        <v>306.51177000000001</v>
      </c>
      <c r="J7" s="13">
        <f>IF(ISBLANK(Q7),"·",Q7/C7)</f>
        <v>1.0135037911811344</v>
      </c>
      <c r="K7" s="13">
        <f>IF(N7="","·",N7/C7)</f>
        <v>0.15547290994755369</v>
      </c>
      <c r="L7" s="13">
        <f>IF(R7="","·",R7/C7)</f>
        <v>0.14346850945992995</v>
      </c>
      <c r="M7" s="13">
        <f>IF(ISBLANK(T7),"·",T7/C7)</f>
        <v>0.85803048444472363</v>
      </c>
      <c r="N7" s="77">
        <f>IF(OR(ISBLANK(R7),ISBLANK(S7)),"",R7+S7)</f>
        <v>50153960</v>
      </c>
      <c r="O7" s="13">
        <v>16</v>
      </c>
      <c r="P7" s="14">
        <v>33947718</v>
      </c>
      <c r="Q7" s="15">
        <v>326945888</v>
      </c>
      <c r="R7" s="15">
        <v>46281464</v>
      </c>
      <c r="S7" s="15">
        <v>3872496</v>
      </c>
      <c r="T7" s="15">
        <v>276791800</v>
      </c>
      <c r="U7" s="16" t="s">
        <v>549</v>
      </c>
      <c r="V7" s="16" t="s">
        <v>549</v>
      </c>
      <c r="W7" s="16" t="s">
        <v>549</v>
      </c>
      <c r="X7" s="16" t="s">
        <v>549</v>
      </c>
      <c r="Y7" s="16" t="s">
        <v>549</v>
      </c>
      <c r="Z7" s="17">
        <v>3176.66</v>
      </c>
      <c r="AA7" s="17">
        <v>7969.76</v>
      </c>
      <c r="AB7" s="17">
        <v>3.9969999999999999</v>
      </c>
      <c r="AC7" s="17">
        <v>24.132999999999999</v>
      </c>
      <c r="AE7" s="18" t="str">
        <f>IF(ISBLANK(AN7),"·",AN7/(C7*D7*3))</f>
        <v>·</v>
      </c>
      <c r="AF7" s="12" t="str">
        <f>IF(OR(ISBLANK(AN7),ISBLANK(F7)),"·",AN7*F7/E7/1000000)</f>
        <v>·</v>
      </c>
      <c r="AG7" s="13" t="str">
        <f>IF(ISBLANK(AN7),"·",AN7/C7)</f>
        <v>·</v>
      </c>
      <c r="AH7" s="13" t="str">
        <f>IF(AK7="","·",AK7/C7)</f>
        <v>·</v>
      </c>
      <c r="AI7" s="13" t="str">
        <f>IF(AO7="","·",AO7/C7)</f>
        <v>·</v>
      </c>
      <c r="AJ7" s="13" t="str">
        <f>IF(ISBLANK(AQ7),"·",AQ7/C7)</f>
        <v>·</v>
      </c>
      <c r="AK7" s="77" t="str">
        <f>IF(OR(ISBLANK(AO7),ISBLANK(AP7)),"",AO7+AP7)</f>
        <v/>
      </c>
      <c r="AL7" s="13">
        <v>16</v>
      </c>
      <c r="AM7" s="14"/>
      <c r="AN7" s="15"/>
      <c r="AO7" s="15"/>
      <c r="AP7" s="15"/>
      <c r="AQ7" s="15"/>
      <c r="AR7" s="16"/>
      <c r="AS7" s="16"/>
      <c r="AT7" s="16"/>
      <c r="AU7" s="16"/>
      <c r="AV7" s="16"/>
      <c r="AW7" s="17"/>
      <c r="AX7" s="17"/>
      <c r="AY7" s="17"/>
      <c r="AZ7" s="17"/>
      <c r="BB7" s="79" t="e">
        <f t="shared" si="0"/>
        <v>#VALUE!</v>
      </c>
      <c r="BC7" s="79" t="e">
        <f t="shared" si="1"/>
        <v>#VALUE!</v>
      </c>
      <c r="BD7" s="79" t="e">
        <f t="shared" si="1"/>
        <v>#VALUE!</v>
      </c>
      <c r="BE7" s="18" t="e">
        <f>(AK7/AN7) - (N7/Q7)</f>
        <v>#VALUE!</v>
      </c>
      <c r="BF7" s="18" t="e">
        <f t="array" ref="BF7">AVERAGE(AK7:AK7/AN7:AN7) - AVERAGE(N7:N7/Q7:Q7)</f>
        <v>#VALUE!</v>
      </c>
    </row>
    <row r="8" spans="1:58" collapsed="1" x14ac:dyDescent="0.2">
      <c r="A8" s="37"/>
      <c r="B8" s="37" t="s">
        <v>72</v>
      </c>
      <c r="C8" s="37">
        <v>250602891</v>
      </c>
      <c r="D8" s="38">
        <v>10</v>
      </c>
      <c r="E8" s="38">
        <v>32</v>
      </c>
      <c r="F8" s="38">
        <v>50</v>
      </c>
      <c r="H8" s="45">
        <f>IF(ISBLANK(Q8),"·",Q8/(C8*D8*3))</f>
        <v>3.0944257010453509E-2</v>
      </c>
      <c r="I8" s="39">
        <f>IF(OR(ISBLANK(Q8),ISBLANK(F8)),"·",Q8*F8/E8/1000000)</f>
        <v>363.50251250000002</v>
      </c>
      <c r="J8" s="40">
        <f>IF(ISBLANK(Q8),"·",Q8/C8)</f>
        <v>0.92832771031360528</v>
      </c>
      <c r="K8" s="40">
        <f>IF(N8="","·",N8/C8)</f>
        <v>0.11428018202710997</v>
      </c>
      <c r="L8" s="40">
        <f>IF(R8="","·",R8/C8)</f>
        <v>0.1013409218810648</v>
      </c>
      <c r="M8" s="40">
        <f>IF(ISBLANK(T8),"·",T8/C8)</f>
        <v>0.8140470175182456</v>
      </c>
      <c r="N8" s="37">
        <f>IF(OR(ISBLANK(R8),ISBLANK(S8)),"",R8+S8)</f>
        <v>28638944</v>
      </c>
      <c r="O8" s="40">
        <v>16</v>
      </c>
      <c r="P8" s="41">
        <v>32209643</v>
      </c>
      <c r="Q8" s="42">
        <v>232641608</v>
      </c>
      <c r="R8" s="42">
        <v>25396328</v>
      </c>
      <c r="S8" s="42">
        <v>3242616</v>
      </c>
      <c r="T8" s="42">
        <v>204002536</v>
      </c>
      <c r="U8" s="43" t="s">
        <v>549</v>
      </c>
      <c r="V8" s="43" t="s">
        <v>549</v>
      </c>
      <c r="W8" s="43" t="s">
        <v>549</v>
      </c>
      <c r="X8" s="43" t="s">
        <v>549</v>
      </c>
      <c r="Y8" s="43" t="s">
        <v>549</v>
      </c>
      <c r="Z8" s="44">
        <v>3297.07</v>
      </c>
      <c r="AA8" s="44">
        <v>5342.62</v>
      </c>
      <c r="AB8" s="44">
        <v>2.9809999999999999</v>
      </c>
      <c r="AC8" s="44">
        <v>17.222000000000001</v>
      </c>
      <c r="AE8" s="45" t="str">
        <f>IF(ISBLANK(AN8),"·",AN8/(C8*D8*3))</f>
        <v>·</v>
      </c>
      <c r="AF8" s="39" t="str">
        <f>IF(OR(ISBLANK(AN8),ISBLANK(F8)),"·",AN8*F8/E8/1000000)</f>
        <v>·</v>
      </c>
      <c r="AG8" s="40" t="str">
        <f>IF(ISBLANK(AN8),"·",AN8/C8)</f>
        <v>·</v>
      </c>
      <c r="AH8" s="40" t="str">
        <f>IF(AK8="","·",AK8/C8)</f>
        <v>·</v>
      </c>
      <c r="AI8" s="40" t="str">
        <f>IF(AO8="","·",AO8/C8)</f>
        <v>·</v>
      </c>
      <c r="AJ8" s="40" t="str">
        <f>IF(ISBLANK(AQ8),"·",AQ8/C8)</f>
        <v>·</v>
      </c>
      <c r="AK8" s="37" t="str">
        <f>IF(OR(ISBLANK(AO8),ISBLANK(AP8)),"",AO8+AP8)</f>
        <v/>
      </c>
      <c r="AL8" s="40">
        <v>16</v>
      </c>
      <c r="AM8" s="41"/>
      <c r="AN8" s="42"/>
      <c r="AO8" s="42"/>
      <c r="AP8" s="42"/>
      <c r="AQ8" s="42"/>
      <c r="AR8" s="43"/>
      <c r="AS8" s="43"/>
      <c r="AT8" s="43"/>
      <c r="AU8" s="43"/>
      <c r="AV8" s="43"/>
      <c r="AW8" s="44"/>
      <c r="AX8" s="44"/>
      <c r="AY8" s="44"/>
      <c r="AZ8" s="44"/>
      <c r="BB8" s="46" t="e">
        <f t="shared" si="0"/>
        <v>#VALUE!</v>
      </c>
      <c r="BC8" s="46" t="e">
        <f t="shared" si="1"/>
        <v>#VALUE!</v>
      </c>
      <c r="BD8" s="46" t="e">
        <f t="shared" si="1"/>
        <v>#VALUE!</v>
      </c>
      <c r="BE8" s="45" t="e">
        <f>(AK8/AN8) - (N8/Q8)</f>
        <v>#VALUE!</v>
      </c>
      <c r="BF8" s="45" t="e">
        <f t="array" ref="BF8">AVERAGE(AK8:AK8/AN8:AN8) - AVERAGE(N8:N8/Q8:Q8)</f>
        <v>#VALUE!</v>
      </c>
    </row>
    <row r="9" spans="1:58" collapsed="1" x14ac:dyDescent="0.2">
      <c r="A9" s="27" t="s">
        <v>234</v>
      </c>
      <c r="B9" s="27" t="s">
        <v>75</v>
      </c>
      <c r="C9" s="27">
        <v>250294582</v>
      </c>
      <c r="D9" s="28">
        <v>10</v>
      </c>
      <c r="E9" s="28">
        <v>32</v>
      </c>
      <c r="F9" s="28">
        <v>30</v>
      </c>
      <c r="H9" s="35">
        <f>IF(ISBLANK(Q9),"·",Q9/(C9*D9*3))</f>
        <v>5.0296867126485914E-2</v>
      </c>
      <c r="I9" s="29">
        <f>IF(OR(ISBLANK(Q9),ISBLANK(F9)),"·",Q9*F9/E9/1000000)</f>
        <v>354.06656249999997</v>
      </c>
      <c r="J9" s="30">
        <f>IF(ISBLANK(Q9),"·",Q9/C9)</f>
        <v>1.5089060137945776</v>
      </c>
      <c r="K9" s="30">
        <f>IF(N9="","·",N9/C9)</f>
        <v>0.15359955334550549</v>
      </c>
      <c r="L9" s="30">
        <f>IF(R9="","·",R9/C9)</f>
        <v>0.14278966693733705</v>
      </c>
      <c r="M9" s="30">
        <f>IF(ISBLANK(T9),"·",T9/C9)</f>
        <v>1.3553059490516659</v>
      </c>
      <c r="N9" s="27">
        <f>IF(OR(ISBLANK(R9),ISBLANK(S9)),"",R9+S9)</f>
        <v>38445136</v>
      </c>
      <c r="O9" s="30">
        <v>16</v>
      </c>
      <c r="P9" s="31">
        <v>25312408</v>
      </c>
      <c r="Q9" s="32">
        <v>377671000</v>
      </c>
      <c r="R9" s="32">
        <v>35739480</v>
      </c>
      <c r="S9" s="32">
        <v>2705656</v>
      </c>
      <c r="T9" s="32">
        <v>339225736</v>
      </c>
      <c r="U9" s="33" t="s">
        <v>549</v>
      </c>
      <c r="V9" s="33" t="s">
        <v>549</v>
      </c>
      <c r="W9" s="33" t="s">
        <v>549</v>
      </c>
      <c r="X9" s="33" t="s">
        <v>549</v>
      </c>
      <c r="Y9" s="33" t="s">
        <v>549</v>
      </c>
      <c r="Z9" s="34">
        <v>2518.19</v>
      </c>
      <c r="AA9" s="34">
        <v>8209.36</v>
      </c>
      <c r="AB9" s="34">
        <v>2.6480000000000001</v>
      </c>
      <c r="AC9" s="34">
        <v>22.248000000000001</v>
      </c>
      <c r="AE9" s="35" t="str">
        <f>IF(ISBLANK(AN9),"·",AN9/(C9*D9*3))</f>
        <v>·</v>
      </c>
      <c r="AF9" s="29" t="str">
        <f>IF(OR(ISBLANK(AN9),ISBLANK(F9)),"·",AN9*F9/E9/1000000)</f>
        <v>·</v>
      </c>
      <c r="AG9" s="30" t="str">
        <f>IF(ISBLANK(AN9),"·",AN9/C9)</f>
        <v>·</v>
      </c>
      <c r="AH9" s="30" t="str">
        <f>IF(AK9="","·",AK9/C9)</f>
        <v>·</v>
      </c>
      <c r="AI9" s="30" t="str">
        <f>IF(AO9="","·",AO9/C9)</f>
        <v>·</v>
      </c>
      <c r="AJ9" s="30" t="str">
        <f>IF(ISBLANK(AQ9),"·",AQ9/C9)</f>
        <v>·</v>
      </c>
      <c r="AK9" s="27" t="str">
        <f>IF(OR(ISBLANK(AO9),ISBLANK(AP9)),"",AO9+AP9)</f>
        <v/>
      </c>
      <c r="AL9" s="30">
        <v>16</v>
      </c>
      <c r="AM9" s="31"/>
      <c r="AN9" s="32"/>
      <c r="AO9" s="32"/>
      <c r="AP9" s="32"/>
      <c r="AQ9" s="32"/>
      <c r="AR9" s="33"/>
      <c r="AS9" s="33"/>
      <c r="AT9" s="33"/>
      <c r="AU9" s="33"/>
      <c r="AV9" s="33"/>
      <c r="AW9" s="34"/>
      <c r="AX9" s="34"/>
      <c r="AY9" s="34"/>
      <c r="AZ9" s="34"/>
      <c r="BB9" s="36" t="e">
        <f t="shared" si="0"/>
        <v>#VALUE!</v>
      </c>
      <c r="BC9" s="36" t="e">
        <f t="shared" si="1"/>
        <v>#VALUE!</v>
      </c>
      <c r="BD9" s="36" t="e">
        <f t="shared" si="1"/>
        <v>#VALUE!</v>
      </c>
      <c r="BE9" s="35" t="e">
        <f>(AK9/AN9) - (N9/Q9)</f>
        <v>#VALUE!</v>
      </c>
      <c r="BF9" s="35" t="e">
        <f t="array" ref="BF9">AVERAGE(AK9:AK9/AN9:AN9) - AVERAGE(N9:N9/Q9:Q9)</f>
        <v>#VALUE!</v>
      </c>
    </row>
    <row r="10" spans="1:58" ht="16" x14ac:dyDescent="0.2">
      <c r="B10" s="47" t="s">
        <v>16</v>
      </c>
      <c r="J10" s="48">
        <f>AVERAGE(J5:J8)</f>
        <v>1.0449257950681525</v>
      </c>
      <c r="K10" s="48">
        <f>AVERAGE(K5:K8)</f>
        <v>0.14635114836494761</v>
      </c>
      <c r="L10" s="48">
        <f>AVERAGE(L5:L8)</f>
        <v>0.13412765669594937</v>
      </c>
      <c r="M10" s="48">
        <f>AVERAGE(M5:M8)</f>
        <v>0.89857413873539815</v>
      </c>
      <c r="AG10" s="48" t="e">
        <f>AVERAGE(AG5:AG8)</f>
        <v>#DIV/0!</v>
      </c>
      <c r="AH10" s="48" t="e">
        <f>AVERAGE(AH5:AH8)</f>
        <v>#DIV/0!</v>
      </c>
      <c r="AI10" s="48" t="e">
        <f>AVERAGE(AI5:AI8)</f>
        <v>#DIV/0!</v>
      </c>
      <c r="AJ10" s="48" t="e">
        <f>AVERAGE(AJ5:AJ8)</f>
        <v>#DIV/0!</v>
      </c>
      <c r="BB10" s="98" t="e">
        <f t="shared" si="0"/>
        <v>#DIV/0!</v>
      </c>
      <c r="BC10" s="98" t="e">
        <f t="shared" si="1"/>
        <v>#DIV/0!</v>
      </c>
      <c r="BD10" s="98" t="e">
        <f t="shared" si="1"/>
        <v>#DIV/0!</v>
      </c>
      <c r="BF10" s="103" t="e">
        <f>AVERAGE(BF5:BF8)</f>
        <v>#VALUE!</v>
      </c>
    </row>
    <row r="11" spans="1:58" ht="16" x14ac:dyDescent="0.2">
      <c r="B11" s="47" t="s">
        <v>17</v>
      </c>
      <c r="J11" s="48">
        <f>AVERAGE(J9:J9)</f>
        <v>1.5089060137945776</v>
      </c>
      <c r="K11" s="48">
        <f>AVERAGE(K9:K9)</f>
        <v>0.15359955334550549</v>
      </c>
      <c r="L11" s="48">
        <f>AVERAGE(L9:L9)</f>
        <v>0.14278966693733705</v>
      </c>
      <c r="M11" s="48">
        <f>AVERAGE(M9:M9)</f>
        <v>1.3553059490516659</v>
      </c>
      <c r="AG11" s="48" t="e">
        <f>AVERAGE(AG9:AG9)</f>
        <v>#DIV/0!</v>
      </c>
      <c r="AH11" s="48" t="e">
        <f>AVERAGE(AH9:AH9)</f>
        <v>#DIV/0!</v>
      </c>
      <c r="AI11" s="48" t="e">
        <f>AVERAGE(AI9:AI9)</f>
        <v>#DIV/0!</v>
      </c>
      <c r="AJ11" s="48" t="e">
        <f>AVERAGE(AJ9:AJ9)</f>
        <v>#DIV/0!</v>
      </c>
      <c r="BB11" s="98" t="e">
        <f t="shared" si="0"/>
        <v>#DIV/0!</v>
      </c>
      <c r="BC11" s="98" t="e">
        <f t="shared" si="1"/>
        <v>#DIV/0!</v>
      </c>
      <c r="BD11" s="98" t="e">
        <f t="shared" si="1"/>
        <v>#DIV/0!</v>
      </c>
      <c r="BF11" s="103" t="e">
        <f>AVERAGE(BF9:BF9)</f>
        <v>#VALUE!</v>
      </c>
    </row>
    <row r="12" spans="1:58" ht="16" x14ac:dyDescent="0.2">
      <c r="B12" s="47" t="s">
        <v>18</v>
      </c>
      <c r="J12" s="48">
        <f>AVERAGE(J5:J9)</f>
        <v>1.1377218388134376</v>
      </c>
      <c r="K12" s="48">
        <f>AVERAGE(K5:K9)</f>
        <v>0.14780082936105918</v>
      </c>
      <c r="L12" s="48">
        <f>AVERAGE(L5:L9)</f>
        <v>0.13586005874422691</v>
      </c>
      <c r="M12" s="48">
        <f>AVERAGE(M5:M9)</f>
        <v>0.98992050079865168</v>
      </c>
      <c r="AG12" s="48" t="e">
        <f>AVERAGE(AG5:AG9)</f>
        <v>#DIV/0!</v>
      </c>
      <c r="AH12" s="48" t="e">
        <f>AVERAGE(AH5:AH9)</f>
        <v>#DIV/0!</v>
      </c>
      <c r="AI12" s="48" t="e">
        <f>AVERAGE(AI5:AI9)</f>
        <v>#DIV/0!</v>
      </c>
      <c r="AJ12" s="48" t="e">
        <f>AVERAGE(AJ5:AJ9)</f>
        <v>#DIV/0!</v>
      </c>
      <c r="BB12" s="98" t="e">
        <f t="shared" si="0"/>
        <v>#DIV/0!</v>
      </c>
      <c r="BC12" s="98" t="e">
        <f t="shared" si="1"/>
        <v>#DIV/0!</v>
      </c>
      <c r="BD12" s="98" t="e">
        <f t="shared" si="1"/>
        <v>#DIV/0!</v>
      </c>
      <c r="BF12" s="103" t="e">
        <f>AVERAGE(BF5:BF9)</f>
        <v>#VALUE!</v>
      </c>
    </row>
    <row r="13" spans="1:58" ht="16" hidden="1" outlineLevel="2" x14ac:dyDescent="0.2">
      <c r="A13" s="47" t="s">
        <v>235</v>
      </c>
      <c r="B13" s="47" t="s">
        <v>236</v>
      </c>
      <c r="Z13" s="49">
        <f>SUM(Z5:Z8,Z9:Z9)</f>
        <v>13699.77</v>
      </c>
      <c r="AA13" s="49">
        <f>SUM(AA5:AA8,AA9:AA9)</f>
        <v>34913.100000000006</v>
      </c>
      <c r="AB13" s="49">
        <f>SUM(AB5:AB8,AB9:AB9)</f>
        <v>14.843999999999999</v>
      </c>
      <c r="AC13" s="49">
        <f>SUM(AC5:AC8,AC9:AC9)</f>
        <v>103.205</v>
      </c>
      <c r="AW13" s="49">
        <f>SUM(AW5:AW8,AW9:AW9)</f>
        <v>0</v>
      </c>
      <c r="AX13" s="49">
        <f>SUM(AX5:AX8,AX9:AX9)</f>
        <v>0</v>
      </c>
      <c r="AY13" s="49">
        <f>SUM(AY5:AY8,AY9:AY9)</f>
        <v>0</v>
      </c>
      <c r="AZ13" s="49">
        <f>SUM(AZ5:AZ8,AZ9:AZ9)</f>
        <v>0</v>
      </c>
    </row>
    <row r="14" spans="1:58" ht="16" hidden="1" outlineLevel="2" x14ac:dyDescent="0.2">
      <c r="B14" s="47" t="s">
        <v>237</v>
      </c>
      <c r="AW14" s="103">
        <f>AW13/Z13</f>
        <v>0</v>
      </c>
      <c r="AX14" s="103">
        <f>AX13/AA13</f>
        <v>0</v>
      </c>
      <c r="AY14" s="103">
        <f>AY13/AB13</f>
        <v>0</v>
      </c>
      <c r="AZ14" s="103">
        <f>AZ13/AC13</f>
        <v>0</v>
      </c>
    </row>
    <row r="15" spans="1:58" ht="16" hidden="1" outlineLevel="2" x14ac:dyDescent="0.2">
      <c r="B15" s="47" t="s">
        <v>238</v>
      </c>
      <c r="Z15" s="49">
        <f>GEOMEAN(Z5:Z8,Z9:Z9)</f>
        <v>2708.7100067075344</v>
      </c>
      <c r="AA15" s="49">
        <f>GEOMEAN(AA5:AA8,AA9:AA9)</f>
        <v>6875.4624467378744</v>
      </c>
      <c r="AB15" s="49">
        <f>GEOMEAN(AB5:AB8,AB9:AB9)</f>
        <v>2.9262315666046246</v>
      </c>
      <c r="AC15" s="49">
        <f>GEOMEAN(AC5:AC8,AC9:AC9)</f>
        <v>20.493340778911282</v>
      </c>
      <c r="AW15" s="49" t="e">
        <f>GEOMEAN(AW5:AW8,AW9:AW9)</f>
        <v>#NUM!</v>
      </c>
      <c r="AX15" s="49" t="e">
        <f>GEOMEAN(AX5:AX8,AX9:AX9)</f>
        <v>#NUM!</v>
      </c>
      <c r="AY15" s="49" t="e">
        <f>GEOMEAN(AY5:AY8,AY9:AY9)</f>
        <v>#NUM!</v>
      </c>
      <c r="AZ15" s="49" t="e">
        <f>GEOMEAN(AZ5:AZ8,AZ9:AZ9)</f>
        <v>#NUM!</v>
      </c>
    </row>
    <row r="16" spans="1:58" ht="16" outlineLevel="2" collapsed="1" x14ac:dyDescent="0.2">
      <c r="B16" s="47" t="s">
        <v>239</v>
      </c>
      <c r="AW16" s="103" t="e">
        <f>AW15/Z15</f>
        <v>#NUM!</v>
      </c>
      <c r="AX16" s="103" t="e">
        <f>AX15/AA15</f>
        <v>#NUM!</v>
      </c>
      <c r="AY16" s="103" t="e">
        <f>AY15/AB15</f>
        <v>#NUM!</v>
      </c>
      <c r="AZ16" s="103" t="e">
        <f>AZ15/AC15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41" priority="3" operator="greaterThanOrEqual">
      <formula>1.03</formula>
    </cfRule>
    <cfRule type="cellIs" dxfId="40" priority="4" operator="lessThanOrEqual">
      <formula>0.97</formula>
    </cfRule>
  </conditionalFormatting>
  <conditionalFormatting sqref="BC10 BC11 BC12">
    <cfRule type="cellIs" dxfId="39" priority="5" operator="greaterThanOrEqual">
      <formula>1.03</formula>
    </cfRule>
    <cfRule type="cellIs" dxfId="38" priority="6" operator="lessThanOrEqual">
      <formula>0.97</formula>
    </cfRule>
  </conditionalFormatting>
  <conditionalFormatting sqref="BD10 BD11 BD12">
    <cfRule type="cellIs" dxfId="37" priority="1" operator="greaterThanOrEqual">
      <formula>1.03</formula>
    </cfRule>
    <cfRule type="cellIs" dxfId="3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/>
  </sheetPr>
  <dimension ref="A1:BT36"/>
  <sheetViews>
    <sheetView workbookViewId="0">
      <pane xSplit="2" topLeftCell="T1" activePane="topRight" state="frozen"/>
      <selection pane="topRight" activeCell="AG2" sqref="AG2:AG3"/>
    </sheetView>
  </sheetViews>
  <sheetFormatPr baseColWidth="10" defaultColWidth="8.83203125" defaultRowHeight="15" outlineLevelRow="2" x14ac:dyDescent="0.2"/>
  <cols>
    <col min="2" max="2" width="24.6640625" style="4" customWidth="1"/>
    <col min="4" max="5" width="10.6640625" style="4" customWidth="1"/>
    <col min="8" max="8" width="1.6640625" style="4" customWidth="1"/>
    <col min="10" max="13" width="10.6640625" style="4" customWidth="1"/>
    <col min="14" max="14" width="24.6640625" style="4" hidden="1" customWidth="1"/>
    <col min="15" max="15" width="12.6640625" style="4" customWidth="1"/>
    <col min="16" max="16" width="10.6640625" style="4" customWidth="1"/>
    <col min="19" max="22" width="12.6640625" style="4" customWidth="1"/>
    <col min="23" max="27" width="11.6640625" style="4" customWidth="1"/>
    <col min="32" max="32" width="1.6640625" style="4" customWidth="1"/>
    <col min="34" max="37" width="10.6640625" style="4" customWidth="1"/>
    <col min="38" max="38" width="24.6640625" style="4" hidden="1" customWidth="1"/>
    <col min="39" max="39" width="12.6640625" style="4" customWidth="1"/>
    <col min="40" max="40" width="10.6640625" style="4" customWidth="1"/>
    <col min="43" max="46" width="12.6640625" style="4" customWidth="1"/>
    <col min="47" max="51" width="11.6640625" style="4" customWidth="1"/>
    <col min="56" max="56" width="1.6640625" style="4" customWidth="1"/>
    <col min="60" max="60" width="1.6640625" style="4" customWidth="1"/>
    <col min="63" max="65" width="11.6640625" style="4" customWidth="1"/>
    <col min="66" max="66" width="1.6640625" style="4" customWidth="1"/>
    <col min="69" max="71" width="11.6640625" style="4" customWidth="1"/>
    <col min="72" max="72" width="1.6640625" style="4" customWidth="1"/>
  </cols>
  <sheetData>
    <row r="1" spans="1:71" x14ac:dyDescent="0.2">
      <c r="A1" s="126" t="s">
        <v>551</v>
      </c>
      <c r="B1" s="112"/>
      <c r="C1" s="112"/>
      <c r="D1" s="112"/>
      <c r="E1" s="112"/>
      <c r="F1" s="112"/>
      <c r="G1" s="112"/>
      <c r="I1" s="111" t="s">
        <v>3</v>
      </c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G1" s="113" t="s">
        <v>572</v>
      </c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</row>
    <row r="2" spans="1:71" ht="30" customHeight="1" x14ac:dyDescent="0.2">
      <c r="A2" s="122" t="s">
        <v>140</v>
      </c>
      <c r="B2" s="123" t="s">
        <v>141</v>
      </c>
      <c r="C2" s="122" t="s">
        <v>142</v>
      </c>
      <c r="D2" s="123" t="s">
        <v>143</v>
      </c>
      <c r="E2" s="122" t="s">
        <v>144</v>
      </c>
      <c r="F2" s="123" t="s">
        <v>145</v>
      </c>
      <c r="G2" s="122" t="s">
        <v>146</v>
      </c>
      <c r="I2" s="123" t="s">
        <v>147</v>
      </c>
      <c r="J2" s="124" t="s">
        <v>148</v>
      </c>
      <c r="K2" s="112"/>
      <c r="L2" s="112"/>
      <c r="M2" s="112"/>
      <c r="N2" s="122" t="s">
        <v>149</v>
      </c>
      <c r="O2" s="123" t="s">
        <v>150</v>
      </c>
      <c r="P2" s="122" t="s">
        <v>85</v>
      </c>
      <c r="Q2" s="123" t="s">
        <v>87</v>
      </c>
      <c r="R2" s="122" t="s">
        <v>83</v>
      </c>
      <c r="S2" s="125" t="s">
        <v>151</v>
      </c>
      <c r="T2" s="112"/>
      <c r="U2" s="112"/>
      <c r="V2" s="112"/>
      <c r="W2" s="124" t="s">
        <v>152</v>
      </c>
      <c r="X2" s="112"/>
      <c r="Y2" s="125" t="s">
        <v>153</v>
      </c>
      <c r="Z2" s="112"/>
      <c r="AA2" s="112"/>
      <c r="AB2" s="124" t="s">
        <v>154</v>
      </c>
      <c r="AC2" s="112"/>
      <c r="AD2" s="125" t="s">
        <v>155</v>
      </c>
      <c r="AE2" s="112"/>
      <c r="AG2" s="122" t="s">
        <v>147</v>
      </c>
      <c r="AH2" s="125" t="s">
        <v>148</v>
      </c>
      <c r="AI2" s="112"/>
      <c r="AJ2" s="112"/>
      <c r="AK2" s="112"/>
      <c r="AL2" s="123" t="s">
        <v>156</v>
      </c>
      <c r="AM2" s="122" t="s">
        <v>150</v>
      </c>
      <c r="AN2" s="123" t="s">
        <v>85</v>
      </c>
      <c r="AO2" s="122" t="s">
        <v>87</v>
      </c>
      <c r="AP2" s="123" t="s">
        <v>83</v>
      </c>
      <c r="AQ2" s="124" t="s">
        <v>151</v>
      </c>
      <c r="AR2" s="112"/>
      <c r="AS2" s="112"/>
      <c r="AT2" s="112"/>
      <c r="AU2" s="125" t="s">
        <v>152</v>
      </c>
      <c r="AV2" s="112"/>
      <c r="AW2" s="124" t="s">
        <v>153</v>
      </c>
      <c r="AX2" s="112"/>
      <c r="AY2" s="112"/>
      <c r="AZ2" s="125" t="s">
        <v>154</v>
      </c>
      <c r="BA2" s="112"/>
      <c r="BB2" s="124" t="s">
        <v>155</v>
      </c>
      <c r="BC2" s="112"/>
      <c r="BE2" s="123" t="s">
        <v>157</v>
      </c>
      <c r="BF2" s="122" t="s">
        <v>158</v>
      </c>
      <c r="BG2" s="123" t="s">
        <v>158</v>
      </c>
      <c r="BI2" s="124" t="s">
        <v>7</v>
      </c>
      <c r="BJ2" s="112"/>
      <c r="BK2" s="125" t="s">
        <v>8</v>
      </c>
      <c r="BL2" s="112"/>
      <c r="BM2" s="112"/>
      <c r="BO2" s="124" t="s">
        <v>9</v>
      </c>
      <c r="BP2" s="112"/>
      <c r="BQ2" s="125" t="s">
        <v>10</v>
      </c>
      <c r="BR2" s="112"/>
      <c r="BS2" s="112"/>
    </row>
    <row r="3" spans="1:71" ht="16" x14ac:dyDescent="0.2">
      <c r="A3" s="115"/>
      <c r="B3" s="115"/>
      <c r="C3" s="115"/>
      <c r="D3" s="115"/>
      <c r="E3" s="115"/>
      <c r="F3" s="115"/>
      <c r="G3" s="115"/>
      <c r="I3" s="115"/>
      <c r="J3" s="105" t="s">
        <v>25</v>
      </c>
      <c r="K3" s="105" t="s">
        <v>159</v>
      </c>
      <c r="L3" s="105" t="s">
        <v>24</v>
      </c>
      <c r="M3" s="105" t="s">
        <v>160</v>
      </c>
      <c r="N3" s="115"/>
      <c r="O3" s="115"/>
      <c r="P3" s="115"/>
      <c r="Q3" s="115"/>
      <c r="R3" s="115"/>
      <c r="S3" s="104" t="s">
        <v>25</v>
      </c>
      <c r="T3" s="104" t="s">
        <v>24</v>
      </c>
      <c r="U3" s="104" t="s">
        <v>161</v>
      </c>
      <c r="V3" s="104" t="s">
        <v>26</v>
      </c>
      <c r="W3" s="105" t="s">
        <v>11</v>
      </c>
      <c r="X3" s="105" t="s">
        <v>12</v>
      </c>
      <c r="Y3" s="104" t="s">
        <v>13</v>
      </c>
      <c r="Z3" s="104" t="s">
        <v>14</v>
      </c>
      <c r="AA3" s="104" t="s">
        <v>15</v>
      </c>
      <c r="AB3" s="105" t="s">
        <v>35</v>
      </c>
      <c r="AC3" s="105" t="s">
        <v>36</v>
      </c>
      <c r="AD3" s="104" t="s">
        <v>35</v>
      </c>
      <c r="AE3" s="104" t="s">
        <v>36</v>
      </c>
      <c r="AG3" s="115"/>
      <c r="AH3" s="104" t="s">
        <v>25</v>
      </c>
      <c r="AI3" s="104" t="s">
        <v>159</v>
      </c>
      <c r="AJ3" s="104" t="s">
        <v>24</v>
      </c>
      <c r="AK3" s="104" t="s">
        <v>160</v>
      </c>
      <c r="AL3" s="115"/>
      <c r="AM3" s="115"/>
      <c r="AN3" s="115"/>
      <c r="AO3" s="115"/>
      <c r="AP3" s="115"/>
      <c r="AQ3" s="105" t="s">
        <v>25</v>
      </c>
      <c r="AR3" s="105" t="s">
        <v>24</v>
      </c>
      <c r="AS3" s="105" t="s">
        <v>161</v>
      </c>
      <c r="AT3" s="105" t="s">
        <v>26</v>
      </c>
      <c r="AU3" s="104" t="s">
        <v>11</v>
      </c>
      <c r="AV3" s="104" t="s">
        <v>12</v>
      </c>
      <c r="AW3" s="105" t="s">
        <v>13</v>
      </c>
      <c r="AX3" s="105" t="s">
        <v>14</v>
      </c>
      <c r="AY3" s="105" t="s">
        <v>15</v>
      </c>
      <c r="AZ3" s="104" t="s">
        <v>35</v>
      </c>
      <c r="BA3" s="104" t="s">
        <v>36</v>
      </c>
      <c r="BB3" s="105" t="s">
        <v>35</v>
      </c>
      <c r="BC3" s="105" t="s">
        <v>36</v>
      </c>
      <c r="BE3" s="115"/>
      <c r="BF3" s="115"/>
      <c r="BG3" s="115"/>
      <c r="BI3" s="105" t="s">
        <v>11</v>
      </c>
      <c r="BJ3" s="105" t="s">
        <v>12</v>
      </c>
      <c r="BK3" s="104" t="s">
        <v>13</v>
      </c>
      <c r="BL3" s="104" t="s">
        <v>14</v>
      </c>
      <c r="BM3" s="104" t="s">
        <v>15</v>
      </c>
      <c r="BO3" s="105" t="s">
        <v>11</v>
      </c>
      <c r="BP3" s="105" t="s">
        <v>12</v>
      </c>
      <c r="BQ3" s="104" t="s">
        <v>13</v>
      </c>
      <c r="BR3" s="104" t="s">
        <v>14</v>
      </c>
      <c r="BS3" s="104" t="s">
        <v>15</v>
      </c>
    </row>
    <row r="4" spans="1:71" ht="123" hidden="1" customHeight="1" x14ac:dyDescent="0.2">
      <c r="A4" s="9" t="s">
        <v>162</v>
      </c>
      <c r="B4" s="10" t="s">
        <v>163</v>
      </c>
      <c r="C4" s="9" t="s">
        <v>164</v>
      </c>
      <c r="D4" s="10" t="s">
        <v>165</v>
      </c>
      <c r="E4" s="9" t="s">
        <v>166</v>
      </c>
      <c r="F4" s="10" t="s">
        <v>167</v>
      </c>
      <c r="G4" s="9" t="s">
        <v>168</v>
      </c>
      <c r="I4" s="10" t="s">
        <v>169</v>
      </c>
      <c r="J4" s="9" t="s">
        <v>170</v>
      </c>
      <c r="K4" s="9" t="s">
        <v>171</v>
      </c>
      <c r="L4" s="9" t="s">
        <v>172</v>
      </c>
      <c r="M4" s="9" t="s">
        <v>173</v>
      </c>
      <c r="N4" s="9" t="s">
        <v>174</v>
      </c>
      <c r="O4" s="10" t="s">
        <v>175</v>
      </c>
      <c r="P4" s="9" t="s">
        <v>176</v>
      </c>
      <c r="Q4" s="10" t="s">
        <v>177</v>
      </c>
      <c r="R4" s="9" t="s">
        <v>178</v>
      </c>
      <c r="S4" s="10" t="s">
        <v>179</v>
      </c>
      <c r="T4" s="10" t="s">
        <v>180</v>
      </c>
      <c r="U4" s="10" t="s">
        <v>181</v>
      </c>
      <c r="V4" s="10" t="s">
        <v>182</v>
      </c>
      <c r="W4" s="9" t="s">
        <v>183</v>
      </c>
      <c r="X4" s="9" t="s">
        <v>184</v>
      </c>
      <c r="Y4" s="10" t="s">
        <v>185</v>
      </c>
      <c r="Z4" s="10" t="s">
        <v>186</v>
      </c>
      <c r="AA4" s="10" t="s">
        <v>187</v>
      </c>
      <c r="AB4" s="9" t="s">
        <v>188</v>
      </c>
      <c r="AC4" s="9" t="s">
        <v>189</v>
      </c>
      <c r="AD4" s="10" t="s">
        <v>190</v>
      </c>
      <c r="AE4" s="10" t="s">
        <v>191</v>
      </c>
      <c r="AG4" s="9" t="s">
        <v>192</v>
      </c>
      <c r="AH4" s="10" t="s">
        <v>193</v>
      </c>
      <c r="AI4" s="10" t="s">
        <v>194</v>
      </c>
      <c r="AJ4" s="10" t="s">
        <v>195</v>
      </c>
      <c r="AK4" s="10" t="s">
        <v>196</v>
      </c>
      <c r="AL4" s="10" t="s">
        <v>197</v>
      </c>
      <c r="AM4" s="9" t="s">
        <v>198</v>
      </c>
      <c r="AN4" s="10" t="s">
        <v>199</v>
      </c>
      <c r="AO4" s="9" t="s">
        <v>200</v>
      </c>
      <c r="AP4" s="10" t="s">
        <v>201</v>
      </c>
      <c r="AQ4" s="9" t="s">
        <v>202</v>
      </c>
      <c r="AR4" s="9" t="s">
        <v>203</v>
      </c>
      <c r="AS4" s="9" t="s">
        <v>204</v>
      </c>
      <c r="AT4" s="9" t="s">
        <v>205</v>
      </c>
      <c r="AU4" s="10" t="s">
        <v>206</v>
      </c>
      <c r="AV4" s="10" t="s">
        <v>207</v>
      </c>
      <c r="AW4" s="9" t="s">
        <v>208</v>
      </c>
      <c r="AX4" s="9" t="s">
        <v>209</v>
      </c>
      <c r="AY4" s="9" t="s">
        <v>210</v>
      </c>
      <c r="AZ4" s="10" t="s">
        <v>211</v>
      </c>
      <c r="BA4" s="10" t="s">
        <v>212</v>
      </c>
      <c r="BB4" s="9" t="s">
        <v>213</v>
      </c>
      <c r="BC4" s="9" t="s">
        <v>214</v>
      </c>
      <c r="BE4" s="10" t="s">
        <v>215</v>
      </c>
      <c r="BF4" s="9" t="s">
        <v>216</v>
      </c>
      <c r="BG4" s="10" t="s">
        <v>217</v>
      </c>
      <c r="BI4" s="9" t="s">
        <v>218</v>
      </c>
      <c r="BJ4" s="9" t="s">
        <v>219</v>
      </c>
      <c r="BK4" s="10" t="s">
        <v>220</v>
      </c>
      <c r="BL4" s="10" t="s">
        <v>221</v>
      </c>
      <c r="BM4" s="10" t="s">
        <v>222</v>
      </c>
      <c r="BO4" s="9" t="s">
        <v>223</v>
      </c>
      <c r="BP4" s="9" t="s">
        <v>224</v>
      </c>
      <c r="BQ4" s="10" t="s">
        <v>225</v>
      </c>
      <c r="BR4" s="10" t="s">
        <v>226</v>
      </c>
      <c r="BS4" s="10" t="s">
        <v>227</v>
      </c>
    </row>
    <row r="5" spans="1:71" x14ac:dyDescent="0.2">
      <c r="A5" s="77" t="s">
        <v>228</v>
      </c>
      <c r="B5" s="77" t="s">
        <v>54</v>
      </c>
      <c r="C5" s="11" t="s">
        <v>229</v>
      </c>
      <c r="D5" s="77">
        <v>238146391</v>
      </c>
      <c r="E5" s="11">
        <v>10</v>
      </c>
      <c r="F5" s="11">
        <v>32</v>
      </c>
      <c r="G5" s="11">
        <v>30</v>
      </c>
      <c r="I5" s="12">
        <f t="shared" ref="I5:I29" si="0">IF(OR(ISBLANK(S5),ISBLANK(G5)),"·",S5*G5/F5/1000000)</f>
        <v>1.232445</v>
      </c>
      <c r="J5" s="13">
        <f t="shared" ref="J5:J29" si="1">IF(ISBLANK(S5),"·",S5/D5)</f>
        <v>5.5201676350409186E-3</v>
      </c>
      <c r="K5" s="13">
        <f t="shared" ref="K5:K29" si="2">IF(N5="","·",N5/D5)</f>
        <v>4.6032190342955902E-3</v>
      </c>
      <c r="L5" s="13">
        <f t="shared" ref="L5:L29" si="3">IF(T5="","·",T5/D5)</f>
        <v>2.7426155704370929E-3</v>
      </c>
      <c r="M5" s="13">
        <f t="shared" ref="M5:M29" si="4">IF(ISBLANK(V5),"·",V5/D5)</f>
        <v>9.1641111621968687E-4</v>
      </c>
      <c r="N5" s="77">
        <f t="shared" ref="N5:N29" si="5">IF(OR(ISBLANK(T5),ISBLANK(U5)),"",T5+U5)</f>
        <v>1096240</v>
      </c>
      <c r="O5" s="13">
        <v>16</v>
      </c>
      <c r="P5" s="14">
        <v>23291477</v>
      </c>
      <c r="Q5" s="14">
        <v>727858.65625</v>
      </c>
      <c r="R5" s="14">
        <v>16263.4375</v>
      </c>
      <c r="S5" s="15">
        <v>1314608</v>
      </c>
      <c r="T5" s="15">
        <v>653144</v>
      </c>
      <c r="U5" s="15">
        <v>443096</v>
      </c>
      <c r="V5" s="15">
        <v>218240</v>
      </c>
      <c r="W5" s="16">
        <v>66.755174999999994</v>
      </c>
      <c r="X5" s="16">
        <v>68.482021875000001</v>
      </c>
      <c r="Y5" s="16">
        <v>31.711881250000001</v>
      </c>
      <c r="Z5" s="16">
        <v>44.206637499999999</v>
      </c>
      <c r="AA5" s="16">
        <v>43.811549999999997</v>
      </c>
      <c r="AB5" s="17">
        <v>3576.13</v>
      </c>
      <c r="AC5" s="17">
        <v>3212.43</v>
      </c>
      <c r="AD5" s="17">
        <v>4.97</v>
      </c>
      <c r="AE5" s="17">
        <v>17.449000000000002</v>
      </c>
      <c r="AG5" s="12">
        <f t="shared" ref="AG5:AG29" si="6">IF(OR(ISBLANK(AQ5),ISBLANK(G5)),"·",AQ5*G5/F5/1000000)</f>
        <v>1.2342225</v>
      </c>
      <c r="AH5" s="13">
        <f t="shared" ref="AH5:AH29" si="7">IF(ISBLANK(AQ5),"·",AQ5/D5)</f>
        <v>5.5281291245769916E-3</v>
      </c>
      <c r="AI5" s="13">
        <f t="shared" ref="AI5:AI29" si="8">IF(AL5="","·",AL5/D5)</f>
        <v>4.6091649568605056E-3</v>
      </c>
      <c r="AJ5" s="13">
        <f t="shared" ref="AJ5:AJ29" si="9">IF(AR5="","·",AR5/D5)</f>
        <v>2.7426155704370929E-3</v>
      </c>
      <c r="AK5" s="13">
        <f t="shared" ref="AK5:AK29" si="10">IF(ISBLANK(AT5),"·",AT5/D5)</f>
        <v>9.1641111621968687E-4</v>
      </c>
      <c r="AL5" s="77">
        <f t="shared" ref="AL5:AL29" si="11">IF(OR(ISBLANK(AR5),ISBLANK(AS5)),"",AR5+AS5)</f>
        <v>1097656</v>
      </c>
      <c r="AM5" s="13">
        <v>16</v>
      </c>
      <c r="AN5" s="14">
        <v>23291477</v>
      </c>
      <c r="AO5" s="14">
        <v>727858.65625</v>
      </c>
      <c r="AP5" s="14">
        <v>16263.4375</v>
      </c>
      <c r="AQ5" s="15">
        <v>1316504</v>
      </c>
      <c r="AR5" s="15">
        <v>653144</v>
      </c>
      <c r="AS5" s="15">
        <v>444512</v>
      </c>
      <c r="AT5" s="15">
        <v>218240</v>
      </c>
      <c r="AU5" s="16">
        <v>66.755174999999994</v>
      </c>
      <c r="AV5" s="16">
        <v>68.482022000000001</v>
      </c>
      <c r="AW5" s="16">
        <v>31.711881000000002</v>
      </c>
      <c r="AX5" s="16">
        <v>44.206637999999998</v>
      </c>
      <c r="AY5" s="16">
        <v>43.811549999999997</v>
      </c>
      <c r="AZ5" s="17">
        <v>3390.42</v>
      </c>
      <c r="BA5" s="17">
        <v>2217.2800000000002</v>
      </c>
      <c r="BB5" s="17">
        <v>9.1999999999999993</v>
      </c>
      <c r="BC5" s="17">
        <v>12.446999999999999</v>
      </c>
      <c r="BE5" s="18">
        <f t="shared" ref="BE5:BE29" si="12">(AP5/AO5) - (R5/Q5)</f>
        <v>0</v>
      </c>
      <c r="BF5" s="18">
        <f t="shared" ref="BF5:BF29" si="13">(AL5/AQ5) - (N5/S5)</f>
        <v>-1.2537573276527603E-4</v>
      </c>
      <c r="BG5" s="18">
        <f t="array" ref="BG5">AVERAGE(AL5:AL9/AQ5:AQ9) - AVERAGE(N5:N9/S5:S9)</f>
        <v>5.1264489903113386E-6</v>
      </c>
      <c r="BI5" s="79">
        <f>IF( OR(ISBLANK(N5:N9),ISBLANK(AL5:AL9), ISBLANK(W5:W9),ISBLANK(AU5:AU9)), "·", bdRateExtend( N5:N9,W5:W9, AL5:AL9,AU5:AU9))</f>
        <v>8.8972168397893903E-4</v>
      </c>
      <c r="BJ5" s="79">
        <f>IF( OR(ISBLANK(N5:N9),ISBLANK(AL5:AL9), ISBLANK(X5:X9),ISBLANK(AV5:AV9)), "·", bdRateExtend( N5:N9,X5:X9, AL5:AL9,AV5:AV9))</f>
        <v>8.5974392263588051E-4</v>
      </c>
      <c r="BK5" s="79">
        <f>IF( OR(ISBLANK(V5:V9),ISBLANK(AT5:AT9), ISBLANK(Y5:Y9),ISBLANK(AW5:AW9)), "·", bdRateExtend( V5:V9,Y5:Y9, AT5:AT9,AW5:AW9))</f>
        <v>5.689409676712387E-8</v>
      </c>
      <c r="BL5" s="79">
        <f>IF( OR(ISBLANK(V5:V9),ISBLANK(AT5:AT9), ISBLANK(Z5:Z9),ISBLANK(AX5:AX9)), "·", bdRateExtend( V5:V9,Z5:Z9, AT5:AT9,AX5:AX9))</f>
        <v>-6.6729443748414496E-8</v>
      </c>
      <c r="BM5" s="79">
        <f>IF( OR(ISBLANK(V5:V9),ISBLANK(AT5:AT9), ISBLANK(AA5:AA9),ISBLANK(AY5:AY9)), "·", bdRateExtend( V5:V9,AA5:AA9, AT5:AT9,AY5:AY9))</f>
        <v>1.4685893745536305E-7</v>
      </c>
      <c r="BO5" s="79">
        <f>IF( OR(ISBLANK(S5:S9),ISBLANK(AQ5:AQ9), ISBLANK(W5:W9),ISBLANK(AU5:AU9)), "·", bdRateExtend( S5:S9,W5:W9, AQ5:AQ9,AU5:AU9))</f>
        <v>8.6835985543265437E-4</v>
      </c>
      <c r="BP5" s="79">
        <f>IF( OR(ISBLANK(S5:S9),ISBLANK(AQ5:AQ9), ISBLANK(X5:X9),ISBLANK(AV5:AV9)), "·", bdRateExtend( S5:S9,X5:X9, AQ5:AQ9,AV5:AV9))</f>
        <v>8.287012849326203E-4</v>
      </c>
      <c r="BQ5" s="79">
        <f>IF( OR(ISBLANK(S5:S9),ISBLANK(AQ5:AQ9), ISBLANK(Y5:Y9),ISBLANK(AW5:AW9)), "·", bdRateExtend( S5:S9,Y5:Y9, AQ5:AQ9,AW5:AW9))</f>
        <v>7.9484118183392738E-4</v>
      </c>
      <c r="BR5" s="79">
        <f>IF( OR(ISBLANK(S5:S9),ISBLANK(AQ5:AQ9), ISBLANK(Z5:Z9),ISBLANK(AX5:AX9)), "·", bdRateExtend( S5:S9,Z5:Z9, AQ5:AQ9,AX5:AX9))</f>
        <v>7.9459170382678579E-4</v>
      </c>
      <c r="BS5" s="79">
        <f>IF( OR(ISBLANK(S5:S9),ISBLANK(AQ5:AQ9), ISBLANK(AA5:AA9),ISBLANK(AY5:AY9)), "·", bdRateExtend( S5:S9,AA5:AA9, AQ5:AQ9,AY5:AY9))</f>
        <v>7.7930745537546642E-4</v>
      </c>
    </row>
    <row r="6" spans="1:71" outlineLevel="1" x14ac:dyDescent="0.2">
      <c r="A6" s="69"/>
      <c r="B6" s="69" t="s">
        <v>54</v>
      </c>
      <c r="C6" s="19" t="s">
        <v>230</v>
      </c>
      <c r="D6" s="69">
        <v>238146391</v>
      </c>
      <c r="E6" s="19">
        <v>10</v>
      </c>
      <c r="F6" s="19">
        <v>32</v>
      </c>
      <c r="G6" s="19">
        <v>30</v>
      </c>
      <c r="I6" s="20">
        <f t="shared" si="0"/>
        <v>1.5944700000000001</v>
      </c>
      <c r="J6" s="21">
        <f t="shared" si="1"/>
        <v>7.1416912633372638E-3</v>
      </c>
      <c r="K6" s="21">
        <f t="shared" si="2"/>
        <v>5.5556080209504411E-3</v>
      </c>
      <c r="L6" s="21">
        <f t="shared" si="3"/>
        <v>3.6950045570919442E-3</v>
      </c>
      <c r="M6" s="21">
        <f t="shared" si="4"/>
        <v>1.5855457578611803E-3</v>
      </c>
      <c r="N6" s="69">
        <f t="shared" si="5"/>
        <v>1323048</v>
      </c>
      <c r="O6" s="21">
        <v>16</v>
      </c>
      <c r="P6" s="22">
        <v>24771760</v>
      </c>
      <c r="Q6" s="22">
        <v>774117.5</v>
      </c>
      <c r="R6" s="22">
        <v>20008.375</v>
      </c>
      <c r="S6" s="23">
        <v>1700768</v>
      </c>
      <c r="T6" s="23">
        <v>879952</v>
      </c>
      <c r="U6" s="23">
        <v>443096</v>
      </c>
      <c r="V6" s="23">
        <v>377592</v>
      </c>
      <c r="W6" s="24">
        <v>68.484087500000001</v>
      </c>
      <c r="X6" s="24">
        <v>70.470168749999999</v>
      </c>
      <c r="Y6" s="24">
        <v>33.798806249999998</v>
      </c>
      <c r="Z6" s="24">
        <v>45.365068749999999</v>
      </c>
      <c r="AA6" s="24">
        <v>44.907209375000001</v>
      </c>
      <c r="AB6" s="25">
        <v>3632.72</v>
      </c>
      <c r="AC6" s="25">
        <v>3390.27</v>
      </c>
      <c r="AD6" s="25">
        <v>5.08</v>
      </c>
      <c r="AE6" s="25">
        <v>17.483000000000001</v>
      </c>
      <c r="AG6" s="20">
        <f t="shared" si="6"/>
        <v>1.5962475</v>
      </c>
      <c r="AH6" s="21">
        <f t="shared" si="7"/>
        <v>7.1496527528733369E-3</v>
      </c>
      <c r="AI6" s="21">
        <f t="shared" si="8"/>
        <v>5.5615539435153565E-3</v>
      </c>
      <c r="AJ6" s="21">
        <f t="shared" si="9"/>
        <v>3.6950045570919442E-3</v>
      </c>
      <c r="AK6" s="21">
        <f t="shared" si="10"/>
        <v>1.5855457578611803E-3</v>
      </c>
      <c r="AL6" s="69">
        <f t="shared" si="11"/>
        <v>1324464</v>
      </c>
      <c r="AM6" s="21">
        <v>16</v>
      </c>
      <c r="AN6" s="22">
        <v>24771760</v>
      </c>
      <c r="AO6" s="22">
        <v>774117.5</v>
      </c>
      <c r="AP6" s="22">
        <v>20008.375</v>
      </c>
      <c r="AQ6" s="23">
        <v>1702664</v>
      </c>
      <c r="AR6" s="23">
        <v>879952</v>
      </c>
      <c r="AS6" s="23">
        <v>444512</v>
      </c>
      <c r="AT6" s="23">
        <v>377592</v>
      </c>
      <c r="AU6" s="24">
        <v>68.484087000000002</v>
      </c>
      <c r="AV6" s="24">
        <v>70.470168999999999</v>
      </c>
      <c r="AW6" s="24">
        <v>33.798805999999999</v>
      </c>
      <c r="AX6" s="24">
        <v>45.365068999999998</v>
      </c>
      <c r="AY6" s="24">
        <v>44.907209000000002</v>
      </c>
      <c r="AZ6" s="25">
        <v>3386.91</v>
      </c>
      <c r="BA6" s="25">
        <v>2442.9699999999998</v>
      </c>
      <c r="BB6" s="25">
        <v>8.9570000000000007</v>
      </c>
      <c r="BC6" s="25">
        <v>12.837999999999999</v>
      </c>
      <c r="BE6" s="26">
        <f t="shared" si="12"/>
        <v>0</v>
      </c>
      <c r="BF6" s="26">
        <f t="shared" si="13"/>
        <v>-3.4605379782393086E-5</v>
      </c>
      <c r="BG6" s="26"/>
      <c r="BI6" s="71"/>
      <c r="BJ6" s="71"/>
      <c r="BK6" s="71"/>
      <c r="BL6" s="71"/>
      <c r="BM6" s="71"/>
      <c r="BO6" s="71"/>
      <c r="BP6" s="71"/>
      <c r="BQ6" s="71"/>
      <c r="BR6" s="71"/>
      <c r="BS6" s="71"/>
    </row>
    <row r="7" spans="1:71" outlineLevel="1" x14ac:dyDescent="0.2">
      <c r="A7" s="77"/>
      <c r="B7" s="77" t="s">
        <v>54</v>
      </c>
      <c r="C7" s="11" t="s">
        <v>231</v>
      </c>
      <c r="D7" s="77">
        <v>238146391</v>
      </c>
      <c r="E7" s="11">
        <v>10</v>
      </c>
      <c r="F7" s="11">
        <v>32</v>
      </c>
      <c r="G7" s="11">
        <v>30</v>
      </c>
      <c r="I7" s="12">
        <f t="shared" si="0"/>
        <v>2.1880125000000001</v>
      </c>
      <c r="J7" s="13">
        <f t="shared" si="1"/>
        <v>9.8001905055113761E-3</v>
      </c>
      <c r="K7" s="13">
        <f t="shared" si="2"/>
        <v>6.7892021928646403E-3</v>
      </c>
      <c r="L7" s="13">
        <f t="shared" si="3"/>
        <v>4.928598729006143E-3</v>
      </c>
      <c r="M7" s="13">
        <f t="shared" si="4"/>
        <v>3.0104508281210947E-3</v>
      </c>
      <c r="N7" s="77">
        <f t="shared" si="5"/>
        <v>1616824</v>
      </c>
      <c r="O7" s="13">
        <v>16</v>
      </c>
      <c r="P7" s="14">
        <v>24950327</v>
      </c>
      <c r="Q7" s="14">
        <v>779697.71875</v>
      </c>
      <c r="R7" s="14">
        <v>21339.03125</v>
      </c>
      <c r="S7" s="15">
        <v>2333880</v>
      </c>
      <c r="T7" s="15">
        <v>1173728</v>
      </c>
      <c r="U7" s="15">
        <v>443096</v>
      </c>
      <c r="V7" s="15">
        <v>716928</v>
      </c>
      <c r="W7" s="16">
        <v>69.813803125000007</v>
      </c>
      <c r="X7" s="16">
        <v>72.148834375000007</v>
      </c>
      <c r="Y7" s="16">
        <v>36.263181250000002</v>
      </c>
      <c r="Z7" s="16">
        <v>46.865137500000003</v>
      </c>
      <c r="AA7" s="16">
        <v>46.592928125</v>
      </c>
      <c r="AB7" s="17">
        <v>3634.18</v>
      </c>
      <c r="AC7" s="17">
        <v>3608.99</v>
      </c>
      <c r="AD7" s="17">
        <v>5.1280000000000001</v>
      </c>
      <c r="AE7" s="17">
        <v>17.707999999999998</v>
      </c>
      <c r="AG7" s="12">
        <f t="shared" si="6"/>
        <v>2.1897899999999999</v>
      </c>
      <c r="AH7" s="13">
        <f t="shared" si="7"/>
        <v>9.80815199504745E-3</v>
      </c>
      <c r="AI7" s="13">
        <f t="shared" si="8"/>
        <v>6.7951481154295557E-3</v>
      </c>
      <c r="AJ7" s="13">
        <f t="shared" si="9"/>
        <v>4.928598729006143E-3</v>
      </c>
      <c r="AK7" s="13">
        <f t="shared" si="10"/>
        <v>3.0104508281210947E-3</v>
      </c>
      <c r="AL7" s="77">
        <f t="shared" si="11"/>
        <v>1618240</v>
      </c>
      <c r="AM7" s="13">
        <v>16</v>
      </c>
      <c r="AN7" s="14">
        <v>24950327</v>
      </c>
      <c r="AO7" s="14">
        <v>779697.71875</v>
      </c>
      <c r="AP7" s="14">
        <v>21339.03125</v>
      </c>
      <c r="AQ7" s="15">
        <v>2335776</v>
      </c>
      <c r="AR7" s="15">
        <v>1173728</v>
      </c>
      <c r="AS7" s="15">
        <v>444512</v>
      </c>
      <c r="AT7" s="15">
        <v>716928</v>
      </c>
      <c r="AU7" s="16">
        <v>69.813802999999993</v>
      </c>
      <c r="AV7" s="16">
        <v>72.148833999999994</v>
      </c>
      <c r="AW7" s="16">
        <v>36.263181000000003</v>
      </c>
      <c r="AX7" s="16">
        <v>46.865138000000002</v>
      </c>
      <c r="AY7" s="16">
        <v>46.592928000000001</v>
      </c>
      <c r="AZ7" s="17">
        <v>3412.23</v>
      </c>
      <c r="BA7" s="17">
        <v>2533.17</v>
      </c>
      <c r="BB7" s="17">
        <v>8.9350000000000005</v>
      </c>
      <c r="BC7" s="17">
        <v>12.92</v>
      </c>
      <c r="BE7" s="18">
        <f t="shared" si="12"/>
        <v>0</v>
      </c>
      <c r="BF7" s="18">
        <f t="shared" si="13"/>
        <v>4.3892368758458034E-5</v>
      </c>
      <c r="BG7" s="18"/>
      <c r="BI7" s="79"/>
      <c r="BJ7" s="79"/>
      <c r="BK7" s="79"/>
      <c r="BL7" s="79"/>
      <c r="BM7" s="79"/>
      <c r="BO7" s="79"/>
      <c r="BP7" s="79"/>
      <c r="BQ7" s="79"/>
      <c r="BR7" s="79"/>
      <c r="BS7" s="79"/>
    </row>
    <row r="8" spans="1:71" outlineLevel="1" x14ac:dyDescent="0.2">
      <c r="A8" s="69"/>
      <c r="B8" s="69" t="s">
        <v>54</v>
      </c>
      <c r="C8" s="19" t="s">
        <v>232</v>
      </c>
      <c r="D8" s="69">
        <v>238146391</v>
      </c>
      <c r="E8" s="19">
        <v>10</v>
      </c>
      <c r="F8" s="19">
        <v>32</v>
      </c>
      <c r="G8" s="19">
        <v>30</v>
      </c>
      <c r="I8" s="20">
        <f t="shared" si="0"/>
        <v>3.5839574999999999</v>
      </c>
      <c r="J8" s="21">
        <f t="shared" si="1"/>
        <v>1.6052680806739581E-2</v>
      </c>
      <c r="K8" s="21">
        <f t="shared" si="2"/>
        <v>9.4549910689177737E-3</v>
      </c>
      <c r="L8" s="21">
        <f t="shared" si="3"/>
        <v>7.5943876050592763E-3</v>
      </c>
      <c r="M8" s="21">
        <f t="shared" si="4"/>
        <v>6.5971522532961673E-3</v>
      </c>
      <c r="N8" s="69">
        <f t="shared" si="5"/>
        <v>2251672</v>
      </c>
      <c r="O8" s="21">
        <v>16</v>
      </c>
      <c r="P8" s="22">
        <v>26043919</v>
      </c>
      <c r="Q8" s="22">
        <v>813872.46875</v>
      </c>
      <c r="R8" s="22">
        <v>24933.6875</v>
      </c>
      <c r="S8" s="23">
        <v>3822888</v>
      </c>
      <c r="T8" s="23">
        <v>1808576</v>
      </c>
      <c r="U8" s="23">
        <v>443096</v>
      </c>
      <c r="V8" s="23">
        <v>1571088</v>
      </c>
      <c r="W8" s="24">
        <v>70.797706250000005</v>
      </c>
      <c r="X8" s="24">
        <v>73.331156250000006</v>
      </c>
      <c r="Y8" s="24">
        <v>38.72625</v>
      </c>
      <c r="Z8" s="24">
        <v>48.146503125000002</v>
      </c>
      <c r="AA8" s="24">
        <v>48.046862500000003</v>
      </c>
      <c r="AB8" s="25">
        <v>3573.41</v>
      </c>
      <c r="AC8" s="25">
        <v>3918.43</v>
      </c>
      <c r="AD8" s="25">
        <v>5.2510000000000003</v>
      </c>
      <c r="AE8" s="25">
        <v>18.291</v>
      </c>
      <c r="AG8" s="20">
        <f t="shared" si="6"/>
        <v>3.5857350000000001</v>
      </c>
      <c r="AH8" s="21">
        <f t="shared" si="7"/>
        <v>1.6060642296275657E-2</v>
      </c>
      <c r="AI8" s="21">
        <f t="shared" si="8"/>
        <v>9.460936991482689E-3</v>
      </c>
      <c r="AJ8" s="21">
        <f t="shared" si="9"/>
        <v>7.5943876050592763E-3</v>
      </c>
      <c r="AK8" s="21">
        <f t="shared" si="10"/>
        <v>6.5971522532961673E-3</v>
      </c>
      <c r="AL8" s="69">
        <f t="shared" si="11"/>
        <v>2253088</v>
      </c>
      <c r="AM8" s="21">
        <v>16</v>
      </c>
      <c r="AN8" s="22">
        <v>26043919</v>
      </c>
      <c r="AO8" s="22">
        <v>813872.46875</v>
      </c>
      <c r="AP8" s="22">
        <v>24933.6875</v>
      </c>
      <c r="AQ8" s="23">
        <v>3824784</v>
      </c>
      <c r="AR8" s="23">
        <v>1808576</v>
      </c>
      <c r="AS8" s="23">
        <v>444512</v>
      </c>
      <c r="AT8" s="23">
        <v>1571088</v>
      </c>
      <c r="AU8" s="24">
        <v>70.797706000000005</v>
      </c>
      <c r="AV8" s="24">
        <v>73.331155999999993</v>
      </c>
      <c r="AW8" s="24">
        <v>38.72625</v>
      </c>
      <c r="AX8" s="24">
        <v>48.146503000000003</v>
      </c>
      <c r="AY8" s="24">
        <v>48.046861999999997</v>
      </c>
      <c r="AZ8" s="25">
        <v>4325.22</v>
      </c>
      <c r="BA8" s="25">
        <v>3988.77</v>
      </c>
      <c r="BB8" s="25">
        <v>12.647</v>
      </c>
      <c r="BC8" s="25">
        <v>20.260000000000002</v>
      </c>
      <c r="BE8" s="26">
        <f t="shared" si="12"/>
        <v>0</v>
      </c>
      <c r="BF8" s="26">
        <f t="shared" si="13"/>
        <v>7.8242452256627182E-5</v>
      </c>
      <c r="BG8" s="26"/>
      <c r="BI8" s="71"/>
      <c r="BJ8" s="71"/>
      <c r="BK8" s="71"/>
      <c r="BL8" s="71"/>
      <c r="BM8" s="71"/>
      <c r="BO8" s="71"/>
      <c r="BP8" s="71"/>
      <c r="BQ8" s="71"/>
      <c r="BR8" s="71"/>
      <c r="BS8" s="71"/>
    </row>
    <row r="9" spans="1:71" outlineLevel="1" x14ac:dyDescent="0.2">
      <c r="A9" s="77"/>
      <c r="B9" s="27" t="s">
        <v>54</v>
      </c>
      <c r="C9" s="28" t="s">
        <v>233</v>
      </c>
      <c r="D9" s="27">
        <v>238146391</v>
      </c>
      <c r="E9" s="28">
        <v>10</v>
      </c>
      <c r="F9" s="28">
        <v>32</v>
      </c>
      <c r="G9" s="28">
        <v>30</v>
      </c>
      <c r="I9" s="29">
        <f t="shared" si="0"/>
        <v>7.594455</v>
      </c>
      <c r="J9" s="30">
        <f t="shared" si="1"/>
        <v>3.4015850359873812E-2</v>
      </c>
      <c r="K9" s="30">
        <f t="shared" si="2"/>
        <v>1.6176470211551514E-2</v>
      </c>
      <c r="L9" s="30">
        <f t="shared" si="3"/>
        <v>1.2297377204427171E-2</v>
      </c>
      <c r="M9" s="30">
        <f t="shared" si="4"/>
        <v>1.7838842663796657E-2</v>
      </c>
      <c r="N9" s="27">
        <f t="shared" si="5"/>
        <v>3852368</v>
      </c>
      <c r="O9" s="30">
        <v>16</v>
      </c>
      <c r="P9" s="31">
        <v>25040643</v>
      </c>
      <c r="Q9" s="31">
        <v>782520.09375</v>
      </c>
      <c r="R9" s="31">
        <v>10525.34375</v>
      </c>
      <c r="S9" s="32">
        <v>8100752</v>
      </c>
      <c r="T9" s="32">
        <v>2928576</v>
      </c>
      <c r="U9" s="32">
        <v>923792</v>
      </c>
      <c r="V9" s="32">
        <v>4248256</v>
      </c>
      <c r="W9" s="33">
        <v>72.046912500000005</v>
      </c>
      <c r="X9" s="33">
        <v>75.239984375000006</v>
      </c>
      <c r="Y9" s="33">
        <v>41.158309375000002</v>
      </c>
      <c r="Z9" s="33">
        <v>49.566081250000003</v>
      </c>
      <c r="AA9" s="33">
        <v>49.604275000000001</v>
      </c>
      <c r="AB9" s="34">
        <v>3546.64</v>
      </c>
      <c r="AC9" s="34">
        <v>4350.66</v>
      </c>
      <c r="AD9" s="34">
        <v>5.12</v>
      </c>
      <c r="AE9" s="34">
        <v>19.684999999999999</v>
      </c>
      <c r="AG9" s="29">
        <f t="shared" si="6"/>
        <v>7.5962325000000002</v>
      </c>
      <c r="AH9" s="30">
        <f t="shared" si="7"/>
        <v>3.4023811849409884E-2</v>
      </c>
      <c r="AI9" s="30">
        <f t="shared" si="8"/>
        <v>1.6182416134116431E-2</v>
      </c>
      <c r="AJ9" s="30">
        <f t="shared" si="9"/>
        <v>1.2297377204427171E-2</v>
      </c>
      <c r="AK9" s="30">
        <f t="shared" si="10"/>
        <v>1.7838842663796657E-2</v>
      </c>
      <c r="AL9" s="27">
        <f t="shared" si="11"/>
        <v>3853784</v>
      </c>
      <c r="AM9" s="30">
        <v>16</v>
      </c>
      <c r="AN9" s="31">
        <v>25040643</v>
      </c>
      <c r="AO9" s="31">
        <v>782520.09375</v>
      </c>
      <c r="AP9" s="31">
        <v>10525.34375</v>
      </c>
      <c r="AQ9" s="32">
        <v>8102648</v>
      </c>
      <c r="AR9" s="32">
        <v>2928576</v>
      </c>
      <c r="AS9" s="32">
        <v>925208</v>
      </c>
      <c r="AT9" s="32">
        <v>4248256</v>
      </c>
      <c r="AU9" s="33">
        <v>72.046912000000006</v>
      </c>
      <c r="AV9" s="33">
        <v>75.239984000000007</v>
      </c>
      <c r="AW9" s="33">
        <v>41.158309000000003</v>
      </c>
      <c r="AX9" s="33">
        <v>49.566080999999997</v>
      </c>
      <c r="AY9" s="33">
        <v>49.604275000000001</v>
      </c>
      <c r="AZ9" s="34">
        <v>3690.23</v>
      </c>
      <c r="BA9" s="34">
        <v>3104.6</v>
      </c>
      <c r="BB9" s="34">
        <v>8.9220000000000006</v>
      </c>
      <c r="BC9" s="34">
        <v>14.519</v>
      </c>
      <c r="BE9" s="35">
        <f t="shared" si="12"/>
        <v>0</v>
      </c>
      <c r="BF9" s="35">
        <f t="shared" si="13"/>
        <v>6.3478536483752013E-5</v>
      </c>
      <c r="BG9" s="35"/>
      <c r="BI9" s="36"/>
      <c r="BJ9" s="36"/>
      <c r="BK9" s="36"/>
      <c r="BL9" s="36"/>
      <c r="BM9" s="36"/>
      <c r="BO9" s="36"/>
      <c r="BP9" s="36"/>
      <c r="BQ9" s="36"/>
      <c r="BR9" s="36"/>
      <c r="BS9" s="36"/>
    </row>
    <row r="10" spans="1:71" x14ac:dyDescent="0.2">
      <c r="A10" s="69"/>
      <c r="B10" s="69" t="s">
        <v>62</v>
      </c>
      <c r="C10" s="19" t="s">
        <v>229</v>
      </c>
      <c r="D10" s="69">
        <v>218121242</v>
      </c>
      <c r="E10" s="19">
        <v>10</v>
      </c>
      <c r="F10" s="19">
        <v>32</v>
      </c>
      <c r="G10" s="19">
        <v>30</v>
      </c>
      <c r="I10" s="20">
        <f t="shared" si="0"/>
        <v>2.1049199999999999</v>
      </c>
      <c r="J10" s="21">
        <f t="shared" si="1"/>
        <v>1.0293577917551011E-2</v>
      </c>
      <c r="K10" s="21">
        <f t="shared" si="2"/>
        <v>7.5029097807906304E-3</v>
      </c>
      <c r="L10" s="21">
        <f t="shared" si="3"/>
        <v>4.1019021888753044E-3</v>
      </c>
      <c r="M10" s="21">
        <f t="shared" si="4"/>
        <v>2.7900813071658559E-3</v>
      </c>
      <c r="N10" s="69">
        <f t="shared" si="5"/>
        <v>1636544</v>
      </c>
      <c r="O10" s="21">
        <v>16</v>
      </c>
      <c r="P10" s="22">
        <v>20922161</v>
      </c>
      <c r="Q10" s="22">
        <v>653817.53125</v>
      </c>
      <c r="R10" s="22">
        <v>19494.9375</v>
      </c>
      <c r="S10" s="23">
        <v>2245248</v>
      </c>
      <c r="T10" s="23">
        <v>894712</v>
      </c>
      <c r="U10" s="23">
        <v>741832</v>
      </c>
      <c r="V10" s="23">
        <v>608576</v>
      </c>
      <c r="W10" s="24">
        <v>65.964271874999994</v>
      </c>
      <c r="X10" s="24">
        <v>67.864968750000003</v>
      </c>
      <c r="Y10" s="24">
        <v>31.110006250000001</v>
      </c>
      <c r="Z10" s="24">
        <v>38.609443749999997</v>
      </c>
      <c r="AA10" s="24">
        <v>30.079318749999999</v>
      </c>
      <c r="AB10" s="25">
        <v>3797.06</v>
      </c>
      <c r="AC10" s="25">
        <v>4452.2700000000004</v>
      </c>
      <c r="AD10" s="25">
        <v>4.8479999999999999</v>
      </c>
      <c r="AE10" s="25">
        <v>22.478999999999999</v>
      </c>
      <c r="AG10" s="20">
        <f t="shared" si="6"/>
        <v>2.1127349999999998</v>
      </c>
      <c r="AH10" s="21">
        <f t="shared" si="7"/>
        <v>1.0331795194894406E-2</v>
      </c>
      <c r="AI10" s="21">
        <f t="shared" si="8"/>
        <v>7.5389264471545604E-3</v>
      </c>
      <c r="AJ10" s="21">
        <f t="shared" si="9"/>
        <v>4.1019021888753044E-3</v>
      </c>
      <c r="AK10" s="21">
        <f t="shared" si="10"/>
        <v>2.7900813071658559E-3</v>
      </c>
      <c r="AL10" s="69">
        <f t="shared" si="11"/>
        <v>1644400</v>
      </c>
      <c r="AM10" s="21">
        <v>16</v>
      </c>
      <c r="AN10" s="22">
        <v>20922161</v>
      </c>
      <c r="AO10" s="22">
        <v>653817.53125</v>
      </c>
      <c r="AP10" s="22">
        <v>19494.9375</v>
      </c>
      <c r="AQ10" s="23">
        <v>2253584</v>
      </c>
      <c r="AR10" s="23">
        <v>894712</v>
      </c>
      <c r="AS10" s="23">
        <v>749688</v>
      </c>
      <c r="AT10" s="23">
        <v>608576</v>
      </c>
      <c r="AU10" s="24">
        <v>65.964271999999994</v>
      </c>
      <c r="AV10" s="24">
        <v>67.864969000000002</v>
      </c>
      <c r="AW10" s="24">
        <v>31.110005999999998</v>
      </c>
      <c r="AX10" s="24">
        <v>38.609444000000003</v>
      </c>
      <c r="AY10" s="24">
        <v>30.079319000000002</v>
      </c>
      <c r="AZ10" s="25">
        <v>4703.8500000000004</v>
      </c>
      <c r="BA10" s="25">
        <v>4562.09</v>
      </c>
      <c r="BB10" s="25">
        <v>12.192</v>
      </c>
      <c r="BC10" s="25">
        <v>26.513999999999999</v>
      </c>
      <c r="BE10" s="26">
        <f t="shared" si="12"/>
        <v>0</v>
      </c>
      <c r="BF10" s="26">
        <f t="shared" si="13"/>
        <v>7.8983242180208357E-4</v>
      </c>
      <c r="BG10" s="26">
        <f t="array" ref="BG10">AVERAGE(AL10:AL14/AQ10:AQ14) - AVERAGE(N10:N14/S10:S14)</f>
        <v>6.3416294521634331E-4</v>
      </c>
      <c r="BI10" s="71">
        <f>IF( OR(ISBLANK(N10:N14),ISBLANK(AL10:AL14), ISBLANK(W10:W14),ISBLANK(AU10:AU14)), "·", bdRateExtend( N10:N14,W10:W14, AL10:AL14,AU10:AU14))</f>
        <v>3.312706694666101E-3</v>
      </c>
      <c r="BJ10" s="71">
        <f>IF( OR(ISBLANK(N10:N14),ISBLANK(AL10:AL14), ISBLANK(X10:X14),ISBLANK(AV10:AV14)), "·", bdRateExtend( N10:N14,X10:X14, AL10:AL14,AV10:AV14))</f>
        <v>3.1040483834958721E-3</v>
      </c>
      <c r="BK10" s="71">
        <f>IF( OR(ISBLANK(V10:V14),ISBLANK(AT10:AT14), ISBLANK(Y10:Y14),ISBLANK(AW10:AW14)), "·", bdRateExtend( V10:V14,Y10:Y14, AT10:AT14,AW10:AW14))</f>
        <v>7.5712522251691894E-8</v>
      </c>
      <c r="BL10" s="71">
        <f>IF( OR(ISBLANK(V10:V14),ISBLANK(AT10:AT14), ISBLANK(Z10:Z14),ISBLANK(AX10:AX14)), "·", bdRateExtend( V10:V14,Z10:Z14, AT10:AT14,AX10:AX14))</f>
        <v>-1.8691467562614861E-7</v>
      </c>
      <c r="BM10" s="71">
        <f>IF( OR(ISBLANK(V10:V14),ISBLANK(AT10:AT14), ISBLANK(AA10:AA14),ISBLANK(AY10:AY14)), "·", bdRateExtend( V10:V14,AA10:AA14, AT10:AT14,AY10:AY14))</f>
        <v>-1.5242463291542663E-8</v>
      </c>
      <c r="BO10" s="71">
        <f>IF( OR(ISBLANK(S10:S14),ISBLANK(AQ10:AQ14), ISBLANK(W10:W14),ISBLANK(AU10:AU14)), "·", bdRateExtend( S10:S14,W10:W14, AQ10:AQ14,AU10:AU14))</f>
        <v>2.1582793100647368E-3</v>
      </c>
      <c r="BP10" s="71">
        <f>IF( OR(ISBLANK(S10:S14),ISBLANK(AQ10:AQ14), ISBLANK(X10:X14),ISBLANK(AV10:AV14)), "·", bdRateExtend( S10:S14,X10:X14, AQ10:AQ14,AV10:AV14))</f>
        <v>1.9718858150838958E-3</v>
      </c>
      <c r="BQ10" s="71">
        <f>IF( OR(ISBLANK(S10:S14),ISBLANK(AQ10:AQ14), ISBLANK(Y10:Y14),ISBLANK(AW10:AW14)), "·", bdRateExtend( S10:S14,Y10:Y14, AQ10:AQ14,AW10:AW14))</f>
        <v>1.9066518535650889E-3</v>
      </c>
      <c r="BR10" s="71">
        <f>IF( OR(ISBLANK(S10:S14),ISBLANK(AQ10:AQ14), ISBLANK(Z10:Z14),ISBLANK(AX10:AX14)), "·", bdRateExtend( S10:S14,Z10:Z14, AQ10:AQ14,AX10:AX14))</f>
        <v>1.9316021419719664E-3</v>
      </c>
      <c r="BS10" s="71">
        <f>IF( OR(ISBLANK(S10:S14),ISBLANK(AQ10:AQ14), ISBLANK(AA10:AA14),ISBLANK(AY10:AY14)), "·", bdRateExtend( S10:S14,AA10:AA14, AQ10:AQ14,AY10:AY14))</f>
        <v>2.0032529480040751E-3</v>
      </c>
    </row>
    <row r="11" spans="1:71" outlineLevel="1" x14ac:dyDescent="0.2">
      <c r="A11" s="77"/>
      <c r="B11" s="77" t="s">
        <v>62</v>
      </c>
      <c r="C11" s="11" t="s">
        <v>230</v>
      </c>
      <c r="D11" s="77">
        <v>218121242</v>
      </c>
      <c r="E11" s="11">
        <v>10</v>
      </c>
      <c r="F11" s="11">
        <v>32</v>
      </c>
      <c r="G11" s="11">
        <v>30</v>
      </c>
      <c r="I11" s="12">
        <f t="shared" si="0"/>
        <v>2.8520025000000002</v>
      </c>
      <c r="J11" s="13">
        <f t="shared" si="1"/>
        <v>1.3946995588811108E-2</v>
      </c>
      <c r="K11" s="13">
        <f t="shared" si="2"/>
        <v>9.0555508573529949E-3</v>
      </c>
      <c r="L11" s="13">
        <f t="shared" si="3"/>
        <v>5.654543265437669E-3</v>
      </c>
      <c r="M11" s="13">
        <f t="shared" si="4"/>
        <v>4.8908579018635883E-3</v>
      </c>
      <c r="N11" s="77">
        <f t="shared" si="5"/>
        <v>1975208</v>
      </c>
      <c r="O11" s="13">
        <v>16</v>
      </c>
      <c r="P11" s="14">
        <v>22420610</v>
      </c>
      <c r="Q11" s="14">
        <v>700644.0625</v>
      </c>
      <c r="R11" s="14">
        <v>24865.21875</v>
      </c>
      <c r="S11" s="15">
        <v>3042136</v>
      </c>
      <c r="T11" s="15">
        <v>1233376</v>
      </c>
      <c r="U11" s="15">
        <v>741832</v>
      </c>
      <c r="V11" s="15">
        <v>1066800</v>
      </c>
      <c r="W11" s="16">
        <v>67.688396874999995</v>
      </c>
      <c r="X11" s="16">
        <v>69.747328124999996</v>
      </c>
      <c r="Y11" s="16">
        <v>32.972578124999998</v>
      </c>
      <c r="Z11" s="16">
        <v>39.676993750000001</v>
      </c>
      <c r="AA11" s="16">
        <v>32.356859374999999</v>
      </c>
      <c r="AB11" s="17">
        <v>3585.23</v>
      </c>
      <c r="AC11" s="17">
        <v>4438.8</v>
      </c>
      <c r="AD11" s="17">
        <v>4.9450000000000003</v>
      </c>
      <c r="AE11" s="17">
        <v>22.547999999999998</v>
      </c>
      <c r="AG11" s="12">
        <f t="shared" si="6"/>
        <v>2.8598175000000001</v>
      </c>
      <c r="AH11" s="13">
        <f t="shared" si="7"/>
        <v>1.3985212866154503E-2</v>
      </c>
      <c r="AI11" s="13">
        <f t="shared" si="8"/>
        <v>9.091567523716924E-3</v>
      </c>
      <c r="AJ11" s="13">
        <f t="shared" si="9"/>
        <v>5.654543265437669E-3</v>
      </c>
      <c r="AK11" s="13">
        <f t="shared" si="10"/>
        <v>4.8908579018635883E-3</v>
      </c>
      <c r="AL11" s="77">
        <f t="shared" si="11"/>
        <v>1983064</v>
      </c>
      <c r="AM11" s="13">
        <v>16</v>
      </c>
      <c r="AN11" s="14">
        <v>22420610</v>
      </c>
      <c r="AO11" s="14">
        <v>700644.0625</v>
      </c>
      <c r="AP11" s="14">
        <v>24865.21875</v>
      </c>
      <c r="AQ11" s="15">
        <v>3050472</v>
      </c>
      <c r="AR11" s="15">
        <v>1233376</v>
      </c>
      <c r="AS11" s="15">
        <v>749688</v>
      </c>
      <c r="AT11" s="15">
        <v>1066800</v>
      </c>
      <c r="AU11" s="16">
        <v>67.688396999999995</v>
      </c>
      <c r="AV11" s="16">
        <v>69.747327999999996</v>
      </c>
      <c r="AW11" s="16">
        <v>32.972577999999999</v>
      </c>
      <c r="AX11" s="16">
        <v>39.676994000000001</v>
      </c>
      <c r="AY11" s="16">
        <v>32.356859</v>
      </c>
      <c r="AZ11" s="17">
        <v>4779.1899999999996</v>
      </c>
      <c r="BA11" s="17">
        <v>5081.8900000000003</v>
      </c>
      <c r="BB11" s="17">
        <v>11.942</v>
      </c>
      <c r="BC11" s="17">
        <v>24.608000000000001</v>
      </c>
      <c r="BE11" s="18">
        <f t="shared" si="12"/>
        <v>0</v>
      </c>
      <c r="BF11" s="18">
        <f t="shared" si="13"/>
        <v>8.0104806348368918E-4</v>
      </c>
      <c r="BG11" s="18"/>
      <c r="BI11" s="79"/>
      <c r="BJ11" s="79"/>
      <c r="BK11" s="79"/>
      <c r="BL11" s="79"/>
      <c r="BM11" s="79"/>
      <c r="BO11" s="79"/>
      <c r="BP11" s="79"/>
      <c r="BQ11" s="79"/>
      <c r="BR11" s="79"/>
      <c r="BS11" s="79"/>
    </row>
    <row r="12" spans="1:71" outlineLevel="1" x14ac:dyDescent="0.2">
      <c r="A12" s="69"/>
      <c r="B12" s="69" t="s">
        <v>62</v>
      </c>
      <c r="C12" s="19" t="s">
        <v>231</v>
      </c>
      <c r="D12" s="69">
        <v>218121242</v>
      </c>
      <c r="E12" s="19">
        <v>10</v>
      </c>
      <c r="F12" s="19">
        <v>32</v>
      </c>
      <c r="G12" s="19">
        <v>30</v>
      </c>
      <c r="I12" s="20">
        <f t="shared" si="0"/>
        <v>4.0264350000000002</v>
      </c>
      <c r="J12" s="21">
        <f t="shared" si="1"/>
        <v>1.9690260153570921E-2</v>
      </c>
      <c r="K12" s="21">
        <f t="shared" si="2"/>
        <v>1.131315766118735E-2</v>
      </c>
      <c r="L12" s="21">
        <f t="shared" si="3"/>
        <v>7.9121500692720236E-3</v>
      </c>
      <c r="M12" s="21">
        <f t="shared" si="4"/>
        <v>8.3765156627890469E-3</v>
      </c>
      <c r="N12" s="69">
        <f t="shared" si="5"/>
        <v>2467640</v>
      </c>
      <c r="O12" s="21">
        <v>16</v>
      </c>
      <c r="P12" s="22">
        <v>22788844</v>
      </c>
      <c r="Q12" s="22">
        <v>712151.375</v>
      </c>
      <c r="R12" s="22">
        <v>26439.4375</v>
      </c>
      <c r="S12" s="23">
        <v>4294864</v>
      </c>
      <c r="T12" s="23">
        <v>1725808</v>
      </c>
      <c r="U12" s="23">
        <v>741832</v>
      </c>
      <c r="V12" s="23">
        <v>1827096</v>
      </c>
      <c r="W12" s="24">
        <v>69.049475000000001</v>
      </c>
      <c r="X12" s="24">
        <v>71.393259375</v>
      </c>
      <c r="Y12" s="24">
        <v>35.019659375000003</v>
      </c>
      <c r="Z12" s="24">
        <v>40.725065624999999</v>
      </c>
      <c r="AA12" s="24">
        <v>34.284574999999997</v>
      </c>
      <c r="AB12" s="25">
        <v>3562.75</v>
      </c>
      <c r="AC12" s="25">
        <v>4678.54</v>
      </c>
      <c r="AD12" s="25">
        <v>4.6820000000000004</v>
      </c>
      <c r="AE12" s="25">
        <v>21.155000000000001</v>
      </c>
      <c r="AG12" s="20">
        <f t="shared" si="6"/>
        <v>4.0342500000000001</v>
      </c>
      <c r="AH12" s="21">
        <f t="shared" si="7"/>
        <v>1.9728477430914316E-2</v>
      </c>
      <c r="AI12" s="21">
        <f t="shared" si="8"/>
        <v>1.134917432755128E-2</v>
      </c>
      <c r="AJ12" s="21">
        <f t="shared" si="9"/>
        <v>7.9121500692720236E-3</v>
      </c>
      <c r="AK12" s="21">
        <f t="shared" si="10"/>
        <v>8.3765156627890469E-3</v>
      </c>
      <c r="AL12" s="69">
        <f t="shared" si="11"/>
        <v>2475496</v>
      </c>
      <c r="AM12" s="21">
        <v>16</v>
      </c>
      <c r="AN12" s="22">
        <v>22788844</v>
      </c>
      <c r="AO12" s="22">
        <v>712151.375</v>
      </c>
      <c r="AP12" s="22">
        <v>26439.4375</v>
      </c>
      <c r="AQ12" s="23">
        <v>4303200</v>
      </c>
      <c r="AR12" s="23">
        <v>1725808</v>
      </c>
      <c r="AS12" s="23">
        <v>749688</v>
      </c>
      <c r="AT12" s="23">
        <v>1827096</v>
      </c>
      <c r="AU12" s="24">
        <v>69.049475000000001</v>
      </c>
      <c r="AV12" s="24">
        <v>71.393259</v>
      </c>
      <c r="AW12" s="24">
        <v>35.019658999999997</v>
      </c>
      <c r="AX12" s="24">
        <v>40.725065999999998</v>
      </c>
      <c r="AY12" s="24">
        <v>34.284574999999997</v>
      </c>
      <c r="AZ12" s="25">
        <v>3549.89</v>
      </c>
      <c r="BA12" s="25">
        <v>3452.81</v>
      </c>
      <c r="BB12" s="25">
        <v>8.5229999999999997</v>
      </c>
      <c r="BC12" s="25">
        <v>16.623999999999999</v>
      </c>
      <c r="BE12" s="26">
        <f t="shared" si="12"/>
        <v>0</v>
      </c>
      <c r="BF12" s="26">
        <f t="shared" si="13"/>
        <v>7.1260944223705547E-4</v>
      </c>
      <c r="BG12" s="26"/>
      <c r="BI12" s="71"/>
      <c r="BJ12" s="71"/>
      <c r="BK12" s="71"/>
      <c r="BL12" s="71"/>
      <c r="BM12" s="71"/>
      <c r="BO12" s="71"/>
      <c r="BP12" s="71"/>
      <c r="BQ12" s="71"/>
      <c r="BR12" s="71"/>
      <c r="BS12" s="71"/>
    </row>
    <row r="13" spans="1:71" outlineLevel="1" x14ac:dyDescent="0.2">
      <c r="A13" s="77"/>
      <c r="B13" s="77" t="s">
        <v>62</v>
      </c>
      <c r="C13" s="11" t="s">
        <v>232</v>
      </c>
      <c r="D13" s="77">
        <v>218121242</v>
      </c>
      <c r="E13" s="11">
        <v>10</v>
      </c>
      <c r="F13" s="11">
        <v>32</v>
      </c>
      <c r="G13" s="11">
        <v>30</v>
      </c>
      <c r="I13" s="12">
        <f t="shared" si="0"/>
        <v>6.5191800000000004</v>
      </c>
      <c r="J13" s="13">
        <f t="shared" si="1"/>
        <v>3.1880397966925204E-2</v>
      </c>
      <c r="K13" s="13">
        <f t="shared" si="2"/>
        <v>1.5456614720724907E-2</v>
      </c>
      <c r="L13" s="13">
        <f t="shared" si="3"/>
        <v>1.2055607128809582E-2</v>
      </c>
      <c r="M13" s="13">
        <f t="shared" si="4"/>
        <v>1.6423196416605772E-2</v>
      </c>
      <c r="N13" s="77">
        <f t="shared" si="5"/>
        <v>3371416</v>
      </c>
      <c r="O13" s="13">
        <v>16</v>
      </c>
      <c r="P13" s="14">
        <v>23752542</v>
      </c>
      <c r="Q13" s="14">
        <v>742266.9375</v>
      </c>
      <c r="R13" s="14">
        <v>30458.15625</v>
      </c>
      <c r="S13" s="15">
        <v>6953792</v>
      </c>
      <c r="T13" s="15">
        <v>2629584</v>
      </c>
      <c r="U13" s="15">
        <v>741832</v>
      </c>
      <c r="V13" s="15">
        <v>3582248</v>
      </c>
      <c r="W13" s="16">
        <v>70.030603124999999</v>
      </c>
      <c r="X13" s="16">
        <v>72.561171874999999</v>
      </c>
      <c r="Y13" s="16">
        <v>37.213606249999998</v>
      </c>
      <c r="Z13" s="16">
        <v>41.784290624999997</v>
      </c>
      <c r="AA13" s="16">
        <v>36.286212499999998</v>
      </c>
      <c r="AB13" s="17">
        <v>3591.63</v>
      </c>
      <c r="AC13" s="17">
        <v>4957.26</v>
      </c>
      <c r="AD13" s="17">
        <v>4.63</v>
      </c>
      <c r="AE13" s="17">
        <v>21.6</v>
      </c>
      <c r="AG13" s="12">
        <f t="shared" si="6"/>
        <v>6.5269950000000003</v>
      </c>
      <c r="AH13" s="13">
        <f t="shared" si="7"/>
        <v>3.1918615244268596E-2</v>
      </c>
      <c r="AI13" s="13">
        <f t="shared" si="8"/>
        <v>1.5492631387088838E-2</v>
      </c>
      <c r="AJ13" s="13">
        <f t="shared" si="9"/>
        <v>1.2055607128809582E-2</v>
      </c>
      <c r="AK13" s="13">
        <f t="shared" si="10"/>
        <v>1.6423196416605772E-2</v>
      </c>
      <c r="AL13" s="77">
        <f t="shared" si="11"/>
        <v>3379272</v>
      </c>
      <c r="AM13" s="13">
        <v>16</v>
      </c>
      <c r="AN13" s="14">
        <v>23752542</v>
      </c>
      <c r="AO13" s="14">
        <v>742266.9375</v>
      </c>
      <c r="AP13" s="14">
        <v>30458.15625</v>
      </c>
      <c r="AQ13" s="15">
        <v>6962128</v>
      </c>
      <c r="AR13" s="15">
        <v>2629584</v>
      </c>
      <c r="AS13" s="15">
        <v>749688</v>
      </c>
      <c r="AT13" s="15">
        <v>3582248</v>
      </c>
      <c r="AU13" s="16">
        <v>70.030602999999999</v>
      </c>
      <c r="AV13" s="16">
        <v>72.561171999999999</v>
      </c>
      <c r="AW13" s="16">
        <v>37.213605999999999</v>
      </c>
      <c r="AX13" s="16">
        <v>41.784291000000003</v>
      </c>
      <c r="AY13" s="16">
        <v>36.286212999999996</v>
      </c>
      <c r="AZ13" s="17">
        <v>3814.46</v>
      </c>
      <c r="BA13" s="17">
        <v>3824.32</v>
      </c>
      <c r="BB13" s="17">
        <v>8.827</v>
      </c>
      <c r="BC13" s="17">
        <v>16.895</v>
      </c>
      <c r="BE13" s="18">
        <f t="shared" si="12"/>
        <v>0</v>
      </c>
      <c r="BF13" s="18">
        <f t="shared" si="13"/>
        <v>5.4788511523040651E-4</v>
      </c>
      <c r="BG13" s="18"/>
      <c r="BI13" s="79"/>
      <c r="BJ13" s="79"/>
      <c r="BK13" s="79"/>
      <c r="BL13" s="79"/>
      <c r="BM13" s="79"/>
      <c r="BO13" s="79"/>
      <c r="BP13" s="79"/>
      <c r="BQ13" s="79"/>
      <c r="BR13" s="79"/>
      <c r="BS13" s="79"/>
    </row>
    <row r="14" spans="1:71" outlineLevel="1" x14ac:dyDescent="0.2">
      <c r="A14" s="69"/>
      <c r="B14" s="37" t="s">
        <v>62</v>
      </c>
      <c r="C14" s="38" t="s">
        <v>233</v>
      </c>
      <c r="D14" s="37">
        <v>218121242</v>
      </c>
      <c r="E14" s="38">
        <v>10</v>
      </c>
      <c r="F14" s="38">
        <v>32</v>
      </c>
      <c r="G14" s="38">
        <v>30</v>
      </c>
      <c r="I14" s="39">
        <f t="shared" si="0"/>
        <v>13.1907</v>
      </c>
      <c r="J14" s="40">
        <f t="shared" si="1"/>
        <v>6.4505776104099022E-2</v>
      </c>
      <c r="K14" s="40">
        <f t="shared" si="2"/>
        <v>2.599108618682815E-2</v>
      </c>
      <c r="L14" s="40">
        <f t="shared" si="3"/>
        <v>1.9417567776365403E-2</v>
      </c>
      <c r="M14" s="40">
        <f t="shared" si="4"/>
        <v>3.8514103087676346E-2</v>
      </c>
      <c r="N14" s="37">
        <f t="shared" si="5"/>
        <v>5669208</v>
      </c>
      <c r="O14" s="40">
        <v>16</v>
      </c>
      <c r="P14" s="41">
        <v>22508472</v>
      </c>
      <c r="Q14" s="41">
        <v>703389.75</v>
      </c>
      <c r="R14" s="41">
        <v>13989.71875</v>
      </c>
      <c r="S14" s="42">
        <v>14070080</v>
      </c>
      <c r="T14" s="42">
        <v>4235384</v>
      </c>
      <c r="U14" s="42">
        <v>1433824</v>
      </c>
      <c r="V14" s="42">
        <v>8400744</v>
      </c>
      <c r="W14" s="43">
        <v>71.218100000000007</v>
      </c>
      <c r="X14" s="43">
        <v>74.730703125000005</v>
      </c>
      <c r="Y14" s="43">
        <v>39.646131250000003</v>
      </c>
      <c r="Z14" s="43">
        <v>43.088418750000002</v>
      </c>
      <c r="AA14" s="43">
        <v>38.527559375000003</v>
      </c>
      <c r="AB14" s="44">
        <v>3581.06</v>
      </c>
      <c r="AC14" s="44">
        <v>5439.23</v>
      </c>
      <c r="AD14" s="44">
        <v>4.4850000000000003</v>
      </c>
      <c r="AE14" s="44">
        <v>23.024000000000001</v>
      </c>
      <c r="AG14" s="39">
        <f t="shared" si="6"/>
        <v>13.198515</v>
      </c>
      <c r="AH14" s="40">
        <f t="shared" si="7"/>
        <v>6.4543993381442413E-2</v>
      </c>
      <c r="AI14" s="40">
        <f t="shared" si="8"/>
        <v>2.6027102853192079E-2</v>
      </c>
      <c r="AJ14" s="40">
        <f t="shared" si="9"/>
        <v>1.9417567776365403E-2</v>
      </c>
      <c r="AK14" s="40">
        <f t="shared" si="10"/>
        <v>3.8514103087676346E-2</v>
      </c>
      <c r="AL14" s="37">
        <f t="shared" si="11"/>
        <v>5677064</v>
      </c>
      <c r="AM14" s="40">
        <v>16</v>
      </c>
      <c r="AN14" s="41">
        <v>22508472</v>
      </c>
      <c r="AO14" s="41">
        <v>703389.75</v>
      </c>
      <c r="AP14" s="41">
        <v>13989.71875</v>
      </c>
      <c r="AQ14" s="42">
        <v>14078416</v>
      </c>
      <c r="AR14" s="42">
        <v>4235384</v>
      </c>
      <c r="AS14" s="42">
        <v>1441680</v>
      </c>
      <c r="AT14" s="42">
        <v>8400744</v>
      </c>
      <c r="AU14" s="43">
        <v>71.218100000000007</v>
      </c>
      <c r="AV14" s="43">
        <v>74.730703000000005</v>
      </c>
      <c r="AW14" s="43">
        <v>39.646130999999997</v>
      </c>
      <c r="AX14" s="43">
        <v>43.088419000000002</v>
      </c>
      <c r="AY14" s="43">
        <v>38.527558999999997</v>
      </c>
      <c r="AZ14" s="44">
        <v>5169.74</v>
      </c>
      <c r="BA14" s="44">
        <v>6204.94</v>
      </c>
      <c r="BB14" s="44">
        <v>12.653</v>
      </c>
      <c r="BC14" s="44">
        <v>28.129000000000001</v>
      </c>
      <c r="BE14" s="45">
        <f t="shared" si="12"/>
        <v>0</v>
      </c>
      <c r="BF14" s="45">
        <f t="shared" si="13"/>
        <v>3.1943968332803774E-4</v>
      </c>
      <c r="BG14" s="45"/>
      <c r="BI14" s="46"/>
      <c r="BJ14" s="46"/>
      <c r="BK14" s="46"/>
      <c r="BL14" s="46"/>
      <c r="BM14" s="46"/>
      <c r="BO14" s="46"/>
      <c r="BP14" s="46"/>
      <c r="BQ14" s="46"/>
      <c r="BR14" s="46"/>
      <c r="BS14" s="46"/>
    </row>
    <row r="15" spans="1:71" x14ac:dyDescent="0.2">
      <c r="A15" s="77"/>
      <c r="B15" s="77" t="s">
        <v>67</v>
      </c>
      <c r="C15" s="11" t="s">
        <v>229</v>
      </c>
      <c r="D15" s="77">
        <v>322589704</v>
      </c>
      <c r="E15" s="11">
        <v>10</v>
      </c>
      <c r="F15" s="11">
        <v>32</v>
      </c>
      <c r="G15" s="11">
        <v>30</v>
      </c>
      <c r="I15" s="12">
        <f t="shared" si="0"/>
        <v>2.0171475000000001</v>
      </c>
      <c r="J15" s="13">
        <f t="shared" si="1"/>
        <v>6.6698470946859479E-3</v>
      </c>
      <c r="K15" s="13">
        <f t="shared" si="2"/>
        <v>5.3970972365565643E-3</v>
      </c>
      <c r="L15" s="13">
        <f t="shared" si="3"/>
        <v>2.7778195921590852E-3</v>
      </c>
      <c r="M15" s="13">
        <f t="shared" si="4"/>
        <v>1.2723530692721674E-3</v>
      </c>
      <c r="N15" s="77">
        <f t="shared" si="5"/>
        <v>1741048</v>
      </c>
      <c r="O15" s="13">
        <v>16</v>
      </c>
      <c r="P15" s="14">
        <v>32523696</v>
      </c>
      <c r="Q15" s="14">
        <v>1016365.5</v>
      </c>
      <c r="R15" s="14">
        <v>34573</v>
      </c>
      <c r="S15" s="15">
        <v>2151624</v>
      </c>
      <c r="T15" s="15">
        <v>896096</v>
      </c>
      <c r="U15" s="15">
        <v>844952</v>
      </c>
      <c r="V15" s="15">
        <v>410448</v>
      </c>
      <c r="W15" s="16">
        <v>66.386921874999999</v>
      </c>
      <c r="X15" s="16">
        <v>67.997512499999999</v>
      </c>
      <c r="Y15" s="16">
        <v>29.264875</v>
      </c>
      <c r="Z15" s="16">
        <v>43.246731250000003</v>
      </c>
      <c r="AA15" s="16">
        <v>43.583284374999998</v>
      </c>
      <c r="AB15" s="17">
        <v>3936.13</v>
      </c>
      <c r="AC15" s="17">
        <v>3583.43</v>
      </c>
      <c r="AD15" s="17">
        <v>6.6420000000000003</v>
      </c>
      <c r="AE15" s="17">
        <v>20.56</v>
      </c>
      <c r="AG15" s="12">
        <f t="shared" si="6"/>
        <v>2.0223</v>
      </c>
      <c r="AH15" s="13">
        <f t="shared" si="7"/>
        <v>6.6868842162426858E-3</v>
      </c>
      <c r="AI15" s="13">
        <f t="shared" si="8"/>
        <v>5.4126463998987392E-3</v>
      </c>
      <c r="AJ15" s="13">
        <f t="shared" si="9"/>
        <v>2.7778195921590852E-3</v>
      </c>
      <c r="AK15" s="13">
        <f t="shared" si="10"/>
        <v>1.2723530692721674E-3</v>
      </c>
      <c r="AL15" s="77">
        <f t="shared" si="11"/>
        <v>1746064</v>
      </c>
      <c r="AM15" s="13">
        <v>16</v>
      </c>
      <c r="AN15" s="14">
        <v>32523696</v>
      </c>
      <c r="AO15" s="14">
        <v>1016365.5</v>
      </c>
      <c r="AP15" s="14">
        <v>34573</v>
      </c>
      <c r="AQ15" s="15">
        <v>2157120</v>
      </c>
      <c r="AR15" s="15">
        <v>896096</v>
      </c>
      <c r="AS15" s="15">
        <v>849968</v>
      </c>
      <c r="AT15" s="15">
        <v>410448</v>
      </c>
      <c r="AU15" s="16">
        <v>66.386921999999998</v>
      </c>
      <c r="AV15" s="16">
        <v>67.997512999999998</v>
      </c>
      <c r="AW15" s="16">
        <v>29.264875</v>
      </c>
      <c r="AX15" s="16">
        <v>43.246730999999997</v>
      </c>
      <c r="AY15" s="16">
        <v>43.583283999999999</v>
      </c>
      <c r="AZ15" s="17">
        <v>4239.09</v>
      </c>
      <c r="BA15" s="17">
        <v>2693.91</v>
      </c>
      <c r="BB15" s="17">
        <v>11.673999999999999</v>
      </c>
      <c r="BC15" s="17">
        <v>14.89</v>
      </c>
      <c r="BE15" s="18">
        <f t="shared" si="12"/>
        <v>0</v>
      </c>
      <c r="BF15" s="18">
        <f t="shared" si="13"/>
        <v>2.6366389432952442E-4</v>
      </c>
      <c r="BG15" s="18">
        <f t="array" ref="BG15">AVERAGE(AL15:AL19/AQ15:AQ19) - AVERAGE(N15:N19/S15:S19)</f>
        <v>3.1559060267283279E-4</v>
      </c>
      <c r="BI15" s="79">
        <f>IF( OR(ISBLANK(N15:N19),ISBLANK(AL15:AL19), ISBLANK(W15:W19),ISBLANK(AU15:AU19)), "·", bdRateExtend( N15:N19,W15:W19, AL15:AL19,AU15:AU19))</f>
        <v>2.1134159273552555E-3</v>
      </c>
      <c r="BJ15" s="79">
        <f>IF( OR(ISBLANK(N15:N19),ISBLANK(AL15:AL19), ISBLANK(X15:X19),ISBLANK(AV15:AV19)), "·", bdRateExtend( N15:N19,X15:X19, AL15:AL19,AV15:AV19))</f>
        <v>2.0156030538405201E-3</v>
      </c>
      <c r="BK15" s="79">
        <f>IF( OR(ISBLANK(V15:V19),ISBLANK(AT15:AT19), ISBLANK(Y15:Y19),ISBLANK(AW15:AW19)), "·", bdRateExtend( V15:V19,Y15:Y19, AT15:AT19,AW15:AW19))</f>
        <v>1.2230598755991196E-9</v>
      </c>
      <c r="BL15" s="79">
        <f>IF( OR(ISBLANK(V15:V19),ISBLANK(AT15:AT19), ISBLANK(Z15:Z19),ISBLANK(AX15:AX19)), "·", bdRateExtend( V15:V19,Z15:Z19, AT15:AT19,AX15:AX19))</f>
        <v>9.0957346543518725E-8</v>
      </c>
      <c r="BM15" s="79">
        <f>IF( OR(ISBLANK(V15:V19),ISBLANK(AT15:AT19), ISBLANK(AA15:AA19),ISBLANK(AY15:AY19)), "·", bdRateExtend( V15:V19,AA15:AA19, AT15:AT19,AY15:AY19))</f>
        <v>6.7515761648095918E-8</v>
      </c>
      <c r="BO15" s="79">
        <f>IF( OR(ISBLANK(S15:S19),ISBLANK(AQ15:AQ19), ISBLANK(W15:W19),ISBLANK(AU15:AU19)), "·", bdRateExtend( S15:S19,W15:W19, AQ15:AQ19,AU15:AU19))</f>
        <v>1.5530097288622979E-3</v>
      </c>
      <c r="BP15" s="79">
        <f>IF( OR(ISBLANK(S15:S19),ISBLANK(AQ15:AQ19), ISBLANK(X15:X19),ISBLANK(AV15:AV19)), "·", bdRateExtend( S15:S19,X15:X19, AQ15:AQ19,AV15:AV19))</f>
        <v>1.447531857095008E-3</v>
      </c>
      <c r="BQ15" s="79">
        <f>IF( OR(ISBLANK(S15:S19),ISBLANK(AQ15:AQ19), ISBLANK(Y15:Y19),ISBLANK(AW15:AW19)), "·", bdRateExtend( S15:S19,Y15:Y19, AQ15:AQ19,AW15:AW19))</f>
        <v>1.4286338644593499E-3</v>
      </c>
      <c r="BR15" s="79">
        <f>IF( OR(ISBLANK(S15:S19),ISBLANK(AQ15:AQ19), ISBLANK(Z15:Z19),ISBLANK(AX15:AX19)), "·", bdRateExtend( S15:S19,Z15:Z19, AQ15:AQ19,AX15:AX19))</f>
        <v>1.2243082142973094E-3</v>
      </c>
      <c r="BS15" s="79">
        <f>IF( OR(ISBLANK(S15:S19),ISBLANK(AQ15:AQ19), ISBLANK(AA15:AA19),ISBLANK(AY15:AY19)), "·", bdRateExtend( S15:S19,AA15:AA19, AQ15:AQ19,AY15:AY19))</f>
        <v>1.216325569575849E-3</v>
      </c>
    </row>
    <row r="16" spans="1:71" outlineLevel="1" x14ac:dyDescent="0.2">
      <c r="A16" s="69"/>
      <c r="B16" s="69" t="s">
        <v>67</v>
      </c>
      <c r="C16" s="19" t="s">
        <v>230</v>
      </c>
      <c r="D16" s="69">
        <v>322589704</v>
      </c>
      <c r="E16" s="19">
        <v>10</v>
      </c>
      <c r="F16" s="19">
        <v>32</v>
      </c>
      <c r="G16" s="19">
        <v>30</v>
      </c>
      <c r="I16" s="20">
        <f t="shared" si="0"/>
        <v>2.5885349999999998</v>
      </c>
      <c r="J16" s="21">
        <f t="shared" si="1"/>
        <v>8.5591820376263467E-3</v>
      </c>
      <c r="K16" s="21">
        <f t="shared" si="2"/>
        <v>6.2719422688084303E-3</v>
      </c>
      <c r="L16" s="21">
        <f t="shared" si="3"/>
        <v>3.6526646244109512E-3</v>
      </c>
      <c r="M16" s="21">
        <f t="shared" si="4"/>
        <v>2.2868429799606997E-3</v>
      </c>
      <c r="N16" s="69">
        <f t="shared" si="5"/>
        <v>2023264</v>
      </c>
      <c r="O16" s="21">
        <v>16</v>
      </c>
      <c r="P16" s="22">
        <v>34098408</v>
      </c>
      <c r="Q16" s="22">
        <v>1065575.25</v>
      </c>
      <c r="R16" s="22">
        <v>40281.5</v>
      </c>
      <c r="S16" s="23">
        <v>2761104</v>
      </c>
      <c r="T16" s="23">
        <v>1178312</v>
      </c>
      <c r="U16" s="23">
        <v>844952</v>
      </c>
      <c r="V16" s="23">
        <v>737712</v>
      </c>
      <c r="W16" s="24">
        <v>68.101581249999995</v>
      </c>
      <c r="X16" s="24">
        <v>70.121399999999994</v>
      </c>
      <c r="Y16" s="24">
        <v>31.679615625</v>
      </c>
      <c r="Z16" s="24">
        <v>43.969490624999999</v>
      </c>
      <c r="AA16" s="24">
        <v>44.250634374999997</v>
      </c>
      <c r="AB16" s="25">
        <v>3928.78</v>
      </c>
      <c r="AC16" s="25">
        <v>3797.89</v>
      </c>
      <c r="AD16" s="25">
        <v>6.931</v>
      </c>
      <c r="AE16" s="25">
        <v>20.481000000000002</v>
      </c>
      <c r="AG16" s="20">
        <f t="shared" si="6"/>
        <v>2.5936875000000001</v>
      </c>
      <c r="AH16" s="21">
        <f t="shared" si="7"/>
        <v>8.5762191591830846E-3</v>
      </c>
      <c r="AI16" s="21">
        <f t="shared" si="8"/>
        <v>6.2874914321506062E-3</v>
      </c>
      <c r="AJ16" s="21">
        <f t="shared" si="9"/>
        <v>3.6526646244109512E-3</v>
      </c>
      <c r="AK16" s="21">
        <f t="shared" si="10"/>
        <v>2.2868429799606997E-3</v>
      </c>
      <c r="AL16" s="69">
        <f t="shared" si="11"/>
        <v>2028280</v>
      </c>
      <c r="AM16" s="21">
        <v>16</v>
      </c>
      <c r="AN16" s="22">
        <v>34098408</v>
      </c>
      <c r="AO16" s="22">
        <v>1065575.25</v>
      </c>
      <c r="AP16" s="22">
        <v>40281.5</v>
      </c>
      <c r="AQ16" s="23">
        <v>2766600</v>
      </c>
      <c r="AR16" s="23">
        <v>1178312</v>
      </c>
      <c r="AS16" s="23">
        <v>849968</v>
      </c>
      <c r="AT16" s="23">
        <v>737712</v>
      </c>
      <c r="AU16" s="24">
        <v>68.101580999999996</v>
      </c>
      <c r="AV16" s="24">
        <v>70.121399999999994</v>
      </c>
      <c r="AW16" s="24">
        <v>31.679615999999999</v>
      </c>
      <c r="AX16" s="24">
        <v>43.969490999999998</v>
      </c>
      <c r="AY16" s="24">
        <v>44.250633999999998</v>
      </c>
      <c r="AZ16" s="25">
        <v>4207.84</v>
      </c>
      <c r="BA16" s="25">
        <v>2903.95</v>
      </c>
      <c r="BB16" s="25">
        <v>12.44</v>
      </c>
      <c r="BC16" s="25">
        <v>15.478</v>
      </c>
      <c r="BE16" s="26">
        <f t="shared" si="12"/>
        <v>0</v>
      </c>
      <c r="BF16" s="26">
        <f t="shared" si="13"/>
        <v>3.5736157355181764E-4</v>
      </c>
      <c r="BG16" s="26"/>
      <c r="BI16" s="71"/>
      <c r="BJ16" s="71"/>
      <c r="BK16" s="71"/>
      <c r="BL16" s="71"/>
      <c r="BM16" s="71"/>
      <c r="BO16" s="71"/>
      <c r="BP16" s="71"/>
      <c r="BQ16" s="71"/>
      <c r="BR16" s="71"/>
      <c r="BS16" s="71"/>
    </row>
    <row r="17" spans="1:71" outlineLevel="1" x14ac:dyDescent="0.2">
      <c r="A17" s="77"/>
      <c r="B17" s="77" t="s">
        <v>67</v>
      </c>
      <c r="C17" s="11" t="s">
        <v>231</v>
      </c>
      <c r="D17" s="77">
        <v>322589704</v>
      </c>
      <c r="E17" s="11">
        <v>10</v>
      </c>
      <c r="F17" s="11">
        <v>32</v>
      </c>
      <c r="G17" s="11">
        <v>30</v>
      </c>
      <c r="I17" s="12">
        <f t="shared" si="0"/>
        <v>3.5783399999999999</v>
      </c>
      <c r="J17" s="13">
        <f t="shared" si="1"/>
        <v>1.1832045327770288E-2</v>
      </c>
      <c r="K17" s="13">
        <f t="shared" si="2"/>
        <v>7.3316661092196547E-3</v>
      </c>
      <c r="L17" s="13">
        <f t="shared" si="3"/>
        <v>4.7123884648221752E-3</v>
      </c>
      <c r="M17" s="13">
        <f t="shared" si="4"/>
        <v>4.4999824296934167E-3</v>
      </c>
      <c r="N17" s="77">
        <f t="shared" si="5"/>
        <v>2365120</v>
      </c>
      <c r="O17" s="13">
        <v>16</v>
      </c>
      <c r="P17" s="14">
        <v>34244062</v>
      </c>
      <c r="Q17" s="14">
        <v>1070126.9375</v>
      </c>
      <c r="R17" s="14">
        <v>41416.84375</v>
      </c>
      <c r="S17" s="15">
        <v>3816896</v>
      </c>
      <c r="T17" s="15">
        <v>1520168</v>
      </c>
      <c r="U17" s="15">
        <v>844952</v>
      </c>
      <c r="V17" s="15">
        <v>1451648</v>
      </c>
      <c r="W17" s="16">
        <v>69.444721874999999</v>
      </c>
      <c r="X17" s="16">
        <v>71.859571875</v>
      </c>
      <c r="Y17" s="16">
        <v>34.128753125000003</v>
      </c>
      <c r="Z17" s="16">
        <v>45.224303124999999</v>
      </c>
      <c r="AA17" s="16">
        <v>45.659125000000003</v>
      </c>
      <c r="AB17" s="17">
        <v>3915.47</v>
      </c>
      <c r="AC17" s="17">
        <v>4040.4</v>
      </c>
      <c r="AD17" s="17">
        <v>7.1239999999999997</v>
      </c>
      <c r="AE17" s="17">
        <v>20.864000000000001</v>
      </c>
      <c r="AG17" s="12">
        <f t="shared" si="6"/>
        <v>3.5834925000000002</v>
      </c>
      <c r="AH17" s="13">
        <f t="shared" si="7"/>
        <v>1.1849082449327026E-2</v>
      </c>
      <c r="AI17" s="13">
        <f t="shared" si="8"/>
        <v>7.3472152725618297E-3</v>
      </c>
      <c r="AJ17" s="13">
        <f t="shared" si="9"/>
        <v>4.7123884648221752E-3</v>
      </c>
      <c r="AK17" s="13">
        <f t="shared" si="10"/>
        <v>4.4999824296934167E-3</v>
      </c>
      <c r="AL17" s="77">
        <f t="shared" si="11"/>
        <v>2370136</v>
      </c>
      <c r="AM17" s="13">
        <v>16</v>
      </c>
      <c r="AN17" s="14">
        <v>34244062</v>
      </c>
      <c r="AO17" s="14">
        <v>1070126.9375</v>
      </c>
      <c r="AP17" s="14">
        <v>41416.84375</v>
      </c>
      <c r="AQ17" s="15">
        <v>3822392</v>
      </c>
      <c r="AR17" s="15">
        <v>1520168</v>
      </c>
      <c r="AS17" s="15">
        <v>849968</v>
      </c>
      <c r="AT17" s="15">
        <v>1451648</v>
      </c>
      <c r="AU17" s="16">
        <v>69.444721999999999</v>
      </c>
      <c r="AV17" s="16">
        <v>71.859572</v>
      </c>
      <c r="AW17" s="16">
        <v>34.128753000000003</v>
      </c>
      <c r="AX17" s="16">
        <v>45.224302999999999</v>
      </c>
      <c r="AY17" s="16">
        <v>45.659125000000003</v>
      </c>
      <c r="AZ17" s="17">
        <v>5750.34</v>
      </c>
      <c r="BA17" s="17">
        <v>3352.52</v>
      </c>
      <c r="BB17" s="17">
        <v>14.38</v>
      </c>
      <c r="BC17" s="17">
        <v>19.501999999999999</v>
      </c>
      <c r="BE17" s="18">
        <f t="shared" si="12"/>
        <v>0</v>
      </c>
      <c r="BF17" s="18">
        <f t="shared" si="13"/>
        <v>4.2131519517607519E-4</v>
      </c>
      <c r="BG17" s="18"/>
      <c r="BI17" s="79"/>
      <c r="BJ17" s="79"/>
      <c r="BK17" s="79"/>
      <c r="BL17" s="79"/>
      <c r="BM17" s="79"/>
      <c r="BO17" s="79"/>
      <c r="BP17" s="79"/>
      <c r="BQ17" s="79"/>
      <c r="BR17" s="79"/>
      <c r="BS17" s="79"/>
    </row>
    <row r="18" spans="1:71" outlineLevel="1" x14ac:dyDescent="0.2">
      <c r="A18" s="69"/>
      <c r="B18" s="69" t="s">
        <v>67</v>
      </c>
      <c r="C18" s="19" t="s">
        <v>232</v>
      </c>
      <c r="D18" s="69">
        <v>322589704</v>
      </c>
      <c r="E18" s="19">
        <v>10</v>
      </c>
      <c r="F18" s="19">
        <v>32</v>
      </c>
      <c r="G18" s="19">
        <v>30</v>
      </c>
      <c r="I18" s="20">
        <f t="shared" si="0"/>
        <v>6.4085099999999997</v>
      </c>
      <c r="J18" s="21">
        <f t="shared" si="1"/>
        <v>2.1190211328009401E-2</v>
      </c>
      <c r="K18" s="21">
        <f t="shared" si="2"/>
        <v>1.0259273494978004E-2</v>
      </c>
      <c r="L18" s="21">
        <f t="shared" si="3"/>
        <v>7.6399958505805254E-3</v>
      </c>
      <c r="M18" s="21">
        <f t="shared" si="4"/>
        <v>1.0930541044174182E-2</v>
      </c>
      <c r="N18" s="69">
        <f t="shared" si="5"/>
        <v>3309536</v>
      </c>
      <c r="O18" s="21">
        <v>16</v>
      </c>
      <c r="P18" s="22">
        <v>35617214</v>
      </c>
      <c r="Q18" s="22">
        <v>1113037.9375</v>
      </c>
      <c r="R18" s="22">
        <v>46682.59375</v>
      </c>
      <c r="S18" s="23">
        <v>6835744</v>
      </c>
      <c r="T18" s="23">
        <v>2464584</v>
      </c>
      <c r="U18" s="23">
        <v>844952</v>
      </c>
      <c r="V18" s="23">
        <v>3526080</v>
      </c>
      <c r="W18" s="24">
        <v>70.503553124999996</v>
      </c>
      <c r="X18" s="24">
        <v>73.141296874999995</v>
      </c>
      <c r="Y18" s="24">
        <v>36.484928125000003</v>
      </c>
      <c r="Z18" s="24">
        <v>46.496287500000001</v>
      </c>
      <c r="AA18" s="24">
        <v>47.021078125000003</v>
      </c>
      <c r="AB18" s="25">
        <v>3918.67</v>
      </c>
      <c r="AC18" s="25">
        <v>4429.1000000000004</v>
      </c>
      <c r="AD18" s="25">
        <v>7.0090000000000003</v>
      </c>
      <c r="AE18" s="25">
        <v>21.123999999999999</v>
      </c>
      <c r="AG18" s="20">
        <f t="shared" si="6"/>
        <v>6.4136625</v>
      </c>
      <c r="AH18" s="21">
        <f t="shared" si="7"/>
        <v>2.1207248449566139E-2</v>
      </c>
      <c r="AI18" s="21">
        <f t="shared" si="8"/>
        <v>1.0274822658320181E-2</v>
      </c>
      <c r="AJ18" s="21">
        <f t="shared" si="9"/>
        <v>7.6399958505805254E-3</v>
      </c>
      <c r="AK18" s="21">
        <f t="shared" si="10"/>
        <v>1.0930541044174182E-2</v>
      </c>
      <c r="AL18" s="69">
        <f t="shared" si="11"/>
        <v>3314552</v>
      </c>
      <c r="AM18" s="21">
        <v>16</v>
      </c>
      <c r="AN18" s="22">
        <v>35617214</v>
      </c>
      <c r="AO18" s="22">
        <v>1113037.9375</v>
      </c>
      <c r="AP18" s="22">
        <v>46682.59375</v>
      </c>
      <c r="AQ18" s="23">
        <v>6841240</v>
      </c>
      <c r="AR18" s="23">
        <v>2464584</v>
      </c>
      <c r="AS18" s="23">
        <v>849968</v>
      </c>
      <c r="AT18" s="23">
        <v>3526080</v>
      </c>
      <c r="AU18" s="24">
        <v>70.503552999999997</v>
      </c>
      <c r="AV18" s="24">
        <v>73.141296999999994</v>
      </c>
      <c r="AW18" s="24">
        <v>36.484927999999996</v>
      </c>
      <c r="AX18" s="24">
        <v>46.496287000000002</v>
      </c>
      <c r="AY18" s="24">
        <v>47.021078000000003</v>
      </c>
      <c r="AZ18" s="25">
        <v>3993.79</v>
      </c>
      <c r="BA18" s="25">
        <v>3329.26</v>
      </c>
      <c r="BB18" s="25">
        <v>12.567</v>
      </c>
      <c r="BC18" s="25">
        <v>16.297999999999998</v>
      </c>
      <c r="BE18" s="26">
        <f t="shared" si="12"/>
        <v>0</v>
      </c>
      <c r="BF18" s="26">
        <f t="shared" si="13"/>
        <v>3.4425091413475828E-4</v>
      </c>
      <c r="BG18" s="26"/>
      <c r="BI18" s="71"/>
      <c r="BJ18" s="71"/>
      <c r="BK18" s="71"/>
      <c r="BL18" s="71"/>
      <c r="BM18" s="71"/>
      <c r="BO18" s="71"/>
      <c r="BP18" s="71"/>
      <c r="BQ18" s="71"/>
      <c r="BR18" s="71"/>
      <c r="BS18" s="71"/>
    </row>
    <row r="19" spans="1:71" outlineLevel="1" x14ac:dyDescent="0.2">
      <c r="A19" s="77"/>
      <c r="B19" s="27" t="s">
        <v>67</v>
      </c>
      <c r="C19" s="28" t="s">
        <v>233</v>
      </c>
      <c r="D19" s="27">
        <v>322589704</v>
      </c>
      <c r="E19" s="28">
        <v>10</v>
      </c>
      <c r="F19" s="28">
        <v>32</v>
      </c>
      <c r="G19" s="28">
        <v>30</v>
      </c>
      <c r="I19" s="29">
        <f t="shared" si="0"/>
        <v>14.832375000000001</v>
      </c>
      <c r="J19" s="30">
        <f t="shared" si="1"/>
        <v>4.904434271715008E-2</v>
      </c>
      <c r="K19" s="30">
        <f t="shared" si="2"/>
        <v>1.773467636772437E-2</v>
      </c>
      <c r="L19" s="30">
        <f t="shared" si="3"/>
        <v>1.2390327249874038E-2</v>
      </c>
      <c r="M19" s="30">
        <f t="shared" si="4"/>
        <v>3.1309269560568495E-2</v>
      </c>
      <c r="N19" s="27">
        <f t="shared" si="5"/>
        <v>5721024</v>
      </c>
      <c r="O19" s="30">
        <v>16</v>
      </c>
      <c r="P19" s="31">
        <v>33671783</v>
      </c>
      <c r="Q19" s="31">
        <v>1052243.21875</v>
      </c>
      <c r="R19" s="31">
        <v>20401.53125</v>
      </c>
      <c r="S19" s="32">
        <v>15821200</v>
      </c>
      <c r="T19" s="32">
        <v>3996992</v>
      </c>
      <c r="U19" s="32">
        <v>1724032</v>
      </c>
      <c r="V19" s="32">
        <v>10100048</v>
      </c>
      <c r="W19" s="33">
        <v>71.550134374999999</v>
      </c>
      <c r="X19" s="33">
        <v>75.140709375</v>
      </c>
      <c r="Y19" s="33">
        <v>38.807453125000002</v>
      </c>
      <c r="Z19" s="33">
        <v>48.244996874999998</v>
      </c>
      <c r="AA19" s="33">
        <v>48.837115625000003</v>
      </c>
      <c r="AB19" s="34">
        <v>4027.86</v>
      </c>
      <c r="AC19" s="34">
        <v>5164.03</v>
      </c>
      <c r="AD19" s="34">
        <v>6.8970000000000002</v>
      </c>
      <c r="AE19" s="34">
        <v>24.617000000000001</v>
      </c>
      <c r="AG19" s="29">
        <f t="shared" si="6"/>
        <v>14.8375275</v>
      </c>
      <c r="AH19" s="30">
        <f t="shared" si="7"/>
        <v>4.9061379838706815E-2</v>
      </c>
      <c r="AI19" s="30">
        <f t="shared" si="8"/>
        <v>1.7750225531066546E-2</v>
      </c>
      <c r="AJ19" s="30">
        <f t="shared" si="9"/>
        <v>1.2390327249874038E-2</v>
      </c>
      <c r="AK19" s="30">
        <f t="shared" si="10"/>
        <v>3.1309269560568495E-2</v>
      </c>
      <c r="AL19" s="27">
        <f t="shared" si="11"/>
        <v>5726040</v>
      </c>
      <c r="AM19" s="30">
        <v>16</v>
      </c>
      <c r="AN19" s="31">
        <v>33671783</v>
      </c>
      <c r="AO19" s="31">
        <v>1052243.21875</v>
      </c>
      <c r="AP19" s="31">
        <v>20401.53125</v>
      </c>
      <c r="AQ19" s="32">
        <v>15826696</v>
      </c>
      <c r="AR19" s="32">
        <v>3996992</v>
      </c>
      <c r="AS19" s="32">
        <v>1729048</v>
      </c>
      <c r="AT19" s="32">
        <v>10100048</v>
      </c>
      <c r="AU19" s="33">
        <v>71.550134</v>
      </c>
      <c r="AV19" s="33">
        <v>75.140709000000001</v>
      </c>
      <c r="AW19" s="33">
        <v>38.807453000000002</v>
      </c>
      <c r="AX19" s="33">
        <v>48.244996999999998</v>
      </c>
      <c r="AY19" s="33">
        <v>48.837116000000002</v>
      </c>
      <c r="AZ19" s="34">
        <v>4109.51</v>
      </c>
      <c r="BA19" s="34">
        <v>3850.27</v>
      </c>
      <c r="BB19" s="34">
        <v>11.72</v>
      </c>
      <c r="BC19" s="34">
        <v>18.047999999999998</v>
      </c>
      <c r="BE19" s="35">
        <f t="shared" si="12"/>
        <v>0</v>
      </c>
      <c r="BF19" s="35">
        <f t="shared" si="13"/>
        <v>1.9136143617176637E-4</v>
      </c>
      <c r="BG19" s="35"/>
      <c r="BI19" s="36"/>
      <c r="BJ19" s="36"/>
      <c r="BK19" s="36"/>
      <c r="BL19" s="36"/>
      <c r="BM19" s="36"/>
      <c r="BO19" s="36"/>
      <c r="BP19" s="36"/>
      <c r="BQ19" s="36"/>
      <c r="BR19" s="36"/>
      <c r="BS19" s="36"/>
    </row>
    <row r="20" spans="1:71" x14ac:dyDescent="0.2">
      <c r="A20" s="69"/>
      <c r="B20" s="69" t="s">
        <v>72</v>
      </c>
      <c r="C20" s="19" t="s">
        <v>229</v>
      </c>
      <c r="D20" s="69">
        <v>250602891</v>
      </c>
      <c r="E20" s="19">
        <v>10</v>
      </c>
      <c r="F20" s="19">
        <v>32</v>
      </c>
      <c r="G20" s="19">
        <v>50</v>
      </c>
      <c r="I20" s="20">
        <f t="shared" si="0"/>
        <v>2.291525</v>
      </c>
      <c r="J20" s="21">
        <f t="shared" si="1"/>
        <v>5.8521910667024193E-3</v>
      </c>
      <c r="K20" s="21">
        <f t="shared" si="2"/>
        <v>4.3496066452002741E-3</v>
      </c>
      <c r="L20" s="21">
        <f t="shared" si="3"/>
        <v>2.4252234185119597E-3</v>
      </c>
      <c r="M20" s="21">
        <f t="shared" si="4"/>
        <v>1.5020736532524678E-3</v>
      </c>
      <c r="N20" s="69">
        <f t="shared" si="5"/>
        <v>1090024</v>
      </c>
      <c r="O20" s="21">
        <v>16</v>
      </c>
      <c r="P20" s="22">
        <v>30801806</v>
      </c>
      <c r="Q20" s="22">
        <v>962556.4375</v>
      </c>
      <c r="R20" s="22">
        <v>28246.0625</v>
      </c>
      <c r="S20" s="23">
        <v>1466576</v>
      </c>
      <c r="T20" s="23">
        <v>607768</v>
      </c>
      <c r="U20" s="23">
        <v>482256</v>
      </c>
      <c r="V20" s="23">
        <v>376424</v>
      </c>
      <c r="W20" s="24">
        <v>67.130621875000003</v>
      </c>
      <c r="X20" s="24">
        <v>68.790568750000006</v>
      </c>
      <c r="Y20" s="24">
        <v>30.040628125000001</v>
      </c>
      <c r="Z20" s="24">
        <v>39.385453124999998</v>
      </c>
      <c r="AA20" s="24">
        <v>38.009237499999998</v>
      </c>
      <c r="AB20" s="25">
        <v>4304.9399999999996</v>
      </c>
      <c r="AC20" s="25">
        <v>2789.93</v>
      </c>
      <c r="AD20" s="25">
        <v>5.6449999999999996</v>
      </c>
      <c r="AE20" s="25">
        <v>16.521999999999998</v>
      </c>
      <c r="AG20" s="20">
        <f t="shared" si="6"/>
        <v>2.2989875</v>
      </c>
      <c r="AH20" s="21">
        <f t="shared" si="7"/>
        <v>5.871249107018482E-3</v>
      </c>
      <c r="AI20" s="21">
        <f t="shared" si="8"/>
        <v>4.36674930458005E-3</v>
      </c>
      <c r="AJ20" s="21">
        <f t="shared" si="9"/>
        <v>2.4252234185119597E-3</v>
      </c>
      <c r="AK20" s="21">
        <f t="shared" si="10"/>
        <v>1.5020736532524678E-3</v>
      </c>
      <c r="AL20" s="69">
        <f t="shared" si="11"/>
        <v>1094320</v>
      </c>
      <c r="AM20" s="21">
        <v>16</v>
      </c>
      <c r="AN20" s="22">
        <v>30801806</v>
      </c>
      <c r="AO20" s="22">
        <v>962556.4375</v>
      </c>
      <c r="AP20" s="22">
        <v>28246.0625</v>
      </c>
      <c r="AQ20" s="23">
        <v>1471352</v>
      </c>
      <c r="AR20" s="23">
        <v>607768</v>
      </c>
      <c r="AS20" s="23">
        <v>486552</v>
      </c>
      <c r="AT20" s="23">
        <v>376424</v>
      </c>
      <c r="AU20" s="24">
        <v>67.130622000000002</v>
      </c>
      <c r="AV20" s="24">
        <v>68.790569000000005</v>
      </c>
      <c r="AW20" s="24">
        <v>30.040628000000002</v>
      </c>
      <c r="AX20" s="24">
        <v>39.385452999999998</v>
      </c>
      <c r="AY20" s="24">
        <v>38.009236999999999</v>
      </c>
      <c r="AZ20" s="25">
        <v>4613.45</v>
      </c>
      <c r="BA20" s="25">
        <v>2245.71</v>
      </c>
      <c r="BB20" s="25">
        <v>10.686</v>
      </c>
      <c r="BC20" s="25">
        <v>12.180999999999999</v>
      </c>
      <c r="BE20" s="26">
        <f t="shared" si="12"/>
        <v>0</v>
      </c>
      <c r="BF20" s="26">
        <f t="shared" si="13"/>
        <v>5.0719749287542193E-4</v>
      </c>
      <c r="BG20" s="26">
        <f t="array" ref="BG20">AVERAGE(AL20:AL24/AQ20:AQ24) - AVERAGE(N20:N24/S20:S24)</f>
        <v>4.9147750917577504E-4</v>
      </c>
      <c r="BI20" s="71">
        <f>IF( OR(ISBLANK(N20:N24),ISBLANK(AL20:AL24), ISBLANK(W20:W24),ISBLANK(AU20:AU24)), "·", bdRateExtend( N20:N24,W20:W24, AL20:AL24,AU20:AU24))</f>
        <v>2.875086206338695E-3</v>
      </c>
      <c r="BJ20" s="71">
        <f>IF( OR(ISBLANK(N20:N24),ISBLANK(AL20:AL24), ISBLANK(X20:X24),ISBLANK(AV20:AV24)), "·", bdRateExtend( N20:N24,X20:X24, AL20:AL24,AV20:AV24))</f>
        <v>2.6889535760579175E-3</v>
      </c>
      <c r="BK20" s="71">
        <f>IF( OR(ISBLANK(V20:V24),ISBLANK(AT20:AT24), ISBLANK(Y20:Y24),ISBLANK(AW20:AW24)), "·", bdRateExtend( V20:V24,Y20:Y24, AT20:AT24,AW20:AW24))</f>
        <v>4.1388143801057709E-8</v>
      </c>
      <c r="BL20" s="71">
        <f>IF( OR(ISBLANK(V20:V24),ISBLANK(AT20:AT24), ISBLANK(Z20:Z24),ISBLANK(AX20:AX24)), "·", bdRateExtend( V20:V24,Z20:Z24, AT20:AT24,AX20:AX24))</f>
        <v>3.7936853880538024E-8</v>
      </c>
      <c r="BM20" s="71">
        <f>IF( OR(ISBLANK(V20:V24),ISBLANK(AT20:AT24), ISBLANK(AA20:AA24),ISBLANK(AY20:AY24)), "·", bdRateExtend( V20:V24,AA20:AA24, AT20:AT24,AY20:AY24))</f>
        <v>-1.7613765568302853E-7</v>
      </c>
      <c r="BO20" s="71">
        <f>IF( OR(ISBLANK(S20:S24),ISBLANK(AQ20:AQ24), ISBLANK(W20:W24),ISBLANK(AU20:AU24)), "·", bdRateExtend( S20:S24,W20:W24, AQ20:AQ24,AU20:AU24))</f>
        <v>1.8050726761995595E-3</v>
      </c>
      <c r="BP20" s="71">
        <f>IF( OR(ISBLANK(S20:S24),ISBLANK(AQ20:AQ24), ISBLANK(X20:X24),ISBLANK(AV20:AV24)), "·", bdRateExtend( S20:S24,X20:X24, AQ20:AQ24,AV20:AV24))</f>
        <v>1.6280049851205014E-3</v>
      </c>
      <c r="BQ20" s="71">
        <f>IF( OR(ISBLANK(S20:S24),ISBLANK(AQ20:AQ24), ISBLANK(Y20:Y24),ISBLANK(AW20:AW24)), "·", bdRateExtend( S20:S24,Y20:Y24, AQ20:AQ24,AW20:AW24))</f>
        <v>1.601367955616384E-3</v>
      </c>
      <c r="BR20" s="71">
        <f>IF( OR(ISBLANK(S20:S24),ISBLANK(AQ20:AQ24), ISBLANK(Z20:Z24),ISBLANK(AX20:AX24)), "·", bdRateExtend( S20:S24,Z20:Z24, AQ20:AQ24,AX20:AX24))</f>
        <v>1.6900945079736385E-3</v>
      </c>
      <c r="BS20" s="71">
        <f>IF( OR(ISBLANK(S20:S24),ISBLANK(AQ20:AQ24), ISBLANK(AA20:AA24),ISBLANK(AY20:AY24)), "·", bdRateExtend( S20:S24,AA20:AA24, AQ20:AQ24,AY20:AY24))</f>
        <v>1.7940345322309259E-3</v>
      </c>
    </row>
    <row r="21" spans="1:71" outlineLevel="1" x14ac:dyDescent="0.2">
      <c r="A21" s="77"/>
      <c r="B21" s="77" t="s">
        <v>72</v>
      </c>
      <c r="C21" s="11" t="s">
        <v>230</v>
      </c>
      <c r="D21" s="77">
        <v>250602891</v>
      </c>
      <c r="E21" s="11">
        <v>10</v>
      </c>
      <c r="F21" s="11">
        <v>32</v>
      </c>
      <c r="G21" s="11">
        <v>50</v>
      </c>
      <c r="I21" s="12">
        <f t="shared" si="0"/>
        <v>3.1311</v>
      </c>
      <c r="J21" s="13">
        <f t="shared" si="1"/>
        <v>7.9963323328141496E-3</v>
      </c>
      <c r="K21" s="13">
        <f t="shared" si="2"/>
        <v>5.0650014249037532E-3</v>
      </c>
      <c r="L21" s="13">
        <f t="shared" si="3"/>
        <v>3.1406181982154388E-3</v>
      </c>
      <c r="M21" s="13">
        <f t="shared" si="4"/>
        <v>2.9308201396607194E-3</v>
      </c>
      <c r="N21" s="77">
        <f t="shared" si="5"/>
        <v>1269304</v>
      </c>
      <c r="O21" s="13">
        <v>16</v>
      </c>
      <c r="P21" s="14">
        <v>31627623</v>
      </c>
      <c r="Q21" s="14">
        <v>988363.21875</v>
      </c>
      <c r="R21" s="14">
        <v>32272.96875</v>
      </c>
      <c r="S21" s="15">
        <v>2003904</v>
      </c>
      <c r="T21" s="15">
        <v>787048</v>
      </c>
      <c r="U21" s="15">
        <v>482256</v>
      </c>
      <c r="V21" s="15">
        <v>734472</v>
      </c>
      <c r="W21" s="16">
        <v>68.791021874999998</v>
      </c>
      <c r="X21" s="16">
        <v>70.898106249999998</v>
      </c>
      <c r="Y21" s="16">
        <v>31.562603124999999</v>
      </c>
      <c r="Z21" s="16">
        <v>40.492534374999998</v>
      </c>
      <c r="AA21" s="16">
        <v>39.295643750000004</v>
      </c>
      <c r="AB21" s="17">
        <v>4330.16</v>
      </c>
      <c r="AC21" s="17">
        <v>2897.93</v>
      </c>
      <c r="AD21" s="17">
        <v>5.3479999999999999</v>
      </c>
      <c r="AE21" s="17">
        <v>15.798999999999999</v>
      </c>
      <c r="AG21" s="12">
        <f t="shared" si="6"/>
        <v>3.1385624999999999</v>
      </c>
      <c r="AH21" s="13">
        <f t="shared" si="7"/>
        <v>8.0153903731302132E-3</v>
      </c>
      <c r="AI21" s="13">
        <f t="shared" si="8"/>
        <v>5.0821440842835292E-3</v>
      </c>
      <c r="AJ21" s="13">
        <f t="shared" si="9"/>
        <v>3.1406181982154388E-3</v>
      </c>
      <c r="AK21" s="13">
        <f t="shared" si="10"/>
        <v>2.9308201396607194E-3</v>
      </c>
      <c r="AL21" s="77">
        <f t="shared" si="11"/>
        <v>1273600</v>
      </c>
      <c r="AM21" s="13">
        <v>16</v>
      </c>
      <c r="AN21" s="14">
        <v>31627623</v>
      </c>
      <c r="AO21" s="14">
        <v>988363.21875</v>
      </c>
      <c r="AP21" s="14">
        <v>32272.96875</v>
      </c>
      <c r="AQ21" s="15">
        <v>2008680</v>
      </c>
      <c r="AR21" s="15">
        <v>787048</v>
      </c>
      <c r="AS21" s="15">
        <v>486552</v>
      </c>
      <c r="AT21" s="15">
        <v>734472</v>
      </c>
      <c r="AU21" s="16">
        <v>68.791021999999998</v>
      </c>
      <c r="AV21" s="16">
        <v>70.898105999999999</v>
      </c>
      <c r="AW21" s="16">
        <v>31.562602999999999</v>
      </c>
      <c r="AX21" s="16">
        <v>40.492533999999999</v>
      </c>
      <c r="AY21" s="16">
        <v>39.295644000000003</v>
      </c>
      <c r="AZ21" s="17">
        <v>5683.53</v>
      </c>
      <c r="BA21" s="17">
        <v>3181.1</v>
      </c>
      <c r="BB21" s="17">
        <v>14.007</v>
      </c>
      <c r="BC21" s="17">
        <v>17.994</v>
      </c>
      <c r="BE21" s="18">
        <f t="shared" si="12"/>
        <v>0</v>
      </c>
      <c r="BF21" s="18">
        <f t="shared" si="13"/>
        <v>6.3265787696298315E-4</v>
      </c>
      <c r="BG21" s="18"/>
      <c r="BI21" s="79"/>
      <c r="BJ21" s="79"/>
      <c r="BK21" s="79"/>
      <c r="BL21" s="79"/>
      <c r="BM21" s="79"/>
      <c r="BO21" s="79"/>
      <c r="BP21" s="79"/>
      <c r="BQ21" s="79"/>
      <c r="BR21" s="79"/>
      <c r="BS21" s="79"/>
    </row>
    <row r="22" spans="1:71" outlineLevel="1" x14ac:dyDescent="0.2">
      <c r="A22" s="69"/>
      <c r="B22" s="69" t="s">
        <v>72</v>
      </c>
      <c r="C22" s="19" t="s">
        <v>231</v>
      </c>
      <c r="D22" s="69">
        <v>250602891</v>
      </c>
      <c r="E22" s="19">
        <v>10</v>
      </c>
      <c r="F22" s="19">
        <v>32</v>
      </c>
      <c r="G22" s="19">
        <v>50</v>
      </c>
      <c r="I22" s="20">
        <f t="shared" si="0"/>
        <v>5.1226874999999996</v>
      </c>
      <c r="J22" s="21">
        <f t="shared" si="1"/>
        <v>1.3082530640079488E-2</v>
      </c>
      <c r="K22" s="21">
        <f t="shared" si="2"/>
        <v>5.9646558506781149E-3</v>
      </c>
      <c r="L22" s="21">
        <f t="shared" si="3"/>
        <v>4.0402726239898009E-3</v>
      </c>
      <c r="M22" s="21">
        <f t="shared" si="4"/>
        <v>7.1173640211516951E-3</v>
      </c>
      <c r="N22" s="69">
        <f t="shared" si="5"/>
        <v>1494760</v>
      </c>
      <c r="O22" s="21">
        <v>16</v>
      </c>
      <c r="P22" s="22">
        <v>32746620</v>
      </c>
      <c r="Q22" s="22">
        <v>1023331.875</v>
      </c>
      <c r="R22" s="22">
        <v>34640.1875</v>
      </c>
      <c r="S22" s="23">
        <v>3278520</v>
      </c>
      <c r="T22" s="23">
        <v>1012504</v>
      </c>
      <c r="U22" s="23">
        <v>482256</v>
      </c>
      <c r="V22" s="23">
        <v>1783632</v>
      </c>
      <c r="W22" s="24">
        <v>70.003465625000004</v>
      </c>
      <c r="X22" s="24">
        <v>72.449924999999993</v>
      </c>
      <c r="Y22" s="24">
        <v>33.580721875000002</v>
      </c>
      <c r="Z22" s="24">
        <v>41.718596875000003</v>
      </c>
      <c r="AA22" s="24">
        <v>40.583143749999998</v>
      </c>
      <c r="AB22" s="25">
        <v>4253.29</v>
      </c>
      <c r="AC22" s="25">
        <v>3131.53</v>
      </c>
      <c r="AD22" s="25">
        <v>5.9139999999999997</v>
      </c>
      <c r="AE22" s="25">
        <v>17.327000000000002</v>
      </c>
      <c r="AG22" s="20">
        <f t="shared" si="6"/>
        <v>5.1301500000000004</v>
      </c>
      <c r="AH22" s="21">
        <f t="shared" si="7"/>
        <v>1.310158868039555E-2</v>
      </c>
      <c r="AI22" s="21">
        <f t="shared" si="8"/>
        <v>5.9817985100578909E-3</v>
      </c>
      <c r="AJ22" s="21">
        <f t="shared" si="9"/>
        <v>4.0402726239898009E-3</v>
      </c>
      <c r="AK22" s="21">
        <f t="shared" si="10"/>
        <v>7.1173640211516951E-3</v>
      </c>
      <c r="AL22" s="69">
        <f t="shared" si="11"/>
        <v>1499056</v>
      </c>
      <c r="AM22" s="21">
        <v>16</v>
      </c>
      <c r="AN22" s="22">
        <v>32746620</v>
      </c>
      <c r="AO22" s="22">
        <v>1023331.875</v>
      </c>
      <c r="AP22" s="22">
        <v>34640.1875</v>
      </c>
      <c r="AQ22" s="23">
        <v>3283296</v>
      </c>
      <c r="AR22" s="23">
        <v>1012504</v>
      </c>
      <c r="AS22" s="23">
        <v>486552</v>
      </c>
      <c r="AT22" s="23">
        <v>1783632</v>
      </c>
      <c r="AU22" s="24">
        <v>70.003466000000003</v>
      </c>
      <c r="AV22" s="24">
        <v>72.449924999999993</v>
      </c>
      <c r="AW22" s="24">
        <v>33.580722000000002</v>
      </c>
      <c r="AX22" s="24">
        <v>41.718597000000003</v>
      </c>
      <c r="AY22" s="24">
        <v>40.583143999999997</v>
      </c>
      <c r="AZ22" s="25">
        <v>4668.2700000000004</v>
      </c>
      <c r="BA22" s="25">
        <v>2622.11</v>
      </c>
      <c r="BB22" s="25">
        <v>11.252000000000001</v>
      </c>
      <c r="BC22" s="25">
        <v>13.76</v>
      </c>
      <c r="BE22" s="26">
        <f t="shared" si="12"/>
        <v>0</v>
      </c>
      <c r="BF22" s="26">
        <f t="shared" si="13"/>
        <v>6.4523609195010767E-4</v>
      </c>
      <c r="BG22" s="26"/>
      <c r="BI22" s="71"/>
      <c r="BJ22" s="71"/>
      <c r="BK22" s="71"/>
      <c r="BL22" s="71"/>
      <c r="BM22" s="71"/>
      <c r="BO22" s="71"/>
      <c r="BP22" s="71"/>
      <c r="BQ22" s="71"/>
      <c r="BR22" s="71"/>
      <c r="BS22" s="71"/>
    </row>
    <row r="23" spans="1:71" outlineLevel="1" x14ac:dyDescent="0.2">
      <c r="A23" s="77"/>
      <c r="B23" s="77" t="s">
        <v>72</v>
      </c>
      <c r="C23" s="11" t="s">
        <v>232</v>
      </c>
      <c r="D23" s="77">
        <v>250602891</v>
      </c>
      <c r="E23" s="11">
        <v>10</v>
      </c>
      <c r="F23" s="11">
        <v>32</v>
      </c>
      <c r="G23" s="11">
        <v>50</v>
      </c>
      <c r="I23" s="12">
        <f t="shared" si="0"/>
        <v>9.4857999999999993</v>
      </c>
      <c r="J23" s="13">
        <f t="shared" si="1"/>
        <v>2.4225227313917939E-2</v>
      </c>
      <c r="K23" s="13">
        <f t="shared" si="2"/>
        <v>8.4746348756208085E-3</v>
      </c>
      <c r="L23" s="13">
        <f t="shared" si="3"/>
        <v>6.5502516489324937E-3</v>
      </c>
      <c r="M23" s="13">
        <f t="shared" si="4"/>
        <v>1.5750081670047454E-2</v>
      </c>
      <c r="N23" s="77">
        <f t="shared" si="5"/>
        <v>2123768</v>
      </c>
      <c r="O23" s="13">
        <v>16</v>
      </c>
      <c r="P23" s="14">
        <v>33050216</v>
      </c>
      <c r="Q23" s="14">
        <v>1032819.25</v>
      </c>
      <c r="R23" s="14">
        <v>36820.71875</v>
      </c>
      <c r="S23" s="15">
        <v>6070912</v>
      </c>
      <c r="T23" s="15">
        <v>1641512</v>
      </c>
      <c r="U23" s="15">
        <v>482256</v>
      </c>
      <c r="V23" s="15">
        <v>3947016</v>
      </c>
      <c r="W23" s="16">
        <v>70.935637499999999</v>
      </c>
      <c r="X23" s="16">
        <v>73.669268750000001</v>
      </c>
      <c r="Y23" s="16">
        <v>35.489134374999999</v>
      </c>
      <c r="Z23" s="16">
        <v>42.832921874999997</v>
      </c>
      <c r="AA23" s="16">
        <v>41.608640625</v>
      </c>
      <c r="AB23" s="17">
        <v>4248.43</v>
      </c>
      <c r="AC23" s="17">
        <v>3388.41</v>
      </c>
      <c r="AD23" s="17">
        <v>5.7960000000000003</v>
      </c>
      <c r="AE23" s="17">
        <v>17.585999999999999</v>
      </c>
      <c r="AG23" s="12">
        <f t="shared" si="6"/>
        <v>9.4932625000000002</v>
      </c>
      <c r="AH23" s="13">
        <f t="shared" si="7"/>
        <v>2.4244285354234001E-2</v>
      </c>
      <c r="AI23" s="13">
        <f t="shared" si="8"/>
        <v>8.4917775350005845E-3</v>
      </c>
      <c r="AJ23" s="13">
        <f t="shared" si="9"/>
        <v>6.5502516489324937E-3</v>
      </c>
      <c r="AK23" s="13">
        <f t="shared" si="10"/>
        <v>1.5750081670047454E-2</v>
      </c>
      <c r="AL23" s="77">
        <f t="shared" si="11"/>
        <v>2128064</v>
      </c>
      <c r="AM23" s="13">
        <v>16</v>
      </c>
      <c r="AN23" s="14">
        <v>33050216</v>
      </c>
      <c r="AO23" s="14">
        <v>1032819.25</v>
      </c>
      <c r="AP23" s="14">
        <v>36820.71875</v>
      </c>
      <c r="AQ23" s="15">
        <v>6075688</v>
      </c>
      <c r="AR23" s="15">
        <v>1641512</v>
      </c>
      <c r="AS23" s="15">
        <v>486552</v>
      </c>
      <c r="AT23" s="15">
        <v>3947016</v>
      </c>
      <c r="AU23" s="16">
        <v>70.935637999999997</v>
      </c>
      <c r="AV23" s="16">
        <v>73.669265999999993</v>
      </c>
      <c r="AW23" s="16">
        <v>35.489134</v>
      </c>
      <c r="AX23" s="16">
        <v>42.832922000000003</v>
      </c>
      <c r="AY23" s="16">
        <v>41.608640999999999</v>
      </c>
      <c r="AZ23" s="17">
        <v>4501.97</v>
      </c>
      <c r="BA23" s="17">
        <v>2502.34</v>
      </c>
      <c r="BB23" s="17">
        <v>10.116</v>
      </c>
      <c r="BC23" s="17">
        <v>12.763</v>
      </c>
      <c r="BE23" s="18">
        <f t="shared" si="12"/>
        <v>0</v>
      </c>
      <c r="BF23" s="18">
        <f t="shared" si="13"/>
        <v>4.3208719430337661E-4</v>
      </c>
      <c r="BG23" s="18"/>
      <c r="BI23" s="79"/>
      <c r="BJ23" s="79"/>
      <c r="BK23" s="79"/>
      <c r="BL23" s="79"/>
      <c r="BM23" s="79"/>
      <c r="BO23" s="79"/>
      <c r="BP23" s="79"/>
      <c r="BQ23" s="79"/>
      <c r="BR23" s="79"/>
      <c r="BS23" s="79"/>
    </row>
    <row r="24" spans="1:71" outlineLevel="1" x14ac:dyDescent="0.2">
      <c r="A24" s="37"/>
      <c r="B24" s="37" t="s">
        <v>72</v>
      </c>
      <c r="C24" s="38" t="s">
        <v>233</v>
      </c>
      <c r="D24" s="37">
        <v>250602891</v>
      </c>
      <c r="E24" s="38">
        <v>10</v>
      </c>
      <c r="F24" s="38">
        <v>32</v>
      </c>
      <c r="G24" s="38">
        <v>50</v>
      </c>
      <c r="I24" s="39">
        <f t="shared" si="0"/>
        <v>18.4045375</v>
      </c>
      <c r="J24" s="40">
        <f t="shared" si="1"/>
        <v>4.7002267024924306E-2</v>
      </c>
      <c r="K24" s="40">
        <f t="shared" si="2"/>
        <v>1.4422052297872334E-2</v>
      </c>
      <c r="L24" s="40">
        <f t="shared" si="3"/>
        <v>1.0395889646779854E-2</v>
      </c>
      <c r="M24" s="40">
        <f t="shared" si="4"/>
        <v>3.2579703958802296E-2</v>
      </c>
      <c r="N24" s="37">
        <f t="shared" si="5"/>
        <v>3614208</v>
      </c>
      <c r="O24" s="40">
        <v>16</v>
      </c>
      <c r="P24" s="41">
        <v>31492561</v>
      </c>
      <c r="Q24" s="41">
        <v>984142.53125</v>
      </c>
      <c r="R24" s="41">
        <v>17732.5</v>
      </c>
      <c r="S24" s="42">
        <v>11778904</v>
      </c>
      <c r="T24" s="42">
        <v>2605240</v>
      </c>
      <c r="U24" s="42">
        <v>1008968</v>
      </c>
      <c r="V24" s="42">
        <v>8164568</v>
      </c>
      <c r="W24" s="43">
        <v>71.941287500000001</v>
      </c>
      <c r="X24" s="43">
        <v>75.855562500000005</v>
      </c>
      <c r="Y24" s="43">
        <v>36.958693750000002</v>
      </c>
      <c r="Z24" s="43">
        <v>43.624099999999999</v>
      </c>
      <c r="AA24" s="43">
        <v>42.268915624999998</v>
      </c>
      <c r="AB24" s="44">
        <v>4549.82</v>
      </c>
      <c r="AC24" s="44">
        <v>3959.82</v>
      </c>
      <c r="AD24" s="44">
        <v>5.5279999999999996</v>
      </c>
      <c r="AE24" s="44">
        <v>18.405000000000001</v>
      </c>
      <c r="AG24" s="39">
        <f t="shared" si="6"/>
        <v>18.411999999999999</v>
      </c>
      <c r="AH24" s="40">
        <f t="shared" si="7"/>
        <v>4.7021325065240371E-2</v>
      </c>
      <c r="AI24" s="40">
        <f t="shared" si="8"/>
        <v>1.443919495725211E-2</v>
      </c>
      <c r="AJ24" s="40">
        <f t="shared" si="9"/>
        <v>1.0395889646779854E-2</v>
      </c>
      <c r="AK24" s="40">
        <f t="shared" si="10"/>
        <v>3.2579703958802296E-2</v>
      </c>
      <c r="AL24" s="37">
        <f t="shared" si="11"/>
        <v>3618504</v>
      </c>
      <c r="AM24" s="40">
        <v>16</v>
      </c>
      <c r="AN24" s="41">
        <v>31492561</v>
      </c>
      <c r="AO24" s="41">
        <v>984142.53125</v>
      </c>
      <c r="AP24" s="41">
        <v>17732.5</v>
      </c>
      <c r="AQ24" s="42">
        <v>11783680</v>
      </c>
      <c r="AR24" s="42">
        <v>2605240</v>
      </c>
      <c r="AS24" s="42">
        <v>1013264</v>
      </c>
      <c r="AT24" s="42">
        <v>8164568</v>
      </c>
      <c r="AU24" s="43">
        <v>71.941288</v>
      </c>
      <c r="AV24" s="43">
        <v>75.855563000000004</v>
      </c>
      <c r="AW24" s="43">
        <v>36.958694000000001</v>
      </c>
      <c r="AX24" s="43">
        <v>43.624099999999999</v>
      </c>
      <c r="AY24" s="43">
        <v>42.268915999999997</v>
      </c>
      <c r="AZ24" s="44">
        <v>4259.99</v>
      </c>
      <c r="BA24" s="44">
        <v>2848.84</v>
      </c>
      <c r="BB24" s="44">
        <v>9.7189999999999994</v>
      </c>
      <c r="BC24" s="44">
        <v>14.401999999999999</v>
      </c>
      <c r="BE24" s="45">
        <f t="shared" si="12"/>
        <v>0</v>
      </c>
      <c r="BF24" s="45">
        <f t="shared" si="13"/>
        <v>2.4020888978704136E-4</v>
      </c>
      <c r="BG24" s="45"/>
      <c r="BI24" s="46"/>
      <c r="BJ24" s="46"/>
      <c r="BK24" s="46"/>
      <c r="BL24" s="46"/>
      <c r="BM24" s="46"/>
      <c r="BO24" s="46"/>
      <c r="BP24" s="46"/>
      <c r="BQ24" s="46"/>
      <c r="BR24" s="46"/>
      <c r="BS24" s="46"/>
    </row>
    <row r="25" spans="1:71" x14ac:dyDescent="0.2">
      <c r="A25" s="77" t="s">
        <v>234</v>
      </c>
      <c r="B25" s="77" t="s">
        <v>75</v>
      </c>
      <c r="C25" s="11" t="s">
        <v>229</v>
      </c>
      <c r="D25" s="77">
        <v>250294582</v>
      </c>
      <c r="E25" s="11">
        <v>10</v>
      </c>
      <c r="F25" s="11">
        <v>32</v>
      </c>
      <c r="G25" s="11">
        <v>30</v>
      </c>
      <c r="I25" s="12">
        <f t="shared" si="0"/>
        <v>2.3016074999999998</v>
      </c>
      <c r="J25" s="13">
        <f t="shared" si="1"/>
        <v>9.8086342116666357E-3</v>
      </c>
      <c r="K25" s="13">
        <f t="shared" si="2"/>
        <v>6.2807592055668226E-3</v>
      </c>
      <c r="L25" s="13">
        <f t="shared" si="3"/>
        <v>3.6818056253411029E-3</v>
      </c>
      <c r="M25" s="13">
        <f t="shared" si="4"/>
        <v>3.5273636086936952E-3</v>
      </c>
      <c r="N25" s="77">
        <f t="shared" si="5"/>
        <v>1572040</v>
      </c>
      <c r="O25" s="13">
        <v>16</v>
      </c>
      <c r="P25" s="14">
        <v>23257329</v>
      </c>
      <c r="Q25" s="14">
        <v>726791.53125</v>
      </c>
      <c r="R25" s="14">
        <v>18230.15625</v>
      </c>
      <c r="S25" s="15">
        <v>2455048</v>
      </c>
      <c r="T25" s="15">
        <v>921536</v>
      </c>
      <c r="U25" s="15">
        <v>650504</v>
      </c>
      <c r="V25" s="15">
        <v>882880</v>
      </c>
      <c r="W25" s="16">
        <v>66.245484375000004</v>
      </c>
      <c r="X25" s="16">
        <v>68.005643750000004</v>
      </c>
      <c r="Y25" s="16">
        <v>26.014424999999999</v>
      </c>
      <c r="Z25" s="16">
        <v>32.497412500000003</v>
      </c>
      <c r="AA25" s="16">
        <v>31.713718750000002</v>
      </c>
      <c r="AB25" s="17">
        <v>3287.54</v>
      </c>
      <c r="AC25" s="17">
        <v>4152.83</v>
      </c>
      <c r="AD25" s="17">
        <v>5.0789999999999997</v>
      </c>
      <c r="AE25" s="17">
        <v>22.222999999999999</v>
      </c>
      <c r="AG25" s="12">
        <f t="shared" si="6"/>
        <v>2.3070900000000001</v>
      </c>
      <c r="AH25" s="13">
        <f t="shared" si="7"/>
        <v>9.8319986806586161E-3</v>
      </c>
      <c r="AI25" s="13">
        <f t="shared" si="8"/>
        <v>6.3022059342858648E-3</v>
      </c>
      <c r="AJ25" s="13">
        <f t="shared" si="9"/>
        <v>3.6818056253411029E-3</v>
      </c>
      <c r="AK25" s="13">
        <f t="shared" si="10"/>
        <v>3.5273636086936952E-3</v>
      </c>
      <c r="AL25" s="77">
        <f t="shared" si="11"/>
        <v>1577408</v>
      </c>
      <c r="AM25" s="13">
        <v>16</v>
      </c>
      <c r="AN25" s="14">
        <v>23257329</v>
      </c>
      <c r="AO25" s="14">
        <v>726791.53125</v>
      </c>
      <c r="AP25" s="14">
        <v>18230.15625</v>
      </c>
      <c r="AQ25" s="15">
        <v>2460896</v>
      </c>
      <c r="AR25" s="15">
        <v>921536</v>
      </c>
      <c r="AS25" s="15">
        <v>655872</v>
      </c>
      <c r="AT25" s="15">
        <v>882880</v>
      </c>
      <c r="AU25" s="16">
        <v>66.245484000000005</v>
      </c>
      <c r="AV25" s="16">
        <v>68.005644000000004</v>
      </c>
      <c r="AW25" s="16">
        <v>26.014424999999999</v>
      </c>
      <c r="AX25" s="16">
        <v>32.497411999999997</v>
      </c>
      <c r="AY25" s="16">
        <v>31.713719000000001</v>
      </c>
      <c r="AZ25" s="17">
        <v>5030.8999999999996</v>
      </c>
      <c r="BA25" s="17">
        <v>4724.9399999999996</v>
      </c>
      <c r="BB25" s="17">
        <v>12.833</v>
      </c>
      <c r="BC25" s="17">
        <v>23.983000000000001</v>
      </c>
      <c r="BE25" s="18">
        <f t="shared" si="12"/>
        <v>0</v>
      </c>
      <c r="BF25" s="18">
        <f t="shared" si="13"/>
        <v>6.5965903073450516E-4</v>
      </c>
      <c r="BG25" s="18">
        <f t="array" ref="BG25">AVERAGE(AL25:AL29/AQ25:AQ29) - AVERAGE(N25:N29/S25:S29)</f>
        <v>4.4669576113109954E-4</v>
      </c>
      <c r="BI25" s="79">
        <f>IF( OR(ISBLANK(N25:N29),ISBLANK(AL25:AL29), ISBLANK(W25:W29),ISBLANK(AU25:AU29)), "·", bdRateExtend( N25:N29,W25:W29, AL25:AL29,AU25:AU29))</f>
        <v>2.3624765291330174E-3</v>
      </c>
      <c r="BJ25" s="79">
        <f>IF( OR(ISBLANK(N25:N29),ISBLANK(AL25:AL29), ISBLANK(X25:X29),ISBLANK(AV25:AV29)), "·", bdRateExtend( N25:N29,X25:X29, AL25:AL29,AV25:AV29))</f>
        <v>2.2425929025358116E-3</v>
      </c>
      <c r="BK25" s="79">
        <f>IF( OR(ISBLANK(V25:V29),ISBLANK(AT25:AT29), ISBLANK(Y25:Y29),ISBLANK(AW25:AW29)), "·", bdRateExtend( V25:V29,Y25:Y29, AT25:AT29,AW25:AW29))</f>
        <v>-3.8858477324765772E-8</v>
      </c>
      <c r="BL25" s="79">
        <f>IF( OR(ISBLANK(V25:V29),ISBLANK(AT25:AT29), ISBLANK(Z25:Z29),ISBLANK(AX25:AX29)), "·", bdRateExtend( V25:V29,Z25:Z29, AT25:AT29,AX25:AX29))</f>
        <v>1.6538018043910085E-7</v>
      </c>
      <c r="BM25" s="79">
        <f>IF( OR(ISBLANK(V25:V29),ISBLANK(AT25:AT29), ISBLANK(AA25:AA29),ISBLANK(AY25:AY29)), "·", bdRateExtend( V25:V29,AA25:AA29, AT25:AT29,AY25:AY29))</f>
        <v>7.6124016645806591E-8</v>
      </c>
      <c r="BO25" s="79">
        <f>IF( OR(ISBLANK(S25:S29),ISBLANK(AQ25:AQ29), ISBLANK(W25:W29),ISBLANK(AU25:AU29)), "·", bdRateExtend( S25:S29,W25:W29, AQ25:AQ29,AU25:AU29))</f>
        <v>1.1941028378914531E-3</v>
      </c>
      <c r="BP25" s="79">
        <f>IF( OR(ISBLANK(S25:S29),ISBLANK(AQ25:AQ29), ISBLANK(X25:X29),ISBLANK(AV25:AV29)), "·", bdRateExtend( S25:S29,X25:X29, AQ25:AQ29,AV25:AV29))</f>
        <v>1.0887184416712437E-3</v>
      </c>
      <c r="BQ25" s="79">
        <f>IF( OR(ISBLANK(S25:S29),ISBLANK(AQ25:AQ29), ISBLANK(Y25:Y29),ISBLANK(AW25:AW29)), "·", bdRateExtend( S25:S29,Y25:Y29, AQ25:AQ29,AW25:AW29))</f>
        <v>9.7749764169186015E-4</v>
      </c>
      <c r="BR25" s="79">
        <f>IF( OR(ISBLANK(S25:S29),ISBLANK(AQ25:AQ29), ISBLANK(Z25:Z29),ISBLANK(AX25:AX29)), "·", bdRateExtend( S25:S29,Z25:Z29, AQ25:AQ29,AX25:AX29))</f>
        <v>9.2942813329899288E-4</v>
      </c>
      <c r="BS25" s="79">
        <f>IF( OR(ISBLANK(S25:S29),ISBLANK(AQ25:AQ29), ISBLANK(AA25:AA29),ISBLANK(AY25:AY29)), "·", bdRateExtend( S25:S29,AA25:AA29, AQ25:AQ29,AY25:AY29))</f>
        <v>9.7139402223000992E-4</v>
      </c>
    </row>
    <row r="26" spans="1:71" outlineLevel="1" x14ac:dyDescent="0.2">
      <c r="A26" s="69"/>
      <c r="B26" s="69" t="s">
        <v>75</v>
      </c>
      <c r="C26" s="19" t="s">
        <v>230</v>
      </c>
      <c r="D26" s="69">
        <v>250294582</v>
      </c>
      <c r="E26" s="19">
        <v>10</v>
      </c>
      <c r="F26" s="19">
        <v>32</v>
      </c>
      <c r="G26" s="19">
        <v>30</v>
      </c>
      <c r="I26" s="20">
        <f t="shared" si="0"/>
        <v>3.4983525000000002</v>
      </c>
      <c r="J26" s="21">
        <f t="shared" si="1"/>
        <v>1.4908736618198151E-2</v>
      </c>
      <c r="K26" s="21">
        <f t="shared" si="2"/>
        <v>7.6694908242160827E-3</v>
      </c>
      <c r="L26" s="21">
        <f t="shared" si="3"/>
        <v>5.0705372439903635E-3</v>
      </c>
      <c r="M26" s="21">
        <f t="shared" si="4"/>
        <v>7.238734396575951E-3</v>
      </c>
      <c r="N26" s="69">
        <f t="shared" si="5"/>
        <v>1919632</v>
      </c>
      <c r="O26" s="21">
        <v>16</v>
      </c>
      <c r="P26" s="22">
        <v>24989980</v>
      </c>
      <c r="Q26" s="22">
        <v>780936.875</v>
      </c>
      <c r="R26" s="22">
        <v>23153.53125</v>
      </c>
      <c r="S26" s="23">
        <v>3731576</v>
      </c>
      <c r="T26" s="23">
        <v>1269128</v>
      </c>
      <c r="U26" s="23">
        <v>650504</v>
      </c>
      <c r="V26" s="23">
        <v>1811816</v>
      </c>
      <c r="W26" s="24">
        <v>68.037040625000003</v>
      </c>
      <c r="X26" s="24">
        <v>70.009081249999994</v>
      </c>
      <c r="Y26" s="24">
        <v>28.056684375</v>
      </c>
      <c r="Z26" s="24">
        <v>33.754006250000003</v>
      </c>
      <c r="AA26" s="24">
        <v>33.161700000000003</v>
      </c>
      <c r="AB26" s="25">
        <v>3454.07</v>
      </c>
      <c r="AC26" s="25">
        <v>4712.37</v>
      </c>
      <c r="AD26" s="25">
        <v>5.2119999999999997</v>
      </c>
      <c r="AE26" s="25">
        <v>22.236000000000001</v>
      </c>
      <c r="AG26" s="20">
        <f t="shared" si="6"/>
        <v>3.503835</v>
      </c>
      <c r="AH26" s="21">
        <f t="shared" si="7"/>
        <v>1.4932101087190133E-2</v>
      </c>
      <c r="AI26" s="21">
        <f t="shared" si="8"/>
        <v>7.6909375529351249E-3</v>
      </c>
      <c r="AJ26" s="21">
        <f t="shared" si="9"/>
        <v>5.0705372439903635E-3</v>
      </c>
      <c r="AK26" s="21">
        <f t="shared" si="10"/>
        <v>7.238734396575951E-3</v>
      </c>
      <c r="AL26" s="69">
        <f t="shared" si="11"/>
        <v>1925000</v>
      </c>
      <c r="AM26" s="21">
        <v>16</v>
      </c>
      <c r="AN26" s="22">
        <v>24989980</v>
      </c>
      <c r="AO26" s="22">
        <v>780936.875</v>
      </c>
      <c r="AP26" s="22">
        <v>23153.53125</v>
      </c>
      <c r="AQ26" s="23">
        <v>3737424</v>
      </c>
      <c r="AR26" s="23">
        <v>1269128</v>
      </c>
      <c r="AS26" s="23">
        <v>655872</v>
      </c>
      <c r="AT26" s="23">
        <v>1811816</v>
      </c>
      <c r="AU26" s="24">
        <v>68.037041000000002</v>
      </c>
      <c r="AV26" s="24">
        <v>70.009080999999995</v>
      </c>
      <c r="AW26" s="24">
        <v>28.056684000000001</v>
      </c>
      <c r="AX26" s="24">
        <v>33.754005999999997</v>
      </c>
      <c r="AY26" s="24">
        <v>33.161700000000003</v>
      </c>
      <c r="AZ26" s="25">
        <v>3321.14</v>
      </c>
      <c r="BA26" s="25">
        <v>3285.49</v>
      </c>
      <c r="BB26" s="25">
        <v>9.0909999999999993</v>
      </c>
      <c r="BC26" s="25">
        <v>16.309000000000001</v>
      </c>
      <c r="BE26" s="26">
        <f t="shared" si="12"/>
        <v>0</v>
      </c>
      <c r="BF26" s="26">
        <f t="shared" si="13"/>
        <v>6.3134862406610814E-4</v>
      </c>
      <c r="BG26" s="26"/>
      <c r="BI26" s="71"/>
      <c r="BJ26" s="71"/>
      <c r="BK26" s="71"/>
      <c r="BL26" s="71"/>
      <c r="BM26" s="71"/>
      <c r="BO26" s="71"/>
      <c r="BP26" s="71"/>
      <c r="BQ26" s="71"/>
      <c r="BR26" s="71"/>
      <c r="BS26" s="71"/>
    </row>
    <row r="27" spans="1:71" outlineLevel="1" x14ac:dyDescent="0.2">
      <c r="A27" s="77"/>
      <c r="B27" s="77" t="s">
        <v>75</v>
      </c>
      <c r="C27" s="11" t="s">
        <v>231</v>
      </c>
      <c r="D27" s="77">
        <v>250294582</v>
      </c>
      <c r="E27" s="11">
        <v>10</v>
      </c>
      <c r="F27" s="11">
        <v>32</v>
      </c>
      <c r="G27" s="11">
        <v>30</v>
      </c>
      <c r="I27" s="12">
        <f t="shared" si="0"/>
        <v>5.942895</v>
      </c>
      <c r="J27" s="13">
        <f t="shared" si="1"/>
        <v>2.532650906522619E-2</v>
      </c>
      <c r="K27" s="13">
        <f t="shared" si="2"/>
        <v>9.6805291614342655E-3</v>
      </c>
      <c r="L27" s="13">
        <f t="shared" si="3"/>
        <v>7.0815755812085454E-3</v>
      </c>
      <c r="M27" s="13">
        <f t="shared" si="4"/>
        <v>1.5645468506385807E-2</v>
      </c>
      <c r="N27" s="77">
        <f t="shared" si="5"/>
        <v>2422984</v>
      </c>
      <c r="O27" s="13">
        <v>16</v>
      </c>
      <c r="P27" s="14">
        <v>25283662</v>
      </c>
      <c r="Q27" s="14">
        <v>790114.4375</v>
      </c>
      <c r="R27" s="14">
        <v>24406.4375</v>
      </c>
      <c r="S27" s="15">
        <v>6339088</v>
      </c>
      <c r="T27" s="15">
        <v>1772480</v>
      </c>
      <c r="U27" s="15">
        <v>650504</v>
      </c>
      <c r="V27" s="15">
        <v>3915976</v>
      </c>
      <c r="W27" s="16">
        <v>69.410449999999997</v>
      </c>
      <c r="X27" s="16">
        <v>71.751656249999996</v>
      </c>
      <c r="Y27" s="16">
        <v>30.356243750000001</v>
      </c>
      <c r="Z27" s="16">
        <v>35.031253124999999</v>
      </c>
      <c r="AA27" s="16">
        <v>34.506406249999998</v>
      </c>
      <c r="AB27" s="17">
        <v>3263.61</v>
      </c>
      <c r="AC27" s="17">
        <v>4783.1400000000003</v>
      </c>
      <c r="AD27" s="17">
        <v>5.34</v>
      </c>
      <c r="AE27" s="17">
        <v>22.933</v>
      </c>
      <c r="AG27" s="12">
        <f t="shared" si="6"/>
        <v>5.9483775000000003</v>
      </c>
      <c r="AH27" s="13">
        <f t="shared" si="7"/>
        <v>2.5349873534218172E-2</v>
      </c>
      <c r="AI27" s="13">
        <f t="shared" si="8"/>
        <v>9.7019758901533068E-3</v>
      </c>
      <c r="AJ27" s="13">
        <f t="shared" si="9"/>
        <v>7.0815755812085454E-3</v>
      </c>
      <c r="AK27" s="13">
        <f t="shared" si="10"/>
        <v>1.5645468506385807E-2</v>
      </c>
      <c r="AL27" s="77">
        <f t="shared" si="11"/>
        <v>2428352</v>
      </c>
      <c r="AM27" s="13">
        <v>16</v>
      </c>
      <c r="AN27" s="14">
        <v>25283662</v>
      </c>
      <c r="AO27" s="14">
        <v>790114.4375</v>
      </c>
      <c r="AP27" s="14">
        <v>24406.4375</v>
      </c>
      <c r="AQ27" s="15">
        <v>6344936</v>
      </c>
      <c r="AR27" s="15">
        <v>1772480</v>
      </c>
      <c r="AS27" s="15">
        <v>655872</v>
      </c>
      <c r="AT27" s="15">
        <v>3915976</v>
      </c>
      <c r="AU27" s="16">
        <v>69.410449999999997</v>
      </c>
      <c r="AV27" s="16">
        <v>71.751655999999997</v>
      </c>
      <c r="AW27" s="16">
        <v>30.356244</v>
      </c>
      <c r="AX27" s="16">
        <v>35.031253</v>
      </c>
      <c r="AY27" s="16">
        <v>34.506405999999998</v>
      </c>
      <c r="AZ27" s="17">
        <v>3333.28</v>
      </c>
      <c r="BA27" s="17">
        <v>3574.49</v>
      </c>
      <c r="BB27" s="17">
        <v>9.39</v>
      </c>
      <c r="BC27" s="17">
        <v>16.844000000000001</v>
      </c>
      <c r="BE27" s="18">
        <f t="shared" si="12"/>
        <v>0</v>
      </c>
      <c r="BF27" s="18">
        <f t="shared" si="13"/>
        <v>4.9373612782310783E-4</v>
      </c>
      <c r="BG27" s="18"/>
      <c r="BI27" s="79"/>
      <c r="BJ27" s="79"/>
      <c r="BK27" s="79"/>
      <c r="BL27" s="79"/>
      <c r="BM27" s="79"/>
      <c r="BO27" s="79"/>
      <c r="BP27" s="79"/>
      <c r="BQ27" s="79"/>
      <c r="BR27" s="79"/>
      <c r="BS27" s="79"/>
    </row>
    <row r="28" spans="1:71" outlineLevel="1" x14ac:dyDescent="0.2">
      <c r="A28" s="69"/>
      <c r="B28" s="69" t="s">
        <v>75</v>
      </c>
      <c r="C28" s="19" t="s">
        <v>232</v>
      </c>
      <c r="D28" s="69">
        <v>250294582</v>
      </c>
      <c r="E28" s="19">
        <v>10</v>
      </c>
      <c r="F28" s="19">
        <v>32</v>
      </c>
      <c r="G28" s="19">
        <v>30</v>
      </c>
      <c r="I28" s="20">
        <f t="shared" si="0"/>
        <v>11.9407125</v>
      </c>
      <c r="J28" s="21">
        <f t="shared" si="1"/>
        <v>5.0887078330764668E-2</v>
      </c>
      <c r="K28" s="21">
        <f t="shared" si="2"/>
        <v>1.3130639799466375E-2</v>
      </c>
      <c r="L28" s="21">
        <f t="shared" si="3"/>
        <v>1.0531686219240655E-2</v>
      </c>
      <c r="M28" s="21">
        <f t="shared" si="4"/>
        <v>3.7755927133892177E-2</v>
      </c>
      <c r="N28" s="69">
        <f t="shared" si="5"/>
        <v>3286528</v>
      </c>
      <c r="O28" s="21">
        <v>16</v>
      </c>
      <c r="P28" s="22">
        <v>26301637</v>
      </c>
      <c r="Q28" s="22">
        <v>821926.15625</v>
      </c>
      <c r="R28" s="22">
        <v>28152.53125</v>
      </c>
      <c r="S28" s="23">
        <v>12736760</v>
      </c>
      <c r="T28" s="23">
        <v>2636024</v>
      </c>
      <c r="U28" s="23">
        <v>650504</v>
      </c>
      <c r="V28" s="23">
        <v>9450104</v>
      </c>
      <c r="W28" s="24">
        <v>70.434312500000004</v>
      </c>
      <c r="X28" s="24">
        <v>72.984228125000001</v>
      </c>
      <c r="Y28" s="24">
        <v>32.842012500000003</v>
      </c>
      <c r="Z28" s="24">
        <v>36.576587500000002</v>
      </c>
      <c r="AA28" s="24">
        <v>36.066781249999998</v>
      </c>
      <c r="AB28" s="25">
        <v>3437.05</v>
      </c>
      <c r="AC28" s="25">
        <v>5371.19</v>
      </c>
      <c r="AD28" s="25">
        <v>5.1360000000000001</v>
      </c>
      <c r="AE28" s="25">
        <v>22.36</v>
      </c>
      <c r="AG28" s="20">
        <f t="shared" si="6"/>
        <v>11.946194999999999</v>
      </c>
      <c r="AH28" s="21">
        <f t="shared" si="7"/>
        <v>5.091044279975665E-2</v>
      </c>
      <c r="AI28" s="21">
        <f t="shared" si="8"/>
        <v>1.3152086528185416E-2</v>
      </c>
      <c r="AJ28" s="21">
        <f t="shared" si="9"/>
        <v>1.0531686219240655E-2</v>
      </c>
      <c r="AK28" s="21">
        <f t="shared" si="10"/>
        <v>3.7755927133892177E-2</v>
      </c>
      <c r="AL28" s="69">
        <f t="shared" si="11"/>
        <v>3291896</v>
      </c>
      <c r="AM28" s="21">
        <v>16</v>
      </c>
      <c r="AN28" s="22">
        <v>26301637</v>
      </c>
      <c r="AO28" s="22">
        <v>821926.15625</v>
      </c>
      <c r="AP28" s="22">
        <v>28152.53125</v>
      </c>
      <c r="AQ28" s="23">
        <v>12742608</v>
      </c>
      <c r="AR28" s="23">
        <v>2636024</v>
      </c>
      <c r="AS28" s="23">
        <v>655872</v>
      </c>
      <c r="AT28" s="23">
        <v>9450104</v>
      </c>
      <c r="AU28" s="24">
        <v>70.434312000000006</v>
      </c>
      <c r="AV28" s="24">
        <v>72.984228000000002</v>
      </c>
      <c r="AW28" s="24">
        <v>32.842013000000001</v>
      </c>
      <c r="AX28" s="24">
        <v>36.576587000000004</v>
      </c>
      <c r="AY28" s="24">
        <v>36.066780999999999</v>
      </c>
      <c r="AZ28" s="25">
        <v>3428.66</v>
      </c>
      <c r="BA28" s="25">
        <v>4063.22</v>
      </c>
      <c r="BB28" s="25">
        <v>9.4930000000000003</v>
      </c>
      <c r="BC28" s="25">
        <v>18.103999999999999</v>
      </c>
      <c r="BE28" s="26">
        <f t="shared" si="12"/>
        <v>0</v>
      </c>
      <c r="BF28" s="26">
        <f t="shared" si="13"/>
        <v>3.0284319952689209E-4</v>
      </c>
      <c r="BG28" s="26"/>
      <c r="BI28" s="71"/>
      <c r="BJ28" s="71"/>
      <c r="BK28" s="71"/>
      <c r="BL28" s="71"/>
      <c r="BM28" s="71"/>
      <c r="BO28" s="71"/>
      <c r="BP28" s="71"/>
      <c r="BQ28" s="71"/>
      <c r="BR28" s="71"/>
      <c r="BS28" s="71"/>
    </row>
    <row r="29" spans="1:71" outlineLevel="1" x14ac:dyDescent="0.2">
      <c r="A29" s="27"/>
      <c r="B29" s="27" t="s">
        <v>75</v>
      </c>
      <c r="C29" s="28" t="s">
        <v>233</v>
      </c>
      <c r="D29" s="27">
        <v>250294582</v>
      </c>
      <c r="E29" s="28">
        <v>10</v>
      </c>
      <c r="F29" s="28">
        <v>32</v>
      </c>
      <c r="G29" s="28">
        <v>30</v>
      </c>
      <c r="I29" s="29">
        <f t="shared" si="0"/>
        <v>27.592912500000001</v>
      </c>
      <c r="J29" s="30">
        <f t="shared" si="1"/>
        <v>0.11759119899766747</v>
      </c>
      <c r="K29" s="30">
        <f t="shared" si="2"/>
        <v>2.1579724006970315E-2</v>
      </c>
      <c r="L29" s="30">
        <f t="shared" si="3"/>
        <v>1.645999672497905E-2</v>
      </c>
      <c r="M29" s="30">
        <f t="shared" si="4"/>
        <v>9.6010963593291046E-2</v>
      </c>
      <c r="N29" s="27">
        <f t="shared" si="5"/>
        <v>5401288</v>
      </c>
      <c r="O29" s="30">
        <v>16</v>
      </c>
      <c r="P29" s="31">
        <v>25146858</v>
      </c>
      <c r="Q29" s="31">
        <v>785839.3125</v>
      </c>
      <c r="R29" s="31">
        <v>12625.625</v>
      </c>
      <c r="S29" s="32">
        <v>29432440</v>
      </c>
      <c r="T29" s="32">
        <v>4119848</v>
      </c>
      <c r="U29" s="32">
        <v>1281440</v>
      </c>
      <c r="V29" s="32">
        <v>24031024</v>
      </c>
      <c r="W29" s="33">
        <v>71.510181250000002</v>
      </c>
      <c r="X29" s="33">
        <v>74.895196874999996</v>
      </c>
      <c r="Y29" s="33">
        <v>35.532253124999997</v>
      </c>
      <c r="Z29" s="33">
        <v>38.584499999999998</v>
      </c>
      <c r="AA29" s="33">
        <v>38.022281249999999</v>
      </c>
      <c r="AB29" s="34">
        <v>3284.47</v>
      </c>
      <c r="AC29" s="34">
        <v>5653.86</v>
      </c>
      <c r="AD29" s="34">
        <v>4.851</v>
      </c>
      <c r="AE29" s="34">
        <v>23.532</v>
      </c>
      <c r="AG29" s="29">
        <f t="shared" si="6"/>
        <v>27.598395</v>
      </c>
      <c r="AH29" s="30">
        <f t="shared" si="7"/>
        <v>0.11761456346665945</v>
      </c>
      <c r="AI29" s="30">
        <f t="shared" si="8"/>
        <v>2.1601170735689356E-2</v>
      </c>
      <c r="AJ29" s="30">
        <f t="shared" si="9"/>
        <v>1.645999672497905E-2</v>
      </c>
      <c r="AK29" s="30">
        <f t="shared" si="10"/>
        <v>9.6010963593291046E-2</v>
      </c>
      <c r="AL29" s="27">
        <f t="shared" si="11"/>
        <v>5406656</v>
      </c>
      <c r="AM29" s="30">
        <v>16</v>
      </c>
      <c r="AN29" s="31">
        <v>25146858</v>
      </c>
      <c r="AO29" s="31">
        <v>785839.3125</v>
      </c>
      <c r="AP29" s="31">
        <v>12625.625</v>
      </c>
      <c r="AQ29" s="32">
        <v>29438288</v>
      </c>
      <c r="AR29" s="32">
        <v>4119848</v>
      </c>
      <c r="AS29" s="32">
        <v>1286808</v>
      </c>
      <c r="AT29" s="32">
        <v>24031024</v>
      </c>
      <c r="AU29" s="33">
        <v>71.510181000000003</v>
      </c>
      <c r="AV29" s="33">
        <v>74.895196999999996</v>
      </c>
      <c r="AW29" s="33">
        <v>35.532252999999997</v>
      </c>
      <c r="AX29" s="33">
        <v>38.584499999999998</v>
      </c>
      <c r="AY29" s="33">
        <v>38.022281</v>
      </c>
      <c r="AZ29" s="34">
        <v>3548.6</v>
      </c>
      <c r="BA29" s="34">
        <v>4902.8500000000004</v>
      </c>
      <c r="BB29" s="34">
        <v>9.8650000000000002</v>
      </c>
      <c r="BC29" s="34">
        <v>22.181000000000001</v>
      </c>
      <c r="BE29" s="35">
        <f t="shared" si="12"/>
        <v>0</v>
      </c>
      <c r="BF29" s="35">
        <f t="shared" si="13"/>
        <v>1.4589182350474572E-4</v>
      </c>
      <c r="BG29" s="35"/>
      <c r="BI29" s="36"/>
      <c r="BJ29" s="36"/>
      <c r="BK29" s="36"/>
      <c r="BL29" s="36"/>
      <c r="BM29" s="36"/>
      <c r="BO29" s="36"/>
      <c r="BP29" s="36"/>
      <c r="BQ29" s="36"/>
      <c r="BR29" s="36"/>
      <c r="BS29" s="36"/>
    </row>
    <row r="30" spans="1:71" ht="16" x14ac:dyDescent="0.2">
      <c r="B30" s="47" t="s">
        <v>16</v>
      </c>
      <c r="J30" s="48">
        <f>AVERAGE(J5:J24)</f>
        <v>2.0415088259257034E-2</v>
      </c>
      <c r="K30" s="48">
        <f>AVERAGE(K5:K24)</f>
        <v>9.8584708153513188E-3</v>
      </c>
      <c r="L30" s="48">
        <f>AVERAGE(L5:L24)</f>
        <v>6.9062602706528959E-3</v>
      </c>
      <c r="M30" s="48">
        <f>AVERAGE(M5:M24)</f>
        <v>1.0556109476098949E-2</v>
      </c>
      <c r="AH30" s="48">
        <f>AVERAGE(AH5:AH24)</f>
        <v>2.04356567414451E-2</v>
      </c>
      <c r="AI30" s="48">
        <f>AVERAGE(AI5:AI24)</f>
        <v>9.8771344182640129E-3</v>
      </c>
      <c r="AJ30" s="48">
        <f>AVERAGE(AJ5:AJ24)</f>
        <v>6.9062602706528959E-3</v>
      </c>
      <c r="AK30" s="48">
        <f>AVERAGE(AK5:AK24)</f>
        <v>1.0556109476098949E-2</v>
      </c>
      <c r="BG30" s="103">
        <f>AVERAGE(BG5:BG24)</f>
        <v>3.6158937651381562E-4</v>
      </c>
      <c r="BI30" s="98">
        <f>AVERAGE(BI5:BI24)</f>
        <v>2.2977326280847477E-3</v>
      </c>
      <c r="BJ30" s="98">
        <f>AVERAGE(BJ5:BJ24)</f>
        <v>2.1670872340075475E-3</v>
      </c>
      <c r="BK30" s="98">
        <f>AVERAGE(BK5:BK24)</f>
        <v>4.3804455673868148E-8</v>
      </c>
      <c r="BL30" s="98">
        <f>AVERAGE(BL5:BL24)</f>
        <v>-3.1187479737626589E-8</v>
      </c>
      <c r="BM30" s="98">
        <f>AVERAGE(BM5:BM24)</f>
        <v>5.748645032221944E-9</v>
      </c>
      <c r="BO30" s="98">
        <f>AVERAGE(BO5:BO24)</f>
        <v>1.5961803926398122E-3</v>
      </c>
      <c r="BP30" s="98">
        <f>AVERAGE(BP5:BP24)</f>
        <v>1.4690309855580064E-3</v>
      </c>
      <c r="BQ30" s="98">
        <f>AVERAGE(BQ5:BQ24)</f>
        <v>1.4328737138686876E-3</v>
      </c>
      <c r="BR30" s="98">
        <f>AVERAGE(BR5:BR24)</f>
        <v>1.410149142017425E-3</v>
      </c>
      <c r="BS30" s="98">
        <f>AVERAGE(BS5:BS24)</f>
        <v>1.4482301262965791E-3</v>
      </c>
    </row>
    <row r="31" spans="1:71" ht="16" x14ac:dyDescent="0.2">
      <c r="B31" s="47" t="s">
        <v>17</v>
      </c>
      <c r="J31" s="48">
        <f>AVERAGE(J25:J29)</f>
        <v>4.3704431444704622E-2</v>
      </c>
      <c r="K31" s="48">
        <f>AVERAGE(K25:K29)</f>
        <v>1.1668228599530771E-2</v>
      </c>
      <c r="L31" s="48">
        <f>AVERAGE(L25:L29)</f>
        <v>8.5651202789519439E-3</v>
      </c>
      <c r="M31" s="48">
        <f>AVERAGE(M25:M29)</f>
        <v>3.2035691447767731E-2</v>
      </c>
      <c r="AH31" s="48">
        <f>AVERAGE(AH25:AH29)</f>
        <v>4.3727795913696604E-2</v>
      </c>
      <c r="AI31" s="48">
        <f>AVERAGE(AI25:AI29)</f>
        <v>1.1689675328249813E-2</v>
      </c>
      <c r="AJ31" s="48">
        <f>AVERAGE(AJ25:AJ29)</f>
        <v>8.5651202789519439E-3</v>
      </c>
      <c r="AK31" s="48">
        <f>AVERAGE(AK25:AK29)</f>
        <v>3.2035691447767731E-2</v>
      </c>
      <c r="BG31" s="103">
        <f>AVERAGE(BG25:BG29)</f>
        <v>4.4669576113109954E-4</v>
      </c>
      <c r="BI31" s="98">
        <f>AVERAGE(BI25:BI29)</f>
        <v>2.3624765291330174E-3</v>
      </c>
      <c r="BJ31" s="98">
        <f>AVERAGE(BJ25:BJ29)</f>
        <v>2.2425929025358116E-3</v>
      </c>
      <c r="BK31" s="98">
        <f>AVERAGE(BK25:BK29)</f>
        <v>-3.8858477324765772E-8</v>
      </c>
      <c r="BL31" s="98">
        <f>AVERAGE(BL25:BL29)</f>
        <v>1.6538018043910085E-7</v>
      </c>
      <c r="BM31" s="98">
        <f>AVERAGE(BM25:BM29)</f>
        <v>7.6124016645806591E-8</v>
      </c>
      <c r="BO31" s="98">
        <f>AVERAGE(BO25:BO29)</f>
        <v>1.1941028378914531E-3</v>
      </c>
      <c r="BP31" s="98">
        <f>AVERAGE(BP25:BP29)</f>
        <v>1.0887184416712437E-3</v>
      </c>
      <c r="BQ31" s="98">
        <f>AVERAGE(BQ25:BQ29)</f>
        <v>9.7749764169186015E-4</v>
      </c>
      <c r="BR31" s="98">
        <f>AVERAGE(BR25:BR29)</f>
        <v>9.2942813329899288E-4</v>
      </c>
      <c r="BS31" s="98">
        <f>AVERAGE(BS25:BS29)</f>
        <v>9.7139402223000992E-4</v>
      </c>
    </row>
    <row r="32" spans="1:71" ht="16" x14ac:dyDescent="0.2">
      <c r="B32" s="47" t="s">
        <v>18</v>
      </c>
      <c r="J32" s="48">
        <f>AVERAGE(J5:J29)</f>
        <v>2.5072956896346553E-2</v>
      </c>
      <c r="K32" s="48">
        <f>AVERAGE(K5:K29)</f>
        <v>1.022042237218721E-2</v>
      </c>
      <c r="L32" s="48">
        <f>AVERAGE(L5:L29)</f>
        <v>7.2380322723127055E-3</v>
      </c>
      <c r="M32" s="48">
        <f>AVERAGE(M5:M29)</f>
        <v>1.4852025870432708E-2</v>
      </c>
      <c r="AH32" s="48">
        <f>AVERAGE(AH5:AH29)</f>
        <v>2.50940845758954E-2</v>
      </c>
      <c r="AI32" s="48">
        <f>AVERAGE(AI5:AI29)</f>
        <v>1.0239642600261174E-2</v>
      </c>
      <c r="AJ32" s="48">
        <f>AVERAGE(AJ5:AJ29)</f>
        <v>7.2380322723127055E-3</v>
      </c>
      <c r="AK32" s="48">
        <f>AVERAGE(AK5:AK29)</f>
        <v>1.4852025870432708E-2</v>
      </c>
      <c r="BG32" s="103">
        <f>AVERAGE(BG5:BG29)</f>
        <v>3.7861065343727243E-4</v>
      </c>
      <c r="BI32" s="98">
        <f>AVERAGE(BI5:BI29)</f>
        <v>2.3106814082944015E-3</v>
      </c>
      <c r="BJ32" s="98">
        <f>AVERAGE(BJ5:BJ29)</f>
        <v>2.1821883677132004E-3</v>
      </c>
      <c r="BK32" s="98">
        <f>AVERAGE(BK5:BK29)</f>
        <v>2.7271869074141365E-8</v>
      </c>
      <c r="BL32" s="98">
        <f>AVERAGE(BL5:BL29)</f>
        <v>8.1260522977189001E-9</v>
      </c>
      <c r="BM32" s="98">
        <f>AVERAGE(BM5:BM29)</f>
        <v>1.9823719354938872E-8</v>
      </c>
      <c r="BO32" s="98">
        <f>AVERAGE(BO5:BO29)</f>
        <v>1.5157648816901403E-3</v>
      </c>
      <c r="BP32" s="98">
        <f>AVERAGE(BP5:BP29)</f>
        <v>1.3929684767806539E-3</v>
      </c>
      <c r="BQ32" s="98">
        <f>AVERAGE(BQ5:BQ29)</f>
        <v>1.3417984994333221E-3</v>
      </c>
      <c r="BR32" s="98">
        <f>AVERAGE(BR5:BR29)</f>
        <v>1.3140049402737386E-3</v>
      </c>
      <c r="BS32" s="98">
        <f>AVERAGE(BS5:BS29)</f>
        <v>1.3528629054832652E-3</v>
      </c>
    </row>
    <row r="33" spans="1:55" ht="16" hidden="1" outlineLevel="2" x14ac:dyDescent="0.2">
      <c r="A33" s="47" t="s">
        <v>235</v>
      </c>
      <c r="B33" s="47" t="s">
        <v>236</v>
      </c>
      <c r="AB33" s="49">
        <f>SUM(AB5:AB24,AB25:AB29)</f>
        <v>94221.10000000002</v>
      </c>
      <c r="AC33" s="49">
        <f>SUM(AC5:AC24,AC25:AC29)</f>
        <v>104302.74</v>
      </c>
      <c r="AD33" s="49">
        <f>SUM(AD5:AD24,AD25:AD29)</f>
        <v>137.59100000000001</v>
      </c>
      <c r="AE33" s="49">
        <f>SUM(AE5:AE24,AE25:AE29)</f>
        <v>507.99099999999999</v>
      </c>
      <c r="AZ33" s="49">
        <f>SUM(AZ5:AZ24,AZ25:AZ29)</f>
        <v>104912.5</v>
      </c>
      <c r="BA33" s="49">
        <f>SUM(BA5:BA24,BA25:BA29)</f>
        <v>87493.840000000011</v>
      </c>
      <c r="BB33" s="49">
        <f>SUM(BB5:BB24,BB25:BB29)</f>
        <v>272.03100000000006</v>
      </c>
      <c r="BC33" s="49">
        <f>SUM(BC5:BC24,BC25:BC29)</f>
        <v>438.49099999999993</v>
      </c>
    </row>
    <row r="34" spans="1:55" ht="16" hidden="1" outlineLevel="2" x14ac:dyDescent="0.2">
      <c r="B34" s="47" t="s">
        <v>237</v>
      </c>
      <c r="AZ34" s="103">
        <f>AZ33/AB33</f>
        <v>1.1134713986569884</v>
      </c>
      <c r="BA34" s="103">
        <f>BA33/AC33</f>
        <v>0.83884507732011648</v>
      </c>
      <c r="BB34" s="103">
        <f>BB33/AD33</f>
        <v>1.9770987927989478</v>
      </c>
      <c r="BC34" s="103">
        <f>BC33/AE33</f>
        <v>0.86318655251766263</v>
      </c>
    </row>
    <row r="35" spans="1:55" ht="16" hidden="1" outlineLevel="2" x14ac:dyDescent="0.2">
      <c r="B35" s="47" t="s">
        <v>238</v>
      </c>
      <c r="AB35" s="49">
        <f>GEOMEAN(AB5:AB24,AB25:AB29)</f>
        <v>3752.9429430784544</v>
      </c>
      <c r="AC35" s="49">
        <f>GEOMEAN(AC5:AC24,AC25:AC29)</f>
        <v>4095.3398543545713</v>
      </c>
      <c r="AD35" s="49">
        <f>GEOMEAN(AD5:AD24,AD25:AD29)</f>
        <v>5.4518171621489495</v>
      </c>
      <c r="AE35" s="49">
        <f>GEOMEAN(AE5:AE24,AE25:AE29)</f>
        <v>20.168080074133776</v>
      </c>
      <c r="AZ35" s="49">
        <f>GEOMEAN(AZ5:AZ24,AZ25:AZ29)</f>
        <v>4138.4258342621752</v>
      </c>
      <c r="BA35" s="49">
        <f>GEOMEAN(BA5:BA24,BA25:BA29)</f>
        <v>3374.3053482218816</v>
      </c>
      <c r="BB35" s="49">
        <f>GEOMEAN(BB5:BB24,BB25:BB29)</f>
        <v>10.744178587138045</v>
      </c>
      <c r="BC35" s="49">
        <f>GEOMEAN(BC5:BC24,BC25:BC29)</f>
        <v>17.034427888953207</v>
      </c>
    </row>
    <row r="36" spans="1:55" ht="16" outlineLevel="2" collapsed="1" x14ac:dyDescent="0.2">
      <c r="B36" s="47" t="s">
        <v>239</v>
      </c>
      <c r="AZ36" s="103">
        <f>AZ35/AB35</f>
        <v>1.102714828610615</v>
      </c>
      <c r="BA36" s="103">
        <f>BA35/AC35</f>
        <v>0.8239378093698343</v>
      </c>
      <c r="BB36" s="103">
        <f>BB35/AD35</f>
        <v>1.9707518186290383</v>
      </c>
      <c r="BC36" s="103">
        <f>BC35/AE35</f>
        <v>0.8446231781279181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35" priority="17" operator="greaterThanOrEqual">
      <formula>0.03</formula>
    </cfRule>
    <cfRule type="cellIs" dxfId="34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33" priority="15" operator="greaterThanOrEqual">
      <formula>0.03</formula>
    </cfRule>
    <cfRule type="cellIs" dxfId="32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31" priority="11" operator="greaterThanOrEqual">
      <formula>0.03</formula>
    </cfRule>
    <cfRule type="cellIs" dxfId="30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9" priority="5" operator="greaterThanOrEqual">
      <formula>0.03</formula>
    </cfRule>
    <cfRule type="cellIs" dxfId="28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7" priority="7" operator="greaterThanOrEqual">
      <formula>0.03</formula>
    </cfRule>
    <cfRule type="cellIs" dxfId="26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5" priority="1" operator="greaterThanOrEqual">
      <formula>0.03</formula>
    </cfRule>
    <cfRule type="cellIs" dxfId="24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23" priority="13" operator="greaterThanOrEqual">
      <formula>0.03</formula>
    </cfRule>
    <cfRule type="cellIs" dxfId="22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21" priority="19" operator="greaterThanOrEqual">
      <formula>0.03</formula>
    </cfRule>
    <cfRule type="cellIs" dxfId="20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7" priority="3" operator="greaterThanOrEqual">
      <formula>0.03</formula>
    </cfRule>
    <cfRule type="cellIs" dxfId="16" priority="4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E08A-B25A-EC4A-B74E-F85122E36061}">
  <dimension ref="A1:X12"/>
  <sheetViews>
    <sheetView workbookViewId="0">
      <selection activeCell="O6" sqref="O6"/>
    </sheetView>
  </sheetViews>
  <sheetFormatPr baseColWidth="10" defaultColWidth="8.83203125" defaultRowHeight="15" x14ac:dyDescent="0.2"/>
  <cols>
    <col min="1" max="1" width="2.5" style="4" customWidth="1"/>
    <col min="2" max="2" width="6.1640625" style="4" customWidth="1"/>
    <col min="3" max="18" width="6.83203125" style="4" customWidth="1"/>
    <col min="19" max="16384" width="8.83203125" style="4"/>
  </cols>
  <sheetData>
    <row r="1" spans="1:24" ht="16" thickBot="1" x14ac:dyDescent="0.25"/>
    <row r="2" spans="1:24" ht="16" thickBot="1" x14ac:dyDescent="0.25">
      <c r="A2" s="129" t="s">
        <v>140</v>
      </c>
      <c r="B2" s="132" t="s">
        <v>552</v>
      </c>
      <c r="C2" s="135" t="s">
        <v>553</v>
      </c>
      <c r="D2" s="136"/>
      <c r="E2" s="137"/>
      <c r="F2" s="135" t="s">
        <v>554</v>
      </c>
      <c r="G2" s="136"/>
      <c r="H2" s="137"/>
      <c r="I2" s="135" t="s">
        <v>555</v>
      </c>
      <c r="J2" s="136"/>
      <c r="K2" s="136"/>
      <c r="L2" s="136"/>
      <c r="M2" s="137"/>
      <c r="N2" s="135" t="s">
        <v>556</v>
      </c>
      <c r="O2" s="136"/>
      <c r="P2" s="136"/>
      <c r="Q2" s="136"/>
      <c r="R2" s="137"/>
    </row>
    <row r="3" spans="1:24" ht="14.5" customHeight="1" x14ac:dyDescent="0.2">
      <c r="A3" s="130"/>
      <c r="B3" s="133"/>
      <c r="C3" s="138" t="s">
        <v>23</v>
      </c>
      <c r="D3" s="139"/>
      <c r="E3" s="142"/>
      <c r="F3" s="138" t="s">
        <v>23</v>
      </c>
      <c r="G3" s="139"/>
      <c r="H3" s="142"/>
      <c r="I3" s="140" t="s">
        <v>9</v>
      </c>
      <c r="J3" s="139"/>
      <c r="K3" s="141" t="s">
        <v>10</v>
      </c>
      <c r="L3" s="139"/>
      <c r="M3" s="142"/>
      <c r="N3" s="140" t="s">
        <v>9</v>
      </c>
      <c r="O3" s="139"/>
      <c r="P3" s="141" t="s">
        <v>10</v>
      </c>
      <c r="Q3" s="139"/>
      <c r="R3" s="142"/>
      <c r="T3" s="145" t="s">
        <v>557</v>
      </c>
      <c r="U3" s="127" t="s">
        <v>33</v>
      </c>
      <c r="V3" s="109"/>
      <c r="W3" s="127" t="s">
        <v>34</v>
      </c>
      <c r="X3" s="109"/>
    </row>
    <row r="4" spans="1:24" ht="17" thickBot="1" x14ac:dyDescent="0.25">
      <c r="A4" s="131"/>
      <c r="B4" s="134"/>
      <c r="C4" s="57" t="s">
        <v>25</v>
      </c>
      <c r="D4" s="58" t="s">
        <v>558</v>
      </c>
      <c r="E4" s="59" t="s">
        <v>26</v>
      </c>
      <c r="F4" s="57" t="s">
        <v>25</v>
      </c>
      <c r="G4" s="58" t="s">
        <v>558</v>
      </c>
      <c r="H4" s="59" t="s">
        <v>26</v>
      </c>
      <c r="I4" s="57" t="s">
        <v>11</v>
      </c>
      <c r="J4" s="58" t="s">
        <v>12</v>
      </c>
      <c r="K4" s="58" t="s">
        <v>13</v>
      </c>
      <c r="L4" s="58" t="s">
        <v>559</v>
      </c>
      <c r="M4" s="59" t="s">
        <v>560</v>
      </c>
      <c r="N4" s="57" t="s">
        <v>11</v>
      </c>
      <c r="O4" s="58" t="s">
        <v>12</v>
      </c>
      <c r="P4" s="58" t="s">
        <v>13</v>
      </c>
      <c r="Q4" s="58" t="s">
        <v>561</v>
      </c>
      <c r="R4" s="59" t="s">
        <v>560</v>
      </c>
      <c r="T4" s="107"/>
      <c r="U4" s="60" t="s">
        <v>35</v>
      </c>
      <c r="V4" s="61" t="s">
        <v>36</v>
      </c>
      <c r="W4" s="62" t="s">
        <v>35</v>
      </c>
      <c r="X4" s="61" t="s">
        <v>36</v>
      </c>
    </row>
    <row r="5" spans="1:24" x14ac:dyDescent="0.2">
      <c r="A5" s="63" t="s">
        <v>562</v>
      </c>
      <c r="B5" s="146" t="s">
        <v>563</v>
      </c>
      <c r="C5" s="64" t="e">
        <f>'CW losslG,losslA,intra'!BB5</f>
        <v>#VALUE!</v>
      </c>
      <c r="D5" s="147" t="e">
        <f>'CW losslG,losslA,intra'!BC5</f>
        <v>#VALUE!</v>
      </c>
      <c r="E5" s="148" t="e">
        <f>'CW losslG,losslA,intra'!BD5</f>
        <v>#VALUE!</v>
      </c>
      <c r="F5" s="64" t="e">
        <f>'CW losslG,losslA,interLD'!BB5</f>
        <v>#VALUE!</v>
      </c>
      <c r="G5" s="147" t="e">
        <f>'CW losslG,losslA,interLD'!BC5</f>
        <v>#VALUE!</v>
      </c>
      <c r="H5" s="148" t="e">
        <f>'CW losslG,losslA,interLD'!BD5</f>
        <v>#VALUE!</v>
      </c>
      <c r="I5" s="64">
        <f>'C2 lossyG,lossyA,intra'!BO5</f>
        <v>1.041114060124082E-3</v>
      </c>
      <c r="J5" s="147">
        <f>'C2 lossyG,lossyA,intra'!BP5</f>
        <v>9.570004586245684E-4</v>
      </c>
      <c r="K5" s="147">
        <f>'C2 lossyG,lossyA,intra'!BQ5</f>
        <v>9.2461349666650428E-4</v>
      </c>
      <c r="L5" s="147">
        <f>'C2 lossyG,lossyA,intra'!BR5</f>
        <v>9.1163047761799731E-4</v>
      </c>
      <c r="M5" s="148">
        <f>'C2 lossyG,lossyA,intra'!BS5</f>
        <v>9.2004416154822799E-4</v>
      </c>
      <c r="N5" s="64">
        <f>'C2 lossyG,lossyA,interRA'!BO5</f>
        <v>8.6835985543265437E-4</v>
      </c>
      <c r="O5" s="147">
        <f>'C2 lossyG,lossyA,interRA'!BP5</f>
        <v>8.287012849326203E-4</v>
      </c>
      <c r="P5" s="147">
        <f>'C2 lossyG,lossyA,interRA'!BQ5</f>
        <v>7.9484118183392738E-4</v>
      </c>
      <c r="Q5" s="147">
        <f>'C2 lossyG,lossyA,interRA'!BR5</f>
        <v>7.9459170382678579E-4</v>
      </c>
      <c r="R5" s="148">
        <f>'C2 lossyG,lossyA,interRA'!BS5</f>
        <v>7.7930745537546642E-4</v>
      </c>
      <c r="T5" s="65" t="s">
        <v>553</v>
      </c>
      <c r="U5" s="66" t="e">
        <f>'CW losslG,losslA,intra'!AW16</f>
        <v>#NUM!</v>
      </c>
      <c r="V5" s="67" t="e">
        <f>'CW losslG,losslA,intra'!AX16</f>
        <v>#NUM!</v>
      </c>
      <c r="W5" s="66" t="e">
        <f>'CW losslG,losslA,intra'!AY16</f>
        <v>#NUM!</v>
      </c>
      <c r="X5" s="67" t="e">
        <f>'CW losslG,losslA,intra'!AZ16</f>
        <v>#NUM!</v>
      </c>
    </row>
    <row r="6" spans="1:24" x14ac:dyDescent="0.2">
      <c r="A6" s="68"/>
      <c r="B6" s="69" t="s">
        <v>564</v>
      </c>
      <c r="C6" s="70" t="e">
        <f>'CW losslG,losslA,intra'!BB6</f>
        <v>#VALUE!</v>
      </c>
      <c r="D6" s="71" t="e">
        <f>'CW losslG,losslA,intra'!BC6</f>
        <v>#VALUE!</v>
      </c>
      <c r="E6" s="72" t="e">
        <f>'CW losslG,losslA,intra'!BD6</f>
        <v>#VALUE!</v>
      </c>
      <c r="F6" s="70" t="e">
        <f>'CW losslG,losslA,interLD'!BB6</f>
        <v>#VALUE!</v>
      </c>
      <c r="G6" s="71" t="e">
        <f>'CW losslG,losslA,interLD'!BC6</f>
        <v>#VALUE!</v>
      </c>
      <c r="H6" s="72" t="e">
        <f>'CW losslG,losslA,interLD'!BD6</f>
        <v>#VALUE!</v>
      </c>
      <c r="I6" s="70">
        <f>'C2 lossyG,lossyA,intra'!BO10</f>
        <v>1.9448838636306753E-3</v>
      </c>
      <c r="J6" s="71">
        <f>'C2 lossyG,lossyA,intra'!BP10</f>
        <v>1.7523986022167648E-3</v>
      </c>
      <c r="K6" s="71">
        <f>'C2 lossyG,lossyA,intra'!BQ10</f>
        <v>1.6967182868536934E-3</v>
      </c>
      <c r="L6" s="71">
        <f>'C2 lossyG,lossyA,intra'!BR10</f>
        <v>1.6185511337132308E-3</v>
      </c>
      <c r="M6" s="72">
        <f>'C2 lossyG,lossyA,intra'!BS10</f>
        <v>1.7421852896200019E-3</v>
      </c>
      <c r="N6" s="70">
        <f>'C2 lossyG,lossyA,interRA'!BO10</f>
        <v>2.1582793100647368E-3</v>
      </c>
      <c r="O6" s="71">
        <f>'C2 lossyG,lossyA,interRA'!BP10</f>
        <v>1.9718858150838958E-3</v>
      </c>
      <c r="P6" s="71">
        <f>'C2 lossyG,lossyA,interRA'!BQ10</f>
        <v>1.9066518535650889E-3</v>
      </c>
      <c r="Q6" s="71">
        <f>'C2 lossyG,lossyA,interRA'!BR10</f>
        <v>1.9316021419719664E-3</v>
      </c>
      <c r="R6" s="72">
        <f>'C2 lossyG,lossyA,interRA'!BS10</f>
        <v>2.0032529480040751E-3</v>
      </c>
      <c r="T6" s="73" t="s">
        <v>554</v>
      </c>
      <c r="U6" s="74" t="e">
        <f>'CW losslG,losslA,interLD'!AW16</f>
        <v>#NUM!</v>
      </c>
      <c r="V6" s="75" t="e">
        <f>'CW losslG,losslA,interLD'!AX16</f>
        <v>#NUM!</v>
      </c>
      <c r="W6" s="74" t="e">
        <f>'CW losslG,losslA,interLD'!AY16</f>
        <v>#NUM!</v>
      </c>
      <c r="X6" s="75" t="e">
        <f>'CW losslG,losslA,interLD'!AZ16</f>
        <v>#NUM!</v>
      </c>
    </row>
    <row r="7" spans="1:24" x14ac:dyDescent="0.2">
      <c r="A7" s="76"/>
      <c r="B7" s="77" t="s">
        <v>565</v>
      </c>
      <c r="C7" s="78" t="e">
        <f>'CW losslG,losslA,intra'!BB7</f>
        <v>#VALUE!</v>
      </c>
      <c r="D7" s="79" t="e">
        <f>'CW losslG,losslA,intra'!BC7</f>
        <v>#VALUE!</v>
      </c>
      <c r="E7" s="80" t="e">
        <f>'CW losslG,losslA,intra'!BD7</f>
        <v>#VALUE!</v>
      </c>
      <c r="F7" s="78" t="e">
        <f>'CW losslG,losslA,interLD'!BB7</f>
        <v>#VALUE!</v>
      </c>
      <c r="G7" s="79" t="e">
        <f>'CW losslG,losslA,interLD'!BC7</f>
        <v>#VALUE!</v>
      </c>
      <c r="H7" s="80" t="e">
        <f>'CW losslG,losslA,interLD'!BD7</f>
        <v>#VALUE!</v>
      </c>
      <c r="I7" s="78">
        <f>'C2 lossyG,lossyA,intra'!BO15</f>
        <v>1.5480870216322273E-3</v>
      </c>
      <c r="J7" s="79">
        <f>'C2 lossyG,lossyA,intra'!BP15</f>
        <v>1.415872885888847E-3</v>
      </c>
      <c r="K7" s="79">
        <f>'C2 lossyG,lossyA,intra'!BQ15</f>
        <v>1.4064553058448226E-3</v>
      </c>
      <c r="L7" s="79">
        <f>'C2 lossyG,lossyA,intra'!BR15</f>
        <v>1.1447800724129209E-3</v>
      </c>
      <c r="M7" s="80">
        <f>'C2 lossyG,lossyA,intra'!BS15</f>
        <v>1.1813007755299143E-3</v>
      </c>
      <c r="N7" s="78">
        <f>'C2 lossyG,lossyA,interRA'!BO15</f>
        <v>1.5530097288622979E-3</v>
      </c>
      <c r="O7" s="79">
        <f>'C2 lossyG,lossyA,interRA'!BP15</f>
        <v>1.447531857095008E-3</v>
      </c>
      <c r="P7" s="79">
        <f>'C2 lossyG,lossyA,interRA'!BQ15</f>
        <v>1.4286338644593499E-3</v>
      </c>
      <c r="Q7" s="79">
        <f>'C2 lossyG,lossyA,interRA'!BR15</f>
        <v>1.2243082142973094E-3</v>
      </c>
      <c r="R7" s="80">
        <f>'C2 lossyG,lossyA,interRA'!BS15</f>
        <v>1.216325569575849E-3</v>
      </c>
      <c r="T7" s="81" t="s">
        <v>555</v>
      </c>
      <c r="U7" s="82">
        <f>'C2 lossyG,lossyA,intra'!AZ36</f>
        <v>1.0676832248493719</v>
      </c>
      <c r="V7" s="83">
        <f>'C2 lossyG,lossyA,intra'!BA36</f>
        <v>0.9121333349505335</v>
      </c>
      <c r="W7" s="82">
        <f>'C2 lossyG,lossyA,intra'!BB36</f>
        <v>1.8507319411089758</v>
      </c>
      <c r="X7" s="83">
        <f>'C2 lossyG,lossyA,intra'!BC36</f>
        <v>0.82696168602892617</v>
      </c>
    </row>
    <row r="8" spans="1:24" ht="16" thickBot="1" x14ac:dyDescent="0.25">
      <c r="A8" s="84"/>
      <c r="B8" s="37" t="s">
        <v>566</v>
      </c>
      <c r="C8" s="85" t="e">
        <f>'CW losslG,losslA,intra'!BB8</f>
        <v>#VALUE!</v>
      </c>
      <c r="D8" s="46" t="e">
        <f>'CW losslG,losslA,intra'!BC8</f>
        <v>#VALUE!</v>
      </c>
      <c r="E8" s="86" t="e">
        <f>'CW losslG,losslA,intra'!BD8</f>
        <v>#VALUE!</v>
      </c>
      <c r="F8" s="85" t="e">
        <f>'CW losslG,losslA,interLD'!BB8</f>
        <v>#VALUE!</v>
      </c>
      <c r="G8" s="46" t="e">
        <f>'CW losslG,losslA,interLD'!BC8</f>
        <v>#VALUE!</v>
      </c>
      <c r="H8" s="86" t="e">
        <f>'CW losslG,losslA,interLD'!BD8</f>
        <v>#VALUE!</v>
      </c>
      <c r="I8" s="85">
        <f>'C2 lossyG,lossyA,intra'!BO20</f>
        <v>1.9375002361510241E-3</v>
      </c>
      <c r="J8" s="46">
        <f>'C2 lossyG,lossyA,intra'!BP20</f>
        <v>1.7711729546363575E-3</v>
      </c>
      <c r="K8" s="46">
        <f>'C2 lossyG,lossyA,intra'!BQ20</f>
        <v>1.9253694840377644E-3</v>
      </c>
      <c r="L8" s="46">
        <f>'C2 lossyG,lossyA,intra'!BR20</f>
        <v>1.8218419990059243E-3</v>
      </c>
      <c r="M8" s="86">
        <f>'C2 lossyG,lossyA,intra'!BS20</f>
        <v>1.9766251786914601E-3</v>
      </c>
      <c r="N8" s="85">
        <f>'C2 lossyG,lossyA,interRA'!BO20</f>
        <v>1.8050726761995595E-3</v>
      </c>
      <c r="O8" s="46">
        <f>'C2 lossyG,lossyA,interRA'!BP20</f>
        <v>1.6280049851205014E-3</v>
      </c>
      <c r="P8" s="46">
        <f>'C2 lossyG,lossyA,interRA'!BQ20</f>
        <v>1.601367955616384E-3</v>
      </c>
      <c r="Q8" s="46">
        <f>'C2 lossyG,lossyA,interRA'!BR20</f>
        <v>1.6900945079736385E-3</v>
      </c>
      <c r="R8" s="86">
        <f>'C2 lossyG,lossyA,interRA'!BS20</f>
        <v>1.7940345322309259E-3</v>
      </c>
      <c r="T8" s="87" t="s">
        <v>556</v>
      </c>
      <c r="U8" s="88">
        <f>'C2 lossyG,lossyA,interRA'!AZ36</f>
        <v>1.102714828610615</v>
      </c>
      <c r="V8" s="89">
        <f>'C2 lossyG,lossyA,interRA'!BA36</f>
        <v>0.8239378093698343</v>
      </c>
      <c r="W8" s="88">
        <f>'C2 lossyG,lossyA,interRA'!BB36</f>
        <v>1.9707518186290383</v>
      </c>
      <c r="X8" s="89">
        <f>'C2 lossyG,lossyA,interRA'!BC36</f>
        <v>0.8446231781279181</v>
      </c>
    </row>
    <row r="9" spans="1:24" ht="16" thickBot="1" x14ac:dyDescent="0.25">
      <c r="A9" s="90" t="s">
        <v>567</v>
      </c>
      <c r="B9" s="27" t="s">
        <v>568</v>
      </c>
      <c r="C9" s="91" t="e">
        <f>'CW losslG,losslA,intra'!BB9</f>
        <v>#VALUE!</v>
      </c>
      <c r="D9" s="36" t="e">
        <f>'CW losslG,losslA,intra'!BC9</f>
        <v>#VALUE!</v>
      </c>
      <c r="E9" s="92" t="e">
        <f>'CW losslG,losslA,intra'!BD9</f>
        <v>#VALUE!</v>
      </c>
      <c r="F9" s="91" t="e">
        <f>'CW losslG,losslA,interLD'!BB9</f>
        <v>#VALUE!</v>
      </c>
      <c r="G9" s="36" t="e">
        <f>'CW losslG,losslA,interLD'!BC9</f>
        <v>#VALUE!</v>
      </c>
      <c r="H9" s="92" t="e">
        <f>'CW losslG,losslA,interLD'!BD9</f>
        <v>#VALUE!</v>
      </c>
      <c r="I9" s="91">
        <f>'C2 lossyG,lossyA,intra'!BO25</f>
        <v>8.7245448754114108E-4</v>
      </c>
      <c r="J9" s="36">
        <f>'C2 lossyG,lossyA,intra'!BP25</f>
        <v>7.8731196446679697E-4</v>
      </c>
      <c r="K9" s="36">
        <f>'C2 lossyG,lossyA,intra'!BQ25</f>
        <v>7.977794420173101E-4</v>
      </c>
      <c r="L9" s="36">
        <f>'C2 lossyG,lossyA,intra'!BR25</f>
        <v>6.4703930510234819E-4</v>
      </c>
      <c r="M9" s="92">
        <f>'C2 lossyG,lossyA,intra'!BS25</f>
        <v>6.8598239377926085E-4</v>
      </c>
      <c r="N9" s="91">
        <f>'C2 lossyG,lossyA,interRA'!BO25</f>
        <v>1.1941028378914531E-3</v>
      </c>
      <c r="O9" s="36">
        <f>'C2 lossyG,lossyA,interRA'!BP25</f>
        <v>1.0887184416712437E-3</v>
      </c>
      <c r="P9" s="36">
        <f>'C2 lossyG,lossyA,interRA'!BQ25</f>
        <v>9.7749764169186015E-4</v>
      </c>
      <c r="Q9" s="36">
        <f>'C2 lossyG,lossyA,interRA'!BR25</f>
        <v>9.2942813329899288E-4</v>
      </c>
      <c r="R9" s="92">
        <f>'C2 lossyG,lossyA,interRA'!BS25</f>
        <v>9.7139402223000992E-4</v>
      </c>
      <c r="T9" s="93" t="s">
        <v>569</v>
      </c>
      <c r="U9" s="94" t="e">
        <f>AVERAGE(U5:U8)</f>
        <v>#NUM!</v>
      </c>
      <c r="V9" s="95" t="e">
        <f>AVERAGE(V5:V8)</f>
        <v>#NUM!</v>
      </c>
      <c r="W9" s="96" t="e">
        <f>AVERAGE(W5:W8)</f>
        <v>#NUM!</v>
      </c>
      <c r="X9" s="95" t="e">
        <f>AVERAGE(X5:X8)</f>
        <v>#NUM!</v>
      </c>
    </row>
    <row r="10" spans="1:24" x14ac:dyDescent="0.2">
      <c r="A10" s="128" t="s">
        <v>570</v>
      </c>
      <c r="B10" s="142"/>
      <c r="C10" s="97" t="e">
        <f>'CW losslG,losslA,intra'!BB10</f>
        <v>#DIV/0!</v>
      </c>
      <c r="D10" s="98" t="e">
        <f>'CW losslG,losslA,intra'!BC10</f>
        <v>#DIV/0!</v>
      </c>
      <c r="E10" s="99" t="e">
        <f>'CW losslG,losslA,intra'!BD10</f>
        <v>#DIV/0!</v>
      </c>
      <c r="F10" s="97" t="e">
        <f>'CW losslG,losslA,interLD'!BB10</f>
        <v>#DIV/0!</v>
      </c>
      <c r="G10" s="98" t="e">
        <f>'CW losslG,losslA,interLD'!BC10</f>
        <v>#DIV/0!</v>
      </c>
      <c r="H10" s="99" t="e">
        <f>'CW losslG,losslA,interLD'!BD10</f>
        <v>#DIV/0!</v>
      </c>
      <c r="I10" s="97">
        <f>'C2 lossyG,lossyA,intra'!BO30</f>
        <v>1.6178962953845022E-3</v>
      </c>
      <c r="J10" s="98">
        <f>'C2 lossyG,lossyA,intra'!BP30</f>
        <v>1.4741112253416344E-3</v>
      </c>
      <c r="K10" s="98">
        <f>'C2 lossyG,lossyA,intra'!BQ30</f>
        <v>1.4882891433506962E-3</v>
      </c>
      <c r="L10" s="98">
        <f>'C2 lossyG,lossyA,intra'!BR30</f>
        <v>1.3742009206875183E-3</v>
      </c>
      <c r="M10" s="99">
        <f>'C2 lossyG,lossyA,intra'!BS30</f>
        <v>1.4550388513474011E-3</v>
      </c>
      <c r="N10" s="97">
        <f>'C2 lossyG,lossyA,interRA'!BO30</f>
        <v>1.5961803926398122E-3</v>
      </c>
      <c r="O10" s="98">
        <f>'C2 lossyG,lossyA,interRA'!BP30</f>
        <v>1.4690309855580064E-3</v>
      </c>
      <c r="P10" s="98">
        <f>'C2 lossyG,lossyA,interRA'!BQ30</f>
        <v>1.4328737138686876E-3</v>
      </c>
      <c r="Q10" s="98">
        <f>'C2 lossyG,lossyA,interRA'!BR30</f>
        <v>1.410149142017425E-3</v>
      </c>
      <c r="R10" s="99">
        <f>'C2 lossyG,lossyA,interRA'!BS30</f>
        <v>1.4482301262965791E-3</v>
      </c>
    </row>
    <row r="11" spans="1:24" x14ac:dyDescent="0.2">
      <c r="A11" s="143" t="s">
        <v>571</v>
      </c>
      <c r="B11" s="133"/>
      <c r="C11" s="97" t="e">
        <f>'CW losslG,losslA,intra'!BB11</f>
        <v>#DIV/0!</v>
      </c>
      <c r="D11" s="98" t="e">
        <f>'CW losslG,losslA,intra'!BC11</f>
        <v>#DIV/0!</v>
      </c>
      <c r="E11" s="99" t="e">
        <f>'CW losslG,losslA,intra'!BD11</f>
        <v>#DIV/0!</v>
      </c>
      <c r="F11" s="97" t="e">
        <f>'CW losslG,losslA,interLD'!BB11</f>
        <v>#DIV/0!</v>
      </c>
      <c r="G11" s="98" t="e">
        <f>'CW losslG,losslA,interLD'!BC11</f>
        <v>#DIV/0!</v>
      </c>
      <c r="H11" s="99" t="e">
        <f>'CW losslG,losslA,interLD'!BD11</f>
        <v>#DIV/0!</v>
      </c>
      <c r="I11" s="97">
        <f>'C2 lossyG,lossyA,intra'!BO31</f>
        <v>8.7245448754114108E-4</v>
      </c>
      <c r="J11" s="98">
        <f>'C2 lossyG,lossyA,intra'!BP31</f>
        <v>7.8731196446679697E-4</v>
      </c>
      <c r="K11" s="98">
        <f>'C2 lossyG,lossyA,intra'!BQ31</f>
        <v>7.977794420173101E-4</v>
      </c>
      <c r="L11" s="98">
        <f>'C2 lossyG,lossyA,intra'!BR31</f>
        <v>6.4703930510234819E-4</v>
      </c>
      <c r="M11" s="99">
        <f>'C2 lossyG,lossyA,intra'!BS31</f>
        <v>6.8598239377926085E-4</v>
      </c>
      <c r="N11" s="97">
        <f>'C2 lossyG,lossyA,interRA'!BO31</f>
        <v>1.1941028378914531E-3</v>
      </c>
      <c r="O11" s="98">
        <f>'C2 lossyG,lossyA,interRA'!BP31</f>
        <v>1.0887184416712437E-3</v>
      </c>
      <c r="P11" s="98">
        <f>'C2 lossyG,lossyA,interRA'!BQ31</f>
        <v>9.7749764169186015E-4</v>
      </c>
      <c r="Q11" s="98">
        <f>'C2 lossyG,lossyA,interRA'!BR31</f>
        <v>9.2942813329899288E-4</v>
      </c>
      <c r="R11" s="99">
        <f>'C2 lossyG,lossyA,interRA'!BS31</f>
        <v>9.7139402223000992E-4</v>
      </c>
    </row>
    <row r="12" spans="1:24" ht="16" thickBot="1" x14ac:dyDescent="0.25">
      <c r="A12" s="144" t="s">
        <v>18</v>
      </c>
      <c r="B12" s="134"/>
      <c r="C12" s="100" t="e">
        <f>'CW losslG,losslA,intra'!BB12</f>
        <v>#DIV/0!</v>
      </c>
      <c r="D12" s="101" t="e">
        <f>'CW losslG,losslA,intra'!BC12</f>
        <v>#DIV/0!</v>
      </c>
      <c r="E12" s="102" t="e">
        <f>'CW losslG,losslA,intra'!BD12</f>
        <v>#DIV/0!</v>
      </c>
      <c r="F12" s="100" t="e">
        <f>'CW losslG,losslA,interLD'!BB12</f>
        <v>#DIV/0!</v>
      </c>
      <c r="G12" s="101" t="e">
        <f>'CW losslG,losslA,interLD'!BC12</f>
        <v>#DIV/0!</v>
      </c>
      <c r="H12" s="102" t="e">
        <f>'CW losslG,losslA,interLD'!BD12</f>
        <v>#DIV/0!</v>
      </c>
      <c r="I12" s="100">
        <f>'C2 lossyG,lossyA,intra'!BO32</f>
        <v>1.4688079338158299E-3</v>
      </c>
      <c r="J12" s="101">
        <f>'C2 lossyG,lossyA,intra'!BP32</f>
        <v>1.336751373166667E-3</v>
      </c>
      <c r="K12" s="101">
        <f>'C2 lossyG,lossyA,intra'!BQ32</f>
        <v>1.3501872030840189E-3</v>
      </c>
      <c r="L12" s="101">
        <f>'C2 lossyG,lossyA,intra'!BR32</f>
        <v>1.2287685975704843E-3</v>
      </c>
      <c r="M12" s="102">
        <f>'C2 lossyG,lossyA,intra'!BS32</f>
        <v>1.3012275598337729E-3</v>
      </c>
      <c r="N12" s="100">
        <f>'C2 lossyG,lossyA,interRA'!BO32</f>
        <v>1.5157648816901403E-3</v>
      </c>
      <c r="O12" s="101">
        <f>'C2 lossyG,lossyA,interRA'!BP32</f>
        <v>1.3929684767806539E-3</v>
      </c>
      <c r="P12" s="101">
        <f>'C2 lossyG,lossyA,interRA'!BQ32</f>
        <v>1.3417984994333221E-3</v>
      </c>
      <c r="Q12" s="101">
        <f>'C2 lossyG,lossyA,interRA'!BR32</f>
        <v>1.3140049402737386E-3</v>
      </c>
      <c r="R12" s="102">
        <f>'C2 lossyG,lossyA,interRA'!BS32</f>
        <v>1.3528629054832652E-3</v>
      </c>
    </row>
  </sheetData>
  <mergeCells count="18">
    <mergeCell ref="A11:B11"/>
    <mergeCell ref="A12:B12"/>
    <mergeCell ref="N3:O3"/>
    <mergeCell ref="P3:R3"/>
    <mergeCell ref="T3:T4"/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</mergeCells>
  <conditionalFormatting sqref="C10:C12">
    <cfRule type="cellIs" dxfId="15" priority="15" operator="greaterThanOrEqual">
      <formula>1.03</formula>
    </cfRule>
    <cfRule type="cellIs" dxfId="14" priority="16" operator="lessThanOrEqual">
      <formula>0.97</formula>
    </cfRule>
  </conditionalFormatting>
  <conditionalFormatting sqref="D10:D12">
    <cfRule type="cellIs" dxfId="13" priority="13" operator="greaterThanOrEqual">
      <formula>1.03</formula>
    </cfRule>
    <cfRule type="cellIs" dxfId="12" priority="14" operator="lessThanOrEqual">
      <formula>0.97</formula>
    </cfRule>
  </conditionalFormatting>
  <conditionalFormatting sqref="E10:E12">
    <cfRule type="cellIs" dxfId="11" priority="11" operator="greaterThanOrEqual">
      <formula>1.03</formula>
    </cfRule>
    <cfRule type="cellIs" dxfId="10" priority="12" operator="lessThanOrEqual">
      <formula>0.97</formula>
    </cfRule>
  </conditionalFormatting>
  <conditionalFormatting sqref="F10:F12">
    <cfRule type="cellIs" dxfId="9" priority="9" operator="greaterThanOrEqual">
      <formula>1.03</formula>
    </cfRule>
    <cfRule type="cellIs" dxfId="8" priority="10" operator="lessThanOrEqual">
      <formula>0.97</formula>
    </cfRule>
  </conditionalFormatting>
  <conditionalFormatting sqref="G10:G12">
    <cfRule type="cellIs" dxfId="7" priority="7" operator="greaterThanOrEqual">
      <formula>1.03</formula>
    </cfRule>
    <cfRule type="cellIs" dxfId="6" priority="8" operator="lessThanOrEqual">
      <formula>0.97</formula>
    </cfRule>
  </conditionalFormatting>
  <conditionalFormatting sqref="H10:H12">
    <cfRule type="cellIs" dxfId="5" priority="5" operator="greaterThanOrEqual">
      <formula>1.03</formula>
    </cfRule>
    <cfRule type="cellIs" dxfId="4" priority="6" operator="lessThanOrEqual">
      <formula>0.97</formula>
    </cfRule>
  </conditionalFormatting>
  <conditionalFormatting sqref="N5:R9 I5:M12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N10:R12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cp:lastModifiedBy>Jungsun Kim</cp:lastModifiedBy>
  <dcterms:created xsi:type="dcterms:W3CDTF">2018-08-31T19:13:00Z</dcterms:created>
  <dcterms:modified xsi:type="dcterms:W3CDTF">2019-04-22T20:43:47Z</dcterms:modified>
</cp:coreProperties>
</file>