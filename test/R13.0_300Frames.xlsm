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DFBFD9A3-1956-4481-B94C-EC4964D8AF37}" xr6:coauthVersionLast="47" xr6:coauthVersionMax="47" xr10:uidLastSave="{00000000-0000-0000-0000-000000000000}"/>
  <bookViews>
    <workbookView xWindow="1290" yWindow="1725" windowWidth="21600" windowHeight="14295" firstSheet="2"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47" i="7" l="1"/>
  <c r="C47" i="1" s="1"/>
  <c r="BC46" i="7"/>
  <c r="BC47" i="7" s="1"/>
  <c r="BB46" i="7"/>
  <c r="BB47" i="7" s="1"/>
  <c r="BA46" i="7"/>
  <c r="AZ46" i="7"/>
  <c r="AE46" i="7"/>
  <c r="AD46" i="7"/>
  <c r="AC46" i="7"/>
  <c r="AB46" i="7"/>
  <c r="BC44" i="7"/>
  <c r="BB44" i="7"/>
  <c r="BB45" i="7" s="1"/>
  <c r="BA44" i="7"/>
  <c r="AZ44" i="7"/>
  <c r="AZ45" i="7" s="1"/>
  <c r="AE44" i="7"/>
  <c r="AD44" i="7"/>
  <c r="AC44" i="7"/>
  <c r="AB44" i="7"/>
  <c r="BF39" i="7"/>
  <c r="AL39" i="7"/>
  <c r="AK39" i="7"/>
  <c r="AJ39" i="7"/>
  <c r="AI39" i="7"/>
  <c r="AH39" i="7"/>
  <c r="AG39" i="7"/>
  <c r="N39" i="7"/>
  <c r="K39" i="7" s="1"/>
  <c r="M39" i="7"/>
  <c r="L39" i="7"/>
  <c r="J39" i="7"/>
  <c r="I39" i="7"/>
  <c r="BF38" i="7"/>
  <c r="AL38" i="7"/>
  <c r="AK38" i="7"/>
  <c r="AJ38" i="7"/>
  <c r="AI38" i="7"/>
  <c r="AH38" i="7"/>
  <c r="AG38" i="7"/>
  <c r="N38" i="7"/>
  <c r="K38" i="7" s="1"/>
  <c r="M38" i="7"/>
  <c r="L38" i="7"/>
  <c r="J38" i="7"/>
  <c r="I38" i="7"/>
  <c r="BF37" i="7"/>
  <c r="AL37" i="7"/>
  <c r="AK37" i="7"/>
  <c r="AJ37" i="7"/>
  <c r="AH37" i="7"/>
  <c r="AG37" i="7"/>
  <c r="N37" i="7"/>
  <c r="K37" i="7" s="1"/>
  <c r="M37" i="7"/>
  <c r="L37" i="7"/>
  <c r="J37" i="7"/>
  <c r="I37" i="7"/>
  <c r="BF36" i="7"/>
  <c r="AL36" i="7"/>
  <c r="BG36" i="7" s="1"/>
  <c r="AK36" i="7"/>
  <c r="AJ36" i="7"/>
  <c r="AI36" i="7"/>
  <c r="BE36" i="7" s="1"/>
  <c r="AH36" i="7"/>
  <c r="AG36" i="7"/>
  <c r="N36" i="7"/>
  <c r="M36" i="7"/>
  <c r="L36" i="7"/>
  <c r="K36" i="7"/>
  <c r="J36" i="7"/>
  <c r="I36" i="7"/>
  <c r="BF35" i="7"/>
  <c r="AL35" i="7"/>
  <c r="AK35" i="7"/>
  <c r="AJ35" i="7"/>
  <c r="AH35" i="7"/>
  <c r="AG35" i="7"/>
  <c r="N35" i="7"/>
  <c r="M35" i="7"/>
  <c r="L35" i="7"/>
  <c r="J35" i="7"/>
  <c r="I35" i="7"/>
  <c r="BF34" i="7"/>
  <c r="AL34" i="7"/>
  <c r="AK34" i="7"/>
  <c r="AJ34" i="7"/>
  <c r="AI34" i="7"/>
  <c r="AH34" i="7"/>
  <c r="AG34" i="7"/>
  <c r="N34" i="7"/>
  <c r="BG34" i="7" s="1"/>
  <c r="M34" i="7"/>
  <c r="L34" i="7"/>
  <c r="K34" i="7"/>
  <c r="J34" i="7"/>
  <c r="I34" i="7"/>
  <c r="BF33" i="7"/>
  <c r="AL33" i="7"/>
  <c r="AK33" i="7"/>
  <c r="AJ33" i="7"/>
  <c r="AH33" i="7"/>
  <c r="AG33" i="7"/>
  <c r="N33" i="7"/>
  <c r="K33" i="7" s="1"/>
  <c r="M33" i="7"/>
  <c r="L33" i="7"/>
  <c r="J33" i="7"/>
  <c r="I33" i="7"/>
  <c r="BF32" i="7"/>
  <c r="AL32" i="7"/>
  <c r="BG32" i="7" s="1"/>
  <c r="AK32" i="7"/>
  <c r="AJ32" i="7"/>
  <c r="AI32" i="7"/>
  <c r="AH32" i="7"/>
  <c r="AG32" i="7"/>
  <c r="N32" i="7"/>
  <c r="K32" i="7" s="1"/>
  <c r="M32" i="7"/>
  <c r="L32" i="7"/>
  <c r="J32" i="7"/>
  <c r="I32" i="7"/>
  <c r="BF31" i="7"/>
  <c r="AL31" i="7"/>
  <c r="AK31" i="7"/>
  <c r="AJ31" i="7"/>
  <c r="AH31" i="7"/>
  <c r="AG31" i="7"/>
  <c r="N31" i="7"/>
  <c r="K31" i="7" s="1"/>
  <c r="M31" i="7"/>
  <c r="L31" i="7"/>
  <c r="J31" i="7"/>
  <c r="I31" i="7"/>
  <c r="BF30" i="7"/>
  <c r="AL30" i="7"/>
  <c r="AK30" i="7"/>
  <c r="AJ30" i="7"/>
  <c r="AI30" i="7"/>
  <c r="AH30" i="7"/>
  <c r="AG30" i="7"/>
  <c r="N30" i="7"/>
  <c r="K30" i="7" s="1"/>
  <c r="M30" i="7"/>
  <c r="L30" i="7"/>
  <c r="L42" i="7" s="1"/>
  <c r="J30" i="7"/>
  <c r="J42" i="7" s="1"/>
  <c r="I30" i="7"/>
  <c r="BF29" i="7"/>
  <c r="AL29" i="7"/>
  <c r="AK29" i="7"/>
  <c r="AJ29" i="7"/>
  <c r="AH29" i="7"/>
  <c r="AG29" i="7"/>
  <c r="N29" i="7"/>
  <c r="K29" i="7" s="1"/>
  <c r="M29" i="7"/>
  <c r="L29" i="7"/>
  <c r="J29" i="7"/>
  <c r="I29" i="7"/>
  <c r="BF28" i="7"/>
  <c r="AL28" i="7"/>
  <c r="AK28" i="7"/>
  <c r="AJ28" i="7"/>
  <c r="AI28" i="7"/>
  <c r="AH28" i="7"/>
  <c r="AG28" i="7"/>
  <c r="N28" i="7"/>
  <c r="BG28" i="7" s="1"/>
  <c r="M28" i="7"/>
  <c r="L28" i="7"/>
  <c r="K28" i="7"/>
  <c r="J28" i="7"/>
  <c r="I28" i="7"/>
  <c r="BF27" i="7"/>
  <c r="AL27" i="7"/>
  <c r="AK27" i="7"/>
  <c r="AJ27" i="7"/>
  <c r="AH27" i="7"/>
  <c r="AG27" i="7"/>
  <c r="N27" i="7"/>
  <c r="K27" i="7" s="1"/>
  <c r="M27" i="7"/>
  <c r="L27" i="7"/>
  <c r="J27" i="7"/>
  <c r="I27" i="7"/>
  <c r="BF26" i="7"/>
  <c r="AL26" i="7"/>
  <c r="BG26" i="7" s="1"/>
  <c r="AK26" i="7"/>
  <c r="AJ26" i="7"/>
  <c r="AI26" i="7"/>
  <c r="AH26" i="7"/>
  <c r="AG26" i="7"/>
  <c r="N26" i="7"/>
  <c r="K26" i="7" s="1"/>
  <c r="M26" i="7"/>
  <c r="L26" i="7"/>
  <c r="J26" i="7"/>
  <c r="I26" i="7"/>
  <c r="BF25" i="7"/>
  <c r="AL25" i="7"/>
  <c r="AK25" i="7"/>
  <c r="AJ25" i="7"/>
  <c r="AJ41" i="7" s="1"/>
  <c r="AH25" i="7"/>
  <c r="AH41" i="7" s="1"/>
  <c r="AG25" i="7"/>
  <c r="N25" i="7"/>
  <c r="M25" i="7"/>
  <c r="L25" i="7"/>
  <c r="J25" i="7"/>
  <c r="I25" i="7"/>
  <c r="BF24" i="7"/>
  <c r="AL24" i="7"/>
  <c r="BG24" i="7" s="1"/>
  <c r="AK24" i="7"/>
  <c r="AJ24" i="7"/>
  <c r="AI24" i="7"/>
  <c r="AH24" i="7"/>
  <c r="AG24" i="7"/>
  <c r="N24" i="7"/>
  <c r="M24" i="7"/>
  <c r="L24" i="7"/>
  <c r="K24" i="7"/>
  <c r="J24" i="7"/>
  <c r="I24" i="7"/>
  <c r="BF23" i="7"/>
  <c r="AL23" i="7"/>
  <c r="BH20" i="7" s="1" a="1"/>
  <c r="AK23" i="7"/>
  <c r="AJ23" i="7"/>
  <c r="AH23" i="7"/>
  <c r="AG23" i="7"/>
  <c r="N23" i="7"/>
  <c r="K23" i="7" s="1"/>
  <c r="M23" i="7"/>
  <c r="L23" i="7"/>
  <c r="J23" i="7"/>
  <c r="I23" i="7"/>
  <c r="BF22" i="7"/>
  <c r="AL22" i="7"/>
  <c r="BG22" i="7" s="1"/>
  <c r="AK22" i="7"/>
  <c r="AJ22" i="7"/>
  <c r="AH22" i="7"/>
  <c r="AG22" i="7"/>
  <c r="N22" i="7"/>
  <c r="M22" i="7"/>
  <c r="L22" i="7"/>
  <c r="K22" i="7"/>
  <c r="J22" i="7"/>
  <c r="I22" i="7"/>
  <c r="BF21" i="7"/>
  <c r="AL21" i="7"/>
  <c r="AK21" i="7"/>
  <c r="AJ21" i="7"/>
  <c r="AH21" i="7"/>
  <c r="AG21" i="7"/>
  <c r="N21" i="7"/>
  <c r="K21" i="7" s="1"/>
  <c r="M21" i="7"/>
  <c r="L21" i="7"/>
  <c r="J21" i="7"/>
  <c r="I21" i="7"/>
  <c r="BF20" i="7"/>
  <c r="AL20" i="7"/>
  <c r="AI20" i="7" s="1"/>
  <c r="AK20" i="7"/>
  <c r="AJ20" i="7"/>
  <c r="AH20" i="7"/>
  <c r="AG20" i="7"/>
  <c r="N20" i="7"/>
  <c r="BG20" i="7" s="1"/>
  <c r="M20" i="7"/>
  <c r="L20" i="7"/>
  <c r="K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K16" i="7"/>
  <c r="AJ16" i="7"/>
  <c r="AI16" i="7"/>
  <c r="AH16" i="7"/>
  <c r="AG16" i="7"/>
  <c r="N16" i="7"/>
  <c r="K16" i="7" s="1"/>
  <c r="M16" i="7"/>
  <c r="L16" i="7"/>
  <c r="J16" i="7"/>
  <c r="I16" i="7"/>
  <c r="BF15" i="7"/>
  <c r="AL15" i="7"/>
  <c r="AK15" i="7"/>
  <c r="AJ15" i="7"/>
  <c r="AH15" i="7"/>
  <c r="AG15" i="7"/>
  <c r="N15" i="7"/>
  <c r="M15" i="7"/>
  <c r="L15" i="7"/>
  <c r="J15" i="7"/>
  <c r="I15" i="7"/>
  <c r="BF14" i="7"/>
  <c r="AL14" i="7"/>
  <c r="AK14" i="7"/>
  <c r="AJ14" i="7"/>
  <c r="AI14" i="7"/>
  <c r="AH14" i="7"/>
  <c r="AG14" i="7"/>
  <c r="N14" i="7"/>
  <c r="K14" i="7" s="1"/>
  <c r="M14" i="7"/>
  <c r="L14" i="7"/>
  <c r="J14" i="7"/>
  <c r="I14" i="7"/>
  <c r="BF13" i="7"/>
  <c r="AL13" i="7"/>
  <c r="AK13" i="7"/>
  <c r="AJ13" i="7"/>
  <c r="AH13" i="7"/>
  <c r="AG13" i="7"/>
  <c r="N13" i="7"/>
  <c r="K13" i="7" s="1"/>
  <c r="M13" i="7"/>
  <c r="L13" i="7"/>
  <c r="J13" i="7"/>
  <c r="I13" i="7"/>
  <c r="BF12" i="7"/>
  <c r="AL12" i="7"/>
  <c r="AK12" i="7"/>
  <c r="AJ12" i="7"/>
  <c r="AI12" i="7"/>
  <c r="BE12" i="7" s="1"/>
  <c r="AH12" i="7"/>
  <c r="AG12" i="7"/>
  <c r="N12" i="7"/>
  <c r="BG12" i="7" s="1"/>
  <c r="M12" i="7"/>
  <c r="L12" i="7"/>
  <c r="K12" i="7"/>
  <c r="J12" i="7"/>
  <c r="I12" i="7"/>
  <c r="BF11" i="7"/>
  <c r="AL11" i="7"/>
  <c r="AK11" i="7"/>
  <c r="AJ11" i="7"/>
  <c r="AH11" i="7"/>
  <c r="AG11" i="7"/>
  <c r="N11" i="7"/>
  <c r="K11" i="7" s="1"/>
  <c r="M11" i="7"/>
  <c r="L11" i="7"/>
  <c r="J11" i="7"/>
  <c r="I11" i="7"/>
  <c r="BF10" i="7"/>
  <c r="AL10" i="7"/>
  <c r="AK10" i="7"/>
  <c r="AJ10" i="7"/>
  <c r="AI10" i="7"/>
  <c r="AH10" i="7"/>
  <c r="AG10" i="7"/>
  <c r="N10" i="7"/>
  <c r="K10" i="7" s="1"/>
  <c r="M10" i="7"/>
  <c r="L10" i="7"/>
  <c r="J10" i="7"/>
  <c r="I10" i="7"/>
  <c r="BF9" i="7"/>
  <c r="AL9" i="7"/>
  <c r="AK9" i="7"/>
  <c r="AJ9" i="7"/>
  <c r="AH9" i="7"/>
  <c r="AG9" i="7"/>
  <c r="N9" i="7"/>
  <c r="K9" i="7" s="1"/>
  <c r="M9" i="7"/>
  <c r="L9" i="7"/>
  <c r="J9" i="7"/>
  <c r="I9" i="7"/>
  <c r="BG8" i="7"/>
  <c r="BF8" i="7"/>
  <c r="AL8" i="7"/>
  <c r="AK8" i="7"/>
  <c r="AJ8" i="7"/>
  <c r="AI8" i="7"/>
  <c r="AH8" i="7"/>
  <c r="AG8" i="7"/>
  <c r="N8" i="7"/>
  <c r="K8" i="7" s="1"/>
  <c r="M8" i="7"/>
  <c r="L8" i="7"/>
  <c r="J8" i="7"/>
  <c r="I8" i="7"/>
  <c r="BF7" i="7"/>
  <c r="AL7" i="7"/>
  <c r="AK7" i="7"/>
  <c r="AJ7" i="7"/>
  <c r="AH7" i="7"/>
  <c r="AG7" i="7"/>
  <c r="N7" i="7"/>
  <c r="K7" i="7" s="1"/>
  <c r="M7" i="7"/>
  <c r="L7" i="7"/>
  <c r="J7" i="7"/>
  <c r="I7" i="7"/>
  <c r="BF6" i="7"/>
  <c r="AL6" i="7"/>
  <c r="AK6" i="7"/>
  <c r="AJ6" i="7"/>
  <c r="AI6" i="7"/>
  <c r="AH6" i="7"/>
  <c r="AG6" i="7"/>
  <c r="N6" i="7"/>
  <c r="K6" i="7" s="1"/>
  <c r="M6" i="7"/>
  <c r="L6" i="7"/>
  <c r="J6" i="7"/>
  <c r="I6" i="7"/>
  <c r="BF5" i="7"/>
  <c r="AL5" i="7"/>
  <c r="AK5" i="7"/>
  <c r="AJ5" i="7"/>
  <c r="AI5" i="7"/>
  <c r="AH5" i="7"/>
  <c r="AG5" i="7"/>
  <c r="N5" i="7"/>
  <c r="M5" i="7"/>
  <c r="L5" i="7"/>
  <c r="J5" i="7"/>
  <c r="I5" i="7"/>
  <c r="AG1" i="7"/>
  <c r="I1" i="7"/>
  <c r="AZ19" i="6"/>
  <c r="AZ18" i="6"/>
  <c r="AY18" i="6"/>
  <c r="AX18" i="6"/>
  <c r="AW18" i="6"/>
  <c r="AC18" i="6"/>
  <c r="AB18" i="6"/>
  <c r="AY19" i="6" s="1"/>
  <c r="AA18" i="6"/>
  <c r="AX19" i="6" s="1"/>
  <c r="Z18" i="6"/>
  <c r="AW19" i="6" s="1"/>
  <c r="AW17" i="6"/>
  <c r="AZ16" i="6"/>
  <c r="AY16" i="6"/>
  <c r="AY17" i="6" s="1"/>
  <c r="AX16" i="6"/>
  <c r="AW16" i="6"/>
  <c r="AC16" i="6"/>
  <c r="AB16" i="6"/>
  <c r="AA16" i="6"/>
  <c r="Z16" i="6"/>
  <c r="AJ13" i="6"/>
  <c r="AI13" i="6"/>
  <c r="AG13" i="6"/>
  <c r="BG11" i="6" a="1"/>
  <c r="AK11" i="6"/>
  <c r="AH11" i="6" s="1"/>
  <c r="AJ11" i="6"/>
  <c r="AI11" i="6"/>
  <c r="AG11" i="6"/>
  <c r="AF11" i="6"/>
  <c r="AE11" i="6"/>
  <c r="N11" i="6"/>
  <c r="K11" i="6" s="1"/>
  <c r="M11" i="6"/>
  <c r="L11" i="6"/>
  <c r="J11" i="6"/>
  <c r="I11" i="6"/>
  <c r="H11" i="6"/>
  <c r="BG10" i="6" a="1"/>
  <c r="AK10" i="6"/>
  <c r="AH10" i="6" s="1"/>
  <c r="AJ10" i="6"/>
  <c r="AI10" i="6"/>
  <c r="AG10" i="6"/>
  <c r="AF10" i="6"/>
  <c r="AE10" i="6"/>
  <c r="N10" i="6"/>
  <c r="K10" i="6" s="1"/>
  <c r="M10" i="6"/>
  <c r="L10" i="6"/>
  <c r="J10" i="6"/>
  <c r="I10" i="6"/>
  <c r="H10" i="6"/>
  <c r="AK9" i="6"/>
  <c r="AH9" i="6" s="1"/>
  <c r="AH13" i="6" s="1"/>
  <c r="AJ9" i="6"/>
  <c r="AI9" i="6"/>
  <c r="AG9" i="6"/>
  <c r="AF9" i="6"/>
  <c r="AE9" i="6"/>
  <c r="N9" i="6"/>
  <c r="K9" i="6" s="1"/>
  <c r="M9" i="6"/>
  <c r="M13" i="6" s="1"/>
  <c r="L9" i="6"/>
  <c r="BD9" i="6" s="1"/>
  <c r="J9" i="6"/>
  <c r="BB9" i="6" s="1"/>
  <c r="I9" i="6"/>
  <c r="H9" i="6"/>
  <c r="AK8" i="6"/>
  <c r="AJ8" i="6"/>
  <c r="AI8" i="6"/>
  <c r="AG8" i="6"/>
  <c r="AF8" i="6"/>
  <c r="AE8" i="6"/>
  <c r="N8" i="6"/>
  <c r="K8" i="6" s="1"/>
  <c r="M8" i="6"/>
  <c r="L8" i="6"/>
  <c r="J8" i="6"/>
  <c r="BB8" i="6" s="1"/>
  <c r="I8" i="6"/>
  <c r="H8" i="6"/>
  <c r="BG7" i="6" a="1"/>
  <c r="AK7" i="6"/>
  <c r="AH7" i="6" s="1"/>
  <c r="AJ7" i="6"/>
  <c r="AI7" i="6"/>
  <c r="AG7" i="6"/>
  <c r="AF7" i="6"/>
  <c r="AE7" i="6"/>
  <c r="N7" i="6"/>
  <c r="K7" i="6" s="1"/>
  <c r="M7" i="6"/>
  <c r="L7" i="6"/>
  <c r="BD7" i="6" s="1"/>
  <c r="J7" i="6"/>
  <c r="I7" i="6"/>
  <c r="H7" i="6"/>
  <c r="AK6" i="6"/>
  <c r="AH6" i="6" s="1"/>
  <c r="AJ6" i="6"/>
  <c r="AI6" i="6"/>
  <c r="AG6" i="6"/>
  <c r="AF6" i="6"/>
  <c r="AE6" i="6"/>
  <c r="N6" i="6"/>
  <c r="K6" i="6" s="1"/>
  <c r="M6" i="6"/>
  <c r="BE6" i="6" s="1"/>
  <c r="L6" i="6"/>
  <c r="J6" i="6"/>
  <c r="I6" i="6"/>
  <c r="H6" i="6"/>
  <c r="AK5" i="6"/>
  <c r="AJ5" i="6"/>
  <c r="AI5" i="6"/>
  <c r="AH5" i="6"/>
  <c r="AG5" i="6"/>
  <c r="AF5" i="6"/>
  <c r="AE5" i="6"/>
  <c r="N5" i="6"/>
  <c r="BG5" i="6" s="1" a="1"/>
  <c r="BG5" i="6" s="1"/>
  <c r="M5" i="6"/>
  <c r="L5" i="6"/>
  <c r="J5" i="6"/>
  <c r="I5" i="6"/>
  <c r="H5" i="6"/>
  <c r="AE1" i="6"/>
  <c r="H1" i="6"/>
  <c r="AZ18" i="5"/>
  <c r="AY18" i="5"/>
  <c r="AY19" i="5" s="1"/>
  <c r="AX18" i="5"/>
  <c r="AX19" i="5" s="1"/>
  <c r="AW18" i="5"/>
  <c r="AW19" i="5" s="1"/>
  <c r="AC18" i="5"/>
  <c r="AB18" i="5"/>
  <c r="AA18" i="5"/>
  <c r="Z18" i="5"/>
  <c r="AZ16" i="5"/>
  <c r="AY16" i="5"/>
  <c r="AX16" i="5"/>
  <c r="AW16" i="5"/>
  <c r="AC16" i="5"/>
  <c r="AB16" i="5"/>
  <c r="AA16" i="5"/>
  <c r="Z16" i="5"/>
  <c r="BG11" i="5" a="1"/>
  <c r="AK11" i="5"/>
  <c r="AH11" i="5" s="1"/>
  <c r="AJ11" i="5"/>
  <c r="BE11" i="5" s="1"/>
  <c r="AI11" i="5"/>
  <c r="BD11" i="5" s="1"/>
  <c r="AG11" i="5"/>
  <c r="BB11" i="5" s="1"/>
  <c r="AF11" i="5"/>
  <c r="AE11" i="5"/>
  <c r="N11" i="5"/>
  <c r="K11" i="5" s="1"/>
  <c r="M11" i="5"/>
  <c r="L11" i="5"/>
  <c r="J11" i="5"/>
  <c r="I11" i="5"/>
  <c r="H11" i="5"/>
  <c r="AK10" i="5"/>
  <c r="AJ10" i="5"/>
  <c r="AJ14" i="5" s="1"/>
  <c r="AI10" i="5"/>
  <c r="BD10" i="5" s="1"/>
  <c r="AH10" i="5"/>
  <c r="AH14" i="5" s="1"/>
  <c r="AG10" i="5"/>
  <c r="AG14" i="5" s="1"/>
  <c r="AF10" i="5"/>
  <c r="AE10" i="5"/>
  <c r="N10" i="5"/>
  <c r="BG10" i="5" s="1" a="1"/>
  <c r="BG10" i="5" s="1"/>
  <c r="M10" i="5"/>
  <c r="L10" i="5"/>
  <c r="L14" i="5" s="1"/>
  <c r="J10" i="5"/>
  <c r="J14" i="5" s="1"/>
  <c r="I10" i="5"/>
  <c r="H10" i="5"/>
  <c r="AK9" i="5"/>
  <c r="BG9" i="5" s="1" a="1"/>
  <c r="AJ9" i="5"/>
  <c r="AJ13" i="5" s="1"/>
  <c r="AI9" i="5"/>
  <c r="AG9" i="5"/>
  <c r="AG13" i="5" s="1"/>
  <c r="AF9" i="5"/>
  <c r="AE9" i="5"/>
  <c r="N9" i="5"/>
  <c r="K9" i="5" s="1"/>
  <c r="K13" i="5" s="1"/>
  <c r="M9" i="5"/>
  <c r="M13" i="5" s="1"/>
  <c r="L9" i="5"/>
  <c r="L13" i="5" s="1"/>
  <c r="J9" i="5"/>
  <c r="J13" i="5" s="1"/>
  <c r="I9" i="5"/>
  <c r="H9" i="5"/>
  <c r="BG8" i="5" a="1"/>
  <c r="AK8" i="5"/>
  <c r="BF8" i="5" s="1"/>
  <c r="AJ8" i="5"/>
  <c r="AI8" i="5"/>
  <c r="AG8" i="5"/>
  <c r="AF8" i="5"/>
  <c r="AE8" i="5"/>
  <c r="N8" i="5"/>
  <c r="K8" i="5" s="1"/>
  <c r="M8" i="5"/>
  <c r="L8" i="5"/>
  <c r="J8" i="5"/>
  <c r="I8" i="5"/>
  <c r="H8" i="5"/>
  <c r="BF7" i="5"/>
  <c r="AK7" i="5"/>
  <c r="AH7" i="5" s="1"/>
  <c r="AJ7" i="5"/>
  <c r="AI7" i="5"/>
  <c r="AG7" i="5"/>
  <c r="AF7" i="5"/>
  <c r="AE7" i="5"/>
  <c r="N7" i="5"/>
  <c r="K7" i="5" s="1"/>
  <c r="M7" i="5"/>
  <c r="L7" i="5"/>
  <c r="J7" i="5"/>
  <c r="I7" i="5"/>
  <c r="H7" i="5"/>
  <c r="AK6" i="5"/>
  <c r="AJ6" i="5"/>
  <c r="AI6" i="5"/>
  <c r="AH6" i="5"/>
  <c r="AG6" i="5"/>
  <c r="AF6" i="5"/>
  <c r="AE6" i="5"/>
  <c r="N6" i="5"/>
  <c r="BG6" i="5" s="1" a="1"/>
  <c r="M6" i="5"/>
  <c r="L6" i="5"/>
  <c r="J6" i="5"/>
  <c r="I6" i="5"/>
  <c r="H6" i="5"/>
  <c r="AK5" i="5"/>
  <c r="BG5" i="5" s="1" a="1"/>
  <c r="AJ5" i="5"/>
  <c r="AJ12" i="5" s="1"/>
  <c r="AI5" i="5"/>
  <c r="AG5" i="5"/>
  <c r="AF5" i="5"/>
  <c r="AE5" i="5"/>
  <c r="N5" i="5"/>
  <c r="K5" i="5" s="1"/>
  <c r="M5" i="5"/>
  <c r="L5" i="5"/>
  <c r="J5" i="5"/>
  <c r="I5" i="5"/>
  <c r="H5" i="5"/>
  <c r="AE1" i="5"/>
  <c r="H1" i="5"/>
  <c r="BC46" i="3"/>
  <c r="BB46" i="3"/>
  <c r="BA46" i="3"/>
  <c r="AZ46" i="3"/>
  <c r="AZ47" i="3" s="1"/>
  <c r="AE46" i="3"/>
  <c r="AD46" i="3"/>
  <c r="BB47" i="3" s="1"/>
  <c r="AC46" i="3"/>
  <c r="BA47" i="3" s="1"/>
  <c r="AB46" i="3"/>
  <c r="BC44" i="3"/>
  <c r="BB44" i="3"/>
  <c r="BA44" i="3"/>
  <c r="AZ44" i="3"/>
  <c r="AE44" i="3"/>
  <c r="AD44" i="3"/>
  <c r="BB45" i="3" s="1"/>
  <c r="AC44" i="3"/>
  <c r="AB44" i="3"/>
  <c r="BF39" i="3"/>
  <c r="AL39" i="3"/>
  <c r="AI39" i="3" s="1"/>
  <c r="AK39" i="3"/>
  <c r="AJ39" i="3"/>
  <c r="AH39" i="3"/>
  <c r="AG39" i="3"/>
  <c r="N39" i="3"/>
  <c r="M39" i="3"/>
  <c r="L39" i="3"/>
  <c r="K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J35" i="3"/>
  <c r="I35" i="3"/>
  <c r="BF34" i="3"/>
  <c r="AL34" i="3"/>
  <c r="AI34" i="3" s="1"/>
  <c r="AK34" i="3"/>
  <c r="AJ34" i="3"/>
  <c r="AH34" i="3"/>
  <c r="AG34" i="3"/>
  <c r="N34" i="3"/>
  <c r="K34" i="3" s="1"/>
  <c r="M34" i="3"/>
  <c r="L34" i="3"/>
  <c r="J34" i="3"/>
  <c r="I34" i="3"/>
  <c r="BF33" i="3"/>
  <c r="AL33" i="3"/>
  <c r="AI33" i="3" s="1"/>
  <c r="AK33" i="3"/>
  <c r="AJ33" i="3"/>
  <c r="AH33" i="3"/>
  <c r="AG33" i="3"/>
  <c r="N33" i="3"/>
  <c r="M33" i="3"/>
  <c r="L33" i="3"/>
  <c r="K33" i="3"/>
  <c r="J33" i="3"/>
  <c r="I33" i="3"/>
  <c r="BF32" i="3"/>
  <c r="AL32" i="3"/>
  <c r="AI32" i="3" s="1"/>
  <c r="AK32" i="3"/>
  <c r="AJ32" i="3"/>
  <c r="AH32" i="3"/>
  <c r="AG32" i="3"/>
  <c r="N32" i="3"/>
  <c r="K32" i="3" s="1"/>
  <c r="M32" i="3"/>
  <c r="L32" i="3"/>
  <c r="J32" i="3"/>
  <c r="I32" i="3"/>
  <c r="BF31" i="3"/>
  <c r="AL31" i="3"/>
  <c r="AK31" i="3"/>
  <c r="AJ31" i="3"/>
  <c r="AI31" i="3"/>
  <c r="AH31" i="3"/>
  <c r="AG31" i="3"/>
  <c r="N31" i="3"/>
  <c r="M31" i="3"/>
  <c r="L31" i="3"/>
  <c r="J31" i="3"/>
  <c r="I31" i="3"/>
  <c r="BF30" i="3"/>
  <c r="AL30" i="3"/>
  <c r="AK30" i="3"/>
  <c r="AJ30" i="3"/>
  <c r="AH30" i="3"/>
  <c r="AG30" i="3"/>
  <c r="N30" i="3"/>
  <c r="K30" i="3" s="1"/>
  <c r="M30" i="3"/>
  <c r="L30" i="3"/>
  <c r="L42" i="3" s="1"/>
  <c r="J30" i="3"/>
  <c r="I30" i="3"/>
  <c r="BF29" i="3"/>
  <c r="AL29" i="3"/>
  <c r="AK29" i="3"/>
  <c r="AJ29" i="3"/>
  <c r="AI29" i="3"/>
  <c r="AH29" i="3"/>
  <c r="AG29" i="3"/>
  <c r="N29" i="3"/>
  <c r="K29" i="3" s="1"/>
  <c r="M29" i="3"/>
  <c r="L29" i="3"/>
  <c r="J29" i="3"/>
  <c r="I29" i="3"/>
  <c r="BF28" i="3"/>
  <c r="AL28" i="3"/>
  <c r="AI28" i="3" s="1"/>
  <c r="AK28" i="3"/>
  <c r="AJ28" i="3"/>
  <c r="AH28" i="3"/>
  <c r="AG28" i="3"/>
  <c r="N28" i="3"/>
  <c r="K28" i="3" s="1"/>
  <c r="M28" i="3"/>
  <c r="M41" i="3" s="1"/>
  <c r="L28" i="3"/>
  <c r="J28" i="3"/>
  <c r="I28" i="3"/>
  <c r="BF27" i="3"/>
  <c r="AL27" i="3"/>
  <c r="AK27" i="3"/>
  <c r="AJ27" i="3"/>
  <c r="AI27" i="3"/>
  <c r="AH27" i="3"/>
  <c r="AG27" i="3"/>
  <c r="N27" i="3"/>
  <c r="K27" i="3" s="1"/>
  <c r="M27" i="3"/>
  <c r="L27" i="3"/>
  <c r="J27" i="3"/>
  <c r="I27" i="3"/>
  <c r="BF26" i="3"/>
  <c r="AL26" i="3"/>
  <c r="BG26" i="3" s="1"/>
  <c r="AK26" i="3"/>
  <c r="AJ26" i="3"/>
  <c r="AH26" i="3"/>
  <c r="AG26" i="3"/>
  <c r="N26" i="3"/>
  <c r="K26" i="3" s="1"/>
  <c r="M26" i="3"/>
  <c r="L26" i="3"/>
  <c r="J26" i="3"/>
  <c r="I26" i="3"/>
  <c r="BF25" i="3"/>
  <c r="AL25" i="3"/>
  <c r="BH25" i="3" s="1" a="1"/>
  <c r="AK25" i="3"/>
  <c r="AK41" i="3" s="1"/>
  <c r="AJ25" i="3"/>
  <c r="AH25" i="3"/>
  <c r="AG25" i="3"/>
  <c r="N25" i="3"/>
  <c r="K25" i="3" s="1"/>
  <c r="K41" i="3" s="1"/>
  <c r="M25" i="3"/>
  <c r="L25" i="3"/>
  <c r="L41" i="3" s="1"/>
  <c r="J25" i="3"/>
  <c r="I25" i="3"/>
  <c r="BF24" i="3"/>
  <c r="AL24" i="3"/>
  <c r="AI24" i="3" s="1"/>
  <c r="AK24" i="3"/>
  <c r="AJ24" i="3"/>
  <c r="AH24" i="3"/>
  <c r="AG24" i="3"/>
  <c r="N24" i="3"/>
  <c r="K24" i="3" s="1"/>
  <c r="M24" i="3"/>
  <c r="L24" i="3"/>
  <c r="J24" i="3"/>
  <c r="I24" i="3"/>
  <c r="BF23" i="3"/>
  <c r="AL23" i="3"/>
  <c r="AK23" i="3"/>
  <c r="AJ23" i="3"/>
  <c r="AI23" i="3"/>
  <c r="AH23" i="3"/>
  <c r="AG23" i="3"/>
  <c r="N23" i="3"/>
  <c r="BG23" i="3" s="1"/>
  <c r="M23" i="3"/>
  <c r="L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K20" i="3" s="1"/>
  <c r="M20" i="3"/>
  <c r="L20" i="3"/>
  <c r="J20" i="3"/>
  <c r="I20" i="3"/>
  <c r="BF19" i="3"/>
  <c r="AL19" i="3"/>
  <c r="AK19" i="3"/>
  <c r="AJ19" i="3"/>
  <c r="AI19" i="3"/>
  <c r="AH19" i="3"/>
  <c r="AG19" i="3"/>
  <c r="N19" i="3"/>
  <c r="BG19" i="3" s="1"/>
  <c r="M19" i="3"/>
  <c r="L19" i="3"/>
  <c r="J19" i="3"/>
  <c r="I19" i="3"/>
  <c r="BF18" i="3"/>
  <c r="AL18" i="3"/>
  <c r="AK18" i="3"/>
  <c r="AJ18" i="3"/>
  <c r="AH18" i="3"/>
  <c r="AG18" i="3"/>
  <c r="N18" i="3"/>
  <c r="K18" i="3" s="1"/>
  <c r="M18" i="3"/>
  <c r="L18" i="3"/>
  <c r="J18" i="3"/>
  <c r="I18" i="3"/>
  <c r="BF17" i="3"/>
  <c r="AL17" i="3"/>
  <c r="AK17" i="3"/>
  <c r="AJ17" i="3"/>
  <c r="AI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M15" i="3"/>
  <c r="L15" i="3"/>
  <c r="J15" i="3"/>
  <c r="I15" i="3"/>
  <c r="BF14" i="3"/>
  <c r="AL14" i="3"/>
  <c r="BG14" i="3" s="1"/>
  <c r="AK14" i="3"/>
  <c r="AJ14" i="3"/>
  <c r="AH14" i="3"/>
  <c r="AG14" i="3"/>
  <c r="N14" i="3"/>
  <c r="K14" i="3" s="1"/>
  <c r="M14" i="3"/>
  <c r="L14" i="3"/>
  <c r="J14" i="3"/>
  <c r="I14" i="3"/>
  <c r="BF13" i="3"/>
  <c r="AL13" i="3"/>
  <c r="AI13" i="3" s="1"/>
  <c r="AK13" i="3"/>
  <c r="AJ13" i="3"/>
  <c r="AH13" i="3"/>
  <c r="AG13" i="3"/>
  <c r="N13" i="3"/>
  <c r="M13" i="3"/>
  <c r="L13" i="3"/>
  <c r="K13" i="3"/>
  <c r="J13" i="3"/>
  <c r="I13" i="3"/>
  <c r="BF12" i="3"/>
  <c r="AL12" i="3"/>
  <c r="AI12" i="3" s="1"/>
  <c r="BE12" i="3" s="1"/>
  <c r="AK12" i="3"/>
  <c r="AJ12" i="3"/>
  <c r="AH12" i="3"/>
  <c r="AG12" i="3"/>
  <c r="N12" i="3"/>
  <c r="K12" i="3" s="1"/>
  <c r="M12" i="3"/>
  <c r="L12" i="3"/>
  <c r="J12" i="3"/>
  <c r="I12" i="3"/>
  <c r="BF11" i="3"/>
  <c r="AL11" i="3"/>
  <c r="AI11" i="3" s="1"/>
  <c r="AK11" i="3"/>
  <c r="AJ11" i="3"/>
  <c r="AH11" i="3"/>
  <c r="AG11" i="3"/>
  <c r="N11" i="3"/>
  <c r="M11" i="3"/>
  <c r="L11" i="3"/>
  <c r="J11" i="3"/>
  <c r="I11" i="3"/>
  <c r="BF10" i="3"/>
  <c r="AL10" i="3"/>
  <c r="AI10" i="3" s="1"/>
  <c r="BE10" i="3" s="1"/>
  <c r="AK10" i="3"/>
  <c r="AJ10" i="3"/>
  <c r="AH10" i="3"/>
  <c r="AG10" i="3"/>
  <c r="N10" i="3"/>
  <c r="K10" i="3" s="1"/>
  <c r="M10" i="3"/>
  <c r="L10" i="3"/>
  <c r="J10" i="3"/>
  <c r="I10" i="3"/>
  <c r="BF9" i="3"/>
  <c r="AL9" i="3"/>
  <c r="AI9" i="3" s="1"/>
  <c r="AK9" i="3"/>
  <c r="AJ9" i="3"/>
  <c r="AH9" i="3"/>
  <c r="AG9" i="3"/>
  <c r="N9" i="3"/>
  <c r="M9" i="3"/>
  <c r="L9" i="3"/>
  <c r="K9" i="3"/>
  <c r="J9" i="3"/>
  <c r="I9" i="3"/>
  <c r="BG8" i="3"/>
  <c r="BF8" i="3"/>
  <c r="AL8" i="3"/>
  <c r="AI8" i="3" s="1"/>
  <c r="BE8" i="3" s="1"/>
  <c r="AK8" i="3"/>
  <c r="AJ8" i="3"/>
  <c r="AH8" i="3"/>
  <c r="AG8" i="3"/>
  <c r="N8" i="3"/>
  <c r="M8" i="3"/>
  <c r="L8" i="3"/>
  <c r="K8" i="3"/>
  <c r="J8" i="3"/>
  <c r="I8" i="3"/>
  <c r="BF7" i="3"/>
  <c r="AL7" i="3"/>
  <c r="AI7" i="3" s="1"/>
  <c r="AK7" i="3"/>
  <c r="AJ7" i="3"/>
  <c r="AH7" i="3"/>
  <c r="AG7" i="3"/>
  <c r="N7" i="3"/>
  <c r="M7" i="3"/>
  <c r="L7" i="3"/>
  <c r="J7" i="3"/>
  <c r="I7" i="3"/>
  <c r="BF6" i="3"/>
  <c r="AL6" i="3"/>
  <c r="AI6" i="3" s="1"/>
  <c r="BE6" i="3" s="1"/>
  <c r="AK6" i="3"/>
  <c r="AJ6" i="3"/>
  <c r="AH6" i="3"/>
  <c r="AG6" i="3"/>
  <c r="N6" i="3"/>
  <c r="K6" i="3" s="1"/>
  <c r="M6" i="3"/>
  <c r="L6" i="3"/>
  <c r="J6" i="3"/>
  <c r="I6" i="3"/>
  <c r="BG5" i="3"/>
  <c r="BF5" i="3"/>
  <c r="AL5" i="3"/>
  <c r="AI5" i="3" s="1"/>
  <c r="AK5" i="3"/>
  <c r="AJ5" i="3"/>
  <c r="AJ40" i="3" s="1"/>
  <c r="AH5" i="3"/>
  <c r="AG5" i="3"/>
  <c r="N5" i="3"/>
  <c r="M5" i="3"/>
  <c r="L5" i="3"/>
  <c r="K5" i="3"/>
  <c r="J5" i="3"/>
  <c r="J43" i="3" s="1"/>
  <c r="I5" i="3"/>
  <c r="AG1" i="3"/>
  <c r="I1" i="3"/>
  <c r="B2" i="2"/>
  <c r="B1" i="2"/>
  <c r="C13" i="1"/>
  <c r="BN35" i="7"/>
  <c r="BJ25" i="7"/>
  <c r="BS10" i="7"/>
  <c r="BT5" i="7"/>
  <c r="BR35" i="3"/>
  <c r="BN30" i="3"/>
  <c r="BL25" i="3"/>
  <c r="BQ15" i="3"/>
  <c r="BQ10" i="3"/>
  <c r="BN5" i="3"/>
  <c r="BR30" i="3"/>
  <c r="BT35" i="3"/>
  <c r="BP30" i="3"/>
  <c r="BM35" i="7"/>
  <c r="BR10" i="7"/>
  <c r="BS5" i="7"/>
  <c r="BQ35" i="3"/>
  <c r="BJ35" i="3"/>
  <c r="BM30" i="3"/>
  <c r="BT20" i="3"/>
  <c r="BP15" i="3"/>
  <c r="BP10" i="3"/>
  <c r="BM5" i="3"/>
  <c r="BP25" i="3"/>
  <c r="BQ30" i="3"/>
  <c r="BT10" i="7"/>
  <c r="BJ5" i="3"/>
  <c r="BL35" i="7"/>
  <c r="BT20" i="7"/>
  <c r="BT15" i="7"/>
  <c r="BQ10" i="7"/>
  <c r="BR5" i="7"/>
  <c r="BP35" i="3"/>
  <c r="BL30" i="3"/>
  <c r="BS20" i="3"/>
  <c r="BN15" i="3"/>
  <c r="BN10" i="3"/>
  <c r="BL5" i="3"/>
  <c r="BL15" i="7"/>
  <c r="BQ35" i="7"/>
  <c r="BS35" i="3"/>
  <c r="BS20" i="7"/>
  <c r="BS15" i="7"/>
  <c r="BP10" i="7"/>
  <c r="BQ5" i="7"/>
  <c r="BN35" i="3"/>
  <c r="BR20" i="3"/>
  <c r="BM15" i="3"/>
  <c r="BJ15" i="3"/>
  <c r="BM10" i="3"/>
  <c r="BQ5" i="3"/>
  <c r="BT30" i="7"/>
  <c r="BT25" i="7"/>
  <c r="BR20" i="7"/>
  <c r="BR15" i="7"/>
  <c r="BN10" i="7"/>
  <c r="BJ10" i="7"/>
  <c r="BP5" i="7"/>
  <c r="BM35" i="3"/>
  <c r="BQ20" i="3"/>
  <c r="BK20" i="3"/>
  <c r="BL15" i="3"/>
  <c r="BL10" i="3"/>
  <c r="BR10" i="3"/>
  <c r="BS30" i="7"/>
  <c r="BS25" i="7"/>
  <c r="BQ20" i="7"/>
  <c r="BQ15" i="7"/>
  <c r="BM10" i="7"/>
  <c r="BN5" i="7"/>
  <c r="BL35" i="3"/>
  <c r="BT25" i="3"/>
  <c r="BP20" i="3"/>
  <c r="BK15" i="3"/>
  <c r="BL20" i="7"/>
  <c r="BN25" i="3"/>
  <c r="BL25" i="7"/>
  <c r="BR30" i="7"/>
  <c r="BR25" i="7"/>
  <c r="BP20" i="7"/>
  <c r="BK20" i="7"/>
  <c r="BP15" i="7"/>
  <c r="BL10" i="7"/>
  <c r="BM5" i="7"/>
  <c r="BS25" i="3"/>
  <c r="BN20" i="3"/>
  <c r="BN25" i="7"/>
  <c r="BT15" i="3"/>
  <c r="BM25" i="7"/>
  <c r="BS10" i="3"/>
  <c r="BM25" i="3"/>
  <c r="BT35" i="7"/>
  <c r="BQ30" i="7"/>
  <c r="BQ25" i="7"/>
  <c r="BN20" i="7"/>
  <c r="BN15" i="7"/>
  <c r="BK10" i="7"/>
  <c r="BL5" i="7"/>
  <c r="BT30" i="3"/>
  <c r="BR25" i="3"/>
  <c r="BM20" i="3"/>
  <c r="BT5" i="3"/>
  <c r="BN30" i="7"/>
  <c r="BR5" i="3"/>
  <c r="BM30" i="7"/>
  <c r="BL30" i="7"/>
  <c r="BR15" i="3"/>
  <c r="BS35" i="7"/>
  <c r="BP30" i="7"/>
  <c r="BK30" i="7"/>
  <c r="BP25" i="7"/>
  <c r="BM20" i="7"/>
  <c r="BM15" i="7"/>
  <c r="BJ5" i="7"/>
  <c r="BS30" i="3"/>
  <c r="BQ25" i="3"/>
  <c r="BL20" i="3"/>
  <c r="BS5" i="3"/>
  <c r="BR35" i="7"/>
  <c r="BT10" i="3"/>
  <c r="BS15" i="3"/>
  <c r="BP35" i="7"/>
  <c r="BJ20" i="3"/>
  <c r="BP5" i="3"/>
  <c r="BE10" i="6" l="1"/>
  <c r="BD11" i="6"/>
  <c r="BE39" i="7"/>
  <c r="AI22" i="7"/>
  <c r="AJ42" i="7"/>
  <c r="BH20" i="7"/>
  <c r="AK41" i="7"/>
  <c r="AK42" i="7"/>
  <c r="BA47" i="7"/>
  <c r="C48" i="1"/>
  <c r="AK43" i="7"/>
  <c r="BE20" i="7"/>
  <c r="BE24" i="7"/>
  <c r="BA45" i="7"/>
  <c r="BE8" i="7"/>
  <c r="BE32" i="7"/>
  <c r="BE14" i="7"/>
  <c r="BG6" i="7"/>
  <c r="BE16" i="7"/>
  <c r="L41" i="7"/>
  <c r="BG30" i="7"/>
  <c r="BE38" i="7"/>
  <c r="BC45" i="7"/>
  <c r="BE18" i="7"/>
  <c r="BE10" i="7"/>
  <c r="BG10" i="7"/>
  <c r="L40" i="7"/>
  <c r="BG38" i="7"/>
  <c r="BG39" i="7"/>
  <c r="BG14" i="7"/>
  <c r="BG16" i="7"/>
  <c r="BG18" i="7"/>
  <c r="BE6" i="7"/>
  <c r="BE13" i="6"/>
  <c r="AG15" i="6"/>
  <c r="AJ15" i="6"/>
  <c r="AX17" i="6"/>
  <c r="AJ14" i="6"/>
  <c r="BD5" i="6"/>
  <c r="BF7" i="6"/>
  <c r="BE8" i="6"/>
  <c r="D32" i="1"/>
  <c r="BD8" i="6"/>
  <c r="K14" i="6"/>
  <c r="M14" i="6"/>
  <c r="BB11" i="6"/>
  <c r="BC10" i="6"/>
  <c r="BG10" i="6"/>
  <c r="BE11" i="6"/>
  <c r="C35" i="1"/>
  <c r="C36" i="1"/>
  <c r="BG7" i="6"/>
  <c r="BD6" i="6"/>
  <c r="BF11" i="6"/>
  <c r="BB7" i="6"/>
  <c r="BC7" i="6"/>
  <c r="J14" i="6"/>
  <c r="BG11" i="6"/>
  <c r="J12" i="6"/>
  <c r="BF6" i="6"/>
  <c r="L14" i="6"/>
  <c r="L13" i="6"/>
  <c r="BD13" i="6" s="1"/>
  <c r="K5" i="6"/>
  <c r="K15" i="6" s="1"/>
  <c r="BE7" i="6"/>
  <c r="AZ17" i="6"/>
  <c r="C24" i="1"/>
  <c r="AH8" i="5"/>
  <c r="BB7" i="5"/>
  <c r="BG8" i="5"/>
  <c r="BB6" i="5"/>
  <c r="BE6" i="5"/>
  <c r="BG6" i="5"/>
  <c r="BE7" i="5"/>
  <c r="BB13" i="5"/>
  <c r="BE8" i="5"/>
  <c r="BG9" i="5"/>
  <c r="BG13" i="5" s="1"/>
  <c r="BC11" i="5"/>
  <c r="AZ19" i="5"/>
  <c r="AW17" i="5"/>
  <c r="BF11" i="5"/>
  <c r="AX17" i="5"/>
  <c r="BG11" i="5"/>
  <c r="BG14" i="5" s="1"/>
  <c r="AY17" i="5"/>
  <c r="BE13" i="5"/>
  <c r="BD6" i="5"/>
  <c r="BD7" i="5"/>
  <c r="M14" i="5"/>
  <c r="AZ17" i="5"/>
  <c r="BG5" i="5"/>
  <c r="BB8" i="5"/>
  <c r="L15" i="5"/>
  <c r="BC7" i="5"/>
  <c r="BD8" i="5"/>
  <c r="BG9" i="3"/>
  <c r="AJ42" i="3"/>
  <c r="AK42" i="3"/>
  <c r="BG13" i="3"/>
  <c r="BE13" i="3"/>
  <c r="AH41" i="3"/>
  <c r="BG11" i="3"/>
  <c r="BG15" i="3"/>
  <c r="BG39" i="3"/>
  <c r="BG7" i="3"/>
  <c r="BG31" i="3"/>
  <c r="BE27" i="3"/>
  <c r="BE17" i="3"/>
  <c r="BE21" i="3"/>
  <c r="BE16" i="3"/>
  <c r="BG18" i="3"/>
  <c r="BE29" i="3"/>
  <c r="J40" i="3"/>
  <c r="BG17" i="3"/>
  <c r="BG22" i="3"/>
  <c r="BH25" i="3"/>
  <c r="BH41" i="3" s="1"/>
  <c r="BE34" i="3"/>
  <c r="BE38" i="3"/>
  <c r="AZ45" i="3"/>
  <c r="M43" i="3"/>
  <c r="K15" i="3"/>
  <c r="BE15" i="3" s="1"/>
  <c r="BG20" i="3"/>
  <c r="BG21" i="3"/>
  <c r="BG24" i="3"/>
  <c r="BE28" i="3"/>
  <c r="BE39" i="3"/>
  <c r="BA45" i="3"/>
  <c r="BG27" i="3"/>
  <c r="BG30" i="3"/>
  <c r="BE32" i="3"/>
  <c r="BE37" i="3"/>
  <c r="M40" i="3"/>
  <c r="BE5" i="3"/>
  <c r="BE33" i="3"/>
  <c r="BG29" i="3"/>
  <c r="BG32" i="3"/>
  <c r="BG37" i="3"/>
  <c r="J42" i="3"/>
  <c r="BP43" i="3"/>
  <c r="BS40" i="3"/>
  <c r="BQ41" i="3"/>
  <c r="BS42" i="3"/>
  <c r="BP41" i="7"/>
  <c r="BL42" i="7"/>
  <c r="E45" i="1" s="1"/>
  <c r="BM42" i="7"/>
  <c r="F45" i="1" s="1"/>
  <c r="BN42" i="7"/>
  <c r="G45" i="1" s="1"/>
  <c r="BT42" i="3"/>
  <c r="BL43" i="7"/>
  <c r="E46" i="1" s="1"/>
  <c r="BQ42" i="7"/>
  <c r="I45" i="1" s="1"/>
  <c r="BM41" i="3"/>
  <c r="F10" i="1" s="1"/>
  <c r="BM41" i="7"/>
  <c r="F44" i="1" s="1"/>
  <c r="BN41" i="7"/>
  <c r="G44" i="1" s="1"/>
  <c r="BS41" i="3"/>
  <c r="BM43" i="7"/>
  <c r="F46" i="1" s="1"/>
  <c r="BR41" i="7"/>
  <c r="BR42" i="7"/>
  <c r="BL41" i="7"/>
  <c r="E44" i="1" s="1"/>
  <c r="BN41" i="3"/>
  <c r="G10" i="1" s="1"/>
  <c r="BT41" i="3"/>
  <c r="BN40" i="7"/>
  <c r="G43" i="1" s="1"/>
  <c r="BN43" i="7"/>
  <c r="G46" i="1" s="1"/>
  <c r="BS42" i="7"/>
  <c r="BL43" i="3"/>
  <c r="E12" i="1" s="1"/>
  <c r="BL42" i="3"/>
  <c r="E11" i="1" s="1"/>
  <c r="BR40" i="7"/>
  <c r="BR43" i="7"/>
  <c r="BM43" i="3"/>
  <c r="F12" i="1" s="1"/>
  <c r="BM42" i="3"/>
  <c r="F11" i="1" s="1"/>
  <c r="BL41" i="3"/>
  <c r="E10" i="1" s="1"/>
  <c r="BN42" i="3"/>
  <c r="G11" i="1" s="1"/>
  <c r="BJ41" i="7"/>
  <c r="C44" i="1" s="1"/>
  <c r="C14" i="1"/>
  <c r="BB14" i="5"/>
  <c r="C23" i="1"/>
  <c r="BE9" i="3"/>
  <c r="E20" i="1"/>
  <c r="BE24" i="3"/>
  <c r="BC9" i="6"/>
  <c r="K13" i="6"/>
  <c r="BE36" i="3"/>
  <c r="BG10" i="3"/>
  <c r="BG25" i="3"/>
  <c r="BG38" i="3"/>
  <c r="J15" i="5"/>
  <c r="BE9" i="6"/>
  <c r="BD10" i="6"/>
  <c r="AI14" i="6"/>
  <c r="J15" i="6"/>
  <c r="M43" i="7"/>
  <c r="BQ43" i="3"/>
  <c r="BQ40" i="3"/>
  <c r="BE5" i="5"/>
  <c r="BE9" i="5"/>
  <c r="L12" i="6"/>
  <c r="K5" i="7"/>
  <c r="AK43" i="3"/>
  <c r="AK40" i="3"/>
  <c r="AH42" i="3"/>
  <c r="BL40" i="3"/>
  <c r="E9" i="1" s="1"/>
  <c r="BC8" i="5"/>
  <c r="M15" i="6"/>
  <c r="BE5" i="6"/>
  <c r="AH8" i="6"/>
  <c r="AH15" i="6" s="1"/>
  <c r="BG8" i="6" a="1"/>
  <c r="BG8" i="6" s="1"/>
  <c r="BF8" i="6"/>
  <c r="BG9" i="6" a="1"/>
  <c r="BG9" i="6" s="1"/>
  <c r="BG13" i="6" s="1"/>
  <c r="M12" i="6"/>
  <c r="BQ43" i="7"/>
  <c r="BQ40" i="7"/>
  <c r="AG12" i="6"/>
  <c r="BB6" i="6"/>
  <c r="BF9" i="6"/>
  <c r="L15" i="6"/>
  <c r="BH5" i="3" a="1"/>
  <c r="BH5" i="3" s="1"/>
  <c r="BG6" i="3"/>
  <c r="AI18" i="3"/>
  <c r="BE18" i="3" s="1"/>
  <c r="AI30" i="3"/>
  <c r="AI43" i="3" s="1"/>
  <c r="BG34" i="3"/>
  <c r="BM40" i="3"/>
  <c r="F9" i="1" s="1"/>
  <c r="AJ43" i="3"/>
  <c r="M15" i="5"/>
  <c r="M12" i="5"/>
  <c r="BE12" i="5" s="1"/>
  <c r="BF5" i="6"/>
  <c r="AH43" i="7"/>
  <c r="K15" i="7"/>
  <c r="J41" i="7"/>
  <c r="BT43" i="3"/>
  <c r="BT40" i="3"/>
  <c r="BH10" i="3" a="1"/>
  <c r="BH10" i="3" s="1"/>
  <c r="BH15" i="3" a="1"/>
  <c r="BH15" i="3" s="1"/>
  <c r="BG16" i="3"/>
  <c r="BG28" i="3"/>
  <c r="BG33" i="3"/>
  <c r="BP40" i="3"/>
  <c r="BG7" i="5" a="1"/>
  <c r="BG7" i="5" s="1"/>
  <c r="BG15" i="5" s="1"/>
  <c r="J12" i="5"/>
  <c r="BC6" i="6"/>
  <c r="BF10" i="6"/>
  <c r="BC11" i="6"/>
  <c r="AJ12" i="6"/>
  <c r="BE5" i="7"/>
  <c r="BS43" i="7"/>
  <c r="BS40" i="7"/>
  <c r="M42" i="7"/>
  <c r="K35" i="7"/>
  <c r="K42" i="7" s="1"/>
  <c r="BS41" i="7"/>
  <c r="K11" i="3"/>
  <c r="BE11" i="3" s="1"/>
  <c r="BQ42" i="3"/>
  <c r="BR40" i="3"/>
  <c r="BP41" i="3"/>
  <c r="BC47" i="3"/>
  <c r="L12" i="5"/>
  <c r="BC13" i="6"/>
  <c r="AJ43" i="7"/>
  <c r="AJ40" i="7"/>
  <c r="BG7" i="7"/>
  <c r="AI7" i="7"/>
  <c r="BE7" i="7" s="1"/>
  <c r="BG11" i="7"/>
  <c r="BH10" i="7" a="1"/>
  <c r="BH10" i="7" s="1"/>
  <c r="AI11" i="7"/>
  <c r="BE11" i="7" s="1"/>
  <c r="M41" i="7"/>
  <c r="H44" i="1"/>
  <c r="BP42" i="7"/>
  <c r="BE22" i="7"/>
  <c r="K25" i="7"/>
  <c r="K41" i="7" s="1"/>
  <c r="BQ41" i="7"/>
  <c r="BE26" i="7"/>
  <c r="BE34" i="7"/>
  <c r="AI14" i="3"/>
  <c r="BE14" i="3" s="1"/>
  <c r="AI25" i="3"/>
  <c r="AI26" i="3"/>
  <c r="BE26" i="3" s="1"/>
  <c r="BB10" i="5"/>
  <c r="AG12" i="5"/>
  <c r="AI15" i="5"/>
  <c r="BD15" i="5" s="1"/>
  <c r="L43" i="3"/>
  <c r="L40" i="3"/>
  <c r="BG12" i="3"/>
  <c r="K23" i="3"/>
  <c r="BE23" i="3" s="1"/>
  <c r="AJ41" i="3"/>
  <c r="BR41" i="3"/>
  <c r="BC45" i="3"/>
  <c r="AG15" i="5"/>
  <c r="K6" i="5"/>
  <c r="BC6" i="5" s="1"/>
  <c r="K10" i="5"/>
  <c r="K14" i="5" s="1"/>
  <c r="BC14" i="5" s="1"/>
  <c r="AJ15" i="5"/>
  <c r="BE15" i="5" s="1"/>
  <c r="J13" i="6"/>
  <c r="BB13" i="6" s="1"/>
  <c r="AH14" i="6"/>
  <c r="BC14" i="6" s="1"/>
  <c r="BH5" i="7" a="1"/>
  <c r="BH5" i="7" s="1"/>
  <c r="BG5" i="7"/>
  <c r="AI9" i="7"/>
  <c r="BE9" i="7" s="1"/>
  <c r="BG9" i="7"/>
  <c r="AI13" i="7"/>
  <c r="BE13" i="7" s="1"/>
  <c r="BG13" i="7"/>
  <c r="BE28" i="7"/>
  <c r="AH42" i="7"/>
  <c r="BG31" i="7"/>
  <c r="BH30" i="7" a="1"/>
  <c r="BH30" i="7" s="1"/>
  <c r="AI31" i="7"/>
  <c r="BE31" i="7" s="1"/>
  <c r="K7" i="3"/>
  <c r="BE7" i="3" s="1"/>
  <c r="K35" i="3"/>
  <c r="BE35" i="3" s="1"/>
  <c r="BG35" i="3"/>
  <c r="BR42" i="3"/>
  <c r="BD5" i="5"/>
  <c r="AI12" i="5"/>
  <c r="BD12" i="5" s="1"/>
  <c r="BD9" i="5"/>
  <c r="AI13" i="5"/>
  <c r="BD13" i="5" s="1"/>
  <c r="AI15" i="6"/>
  <c r="BG6" i="6" a="1"/>
  <c r="BG6" i="6" s="1"/>
  <c r="BH15" i="7" a="1"/>
  <c r="BH15" i="7" s="1"/>
  <c r="BG15" i="7"/>
  <c r="AI15" i="7"/>
  <c r="BE15" i="7" s="1"/>
  <c r="AI17" i="7"/>
  <c r="BE17" i="7" s="1"/>
  <c r="BG17" i="7"/>
  <c r="AI21" i="7"/>
  <c r="BE21" i="7" s="1"/>
  <c r="BG21" i="7"/>
  <c r="BE30" i="7"/>
  <c r="AI33" i="7"/>
  <c r="BE33" i="7" s="1"/>
  <c r="BG33" i="7"/>
  <c r="AI37" i="7"/>
  <c r="BE37" i="7" s="1"/>
  <c r="BG37" i="7"/>
  <c r="L43" i="7"/>
  <c r="BG19" i="7"/>
  <c r="AI19" i="7"/>
  <c r="BE19" i="7" s="1"/>
  <c r="BG23" i="7"/>
  <c r="AI23" i="7"/>
  <c r="BE23" i="7" s="1"/>
  <c r="BT42" i="7"/>
  <c r="BH35" i="7" a="1"/>
  <c r="BH35" i="7" s="1"/>
  <c r="BG35" i="7"/>
  <c r="AI35" i="7"/>
  <c r="BE35" i="7" s="1"/>
  <c r="K9" i="1"/>
  <c r="AI20" i="3"/>
  <c r="BE20" i="3" s="1"/>
  <c r="BH20" i="3" a="1"/>
  <c r="BH20" i="3" s="1"/>
  <c r="BH30" i="3" a="1"/>
  <c r="BH30" i="3" s="1"/>
  <c r="BH35" i="3" a="1"/>
  <c r="BH35" i="3" s="1"/>
  <c r="BG36" i="3"/>
  <c r="BR43" i="3"/>
  <c r="AH5" i="5"/>
  <c r="BF5" i="5"/>
  <c r="BF6" i="5"/>
  <c r="AH9" i="5"/>
  <c r="BF9" i="5"/>
  <c r="BF10" i="5"/>
  <c r="AI14" i="5"/>
  <c r="BD14" i="5" s="1"/>
  <c r="J43" i="7"/>
  <c r="J40" i="7"/>
  <c r="AI29" i="7"/>
  <c r="BE29" i="7" s="1"/>
  <c r="BG29" i="7"/>
  <c r="BE10" i="5"/>
  <c r="BG27" i="7"/>
  <c r="AI27" i="7"/>
  <c r="BE27" i="7" s="1"/>
  <c r="AH43" i="3"/>
  <c r="AH40" i="3"/>
  <c r="BN43" i="3"/>
  <c r="G12" i="1" s="1"/>
  <c r="BN40" i="3"/>
  <c r="G9" i="1" s="1"/>
  <c r="K19" i="3"/>
  <c r="BE19" i="3" s="1"/>
  <c r="AI22" i="3"/>
  <c r="BE22" i="3" s="1"/>
  <c r="J41" i="3"/>
  <c r="M42" i="3"/>
  <c r="K31" i="3"/>
  <c r="BE31" i="3" s="1"/>
  <c r="BS43" i="3"/>
  <c r="BB5" i="5"/>
  <c r="BB9" i="5"/>
  <c r="BE14" i="5"/>
  <c r="BB5" i="6"/>
  <c r="BB10" i="6"/>
  <c r="AG14" i="6"/>
  <c r="AI25" i="7"/>
  <c r="BH25" i="7" a="1"/>
  <c r="BH25" i="7" s="1"/>
  <c r="BH41" i="7" s="1"/>
  <c r="BG25" i="7"/>
  <c r="AI12" i="6"/>
  <c r="BD12" i="6" s="1"/>
  <c r="M40" i="7"/>
  <c r="BP40" i="7"/>
  <c r="BT41" i="7"/>
  <c r="BP43" i="7"/>
  <c r="AH40" i="7"/>
  <c r="BP42" i="3"/>
  <c r="AK40" i="7"/>
  <c r="BT40" i="7"/>
  <c r="BT43" i="7"/>
  <c r="BL40" i="7"/>
  <c r="E43" i="1" s="1"/>
  <c r="BM40" i="7"/>
  <c r="F43" i="1" s="1"/>
  <c r="BK10" i="3"/>
  <c r="BJ15" i="7"/>
  <c r="BJ20" i="7"/>
  <c r="BJ30" i="3"/>
  <c r="BK5" i="3"/>
  <c r="BK5" i="7"/>
  <c r="BK35" i="7"/>
  <c r="BK15" i="7"/>
  <c r="BK25" i="7"/>
  <c r="BJ35" i="7"/>
  <c r="BJ30" i="7"/>
  <c r="BJ25" i="3"/>
  <c r="BJ10" i="3"/>
  <c r="BK25" i="3"/>
  <c r="BK30" i="3"/>
  <c r="BK35" i="3"/>
  <c r="BE15" i="6" l="1"/>
  <c r="BB15" i="6"/>
  <c r="BD14" i="6"/>
  <c r="BC10" i="5"/>
  <c r="BE14" i="6"/>
  <c r="D33" i="1"/>
  <c r="BG14" i="6"/>
  <c r="K12" i="6"/>
  <c r="BG15" i="6"/>
  <c r="BB14" i="6"/>
  <c r="BE12" i="6"/>
  <c r="BB12" i="6"/>
  <c r="BD15" i="6"/>
  <c r="BC15" i="6"/>
  <c r="C34" i="1" s="1"/>
  <c r="BG12" i="6"/>
  <c r="BC5" i="6"/>
  <c r="D20" i="1"/>
  <c r="BB15" i="5"/>
  <c r="BB12" i="5"/>
  <c r="BG12" i="5"/>
  <c r="BK42" i="3"/>
  <c r="D11" i="1" s="1"/>
  <c r="BK41" i="3"/>
  <c r="D10" i="1" s="1"/>
  <c r="BJ43" i="3"/>
  <c r="C12" i="1" s="1"/>
  <c r="BJ40" i="3"/>
  <c r="C9" i="1" s="1"/>
  <c r="BJ41" i="3"/>
  <c r="C10" i="1" s="1"/>
  <c r="BJ42" i="7"/>
  <c r="C45" i="1" s="1"/>
  <c r="BK41" i="7"/>
  <c r="D44" i="1" s="1"/>
  <c r="BK42" i="7"/>
  <c r="D45" i="1" s="1"/>
  <c r="BJ42" i="3"/>
  <c r="C11" i="1" s="1"/>
  <c r="BJ43" i="7"/>
  <c r="C46" i="1" s="1"/>
  <c r="BJ40" i="7"/>
  <c r="C43" i="1" s="1"/>
  <c r="J46" i="1"/>
  <c r="K11" i="1"/>
  <c r="J43" i="1"/>
  <c r="L11" i="1"/>
  <c r="L10" i="1"/>
  <c r="K10" i="1"/>
  <c r="I10" i="1"/>
  <c r="K45" i="1"/>
  <c r="J45" i="1"/>
  <c r="J44" i="1"/>
  <c r="H12" i="1"/>
  <c r="E34" i="1"/>
  <c r="D19" i="1"/>
  <c r="D34" i="1"/>
  <c r="BH42" i="7"/>
  <c r="AI43" i="7"/>
  <c r="E31" i="1"/>
  <c r="I9" i="1"/>
  <c r="K43" i="3"/>
  <c r="BE43" i="3" s="1"/>
  <c r="AI40" i="3"/>
  <c r="E19" i="1"/>
  <c r="L9" i="1"/>
  <c r="AI42" i="7"/>
  <c r="BE42" i="7" s="1"/>
  <c r="C21" i="1"/>
  <c r="K44" i="1"/>
  <c r="L12" i="1"/>
  <c r="I46" i="1"/>
  <c r="K12" i="1"/>
  <c r="I12" i="1"/>
  <c r="L46" i="1"/>
  <c r="L45" i="1"/>
  <c r="BE30" i="3"/>
  <c r="AI42" i="3"/>
  <c r="L43" i="1"/>
  <c r="AH12" i="5"/>
  <c r="AH15" i="5"/>
  <c r="BC5" i="5"/>
  <c r="H11" i="1"/>
  <c r="AI41" i="7"/>
  <c r="BE41" i="7" s="1"/>
  <c r="BE25" i="7"/>
  <c r="J12" i="1"/>
  <c r="J11" i="1"/>
  <c r="E22" i="1"/>
  <c r="AI41" i="3"/>
  <c r="BE41" i="3" s="1"/>
  <c r="BE25" i="3"/>
  <c r="C32" i="1"/>
  <c r="K15" i="5"/>
  <c r="K12" i="5"/>
  <c r="H45" i="1"/>
  <c r="AH13" i="5"/>
  <c r="BC13" i="5" s="1"/>
  <c r="BC9" i="5"/>
  <c r="J10" i="1"/>
  <c r="K43" i="1"/>
  <c r="K43" i="7"/>
  <c r="K40" i="7"/>
  <c r="I44" i="1"/>
  <c r="BH42" i="3"/>
  <c r="H10" i="1"/>
  <c r="K46" i="1"/>
  <c r="H9" i="1"/>
  <c r="BH40" i="3"/>
  <c r="BH43" i="3"/>
  <c r="BK43" i="7"/>
  <c r="D46" i="1" s="1"/>
  <c r="BK40" i="7"/>
  <c r="D43" i="1" s="1"/>
  <c r="E21" i="1"/>
  <c r="D22" i="1"/>
  <c r="E32" i="1"/>
  <c r="BK43" i="3"/>
  <c r="D12" i="1" s="1"/>
  <c r="BK40" i="3"/>
  <c r="D9" i="1" s="1"/>
  <c r="BH43" i="7"/>
  <c r="BH40" i="7"/>
  <c r="J9" i="1"/>
  <c r="BC8" i="6"/>
  <c r="AH12" i="6"/>
  <c r="C33" i="1"/>
  <c r="I11" i="1"/>
  <c r="I43" i="1"/>
  <c r="H46" i="1"/>
  <c r="L44" i="1"/>
  <c r="D21" i="1"/>
  <c r="H43" i="1"/>
  <c r="AI40" i="7"/>
  <c r="K40" i="3"/>
  <c r="K42" i="3"/>
  <c r="BE40" i="7" l="1"/>
  <c r="D31" i="1"/>
  <c r="E33" i="1"/>
  <c r="BC12" i="6"/>
  <c r="BE43" i="7"/>
  <c r="BC12" i="5"/>
  <c r="BC15" i="5"/>
  <c r="BE40" i="3"/>
  <c r="C31" i="1"/>
  <c r="C20" i="1"/>
  <c r="BE42" i="3"/>
  <c r="C22" i="1" l="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<sst xmlns="http://schemas.openxmlformats.org/spreadsheetml/2006/main" count="1459" uniqueCount="575">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</sst>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ALL_master+r130</c:v>
                </c:pt>
              </c:strCache>
            </c:strRef>
          </c:tx>
          <c:spPr>
            <a:ln>
              <a:prstDash val="solid"/>
            </a:ln>
          </c:spPr>
          <c:marker>
            <c:symbol val="none"/>
          </c:marker>
          <c:xVal>
            <c:numRef>
              <c:f>Graphs!graph_a_x_range_A</c:f>
              <c:numCache>
                <c:formatCode>0.00</c:formatCode>
                <c:ptCount val="5"/>
                <c:pt idx="0">
                  <c:v>3.4623980507854937E-2</c:v>
                </c:pt>
                <c:pt idx="1">
                  <c:v>4.8034622536018194E-2</c:v>
                </c:pt>
                <c:pt idx="2">
                  <c:v>6.7377313309778433E-2</c:v>
                </c:pt>
                <c:pt idx="3">
                  <c:v>0.10024566780018934</c:v>
                </c:pt>
                <c:pt idx="4">
                  <c:v>0.15534881651849178</c:v>
                </c:pt>
              </c:numCache>
            </c:numRef>
          </c:xVal>
          <c:yVal>
            <c:numRef>
              <c:f>Graphs!graph_a_y_range_A</c:f>
              <c:numCache>
                <c:formatCode>0.00</c:formatCode>
                <c:ptCount val="5"/>
                <c:pt idx="0">
                  <c:v>66.306630333333402</c:v>
                </c:pt>
                <c:pt idx="1">
                  <c:v>68.157691333333304</c:v>
                </c:pt>
                <c:pt idx="2">
                  <c:v>69.555052666666597</c:v>
                </c:pt>
                <c:pt idx="3">
                  <c:v>70.687753333333404</c:v>
                </c:pt>
                <c:pt idx="4">
                  <c:v>71.790060999999994</c:v>
                </c:pt>
              </c:numCache>
            </c:numRef>
          </c:yVal>
          <c:smooth val="1"/>
          <c:extLst>
            <c:ext xmlns:c16="http://schemas.microsoft.com/office/drawing/2014/chart" uri="{C3380CC4-5D6E-409C-BE32-E72D297353CC}">
              <c16:uniqueId val="{00000000-1B45-4CA9-BEF6-6A616FA520A2}"/>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B45-4CA9-BEF6-6A616FA520A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ALL_master+r130</c:v>
                </c:pt>
              </c:strCache>
            </c:strRef>
          </c:tx>
          <c:spPr>
            <a:ln>
              <a:prstDash val="solid"/>
            </a:ln>
          </c:spPr>
          <c:marker>
            <c:symbol val="none"/>
          </c:marker>
          <c:xVal>
            <c:numRef>
              <c:f>Graphs!graph_b_x_range_A</c:f>
              <c:numCache>
                <c:formatCode>0.00</c:formatCode>
                <c:ptCount val="5"/>
                <c:pt idx="0">
                  <c:v>3.4623980507854937E-2</c:v>
                </c:pt>
                <c:pt idx="1">
                  <c:v>4.8034622536018194E-2</c:v>
                </c:pt>
                <c:pt idx="2">
                  <c:v>6.7377313309778433E-2</c:v>
                </c:pt>
                <c:pt idx="3">
                  <c:v>0.10024566780018934</c:v>
                </c:pt>
                <c:pt idx="4">
                  <c:v>0.15534881651849178</c:v>
                </c:pt>
              </c:numCache>
            </c:numRef>
          </c:xVal>
          <c:yVal>
            <c:numRef>
              <c:f>Graphs!graph_b_y_range_A</c:f>
              <c:numCache>
                <c:formatCode>0.00</c:formatCode>
                <c:ptCount val="5"/>
                <c:pt idx="0">
                  <c:v>68.366837666666697</c:v>
                </c:pt>
                <c:pt idx="1">
                  <c:v>70.306217666666697</c:v>
                </c:pt>
                <c:pt idx="2">
                  <c:v>71.985662666666698</c:v>
                </c:pt>
                <c:pt idx="3">
                  <c:v>73.255339333333296</c:v>
                </c:pt>
                <c:pt idx="4">
                  <c:v>75.226001333333301</c:v>
                </c:pt>
              </c:numCache>
            </c:numRef>
          </c:yVal>
          <c:smooth val="1"/>
          <c:extLst>
            <c:ext xmlns:c16="http://schemas.microsoft.com/office/drawing/2014/chart" uri="{C3380CC4-5D6E-409C-BE32-E72D297353CC}">
              <c16:uniqueId val="{00000000-B93A-4321-B2DA-E46745A9229F}"/>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B93A-4321-B2DA-E46745A9229F}"/>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ALL_master+r130</c:v>
                </c:pt>
              </c:strCache>
            </c:strRef>
          </c:tx>
          <c:spPr>
            <a:ln>
              <a:prstDash val="solid"/>
            </a:ln>
          </c:spPr>
          <c:marker>
            <c:symbol val="none"/>
          </c:marker>
          <c:xVal>
            <c:numRef>
              <c:f>Graphs!graph_c_x_range_A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Graphs!graph_c_y_range_A</c:f>
              <c:numCache>
                <c:formatCode>0.00</c:formatCode>
                <c:ptCount val="5"/>
                <c:pt idx="0">
                  <c:v>32.326827999999999</c:v>
                </c:pt>
                <c:pt idx="1">
                  <c:v>34.599119666666603</c:v>
                </c:pt>
                <c:pt idx="2">
                  <c:v>37.138107666666698</c:v>
                </c:pt>
                <c:pt idx="3">
                  <c:v>39.742880999999997</c:v>
                </c:pt>
                <c:pt idx="4">
                  <c:v>42.256128666666697</c:v>
                </c:pt>
              </c:numCache>
            </c:numRef>
          </c:yVal>
          <c:smooth val="1"/>
          <c:extLst>
            <c:ext xmlns:c16="http://schemas.microsoft.com/office/drawing/2014/chart" uri="{C3380CC4-5D6E-409C-BE32-E72D297353CC}">
              <c16:uniqueId val="{00000000-58A5-4467-B03A-BAF524733C2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8A5-4467-B03A-BAF524733C2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ALL_master+r130</c:v>
                </c:pt>
              </c:strCache>
            </c:strRef>
          </c:tx>
          <c:spPr>
            <a:ln>
              <a:prstDash val="solid"/>
            </a:ln>
          </c:spPr>
          <c:marker>
            <c:symbol val="none"/>
          </c:marker>
          <c:xVal>
            <c:numRef>
              <c:f>Graphs!graph_d_x_range_A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Graphs!graph_d_y_range_A</c:f>
              <c:numCache>
                <c:formatCode>0.00</c:formatCode>
                <c:ptCount val="5"/>
                <c:pt idx="0">
                  <c:v>44.152497666666598</c:v>
                </c:pt>
                <c:pt idx="1">
                  <c:v>45.442781666666697</c:v>
                </c:pt>
                <c:pt idx="2">
                  <c:v>46.571839333333301</c:v>
                </c:pt>
                <c:pt idx="3">
                  <c:v>47.911117333333301</c:v>
                </c:pt>
                <c:pt idx="4">
                  <c:v>49.428492333333303</c:v>
                </c:pt>
              </c:numCache>
            </c:numRef>
          </c:yVal>
          <c:smooth val="1"/>
          <c:extLst>
            <c:ext xmlns:c16="http://schemas.microsoft.com/office/drawing/2014/chart" uri="{C3380CC4-5D6E-409C-BE32-E72D297353CC}">
              <c16:uniqueId val="{00000000-8B81-4F9E-810C-9FEA2D1E38EF}"/>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8B81-4F9E-810C-9FEA2D1E38E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ALL_master+r130</c:v>
                </c:pt>
              </c:strCache>
            </c:strRef>
          </c:tx>
          <c:spPr>
            <a:ln>
              <a:prstDash val="solid"/>
            </a:ln>
          </c:spPr>
          <c:marker>
            <c:symbol val="none"/>
          </c:marker>
          <c:xVal>
            <c:numRef>
              <c:f>Graphs!graph_e_x_range_A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Graphs!graph_e_y_range_A</c:f>
              <c:numCache>
                <c:formatCode>0.00</c:formatCode>
                <c:ptCount val="5"/>
                <c:pt idx="0">
                  <c:v>43.806868999999999</c:v>
                </c:pt>
                <c:pt idx="1">
                  <c:v>45.246439000000002</c:v>
                </c:pt>
                <c:pt idx="2">
                  <c:v>46.483559999999997</c:v>
                </c:pt>
                <c:pt idx="3">
                  <c:v>48.003290999999997</c:v>
                </c:pt>
                <c:pt idx="4">
                  <c:v>49.576217999999997</c:v>
                </c:pt>
              </c:numCache>
            </c:numRef>
          </c:yVal>
          <c:smooth val="1"/>
          <c:extLst>
            <c:ext xmlns:c16="http://schemas.microsoft.com/office/drawing/2014/chart" uri="{C3380CC4-5D6E-409C-BE32-E72D297353CC}">
              <c16:uniqueId val="{00000000-DD88-4C4E-88AB-6C2FEA17BAC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DD88-4C4E-88AB-6C2FEA17BAC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ALL_master+r130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FC5-441E-B75D-359B40E3107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FC5-441E-B75D-359B40E3107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6" sqref="G26"/>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I51" sqref="I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ALL_master+r130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2.2750775999999999</v>
      </c>
      <c r="J5" s="12">
        <f t="shared" ref="J5:J39" si="1">IF(ISBLANK(S5),"·",S5/D5)</f>
        <v>9.5532734737097072E-2</v>
      </c>
      <c r="K5" s="12">
        <f t="shared" ref="K5:K39" si="2">IF(N5="","·",N5/D5)</f>
        <v>6.108622490105256E-2</v>
      </c>
      <c r="L5" s="12">
        <f t="shared" ref="L5:L39" si="3">IF(T5="","·",T5/D5)</f>
        <v>3.4623980507854937E-2</v>
      </c>
      <c r="M5" s="12">
        <f t="shared" ref="M5:M39" si="4">IF(ISBLANK(V5),"·",V5/D5)</f>
        <v>3.4446509836044505E-2</v>
      </c>
      <c r="N5" s="54">
        <f t="shared" ref="N5:N39" si="5">IF(OR(ISBLANK(T5),ISBLANK(U5)),"",T5+U5)</f>
        <v>14547464</v>
      </c>
      <c r="O5" s="12">
        <v>16</v>
      </c>
      <c r="P5" s="13">
        <v>210115322</v>
      </c>
      <c r="Q5" s="13">
        <v>700384.40666666697</v>
      </c>
      <c r="R5" s="13">
        <v>14452.59</v>
      </c>
      <c r="S5" s="14">
        <v>22750776</v>
      </c>
      <c r="T5" s="14">
        <v>8245576</v>
      </c>
      <c r="U5" s="14">
        <v>6301888</v>
      </c>
      <c r="V5" s="14">
        <v>8203312</v>
      </c>
      <c r="W5" s="15">
        <v>66.306630333333402</v>
      </c>
      <c r="X5" s="15">
        <v>68.366837666666697</v>
      </c>
      <c r="Y5" s="15">
        <v>32.326827999999999</v>
      </c>
      <c r="Z5" s="15">
        <v>44.152497666666598</v>
      </c>
      <c r="AA5" s="15">
        <v>43.806868999999999</v>
      </c>
      <c r="AB5" s="16">
        <v>20511.3</v>
      </c>
      <c r="AC5" s="16">
        <v>0</v>
      </c>
      <c r="AD5" s="16">
        <v>309.94499999999999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3.4842247999999998</v>
      </c>
      <c r="J6" s="21">
        <f t="shared" si="1"/>
        <v>0.14630600889517575</v>
      </c>
      <c r="K6" s="21">
        <f t="shared" si="2"/>
        <v>7.4496866929215824E-2</v>
      </c>
      <c r="L6" s="21">
        <f t="shared" si="3"/>
        <v>4.8034622536018194E-2</v>
      </c>
      <c r="M6" s="21">
        <f t="shared" si="4"/>
        <v>7.1809141965959916E-2</v>
      </c>
      <c r="N6" s="18">
        <f t="shared" si="5"/>
        <v>17741160</v>
      </c>
      <c r="O6" s="21">
        <v>16</v>
      </c>
      <c r="P6" s="22">
        <v>230811571</v>
      </c>
      <c r="Q6" s="22">
        <v>769371.90333333297</v>
      </c>
      <c r="R6" s="22">
        <v>19712.3266666667</v>
      </c>
      <c r="S6" s="23">
        <v>34842248</v>
      </c>
      <c r="T6" s="23">
        <v>11439272</v>
      </c>
      <c r="U6" s="23">
        <v>6301888</v>
      </c>
      <c r="V6" s="23">
        <v>17101088</v>
      </c>
      <c r="W6" s="24">
        <v>68.157691333333304</v>
      </c>
      <c r="X6" s="24">
        <v>70.306217666666697</v>
      </c>
      <c r="Y6" s="24">
        <v>34.599119666666603</v>
      </c>
      <c r="Z6" s="24">
        <v>45.442781666666697</v>
      </c>
      <c r="AA6" s="24">
        <v>45.246439000000002</v>
      </c>
      <c r="AB6" s="25">
        <v>20887.099999999999</v>
      </c>
      <c r="AC6" s="25">
        <v>0</v>
      </c>
      <c r="AD6" s="25">
        <v>325.60700000000003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5.6257200000000003</v>
      </c>
      <c r="J7" s="12">
        <f t="shared" si="1"/>
        <v>0.23622948793710671</v>
      </c>
      <c r="K7" s="12">
        <f t="shared" si="2"/>
        <v>9.383955770297607E-2</v>
      </c>
      <c r="L7" s="12">
        <f t="shared" si="3"/>
        <v>6.7377313309778433E-2</v>
      </c>
      <c r="M7" s="12">
        <f t="shared" si="4"/>
        <v>0.14238993023413066</v>
      </c>
      <c r="N7" s="54">
        <f t="shared" si="5"/>
        <v>22347552</v>
      </c>
      <c r="O7" s="12">
        <v>16</v>
      </c>
      <c r="P7" s="13">
        <v>236177330</v>
      </c>
      <c r="Q7" s="13">
        <v>787257.76666666695</v>
      </c>
      <c r="R7" s="13">
        <v>21575.1933333333</v>
      </c>
      <c r="S7" s="14">
        <v>56257200</v>
      </c>
      <c r="T7" s="14">
        <v>16045664</v>
      </c>
      <c r="U7" s="14">
        <v>6301888</v>
      </c>
      <c r="V7" s="14">
        <v>33909648</v>
      </c>
      <c r="W7" s="15">
        <v>69.555052666666597</v>
      </c>
      <c r="X7" s="15">
        <v>71.985662666666698</v>
      </c>
      <c r="Y7" s="15">
        <v>37.138107666666698</v>
      </c>
      <c r="Z7" s="15">
        <v>46.571839333333301</v>
      </c>
      <c r="AA7" s="15">
        <v>46.483559999999997</v>
      </c>
      <c r="AB7" s="16">
        <v>21469.7</v>
      </c>
      <c r="AC7" s="16">
        <v>0</v>
      </c>
      <c r="AD7" s="16">
        <v>333.50599999999997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9.4144679999999994</v>
      </c>
      <c r="J8" s="21">
        <f t="shared" si="1"/>
        <v>0.39532272399626667</v>
      </c>
      <c r="K8" s="21">
        <f t="shared" si="2"/>
        <v>0.12670791219338698</v>
      </c>
      <c r="L8" s="21">
        <f t="shared" si="3"/>
        <v>0.10024566780018934</v>
      </c>
      <c r="M8" s="21">
        <f t="shared" si="4"/>
        <v>0.26861481180287966</v>
      </c>
      <c r="N8" s="18">
        <f t="shared" si="5"/>
        <v>30175032</v>
      </c>
      <c r="O8" s="21">
        <v>16</v>
      </c>
      <c r="P8" s="22">
        <v>245523316</v>
      </c>
      <c r="Q8" s="22">
        <v>818411.05333333299</v>
      </c>
      <c r="R8" s="22">
        <v>24831.51</v>
      </c>
      <c r="S8" s="23">
        <v>94144680</v>
      </c>
      <c r="T8" s="23">
        <v>23873144</v>
      </c>
      <c r="U8" s="23">
        <v>6301888</v>
      </c>
      <c r="V8" s="23">
        <v>63969648</v>
      </c>
      <c r="W8" s="24">
        <v>70.687753333333404</v>
      </c>
      <c r="X8" s="24">
        <v>73.255339333333296</v>
      </c>
      <c r="Y8" s="24">
        <v>39.742880999999997</v>
      </c>
      <c r="Z8" s="24">
        <v>47.911117333333301</v>
      </c>
      <c r="AA8" s="24">
        <v>48.003290999999997</v>
      </c>
      <c r="AB8" s="25">
        <v>22292.7</v>
      </c>
      <c r="AC8" s="25">
        <v>0</v>
      </c>
      <c r="AD8" s="25">
        <v>346.36500000000001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16.672855999999999</v>
      </c>
      <c r="J9" s="30">
        <f t="shared" si="1"/>
        <v>0.70010953892641603</v>
      </c>
      <c r="K9" s="30">
        <f t="shared" si="2"/>
        <v>0.20630009883290651</v>
      </c>
      <c r="L9" s="30">
        <f t="shared" si="3"/>
        <v>0.15534881651849178</v>
      </c>
      <c r="M9" s="30">
        <f t="shared" si="4"/>
        <v>0.49380944009350952</v>
      </c>
      <c r="N9" s="27">
        <f t="shared" si="5"/>
        <v>49129624</v>
      </c>
      <c r="O9" s="30">
        <v>16</v>
      </c>
      <c r="P9" s="31">
        <v>236240457</v>
      </c>
      <c r="Q9" s="31">
        <v>787468.19</v>
      </c>
      <c r="R9" s="31">
        <v>10954.04</v>
      </c>
      <c r="S9" s="32">
        <v>166728560</v>
      </c>
      <c r="T9" s="32">
        <v>36995760</v>
      </c>
      <c r="U9" s="32">
        <v>12133864</v>
      </c>
      <c r="V9" s="32">
        <v>117598936</v>
      </c>
      <c r="W9" s="33">
        <v>71.790060999999994</v>
      </c>
      <c r="X9" s="33">
        <v>75.226001333333301</v>
      </c>
      <c r="Y9" s="33">
        <v>42.256128666666697</v>
      </c>
      <c r="Z9" s="33">
        <v>49.428492333333303</v>
      </c>
      <c r="AA9" s="33">
        <v>49.576217999999997</v>
      </c>
      <c r="AB9" s="34">
        <v>23708</v>
      </c>
      <c r="AC9" s="34">
        <v>0</v>
      </c>
      <c r="AD9" s="34">
        <v>344.22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3.3857192</v>
      </c>
      <c r="J10" s="21">
        <f t="shared" si="1"/>
        <v>0.15522189260228034</v>
      </c>
      <c r="K10" s="21">
        <f t="shared" si="2"/>
        <v>8.1617947141525996E-2</v>
      </c>
      <c r="L10" s="21">
        <f t="shared" si="3"/>
        <v>4.3123722906364161E-2</v>
      </c>
      <c r="M10" s="21">
        <f t="shared" si="4"/>
        <v>7.3603945460754341E-2</v>
      </c>
      <c r="N10" s="18">
        <f t="shared" si="5"/>
        <v>17802608</v>
      </c>
      <c r="O10" s="21">
        <v>16</v>
      </c>
      <c r="P10" s="22">
        <v>199616063</v>
      </c>
      <c r="Q10" s="22">
        <v>665386.87666666706</v>
      </c>
      <c r="R10" s="22">
        <v>19573.676666666699</v>
      </c>
      <c r="S10" s="23">
        <v>33857192</v>
      </c>
      <c r="T10" s="23">
        <v>9406200</v>
      </c>
      <c r="U10" s="23">
        <v>8396408</v>
      </c>
      <c r="V10" s="23">
        <v>16054584</v>
      </c>
      <c r="W10" s="24">
        <v>65.811341000000098</v>
      </c>
      <c r="X10" s="24">
        <v>67.673830666666603</v>
      </c>
      <c r="Y10" s="24">
        <v>32.286147999999997</v>
      </c>
      <c r="Z10" s="24">
        <v>39.167335666666702</v>
      </c>
      <c r="AA10" s="24">
        <v>31.9905896666667</v>
      </c>
      <c r="AB10" s="25">
        <v>20455.8</v>
      </c>
      <c r="AC10" s="25">
        <v>0</v>
      </c>
      <c r="AD10" s="25">
        <v>321.01900000000001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4.8835624000000006</v>
      </c>
      <c r="J11" s="12">
        <f t="shared" si="1"/>
        <v>0.22389210492392117</v>
      </c>
      <c r="K11" s="12">
        <f t="shared" si="2"/>
        <v>9.9530443715335162E-2</v>
      </c>
      <c r="L11" s="12">
        <f t="shared" si="3"/>
        <v>6.1036219480173327E-2</v>
      </c>
      <c r="M11" s="12">
        <f t="shared" si="4"/>
        <v>0.12436166120858601</v>
      </c>
      <c r="N11" s="54">
        <f t="shared" si="5"/>
        <v>21709704</v>
      </c>
      <c r="O11" s="12">
        <v>16</v>
      </c>
      <c r="P11" s="13">
        <v>213502846</v>
      </c>
      <c r="Q11" s="13">
        <v>711676.15333333297</v>
      </c>
      <c r="R11" s="13">
        <v>24833.8966666667</v>
      </c>
      <c r="S11" s="14">
        <v>48835624</v>
      </c>
      <c r="T11" s="14">
        <v>13313296</v>
      </c>
      <c r="U11" s="14">
        <v>8396408</v>
      </c>
      <c r="V11" s="14">
        <v>27125920</v>
      </c>
      <c r="W11" s="15">
        <v>67.515376000000003</v>
      </c>
      <c r="X11" s="15">
        <v>69.558186000000006</v>
      </c>
      <c r="Y11" s="15">
        <v>34.111228666666698</v>
      </c>
      <c r="Z11" s="15">
        <v>40.019959333333297</v>
      </c>
      <c r="AA11" s="15">
        <v>33.746103666666698</v>
      </c>
      <c r="AB11" s="16">
        <v>21144.799999999999</v>
      </c>
      <c r="AC11" s="16">
        <v>0</v>
      </c>
      <c r="AD11" s="16">
        <v>330.22300000000001</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7.5519360000000004</v>
      </c>
      <c r="J12" s="21">
        <f t="shared" si="1"/>
        <v>0.34622652662137327</v>
      </c>
      <c r="K12" s="21">
        <f t="shared" si="2"/>
        <v>0.12702175976056473</v>
      </c>
      <c r="L12" s="21">
        <f t="shared" si="3"/>
        <v>8.8527535525402892E-2</v>
      </c>
      <c r="M12" s="21">
        <f t="shared" si="4"/>
        <v>0.21920476686080853</v>
      </c>
      <c r="N12" s="18">
        <f t="shared" si="5"/>
        <v>27706144</v>
      </c>
      <c r="O12" s="21">
        <v>16</v>
      </c>
      <c r="P12" s="22">
        <v>217298403</v>
      </c>
      <c r="Q12" s="22">
        <v>724328.01</v>
      </c>
      <c r="R12" s="22">
        <v>26559.073333333301</v>
      </c>
      <c r="S12" s="23">
        <v>75519360</v>
      </c>
      <c r="T12" s="23">
        <v>19309736</v>
      </c>
      <c r="U12" s="23">
        <v>8396408</v>
      </c>
      <c r="V12" s="23">
        <v>47813216</v>
      </c>
      <c r="W12" s="24">
        <v>68.866378333333401</v>
      </c>
      <c r="X12" s="24">
        <v>71.214300666666702</v>
      </c>
      <c r="Y12" s="24">
        <v>36.198197999999998</v>
      </c>
      <c r="Z12" s="24">
        <v>40.906022</v>
      </c>
      <c r="AA12" s="24">
        <v>35.497234333333303</v>
      </c>
      <c r="AB12" s="25">
        <v>21470</v>
      </c>
      <c r="AC12" s="25">
        <v>0</v>
      </c>
      <c r="AD12" s="25">
        <v>356.89600000000002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12.760292</v>
      </c>
      <c r="J13" s="12">
        <f t="shared" si="1"/>
        <v>0.58500913909155161</v>
      </c>
      <c r="K13" s="12">
        <f t="shared" si="2"/>
        <v>0.17474105525219777</v>
      </c>
      <c r="L13" s="12">
        <f t="shared" si="3"/>
        <v>0.13624683101703594</v>
      </c>
      <c r="M13" s="12">
        <f t="shared" si="4"/>
        <v>0.41026808383935387</v>
      </c>
      <c r="N13" s="54">
        <f t="shared" si="5"/>
        <v>38114736</v>
      </c>
      <c r="O13" s="12">
        <v>16</v>
      </c>
      <c r="P13" s="13">
        <v>224949831</v>
      </c>
      <c r="Q13" s="13">
        <v>749832.77</v>
      </c>
      <c r="R13" s="13">
        <v>30098.09</v>
      </c>
      <c r="S13" s="14">
        <v>127602920</v>
      </c>
      <c r="T13" s="14">
        <v>29718328</v>
      </c>
      <c r="U13" s="14">
        <v>8396408</v>
      </c>
      <c r="V13" s="14">
        <v>89488184</v>
      </c>
      <c r="W13" s="15">
        <v>69.942534333333299</v>
      </c>
      <c r="X13" s="15">
        <v>72.471533000000093</v>
      </c>
      <c r="Y13" s="15">
        <v>38.517009000000002</v>
      </c>
      <c r="Z13" s="15">
        <v>42.075518000000002</v>
      </c>
      <c r="AA13" s="15">
        <v>37.5135406666667</v>
      </c>
      <c r="AB13" s="16">
        <v>22496.1</v>
      </c>
      <c r="AC13" s="16">
        <v>0</v>
      </c>
      <c r="AD13" s="16">
        <v>361.76</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22.903186399999999</v>
      </c>
      <c r="J14" s="40">
        <f t="shared" si="1"/>
        <v>1.0500209053458442</v>
      </c>
      <c r="K14" s="40">
        <f t="shared" si="2"/>
        <v>0.2883427190461349</v>
      </c>
      <c r="L14" s="40">
        <f t="shared" si="3"/>
        <v>0.21558311134135208</v>
      </c>
      <c r="M14" s="40">
        <f t="shared" si="4"/>
        <v>0.7616781862997094</v>
      </c>
      <c r="N14" s="37">
        <f t="shared" si="5"/>
        <v>62893672</v>
      </c>
      <c r="O14" s="40">
        <v>16</v>
      </c>
      <c r="P14" s="41">
        <v>212746167</v>
      </c>
      <c r="Q14" s="41">
        <v>709153.89</v>
      </c>
      <c r="R14" s="41">
        <v>14215.776666666699</v>
      </c>
      <c r="S14" s="42">
        <v>229031864</v>
      </c>
      <c r="T14" s="42">
        <v>47023256</v>
      </c>
      <c r="U14" s="42">
        <v>15870416</v>
      </c>
      <c r="V14" s="42">
        <v>166138192</v>
      </c>
      <c r="W14" s="43">
        <v>70.817831333333302</v>
      </c>
      <c r="X14" s="43">
        <v>74.590870999999893</v>
      </c>
      <c r="Y14" s="43">
        <v>40.731774999999999</v>
      </c>
      <c r="Z14" s="43">
        <v>43.387790333333299</v>
      </c>
      <c r="AA14" s="43">
        <v>39.237424666666698</v>
      </c>
      <c r="AB14" s="44">
        <v>23918.400000000001</v>
      </c>
      <c r="AC14" s="44">
        <v>0</v>
      </c>
      <c r="AD14" s="44">
        <v>345.971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4.3744272000000004</v>
      </c>
      <c r="J15" s="12">
        <f t="shared" si="1"/>
        <v>0.13560343513009329</v>
      </c>
      <c r="K15" s="12">
        <f t="shared" si="2"/>
        <v>7.6976467916037392E-2</v>
      </c>
      <c r="L15" s="12">
        <f t="shared" si="3"/>
        <v>4.17993253746251E-2</v>
      </c>
      <c r="M15" s="12">
        <f t="shared" si="4"/>
        <v>5.8626967214055907E-2</v>
      </c>
      <c r="N15" s="54">
        <f t="shared" si="5"/>
        <v>24831816</v>
      </c>
      <c r="O15" s="12">
        <v>16</v>
      </c>
      <c r="P15" s="13">
        <v>295680298</v>
      </c>
      <c r="Q15" s="13">
        <v>985600.99333333306</v>
      </c>
      <c r="R15" s="13">
        <v>28254.080000000002</v>
      </c>
      <c r="S15" s="14">
        <v>43744272</v>
      </c>
      <c r="T15" s="14">
        <v>13484032</v>
      </c>
      <c r="U15" s="14">
        <v>11347784</v>
      </c>
      <c r="V15" s="14">
        <v>18912456</v>
      </c>
      <c r="W15" s="15">
        <v>65.952845999999994</v>
      </c>
      <c r="X15" s="15">
        <v>67.740677666666699</v>
      </c>
      <c r="Y15" s="15">
        <v>29.507553999999999</v>
      </c>
      <c r="Z15" s="15">
        <v>43.202369666666598</v>
      </c>
      <c r="AA15" s="15">
        <v>43.416871</v>
      </c>
      <c r="AB15" s="16">
        <v>24749.5</v>
      </c>
      <c r="AC15" s="16">
        <v>0</v>
      </c>
      <c r="AD15" s="16">
        <v>385.36799999999999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6.9674024000000001</v>
      </c>
      <c r="J16" s="21">
        <f t="shared" si="1"/>
        <v>0.2159834090675132</v>
      </c>
      <c r="K16" s="21">
        <f t="shared" si="2"/>
        <v>9.4274378949180601E-2</v>
      </c>
      <c r="L16" s="21">
        <f t="shared" si="3"/>
        <v>5.9097236407768303E-2</v>
      </c>
      <c r="M16" s="21">
        <f t="shared" si="4"/>
        <v>0.1217090301183326</v>
      </c>
      <c r="N16" s="18">
        <f t="shared" si="5"/>
        <v>30411944</v>
      </c>
      <c r="O16" s="21">
        <v>16</v>
      </c>
      <c r="P16" s="22">
        <v>315642059</v>
      </c>
      <c r="Q16" s="22">
        <v>1052140.19666667</v>
      </c>
      <c r="R16" s="22">
        <v>35006.199999999997</v>
      </c>
      <c r="S16" s="23">
        <v>69674024</v>
      </c>
      <c r="T16" s="23">
        <v>19064160</v>
      </c>
      <c r="U16" s="23">
        <v>11347784</v>
      </c>
      <c r="V16" s="23">
        <v>39262080</v>
      </c>
      <c r="W16" s="24">
        <v>67.752562999999995</v>
      </c>
      <c r="X16" s="24">
        <v>69.809457666666702</v>
      </c>
      <c r="Y16" s="24">
        <v>31.918517666666698</v>
      </c>
      <c r="Z16" s="24">
        <v>44.070264000000002</v>
      </c>
      <c r="AA16" s="24">
        <v>44.381170333333301</v>
      </c>
      <c r="AB16" s="25">
        <v>25657.599999999999</v>
      </c>
      <c r="AC16" s="25">
        <v>0</v>
      </c>
      <c r="AD16" s="25">
        <v>416.42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11.5774136</v>
      </c>
      <c r="J17" s="12">
        <f t="shared" si="1"/>
        <v>0.35888974311467797</v>
      </c>
      <c r="K17" s="12">
        <f t="shared" si="2"/>
        <v>0.12022528778537829</v>
      </c>
      <c r="L17" s="12">
        <f t="shared" si="3"/>
        <v>8.5048145243966006E-2</v>
      </c>
      <c r="M17" s="12">
        <f t="shared" si="4"/>
        <v>0.23866445532929967</v>
      </c>
      <c r="N17" s="54">
        <f t="shared" si="5"/>
        <v>38783440</v>
      </c>
      <c r="O17" s="12">
        <v>16</v>
      </c>
      <c r="P17" s="13">
        <v>319970408</v>
      </c>
      <c r="Q17" s="13">
        <v>1066568.0266666701</v>
      </c>
      <c r="R17" s="13">
        <v>36800.493333333303</v>
      </c>
      <c r="S17" s="14">
        <v>115774136</v>
      </c>
      <c r="T17" s="14">
        <v>27435656</v>
      </c>
      <c r="U17" s="14">
        <v>11347784</v>
      </c>
      <c r="V17" s="14">
        <v>76990696</v>
      </c>
      <c r="W17" s="15">
        <v>69.144207333333298</v>
      </c>
      <c r="X17" s="15">
        <v>71.605050000000006</v>
      </c>
      <c r="Y17" s="15">
        <v>34.468964333333297</v>
      </c>
      <c r="Z17" s="15">
        <v>44.928209666666703</v>
      </c>
      <c r="AA17" s="15">
        <v>45.340142</v>
      </c>
      <c r="AB17" s="16">
        <v>26388.1</v>
      </c>
      <c r="AC17" s="16">
        <v>0</v>
      </c>
      <c r="AD17" s="16">
        <v>419.35300000000001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19.9527888</v>
      </c>
      <c r="J18" s="21">
        <f t="shared" si="1"/>
        <v>0.61851908329969518</v>
      </c>
      <c r="K18" s="21">
        <f t="shared" si="2"/>
        <v>0.16344809318526793</v>
      </c>
      <c r="L18" s="21">
        <f t="shared" si="3"/>
        <v>0.12827095064385563</v>
      </c>
      <c r="M18" s="21">
        <f t="shared" si="4"/>
        <v>0.4550709901144272</v>
      </c>
      <c r="N18" s="18">
        <f t="shared" si="5"/>
        <v>52726672</v>
      </c>
      <c r="O18" s="21">
        <v>16</v>
      </c>
      <c r="P18" s="22">
        <v>330498614</v>
      </c>
      <c r="Q18" s="22">
        <v>1101662.0466666699</v>
      </c>
      <c r="R18" s="22">
        <v>41195.156666666699</v>
      </c>
      <c r="S18" s="23">
        <v>199527888</v>
      </c>
      <c r="T18" s="23">
        <v>41378888</v>
      </c>
      <c r="U18" s="23">
        <v>11347784</v>
      </c>
      <c r="V18" s="23">
        <v>146801216</v>
      </c>
      <c r="W18" s="24">
        <v>70.367129666666699</v>
      </c>
      <c r="X18" s="24">
        <v>72.960667333333305</v>
      </c>
      <c r="Y18" s="24">
        <v>37.1514046666666</v>
      </c>
      <c r="Z18" s="24">
        <v>46.292694666666698</v>
      </c>
      <c r="AA18" s="24">
        <v>46.804541333333297</v>
      </c>
      <c r="AB18" s="25">
        <v>28067</v>
      </c>
      <c r="AC18" s="25">
        <v>0</v>
      </c>
      <c r="AD18" s="25">
        <v>445.25599999999997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35.284080000000003</v>
      </c>
      <c r="J19" s="30">
        <f t="shared" si="1"/>
        <v>1.0937757641514807</v>
      </c>
      <c r="K19" s="30">
        <f t="shared" si="2"/>
        <v>0.26303215182589956</v>
      </c>
      <c r="L19" s="30">
        <f t="shared" si="3"/>
        <v>0.19726206760771262</v>
      </c>
      <c r="M19" s="30">
        <f t="shared" si="4"/>
        <v>0.83074361232558125</v>
      </c>
      <c r="N19" s="27">
        <f t="shared" si="5"/>
        <v>84851464</v>
      </c>
      <c r="O19" s="30">
        <v>16</v>
      </c>
      <c r="P19" s="31">
        <v>314302761</v>
      </c>
      <c r="Q19" s="31">
        <v>1047675.87</v>
      </c>
      <c r="R19" s="31">
        <v>18188.78</v>
      </c>
      <c r="S19" s="32">
        <v>352840800</v>
      </c>
      <c r="T19" s="32">
        <v>63634712</v>
      </c>
      <c r="U19" s="32">
        <v>21216752</v>
      </c>
      <c r="V19" s="32">
        <v>267989336</v>
      </c>
      <c r="W19" s="33">
        <v>71.149855333333406</v>
      </c>
      <c r="X19" s="33">
        <v>75.005084999999994</v>
      </c>
      <c r="Y19" s="33">
        <v>39.630712000000003</v>
      </c>
      <c r="Z19" s="33">
        <v>48.066860666666699</v>
      </c>
      <c r="AA19" s="33">
        <v>48.6485256666667</v>
      </c>
      <c r="AB19" s="34">
        <v>30337.599999999999</v>
      </c>
      <c r="AC19" s="34">
        <v>0</v>
      </c>
      <c r="AD19" s="34">
        <v>425.86500000000001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4.8382415999999999</v>
      </c>
      <c r="J20" s="21">
        <f t="shared" si="1"/>
        <v>9.6532038810358337E-2</v>
      </c>
      <c r="K20" s="21">
        <f t="shared" si="2"/>
        <v>5.806828461528004E-2</v>
      </c>
      <c r="L20" s="21">
        <f t="shared" si="3"/>
        <v>2.9238960375760389E-2</v>
      </c>
      <c r="M20" s="21">
        <f t="shared" si="4"/>
        <v>3.8463754195078304E-2</v>
      </c>
      <c r="N20" s="18">
        <f t="shared" si="5"/>
        <v>14552080</v>
      </c>
      <c r="O20" s="21">
        <v>16</v>
      </c>
      <c r="P20" s="22">
        <v>234675165</v>
      </c>
      <c r="Q20" s="22">
        <v>938700.66</v>
      </c>
      <c r="R20" s="22">
        <v>27933.984</v>
      </c>
      <c r="S20" s="23">
        <v>24191208</v>
      </c>
      <c r="T20" s="23">
        <v>7327368</v>
      </c>
      <c r="U20" s="23">
        <v>7224712</v>
      </c>
      <c r="V20" s="23">
        <v>9639128</v>
      </c>
      <c r="W20" s="24">
        <v>67.292702000000006</v>
      </c>
      <c r="X20" s="24">
        <v>69.088280800000007</v>
      </c>
      <c r="Y20" s="24">
        <v>31.1167804</v>
      </c>
      <c r="Z20" s="24">
        <v>40.3108492</v>
      </c>
      <c r="AA20" s="24">
        <v>39.112166000000002</v>
      </c>
      <c r="AB20" s="25">
        <v>21183.3</v>
      </c>
      <c r="AC20" s="25">
        <v>0</v>
      </c>
      <c r="AD20" s="25">
        <v>330.05</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7.1151200000000001</v>
      </c>
      <c r="J21" s="12">
        <f t="shared" si="1"/>
        <v>0.14196005424374772</v>
      </c>
      <c r="K21" s="12">
        <f t="shared" si="2"/>
        <v>6.9031797402528766E-2</v>
      </c>
      <c r="L21" s="12">
        <f t="shared" si="3"/>
        <v>4.0202473163009123E-2</v>
      </c>
      <c r="M21" s="12">
        <f t="shared" si="4"/>
        <v>7.2928256841218966E-2</v>
      </c>
      <c r="N21" s="54">
        <f t="shared" si="5"/>
        <v>17299568</v>
      </c>
      <c r="O21" s="12">
        <v>16</v>
      </c>
      <c r="P21" s="13">
        <v>244372466</v>
      </c>
      <c r="Q21" s="13">
        <v>977489.86399999994</v>
      </c>
      <c r="R21" s="13">
        <v>33347.252</v>
      </c>
      <c r="S21" s="14">
        <v>35575600</v>
      </c>
      <c r="T21" s="14">
        <v>10074856</v>
      </c>
      <c r="U21" s="14">
        <v>7224712</v>
      </c>
      <c r="V21" s="14">
        <v>18276032</v>
      </c>
      <c r="W21" s="15">
        <v>68.879831999999894</v>
      </c>
      <c r="X21" s="15">
        <v>71.013356799999997</v>
      </c>
      <c r="Y21" s="15">
        <v>32.872518800000002</v>
      </c>
      <c r="Z21" s="15">
        <v>41.506481600000001</v>
      </c>
      <c r="AA21" s="15">
        <v>40.447173200000002</v>
      </c>
      <c r="AB21" s="16">
        <v>21761.4</v>
      </c>
      <c r="AC21" s="16">
        <v>0</v>
      </c>
      <c r="AD21" s="16">
        <v>346.702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11.5026432</v>
      </c>
      <c r="J22" s="21">
        <f t="shared" si="1"/>
        <v>0.22949941148125064</v>
      </c>
      <c r="K22" s="21">
        <f t="shared" si="2"/>
        <v>8.5966733719763835E-2</v>
      </c>
      <c r="L22" s="21">
        <f t="shared" si="3"/>
        <v>5.7137409480244185E-2</v>
      </c>
      <c r="M22" s="21">
        <f t="shared" si="4"/>
        <v>0.14353267776148679</v>
      </c>
      <c r="N22" s="18">
        <f t="shared" si="5"/>
        <v>21543512</v>
      </c>
      <c r="O22" s="21">
        <v>16</v>
      </c>
      <c r="P22" s="22">
        <v>255382334</v>
      </c>
      <c r="Q22" s="22">
        <v>1021529.336</v>
      </c>
      <c r="R22" s="22">
        <v>35812</v>
      </c>
      <c r="S22" s="23">
        <v>57513216</v>
      </c>
      <c r="T22" s="23">
        <v>14318800</v>
      </c>
      <c r="U22" s="23">
        <v>7224712</v>
      </c>
      <c r="V22" s="23">
        <v>35969704</v>
      </c>
      <c r="W22" s="24">
        <v>70.043271599999997</v>
      </c>
      <c r="X22" s="24">
        <v>72.458006400000002</v>
      </c>
      <c r="Y22" s="24">
        <v>34.7814172</v>
      </c>
      <c r="Z22" s="24">
        <v>42.603807199999999</v>
      </c>
      <c r="AA22" s="24">
        <v>41.611138799999999</v>
      </c>
      <c r="AB22" s="25">
        <v>22652</v>
      </c>
      <c r="AC22" s="25">
        <v>0</v>
      </c>
      <c r="AD22" s="25">
        <v>340.82400000000001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20.241537600000001</v>
      </c>
      <c r="J23" s="12">
        <f t="shared" si="1"/>
        <v>0.40385682541866608</v>
      </c>
      <c r="K23" s="12">
        <f t="shared" si="2"/>
        <v>0.11542024868340406</v>
      </c>
      <c r="L23" s="12">
        <f t="shared" si="3"/>
        <v>8.6590924443884415E-2</v>
      </c>
      <c r="M23" s="12">
        <f t="shared" si="4"/>
        <v>0.28843657673526202</v>
      </c>
      <c r="N23" s="54">
        <f t="shared" si="5"/>
        <v>28924648</v>
      </c>
      <c r="O23" s="12">
        <v>16</v>
      </c>
      <c r="P23" s="13">
        <v>255641962</v>
      </c>
      <c r="Q23" s="13">
        <v>1022567.848</v>
      </c>
      <c r="R23" s="13">
        <v>37896.531999999999</v>
      </c>
      <c r="S23" s="14">
        <v>101207688</v>
      </c>
      <c r="T23" s="14">
        <v>21699936</v>
      </c>
      <c r="U23" s="14">
        <v>7224712</v>
      </c>
      <c r="V23" s="14">
        <v>72283040</v>
      </c>
      <c r="W23" s="15">
        <v>71.078891200000001</v>
      </c>
      <c r="X23" s="15">
        <v>73.827556000000101</v>
      </c>
      <c r="Y23" s="15">
        <v>36.324855200000002</v>
      </c>
      <c r="Z23" s="15">
        <v>43.933628400000003</v>
      </c>
      <c r="AA23" s="15">
        <v>42.865189600000001</v>
      </c>
      <c r="AB23" s="16">
        <v>23325.4</v>
      </c>
      <c r="AC23" s="16">
        <v>0</v>
      </c>
      <c r="AD23" s="16">
        <v>353.86099999999999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35.4005808</v>
      </c>
      <c r="J24" s="40">
        <f t="shared" si="1"/>
        <v>0.70630830831077684</v>
      </c>
      <c r="K24" s="40">
        <f t="shared" si="2"/>
        <v>0.19152372827175407</v>
      </c>
      <c r="L24" s="40">
        <f t="shared" si="3"/>
        <v>0.13634821156153382</v>
      </c>
      <c r="M24" s="40">
        <f t="shared" si="4"/>
        <v>0.51478458003902272</v>
      </c>
      <c r="N24" s="37">
        <f t="shared" si="5"/>
        <v>47996400</v>
      </c>
      <c r="O24" s="40">
        <v>16</v>
      </c>
      <c r="P24" s="41">
        <v>245253778</v>
      </c>
      <c r="Q24" s="41">
        <v>981015.11199999996</v>
      </c>
      <c r="R24" s="41">
        <v>18980.276000000002</v>
      </c>
      <c r="S24" s="42">
        <v>177002904</v>
      </c>
      <c r="T24" s="42">
        <v>34169256</v>
      </c>
      <c r="U24" s="42">
        <v>13827144</v>
      </c>
      <c r="V24" s="42">
        <v>129006504</v>
      </c>
      <c r="W24" s="43">
        <v>71.913038799999995</v>
      </c>
      <c r="X24" s="43">
        <v>75.788485600000001</v>
      </c>
      <c r="Y24" s="43">
        <v>37.198903199999997</v>
      </c>
      <c r="Z24" s="43">
        <v>44.905577999999998</v>
      </c>
      <c r="AA24" s="43">
        <v>43.527957200000003</v>
      </c>
      <c r="AB24" s="44">
        <v>24672.7</v>
      </c>
      <c r="AC24" s="44">
        <v>0</v>
      </c>
      <c r="AD24" s="44">
        <v>341.928</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4.6415255999999996</v>
      </c>
      <c r="J25" s="12">
        <f t="shared" si="1"/>
        <v>0.18544251189584279</v>
      </c>
      <c r="K25" s="12">
        <f t="shared" si="2"/>
        <v>6.4006563274310105E-2</v>
      </c>
      <c r="L25" s="12">
        <f t="shared" si="3"/>
        <v>3.6537714587845133E-2</v>
      </c>
      <c r="M25" s="12">
        <f t="shared" si="4"/>
        <v>0.12143594862153269</v>
      </c>
      <c r="N25" s="54">
        <f t="shared" si="5"/>
        <v>16020496</v>
      </c>
      <c r="O25" s="12">
        <v>16</v>
      </c>
      <c r="P25" s="13">
        <v>229813518</v>
      </c>
      <c r="Q25" s="13">
        <v>766045.06</v>
      </c>
      <c r="R25" s="13">
        <v>15663.346666666699</v>
      </c>
      <c r="S25" s="14">
        <v>46415256</v>
      </c>
      <c r="T25" s="14">
        <v>9145192</v>
      </c>
      <c r="U25" s="14">
        <v>6875304</v>
      </c>
      <c r="V25" s="14">
        <v>30394760</v>
      </c>
      <c r="W25" s="15">
        <v>66.287795666666696</v>
      </c>
      <c r="X25" s="15">
        <v>68.082541000000006</v>
      </c>
      <c r="Y25" s="15">
        <v>27.281261666666701</v>
      </c>
      <c r="Z25" s="15">
        <v>33.103212999999997</v>
      </c>
      <c r="AA25" s="15">
        <v>32.536257999999997</v>
      </c>
      <c r="AB25" s="16">
        <v>17680.099999999999</v>
      </c>
      <c r="AC25" s="16">
        <v>0</v>
      </c>
      <c r="AD25" s="16">
        <v>342.505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7.9774032000000004</v>
      </c>
      <c r="J26" s="21">
        <f t="shared" si="1"/>
        <v>0.31872057062745368</v>
      </c>
      <c r="K26" s="21">
        <f t="shared" si="2"/>
        <v>7.9057468371408854E-2</v>
      </c>
      <c r="L26" s="21">
        <f t="shared" si="3"/>
        <v>5.1588619684943882E-2</v>
      </c>
      <c r="M26" s="21">
        <f t="shared" si="4"/>
        <v>0.23966310225604484</v>
      </c>
      <c r="N26" s="18">
        <f t="shared" si="5"/>
        <v>19787656</v>
      </c>
      <c r="O26" s="21">
        <v>16</v>
      </c>
      <c r="P26" s="22">
        <v>243596625</v>
      </c>
      <c r="Q26" s="22">
        <v>811988.75</v>
      </c>
      <c r="R26" s="22">
        <v>19477.926666666699</v>
      </c>
      <c r="S26" s="23">
        <v>79774032</v>
      </c>
      <c r="T26" s="23">
        <v>12912352</v>
      </c>
      <c r="U26" s="23">
        <v>6875304</v>
      </c>
      <c r="V26" s="23">
        <v>59986376</v>
      </c>
      <c r="W26" s="24">
        <v>68.006917999999999</v>
      </c>
      <c r="X26" s="24">
        <v>70.038729000000004</v>
      </c>
      <c r="Y26" s="24">
        <v>29.675542</v>
      </c>
      <c r="Z26" s="24">
        <v>34.267609666666701</v>
      </c>
      <c r="AA26" s="24">
        <v>33.851355333333302</v>
      </c>
      <c r="AB26" s="25">
        <v>18405.7</v>
      </c>
      <c r="AC26" s="25">
        <v>0</v>
      </c>
      <c r="AD26" s="25">
        <v>363.54700000000003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14.0507744</v>
      </c>
      <c r="J27" s="12">
        <f t="shared" si="1"/>
        <v>0.56136949860145191</v>
      </c>
      <c r="K27" s="12">
        <f t="shared" si="2"/>
        <v>0.10175175106267383</v>
      </c>
      <c r="L27" s="12">
        <f t="shared" si="3"/>
        <v>7.428290237620884E-2</v>
      </c>
      <c r="M27" s="12">
        <f t="shared" si="4"/>
        <v>0.45961774753877815</v>
      </c>
      <c r="N27" s="54">
        <f t="shared" si="5"/>
        <v>25467912</v>
      </c>
      <c r="O27" s="12">
        <v>16</v>
      </c>
      <c r="P27" s="13">
        <v>246292617</v>
      </c>
      <c r="Q27" s="13">
        <v>820975.39</v>
      </c>
      <c r="R27" s="13">
        <v>20455.153333333299</v>
      </c>
      <c r="S27" s="14">
        <v>140507744</v>
      </c>
      <c r="T27" s="14">
        <v>18592608</v>
      </c>
      <c r="U27" s="14">
        <v>6875304</v>
      </c>
      <c r="V27" s="14">
        <v>115039832</v>
      </c>
      <c r="W27" s="15">
        <v>69.315213999999997</v>
      </c>
      <c r="X27" s="15">
        <v>71.735003333333296</v>
      </c>
      <c r="Y27" s="15">
        <v>32.184964000000001</v>
      </c>
      <c r="Z27" s="15">
        <v>35.538663</v>
      </c>
      <c r="AA27" s="15">
        <v>35.188755333333397</v>
      </c>
      <c r="AB27" s="16">
        <v>19211.400000000001</v>
      </c>
      <c r="AC27" s="16">
        <v>0</v>
      </c>
      <c r="AD27" s="16">
        <v>357.84300000000002</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25.978811199999999</v>
      </c>
      <c r="J28" s="21">
        <f t="shared" si="1"/>
        <v>1.0379294266945018</v>
      </c>
      <c r="K28" s="21">
        <f t="shared" si="2"/>
        <v>0.1395089247277434</v>
      </c>
      <c r="L28" s="21">
        <f t="shared" si="3"/>
        <v>0.11204007604127843</v>
      </c>
      <c r="M28" s="21">
        <f t="shared" si="4"/>
        <v>0.89842050196675849</v>
      </c>
      <c r="N28" s="18">
        <f t="shared" si="5"/>
        <v>34918328</v>
      </c>
      <c r="O28" s="21">
        <v>16</v>
      </c>
      <c r="P28" s="22">
        <v>253012627</v>
      </c>
      <c r="Q28" s="22">
        <v>843375.42333333299</v>
      </c>
      <c r="R28" s="22">
        <v>22919.023333333302</v>
      </c>
      <c r="S28" s="23">
        <v>259788112</v>
      </c>
      <c r="T28" s="23">
        <v>28043024</v>
      </c>
      <c r="U28" s="23">
        <v>6875304</v>
      </c>
      <c r="V28" s="23">
        <v>224869784</v>
      </c>
      <c r="W28" s="24">
        <v>70.4547083333334</v>
      </c>
      <c r="X28" s="24">
        <v>73.019470333333402</v>
      </c>
      <c r="Y28" s="24">
        <v>34.865089333333302</v>
      </c>
      <c r="Z28" s="24">
        <v>37.362420666666701</v>
      </c>
      <c r="AA28" s="24">
        <v>36.933310666666699</v>
      </c>
      <c r="AB28" s="25">
        <v>20831.599999999999</v>
      </c>
      <c r="AC28" s="25">
        <v>0</v>
      </c>
      <c r="AD28" s="25">
        <v>382.45800000000003</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46.780869600000003</v>
      </c>
      <c r="J29" s="30">
        <f t="shared" si="1"/>
        <v>1.8690324507303957</v>
      </c>
      <c r="K29" s="30">
        <f t="shared" si="2"/>
        <v>0.22579314161902234</v>
      </c>
      <c r="L29" s="30">
        <f t="shared" si="3"/>
        <v>0.17327272389779497</v>
      </c>
      <c r="M29" s="30">
        <f t="shared" si="4"/>
        <v>1.6432393091113735</v>
      </c>
      <c r="N29" s="27">
        <f t="shared" si="5"/>
        <v>56514800</v>
      </c>
      <c r="O29" s="30">
        <v>16</v>
      </c>
      <c r="P29" s="31">
        <v>243449457</v>
      </c>
      <c r="Q29" s="31">
        <v>811498.19</v>
      </c>
      <c r="R29" s="31">
        <v>10618.35</v>
      </c>
      <c r="S29" s="32">
        <v>467808696</v>
      </c>
      <c r="T29" s="32">
        <v>43369224</v>
      </c>
      <c r="U29" s="32">
        <v>13145576</v>
      </c>
      <c r="V29" s="32">
        <v>411293896</v>
      </c>
      <c r="W29" s="33">
        <v>71.195139333333302</v>
      </c>
      <c r="X29" s="33">
        <v>74.950058666666706</v>
      </c>
      <c r="Y29" s="33">
        <v>37.258425333333399</v>
      </c>
      <c r="Z29" s="33">
        <v>39.4042483333333</v>
      </c>
      <c r="AA29" s="33">
        <v>38.757429666666603</v>
      </c>
      <c r="AB29" s="34">
        <v>23199.8</v>
      </c>
      <c r="AC29" s="34">
        <v>0</v>
      </c>
      <c r="AD29" s="34">
        <v>364.22800000000001</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5.8340699999999996</v>
      </c>
      <c r="J30" s="21">
        <f t="shared" si="1"/>
        <v>6.6588998862012277E-2</v>
      </c>
      <c r="K30" s="21">
        <f t="shared" si="2"/>
        <v>4.0506732534512126E-2</v>
      </c>
      <c r="L30" s="21">
        <f t="shared" si="3"/>
        <v>2.5301047722459336E-2</v>
      </c>
      <c r="M30" s="21">
        <f t="shared" si="4"/>
        <v>2.6082266327500145E-2</v>
      </c>
      <c r="N30" s="18">
        <f t="shared" si="5"/>
        <v>7571032</v>
      </c>
      <c r="O30" s="21">
        <v>16</v>
      </c>
      <c r="P30" s="22">
        <v>169249663</v>
      </c>
      <c r="Q30" s="22">
        <v>2644525.984375</v>
      </c>
      <c r="R30" s="22">
        <v>31572.21875</v>
      </c>
      <c r="S30" s="23">
        <v>12446016</v>
      </c>
      <c r="T30" s="23">
        <v>4728968</v>
      </c>
      <c r="U30" s="23">
        <v>2842064</v>
      </c>
      <c r="V30" s="23">
        <v>4874984</v>
      </c>
      <c r="W30" s="24">
        <v>73.420381250000005</v>
      </c>
      <c r="X30" s="24">
        <v>75.652451562500005</v>
      </c>
      <c r="Y30" s="24">
        <v>34.761785937500001</v>
      </c>
      <c r="Z30" s="24">
        <v>42.259193750000001</v>
      </c>
      <c r="AA30" s="24">
        <v>43.857667187499999</v>
      </c>
      <c r="AB30" s="25">
        <v>10827.1</v>
      </c>
      <c r="AC30" s="25">
        <v>0</v>
      </c>
      <c r="AD30" s="25">
        <v>221.81299999999999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8.3128762500000004</v>
      </c>
      <c r="J31" s="12">
        <f t="shared" si="1"/>
        <v>9.4881636173597309E-2</v>
      </c>
      <c r="K31" s="12">
        <f t="shared" si="2"/>
        <v>4.9817281487980897E-2</v>
      </c>
      <c r="L31" s="12">
        <f t="shared" si="3"/>
        <v>3.4611596675928107E-2</v>
      </c>
      <c r="M31" s="12">
        <f t="shared" si="4"/>
        <v>4.5064354685616412E-2</v>
      </c>
      <c r="N31" s="54">
        <f t="shared" si="5"/>
        <v>9311248</v>
      </c>
      <c r="O31" s="12">
        <v>16</v>
      </c>
      <c r="P31" s="13">
        <v>180376132</v>
      </c>
      <c r="Q31" s="13">
        <v>2818377.0625</v>
      </c>
      <c r="R31" s="13">
        <v>39635.953125</v>
      </c>
      <c r="S31" s="14">
        <v>17734136</v>
      </c>
      <c r="T31" s="14">
        <v>6469184</v>
      </c>
      <c r="U31" s="14">
        <v>2842064</v>
      </c>
      <c r="V31" s="14">
        <v>8422888</v>
      </c>
      <c r="W31" s="15">
        <v>75.126996875000003</v>
      </c>
      <c r="X31" s="15">
        <v>77.554318749999993</v>
      </c>
      <c r="Y31" s="15">
        <v>36.699070312499998</v>
      </c>
      <c r="Z31" s="15">
        <v>42.785546875000001</v>
      </c>
      <c r="AA31" s="15">
        <v>45.095743749999997</v>
      </c>
      <c r="AB31" s="16">
        <v>11095</v>
      </c>
      <c r="AC31" s="16">
        <v>0</v>
      </c>
      <c r="AD31" s="16">
        <v>225.40299999999999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12.8032275</v>
      </c>
      <c r="J32" s="21">
        <f t="shared" si="1"/>
        <v>0.14613367707750921</v>
      </c>
      <c r="K32" s="21">
        <f t="shared" si="2"/>
        <v>6.3285897712099429E-2</v>
      </c>
      <c r="L32" s="21">
        <f t="shared" si="3"/>
        <v>4.8080212900046632E-2</v>
      </c>
      <c r="M32" s="21">
        <f t="shared" si="4"/>
        <v>8.2847779365409796E-2</v>
      </c>
      <c r="N32" s="18">
        <f t="shared" si="5"/>
        <v>11828640</v>
      </c>
      <c r="O32" s="21">
        <v>16</v>
      </c>
      <c r="P32" s="22">
        <v>184125169</v>
      </c>
      <c r="Q32" s="22">
        <v>2876955.765625</v>
      </c>
      <c r="R32" s="22">
        <v>42824.109375</v>
      </c>
      <c r="S32" s="23">
        <v>27313552</v>
      </c>
      <c r="T32" s="23">
        <v>8986576</v>
      </c>
      <c r="U32" s="23">
        <v>2842064</v>
      </c>
      <c r="V32" s="23">
        <v>15484912</v>
      </c>
      <c r="W32" s="24">
        <v>76.4186921875</v>
      </c>
      <c r="X32" s="24">
        <v>79.128403125000006</v>
      </c>
      <c r="Y32" s="24">
        <v>38.443445312500003</v>
      </c>
      <c r="Z32" s="24">
        <v>43.306199999999997</v>
      </c>
      <c r="AA32" s="24">
        <v>46.267962500000003</v>
      </c>
      <c r="AB32" s="25">
        <v>11334.3</v>
      </c>
      <c r="AC32" s="25">
        <v>0</v>
      </c>
      <c r="AD32" s="25">
        <v>230.46</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21.3374475</v>
      </c>
      <c r="J33" s="12">
        <f t="shared" si="1"/>
        <v>0.24354168998584977</v>
      </c>
      <c r="K33" s="12">
        <f t="shared" si="2"/>
        <v>8.5660286188619941E-2</v>
      </c>
      <c r="L33" s="12">
        <f t="shared" si="3"/>
        <v>7.0454601376567144E-2</v>
      </c>
      <c r="M33" s="12">
        <f t="shared" si="4"/>
        <v>0.15788140379722984</v>
      </c>
      <c r="N33" s="54">
        <f t="shared" si="5"/>
        <v>16010592</v>
      </c>
      <c r="O33" s="12">
        <v>16</v>
      </c>
      <c r="P33" s="13">
        <v>188671707</v>
      </c>
      <c r="Q33" s="13">
        <v>2947995.421875</v>
      </c>
      <c r="R33" s="13">
        <v>47562.65625</v>
      </c>
      <c r="S33" s="14">
        <v>45519888</v>
      </c>
      <c r="T33" s="14">
        <v>13168528</v>
      </c>
      <c r="U33" s="14">
        <v>2842064</v>
      </c>
      <c r="V33" s="14">
        <v>29509296</v>
      </c>
      <c r="W33" s="15">
        <v>77.572199999999995</v>
      </c>
      <c r="X33" s="15">
        <v>80.316171874999995</v>
      </c>
      <c r="Y33" s="15">
        <v>40.047817187500002</v>
      </c>
      <c r="Z33" s="15">
        <v>44.019178125000003</v>
      </c>
      <c r="AA33" s="15">
        <v>47.8804203125</v>
      </c>
      <c r="AB33" s="16">
        <v>11781</v>
      </c>
      <c r="AC33" s="16">
        <v>0</v>
      </c>
      <c r="AD33" s="16">
        <v>251.44300000000001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39.975933750000003</v>
      </c>
      <c r="J34" s="40">
        <f t="shared" si="1"/>
        <v>0.45627793409860151</v>
      </c>
      <c r="K34" s="40">
        <f t="shared" si="2"/>
        <v>0.13767548333447124</v>
      </c>
      <c r="L34" s="40">
        <f t="shared" si="3"/>
        <v>0.10711798833683896</v>
      </c>
      <c r="M34" s="40">
        <f t="shared" si="4"/>
        <v>0.31860245076413024</v>
      </c>
      <c r="N34" s="37">
        <f t="shared" si="5"/>
        <v>25732648</v>
      </c>
      <c r="O34" s="40">
        <v>16</v>
      </c>
      <c r="P34" s="41">
        <v>184986686</v>
      </c>
      <c r="Q34" s="41">
        <v>2890416.96875</v>
      </c>
      <c r="R34" s="41">
        <v>18988.484375</v>
      </c>
      <c r="S34" s="42">
        <v>85281992</v>
      </c>
      <c r="T34" s="42">
        <v>20021208</v>
      </c>
      <c r="U34" s="42">
        <v>5711440</v>
      </c>
      <c r="V34" s="42">
        <v>59549344</v>
      </c>
      <c r="W34" s="43">
        <v>78.495457812500007</v>
      </c>
      <c r="X34" s="43">
        <v>81.985414062499999</v>
      </c>
      <c r="Y34" s="43">
        <v>41.53643125</v>
      </c>
      <c r="Z34" s="43">
        <v>44.803509374999997</v>
      </c>
      <c r="AA34" s="43">
        <v>49.259440625000003</v>
      </c>
      <c r="AB34" s="44">
        <v>14029.6</v>
      </c>
      <c r="AC34" s="44">
        <v>0</v>
      </c>
      <c r="AD34" s="44">
        <v>246.36099999999999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6.0221962500000004</v>
      </c>
      <c r="J35" s="12">
        <f t="shared" si="1"/>
        <v>7.7380299955095724E-2</v>
      </c>
      <c r="K35" s="12">
        <f t="shared" si="2"/>
        <v>4.5939763264328762E-2</v>
      </c>
      <c r="L35" s="12">
        <f t="shared" si="3"/>
        <v>2.8155514638136276E-2</v>
      </c>
      <c r="M35" s="12">
        <f t="shared" si="4"/>
        <v>3.1440536690766956E-2</v>
      </c>
      <c r="N35" s="54">
        <f t="shared" si="5"/>
        <v>7627320</v>
      </c>
      <c r="O35" s="12">
        <v>16</v>
      </c>
      <c r="P35" s="13">
        <v>149475345</v>
      </c>
      <c r="Q35" s="13">
        <v>2335552.265625</v>
      </c>
      <c r="R35" s="13">
        <v>30858.4375</v>
      </c>
      <c r="S35" s="14">
        <v>12847352</v>
      </c>
      <c r="T35" s="14">
        <v>4674624</v>
      </c>
      <c r="U35" s="14">
        <v>2952696</v>
      </c>
      <c r="V35" s="14">
        <v>5220032</v>
      </c>
      <c r="W35" s="15">
        <v>73.203678124999996</v>
      </c>
      <c r="X35" s="15">
        <v>75.427323437499993</v>
      </c>
      <c r="Y35" s="15">
        <v>34.096020312500002</v>
      </c>
      <c r="Z35" s="15">
        <v>42.519103125000001</v>
      </c>
      <c r="AA35" s="15">
        <v>44.023568750000003</v>
      </c>
      <c r="AB35" s="16">
        <v>11022</v>
      </c>
      <c r="AC35" s="16">
        <v>0</v>
      </c>
      <c r="AD35" s="16">
        <v>229.40899999999999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8.6091149999999992</v>
      </c>
      <c r="J36" s="21">
        <f t="shared" si="1"/>
        <v>0.11062009163980896</v>
      </c>
      <c r="K36" s="21">
        <f t="shared" si="2"/>
        <v>5.6417227771402775E-2</v>
      </c>
      <c r="L36" s="21">
        <f t="shared" si="3"/>
        <v>3.8632979145210286E-2</v>
      </c>
      <c r="M36" s="21">
        <f t="shared" si="4"/>
        <v>5.4202863868406184E-2</v>
      </c>
      <c r="N36" s="18">
        <f t="shared" si="5"/>
        <v>9366880</v>
      </c>
      <c r="O36" s="21">
        <v>16</v>
      </c>
      <c r="P36" s="22">
        <v>159667518</v>
      </c>
      <c r="Q36" s="22">
        <v>2494804.96875</v>
      </c>
      <c r="R36" s="22">
        <v>39145.453125</v>
      </c>
      <c r="S36" s="23">
        <v>18366112</v>
      </c>
      <c r="T36" s="23">
        <v>6414184</v>
      </c>
      <c r="U36" s="23">
        <v>2952696</v>
      </c>
      <c r="V36" s="23">
        <v>8999232</v>
      </c>
      <c r="W36" s="24">
        <v>74.931957812500002</v>
      </c>
      <c r="X36" s="24">
        <v>77.373424999999997</v>
      </c>
      <c r="Y36" s="24">
        <v>36.170073437500001</v>
      </c>
      <c r="Z36" s="24">
        <v>43.175532812500002</v>
      </c>
      <c r="AA36" s="24">
        <v>45.352903124999997</v>
      </c>
      <c r="AB36" s="25">
        <v>11444</v>
      </c>
      <c r="AC36" s="25">
        <v>0</v>
      </c>
      <c r="AD36" s="25">
        <v>230.55799999999999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13.16242875</v>
      </c>
      <c r="J37" s="12">
        <f t="shared" si="1"/>
        <v>0.16912645196718318</v>
      </c>
      <c r="K37" s="12">
        <f t="shared" si="2"/>
        <v>7.1439737310987364E-2</v>
      </c>
      <c r="L37" s="12">
        <f t="shared" si="3"/>
        <v>5.3655488684794882E-2</v>
      </c>
      <c r="M37" s="12">
        <f t="shared" si="4"/>
        <v>9.76867146561958E-2</v>
      </c>
      <c r="N37" s="54">
        <f t="shared" si="5"/>
        <v>11861048</v>
      </c>
      <c r="O37" s="12">
        <v>16</v>
      </c>
      <c r="P37" s="13">
        <v>163021167</v>
      </c>
      <c r="Q37" s="13">
        <v>2547205.734375</v>
      </c>
      <c r="R37" s="13">
        <v>42107.53125</v>
      </c>
      <c r="S37" s="14">
        <v>28079848</v>
      </c>
      <c r="T37" s="14">
        <v>8908352</v>
      </c>
      <c r="U37" s="14">
        <v>2952696</v>
      </c>
      <c r="V37" s="14">
        <v>16218800</v>
      </c>
      <c r="W37" s="15">
        <v>76.231182812499995</v>
      </c>
      <c r="X37" s="15">
        <v>78.983845312499994</v>
      </c>
      <c r="Y37" s="15">
        <v>38.016212500000002</v>
      </c>
      <c r="Z37" s="15">
        <v>43.728549999999998</v>
      </c>
      <c r="AA37" s="15">
        <v>46.500157812499999</v>
      </c>
      <c r="AB37" s="16">
        <v>11690.9</v>
      </c>
      <c r="AC37" s="16">
        <v>0</v>
      </c>
      <c r="AD37" s="16">
        <v>232.87100000000001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22.108815</v>
      </c>
      <c r="J38" s="21">
        <f t="shared" si="1"/>
        <v>0.284080203522381</v>
      </c>
      <c r="K38" s="21">
        <f t="shared" si="2"/>
        <v>9.6799639204586285E-2</v>
      </c>
      <c r="L38" s="21">
        <f t="shared" si="3"/>
        <v>7.9015390578393796E-2</v>
      </c>
      <c r="M38" s="21">
        <f t="shared" si="4"/>
        <v>0.18728056431779472</v>
      </c>
      <c r="N38" s="18">
        <f t="shared" si="5"/>
        <v>16071520</v>
      </c>
      <c r="O38" s="21">
        <v>16</v>
      </c>
      <c r="P38" s="22">
        <v>167227668</v>
      </c>
      <c r="Q38" s="22">
        <v>2612932.3125</v>
      </c>
      <c r="R38" s="22">
        <v>46854.9375</v>
      </c>
      <c r="S38" s="23">
        <v>47165472</v>
      </c>
      <c r="T38" s="23">
        <v>13118824</v>
      </c>
      <c r="U38" s="23">
        <v>2952696</v>
      </c>
      <c r="V38" s="23">
        <v>31093952</v>
      </c>
      <c r="W38" s="24">
        <v>77.427364062500004</v>
      </c>
      <c r="X38" s="24">
        <v>80.206965624999995</v>
      </c>
      <c r="Y38" s="24">
        <v>39.7853953125</v>
      </c>
      <c r="Z38" s="24">
        <v>44.5117046875</v>
      </c>
      <c r="AA38" s="24">
        <v>47.856745312500003</v>
      </c>
      <c r="AB38" s="25">
        <v>12149.5</v>
      </c>
      <c r="AC38" s="25">
        <v>0</v>
      </c>
      <c r="AD38" s="25">
        <v>233.595</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40.549743749999998</v>
      </c>
      <c r="J39" s="30">
        <f t="shared" si="1"/>
        <v>0.52103106644478214</v>
      </c>
      <c r="K39" s="30">
        <f t="shared" si="2"/>
        <v>0.15550394119166783</v>
      </c>
      <c r="L39" s="30">
        <f t="shared" si="3"/>
        <v>0.1199298545448023</v>
      </c>
      <c r="M39" s="30">
        <f t="shared" si="4"/>
        <v>0.36552712525311437</v>
      </c>
      <c r="N39" s="27">
        <f t="shared" si="5"/>
        <v>25818120</v>
      </c>
      <c r="O39" s="30">
        <v>16</v>
      </c>
      <c r="P39" s="31">
        <v>163674339</v>
      </c>
      <c r="Q39" s="31">
        <v>2557411.546875</v>
      </c>
      <c r="R39" s="31">
        <v>18643.625</v>
      </c>
      <c r="S39" s="32">
        <v>86506120</v>
      </c>
      <c r="T39" s="32">
        <v>19911800</v>
      </c>
      <c r="U39" s="32">
        <v>5906320</v>
      </c>
      <c r="V39" s="32">
        <v>60688000</v>
      </c>
      <c r="W39" s="33">
        <v>78.2997765625</v>
      </c>
      <c r="X39" s="33">
        <v>81.903846874999999</v>
      </c>
      <c r="Y39" s="33">
        <v>41.362742187499997</v>
      </c>
      <c r="Z39" s="33">
        <v>45.498707812500001</v>
      </c>
      <c r="AA39" s="33">
        <v>49.189432812500002</v>
      </c>
      <c r="AB39" s="34">
        <v>12925.8</v>
      </c>
      <c r="AC39" s="34">
        <v>0</v>
      </c>
      <c r="AD39" s="34">
        <v>241.667</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0.39673995680526458</v>
      </c>
      <c r="K40" s="48">
        <f>AVERAGE(K5:K24)</f>
        <v>0.12858258789148957</v>
      </c>
      <c r="L40" s="48">
        <f>AVERAGE(L5:L24)</f>
        <v>9.0557176262251016E-2</v>
      </c>
      <c r="M40" s="48">
        <f>AVERAGE(M5:M24)</f>
        <v>0.26815736891377506</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0.79449889170992927</v>
      </c>
      <c r="K41" s="48">
        <f>AVERAGE(K25:K29)</f>
        <v>0.12202356981103171</v>
      </c>
      <c r="L41" s="48">
        <f>AVERAGE(L25:L29)</f>
        <v>8.9544407317614247E-2</v>
      </c>
      <c r="M41" s="48">
        <f>AVERAGE(M25:M29)</f>
        <v>0.67247532189889758</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0.2169662049726821</v>
      </c>
      <c r="K42" s="48">
        <f>AVERAGE(K30:K39)</f>
        <v>8.030459900006566E-2</v>
      </c>
      <c r="L42" s="48">
        <f>AVERAGE(L30:L39)</f>
        <v>6.0495467460317767E-2</v>
      </c>
      <c r="M42" s="48">
        <f>AVERAGE(M30:M39)</f>
        <v>0.13666160597261645</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0.40219873269662171</v>
      </c>
      <c r="K43" s="48">
        <f>AVERAGE(K5:K39)</f>
        <v>0.11385187419673162</v>
      </c>
      <c r="L43" s="48">
        <f>AVERAGE(L5:L39)</f>
        <v>8.1823435326750557E-2</v>
      </c>
      <c r="M43" s="48">
        <f>AVERAGE(M5:M39)</f>
        <v>0.28834685849989011</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684776.30000000016</v>
      </c>
      <c r="AC44" s="49">
        <f>SUM(AC5:AC24,AC25:AC29,AC30:AC39)</f>
        <v>0</v>
      </c>
      <c r="AD44" s="49">
        <f>SUM(AD5:AD24,AD25:AD29,AD30:AD39)</f>
        <v>11335.3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18701.669853656389</v>
      </c>
      <c r="AC46" s="49" t="e">
        <f>GEOMEAN(AC5:AC24,AC25:AC29,AC30:AC39)</f>
        <v>#NUM!</v>
      </c>
      <c r="AD46" s="49">
        <f>GEOMEAN(AD5:AD24,AD25:AD29,AD30:AD39)</f>
        <v>317.20941090665872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ALL_master+r130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0.16786300527598122</v>
      </c>
      <c r="I5" s="11">
        <f t="shared" ref="I5:I11" si="1">IF(OR(ISBLANK(Q5),ISBLANK(F5)),"·",Q5*F5/E5/1000000)</f>
        <v>215.87023199999999</v>
      </c>
      <c r="J5" s="12">
        <f t="shared" ref="J5:J11" si="2">IF(ISBLANK(Q5),"·",Q5/C5)</f>
        <v>9.0646022849029873</v>
      </c>
      <c r="K5" s="12">
        <f t="shared" ref="K5:K11" si="3">IF(N5="","·",N5/C5)</f>
        <v>1.3852654521226819</v>
      </c>
      <c r="L5" s="12">
        <f t="shared" ref="L5:L11" si="4">IF(R5="","·",R5/C5)</f>
        <v>1.2880542875831362</v>
      </c>
      <c r="M5" s="12">
        <f t="shared" ref="M5:M11" si="5">IF(ISBLANK(T5),"·",T5/C5)</f>
        <v>7.6793368327803044</v>
      </c>
      <c r="N5" s="54">
        <f t="shared" ref="N5:N11" si="6">IF(OR(ISBLANK(R5),ISBLANK(S5)),"",R5+S5)</f>
        <v>329895968</v>
      </c>
      <c r="O5" s="12">
        <v>16</v>
      </c>
      <c r="P5" s="13">
        <v>238146391</v>
      </c>
      <c r="Q5" s="14">
        <v>2158702320</v>
      </c>
      <c r="R5" s="14">
        <v>306745480</v>
      </c>
      <c r="S5" s="14">
        <v>23150488</v>
      </c>
      <c r="T5" s="14">
        <v>1828806352</v>
      </c>
      <c r="U5" s="15" t="s">
        <v>571</v>
      </c>
      <c r="V5" s="15" t="s">
        <v>571</v>
      </c>
      <c r="W5" s="15" t="s">
        <v>571</v>
      </c>
      <c r="X5" s="15" t="s">
        <v>571</v>
      </c>
      <c r="Y5" s="15" t="s">
        <v>571</v>
      </c>
      <c r="Z5" s="16">
        <v>50973.3</v>
      </c>
      <c r="AA5" s="16">
        <v>0</v>
      </c>
      <c r="AB5" s="16">
        <v>273.89499999999998</v>
      </c>
      <c r="AC5" s="16">
        <v>0</v>
      </c>
      <c r="AE5" s="17">
        <f t="shared" ref="AE5:AE11" si="7">IF(ISBLANK(Q5),"·",Q5/(C5*(D5*3+IF(AND(ISNUMBER(T5),T5&gt;0),24,0))))</f>
        <v>0.16786300527598122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0.2397485923940445</v>
      </c>
      <c r="I6" s="20">
        <f t="shared" si="1"/>
        <v>282.38900799999999</v>
      </c>
      <c r="J6" s="21">
        <f t="shared" si="2"/>
        <v>12.946423989278403</v>
      </c>
      <c r="K6" s="21">
        <f t="shared" si="3"/>
        <v>1.7122174648171131</v>
      </c>
      <c r="L6" s="21">
        <f t="shared" si="4"/>
        <v>1.5506014769528957</v>
      </c>
      <c r="M6" s="21">
        <f t="shared" si="5"/>
        <v>11.234206524461291</v>
      </c>
      <c r="N6" s="18">
        <f t="shared" si="6"/>
        <v>373471000</v>
      </c>
      <c r="O6" s="21">
        <v>16</v>
      </c>
      <c r="P6" s="22">
        <v>218121242</v>
      </c>
      <c r="Q6" s="23">
        <v>2823890080</v>
      </c>
      <c r="R6" s="23">
        <v>338219120</v>
      </c>
      <c r="S6" s="23">
        <v>35251880</v>
      </c>
      <c r="T6" s="23">
        <v>2450419080</v>
      </c>
      <c r="U6" s="24" t="s">
        <v>571</v>
      </c>
      <c r="V6" s="24" t="s">
        <v>571</v>
      </c>
      <c r="W6" s="24" t="s">
        <v>571</v>
      </c>
      <c r="X6" s="24" t="s">
        <v>571</v>
      </c>
      <c r="Y6" s="24" t="s">
        <v>571</v>
      </c>
      <c r="Z6" s="25">
        <v>51248.2</v>
      </c>
      <c r="AA6" s="25">
        <v>0</v>
      </c>
      <c r="AB6" s="25">
        <v>279.87400000000002</v>
      </c>
      <c r="AC6" s="25">
        <v>0</v>
      </c>
      <c r="AE6" s="26">
        <f t="shared" si="7"/>
        <v>0.2397485923940445</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0.18718707130815906</v>
      </c>
      <c r="I7" s="11">
        <f t="shared" si="1"/>
        <v>326.07695839999997</v>
      </c>
      <c r="J7" s="12">
        <f t="shared" si="2"/>
        <v>10.10810185064059</v>
      </c>
      <c r="K7" s="12">
        <f t="shared" si="3"/>
        <v>1.593533536953802</v>
      </c>
      <c r="L7" s="12">
        <f t="shared" si="4"/>
        <v>1.4737479656201302</v>
      </c>
      <c r="M7" s="12">
        <f t="shared" si="5"/>
        <v>8.5145683136867873</v>
      </c>
      <c r="N7" s="54">
        <f t="shared" si="6"/>
        <v>514057512</v>
      </c>
      <c r="O7" s="12">
        <v>16</v>
      </c>
      <c r="P7" s="13">
        <v>322589704</v>
      </c>
      <c r="Q7" s="14">
        <v>3260769584</v>
      </c>
      <c r="R7" s="14">
        <v>475415920</v>
      </c>
      <c r="S7" s="14">
        <v>38641592</v>
      </c>
      <c r="T7" s="14">
        <v>2746712072</v>
      </c>
      <c r="U7" s="15" t="s">
        <v>571</v>
      </c>
      <c r="V7" s="15" t="s">
        <v>571</v>
      </c>
      <c r="W7" s="15" t="s">
        <v>571</v>
      </c>
      <c r="X7" s="15" t="s">
        <v>571</v>
      </c>
      <c r="Y7" s="15" t="s">
        <v>571</v>
      </c>
      <c r="Z7" s="16">
        <v>68672.600000000006</v>
      </c>
      <c r="AA7" s="16">
        <v>0</v>
      </c>
      <c r="AB7" s="16">
        <v>340.029</v>
      </c>
      <c r="AC7" s="16">
        <v>0</v>
      </c>
      <c r="AE7" s="17">
        <f t="shared" si="7"/>
        <v>0.18718707130815906</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0.1598784328528815</v>
      </c>
      <c r="I8" s="39">
        <f t="shared" si="1"/>
        <v>432.71277280000004</v>
      </c>
      <c r="J8" s="40">
        <f t="shared" si="2"/>
        <v>8.6334353740556011</v>
      </c>
      <c r="K8" s="40">
        <f t="shared" si="3"/>
        <v>1.182579238481331</v>
      </c>
      <c r="L8" s="40">
        <f t="shared" si="4"/>
        <v>1.0399167502022153</v>
      </c>
      <c r="M8" s="40">
        <f t="shared" si="5"/>
        <v>7.45085613557427</v>
      </c>
      <c r="N8" s="37">
        <f t="shared" si="6"/>
        <v>296357776</v>
      </c>
      <c r="O8" s="40">
        <v>16</v>
      </c>
      <c r="P8" s="41">
        <v>250602891</v>
      </c>
      <c r="Q8" s="42">
        <v>2163563864</v>
      </c>
      <c r="R8" s="42">
        <v>260606144</v>
      </c>
      <c r="S8" s="42">
        <v>35751632</v>
      </c>
      <c r="T8" s="42">
        <v>1867206088</v>
      </c>
      <c r="U8" s="43" t="s">
        <v>571</v>
      </c>
      <c r="V8" s="43" t="s">
        <v>571</v>
      </c>
      <c r="W8" s="43" t="s">
        <v>571</v>
      </c>
      <c r="X8" s="43" t="s">
        <v>571</v>
      </c>
      <c r="Y8" s="43" t="s">
        <v>571</v>
      </c>
      <c r="Z8" s="44">
        <v>48273</v>
      </c>
      <c r="AA8" s="44">
        <v>0</v>
      </c>
      <c r="AB8" s="44">
        <v>257.38799999999998</v>
      </c>
      <c r="AC8" s="44">
        <v>0</v>
      </c>
      <c r="AE8" s="46">
        <f t="shared" si="7"/>
        <v>0.1598784328528815</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0.27484194633535486</v>
      </c>
      <c r="I9" s="29">
        <f t="shared" si="1"/>
        <v>371.4738304</v>
      </c>
      <c r="J9" s="30">
        <f t="shared" si="2"/>
        <v>14.841465102109161</v>
      </c>
      <c r="K9" s="30">
        <f t="shared" si="3"/>
        <v>1.4732529527946394</v>
      </c>
      <c r="L9" s="30">
        <f t="shared" si="4"/>
        <v>1.373499423171693</v>
      </c>
      <c r="M9" s="30">
        <f t="shared" si="5"/>
        <v>13.368212149314523</v>
      </c>
      <c r="N9" s="27">
        <f t="shared" si="6"/>
        <v>368747232</v>
      </c>
      <c r="O9" s="30">
        <v>16</v>
      </c>
      <c r="P9" s="31">
        <v>250294582</v>
      </c>
      <c r="Q9" s="32">
        <v>3714738304</v>
      </c>
      <c r="R9" s="32">
        <v>343779464</v>
      </c>
      <c r="S9" s="32">
        <v>24967768</v>
      </c>
      <c r="T9" s="32">
        <v>3345991072</v>
      </c>
      <c r="U9" s="33" t="s">
        <v>571</v>
      </c>
      <c r="V9" s="33" t="s">
        <v>571</v>
      </c>
      <c r="W9" s="33" t="s">
        <v>571</v>
      </c>
      <c r="X9" s="33" t="s">
        <v>571</v>
      </c>
      <c r="Y9" s="33" t="s">
        <v>571</v>
      </c>
      <c r="Z9" s="34">
        <v>52260.800000000003</v>
      </c>
      <c r="AA9" s="34">
        <v>0</v>
      </c>
      <c r="AB9" s="34">
        <v>295.12799999999999</v>
      </c>
      <c r="AC9" s="34">
        <v>0</v>
      </c>
      <c r="AE9" s="36">
        <f t="shared" si="7"/>
        <v>0.27484194633535486</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0.17203770691344383</v>
      </c>
      <c r="I10" s="20">
        <f t="shared" si="1"/>
        <v>859.14734250000004</v>
      </c>
      <c r="J10" s="21">
        <f t="shared" si="2"/>
        <v>9.806149294066298</v>
      </c>
      <c r="K10" s="21">
        <f t="shared" si="3"/>
        <v>1.0909981478534003</v>
      </c>
      <c r="L10" s="21">
        <f t="shared" si="4"/>
        <v>1.0406335596427227</v>
      </c>
      <c r="M10" s="21">
        <f t="shared" si="5"/>
        <v>8.7151511462128983</v>
      </c>
      <c r="N10" s="18">
        <f t="shared" si="6"/>
        <v>203916272</v>
      </c>
      <c r="O10" s="21">
        <v>16</v>
      </c>
      <c r="P10" s="22">
        <v>186907991</v>
      </c>
      <c r="Q10" s="23">
        <v>1832847664</v>
      </c>
      <c r="R10" s="23">
        <v>194502728</v>
      </c>
      <c r="S10" s="23">
        <v>9413544</v>
      </c>
      <c r="T10" s="23">
        <v>1628931392</v>
      </c>
      <c r="U10" s="24" t="s">
        <v>571</v>
      </c>
      <c r="V10" s="24" t="s">
        <v>571</v>
      </c>
      <c r="W10" s="24" t="s">
        <v>571</v>
      </c>
      <c r="X10" s="24" t="s">
        <v>571</v>
      </c>
      <c r="Y10" s="24" t="s">
        <v>571</v>
      </c>
      <c r="Z10" s="25">
        <v>33157.199999999997</v>
      </c>
      <c r="AA10" s="25">
        <v>0</v>
      </c>
      <c r="AB10" s="25">
        <v>205.47499999999999</v>
      </c>
      <c r="AC10" s="25">
        <v>0</v>
      </c>
      <c r="AE10" s="26">
        <f t="shared" si="7"/>
        <v>0.17203770691344383</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0.17459025752146654</v>
      </c>
      <c r="I11" s="29">
        <f t="shared" si="1"/>
        <v>774.49631624999995</v>
      </c>
      <c r="J11" s="30">
        <f t="shared" si="2"/>
        <v>9.9516446787235928</v>
      </c>
      <c r="K11" s="30">
        <f t="shared" si="3"/>
        <v>1.1548699424397169</v>
      </c>
      <c r="L11" s="30">
        <f t="shared" si="4"/>
        <v>1.0969658393676207</v>
      </c>
      <c r="M11" s="30">
        <f t="shared" si="5"/>
        <v>8.7967747362838757</v>
      </c>
      <c r="N11" s="27">
        <f t="shared" si="6"/>
        <v>191741576</v>
      </c>
      <c r="O11" s="30">
        <v>16</v>
      </c>
      <c r="P11" s="31">
        <v>166028718</v>
      </c>
      <c r="Q11" s="32">
        <v>1652258808</v>
      </c>
      <c r="R11" s="32">
        <v>182127832</v>
      </c>
      <c r="S11" s="32">
        <v>9613744</v>
      </c>
      <c r="T11" s="32">
        <v>1460517232</v>
      </c>
      <c r="U11" s="33" t="s">
        <v>571</v>
      </c>
      <c r="V11" s="33" t="s">
        <v>571</v>
      </c>
      <c r="W11" s="33" t="s">
        <v>571</v>
      </c>
      <c r="X11" s="33" t="s">
        <v>571</v>
      </c>
      <c r="Y11" s="33" t="s">
        <v>571</v>
      </c>
      <c r="Z11" s="34">
        <v>31436.799999999999</v>
      </c>
      <c r="AA11" s="34">
        <v>0</v>
      </c>
      <c r="AB11" s="34">
        <v>181.90700000000001</v>
      </c>
      <c r="AC11" s="34">
        <v>0</v>
      </c>
      <c r="AE11" s="36">
        <f t="shared" si="7"/>
        <v>0.17459025752146654</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10.188140874719396</v>
      </c>
      <c r="K12" s="48">
        <f>AVERAGE(K5:K8)</f>
        <v>1.468398923093732</v>
      </c>
      <c r="L12" s="48">
        <f>AVERAGE(L5:L8)</f>
        <v>1.3380801200895944</v>
      </c>
      <c r="M12" s="48">
        <f>AVERAGE(M5:M8)</f>
        <v>8.7197419516256627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14.841465102109161</v>
      </c>
      <c r="K13" s="48">
        <f>AVERAGE(K9:K9)</f>
        <v>1.4732529527946394</v>
      </c>
      <c r="L13" s="48">
        <f>AVERAGE(L9:L9)</f>
        <v>1.373499423171693</v>
      </c>
      <c r="M13" s="48">
        <f>AVERAGE(M9:M9)</f>
        <v>13.368212149314523</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9.8788969863949454</v>
      </c>
      <c r="K14" s="48">
        <f>AVERAGE(K10:K11)</f>
        <v>1.1229340451465586</v>
      </c>
      <c r="L14" s="48">
        <f>AVERAGE(L10:L11)</f>
        <v>1.0687996995051718</v>
      </c>
      <c r="M14" s="48">
        <f>AVERAGE(M10:M11)</f>
        <v>8.7559629412483879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10.764546081968092</v>
      </c>
      <c r="K15" s="48">
        <f>AVERAGE(K5:K11)</f>
        <v>1.3703881050660978</v>
      </c>
      <c r="L15" s="48">
        <f>AVERAGE(L5:L11)</f>
        <v>1.2662027575057735</v>
      </c>
      <c r="M15" s="48">
        <f>AVERAGE(M5:M11)</f>
        <v>9.3941579769019921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336021.9</v>
      </c>
      <c r="AA16" s="49">
        <f>SUM(AA5:AA8,AA9:AA9,AA10:AA11)</f>
        <v>0</v>
      </c>
      <c r="AB16" s="49">
        <f>SUM(AB5:AB8,AB9:AB9,AB10:AB11)</f>
        <v>1833.6959999999997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46523.419261256342</v>
      </c>
      <c r="AA18" s="49" t="e">
        <f>GEOMEAN(AA5:AA8,AA9:AA9,AA10:AA11)</f>
        <v>#NUM!</v>
      </c>
      <c r="AB18" s="49">
        <f>GEOMEAN(AB5:AB8,AB9:AB9,AB10:AB11)</f>
        <v>256.97784061805743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27" sqref="F27"/>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ALL_master+r130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thickBo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0.16626778666292422</v>
      </c>
      <c r="I5" s="11">
        <f t="shared" ref="I5:I11" si="1">IF(OR(ISBLANK(Q5),ISBLANK(F5)),"·",Q5*F5/E5/1000000)</f>
        <v>213.81879599999999</v>
      </c>
      <c r="J5" s="12">
        <f t="shared" ref="J5:J11" si="2">IF(ISBLANK(Q5),"·",Q5/C5)</f>
        <v>8.9784604797979064</v>
      </c>
      <c r="K5" s="12">
        <f t="shared" ref="K5:K11" si="3">IF(N5="","·",N5/C5)</f>
        <v>1.3594209454133612</v>
      </c>
      <c r="L5" s="12">
        <f t="shared" ref="L5:L11" si="4">IF(R5="","·",R5/C5)</f>
        <v>1.2616914442343996</v>
      </c>
      <c r="M5" s="12">
        <f t="shared" ref="M5:M11" si="5">IF(ISBLANK(T5),"·",T5/C5)</f>
        <v>7.6190395343845463</v>
      </c>
      <c r="N5" s="54">
        <f t="shared" ref="N5:N11" si="6">IF(OR(ISBLANK(R5),ISBLANK(S5)),"",R5+S5)</f>
        <v>323741192</v>
      </c>
      <c r="O5" s="12">
        <v>16</v>
      </c>
      <c r="P5" s="13">
        <v>238146391</v>
      </c>
      <c r="Q5" s="14">
        <v>2138187960</v>
      </c>
      <c r="R5" s="14">
        <v>300467264</v>
      </c>
      <c r="S5" s="14">
        <v>23273928</v>
      </c>
      <c r="T5" s="14">
        <v>1814446768</v>
      </c>
      <c r="U5" s="15" t="s">
        <v>571</v>
      </c>
      <c r="V5" s="15" t="s">
        <v>571</v>
      </c>
      <c r="W5" s="15" t="s">
        <v>571</v>
      </c>
      <c r="X5" s="15" t="s">
        <v>571</v>
      </c>
      <c r="Y5" s="15" t="s">
        <v>571</v>
      </c>
      <c r="Z5" s="16">
        <v>71011</v>
      </c>
      <c r="AA5" s="16">
        <v>0</v>
      </c>
      <c r="AB5" s="16">
        <v>261.71199999999999</v>
      </c>
      <c r="AC5" s="16">
        <v>0</v>
      </c>
      <c r="AE5" s="17">
        <f t="shared" ref="AE5:AE11" si="7">IF(ISBLANK(Q5),"·",Q5/(C5*(D5*3+IF(AND(ISNUMBER(T5),T5&gt;0),24,0))))</f>
        <v>0.16626778666292422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0.23820159479792299</v>
      </c>
      <c r="I6" s="20">
        <f t="shared" si="1"/>
        <v>280.56686960000002</v>
      </c>
      <c r="J6" s="21">
        <f t="shared" si="2"/>
        <v>12.862886119087841</v>
      </c>
      <c r="K6" s="21">
        <f t="shared" si="3"/>
        <v>1.7072039595299939</v>
      </c>
      <c r="L6" s="21">
        <f t="shared" si="4"/>
        <v>1.5406682490832324</v>
      </c>
      <c r="M6" s="21">
        <f t="shared" si="5"/>
        <v>11.155682159557848</v>
      </c>
      <c r="N6" s="18">
        <f t="shared" si="6"/>
        <v>372377448</v>
      </c>
      <c r="O6" s="21">
        <v>16</v>
      </c>
      <c r="P6" s="22">
        <v>218121242</v>
      </c>
      <c r="Q6" s="23">
        <v>2805668696</v>
      </c>
      <c r="R6" s="23">
        <v>336052472</v>
      </c>
      <c r="S6" s="23">
        <v>36324976</v>
      </c>
      <c r="T6" s="23">
        <v>2433291248</v>
      </c>
      <c r="U6" s="24" t="s">
        <v>571</v>
      </c>
      <c r="V6" s="24" t="s">
        <v>571</v>
      </c>
      <c r="W6" s="24" t="s">
        <v>571</v>
      </c>
      <c r="X6" s="24" t="s">
        <v>571</v>
      </c>
      <c r="Y6" s="24" t="s">
        <v>571</v>
      </c>
      <c r="Z6" s="25">
        <v>81832.2</v>
      </c>
      <c r="AA6" s="25">
        <v>0</v>
      </c>
      <c r="AB6" s="25">
        <v>280.54899999999998</v>
      </c>
      <c r="AC6" s="25">
        <v>0</v>
      </c>
      <c r="AE6" s="26">
        <f t="shared" si="7"/>
        <v>0.23820159479792299</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0.18277348965212456</v>
      </c>
      <c r="I7" s="11">
        <f t="shared" si="1"/>
        <v>318.38856800000002</v>
      </c>
      <c r="J7" s="12">
        <f t="shared" si="2"/>
        <v>9.8697684412147257</v>
      </c>
      <c r="K7" s="12">
        <f t="shared" si="3"/>
        <v>1.4782678618905953</v>
      </c>
      <c r="L7" s="12">
        <f t="shared" si="4"/>
        <v>1.363288370790656</v>
      </c>
      <c r="M7" s="12">
        <f t="shared" si="5"/>
        <v>8.3915005793241306</v>
      </c>
      <c r="N7" s="54">
        <f t="shared" si="6"/>
        <v>476873992</v>
      </c>
      <c r="O7" s="12">
        <v>16</v>
      </c>
      <c r="P7" s="13">
        <v>322589704</v>
      </c>
      <c r="Q7" s="14">
        <v>3183885680</v>
      </c>
      <c r="R7" s="14">
        <v>439782792</v>
      </c>
      <c r="S7" s="14">
        <v>37091200</v>
      </c>
      <c r="T7" s="14">
        <v>2707011688</v>
      </c>
      <c r="U7" s="15" t="s">
        <v>571</v>
      </c>
      <c r="V7" s="15" t="s">
        <v>571</v>
      </c>
      <c r="W7" s="15" t="s">
        <v>571</v>
      </c>
      <c r="X7" s="15" t="s">
        <v>571</v>
      </c>
      <c r="Y7" s="15" t="s">
        <v>571</v>
      </c>
      <c r="Z7" s="16">
        <v>88861.4</v>
      </c>
      <c r="AA7" s="16">
        <v>0</v>
      </c>
      <c r="AB7" s="16">
        <v>329.92</v>
      </c>
      <c r="AC7" s="16">
        <v>0</v>
      </c>
      <c r="AE7" s="17">
        <f t="shared" si="7"/>
        <v>0.18277348965212456</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0.15142981523497859</v>
      </c>
      <c r="I8" s="39">
        <f t="shared" si="1"/>
        <v>409.84649439999998</v>
      </c>
      <c r="J8" s="40">
        <f t="shared" si="2"/>
        <v>8.1772100226888451</v>
      </c>
      <c r="K8" s="40">
        <f t="shared" si="3"/>
        <v>0.93660289018772735</v>
      </c>
      <c r="L8" s="40">
        <f t="shared" si="4"/>
        <v>0.82209136206652944</v>
      </c>
      <c r="M8" s="40">
        <f t="shared" si="5"/>
        <v>7.2406071325011174</v>
      </c>
      <c r="N8" s="37">
        <f t="shared" si="6"/>
        <v>234715392</v>
      </c>
      <c r="O8" s="40">
        <v>16</v>
      </c>
      <c r="P8" s="41">
        <v>250602891</v>
      </c>
      <c r="Q8" s="42">
        <v>2049232472</v>
      </c>
      <c r="R8" s="42">
        <v>206018472</v>
      </c>
      <c r="S8" s="42">
        <v>28696920</v>
      </c>
      <c r="T8" s="42">
        <v>1814517080</v>
      </c>
      <c r="U8" s="43" t="s">
        <v>571</v>
      </c>
      <c r="V8" s="43" t="s">
        <v>571</v>
      </c>
      <c r="W8" s="43" t="s">
        <v>571</v>
      </c>
      <c r="X8" s="43" t="s">
        <v>571</v>
      </c>
      <c r="Y8" s="43" t="s">
        <v>571</v>
      </c>
      <c r="Z8" s="44">
        <v>60244.1</v>
      </c>
      <c r="AA8" s="44">
        <v>0</v>
      </c>
      <c r="AB8" s="44">
        <v>243.72399999999999</v>
      </c>
      <c r="AC8" s="44">
        <v>0</v>
      </c>
      <c r="AE8" s="46">
        <f t="shared" si="7"/>
        <v>0.15142981523497859</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0.2729697151045033</v>
      </c>
      <c r="I9" s="29">
        <f t="shared" si="1"/>
        <v>368.94333999999998</v>
      </c>
      <c r="J9" s="30">
        <f t="shared" si="2"/>
        <v>14.740364615643179</v>
      </c>
      <c r="K9" s="30">
        <f t="shared" si="3"/>
        <v>1.4637833750632285</v>
      </c>
      <c r="L9" s="30">
        <f t="shared" si="4"/>
        <v>1.3621905727068435</v>
      </c>
      <c r="M9" s="30">
        <f t="shared" si="5"/>
        <v>13.276581240579949</v>
      </c>
      <c r="N9" s="27">
        <f t="shared" si="6"/>
        <v>366377048</v>
      </c>
      <c r="O9" s="30">
        <v>16</v>
      </c>
      <c r="P9" s="31">
        <v>250294582</v>
      </c>
      <c r="Q9" s="32">
        <v>3689433400</v>
      </c>
      <c r="R9" s="32">
        <v>340948920</v>
      </c>
      <c r="S9" s="32">
        <v>25428128</v>
      </c>
      <c r="T9" s="32">
        <v>3323056352</v>
      </c>
      <c r="U9" s="33" t="s">
        <v>571</v>
      </c>
      <c r="V9" s="33" t="s">
        <v>571</v>
      </c>
      <c r="W9" s="33" t="s">
        <v>571</v>
      </c>
      <c r="X9" s="33" t="s">
        <v>571</v>
      </c>
      <c r="Y9" s="33" t="s">
        <v>571</v>
      </c>
      <c r="Z9" s="34">
        <v>81210.899999999994</v>
      </c>
      <c r="AA9" s="34">
        <v>0</v>
      </c>
      <c r="AB9" s="34">
        <v>315.80900000000003</v>
      </c>
      <c r="AC9" s="34">
        <v>0</v>
      </c>
      <c r="AE9" s="36">
        <f t="shared" si="7"/>
        <v>0.2729697151045033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0.17194226939366589</v>
      </c>
      <c r="I10" s="20">
        <f t="shared" si="1"/>
        <v>858.67073249999999</v>
      </c>
      <c r="J10" s="21">
        <f t="shared" si="2"/>
        <v>9.8007093554389542</v>
      </c>
      <c r="K10" s="21">
        <f t="shared" si="3"/>
        <v>1.0869244001450959</v>
      </c>
      <c r="L10" s="21">
        <f t="shared" si="4"/>
        <v>1.0352942908684948</v>
      </c>
      <c r="M10" s="21">
        <f t="shared" si="5"/>
        <v>8.7137849552938587</v>
      </c>
      <c r="N10" s="18">
        <f t="shared" si="6"/>
        <v>203154856</v>
      </c>
      <c r="O10" s="21">
        <v>16</v>
      </c>
      <c r="P10" s="22">
        <v>186907991</v>
      </c>
      <c r="Q10" s="23">
        <v>1831830896</v>
      </c>
      <c r="R10" s="23">
        <v>193504776</v>
      </c>
      <c r="S10" s="23">
        <v>9650080</v>
      </c>
      <c r="T10" s="23">
        <v>1628676040</v>
      </c>
      <c r="U10" s="24" t="s">
        <v>571</v>
      </c>
      <c r="V10" s="24" t="s">
        <v>571</v>
      </c>
      <c r="W10" s="24" t="s">
        <v>571</v>
      </c>
      <c r="X10" s="24" t="s">
        <v>571</v>
      </c>
      <c r="Y10" s="24" t="s">
        <v>571</v>
      </c>
      <c r="Z10" s="25">
        <v>60293.5</v>
      </c>
      <c r="AA10" s="25">
        <v>0</v>
      </c>
      <c r="AB10" s="25">
        <v>203.06399999999999</v>
      </c>
      <c r="AC10" s="25">
        <v>0</v>
      </c>
      <c r="AE10" s="26">
        <f t="shared" si="7"/>
        <v>0.17194226939366589</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166028718</v>
      </c>
      <c r="D11" s="28">
        <v>11</v>
      </c>
      <c r="E11" s="28">
        <v>64</v>
      </c>
      <c r="F11" s="28">
        <v>30</v>
      </c>
      <c r="H11" s="36">
        <f t="shared" si="0"/>
        <v>0.17455138705307513</v>
      </c>
      <c r="I11" s="29">
        <f t="shared" si="1"/>
        <v>774.32388375000005</v>
      </c>
      <c r="J11" s="30">
        <f t="shared" si="2"/>
        <v>9.9494290620252812</v>
      </c>
      <c r="K11" s="30">
        <f t="shared" si="3"/>
        <v>1.1548675814023932</v>
      </c>
      <c r="L11" s="30">
        <f t="shared" si="4"/>
        <v>1.0952643987770838</v>
      </c>
      <c r="M11" s="30">
        <f t="shared" si="5"/>
        <v>8.7945614806228889</v>
      </c>
      <c r="N11" s="27">
        <f t="shared" si="6"/>
        <v>191741184</v>
      </c>
      <c r="O11" s="30">
        <v>16</v>
      </c>
      <c r="P11" s="31">
        <v>166028718</v>
      </c>
      <c r="Q11" s="32">
        <v>1651890952</v>
      </c>
      <c r="R11" s="32">
        <v>181845344</v>
      </c>
      <c r="S11" s="32">
        <v>9895840</v>
      </c>
      <c r="T11" s="32">
        <v>1460149768</v>
      </c>
      <c r="U11" s="33" t="s">
        <v>571</v>
      </c>
      <c r="V11" s="33" t="s">
        <v>571</v>
      </c>
      <c r="W11" s="33" t="s">
        <v>571</v>
      </c>
      <c r="X11" s="33" t="s">
        <v>571</v>
      </c>
      <c r="Y11" s="33" t="s">
        <v>571</v>
      </c>
      <c r="Z11" s="34">
        <v>56449.3</v>
      </c>
      <c r="AA11" s="34">
        <v>0</v>
      </c>
      <c r="AB11" s="34">
        <v>179.61099999999999</v>
      </c>
      <c r="AC11" s="34">
        <v>0</v>
      </c>
      <c r="AE11" s="36">
        <f t="shared" si="7"/>
        <v>0.17455138705307513</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9.9720812656973301</v>
      </c>
      <c r="K12" s="48">
        <f>AVERAGE(K5:K8)</f>
        <v>1.3703739142554194</v>
      </c>
      <c r="L12" s="48">
        <f>AVERAGE(L5:L8)</f>
        <v>1.2469348565437042</v>
      </c>
      <c r="M12" s="48">
        <f>AVERAGE(M5:M8)</f>
        <v>8.6017073514419113</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14.740364615643179</v>
      </c>
      <c r="K13" s="48">
        <f>AVERAGE(K9:K9)</f>
        <v>1.4637833750632285</v>
      </c>
      <c r="L13" s="48">
        <f>AVERAGE(L9:L9)</f>
        <v>1.3621905727068435</v>
      </c>
      <c r="M13" s="48">
        <f>AVERAGE(M9:M9)</f>
        <v>13.276581240579949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9.8750692087321177</v>
      </c>
      <c r="K14" s="48">
        <f>AVERAGE(K10:K11)</f>
        <v>1.1208959907737446</v>
      </c>
      <c r="L14" s="48">
        <f>AVERAGE(L10:L11)</f>
        <v>1.0652793448227893</v>
      </c>
      <c r="M14" s="48">
        <f>AVERAGE(M10:M11)</f>
        <v>8.7541732179583747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10.625546870842388</v>
      </c>
      <c r="K15" s="48">
        <f>AVERAGE(K5:K11)</f>
        <v>1.3124387162331992</v>
      </c>
      <c r="L15" s="48">
        <f>AVERAGE(L5:L11)</f>
        <v>1.21149838407532</v>
      </c>
      <c r="M15" s="48">
        <f>AVERAGE(M5:M11)</f>
        <v>9.3131081546091927</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499902.39999999997</v>
      </c>
      <c r="AA16" s="49">
        <f>SUM(AA5:AA8,AA9:AA9,AA10:AA11)</f>
        <v>0</v>
      </c>
      <c r="AB16" s="49">
        <f>SUM(AB5:AB8,AB9:AB9,AB10:AB11)</f>
        <v>1814.3890000000001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70432.712669796572</v>
      </c>
      <c r="AA18" s="49" t="e">
        <f>GEOMEAN(AA5:AA8,AA9:AA9,AA10:AA11)</f>
        <v>#NUM!</v>
      </c>
      <c r="AB18" s="49">
        <f>GEOMEAN(AB5:AB8,AB9:AB9,AB10:AB11)</f>
        <v>253.89087716041428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L56" sqref="L56"/>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ALL_master+r130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1.2493584</v>
      </c>
      <c r="J5" s="12">
        <f t="shared" ref="J5:J39" si="1">IF(ISBLANK(S5),"·",S5/D5)</f>
        <v>5.2461781795383161E-2</v>
      </c>
      <c r="K5" s="12">
        <f t="shared" ref="K5:K39" si="2">IF(N5="","·",N5/D5)</f>
        <v>4.4656028400615153E-2</v>
      </c>
      <c r="L5" s="12">
        <f t="shared" ref="L5:L39" si="3">IF(T5="","·",T5/D5)</f>
        <v>2.8090587356413056E-2</v>
      </c>
      <c r="M5" s="12">
        <f t="shared" ref="M5:M39" si="4">IF(ISBLANK(V5),"·",V5/D5)</f>
        <v>7.8057533947680103E-3</v>
      </c>
      <c r="N5" s="54">
        <f t="shared" ref="N5:N39" si="5">IF(OR(ISBLANK(T5),ISBLANK(U5)),"",T5+U5)</f>
        <v>10634672</v>
      </c>
      <c r="O5" s="12">
        <v>16</v>
      </c>
      <c r="P5" s="13">
        <v>222581794</v>
      </c>
      <c r="Q5" s="13">
        <v>741939.313333333</v>
      </c>
      <c r="R5" s="13">
        <v>16882.276666666701</v>
      </c>
      <c r="S5" s="14">
        <v>12493584</v>
      </c>
      <c r="T5" s="14">
        <v>6689672</v>
      </c>
      <c r="U5" s="14">
        <v>3945000</v>
      </c>
      <c r="V5" s="14">
        <v>1858912</v>
      </c>
      <c r="W5" s="15">
        <v>66.611159000000001</v>
      </c>
      <c r="X5" s="15">
        <v>68.398439999999994</v>
      </c>
      <c r="Y5" s="15">
        <v>31.611610666666699</v>
      </c>
      <c r="Z5" s="15">
        <v>44.345006333333401</v>
      </c>
      <c r="AA5" s="15">
        <v>43.901626666666701</v>
      </c>
      <c r="AB5" s="16">
        <v>44367.1</v>
      </c>
      <c r="AC5" s="16">
        <v>0</v>
      </c>
      <c r="AD5" s="16">
        <v>311.13299999999998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1.652048</v>
      </c>
      <c r="J6" s="21">
        <f t="shared" si="1"/>
        <v>6.9371112157647602E-2</v>
      </c>
      <c r="K6" s="21">
        <f t="shared" si="2"/>
        <v>5.4909183990111361E-2</v>
      </c>
      <c r="L6" s="21">
        <f t="shared" si="3"/>
        <v>3.8343742945909268E-2</v>
      </c>
      <c r="M6" s="21">
        <f t="shared" si="4"/>
        <v>1.4461928167536244E-2</v>
      </c>
      <c r="N6" s="18">
        <f t="shared" si="5"/>
        <v>13076424</v>
      </c>
      <c r="O6" s="21">
        <v>16</v>
      </c>
      <c r="P6" s="22">
        <v>234777655</v>
      </c>
      <c r="Q6" s="22">
        <v>782592.183333333</v>
      </c>
      <c r="R6" s="22">
        <v>20349.43</v>
      </c>
      <c r="S6" s="23">
        <v>16520480</v>
      </c>
      <c r="T6" s="23">
        <v>9131424</v>
      </c>
      <c r="U6" s="23">
        <v>3945000</v>
      </c>
      <c r="V6" s="23">
        <v>3444056</v>
      </c>
      <c r="W6" s="24">
        <v>68.330361999999994</v>
      </c>
      <c r="X6" s="24">
        <v>70.405979333333306</v>
      </c>
      <c r="Y6" s="24">
        <v>33.660092666666699</v>
      </c>
      <c r="Z6" s="24">
        <v>45.417603333333297</v>
      </c>
      <c r="AA6" s="24">
        <v>45.071522000000002</v>
      </c>
      <c r="AB6" s="25">
        <v>46501.3</v>
      </c>
      <c r="AC6" s="25">
        <v>0</v>
      </c>
      <c r="AD6" s="25">
        <v>320.70999999999998</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2.3375303999999999</v>
      </c>
      <c r="J7" s="12">
        <f t="shared" si="1"/>
        <v>9.8155188923270312E-2</v>
      </c>
      <c r="K7" s="12">
        <f t="shared" si="2"/>
        <v>6.9025711164356879E-2</v>
      </c>
      <c r="L7" s="12">
        <f t="shared" si="3"/>
        <v>5.2460270120154792E-2</v>
      </c>
      <c r="M7" s="12">
        <f t="shared" si="4"/>
        <v>2.9129477758913423E-2</v>
      </c>
      <c r="N7" s="54">
        <f t="shared" si="5"/>
        <v>16438224</v>
      </c>
      <c r="O7" s="12">
        <v>16</v>
      </c>
      <c r="P7" s="13">
        <v>237118454</v>
      </c>
      <c r="Q7" s="13">
        <v>790394.84666666703</v>
      </c>
      <c r="R7" s="13">
        <v>21732.823333333301</v>
      </c>
      <c r="S7" s="14">
        <v>23375304</v>
      </c>
      <c r="T7" s="14">
        <v>12493224</v>
      </c>
      <c r="U7" s="14">
        <v>3945000</v>
      </c>
      <c r="V7" s="14">
        <v>6937080</v>
      </c>
      <c r="W7" s="15">
        <v>69.64649</v>
      </c>
      <c r="X7" s="15">
        <v>72.064158000000006</v>
      </c>
      <c r="Y7" s="15">
        <v>36.032889333333301</v>
      </c>
      <c r="Z7" s="15">
        <v>46.674632000000003</v>
      </c>
      <c r="AA7" s="15">
        <v>46.508483666666699</v>
      </c>
      <c r="AB7" s="16">
        <v>48746.400000000001</v>
      </c>
      <c r="AC7" s="16">
        <v>0</v>
      </c>
      <c r="AD7" s="16">
        <v>322.18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3.8700863999999999</v>
      </c>
      <c r="J8" s="21">
        <f t="shared" si="1"/>
        <v>0.16250871507013515</v>
      </c>
      <c r="K8" s="21">
        <f t="shared" si="2"/>
        <v>9.9212219428511092E-2</v>
      </c>
      <c r="L8" s="21">
        <f t="shared" si="3"/>
        <v>8.2646778384309005E-2</v>
      </c>
      <c r="M8" s="21">
        <f t="shared" si="4"/>
        <v>6.3296495641624068E-2</v>
      </c>
      <c r="N8" s="18">
        <f t="shared" si="5"/>
        <v>23627032</v>
      </c>
      <c r="O8" s="21">
        <v>16</v>
      </c>
      <c r="P8" s="22">
        <v>246244404</v>
      </c>
      <c r="Q8" s="22">
        <v>820814.68</v>
      </c>
      <c r="R8" s="22">
        <v>24993.200000000001</v>
      </c>
      <c r="S8" s="23">
        <v>38700864</v>
      </c>
      <c r="T8" s="23">
        <v>19682032</v>
      </c>
      <c r="U8" s="23">
        <v>3945000</v>
      </c>
      <c r="V8" s="23">
        <v>15073832</v>
      </c>
      <c r="W8" s="24">
        <v>70.713659333333297</v>
      </c>
      <c r="X8" s="24">
        <v>73.275174333333297</v>
      </c>
      <c r="Y8" s="24">
        <v>38.504783000000003</v>
      </c>
      <c r="Z8" s="24">
        <v>47.933321333333303</v>
      </c>
      <c r="AA8" s="24">
        <v>47.9189163333333</v>
      </c>
      <c r="AB8" s="25">
        <v>51707</v>
      </c>
      <c r="AC8" s="25">
        <v>0</v>
      </c>
      <c r="AD8" s="25">
        <v>327.572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7.7096615999999996</v>
      </c>
      <c r="J9" s="30">
        <f t="shared" si="1"/>
        <v>0.32373623499505394</v>
      </c>
      <c r="K9" s="30">
        <f t="shared" si="2"/>
        <v>0.17097849700355106</v>
      </c>
      <c r="L9" s="30">
        <f t="shared" si="3"/>
        <v>0.13467685932725304</v>
      </c>
      <c r="M9" s="30">
        <f t="shared" si="4"/>
        <v>0.15275773799150288</v>
      </c>
      <c r="N9" s="27">
        <f t="shared" si="5"/>
        <v>40717912</v>
      </c>
      <c r="O9" s="30">
        <v>16</v>
      </c>
      <c r="P9" s="31">
        <v>236779400</v>
      </c>
      <c r="Q9" s="31">
        <v>789264.66666666698</v>
      </c>
      <c r="R9" s="31">
        <v>10960.3766666667</v>
      </c>
      <c r="S9" s="32">
        <v>77096616</v>
      </c>
      <c r="T9" s="32">
        <v>32072808</v>
      </c>
      <c r="U9" s="32">
        <v>8645104</v>
      </c>
      <c r="V9" s="32">
        <v>36378704</v>
      </c>
      <c r="W9" s="33">
        <v>71.774619999999899</v>
      </c>
      <c r="X9" s="33">
        <v>75.144800666666697</v>
      </c>
      <c r="Y9" s="33">
        <v>41.031328666666703</v>
      </c>
      <c r="Z9" s="33">
        <v>49.426784333333401</v>
      </c>
      <c r="AA9" s="33">
        <v>49.5062066666666</v>
      </c>
      <c r="AB9" s="34">
        <v>56211.199999999997</v>
      </c>
      <c r="AC9" s="34">
        <v>0</v>
      </c>
      <c r="AD9" s="34">
        <v>321.17500000000001</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2.1141247999999999</v>
      </c>
      <c r="J10" s="21">
        <f t="shared" si="1"/>
        <v>9.6924296809203017E-2</v>
      </c>
      <c r="K10" s="21">
        <f t="shared" si="2"/>
        <v>7.2523445469836453E-2</v>
      </c>
      <c r="L10" s="21">
        <f t="shared" si="3"/>
        <v>4.1400937924239399E-2</v>
      </c>
      <c r="M10" s="21">
        <f t="shared" si="4"/>
        <v>2.4400851339366571E-2</v>
      </c>
      <c r="N10" s="18">
        <f t="shared" si="5"/>
        <v>15818904</v>
      </c>
      <c r="O10" s="21">
        <v>16</v>
      </c>
      <c r="P10" s="22">
        <v>203461211</v>
      </c>
      <c r="Q10" s="22">
        <v>678204.03666666697</v>
      </c>
      <c r="R10" s="22">
        <v>20631.416666666701</v>
      </c>
      <c r="S10" s="23">
        <v>21141248</v>
      </c>
      <c r="T10" s="23">
        <v>9030424</v>
      </c>
      <c r="U10" s="23">
        <v>6788480</v>
      </c>
      <c r="V10" s="23">
        <v>5322344</v>
      </c>
      <c r="W10" s="24">
        <v>65.917175333333304</v>
      </c>
      <c r="X10" s="24">
        <v>67.701646666666605</v>
      </c>
      <c r="Y10" s="24">
        <v>30.877272000000001</v>
      </c>
      <c r="Z10" s="24">
        <v>38.666007333333297</v>
      </c>
      <c r="AA10" s="24">
        <v>29.9281786666667</v>
      </c>
      <c r="AB10" s="25">
        <v>51219.7</v>
      </c>
      <c r="AC10" s="25">
        <v>0</v>
      </c>
      <c r="AD10" s="25">
        <v>330.87200000000001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2.8894016000000002</v>
      </c>
      <c r="J11" s="12">
        <f t="shared" si="1"/>
        <v>0.132467685105149</v>
      </c>
      <c r="K11" s="12">
        <f t="shared" si="2"/>
        <v>8.9210788557677473E-2</v>
      </c>
      <c r="L11" s="12">
        <f t="shared" si="3"/>
        <v>5.8088281012080425E-2</v>
      </c>
      <c r="M11" s="12">
        <f t="shared" si="4"/>
        <v>4.3256896547471523E-2</v>
      </c>
      <c r="N11" s="54">
        <f t="shared" si="5"/>
        <v>19458768</v>
      </c>
      <c r="O11" s="12">
        <v>16</v>
      </c>
      <c r="P11" s="13">
        <v>214681071</v>
      </c>
      <c r="Q11" s="13">
        <v>715603.57</v>
      </c>
      <c r="R11" s="13">
        <v>25130.1933333333</v>
      </c>
      <c r="S11" s="14">
        <v>28894016</v>
      </c>
      <c r="T11" s="14">
        <v>12670288</v>
      </c>
      <c r="U11" s="14">
        <v>6788480</v>
      </c>
      <c r="V11" s="14">
        <v>9435248</v>
      </c>
      <c r="W11" s="15">
        <v>67.582798333333301</v>
      </c>
      <c r="X11" s="15">
        <v>69.61591</v>
      </c>
      <c r="Y11" s="15">
        <v>32.672796666666699</v>
      </c>
      <c r="Z11" s="15">
        <v>39.633364</v>
      </c>
      <c r="AA11" s="15">
        <v>32.110768666666701</v>
      </c>
      <c r="AB11" s="16">
        <v>54101.7</v>
      </c>
      <c r="AC11" s="16">
        <v>0</v>
      </c>
      <c r="AD11" s="16">
        <v>331.34500000000003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4.1245408000000001</v>
      </c>
      <c r="J12" s="21">
        <f t="shared" si="1"/>
        <v>0.18909395353617142</v>
      </c>
      <c r="K12" s="21">
        <f t="shared" si="2"/>
        <v>0.11423580652451998</v>
      </c>
      <c r="L12" s="21">
        <f t="shared" si="3"/>
        <v>8.3113298978922917E-2</v>
      </c>
      <c r="M12" s="21">
        <f t="shared" si="4"/>
        <v>7.4858147011651444E-2</v>
      </c>
      <c r="N12" s="18">
        <f t="shared" si="5"/>
        <v>24917256</v>
      </c>
      <c r="O12" s="21">
        <v>16</v>
      </c>
      <c r="P12" s="22">
        <v>217346670</v>
      </c>
      <c r="Q12" s="22">
        <v>724488.9</v>
      </c>
      <c r="R12" s="22">
        <v>26590.356666666699</v>
      </c>
      <c r="S12" s="23">
        <v>41245408</v>
      </c>
      <c r="T12" s="23">
        <v>18128776</v>
      </c>
      <c r="U12" s="23">
        <v>6788480</v>
      </c>
      <c r="V12" s="23">
        <v>16328152</v>
      </c>
      <c r="W12" s="24">
        <v>68.892213333333302</v>
      </c>
      <c r="X12" s="24">
        <v>71.244129333333305</v>
      </c>
      <c r="Y12" s="24">
        <v>34.683160666666701</v>
      </c>
      <c r="Z12" s="24">
        <v>40.575319999999998</v>
      </c>
      <c r="AA12" s="24">
        <v>33.988087666666701</v>
      </c>
      <c r="AB12" s="25">
        <v>56683.1</v>
      </c>
      <c r="AC12" s="25">
        <v>0</v>
      </c>
      <c r="AD12" s="25">
        <v>340.62900000000002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6.7125320000000004</v>
      </c>
      <c r="J13" s="12">
        <f t="shared" si="1"/>
        <v>0.30774315873371011</v>
      </c>
      <c r="K13" s="12">
        <f t="shared" si="2"/>
        <v>0.16163821403510989</v>
      </c>
      <c r="L13" s="12">
        <f t="shared" si="3"/>
        <v>0.13051570648951283</v>
      </c>
      <c r="M13" s="12">
        <f t="shared" si="4"/>
        <v>0.14610494469860025</v>
      </c>
      <c r="N13" s="54">
        <f t="shared" si="5"/>
        <v>35256728</v>
      </c>
      <c r="O13" s="12">
        <v>16</v>
      </c>
      <c r="P13" s="13">
        <v>225273150</v>
      </c>
      <c r="Q13" s="13">
        <v>750910.5</v>
      </c>
      <c r="R13" s="13">
        <v>30217.506666666701</v>
      </c>
      <c r="S13" s="14">
        <v>67125320</v>
      </c>
      <c r="T13" s="14">
        <v>28468248</v>
      </c>
      <c r="U13" s="14">
        <v>6788480</v>
      </c>
      <c r="V13" s="14">
        <v>31868592</v>
      </c>
      <c r="W13" s="15">
        <v>69.955510666666598</v>
      </c>
      <c r="X13" s="15">
        <v>72.484590333333301</v>
      </c>
      <c r="Y13" s="15">
        <v>36.874988000000002</v>
      </c>
      <c r="Z13" s="15">
        <v>41.624049333333303</v>
      </c>
      <c r="AA13" s="15">
        <v>35.920564666666699</v>
      </c>
      <c r="AB13" s="16">
        <v>60087.3</v>
      </c>
      <c r="AC13" s="16">
        <v>0</v>
      </c>
      <c r="AD13" s="16">
        <v>348.988</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13.211901599999999</v>
      </c>
      <c r="J14" s="40">
        <f t="shared" si="1"/>
        <v>0.60571366084555855</v>
      </c>
      <c r="K14" s="40">
        <f t="shared" si="2"/>
        <v>0.27222889185639243</v>
      </c>
      <c r="L14" s="40">
        <f t="shared" si="3"/>
        <v>0.21062300754733462</v>
      </c>
      <c r="M14" s="40">
        <f t="shared" si="4"/>
        <v>0.33348476898916612</v>
      </c>
      <c r="N14" s="37">
        <f t="shared" si="5"/>
        <v>59378904</v>
      </c>
      <c r="O14" s="40">
        <v>16</v>
      </c>
      <c r="P14" s="41">
        <v>212987324</v>
      </c>
      <c r="Q14" s="41">
        <v>709957.74666666705</v>
      </c>
      <c r="R14" s="41">
        <v>14295.5133333333</v>
      </c>
      <c r="S14" s="42">
        <v>132119016</v>
      </c>
      <c r="T14" s="42">
        <v>45941352</v>
      </c>
      <c r="U14" s="42">
        <v>13437552</v>
      </c>
      <c r="V14" s="42">
        <v>72740112</v>
      </c>
      <c r="W14" s="43">
        <v>70.810179666666698</v>
      </c>
      <c r="X14" s="43">
        <v>74.571420333333407</v>
      </c>
      <c r="Y14" s="43">
        <v>39.265802999999998</v>
      </c>
      <c r="Z14" s="43">
        <v>42.906339666666703</v>
      </c>
      <c r="AA14" s="43">
        <v>38.031539333333399</v>
      </c>
      <c r="AB14" s="44">
        <v>65203.8</v>
      </c>
      <c r="AC14" s="44">
        <v>0</v>
      </c>
      <c r="AD14" s="44">
        <v>328.32900000000001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1.8684048</v>
      </c>
      <c r="J15" s="12">
        <f t="shared" si="1"/>
        <v>5.7918922297656467E-2</v>
      </c>
      <c r="K15" s="12">
        <f t="shared" si="2"/>
        <v>4.8037565389873693E-2</v>
      </c>
      <c r="L15" s="12">
        <f t="shared" si="3"/>
        <v>2.6821513187538063E-2</v>
      </c>
      <c r="M15" s="12">
        <f t="shared" si="4"/>
        <v>9.8813569077827734E-3</v>
      </c>
      <c r="N15" s="54">
        <f t="shared" si="5"/>
        <v>15496424</v>
      </c>
      <c r="O15" s="12">
        <v>16</v>
      </c>
      <c r="P15" s="13">
        <v>308145434</v>
      </c>
      <c r="Q15" s="13">
        <v>1027151.44666667</v>
      </c>
      <c r="R15" s="13">
        <v>31456.026666666701</v>
      </c>
      <c r="S15" s="14">
        <v>18684048</v>
      </c>
      <c r="T15" s="14">
        <v>8652344</v>
      </c>
      <c r="U15" s="14">
        <v>6844080</v>
      </c>
      <c r="V15" s="14">
        <v>3187624</v>
      </c>
      <c r="W15" s="15">
        <v>66.292227999999994</v>
      </c>
      <c r="X15" s="15">
        <v>67.888007333333405</v>
      </c>
      <c r="Y15" s="15">
        <v>29.036032333333299</v>
      </c>
      <c r="Z15" s="15">
        <v>43.364131333333297</v>
      </c>
      <c r="AA15" s="15">
        <v>43.615042666666703</v>
      </c>
      <c r="AB15" s="16">
        <v>50348</v>
      </c>
      <c r="AC15" s="16">
        <v>0</v>
      </c>
      <c r="AD15" s="16">
        <v>396.16399999999999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2.4932799999999999</v>
      </c>
      <c r="J16" s="21">
        <f t="shared" si="1"/>
        <v>7.728950952507771E-2</v>
      </c>
      <c r="K16" s="21">
        <f t="shared" si="2"/>
        <v>5.8367318505614794E-2</v>
      </c>
      <c r="L16" s="21">
        <f t="shared" si="3"/>
        <v>3.7151266303279168E-2</v>
      </c>
      <c r="M16" s="21">
        <f t="shared" si="4"/>
        <v>1.8922191019462915E-2</v>
      </c>
      <c r="N16" s="18">
        <f t="shared" si="5"/>
        <v>18828696</v>
      </c>
      <c r="O16" s="21">
        <v>16</v>
      </c>
      <c r="P16" s="22">
        <v>320652972</v>
      </c>
      <c r="Q16" s="22">
        <v>1068843.24</v>
      </c>
      <c r="R16" s="22">
        <v>36376.533333333296</v>
      </c>
      <c r="S16" s="23">
        <v>24932800</v>
      </c>
      <c r="T16" s="23">
        <v>11984616</v>
      </c>
      <c r="U16" s="23">
        <v>6844080</v>
      </c>
      <c r="V16" s="23">
        <v>6104104</v>
      </c>
      <c r="W16" s="24">
        <v>68.000196333333406</v>
      </c>
      <c r="X16" s="24">
        <v>70.009976666666603</v>
      </c>
      <c r="Y16" s="24">
        <v>31.342805666666699</v>
      </c>
      <c r="Z16" s="24">
        <v>44.051116</v>
      </c>
      <c r="AA16" s="24">
        <v>44.304453666666703</v>
      </c>
      <c r="AB16" s="25">
        <v>52933.7</v>
      </c>
      <c r="AC16" s="25">
        <v>0</v>
      </c>
      <c r="AD16" s="25">
        <v>428.72699999999998</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3.5895496000000002</v>
      </c>
      <c r="J17" s="12">
        <f t="shared" si="1"/>
        <v>0.11127291278955388</v>
      </c>
      <c r="K17" s="12">
        <f t="shared" si="2"/>
        <v>7.2460365939019555E-2</v>
      </c>
      <c r="L17" s="12">
        <f t="shared" si="3"/>
        <v>5.1244313736683922E-2</v>
      </c>
      <c r="M17" s="12">
        <f t="shared" si="4"/>
        <v>3.8812546850534327E-2</v>
      </c>
      <c r="N17" s="54">
        <f t="shared" si="5"/>
        <v>23374968</v>
      </c>
      <c r="O17" s="12">
        <v>16</v>
      </c>
      <c r="P17" s="13">
        <v>321688548</v>
      </c>
      <c r="Q17" s="13">
        <v>1072295.1599999999</v>
      </c>
      <c r="R17" s="13">
        <v>37372.206666666701</v>
      </c>
      <c r="S17" s="14">
        <v>35895496</v>
      </c>
      <c r="T17" s="14">
        <v>16530888</v>
      </c>
      <c r="U17" s="14">
        <v>6844080</v>
      </c>
      <c r="V17" s="14">
        <v>12520528</v>
      </c>
      <c r="W17" s="15">
        <v>69.320560999999998</v>
      </c>
      <c r="X17" s="15">
        <v>71.779154000000005</v>
      </c>
      <c r="Y17" s="15">
        <v>33.743637</v>
      </c>
      <c r="Z17" s="15">
        <v>45.188645999999999</v>
      </c>
      <c r="AA17" s="15">
        <v>45.585973666666703</v>
      </c>
      <c r="AB17" s="16">
        <v>55226.1</v>
      </c>
      <c r="AC17" s="16">
        <v>0</v>
      </c>
      <c r="AD17" s="16">
        <v>428.03500000000003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6.2339167999999994</v>
      </c>
      <c r="J18" s="21">
        <f t="shared" si="1"/>
        <v>0.19324599398869841</v>
      </c>
      <c r="K18" s="21">
        <f t="shared" si="2"/>
        <v>0.1064247481376529</v>
      </c>
      <c r="L18" s="21">
        <f t="shared" si="3"/>
        <v>8.5208695935317269E-2</v>
      </c>
      <c r="M18" s="21">
        <f t="shared" si="4"/>
        <v>8.6821245851045517E-2</v>
      </c>
      <c r="N18" s="18">
        <f t="shared" si="5"/>
        <v>34331528</v>
      </c>
      <c r="O18" s="21">
        <v>16</v>
      </c>
      <c r="P18" s="22">
        <v>331674418</v>
      </c>
      <c r="Q18" s="22">
        <v>1105581.3933333301</v>
      </c>
      <c r="R18" s="22">
        <v>41725.743333333303</v>
      </c>
      <c r="S18" s="23">
        <v>62339168</v>
      </c>
      <c r="T18" s="23">
        <v>27487448</v>
      </c>
      <c r="U18" s="23">
        <v>6844080</v>
      </c>
      <c r="V18" s="23">
        <v>28007640</v>
      </c>
      <c r="W18" s="24">
        <v>70.482167333333294</v>
      </c>
      <c r="X18" s="24">
        <v>73.086578000000003</v>
      </c>
      <c r="Y18" s="24">
        <v>36.164740000000002</v>
      </c>
      <c r="Z18" s="24">
        <v>46.497300000000003</v>
      </c>
      <c r="AA18" s="24">
        <v>46.986649999999997</v>
      </c>
      <c r="AB18" s="25">
        <v>58714.6</v>
      </c>
      <c r="AC18" s="25">
        <v>0</v>
      </c>
      <c r="AD18" s="25">
        <v>429.55500000000001</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13.081601599999999</v>
      </c>
      <c r="J19" s="30">
        <f t="shared" si="1"/>
        <v>0.40551826167396837</v>
      </c>
      <c r="K19" s="30">
        <f t="shared" si="2"/>
        <v>0.18407032606347534</v>
      </c>
      <c r="L19" s="30">
        <f t="shared" si="3"/>
        <v>0.13900751153545807</v>
      </c>
      <c r="M19" s="30">
        <f t="shared" si="4"/>
        <v>0.221447935610493</v>
      </c>
      <c r="N19" s="27">
        <f t="shared" si="5"/>
        <v>59379192</v>
      </c>
      <c r="O19" s="30">
        <v>16</v>
      </c>
      <c r="P19" s="31">
        <v>314091887</v>
      </c>
      <c r="Q19" s="31">
        <v>1046972.95666667</v>
      </c>
      <c r="R19" s="31">
        <v>18170.926666666699</v>
      </c>
      <c r="S19" s="32">
        <v>130816016</v>
      </c>
      <c r="T19" s="32">
        <v>44842392</v>
      </c>
      <c r="U19" s="32">
        <v>14536800</v>
      </c>
      <c r="V19" s="32">
        <v>71436824</v>
      </c>
      <c r="W19" s="33">
        <v>71.164296666666701</v>
      </c>
      <c r="X19" s="33">
        <v>75.031103666666695</v>
      </c>
      <c r="Y19" s="33">
        <v>38.639652666666599</v>
      </c>
      <c r="Z19" s="33">
        <v>48.274778333333302</v>
      </c>
      <c r="AA19" s="33">
        <v>48.826051333333297</v>
      </c>
      <c r="AB19" s="34">
        <v>64385.9</v>
      </c>
      <c r="AC19" s="34">
        <v>0</v>
      </c>
      <c r="AD19" s="34">
        <v>411.75099999999998</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2.1700064000000001</v>
      </c>
      <c r="J20" s="21">
        <f t="shared" si="1"/>
        <v>4.3295717606067041E-2</v>
      </c>
      <c r="K20" s="21">
        <f t="shared" si="2"/>
        <v>3.482769079467643E-2</v>
      </c>
      <c r="L20" s="21">
        <f t="shared" si="3"/>
        <v>2.0270636063811409E-2</v>
      </c>
      <c r="M20" s="21">
        <f t="shared" si="4"/>
        <v>8.4680268113906162E-3</v>
      </c>
      <c r="N20" s="18">
        <f t="shared" si="5"/>
        <v>8727920</v>
      </c>
      <c r="O20" s="21">
        <v>16</v>
      </c>
      <c r="P20" s="22">
        <v>236505512</v>
      </c>
      <c r="Q20" s="22">
        <v>946022.04799999995</v>
      </c>
      <c r="R20" s="22">
        <v>29061.547999999999</v>
      </c>
      <c r="S20" s="23">
        <v>10850032</v>
      </c>
      <c r="T20" s="23">
        <v>5079880</v>
      </c>
      <c r="U20" s="23">
        <v>3648040</v>
      </c>
      <c r="V20" s="23">
        <v>2122112</v>
      </c>
      <c r="W20" s="24">
        <v>67.503926399999997</v>
      </c>
      <c r="X20" s="24">
        <v>69.267345199999994</v>
      </c>
      <c r="Y20" s="24">
        <v>30.3323748</v>
      </c>
      <c r="Z20" s="24">
        <v>40.329280799999999</v>
      </c>
      <c r="AA20" s="24">
        <v>38.869372400000003</v>
      </c>
      <c r="AB20" s="25">
        <v>39770</v>
      </c>
      <c r="AC20" s="25">
        <v>0</v>
      </c>
      <c r="AD20" s="25">
        <v>322.39600000000002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2.8868944000000001</v>
      </c>
      <c r="J21" s="12">
        <f t="shared" si="1"/>
        <v>5.7598984362873931E-2</v>
      </c>
      <c r="K21" s="12">
        <f t="shared" si="2"/>
        <v>4.1635146180336764E-2</v>
      </c>
      <c r="L21" s="12">
        <f t="shared" si="3"/>
        <v>2.7078091449471747E-2</v>
      </c>
      <c r="M21" s="12">
        <f t="shared" si="4"/>
        <v>1.5963838182537167E-2</v>
      </c>
      <c r="N21" s="54">
        <f t="shared" si="5"/>
        <v>10433888</v>
      </c>
      <c r="O21" s="12">
        <v>16</v>
      </c>
      <c r="P21" s="13">
        <v>245501029</v>
      </c>
      <c r="Q21" s="13">
        <v>982004.11600000004</v>
      </c>
      <c r="R21" s="13">
        <v>33622.584000000003</v>
      </c>
      <c r="S21" s="14">
        <v>14434472</v>
      </c>
      <c r="T21" s="14">
        <v>6785848</v>
      </c>
      <c r="U21" s="14">
        <v>3648040</v>
      </c>
      <c r="V21" s="14">
        <v>4000584</v>
      </c>
      <c r="W21" s="15">
        <v>69.072584000000006</v>
      </c>
      <c r="X21" s="15">
        <v>71.232650000000007</v>
      </c>
      <c r="Y21" s="15">
        <v>31.865727199999998</v>
      </c>
      <c r="Z21" s="15">
        <v>41.445658799999997</v>
      </c>
      <c r="AA21" s="15">
        <v>40.152037200000002</v>
      </c>
      <c r="AB21" s="16">
        <v>41609.9</v>
      </c>
      <c r="AC21" s="16">
        <v>0</v>
      </c>
      <c r="AD21" s="16">
        <v>318.851</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4.2697184000000004</v>
      </c>
      <c r="J22" s="21">
        <f t="shared" si="1"/>
        <v>8.5188929444552974E-2</v>
      </c>
      <c r="K22" s="21">
        <f t="shared" si="2"/>
        <v>4.9446803867877163E-2</v>
      </c>
      <c r="L22" s="21">
        <f t="shared" si="3"/>
        <v>3.4889749137012149E-2</v>
      </c>
      <c r="M22" s="21">
        <f t="shared" si="4"/>
        <v>3.5742125576675811E-2</v>
      </c>
      <c r="N22" s="18">
        <f t="shared" si="5"/>
        <v>12391512</v>
      </c>
      <c r="O22" s="21">
        <v>16</v>
      </c>
      <c r="P22" s="22">
        <v>252577924</v>
      </c>
      <c r="Q22" s="22">
        <v>1010311.696</v>
      </c>
      <c r="R22" s="22">
        <v>35648.660000000003</v>
      </c>
      <c r="S22" s="23">
        <v>21348592</v>
      </c>
      <c r="T22" s="23">
        <v>8743472</v>
      </c>
      <c r="U22" s="23">
        <v>3648040</v>
      </c>
      <c r="V22" s="23">
        <v>8957080</v>
      </c>
      <c r="W22" s="24">
        <v>70.267569199999997</v>
      </c>
      <c r="X22" s="24">
        <v>72.751233999999997</v>
      </c>
      <c r="Y22" s="24">
        <v>33.745186400000001</v>
      </c>
      <c r="Z22" s="24">
        <v>42.661064000000003</v>
      </c>
      <c r="AA22" s="24">
        <v>41.468544000000001</v>
      </c>
      <c r="AB22" s="25">
        <v>42360.4</v>
      </c>
      <c r="AC22" s="25">
        <v>0</v>
      </c>
      <c r="AD22" s="25">
        <v>331.63499999999999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7.8583568000000001</v>
      </c>
      <c r="J23" s="12">
        <f t="shared" si="1"/>
        <v>0.1567890292215344</v>
      </c>
      <c r="K23" s="12">
        <f t="shared" si="2"/>
        <v>7.2377201745848968E-2</v>
      </c>
      <c r="L23" s="12">
        <f t="shared" si="3"/>
        <v>5.7820147014983954E-2</v>
      </c>
      <c r="M23" s="12">
        <f t="shared" si="4"/>
        <v>8.441182747568543E-2</v>
      </c>
      <c r="N23" s="54">
        <f t="shared" si="5"/>
        <v>18137936</v>
      </c>
      <c r="O23" s="12">
        <v>16</v>
      </c>
      <c r="P23" s="13">
        <v>255742270</v>
      </c>
      <c r="Q23" s="13">
        <v>1022969.08</v>
      </c>
      <c r="R23" s="13">
        <v>37974.735999999997</v>
      </c>
      <c r="S23" s="14">
        <v>39291784</v>
      </c>
      <c r="T23" s="14">
        <v>14489896</v>
      </c>
      <c r="U23" s="14">
        <v>3648040</v>
      </c>
      <c r="V23" s="14">
        <v>21153848</v>
      </c>
      <c r="W23" s="15">
        <v>71.212266400000004</v>
      </c>
      <c r="X23" s="15">
        <v>73.995277200000004</v>
      </c>
      <c r="Y23" s="15">
        <v>35.646979199999997</v>
      </c>
      <c r="Z23" s="15">
        <v>43.827658800000002</v>
      </c>
      <c r="AA23" s="15">
        <v>42.612523600000003</v>
      </c>
      <c r="AB23" s="16">
        <v>44734.5</v>
      </c>
      <c r="AC23" s="16">
        <v>0</v>
      </c>
      <c r="AD23" s="16">
        <v>331.45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15.7639584</v>
      </c>
      <c r="J24" s="40">
        <f t="shared" si="1"/>
        <v>0.31452068124784721</v>
      </c>
      <c r="K24" s="40">
        <f t="shared" si="2"/>
        <v>0.12508845318947259</v>
      </c>
      <c r="L24" s="40">
        <f t="shared" si="3"/>
        <v>9.2850740496844469E-2</v>
      </c>
      <c r="M24" s="40">
        <f t="shared" si="4"/>
        <v>0.18943222805837465</v>
      </c>
      <c r="N24" s="37">
        <f t="shared" si="5"/>
        <v>31347528</v>
      </c>
      <c r="O24" s="40">
        <v>16</v>
      </c>
      <c r="P24" s="41">
        <v>244679090</v>
      </c>
      <c r="Q24" s="41">
        <v>978716.36</v>
      </c>
      <c r="R24" s="41">
        <v>18784.592000000001</v>
      </c>
      <c r="S24" s="42">
        <v>78819792</v>
      </c>
      <c r="T24" s="42">
        <v>23268664</v>
      </c>
      <c r="U24" s="42">
        <v>8078864</v>
      </c>
      <c r="V24" s="42">
        <v>47472264</v>
      </c>
      <c r="W24" s="43">
        <v>71.975070799999997</v>
      </c>
      <c r="X24" s="43">
        <v>75.9569568</v>
      </c>
      <c r="Y24" s="43">
        <v>36.859941599999999</v>
      </c>
      <c r="Z24" s="43">
        <v>44.779499999999999</v>
      </c>
      <c r="AA24" s="43">
        <v>43.3600116</v>
      </c>
      <c r="AB24" s="44">
        <v>48228.4</v>
      </c>
      <c r="AC24" s="44">
        <v>0</v>
      </c>
      <c r="AD24" s="44">
        <v>329.911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2.1612992000000002</v>
      </c>
      <c r="J25" s="12">
        <f t="shared" si="1"/>
        <v>8.6350219119005936E-2</v>
      </c>
      <c r="K25" s="12">
        <f t="shared" si="2"/>
        <v>5.5649210976528446E-2</v>
      </c>
      <c r="L25" s="12">
        <f t="shared" si="3"/>
        <v>3.4223769174516132E-2</v>
      </c>
      <c r="M25" s="12">
        <f t="shared" si="4"/>
        <v>3.070100814247749E-2</v>
      </c>
      <c r="N25" s="54">
        <f t="shared" si="5"/>
        <v>13928696</v>
      </c>
      <c r="O25" s="12">
        <v>16</v>
      </c>
      <c r="P25" s="13">
        <v>232353009</v>
      </c>
      <c r="Q25" s="13">
        <v>774510.03</v>
      </c>
      <c r="R25" s="13">
        <v>16137.72</v>
      </c>
      <c r="S25" s="14">
        <v>21612992</v>
      </c>
      <c r="T25" s="14">
        <v>8566024</v>
      </c>
      <c r="U25" s="14">
        <v>5362672</v>
      </c>
      <c r="V25" s="14">
        <v>7684296</v>
      </c>
      <c r="W25" s="15">
        <v>66.376499666666703</v>
      </c>
      <c r="X25" s="15">
        <v>68.128640666666598</v>
      </c>
      <c r="Y25" s="15">
        <v>25.848741</v>
      </c>
      <c r="Z25" s="15">
        <v>32.411542666666698</v>
      </c>
      <c r="AA25" s="15">
        <v>31.5784493333333</v>
      </c>
      <c r="AB25" s="16">
        <v>45241.3</v>
      </c>
      <c r="AC25" s="16">
        <v>0</v>
      </c>
      <c r="AD25" s="16">
        <v>316.572</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3.3303263999999997</v>
      </c>
      <c r="J26" s="21">
        <f t="shared" si="1"/>
        <v>0.13305627206904544</v>
      </c>
      <c r="K26" s="21">
        <f t="shared" si="2"/>
        <v>6.9726351487704202E-2</v>
      </c>
      <c r="L26" s="21">
        <f t="shared" si="3"/>
        <v>4.8300909685691881E-2</v>
      </c>
      <c r="M26" s="21">
        <f t="shared" si="4"/>
        <v>6.3329920581341223E-2</v>
      </c>
      <c r="N26" s="18">
        <f t="shared" si="5"/>
        <v>17452128</v>
      </c>
      <c r="O26" s="21">
        <v>16</v>
      </c>
      <c r="P26" s="22">
        <v>243827425</v>
      </c>
      <c r="Q26" s="22">
        <v>812758.08333333302</v>
      </c>
      <c r="R26" s="22">
        <v>19402.91</v>
      </c>
      <c r="S26" s="23">
        <v>33303264</v>
      </c>
      <c r="T26" s="23">
        <v>12089456</v>
      </c>
      <c r="U26" s="23">
        <v>5362672</v>
      </c>
      <c r="V26" s="23">
        <v>15851136</v>
      </c>
      <c r="W26" s="24">
        <v>68.070007666666697</v>
      </c>
      <c r="X26" s="24">
        <v>70.119842666666599</v>
      </c>
      <c r="Y26" s="24">
        <v>27.886997999999998</v>
      </c>
      <c r="Z26" s="24">
        <v>33.600436999999999</v>
      </c>
      <c r="AA26" s="24">
        <v>32.9698383333333</v>
      </c>
      <c r="AB26" s="25">
        <v>48281.4</v>
      </c>
      <c r="AC26" s="25">
        <v>0</v>
      </c>
      <c r="AD26" s="25">
        <v>347.59399999999999</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5.6182319999999999</v>
      </c>
      <c r="J27" s="12">
        <f t="shared" si="1"/>
        <v>0.22446478685663279</v>
      </c>
      <c r="K27" s="12">
        <f t="shared" si="2"/>
        <v>9.0493433054016331E-2</v>
      </c>
      <c r="L27" s="12">
        <f t="shared" si="3"/>
        <v>6.906799125200401E-2</v>
      </c>
      <c r="M27" s="12">
        <f t="shared" si="4"/>
        <v>0.13397135380261646</v>
      </c>
      <c r="N27" s="54">
        <f t="shared" si="5"/>
        <v>22650016</v>
      </c>
      <c r="O27" s="12">
        <v>16</v>
      </c>
      <c r="P27" s="13">
        <v>246299259</v>
      </c>
      <c r="Q27" s="13">
        <v>820997.53</v>
      </c>
      <c r="R27" s="13">
        <v>20420.32</v>
      </c>
      <c r="S27" s="14">
        <v>56182320</v>
      </c>
      <c r="T27" s="14">
        <v>17287344</v>
      </c>
      <c r="U27" s="14">
        <v>5362672</v>
      </c>
      <c r="V27" s="14">
        <v>33532304</v>
      </c>
      <c r="W27" s="15">
        <v>69.362086333333394</v>
      </c>
      <c r="X27" s="15">
        <v>71.795333666666707</v>
      </c>
      <c r="Y27" s="15">
        <v>30.187622666666599</v>
      </c>
      <c r="Z27" s="15">
        <v>34.844738333333297</v>
      </c>
      <c r="AA27" s="15">
        <v>34.305074333333401</v>
      </c>
      <c r="AB27" s="16">
        <v>50973.8</v>
      </c>
      <c r="AC27" s="16">
        <v>0</v>
      </c>
      <c r="AD27" s="16">
        <v>334.09800000000001</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10.8521152</v>
      </c>
      <c r="J28" s="21">
        <f t="shared" si="1"/>
        <v>0.43357371595043154</v>
      </c>
      <c r="K28" s="21">
        <f t="shared" si="2"/>
        <v>0.12767713845280118</v>
      </c>
      <c r="L28" s="21">
        <f t="shared" si="3"/>
        <v>0.10625169665078887</v>
      </c>
      <c r="M28" s="21">
        <f t="shared" si="4"/>
        <v>0.30589657749763038</v>
      </c>
      <c r="N28" s="18">
        <f t="shared" si="5"/>
        <v>31956896</v>
      </c>
      <c r="O28" s="21">
        <v>16</v>
      </c>
      <c r="P28" s="22">
        <v>253079582</v>
      </c>
      <c r="Q28" s="22">
        <v>843598.60666666704</v>
      </c>
      <c r="R28" s="22">
        <v>22905.0766666667</v>
      </c>
      <c r="S28" s="23">
        <v>108521152</v>
      </c>
      <c r="T28" s="23">
        <v>26594224</v>
      </c>
      <c r="U28" s="23">
        <v>5362672</v>
      </c>
      <c r="V28" s="23">
        <v>76564256</v>
      </c>
      <c r="W28" s="24">
        <v>70.483457000000001</v>
      </c>
      <c r="X28" s="24">
        <v>73.037995333333399</v>
      </c>
      <c r="Y28" s="24">
        <v>32.697953333333302</v>
      </c>
      <c r="Z28" s="24">
        <v>36.403407999999999</v>
      </c>
      <c r="AA28" s="24">
        <v>35.851236999999998</v>
      </c>
      <c r="AB28" s="25">
        <v>55245</v>
      </c>
      <c r="AC28" s="25">
        <v>0</v>
      </c>
      <c r="AD28" s="25">
        <v>357.02199999999999</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25.0589224</v>
      </c>
      <c r="J29" s="30">
        <f t="shared" si="1"/>
        <v>1.0011771808947907</v>
      </c>
      <c r="K29" s="30">
        <f t="shared" si="2"/>
        <v>0.21114403507144233</v>
      </c>
      <c r="L29" s="30">
        <f t="shared" si="3"/>
        <v>0.16759448672364791</v>
      </c>
      <c r="M29" s="30">
        <f t="shared" si="4"/>
        <v>0.79003314582334827</v>
      </c>
      <c r="N29" s="27">
        <f t="shared" si="5"/>
        <v>52848208</v>
      </c>
      <c r="O29" s="30">
        <v>16</v>
      </c>
      <c r="P29" s="31">
        <v>243597521</v>
      </c>
      <c r="Q29" s="31">
        <v>811991.73666666704</v>
      </c>
      <c r="R29" s="31">
        <v>10639.8266666667</v>
      </c>
      <c r="S29" s="32">
        <v>250589224</v>
      </c>
      <c r="T29" s="32">
        <v>41947992</v>
      </c>
      <c r="U29" s="32">
        <v>10900216</v>
      </c>
      <c r="V29" s="32">
        <v>197741016</v>
      </c>
      <c r="W29" s="33">
        <v>71.191947999999996</v>
      </c>
      <c r="X29" s="33">
        <v>74.931579333333403</v>
      </c>
      <c r="Y29" s="33">
        <v>35.701129666666702</v>
      </c>
      <c r="Z29" s="33">
        <v>38.378785999999998</v>
      </c>
      <c r="AA29" s="33">
        <v>37.766298999999997</v>
      </c>
      <c r="AB29" s="34">
        <v>61370.1</v>
      </c>
      <c r="AC29" s="34">
        <v>0</v>
      </c>
      <c r="AD29" s="34">
        <v>367.81099999999998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3.9519375000000001</v>
      </c>
      <c r="J30" s="21">
        <f t="shared" si="1"/>
        <v>4.5106685674022359E-2</v>
      </c>
      <c r="K30" s="21">
        <f t="shared" si="2"/>
        <v>3.5215658596426731E-2</v>
      </c>
      <c r="L30" s="21">
        <f t="shared" si="3"/>
        <v>2.2462859814270861E-2</v>
      </c>
      <c r="M30" s="21">
        <f t="shared" si="4"/>
        <v>9.891027077595628E-3</v>
      </c>
      <c r="N30" s="18">
        <f t="shared" si="5"/>
        <v>6582088</v>
      </c>
      <c r="O30" s="21">
        <v>16</v>
      </c>
      <c r="P30" s="22">
        <v>172282944</v>
      </c>
      <c r="Q30" s="22">
        <v>2691921</v>
      </c>
      <c r="R30" s="22">
        <v>32558.9375</v>
      </c>
      <c r="S30" s="23">
        <v>8430800</v>
      </c>
      <c r="T30" s="23">
        <v>4198488</v>
      </c>
      <c r="U30" s="23">
        <v>2383600</v>
      </c>
      <c r="V30" s="23">
        <v>1848712</v>
      </c>
      <c r="W30" s="24">
        <v>73.532006249999995</v>
      </c>
      <c r="X30" s="24">
        <v>75.624973437500003</v>
      </c>
      <c r="Y30" s="24">
        <v>32.967700000000001</v>
      </c>
      <c r="Z30" s="24">
        <v>41.8452359375</v>
      </c>
      <c r="AA30" s="24">
        <v>43.152859374999998</v>
      </c>
      <c r="AB30" s="25">
        <v>38165.9</v>
      </c>
      <c r="AC30" s="25">
        <v>0</v>
      </c>
      <c r="AD30" s="25">
        <v>253.65899999999999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5.2960612500000002</v>
      </c>
      <c r="J31" s="12">
        <f t="shared" si="1"/>
        <v>6.0448266227418813E-2</v>
      </c>
      <c r="K31" s="12">
        <f t="shared" si="2"/>
        <v>4.3555719348564399E-2</v>
      </c>
      <c r="L31" s="12">
        <f t="shared" si="3"/>
        <v>3.0802920566408529E-2</v>
      </c>
      <c r="M31" s="12">
        <f t="shared" si="4"/>
        <v>1.6892546878854421E-2</v>
      </c>
      <c r="N31" s="54">
        <f t="shared" si="5"/>
        <v>8140912</v>
      </c>
      <c r="O31" s="12">
        <v>16</v>
      </c>
      <c r="P31" s="13">
        <v>181468038</v>
      </c>
      <c r="Q31" s="13">
        <v>2835438.09375</v>
      </c>
      <c r="R31" s="13">
        <v>39839.03125</v>
      </c>
      <c r="S31" s="14">
        <v>11298264</v>
      </c>
      <c r="T31" s="14">
        <v>5757312</v>
      </c>
      <c r="U31" s="14">
        <v>2383600</v>
      </c>
      <c r="V31" s="14">
        <v>3157352</v>
      </c>
      <c r="W31" s="15">
        <v>75.180059374999999</v>
      </c>
      <c r="X31" s="15">
        <v>77.545574999999999</v>
      </c>
      <c r="Y31" s="15">
        <v>35.004589062500003</v>
      </c>
      <c r="Z31" s="15">
        <v>42.517737500000003</v>
      </c>
      <c r="AA31" s="15">
        <v>44.413856250000002</v>
      </c>
      <c r="AB31" s="16">
        <v>37525.699999999997</v>
      </c>
      <c r="AC31" s="16">
        <v>0</v>
      </c>
      <c r="AD31" s="16">
        <v>246.92</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7.6495199999999999</v>
      </c>
      <c r="J32" s="21">
        <f t="shared" si="1"/>
        <v>8.7310210294861065E-2</v>
      </c>
      <c r="K32" s="21">
        <f t="shared" si="2"/>
        <v>5.5908706439415957E-2</v>
      </c>
      <c r="L32" s="21">
        <f t="shared" si="3"/>
        <v>4.3155907657260087E-2</v>
      </c>
      <c r="M32" s="21">
        <f t="shared" si="4"/>
        <v>3.1401503855445108E-2</v>
      </c>
      <c r="N32" s="18">
        <f t="shared" si="5"/>
        <v>10449784</v>
      </c>
      <c r="O32" s="21">
        <v>16</v>
      </c>
      <c r="P32" s="22">
        <v>184191159</v>
      </c>
      <c r="Q32" s="22">
        <v>2877986.859375</v>
      </c>
      <c r="R32" s="22">
        <v>42690.109375</v>
      </c>
      <c r="S32" s="23">
        <v>16318976</v>
      </c>
      <c r="T32" s="23">
        <v>8066184</v>
      </c>
      <c r="U32" s="23">
        <v>2383600</v>
      </c>
      <c r="V32" s="23">
        <v>5869192</v>
      </c>
      <c r="W32" s="24">
        <v>76.422514062499999</v>
      </c>
      <c r="X32" s="24">
        <v>79.111964062499993</v>
      </c>
      <c r="Y32" s="24">
        <v>36.8806625</v>
      </c>
      <c r="Z32" s="24">
        <v>43.149374999999999</v>
      </c>
      <c r="AA32" s="24">
        <v>45.882734374999998</v>
      </c>
      <c r="AB32" s="25">
        <v>41633.699999999997</v>
      </c>
      <c r="AC32" s="25">
        <v>0</v>
      </c>
      <c r="AD32" s="25">
        <v>252.459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12.63273</v>
      </c>
      <c r="J33" s="12">
        <f t="shared" si="1"/>
        <v>0.14418765006146794</v>
      </c>
      <c r="K33" s="12">
        <f t="shared" si="2"/>
        <v>7.7520366692080067E-2</v>
      </c>
      <c r="L33" s="12">
        <f t="shared" si="3"/>
        <v>6.476756790992419E-2</v>
      </c>
      <c r="M33" s="12">
        <f t="shared" si="4"/>
        <v>6.6667283369387889E-2</v>
      </c>
      <c r="N33" s="54">
        <f t="shared" si="5"/>
        <v>14489176</v>
      </c>
      <c r="O33" s="12">
        <v>16</v>
      </c>
      <c r="P33" s="13">
        <v>188805786</v>
      </c>
      <c r="Q33" s="13">
        <v>2950090.40625</v>
      </c>
      <c r="R33" s="13">
        <v>47691.640625</v>
      </c>
      <c r="S33" s="14">
        <v>26949824</v>
      </c>
      <c r="T33" s="14">
        <v>12105576</v>
      </c>
      <c r="U33" s="14">
        <v>2383600</v>
      </c>
      <c r="V33" s="14">
        <v>12460648</v>
      </c>
      <c r="W33" s="15">
        <v>77.551254687500006</v>
      </c>
      <c r="X33" s="15">
        <v>80.268199999999993</v>
      </c>
      <c r="Y33" s="15">
        <v>38.690759374999999</v>
      </c>
      <c r="Z33" s="15">
        <v>43.742721875000001</v>
      </c>
      <c r="AA33" s="15">
        <v>47.246101562500002</v>
      </c>
      <c r="AB33" s="16">
        <v>43524.1</v>
      </c>
      <c r="AC33" s="16">
        <v>0</v>
      </c>
      <c r="AD33" s="16">
        <v>262.714</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25.560007500000001</v>
      </c>
      <c r="J34" s="40">
        <f t="shared" si="1"/>
        <v>0.29173721095744909</v>
      </c>
      <c r="K34" s="40">
        <f t="shared" si="2"/>
        <v>0.12893145911562442</v>
      </c>
      <c r="L34" s="40">
        <f t="shared" si="3"/>
        <v>0.10256272028519102</v>
      </c>
      <c r="M34" s="40">
        <f t="shared" si="4"/>
        <v>0.16280575184182466</v>
      </c>
      <c r="N34" s="37">
        <f t="shared" si="5"/>
        <v>24098320</v>
      </c>
      <c r="O34" s="40">
        <v>16</v>
      </c>
      <c r="P34" s="41">
        <v>185070962</v>
      </c>
      <c r="Q34" s="41">
        <v>2891733.78125</v>
      </c>
      <c r="R34" s="41">
        <v>18923.84375</v>
      </c>
      <c r="S34" s="42">
        <v>54528016</v>
      </c>
      <c r="T34" s="42">
        <v>19169792</v>
      </c>
      <c r="U34" s="42">
        <v>4928528</v>
      </c>
      <c r="V34" s="42">
        <v>30429696</v>
      </c>
      <c r="W34" s="43">
        <v>78.460587500000003</v>
      </c>
      <c r="X34" s="43">
        <v>81.916062499999995</v>
      </c>
      <c r="Y34" s="43">
        <v>40.520587499999998</v>
      </c>
      <c r="Z34" s="43">
        <v>44.454376562500002</v>
      </c>
      <c r="AA34" s="43">
        <v>48.732424999999999</v>
      </c>
      <c r="AB34" s="44">
        <v>46882.3</v>
      </c>
      <c r="AC34" s="44">
        <v>0</v>
      </c>
      <c r="AD34" s="44">
        <v>271.82900000000001</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4.3393350000000002</v>
      </c>
      <c r="J35" s="12">
        <f t="shared" si="1"/>
        <v>5.5756908271736461E-2</v>
      </c>
      <c r="K35" s="12">
        <f t="shared" si="2"/>
        <v>4.2882509036780009E-2</v>
      </c>
      <c r="L35" s="12">
        <f t="shared" si="3"/>
        <v>2.7513553408272415E-2</v>
      </c>
      <c r="M35" s="12">
        <f t="shared" si="4"/>
        <v>1.2874399234956448E-2</v>
      </c>
      <c r="N35" s="54">
        <f t="shared" si="5"/>
        <v>7119728</v>
      </c>
      <c r="O35" s="12">
        <v>16</v>
      </c>
      <c r="P35" s="13">
        <v>149903109</v>
      </c>
      <c r="Q35" s="13">
        <v>2342236.078125</v>
      </c>
      <c r="R35" s="13">
        <v>30822.421875</v>
      </c>
      <c r="S35" s="14">
        <v>9257248</v>
      </c>
      <c r="T35" s="14">
        <v>4568040</v>
      </c>
      <c r="U35" s="14">
        <v>2551688</v>
      </c>
      <c r="V35" s="14">
        <v>2137520</v>
      </c>
      <c r="W35" s="15">
        <v>73.214260937500001</v>
      </c>
      <c r="X35" s="15">
        <v>75.410712500000002</v>
      </c>
      <c r="Y35" s="15">
        <v>31.890817187500001</v>
      </c>
      <c r="Z35" s="15">
        <v>42.161456250000001</v>
      </c>
      <c r="AA35" s="15">
        <v>43.430073437499999</v>
      </c>
      <c r="AB35" s="16">
        <v>32811.4</v>
      </c>
      <c r="AC35" s="16">
        <v>0</v>
      </c>
      <c r="AD35" s="16">
        <v>217.584</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5.8451512499999998</v>
      </c>
      <c r="J36" s="21">
        <f t="shared" si="1"/>
        <v>7.5105416401516759E-2</v>
      </c>
      <c r="K36" s="21">
        <f t="shared" si="2"/>
        <v>5.3151383123972565E-2</v>
      </c>
      <c r="L36" s="21">
        <f t="shared" si="3"/>
        <v>3.7782427495464968E-2</v>
      </c>
      <c r="M36" s="21">
        <f t="shared" si="4"/>
        <v>2.195403327754419E-2</v>
      </c>
      <c r="N36" s="18">
        <f t="shared" si="5"/>
        <v>8824656</v>
      </c>
      <c r="O36" s="21">
        <v>16</v>
      </c>
      <c r="P36" s="22">
        <v>159704490</v>
      </c>
      <c r="Q36" s="22">
        <v>2495382.65625</v>
      </c>
      <c r="R36" s="22">
        <v>38648.109375</v>
      </c>
      <c r="S36" s="23">
        <v>12469656</v>
      </c>
      <c r="T36" s="23">
        <v>6272968</v>
      </c>
      <c r="U36" s="23">
        <v>2551688</v>
      </c>
      <c r="V36" s="23">
        <v>3645000</v>
      </c>
      <c r="W36" s="24">
        <v>74.935856250000001</v>
      </c>
      <c r="X36" s="24">
        <v>77.368337499999996</v>
      </c>
      <c r="Y36" s="24">
        <v>34.107881249999998</v>
      </c>
      <c r="Z36" s="24">
        <v>42.934337499999998</v>
      </c>
      <c r="AA36" s="24">
        <v>44.760273437499997</v>
      </c>
      <c r="AB36" s="25">
        <v>34450.199999999997</v>
      </c>
      <c r="AC36" s="25">
        <v>0</v>
      </c>
      <c r="AD36" s="25">
        <v>220.05</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8.4148650000000007</v>
      </c>
      <c r="J37" s="12">
        <f t="shared" si="1"/>
        <v>0.10812413789763768</v>
      </c>
      <c r="K37" s="12">
        <f t="shared" si="2"/>
        <v>6.8014787658602527E-2</v>
      </c>
      <c r="L37" s="12">
        <f t="shared" si="3"/>
        <v>5.2645832030094937E-2</v>
      </c>
      <c r="M37" s="12">
        <f t="shared" si="4"/>
        <v>4.0109350239035155E-2</v>
      </c>
      <c r="N37" s="54">
        <f t="shared" si="5"/>
        <v>11292408</v>
      </c>
      <c r="O37" s="12">
        <v>16</v>
      </c>
      <c r="P37" s="13">
        <v>163111890</v>
      </c>
      <c r="Q37" s="13">
        <v>2548623.28125</v>
      </c>
      <c r="R37" s="13">
        <v>41930.65625</v>
      </c>
      <c r="S37" s="14">
        <v>17951712</v>
      </c>
      <c r="T37" s="14">
        <v>8740720</v>
      </c>
      <c r="U37" s="14">
        <v>2551688</v>
      </c>
      <c r="V37" s="14">
        <v>6659304</v>
      </c>
      <c r="W37" s="15">
        <v>76.245132812500003</v>
      </c>
      <c r="X37" s="15">
        <v>78.983754687499996</v>
      </c>
      <c r="Y37" s="15">
        <v>36.187356250000001</v>
      </c>
      <c r="Z37" s="15">
        <v>43.521146874999999</v>
      </c>
      <c r="AA37" s="15">
        <v>46.115310937499999</v>
      </c>
      <c r="AB37" s="16">
        <v>36024.199999999997</v>
      </c>
      <c r="AC37" s="16">
        <v>0</v>
      </c>
      <c r="AD37" s="16">
        <v>221.666</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13.77872625</v>
      </c>
      <c r="J38" s="21">
        <f t="shared" si="1"/>
        <v>0.17704537115079091</v>
      </c>
      <c r="K38" s="21">
        <f t="shared" si="2"/>
        <v>9.3556633979429996E-2</v>
      </c>
      <c r="L38" s="21">
        <f t="shared" si="3"/>
        <v>7.8187678350922399E-2</v>
      </c>
      <c r="M38" s="21">
        <f t="shared" si="4"/>
        <v>8.3488737171360919E-2</v>
      </c>
      <c r="N38" s="18">
        <f t="shared" si="5"/>
        <v>15533088</v>
      </c>
      <c r="O38" s="21">
        <v>16</v>
      </c>
      <c r="P38" s="22">
        <v>167401320</v>
      </c>
      <c r="Q38" s="22">
        <v>2615645.625</v>
      </c>
      <c r="R38" s="22">
        <v>46927.796875</v>
      </c>
      <c r="S38" s="23">
        <v>29394616</v>
      </c>
      <c r="T38" s="23">
        <v>12981400</v>
      </c>
      <c r="U38" s="23">
        <v>2551688</v>
      </c>
      <c r="V38" s="23">
        <v>13861528</v>
      </c>
      <c r="W38" s="24">
        <v>77.4305796875</v>
      </c>
      <c r="X38" s="24">
        <v>80.1885328125</v>
      </c>
      <c r="Y38" s="24">
        <v>38.161762500000002</v>
      </c>
      <c r="Z38" s="24">
        <v>44.137128124999997</v>
      </c>
      <c r="AA38" s="24">
        <v>47.279484375000003</v>
      </c>
      <c r="AB38" s="25">
        <v>37724.9</v>
      </c>
      <c r="AC38" s="25">
        <v>0</v>
      </c>
      <c r="AD38" s="25">
        <v>234.49299999999999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27.424803749999999</v>
      </c>
      <c r="J39" s="30">
        <f t="shared" si="1"/>
        <v>0.35238631427606398</v>
      </c>
      <c r="K39" s="30">
        <f t="shared" si="2"/>
        <v>0.15184038221628623</v>
      </c>
      <c r="L39" s="30">
        <f t="shared" si="3"/>
        <v>0.12054868724578117</v>
      </c>
      <c r="M39" s="30">
        <f t="shared" si="4"/>
        <v>0.20054593205977775</v>
      </c>
      <c r="N39" s="27">
        <f t="shared" si="5"/>
        <v>25209864</v>
      </c>
      <c r="O39" s="30">
        <v>16</v>
      </c>
      <c r="P39" s="31">
        <v>163642533</v>
      </c>
      <c r="Q39" s="31">
        <v>2556914.578125</v>
      </c>
      <c r="R39" s="31">
        <v>18550.34375</v>
      </c>
      <c r="S39" s="32">
        <v>58506248</v>
      </c>
      <c r="T39" s="32">
        <v>20014544</v>
      </c>
      <c r="U39" s="32">
        <v>5195320</v>
      </c>
      <c r="V39" s="32">
        <v>33296384</v>
      </c>
      <c r="W39" s="33">
        <v>78.287287500000005</v>
      </c>
      <c r="X39" s="33">
        <v>81.886876562500007</v>
      </c>
      <c r="Y39" s="33">
        <v>40.240209374999999</v>
      </c>
      <c r="Z39" s="33">
        <v>45.062545312499999</v>
      </c>
      <c r="AA39" s="33">
        <v>48.671223437499997</v>
      </c>
      <c r="AB39" s="34">
        <v>40616.5</v>
      </c>
      <c r="AC39" s="34">
        <v>0</v>
      </c>
      <c r="AD39" s="34">
        <v>224.62899999999999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0.17704073650645563</v>
      </c>
      <c r="K40" s="48">
        <f>AVERAGE(K5:K24)</f>
        <v>9.7067720312226519E-2</v>
      </c>
      <c r="L40" s="48">
        <f>AVERAGE(L5:L24)</f>
        <v>7.1615106747326476E-2</v>
      </c>
      <c r="M40" s="48">
        <f>AVERAGE(M5:M24)</f>
        <v>7.9973016194229155E-2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0.37572443497798125</v>
      </c>
      <c r="K41" s="48">
        <f>AVERAGE(K25:K29)</f>
        <v>0.1109380338084985</v>
      </c>
      <c r="L41" s="48">
        <f>AVERAGE(L25:L29)</f>
        <v>8.5087770697329757E-2</v>
      </c>
      <c r="M41" s="48">
        <f>AVERAGE(M25:M29)</f>
        <v>0.26478640116948277</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0.1397208171212965</v>
      </c>
      <c r="K42" s="48">
        <f>AVERAGE(K30:K39)</f>
        <v>7.5057760620718297E-2</v>
      </c>
      <c r="L42" s="48">
        <f>AVERAGE(L30:L39)</f>
        <v>5.804301547635906E-2</v>
      </c>
      <c r="M42" s="48">
        <f>AVERAGE(M30:M39)</f>
        <v>6.4663056500578214E-2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0.1947612878923424</v>
      </c>
      <c r="K43" s="48">
        <f>AVERAGE(K5:K39)</f>
        <v>9.2760633756977282E-2</v>
      </c>
      <c r="L43" s="48">
        <f>AVERAGE(L5:L39)</f>
        <v>6.9662032662764814E-2</v>
      </c>
      <c r="M43" s="48">
        <f>AVERAGE(M5:M39)</f>
        <v>0.10200065413536512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1683610.5999999996</v>
      </c>
      <c r="AC44" s="49">
        <f>SUM(AC5:AC24,AC25:AC29,AC30:AC39)</f>
        <v>0</v>
      </c>
      <c r="AD44" s="49">
        <f>SUM(AD5:AD24,AD25:AD29,AD30:AD39)</f>
        <v>11140.508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47353.405853179676</v>
      </c>
      <c r="AC46" s="49" t="e">
        <f>GEOMEAN(AC5:AC24,AC25:AC29,AC30:AC39)</f>
        <v>#NUM!</v>
      </c>
      <c r="AD46" s="49">
        <f>GEOMEAN(AD5:AD24,AD25:AD29,AD30:AD39)</f>
        <v>312.61094952215791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2021-07-09T15:50:43Z</dcterms:modified>
</cp:coreProperties>
</file>