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1" defaultThemeVersion="124226"/>
  <mc:AlternateContent xmlns:mc="http://schemas.openxmlformats.org/markup-compatibility/2006">
    <mc:Choice Requires="x15">
      <x15ac:absPath xmlns:x15ac="http://schemas.microsoft.com/office/spreadsheetml/2010/11/ac" url="/Users/jricard/dev/vpcc/tm2v22/test/"/>
    </mc:Choice>
  </mc:AlternateContent>
  <xr:revisionPtr revIDLastSave="0" documentId="13_ncr:1_{8A702262-EEB8-D248-B120-ECF08E09B641}" xr6:coauthVersionLast="47" xr6:coauthVersionMax="47" xr10:uidLastSave="{00000000-0000-0000-0000-000000000000}"/>
  <bookViews>
    <workbookView xWindow="-40700" yWindow="-9660" windowWidth="38400" windowHeight="2350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AZ44" i="7"/>
  <c r="AE44" i="7"/>
  <c r="AD44" i="7"/>
  <c r="AC44" i="7"/>
  <c r="BA45" i="7" s="1"/>
  <c r="AB44" i="7"/>
  <c r="BF39" i="7"/>
  <c r="AL39" i="7"/>
  <c r="AI39" i="7" s="1"/>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F35" i="7"/>
  <c r="AL35" i="7"/>
  <c r="AI35" i="7" s="1"/>
  <c r="AK35" i="7"/>
  <c r="AJ35" i="7"/>
  <c r="AH35" i="7"/>
  <c r="AG35" i="7"/>
  <c r="N35" i="7"/>
  <c r="K35" i="7" s="1"/>
  <c r="M35" i="7"/>
  <c r="L35" i="7"/>
  <c r="J35" i="7"/>
  <c r="I35" i="7"/>
  <c r="BF34" i="7"/>
  <c r="AL34" i="7"/>
  <c r="AI34" i="7" s="1"/>
  <c r="AK34" i="7"/>
  <c r="AJ34" i="7"/>
  <c r="AH34" i="7"/>
  <c r="AG34" i="7"/>
  <c r="N34" i="7"/>
  <c r="K34" i="7" s="1"/>
  <c r="M34" i="7"/>
  <c r="L34" i="7"/>
  <c r="J34" i="7"/>
  <c r="I34" i="7"/>
  <c r="BF33" i="7"/>
  <c r="AL33" i="7"/>
  <c r="AI33" i="7" s="1"/>
  <c r="AK33" i="7"/>
  <c r="AJ33" i="7"/>
  <c r="AH33" i="7"/>
  <c r="AG33" i="7"/>
  <c r="N33" i="7"/>
  <c r="M33" i="7"/>
  <c r="L33" i="7"/>
  <c r="J33" i="7"/>
  <c r="I33" i="7"/>
  <c r="BF32" i="7"/>
  <c r="AL32" i="7"/>
  <c r="AK32" i="7"/>
  <c r="AJ32" i="7"/>
  <c r="AI32" i="7"/>
  <c r="AH32" i="7"/>
  <c r="AG32" i="7"/>
  <c r="N32" i="7"/>
  <c r="M32" i="7"/>
  <c r="L32" i="7"/>
  <c r="J32" i="7"/>
  <c r="I32" i="7"/>
  <c r="BF31" i="7"/>
  <c r="AL31" i="7"/>
  <c r="AI31" i="7" s="1"/>
  <c r="AK31" i="7"/>
  <c r="AJ31" i="7"/>
  <c r="AH31" i="7"/>
  <c r="AG31" i="7"/>
  <c r="N31" i="7"/>
  <c r="K31" i="7" s="1"/>
  <c r="M31" i="7"/>
  <c r="L31" i="7"/>
  <c r="J31" i="7"/>
  <c r="I31" i="7"/>
  <c r="BF30" i="7"/>
  <c r="AL30" i="7"/>
  <c r="AK30" i="7"/>
  <c r="AJ30" i="7"/>
  <c r="AH30" i="7"/>
  <c r="AG30" i="7"/>
  <c r="N30" i="7"/>
  <c r="K30" i="7" s="1"/>
  <c r="M30" i="7"/>
  <c r="L30" i="7"/>
  <c r="J30" i="7"/>
  <c r="I30" i="7"/>
  <c r="BF29" i="7"/>
  <c r="AL29" i="7"/>
  <c r="AI29" i="7" s="1"/>
  <c r="AK29" i="7"/>
  <c r="AJ29" i="7"/>
  <c r="AH29" i="7"/>
  <c r="AG29" i="7"/>
  <c r="N29" i="7"/>
  <c r="K29" i="7" s="1"/>
  <c r="M29" i="7"/>
  <c r="L29" i="7"/>
  <c r="J29" i="7"/>
  <c r="I29" i="7"/>
  <c r="BF28" i="7"/>
  <c r="AL28" i="7"/>
  <c r="AK28" i="7"/>
  <c r="AJ28" i="7"/>
  <c r="AI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I26" i="7"/>
  <c r="AH26" i="7"/>
  <c r="AG26" i="7"/>
  <c r="N26" i="7"/>
  <c r="M26" i="7"/>
  <c r="L26" i="7"/>
  <c r="K26" i="7"/>
  <c r="J26" i="7"/>
  <c r="I26" i="7"/>
  <c r="BF25" i="7"/>
  <c r="AL25" i="7"/>
  <c r="AK25" i="7"/>
  <c r="AJ25" i="7"/>
  <c r="AH25" i="7"/>
  <c r="AG25" i="7"/>
  <c r="N25" i="7"/>
  <c r="K25" i="7" s="1"/>
  <c r="M25" i="7"/>
  <c r="L25" i="7"/>
  <c r="J25" i="7"/>
  <c r="I25" i="7"/>
  <c r="BF24" i="7"/>
  <c r="AL24" i="7"/>
  <c r="AI24" i="7" s="1"/>
  <c r="AK24" i="7"/>
  <c r="AJ24" i="7"/>
  <c r="AH24" i="7"/>
  <c r="AG24" i="7"/>
  <c r="N24" i="7"/>
  <c r="K24" i="7" s="1"/>
  <c r="M24" i="7"/>
  <c r="L24" i="7"/>
  <c r="J24" i="7"/>
  <c r="I24" i="7"/>
  <c r="BF23" i="7"/>
  <c r="AL23" i="7"/>
  <c r="AI23" i="7" s="1"/>
  <c r="AK23" i="7"/>
  <c r="AJ23" i="7"/>
  <c r="AH23" i="7"/>
  <c r="AG23" i="7"/>
  <c r="N23" i="7"/>
  <c r="K23" i="7" s="1"/>
  <c r="M23" i="7"/>
  <c r="L23" i="7"/>
  <c r="J23" i="7"/>
  <c r="I23" i="7"/>
  <c r="BF22" i="7"/>
  <c r="AL22" i="7"/>
  <c r="AI22" i="7" s="1"/>
  <c r="AK22" i="7"/>
  <c r="AJ22" i="7"/>
  <c r="AH22" i="7"/>
  <c r="AG22" i="7"/>
  <c r="N22" i="7"/>
  <c r="K22" i="7" s="1"/>
  <c r="M22" i="7"/>
  <c r="L22" i="7"/>
  <c r="J22" i="7"/>
  <c r="I22" i="7"/>
  <c r="BF21" i="7"/>
  <c r="AL21" i="7"/>
  <c r="AK21" i="7"/>
  <c r="AJ21" i="7"/>
  <c r="AH21" i="7"/>
  <c r="AG21" i="7"/>
  <c r="N21" i="7"/>
  <c r="K21" i="7" s="1"/>
  <c r="M21" i="7"/>
  <c r="L21" i="7"/>
  <c r="J21" i="7"/>
  <c r="I21" i="7"/>
  <c r="BF20" i="7"/>
  <c r="AL20" i="7"/>
  <c r="AI20" i="7" s="1"/>
  <c r="AK20" i="7"/>
  <c r="AJ20" i="7"/>
  <c r="AH20" i="7"/>
  <c r="AG20" i="7"/>
  <c r="N20" i="7"/>
  <c r="K20" i="7" s="1"/>
  <c r="M20" i="7"/>
  <c r="L20" i="7"/>
  <c r="J20" i="7"/>
  <c r="I20" i="7"/>
  <c r="BF19" i="7"/>
  <c r="AL19" i="7"/>
  <c r="AK19" i="7"/>
  <c r="AJ19" i="7"/>
  <c r="AI19" i="7"/>
  <c r="AH19" i="7"/>
  <c r="AG19" i="7"/>
  <c r="N19" i="7"/>
  <c r="K19" i="7" s="1"/>
  <c r="M19" i="7"/>
  <c r="L19" i="7"/>
  <c r="J19" i="7"/>
  <c r="I19" i="7"/>
  <c r="BF18" i="7"/>
  <c r="AL18" i="7"/>
  <c r="AI18" i="7" s="1"/>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K16" i="7" s="1"/>
  <c r="M16" i="7"/>
  <c r="L16" i="7"/>
  <c r="J16" i="7"/>
  <c r="I16" i="7"/>
  <c r="BF15" i="7"/>
  <c r="AL15" i="7"/>
  <c r="BH15" i="7" s="1" a="1"/>
  <c r="AK15" i="7"/>
  <c r="AJ15" i="7"/>
  <c r="AH15" i="7"/>
  <c r="AG15" i="7"/>
  <c r="N15" i="7"/>
  <c r="M15" i="7"/>
  <c r="L15" i="7"/>
  <c r="J15" i="7"/>
  <c r="I15" i="7"/>
  <c r="BF14" i="7"/>
  <c r="AL14" i="7"/>
  <c r="AI14" i="7" s="1"/>
  <c r="AK14" i="7"/>
  <c r="AJ14" i="7"/>
  <c r="AH14" i="7"/>
  <c r="AG14" i="7"/>
  <c r="N14" i="7"/>
  <c r="K14" i="7" s="1"/>
  <c r="M14" i="7"/>
  <c r="L14" i="7"/>
  <c r="J14" i="7"/>
  <c r="I14" i="7"/>
  <c r="BF13" i="7"/>
  <c r="AL13" i="7"/>
  <c r="AI13" i="7" s="1"/>
  <c r="AK13" i="7"/>
  <c r="AJ13" i="7"/>
  <c r="AH13" i="7"/>
  <c r="AG13" i="7"/>
  <c r="N13" i="7"/>
  <c r="K13" i="7" s="1"/>
  <c r="M13" i="7"/>
  <c r="L13" i="7"/>
  <c r="J13" i="7"/>
  <c r="I13" i="7"/>
  <c r="BF12" i="7"/>
  <c r="AL12" i="7"/>
  <c r="AI12" i="7" s="1"/>
  <c r="AK12" i="7"/>
  <c r="AJ12" i="7"/>
  <c r="AH12" i="7"/>
  <c r="AG12" i="7"/>
  <c r="N12" i="7"/>
  <c r="BG12" i="7" s="1"/>
  <c r="M12" i="7"/>
  <c r="L12" i="7"/>
  <c r="J12" i="7"/>
  <c r="I12" i="7"/>
  <c r="BF11" i="7"/>
  <c r="AL11" i="7"/>
  <c r="AI11" i="7" s="1"/>
  <c r="AK11" i="7"/>
  <c r="AJ11" i="7"/>
  <c r="AH11" i="7"/>
  <c r="AG11" i="7"/>
  <c r="N11" i="7"/>
  <c r="K11" i="7" s="1"/>
  <c r="M11" i="7"/>
  <c r="L11" i="7"/>
  <c r="J11" i="7"/>
  <c r="I11" i="7"/>
  <c r="BF10" i="7"/>
  <c r="AL10" i="7"/>
  <c r="AI10" i="7" s="1"/>
  <c r="AK10" i="7"/>
  <c r="AJ10" i="7"/>
  <c r="AH10" i="7"/>
  <c r="AG10" i="7"/>
  <c r="N10" i="7"/>
  <c r="K10" i="7" s="1"/>
  <c r="M10" i="7"/>
  <c r="L10" i="7"/>
  <c r="J10" i="7"/>
  <c r="I10" i="7"/>
  <c r="BF9" i="7"/>
  <c r="AL9" i="7"/>
  <c r="AI9" i="7" s="1"/>
  <c r="AK9" i="7"/>
  <c r="AJ9" i="7"/>
  <c r="AH9" i="7"/>
  <c r="AG9" i="7"/>
  <c r="N9" i="7"/>
  <c r="M9" i="7"/>
  <c r="L9" i="7"/>
  <c r="K9" i="7"/>
  <c r="J9" i="7"/>
  <c r="I9" i="7"/>
  <c r="BF8" i="7"/>
  <c r="AL8" i="7"/>
  <c r="AI8" i="7" s="1"/>
  <c r="AK8" i="7"/>
  <c r="AJ8" i="7"/>
  <c r="AH8" i="7"/>
  <c r="AG8" i="7"/>
  <c r="N8" i="7"/>
  <c r="K8" i="7" s="1"/>
  <c r="M8" i="7"/>
  <c r="L8" i="7"/>
  <c r="J8" i="7"/>
  <c r="I8" i="7"/>
  <c r="BF7" i="7"/>
  <c r="AL7" i="7"/>
  <c r="AI7" i="7" s="1"/>
  <c r="AK7" i="7"/>
  <c r="AJ7" i="7"/>
  <c r="AH7" i="7"/>
  <c r="AG7" i="7"/>
  <c r="N7" i="7"/>
  <c r="K7" i="7" s="1"/>
  <c r="M7" i="7"/>
  <c r="L7" i="7"/>
  <c r="J7" i="7"/>
  <c r="I7" i="7"/>
  <c r="BF6" i="7"/>
  <c r="AL6" i="7"/>
  <c r="AI6" i="7" s="1"/>
  <c r="AK6" i="7"/>
  <c r="AJ6" i="7"/>
  <c r="AH6" i="7"/>
  <c r="AG6" i="7"/>
  <c r="N6" i="7"/>
  <c r="K6" i="7" s="1"/>
  <c r="M6" i="7"/>
  <c r="L6" i="7"/>
  <c r="J6" i="7"/>
  <c r="I6" i="7"/>
  <c r="BF5" i="7"/>
  <c r="AL5" i="7"/>
  <c r="AI5" i="7" s="1"/>
  <c r="AK5" i="7"/>
  <c r="AJ5" i="7"/>
  <c r="AH5" i="7"/>
  <c r="AG5" i="7"/>
  <c r="N5" i="7"/>
  <c r="M5" i="7"/>
  <c r="L5" i="7"/>
  <c r="J5" i="7"/>
  <c r="I5" i="7"/>
  <c r="AG1" i="7"/>
  <c r="I1" i="7"/>
  <c r="AZ18" i="6"/>
  <c r="AY18" i="6"/>
  <c r="AX18" i="6"/>
  <c r="AW18" i="6"/>
  <c r="AC18" i="6"/>
  <c r="AB18" i="6"/>
  <c r="AA18" i="6"/>
  <c r="Z18" i="6"/>
  <c r="AZ16" i="6"/>
  <c r="AY16" i="6"/>
  <c r="AX16" i="6"/>
  <c r="AW16" i="6"/>
  <c r="AC16" i="6"/>
  <c r="AB16" i="6"/>
  <c r="AA16" i="6"/>
  <c r="Z16" i="6"/>
  <c r="AK11" i="6"/>
  <c r="AJ11" i="6"/>
  <c r="AI11" i="6"/>
  <c r="AG11" i="6"/>
  <c r="BB11" i="6" s="1"/>
  <c r="AF11" i="6"/>
  <c r="AE11" i="6"/>
  <c r="N11" i="6"/>
  <c r="K11" i="6" s="1"/>
  <c r="M11" i="6"/>
  <c r="L11" i="6"/>
  <c r="J11" i="6"/>
  <c r="I11" i="6"/>
  <c r="H11" i="6"/>
  <c r="AK10" i="6"/>
  <c r="AH10" i="6" s="1"/>
  <c r="AJ10" i="6"/>
  <c r="AI10" i="6"/>
  <c r="AG10" i="6"/>
  <c r="AF10" i="6"/>
  <c r="AE10" i="6"/>
  <c r="N10" i="6"/>
  <c r="K10" i="6" s="1"/>
  <c r="M10" i="6"/>
  <c r="L10" i="6"/>
  <c r="J10" i="6"/>
  <c r="I10" i="6"/>
  <c r="H10" i="6"/>
  <c r="AK9" i="6"/>
  <c r="BG9" i="6" s="1" a="1"/>
  <c r="AJ9" i="6"/>
  <c r="AI9" i="6"/>
  <c r="BD9" i="6" s="1"/>
  <c r="AG9" i="6"/>
  <c r="AG13" i="6" s="1"/>
  <c r="AF9" i="6"/>
  <c r="AE9" i="6"/>
  <c r="N9" i="6"/>
  <c r="K9" i="6" s="1"/>
  <c r="K13" i="6" s="1"/>
  <c r="M9" i="6"/>
  <c r="M13" i="6" s="1"/>
  <c r="L9" i="6"/>
  <c r="L13" i="6" s="1"/>
  <c r="J9" i="6"/>
  <c r="I9" i="6"/>
  <c r="H9" i="6"/>
  <c r="AK8" i="6"/>
  <c r="BF8" i="6" s="1"/>
  <c r="AJ8" i="6"/>
  <c r="AI8" i="6"/>
  <c r="AG8" i="6"/>
  <c r="AF8" i="6"/>
  <c r="AE8" i="6"/>
  <c r="N8" i="6"/>
  <c r="K8" i="6" s="1"/>
  <c r="M8" i="6"/>
  <c r="L8" i="6"/>
  <c r="J8" i="6"/>
  <c r="I8" i="6"/>
  <c r="H8" i="6"/>
  <c r="AK7" i="6"/>
  <c r="AJ7" i="6"/>
  <c r="AI7" i="6"/>
  <c r="AG7" i="6"/>
  <c r="AF7" i="6"/>
  <c r="AE7" i="6"/>
  <c r="N7" i="6"/>
  <c r="K7" i="6" s="1"/>
  <c r="M7" i="6"/>
  <c r="L7" i="6"/>
  <c r="J7" i="6"/>
  <c r="I7" i="6"/>
  <c r="H7" i="6"/>
  <c r="AK6" i="6"/>
  <c r="AH6" i="6" s="1"/>
  <c r="AJ6" i="6"/>
  <c r="AI6" i="6"/>
  <c r="BD6" i="6" s="1"/>
  <c r="AG6" i="6"/>
  <c r="AF6" i="6"/>
  <c r="AE6" i="6"/>
  <c r="N6" i="6"/>
  <c r="M6" i="6"/>
  <c r="L6" i="6"/>
  <c r="K6" i="6"/>
  <c r="J6" i="6"/>
  <c r="I6" i="6"/>
  <c r="H6" i="6"/>
  <c r="AK5" i="6"/>
  <c r="AJ5" i="6"/>
  <c r="AI5" i="6"/>
  <c r="AG5" i="6"/>
  <c r="AF5" i="6"/>
  <c r="AE5" i="6"/>
  <c r="N5" i="6"/>
  <c r="K5" i="6" s="1"/>
  <c r="M5" i="6"/>
  <c r="L5" i="6"/>
  <c r="J5" i="6"/>
  <c r="I5" i="6"/>
  <c r="H5" i="6"/>
  <c r="AE1" i="6"/>
  <c r="H1" i="6"/>
  <c r="AZ18" i="5"/>
  <c r="AY18" i="5"/>
  <c r="AX18" i="5"/>
  <c r="AW18" i="5"/>
  <c r="AC18" i="5"/>
  <c r="AB18" i="5"/>
  <c r="AA18" i="5"/>
  <c r="Z18" i="5"/>
  <c r="AZ16" i="5"/>
  <c r="AY16" i="5"/>
  <c r="AX16" i="5"/>
  <c r="AW16" i="5"/>
  <c r="AC16" i="5"/>
  <c r="AB16" i="5"/>
  <c r="AA16" i="5"/>
  <c r="Z16" i="5"/>
  <c r="AK11" i="5"/>
  <c r="AH11" i="5" s="1"/>
  <c r="AJ11" i="5"/>
  <c r="AI11" i="5"/>
  <c r="AG11" i="5"/>
  <c r="AF11" i="5"/>
  <c r="AE11" i="5"/>
  <c r="N11" i="5"/>
  <c r="K11" i="5" s="1"/>
  <c r="M11" i="5"/>
  <c r="L11" i="5"/>
  <c r="J11" i="5"/>
  <c r="I11" i="5"/>
  <c r="H11" i="5"/>
  <c r="AK10" i="5"/>
  <c r="AJ10" i="5"/>
  <c r="BE10" i="5" s="1"/>
  <c r="AI10" i="5"/>
  <c r="AG10" i="5"/>
  <c r="AF10" i="5"/>
  <c r="AE10" i="5"/>
  <c r="N10" i="5"/>
  <c r="K10" i="5" s="1"/>
  <c r="M10" i="5"/>
  <c r="L10" i="5"/>
  <c r="J10" i="5"/>
  <c r="I10" i="5"/>
  <c r="H10" i="5"/>
  <c r="AK9" i="5"/>
  <c r="BF9" i="5" s="1"/>
  <c r="AJ9" i="5"/>
  <c r="BE9" i="5" s="1"/>
  <c r="AI9" i="5"/>
  <c r="AI13" i="5" s="1"/>
  <c r="AG9" i="5"/>
  <c r="AF9" i="5"/>
  <c r="AE9" i="5"/>
  <c r="N9" i="5"/>
  <c r="K9" i="5" s="1"/>
  <c r="K13" i="5" s="1"/>
  <c r="M9" i="5"/>
  <c r="M13" i="5" s="1"/>
  <c r="L9" i="5"/>
  <c r="L13" i="5" s="1"/>
  <c r="J9" i="5"/>
  <c r="J13" i="5" s="1"/>
  <c r="I9" i="5"/>
  <c r="H9" i="5"/>
  <c r="AK8" i="5"/>
  <c r="AJ8" i="5"/>
  <c r="AI8" i="5"/>
  <c r="AG8" i="5"/>
  <c r="AF8" i="5"/>
  <c r="AE8" i="5"/>
  <c r="N8" i="5"/>
  <c r="K8" i="5" s="1"/>
  <c r="M8" i="5"/>
  <c r="L8" i="5"/>
  <c r="J8" i="5"/>
  <c r="I8" i="5"/>
  <c r="H8" i="5"/>
  <c r="AK7" i="5"/>
  <c r="AH7" i="5" s="1"/>
  <c r="AJ7" i="5"/>
  <c r="AI7" i="5"/>
  <c r="AG7" i="5"/>
  <c r="AF7" i="5"/>
  <c r="AE7" i="5"/>
  <c r="N7" i="5"/>
  <c r="K7" i="5" s="1"/>
  <c r="M7" i="5"/>
  <c r="L7" i="5"/>
  <c r="J7" i="5"/>
  <c r="I7" i="5"/>
  <c r="H7" i="5"/>
  <c r="AK6" i="5"/>
  <c r="BF6" i="5" s="1"/>
  <c r="AJ6" i="5"/>
  <c r="AI6" i="5"/>
  <c r="BD6" i="5" s="1"/>
  <c r="AG6" i="5"/>
  <c r="AF6" i="5"/>
  <c r="AE6" i="5"/>
  <c r="N6" i="5"/>
  <c r="K6" i="5" s="1"/>
  <c r="M6" i="5"/>
  <c r="L6" i="5"/>
  <c r="J6" i="5"/>
  <c r="I6" i="5"/>
  <c r="H6" i="5"/>
  <c r="AK5" i="5"/>
  <c r="AH5" i="5" s="1"/>
  <c r="AJ5" i="5"/>
  <c r="AI5" i="5"/>
  <c r="AG5" i="5"/>
  <c r="AF5" i="5"/>
  <c r="AE5" i="5"/>
  <c r="N5" i="5"/>
  <c r="K5" i="5" s="1"/>
  <c r="M5" i="5"/>
  <c r="BE5" i="5" s="1"/>
  <c r="L5" i="5"/>
  <c r="J5" i="5"/>
  <c r="I5" i="5"/>
  <c r="H5" i="5"/>
  <c r="AE1" i="5"/>
  <c r="H1" i="5"/>
  <c r="BC46" i="3"/>
  <c r="BB46" i="3"/>
  <c r="BA46" i="3"/>
  <c r="AZ46" i="3"/>
  <c r="AE46" i="3"/>
  <c r="AD46" i="3"/>
  <c r="AC46" i="3"/>
  <c r="AB46" i="3"/>
  <c r="BC44" i="3"/>
  <c r="BB44" i="3"/>
  <c r="BA44" i="3"/>
  <c r="AZ44" i="3"/>
  <c r="AE44" i="3"/>
  <c r="AD44" i="3"/>
  <c r="AC44" i="3"/>
  <c r="AB44" i="3"/>
  <c r="BF39" i="3"/>
  <c r="AL39" i="3"/>
  <c r="AI39" i="3" s="1"/>
  <c r="AK39" i="3"/>
  <c r="AJ39" i="3"/>
  <c r="AH39" i="3"/>
  <c r="AG39" i="3"/>
  <c r="N39" i="3"/>
  <c r="M39" i="3"/>
  <c r="L39" i="3"/>
  <c r="J39" i="3"/>
  <c r="I39" i="3"/>
  <c r="BF38" i="3"/>
  <c r="AL38" i="3"/>
  <c r="AK38" i="3"/>
  <c r="AJ38" i="3"/>
  <c r="AH38" i="3"/>
  <c r="AG38" i="3"/>
  <c r="N38" i="3"/>
  <c r="K38" i="3" s="1"/>
  <c r="M38" i="3"/>
  <c r="L38" i="3"/>
  <c r="J38" i="3"/>
  <c r="I38" i="3"/>
  <c r="BF37" i="3"/>
  <c r="AL37" i="3"/>
  <c r="AK37" i="3"/>
  <c r="AJ37" i="3"/>
  <c r="AH37" i="3"/>
  <c r="AG37" i="3"/>
  <c r="N37" i="3"/>
  <c r="K37" i="3" s="1"/>
  <c r="M37" i="3"/>
  <c r="L37" i="3"/>
  <c r="J37" i="3"/>
  <c r="I37" i="3"/>
  <c r="BF36" i="3"/>
  <c r="AL36" i="3"/>
  <c r="AI36" i="3" s="1"/>
  <c r="AK36" i="3"/>
  <c r="AJ36" i="3"/>
  <c r="AH36" i="3"/>
  <c r="AG36" i="3"/>
  <c r="N36" i="3"/>
  <c r="K36" i="3" s="1"/>
  <c r="M36" i="3"/>
  <c r="L36" i="3"/>
  <c r="J36" i="3"/>
  <c r="I36" i="3"/>
  <c r="BF35" i="3"/>
  <c r="AL35" i="3"/>
  <c r="AK35" i="3"/>
  <c r="AJ35" i="3"/>
  <c r="AH35" i="3"/>
  <c r="AG35" i="3"/>
  <c r="N35" i="3"/>
  <c r="K35" i="3" s="1"/>
  <c r="M35" i="3"/>
  <c r="L35" i="3"/>
  <c r="J35" i="3"/>
  <c r="I35" i="3"/>
  <c r="BF34" i="3"/>
  <c r="AL34" i="3"/>
  <c r="AI34" i="3" s="1"/>
  <c r="AK34" i="3"/>
  <c r="AJ34" i="3"/>
  <c r="AH34" i="3"/>
  <c r="AG34" i="3"/>
  <c r="N34" i="3"/>
  <c r="K34" i="3" s="1"/>
  <c r="M34" i="3"/>
  <c r="L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I31" i="3" s="1"/>
  <c r="AK31" i="3"/>
  <c r="AJ31" i="3"/>
  <c r="AH31" i="3"/>
  <c r="AG31" i="3"/>
  <c r="N31" i="3"/>
  <c r="K31" i="3" s="1"/>
  <c r="M31" i="3"/>
  <c r="L31" i="3"/>
  <c r="J31" i="3"/>
  <c r="I31" i="3"/>
  <c r="BF30" i="3"/>
  <c r="AL30" i="3"/>
  <c r="AI30" i="3" s="1"/>
  <c r="AK30" i="3"/>
  <c r="AJ30" i="3"/>
  <c r="AH30" i="3"/>
  <c r="AG30" i="3"/>
  <c r="N30" i="3"/>
  <c r="K30" i="3" s="1"/>
  <c r="M30" i="3"/>
  <c r="L30" i="3"/>
  <c r="J30" i="3"/>
  <c r="I30" i="3"/>
  <c r="BF29" i="3"/>
  <c r="AL29" i="3"/>
  <c r="AK29" i="3"/>
  <c r="AJ29" i="3"/>
  <c r="AH29" i="3"/>
  <c r="AG29" i="3"/>
  <c r="N29" i="3"/>
  <c r="K29" i="3" s="1"/>
  <c r="M29" i="3"/>
  <c r="L29" i="3"/>
  <c r="J29" i="3"/>
  <c r="I29" i="3"/>
  <c r="BF28" i="3"/>
  <c r="AL28" i="3"/>
  <c r="AK28" i="3"/>
  <c r="AJ28" i="3"/>
  <c r="AH28" i="3"/>
  <c r="AG28" i="3"/>
  <c r="N28" i="3"/>
  <c r="K28" i="3" s="1"/>
  <c r="M28" i="3"/>
  <c r="L28" i="3"/>
  <c r="J28" i="3"/>
  <c r="I28" i="3"/>
  <c r="BF27" i="3"/>
  <c r="AL27" i="3"/>
  <c r="AI27" i="3" s="1"/>
  <c r="AK27" i="3"/>
  <c r="AJ27" i="3"/>
  <c r="AH27" i="3"/>
  <c r="AG27" i="3"/>
  <c r="N27" i="3"/>
  <c r="K27" i="3" s="1"/>
  <c r="M27" i="3"/>
  <c r="L27" i="3"/>
  <c r="J27" i="3"/>
  <c r="I27" i="3"/>
  <c r="BF26" i="3"/>
  <c r="AL26" i="3"/>
  <c r="AI26" i="3" s="1"/>
  <c r="AK26" i="3"/>
  <c r="AJ26" i="3"/>
  <c r="AH26" i="3"/>
  <c r="AG26" i="3"/>
  <c r="N26" i="3"/>
  <c r="K26" i="3" s="1"/>
  <c r="M26" i="3"/>
  <c r="L26" i="3"/>
  <c r="J26" i="3"/>
  <c r="I26" i="3"/>
  <c r="BF25" i="3"/>
  <c r="AL25" i="3"/>
  <c r="AI25" i="3" s="1"/>
  <c r="AK25" i="3"/>
  <c r="AJ25" i="3"/>
  <c r="AH25" i="3"/>
  <c r="AG25" i="3"/>
  <c r="N25" i="3"/>
  <c r="K25" i="3" s="1"/>
  <c r="M25" i="3"/>
  <c r="L25" i="3"/>
  <c r="J25" i="3"/>
  <c r="I25" i="3"/>
  <c r="BF24" i="3"/>
  <c r="AL24" i="3"/>
  <c r="AI24" i="3" s="1"/>
  <c r="AK24" i="3"/>
  <c r="AJ24" i="3"/>
  <c r="AH24" i="3"/>
  <c r="AG24" i="3"/>
  <c r="N24" i="3"/>
  <c r="K24" i="3" s="1"/>
  <c r="M24" i="3"/>
  <c r="L24" i="3"/>
  <c r="J24" i="3"/>
  <c r="I24" i="3"/>
  <c r="BF23" i="3"/>
  <c r="AL23" i="3"/>
  <c r="AI23" i="3" s="1"/>
  <c r="AK23" i="3"/>
  <c r="AJ23" i="3"/>
  <c r="AH23" i="3"/>
  <c r="AG23" i="3"/>
  <c r="N23" i="3"/>
  <c r="K23" i="3" s="1"/>
  <c r="M23" i="3"/>
  <c r="L23" i="3"/>
  <c r="J23" i="3"/>
  <c r="I23" i="3"/>
  <c r="BF22" i="3"/>
  <c r="AL22" i="3"/>
  <c r="AK22" i="3"/>
  <c r="AJ22" i="3"/>
  <c r="AI22" i="3"/>
  <c r="AH22" i="3"/>
  <c r="AG22" i="3"/>
  <c r="N22" i="3"/>
  <c r="M22" i="3"/>
  <c r="L22" i="3"/>
  <c r="K22" i="3"/>
  <c r="J22" i="3"/>
  <c r="I22" i="3"/>
  <c r="BF21" i="3"/>
  <c r="AL21" i="3"/>
  <c r="AI21" i="3" s="1"/>
  <c r="AK21" i="3"/>
  <c r="AJ21" i="3"/>
  <c r="AH21" i="3"/>
  <c r="AG21" i="3"/>
  <c r="N21" i="3"/>
  <c r="K21" i="3" s="1"/>
  <c r="M21" i="3"/>
  <c r="L21" i="3"/>
  <c r="J21" i="3"/>
  <c r="I21" i="3"/>
  <c r="BF20" i="3"/>
  <c r="AL20" i="3"/>
  <c r="AI20" i="3" s="1"/>
  <c r="AK20" i="3"/>
  <c r="AJ20" i="3"/>
  <c r="AH20" i="3"/>
  <c r="AG20" i="3"/>
  <c r="N20" i="3"/>
  <c r="K20" i="3" s="1"/>
  <c r="M20" i="3"/>
  <c r="L20" i="3"/>
  <c r="J20" i="3"/>
  <c r="I20" i="3"/>
  <c r="BF19" i="3"/>
  <c r="AL19" i="3"/>
  <c r="AI19" i="3" s="1"/>
  <c r="AK19" i="3"/>
  <c r="AJ19" i="3"/>
  <c r="AH19" i="3"/>
  <c r="AG19" i="3"/>
  <c r="N19" i="3"/>
  <c r="K19" i="3" s="1"/>
  <c r="M19" i="3"/>
  <c r="L19" i="3"/>
  <c r="J19" i="3"/>
  <c r="I19" i="3"/>
  <c r="BF18" i="3"/>
  <c r="AL18" i="3"/>
  <c r="AK18" i="3"/>
  <c r="AJ18" i="3"/>
  <c r="AI18" i="3"/>
  <c r="AH18" i="3"/>
  <c r="AG18" i="3"/>
  <c r="N18" i="3"/>
  <c r="BG18" i="3" s="1"/>
  <c r="M18" i="3"/>
  <c r="L18" i="3"/>
  <c r="J18" i="3"/>
  <c r="I18" i="3"/>
  <c r="BF17" i="3"/>
  <c r="AL17" i="3"/>
  <c r="AK17" i="3"/>
  <c r="AJ17" i="3"/>
  <c r="AH17" i="3"/>
  <c r="AG17" i="3"/>
  <c r="N17" i="3"/>
  <c r="K17" i="3" s="1"/>
  <c r="M17" i="3"/>
  <c r="L17" i="3"/>
  <c r="J17" i="3"/>
  <c r="I17" i="3"/>
  <c r="BF16" i="3"/>
  <c r="AL16" i="3"/>
  <c r="AK16" i="3"/>
  <c r="AJ16" i="3"/>
  <c r="AH16" i="3"/>
  <c r="AG16" i="3"/>
  <c r="N16" i="3"/>
  <c r="K16" i="3" s="1"/>
  <c r="M16" i="3"/>
  <c r="L16" i="3"/>
  <c r="J16" i="3"/>
  <c r="I16" i="3"/>
  <c r="BF15" i="3"/>
  <c r="AL15" i="3"/>
  <c r="AK15" i="3"/>
  <c r="AJ15" i="3"/>
  <c r="AH15" i="3"/>
  <c r="AG15" i="3"/>
  <c r="N15" i="3"/>
  <c r="M15" i="3"/>
  <c r="L15" i="3"/>
  <c r="K15" i="3"/>
  <c r="J15" i="3"/>
  <c r="I15" i="3"/>
  <c r="BF14" i="3"/>
  <c r="AL14" i="3"/>
  <c r="AI14" i="3" s="1"/>
  <c r="AK14" i="3"/>
  <c r="AJ14" i="3"/>
  <c r="AH14" i="3"/>
  <c r="AG14" i="3"/>
  <c r="N14" i="3"/>
  <c r="K14" i="3" s="1"/>
  <c r="M14" i="3"/>
  <c r="L14" i="3"/>
  <c r="J14" i="3"/>
  <c r="I14" i="3"/>
  <c r="BF13" i="3"/>
  <c r="AL13" i="3"/>
  <c r="BG13" i="3" s="1"/>
  <c r="AK13" i="3"/>
  <c r="AJ13" i="3"/>
  <c r="AI13" i="3"/>
  <c r="AH13" i="3"/>
  <c r="AG13" i="3"/>
  <c r="N13" i="3"/>
  <c r="K13" i="3" s="1"/>
  <c r="M13" i="3"/>
  <c r="L13" i="3"/>
  <c r="J13" i="3"/>
  <c r="I13" i="3"/>
  <c r="BF12" i="3"/>
  <c r="AL12" i="3"/>
  <c r="AI12" i="3" s="1"/>
  <c r="AK12" i="3"/>
  <c r="AJ12" i="3"/>
  <c r="AH12" i="3"/>
  <c r="AG12" i="3"/>
  <c r="N12" i="3"/>
  <c r="K12" i="3" s="1"/>
  <c r="M12" i="3"/>
  <c r="L12" i="3"/>
  <c r="J12" i="3"/>
  <c r="I12" i="3"/>
  <c r="BF11" i="3"/>
  <c r="AL11" i="3"/>
  <c r="AI11" i="3" s="1"/>
  <c r="AK11" i="3"/>
  <c r="AJ11" i="3"/>
  <c r="AH11" i="3"/>
  <c r="AG11" i="3"/>
  <c r="N11" i="3"/>
  <c r="K11" i="3" s="1"/>
  <c r="M11" i="3"/>
  <c r="L11" i="3"/>
  <c r="J11" i="3"/>
  <c r="I11" i="3"/>
  <c r="BF10" i="3"/>
  <c r="AL10" i="3"/>
  <c r="AI10" i="3" s="1"/>
  <c r="AK10" i="3"/>
  <c r="AJ10" i="3"/>
  <c r="AH10" i="3"/>
  <c r="AG10" i="3"/>
  <c r="N10" i="3"/>
  <c r="K10" i="3" s="1"/>
  <c r="M10" i="3"/>
  <c r="L10" i="3"/>
  <c r="J10" i="3"/>
  <c r="I10" i="3"/>
  <c r="BF9" i="3"/>
  <c r="AL9" i="3"/>
  <c r="AI9" i="3" s="1"/>
  <c r="AK9" i="3"/>
  <c r="AJ9" i="3"/>
  <c r="AH9" i="3"/>
  <c r="AG9" i="3"/>
  <c r="N9" i="3"/>
  <c r="K9" i="3" s="1"/>
  <c r="M9" i="3"/>
  <c r="L9" i="3"/>
  <c r="J9" i="3"/>
  <c r="I9" i="3"/>
  <c r="BF8" i="3"/>
  <c r="AL8" i="3"/>
  <c r="AI8" i="3" s="1"/>
  <c r="AK8" i="3"/>
  <c r="AJ8" i="3"/>
  <c r="AH8" i="3"/>
  <c r="AG8" i="3"/>
  <c r="N8" i="3"/>
  <c r="K8" i="3" s="1"/>
  <c r="M8" i="3"/>
  <c r="L8" i="3"/>
  <c r="J8" i="3"/>
  <c r="I8" i="3"/>
  <c r="BF7" i="3"/>
  <c r="AL7" i="3"/>
  <c r="AI7" i="3" s="1"/>
  <c r="AK7" i="3"/>
  <c r="AJ7" i="3"/>
  <c r="AH7" i="3"/>
  <c r="AG7" i="3"/>
  <c r="N7" i="3"/>
  <c r="K7" i="3" s="1"/>
  <c r="M7" i="3"/>
  <c r="L7" i="3"/>
  <c r="J7" i="3"/>
  <c r="I7" i="3"/>
  <c r="BF6" i="3"/>
  <c r="AL6" i="3"/>
  <c r="AI6" i="3" s="1"/>
  <c r="AK6" i="3"/>
  <c r="AJ6" i="3"/>
  <c r="AH6" i="3"/>
  <c r="AG6" i="3"/>
  <c r="N6" i="3"/>
  <c r="M6" i="3"/>
  <c r="L6" i="3"/>
  <c r="J6" i="3"/>
  <c r="I6" i="3"/>
  <c r="BF5" i="3"/>
  <c r="AL5" i="3"/>
  <c r="AI5" i="3" s="1"/>
  <c r="AK5" i="3"/>
  <c r="AJ5" i="3"/>
  <c r="AJ40" i="3" s="1"/>
  <c r="AH5" i="3"/>
  <c r="AG5" i="3"/>
  <c r="N5" i="3"/>
  <c r="K5" i="3" s="1"/>
  <c r="M5" i="3"/>
  <c r="L5" i="3"/>
  <c r="J5" i="3"/>
  <c r="I5" i="3"/>
  <c r="AG1" i="3"/>
  <c r="I1" i="3"/>
  <c r="B1" i="2"/>
  <c r="B2" i="2" s="1"/>
  <c r="BK5" i="7"/>
  <c r="BL10" i="3"/>
  <c r="BR20" i="3"/>
  <c r="BQ5" i="7"/>
  <c r="BQ5" i="3"/>
  <c r="BL30" i="7"/>
  <c r="BQ10" i="7"/>
  <c r="BP35" i="7"/>
  <c r="BR5" i="3"/>
  <c r="BM25" i="3"/>
  <c r="BT15" i="7"/>
  <c r="BN30" i="3"/>
  <c r="BL20" i="7"/>
  <c r="BN15" i="7"/>
  <c r="BM15" i="3"/>
  <c r="BN10" i="7"/>
  <c r="BQ25" i="3"/>
  <c r="BN20" i="7"/>
  <c r="BP10" i="7"/>
  <c r="BL5" i="3"/>
  <c r="BP15" i="3"/>
  <c r="BN35" i="3"/>
  <c r="BR10" i="7"/>
  <c r="BN20" i="3"/>
  <c r="BM35" i="7"/>
  <c r="BJ20" i="7"/>
  <c r="BM5" i="3"/>
  <c r="BR20" i="7"/>
  <c r="BT30" i="7"/>
  <c r="BQ30" i="3"/>
  <c r="BR15" i="7"/>
  <c r="BT20" i="3"/>
  <c r="BS35" i="3"/>
  <c r="BM15" i="7"/>
  <c r="BR35" i="3"/>
  <c r="BT20" i="7"/>
  <c r="BQ20" i="3"/>
  <c r="BL25" i="7"/>
  <c r="BJ15" i="3"/>
  <c r="BN25" i="7"/>
  <c r="BQ15" i="7"/>
  <c r="BR25" i="7"/>
  <c r="BL25" i="3"/>
  <c r="BS10" i="3"/>
  <c r="BT25" i="7"/>
  <c r="BQ35" i="3"/>
  <c r="BS30" i="3"/>
  <c r="BS10" i="7"/>
  <c r="BR30" i="3"/>
  <c r="BS25" i="7"/>
  <c r="BL5" i="7"/>
  <c r="BL20" i="3"/>
  <c r="BM20" i="7"/>
  <c r="BS15" i="7"/>
  <c r="BP20" i="7"/>
  <c r="BS15" i="3"/>
  <c r="BS5" i="7"/>
  <c r="BP35" i="3"/>
  <c r="BL15" i="3"/>
  <c r="BM5" i="7"/>
  <c r="BP10" i="3"/>
  <c r="BR15" i="3"/>
  <c r="BK15" i="3"/>
  <c r="BM10" i="7"/>
  <c r="BL10" i="7"/>
  <c r="BN25" i="3"/>
  <c r="BP30" i="7"/>
  <c r="BK30" i="7"/>
  <c r="BM10" i="3"/>
  <c r="BQ30" i="7"/>
  <c r="BR30" i="7"/>
  <c r="BL35" i="7"/>
  <c r="BR25" i="3"/>
  <c r="BK20" i="7"/>
  <c r="BT5" i="3"/>
  <c r="BT30" i="3"/>
  <c r="BP5" i="7"/>
  <c r="BS20" i="3"/>
  <c r="BM35" i="3"/>
  <c r="BL15" i="7"/>
  <c r="BP15" i="7"/>
  <c r="BJ10" i="3"/>
  <c r="BP25" i="7"/>
  <c r="BK10" i="3"/>
  <c r="BP25" i="3"/>
  <c r="BM25" i="7"/>
  <c r="BT5" i="7"/>
  <c r="BM30" i="7"/>
  <c r="BS25" i="3"/>
  <c r="BK10" i="7"/>
  <c r="BT10" i="3"/>
  <c r="BQ20" i="7"/>
  <c r="BN35" i="7"/>
  <c r="BK30" i="3"/>
  <c r="BS5" i="3"/>
  <c r="BS35" i="7"/>
  <c r="BN10" i="3"/>
  <c r="BQ15" i="3"/>
  <c r="BS30" i="7"/>
  <c r="BL35" i="3"/>
  <c r="BM20" i="3"/>
  <c r="BN30" i="7"/>
  <c r="BQ35" i="7"/>
  <c r="BP30" i="3"/>
  <c r="BM30" i="3"/>
  <c r="BR5" i="7"/>
  <c r="BQ10" i="3"/>
  <c r="BN5" i="3"/>
  <c r="BK25" i="7"/>
  <c r="BL30" i="3"/>
  <c r="BN5" i="7"/>
  <c r="BT15" i="3"/>
  <c r="BR10" i="3"/>
  <c r="BR35" i="7"/>
  <c r="BN15" i="3"/>
  <c r="BP20" i="3"/>
  <c r="BT10" i="7"/>
  <c r="BQ25" i="7"/>
  <c r="BP5" i="3"/>
  <c r="BT35" i="7"/>
  <c r="BT35" i="3"/>
  <c r="BS20" i="7"/>
  <c r="BT25" i="3"/>
  <c r="BG34" i="3" l="1"/>
  <c r="BG38" i="3"/>
  <c r="BG28" i="3"/>
  <c r="BG16" i="3"/>
  <c r="BB6" i="5"/>
  <c r="BB8" i="5"/>
  <c r="M14" i="5"/>
  <c r="J14" i="5"/>
  <c r="BB5" i="5"/>
  <c r="BB9" i="5"/>
  <c r="BD7" i="6"/>
  <c r="AX19" i="6"/>
  <c r="BF5" i="6"/>
  <c r="AY17" i="6"/>
  <c r="L14" i="6"/>
  <c r="BF11" i="6"/>
  <c r="BG10" i="7"/>
  <c r="BG5" i="5" a="1"/>
  <c r="BH10" i="3" a="1"/>
  <c r="BH25" i="3" a="1"/>
  <c r="BH25" i="3" s="1"/>
  <c r="BH41" i="3" s="1"/>
  <c r="BH30" i="3" a="1"/>
  <c r="BH35" i="3" a="1"/>
  <c r="BH35" i="3" s="1"/>
  <c r="J42" i="7"/>
  <c r="L14" i="5"/>
  <c r="AY17" i="5"/>
  <c r="AG14" i="6"/>
  <c r="BG11" i="6" a="1"/>
  <c r="BE8" i="5"/>
  <c r="BC6" i="6"/>
  <c r="K18" i="3"/>
  <c r="BE18" i="3" s="1"/>
  <c r="BA47" i="3"/>
  <c r="L12" i="5"/>
  <c r="AJ15" i="5"/>
  <c r="BD7" i="5"/>
  <c r="BD11" i="5"/>
  <c r="BD5" i="6"/>
  <c r="BG8" i="6" a="1"/>
  <c r="BG8" i="6" s="1"/>
  <c r="J14" i="6"/>
  <c r="AJ14" i="6"/>
  <c r="AX17" i="6"/>
  <c r="AJ41" i="7"/>
  <c r="BH5" i="3" a="1"/>
  <c r="BG12" i="3"/>
  <c r="BF5" i="5"/>
  <c r="BB7" i="5"/>
  <c r="BB11" i="5"/>
  <c r="AX17" i="5"/>
  <c r="BE5" i="6"/>
  <c r="BE7" i="5"/>
  <c r="AG14" i="5"/>
  <c r="BE11" i="5"/>
  <c r="BE9" i="6"/>
  <c r="AW17" i="6"/>
  <c r="BB6" i="6"/>
  <c r="AJ15" i="6"/>
  <c r="AI13" i="6"/>
  <c r="BD13" i="6" s="1"/>
  <c r="AG12" i="6"/>
  <c r="AG13" i="5"/>
  <c r="AJ12" i="5"/>
  <c r="AG12" i="5"/>
  <c r="AK41" i="7"/>
  <c r="BG33" i="7"/>
  <c r="BE24" i="3"/>
  <c r="BE32" i="3"/>
  <c r="BG26" i="3"/>
  <c r="AK42" i="3"/>
  <c r="BA45" i="3"/>
  <c r="L41" i="7"/>
  <c r="BE19" i="7"/>
  <c r="BE26" i="7"/>
  <c r="J41" i="7"/>
  <c r="L43" i="7"/>
  <c r="L40" i="7"/>
  <c r="BG15" i="7"/>
  <c r="BE14" i="7"/>
  <c r="BG16" i="7"/>
  <c r="BG31" i="7"/>
  <c r="BA47" i="7"/>
  <c r="BG29" i="7"/>
  <c r="BG30" i="7"/>
  <c r="AZ45" i="7"/>
  <c r="BC47" i="7"/>
  <c r="BB45" i="7"/>
  <c r="BC45" i="7"/>
  <c r="BG25" i="3"/>
  <c r="BG29" i="3"/>
  <c r="AZ47" i="3"/>
  <c r="C13" i="1" s="1"/>
  <c r="J41" i="3"/>
  <c r="BE5" i="3"/>
  <c r="BG5" i="3"/>
  <c r="BG17" i="3"/>
  <c r="AJ43" i="7"/>
  <c r="BG28" i="7"/>
  <c r="AJ42" i="7"/>
  <c r="BH15" i="7"/>
  <c r="BG13" i="7"/>
  <c r="AH42" i="7"/>
  <c r="BG26" i="7"/>
  <c r="BE11" i="7"/>
  <c r="K41" i="7"/>
  <c r="BE38" i="7"/>
  <c r="BG39" i="7"/>
  <c r="BE20" i="7"/>
  <c r="K12" i="7"/>
  <c r="BE12" i="7" s="1"/>
  <c r="BG17" i="7"/>
  <c r="BG18" i="7"/>
  <c r="BG19" i="7"/>
  <c r="BE22" i="7"/>
  <c r="L42" i="7"/>
  <c r="K33" i="7"/>
  <c r="BE33" i="7" s="1"/>
  <c r="BE6" i="7"/>
  <c r="BG20" i="7"/>
  <c r="BG22" i="7"/>
  <c r="BB47" i="7"/>
  <c r="C48" i="1" s="1"/>
  <c r="BE18" i="7"/>
  <c r="BG6" i="7"/>
  <c r="AJ13" i="6"/>
  <c r="BE13" i="6" s="1"/>
  <c r="BB7" i="6"/>
  <c r="AI14" i="6"/>
  <c r="BD14" i="6" s="1"/>
  <c r="AH11" i="6"/>
  <c r="BC11" i="6" s="1"/>
  <c r="AG15" i="6"/>
  <c r="BG9" i="6"/>
  <c r="BG13" i="6" s="1"/>
  <c r="BE6" i="6"/>
  <c r="BE7" i="6"/>
  <c r="BE8" i="6"/>
  <c r="BB9" i="6"/>
  <c r="AH5" i="6"/>
  <c r="BC5" i="6" s="1"/>
  <c r="BE10" i="6"/>
  <c r="AH8" i="6"/>
  <c r="BC8" i="6" s="1"/>
  <c r="AJ12" i="6"/>
  <c r="J13" i="6"/>
  <c r="BB13" i="6" s="1"/>
  <c r="K12" i="6"/>
  <c r="L15" i="6"/>
  <c r="BB8" i="6"/>
  <c r="BG11" i="6"/>
  <c r="AW19" i="6"/>
  <c r="C35" i="1" s="1"/>
  <c r="BD8" i="6"/>
  <c r="M14" i="6"/>
  <c r="AY19" i="6"/>
  <c r="C36" i="1" s="1"/>
  <c r="BF7" i="6"/>
  <c r="AZ19" i="6"/>
  <c r="BF9" i="6"/>
  <c r="BC10" i="6"/>
  <c r="BD8" i="5"/>
  <c r="AH6" i="5"/>
  <c r="BC6" i="5" s="1"/>
  <c r="AJ13" i="5"/>
  <c r="BE13" i="5" s="1"/>
  <c r="AG15" i="5"/>
  <c r="AX19" i="5"/>
  <c r="AH9" i="5"/>
  <c r="BC9" i="5" s="1"/>
  <c r="K12" i="5"/>
  <c r="BF8" i="5"/>
  <c r="BD13" i="5"/>
  <c r="BF10" i="5"/>
  <c r="BC11" i="5"/>
  <c r="K14" i="5"/>
  <c r="AW17" i="5"/>
  <c r="AY19" i="5"/>
  <c r="C24" i="1" s="1"/>
  <c r="J12" i="5"/>
  <c r="BG5" i="5"/>
  <c r="BE6" i="5"/>
  <c r="BC7" i="5"/>
  <c r="AJ41" i="3"/>
  <c r="BH10" i="3"/>
  <c r="BE9" i="3"/>
  <c r="AK41" i="3"/>
  <c r="BE33" i="3"/>
  <c r="AI28" i="3"/>
  <c r="BE28" i="3" s="1"/>
  <c r="AI29" i="3"/>
  <c r="BE29" i="3" s="1"/>
  <c r="BG6" i="3"/>
  <c r="BG10" i="3"/>
  <c r="BE13" i="3"/>
  <c r="BG14" i="3"/>
  <c r="AH42" i="3"/>
  <c r="BG39" i="3"/>
  <c r="BE20" i="3"/>
  <c r="BE21" i="3"/>
  <c r="AI38" i="3"/>
  <c r="BE38" i="3" s="1"/>
  <c r="AI16" i="3"/>
  <c r="BE16" i="3" s="1"/>
  <c r="BG22" i="3"/>
  <c r="AI17" i="3"/>
  <c r="BE17" i="3" s="1"/>
  <c r="BE27" i="3"/>
  <c r="BE30" i="3"/>
  <c r="BE8" i="3"/>
  <c r="M41" i="3"/>
  <c r="BB47" i="3"/>
  <c r="C14" i="1" s="1"/>
  <c r="BH5" i="3"/>
  <c r="BE10" i="3"/>
  <c r="BE19" i="3"/>
  <c r="BE22" i="3"/>
  <c r="BC47" i="3"/>
  <c r="BG8" i="3"/>
  <c r="BG30" i="3"/>
  <c r="BE34" i="3"/>
  <c r="BB45" i="3"/>
  <c r="BE7" i="3"/>
  <c r="BG9" i="3"/>
  <c r="BG21" i="3"/>
  <c r="M40" i="3"/>
  <c r="K6" i="3"/>
  <c r="BE12" i="3"/>
  <c r="BH30" i="3"/>
  <c r="BH42" i="3" s="1"/>
  <c r="BG32" i="3"/>
  <c r="L40" i="3"/>
  <c r="J42" i="3"/>
  <c r="BE14" i="3"/>
  <c r="BE23" i="3"/>
  <c r="L42" i="3"/>
  <c r="BG33" i="3"/>
  <c r="BE11" i="3"/>
  <c r="BG24" i="3"/>
  <c r="BE26" i="3"/>
  <c r="BE36" i="3"/>
  <c r="BG37" i="3"/>
  <c r="BS40" i="3"/>
  <c r="K9" i="1" s="1"/>
  <c r="BM41" i="3"/>
  <c r="F10" i="1" s="1"/>
  <c r="BN41" i="7"/>
  <c r="G44" i="1" s="1"/>
  <c r="BM42" i="7"/>
  <c r="F45" i="1" s="1"/>
  <c r="BL41" i="3"/>
  <c r="E10" i="1" s="1"/>
  <c r="BL42" i="7"/>
  <c r="E45" i="1" s="1"/>
  <c r="BN41" i="3"/>
  <c r="G10" i="1" s="1"/>
  <c r="BN42" i="7"/>
  <c r="G45" i="1" s="1"/>
  <c r="BL41" i="7"/>
  <c r="E44" i="1" s="1"/>
  <c r="BP42" i="7"/>
  <c r="BQ41" i="3"/>
  <c r="BL42" i="3"/>
  <c r="E11" i="1" s="1"/>
  <c r="BK41" i="7"/>
  <c r="D44" i="1" s="1"/>
  <c r="BR41" i="7"/>
  <c r="BQ42" i="7"/>
  <c r="BM42" i="3"/>
  <c r="F11" i="1" s="1"/>
  <c r="BM40" i="7"/>
  <c r="F43" i="1" s="1"/>
  <c r="BM43" i="7"/>
  <c r="F46" i="1" s="1"/>
  <c r="BS41" i="7"/>
  <c r="BR42" i="7"/>
  <c r="BN42" i="3"/>
  <c r="G11" i="1" s="1"/>
  <c r="BN40" i="7"/>
  <c r="G43" i="1" s="1"/>
  <c r="BN43" i="7"/>
  <c r="G46" i="1" s="1"/>
  <c r="BS42" i="7"/>
  <c r="BT41" i="3"/>
  <c r="L10" i="1" s="1"/>
  <c r="BM41" i="7"/>
  <c r="F44" i="1" s="1"/>
  <c r="BT42" i="3"/>
  <c r="L11" i="1" s="1"/>
  <c r="BN40" i="3"/>
  <c r="G9" i="1" s="1"/>
  <c r="BR40" i="7"/>
  <c r="BR43" i="7"/>
  <c r="BE25" i="3"/>
  <c r="K41" i="3"/>
  <c r="BB14" i="5"/>
  <c r="BE31" i="3"/>
  <c r="BS42" i="3"/>
  <c r="BG36" i="7"/>
  <c r="K36" i="7"/>
  <c r="BE36" i="7" s="1"/>
  <c r="AI37" i="3"/>
  <c r="BE37" i="3" s="1"/>
  <c r="K39" i="3"/>
  <c r="L43" i="3"/>
  <c r="BB10" i="5"/>
  <c r="AI15" i="6"/>
  <c r="AI12" i="6"/>
  <c r="BD11" i="6"/>
  <c r="BP43" i="7"/>
  <c r="BP40" i="7"/>
  <c r="BH10" i="7" a="1"/>
  <c r="BH10" i="7" s="1"/>
  <c r="BE17" i="7"/>
  <c r="M43" i="3"/>
  <c r="M15" i="5"/>
  <c r="BE15" i="5" s="1"/>
  <c r="M12" i="5"/>
  <c r="BD10" i="5"/>
  <c r="BE11" i="6"/>
  <c r="AH43" i="7"/>
  <c r="AH40" i="7"/>
  <c r="BQ43" i="7"/>
  <c r="BQ40" i="7"/>
  <c r="BG14" i="7"/>
  <c r="M41" i="7"/>
  <c r="BG32" i="7"/>
  <c r="K32" i="7"/>
  <c r="AH41" i="3"/>
  <c r="M42" i="3"/>
  <c r="BE7" i="7"/>
  <c r="AI21" i="7"/>
  <c r="BE21" i="7" s="1"/>
  <c r="BH20" i="7" a="1"/>
  <c r="BH20" i="7" s="1"/>
  <c r="BE23" i="7"/>
  <c r="BP41" i="7"/>
  <c r="BM43" i="3"/>
  <c r="F12" i="1" s="1"/>
  <c r="BM40" i="3"/>
  <c r="F9" i="1" s="1"/>
  <c r="BG7" i="3"/>
  <c r="BG11" i="3"/>
  <c r="BG15" i="3"/>
  <c r="BG19" i="3"/>
  <c r="BG23" i="3"/>
  <c r="BG27" i="3"/>
  <c r="BG31" i="3"/>
  <c r="BG35" i="3"/>
  <c r="BG36" i="3"/>
  <c r="AJ43" i="3"/>
  <c r="AZ45" i="3"/>
  <c r="AH13" i="5"/>
  <c r="BC13" i="5" s="1"/>
  <c r="BG10" i="5" a="1"/>
  <c r="BG10" i="5" s="1"/>
  <c r="J15" i="6"/>
  <c r="J12" i="6"/>
  <c r="BB5" i="6"/>
  <c r="K15" i="6"/>
  <c r="AK43" i="7"/>
  <c r="AK40" i="7"/>
  <c r="BS43" i="7"/>
  <c r="BS40" i="7"/>
  <c r="BE8" i="7"/>
  <c r="BE24" i="7"/>
  <c r="BQ41" i="7"/>
  <c r="BL43" i="3"/>
  <c r="E12" i="1" s="1"/>
  <c r="BL40" i="3"/>
  <c r="E9" i="1" s="1"/>
  <c r="BG11" i="5" a="1"/>
  <c r="BG11" i="5" s="1"/>
  <c r="BF11" i="5"/>
  <c r="AI14" i="5"/>
  <c r="BT43" i="7"/>
  <c r="BT40" i="7"/>
  <c r="BG21" i="7"/>
  <c r="AH41" i="7"/>
  <c r="BE27" i="7"/>
  <c r="M42" i="7"/>
  <c r="BE31" i="7"/>
  <c r="BE32" i="7"/>
  <c r="BE39" i="7"/>
  <c r="BH15" i="3" a="1"/>
  <c r="BH15" i="3" s="1"/>
  <c r="BG8" i="5" a="1"/>
  <c r="BG8" i="5" s="1"/>
  <c r="AW19" i="5"/>
  <c r="L12" i="6"/>
  <c r="BG10" i="6" a="1"/>
  <c r="BG10" i="6" s="1"/>
  <c r="BF10" i="6"/>
  <c r="AZ17" i="6"/>
  <c r="BG7" i="7"/>
  <c r="BG23" i="7"/>
  <c r="BE28" i="7"/>
  <c r="BE37" i="7"/>
  <c r="BQ43" i="3"/>
  <c r="BQ40" i="3"/>
  <c r="BG20" i="3"/>
  <c r="BC45" i="3"/>
  <c r="BC5" i="5"/>
  <c r="BG6" i="5" a="1"/>
  <c r="BG6" i="5" s="1"/>
  <c r="M12" i="6"/>
  <c r="BG5" i="6" a="1"/>
  <c r="BG5" i="6" s="1"/>
  <c r="BG7" i="6" a="1"/>
  <c r="BG7" i="6" s="1"/>
  <c r="BB10" i="6"/>
  <c r="BG5" i="7"/>
  <c r="BE10" i="7"/>
  <c r="K15" i="7"/>
  <c r="BT41" i="7"/>
  <c r="BE35" i="7"/>
  <c r="AK43" i="3"/>
  <c r="AK40" i="3"/>
  <c r="AJ42" i="3"/>
  <c r="BN43" i="3"/>
  <c r="G12" i="1" s="1"/>
  <c r="AI15" i="5"/>
  <c r="AI12" i="5"/>
  <c r="BD12" i="5" s="1"/>
  <c r="BG7" i="5" a="1"/>
  <c r="BG7" i="5" s="1"/>
  <c r="BF7" i="5"/>
  <c r="BD9" i="5"/>
  <c r="BB13" i="5"/>
  <c r="BD10" i="6"/>
  <c r="J43" i="7"/>
  <c r="J40" i="7"/>
  <c r="BH5" i="7" a="1"/>
  <c r="BH5" i="7" s="1"/>
  <c r="BE9" i="7"/>
  <c r="BG11" i="7"/>
  <c r="AI25" i="7"/>
  <c r="BH25" i="7" a="1"/>
  <c r="BH25" i="7" s="1"/>
  <c r="BH41" i="7" s="1"/>
  <c r="BG27" i="7"/>
  <c r="BG37" i="7"/>
  <c r="BH20" i="3" a="1"/>
  <c r="BH20" i="3" s="1"/>
  <c r="BP42" i="3"/>
  <c r="BP43" i="3"/>
  <c r="AH10" i="5"/>
  <c r="K15" i="5"/>
  <c r="AZ19" i="5"/>
  <c r="BG6" i="6" a="1"/>
  <c r="BG6" i="6" s="1"/>
  <c r="BF6" i="6"/>
  <c r="K5" i="7"/>
  <c r="BE5" i="7" s="1"/>
  <c r="BG8" i="7"/>
  <c r="BE16" i="7"/>
  <c r="BG24" i="7"/>
  <c r="BT42" i="7"/>
  <c r="BE34" i="7"/>
  <c r="BG38" i="7"/>
  <c r="AZ47" i="7"/>
  <c r="BR41" i="3"/>
  <c r="BT43" i="3"/>
  <c r="BT40" i="3"/>
  <c r="AI15" i="3"/>
  <c r="BE15" i="3" s="1"/>
  <c r="AI35" i="3"/>
  <c r="BE35" i="3" s="1"/>
  <c r="BP40" i="3"/>
  <c r="BP41" i="3"/>
  <c r="BQ42" i="3"/>
  <c r="BR43" i="3"/>
  <c r="AH8" i="5"/>
  <c r="BC8" i="5" s="1"/>
  <c r="L15" i="5"/>
  <c r="AH9" i="6"/>
  <c r="BL43" i="7"/>
  <c r="E46" i="1" s="1"/>
  <c r="BL40" i="7"/>
  <c r="E43" i="1" s="1"/>
  <c r="BG9" i="7"/>
  <c r="BE13" i="7"/>
  <c r="AI15" i="7"/>
  <c r="BG25" i="7"/>
  <c r="BE29" i="7"/>
  <c r="AK42" i="7"/>
  <c r="BH35" i="7" a="1"/>
  <c r="BH35" i="7" s="1"/>
  <c r="BG35" i="7"/>
  <c r="AH43" i="3"/>
  <c r="AH40" i="3"/>
  <c r="J43" i="3"/>
  <c r="J40" i="3"/>
  <c r="L41" i="3"/>
  <c r="BR40" i="3"/>
  <c r="BS41" i="3"/>
  <c r="BR42" i="3"/>
  <c r="BS43" i="3"/>
  <c r="BD5" i="5"/>
  <c r="BG9" i="5" a="1"/>
  <c r="BG9" i="5" s="1"/>
  <c r="BG13" i="5" s="1"/>
  <c r="AZ17" i="5"/>
  <c r="AH7" i="6"/>
  <c r="BC7" i="6" s="1"/>
  <c r="K14" i="6"/>
  <c r="M43" i="7"/>
  <c r="M40" i="7"/>
  <c r="BH30" i="7" a="1"/>
  <c r="BH30" i="7" s="1"/>
  <c r="AI30" i="7"/>
  <c r="BG34" i="7"/>
  <c r="J15" i="5"/>
  <c r="M15" i="6"/>
  <c r="AJ40" i="7"/>
  <c r="AJ14" i="5"/>
  <c r="BE14" i="5" s="1"/>
  <c r="BJ30" i="7"/>
  <c r="BK25" i="3"/>
  <c r="BJ25" i="7"/>
  <c r="BK35" i="3"/>
  <c r="BK35" i="7"/>
  <c r="BJ5" i="7"/>
  <c r="BJ20" i="3"/>
  <c r="BJ35" i="3"/>
  <c r="BJ15" i="7"/>
  <c r="BK20" i="3"/>
  <c r="BK15" i="7"/>
  <c r="BJ10" i="7"/>
  <c r="BJ30" i="3"/>
  <c r="BJ25" i="3"/>
  <c r="BJ35" i="7"/>
  <c r="BJ5" i="3"/>
  <c r="BK5" i="3"/>
  <c r="BG14" i="6" l="1"/>
  <c r="BE14" i="6"/>
  <c r="D33" i="1" s="1"/>
  <c r="BB15" i="5"/>
  <c r="K40" i="3"/>
  <c r="K43" i="3"/>
  <c r="BE12" i="5"/>
  <c r="BB12" i="5"/>
  <c r="E19" i="1" s="1"/>
  <c r="BD15" i="5"/>
  <c r="BE6" i="3"/>
  <c r="BB14" i="6"/>
  <c r="E33" i="1" s="1"/>
  <c r="BD14" i="5"/>
  <c r="BE15" i="6"/>
  <c r="BB12" i="6"/>
  <c r="E31" i="1" s="1"/>
  <c r="BJ42" i="3"/>
  <c r="C11" i="1" s="1"/>
  <c r="AI41" i="3"/>
  <c r="BE41" i="3" s="1"/>
  <c r="K42" i="7"/>
  <c r="BH42" i="7"/>
  <c r="BE15" i="7"/>
  <c r="AH14" i="6"/>
  <c r="BC14" i="6" s="1"/>
  <c r="BE12" i="6"/>
  <c r="D31" i="1" s="1"/>
  <c r="BB15" i="6"/>
  <c r="E34" i="1" s="1"/>
  <c r="BD15" i="6"/>
  <c r="BG14" i="5"/>
  <c r="BG12" i="5"/>
  <c r="BH40" i="3"/>
  <c r="BH43" i="3"/>
  <c r="BJ42" i="7"/>
  <c r="C45" i="1" s="1"/>
  <c r="BJ41" i="7"/>
  <c r="C44" i="1" s="1"/>
  <c r="BK42" i="3"/>
  <c r="D11" i="1" s="1"/>
  <c r="BK41" i="3"/>
  <c r="D10" i="1" s="1"/>
  <c r="BK40" i="7"/>
  <c r="D43" i="1" s="1"/>
  <c r="BK43" i="7"/>
  <c r="D46" i="1" s="1"/>
  <c r="BJ41" i="3"/>
  <c r="C10" i="1" s="1"/>
  <c r="BK42" i="7"/>
  <c r="D45" i="1" s="1"/>
  <c r="I10" i="1"/>
  <c r="J46" i="1"/>
  <c r="I45" i="1"/>
  <c r="J45" i="1"/>
  <c r="H45" i="1"/>
  <c r="K45" i="1"/>
  <c r="K44" i="1"/>
  <c r="J44" i="1"/>
  <c r="J43" i="1"/>
  <c r="E22" i="1"/>
  <c r="D34" i="1"/>
  <c r="I46" i="1"/>
  <c r="I11" i="1"/>
  <c r="BC10" i="5"/>
  <c r="AH14" i="5"/>
  <c r="BC14" i="5" s="1"/>
  <c r="I12" i="1"/>
  <c r="L43" i="1"/>
  <c r="I44" i="1"/>
  <c r="H10" i="1"/>
  <c r="H12" i="1"/>
  <c r="AH15" i="6"/>
  <c r="BC15" i="6" s="1"/>
  <c r="AH15" i="5"/>
  <c r="BC15" i="5" s="1"/>
  <c r="C23" i="1"/>
  <c r="L46" i="1"/>
  <c r="J12" i="1"/>
  <c r="L45" i="1"/>
  <c r="H11" i="1"/>
  <c r="BH43" i="7"/>
  <c r="BH40" i="7"/>
  <c r="AH12" i="6"/>
  <c r="BC12" i="6" s="1"/>
  <c r="H43" i="1"/>
  <c r="H9" i="1"/>
  <c r="C20" i="1"/>
  <c r="AI43" i="3"/>
  <c r="E32" i="1"/>
  <c r="H46" i="1"/>
  <c r="K42" i="3"/>
  <c r="AI41" i="7"/>
  <c r="BE41" i="7" s="1"/>
  <c r="BE25" i="7"/>
  <c r="K43" i="1"/>
  <c r="BE39" i="3"/>
  <c r="L9" i="1"/>
  <c r="BG15" i="6"/>
  <c r="BG12" i="6"/>
  <c r="K46" i="1"/>
  <c r="D19" i="1"/>
  <c r="E21" i="1"/>
  <c r="K11" i="1"/>
  <c r="AI40" i="7"/>
  <c r="L12" i="1"/>
  <c r="BJ43" i="7"/>
  <c r="C46" i="1" s="1"/>
  <c r="BJ40" i="7"/>
  <c r="C43" i="1" s="1"/>
  <c r="BD12" i="6"/>
  <c r="BG15" i="5"/>
  <c r="BK40" i="3"/>
  <c r="D9" i="1" s="1"/>
  <c r="BK43" i="3"/>
  <c r="D12" i="1" s="1"/>
  <c r="K12" i="1"/>
  <c r="BC9" i="6"/>
  <c r="AH13" i="6"/>
  <c r="BC13" i="6" s="1"/>
  <c r="K43" i="7"/>
  <c r="K40" i="7"/>
  <c r="L44" i="1"/>
  <c r="AI40" i="3"/>
  <c r="AI42" i="3"/>
  <c r="AI42" i="7"/>
  <c r="BE30" i="7"/>
  <c r="J11" i="1"/>
  <c r="J10" i="1"/>
  <c r="E20" i="1"/>
  <c r="D22" i="1"/>
  <c r="AH12" i="5"/>
  <c r="BC12" i="5" s="1"/>
  <c r="I9" i="1"/>
  <c r="K10" i="1"/>
  <c r="D20" i="1"/>
  <c r="BJ43" i="3"/>
  <c r="C12" i="1" s="1"/>
  <c r="BJ40" i="3"/>
  <c r="C9" i="1" s="1"/>
  <c r="D21" i="1"/>
  <c r="J9" i="1"/>
  <c r="C47" i="1"/>
  <c r="D32" i="1"/>
  <c r="H44" i="1"/>
  <c r="I43" i="1"/>
  <c r="AI43" i="7"/>
  <c r="BE43" i="3" l="1"/>
  <c r="BE42" i="3"/>
  <c r="BE40" i="3"/>
  <c r="BE40" i="7"/>
  <c r="BE43" i="7"/>
  <c r="BE42" i="7"/>
  <c r="C32" i="1"/>
  <c r="C31" i="1"/>
  <c r="C22" i="1"/>
  <c r="C21" i="1"/>
  <c r="C34" i="1"/>
  <c r="C33" i="1"/>
  <c r="C19"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<sst xmlns="http://schemas.openxmlformats.org/spreadsheetml/2006/main" count="1459" uniqueCount="575">
  <si>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</si>
  <si>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</si>
  <si>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</si>
  <si>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</si>
  <si>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</si>
  <si>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</si>
  <si>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</si>
  <si>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</si>
  <si>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</si>
  <si>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</si>
  <si>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</si>
  <si>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</si>
  <si>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</si>
  <si>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</si>
  <si>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</si>
  <si>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</si>
  <si>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</si>
  <si>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</si>
  <si>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</si>
  <si>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</si>
  <si>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</si>
  <si>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</si>
  <si>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</si>
  <si>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</si>
  <si>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</si>
  <si>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</si>
  <si>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</si>
  <si>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</si>
  <si>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</si>
  <si>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</si>
  <si>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</si>
  <si>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</si>
  <si>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</si>
  <si>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</si>
  <si>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</si>
  <si>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</si>
  <si>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</si>
  <si>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</si>
  <si>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</si>
  <si>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</si>
  <si>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</si>
  <si>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</si>
  <si>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</si>
  <si>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</si>
  <si>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</si>
  <si>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</si>
  <si>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</si>
  <si>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</si>
  <si>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</si>
  <si>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</si>
  <si>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</si>
  <si>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</si>
  <si>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</si>
  <si>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</si>
  <si>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</si>
  <si>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</si>
  <si>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</si>
  <si>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</si>
  <si>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</si>
  <si>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</si>
  <si>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</si>
  <si>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</si>
  <si>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</si>
  <si>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</si>
  <si>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</si>
  <si>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</si>
  <si>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</si>
  <si>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</si>
  <si>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</si>
  <si>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</si>
  <si>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</si>
  <si>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</si>
  <si>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</si>
  <si>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</si>
  <si>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</si>
  <si>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</si>
  <si>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</si>
  <si>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</si>
  <si>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</si>
  <si>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</si>
  <si>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</si>
  <si>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</si>
  <si>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</si>
  <si>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</si>
  <si>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</si>
  <si>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</si>
  <si>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</si>
  <si>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</si>
  <si>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</si>
  <si>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</si>
  <si>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</si>
  <si>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</si>
  <si>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</si>
  <si>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</si>
  <si>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</si>
  <si>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</si>
  <si>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</si>
  <si>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</si>
  <si>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</si>
  <si>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</si>
  <si>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</si>
  <si>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</si>
  <si>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</si>
  <si>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</si>
  <si>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</si>
  <si>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</si>
  <si>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</si>
  <si>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</si>
  <si>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</si>
  <si>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</si>
  <si>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</si>
  <si>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</si>
  <si>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</si>
  <si>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</si>
  <si>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</si>
  <si>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</si>
  <si>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</si>
  <si>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</si>
  <si>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</si>
  <si>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</si>
  <si>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</si>
  <si>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</si>
  <si>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</si>
  <si>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</si>
  <si>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</si>
  <si>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</si>
  <si>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</si>
  <si>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</si>
  <si>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</si>
  <si>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</si>
  <si>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</si>
  <si>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</si>
  <si>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</si>
  <si>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</si>
  <si>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</si>
  <si>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</si>
  <si>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</si>
  <si>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</si>
  <si>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</si>
  <si>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</si>
  <si>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</si>
  <si>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</si>
  <si>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</si>
  <si>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</si>
  <si>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</si>
  <si>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</si>
  <si>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</si>
  <si>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</si>
  <si>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</si>
  <si>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</si>
  <si>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</si>
  <si>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</si>
  <si>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</si>
  <si>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</si>
  <si>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</si>
  <si>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</si>
  <si>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</si>
  <si>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</si>
  <si>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</si>
  <si>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</si>
  <si>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</si>
  <si>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</si>
  <si>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</si>
  <si>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</si>
  <si>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</si>
  <si>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</si>
  <si>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</si>
  <si>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</si>
  <si>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</si>
  <si>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</si>
  <si>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</si>
  <si>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</si>
  <si>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</si>
  <si>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</si>
  <si>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</si>
  <si>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</si>
  <si>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</si>
  <si>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</si>
  <si>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</si>
  <si>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</si>
  <si>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</si>
  <si>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</si>
  <si>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</si>
  <si>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</si>
  <si>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</si>
  <si>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</si>
  <si>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</si>
  <si>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</si>
  <si>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</si>
  <si>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</si>
  <si>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</si>
  <si>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</si>
  <si>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</si>
  <si>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</si>
  <si>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</si>
  <si>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</si>
  <si>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</si>
  <si>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</si>
  <si>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</si>
  <si>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</si>
  <si>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</si>
  <si>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</si>
  <si>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</si>
  <si>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</si>
  <si>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</si>
  <si>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</si>
  <si>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</si>
  <si>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</si>
  <si>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</si>
  <si>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</si>
  <si>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</si>
  <si>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</si>
  <si>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</si>
  <si>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</si>
  <si>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</si>
  <si>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</si>
  <si>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</si>
  <si>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</si>
  <si>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</si>
  <si>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</si>
  <si>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</si>
  <si>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</si>
  <si>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</si>
  <si>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</si>
  <si>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</si>
  <si>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</si>
  <si>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</si>
  <si>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</si>
  <si>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</si>
  <si>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</si>
  <si>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</si>
  <si>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</si>
  <si>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</si>
  <si>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</si>
  <si>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</si>
  <si>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</si>
  <si>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</si>
  <si>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</si>
  <si>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</si>
  <si>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</si>
  <si>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</si>
  <si>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</si>
  <si>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</si>
  <si>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</si>
  <si>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</si>
  <si>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</si>
  <si>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</si>
  <si>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</si>
  <si>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</si>
  <si>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</si>
  <si>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</si>
  <si>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</si>
  <si>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</si>
  <si>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</si>
  <si>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</si>
  <si>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</si>
  <si>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</si>
  <si>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</si>
  <si>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</si>
  <si>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</si>
  <si>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</si>
  <si>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</si>
  <si>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</si>
  <si>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</si>
  <si>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</si>
  <si>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</si>
  <si>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</si>
  <si>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</si>
  <si>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</si>
  <si>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</si>
  <si>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</si>
  <si>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</si>
  <si>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</si>
  <si>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</si>
  <si>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</si>
  <si>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</si>
  <si>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</si>
  <si>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</si>
  <si>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</si>
  <si>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</si>
  <si>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</si>
  <si>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</si>
  <si>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</si>
  <si>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</si>
  <si>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</si>
  <si>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</si>
  <si>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</si>
  <si>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</si>
  <si>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</si>
  <si>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</si>
  <si>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</si>
  <si>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</si>
  <si>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</si>
  <si>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</si>
  <si>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</si>
  <si>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</si>
  <si>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</si>
  <si>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</si>
  <si>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</si>
  <si>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</si>
  <si>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</si>
  <si>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</si>
  <si>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</si>
  <si>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</si>
  <si>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</si>
  <si>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</si>
  <si>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</si>
  <si>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</si>
  <si>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</si>
  <si>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</si>
  <si>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</si>
  <si>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</si>
  <si>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</si>
  <si>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</si>
  <si>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</si>
  <si>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</si>
  <si>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</si>
  <si>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</si>
  <si>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</si>
  <si>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</si>
  <si>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</si>
  <si>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</si>
  <si>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</si>
  <si>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</si>
  <si>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</si>
  <si>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</si>
  <si>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</si>
  <si>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</si>
  <si>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</si>
  <si>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</si>
  <si>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</si>
  <si>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</si>
  <si>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</si>
  <si>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</si>
  <si>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</si>
  <si>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</si>
  <si>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</si>
  <si>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</si>
  <si>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</si>
  <si>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</si>
  <si>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</si>
  <si>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</si>
  <si>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</si>
  <si>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</si>
  <si>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</si>
  <si>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</si>
  <si>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</si>
  <si>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</si>
  <si>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</si>
  <si>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</si>
  <si>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</si>
  <si>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</si>
  <si>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</si>
  <si>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</si>
  <si>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</si>
  <si>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</si>
  <si>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</si>
  <si>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</si>
  <si>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</si>
  <si>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</si>
  <si>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</si>
  <si>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</si>
  <si>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</si>
  <si>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</si>
  <si>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</si>
  <si>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</si>
  <si>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</si>
  <si>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</si>
  <si>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</si>
  <si>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</si>
  <si>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</si>
  <si>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</si>
  <si>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</si>
  <si>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</si>
  <si>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</si>
  <si>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</si>
  <si>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</si>
  <si>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</si>
  <si>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</si>
  <si>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</si>
  <si>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</si>
  <si>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</si>
  <si>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</si>
  <si>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</si>
  <si>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</si>
  <si>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</si>
  <si>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</si>
  <si>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</si>
  <si>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</si>
  <si>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</si>
  <si>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</si>
  <si>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</si>
  <si>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</si>
  <si>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</si>
  <si>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</si>
  <si>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</si>
  <si>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</si>
  <si>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</si>
  <si>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</si>
  <si>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</si>
  <si>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</si>
  <si>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</si>
  <si>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</si>
  <si>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</si>
  <si>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</si>
  <si>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</si>
  <si>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</si>
  <si>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</si>
  <si>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</si>
  <si>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</si>
  <si>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</si>
  <si>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</si>
  <si>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</si>
  <si>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</si>
  <si>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</si>
  <si>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</si>
  <si>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</si>
  <si>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</si>
  <si>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</si>
  <si>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</si>
  <si>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</si>
  <si>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</si>
  <si>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</si>
  <si>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</si>
  <si>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</si>
  <si>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</si>
  <si>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</si>
  <si>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</si>
  <si>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</si>
  <si>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</si>
  <si>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</si>
  <si>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</si>
  <si>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</si>
  <si>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</si>
  <si>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</si>
  <si>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</si>
  <si>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</si>
  <si>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</si>
  <si>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</si>
  <si>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</si>
  <si>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</si>
  <si>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</si>
  <si>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</si>
  <si>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</si>
  <si>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</si>
  <si>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</si>
  <si>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</si>
  <si>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</si>
  <si>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</si>
  <si>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</si>
  <si>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</si>
  <si>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</si>
  <si>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</si>
  <si>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</si>
  <si>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</si>
  <si>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</si>
  <si>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</si>
  <si>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</si>
  <si>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</si>
  <si>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</si>
  <si>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</si>
  <si>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</si>
  <si>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</si>
  <si>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</si>
  <si>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</si>
  <si>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</si>
  <si>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</si>
  <si>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</si>
  <si>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</si>
  <si>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</si>
  <si>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</si>
  <si>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</si>
  <si>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</si>
  <si>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</si>
  <si>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</si>
  <si>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</si>
  <si>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</si>
  <si>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</si>
  <si>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</si>
  <si>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</si>
  <si>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</si>
  <si>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</si>
  <si>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</si>
  <si>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</si>
  <si>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</si>
  <si>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</si>
  <si>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</si>
  <si>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</si>
  <si>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</si>
  <si>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</si>
  <si>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</si>
  <si>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</si>
  <si>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</si>
  <si>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</si>
  <si>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</si>
  <si>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</si>
  <si>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</si>
  <si>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</si>
  <si>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</si>
  <si>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</si>
  <si>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</si>
  <si>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</si>
  <si>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</si>
  <si>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</si>
  <si>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</si>
  <si>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</si>
  <si>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</si>
  <si>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</si>
  <si>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</si>
  <si>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</si>
  <si>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</si>
  <si>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</si>
  <si>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</si>
  <si>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</si>
  <si>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</si>
  <si>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</si>
  <si>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</si>
  <si>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</si>
  <si>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</si>
  <si>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</si>
  <si>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</si>
  <si>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</si>
  <si>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</si>
  <si>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</si>
  <si>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</si>
  <si>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</si>
  <si>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</si>
  <si>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</si>
  <si>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</si>
  <si>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</si>
  <si>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</si>
  <si>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</si>
  <si>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</si>
  <si>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</si>
  <si>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</si>
  <si>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</si>
  <si>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</si>
  <si>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</si>
  <si>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</si>
  <si>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</si>
  <si>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</si>
  <si>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</si>
  <si>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</si>
  <si>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</si>
  <si>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</si>
  <si>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</si>
  <si>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</si>
  <si>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</si>
  <si>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</si>
  <si>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</si>
  <si>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</si>
  <si>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</si>
  <si>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</si>
  <si>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</si>
  <si>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</si>
  <si>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</si>
  <si>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</si>
  <si>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</si>
  <si>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</si>
  <si>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</si>
  <si>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</si>
  <si>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</si>
  <si>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</si>
  <si>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</si>
  <si>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</si>
  <si>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</si>
  <si>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</si>
  <si>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</si>
  <si>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</si>
  <si>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</si>
  <si>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</si>
  <si>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CW_ld — lossless geometry, lossless attributes [inter, low delay]</t>
  </si>
  <si>
    <t>C2_ra — lossy geometry, lossy attributes [inter, random access]</t>
  </si>
  <si>
    <t>Inf</t>
  </si>
  <si>
    <t>CTC_master+r220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</si>
</sst>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3">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lang="ja-JP"/>
          </a:pPr>
          <a:endParaRPr lang="en-FR"/>
        </a:p>
      </c:txPr>
    </c:title>
    <c:autoTitleDeleted val="0"/>
    <c:plotArea>
      <c:layout/>
      <c:scatterChart>
        <c:scatterStyle val="smoothMarker"/>
        <c:varyColors val="0"/>
        <c:ser>
          <c:idx val="0"/>
          <c:order val="0"/>
          <c:tx>
            <c:strRef>
              <c:f>Graphs!graph_a_A_title</c:f>
              <c:strCache>
                <c:ptCount val="1"/>
                <c:pt idx="0">
                  <c:v>CTC_master+r220</c:v>
                </c:pt>
              </c:strCache>
            </c:strRef>
          </c:tx>
          <c:spPr>
            <a:ln>
              <a:prstDash val="solid"/>
            </a:ln>
          </c:spPr>
          <c:marker>
            <c:symbol val="none"/>
          </c:marker>
          <c:xVal>
            <c:numRef>
              <c:f>Graphs!graph_a_x_range_A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Graphs!graph_a_y_range_A</c:f>
              <c:numCache>
                <c:formatCode>0.00</c:formatCode>
                <c:ptCount val="5"/>
                <c:pt idx="0">
                  <c:v>66.310022532333306</c:v>
                </c:pt>
                <c:pt idx="1">
                  <c:v>68.156284048000003</c:v>
                </c:pt>
                <c:pt idx="2">
                  <c:v>69.562777475333405</c:v>
                </c:pt>
                <c:pt idx="3">
                  <c:v>70.706428921333298</c:v>
                </c:pt>
                <c:pt idx="4">
                  <c:v>71.790262054999999</c:v>
                </c:pt>
              </c:numCache>
            </c:numRef>
          </c:yVal>
          <c:smooth val="1"/>
          <c:extLst>
            <c:ext xmlns:c16="http://schemas.microsoft.com/office/drawing/2014/chart" uri="{C3380CC4-5D6E-409C-BE32-E72D297353CC}">
              <c16:uniqueId val="{00000000-473E-4ADA-9B37-F85C8BCA092B}"/>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473E-4ADA-9B37-F85C8BCA092B}"/>
            </c:ext>
          </c:extLst>
        </c:ser>
        <c:dLbls>
          <c:showLegendKey val="0"/>
          <c:showVal val="0"/>
          <c:showCatName val="0"/>
          <c:showSerName val="0"/>
          <c:showPercent val="0"/>
          <c:showBubbleSize val="0"/>
        </c:dLbls>
        <c:axId val="189036032"/>
        <c:axId val="189037952"/>
      </c:scatterChart>
      <c:valAx>
        <c:axId val="189036032"/>
        <c:scaling>
          <c:orientation val="minMax"/>
        </c:scaling>
        <c:delete val="0"/>
        <c:axPos val="b"/>
        <c:title>
          <c:tx>
            <c:strRef>
              <c:f>Graphs!graph_a_x_title</c:f>
              <c:strCache>
                <c:ptCount val="1"/>
                <c:pt idx="0">
                  <c:v>Geometry Bits per input point</c:v>
                </c:pt>
              </c:strCache>
            </c:strRef>
          </c:tx>
          <c:overlay val="0"/>
          <c:txPr>
            <a:bodyPr/>
            <a:lstStyle/>
            <a:p>
              <a:pPr>
                <a:defRPr lang="ja-JP"/>
              </a:pPr>
              <a:endParaRPr lang="en-FR"/>
            </a:p>
          </c:txPr>
        </c:title>
        <c:numFmt formatCode="0.00" sourceLinked="1"/>
        <c:majorTickMark val="out"/>
        <c:minorTickMark val="none"/>
        <c:tickLblPos val="nextTo"/>
        <c:txPr>
          <a:bodyPr/>
          <a:lstStyle/>
          <a:p>
            <a:pPr>
              <a:defRPr lang="ja-JP"/>
            </a:pPr>
            <a:endParaRPr lang="en-FR"/>
          </a:p>
        </c:txPr>
        <c:crossAx val="189037952"/>
        <c:crosses val="autoZero"/>
        <c:crossBetween val="midCat"/>
      </c:valAx>
      <c:valAx>
        <c:axId val="18903795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lang="ja-JP"/>
              </a:pPr>
              <a:endParaRPr lang="en-FR"/>
            </a:p>
          </c:txPr>
        </c:title>
        <c:numFmt formatCode="0.00" sourceLinked="1"/>
        <c:majorTickMark val="out"/>
        <c:minorTickMark val="none"/>
        <c:tickLblPos val="nextTo"/>
        <c:txPr>
          <a:bodyPr/>
          <a:lstStyle/>
          <a:p>
            <a:pPr>
              <a:defRPr lang="ja-JP"/>
            </a:pPr>
            <a:endParaRPr lang="en-FR"/>
          </a:p>
        </c:txPr>
        <c:crossAx val="189036032"/>
        <c:crosses val="autoZero"/>
        <c:crossBetween val="midCat"/>
      </c:valAx>
    </c:plotArea>
    <c:legend>
      <c:legendPos val="b"/>
      <c:overlay val="0"/>
      <c:txPr>
        <a:bodyPr/>
        <a:lstStyle/>
        <a:p>
          <a:pPr>
            <a:defRPr lang="ja-JP"/>
          </a:pPr>
          <a:endParaRPr lang="en-FR"/>
        </a:p>
      </c:txPr>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lang="ja-JP"/>
          </a:pPr>
          <a:endParaRPr lang="en-FR"/>
        </a:p>
      </c:txPr>
    </c:title>
    <c:autoTitleDeleted val="0"/>
    <c:plotArea>
      <c:layout/>
      <c:scatterChart>
        <c:scatterStyle val="smoothMarker"/>
        <c:varyColors val="0"/>
        <c:ser>
          <c:idx val="0"/>
          <c:order val="0"/>
          <c:tx>
            <c:strRef>
              <c:f>Graphs!graph_b_A_title</c:f>
              <c:strCache>
                <c:ptCount val="1"/>
                <c:pt idx="0">
                  <c:v>CTC_master+r220</c:v>
                </c:pt>
              </c:strCache>
            </c:strRef>
          </c:tx>
          <c:spPr>
            <a:ln>
              <a:prstDash val="solid"/>
            </a:ln>
          </c:spPr>
          <c:marker>
            <c:symbol val="none"/>
          </c:marker>
          <c:xVal>
            <c:numRef>
              <c:f>Graphs!graph_b_x_range_A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Graphs!graph_b_y_range_A</c:f>
              <c:numCache>
                <c:formatCode>0.00</c:formatCode>
                <c:ptCount val="5"/>
                <c:pt idx="0">
                  <c:v>68.377397420666696</c:v>
                </c:pt>
                <c:pt idx="1">
                  <c:v>70.311284293333401</c:v>
                </c:pt>
                <c:pt idx="2">
                  <c:v>72.001827504999895</c:v>
                </c:pt>
                <c:pt idx="3">
                  <c:v>73.2843660843333</c:v>
                </c:pt>
                <c:pt idx="4">
                  <c:v>75.226133357333396</c:v>
                </c:pt>
              </c:numCache>
            </c:numRef>
          </c:yVal>
          <c:smooth val="1"/>
          <c:extLst>
            <c:ext xmlns:c16="http://schemas.microsoft.com/office/drawing/2014/chart" uri="{C3380CC4-5D6E-409C-BE32-E72D297353CC}">
              <c16:uniqueId val="{00000000-C8E9-4AB0-99BF-5C9C6586C6FB}"/>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C8E9-4AB0-99BF-5C9C6586C6FB}"/>
            </c:ext>
          </c:extLst>
        </c:ser>
        <c:dLbls>
          <c:showLegendKey val="0"/>
          <c:showVal val="0"/>
          <c:showCatName val="0"/>
          <c:showSerName val="0"/>
          <c:showPercent val="0"/>
          <c:showBubbleSize val="0"/>
        </c:dLbls>
        <c:axId val="189355904"/>
        <c:axId val="189370368"/>
      </c:scatterChart>
      <c:valAx>
        <c:axId val="189355904"/>
        <c:scaling>
          <c:orientation val="minMax"/>
        </c:scaling>
        <c:delete val="0"/>
        <c:axPos val="b"/>
        <c:title>
          <c:tx>
            <c:strRef>
              <c:f>Graphs!graph_b_x_title</c:f>
              <c:strCache>
                <c:ptCount val="1"/>
                <c:pt idx="0">
                  <c:v>Geometry Bits per input point</c:v>
                </c:pt>
              </c:strCache>
            </c:strRef>
          </c:tx>
          <c:overlay val="0"/>
          <c:txPr>
            <a:bodyPr/>
            <a:lstStyle/>
            <a:p>
              <a:pPr>
                <a:defRPr lang="ja-JP"/>
              </a:pPr>
              <a:endParaRPr lang="en-FR"/>
            </a:p>
          </c:txPr>
        </c:title>
        <c:numFmt formatCode="0.00" sourceLinked="1"/>
        <c:majorTickMark val="out"/>
        <c:minorTickMark val="none"/>
        <c:tickLblPos val="nextTo"/>
        <c:txPr>
          <a:bodyPr/>
          <a:lstStyle/>
          <a:p>
            <a:pPr>
              <a:defRPr lang="ja-JP"/>
            </a:pPr>
            <a:endParaRPr lang="en-FR"/>
          </a:p>
        </c:txPr>
        <c:crossAx val="189370368"/>
        <c:crosses val="autoZero"/>
        <c:crossBetween val="midCat"/>
      </c:valAx>
      <c:valAx>
        <c:axId val="189370368"/>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lang="ja-JP"/>
              </a:pPr>
              <a:endParaRPr lang="en-FR"/>
            </a:p>
          </c:txPr>
        </c:title>
        <c:numFmt formatCode="0.00" sourceLinked="1"/>
        <c:majorTickMark val="out"/>
        <c:minorTickMark val="none"/>
        <c:tickLblPos val="nextTo"/>
        <c:txPr>
          <a:bodyPr/>
          <a:lstStyle/>
          <a:p>
            <a:pPr>
              <a:defRPr lang="ja-JP"/>
            </a:pPr>
            <a:endParaRPr lang="en-FR"/>
          </a:p>
        </c:txPr>
        <c:crossAx val="189355904"/>
        <c:crosses val="autoZero"/>
        <c:crossBetween val="midCat"/>
      </c:valAx>
    </c:plotArea>
    <c:legend>
      <c:legendPos val="b"/>
      <c:overlay val="0"/>
      <c:txPr>
        <a:bodyPr/>
        <a:lstStyle/>
        <a:p>
          <a:pPr>
            <a:defRPr lang="ja-JP"/>
          </a:pPr>
          <a:endParaRPr lang="en-FR"/>
        </a:p>
      </c:txPr>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lang="ja-JP"/>
          </a:pPr>
          <a:endParaRPr lang="en-FR"/>
        </a:p>
      </c:txPr>
    </c:title>
    <c:autoTitleDeleted val="0"/>
    <c:plotArea>
      <c:layout/>
      <c:scatterChart>
        <c:scatterStyle val="smoothMarker"/>
        <c:varyColors val="0"/>
        <c:ser>
          <c:idx val="0"/>
          <c:order val="0"/>
          <c:tx>
            <c:strRef>
              <c:f>Graphs!graph_c_A_title</c:f>
              <c:strCache>
                <c:ptCount val="1"/>
                <c:pt idx="0">
                  <c:v>CTC_master+r220</c:v>
                </c:pt>
              </c:strCache>
            </c:strRef>
          </c:tx>
          <c:spPr>
            <a:ln>
              <a:prstDash val="solid"/>
            </a:ln>
          </c:spPr>
          <c:marker>
            <c:symbol val="none"/>
          </c:marker>
          <c:xVal>
            <c:numRef>
              <c:f>Graphs!graph_c_x_range_A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Graphs!graph_c_y_range_A</c:f>
              <c:numCache>
                <c:formatCode>0.00</c:formatCode>
                <c:ptCount val="5"/>
                <c:pt idx="0">
                  <c:v>32.325257400666601</c:v>
                </c:pt>
                <c:pt idx="1">
                  <c:v>34.599118414333297</c:v>
                </c:pt>
                <c:pt idx="2">
                  <c:v>37.138458731333301</c:v>
                </c:pt>
                <c:pt idx="3">
                  <c:v>39.743431330333301</c:v>
                </c:pt>
                <c:pt idx="4">
                  <c:v>42.256806994000002</c:v>
                </c:pt>
              </c:numCache>
            </c:numRef>
          </c:yVal>
          <c:smooth val="1"/>
          <c:extLst>
            <c:ext xmlns:c16="http://schemas.microsoft.com/office/drawing/2014/chart" uri="{C3380CC4-5D6E-409C-BE32-E72D297353CC}">
              <c16:uniqueId val="{00000000-8EDF-4861-A5A5-10E3414042F0}"/>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8EDF-4861-A5A5-10E3414042F0}"/>
            </c:ext>
          </c:extLst>
        </c:ser>
        <c:dLbls>
          <c:showLegendKey val="0"/>
          <c:showVal val="0"/>
          <c:showCatName val="0"/>
          <c:showSerName val="0"/>
          <c:showPercent val="0"/>
          <c:showBubbleSize val="0"/>
        </c:dLbls>
        <c:axId val="149301504"/>
        <c:axId val="149315968"/>
      </c:scatterChart>
      <c:valAx>
        <c:axId val="149301504"/>
        <c:scaling>
          <c:orientation val="minMax"/>
        </c:scaling>
        <c:delete val="0"/>
        <c:axPos val="b"/>
        <c:title>
          <c:tx>
            <c:strRef>
              <c:f>Graphs!graph_c_x_title</c:f>
              <c:strCache>
                <c:ptCount val="1"/>
                <c:pt idx="0">
                  <c:v>Colour  Bits per input point</c:v>
                </c:pt>
              </c:strCache>
            </c:strRef>
          </c:tx>
          <c:overlay val="0"/>
          <c:txPr>
            <a:bodyPr/>
            <a:lstStyle/>
            <a:p>
              <a:pPr>
                <a:defRPr lang="ja-JP"/>
              </a:pPr>
              <a:endParaRPr lang="en-FR"/>
            </a:p>
          </c:txPr>
        </c:title>
        <c:numFmt formatCode="0.00" sourceLinked="1"/>
        <c:majorTickMark val="out"/>
        <c:minorTickMark val="none"/>
        <c:tickLblPos val="nextTo"/>
        <c:txPr>
          <a:bodyPr/>
          <a:lstStyle/>
          <a:p>
            <a:pPr>
              <a:defRPr lang="ja-JP"/>
            </a:pPr>
            <a:endParaRPr lang="en-FR"/>
          </a:p>
        </c:txPr>
        <c:crossAx val="149315968"/>
        <c:crosses val="autoZero"/>
        <c:crossBetween val="midCat"/>
      </c:valAx>
      <c:valAx>
        <c:axId val="149315968"/>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lang="ja-JP"/>
              </a:pPr>
              <a:endParaRPr lang="en-FR"/>
            </a:p>
          </c:txPr>
        </c:title>
        <c:numFmt formatCode="0.00" sourceLinked="1"/>
        <c:majorTickMark val="out"/>
        <c:minorTickMark val="none"/>
        <c:tickLblPos val="nextTo"/>
        <c:txPr>
          <a:bodyPr/>
          <a:lstStyle/>
          <a:p>
            <a:pPr>
              <a:defRPr lang="ja-JP"/>
            </a:pPr>
            <a:endParaRPr lang="en-FR"/>
          </a:p>
        </c:txPr>
        <c:crossAx val="149301504"/>
        <c:crosses val="autoZero"/>
        <c:crossBetween val="midCat"/>
      </c:valAx>
    </c:plotArea>
    <c:legend>
      <c:legendPos val="b"/>
      <c:overlay val="0"/>
      <c:txPr>
        <a:bodyPr/>
        <a:lstStyle/>
        <a:p>
          <a:pPr>
            <a:defRPr lang="ja-JP"/>
          </a:pPr>
          <a:endParaRPr lang="en-FR"/>
        </a:p>
      </c:txPr>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lang="ja-JP"/>
          </a:pPr>
          <a:endParaRPr lang="en-FR"/>
        </a:p>
      </c:txPr>
    </c:title>
    <c:autoTitleDeleted val="0"/>
    <c:plotArea>
      <c:layout/>
      <c:scatterChart>
        <c:scatterStyle val="smoothMarker"/>
        <c:varyColors val="0"/>
        <c:ser>
          <c:idx val="0"/>
          <c:order val="0"/>
          <c:tx>
            <c:strRef>
              <c:f>Graphs!graph_d_A_title</c:f>
              <c:strCache>
                <c:ptCount val="1"/>
                <c:pt idx="0">
                  <c:v>CTC_master+r220</c:v>
                </c:pt>
              </c:strCache>
            </c:strRef>
          </c:tx>
          <c:spPr>
            <a:ln>
              <a:prstDash val="solid"/>
            </a:ln>
          </c:spPr>
          <c:marker>
            <c:symbol val="none"/>
          </c:marker>
          <c:xVal>
            <c:numRef>
              <c:f>Graphs!graph_d_x_range_A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Graphs!graph_d_y_range_A</c:f>
              <c:numCache>
                <c:formatCode>0.00</c:formatCode>
                <c:ptCount val="5"/>
                <c:pt idx="0">
                  <c:v>44.156720731333301</c:v>
                </c:pt>
                <c:pt idx="1">
                  <c:v>45.468920281333297</c:v>
                </c:pt>
                <c:pt idx="2">
                  <c:v>46.573172831333302</c:v>
                </c:pt>
                <c:pt idx="3">
                  <c:v>47.915922339333299</c:v>
                </c:pt>
                <c:pt idx="4">
                  <c:v>49.430838954666697</c:v>
                </c:pt>
              </c:numCache>
            </c:numRef>
          </c:yVal>
          <c:smooth val="1"/>
          <c:extLst>
            <c:ext xmlns:c16="http://schemas.microsoft.com/office/drawing/2014/chart" uri="{C3380CC4-5D6E-409C-BE32-E72D297353CC}">
              <c16:uniqueId val="{00000000-C7CC-4A56-93F1-78E11C1B0D79}"/>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C7CC-4A56-93F1-78E11C1B0D79}"/>
            </c:ext>
          </c:extLst>
        </c:ser>
        <c:dLbls>
          <c:showLegendKey val="0"/>
          <c:showVal val="0"/>
          <c:showCatName val="0"/>
          <c:showSerName val="0"/>
          <c:showPercent val="0"/>
          <c:showBubbleSize val="0"/>
        </c:dLbls>
        <c:axId val="189467264"/>
        <c:axId val="189481728"/>
      </c:scatterChart>
      <c:valAx>
        <c:axId val="189467264"/>
        <c:scaling>
          <c:orientation val="minMax"/>
        </c:scaling>
        <c:delete val="0"/>
        <c:axPos val="b"/>
        <c:title>
          <c:tx>
            <c:strRef>
              <c:f>Graphs!graph_d_x_title</c:f>
              <c:strCache>
                <c:ptCount val="1"/>
                <c:pt idx="0">
                  <c:v>Colour  Bits per input point</c:v>
                </c:pt>
              </c:strCache>
            </c:strRef>
          </c:tx>
          <c:overlay val="0"/>
          <c:txPr>
            <a:bodyPr/>
            <a:lstStyle/>
            <a:p>
              <a:pPr>
                <a:defRPr lang="ja-JP"/>
              </a:pPr>
              <a:endParaRPr lang="en-FR"/>
            </a:p>
          </c:txPr>
        </c:title>
        <c:numFmt formatCode="0.00" sourceLinked="1"/>
        <c:majorTickMark val="out"/>
        <c:minorTickMark val="none"/>
        <c:tickLblPos val="nextTo"/>
        <c:txPr>
          <a:bodyPr/>
          <a:lstStyle/>
          <a:p>
            <a:pPr>
              <a:defRPr lang="ja-JP"/>
            </a:pPr>
            <a:endParaRPr lang="en-FR"/>
          </a:p>
        </c:txPr>
        <c:crossAx val="189481728"/>
        <c:crosses val="autoZero"/>
        <c:crossBetween val="midCat"/>
      </c:valAx>
      <c:valAx>
        <c:axId val="189481728"/>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lang="ja-JP"/>
              </a:pPr>
              <a:endParaRPr lang="en-FR"/>
            </a:p>
          </c:txPr>
        </c:title>
        <c:numFmt formatCode="0.00" sourceLinked="1"/>
        <c:majorTickMark val="out"/>
        <c:minorTickMark val="none"/>
        <c:tickLblPos val="nextTo"/>
        <c:txPr>
          <a:bodyPr/>
          <a:lstStyle/>
          <a:p>
            <a:pPr>
              <a:defRPr lang="ja-JP"/>
            </a:pPr>
            <a:endParaRPr lang="en-FR"/>
          </a:p>
        </c:txPr>
        <c:crossAx val="189467264"/>
        <c:crosses val="autoZero"/>
        <c:crossBetween val="midCat"/>
      </c:valAx>
    </c:plotArea>
    <c:legend>
      <c:legendPos val="b"/>
      <c:overlay val="0"/>
      <c:txPr>
        <a:bodyPr/>
        <a:lstStyle/>
        <a:p>
          <a:pPr>
            <a:defRPr lang="ja-JP"/>
          </a:pPr>
          <a:endParaRPr lang="en-FR"/>
        </a:p>
      </c:txPr>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lang="ja-JP"/>
          </a:pPr>
          <a:endParaRPr lang="en-FR"/>
        </a:p>
      </c:txPr>
    </c:title>
    <c:autoTitleDeleted val="0"/>
    <c:plotArea>
      <c:layout/>
      <c:scatterChart>
        <c:scatterStyle val="smoothMarker"/>
        <c:varyColors val="0"/>
        <c:ser>
          <c:idx val="0"/>
          <c:order val="0"/>
          <c:tx>
            <c:strRef>
              <c:f>Graphs!graph_e_A_title</c:f>
              <c:strCache>
                <c:ptCount val="1"/>
                <c:pt idx="0">
                  <c:v>CTC_master+r220</c:v>
                </c:pt>
              </c:strCache>
            </c:strRef>
          </c:tx>
          <c:spPr>
            <a:ln>
              <a:prstDash val="solid"/>
            </a:ln>
          </c:spPr>
          <c:marker>
            <c:symbol val="none"/>
          </c:marker>
          <c:xVal>
            <c:numRef>
              <c:f>Graphs!graph_e_x_range_A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Graphs!graph_e_y_range_A</c:f>
              <c:numCache>
                <c:formatCode>0.00</c:formatCode>
                <c:ptCount val="5"/>
                <c:pt idx="0">
                  <c:v>43.818030171666699</c:v>
                </c:pt>
                <c:pt idx="1">
                  <c:v>45.243023499333397</c:v>
                </c:pt>
                <c:pt idx="2">
                  <c:v>46.484942232666697</c:v>
                </c:pt>
                <c:pt idx="3">
                  <c:v>47.9984911053334</c:v>
                </c:pt>
                <c:pt idx="4">
                  <c:v>49.580412718333399</c:v>
                </c:pt>
              </c:numCache>
            </c:numRef>
          </c:yVal>
          <c:smooth val="1"/>
          <c:extLst>
            <c:ext xmlns:c16="http://schemas.microsoft.com/office/drawing/2014/chart" uri="{C3380CC4-5D6E-409C-BE32-E72D297353CC}">
              <c16:uniqueId val="{00000000-CC07-429A-A764-D3B5135703AC}"/>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CC07-429A-A764-D3B5135703AC}"/>
            </c:ext>
          </c:extLst>
        </c:ser>
        <c:dLbls>
          <c:showLegendKey val="0"/>
          <c:showVal val="0"/>
          <c:showCatName val="0"/>
          <c:showSerName val="0"/>
          <c:showPercent val="0"/>
          <c:showBubbleSize val="0"/>
        </c:dLbls>
        <c:axId val="189508608"/>
        <c:axId val="189523072"/>
      </c:scatterChart>
      <c:valAx>
        <c:axId val="189508608"/>
        <c:scaling>
          <c:orientation val="minMax"/>
        </c:scaling>
        <c:delete val="0"/>
        <c:axPos val="b"/>
        <c:title>
          <c:tx>
            <c:strRef>
              <c:f>Graphs!graph_e_x_title</c:f>
              <c:strCache>
                <c:ptCount val="1"/>
                <c:pt idx="0">
                  <c:v>Colour  Bits per input point</c:v>
                </c:pt>
              </c:strCache>
            </c:strRef>
          </c:tx>
          <c:overlay val="0"/>
          <c:txPr>
            <a:bodyPr/>
            <a:lstStyle/>
            <a:p>
              <a:pPr>
                <a:defRPr lang="ja-JP"/>
              </a:pPr>
              <a:endParaRPr lang="en-FR"/>
            </a:p>
          </c:txPr>
        </c:title>
        <c:numFmt formatCode="0.00" sourceLinked="1"/>
        <c:majorTickMark val="out"/>
        <c:minorTickMark val="none"/>
        <c:tickLblPos val="nextTo"/>
        <c:txPr>
          <a:bodyPr/>
          <a:lstStyle/>
          <a:p>
            <a:pPr>
              <a:defRPr lang="ja-JP"/>
            </a:pPr>
            <a:endParaRPr lang="en-FR"/>
          </a:p>
        </c:txPr>
        <c:crossAx val="189523072"/>
        <c:crosses val="autoZero"/>
        <c:crossBetween val="midCat"/>
      </c:valAx>
      <c:valAx>
        <c:axId val="18952307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lang="ja-JP"/>
              </a:pPr>
              <a:endParaRPr lang="en-FR"/>
            </a:p>
          </c:txPr>
        </c:title>
        <c:numFmt formatCode="0.00" sourceLinked="1"/>
        <c:majorTickMark val="out"/>
        <c:minorTickMark val="none"/>
        <c:tickLblPos val="nextTo"/>
        <c:txPr>
          <a:bodyPr/>
          <a:lstStyle/>
          <a:p>
            <a:pPr>
              <a:defRPr lang="ja-JP"/>
            </a:pPr>
            <a:endParaRPr lang="en-FR"/>
          </a:p>
        </c:txPr>
        <c:crossAx val="189508608"/>
        <c:crosses val="autoZero"/>
        <c:crossBetween val="midCat"/>
      </c:valAx>
    </c:plotArea>
    <c:legend>
      <c:legendPos val="b"/>
      <c:overlay val="0"/>
      <c:txPr>
        <a:bodyPr/>
        <a:lstStyle/>
        <a:p>
          <a:pPr>
            <a:defRPr lang="ja-JP"/>
          </a:pPr>
          <a:endParaRPr lang="en-FR"/>
        </a:p>
      </c:txPr>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lang="ja-JP"/>
          </a:pPr>
          <a:endParaRPr lang="en-FR"/>
        </a:p>
      </c:txPr>
    </c:title>
    <c:autoTitleDeleted val="0"/>
    <c:plotArea>
      <c:layout/>
      <c:scatterChart>
        <c:scatterStyle val="smoothMarker"/>
        <c:varyColors val="0"/>
        <c:ser>
          <c:idx val="0"/>
          <c:order val="0"/>
          <c:tx>
            <c:strRef>
              <c:f>Graphs!graph_f_A_title</c:f>
              <c:strCache>
                <c:ptCount val="1"/>
                <c:pt idx="0">
                  <c:v>CTC_master+r220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1F73-43AD-9BD0-2D7B16E11D89}"/>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1F73-43AD-9BD0-2D7B16E11D89}"/>
            </c:ext>
          </c:extLst>
        </c:ser>
        <c:dLbls>
          <c:showLegendKey val="0"/>
          <c:showVal val="0"/>
          <c:showCatName val="0"/>
          <c:showSerName val="0"/>
          <c:showPercent val="0"/>
          <c:showBubbleSize val="0"/>
        </c:dLbls>
        <c:axId val="189566336"/>
        <c:axId val="189580800"/>
      </c:scatterChart>
      <c:valAx>
        <c:axId val="189566336"/>
        <c:scaling>
          <c:orientation val="minMax"/>
        </c:scaling>
        <c:delete val="0"/>
        <c:axPos val="b"/>
        <c:title>
          <c:tx>
            <c:strRef>
              <c:f>Graphs!graph_f_x_title</c:f>
              <c:strCache>
                <c:ptCount val="1"/>
                <c:pt idx="0">
                  <c:v>Reflectance Bits per input point</c:v>
                </c:pt>
              </c:strCache>
            </c:strRef>
          </c:tx>
          <c:overlay val="0"/>
          <c:txPr>
            <a:bodyPr/>
            <a:lstStyle/>
            <a:p>
              <a:pPr>
                <a:defRPr lang="ja-JP"/>
              </a:pPr>
              <a:endParaRPr lang="en-FR"/>
            </a:p>
          </c:txPr>
        </c:title>
        <c:numFmt formatCode="General" sourceLinked="1"/>
        <c:majorTickMark val="out"/>
        <c:minorTickMark val="none"/>
        <c:tickLblPos val="nextTo"/>
        <c:txPr>
          <a:bodyPr/>
          <a:lstStyle/>
          <a:p>
            <a:pPr>
              <a:defRPr lang="ja-JP"/>
            </a:pPr>
            <a:endParaRPr lang="en-FR"/>
          </a:p>
        </c:txPr>
        <c:crossAx val="189580800"/>
        <c:crosses val="autoZero"/>
        <c:crossBetween val="midCat"/>
      </c:valAx>
      <c:valAx>
        <c:axId val="189580800"/>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lang="ja-JP"/>
              </a:pPr>
              <a:endParaRPr lang="en-FR"/>
            </a:p>
          </c:txPr>
        </c:title>
        <c:numFmt formatCode="General" sourceLinked="1"/>
        <c:majorTickMark val="out"/>
        <c:minorTickMark val="none"/>
        <c:tickLblPos val="nextTo"/>
        <c:txPr>
          <a:bodyPr/>
          <a:lstStyle/>
          <a:p>
            <a:pPr>
              <a:defRPr lang="ja-JP"/>
            </a:pPr>
            <a:endParaRPr lang="en-FR"/>
          </a:p>
        </c:txPr>
        <c:crossAx val="189566336"/>
        <c:crosses val="autoZero"/>
        <c:crossBetween val="midCat"/>
      </c:valAx>
    </c:plotArea>
    <c:legend>
      <c:legendPos val="b"/>
      <c:overlay val="0"/>
      <c:txPr>
        <a:bodyPr/>
        <a:lstStyle/>
        <a:p>
          <a:pPr>
            <a:defRPr lang="ja-JP"/>
          </a:pPr>
          <a:endParaRPr lang="en-FR"/>
        </a:p>
      </c:txPr>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F18" sqref="F18"/>
    </sheetView>
  </sheetViews>
  <sheetFormatPr baseColWidth="10" defaultColWidth="8.83203125" defaultRowHeight="15" x14ac:dyDescent="0.2"/>
  <cols>
    <col min="2" max="2" width="16.6640625" customWidth="1"/>
    <col min="3" max="12" width="24.6640625" customWidth="1"/>
  </cols>
  <sheetData>
    <row r="1" spans="2:12" x14ac:dyDescent="0.2">
      <c r="B1" t="s">
        <v>0</v>
      </c>
      <c r="C1" s="57" t="s">
        <v>574</v>
      </c>
      <c r="D1" s="58"/>
      <c r="E1" s="58"/>
    </row>
    <row r="2" spans="2:12" x14ac:dyDescent="0.2">
      <c r="B2" t="s">
        <v>1</v>
      </c>
      <c r="C2" s="59"/>
      <c r="D2" s="58"/>
      <c r="E2" s="58"/>
    </row>
    <row r="4" spans="2:12" s="1" customFormat="1" x14ac:dyDescent="0.2">
      <c r="B4" s="1" t="s">
        <v>2</v>
      </c>
    </row>
    <row r="6" spans="2:12" x14ac:dyDescent="0.2">
      <c r="B6" s="60" t="s">
        <v>3</v>
      </c>
      <c r="C6" s="62" t="s">
        <v>4</v>
      </c>
      <c r="D6" s="63"/>
      <c r="E6" s="63"/>
      <c r="F6" s="63"/>
      <c r="G6" s="63"/>
      <c r="H6" s="63"/>
      <c r="I6" s="63"/>
      <c r="J6" s="63"/>
      <c r="K6" s="63"/>
      <c r="L6" s="63"/>
    </row>
    <row r="7" spans="2:12" x14ac:dyDescent="0.2">
      <c r="B7" s="58"/>
      <c r="C7" s="64" t="s">
        <v>5</v>
      </c>
      <c r="D7" s="58"/>
      <c r="E7" s="65" t="s">
        <v>6</v>
      </c>
      <c r="F7" s="58"/>
      <c r="G7" s="58"/>
      <c r="H7" s="64" t="s">
        <v>7</v>
      </c>
      <c r="I7" s="58"/>
      <c r="J7" s="65" t="s">
        <v>8</v>
      </c>
      <c r="K7" s="58"/>
      <c r="L7" s="58"/>
    </row>
    <row r="8" spans="2:12" ht="16" x14ac:dyDescent="0.2">
      <c r="B8" s="61"/>
      <c r="C8" s="2" t="s">
        <v>9</v>
      </c>
      <c r="D8" s="2" t="s">
        <v>10</v>
      </c>
      <c r="E8" s="3" t="s">
        <v>11</v>
      </c>
      <c r="F8" s="3" t="s">
        <v>12</v>
      </c>
      <c r="G8" s="3" t="s">
        <v>13</v>
      </c>
      <c r="H8" s="2" t="s">
        <v>9</v>
      </c>
      <c r="I8" s="2" t="s">
        <v>10</v>
      </c>
      <c r="J8" s="3" t="s">
        <v>11</v>
      </c>
      <c r="K8" s="3" t="s">
        <v>12</v>
      </c>
      <c r="L8" s="3" t="s">
        <v>13</v>
      </c>
    </row>
    <row r="9" spans="2:12" x14ac:dyDescent="0.2">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
      <c r="B13" t="s">
        <v>18</v>
      </c>
      <c r="C13" s="66" t="e">
        <f>'C2 lossyG,lossyA,intra'!AZ47</f>
        <v>#NUM!</v>
      </c>
      <c r="D13" s="58"/>
      <c r="E13" s="58"/>
      <c r="F13" s="58"/>
      <c r="G13" s="58"/>
      <c r="H13" s="58"/>
      <c r="I13" s="58"/>
      <c r="J13" s="58"/>
      <c r="K13" s="58"/>
      <c r="L13" s="58"/>
    </row>
    <row r="14" spans="2:12" x14ac:dyDescent="0.2">
      <c r="B14" s="6" t="s">
        <v>19</v>
      </c>
      <c r="C14" s="67" t="e">
        <f>'C2 lossyG,lossyA,intra'!BB47</f>
        <v>#NUM!</v>
      </c>
      <c r="D14" s="61"/>
      <c r="E14" s="61"/>
      <c r="F14" s="61"/>
      <c r="G14" s="61"/>
      <c r="H14" s="61"/>
      <c r="I14" s="61"/>
      <c r="J14" s="61"/>
      <c r="K14" s="61"/>
      <c r="L14" s="61"/>
    </row>
    <row r="16" spans="2:12" x14ac:dyDescent="0.2">
      <c r="B16" s="60" t="s">
        <v>20</v>
      </c>
      <c r="C16" s="62" t="s">
        <v>21</v>
      </c>
      <c r="D16" s="63"/>
      <c r="E16" s="63"/>
    </row>
    <row r="17" spans="2:5" x14ac:dyDescent="0.2">
      <c r="B17" s="58"/>
      <c r="C17" s="64" t="s">
        <v>22</v>
      </c>
      <c r="D17" s="58"/>
      <c r="E17" s="58"/>
    </row>
    <row r="18" spans="2:5" ht="16" x14ac:dyDescent="0.2">
      <c r="B18" s="61"/>
      <c r="C18" s="2" t="s">
        <v>23</v>
      </c>
      <c r="D18" s="2" t="s">
        <v>24</v>
      </c>
      <c r="E18" s="2" t="s">
        <v>25</v>
      </c>
    </row>
    <row r="19" spans="2:5" x14ac:dyDescent="0.2">
      <c r="B19" t="s">
        <v>14</v>
      </c>
      <c r="C19" s="52" t="e">
        <f>'CW losslG,losslA,intra'!BC12</f>
        <v>#DIV/0!</v>
      </c>
      <c r="D19" s="52" t="e">
        <f>'CW losslG,losslA,intra'!BE12</f>
        <v>#DIV/0!</v>
      </c>
      <c r="E19" s="52" t="e">
        <f>'CW losslG,losslA,intra'!BB12</f>
        <v>#DIV/0!</v>
      </c>
    </row>
    <row r="20" spans="2:5" x14ac:dyDescent="0.2">
      <c r="B20" t="s">
        <v>15</v>
      </c>
      <c r="C20" s="52" t="e">
        <f>'CW losslG,losslA,intra'!BC13</f>
        <v>#DIV/0!</v>
      </c>
      <c r="D20" s="52" t="e">
        <f>'CW losslG,losslA,intra'!BE13</f>
        <v>#DIV/0!</v>
      </c>
      <c r="E20" s="52" t="e">
        <f>'CW losslG,losslA,intra'!BB13</f>
        <v>#DIV/0!</v>
      </c>
    </row>
    <row r="21" spans="2:5" x14ac:dyDescent="0.2">
      <c r="B21" t="s">
        <v>16</v>
      </c>
      <c r="C21" s="52" t="e">
        <f>'CW losslG,losslA,intra'!BC14</f>
        <v>#DIV/0!</v>
      </c>
      <c r="D21" s="52" t="e">
        <f>'CW losslG,losslA,intra'!BE14</f>
        <v>#DIV/0!</v>
      </c>
      <c r="E21" s="52" t="e">
        <f>'CW losslG,losslA,intra'!BB14</f>
        <v>#DIV/0!</v>
      </c>
    </row>
    <row r="22" spans="2:5" x14ac:dyDescent="0.2">
      <c r="B22" s="4" t="s">
        <v>17</v>
      </c>
      <c r="C22" s="5" t="e">
        <f>'CW losslG,losslA,intra'!BC15</f>
        <v>#DIV/0!</v>
      </c>
      <c r="D22" s="5" t="e">
        <f>'CW losslG,losslA,intra'!BE15</f>
        <v>#DIV/0!</v>
      </c>
      <c r="E22" s="5" t="e">
        <f>'CW losslG,losslA,intra'!BB15</f>
        <v>#DIV/0!</v>
      </c>
    </row>
    <row r="23" spans="2:5" x14ac:dyDescent="0.2">
      <c r="B23" t="s">
        <v>18</v>
      </c>
      <c r="C23" s="66" t="e">
        <f>'CW losslG,losslA,intra'!AW19</f>
        <v>#NUM!</v>
      </c>
      <c r="D23" s="58"/>
      <c r="E23" s="58"/>
    </row>
    <row r="24" spans="2:5" x14ac:dyDescent="0.2">
      <c r="B24" s="6" t="s">
        <v>19</v>
      </c>
      <c r="C24" s="67" t="e">
        <f>'CW losslG,losslA,intra'!AY19</f>
        <v>#NUM!</v>
      </c>
      <c r="D24" s="61"/>
      <c r="E24" s="61"/>
    </row>
    <row r="26" spans="2:5" s="1" customFormat="1" x14ac:dyDescent="0.2">
      <c r="B26" s="1" t="s">
        <v>26</v>
      </c>
    </row>
    <row r="28" spans="2:5" x14ac:dyDescent="0.2">
      <c r="B28" s="60" t="s">
        <v>27</v>
      </c>
      <c r="C28" s="62" t="s">
        <v>28</v>
      </c>
      <c r="D28" s="63"/>
      <c r="E28" s="63"/>
    </row>
    <row r="29" spans="2:5" x14ac:dyDescent="0.2">
      <c r="B29" s="58"/>
      <c r="C29" s="64" t="s">
        <v>22</v>
      </c>
      <c r="D29" s="58"/>
      <c r="E29" s="58"/>
    </row>
    <row r="30" spans="2:5" ht="16" x14ac:dyDescent="0.2">
      <c r="B30" s="61"/>
      <c r="C30" s="2" t="s">
        <v>23</v>
      </c>
      <c r="D30" s="2" t="s">
        <v>24</v>
      </c>
      <c r="E30" s="2" t="s">
        <v>25</v>
      </c>
    </row>
    <row r="31" spans="2:5" x14ac:dyDescent="0.2">
      <c r="B31" t="s">
        <v>14</v>
      </c>
      <c r="C31" s="52" t="e">
        <f>'CW losslG,losslA,interLD'!BC12</f>
        <v>#DIV/0!</v>
      </c>
      <c r="D31" s="52" t="e">
        <f>'CW losslG,losslA,interLD'!BE12</f>
        <v>#DIV/0!</v>
      </c>
      <c r="E31" s="52" t="e">
        <f>'CW losslG,losslA,interLD'!BB12</f>
        <v>#DIV/0!</v>
      </c>
    </row>
    <row r="32" spans="2:5" x14ac:dyDescent="0.2">
      <c r="B32" t="s">
        <v>15</v>
      </c>
      <c r="C32" s="52" t="e">
        <f>'CW losslG,losslA,interLD'!BC13</f>
        <v>#DIV/0!</v>
      </c>
      <c r="D32" s="52" t="e">
        <f>'CW losslG,losslA,interLD'!BE13</f>
        <v>#DIV/0!</v>
      </c>
      <c r="E32" s="52" t="e">
        <f>'CW losslG,losslA,interLD'!BB13</f>
        <v>#DIV/0!</v>
      </c>
    </row>
    <row r="33" spans="2:12" x14ac:dyDescent="0.2">
      <c r="B33" t="s">
        <v>16</v>
      </c>
      <c r="C33" s="52" t="e">
        <f>'CW losslG,losslA,interLD'!BC14</f>
        <v>#DIV/0!</v>
      </c>
      <c r="D33" s="52" t="e">
        <f>'CW losslG,losslA,interLD'!BE14</f>
        <v>#DIV/0!</v>
      </c>
      <c r="E33" s="52" t="e">
        <f>'CW losslG,losslA,interLD'!BB14</f>
        <v>#DIV/0!</v>
      </c>
    </row>
    <row r="34" spans="2:12" x14ac:dyDescent="0.2">
      <c r="B34" s="4" t="s">
        <v>17</v>
      </c>
      <c r="C34" s="5" t="e">
        <f>'CW losslG,losslA,interLD'!BC15</f>
        <v>#DIV/0!</v>
      </c>
      <c r="D34" s="5" t="e">
        <f>'CW losslG,losslA,interLD'!BE15</f>
        <v>#DIV/0!</v>
      </c>
      <c r="E34" s="5" t="e">
        <f>'CW losslG,losslA,interLD'!BB15</f>
        <v>#DIV/0!</v>
      </c>
    </row>
    <row r="35" spans="2:12" x14ac:dyDescent="0.2">
      <c r="B35" t="s">
        <v>18</v>
      </c>
      <c r="C35" s="66" t="e">
        <f>'CW losslG,losslA,interLD'!AW19</f>
        <v>#NUM!</v>
      </c>
      <c r="D35" s="58"/>
      <c r="E35" s="58"/>
    </row>
    <row r="36" spans="2:12" x14ac:dyDescent="0.2">
      <c r="B36" s="6" t="s">
        <v>19</v>
      </c>
      <c r="C36" s="67" t="e">
        <f>'CW losslG,losslA,interLD'!AY19</f>
        <v>#NUM!</v>
      </c>
      <c r="D36" s="61"/>
      <c r="E36" s="61"/>
    </row>
    <row r="38" spans="2:12" s="1" customFormat="1" x14ac:dyDescent="0.2">
      <c r="B38" s="1" t="s">
        <v>29</v>
      </c>
    </row>
    <row r="40" spans="2:12" x14ac:dyDescent="0.2">
      <c r="B40" s="60" t="s">
        <v>30</v>
      </c>
      <c r="C40" s="62" t="s">
        <v>31</v>
      </c>
      <c r="D40" s="63"/>
      <c r="E40" s="63"/>
      <c r="F40" s="63"/>
      <c r="G40" s="63"/>
      <c r="H40" s="63"/>
      <c r="I40" s="63"/>
      <c r="J40" s="63"/>
      <c r="K40" s="63"/>
      <c r="L40" s="63"/>
    </row>
    <row r="41" spans="2:12" x14ac:dyDescent="0.2">
      <c r="B41" s="58"/>
      <c r="C41" s="64" t="s">
        <v>5</v>
      </c>
      <c r="D41" s="58"/>
      <c r="E41" s="65" t="s">
        <v>6</v>
      </c>
      <c r="F41" s="58"/>
      <c r="G41" s="58"/>
      <c r="H41" s="64" t="s">
        <v>7</v>
      </c>
      <c r="I41" s="58"/>
      <c r="J41" s="65" t="s">
        <v>8</v>
      </c>
      <c r="K41" s="58"/>
      <c r="L41" s="58"/>
    </row>
    <row r="42" spans="2:12" ht="16" x14ac:dyDescent="0.2">
      <c r="B42" s="61"/>
      <c r="C42" s="2" t="s">
        <v>9</v>
      </c>
      <c r="D42" s="2" t="s">
        <v>10</v>
      </c>
      <c r="E42" s="3" t="s">
        <v>11</v>
      </c>
      <c r="F42" s="3" t="s">
        <v>12</v>
      </c>
      <c r="G42" s="3" t="s">
        <v>13</v>
      </c>
      <c r="H42" s="2" t="s">
        <v>9</v>
      </c>
      <c r="I42" s="2" t="s">
        <v>10</v>
      </c>
      <c r="J42" s="3" t="s">
        <v>11</v>
      </c>
      <c r="K42" s="3" t="s">
        <v>12</v>
      </c>
      <c r="L42" s="3" t="s">
        <v>13</v>
      </c>
    </row>
    <row r="43" spans="2:12" x14ac:dyDescent="0.2">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
      <c r="B47" t="s">
        <v>18</v>
      </c>
      <c r="C47" s="66" t="e">
        <f>'C2 lossyG,lossyA,interRA'!AZ47</f>
        <v>#NUM!</v>
      </c>
      <c r="D47" s="58"/>
      <c r="E47" s="58"/>
      <c r="F47" s="58"/>
      <c r="G47" s="58"/>
      <c r="H47" s="58"/>
      <c r="I47" s="58"/>
      <c r="J47" s="58"/>
      <c r="K47" s="58"/>
      <c r="L47" s="58"/>
    </row>
    <row r="48" spans="2:12" x14ac:dyDescent="0.2">
      <c r="B48" s="6" t="s">
        <v>19</v>
      </c>
      <c r="C48" s="67" t="e">
        <f>'C2 lossyG,lossyA,interRA'!BB47</f>
        <v>#NUM!</v>
      </c>
      <c r="D48" s="61"/>
      <c r="E48" s="61"/>
      <c r="F48" s="61"/>
      <c r="G48" s="61"/>
      <c r="H48" s="61"/>
      <c r="I48" s="61"/>
      <c r="J48" s="61"/>
      <c r="K48" s="61"/>
      <c r="L48" s="61"/>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customWidth="1"/>
    <col min="2" max="2" width="24.6640625" customWidth="1"/>
    <col min="4" max="4" width="24.6640625" customWidth="1"/>
    <col min="9" max="9" width="16.6640625" customWidth="1"/>
  </cols>
  <sheetData>
    <row r="1" spans="1:16" x14ac:dyDescent="0.2">
      <c r="A1" t="s">
        <v>32</v>
      </c>
      <c r="B1" s="7" t="str">
        <f>M1</f>
        <v>C2 lossyG,lossyA,intra</v>
      </c>
      <c r="C1" t="s">
        <v>33</v>
      </c>
      <c r="I1" t="s">
        <v>34</v>
      </c>
      <c r="M1" t="s">
        <v>35</v>
      </c>
      <c r="N1" t="s">
        <v>36</v>
      </c>
      <c r="O1" t="s">
        <v>37</v>
      </c>
      <c r="P1" t="s">
        <v>38</v>
      </c>
    </row>
    <row r="2" spans="1:16" x14ac:dyDescent="0.2">
      <c r="A2" t="s">
        <v>39</v>
      </c>
      <c r="B2" s="7" t="str">
        <f>HLOOKUP(B1,M1:ZZ3,3,0)</f>
        <v>8ivfbv2_loot_vox10</v>
      </c>
      <c r="C2" t="s">
        <v>40</v>
      </c>
      <c r="I2" t="s">
        <v>41</v>
      </c>
      <c r="J2" t="s">
        <v>42</v>
      </c>
      <c r="M2" t="s">
        <v>43</v>
      </c>
      <c r="N2" t="s">
        <v>44</v>
      </c>
      <c r="O2" t="s">
        <v>45</v>
      </c>
      <c r="P2" t="s">
        <v>46</v>
      </c>
    </row>
    <row r="3" spans="1:16" x14ac:dyDescent="0.2">
      <c r="I3" t="s">
        <v>47</v>
      </c>
      <c r="J3" t="s">
        <v>48</v>
      </c>
      <c r="M3" t="s">
        <v>49</v>
      </c>
      <c r="N3" t="s">
        <v>49</v>
      </c>
      <c r="O3" t="s">
        <v>49</v>
      </c>
      <c r="P3" t="s">
        <v>49</v>
      </c>
    </row>
    <row r="4" spans="1:16" x14ac:dyDescent="0.2">
      <c r="A4" t="s">
        <v>50</v>
      </c>
      <c r="B4" s="7" t="s">
        <v>51</v>
      </c>
      <c r="C4" t="s">
        <v>52</v>
      </c>
      <c r="D4" s="7" t="s">
        <v>53</v>
      </c>
      <c r="E4" t="s">
        <v>54</v>
      </c>
      <c r="I4" t="s">
        <v>55</v>
      </c>
      <c r="J4" t="s">
        <v>56</v>
      </c>
      <c r="M4" t="s">
        <v>57</v>
      </c>
      <c r="N4" t="s">
        <v>57</v>
      </c>
      <c r="O4" t="s">
        <v>57</v>
      </c>
      <c r="P4" t="s">
        <v>57</v>
      </c>
    </row>
    <row r="5" spans="1:16" x14ac:dyDescent="0.2">
      <c r="A5" t="s">
        <v>50</v>
      </c>
      <c r="B5" s="7" t="s">
        <v>51</v>
      </c>
      <c r="C5" t="s">
        <v>52</v>
      </c>
      <c r="D5" s="7" t="s">
        <v>58</v>
      </c>
      <c r="E5" t="s">
        <v>59</v>
      </c>
      <c r="I5" t="s">
        <v>60</v>
      </c>
      <c r="J5" t="s">
        <v>61</v>
      </c>
      <c r="M5" t="s">
        <v>62</v>
      </c>
      <c r="N5" t="s">
        <v>62</v>
      </c>
      <c r="O5" t="s">
        <v>62</v>
      </c>
      <c r="P5" t="s">
        <v>62</v>
      </c>
    </row>
    <row r="6" spans="1:16" x14ac:dyDescent="0.2">
      <c r="A6" t="s">
        <v>50</v>
      </c>
      <c r="B6" s="7" t="s">
        <v>63</v>
      </c>
      <c r="C6" t="s">
        <v>52</v>
      </c>
      <c r="D6" s="7" t="s">
        <v>64</v>
      </c>
      <c r="E6" t="s">
        <v>65</v>
      </c>
      <c r="I6" t="s">
        <v>66</v>
      </c>
      <c r="J6" t="s">
        <v>67</v>
      </c>
      <c r="M6" t="s">
        <v>68</v>
      </c>
      <c r="N6" t="s">
        <v>68</v>
      </c>
      <c r="O6" t="s">
        <v>68</v>
      </c>
      <c r="P6" t="s">
        <v>68</v>
      </c>
    </row>
    <row r="7" spans="1:16" x14ac:dyDescent="0.2">
      <c r="A7" t="s">
        <v>50</v>
      </c>
      <c r="B7" s="7" t="s">
        <v>63</v>
      </c>
      <c r="C7" t="s">
        <v>52</v>
      </c>
      <c r="D7" s="7" t="s">
        <v>47</v>
      </c>
      <c r="E7" t="s">
        <v>69</v>
      </c>
      <c r="I7" t="s">
        <v>53</v>
      </c>
      <c r="J7" t="s">
        <v>70</v>
      </c>
      <c r="M7" t="s">
        <v>71</v>
      </c>
      <c r="N7" t="s">
        <v>71</v>
      </c>
      <c r="O7" t="s">
        <v>71</v>
      </c>
      <c r="P7" t="s">
        <v>71</v>
      </c>
    </row>
    <row r="8" spans="1:16" x14ac:dyDescent="0.2">
      <c r="A8" t="s">
        <v>50</v>
      </c>
      <c r="B8" s="7" t="s">
        <v>63</v>
      </c>
      <c r="C8" t="s">
        <v>52</v>
      </c>
      <c r="D8" s="7" t="s">
        <v>60</v>
      </c>
      <c r="E8" t="s">
        <v>72</v>
      </c>
      <c r="I8" t="s">
        <v>73</v>
      </c>
      <c r="J8" t="s">
        <v>74</v>
      </c>
      <c r="M8" t="s">
        <v>75</v>
      </c>
      <c r="N8" t="s">
        <v>75</v>
      </c>
      <c r="O8" t="s">
        <v>75</v>
      </c>
      <c r="P8" t="s">
        <v>75</v>
      </c>
    </row>
    <row r="9" spans="1:16" x14ac:dyDescent="0.2">
      <c r="A9" t="s">
        <v>50</v>
      </c>
      <c r="B9" s="7" t="s">
        <v>76</v>
      </c>
      <c r="C9" t="s">
        <v>52</v>
      </c>
      <c r="D9" s="7" t="s">
        <v>77</v>
      </c>
      <c r="E9" t="s">
        <v>78</v>
      </c>
      <c r="I9" t="s">
        <v>58</v>
      </c>
      <c r="J9" t="s">
        <v>79</v>
      </c>
      <c r="M9" t="s">
        <v>80</v>
      </c>
      <c r="N9" t="s">
        <v>80</v>
      </c>
      <c r="O9" t="s">
        <v>80</v>
      </c>
      <c r="P9" t="s">
        <v>80</v>
      </c>
    </row>
    <row r="10" spans="1:16" x14ac:dyDescent="0.2">
      <c r="I10" t="s">
        <v>81</v>
      </c>
      <c r="J10" t="s">
        <v>82</v>
      </c>
    </row>
    <row r="11" spans="1:16" x14ac:dyDescent="0.2">
      <c r="I11" t="s">
        <v>83</v>
      </c>
      <c r="J11" t="s">
        <v>84</v>
      </c>
    </row>
    <row r="12" spans="1:16" x14ac:dyDescent="0.2">
      <c r="I12" t="s">
        <v>85</v>
      </c>
      <c r="J12" t="s">
        <v>86</v>
      </c>
    </row>
    <row r="13" spans="1:16" x14ac:dyDescent="0.2">
      <c r="I13" t="s">
        <v>87</v>
      </c>
      <c r="J13" t="s">
        <v>88</v>
      </c>
    </row>
    <row r="14" spans="1:16" x14ac:dyDescent="0.2">
      <c r="I14" t="s">
        <v>89</v>
      </c>
      <c r="J14" t="s">
        <v>90</v>
      </c>
    </row>
    <row r="15" spans="1:16" x14ac:dyDescent="0.2">
      <c r="I15" t="s">
        <v>91</v>
      </c>
      <c r="J15" t="s">
        <v>92</v>
      </c>
    </row>
    <row r="16" spans="1:16" x14ac:dyDescent="0.2">
      <c r="I16" t="s">
        <v>93</v>
      </c>
      <c r="J16" t="s">
        <v>94</v>
      </c>
    </row>
    <row r="17" spans="9:10" x14ac:dyDescent="0.2">
      <c r="I17" t="s">
        <v>77</v>
      </c>
      <c r="J17" t="s">
        <v>95</v>
      </c>
    </row>
    <row r="18" spans="9:10" x14ac:dyDescent="0.2">
      <c r="I18" t="s">
        <v>96</v>
      </c>
      <c r="J18" t="s">
        <v>97</v>
      </c>
    </row>
    <row r="19" spans="9:10" x14ac:dyDescent="0.2">
      <c r="I19" t="s">
        <v>98</v>
      </c>
      <c r="J19" t="s">
        <v>99</v>
      </c>
    </row>
    <row r="20" spans="9:10" x14ac:dyDescent="0.2">
      <c r="I20" t="s">
        <v>100</v>
      </c>
      <c r="J20" t="s">
        <v>101</v>
      </c>
    </row>
    <row r="21" spans="9:10" x14ac:dyDescent="0.2">
      <c r="I21" t="s">
        <v>102</v>
      </c>
      <c r="J21" t="s">
        <v>103</v>
      </c>
    </row>
    <row r="22" spans="9:10" x14ac:dyDescent="0.2">
      <c r="I22" t="s">
        <v>64</v>
      </c>
      <c r="J22" t="s">
        <v>104</v>
      </c>
    </row>
    <row r="23" spans="9:10" x14ac:dyDescent="0.2">
      <c r="I23" t="s">
        <v>105</v>
      </c>
      <c r="J23" t="s">
        <v>106</v>
      </c>
    </row>
    <row r="24" spans="9:10" x14ac:dyDescent="0.2">
      <c r="I24" t="s">
        <v>107</v>
      </c>
      <c r="J24" t="s">
        <v>108</v>
      </c>
    </row>
    <row r="25" spans="9:10" x14ac:dyDescent="0.2">
      <c r="I25" t="s">
        <v>109</v>
      </c>
      <c r="J25" t="s">
        <v>110</v>
      </c>
    </row>
    <row r="26" spans="9:10" x14ac:dyDescent="0.2">
      <c r="I26" t="s">
        <v>111</v>
      </c>
      <c r="J26" t="s">
        <v>112</v>
      </c>
    </row>
    <row r="27" spans="9:10" x14ac:dyDescent="0.2">
      <c r="I27" t="s">
        <v>113</v>
      </c>
      <c r="J27" t="s">
        <v>114</v>
      </c>
    </row>
    <row r="28" spans="9:10" x14ac:dyDescent="0.2">
      <c r="I28" t="s">
        <v>115</v>
      </c>
      <c r="J28" t="s">
        <v>116</v>
      </c>
    </row>
    <row r="29" spans="9:10" x14ac:dyDescent="0.2">
      <c r="I29" t="s">
        <v>117</v>
      </c>
      <c r="J29" t="s">
        <v>118</v>
      </c>
    </row>
    <row r="30" spans="9:10" x14ac:dyDescent="0.2">
      <c r="I30" t="s">
        <v>119</v>
      </c>
      <c r="J30" t="s">
        <v>120</v>
      </c>
    </row>
    <row r="31" spans="9:10" x14ac:dyDescent="0.2">
      <c r="I31" t="s">
        <v>121</v>
      </c>
      <c r="J31" t="s">
        <v>122</v>
      </c>
    </row>
    <row r="32" spans="9:10" x14ac:dyDescent="0.2">
      <c r="I32" t="s">
        <v>123</v>
      </c>
      <c r="J32" t="s">
        <v>124</v>
      </c>
    </row>
    <row r="33" spans="9:10" x14ac:dyDescent="0.2">
      <c r="I33" t="s">
        <v>125</v>
      </c>
      <c r="J33" t="s">
        <v>126</v>
      </c>
    </row>
    <row r="34" spans="9:10" x14ac:dyDescent="0.2">
      <c r="I34" t="s">
        <v>127</v>
      </c>
      <c r="J34" t="s">
        <v>128</v>
      </c>
    </row>
    <row r="35" spans="9:10" x14ac:dyDescent="0.2">
      <c r="I35" t="s">
        <v>63</v>
      </c>
      <c r="J35" t="s">
        <v>129</v>
      </c>
    </row>
    <row r="36" spans="9:10" x14ac:dyDescent="0.2">
      <c r="I36" t="s">
        <v>51</v>
      </c>
      <c r="J36" t="s">
        <v>130</v>
      </c>
    </row>
    <row r="37" spans="9:10" x14ac:dyDescent="0.2">
      <c r="I37" t="s">
        <v>131</v>
      </c>
      <c r="J37" t="s">
        <v>132</v>
      </c>
    </row>
    <row r="38" spans="9:10" x14ac:dyDescent="0.2">
      <c r="I38" t="s">
        <v>76</v>
      </c>
      <c r="J38" t="s">
        <v>133</v>
      </c>
    </row>
    <row r="39" spans="9:10" x14ac:dyDescent="0.2">
      <c r="I39" t="s">
        <v>134</v>
      </c>
      <c r="J39" t="s">
        <v>135</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T47"/>
  <sheetViews>
    <sheetView zoomScale="55" zoomScaleNormal="55" workbookViewId="0">
      <pane xSplit="2" ySplit="4" topLeftCell="P5" activePane="bottomRight" state="frozen"/>
      <selection pane="topRight" activeCell="C1" sqref="C1"/>
      <selection pane="bottomLeft" activeCell="A5" sqref="A5"/>
      <selection pane="bottomRight" activeCell="AW87" sqref="AW87"/>
    </sheetView>
  </sheetViews>
  <sheetFormatPr baseColWidth="10" defaultColWidth="8.83203125" defaultRowHeight="15" outlineLevelRow="2" x14ac:dyDescent="0.2"/>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s>
  <sheetData>
    <row r="1" spans="1:72" x14ac:dyDescent="0.2">
      <c r="A1" s="72" t="s">
        <v>136</v>
      </c>
      <c r="B1" s="58"/>
      <c r="C1" s="58"/>
      <c r="D1" s="58"/>
      <c r="E1" s="58"/>
      <c r="F1" s="58"/>
      <c r="G1" s="58"/>
      <c r="I1" s="57" t="str">
        <f>Summary!$C$1</f>
        <v>CTC_master+r220</v>
      </c>
      <c r="J1" s="58"/>
      <c r="K1" s="58"/>
      <c r="L1" s="58"/>
      <c r="M1" s="58"/>
      <c r="N1" s="58"/>
      <c r="O1" s="58"/>
      <c r="P1" s="58"/>
      <c r="Q1" s="58"/>
      <c r="R1" s="58"/>
      <c r="S1" s="58"/>
      <c r="T1" s="58"/>
      <c r="U1" s="58"/>
      <c r="V1" s="58"/>
      <c r="W1" s="58"/>
      <c r="X1" s="58"/>
      <c r="Y1" s="58"/>
      <c r="Z1" s="58"/>
      <c r="AA1" s="58"/>
      <c r="AB1" s="58"/>
      <c r="AC1" s="58"/>
      <c r="AD1" s="58"/>
      <c r="AE1" s="58"/>
      <c r="AG1" s="59">
        <f>Summary!$C$2</f>
        <v>0</v>
      </c>
      <c r="AH1" s="58"/>
      <c r="AI1" s="58"/>
      <c r="AJ1" s="58"/>
      <c r="AK1" s="58"/>
      <c r="AL1" s="58"/>
      <c r="AM1" s="58"/>
      <c r="AN1" s="58"/>
      <c r="AO1" s="58"/>
      <c r="AP1" s="58"/>
      <c r="AQ1" s="58"/>
      <c r="AR1" s="58"/>
      <c r="AS1" s="58"/>
      <c r="AT1" s="58"/>
      <c r="AU1" s="58"/>
      <c r="AV1" s="58"/>
      <c r="AW1" s="58"/>
      <c r="AX1" s="58"/>
      <c r="AY1" s="58"/>
      <c r="AZ1" s="58"/>
      <c r="BA1" s="58"/>
      <c r="BB1" s="58"/>
      <c r="BC1" s="58"/>
    </row>
    <row r="2" spans="1:72" ht="30" customHeight="1" x14ac:dyDescent="0.2">
      <c r="A2" s="68" t="s">
        <v>137</v>
      </c>
      <c r="B2" s="69" t="s">
        <v>138</v>
      </c>
      <c r="C2" s="68" t="s">
        <v>139</v>
      </c>
      <c r="D2" s="69" t="s">
        <v>140</v>
      </c>
      <c r="E2" s="68" t="s">
        <v>141</v>
      </c>
      <c r="F2" s="69" t="s">
        <v>142</v>
      </c>
      <c r="G2" s="68" t="s">
        <v>143</v>
      </c>
      <c r="I2" s="69" t="s">
        <v>144</v>
      </c>
      <c r="J2" s="70" t="s">
        <v>145</v>
      </c>
      <c r="K2" s="58"/>
      <c r="L2" s="58"/>
      <c r="M2" s="58"/>
      <c r="N2" s="68" t="s">
        <v>146</v>
      </c>
      <c r="O2" s="69" t="s">
        <v>147</v>
      </c>
      <c r="P2" s="68" t="s">
        <v>84</v>
      </c>
      <c r="Q2" s="69" t="s">
        <v>86</v>
      </c>
      <c r="R2" s="68" t="s">
        <v>82</v>
      </c>
      <c r="S2" s="71" t="s">
        <v>148</v>
      </c>
      <c r="T2" s="58"/>
      <c r="U2" s="58"/>
      <c r="V2" s="58"/>
      <c r="W2" s="70" t="s">
        <v>149</v>
      </c>
      <c r="X2" s="58"/>
      <c r="Y2" s="71" t="s">
        <v>150</v>
      </c>
      <c r="Z2" s="58"/>
      <c r="AA2" s="58"/>
      <c r="AB2" s="70" t="s">
        <v>151</v>
      </c>
      <c r="AC2" s="58"/>
      <c r="AD2" s="71" t="s">
        <v>152</v>
      </c>
      <c r="AE2" s="58"/>
      <c r="AG2" s="68" t="s">
        <v>144</v>
      </c>
      <c r="AH2" s="71" t="s">
        <v>145</v>
      </c>
      <c r="AI2" s="58"/>
      <c r="AJ2" s="58"/>
      <c r="AK2" s="58"/>
      <c r="AL2" s="69" t="s">
        <v>153</v>
      </c>
      <c r="AM2" s="68" t="s">
        <v>147</v>
      </c>
      <c r="AN2" s="69" t="s">
        <v>84</v>
      </c>
      <c r="AO2" s="68" t="s">
        <v>86</v>
      </c>
      <c r="AP2" s="69" t="s">
        <v>82</v>
      </c>
      <c r="AQ2" s="70" t="s">
        <v>148</v>
      </c>
      <c r="AR2" s="58"/>
      <c r="AS2" s="58"/>
      <c r="AT2" s="58"/>
      <c r="AU2" s="71" t="s">
        <v>149</v>
      </c>
      <c r="AV2" s="58"/>
      <c r="AW2" s="70" t="s">
        <v>150</v>
      </c>
      <c r="AX2" s="58"/>
      <c r="AY2" s="58"/>
      <c r="AZ2" s="71" t="s">
        <v>151</v>
      </c>
      <c r="BA2" s="58"/>
      <c r="BB2" s="70" t="s">
        <v>152</v>
      </c>
      <c r="BC2" s="58"/>
      <c r="BE2" s="69" t="s">
        <v>154</v>
      </c>
      <c r="BF2" s="68" t="s">
        <v>155</v>
      </c>
      <c r="BG2" s="69" t="s">
        <v>156</v>
      </c>
      <c r="BH2" s="68" t="s">
        <v>156</v>
      </c>
      <c r="BJ2" s="71" t="s">
        <v>5</v>
      </c>
      <c r="BK2" s="58"/>
      <c r="BL2" s="70" t="s">
        <v>6</v>
      </c>
      <c r="BM2" s="58"/>
      <c r="BN2" s="58"/>
      <c r="BP2" s="71" t="s">
        <v>7</v>
      </c>
      <c r="BQ2" s="58"/>
      <c r="BR2" s="70" t="s">
        <v>8</v>
      </c>
      <c r="BS2" s="58"/>
      <c r="BT2" s="58"/>
    </row>
    <row r="3" spans="1:72" ht="17" thickBot="1" x14ac:dyDescent="0.25">
      <c r="A3" s="61"/>
      <c r="B3" s="61"/>
      <c r="C3" s="61"/>
      <c r="D3" s="61"/>
      <c r="E3" s="61"/>
      <c r="F3" s="61"/>
      <c r="G3" s="61"/>
      <c r="I3" s="61"/>
      <c r="J3" s="55" t="s">
        <v>25</v>
      </c>
      <c r="K3" s="55" t="s">
        <v>23</v>
      </c>
      <c r="L3" s="55" t="s">
        <v>157</v>
      </c>
      <c r="M3" s="55" t="s">
        <v>158</v>
      </c>
      <c r="N3" s="61"/>
      <c r="O3" s="61"/>
      <c r="P3" s="61"/>
      <c r="Q3" s="61"/>
      <c r="R3" s="61"/>
      <c r="S3" s="56" t="s">
        <v>25</v>
      </c>
      <c r="T3" s="56" t="s">
        <v>157</v>
      </c>
      <c r="U3" s="56" t="s">
        <v>159</v>
      </c>
      <c r="V3" s="56" t="s">
        <v>24</v>
      </c>
      <c r="W3" s="55" t="s">
        <v>9</v>
      </c>
      <c r="X3" s="55" t="s">
        <v>10</v>
      </c>
      <c r="Y3" s="56" t="s">
        <v>11</v>
      </c>
      <c r="Z3" s="56" t="s">
        <v>12</v>
      </c>
      <c r="AA3" s="56" t="s">
        <v>13</v>
      </c>
      <c r="AB3" s="55" t="s">
        <v>160</v>
      </c>
      <c r="AC3" s="55" t="s">
        <v>161</v>
      </c>
      <c r="AD3" s="56" t="s">
        <v>160</v>
      </c>
      <c r="AE3" s="56" t="s">
        <v>161</v>
      </c>
      <c r="AG3" s="61"/>
      <c r="AH3" s="56" t="s">
        <v>25</v>
      </c>
      <c r="AI3" s="56" t="s">
        <v>23</v>
      </c>
      <c r="AJ3" s="56" t="s">
        <v>157</v>
      </c>
      <c r="AK3" s="56" t="s">
        <v>158</v>
      </c>
      <c r="AL3" s="61"/>
      <c r="AM3" s="61"/>
      <c r="AN3" s="61"/>
      <c r="AO3" s="61"/>
      <c r="AP3" s="61"/>
      <c r="AQ3" s="55" t="s">
        <v>25</v>
      </c>
      <c r="AR3" s="55" t="s">
        <v>157</v>
      </c>
      <c r="AS3" s="55" t="s">
        <v>159</v>
      </c>
      <c r="AT3" s="55" t="s">
        <v>24</v>
      </c>
      <c r="AU3" s="56" t="s">
        <v>9</v>
      </c>
      <c r="AV3" s="56" t="s">
        <v>10</v>
      </c>
      <c r="AW3" s="55" t="s">
        <v>11</v>
      </c>
      <c r="AX3" s="55" t="s">
        <v>12</v>
      </c>
      <c r="AY3" s="55" t="s">
        <v>13</v>
      </c>
      <c r="AZ3" s="56" t="s">
        <v>160</v>
      </c>
      <c r="BA3" s="56" t="s">
        <v>161</v>
      </c>
      <c r="BB3" s="55" t="s">
        <v>160</v>
      </c>
      <c r="BC3" s="55" t="s">
        <v>161</v>
      </c>
      <c r="BE3" s="61"/>
      <c r="BF3" s="61"/>
      <c r="BG3" s="61"/>
      <c r="BH3" s="61"/>
      <c r="BJ3" s="56" t="s">
        <v>9</v>
      </c>
      <c r="BK3" s="56" t="s">
        <v>10</v>
      </c>
      <c r="BL3" s="55" t="s">
        <v>11</v>
      </c>
      <c r="BM3" s="55" t="s">
        <v>12</v>
      </c>
      <c r="BN3" s="55" t="s">
        <v>13</v>
      </c>
      <c r="BP3" s="56" t="s">
        <v>9</v>
      </c>
      <c r="BQ3" s="56" t="s">
        <v>10</v>
      </c>
      <c r="BR3" s="55" t="s">
        <v>11</v>
      </c>
      <c r="BS3" s="55" t="s">
        <v>12</v>
      </c>
      <c r="BT3" s="55" t="s">
        <v>13</v>
      </c>
    </row>
    <row r="4" spans="1:72" ht="123" hidden="1" customHeight="1" x14ac:dyDescent="0.2">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
      <c r="A5" s="53" t="s">
        <v>229</v>
      </c>
      <c r="B5" s="53" t="s">
        <v>49</v>
      </c>
      <c r="C5" s="10" t="s">
        <v>230</v>
      </c>
      <c r="D5" s="53">
        <v>238146391</v>
      </c>
      <c r="E5" s="10">
        <v>10</v>
      </c>
      <c r="F5" s="10">
        <v>300</v>
      </c>
      <c r="G5" s="10">
        <v>30</v>
      </c>
      <c r="I5" s="11">
        <f t="shared" ref="I5:I39" si="0">IF(OR(ISBLANK(S5),ISBLANK(G5)),"·",S5*G5/F5/1000000)</f>
        <v>2.2793136000000001</v>
      </c>
      <c r="J5" s="12">
        <f t="shared" ref="J5:J39" si="1">IF(ISBLANK(S5),"·",S5/D5)</f>
        <v>9.5710608522301732E-2</v>
      </c>
      <c r="K5" s="12">
        <f t="shared" ref="K5:K39" si="2">IF(N5="","·",N5/D5)</f>
        <v>6.1270044608822141E-2</v>
      </c>
      <c r="L5" s="12">
        <f t="shared" ref="L5:L39" si="3">IF(T5="","·",T5/D5)</f>
        <v>3.463771995604166E-2</v>
      </c>
      <c r="M5" s="12">
        <f t="shared" ref="M5:M39" si="4">IF(ISBLANK(V5),"·",V5/D5)</f>
        <v>3.4440563913479584E-2</v>
      </c>
      <c r="N5" s="53">
        <f t="shared" ref="N5:N39" si="5">IF(OR(ISBLANK(T5),ISBLANK(U5)),"",T5+U5)</f>
        <v>14591240</v>
      </c>
      <c r="O5" s="12">
        <v>-12</v>
      </c>
      <c r="P5" s="13">
        <v>210239817</v>
      </c>
      <c r="Q5" s="13">
        <v>700799.39</v>
      </c>
      <c r="R5" s="13">
        <v>14454.6266666667</v>
      </c>
      <c r="S5" s="14">
        <v>22793136</v>
      </c>
      <c r="T5" s="14">
        <v>8248848</v>
      </c>
      <c r="U5" s="14">
        <v>6342392</v>
      </c>
      <c r="V5" s="14">
        <v>8201896</v>
      </c>
      <c r="W5" s="15">
        <v>66.310022532333306</v>
      </c>
      <c r="X5" s="15">
        <v>68.377397420666696</v>
      </c>
      <c r="Y5" s="15">
        <v>32.325257400666601</v>
      </c>
      <c r="Z5" s="15">
        <v>44.156720731333301</v>
      </c>
      <c r="AA5" s="15">
        <v>43.818030171666699</v>
      </c>
      <c r="AB5" s="16">
        <v>25213.771000000001</v>
      </c>
      <c r="AC5" s="16">
        <v>0</v>
      </c>
      <c r="AD5" s="16">
        <v>683.51800000000003</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3"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
      <c r="A6" s="18"/>
      <c r="B6" s="18" t="s">
        <v>49</v>
      </c>
      <c r="C6" s="19" t="s">
        <v>231</v>
      </c>
      <c r="D6" s="18">
        <v>238146391</v>
      </c>
      <c r="E6" s="19">
        <v>10</v>
      </c>
      <c r="F6" s="19">
        <v>300</v>
      </c>
      <c r="G6" s="19">
        <v>30</v>
      </c>
      <c r="I6" s="20">
        <f t="shared" si="0"/>
        <v>3.4875872000000001</v>
      </c>
      <c r="J6" s="21">
        <f t="shared" si="1"/>
        <v>0.14644719936150533</v>
      </c>
      <c r="K6" s="21">
        <f t="shared" si="2"/>
        <v>7.4609537122903538E-2</v>
      </c>
      <c r="L6" s="21">
        <f t="shared" si="3"/>
        <v>4.797721247012305E-2</v>
      </c>
      <c r="M6" s="21">
        <f t="shared" si="4"/>
        <v>7.1837662238601802E-2</v>
      </c>
      <c r="N6" s="18">
        <f t="shared" si="5"/>
        <v>17767992</v>
      </c>
      <c r="O6" s="21">
        <v>-12</v>
      </c>
      <c r="P6" s="22">
        <v>230728902</v>
      </c>
      <c r="Q6" s="22">
        <v>769096.34</v>
      </c>
      <c r="R6" s="22">
        <v>19629.386666666702</v>
      </c>
      <c r="S6" s="23">
        <v>34875872</v>
      </c>
      <c r="T6" s="23">
        <v>11425600</v>
      </c>
      <c r="U6" s="23">
        <v>6342392</v>
      </c>
      <c r="V6" s="23">
        <v>17107880</v>
      </c>
      <c r="W6" s="24">
        <v>68.156284048000003</v>
      </c>
      <c r="X6" s="24">
        <v>70.311284293333401</v>
      </c>
      <c r="Y6" s="24">
        <v>34.599118414333297</v>
      </c>
      <c r="Z6" s="24">
        <v>45.468920281333297</v>
      </c>
      <c r="AA6" s="24">
        <v>45.243023499333397</v>
      </c>
      <c r="AB6" s="25">
        <v>26161.468000000001</v>
      </c>
      <c r="AC6" s="25">
        <v>0</v>
      </c>
      <c r="AD6" s="25">
        <v>723.62</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
      <c r="A7" s="53"/>
      <c r="B7" s="53" t="s">
        <v>49</v>
      </c>
      <c r="C7" s="10" t="s">
        <v>232</v>
      </c>
      <c r="D7" s="53">
        <v>238146391</v>
      </c>
      <c r="E7" s="10">
        <v>10</v>
      </c>
      <c r="F7" s="10">
        <v>300</v>
      </c>
      <c r="G7" s="10">
        <v>30</v>
      </c>
      <c r="I7" s="11">
        <f t="shared" si="0"/>
        <v>5.6296568000000002</v>
      </c>
      <c r="J7" s="12">
        <f t="shared" si="1"/>
        <v>0.23639479802152449</v>
      </c>
      <c r="K7" s="12">
        <f t="shared" si="2"/>
        <v>9.3983334813585312E-2</v>
      </c>
      <c r="L7" s="12">
        <f t="shared" si="3"/>
        <v>6.7351010160804831E-2</v>
      </c>
      <c r="M7" s="12">
        <f t="shared" si="4"/>
        <v>0.14241146320793918</v>
      </c>
      <c r="N7" s="53">
        <f t="shared" si="5"/>
        <v>22381792</v>
      </c>
      <c r="O7" s="12">
        <v>-12</v>
      </c>
      <c r="P7" s="13">
        <v>236162831</v>
      </c>
      <c r="Q7" s="13">
        <v>787209.436666667</v>
      </c>
      <c r="R7" s="13">
        <v>21576.880000000001</v>
      </c>
      <c r="S7" s="14">
        <v>56296568</v>
      </c>
      <c r="T7" s="14">
        <v>16039400</v>
      </c>
      <c r="U7" s="14">
        <v>6342392</v>
      </c>
      <c r="V7" s="14">
        <v>33914776</v>
      </c>
      <c r="W7" s="15">
        <v>69.562777475333405</v>
      </c>
      <c r="X7" s="15">
        <v>72.001827504999895</v>
      </c>
      <c r="Y7" s="15">
        <v>37.138458731333301</v>
      </c>
      <c r="Z7" s="15">
        <v>46.573172831333302</v>
      </c>
      <c r="AA7" s="15">
        <v>46.484942232666697</v>
      </c>
      <c r="AB7" s="16">
        <v>26715.077000000001</v>
      </c>
      <c r="AC7" s="16">
        <v>0</v>
      </c>
      <c r="AD7" s="16">
        <v>732.01</v>
      </c>
      <c r="AE7" s="16">
        <v>0</v>
      </c>
      <c r="AG7" s="11" t="str">
        <f t="shared" si="6"/>
        <v>·</v>
      </c>
      <c r="AH7" s="12" t="str">
        <f t="shared" si="7"/>
        <v>·</v>
      </c>
      <c r="AI7" s="12" t="str">
        <f t="shared" si="8"/>
        <v>·</v>
      </c>
      <c r="AJ7" s="12" t="str">
        <f t="shared" si="9"/>
        <v>·</v>
      </c>
      <c r="AK7" s="12" t="str">
        <f t="shared" si="10"/>
        <v>·</v>
      </c>
      <c r="AL7" s="53"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
      <c r="A8" s="18"/>
      <c r="B8" s="18" t="s">
        <v>49</v>
      </c>
      <c r="C8" s="19" t="s">
        <v>233</v>
      </c>
      <c r="D8" s="18">
        <v>238146391</v>
      </c>
      <c r="E8" s="19">
        <v>10</v>
      </c>
      <c r="F8" s="19">
        <v>300</v>
      </c>
      <c r="G8" s="19">
        <v>30</v>
      </c>
      <c r="I8" s="20">
        <f t="shared" si="0"/>
        <v>9.4201815999999994</v>
      </c>
      <c r="J8" s="21">
        <f t="shared" si="1"/>
        <v>0.39556264365140009</v>
      </c>
      <c r="K8" s="21">
        <f t="shared" si="2"/>
        <v>0.1268954607000532</v>
      </c>
      <c r="L8" s="21">
        <f t="shared" si="3"/>
        <v>0.1002631360472727</v>
      </c>
      <c r="M8" s="21">
        <f t="shared" si="4"/>
        <v>0.26866718295134695</v>
      </c>
      <c r="N8" s="18">
        <f t="shared" si="5"/>
        <v>30219696</v>
      </c>
      <c r="O8" s="21">
        <v>-12</v>
      </c>
      <c r="P8" s="22">
        <v>245560197</v>
      </c>
      <c r="Q8" s="22">
        <v>818533.99</v>
      </c>
      <c r="R8" s="22">
        <v>24834.94</v>
      </c>
      <c r="S8" s="23">
        <v>94201816</v>
      </c>
      <c r="T8" s="23">
        <v>23877304</v>
      </c>
      <c r="U8" s="23">
        <v>6342392</v>
      </c>
      <c r="V8" s="23">
        <v>63982120</v>
      </c>
      <c r="W8" s="24">
        <v>70.706428921333298</v>
      </c>
      <c r="X8" s="24">
        <v>73.2843660843333</v>
      </c>
      <c r="Y8" s="24">
        <v>39.743431330333301</v>
      </c>
      <c r="Z8" s="24">
        <v>47.915922339333299</v>
      </c>
      <c r="AA8" s="24">
        <v>47.9984911053334</v>
      </c>
      <c r="AB8" s="25">
        <v>28186.797999999999</v>
      </c>
      <c r="AC8" s="25">
        <v>0</v>
      </c>
      <c r="AD8" s="25">
        <v>775.56200000000001</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ht="16" outlineLevel="1" thickBot="1" x14ac:dyDescent="0.25">
      <c r="A9" s="53"/>
      <c r="B9" s="27" t="s">
        <v>49</v>
      </c>
      <c r="C9" s="28" t="s">
        <v>234</v>
      </c>
      <c r="D9" s="27">
        <v>238146391</v>
      </c>
      <c r="E9" s="28">
        <v>10</v>
      </c>
      <c r="F9" s="28">
        <v>300</v>
      </c>
      <c r="G9" s="28">
        <v>30</v>
      </c>
      <c r="I9" s="29">
        <f t="shared" si="0"/>
        <v>16.678706399999999</v>
      </c>
      <c r="J9" s="30">
        <f t="shared" si="1"/>
        <v>0.70035520294741738</v>
      </c>
      <c r="K9" s="30">
        <f t="shared" si="2"/>
        <v>0.20649490338066892</v>
      </c>
      <c r="L9" s="30">
        <f t="shared" si="3"/>
        <v>0.15537505248189967</v>
      </c>
      <c r="M9" s="30">
        <f t="shared" si="4"/>
        <v>0.49386029956674843</v>
      </c>
      <c r="N9" s="27">
        <f t="shared" si="5"/>
        <v>49176016</v>
      </c>
      <c r="O9" s="30">
        <v>-12</v>
      </c>
      <c r="P9" s="31">
        <v>236237060</v>
      </c>
      <c r="Q9" s="31">
        <v>787456.86666666705</v>
      </c>
      <c r="R9" s="31">
        <v>10916.106666666699</v>
      </c>
      <c r="S9" s="32">
        <v>166787064</v>
      </c>
      <c r="T9" s="32">
        <v>37002008</v>
      </c>
      <c r="U9" s="32">
        <v>12174008</v>
      </c>
      <c r="V9" s="32">
        <v>117611048</v>
      </c>
      <c r="W9" s="33">
        <v>71.790262054999999</v>
      </c>
      <c r="X9" s="33">
        <v>75.226133357333396</v>
      </c>
      <c r="Y9" s="33">
        <v>42.256806994000002</v>
      </c>
      <c r="Z9" s="33">
        <v>49.430838954666697</v>
      </c>
      <c r="AA9" s="33">
        <v>49.580412718333399</v>
      </c>
      <c r="AB9" s="34">
        <v>30946.472000000002</v>
      </c>
      <c r="AC9" s="34">
        <v>0</v>
      </c>
      <c r="AD9" s="34">
        <v>748.81600000000003</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
      <c r="A10" s="18"/>
      <c r="B10" s="18" t="s">
        <v>57</v>
      </c>
      <c r="C10" s="19" t="s">
        <v>230</v>
      </c>
      <c r="D10" s="18">
        <v>218121242</v>
      </c>
      <c r="E10" s="19">
        <v>10</v>
      </c>
      <c r="F10" s="19">
        <v>300</v>
      </c>
      <c r="G10" s="19">
        <v>30</v>
      </c>
      <c r="I10" s="20">
        <f t="shared" si="0"/>
        <v>3.3951647999999999</v>
      </c>
      <c r="J10" s="21">
        <f t="shared" si="1"/>
        <v>0.15565493616618964</v>
      </c>
      <c r="K10" s="21">
        <f t="shared" si="2"/>
        <v>8.2035293013781763E-2</v>
      </c>
      <c r="L10" s="21">
        <f t="shared" si="3"/>
        <v>4.3125740133095336E-2</v>
      </c>
      <c r="M10" s="21">
        <f t="shared" si="4"/>
        <v>7.3619643152407876E-2</v>
      </c>
      <c r="N10" s="18">
        <f t="shared" si="5"/>
        <v>17893640</v>
      </c>
      <c r="O10" s="21">
        <v>-12</v>
      </c>
      <c r="P10" s="22">
        <v>199410189</v>
      </c>
      <c r="Q10" s="22">
        <v>664700.63</v>
      </c>
      <c r="R10" s="22">
        <v>19506.6466666667</v>
      </c>
      <c r="S10" s="23">
        <v>33951648</v>
      </c>
      <c r="T10" s="23">
        <v>9406640</v>
      </c>
      <c r="U10" s="23">
        <v>8487000</v>
      </c>
      <c r="V10" s="23">
        <v>16058008</v>
      </c>
      <c r="W10" s="24">
        <v>65.806776869999894</v>
      </c>
      <c r="X10" s="24">
        <v>67.681220811333404</v>
      </c>
      <c r="Y10" s="24">
        <v>32.285028536666701</v>
      </c>
      <c r="Z10" s="24">
        <v>39.16621044</v>
      </c>
      <c r="AA10" s="24">
        <v>31.987366411</v>
      </c>
      <c r="AB10" s="25">
        <v>25597.704000000002</v>
      </c>
      <c r="AC10" s="25">
        <v>0</v>
      </c>
      <c r="AD10" s="25">
        <v>672.7</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
      <c r="A11" s="53"/>
      <c r="B11" s="53" t="s">
        <v>57</v>
      </c>
      <c r="C11" s="10" t="s">
        <v>231</v>
      </c>
      <c r="D11" s="53">
        <v>218121242</v>
      </c>
      <c r="E11" s="10">
        <v>10</v>
      </c>
      <c r="F11" s="10">
        <v>300</v>
      </c>
      <c r="G11" s="10">
        <v>30</v>
      </c>
      <c r="I11" s="11">
        <f t="shared" si="0"/>
        <v>4.8941600000000003</v>
      </c>
      <c r="J11" s="12">
        <f t="shared" si="1"/>
        <v>0.22437796315133765</v>
      </c>
      <c r="K11" s="12">
        <f t="shared" si="2"/>
        <v>9.9972436430560946E-2</v>
      </c>
      <c r="L11" s="12">
        <f t="shared" si="3"/>
        <v>6.1062883549874526E-2</v>
      </c>
      <c r="M11" s="12">
        <f t="shared" si="4"/>
        <v>0.12440552672077669</v>
      </c>
      <c r="N11" s="53">
        <f t="shared" si="5"/>
        <v>21806112</v>
      </c>
      <c r="O11" s="12">
        <v>-12</v>
      </c>
      <c r="P11" s="13">
        <v>213502745</v>
      </c>
      <c r="Q11" s="13">
        <v>711675.816666667</v>
      </c>
      <c r="R11" s="13">
        <v>24850.633333333299</v>
      </c>
      <c r="S11" s="14">
        <v>48941600</v>
      </c>
      <c r="T11" s="14">
        <v>13319112</v>
      </c>
      <c r="U11" s="14">
        <v>8487000</v>
      </c>
      <c r="V11" s="14">
        <v>27135488</v>
      </c>
      <c r="W11" s="15">
        <v>67.519887022000006</v>
      </c>
      <c r="X11" s="15">
        <v>69.566592010333295</v>
      </c>
      <c r="Y11" s="15">
        <v>34.112534878666601</v>
      </c>
      <c r="Z11" s="15">
        <v>40.015893315666702</v>
      </c>
      <c r="AA11" s="15">
        <v>33.742780062666696</v>
      </c>
      <c r="AB11" s="16">
        <v>26454.766</v>
      </c>
      <c r="AC11" s="16">
        <v>0</v>
      </c>
      <c r="AD11" s="16">
        <v>711.16099999999994</v>
      </c>
      <c r="AE11" s="16">
        <v>0</v>
      </c>
      <c r="AG11" s="11" t="str">
        <f t="shared" si="6"/>
        <v>·</v>
      </c>
      <c r="AH11" s="12" t="str">
        <f t="shared" si="7"/>
        <v>·</v>
      </c>
      <c r="AI11" s="12" t="str">
        <f t="shared" si="8"/>
        <v>·</v>
      </c>
      <c r="AJ11" s="12" t="str">
        <f t="shared" si="9"/>
        <v>·</v>
      </c>
      <c r="AK11" s="12" t="str">
        <f t="shared" si="10"/>
        <v>·</v>
      </c>
      <c r="AL11" s="53"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
      <c r="A12" s="18"/>
      <c r="B12" s="18" t="s">
        <v>57</v>
      </c>
      <c r="C12" s="19" t="s">
        <v>232</v>
      </c>
      <c r="D12" s="18">
        <v>218121242</v>
      </c>
      <c r="E12" s="19">
        <v>10</v>
      </c>
      <c r="F12" s="19">
        <v>300</v>
      </c>
      <c r="G12" s="19">
        <v>30</v>
      </c>
      <c r="I12" s="20">
        <f t="shared" si="0"/>
        <v>7.5613511999999998</v>
      </c>
      <c r="J12" s="21">
        <f t="shared" si="1"/>
        <v>0.34665817646499558</v>
      </c>
      <c r="K12" s="21">
        <f t="shared" si="2"/>
        <v>0.12743800532733074</v>
      </c>
      <c r="L12" s="21">
        <f t="shared" si="3"/>
        <v>8.8528452446644326E-2</v>
      </c>
      <c r="M12" s="21">
        <f t="shared" si="4"/>
        <v>0.21922017113766482</v>
      </c>
      <c r="N12" s="18">
        <f t="shared" si="5"/>
        <v>27796936</v>
      </c>
      <c r="O12" s="21">
        <v>-12</v>
      </c>
      <c r="P12" s="22">
        <v>217188193</v>
      </c>
      <c r="Q12" s="22">
        <v>723960.64333333296</v>
      </c>
      <c r="R12" s="22">
        <v>26570.6733333333</v>
      </c>
      <c r="S12" s="23">
        <v>75613512</v>
      </c>
      <c r="T12" s="23">
        <v>19309936</v>
      </c>
      <c r="U12" s="23">
        <v>8487000</v>
      </c>
      <c r="V12" s="23">
        <v>47816576</v>
      </c>
      <c r="W12" s="24">
        <v>68.867549660666697</v>
      </c>
      <c r="X12" s="24">
        <v>71.221511520333294</v>
      </c>
      <c r="Y12" s="24">
        <v>36.1969827606667</v>
      </c>
      <c r="Z12" s="24">
        <v>40.909952129333298</v>
      </c>
      <c r="AA12" s="24">
        <v>35.495705926333301</v>
      </c>
      <c r="AB12" s="25">
        <v>27257.187000000002</v>
      </c>
      <c r="AC12" s="25">
        <v>0</v>
      </c>
      <c r="AD12" s="25">
        <v>707.33500000000004</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
      <c r="A13" s="53"/>
      <c r="B13" s="53" t="s">
        <v>57</v>
      </c>
      <c r="C13" s="10" t="s">
        <v>233</v>
      </c>
      <c r="D13" s="53">
        <v>218121242</v>
      </c>
      <c r="E13" s="10">
        <v>10</v>
      </c>
      <c r="F13" s="10">
        <v>300</v>
      </c>
      <c r="G13" s="10">
        <v>30</v>
      </c>
      <c r="I13" s="11">
        <f t="shared" si="0"/>
        <v>12.772632</v>
      </c>
      <c r="J13" s="12">
        <f t="shared" si="1"/>
        <v>0.58557487949752274</v>
      </c>
      <c r="K13" s="12">
        <f t="shared" si="2"/>
        <v>0.17522636332686936</v>
      </c>
      <c r="L13" s="12">
        <f t="shared" si="3"/>
        <v>0.13631681044618296</v>
      </c>
      <c r="M13" s="12">
        <f t="shared" si="4"/>
        <v>0.41034851617065338</v>
      </c>
      <c r="N13" s="53">
        <f t="shared" si="5"/>
        <v>38220592</v>
      </c>
      <c r="O13" s="12">
        <v>-12</v>
      </c>
      <c r="P13" s="13">
        <v>224895114</v>
      </c>
      <c r="Q13" s="13">
        <v>749650.38</v>
      </c>
      <c r="R13" s="13">
        <v>30070.29</v>
      </c>
      <c r="S13" s="14">
        <v>127726320</v>
      </c>
      <c r="T13" s="14">
        <v>29733592</v>
      </c>
      <c r="U13" s="14">
        <v>8487000</v>
      </c>
      <c r="V13" s="14">
        <v>89505728</v>
      </c>
      <c r="W13" s="15">
        <v>69.952202936000006</v>
      </c>
      <c r="X13" s="15">
        <v>72.486851896999994</v>
      </c>
      <c r="Y13" s="15">
        <v>38.516730946000003</v>
      </c>
      <c r="Z13" s="15">
        <v>42.075915918666702</v>
      </c>
      <c r="AA13" s="15">
        <v>37.513784180000002</v>
      </c>
      <c r="AB13" s="16">
        <v>28658.833999999999</v>
      </c>
      <c r="AC13" s="16">
        <v>0</v>
      </c>
      <c r="AD13" s="16">
        <v>761.95</v>
      </c>
      <c r="AE13" s="16">
        <v>0</v>
      </c>
      <c r="AG13" s="11" t="str">
        <f t="shared" si="6"/>
        <v>·</v>
      </c>
      <c r="AH13" s="12" t="str">
        <f t="shared" si="7"/>
        <v>·</v>
      </c>
      <c r="AI13" s="12" t="str">
        <f t="shared" si="8"/>
        <v>·</v>
      </c>
      <c r="AJ13" s="12" t="str">
        <f t="shared" si="9"/>
        <v>·</v>
      </c>
      <c r="AK13" s="12" t="str">
        <f t="shared" si="10"/>
        <v>·</v>
      </c>
      <c r="AL13" s="53"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ht="16" outlineLevel="1" thickBot="1" x14ac:dyDescent="0.25">
      <c r="A14" s="18"/>
      <c r="B14" s="37" t="s">
        <v>57</v>
      </c>
      <c r="C14" s="38" t="s">
        <v>234</v>
      </c>
      <c r="D14" s="37">
        <v>218121242</v>
      </c>
      <c r="E14" s="38">
        <v>10</v>
      </c>
      <c r="F14" s="38">
        <v>300</v>
      </c>
      <c r="G14" s="38">
        <v>30</v>
      </c>
      <c r="I14" s="39">
        <f t="shared" si="0"/>
        <v>22.913109600000002</v>
      </c>
      <c r="J14" s="40">
        <f t="shared" si="1"/>
        <v>1.0504758449889993</v>
      </c>
      <c r="K14" s="40">
        <f t="shared" si="2"/>
        <v>0.28876989431409894</v>
      </c>
      <c r="L14" s="40">
        <f t="shared" si="3"/>
        <v>0.21558138752941816</v>
      </c>
      <c r="M14" s="40">
        <f t="shared" si="4"/>
        <v>0.76170595067490032</v>
      </c>
      <c r="N14" s="37">
        <f t="shared" si="5"/>
        <v>62986848</v>
      </c>
      <c r="O14" s="40">
        <v>-12</v>
      </c>
      <c r="P14" s="41">
        <v>212722422</v>
      </c>
      <c r="Q14" s="41">
        <v>709074.74</v>
      </c>
      <c r="R14" s="41">
        <v>14194.12</v>
      </c>
      <c r="S14" s="42">
        <v>229131096</v>
      </c>
      <c r="T14" s="42">
        <v>47022880</v>
      </c>
      <c r="U14" s="42">
        <v>15963968</v>
      </c>
      <c r="V14" s="42">
        <v>166144248</v>
      </c>
      <c r="W14" s="43">
        <v>70.818431149666594</v>
      </c>
      <c r="X14" s="43">
        <v>74.624568731666699</v>
      </c>
      <c r="Y14" s="43">
        <v>40.733930127999997</v>
      </c>
      <c r="Z14" s="43">
        <v>43.388284339666697</v>
      </c>
      <c r="AA14" s="43">
        <v>39.238895130666698</v>
      </c>
      <c r="AB14" s="44">
        <v>31816.966</v>
      </c>
      <c r="AC14" s="44">
        <v>0</v>
      </c>
      <c r="AD14" s="44">
        <v>722.17</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
      <c r="A15" s="53"/>
      <c r="B15" s="53" t="s">
        <v>62</v>
      </c>
      <c r="C15" s="10" t="s">
        <v>230</v>
      </c>
      <c r="D15" s="53">
        <v>322589704</v>
      </c>
      <c r="E15" s="10">
        <v>10</v>
      </c>
      <c r="F15" s="10">
        <v>300</v>
      </c>
      <c r="G15" s="10">
        <v>30</v>
      </c>
      <c r="I15" s="11">
        <f t="shared" si="0"/>
        <v>4.3881015999999997</v>
      </c>
      <c r="J15" s="12">
        <f t="shared" si="1"/>
        <v>0.13602732962611852</v>
      </c>
      <c r="K15" s="12">
        <f t="shared" si="2"/>
        <v>7.7384019671005985E-2</v>
      </c>
      <c r="L15" s="12">
        <f t="shared" si="3"/>
        <v>4.1833672410077911E-2</v>
      </c>
      <c r="M15" s="12">
        <f t="shared" si="4"/>
        <v>5.8643309955112514E-2</v>
      </c>
      <c r="N15" s="53">
        <f t="shared" si="5"/>
        <v>24963288</v>
      </c>
      <c r="O15" s="12">
        <v>-12</v>
      </c>
      <c r="P15" s="13">
        <v>295422650</v>
      </c>
      <c r="Q15" s="13">
        <v>984742.16666666698</v>
      </c>
      <c r="R15" s="13">
        <v>28156.9</v>
      </c>
      <c r="S15" s="14">
        <v>43881016</v>
      </c>
      <c r="T15" s="14">
        <v>13495112</v>
      </c>
      <c r="U15" s="14">
        <v>11468176</v>
      </c>
      <c r="V15" s="14">
        <v>18917728</v>
      </c>
      <c r="W15" s="15">
        <v>65.949672698333302</v>
      </c>
      <c r="X15" s="15">
        <v>67.738235224999997</v>
      </c>
      <c r="Y15" s="15">
        <v>29.509218774333299</v>
      </c>
      <c r="Z15" s="15">
        <v>43.190304263000002</v>
      </c>
      <c r="AA15" s="15">
        <v>43.413907254000002</v>
      </c>
      <c r="AB15" s="16">
        <v>29358.238000000001</v>
      </c>
      <c r="AC15" s="16">
        <v>0</v>
      </c>
      <c r="AD15" s="16">
        <v>926.30200000000002</v>
      </c>
      <c r="AE15" s="16">
        <v>0</v>
      </c>
      <c r="AG15" s="11" t="str">
        <f t="shared" si="6"/>
        <v>·</v>
      </c>
      <c r="AH15" s="12" t="str">
        <f t="shared" si="7"/>
        <v>·</v>
      </c>
      <c r="AI15" s="12" t="str">
        <f t="shared" si="8"/>
        <v>·</v>
      </c>
      <c r="AJ15" s="12" t="str">
        <f t="shared" si="9"/>
        <v>·</v>
      </c>
      <c r="AK15" s="12" t="str">
        <f t="shared" si="10"/>
        <v>·</v>
      </c>
      <c r="AL15" s="53"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
      <c r="A16" s="18"/>
      <c r="B16" s="18" t="s">
        <v>62</v>
      </c>
      <c r="C16" s="19" t="s">
        <v>231</v>
      </c>
      <c r="D16" s="18">
        <v>322589704</v>
      </c>
      <c r="E16" s="19">
        <v>10</v>
      </c>
      <c r="F16" s="19">
        <v>300</v>
      </c>
      <c r="G16" s="19">
        <v>30</v>
      </c>
      <c r="I16" s="20">
        <f t="shared" si="0"/>
        <v>6.9794375999999998</v>
      </c>
      <c r="J16" s="21">
        <f t="shared" si="1"/>
        <v>0.21635648979051111</v>
      </c>
      <c r="K16" s="21">
        <f t="shared" si="2"/>
        <v>9.4654924262554896E-2</v>
      </c>
      <c r="L16" s="21">
        <f t="shared" si="3"/>
        <v>5.9104577001626808E-2</v>
      </c>
      <c r="M16" s="21">
        <f t="shared" si="4"/>
        <v>0.12170156552795622</v>
      </c>
      <c r="N16" s="18">
        <f t="shared" si="5"/>
        <v>30534704</v>
      </c>
      <c r="O16" s="21">
        <v>-12</v>
      </c>
      <c r="P16" s="22">
        <v>315923834</v>
      </c>
      <c r="Q16" s="22">
        <v>1053079.44666666</v>
      </c>
      <c r="R16" s="22">
        <v>35008.956666666701</v>
      </c>
      <c r="S16" s="23">
        <v>69794376</v>
      </c>
      <c r="T16" s="23">
        <v>19066528</v>
      </c>
      <c r="U16" s="23">
        <v>11468176</v>
      </c>
      <c r="V16" s="23">
        <v>39259672</v>
      </c>
      <c r="W16" s="24">
        <v>67.759124131999997</v>
      </c>
      <c r="X16" s="24">
        <v>69.811673970999905</v>
      </c>
      <c r="Y16" s="24">
        <v>31.916348042999999</v>
      </c>
      <c r="Z16" s="24">
        <v>44.056363488333297</v>
      </c>
      <c r="AA16" s="24">
        <v>44.3662148193334</v>
      </c>
      <c r="AB16" s="25">
        <v>30283.62</v>
      </c>
      <c r="AC16" s="25">
        <v>0</v>
      </c>
      <c r="AD16" s="25">
        <v>952.37900000000002</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
      <c r="A17" s="53"/>
      <c r="B17" s="53" t="s">
        <v>62</v>
      </c>
      <c r="C17" s="10" t="s">
        <v>232</v>
      </c>
      <c r="D17" s="53">
        <v>322589704</v>
      </c>
      <c r="E17" s="10">
        <v>10</v>
      </c>
      <c r="F17" s="10">
        <v>300</v>
      </c>
      <c r="G17" s="10">
        <v>30</v>
      </c>
      <c r="I17" s="11">
        <f t="shared" si="0"/>
        <v>11.592692</v>
      </c>
      <c r="J17" s="12">
        <f t="shared" si="1"/>
        <v>0.3593633602143731</v>
      </c>
      <c r="K17" s="12">
        <f t="shared" si="2"/>
        <v>0.12061741437352259</v>
      </c>
      <c r="L17" s="12">
        <f t="shared" si="3"/>
        <v>8.5067067112594513E-2</v>
      </c>
      <c r="M17" s="12">
        <f t="shared" si="4"/>
        <v>0.23874594584085052</v>
      </c>
      <c r="N17" s="53">
        <f t="shared" si="5"/>
        <v>38909936</v>
      </c>
      <c r="O17" s="12">
        <v>-12</v>
      </c>
      <c r="P17" s="13">
        <v>320026327</v>
      </c>
      <c r="Q17" s="13">
        <v>1066754.4233333301</v>
      </c>
      <c r="R17" s="13">
        <v>36813.6233333333</v>
      </c>
      <c r="S17" s="14">
        <v>115926920</v>
      </c>
      <c r="T17" s="14">
        <v>27441760</v>
      </c>
      <c r="U17" s="14">
        <v>11468176</v>
      </c>
      <c r="V17" s="14">
        <v>77016984</v>
      </c>
      <c r="W17" s="15">
        <v>69.147546142333297</v>
      </c>
      <c r="X17" s="15">
        <v>71.608294573666598</v>
      </c>
      <c r="Y17" s="15">
        <v>34.469015583999997</v>
      </c>
      <c r="Z17" s="15">
        <v>44.923258725666699</v>
      </c>
      <c r="AA17" s="15">
        <v>45.333477067666699</v>
      </c>
      <c r="AB17" s="16">
        <v>31928.67</v>
      </c>
      <c r="AC17" s="16">
        <v>0</v>
      </c>
      <c r="AD17" s="16">
        <v>965.83600000000001</v>
      </c>
      <c r="AE17" s="16">
        <v>0</v>
      </c>
      <c r="AG17" s="11" t="str">
        <f t="shared" si="6"/>
        <v>·</v>
      </c>
      <c r="AH17" s="12" t="str">
        <f t="shared" si="7"/>
        <v>·</v>
      </c>
      <c r="AI17" s="12" t="str">
        <f t="shared" si="8"/>
        <v>·</v>
      </c>
      <c r="AJ17" s="12" t="str">
        <f t="shared" si="9"/>
        <v>·</v>
      </c>
      <c r="AK17" s="12" t="str">
        <f t="shared" si="10"/>
        <v>·</v>
      </c>
      <c r="AL17" s="53"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
      <c r="A18" s="18"/>
      <c r="B18" s="18" t="s">
        <v>62</v>
      </c>
      <c r="C18" s="19" t="s">
        <v>233</v>
      </c>
      <c r="D18" s="18">
        <v>322589704</v>
      </c>
      <c r="E18" s="19">
        <v>10</v>
      </c>
      <c r="F18" s="19">
        <v>300</v>
      </c>
      <c r="G18" s="19">
        <v>30</v>
      </c>
      <c r="I18" s="20">
        <f t="shared" si="0"/>
        <v>19.961240800000002</v>
      </c>
      <c r="J18" s="21">
        <f t="shared" si="1"/>
        <v>0.61878108794197595</v>
      </c>
      <c r="K18" s="21">
        <f t="shared" si="2"/>
        <v>0.16377564238690023</v>
      </c>
      <c r="L18" s="21">
        <f t="shared" si="3"/>
        <v>0.12822529512597217</v>
      </c>
      <c r="M18" s="21">
        <f t="shared" si="4"/>
        <v>0.45500544555507577</v>
      </c>
      <c r="N18" s="18">
        <f t="shared" si="5"/>
        <v>52832336</v>
      </c>
      <c r="O18" s="21">
        <v>-12</v>
      </c>
      <c r="P18" s="22">
        <v>330647273</v>
      </c>
      <c r="Q18" s="22">
        <v>1102157.5766666599</v>
      </c>
      <c r="R18" s="22">
        <v>41264.550000000003</v>
      </c>
      <c r="S18" s="23">
        <v>199612408</v>
      </c>
      <c r="T18" s="23">
        <v>41364160</v>
      </c>
      <c r="U18" s="23">
        <v>11468176</v>
      </c>
      <c r="V18" s="23">
        <v>146780072</v>
      </c>
      <c r="W18" s="24">
        <v>70.362964675333302</v>
      </c>
      <c r="X18" s="24">
        <v>72.955811601666696</v>
      </c>
      <c r="Y18" s="24">
        <v>37.152048125</v>
      </c>
      <c r="Z18" s="24">
        <v>46.291668342666597</v>
      </c>
      <c r="AA18" s="24">
        <v>46.797498727333299</v>
      </c>
      <c r="AB18" s="25">
        <v>35650.025000000001</v>
      </c>
      <c r="AC18" s="25">
        <v>0</v>
      </c>
      <c r="AD18" s="25">
        <v>1037.5840000000001</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ht="16" outlineLevel="1" thickBot="1" x14ac:dyDescent="0.25">
      <c r="A19" s="53"/>
      <c r="B19" s="27" t="s">
        <v>62</v>
      </c>
      <c r="C19" s="28" t="s">
        <v>234</v>
      </c>
      <c r="D19" s="27">
        <v>322589704</v>
      </c>
      <c r="E19" s="28">
        <v>10</v>
      </c>
      <c r="F19" s="28">
        <v>300</v>
      </c>
      <c r="G19" s="28">
        <v>30</v>
      </c>
      <c r="I19" s="29">
        <f t="shared" si="0"/>
        <v>35.3007992</v>
      </c>
      <c r="J19" s="30">
        <f t="shared" si="1"/>
        <v>1.0942940447969165</v>
      </c>
      <c r="K19" s="30">
        <f t="shared" si="2"/>
        <v>0.26351400229438199</v>
      </c>
      <c r="L19" s="30">
        <f t="shared" si="3"/>
        <v>0.19736476152382099</v>
      </c>
      <c r="M19" s="30">
        <f t="shared" si="4"/>
        <v>0.83078004250253445</v>
      </c>
      <c r="N19" s="27">
        <f t="shared" si="5"/>
        <v>85006904</v>
      </c>
      <c r="O19" s="30">
        <v>-12</v>
      </c>
      <c r="P19" s="31">
        <v>314349023</v>
      </c>
      <c r="Q19" s="31">
        <v>1047830.07666666</v>
      </c>
      <c r="R19" s="31">
        <v>18181.946666666699</v>
      </c>
      <c r="S19" s="32">
        <v>353007992</v>
      </c>
      <c r="T19" s="32">
        <v>63667840</v>
      </c>
      <c r="U19" s="32">
        <v>21339064</v>
      </c>
      <c r="V19" s="32">
        <v>268001088</v>
      </c>
      <c r="W19" s="33">
        <v>71.151420209999998</v>
      </c>
      <c r="X19" s="33">
        <v>75.004447776333393</v>
      </c>
      <c r="Y19" s="33">
        <v>39.631977648333297</v>
      </c>
      <c r="Z19" s="33">
        <v>48.063806052333298</v>
      </c>
      <c r="AA19" s="33">
        <v>48.648836097666603</v>
      </c>
      <c r="AB19" s="34">
        <v>37695.247000000003</v>
      </c>
      <c r="AC19" s="34">
        <v>0</v>
      </c>
      <c r="AD19" s="34">
        <v>979.48900000000003</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
      <c r="A20" s="18"/>
      <c r="B20" s="18" t="s">
        <v>68</v>
      </c>
      <c r="C20" s="19" t="s">
        <v>230</v>
      </c>
      <c r="D20" s="18">
        <v>250602891</v>
      </c>
      <c r="E20" s="19">
        <v>10</v>
      </c>
      <c r="F20" s="19">
        <v>250</v>
      </c>
      <c r="G20" s="19">
        <v>50</v>
      </c>
      <c r="I20" s="20">
        <f t="shared" si="0"/>
        <v>4.8532864</v>
      </c>
      <c r="J20" s="21">
        <f t="shared" si="1"/>
        <v>9.6832210926090234E-2</v>
      </c>
      <c r="K20" s="21">
        <f t="shared" si="2"/>
        <v>5.8368520577043143E-2</v>
      </c>
      <c r="L20" s="21">
        <f t="shared" si="3"/>
        <v>2.9233884616279227E-2</v>
      </c>
      <c r="M20" s="21">
        <f t="shared" si="4"/>
        <v>3.8463690349047092E-2</v>
      </c>
      <c r="N20" s="18">
        <f t="shared" si="5"/>
        <v>14627320</v>
      </c>
      <c r="O20" s="21">
        <v>-12</v>
      </c>
      <c r="P20" s="22">
        <v>234344951</v>
      </c>
      <c r="Q20" s="22">
        <v>937379.804</v>
      </c>
      <c r="R20" s="22">
        <v>27879.392</v>
      </c>
      <c r="S20" s="23">
        <v>24266432</v>
      </c>
      <c r="T20" s="23">
        <v>7326096</v>
      </c>
      <c r="U20" s="23">
        <v>7301224</v>
      </c>
      <c r="V20" s="23">
        <v>9639112</v>
      </c>
      <c r="W20" s="24">
        <v>67.283176100000006</v>
      </c>
      <c r="X20" s="24">
        <v>69.087836493200001</v>
      </c>
      <c r="Y20" s="24">
        <v>31.1087705592</v>
      </c>
      <c r="Z20" s="24">
        <v>40.3095313504</v>
      </c>
      <c r="AA20" s="24">
        <v>39.105473608399997</v>
      </c>
      <c r="AB20" s="25">
        <v>25076.411</v>
      </c>
      <c r="AC20" s="25">
        <v>0</v>
      </c>
      <c r="AD20" s="25">
        <v>695.85500000000002</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
      <c r="A21" s="53"/>
      <c r="B21" s="53" t="s">
        <v>68</v>
      </c>
      <c r="C21" s="10" t="s">
        <v>231</v>
      </c>
      <c r="D21" s="53">
        <v>250602891</v>
      </c>
      <c r="E21" s="10">
        <v>10</v>
      </c>
      <c r="F21" s="10">
        <v>250</v>
      </c>
      <c r="G21" s="10">
        <v>50</v>
      </c>
      <c r="I21" s="11">
        <f t="shared" si="0"/>
        <v>7.1288352000000001</v>
      </c>
      <c r="J21" s="12">
        <f t="shared" si="1"/>
        <v>0.14223369833351204</v>
      </c>
      <c r="K21" s="12">
        <f t="shared" si="2"/>
        <v>6.9361721768804341E-2</v>
      </c>
      <c r="L21" s="12">
        <f t="shared" si="3"/>
        <v>4.0227085808040422E-2</v>
      </c>
      <c r="M21" s="12">
        <f t="shared" si="4"/>
        <v>7.2871976564707702E-2</v>
      </c>
      <c r="N21" s="53">
        <f t="shared" si="5"/>
        <v>17382248</v>
      </c>
      <c r="O21" s="12">
        <v>-12</v>
      </c>
      <c r="P21" s="13">
        <v>244418623</v>
      </c>
      <c r="Q21" s="13">
        <v>977674.49199999997</v>
      </c>
      <c r="R21" s="13">
        <v>33388.767999999996</v>
      </c>
      <c r="S21" s="14">
        <v>35644176</v>
      </c>
      <c r="T21" s="14">
        <v>10081024</v>
      </c>
      <c r="U21" s="14">
        <v>7301224</v>
      </c>
      <c r="V21" s="14">
        <v>18261928</v>
      </c>
      <c r="W21" s="15">
        <v>68.882728181600001</v>
      </c>
      <c r="X21" s="15">
        <v>71.012209738400003</v>
      </c>
      <c r="Y21" s="15">
        <v>32.865430451999998</v>
      </c>
      <c r="Z21" s="15">
        <v>41.502318860400003</v>
      </c>
      <c r="AA21" s="15">
        <v>40.435038998800003</v>
      </c>
      <c r="AB21" s="16">
        <v>25949.161</v>
      </c>
      <c r="AC21" s="16">
        <v>0</v>
      </c>
      <c r="AD21" s="16">
        <v>708.14800000000002</v>
      </c>
      <c r="AE21" s="16">
        <v>0</v>
      </c>
      <c r="AG21" s="11" t="str">
        <f t="shared" si="6"/>
        <v>·</v>
      </c>
      <c r="AH21" s="12" t="str">
        <f t="shared" si="7"/>
        <v>·</v>
      </c>
      <c r="AI21" s="12" t="str">
        <f t="shared" si="8"/>
        <v>·</v>
      </c>
      <c r="AJ21" s="12" t="str">
        <f t="shared" si="9"/>
        <v>·</v>
      </c>
      <c r="AK21" s="12" t="str">
        <f t="shared" si="10"/>
        <v>·</v>
      </c>
      <c r="AL21" s="53"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
      <c r="A22" s="18"/>
      <c r="B22" s="18" t="s">
        <v>68</v>
      </c>
      <c r="C22" s="19" t="s">
        <v>232</v>
      </c>
      <c r="D22" s="18">
        <v>250602891</v>
      </c>
      <c r="E22" s="19">
        <v>10</v>
      </c>
      <c r="F22" s="19">
        <v>250</v>
      </c>
      <c r="G22" s="19">
        <v>50</v>
      </c>
      <c r="I22" s="20">
        <f t="shared" si="0"/>
        <v>11.5159216</v>
      </c>
      <c r="J22" s="21">
        <f t="shared" si="1"/>
        <v>0.22976434058775483</v>
      </c>
      <c r="K22" s="21">
        <f t="shared" si="2"/>
        <v>8.623376974529795E-2</v>
      </c>
      <c r="L22" s="21">
        <f t="shared" si="3"/>
        <v>5.7099133784534031E-2</v>
      </c>
      <c r="M22" s="21">
        <f t="shared" si="4"/>
        <v>0.14353057084245688</v>
      </c>
      <c r="N22" s="18">
        <f t="shared" si="5"/>
        <v>21610432</v>
      </c>
      <c r="O22" s="21">
        <v>-12</v>
      </c>
      <c r="P22" s="22">
        <v>255501856</v>
      </c>
      <c r="Q22" s="22">
        <v>1022007.424</v>
      </c>
      <c r="R22" s="22">
        <v>35824.023999999998</v>
      </c>
      <c r="S22" s="23">
        <v>57579608</v>
      </c>
      <c r="T22" s="23">
        <v>14309208</v>
      </c>
      <c r="U22" s="23">
        <v>7301224</v>
      </c>
      <c r="V22" s="23">
        <v>35969176</v>
      </c>
      <c r="W22" s="24">
        <v>70.037560435200007</v>
      </c>
      <c r="X22" s="24">
        <v>72.449153208799999</v>
      </c>
      <c r="Y22" s="24">
        <v>34.769929695599998</v>
      </c>
      <c r="Z22" s="24">
        <v>42.602234492400001</v>
      </c>
      <c r="AA22" s="24">
        <v>41.609098172400003</v>
      </c>
      <c r="AB22" s="25">
        <v>27414.839</v>
      </c>
      <c r="AC22" s="25">
        <v>0</v>
      </c>
      <c r="AD22" s="25">
        <v>726.73699999999997</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
      <c r="A23" s="53"/>
      <c r="B23" s="53" t="s">
        <v>68</v>
      </c>
      <c r="C23" s="10" t="s">
        <v>233</v>
      </c>
      <c r="D23" s="53">
        <v>250602891</v>
      </c>
      <c r="E23" s="10">
        <v>10</v>
      </c>
      <c r="F23" s="10">
        <v>250</v>
      </c>
      <c r="G23" s="10">
        <v>50</v>
      </c>
      <c r="I23" s="11">
        <f t="shared" si="0"/>
        <v>20.251366399999998</v>
      </c>
      <c r="J23" s="12">
        <f t="shared" si="1"/>
        <v>0.40405292850352631</v>
      </c>
      <c r="K23" s="12">
        <f t="shared" si="2"/>
        <v>0.11568929585892128</v>
      </c>
      <c r="L23" s="12">
        <f t="shared" si="3"/>
        <v>8.655465989815736E-2</v>
      </c>
      <c r="M23" s="12">
        <f t="shared" si="4"/>
        <v>0.28836363264460507</v>
      </c>
      <c r="N23" s="53">
        <f t="shared" si="5"/>
        <v>28992072</v>
      </c>
      <c r="O23" s="12">
        <v>-12</v>
      </c>
      <c r="P23" s="13">
        <v>255604397</v>
      </c>
      <c r="Q23" s="13">
        <v>1022417.588</v>
      </c>
      <c r="R23" s="13">
        <v>37908.771999999997</v>
      </c>
      <c r="S23" s="14">
        <v>101256832</v>
      </c>
      <c r="T23" s="14">
        <v>21690848</v>
      </c>
      <c r="U23" s="14">
        <v>7301224</v>
      </c>
      <c r="V23" s="14">
        <v>72264760</v>
      </c>
      <c r="W23" s="15">
        <v>71.075857236399997</v>
      </c>
      <c r="X23" s="15">
        <v>73.8238918232001</v>
      </c>
      <c r="Y23" s="15">
        <v>36.323975522399998</v>
      </c>
      <c r="Z23" s="15">
        <v>43.931924683199902</v>
      </c>
      <c r="AA23" s="15">
        <v>42.863045401199997</v>
      </c>
      <c r="AB23" s="16">
        <v>28451.348000000002</v>
      </c>
      <c r="AC23" s="16">
        <v>0</v>
      </c>
      <c r="AD23" s="16">
        <v>752.06200000000001</v>
      </c>
      <c r="AE23" s="16">
        <v>0</v>
      </c>
      <c r="AG23" s="11" t="str">
        <f t="shared" si="6"/>
        <v>·</v>
      </c>
      <c r="AH23" s="12" t="str">
        <f t="shared" si="7"/>
        <v>·</v>
      </c>
      <c r="AI23" s="12" t="str">
        <f t="shared" si="8"/>
        <v>·</v>
      </c>
      <c r="AJ23" s="12" t="str">
        <f t="shared" si="9"/>
        <v>·</v>
      </c>
      <c r="AK23" s="12" t="str">
        <f t="shared" si="10"/>
        <v>·</v>
      </c>
      <c r="AL23" s="53"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ht="16" outlineLevel="1" thickBot="1" x14ac:dyDescent="0.25">
      <c r="A24" s="37"/>
      <c r="B24" s="37" t="s">
        <v>68</v>
      </c>
      <c r="C24" s="38" t="s">
        <v>234</v>
      </c>
      <c r="D24" s="37">
        <v>250602891</v>
      </c>
      <c r="E24" s="38">
        <v>10</v>
      </c>
      <c r="F24" s="38">
        <v>250</v>
      </c>
      <c r="G24" s="38">
        <v>50</v>
      </c>
      <c r="I24" s="39">
        <f t="shared" si="0"/>
        <v>35.420692799999998</v>
      </c>
      <c r="J24" s="40">
        <f t="shared" si="1"/>
        <v>0.70670958061692912</v>
      </c>
      <c r="K24" s="40">
        <f t="shared" si="2"/>
        <v>0.19180972656855744</v>
      </c>
      <c r="L24" s="40">
        <f t="shared" si="3"/>
        <v>0.13632455660697065</v>
      </c>
      <c r="M24" s="40">
        <f t="shared" si="4"/>
        <v>0.51489985404837169</v>
      </c>
      <c r="N24" s="37">
        <f t="shared" si="5"/>
        <v>48068072</v>
      </c>
      <c r="O24" s="40">
        <v>-12</v>
      </c>
      <c r="P24" s="41">
        <v>245205918</v>
      </c>
      <c r="Q24" s="41">
        <v>980823.67200000002</v>
      </c>
      <c r="R24" s="41">
        <v>19016.876</v>
      </c>
      <c r="S24" s="42">
        <v>177103464</v>
      </c>
      <c r="T24" s="42">
        <v>34163328</v>
      </c>
      <c r="U24" s="42">
        <v>13904744</v>
      </c>
      <c r="V24" s="42">
        <v>129035392</v>
      </c>
      <c r="W24" s="43">
        <v>71.915376520799995</v>
      </c>
      <c r="X24" s="43">
        <v>75.7975762704</v>
      </c>
      <c r="Y24" s="43">
        <v>37.196371245599998</v>
      </c>
      <c r="Z24" s="43">
        <v>44.905500028799999</v>
      </c>
      <c r="AA24" s="43">
        <v>43.5267138468</v>
      </c>
      <c r="AB24" s="44">
        <v>30227.531999999999</v>
      </c>
      <c r="AC24" s="44">
        <v>0</v>
      </c>
      <c r="AD24" s="44">
        <v>728.75900000000001</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
      <c r="A25" s="53" t="s">
        <v>235</v>
      </c>
      <c r="B25" s="53" t="s">
        <v>71</v>
      </c>
      <c r="C25" s="10" t="s">
        <v>230</v>
      </c>
      <c r="D25" s="53">
        <v>250294582</v>
      </c>
      <c r="E25" s="10">
        <v>10</v>
      </c>
      <c r="F25" s="10">
        <v>300</v>
      </c>
      <c r="G25" s="10">
        <v>30</v>
      </c>
      <c r="I25" s="11">
        <f t="shared" si="0"/>
        <v>4.6482647999999998</v>
      </c>
      <c r="J25" s="12">
        <f t="shared" si="1"/>
        <v>0.18571176263016353</v>
      </c>
      <c r="K25" s="12">
        <f t="shared" si="2"/>
        <v>6.4256988191618153E-2</v>
      </c>
      <c r="L25" s="12">
        <f t="shared" si="3"/>
        <v>3.6510834261686095E-2</v>
      </c>
      <c r="M25" s="12">
        <f t="shared" si="4"/>
        <v>0.12145477443854538</v>
      </c>
      <c r="N25" s="53">
        <f t="shared" si="5"/>
        <v>16083176</v>
      </c>
      <c r="O25" s="12">
        <v>-12</v>
      </c>
      <c r="P25" s="13">
        <v>229549745</v>
      </c>
      <c r="Q25" s="13">
        <v>765165.816666667</v>
      </c>
      <c r="R25" s="13">
        <v>15668.2166666667</v>
      </c>
      <c r="S25" s="14">
        <v>46482648</v>
      </c>
      <c r="T25" s="14">
        <v>9138464</v>
      </c>
      <c r="U25" s="14">
        <v>6944712</v>
      </c>
      <c r="V25" s="14">
        <v>30399472</v>
      </c>
      <c r="W25" s="15">
        <v>66.280956950666706</v>
      </c>
      <c r="X25" s="15">
        <v>68.083963502333404</v>
      </c>
      <c r="Y25" s="15">
        <v>27.283883321333299</v>
      </c>
      <c r="Z25" s="15">
        <v>33.101354740333399</v>
      </c>
      <c r="AA25" s="15">
        <v>32.535156540666698</v>
      </c>
      <c r="AB25" s="16">
        <v>22911.463</v>
      </c>
      <c r="AC25" s="16">
        <v>0</v>
      </c>
      <c r="AD25" s="16">
        <v>733.67200000000003</v>
      </c>
      <c r="AE25" s="16">
        <v>0</v>
      </c>
      <c r="AG25" s="11" t="str">
        <f t="shared" si="6"/>
        <v>·</v>
      </c>
      <c r="AH25" s="12" t="str">
        <f t="shared" si="7"/>
        <v>·</v>
      </c>
      <c r="AI25" s="12" t="str">
        <f t="shared" si="8"/>
        <v>·</v>
      </c>
      <c r="AJ25" s="12" t="str">
        <f t="shared" si="9"/>
        <v>·</v>
      </c>
      <c r="AK25" s="12" t="str">
        <f t="shared" si="10"/>
        <v>·</v>
      </c>
      <c r="AL25" s="53"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
      <c r="A26" s="18"/>
      <c r="B26" s="18" t="s">
        <v>71</v>
      </c>
      <c r="C26" s="19" t="s">
        <v>231</v>
      </c>
      <c r="D26" s="18">
        <v>250294582</v>
      </c>
      <c r="E26" s="19">
        <v>10</v>
      </c>
      <c r="F26" s="19">
        <v>300</v>
      </c>
      <c r="G26" s="19">
        <v>30</v>
      </c>
      <c r="I26" s="20">
        <f t="shared" si="0"/>
        <v>7.9823455999999995</v>
      </c>
      <c r="J26" s="21">
        <f t="shared" si="1"/>
        <v>0.31891803395089069</v>
      </c>
      <c r="K26" s="21">
        <f t="shared" si="2"/>
        <v>7.9352033277332382E-2</v>
      </c>
      <c r="L26" s="21">
        <f t="shared" si="3"/>
        <v>5.1605879347400338E-2</v>
      </c>
      <c r="M26" s="21">
        <f t="shared" si="4"/>
        <v>0.23956600067355832</v>
      </c>
      <c r="N26" s="18">
        <f t="shared" si="5"/>
        <v>19861384</v>
      </c>
      <c r="O26" s="21">
        <v>-12</v>
      </c>
      <c r="P26" s="22">
        <v>243582465</v>
      </c>
      <c r="Q26" s="22">
        <v>811941.55</v>
      </c>
      <c r="R26" s="22">
        <v>19479.483333333301</v>
      </c>
      <c r="S26" s="23">
        <v>79823456</v>
      </c>
      <c r="T26" s="23">
        <v>12916672</v>
      </c>
      <c r="U26" s="23">
        <v>6944712</v>
      </c>
      <c r="V26" s="23">
        <v>59962072</v>
      </c>
      <c r="W26" s="24">
        <v>68.012911925999902</v>
      </c>
      <c r="X26" s="24">
        <v>70.047623115999997</v>
      </c>
      <c r="Y26" s="24">
        <v>29.676309168</v>
      </c>
      <c r="Z26" s="24">
        <v>34.271178493333302</v>
      </c>
      <c r="AA26" s="24">
        <v>33.846208159333301</v>
      </c>
      <c r="AB26" s="25">
        <v>23743.187000000002</v>
      </c>
      <c r="AC26" s="25">
        <v>0</v>
      </c>
      <c r="AD26" s="25">
        <v>767.70600000000002</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
      <c r="A27" s="53"/>
      <c r="B27" s="53" t="s">
        <v>71</v>
      </c>
      <c r="C27" s="10" t="s">
        <v>232</v>
      </c>
      <c r="D27" s="53">
        <v>250294582</v>
      </c>
      <c r="E27" s="10">
        <v>10</v>
      </c>
      <c r="F27" s="10">
        <v>300</v>
      </c>
      <c r="G27" s="10">
        <v>30</v>
      </c>
      <c r="I27" s="11">
        <f t="shared" si="0"/>
        <v>14.0566952</v>
      </c>
      <c r="J27" s="12">
        <f t="shared" si="1"/>
        <v>0.56160605186411905</v>
      </c>
      <c r="K27" s="12">
        <f t="shared" si="2"/>
        <v>0.10207767102205992</v>
      </c>
      <c r="L27" s="12">
        <f t="shared" si="3"/>
        <v>7.4331517092127861E-2</v>
      </c>
      <c r="M27" s="12">
        <f t="shared" si="4"/>
        <v>0.45952838084205916</v>
      </c>
      <c r="N27" s="53">
        <f t="shared" si="5"/>
        <v>25549488</v>
      </c>
      <c r="O27" s="12">
        <v>-12</v>
      </c>
      <c r="P27" s="13">
        <v>246324575</v>
      </c>
      <c r="Q27" s="13">
        <v>821081.91666666698</v>
      </c>
      <c r="R27" s="13">
        <v>20471.919999999998</v>
      </c>
      <c r="S27" s="14">
        <v>140566952</v>
      </c>
      <c r="T27" s="14">
        <v>18604776</v>
      </c>
      <c r="U27" s="14">
        <v>6944712</v>
      </c>
      <c r="V27" s="14">
        <v>115017464</v>
      </c>
      <c r="W27" s="15">
        <v>69.319556597000002</v>
      </c>
      <c r="X27" s="15">
        <v>71.739877823</v>
      </c>
      <c r="Y27" s="15">
        <v>32.184532836999999</v>
      </c>
      <c r="Z27" s="15">
        <v>35.538519655666697</v>
      </c>
      <c r="AA27" s="15">
        <v>35.188720969333303</v>
      </c>
      <c r="AB27" s="16">
        <v>24981.794999999998</v>
      </c>
      <c r="AC27" s="16">
        <v>0</v>
      </c>
      <c r="AD27" s="16">
        <v>779.48599999999999</v>
      </c>
      <c r="AE27" s="16">
        <v>0</v>
      </c>
      <c r="AG27" s="11" t="str">
        <f t="shared" si="6"/>
        <v>·</v>
      </c>
      <c r="AH27" s="12" t="str">
        <f t="shared" si="7"/>
        <v>·</v>
      </c>
      <c r="AI27" s="12" t="str">
        <f t="shared" si="8"/>
        <v>·</v>
      </c>
      <c r="AJ27" s="12" t="str">
        <f t="shared" si="9"/>
        <v>·</v>
      </c>
      <c r="AK27" s="12" t="str">
        <f t="shared" si="10"/>
        <v>·</v>
      </c>
      <c r="AL27" s="53"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
      <c r="A28" s="18"/>
      <c r="B28" s="18" t="s">
        <v>71</v>
      </c>
      <c r="C28" s="19" t="s">
        <v>233</v>
      </c>
      <c r="D28" s="18">
        <v>250294582</v>
      </c>
      <c r="E28" s="19">
        <v>10</v>
      </c>
      <c r="F28" s="19">
        <v>300</v>
      </c>
      <c r="G28" s="19">
        <v>30</v>
      </c>
      <c r="I28" s="20">
        <f t="shared" si="0"/>
        <v>25.980808800000002</v>
      </c>
      <c r="J28" s="21">
        <f t="shared" si="1"/>
        <v>1.038009236652194</v>
      </c>
      <c r="K28" s="21">
        <f t="shared" si="2"/>
        <v>0.13983650672869938</v>
      </c>
      <c r="L28" s="21">
        <f t="shared" si="3"/>
        <v>0.11209035279876733</v>
      </c>
      <c r="M28" s="21">
        <f t="shared" si="4"/>
        <v>0.89817272992349473</v>
      </c>
      <c r="N28" s="18">
        <f t="shared" si="5"/>
        <v>35000320</v>
      </c>
      <c r="O28" s="21">
        <v>-12</v>
      </c>
      <c r="P28" s="22">
        <v>252954006</v>
      </c>
      <c r="Q28" s="22">
        <v>843180.02</v>
      </c>
      <c r="R28" s="22">
        <v>22921.383333333299</v>
      </c>
      <c r="S28" s="23">
        <v>259808088</v>
      </c>
      <c r="T28" s="23">
        <v>28055608</v>
      </c>
      <c r="U28" s="23">
        <v>6944712</v>
      </c>
      <c r="V28" s="23">
        <v>224807768</v>
      </c>
      <c r="W28" s="24">
        <v>70.464836571666694</v>
      </c>
      <c r="X28" s="24">
        <v>73.030774820666593</v>
      </c>
      <c r="Y28" s="24">
        <v>34.8630734183333</v>
      </c>
      <c r="Z28" s="24">
        <v>37.363214447666699</v>
      </c>
      <c r="AA28" s="24">
        <v>36.933238897333297</v>
      </c>
      <c r="AB28" s="25">
        <v>27356.317999999999</v>
      </c>
      <c r="AC28" s="25">
        <v>0</v>
      </c>
      <c r="AD28" s="25">
        <v>822.32600000000002</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ht="16" outlineLevel="1" thickBot="1" x14ac:dyDescent="0.25">
      <c r="A29" s="27"/>
      <c r="B29" s="27" t="s">
        <v>71</v>
      </c>
      <c r="C29" s="28" t="s">
        <v>234</v>
      </c>
      <c r="D29" s="27">
        <v>250294582</v>
      </c>
      <c r="E29" s="28">
        <v>10</v>
      </c>
      <c r="F29" s="28">
        <v>300</v>
      </c>
      <c r="G29" s="28">
        <v>30</v>
      </c>
      <c r="I29" s="29">
        <f t="shared" si="0"/>
        <v>46.785341600000002</v>
      </c>
      <c r="J29" s="30">
        <f t="shared" si="1"/>
        <v>1.8692111201991579</v>
      </c>
      <c r="K29" s="30">
        <f t="shared" si="2"/>
        <v>0.22612893794081407</v>
      </c>
      <c r="L29" s="30">
        <f t="shared" si="3"/>
        <v>0.17329126205376671</v>
      </c>
      <c r="M29" s="30">
        <f t="shared" si="4"/>
        <v>1.6430821822583439</v>
      </c>
      <c r="N29" s="27">
        <f t="shared" si="5"/>
        <v>56598848</v>
      </c>
      <c r="O29" s="30">
        <v>-12</v>
      </c>
      <c r="P29" s="31">
        <v>243390697</v>
      </c>
      <c r="Q29" s="31">
        <v>811302.32333333301</v>
      </c>
      <c r="R29" s="31">
        <v>10619.64</v>
      </c>
      <c r="S29" s="32">
        <v>467853416</v>
      </c>
      <c r="T29" s="32">
        <v>43373864</v>
      </c>
      <c r="U29" s="32">
        <v>13224984</v>
      </c>
      <c r="V29" s="32">
        <v>411254568</v>
      </c>
      <c r="W29" s="33">
        <v>71.193380639666699</v>
      </c>
      <c r="X29" s="33">
        <v>74.956126021666705</v>
      </c>
      <c r="Y29" s="33">
        <v>37.254650607999999</v>
      </c>
      <c r="Z29" s="33">
        <v>39.405225326333301</v>
      </c>
      <c r="AA29" s="33">
        <v>38.758077555333401</v>
      </c>
      <c r="AB29" s="34">
        <v>30754.186000000002</v>
      </c>
      <c r="AC29" s="34">
        <v>0</v>
      </c>
      <c r="AD29" s="34">
        <v>801.149</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
      <c r="A30" s="18" t="s">
        <v>236</v>
      </c>
      <c r="B30" s="18" t="s">
        <v>75</v>
      </c>
      <c r="C30" s="19" t="s">
        <v>230</v>
      </c>
      <c r="D30" s="18">
        <v>375422539</v>
      </c>
      <c r="E30" s="19">
        <v>11</v>
      </c>
      <c r="F30" s="19">
        <v>64</v>
      </c>
      <c r="G30" s="19">
        <v>30</v>
      </c>
      <c r="I30" s="20">
        <f t="shared" si="0"/>
        <v>5.8429762500000004</v>
      </c>
      <c r="J30" s="21">
        <f t="shared" si="1"/>
        <v>3.3202630916094253E-2</v>
      </c>
      <c r="K30" s="21">
        <f t="shared" si="2"/>
        <v>2.0216836261927256E-2</v>
      </c>
      <c r="L30" s="21">
        <f t="shared" si="3"/>
        <v>1.2599925440278374E-2</v>
      </c>
      <c r="M30" s="21">
        <f t="shared" si="4"/>
        <v>1.2985794654166995E-2</v>
      </c>
      <c r="N30" s="18">
        <f t="shared" si="5"/>
        <v>7589856</v>
      </c>
      <c r="O30" s="21">
        <v>-12</v>
      </c>
      <c r="P30" s="22">
        <v>169467345</v>
      </c>
      <c r="Q30" s="22">
        <v>2647927.265625</v>
      </c>
      <c r="R30" s="22">
        <v>31706.875</v>
      </c>
      <c r="S30" s="23">
        <v>12465016</v>
      </c>
      <c r="T30" s="23">
        <v>4730296</v>
      </c>
      <c r="U30" s="23">
        <v>2859560</v>
      </c>
      <c r="V30" s="23">
        <v>4875160</v>
      </c>
      <c r="W30" s="24">
        <v>73.426517520312501</v>
      </c>
      <c r="X30" s="24">
        <v>75.645086067187506</v>
      </c>
      <c r="Y30" s="24">
        <v>34.756176884375002</v>
      </c>
      <c r="Z30" s="24">
        <v>42.242481559375001</v>
      </c>
      <c r="AA30" s="24">
        <v>43.855588706250003</v>
      </c>
      <c r="AB30" s="25">
        <v>15690.462</v>
      </c>
      <c r="AC30" s="25">
        <v>0</v>
      </c>
      <c r="AD30" s="25">
        <v>532.55200000000002</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
      <c r="A31" s="53"/>
      <c r="B31" s="53" t="s">
        <v>75</v>
      </c>
      <c r="C31" s="10" t="s">
        <v>231</v>
      </c>
      <c r="D31" s="53">
        <v>375422539</v>
      </c>
      <c r="E31" s="10">
        <v>11</v>
      </c>
      <c r="F31" s="10">
        <v>64</v>
      </c>
      <c r="G31" s="10">
        <v>30</v>
      </c>
      <c r="I31" s="11">
        <f t="shared" si="0"/>
        <v>8.3231062500000004</v>
      </c>
      <c r="J31" s="12">
        <f t="shared" si="1"/>
        <v>4.729593499446233E-2</v>
      </c>
      <c r="K31" s="12">
        <f t="shared" si="2"/>
        <v>2.4861160506934828E-2</v>
      </c>
      <c r="L31" s="12">
        <f t="shared" si="3"/>
        <v>1.7244249685285942E-2</v>
      </c>
      <c r="M31" s="12">
        <f t="shared" si="4"/>
        <v>2.2434774487527506E-2</v>
      </c>
      <c r="N31" s="53">
        <f t="shared" si="5"/>
        <v>9333440</v>
      </c>
      <c r="O31" s="12">
        <v>-12</v>
      </c>
      <c r="P31" s="13">
        <v>180443510</v>
      </c>
      <c r="Q31" s="13">
        <v>2819429.84375</v>
      </c>
      <c r="R31" s="13">
        <v>39863.4375</v>
      </c>
      <c r="S31" s="14">
        <v>17755960</v>
      </c>
      <c r="T31" s="14">
        <v>6473880</v>
      </c>
      <c r="U31" s="14">
        <v>2859560</v>
      </c>
      <c r="V31" s="14">
        <v>8422520</v>
      </c>
      <c r="W31" s="15">
        <v>75.127541451562493</v>
      </c>
      <c r="X31" s="15">
        <v>77.550104568750001</v>
      </c>
      <c r="Y31" s="15">
        <v>36.698226210937499</v>
      </c>
      <c r="Z31" s="15">
        <v>42.773431276562498</v>
      </c>
      <c r="AA31" s="15">
        <v>45.071953195312503</v>
      </c>
      <c r="AB31" s="16">
        <v>16239.791999999999</v>
      </c>
      <c r="AC31" s="16">
        <v>0</v>
      </c>
      <c r="AD31" s="16">
        <v>559.13499999999999</v>
      </c>
      <c r="AE31" s="16">
        <v>0</v>
      </c>
      <c r="AG31" s="11" t="str">
        <f t="shared" si="6"/>
        <v>·</v>
      </c>
      <c r="AH31" s="12" t="str">
        <f t="shared" si="7"/>
        <v>·</v>
      </c>
      <c r="AI31" s="12" t="str">
        <f t="shared" si="8"/>
        <v>·</v>
      </c>
      <c r="AJ31" s="12" t="str">
        <f t="shared" si="9"/>
        <v>·</v>
      </c>
      <c r="AK31" s="12" t="str">
        <f t="shared" si="10"/>
        <v>·</v>
      </c>
      <c r="AL31" s="53"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
      <c r="A32" s="18"/>
      <c r="B32" s="18" t="s">
        <v>75</v>
      </c>
      <c r="C32" s="19" t="s">
        <v>232</v>
      </c>
      <c r="D32" s="18">
        <v>375422539</v>
      </c>
      <c r="E32" s="19">
        <v>11</v>
      </c>
      <c r="F32" s="19">
        <v>64</v>
      </c>
      <c r="G32" s="19">
        <v>30</v>
      </c>
      <c r="I32" s="20">
        <f t="shared" si="0"/>
        <v>12.821853750000001</v>
      </c>
      <c r="J32" s="21">
        <f t="shared" si="1"/>
        <v>7.2860004817132201E-2</v>
      </c>
      <c r="K32" s="21">
        <f t="shared" si="2"/>
        <v>3.15620474773892E-2</v>
      </c>
      <c r="L32" s="21">
        <f t="shared" si="3"/>
        <v>2.3945136655740322E-2</v>
      </c>
      <c r="M32" s="21">
        <f t="shared" si="4"/>
        <v>4.1297957339742994E-2</v>
      </c>
      <c r="N32" s="18">
        <f t="shared" si="5"/>
        <v>11849104</v>
      </c>
      <c r="O32" s="21">
        <v>-12</v>
      </c>
      <c r="P32" s="22">
        <v>184144045</v>
      </c>
      <c r="Q32" s="22">
        <v>2877250.703125</v>
      </c>
      <c r="R32" s="22">
        <v>42856.84375</v>
      </c>
      <c r="S32" s="23">
        <v>27353288</v>
      </c>
      <c r="T32" s="23">
        <v>8989544</v>
      </c>
      <c r="U32" s="23">
        <v>2859560</v>
      </c>
      <c r="V32" s="23">
        <v>15504184</v>
      </c>
      <c r="W32" s="24">
        <v>76.4212890109375</v>
      </c>
      <c r="X32" s="24">
        <v>79.129995435937502</v>
      </c>
      <c r="Y32" s="24">
        <v>38.44698578125</v>
      </c>
      <c r="Z32" s="24">
        <v>43.309595307812501</v>
      </c>
      <c r="AA32" s="24">
        <v>46.294167676562502</v>
      </c>
      <c r="AB32" s="25">
        <v>16515.073</v>
      </c>
      <c r="AC32" s="25">
        <v>0</v>
      </c>
      <c r="AD32" s="25">
        <v>572.72900000000004</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
      <c r="A33" s="53"/>
      <c r="B33" s="53" t="s">
        <v>75</v>
      </c>
      <c r="C33" s="10" t="s">
        <v>233</v>
      </c>
      <c r="D33" s="53">
        <v>375422539</v>
      </c>
      <c r="E33" s="10">
        <v>11</v>
      </c>
      <c r="F33" s="10">
        <v>64</v>
      </c>
      <c r="G33" s="10">
        <v>30</v>
      </c>
      <c r="I33" s="11">
        <f t="shared" si="0"/>
        <v>21.357378749999999</v>
      </c>
      <c r="J33" s="12">
        <f t="shared" si="1"/>
        <v>0.12136300639104676</v>
      </c>
      <c r="K33" s="12">
        <f t="shared" si="2"/>
        <v>4.2732799268612905E-2</v>
      </c>
      <c r="L33" s="12">
        <f t="shared" si="3"/>
        <v>3.5115888446964019E-2</v>
      </c>
      <c r="M33" s="12">
        <f t="shared" si="4"/>
        <v>7.8630207122433848E-2</v>
      </c>
      <c r="N33" s="53">
        <f t="shared" si="5"/>
        <v>16042856</v>
      </c>
      <c r="O33" s="12">
        <v>-12</v>
      </c>
      <c r="P33" s="13">
        <v>188717930</v>
      </c>
      <c r="Q33" s="13">
        <v>2948717.65625</v>
      </c>
      <c r="R33" s="13">
        <v>47696.953125</v>
      </c>
      <c r="S33" s="14">
        <v>45562408</v>
      </c>
      <c r="T33" s="14">
        <v>13183296</v>
      </c>
      <c r="U33" s="14">
        <v>2859560</v>
      </c>
      <c r="V33" s="14">
        <v>29519552</v>
      </c>
      <c r="W33" s="15">
        <v>77.574855743750007</v>
      </c>
      <c r="X33" s="15">
        <v>80.321358139062497</v>
      </c>
      <c r="Y33" s="15">
        <v>40.048465490624999</v>
      </c>
      <c r="Z33" s="15">
        <v>44.015974774999997</v>
      </c>
      <c r="AA33" s="15">
        <v>47.882382476562498</v>
      </c>
      <c r="AB33" s="16">
        <v>17618.153999999999</v>
      </c>
      <c r="AC33" s="16">
        <v>0</v>
      </c>
      <c r="AD33" s="16">
        <v>586.56700000000001</v>
      </c>
      <c r="AE33" s="16">
        <v>0</v>
      </c>
      <c r="AG33" s="11" t="str">
        <f t="shared" si="6"/>
        <v>·</v>
      </c>
      <c r="AH33" s="12" t="str">
        <f t="shared" si="7"/>
        <v>·</v>
      </c>
      <c r="AI33" s="12" t="str">
        <f t="shared" si="8"/>
        <v>·</v>
      </c>
      <c r="AJ33" s="12" t="str">
        <f t="shared" si="9"/>
        <v>·</v>
      </c>
      <c r="AK33" s="12" t="str">
        <f t="shared" si="10"/>
        <v>·</v>
      </c>
      <c r="AL33" s="53"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6" outlineLevel="1" thickBot="1" x14ac:dyDescent="0.25">
      <c r="A34" s="18"/>
      <c r="B34" s="37" t="s">
        <v>75</v>
      </c>
      <c r="C34" s="38" t="s">
        <v>234</v>
      </c>
      <c r="D34" s="37">
        <v>375422539</v>
      </c>
      <c r="E34" s="38">
        <v>11</v>
      </c>
      <c r="F34" s="38">
        <v>64</v>
      </c>
      <c r="G34" s="38">
        <v>30</v>
      </c>
      <c r="I34" s="39">
        <f t="shared" si="0"/>
        <v>40.018316249999998</v>
      </c>
      <c r="J34" s="40">
        <f t="shared" si="1"/>
        <v>0.22740352304740019</v>
      </c>
      <c r="K34" s="40">
        <f t="shared" si="2"/>
        <v>6.864555353721051E-2</v>
      </c>
      <c r="L34" s="40">
        <f t="shared" si="3"/>
        <v>5.3374355342048339E-2</v>
      </c>
      <c r="M34" s="40">
        <f t="shared" si="4"/>
        <v>0.15875796951018969</v>
      </c>
      <c r="N34" s="37">
        <f t="shared" si="5"/>
        <v>25771088</v>
      </c>
      <c r="O34" s="40">
        <v>-12</v>
      </c>
      <c r="P34" s="41">
        <v>184975250</v>
      </c>
      <c r="Q34" s="41">
        <v>2890238.28125</v>
      </c>
      <c r="R34" s="41">
        <v>19017.921875</v>
      </c>
      <c r="S34" s="42">
        <v>85372408</v>
      </c>
      <c r="T34" s="42">
        <v>20037936</v>
      </c>
      <c r="U34" s="42">
        <v>5733152</v>
      </c>
      <c r="V34" s="42">
        <v>59601320</v>
      </c>
      <c r="W34" s="43">
        <v>78.495977423437495</v>
      </c>
      <c r="X34" s="43">
        <v>81.989743743749997</v>
      </c>
      <c r="Y34" s="43">
        <v>41.535765474999998</v>
      </c>
      <c r="Z34" s="43">
        <v>44.804071031249997</v>
      </c>
      <c r="AA34" s="43">
        <v>49.268596534375</v>
      </c>
      <c r="AB34" s="44">
        <v>18932.687999999998</v>
      </c>
      <c r="AC34" s="44">
        <v>0</v>
      </c>
      <c r="AD34" s="44">
        <v>583.928</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
      <c r="A35" s="53"/>
      <c r="B35" s="53" t="s">
        <v>80</v>
      </c>
      <c r="C35" s="10" t="s">
        <v>230</v>
      </c>
      <c r="D35" s="53">
        <v>333190689</v>
      </c>
      <c r="E35" s="10">
        <v>11</v>
      </c>
      <c r="F35" s="10">
        <v>64</v>
      </c>
      <c r="G35" s="10">
        <v>30</v>
      </c>
      <c r="I35" s="11">
        <f t="shared" si="0"/>
        <v>6.0342900000000004</v>
      </c>
      <c r="J35" s="12">
        <f t="shared" si="1"/>
        <v>3.863598961494389E-2</v>
      </c>
      <c r="K35" s="12">
        <f t="shared" si="2"/>
        <v>2.2973102948864215E-2</v>
      </c>
      <c r="L35" s="12">
        <f t="shared" si="3"/>
        <v>1.4052877690108561E-2</v>
      </c>
      <c r="M35" s="12">
        <f t="shared" si="4"/>
        <v>1.5662886666079675E-2</v>
      </c>
      <c r="N35" s="53">
        <f t="shared" si="5"/>
        <v>7654424</v>
      </c>
      <c r="O35" s="12">
        <v>-12</v>
      </c>
      <c r="P35" s="13">
        <v>149545538</v>
      </c>
      <c r="Q35" s="13">
        <v>2336649.03125</v>
      </c>
      <c r="R35" s="13">
        <v>31152.765625</v>
      </c>
      <c r="S35" s="14">
        <v>12873152</v>
      </c>
      <c r="T35" s="14">
        <v>4682288</v>
      </c>
      <c r="U35" s="14">
        <v>2972136</v>
      </c>
      <c r="V35" s="14">
        <v>5218728</v>
      </c>
      <c r="W35" s="15">
        <v>73.207017100000002</v>
      </c>
      <c r="X35" s="15">
        <v>75.428890779687507</v>
      </c>
      <c r="Y35" s="15">
        <v>34.091497615625002</v>
      </c>
      <c r="Z35" s="15">
        <v>42.537112160937497</v>
      </c>
      <c r="AA35" s="15">
        <v>44.052015304687501</v>
      </c>
      <c r="AB35" s="16">
        <v>14414.866</v>
      </c>
      <c r="AC35" s="16">
        <v>0</v>
      </c>
      <c r="AD35" s="16">
        <v>486.87799999999999</v>
      </c>
      <c r="AE35" s="16">
        <v>0</v>
      </c>
      <c r="AG35" s="11" t="str">
        <f t="shared" si="6"/>
        <v>·</v>
      </c>
      <c r="AH35" s="12" t="str">
        <f t="shared" si="7"/>
        <v>·</v>
      </c>
      <c r="AI35" s="12" t="str">
        <f t="shared" si="8"/>
        <v>·</v>
      </c>
      <c r="AJ35" s="12" t="str">
        <f t="shared" si="9"/>
        <v>·</v>
      </c>
      <c r="AK35" s="12" t="str">
        <f t="shared" si="10"/>
        <v>·</v>
      </c>
      <c r="AL35" s="53"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
      <c r="A36" s="18"/>
      <c r="B36" s="18" t="s">
        <v>80</v>
      </c>
      <c r="C36" s="19" t="s">
        <v>231</v>
      </c>
      <c r="D36" s="18">
        <v>333190689</v>
      </c>
      <c r="E36" s="19">
        <v>11</v>
      </c>
      <c r="F36" s="19">
        <v>64</v>
      </c>
      <c r="G36" s="19">
        <v>30</v>
      </c>
      <c r="I36" s="20">
        <f t="shared" si="0"/>
        <v>8.6139375000000005</v>
      </c>
      <c r="J36" s="21">
        <f t="shared" si="1"/>
        <v>5.5152801703891551E-2</v>
      </c>
      <c r="K36" s="21">
        <f t="shared" si="2"/>
        <v>2.8159394334095571E-2</v>
      </c>
      <c r="L36" s="21">
        <f t="shared" si="3"/>
        <v>1.9239169075339919E-2</v>
      </c>
      <c r="M36" s="21">
        <f t="shared" si="4"/>
        <v>2.6993407369795979E-2</v>
      </c>
      <c r="N36" s="18">
        <f t="shared" si="5"/>
        <v>9382448</v>
      </c>
      <c r="O36" s="21">
        <v>-12</v>
      </c>
      <c r="P36" s="22">
        <v>159586642</v>
      </c>
      <c r="Q36" s="22">
        <v>2493541.28125</v>
      </c>
      <c r="R36" s="22">
        <v>39248.171875</v>
      </c>
      <c r="S36" s="23">
        <v>18376400</v>
      </c>
      <c r="T36" s="23">
        <v>6410312</v>
      </c>
      <c r="U36" s="23">
        <v>2972136</v>
      </c>
      <c r="V36" s="23">
        <v>8993952</v>
      </c>
      <c r="W36" s="24">
        <v>74.931008981250002</v>
      </c>
      <c r="X36" s="24">
        <v>77.379592739062502</v>
      </c>
      <c r="Y36" s="24">
        <v>36.168958073437501</v>
      </c>
      <c r="Z36" s="24">
        <v>43.160815364062501</v>
      </c>
      <c r="AA36" s="24">
        <v>45.339754289062498</v>
      </c>
      <c r="AB36" s="25">
        <v>15066.962</v>
      </c>
      <c r="AC36" s="25">
        <v>0</v>
      </c>
      <c r="AD36" s="25">
        <v>507.529</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
      <c r="A37" s="53"/>
      <c r="B37" s="53" t="s">
        <v>80</v>
      </c>
      <c r="C37" s="10" t="s">
        <v>232</v>
      </c>
      <c r="D37" s="53">
        <v>333190689</v>
      </c>
      <c r="E37" s="10">
        <v>11</v>
      </c>
      <c r="F37" s="10">
        <v>64</v>
      </c>
      <c r="G37" s="10">
        <v>30</v>
      </c>
      <c r="I37" s="11">
        <f t="shared" si="0"/>
        <v>13.1703075</v>
      </c>
      <c r="J37" s="12">
        <f t="shared" si="1"/>
        <v>8.4326053901224107E-2</v>
      </c>
      <c r="K37" s="12">
        <f t="shared" si="2"/>
        <v>3.565535410264721E-2</v>
      </c>
      <c r="L37" s="12">
        <f t="shared" si="3"/>
        <v>2.6735128843891554E-2</v>
      </c>
      <c r="M37" s="12">
        <f t="shared" si="4"/>
        <v>4.8670699798576904E-2</v>
      </c>
      <c r="N37" s="53">
        <f t="shared" si="5"/>
        <v>11880032</v>
      </c>
      <c r="O37" s="12">
        <v>-12</v>
      </c>
      <c r="P37" s="13">
        <v>163066851</v>
      </c>
      <c r="Q37" s="13">
        <v>2547919.546875</v>
      </c>
      <c r="R37" s="13">
        <v>42178.46875</v>
      </c>
      <c r="S37" s="14">
        <v>28096656</v>
      </c>
      <c r="T37" s="14">
        <v>8907896</v>
      </c>
      <c r="U37" s="14">
        <v>2972136</v>
      </c>
      <c r="V37" s="14">
        <v>16216624</v>
      </c>
      <c r="W37" s="15">
        <v>76.234858062499995</v>
      </c>
      <c r="X37" s="15">
        <v>78.986574448437494</v>
      </c>
      <c r="Y37" s="15">
        <v>38.020768846875001</v>
      </c>
      <c r="Z37" s="15">
        <v>43.740362837500001</v>
      </c>
      <c r="AA37" s="15">
        <v>46.521045617187497</v>
      </c>
      <c r="AB37" s="16">
        <v>15468.638999999999</v>
      </c>
      <c r="AC37" s="16">
        <v>0</v>
      </c>
      <c r="AD37" s="16">
        <v>513.66600000000005</v>
      </c>
      <c r="AE37" s="16">
        <v>0</v>
      </c>
      <c r="AG37" s="11" t="str">
        <f t="shared" si="6"/>
        <v>·</v>
      </c>
      <c r="AH37" s="12" t="str">
        <f t="shared" si="7"/>
        <v>·</v>
      </c>
      <c r="AI37" s="12" t="str">
        <f t="shared" si="8"/>
        <v>·</v>
      </c>
      <c r="AJ37" s="12" t="str">
        <f t="shared" si="9"/>
        <v>·</v>
      </c>
      <c r="AK37" s="12" t="str">
        <f t="shared" si="10"/>
        <v>·</v>
      </c>
      <c r="AL37" s="53"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
      <c r="A38" s="18"/>
      <c r="B38" s="18" t="s">
        <v>80</v>
      </c>
      <c r="C38" s="19" t="s">
        <v>233</v>
      </c>
      <c r="D38" s="18">
        <v>333190689</v>
      </c>
      <c r="E38" s="19">
        <v>11</v>
      </c>
      <c r="F38" s="19">
        <v>64</v>
      </c>
      <c r="G38" s="19">
        <v>30</v>
      </c>
      <c r="I38" s="20">
        <f t="shared" si="0"/>
        <v>22.110555000000002</v>
      </c>
      <c r="J38" s="21">
        <f t="shared" si="1"/>
        <v>0.14156813367614843</v>
      </c>
      <c r="K38" s="21">
        <f t="shared" si="2"/>
        <v>4.8274170110437872E-2</v>
      </c>
      <c r="L38" s="21">
        <f t="shared" si="3"/>
        <v>3.9353944851682213E-2</v>
      </c>
      <c r="M38" s="21">
        <f t="shared" si="4"/>
        <v>9.3293963565710569E-2</v>
      </c>
      <c r="N38" s="18">
        <f t="shared" si="5"/>
        <v>16084504</v>
      </c>
      <c r="O38" s="21">
        <v>-12</v>
      </c>
      <c r="P38" s="22">
        <v>167198468</v>
      </c>
      <c r="Q38" s="22">
        <v>2612476.0625</v>
      </c>
      <c r="R38" s="22">
        <v>47014.421875</v>
      </c>
      <c r="S38" s="23">
        <v>47169184</v>
      </c>
      <c r="T38" s="23">
        <v>13112368</v>
      </c>
      <c r="U38" s="23">
        <v>2972136</v>
      </c>
      <c r="V38" s="23">
        <v>31084680</v>
      </c>
      <c r="W38" s="24">
        <v>77.427508184375</v>
      </c>
      <c r="X38" s="24">
        <v>80.210458099999997</v>
      </c>
      <c r="Y38" s="24">
        <v>39.781778218749999</v>
      </c>
      <c r="Z38" s="24">
        <v>44.509000593750002</v>
      </c>
      <c r="AA38" s="24">
        <v>47.852313401562498</v>
      </c>
      <c r="AB38" s="25">
        <v>16251.082</v>
      </c>
      <c r="AC38" s="25">
        <v>0</v>
      </c>
      <c r="AD38" s="25">
        <v>523.524</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6" outlineLevel="1" thickBot="1" x14ac:dyDescent="0.25">
      <c r="A39" s="27"/>
      <c r="B39" s="27" t="s">
        <v>80</v>
      </c>
      <c r="C39" s="28" t="s">
        <v>234</v>
      </c>
      <c r="D39" s="27">
        <v>333190689</v>
      </c>
      <c r="E39" s="28">
        <v>11</v>
      </c>
      <c r="F39" s="28">
        <v>64</v>
      </c>
      <c r="G39" s="28">
        <v>30</v>
      </c>
      <c r="I39" s="29">
        <f t="shared" si="0"/>
        <v>40.564635000000003</v>
      </c>
      <c r="J39" s="30">
        <f t="shared" si="1"/>
        <v>0.25972480881661131</v>
      </c>
      <c r="K39" s="30">
        <f t="shared" si="2"/>
        <v>7.7538229167022132E-2</v>
      </c>
      <c r="L39" s="30">
        <f t="shared" si="3"/>
        <v>5.9756579812468888E-2</v>
      </c>
      <c r="M39" s="30">
        <f t="shared" si="4"/>
        <v>0.18218657964958918</v>
      </c>
      <c r="N39" s="27">
        <f t="shared" si="5"/>
        <v>25835016</v>
      </c>
      <c r="O39" s="30">
        <v>-12</v>
      </c>
      <c r="P39" s="31">
        <v>163661760</v>
      </c>
      <c r="Q39" s="31">
        <v>2557215</v>
      </c>
      <c r="R39" s="31">
        <v>18597.78125</v>
      </c>
      <c r="S39" s="32">
        <v>86537888</v>
      </c>
      <c r="T39" s="32">
        <v>19910336</v>
      </c>
      <c r="U39" s="32">
        <v>5924680</v>
      </c>
      <c r="V39" s="32">
        <v>60702872</v>
      </c>
      <c r="W39" s="33">
        <v>78.299716020312502</v>
      </c>
      <c r="X39" s="33">
        <v>81.903597101562497</v>
      </c>
      <c r="Y39" s="33">
        <v>41.362357690624997</v>
      </c>
      <c r="Z39" s="33">
        <v>45.497609090624998</v>
      </c>
      <c r="AA39" s="33">
        <v>49.192411782812499</v>
      </c>
      <c r="AB39" s="34">
        <v>17369.129000000001</v>
      </c>
      <c r="AC39" s="34">
        <v>0</v>
      </c>
      <c r="AD39" s="34">
        <v>523.78</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ht="16" x14ac:dyDescent="0.2">
      <c r="B40" s="47" t="s">
        <v>14</v>
      </c>
      <c r="J40" s="48">
        <f>AVERAGE(J5:J24)</f>
        <v>0.39708136620554507</v>
      </c>
      <c r="K40" s="48">
        <f>AVERAGE(K5:K24)</f>
        <v>0.12890521552728323</v>
      </c>
      <c r="L40" s="48">
        <f>AVERAGE(L5:L24)</f>
        <v>9.0562704955471571E-2</v>
      </c>
      <c r="M40" s="48">
        <f>AVERAGE(M5:M24)</f>
        <v>0.26817615067826184</v>
      </c>
      <c r="AH40" s="48" t="e">
        <f>AVERAGE(AH5:AH24)</f>
        <v>#DIV/0!</v>
      </c>
      <c r="AI40" s="48" t="e">
        <f>AVERAGE(AI5:AI24)</f>
        <v>#DIV/0!</v>
      </c>
      <c r="AJ40" s="48" t="e">
        <f>AVERAGE(AJ5:AJ24)</f>
        <v>#DIV/0!</v>
      </c>
      <c r="AK40" s="48" t="e">
        <f>AVERAGE(AK5:AK24)</f>
        <v>#DIV/0!</v>
      </c>
      <c r="BE40" s="52" t="e">
        <f t="shared" si="12"/>
        <v>#DIV/0!</v>
      </c>
      <c r="BH40" s="54"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ht="16" x14ac:dyDescent="0.2">
      <c r="B41" s="47" t="s">
        <v>15</v>
      </c>
      <c r="J41" s="48">
        <f>AVERAGE(J25:J29)</f>
        <v>0.794691241059305</v>
      </c>
      <c r="K41" s="48">
        <f>AVERAGE(K25:K29)</f>
        <v>0.12233042743210479</v>
      </c>
      <c r="L41" s="48">
        <f>AVERAGE(L25:L29)</f>
        <v>8.9565969110749669E-2</v>
      </c>
      <c r="M41" s="48">
        <f>AVERAGE(M25:M29)</f>
        <v>0.67236081362720035</v>
      </c>
      <c r="AH41" s="48" t="e">
        <f>AVERAGE(AH25:AH29)</f>
        <v>#DIV/0!</v>
      </c>
      <c r="AI41" s="48" t="e">
        <f>AVERAGE(AI25:AI29)</f>
        <v>#DIV/0!</v>
      </c>
      <c r="AJ41" s="48" t="e">
        <f>AVERAGE(AJ25:AJ29)</f>
        <v>#DIV/0!</v>
      </c>
      <c r="AK41" s="48" t="e">
        <f>AVERAGE(AK25:AK29)</f>
        <v>#DIV/0!</v>
      </c>
      <c r="BE41" s="52" t="e">
        <f t="shared" si="12"/>
        <v>#DIV/0!</v>
      </c>
      <c r="BH41" s="54"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ht="16" x14ac:dyDescent="0.2">
      <c r="B42" s="47" t="s">
        <v>16</v>
      </c>
      <c r="J42" s="48">
        <f>AVERAGE(J30:J39)</f>
        <v>0.1081532887878955</v>
      </c>
      <c r="K42" s="48">
        <f>AVERAGE(K30:K39)</f>
        <v>4.0061864771514168E-2</v>
      </c>
      <c r="L42" s="48">
        <f>AVERAGE(L30:L39)</f>
        <v>3.0141725584380819E-2</v>
      </c>
      <c r="M42" s="48">
        <f>AVERAGE(M30:M39)</f>
        <v>6.8091424016381338E-2</v>
      </c>
      <c r="AH42" s="48" t="e">
        <f>AVERAGE(AH30:AH39)</f>
        <v>#DIV/0!</v>
      </c>
      <c r="AI42" s="48" t="e">
        <f>AVERAGE(AI30:AI39)</f>
        <v>#DIV/0!</v>
      </c>
      <c r="AJ42" s="48" t="e">
        <f>AVERAGE(AJ30:AJ39)</f>
        <v>#DIV/0!</v>
      </c>
      <c r="AK42" s="48" t="e">
        <f>AVERAGE(AK30:AK39)</f>
        <v>#DIV/0!</v>
      </c>
      <c r="BE42" s="52" t="e">
        <f t="shared" si="12"/>
        <v>#DIV/0!</v>
      </c>
      <c r="BH42" s="54"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ht="16" x14ac:dyDescent="0.2">
      <c r="B43" s="47" t="s">
        <v>17</v>
      </c>
      <c r="J43" s="48">
        <f>AVERAGE(J5:J39)</f>
        <v>0.37133189763675367</v>
      </c>
      <c r="K43" s="48">
        <f>AVERAGE(K5:K39)</f>
        <v>0.10258214558346658</v>
      </c>
      <c r="L43" s="48">
        <f>AVERAGE(L5:L39)</f>
        <v>7.3157177157342518E-2</v>
      </c>
      <c r="M43" s="48">
        <f>AVERAGE(M5:M39)</f>
        <v>0.26874975205328716</v>
      </c>
      <c r="AH43" s="48" t="e">
        <f>AVERAGE(AH5:AH39)</f>
        <v>#DIV/0!</v>
      </c>
      <c r="AI43" s="48" t="e">
        <f>AVERAGE(AI5:AI39)</f>
        <v>#DIV/0!</v>
      </c>
      <c r="AJ43" s="48" t="e">
        <f>AVERAGE(AJ5:AJ39)</f>
        <v>#DIV/0!</v>
      </c>
      <c r="AK43" s="48" t="e">
        <f>AVERAGE(AK5:AK39)</f>
        <v>#DIV/0!</v>
      </c>
      <c r="BE43" s="52" t="e">
        <f t="shared" si="12"/>
        <v>#DIV/0!</v>
      </c>
      <c r="BH43" s="54"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t="16" hidden="1" outlineLevel="2" x14ac:dyDescent="0.2">
      <c r="A44" s="47" t="s">
        <v>237</v>
      </c>
      <c r="B44" s="47" t="s">
        <v>238</v>
      </c>
      <c r="AB44" s="49">
        <f>SUM(AB5:AB24,AB25:AB29,AB30:AB39)</f>
        <v>872357.93</v>
      </c>
      <c r="AC44" s="49">
        <f>SUM(AC5:AC24,AC25:AC29,AC30:AC39)</f>
        <v>0</v>
      </c>
      <c r="AD44" s="49">
        <f>SUM(AD5:AD24,AD25:AD29,AD30:AD39)</f>
        <v>25006.619999999995</v>
      </c>
      <c r="AE44" s="49">
        <f>SUM(AE5:AE24,AE25:AE29,AE30:AE39)</f>
        <v>0</v>
      </c>
      <c r="AZ44" s="49">
        <f>SUM(AZ5:AZ24,AZ25:AZ29,AZ30:AZ39)</f>
        <v>0</v>
      </c>
      <c r="BA44" s="49">
        <f>SUM(BA5:BA24,BA25:BA29,BA30:BA39)</f>
        <v>0</v>
      </c>
      <c r="BB44" s="49">
        <f>SUM(BB5:BB24,BB25:BB29,BB30:BB39)</f>
        <v>0</v>
      </c>
      <c r="BC44" s="49">
        <f>SUM(BC5:BC24,BC25:BC29,BC30:BC39)</f>
        <v>0</v>
      </c>
    </row>
    <row r="45" spans="1:72" ht="16" hidden="1" outlineLevel="2" x14ac:dyDescent="0.2">
      <c r="B45" s="47" t="s">
        <v>239</v>
      </c>
      <c r="AZ45" s="54">
        <f>AZ44/AB44</f>
        <v>0</v>
      </c>
      <c r="BA45" s="54" t="e">
        <f>BA44/AC44</f>
        <v>#DIV/0!</v>
      </c>
      <c r="BB45" s="54">
        <f>BB44/AD44</f>
        <v>0</v>
      </c>
      <c r="BC45" s="54" t="e">
        <f>BC44/AE44</f>
        <v>#DIV/0!</v>
      </c>
    </row>
    <row r="46" spans="1:72" ht="16" hidden="1" outlineLevel="2" x14ac:dyDescent="0.2">
      <c r="B46" s="47" t="s">
        <v>240</v>
      </c>
      <c r="AB46" s="49">
        <f>GEOMEAN(AB5:AB24,AB25:AB29,AB30:AB39)</f>
        <v>24087.256665083107</v>
      </c>
      <c r="AC46" s="49" t="e">
        <f>GEOMEAN(AC5:AC24,AC25:AC29,AC30:AC39)</f>
        <v>#NUM!</v>
      </c>
      <c r="AD46" s="49">
        <f>GEOMEAN(AD5:AD24,AD25:AD29,AD30:AD39)</f>
        <v>700.64866750173371</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ht="16" outlineLevel="2" collapsed="1" x14ac:dyDescent="0.2">
      <c r="B47" s="47" t="s">
        <v>241</v>
      </c>
      <c r="AZ47" s="54" t="e">
        <f>AZ46/AB46</f>
        <v>#NUM!</v>
      </c>
      <c r="BA47" s="54" t="e">
        <f>BA46/AC46</f>
        <v>#NUM!</v>
      </c>
      <c r="BB47" s="54" t="e">
        <f>BB46/AD46</f>
        <v>#NUM!</v>
      </c>
      <c r="BC47" s="54"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242</v>
      </c>
      <c r="B1">
        <v>1</v>
      </c>
    </row>
    <row r="2" spans="1:2" x14ac:dyDescent="0.2">
      <c r="A2" t="s">
        <v>243</v>
      </c>
      <c r="B2">
        <v>2</v>
      </c>
    </row>
    <row r="3" spans="1:2" x14ac:dyDescent="0.2">
      <c r="A3" t="s">
        <v>244</v>
      </c>
      <c r="B3">
        <v>3</v>
      </c>
    </row>
    <row r="4" spans="1:2" x14ac:dyDescent="0.2">
      <c r="A4" t="s">
        <v>245</v>
      </c>
      <c r="B4">
        <v>4</v>
      </c>
    </row>
    <row r="5" spans="1:2" x14ac:dyDescent="0.2">
      <c r="A5" t="s">
        <v>246</v>
      </c>
      <c r="B5">
        <v>5</v>
      </c>
    </row>
    <row r="6" spans="1:2" x14ac:dyDescent="0.2">
      <c r="A6" t="s">
        <v>247</v>
      </c>
      <c r="B6">
        <v>6</v>
      </c>
    </row>
    <row r="7" spans="1:2" x14ac:dyDescent="0.2">
      <c r="A7" t="s">
        <v>248</v>
      </c>
      <c r="B7">
        <v>7</v>
      </c>
    </row>
    <row r="8" spans="1:2" x14ac:dyDescent="0.2">
      <c r="A8" t="s">
        <v>249</v>
      </c>
      <c r="B8">
        <v>9</v>
      </c>
    </row>
    <row r="9" spans="1:2" x14ac:dyDescent="0.2">
      <c r="A9" t="s">
        <v>250</v>
      </c>
      <c r="B9">
        <v>10</v>
      </c>
    </row>
    <row r="10" spans="1:2" x14ac:dyDescent="0.2">
      <c r="A10" t="s">
        <v>251</v>
      </c>
      <c r="B10">
        <v>11</v>
      </c>
    </row>
    <row r="11" spans="1:2" x14ac:dyDescent="0.2">
      <c r="A11" t="s">
        <v>252</v>
      </c>
      <c r="B11">
        <v>12</v>
      </c>
    </row>
    <row r="12" spans="1:2" x14ac:dyDescent="0.2">
      <c r="A12" t="s">
        <v>253</v>
      </c>
      <c r="B12">
        <v>13</v>
      </c>
    </row>
    <row r="13" spans="1:2" x14ac:dyDescent="0.2">
      <c r="A13" t="s">
        <v>254</v>
      </c>
      <c r="B13">
        <v>14</v>
      </c>
    </row>
    <row r="14" spans="1:2" x14ac:dyDescent="0.2">
      <c r="A14" t="s">
        <v>255</v>
      </c>
      <c r="B14">
        <v>15</v>
      </c>
    </row>
    <row r="15" spans="1:2" x14ac:dyDescent="0.2">
      <c r="A15" t="s">
        <v>256</v>
      </c>
      <c r="B15">
        <v>16</v>
      </c>
    </row>
    <row r="16" spans="1:2" x14ac:dyDescent="0.2">
      <c r="A16" t="s">
        <v>257</v>
      </c>
      <c r="B16">
        <v>17</v>
      </c>
    </row>
    <row r="17" spans="1:2" x14ac:dyDescent="0.2">
      <c r="A17" t="s">
        <v>258</v>
      </c>
      <c r="B17">
        <v>18</v>
      </c>
    </row>
    <row r="18" spans="1:2" x14ac:dyDescent="0.2">
      <c r="A18" t="s">
        <v>259</v>
      </c>
      <c r="B18">
        <v>19</v>
      </c>
    </row>
    <row r="19" spans="1:2" x14ac:dyDescent="0.2">
      <c r="A19" t="s">
        <v>260</v>
      </c>
      <c r="B19">
        <v>20</v>
      </c>
    </row>
    <row r="20" spans="1:2" x14ac:dyDescent="0.2">
      <c r="A20" t="s">
        <v>261</v>
      </c>
      <c r="B20">
        <v>21</v>
      </c>
    </row>
    <row r="21" spans="1:2" x14ac:dyDescent="0.2">
      <c r="A21" t="s">
        <v>262</v>
      </c>
      <c r="B21">
        <v>22</v>
      </c>
    </row>
    <row r="22" spans="1:2" x14ac:dyDescent="0.2">
      <c r="A22" t="s">
        <v>263</v>
      </c>
      <c r="B22">
        <v>23</v>
      </c>
    </row>
    <row r="23" spans="1:2" x14ac:dyDescent="0.2">
      <c r="A23" t="s">
        <v>264</v>
      </c>
      <c r="B23">
        <v>24</v>
      </c>
    </row>
    <row r="24" spans="1:2" x14ac:dyDescent="0.2">
      <c r="A24" t="s">
        <v>265</v>
      </c>
      <c r="B24">
        <v>25</v>
      </c>
    </row>
    <row r="25" spans="1:2" x14ac:dyDescent="0.2">
      <c r="A25" t="s">
        <v>266</v>
      </c>
      <c r="B25">
        <v>26</v>
      </c>
    </row>
    <row r="26" spans="1:2" x14ac:dyDescent="0.2">
      <c r="A26" t="s">
        <v>267</v>
      </c>
      <c r="B26">
        <v>27</v>
      </c>
    </row>
    <row r="27" spans="1:2" x14ac:dyDescent="0.2">
      <c r="A27" t="s">
        <v>268</v>
      </c>
      <c r="B27">
        <v>28</v>
      </c>
    </row>
    <row r="28" spans="1:2" x14ac:dyDescent="0.2">
      <c r="A28" t="s">
        <v>269</v>
      </c>
      <c r="B28">
        <v>29</v>
      </c>
    </row>
    <row r="29" spans="1:2" x14ac:dyDescent="0.2">
      <c r="A29" t="s">
        <v>270</v>
      </c>
      <c r="B29">
        <v>30</v>
      </c>
    </row>
    <row r="30" spans="1:2" x14ac:dyDescent="0.2">
      <c r="A30" t="s">
        <v>271</v>
      </c>
      <c r="B30">
        <v>31</v>
      </c>
    </row>
    <row r="31" spans="1:2" x14ac:dyDescent="0.2">
      <c r="A31" t="s">
        <v>272</v>
      </c>
      <c r="B31">
        <v>33</v>
      </c>
    </row>
    <row r="32" spans="1:2" x14ac:dyDescent="0.2">
      <c r="A32" t="s">
        <v>273</v>
      </c>
      <c r="B32">
        <v>34</v>
      </c>
    </row>
    <row r="33" spans="1:2" x14ac:dyDescent="0.2">
      <c r="A33" t="s">
        <v>274</v>
      </c>
      <c r="B33">
        <v>35</v>
      </c>
    </row>
    <row r="34" spans="1:2" x14ac:dyDescent="0.2">
      <c r="A34" t="s">
        <v>275</v>
      </c>
      <c r="B34">
        <v>36</v>
      </c>
    </row>
    <row r="35" spans="1:2" x14ac:dyDescent="0.2">
      <c r="A35" t="s">
        <v>276</v>
      </c>
      <c r="B35">
        <v>37</v>
      </c>
    </row>
    <row r="36" spans="1:2" x14ac:dyDescent="0.2">
      <c r="A36" t="s">
        <v>277</v>
      </c>
      <c r="B36">
        <v>38</v>
      </c>
    </row>
    <row r="37" spans="1:2" x14ac:dyDescent="0.2">
      <c r="A37" t="s">
        <v>278</v>
      </c>
      <c r="B37">
        <v>39</v>
      </c>
    </row>
    <row r="38" spans="1:2" x14ac:dyDescent="0.2">
      <c r="A38" t="s">
        <v>279</v>
      </c>
      <c r="B38">
        <v>40</v>
      </c>
    </row>
    <row r="39" spans="1:2" x14ac:dyDescent="0.2">
      <c r="A39" t="s">
        <v>280</v>
      </c>
      <c r="B39">
        <v>41</v>
      </c>
    </row>
    <row r="40" spans="1:2" x14ac:dyDescent="0.2">
      <c r="A40" t="s">
        <v>281</v>
      </c>
      <c r="B40">
        <v>42</v>
      </c>
    </row>
    <row r="41" spans="1:2" x14ac:dyDescent="0.2">
      <c r="A41" t="s">
        <v>282</v>
      </c>
      <c r="B41">
        <v>43</v>
      </c>
    </row>
    <row r="42" spans="1:2" x14ac:dyDescent="0.2">
      <c r="A42" t="s">
        <v>283</v>
      </c>
      <c r="B42">
        <v>44</v>
      </c>
    </row>
    <row r="43" spans="1:2" x14ac:dyDescent="0.2">
      <c r="A43" t="s">
        <v>284</v>
      </c>
      <c r="B43">
        <v>45</v>
      </c>
    </row>
    <row r="44" spans="1:2" x14ac:dyDescent="0.2">
      <c r="A44" t="s">
        <v>285</v>
      </c>
      <c r="B44">
        <v>46</v>
      </c>
    </row>
    <row r="45" spans="1:2" x14ac:dyDescent="0.2">
      <c r="A45" t="s">
        <v>286</v>
      </c>
      <c r="B45">
        <v>47</v>
      </c>
    </row>
    <row r="46" spans="1:2" x14ac:dyDescent="0.2">
      <c r="A46" t="s">
        <v>287</v>
      </c>
      <c r="B46">
        <v>48</v>
      </c>
    </row>
    <row r="47" spans="1:2" x14ac:dyDescent="0.2">
      <c r="A47" t="s">
        <v>288</v>
      </c>
      <c r="B47">
        <v>49</v>
      </c>
    </row>
    <row r="48" spans="1:2" x14ac:dyDescent="0.2">
      <c r="A48" t="s">
        <v>289</v>
      </c>
      <c r="B48">
        <v>50</v>
      </c>
    </row>
    <row r="49" spans="1:2" x14ac:dyDescent="0.2">
      <c r="A49" t="s">
        <v>290</v>
      </c>
      <c r="B49">
        <v>51</v>
      </c>
    </row>
    <row r="50" spans="1:2" x14ac:dyDescent="0.2">
      <c r="A50" t="s">
        <v>291</v>
      </c>
      <c r="B50">
        <v>52</v>
      </c>
    </row>
    <row r="51" spans="1:2" x14ac:dyDescent="0.2">
      <c r="A51" t="s">
        <v>292</v>
      </c>
      <c r="B51">
        <v>53</v>
      </c>
    </row>
    <row r="52" spans="1:2" x14ac:dyDescent="0.2">
      <c r="A52" t="s">
        <v>293</v>
      </c>
      <c r="B52">
        <v>54</v>
      </c>
    </row>
    <row r="53" spans="1:2" x14ac:dyDescent="0.2">
      <c r="A53" t="s">
        <v>294</v>
      </c>
      <c r="B53">
        <v>55</v>
      </c>
    </row>
    <row r="54" spans="1:2" x14ac:dyDescent="0.2">
      <c r="A54" t="s">
        <v>295</v>
      </c>
      <c r="B54">
        <v>57</v>
      </c>
    </row>
    <row r="55" spans="1:2" x14ac:dyDescent="0.2">
      <c r="A55" t="s">
        <v>296</v>
      </c>
      <c r="B55">
        <v>58</v>
      </c>
    </row>
    <row r="56" spans="1:2" x14ac:dyDescent="0.2">
      <c r="A56" t="s">
        <v>297</v>
      </c>
      <c r="B56">
        <v>59</v>
      </c>
    </row>
    <row r="57" spans="1:2" x14ac:dyDescent="0.2">
      <c r="A57" t="s">
        <v>298</v>
      </c>
      <c r="B57">
        <v>60</v>
      </c>
    </row>
    <row r="58" spans="1:2" x14ac:dyDescent="0.2">
      <c r="A58" t="s">
        <v>299</v>
      </c>
      <c r="B58">
        <v>62</v>
      </c>
    </row>
    <row r="59" spans="1:2" x14ac:dyDescent="0.2">
      <c r="A59" t="s">
        <v>300</v>
      </c>
      <c r="B59">
        <v>63</v>
      </c>
    </row>
    <row r="60" spans="1:2" x14ac:dyDescent="0.2">
      <c r="A60" t="s">
        <v>301</v>
      </c>
      <c r="B60">
        <v>64</v>
      </c>
    </row>
    <row r="61" spans="1:2" x14ac:dyDescent="0.2">
      <c r="A61" t="s">
        <v>302</v>
      </c>
      <c r="B61">
        <v>65</v>
      </c>
    </row>
    <row r="62" spans="1:2" x14ac:dyDescent="0.2">
      <c r="A62" t="s">
        <v>303</v>
      </c>
      <c r="B62">
        <v>66</v>
      </c>
    </row>
    <row r="63" spans="1:2" x14ac:dyDescent="0.2">
      <c r="A63" t="s">
        <v>304</v>
      </c>
      <c r="B63">
        <v>68</v>
      </c>
    </row>
    <row r="64" spans="1:2" x14ac:dyDescent="0.2">
      <c r="A64" t="s">
        <v>305</v>
      </c>
      <c r="B64">
        <v>69</v>
      </c>
    </row>
    <row r="65" spans="1:24" x14ac:dyDescent="0.2">
      <c r="A65" t="s">
        <v>306</v>
      </c>
      <c r="B65">
        <v>70</v>
      </c>
    </row>
    <row r="66" spans="1:24" x14ac:dyDescent="0.2">
      <c r="A66" t="s">
        <v>307</v>
      </c>
      <c r="B66">
        <v>71</v>
      </c>
    </row>
    <row r="67" spans="1:24" x14ac:dyDescent="0.2">
      <c r="A67" t="s">
        <v>308</v>
      </c>
      <c r="B67">
        <v>72</v>
      </c>
    </row>
    <row r="68" spans="1:24" x14ac:dyDescent="0.2">
      <c r="A68" t="s">
        <v>309</v>
      </c>
      <c r="B68" t="s">
        <v>310</v>
      </c>
    </row>
    <row r="69" spans="1:24" x14ac:dyDescent="0.2">
      <c r="A69" t="s">
        <v>311</v>
      </c>
      <c r="B69" t="s">
        <v>312</v>
      </c>
    </row>
    <row r="70" spans="1:24" x14ac:dyDescent="0.2">
      <c r="A70" t="s">
        <v>313</v>
      </c>
      <c r="B70" t="s">
        <v>314</v>
      </c>
    </row>
    <row r="71" spans="1:24" x14ac:dyDescent="0.2">
      <c r="A71" t="s">
        <v>315</v>
      </c>
      <c r="B71" t="s">
        <v>316</v>
      </c>
    </row>
    <row r="72" spans="1:24" x14ac:dyDescent="0.2">
      <c r="A72" t="s">
        <v>317</v>
      </c>
      <c r="B72" t="s">
        <v>318</v>
      </c>
    </row>
    <row r="73" spans="1:24" x14ac:dyDescent="0.2">
      <c r="A73" t="s">
        <v>319</v>
      </c>
      <c r="B73" t="s">
        <v>320</v>
      </c>
    </row>
    <row r="74" spans="1:24" x14ac:dyDescent="0.2">
      <c r="A74" t="s">
        <v>321</v>
      </c>
      <c r="B74" t="s">
        <v>322</v>
      </c>
    </row>
    <row r="75" spans="1:24" x14ac:dyDescent="0.2">
      <c r="A75" t="s">
        <v>323</v>
      </c>
      <c r="B75" t="s">
        <v>324</v>
      </c>
    </row>
    <row r="76" spans="1:24" x14ac:dyDescent="0.2">
      <c r="A76" t="s">
        <v>325</v>
      </c>
      <c r="B76" t="s">
        <v>326</v>
      </c>
    </row>
    <row r="77" spans="1:24" x14ac:dyDescent="0.2">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
      <c r="A78" t="s">
        <v>328</v>
      </c>
      <c r="B78">
        <v>1</v>
      </c>
    </row>
    <row r="79" spans="1:24" x14ac:dyDescent="0.2">
      <c r="A79" t="s">
        <v>329</v>
      </c>
      <c r="B79">
        <v>2</v>
      </c>
    </row>
    <row r="80" spans="1:24" x14ac:dyDescent="0.2">
      <c r="A80" t="s">
        <v>330</v>
      </c>
      <c r="B80">
        <v>3</v>
      </c>
    </row>
    <row r="81" spans="1:2" x14ac:dyDescent="0.2">
      <c r="A81" t="s">
        <v>331</v>
      </c>
      <c r="B81">
        <v>4</v>
      </c>
    </row>
    <row r="82" spans="1:2" x14ac:dyDescent="0.2">
      <c r="A82" t="s">
        <v>332</v>
      </c>
      <c r="B82">
        <v>5</v>
      </c>
    </row>
    <row r="83" spans="1:2" x14ac:dyDescent="0.2">
      <c r="A83" t="s">
        <v>333</v>
      </c>
      <c r="B83">
        <v>6</v>
      </c>
    </row>
    <row r="84" spans="1:2" x14ac:dyDescent="0.2">
      <c r="A84" t="s">
        <v>334</v>
      </c>
      <c r="B84">
        <v>8</v>
      </c>
    </row>
    <row r="85" spans="1:2" x14ac:dyDescent="0.2">
      <c r="A85" t="s">
        <v>335</v>
      </c>
      <c r="B85">
        <v>9</v>
      </c>
    </row>
    <row r="86" spans="1:2" x14ac:dyDescent="0.2">
      <c r="A86" t="s">
        <v>336</v>
      </c>
      <c r="B86">
        <v>10</v>
      </c>
    </row>
    <row r="87" spans="1:2" x14ac:dyDescent="0.2">
      <c r="A87" t="s">
        <v>337</v>
      </c>
      <c r="B87">
        <v>11</v>
      </c>
    </row>
    <row r="88" spans="1:2" x14ac:dyDescent="0.2">
      <c r="A88" t="s">
        <v>338</v>
      </c>
      <c r="B88">
        <v>12</v>
      </c>
    </row>
    <row r="89" spans="1:2" x14ac:dyDescent="0.2">
      <c r="A89" t="s">
        <v>339</v>
      </c>
      <c r="B89">
        <v>13</v>
      </c>
    </row>
    <row r="90" spans="1:2" x14ac:dyDescent="0.2">
      <c r="A90" t="s">
        <v>340</v>
      </c>
      <c r="B90">
        <v>14</v>
      </c>
    </row>
    <row r="91" spans="1:2" x14ac:dyDescent="0.2">
      <c r="A91" t="s">
        <v>341</v>
      </c>
      <c r="B91">
        <v>15</v>
      </c>
    </row>
    <row r="92" spans="1:2" x14ac:dyDescent="0.2">
      <c r="A92" t="s">
        <v>342</v>
      </c>
      <c r="B92">
        <v>16</v>
      </c>
    </row>
    <row r="93" spans="1:2" x14ac:dyDescent="0.2">
      <c r="A93" t="s">
        <v>343</v>
      </c>
      <c r="B93">
        <v>17</v>
      </c>
    </row>
    <row r="94" spans="1:2" x14ac:dyDescent="0.2">
      <c r="A94" t="s">
        <v>344</v>
      </c>
      <c r="B94">
        <v>18</v>
      </c>
    </row>
    <row r="95" spans="1:2" x14ac:dyDescent="0.2">
      <c r="A95" t="s">
        <v>345</v>
      </c>
      <c r="B95">
        <v>19</v>
      </c>
    </row>
    <row r="96" spans="1:2" x14ac:dyDescent="0.2">
      <c r="A96" t="s">
        <v>346</v>
      </c>
      <c r="B96">
        <v>20</v>
      </c>
    </row>
    <row r="97" spans="1:2" x14ac:dyDescent="0.2">
      <c r="A97" t="s">
        <v>347</v>
      </c>
      <c r="B97">
        <v>21</v>
      </c>
    </row>
    <row r="98" spans="1:2" x14ac:dyDescent="0.2">
      <c r="A98" t="s">
        <v>348</v>
      </c>
      <c r="B98">
        <v>22</v>
      </c>
    </row>
    <row r="99" spans="1:2" x14ac:dyDescent="0.2">
      <c r="A99" t="s">
        <v>349</v>
      </c>
      <c r="B99">
        <v>23</v>
      </c>
    </row>
    <row r="100" spans="1:2" x14ac:dyDescent="0.2">
      <c r="A100" t="s">
        <v>350</v>
      </c>
      <c r="B100">
        <v>24</v>
      </c>
    </row>
    <row r="101" spans="1:2" x14ac:dyDescent="0.2">
      <c r="A101" t="s">
        <v>351</v>
      </c>
      <c r="B101">
        <v>25</v>
      </c>
    </row>
    <row r="102" spans="1:2" x14ac:dyDescent="0.2">
      <c r="A102" t="s">
        <v>352</v>
      </c>
      <c r="B102">
        <v>26</v>
      </c>
    </row>
    <row r="103" spans="1:2" x14ac:dyDescent="0.2">
      <c r="A103" t="s">
        <v>353</v>
      </c>
      <c r="B103">
        <v>27</v>
      </c>
    </row>
    <row r="104" spans="1:2" x14ac:dyDescent="0.2">
      <c r="A104" t="s">
        <v>354</v>
      </c>
      <c r="B104">
        <v>28</v>
      </c>
    </row>
    <row r="105" spans="1:2" x14ac:dyDescent="0.2">
      <c r="A105" t="s">
        <v>355</v>
      </c>
      <c r="B105">
        <v>29</v>
      </c>
    </row>
    <row r="106" spans="1:2" x14ac:dyDescent="0.2">
      <c r="A106" t="s">
        <v>356</v>
      </c>
      <c r="B106">
        <v>31</v>
      </c>
    </row>
    <row r="107" spans="1:2" x14ac:dyDescent="0.2">
      <c r="A107" t="s">
        <v>357</v>
      </c>
      <c r="B107">
        <v>32</v>
      </c>
    </row>
    <row r="108" spans="1:2" x14ac:dyDescent="0.2">
      <c r="A108" t="s">
        <v>358</v>
      </c>
      <c r="B108">
        <v>33</v>
      </c>
    </row>
    <row r="109" spans="1:2" x14ac:dyDescent="0.2">
      <c r="A109" t="s">
        <v>359</v>
      </c>
      <c r="B109">
        <v>34</v>
      </c>
    </row>
    <row r="110" spans="1:2" x14ac:dyDescent="0.2">
      <c r="A110" t="s">
        <v>360</v>
      </c>
      <c r="B110">
        <v>35</v>
      </c>
    </row>
    <row r="111" spans="1:2" x14ac:dyDescent="0.2">
      <c r="A111" t="s">
        <v>361</v>
      </c>
      <c r="B111">
        <v>36</v>
      </c>
    </row>
    <row r="112" spans="1:2" x14ac:dyDescent="0.2">
      <c r="A112" t="s">
        <v>362</v>
      </c>
      <c r="B112">
        <v>37</v>
      </c>
    </row>
    <row r="113" spans="1:2" x14ac:dyDescent="0.2">
      <c r="A113" t="s">
        <v>363</v>
      </c>
      <c r="B113">
        <v>38</v>
      </c>
    </row>
    <row r="114" spans="1:2" x14ac:dyDescent="0.2">
      <c r="A114" t="s">
        <v>364</v>
      </c>
      <c r="B114">
        <v>39</v>
      </c>
    </row>
    <row r="115" spans="1:2" x14ac:dyDescent="0.2">
      <c r="A115" t="s">
        <v>365</v>
      </c>
      <c r="B115">
        <v>40</v>
      </c>
    </row>
    <row r="116" spans="1:2" x14ac:dyDescent="0.2">
      <c r="A116" t="s">
        <v>366</v>
      </c>
      <c r="B116">
        <v>41</v>
      </c>
    </row>
    <row r="117" spans="1:2" x14ac:dyDescent="0.2">
      <c r="A117" t="s">
        <v>367</v>
      </c>
      <c r="B117">
        <v>42</v>
      </c>
    </row>
    <row r="118" spans="1:2" x14ac:dyDescent="0.2">
      <c r="A118" t="s">
        <v>368</v>
      </c>
      <c r="B118">
        <v>43</v>
      </c>
    </row>
    <row r="119" spans="1:2" x14ac:dyDescent="0.2">
      <c r="A119" t="s">
        <v>369</v>
      </c>
      <c r="B119">
        <v>44</v>
      </c>
    </row>
    <row r="120" spans="1:2" x14ac:dyDescent="0.2">
      <c r="A120" t="s">
        <v>370</v>
      </c>
      <c r="B120">
        <v>45</v>
      </c>
    </row>
    <row r="121" spans="1:2" x14ac:dyDescent="0.2">
      <c r="A121" t="s">
        <v>371</v>
      </c>
      <c r="B121">
        <v>46</v>
      </c>
    </row>
    <row r="122" spans="1:2" x14ac:dyDescent="0.2">
      <c r="A122" t="s">
        <v>372</v>
      </c>
      <c r="B122">
        <v>47</v>
      </c>
    </row>
    <row r="123" spans="1:2" x14ac:dyDescent="0.2">
      <c r="A123" t="s">
        <v>373</v>
      </c>
      <c r="B123">
        <v>48</v>
      </c>
    </row>
    <row r="124" spans="1:2" x14ac:dyDescent="0.2">
      <c r="A124" t="s">
        <v>374</v>
      </c>
      <c r="B124">
        <v>49</v>
      </c>
    </row>
    <row r="125" spans="1:2" x14ac:dyDescent="0.2">
      <c r="A125" t="s">
        <v>375</v>
      </c>
      <c r="B125">
        <v>50</v>
      </c>
    </row>
    <row r="126" spans="1:2" x14ac:dyDescent="0.2">
      <c r="A126" t="s">
        <v>376</v>
      </c>
      <c r="B126">
        <v>51</v>
      </c>
    </row>
    <row r="127" spans="1:2" x14ac:dyDescent="0.2">
      <c r="A127" t="s">
        <v>377</v>
      </c>
      <c r="B127">
        <v>52</v>
      </c>
    </row>
    <row r="128" spans="1:2" x14ac:dyDescent="0.2">
      <c r="A128" t="s">
        <v>378</v>
      </c>
      <c r="B128">
        <v>54</v>
      </c>
    </row>
    <row r="129" spans="1:23" x14ac:dyDescent="0.2">
      <c r="A129" t="s">
        <v>379</v>
      </c>
      <c r="B129">
        <v>55</v>
      </c>
    </row>
    <row r="130" spans="1:23" x14ac:dyDescent="0.2">
      <c r="A130" t="s">
        <v>380</v>
      </c>
      <c r="B130">
        <v>56</v>
      </c>
    </row>
    <row r="131" spans="1:23" x14ac:dyDescent="0.2">
      <c r="A131" t="s">
        <v>381</v>
      </c>
      <c r="B131">
        <v>57</v>
      </c>
    </row>
    <row r="132" spans="1:23" x14ac:dyDescent="0.2">
      <c r="A132" t="s">
        <v>382</v>
      </c>
      <c r="B132">
        <v>58</v>
      </c>
    </row>
    <row r="133" spans="1:23" x14ac:dyDescent="0.2">
      <c r="A133" t="s">
        <v>383</v>
      </c>
      <c r="B133">
        <v>59</v>
      </c>
    </row>
    <row r="134" spans="1:23" x14ac:dyDescent="0.2">
      <c r="A134" t="s">
        <v>384</v>
      </c>
      <c r="B134" t="s">
        <v>385</v>
      </c>
    </row>
    <row r="135" spans="1:23" x14ac:dyDescent="0.2">
      <c r="A135" t="s">
        <v>386</v>
      </c>
      <c r="B135" t="s">
        <v>387</v>
      </c>
    </row>
    <row r="136" spans="1:23" x14ac:dyDescent="0.2">
      <c r="A136" t="s">
        <v>388</v>
      </c>
      <c r="B136" t="s">
        <v>389</v>
      </c>
    </row>
    <row r="137" spans="1:23" x14ac:dyDescent="0.2">
      <c r="A137" t="s">
        <v>390</v>
      </c>
      <c r="B137" t="s">
        <v>391</v>
      </c>
    </row>
    <row r="138" spans="1:23" x14ac:dyDescent="0.2">
      <c r="A138" t="s">
        <v>392</v>
      </c>
      <c r="B138" t="s">
        <v>393</v>
      </c>
    </row>
    <row r="139" spans="1:23" x14ac:dyDescent="0.2">
      <c r="A139" t="s">
        <v>394</v>
      </c>
      <c r="B139" t="s">
        <v>395</v>
      </c>
    </row>
    <row r="140" spans="1:23" x14ac:dyDescent="0.2">
      <c r="A140" t="s">
        <v>396</v>
      </c>
      <c r="B140" t="s">
        <v>397</v>
      </c>
    </row>
    <row r="141" spans="1:23" x14ac:dyDescent="0.2">
      <c r="A141" t="s">
        <v>398</v>
      </c>
      <c r="B141" t="s">
        <v>399</v>
      </c>
    </row>
    <row r="142" spans="1:23" x14ac:dyDescent="0.2">
      <c r="A142" t="s">
        <v>400</v>
      </c>
      <c r="B142" t="s">
        <v>401</v>
      </c>
    </row>
    <row r="143" spans="1:23" x14ac:dyDescent="0.2">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
      <c r="A144" t="s">
        <v>403</v>
      </c>
      <c r="B144">
        <v>1</v>
      </c>
    </row>
    <row r="145" spans="1:2" x14ac:dyDescent="0.2">
      <c r="A145" t="s">
        <v>404</v>
      </c>
      <c r="B145">
        <v>2</v>
      </c>
    </row>
    <row r="146" spans="1:2" x14ac:dyDescent="0.2">
      <c r="A146" t="s">
        <v>405</v>
      </c>
      <c r="B146">
        <v>3</v>
      </c>
    </row>
    <row r="147" spans="1:2" x14ac:dyDescent="0.2">
      <c r="A147" t="s">
        <v>406</v>
      </c>
      <c r="B147">
        <v>4</v>
      </c>
    </row>
    <row r="148" spans="1:2" x14ac:dyDescent="0.2">
      <c r="A148" t="s">
        <v>407</v>
      </c>
      <c r="B148">
        <v>5</v>
      </c>
    </row>
    <row r="149" spans="1:2" x14ac:dyDescent="0.2">
      <c r="A149" t="s">
        <v>408</v>
      </c>
      <c r="B149">
        <v>6</v>
      </c>
    </row>
    <row r="150" spans="1:2" x14ac:dyDescent="0.2">
      <c r="A150" t="s">
        <v>409</v>
      </c>
      <c r="B150">
        <v>8</v>
      </c>
    </row>
    <row r="151" spans="1:2" x14ac:dyDescent="0.2">
      <c r="A151" t="s">
        <v>410</v>
      </c>
      <c r="B151">
        <v>9</v>
      </c>
    </row>
    <row r="152" spans="1:2" x14ac:dyDescent="0.2">
      <c r="A152" t="s">
        <v>411</v>
      </c>
      <c r="B152">
        <v>10</v>
      </c>
    </row>
    <row r="153" spans="1:2" x14ac:dyDescent="0.2">
      <c r="A153" t="s">
        <v>412</v>
      </c>
      <c r="B153">
        <v>11</v>
      </c>
    </row>
    <row r="154" spans="1:2" x14ac:dyDescent="0.2">
      <c r="A154" t="s">
        <v>413</v>
      </c>
      <c r="B154">
        <v>12</v>
      </c>
    </row>
    <row r="155" spans="1:2" x14ac:dyDescent="0.2">
      <c r="A155" t="s">
        <v>414</v>
      </c>
      <c r="B155">
        <v>13</v>
      </c>
    </row>
    <row r="156" spans="1:2" x14ac:dyDescent="0.2">
      <c r="A156" t="s">
        <v>415</v>
      </c>
      <c r="B156">
        <v>14</v>
      </c>
    </row>
    <row r="157" spans="1:2" x14ac:dyDescent="0.2">
      <c r="A157" t="s">
        <v>416</v>
      </c>
      <c r="B157">
        <v>15</v>
      </c>
    </row>
    <row r="158" spans="1:2" x14ac:dyDescent="0.2">
      <c r="A158" t="s">
        <v>417</v>
      </c>
      <c r="B158">
        <v>16</v>
      </c>
    </row>
    <row r="159" spans="1:2" x14ac:dyDescent="0.2">
      <c r="A159" t="s">
        <v>418</v>
      </c>
      <c r="B159">
        <v>17</v>
      </c>
    </row>
    <row r="160" spans="1:2" x14ac:dyDescent="0.2">
      <c r="A160" t="s">
        <v>419</v>
      </c>
      <c r="B160">
        <v>18</v>
      </c>
    </row>
    <row r="161" spans="1:2" x14ac:dyDescent="0.2">
      <c r="A161" t="s">
        <v>420</v>
      </c>
      <c r="B161">
        <v>19</v>
      </c>
    </row>
    <row r="162" spans="1:2" x14ac:dyDescent="0.2">
      <c r="A162" t="s">
        <v>421</v>
      </c>
      <c r="B162">
        <v>20</v>
      </c>
    </row>
    <row r="163" spans="1:2" x14ac:dyDescent="0.2">
      <c r="A163" t="s">
        <v>422</v>
      </c>
      <c r="B163">
        <v>21</v>
      </c>
    </row>
    <row r="164" spans="1:2" x14ac:dyDescent="0.2">
      <c r="A164" t="s">
        <v>423</v>
      </c>
      <c r="B164">
        <v>22</v>
      </c>
    </row>
    <row r="165" spans="1:2" x14ac:dyDescent="0.2">
      <c r="A165" t="s">
        <v>424</v>
      </c>
      <c r="B165">
        <v>23</v>
      </c>
    </row>
    <row r="166" spans="1:2" x14ac:dyDescent="0.2">
      <c r="A166" t="s">
        <v>425</v>
      </c>
      <c r="B166">
        <v>24</v>
      </c>
    </row>
    <row r="167" spans="1:2" x14ac:dyDescent="0.2">
      <c r="A167" t="s">
        <v>426</v>
      </c>
      <c r="B167">
        <v>25</v>
      </c>
    </row>
    <row r="168" spans="1:2" x14ac:dyDescent="0.2">
      <c r="A168" t="s">
        <v>427</v>
      </c>
      <c r="B168">
        <v>26</v>
      </c>
    </row>
    <row r="169" spans="1:2" x14ac:dyDescent="0.2">
      <c r="A169" t="s">
        <v>428</v>
      </c>
      <c r="B169">
        <v>27</v>
      </c>
    </row>
    <row r="170" spans="1:2" x14ac:dyDescent="0.2">
      <c r="A170" t="s">
        <v>429</v>
      </c>
      <c r="B170">
        <v>28</v>
      </c>
    </row>
    <row r="171" spans="1:2" x14ac:dyDescent="0.2">
      <c r="A171" t="s">
        <v>430</v>
      </c>
      <c r="B171">
        <v>29</v>
      </c>
    </row>
    <row r="172" spans="1:2" x14ac:dyDescent="0.2">
      <c r="A172" t="s">
        <v>431</v>
      </c>
      <c r="B172">
        <v>31</v>
      </c>
    </row>
    <row r="173" spans="1:2" x14ac:dyDescent="0.2">
      <c r="A173" t="s">
        <v>432</v>
      </c>
      <c r="B173">
        <v>32</v>
      </c>
    </row>
    <row r="174" spans="1:2" x14ac:dyDescent="0.2">
      <c r="A174" t="s">
        <v>433</v>
      </c>
      <c r="B174">
        <v>33</v>
      </c>
    </row>
    <row r="175" spans="1:2" x14ac:dyDescent="0.2">
      <c r="A175" t="s">
        <v>434</v>
      </c>
      <c r="B175">
        <v>34</v>
      </c>
    </row>
    <row r="176" spans="1:2" x14ac:dyDescent="0.2">
      <c r="A176" t="s">
        <v>435</v>
      </c>
      <c r="B176">
        <v>35</v>
      </c>
    </row>
    <row r="177" spans="1:2" x14ac:dyDescent="0.2">
      <c r="A177" t="s">
        <v>436</v>
      </c>
      <c r="B177">
        <v>36</v>
      </c>
    </row>
    <row r="178" spans="1:2" x14ac:dyDescent="0.2">
      <c r="A178" t="s">
        <v>437</v>
      </c>
      <c r="B178">
        <v>37</v>
      </c>
    </row>
    <row r="179" spans="1:2" x14ac:dyDescent="0.2">
      <c r="A179" t="s">
        <v>438</v>
      </c>
      <c r="B179">
        <v>38</v>
      </c>
    </row>
    <row r="180" spans="1:2" x14ac:dyDescent="0.2">
      <c r="A180" t="s">
        <v>439</v>
      </c>
      <c r="B180">
        <v>39</v>
      </c>
    </row>
    <row r="181" spans="1:2" x14ac:dyDescent="0.2">
      <c r="A181" t="s">
        <v>440</v>
      </c>
      <c r="B181">
        <v>40</v>
      </c>
    </row>
    <row r="182" spans="1:2" x14ac:dyDescent="0.2">
      <c r="A182" t="s">
        <v>441</v>
      </c>
      <c r="B182">
        <v>41</v>
      </c>
    </row>
    <row r="183" spans="1:2" x14ac:dyDescent="0.2">
      <c r="A183" t="s">
        <v>442</v>
      </c>
      <c r="B183">
        <v>42</v>
      </c>
    </row>
    <row r="184" spans="1:2" x14ac:dyDescent="0.2">
      <c r="A184" t="s">
        <v>443</v>
      </c>
      <c r="B184">
        <v>43</v>
      </c>
    </row>
    <row r="185" spans="1:2" x14ac:dyDescent="0.2">
      <c r="A185" t="s">
        <v>444</v>
      </c>
      <c r="B185">
        <v>44</v>
      </c>
    </row>
    <row r="186" spans="1:2" x14ac:dyDescent="0.2">
      <c r="A186" t="s">
        <v>445</v>
      </c>
      <c r="B186">
        <v>45</v>
      </c>
    </row>
    <row r="187" spans="1:2" x14ac:dyDescent="0.2">
      <c r="A187" t="s">
        <v>446</v>
      </c>
      <c r="B187">
        <v>46</v>
      </c>
    </row>
    <row r="188" spans="1:2" x14ac:dyDescent="0.2">
      <c r="A188" t="s">
        <v>447</v>
      </c>
      <c r="B188">
        <v>47</v>
      </c>
    </row>
    <row r="189" spans="1:2" x14ac:dyDescent="0.2">
      <c r="A189" t="s">
        <v>448</v>
      </c>
      <c r="B189">
        <v>48</v>
      </c>
    </row>
    <row r="190" spans="1:2" x14ac:dyDescent="0.2">
      <c r="A190" t="s">
        <v>449</v>
      </c>
      <c r="B190">
        <v>49</v>
      </c>
    </row>
    <row r="191" spans="1:2" x14ac:dyDescent="0.2">
      <c r="A191" t="s">
        <v>450</v>
      </c>
      <c r="B191">
        <v>50</v>
      </c>
    </row>
    <row r="192" spans="1:2" x14ac:dyDescent="0.2">
      <c r="A192" t="s">
        <v>451</v>
      </c>
      <c r="B192">
        <v>51</v>
      </c>
    </row>
    <row r="193" spans="1:2" x14ac:dyDescent="0.2">
      <c r="A193" t="s">
        <v>452</v>
      </c>
      <c r="B193">
        <v>52</v>
      </c>
    </row>
    <row r="194" spans="1:2" x14ac:dyDescent="0.2">
      <c r="A194" t="s">
        <v>453</v>
      </c>
      <c r="B194">
        <v>54</v>
      </c>
    </row>
    <row r="195" spans="1:2" x14ac:dyDescent="0.2">
      <c r="A195" t="s">
        <v>454</v>
      </c>
      <c r="B195">
        <v>55</v>
      </c>
    </row>
    <row r="196" spans="1:2" x14ac:dyDescent="0.2">
      <c r="A196" t="s">
        <v>455</v>
      </c>
      <c r="B196">
        <v>56</v>
      </c>
    </row>
    <row r="197" spans="1:2" x14ac:dyDescent="0.2">
      <c r="A197" t="s">
        <v>456</v>
      </c>
      <c r="B197">
        <v>57</v>
      </c>
    </row>
    <row r="198" spans="1:2" x14ac:dyDescent="0.2">
      <c r="A198" t="s">
        <v>457</v>
      </c>
      <c r="B198">
        <v>58</v>
      </c>
    </row>
    <row r="199" spans="1:2" x14ac:dyDescent="0.2">
      <c r="A199" t="s">
        <v>458</v>
      </c>
      <c r="B199">
        <v>59</v>
      </c>
    </row>
    <row r="200" spans="1:2" x14ac:dyDescent="0.2">
      <c r="A200" t="s">
        <v>459</v>
      </c>
      <c r="B200" t="s">
        <v>460</v>
      </c>
    </row>
    <row r="201" spans="1:2" x14ac:dyDescent="0.2">
      <c r="A201" t="s">
        <v>461</v>
      </c>
      <c r="B201" t="s">
        <v>462</v>
      </c>
    </row>
    <row r="202" spans="1:2" x14ac:dyDescent="0.2">
      <c r="A202" t="s">
        <v>463</v>
      </c>
      <c r="B202" t="s">
        <v>464</v>
      </c>
    </row>
    <row r="203" spans="1:2" x14ac:dyDescent="0.2">
      <c r="A203" t="s">
        <v>465</v>
      </c>
      <c r="B203" t="s">
        <v>466</v>
      </c>
    </row>
    <row r="204" spans="1:2" x14ac:dyDescent="0.2">
      <c r="A204" t="s">
        <v>467</v>
      </c>
      <c r="B204" t="s">
        <v>468</v>
      </c>
    </row>
    <row r="205" spans="1:2" x14ac:dyDescent="0.2">
      <c r="A205" t="s">
        <v>469</v>
      </c>
      <c r="B205" t="s">
        <v>470</v>
      </c>
    </row>
    <row r="206" spans="1:2" x14ac:dyDescent="0.2">
      <c r="A206" t="s">
        <v>471</v>
      </c>
      <c r="B206" t="s">
        <v>472</v>
      </c>
    </row>
    <row r="207" spans="1:2" x14ac:dyDescent="0.2">
      <c r="A207" t="s">
        <v>473</v>
      </c>
      <c r="B207" t="s">
        <v>474</v>
      </c>
    </row>
    <row r="208" spans="1:2" x14ac:dyDescent="0.2">
      <c r="A208" t="s">
        <v>475</v>
      </c>
      <c r="B208" t="s">
        <v>476</v>
      </c>
    </row>
    <row r="209" spans="1:23" x14ac:dyDescent="0.2">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
      <c r="A210" t="s">
        <v>478</v>
      </c>
      <c r="B210">
        <v>1</v>
      </c>
    </row>
    <row r="211" spans="1:23" x14ac:dyDescent="0.2">
      <c r="A211" t="s">
        <v>479</v>
      </c>
      <c r="B211">
        <v>2</v>
      </c>
    </row>
    <row r="212" spans="1:23" x14ac:dyDescent="0.2">
      <c r="A212" t="s">
        <v>480</v>
      </c>
      <c r="B212">
        <v>3</v>
      </c>
    </row>
    <row r="213" spans="1:23" x14ac:dyDescent="0.2">
      <c r="A213" t="s">
        <v>481</v>
      </c>
      <c r="B213">
        <v>4</v>
      </c>
    </row>
    <row r="214" spans="1:23" x14ac:dyDescent="0.2">
      <c r="A214" t="s">
        <v>482</v>
      </c>
      <c r="B214">
        <v>5</v>
      </c>
    </row>
    <row r="215" spans="1:23" x14ac:dyDescent="0.2">
      <c r="A215" t="s">
        <v>483</v>
      </c>
      <c r="B215">
        <v>6</v>
      </c>
    </row>
    <row r="216" spans="1:23" x14ac:dyDescent="0.2">
      <c r="A216" t="s">
        <v>484</v>
      </c>
      <c r="B216">
        <v>7</v>
      </c>
    </row>
    <row r="217" spans="1:23" x14ac:dyDescent="0.2">
      <c r="A217" t="s">
        <v>485</v>
      </c>
      <c r="B217">
        <v>9</v>
      </c>
    </row>
    <row r="218" spans="1:23" x14ac:dyDescent="0.2">
      <c r="A218" t="s">
        <v>486</v>
      </c>
      <c r="B218">
        <v>10</v>
      </c>
    </row>
    <row r="219" spans="1:23" x14ac:dyDescent="0.2">
      <c r="A219" t="s">
        <v>487</v>
      </c>
      <c r="B219">
        <v>11</v>
      </c>
    </row>
    <row r="220" spans="1:23" x14ac:dyDescent="0.2">
      <c r="A220" t="s">
        <v>488</v>
      </c>
      <c r="B220">
        <v>12</v>
      </c>
    </row>
    <row r="221" spans="1:23" x14ac:dyDescent="0.2">
      <c r="A221" t="s">
        <v>489</v>
      </c>
      <c r="B221">
        <v>13</v>
      </c>
    </row>
    <row r="222" spans="1:23" x14ac:dyDescent="0.2">
      <c r="A222" t="s">
        <v>490</v>
      </c>
      <c r="B222">
        <v>14</v>
      </c>
    </row>
    <row r="223" spans="1:23" x14ac:dyDescent="0.2">
      <c r="A223" t="s">
        <v>491</v>
      </c>
      <c r="B223">
        <v>15</v>
      </c>
    </row>
    <row r="224" spans="1:23" x14ac:dyDescent="0.2">
      <c r="A224" t="s">
        <v>492</v>
      </c>
      <c r="B224">
        <v>16</v>
      </c>
    </row>
    <row r="225" spans="1:2" x14ac:dyDescent="0.2">
      <c r="A225" t="s">
        <v>493</v>
      </c>
      <c r="B225">
        <v>17</v>
      </c>
    </row>
    <row r="226" spans="1:2" x14ac:dyDescent="0.2">
      <c r="A226" t="s">
        <v>494</v>
      </c>
      <c r="B226">
        <v>18</v>
      </c>
    </row>
    <row r="227" spans="1:2" x14ac:dyDescent="0.2">
      <c r="A227" t="s">
        <v>495</v>
      </c>
      <c r="B227">
        <v>19</v>
      </c>
    </row>
    <row r="228" spans="1:2" x14ac:dyDescent="0.2">
      <c r="A228" t="s">
        <v>496</v>
      </c>
      <c r="B228">
        <v>20</v>
      </c>
    </row>
    <row r="229" spans="1:2" x14ac:dyDescent="0.2">
      <c r="A229" t="s">
        <v>497</v>
      </c>
      <c r="B229">
        <v>21</v>
      </c>
    </row>
    <row r="230" spans="1:2" x14ac:dyDescent="0.2">
      <c r="A230" t="s">
        <v>498</v>
      </c>
      <c r="B230">
        <v>22</v>
      </c>
    </row>
    <row r="231" spans="1:2" x14ac:dyDescent="0.2">
      <c r="A231" t="s">
        <v>499</v>
      </c>
      <c r="B231">
        <v>23</v>
      </c>
    </row>
    <row r="232" spans="1:2" x14ac:dyDescent="0.2">
      <c r="A232" t="s">
        <v>500</v>
      </c>
      <c r="B232">
        <v>24</v>
      </c>
    </row>
    <row r="233" spans="1:2" x14ac:dyDescent="0.2">
      <c r="A233" t="s">
        <v>501</v>
      </c>
      <c r="B233">
        <v>25</v>
      </c>
    </row>
    <row r="234" spans="1:2" x14ac:dyDescent="0.2">
      <c r="A234" t="s">
        <v>502</v>
      </c>
      <c r="B234">
        <v>26</v>
      </c>
    </row>
    <row r="235" spans="1:2" x14ac:dyDescent="0.2">
      <c r="A235" t="s">
        <v>503</v>
      </c>
      <c r="B235">
        <v>27</v>
      </c>
    </row>
    <row r="236" spans="1:2" x14ac:dyDescent="0.2">
      <c r="A236" t="s">
        <v>504</v>
      </c>
      <c r="B236">
        <v>28</v>
      </c>
    </row>
    <row r="237" spans="1:2" x14ac:dyDescent="0.2">
      <c r="A237" t="s">
        <v>505</v>
      </c>
      <c r="B237">
        <v>29</v>
      </c>
    </row>
    <row r="238" spans="1:2" x14ac:dyDescent="0.2">
      <c r="A238" t="s">
        <v>506</v>
      </c>
      <c r="B238">
        <v>30</v>
      </c>
    </row>
    <row r="239" spans="1:2" x14ac:dyDescent="0.2">
      <c r="A239" t="s">
        <v>507</v>
      </c>
      <c r="B239">
        <v>31</v>
      </c>
    </row>
    <row r="240" spans="1:2" x14ac:dyDescent="0.2">
      <c r="A240" t="s">
        <v>508</v>
      </c>
      <c r="B240">
        <v>33</v>
      </c>
    </row>
    <row r="241" spans="1:2" x14ac:dyDescent="0.2">
      <c r="A241" t="s">
        <v>509</v>
      </c>
      <c r="B241">
        <v>34</v>
      </c>
    </row>
    <row r="242" spans="1:2" x14ac:dyDescent="0.2">
      <c r="A242" t="s">
        <v>510</v>
      </c>
      <c r="B242">
        <v>35</v>
      </c>
    </row>
    <row r="243" spans="1:2" x14ac:dyDescent="0.2">
      <c r="A243" t="s">
        <v>511</v>
      </c>
      <c r="B243">
        <v>36</v>
      </c>
    </row>
    <row r="244" spans="1:2" x14ac:dyDescent="0.2">
      <c r="A244" t="s">
        <v>512</v>
      </c>
      <c r="B244">
        <v>37</v>
      </c>
    </row>
    <row r="245" spans="1:2" x14ac:dyDescent="0.2">
      <c r="A245" t="s">
        <v>513</v>
      </c>
      <c r="B245">
        <v>38</v>
      </c>
    </row>
    <row r="246" spans="1:2" x14ac:dyDescent="0.2">
      <c r="A246" t="s">
        <v>514</v>
      </c>
      <c r="B246">
        <v>39</v>
      </c>
    </row>
    <row r="247" spans="1:2" x14ac:dyDescent="0.2">
      <c r="A247" t="s">
        <v>515</v>
      </c>
      <c r="B247">
        <v>40</v>
      </c>
    </row>
    <row r="248" spans="1:2" x14ac:dyDescent="0.2">
      <c r="A248" t="s">
        <v>516</v>
      </c>
      <c r="B248">
        <v>41</v>
      </c>
    </row>
    <row r="249" spans="1:2" x14ac:dyDescent="0.2">
      <c r="A249" t="s">
        <v>517</v>
      </c>
      <c r="B249">
        <v>42</v>
      </c>
    </row>
    <row r="250" spans="1:2" x14ac:dyDescent="0.2">
      <c r="A250" t="s">
        <v>518</v>
      </c>
      <c r="B250">
        <v>43</v>
      </c>
    </row>
    <row r="251" spans="1:2" x14ac:dyDescent="0.2">
      <c r="A251" t="s">
        <v>519</v>
      </c>
      <c r="B251">
        <v>44</v>
      </c>
    </row>
    <row r="252" spans="1:2" x14ac:dyDescent="0.2">
      <c r="A252" t="s">
        <v>520</v>
      </c>
      <c r="B252">
        <v>45</v>
      </c>
    </row>
    <row r="253" spans="1:2" x14ac:dyDescent="0.2">
      <c r="A253" t="s">
        <v>521</v>
      </c>
      <c r="B253">
        <v>46</v>
      </c>
    </row>
    <row r="254" spans="1:2" x14ac:dyDescent="0.2">
      <c r="A254" t="s">
        <v>522</v>
      </c>
      <c r="B254">
        <v>47</v>
      </c>
    </row>
    <row r="255" spans="1:2" x14ac:dyDescent="0.2">
      <c r="A255" t="s">
        <v>523</v>
      </c>
      <c r="B255">
        <v>48</v>
      </c>
    </row>
    <row r="256" spans="1:2" x14ac:dyDescent="0.2">
      <c r="A256" t="s">
        <v>524</v>
      </c>
      <c r="B256">
        <v>49</v>
      </c>
    </row>
    <row r="257" spans="1:2" x14ac:dyDescent="0.2">
      <c r="A257" t="s">
        <v>525</v>
      </c>
      <c r="B257">
        <v>50</v>
      </c>
    </row>
    <row r="258" spans="1:2" x14ac:dyDescent="0.2">
      <c r="A258" t="s">
        <v>526</v>
      </c>
      <c r="B258">
        <v>51</v>
      </c>
    </row>
    <row r="259" spans="1:2" x14ac:dyDescent="0.2">
      <c r="A259" t="s">
        <v>527</v>
      </c>
      <c r="B259">
        <v>52</v>
      </c>
    </row>
    <row r="260" spans="1:2" x14ac:dyDescent="0.2">
      <c r="A260" t="s">
        <v>528</v>
      </c>
      <c r="B260">
        <v>53</v>
      </c>
    </row>
    <row r="261" spans="1:2" x14ac:dyDescent="0.2">
      <c r="A261" t="s">
        <v>529</v>
      </c>
      <c r="B261">
        <v>54</v>
      </c>
    </row>
    <row r="262" spans="1:2" x14ac:dyDescent="0.2">
      <c r="A262" t="s">
        <v>530</v>
      </c>
      <c r="B262">
        <v>55</v>
      </c>
    </row>
    <row r="263" spans="1:2" x14ac:dyDescent="0.2">
      <c r="A263" t="s">
        <v>531</v>
      </c>
      <c r="B263">
        <v>57</v>
      </c>
    </row>
    <row r="264" spans="1:2" x14ac:dyDescent="0.2">
      <c r="A264" t="s">
        <v>532</v>
      </c>
      <c r="B264">
        <v>58</v>
      </c>
    </row>
    <row r="265" spans="1:2" x14ac:dyDescent="0.2">
      <c r="A265" t="s">
        <v>533</v>
      </c>
      <c r="B265">
        <v>59</v>
      </c>
    </row>
    <row r="266" spans="1:2" x14ac:dyDescent="0.2">
      <c r="A266" t="s">
        <v>534</v>
      </c>
      <c r="B266">
        <v>60</v>
      </c>
    </row>
    <row r="267" spans="1:2" x14ac:dyDescent="0.2">
      <c r="A267" t="s">
        <v>535</v>
      </c>
      <c r="B267">
        <v>62</v>
      </c>
    </row>
    <row r="268" spans="1:2" x14ac:dyDescent="0.2">
      <c r="A268" t="s">
        <v>536</v>
      </c>
      <c r="B268">
        <v>63</v>
      </c>
    </row>
    <row r="269" spans="1:2" x14ac:dyDescent="0.2">
      <c r="A269" t="s">
        <v>537</v>
      </c>
      <c r="B269">
        <v>64</v>
      </c>
    </row>
    <row r="270" spans="1:2" x14ac:dyDescent="0.2">
      <c r="A270" t="s">
        <v>538</v>
      </c>
      <c r="B270">
        <v>65</v>
      </c>
    </row>
    <row r="271" spans="1:2" x14ac:dyDescent="0.2">
      <c r="A271" t="s">
        <v>539</v>
      </c>
      <c r="B271">
        <v>66</v>
      </c>
    </row>
    <row r="272" spans="1:2" x14ac:dyDescent="0.2">
      <c r="A272" t="s">
        <v>540</v>
      </c>
      <c r="B272">
        <v>68</v>
      </c>
    </row>
    <row r="273" spans="1:24" x14ac:dyDescent="0.2">
      <c r="A273" t="s">
        <v>541</v>
      </c>
      <c r="B273">
        <v>69</v>
      </c>
    </row>
    <row r="274" spans="1:24" x14ac:dyDescent="0.2">
      <c r="A274" t="s">
        <v>542</v>
      </c>
      <c r="B274">
        <v>70</v>
      </c>
    </row>
    <row r="275" spans="1:24" x14ac:dyDescent="0.2">
      <c r="A275" t="s">
        <v>543</v>
      </c>
      <c r="B275">
        <v>71</v>
      </c>
    </row>
    <row r="276" spans="1:24" x14ac:dyDescent="0.2">
      <c r="A276" t="s">
        <v>544</v>
      </c>
      <c r="B276">
        <v>72</v>
      </c>
    </row>
    <row r="277" spans="1:24" x14ac:dyDescent="0.2">
      <c r="A277" t="s">
        <v>545</v>
      </c>
      <c r="B277" t="s">
        <v>546</v>
      </c>
    </row>
    <row r="278" spans="1:24" x14ac:dyDescent="0.2">
      <c r="A278" t="s">
        <v>547</v>
      </c>
      <c r="B278" t="s">
        <v>548</v>
      </c>
    </row>
    <row r="279" spans="1:24" x14ac:dyDescent="0.2">
      <c r="A279" t="s">
        <v>549</v>
      </c>
      <c r="B279" t="s">
        <v>550</v>
      </c>
    </row>
    <row r="280" spans="1:24" x14ac:dyDescent="0.2">
      <c r="A280" t="s">
        <v>551</v>
      </c>
      <c r="B280" t="s">
        <v>552</v>
      </c>
    </row>
    <row r="281" spans="1:24" x14ac:dyDescent="0.2">
      <c r="A281" t="s">
        <v>553</v>
      </c>
      <c r="B281" t="s">
        <v>554</v>
      </c>
    </row>
    <row r="282" spans="1:24" x14ac:dyDescent="0.2">
      <c r="A282" t="s">
        <v>555</v>
      </c>
      <c r="B282" t="s">
        <v>556</v>
      </c>
    </row>
    <row r="283" spans="1:24" x14ac:dyDescent="0.2">
      <c r="A283" t="s">
        <v>557</v>
      </c>
      <c r="B283" t="s">
        <v>558</v>
      </c>
    </row>
    <row r="284" spans="1:24" x14ac:dyDescent="0.2">
      <c r="A284" t="s">
        <v>559</v>
      </c>
      <c r="B284" t="s">
        <v>560</v>
      </c>
    </row>
    <row r="285" spans="1:24" x14ac:dyDescent="0.2">
      <c r="A285" t="s">
        <v>561</v>
      </c>
      <c r="B285" t="s">
        <v>562</v>
      </c>
    </row>
    <row r="286" spans="1:24" x14ac:dyDescent="0.2">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G19"/>
  <sheetViews>
    <sheetView zoomScale="55" zoomScaleNormal="55" workbookViewId="0">
      <pane xSplit="2" ySplit="4" topLeftCell="I5" activePane="bottomRight" state="frozen"/>
      <selection pane="topRight" activeCell="C1" sqref="C1"/>
      <selection pane="bottomLeft" activeCell="A5" sqref="A5"/>
      <selection pane="bottomRight" activeCell="AM5" sqref="AM5:AZ11"/>
    </sheetView>
  </sheetViews>
  <sheetFormatPr baseColWidth="10" defaultColWidth="8.83203125" defaultRowHeight="15" outlineLevelRow="2" x14ac:dyDescent="0.2"/>
  <cols>
    <col min="2" max="2" width="24.6640625" customWidth="1"/>
    <col min="3" max="4" width="10.6640625" customWidth="1"/>
    <col min="7" max="7" width="1.6640625" customWidth="1"/>
    <col min="10" max="13" width="10.6640625" customWidth="1"/>
    <col min="14" max="14" width="24.6640625" hidden="1" customWidth="1"/>
    <col min="15" max="15" width="12.6640625" customWidth="1"/>
    <col min="16" max="16" width="10.6640625" customWidth="1"/>
    <col min="17" max="20" width="12.6640625" customWidth="1"/>
    <col min="21" max="25" width="11.6640625" customWidth="1"/>
    <col min="30" max="30" width="1.6640625" customWidth="1"/>
    <col min="33" max="36" width="10.6640625" customWidth="1"/>
    <col min="37" max="37" width="24.6640625" hidden="1" customWidth="1"/>
    <col min="38" max="38" width="12.6640625" customWidth="1"/>
    <col min="39" max="39" width="10.6640625" customWidth="1"/>
    <col min="40" max="43" width="12.6640625" customWidth="1"/>
    <col min="44" max="48" width="11.6640625" customWidth="1"/>
    <col min="53" max="53" width="1.6640625" customWidth="1"/>
    <col min="60" max="60" width="1.6640625" customWidth="1"/>
  </cols>
  <sheetData>
    <row r="1" spans="1:59" x14ac:dyDescent="0.2">
      <c r="A1" s="72" t="s">
        <v>564</v>
      </c>
      <c r="B1" s="58"/>
      <c r="C1" s="58"/>
      <c r="D1" s="58"/>
      <c r="E1" s="58"/>
      <c r="F1" s="58"/>
      <c r="H1" s="57" t="str">
        <f>Summary!$C$1</f>
        <v>CTC_master+r220</v>
      </c>
      <c r="I1" s="58"/>
      <c r="J1" s="58"/>
      <c r="K1" s="58"/>
      <c r="L1" s="58"/>
      <c r="M1" s="58"/>
      <c r="N1" s="58"/>
      <c r="O1" s="58"/>
      <c r="P1" s="58"/>
      <c r="Q1" s="58"/>
      <c r="R1" s="58"/>
      <c r="S1" s="58"/>
      <c r="T1" s="58"/>
      <c r="U1" s="58"/>
      <c r="V1" s="58"/>
      <c r="W1" s="58"/>
      <c r="X1" s="58"/>
      <c r="Y1" s="58"/>
      <c r="Z1" s="58"/>
      <c r="AA1" s="58"/>
      <c r="AB1" s="58"/>
      <c r="AC1" s="58"/>
      <c r="AE1" s="59">
        <f>Summary!$C$2</f>
        <v>0</v>
      </c>
      <c r="AF1" s="58"/>
      <c r="AG1" s="58"/>
      <c r="AH1" s="58"/>
      <c r="AI1" s="58"/>
      <c r="AJ1" s="58"/>
      <c r="AK1" s="58"/>
      <c r="AL1" s="58"/>
      <c r="AM1" s="58"/>
      <c r="AN1" s="58"/>
      <c r="AO1" s="58"/>
      <c r="AP1" s="58"/>
      <c r="AQ1" s="58"/>
      <c r="AR1" s="58"/>
      <c r="AS1" s="58"/>
      <c r="AT1" s="58"/>
      <c r="AU1" s="58"/>
      <c r="AV1" s="58"/>
      <c r="AW1" s="58"/>
      <c r="AX1" s="58"/>
      <c r="AY1" s="58"/>
      <c r="AZ1" s="58"/>
    </row>
    <row r="2" spans="1:59" ht="30" customHeight="1" x14ac:dyDescent="0.2">
      <c r="A2" s="68" t="s">
        <v>137</v>
      </c>
      <c r="B2" s="69" t="s">
        <v>138</v>
      </c>
      <c r="C2" s="68" t="s">
        <v>140</v>
      </c>
      <c r="D2" s="69" t="s">
        <v>141</v>
      </c>
      <c r="E2" s="68" t="s">
        <v>142</v>
      </c>
      <c r="F2" s="69" t="s">
        <v>143</v>
      </c>
      <c r="H2" s="68" t="s">
        <v>565</v>
      </c>
      <c r="I2" s="69" t="s">
        <v>144</v>
      </c>
      <c r="J2" s="70" t="s">
        <v>145</v>
      </c>
      <c r="K2" s="58"/>
      <c r="L2" s="58"/>
      <c r="M2" s="58"/>
      <c r="N2" s="68" t="s">
        <v>146</v>
      </c>
      <c r="O2" s="69" t="s">
        <v>147</v>
      </c>
      <c r="P2" s="68" t="s">
        <v>84</v>
      </c>
      <c r="Q2" s="71" t="s">
        <v>148</v>
      </c>
      <c r="R2" s="58"/>
      <c r="S2" s="58"/>
      <c r="T2" s="58"/>
      <c r="U2" s="70" t="s">
        <v>149</v>
      </c>
      <c r="V2" s="58"/>
      <c r="W2" s="71" t="s">
        <v>150</v>
      </c>
      <c r="X2" s="58"/>
      <c r="Y2" s="58"/>
      <c r="Z2" s="70" t="s">
        <v>151</v>
      </c>
      <c r="AA2" s="58"/>
      <c r="AB2" s="71" t="s">
        <v>152</v>
      </c>
      <c r="AC2" s="58"/>
      <c r="AE2" s="68" t="s">
        <v>565</v>
      </c>
      <c r="AF2" s="69" t="s">
        <v>144</v>
      </c>
      <c r="AG2" s="70" t="s">
        <v>145</v>
      </c>
      <c r="AH2" s="58"/>
      <c r="AI2" s="58"/>
      <c r="AJ2" s="58"/>
      <c r="AK2" s="68" t="s">
        <v>153</v>
      </c>
      <c r="AL2" s="69" t="s">
        <v>147</v>
      </c>
      <c r="AM2" s="68" t="s">
        <v>84</v>
      </c>
      <c r="AN2" s="71" t="s">
        <v>148</v>
      </c>
      <c r="AO2" s="58"/>
      <c r="AP2" s="58"/>
      <c r="AQ2" s="58"/>
      <c r="AR2" s="70" t="s">
        <v>149</v>
      </c>
      <c r="AS2" s="58"/>
      <c r="AT2" s="71" t="s">
        <v>150</v>
      </c>
      <c r="AU2" s="58"/>
      <c r="AV2" s="58"/>
      <c r="AW2" s="70" t="s">
        <v>151</v>
      </c>
      <c r="AX2" s="58"/>
      <c r="AY2" s="71" t="s">
        <v>152</v>
      </c>
      <c r="AZ2" s="58"/>
      <c r="BB2" s="70" t="s">
        <v>22</v>
      </c>
      <c r="BC2" s="58"/>
      <c r="BD2" s="58"/>
      <c r="BE2" s="58"/>
      <c r="BF2" s="69" t="s">
        <v>156</v>
      </c>
      <c r="BG2" s="68" t="s">
        <v>156</v>
      </c>
    </row>
    <row r="3" spans="1:59" ht="29" customHeight="1" x14ac:dyDescent="0.2">
      <c r="A3" s="61"/>
      <c r="B3" s="61"/>
      <c r="C3" s="61"/>
      <c r="D3" s="61"/>
      <c r="E3" s="61"/>
      <c r="F3" s="61"/>
      <c r="H3" s="61"/>
      <c r="I3" s="61"/>
      <c r="J3" s="55" t="s">
        <v>25</v>
      </c>
      <c r="K3" s="55" t="s">
        <v>23</v>
      </c>
      <c r="L3" s="55" t="s">
        <v>157</v>
      </c>
      <c r="M3" s="55" t="s">
        <v>158</v>
      </c>
      <c r="N3" s="61"/>
      <c r="O3" s="61"/>
      <c r="P3" s="61"/>
      <c r="Q3" s="56" t="s">
        <v>25</v>
      </c>
      <c r="R3" s="56" t="s">
        <v>157</v>
      </c>
      <c r="S3" s="56" t="s">
        <v>159</v>
      </c>
      <c r="T3" s="56" t="s">
        <v>24</v>
      </c>
      <c r="U3" s="55" t="s">
        <v>9</v>
      </c>
      <c r="V3" s="55" t="s">
        <v>10</v>
      </c>
      <c r="W3" s="56" t="s">
        <v>11</v>
      </c>
      <c r="X3" s="56" t="s">
        <v>12</v>
      </c>
      <c r="Y3" s="56" t="s">
        <v>13</v>
      </c>
      <c r="Z3" s="55" t="s">
        <v>160</v>
      </c>
      <c r="AA3" s="55" t="s">
        <v>161</v>
      </c>
      <c r="AB3" s="56" t="s">
        <v>160</v>
      </c>
      <c r="AC3" s="56" t="s">
        <v>161</v>
      </c>
      <c r="AE3" s="61"/>
      <c r="AF3" s="61"/>
      <c r="AG3" s="55" t="s">
        <v>25</v>
      </c>
      <c r="AH3" s="55" t="s">
        <v>23</v>
      </c>
      <c r="AI3" s="55" t="s">
        <v>157</v>
      </c>
      <c r="AJ3" s="55" t="s">
        <v>158</v>
      </c>
      <c r="AK3" s="61"/>
      <c r="AL3" s="61"/>
      <c r="AM3" s="61"/>
      <c r="AN3" s="56" t="s">
        <v>25</v>
      </c>
      <c r="AO3" s="56" t="s">
        <v>157</v>
      </c>
      <c r="AP3" s="56" t="s">
        <v>159</v>
      </c>
      <c r="AQ3" s="56" t="s">
        <v>24</v>
      </c>
      <c r="AR3" s="55" t="s">
        <v>9</v>
      </c>
      <c r="AS3" s="55" t="s">
        <v>10</v>
      </c>
      <c r="AT3" s="56" t="s">
        <v>11</v>
      </c>
      <c r="AU3" s="56" t="s">
        <v>12</v>
      </c>
      <c r="AV3" s="56" t="s">
        <v>13</v>
      </c>
      <c r="AW3" s="55" t="s">
        <v>160</v>
      </c>
      <c r="AX3" s="55" t="s">
        <v>161</v>
      </c>
      <c r="AY3" s="56" t="s">
        <v>160</v>
      </c>
      <c r="AZ3" s="56" t="s">
        <v>161</v>
      </c>
      <c r="BB3" s="55" t="s">
        <v>25</v>
      </c>
      <c r="BC3" s="55" t="s">
        <v>23</v>
      </c>
      <c r="BD3" s="55" t="s">
        <v>157</v>
      </c>
      <c r="BE3" s="55" t="s">
        <v>24</v>
      </c>
      <c r="BF3" s="61"/>
      <c r="BG3" s="61"/>
    </row>
    <row r="4" spans="1:59" ht="123" hidden="1" customHeight="1" x14ac:dyDescent="0.2">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
      <c r="A5" s="53" t="s">
        <v>229</v>
      </c>
      <c r="B5" s="53" t="s">
        <v>49</v>
      </c>
      <c r="C5" s="53">
        <v>238146391</v>
      </c>
      <c r="D5" s="10">
        <v>10</v>
      </c>
      <c r="E5" s="10">
        <v>300</v>
      </c>
      <c r="F5" s="10">
        <v>30</v>
      </c>
      <c r="H5" s="17">
        <f t="shared" ref="H5:H11" si="0">IF(ISBLANK(Q5),"·",Q5/(C5*(D5*3+IF(AND(ISNUMBER(T5),T5&gt;0),24,0))))</f>
        <v>0.16784311772644389</v>
      </c>
      <c r="I5" s="11">
        <f t="shared" ref="I5:I11" si="1">IF(OR(ISBLANK(Q5),ISBLANK(F5)),"·",Q5*F5/E5/1000000)</f>
        <v>215.84465680000002</v>
      </c>
      <c r="J5" s="12">
        <f t="shared" ref="J5:J11" si="2">IF(ISBLANK(Q5),"·",Q5/C5)</f>
        <v>9.0635283572279715</v>
      </c>
      <c r="K5" s="12">
        <f t="shared" ref="K5:K11" si="3">IF(N5="","·",N5/C5)</f>
        <v>1.3853849416512887</v>
      </c>
      <c r="L5" s="12">
        <f t="shared" ref="L5:L11" si="4">IF(R5="","·",R5/C5)</f>
        <v>1.2880002703883091</v>
      </c>
      <c r="M5" s="12">
        <f t="shared" ref="M5:M11" si="5">IF(ISBLANK(T5),"·",T5/C5)</f>
        <v>7.6781434155766819</v>
      </c>
      <c r="N5" s="53">
        <f t="shared" ref="N5:N11" si="6">IF(OR(ISBLANK(R5),ISBLANK(S5)),"",R5+S5)</f>
        <v>329924424</v>
      </c>
      <c r="O5" s="12">
        <v>-12</v>
      </c>
      <c r="P5" s="13">
        <v>238146391</v>
      </c>
      <c r="Q5" s="14">
        <v>2158446568</v>
      </c>
      <c r="R5" s="14">
        <v>306732616</v>
      </c>
      <c r="S5" s="14">
        <v>23191808</v>
      </c>
      <c r="T5" s="14">
        <v>1828522144</v>
      </c>
      <c r="U5" s="15" t="s">
        <v>573</v>
      </c>
      <c r="V5" s="15" t="s">
        <v>573</v>
      </c>
      <c r="W5" s="15" t="s">
        <v>573</v>
      </c>
      <c r="X5" s="15" t="s">
        <v>573</v>
      </c>
      <c r="Y5" s="15" t="s">
        <v>573</v>
      </c>
      <c r="Z5" s="16">
        <v>69915.210999999996</v>
      </c>
      <c r="AA5" s="16">
        <v>0</v>
      </c>
      <c r="AB5" s="16">
        <v>689.35699999999997</v>
      </c>
      <c r="AC5" s="16">
        <v>0</v>
      </c>
      <c r="AE5" s="17">
        <f t="shared" ref="AE5:AE11" si="7">IF(ISBLANK(Q5),"·",Q5/(C5*(D5*3+IF(AND(ISNUMBER(T5),T5&gt;0),24,0))))</f>
        <v>0.16784311772644389</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3"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
      <c r="A6" s="18"/>
      <c r="B6" s="18" t="s">
        <v>57</v>
      </c>
      <c r="C6" s="18">
        <v>218121242</v>
      </c>
      <c r="D6" s="19">
        <v>10</v>
      </c>
      <c r="E6" s="19">
        <v>300</v>
      </c>
      <c r="F6" s="19">
        <v>30</v>
      </c>
      <c r="H6" s="26">
        <f t="shared" si="0"/>
        <v>0.23976072088486558</v>
      </c>
      <c r="I6" s="20">
        <f t="shared" si="1"/>
        <v>282.40329360000004</v>
      </c>
      <c r="J6" s="21">
        <f t="shared" si="2"/>
        <v>12.947078927782742</v>
      </c>
      <c r="K6" s="21">
        <f t="shared" si="3"/>
        <v>1.7126422927666989</v>
      </c>
      <c r="L6" s="21">
        <f t="shared" si="4"/>
        <v>1.550577343585821</v>
      </c>
      <c r="M6" s="21">
        <f t="shared" si="5"/>
        <v>11.234436635016044</v>
      </c>
      <c r="N6" s="18">
        <f t="shared" si="6"/>
        <v>373563664</v>
      </c>
      <c r="O6" s="21">
        <v>-12</v>
      </c>
      <c r="P6" s="22">
        <v>218121242</v>
      </c>
      <c r="Q6" s="23">
        <v>2824032936</v>
      </c>
      <c r="R6" s="23">
        <v>338213856</v>
      </c>
      <c r="S6" s="23">
        <v>35349808</v>
      </c>
      <c r="T6" s="23">
        <v>2450469272</v>
      </c>
      <c r="U6" s="24" t="s">
        <v>573</v>
      </c>
      <c r="V6" s="24" t="s">
        <v>573</v>
      </c>
      <c r="W6" s="24" t="s">
        <v>573</v>
      </c>
      <c r="X6" s="24" t="s">
        <v>573</v>
      </c>
      <c r="Y6" s="24" t="s">
        <v>573</v>
      </c>
      <c r="Z6" s="25">
        <v>70672.475999999995</v>
      </c>
      <c r="AA6" s="25">
        <v>0</v>
      </c>
      <c r="AB6" s="25">
        <v>667.21900000000005</v>
      </c>
      <c r="AC6" s="25">
        <v>0</v>
      </c>
      <c r="AE6" s="26">
        <f t="shared" si="7"/>
        <v>0.23976072088486558</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
      <c r="A7" s="53"/>
      <c r="B7" s="53" t="s">
        <v>62</v>
      </c>
      <c r="C7" s="53">
        <v>322589704</v>
      </c>
      <c r="D7" s="10">
        <v>10</v>
      </c>
      <c r="E7" s="10">
        <v>300</v>
      </c>
      <c r="F7" s="10">
        <v>30</v>
      </c>
      <c r="H7" s="17">
        <f t="shared" si="0"/>
        <v>0.1871570072042831</v>
      </c>
      <c r="I7" s="11">
        <f t="shared" si="1"/>
        <v>326.02458719999998</v>
      </c>
      <c r="J7" s="12">
        <f t="shared" si="2"/>
        <v>10.106478389031288</v>
      </c>
      <c r="K7" s="12">
        <f t="shared" si="3"/>
        <v>1.593948900489397</v>
      </c>
      <c r="L7" s="12">
        <f t="shared" si="4"/>
        <v>1.4738200571956257</v>
      </c>
      <c r="M7" s="12">
        <f t="shared" si="5"/>
        <v>8.5125294885418903</v>
      </c>
      <c r="N7" s="53">
        <f t="shared" si="6"/>
        <v>514191504</v>
      </c>
      <c r="O7" s="12">
        <v>-12</v>
      </c>
      <c r="P7" s="13">
        <v>322589704</v>
      </c>
      <c r="Q7" s="14">
        <v>3260245872</v>
      </c>
      <c r="R7" s="14">
        <v>475439176</v>
      </c>
      <c r="S7" s="14">
        <v>38752328</v>
      </c>
      <c r="T7" s="14">
        <v>2746054368</v>
      </c>
      <c r="U7" s="15" t="s">
        <v>573</v>
      </c>
      <c r="V7" s="15" t="s">
        <v>573</v>
      </c>
      <c r="W7" s="15" t="s">
        <v>573</v>
      </c>
      <c r="X7" s="15" t="s">
        <v>573</v>
      </c>
      <c r="Y7" s="15" t="s">
        <v>573</v>
      </c>
      <c r="Z7" s="16">
        <v>93661.258000000002</v>
      </c>
      <c r="AA7" s="16">
        <v>0</v>
      </c>
      <c r="AB7" s="16">
        <v>895.20600000000002</v>
      </c>
      <c r="AC7" s="16">
        <v>0</v>
      </c>
      <c r="AE7" s="17">
        <f t="shared" si="7"/>
        <v>0.1871570072042831</v>
      </c>
      <c r="AF7" s="11" t="str">
        <f t="shared" si="8"/>
        <v>·</v>
      </c>
      <c r="AG7" s="12" t="str">
        <f t="shared" si="9"/>
        <v>·</v>
      </c>
      <c r="AH7" s="12" t="str">
        <f t="shared" si="10"/>
        <v>·</v>
      </c>
      <c r="AI7" s="12" t="str">
        <f t="shared" si="11"/>
        <v>·</v>
      </c>
      <c r="AJ7" s="12" t="str">
        <f t="shared" si="12"/>
        <v>·</v>
      </c>
      <c r="AK7" s="53"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
      <c r="A8" s="37"/>
      <c r="B8" s="37" t="s">
        <v>68</v>
      </c>
      <c r="C8" s="37">
        <v>250602891</v>
      </c>
      <c r="D8" s="38">
        <v>10</v>
      </c>
      <c r="E8" s="38">
        <v>250</v>
      </c>
      <c r="F8" s="38">
        <v>50</v>
      </c>
      <c r="H8" s="46">
        <f t="shared" si="0"/>
        <v>0.16003133877712586</v>
      </c>
      <c r="I8" s="39">
        <f t="shared" si="1"/>
        <v>433.12661439999999</v>
      </c>
      <c r="J8" s="40">
        <f t="shared" si="2"/>
        <v>8.6416922939647964</v>
      </c>
      <c r="K8" s="40">
        <f t="shared" si="3"/>
        <v>1.1828945740294752</v>
      </c>
      <c r="L8" s="40">
        <f t="shared" si="4"/>
        <v>1.0399424163067617</v>
      </c>
      <c r="M8" s="40">
        <f t="shared" si="5"/>
        <v>7.4587977199353217</v>
      </c>
      <c r="N8" s="37">
        <f t="shared" si="6"/>
        <v>296436800</v>
      </c>
      <c r="O8" s="40">
        <v>-12</v>
      </c>
      <c r="P8" s="41">
        <v>250602891</v>
      </c>
      <c r="Q8" s="42">
        <v>2165633072</v>
      </c>
      <c r="R8" s="42">
        <v>260612576</v>
      </c>
      <c r="S8" s="42">
        <v>35824224</v>
      </c>
      <c r="T8" s="42">
        <v>1869196272</v>
      </c>
      <c r="U8" s="43" t="s">
        <v>573</v>
      </c>
      <c r="V8" s="43" t="s">
        <v>573</v>
      </c>
      <c r="W8" s="43" t="s">
        <v>573</v>
      </c>
      <c r="X8" s="43" t="s">
        <v>573</v>
      </c>
      <c r="Y8" s="43" t="s">
        <v>573</v>
      </c>
      <c r="Z8" s="44">
        <v>65230.425000000003</v>
      </c>
      <c r="AA8" s="44">
        <v>0</v>
      </c>
      <c r="AB8" s="44">
        <v>643.95000000000005</v>
      </c>
      <c r="AC8" s="44">
        <v>0</v>
      </c>
      <c r="AE8" s="46">
        <f t="shared" si="7"/>
        <v>0.16003133877712586</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
      <c r="A9" s="27" t="s">
        <v>235</v>
      </c>
      <c r="B9" s="27" t="s">
        <v>71</v>
      </c>
      <c r="C9" s="27">
        <v>250294582</v>
      </c>
      <c r="D9" s="28">
        <v>10</v>
      </c>
      <c r="E9" s="28">
        <v>300</v>
      </c>
      <c r="F9" s="28">
        <v>30</v>
      </c>
      <c r="H9" s="36">
        <f t="shared" si="0"/>
        <v>0.2748554510150053</v>
      </c>
      <c r="I9" s="29">
        <f t="shared" si="1"/>
        <v>371.49208319999997</v>
      </c>
      <c r="J9" s="30">
        <f t="shared" si="2"/>
        <v>14.842194354810285</v>
      </c>
      <c r="K9" s="30">
        <f t="shared" si="3"/>
        <v>1.473721041232926</v>
      </c>
      <c r="L9" s="30">
        <f t="shared" si="4"/>
        <v>1.3736768461092776</v>
      </c>
      <c r="M9" s="30">
        <f t="shared" si="5"/>
        <v>13.368473313577359</v>
      </c>
      <c r="N9" s="27">
        <f t="shared" si="6"/>
        <v>368864392</v>
      </c>
      <c r="O9" s="30">
        <v>-12</v>
      </c>
      <c r="P9" s="31">
        <v>250294582</v>
      </c>
      <c r="Q9" s="32">
        <v>3714920832</v>
      </c>
      <c r="R9" s="32">
        <v>343823872</v>
      </c>
      <c r="S9" s="32">
        <v>25040520</v>
      </c>
      <c r="T9" s="32">
        <v>3346056440</v>
      </c>
      <c r="U9" s="33" t="s">
        <v>573</v>
      </c>
      <c r="V9" s="33" t="s">
        <v>573</v>
      </c>
      <c r="W9" s="33" t="s">
        <v>573</v>
      </c>
      <c r="X9" s="33" t="s">
        <v>573</v>
      </c>
      <c r="Y9" s="33" t="s">
        <v>573</v>
      </c>
      <c r="Z9" s="34">
        <v>69956.63</v>
      </c>
      <c r="AA9" s="34">
        <v>0</v>
      </c>
      <c r="AB9" s="34">
        <v>750.84900000000005</v>
      </c>
      <c r="AC9" s="34">
        <v>0</v>
      </c>
      <c r="AE9" s="36">
        <f t="shared" si="7"/>
        <v>0.2748554510150053</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
      <c r="A10" s="18" t="s">
        <v>236</v>
      </c>
      <c r="B10" s="18" t="s">
        <v>75</v>
      </c>
      <c r="C10" s="18">
        <v>375422539</v>
      </c>
      <c r="D10" s="19">
        <v>11</v>
      </c>
      <c r="E10" s="19">
        <v>64</v>
      </c>
      <c r="F10" s="19">
        <v>30</v>
      </c>
      <c r="H10" s="26">
        <f t="shared" si="0"/>
        <v>8.5655428338480527E-2</v>
      </c>
      <c r="I10" s="20">
        <f t="shared" si="1"/>
        <v>859.19426625000006</v>
      </c>
      <c r="J10" s="21">
        <f t="shared" si="2"/>
        <v>4.88235941529339</v>
      </c>
      <c r="K10" s="21">
        <f t="shared" si="3"/>
        <v>0.54329102494296433</v>
      </c>
      <c r="L10" s="21">
        <f t="shared" si="4"/>
        <v>0.51815917211086782</v>
      </c>
      <c r="M10" s="21">
        <f t="shared" si="5"/>
        <v>4.3390683903504259</v>
      </c>
      <c r="N10" s="18">
        <f t="shared" si="6"/>
        <v>203963696</v>
      </c>
      <c r="O10" s="21">
        <v>-12</v>
      </c>
      <c r="P10" s="22">
        <v>186907991</v>
      </c>
      <c r="Q10" s="23">
        <v>1832947768</v>
      </c>
      <c r="R10" s="23">
        <v>194528632</v>
      </c>
      <c r="S10" s="23">
        <v>9435064</v>
      </c>
      <c r="T10" s="23">
        <v>1628984072</v>
      </c>
      <c r="U10" s="24" t="s">
        <v>573</v>
      </c>
      <c r="V10" s="24" t="s">
        <v>573</v>
      </c>
      <c r="W10" s="24" t="s">
        <v>573</v>
      </c>
      <c r="X10" s="24" t="s">
        <v>573</v>
      </c>
      <c r="Y10" s="24" t="s">
        <v>573</v>
      </c>
      <c r="Z10" s="25">
        <v>49466.152999999998</v>
      </c>
      <c r="AA10" s="25">
        <v>0</v>
      </c>
      <c r="AB10" s="25">
        <v>545.72699999999998</v>
      </c>
      <c r="AC10" s="25">
        <v>0</v>
      </c>
      <c r="AE10" s="26">
        <f t="shared" si="7"/>
        <v>8.5655428338480527E-2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
      <c r="A11" s="27"/>
      <c r="B11" s="27" t="s">
        <v>80</v>
      </c>
      <c r="C11" s="27">
        <v>333190689</v>
      </c>
      <c r="D11" s="28">
        <v>11</v>
      </c>
      <c r="E11" s="28">
        <v>64</v>
      </c>
      <c r="F11" s="28">
        <v>30</v>
      </c>
      <c r="H11" s="36">
        <f t="shared" si="0"/>
        <v>8.7001592115476645E-2</v>
      </c>
      <c r="I11" s="29">
        <f t="shared" si="1"/>
        <v>774.52634250000006</v>
      </c>
      <c r="J11" s="30">
        <f t="shared" si="2"/>
        <v>4.9590907505821686</v>
      </c>
      <c r="K11" s="30">
        <f t="shared" si="3"/>
        <v>0.57553476231744283</v>
      </c>
      <c r="L11" s="30">
        <f t="shared" si="4"/>
        <v>0.54663395470814014</v>
      </c>
      <c r="M11" s="30">
        <f t="shared" si="5"/>
        <v>4.3835559882647264</v>
      </c>
      <c r="N11" s="27">
        <f t="shared" si="6"/>
        <v>191762824</v>
      </c>
      <c r="O11" s="30">
        <v>-12</v>
      </c>
      <c r="P11" s="31">
        <v>166028718</v>
      </c>
      <c r="Q11" s="32">
        <v>1652322864</v>
      </c>
      <c r="R11" s="32">
        <v>182133344</v>
      </c>
      <c r="S11" s="32">
        <v>9629480</v>
      </c>
      <c r="T11" s="32">
        <v>1460560040</v>
      </c>
      <c r="U11" s="33" t="s">
        <v>573</v>
      </c>
      <c r="V11" s="33" t="s">
        <v>573</v>
      </c>
      <c r="W11" s="33" t="s">
        <v>573</v>
      </c>
      <c r="X11" s="33" t="s">
        <v>573</v>
      </c>
      <c r="Y11" s="33" t="s">
        <v>573</v>
      </c>
      <c r="Z11" s="34">
        <v>44294.345000000001</v>
      </c>
      <c r="AA11" s="34">
        <v>0</v>
      </c>
      <c r="AB11" s="34">
        <v>487.92500000000001</v>
      </c>
      <c r="AC11" s="34">
        <v>0</v>
      </c>
      <c r="AE11" s="36">
        <f t="shared" si="7"/>
        <v>8.7001592115476645E-2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ht="16" x14ac:dyDescent="0.2">
      <c r="B12" s="47" t="s">
        <v>14</v>
      </c>
      <c r="J12" s="48">
        <f>AVERAGE(J5:J8)</f>
        <v>10.189694492001699</v>
      </c>
      <c r="K12" s="48">
        <f>AVERAGE(K5:K8)</f>
        <v>1.4687176772342148</v>
      </c>
      <c r="L12" s="48">
        <f>AVERAGE(L5:L8)</f>
        <v>1.3380850218691294</v>
      </c>
      <c r="M12" s="48">
        <f>AVERAGE(M5:M8)</f>
        <v>8.720976814767484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4" t="e">
        <f>AVERAGE(BG5:BG8)</f>
        <v>#VALUE!</v>
      </c>
    </row>
    <row r="13" spans="1:59" ht="16" x14ac:dyDescent="0.2">
      <c r="B13" s="47" t="s">
        <v>15</v>
      </c>
      <c r="J13" s="48">
        <f>AVERAGE(J9:J9)</f>
        <v>14.842194354810285</v>
      </c>
      <c r="K13" s="48">
        <f>AVERAGE(K9:K9)</f>
        <v>1.473721041232926</v>
      </c>
      <c r="L13" s="48">
        <f>AVERAGE(L9:L9)</f>
        <v>1.3736768461092776</v>
      </c>
      <c r="M13" s="48">
        <f>AVERAGE(M9:M9)</f>
        <v>13.368473313577359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4" t="e">
        <f>AVERAGE(BG9:BG9)</f>
        <v>#VALUE!</v>
      </c>
    </row>
    <row r="14" spans="1:59" ht="16" x14ac:dyDescent="0.2">
      <c r="B14" s="47" t="s">
        <v>16</v>
      </c>
      <c r="J14" s="48">
        <f>AVERAGE(J10:J11)</f>
        <v>4.9207250829377793</v>
      </c>
      <c r="K14" s="48">
        <f>AVERAGE(K10:K11)</f>
        <v>0.55941289363020363</v>
      </c>
      <c r="L14" s="48">
        <f>AVERAGE(L10:L11)</f>
        <v>0.53239656340950403</v>
      </c>
      <c r="M14" s="48">
        <f>AVERAGE(M10:M11)</f>
        <v>4.3613121893075757</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4" t="e">
        <f>AVERAGE(BG10:BG11)</f>
        <v>#VALUE!</v>
      </c>
    </row>
    <row r="15" spans="1:59" ht="16" x14ac:dyDescent="0.2">
      <c r="B15" s="47" t="s">
        <v>17</v>
      </c>
      <c r="J15" s="48">
        <f>AVERAGE(J5:J11)</f>
        <v>9.3489174983846635</v>
      </c>
      <c r="K15" s="48">
        <f>AVERAGE(K5:K11)</f>
        <v>1.2096310767757417</v>
      </c>
      <c r="L15" s="48">
        <f>AVERAGE(L5:L11)</f>
        <v>1.1129728657721147</v>
      </c>
      <c r="M15" s="48">
        <f>AVERAGE(M5:M11)</f>
        <v>8.1392864216089205</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4" t="e">
        <f>AVERAGE(BG5:BG11)</f>
        <v>#VALUE!</v>
      </c>
    </row>
    <row r="16" spans="1:59" ht="16" hidden="1" outlineLevel="2" x14ac:dyDescent="0.2">
      <c r="A16" s="47" t="s">
        <v>237</v>
      </c>
      <c r="B16" s="47" t="s">
        <v>238</v>
      </c>
      <c r="Z16" s="49">
        <f>SUM(Z5:Z8,Z9:Z9,Z10:Z11)</f>
        <v>463196.49800000002</v>
      </c>
      <c r="AA16" s="49">
        <f>SUM(AA5:AA8,AA9:AA9,AA10:AA11)</f>
        <v>0</v>
      </c>
      <c r="AB16" s="49">
        <f>SUM(AB5:AB8,AB9:AB9,AB10:AB11)</f>
        <v>4680.2330000000002</v>
      </c>
      <c r="AC16" s="49">
        <f>SUM(AC5:AC8,AC9:AC9,AC10:AC11)</f>
        <v>0</v>
      </c>
      <c r="AW16" s="49">
        <f>SUM(AW5:AW8,AW9:AW9,AW10:AW11)</f>
        <v>0</v>
      </c>
      <c r="AX16" s="49">
        <f>SUM(AX5:AX8,AX9:AX9,AX10:AX11)</f>
        <v>0</v>
      </c>
      <c r="AY16" s="49">
        <f>SUM(AY5:AY8,AY9:AY9,AY10:AY11)</f>
        <v>0</v>
      </c>
      <c r="AZ16" s="49">
        <f>SUM(AZ5:AZ8,AZ9:AZ9,AZ10:AZ11)</f>
        <v>0</v>
      </c>
    </row>
    <row r="17" spans="2:52" ht="16" hidden="1" outlineLevel="2" x14ac:dyDescent="0.2">
      <c r="B17" s="47" t="s">
        <v>239</v>
      </c>
      <c r="AW17" s="54">
        <f>AW16/Z16</f>
        <v>0</v>
      </c>
      <c r="AX17" s="54" t="e">
        <f>AX16/AA16</f>
        <v>#DIV/0!</v>
      </c>
      <c r="AY17" s="54">
        <f>AY16/AB16</f>
        <v>0</v>
      </c>
      <c r="AZ17" s="54" t="e">
        <f>AZ16/AC16</f>
        <v>#DIV/0!</v>
      </c>
    </row>
    <row r="18" spans="2:52" ht="16" hidden="1" outlineLevel="2" x14ac:dyDescent="0.2">
      <c r="B18" s="47" t="s">
        <v>240</v>
      </c>
      <c r="Z18" s="49">
        <f>GEOMEAN(Z5:Z8,Z9:Z9,Z10:Z11)</f>
        <v>64466.051064762716</v>
      </c>
      <c r="AA18" s="49" t="e">
        <f>GEOMEAN(AA5:AA8,AA9:AA9,AA10:AA11)</f>
        <v>#NUM!</v>
      </c>
      <c r="AB18" s="49">
        <f>GEOMEAN(AB5:AB8,AB9:AB9,AB10:AB11)</f>
        <v>657.30506360318202</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ht="16" outlineLevel="2" collapsed="1" x14ac:dyDescent="0.2">
      <c r="B19" s="47" t="s">
        <v>241</v>
      </c>
      <c r="AW19" s="54" t="e">
        <f>AW18/Z18</f>
        <v>#NUM!</v>
      </c>
      <c r="AX19" s="54" t="e">
        <f>AX18/AA18</f>
        <v>#NUM!</v>
      </c>
      <c r="AY19" s="54" t="e">
        <f>AY18/AB18</f>
        <v>#NUM!</v>
      </c>
      <c r="AZ19" s="54"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G19"/>
  <sheetViews>
    <sheetView zoomScale="55" zoomScaleNormal="55" workbookViewId="0">
      <pane xSplit="2" ySplit="4" topLeftCell="K5" activePane="bottomRight" state="frozen"/>
      <selection pane="topRight" activeCell="C1" sqref="C1"/>
      <selection pane="bottomLeft" activeCell="A5" sqref="A5"/>
      <selection pane="bottomRight" activeCell="AP49" sqref="AP49"/>
    </sheetView>
  </sheetViews>
  <sheetFormatPr baseColWidth="10" defaultColWidth="8.83203125" defaultRowHeight="15" outlineLevelRow="2" x14ac:dyDescent="0.2"/>
  <cols>
    <col min="2" max="2" width="24.6640625" customWidth="1"/>
    <col min="3" max="4" width="10.6640625" customWidth="1"/>
    <col min="7" max="7" width="1.6640625" customWidth="1"/>
    <col min="10" max="13" width="10.6640625" customWidth="1"/>
    <col min="14" max="14" width="24.6640625" hidden="1" customWidth="1"/>
    <col min="15" max="15" width="12.6640625" customWidth="1"/>
    <col min="16" max="16" width="10.6640625" customWidth="1"/>
    <col min="17" max="20" width="12.6640625" customWidth="1"/>
    <col min="21" max="25" width="11.6640625" customWidth="1"/>
    <col min="30" max="30" width="1.6640625" customWidth="1"/>
    <col min="33" max="36" width="10.6640625" customWidth="1"/>
    <col min="37" max="37" width="24.6640625" hidden="1" customWidth="1"/>
    <col min="38" max="38" width="12.6640625" customWidth="1"/>
    <col min="39" max="39" width="10.6640625" customWidth="1"/>
    <col min="40" max="43" width="12.6640625" customWidth="1"/>
    <col min="44" max="48" width="11.6640625" customWidth="1"/>
    <col min="53" max="53" width="1.6640625" customWidth="1"/>
    <col min="60" max="60" width="1.6640625" customWidth="1"/>
  </cols>
  <sheetData>
    <row r="1" spans="1:59" x14ac:dyDescent="0.2">
      <c r="A1" s="72" t="s">
        <v>571</v>
      </c>
      <c r="B1" s="58"/>
      <c r="C1" s="58"/>
      <c r="D1" s="58"/>
      <c r="E1" s="58"/>
      <c r="F1" s="58"/>
      <c r="H1" s="57" t="str">
        <f>Summary!$C$1</f>
        <v>CTC_master+r220</v>
      </c>
      <c r="I1" s="58"/>
      <c r="J1" s="58"/>
      <c r="K1" s="58"/>
      <c r="L1" s="58"/>
      <c r="M1" s="58"/>
      <c r="N1" s="58"/>
      <c r="O1" s="58"/>
      <c r="P1" s="58"/>
      <c r="Q1" s="58"/>
      <c r="R1" s="58"/>
      <c r="S1" s="58"/>
      <c r="T1" s="58"/>
      <c r="U1" s="58"/>
      <c r="V1" s="58"/>
      <c r="W1" s="58"/>
      <c r="X1" s="58"/>
      <c r="Y1" s="58"/>
      <c r="Z1" s="58"/>
      <c r="AA1" s="58"/>
      <c r="AB1" s="58"/>
      <c r="AC1" s="58"/>
      <c r="AE1" s="59">
        <f>Summary!$C$2</f>
        <v>0</v>
      </c>
      <c r="AF1" s="58"/>
      <c r="AG1" s="58"/>
      <c r="AH1" s="58"/>
      <c r="AI1" s="58"/>
      <c r="AJ1" s="58"/>
      <c r="AK1" s="58"/>
      <c r="AL1" s="58"/>
      <c r="AM1" s="58"/>
      <c r="AN1" s="58"/>
      <c r="AO1" s="58"/>
      <c r="AP1" s="58"/>
      <c r="AQ1" s="58"/>
      <c r="AR1" s="58"/>
      <c r="AS1" s="58"/>
      <c r="AT1" s="58"/>
      <c r="AU1" s="58"/>
      <c r="AV1" s="58"/>
      <c r="AW1" s="58"/>
      <c r="AX1" s="58"/>
      <c r="AY1" s="58"/>
      <c r="AZ1" s="58"/>
    </row>
    <row r="2" spans="1:59" ht="30" customHeight="1" x14ac:dyDescent="0.2">
      <c r="A2" s="68" t="s">
        <v>137</v>
      </c>
      <c r="B2" s="69" t="s">
        <v>138</v>
      </c>
      <c r="C2" s="68" t="s">
        <v>140</v>
      </c>
      <c r="D2" s="69" t="s">
        <v>141</v>
      </c>
      <c r="E2" s="68" t="s">
        <v>142</v>
      </c>
      <c r="F2" s="69" t="s">
        <v>143</v>
      </c>
      <c r="H2" s="68" t="s">
        <v>565</v>
      </c>
      <c r="I2" s="69" t="s">
        <v>144</v>
      </c>
      <c r="J2" s="70" t="s">
        <v>145</v>
      </c>
      <c r="K2" s="58"/>
      <c r="L2" s="58"/>
      <c r="M2" s="58"/>
      <c r="N2" s="68" t="s">
        <v>146</v>
      </c>
      <c r="O2" s="69" t="s">
        <v>147</v>
      </c>
      <c r="P2" s="68" t="s">
        <v>84</v>
      </c>
      <c r="Q2" s="71" t="s">
        <v>148</v>
      </c>
      <c r="R2" s="58"/>
      <c r="S2" s="58"/>
      <c r="T2" s="58"/>
      <c r="U2" s="70" t="s">
        <v>149</v>
      </c>
      <c r="V2" s="58"/>
      <c r="W2" s="71" t="s">
        <v>150</v>
      </c>
      <c r="X2" s="58"/>
      <c r="Y2" s="58"/>
      <c r="Z2" s="70" t="s">
        <v>151</v>
      </c>
      <c r="AA2" s="58"/>
      <c r="AB2" s="71" t="s">
        <v>152</v>
      </c>
      <c r="AC2" s="58"/>
      <c r="AE2" s="68" t="s">
        <v>565</v>
      </c>
      <c r="AF2" s="69" t="s">
        <v>144</v>
      </c>
      <c r="AG2" s="70" t="s">
        <v>145</v>
      </c>
      <c r="AH2" s="58"/>
      <c r="AI2" s="58"/>
      <c r="AJ2" s="58"/>
      <c r="AK2" s="68" t="s">
        <v>153</v>
      </c>
      <c r="AL2" s="69" t="s">
        <v>147</v>
      </c>
      <c r="AM2" s="68" t="s">
        <v>84</v>
      </c>
      <c r="AN2" s="71" t="s">
        <v>148</v>
      </c>
      <c r="AO2" s="58"/>
      <c r="AP2" s="58"/>
      <c r="AQ2" s="58"/>
      <c r="AR2" s="70" t="s">
        <v>149</v>
      </c>
      <c r="AS2" s="58"/>
      <c r="AT2" s="71" t="s">
        <v>150</v>
      </c>
      <c r="AU2" s="58"/>
      <c r="AV2" s="58"/>
      <c r="AW2" s="70" t="s">
        <v>151</v>
      </c>
      <c r="AX2" s="58"/>
      <c r="AY2" s="71" t="s">
        <v>152</v>
      </c>
      <c r="AZ2" s="58"/>
      <c r="BB2" s="70" t="s">
        <v>22</v>
      </c>
      <c r="BC2" s="58"/>
      <c r="BD2" s="58"/>
      <c r="BE2" s="58"/>
      <c r="BF2" s="69" t="s">
        <v>156</v>
      </c>
      <c r="BG2" s="68" t="s">
        <v>156</v>
      </c>
    </row>
    <row r="3" spans="1:59" ht="29" customHeight="1" x14ac:dyDescent="0.2">
      <c r="A3" s="61"/>
      <c r="B3" s="61"/>
      <c r="C3" s="61"/>
      <c r="D3" s="61"/>
      <c r="E3" s="61"/>
      <c r="F3" s="61"/>
      <c r="H3" s="61"/>
      <c r="I3" s="61"/>
      <c r="J3" s="55" t="s">
        <v>25</v>
      </c>
      <c r="K3" s="55" t="s">
        <v>23</v>
      </c>
      <c r="L3" s="55" t="s">
        <v>157</v>
      </c>
      <c r="M3" s="55" t="s">
        <v>158</v>
      </c>
      <c r="N3" s="61"/>
      <c r="O3" s="61"/>
      <c r="P3" s="61"/>
      <c r="Q3" s="56" t="s">
        <v>25</v>
      </c>
      <c r="R3" s="56" t="s">
        <v>157</v>
      </c>
      <c r="S3" s="56" t="s">
        <v>159</v>
      </c>
      <c r="T3" s="56" t="s">
        <v>24</v>
      </c>
      <c r="U3" s="55" t="s">
        <v>9</v>
      </c>
      <c r="V3" s="55" t="s">
        <v>10</v>
      </c>
      <c r="W3" s="56" t="s">
        <v>11</v>
      </c>
      <c r="X3" s="56" t="s">
        <v>12</v>
      </c>
      <c r="Y3" s="56" t="s">
        <v>13</v>
      </c>
      <c r="Z3" s="55" t="s">
        <v>160</v>
      </c>
      <c r="AA3" s="55" t="s">
        <v>161</v>
      </c>
      <c r="AB3" s="56" t="s">
        <v>160</v>
      </c>
      <c r="AC3" s="56" t="s">
        <v>161</v>
      </c>
      <c r="AE3" s="61"/>
      <c r="AF3" s="61"/>
      <c r="AG3" s="55" t="s">
        <v>25</v>
      </c>
      <c r="AH3" s="55" t="s">
        <v>23</v>
      </c>
      <c r="AI3" s="55" t="s">
        <v>157</v>
      </c>
      <c r="AJ3" s="55" t="s">
        <v>158</v>
      </c>
      <c r="AK3" s="61"/>
      <c r="AL3" s="61"/>
      <c r="AM3" s="61"/>
      <c r="AN3" s="56" t="s">
        <v>25</v>
      </c>
      <c r="AO3" s="56" t="s">
        <v>157</v>
      </c>
      <c r="AP3" s="56" t="s">
        <v>159</v>
      </c>
      <c r="AQ3" s="56" t="s">
        <v>24</v>
      </c>
      <c r="AR3" s="55" t="s">
        <v>9</v>
      </c>
      <c r="AS3" s="55" t="s">
        <v>10</v>
      </c>
      <c r="AT3" s="56" t="s">
        <v>11</v>
      </c>
      <c r="AU3" s="56" t="s">
        <v>12</v>
      </c>
      <c r="AV3" s="56" t="s">
        <v>13</v>
      </c>
      <c r="AW3" s="55" t="s">
        <v>160</v>
      </c>
      <c r="AX3" s="55" t="s">
        <v>161</v>
      </c>
      <c r="AY3" s="56" t="s">
        <v>160</v>
      </c>
      <c r="AZ3" s="56" t="s">
        <v>161</v>
      </c>
      <c r="BB3" s="55" t="s">
        <v>25</v>
      </c>
      <c r="BC3" s="55" t="s">
        <v>23</v>
      </c>
      <c r="BD3" s="55" t="s">
        <v>157</v>
      </c>
      <c r="BE3" s="55" t="s">
        <v>24</v>
      </c>
      <c r="BF3" s="61"/>
      <c r="BG3" s="61"/>
    </row>
    <row r="4" spans="1:59" ht="123" hidden="1" customHeight="1" x14ac:dyDescent="0.2">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
      <c r="A5" s="53" t="s">
        <v>229</v>
      </c>
      <c r="B5" s="53" t="s">
        <v>49</v>
      </c>
      <c r="C5" s="53">
        <v>238146391</v>
      </c>
      <c r="D5" s="10">
        <v>10</v>
      </c>
      <c r="E5" s="10">
        <v>300</v>
      </c>
      <c r="F5" s="10">
        <v>30</v>
      </c>
      <c r="H5" s="17">
        <f t="shared" ref="H5:H11" si="0">IF(ISBLANK(Q5),"·",Q5/(C5*(D5*3+IF(AND(ISNUMBER(T5),T5&gt;0),24,0))))</f>
        <v>0.16627071047920952</v>
      </c>
      <c r="I5" s="11">
        <f t="shared" ref="I5:I11" si="1">IF(OR(ISBLANK(Q5),ISBLANK(F5)),"·",Q5*F5/E5/1000000)</f>
        <v>213.82255599999999</v>
      </c>
      <c r="J5" s="12">
        <f t="shared" ref="J5:J11" si="2">IF(ISBLANK(Q5),"·",Q5/C5)</f>
        <v>8.9786183658773151</v>
      </c>
      <c r="K5" s="12">
        <f t="shared" ref="K5:K11" si="3">IF(N5="","·",N5/C5)</f>
        <v>1.3594859138553983</v>
      </c>
      <c r="L5" s="12">
        <f t="shared" ref="L5:L11" si="4">IF(R5="","·",R5/C5)</f>
        <v>1.2616961136312159</v>
      </c>
      <c r="M5" s="12">
        <f t="shared" ref="M5:M11" si="5">IF(ISBLANK(T5),"·",T5/C5)</f>
        <v>7.6191324520219164</v>
      </c>
      <c r="N5" s="53">
        <f t="shared" ref="N5:N11" si="6">IF(OR(ISBLANK(R5),ISBLANK(S5)),"",R5+S5)</f>
        <v>323756664</v>
      </c>
      <c r="O5" s="12">
        <v>-12</v>
      </c>
      <c r="P5" s="13">
        <v>238146391</v>
      </c>
      <c r="Q5" s="14">
        <v>2138225560</v>
      </c>
      <c r="R5" s="14">
        <v>300468376</v>
      </c>
      <c r="S5" s="14">
        <v>23288288</v>
      </c>
      <c r="T5" s="14">
        <v>1814468896</v>
      </c>
      <c r="U5" s="15" t="s">
        <v>573</v>
      </c>
      <c r="V5" s="15" t="s">
        <v>573</v>
      </c>
      <c r="W5" s="15" t="s">
        <v>573</v>
      </c>
      <c r="X5" s="15" t="s">
        <v>573</v>
      </c>
      <c r="Y5" s="15" t="s">
        <v>573</v>
      </c>
      <c r="Z5" s="16">
        <v>97793.346000000005</v>
      </c>
      <c r="AA5" s="16">
        <v>0</v>
      </c>
      <c r="AB5" s="16">
        <v>677.53399999999999</v>
      </c>
      <c r="AC5" s="16">
        <v>0</v>
      </c>
      <c r="AE5" s="17">
        <f t="shared" ref="AE5:AE11" si="7">IF(ISBLANK(Q5),"·",Q5/(C5*(D5*3+IF(AND(ISNUMBER(T5),T5&gt;0),24,0))))</f>
        <v>0.16627071047920952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3"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
      <c r="A6" s="18"/>
      <c r="B6" s="18" t="s">
        <v>57</v>
      </c>
      <c r="C6" s="18">
        <v>218121242</v>
      </c>
      <c r="D6" s="19">
        <v>10</v>
      </c>
      <c r="E6" s="19">
        <v>300</v>
      </c>
      <c r="F6" s="19">
        <v>30</v>
      </c>
      <c r="H6" s="26">
        <f t="shared" si="0"/>
        <v>0.23820375601524912</v>
      </c>
      <c r="I6" s="20">
        <f t="shared" si="1"/>
        <v>280.56941519999998</v>
      </c>
      <c r="J6" s="21">
        <f t="shared" si="2"/>
        <v>12.863002824823454</v>
      </c>
      <c r="K6" s="21">
        <f t="shared" si="3"/>
        <v>1.707367501602618</v>
      </c>
      <c r="L6" s="21">
        <f t="shared" si="4"/>
        <v>1.5406054583166182</v>
      </c>
      <c r="M6" s="21">
        <f t="shared" si="5"/>
        <v>11.155635323220835</v>
      </c>
      <c r="N6" s="18">
        <f t="shared" si="6"/>
        <v>372413120</v>
      </c>
      <c r="O6" s="21">
        <v>-12</v>
      </c>
      <c r="P6" s="22">
        <v>218121242</v>
      </c>
      <c r="Q6" s="23">
        <v>2805694152</v>
      </c>
      <c r="R6" s="23">
        <v>336038776</v>
      </c>
      <c r="S6" s="23">
        <v>36374344</v>
      </c>
      <c r="T6" s="23">
        <v>2433281032</v>
      </c>
      <c r="U6" s="24" t="s">
        <v>573</v>
      </c>
      <c r="V6" s="24" t="s">
        <v>573</v>
      </c>
      <c r="W6" s="24" t="s">
        <v>573</v>
      </c>
      <c r="X6" s="24" t="s">
        <v>573</v>
      </c>
      <c r="Y6" s="24" t="s">
        <v>573</v>
      </c>
      <c r="Z6" s="25">
        <v>115101.287</v>
      </c>
      <c r="AA6" s="25">
        <v>0</v>
      </c>
      <c r="AB6" s="25">
        <v>679.18299999999999</v>
      </c>
      <c r="AC6" s="25">
        <v>0</v>
      </c>
      <c r="AE6" s="26">
        <f t="shared" si="7"/>
        <v>0.23820375601524912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
      <c r="A7" s="53"/>
      <c r="B7" s="53" t="s">
        <v>62</v>
      </c>
      <c r="C7" s="53">
        <v>322589704</v>
      </c>
      <c r="D7" s="10">
        <v>10</v>
      </c>
      <c r="E7" s="10">
        <v>300</v>
      </c>
      <c r="F7" s="10">
        <v>30</v>
      </c>
      <c r="H7" s="17">
        <f t="shared" si="0"/>
        <v>0.18276704091470206</v>
      </c>
      <c r="I7" s="11">
        <f t="shared" si="1"/>
        <v>318.3773344</v>
      </c>
      <c r="J7" s="12">
        <f t="shared" si="2"/>
        <v>9.8694202093939118</v>
      </c>
      <c r="K7" s="12">
        <f t="shared" si="3"/>
        <v>1.4787826954328338</v>
      </c>
      <c r="L7" s="12">
        <f t="shared" si="4"/>
        <v>1.3633599415807764</v>
      </c>
      <c r="M7" s="12">
        <f t="shared" si="5"/>
        <v>8.390637513961078</v>
      </c>
      <c r="N7" s="53">
        <f t="shared" si="6"/>
        <v>477040072</v>
      </c>
      <c r="O7" s="12">
        <v>-12</v>
      </c>
      <c r="P7" s="13">
        <v>322589704</v>
      </c>
      <c r="Q7" s="14">
        <v>3183773344</v>
      </c>
      <c r="R7" s="14">
        <v>439805880</v>
      </c>
      <c r="S7" s="14">
        <v>37234192</v>
      </c>
      <c r="T7" s="14">
        <v>2706733272</v>
      </c>
      <c r="U7" s="15" t="s">
        <v>573</v>
      </c>
      <c r="V7" s="15" t="s">
        <v>573</v>
      </c>
      <c r="W7" s="15" t="s">
        <v>573</v>
      </c>
      <c r="X7" s="15" t="s">
        <v>573</v>
      </c>
      <c r="Y7" s="15" t="s">
        <v>573</v>
      </c>
      <c r="Z7" s="16">
        <v>126215.342</v>
      </c>
      <c r="AA7" s="16">
        <v>0</v>
      </c>
      <c r="AB7" s="16">
        <v>901.29499999999996</v>
      </c>
      <c r="AC7" s="16">
        <v>0</v>
      </c>
      <c r="AE7" s="17">
        <f t="shared" si="7"/>
        <v>0.18276704091470206</v>
      </c>
      <c r="AF7" s="11" t="str">
        <f t="shared" si="8"/>
        <v>·</v>
      </c>
      <c r="AG7" s="12" t="str">
        <f t="shared" si="9"/>
        <v>·</v>
      </c>
      <c r="AH7" s="12" t="str">
        <f t="shared" si="10"/>
        <v>·</v>
      </c>
      <c r="AI7" s="12" t="str">
        <f t="shared" si="11"/>
        <v>·</v>
      </c>
      <c r="AJ7" s="12" t="str">
        <f t="shared" si="12"/>
        <v>·</v>
      </c>
      <c r="AK7" s="53"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
      <c r="A8" s="37"/>
      <c r="B8" s="37" t="s">
        <v>68</v>
      </c>
      <c r="C8" s="37">
        <v>250602891</v>
      </c>
      <c r="D8" s="38">
        <v>10</v>
      </c>
      <c r="E8" s="38">
        <v>250</v>
      </c>
      <c r="F8" s="38">
        <v>50</v>
      </c>
      <c r="H8" s="46">
        <f t="shared" si="0"/>
        <v>0.15142436408448059</v>
      </c>
      <c r="I8" s="39">
        <f t="shared" si="1"/>
        <v>409.83174080000003</v>
      </c>
      <c r="J8" s="40">
        <f t="shared" si="2"/>
        <v>8.1769156605619528</v>
      </c>
      <c r="K8" s="40">
        <f t="shared" si="3"/>
        <v>0.93650198153540054</v>
      </c>
      <c r="L8" s="40">
        <f t="shared" si="4"/>
        <v>0.8219426008138111</v>
      </c>
      <c r="M8" s="40">
        <f t="shared" si="5"/>
        <v>7.2404136790265516</v>
      </c>
      <c r="N8" s="37">
        <f t="shared" si="6"/>
        <v>234690104</v>
      </c>
      <c r="O8" s="40">
        <v>-12</v>
      </c>
      <c r="P8" s="41">
        <v>250602891</v>
      </c>
      <c r="Q8" s="42">
        <v>2049158704</v>
      </c>
      <c r="R8" s="42">
        <v>205981192</v>
      </c>
      <c r="S8" s="42">
        <v>28708912</v>
      </c>
      <c r="T8" s="42">
        <v>1814468600</v>
      </c>
      <c r="U8" s="43" t="s">
        <v>573</v>
      </c>
      <c r="V8" s="43" t="s">
        <v>573</v>
      </c>
      <c r="W8" s="43" t="s">
        <v>573</v>
      </c>
      <c r="X8" s="43" t="s">
        <v>573</v>
      </c>
      <c r="Y8" s="43" t="s">
        <v>573</v>
      </c>
      <c r="Z8" s="44">
        <v>80709.356</v>
      </c>
      <c r="AA8" s="44">
        <v>0</v>
      </c>
      <c r="AB8" s="44">
        <v>634.67600000000004</v>
      </c>
      <c r="AC8" s="44">
        <v>0</v>
      </c>
      <c r="AE8" s="46">
        <f t="shared" si="7"/>
        <v>0.15142436408448059</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
      <c r="A9" s="27" t="s">
        <v>235</v>
      </c>
      <c r="B9" s="27" t="s">
        <v>71</v>
      </c>
      <c r="C9" s="27">
        <v>250294582</v>
      </c>
      <c r="D9" s="28">
        <v>10</v>
      </c>
      <c r="E9" s="28">
        <v>300</v>
      </c>
      <c r="F9" s="28">
        <v>30</v>
      </c>
      <c r="H9" s="36">
        <f t="shared" si="0"/>
        <v>0.27299117544681073</v>
      </c>
      <c r="I9" s="29">
        <f t="shared" si="1"/>
        <v>368.97234560000004</v>
      </c>
      <c r="J9" s="30">
        <f t="shared" si="2"/>
        <v>14.741523474127778</v>
      </c>
      <c r="K9" s="30">
        <f t="shared" si="3"/>
        <v>1.4642827865926398</v>
      </c>
      <c r="L9" s="30">
        <f t="shared" si="4"/>
        <v>1.3624459837488612</v>
      </c>
      <c r="M9" s="30">
        <f t="shared" si="5"/>
        <v>13.277240687535139</v>
      </c>
      <c r="N9" s="27">
        <f t="shared" si="6"/>
        <v>366502048</v>
      </c>
      <c r="O9" s="30">
        <v>-12</v>
      </c>
      <c r="P9" s="31">
        <v>250294582</v>
      </c>
      <c r="Q9" s="32">
        <v>3689723456</v>
      </c>
      <c r="R9" s="32">
        <v>341012848</v>
      </c>
      <c r="S9" s="32">
        <v>25489200</v>
      </c>
      <c r="T9" s="32">
        <v>3323221408</v>
      </c>
      <c r="U9" s="33" t="s">
        <v>573</v>
      </c>
      <c r="V9" s="33" t="s">
        <v>573</v>
      </c>
      <c r="W9" s="33" t="s">
        <v>573</v>
      </c>
      <c r="X9" s="33" t="s">
        <v>573</v>
      </c>
      <c r="Y9" s="33" t="s">
        <v>573</v>
      </c>
      <c r="Z9" s="34">
        <v>114290.613</v>
      </c>
      <c r="AA9" s="34">
        <v>0</v>
      </c>
      <c r="AB9" s="34">
        <v>768.48500000000001</v>
      </c>
      <c r="AC9" s="34">
        <v>0</v>
      </c>
      <c r="AE9" s="36">
        <f t="shared" si="7"/>
        <v>0.27299117544681073</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
      <c r="A10" s="18" t="s">
        <v>236</v>
      </c>
      <c r="B10" s="18" t="s">
        <v>75</v>
      </c>
      <c r="C10" s="18">
        <v>375422539</v>
      </c>
      <c r="D10" s="19">
        <v>11</v>
      </c>
      <c r="E10" s="19">
        <v>64</v>
      </c>
      <c r="F10" s="19">
        <v>30</v>
      </c>
      <c r="H10" s="26">
        <f t="shared" si="0"/>
        <v>8.5609235334770536E-2</v>
      </c>
      <c r="I10" s="20">
        <f t="shared" si="1"/>
        <v>858.73091250000004</v>
      </c>
      <c r="J10" s="21">
        <f t="shared" si="2"/>
        <v>4.8797264140819205</v>
      </c>
      <c r="K10" s="21">
        <f t="shared" si="3"/>
        <v>0.54140020612880679</v>
      </c>
      <c r="L10" s="21">
        <f t="shared" si="4"/>
        <v>0.51552796088249775</v>
      </c>
      <c r="M10" s="21">
        <f t="shared" si="5"/>
        <v>4.3383262079531137</v>
      </c>
      <c r="N10" s="18">
        <f t="shared" si="6"/>
        <v>203253840</v>
      </c>
      <c r="O10" s="21">
        <v>-12</v>
      </c>
      <c r="P10" s="22">
        <v>186907991</v>
      </c>
      <c r="Q10" s="23">
        <v>1831959280</v>
      </c>
      <c r="R10" s="23">
        <v>193540816</v>
      </c>
      <c r="S10" s="23">
        <v>9713024</v>
      </c>
      <c r="T10" s="23">
        <v>1628705440</v>
      </c>
      <c r="U10" s="24" t="s">
        <v>573</v>
      </c>
      <c r="V10" s="24" t="s">
        <v>573</v>
      </c>
      <c r="W10" s="24" t="s">
        <v>573</v>
      </c>
      <c r="X10" s="24" t="s">
        <v>573</v>
      </c>
      <c r="Y10" s="24" t="s">
        <v>573</v>
      </c>
      <c r="Z10" s="25">
        <v>88266.377999999997</v>
      </c>
      <c r="AA10" s="25">
        <v>0</v>
      </c>
      <c r="AB10" s="25">
        <v>551.82399999999996</v>
      </c>
      <c r="AC10" s="25">
        <v>0</v>
      </c>
      <c r="AE10" s="26">
        <f t="shared" si="7"/>
        <v>8.5609235334770536E-2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
      <c r="A11" s="27"/>
      <c r="B11" s="27" t="s">
        <v>80</v>
      </c>
      <c r="C11" s="27">
        <v>333190689</v>
      </c>
      <c r="D11" s="28">
        <v>11</v>
      </c>
      <c r="E11" s="28">
        <v>64</v>
      </c>
      <c r="F11" s="28">
        <v>30</v>
      </c>
      <c r="H11" s="36">
        <f t="shared" si="0"/>
        <v>8.6982944977856372E-2</v>
      </c>
      <c r="I11" s="29">
        <f t="shared" si="1"/>
        <v>774.36033750000001</v>
      </c>
      <c r="J11" s="30">
        <f t="shared" si="2"/>
        <v>4.9580278637378132</v>
      </c>
      <c r="K11" s="30">
        <f t="shared" si="3"/>
        <v>0.5756455457253189</v>
      </c>
      <c r="L11" s="30">
        <f t="shared" si="4"/>
        <v>0.54584471296555348</v>
      </c>
      <c r="M11" s="30">
        <f t="shared" si="5"/>
        <v>4.3823823180124943</v>
      </c>
      <c r="N11" s="27">
        <f t="shared" si="6"/>
        <v>191799736</v>
      </c>
      <c r="O11" s="30">
        <v>-12</v>
      </c>
      <c r="P11" s="31">
        <v>166028718</v>
      </c>
      <c r="Q11" s="32">
        <v>1651968720</v>
      </c>
      <c r="R11" s="32">
        <v>181870376</v>
      </c>
      <c r="S11" s="32">
        <v>9929360</v>
      </c>
      <c r="T11" s="32">
        <v>1460168984</v>
      </c>
      <c r="U11" s="33" t="s">
        <v>573</v>
      </c>
      <c r="V11" s="33" t="s">
        <v>573</v>
      </c>
      <c r="W11" s="33" t="s">
        <v>573</v>
      </c>
      <c r="X11" s="33" t="s">
        <v>573</v>
      </c>
      <c r="Y11" s="33" t="s">
        <v>573</v>
      </c>
      <c r="Z11" s="34">
        <v>84721.423999999999</v>
      </c>
      <c r="AA11" s="34">
        <v>0</v>
      </c>
      <c r="AB11" s="34">
        <v>487.42200000000003</v>
      </c>
      <c r="AC11" s="34">
        <v>0</v>
      </c>
      <c r="AE11" s="36">
        <f t="shared" si="7"/>
        <v>8.6982944977856372E-2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ht="16" x14ac:dyDescent="0.2">
      <c r="B12" s="47" t="s">
        <v>14</v>
      </c>
      <c r="J12" s="48">
        <f>AVERAGE(J5:J8)</f>
        <v>9.971989265164158</v>
      </c>
      <c r="K12" s="48">
        <f>AVERAGE(K5:K8)</f>
        <v>1.3705345231065627</v>
      </c>
      <c r="L12" s="48">
        <f>AVERAGE(L5:L8)</f>
        <v>1.2469010285856053</v>
      </c>
      <c r="M12" s="48">
        <f>AVERAGE(M5:M8)</f>
        <v>8.6014547420575944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4" t="e">
        <f>AVERAGE(BG5:BG8)</f>
        <v>#VALUE!</v>
      </c>
    </row>
    <row r="13" spans="1:59" ht="16" x14ac:dyDescent="0.2">
      <c r="B13" s="47" t="s">
        <v>15</v>
      </c>
      <c r="J13" s="48">
        <f>AVERAGE(J9:J9)</f>
        <v>14.741523474127778</v>
      </c>
      <c r="K13" s="48">
        <f>AVERAGE(K9:K9)</f>
        <v>1.4642827865926398</v>
      </c>
      <c r="L13" s="48">
        <f>AVERAGE(L9:L9)</f>
        <v>1.3624459837488612</v>
      </c>
      <c r="M13" s="48">
        <f>AVERAGE(M9:M9)</f>
        <v>13.277240687535139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4" t="e">
        <f>AVERAGE(BG9:BG9)</f>
        <v>#VALUE!</v>
      </c>
    </row>
    <row r="14" spans="1:59" ht="16" x14ac:dyDescent="0.2">
      <c r="B14" s="47" t="s">
        <v>16</v>
      </c>
      <c r="J14" s="48">
        <f>AVERAGE(J10:J11)</f>
        <v>4.9188771389098669</v>
      </c>
      <c r="K14" s="48">
        <f>AVERAGE(K10:K11)</f>
        <v>0.55852287592706285</v>
      </c>
      <c r="L14" s="48">
        <f>AVERAGE(L10:L11)</f>
        <v>0.53068633692402556</v>
      </c>
      <c r="M14" s="48">
        <f>AVERAGE(M10:M11)</f>
        <v>4.3603542629828045</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4" t="e">
        <f>AVERAGE(BG10:BG11)</f>
        <v>#VALUE!</v>
      </c>
    </row>
    <row r="15" spans="1:59" ht="16" x14ac:dyDescent="0.2">
      <c r="B15" s="47" t="s">
        <v>17</v>
      </c>
      <c r="J15" s="48">
        <f>AVERAGE(J5:J11)</f>
        <v>9.2096049732291636</v>
      </c>
      <c r="K15" s="48">
        <f>AVERAGE(K5:K11)</f>
        <v>1.151923804410431</v>
      </c>
      <c r="L15" s="48">
        <f>AVERAGE(L5:L11)</f>
        <v>1.0587746817056192</v>
      </c>
      <c r="M15" s="48">
        <f>AVERAGE(M5:M11)</f>
        <v>8.0576811688187338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4" t="e">
        <f>AVERAGE(BG5:BG11)</f>
        <v>#VALUE!</v>
      </c>
    </row>
    <row r="16" spans="1:59" ht="16" hidden="1" outlineLevel="2" x14ac:dyDescent="0.2">
      <c r="A16" s="47" t="s">
        <v>237</v>
      </c>
      <c r="B16" s="47" t="s">
        <v>238</v>
      </c>
      <c r="Z16" s="49">
        <f>SUM(Z5:Z8,Z9:Z9,Z10:Z11)</f>
        <v>707097.74600000004</v>
      </c>
      <c r="AA16" s="49">
        <f>SUM(AA5:AA8,AA9:AA9,AA10:AA11)</f>
        <v>0</v>
      </c>
      <c r="AB16" s="49">
        <f>SUM(AB5:AB8,AB9:AB9,AB10:AB11)</f>
        <v>4700.4189999999999</v>
      </c>
      <c r="AC16" s="49">
        <f>SUM(AC5:AC8,AC9:AC9,AC10:AC11)</f>
        <v>0</v>
      </c>
      <c r="AW16" s="49">
        <f>SUM(AW5:AW8,AW9:AW9,AW10:AW11)</f>
        <v>0</v>
      </c>
      <c r="AX16" s="49">
        <f>SUM(AX5:AX8,AX9:AX9,AX10:AX11)</f>
        <v>0</v>
      </c>
      <c r="AY16" s="49">
        <f>SUM(AY5:AY8,AY9:AY9,AY10:AY11)</f>
        <v>0</v>
      </c>
      <c r="AZ16" s="49">
        <f>SUM(AZ5:AZ8,AZ9:AZ9,AZ10:AZ11)</f>
        <v>0</v>
      </c>
    </row>
    <row r="17" spans="2:52" ht="16" hidden="1" outlineLevel="2" x14ac:dyDescent="0.2">
      <c r="B17" s="47" t="s">
        <v>239</v>
      </c>
      <c r="AW17" s="54">
        <f>AW16/Z16</f>
        <v>0</v>
      </c>
      <c r="AX17" s="54" t="e">
        <f>AX16/AA16</f>
        <v>#DIV/0!</v>
      </c>
      <c r="AY17" s="54">
        <f>AY16/AB16</f>
        <v>0</v>
      </c>
      <c r="AZ17" s="54" t="e">
        <f>AZ16/AC16</f>
        <v>#DIV/0!</v>
      </c>
    </row>
    <row r="18" spans="2:52" ht="16" hidden="1" outlineLevel="2" x14ac:dyDescent="0.2">
      <c r="B18" s="47" t="s">
        <v>240</v>
      </c>
      <c r="Z18" s="49">
        <f>GEOMEAN(Z5:Z8,Z9:Z9,Z10:Z11)</f>
        <v>99711.758571667495</v>
      </c>
      <c r="AA18" s="49" t="e">
        <f>GEOMEAN(AA5:AA8,AA9:AA9,AA10:AA11)</f>
        <v>#NUM!</v>
      </c>
      <c r="AB18" s="49">
        <f>GEOMEAN(AB5:AB8,AB9:AB9,AB10:AB11)</f>
        <v>659.7548294584501</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ht="16" outlineLevel="2" collapsed="1" x14ac:dyDescent="0.2">
      <c r="B19" s="47" t="s">
        <v>241</v>
      </c>
      <c r="AW19" s="54" t="e">
        <f>AW18/Z18</f>
        <v>#NUM!</v>
      </c>
      <c r="AX19" s="54" t="e">
        <f>AX18/AA18</f>
        <v>#NUM!</v>
      </c>
      <c r="AY19" s="54" t="e">
        <f>AY18/AB18</f>
        <v>#NUM!</v>
      </c>
      <c r="AZ19" s="54"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T47"/>
  <sheetViews>
    <sheetView zoomScale="75" zoomScaleNormal="75" workbookViewId="0">
      <pane xSplit="2" ySplit="4" topLeftCell="K5" activePane="bottomRight" state="frozen"/>
      <selection pane="topRight" activeCell="C1" sqref="C1"/>
      <selection pane="bottomLeft" activeCell="A5" sqref="A5"/>
      <selection pane="bottomRight" activeCell="AA49" sqref="AA49"/>
    </sheetView>
  </sheetViews>
  <sheetFormatPr baseColWidth="10" defaultColWidth="8.83203125" defaultRowHeight="15" outlineLevelRow="2" x14ac:dyDescent="0.2"/>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s>
  <sheetData>
    <row r="1" spans="1:72" x14ac:dyDescent="0.2">
      <c r="A1" s="72" t="s">
        <v>572</v>
      </c>
      <c r="B1" s="58"/>
      <c r="C1" s="58"/>
      <c r="D1" s="58"/>
      <c r="E1" s="58"/>
      <c r="F1" s="58"/>
      <c r="G1" s="58"/>
      <c r="I1" s="57" t="str">
        <f>Summary!$C$1</f>
        <v>CTC_master+r220</v>
      </c>
      <c r="J1" s="58"/>
      <c r="K1" s="58"/>
      <c r="L1" s="58"/>
      <c r="M1" s="58"/>
      <c r="N1" s="58"/>
      <c r="O1" s="58"/>
      <c r="P1" s="58"/>
      <c r="Q1" s="58"/>
      <c r="R1" s="58"/>
      <c r="S1" s="58"/>
      <c r="T1" s="58"/>
      <c r="U1" s="58"/>
      <c r="V1" s="58"/>
      <c r="W1" s="58"/>
      <c r="X1" s="58"/>
      <c r="Y1" s="58"/>
      <c r="Z1" s="58"/>
      <c r="AA1" s="58"/>
      <c r="AB1" s="58"/>
      <c r="AC1" s="58"/>
      <c r="AD1" s="58"/>
      <c r="AE1" s="58"/>
      <c r="AG1" s="59">
        <f>Summary!$C$2</f>
        <v>0</v>
      </c>
      <c r="AH1" s="58"/>
      <c r="AI1" s="58"/>
      <c r="AJ1" s="58"/>
      <c r="AK1" s="58"/>
      <c r="AL1" s="58"/>
      <c r="AM1" s="58"/>
      <c r="AN1" s="58"/>
      <c r="AO1" s="58"/>
      <c r="AP1" s="58"/>
      <c r="AQ1" s="58"/>
      <c r="AR1" s="58"/>
      <c r="AS1" s="58"/>
      <c r="AT1" s="58"/>
      <c r="AU1" s="58"/>
      <c r="AV1" s="58"/>
      <c r="AW1" s="58"/>
      <c r="AX1" s="58"/>
      <c r="AY1" s="58"/>
      <c r="AZ1" s="58"/>
      <c r="BA1" s="58"/>
      <c r="BB1" s="58"/>
      <c r="BC1" s="58"/>
    </row>
    <row r="2" spans="1:72" ht="30" customHeight="1" x14ac:dyDescent="0.2">
      <c r="A2" s="68" t="s">
        <v>137</v>
      </c>
      <c r="B2" s="69" t="s">
        <v>138</v>
      </c>
      <c r="C2" s="68" t="s">
        <v>139</v>
      </c>
      <c r="D2" s="69" t="s">
        <v>140</v>
      </c>
      <c r="E2" s="68" t="s">
        <v>141</v>
      </c>
      <c r="F2" s="69" t="s">
        <v>142</v>
      </c>
      <c r="G2" s="68" t="s">
        <v>143</v>
      </c>
      <c r="I2" s="69" t="s">
        <v>144</v>
      </c>
      <c r="J2" s="70" t="s">
        <v>145</v>
      </c>
      <c r="K2" s="58"/>
      <c r="L2" s="58"/>
      <c r="M2" s="58"/>
      <c r="N2" s="68" t="s">
        <v>146</v>
      </c>
      <c r="O2" s="69" t="s">
        <v>147</v>
      </c>
      <c r="P2" s="68" t="s">
        <v>84</v>
      </c>
      <c r="Q2" s="69" t="s">
        <v>86</v>
      </c>
      <c r="R2" s="68" t="s">
        <v>82</v>
      </c>
      <c r="S2" s="71" t="s">
        <v>148</v>
      </c>
      <c r="T2" s="58"/>
      <c r="U2" s="58"/>
      <c r="V2" s="58"/>
      <c r="W2" s="70" t="s">
        <v>149</v>
      </c>
      <c r="X2" s="58"/>
      <c r="Y2" s="71" t="s">
        <v>150</v>
      </c>
      <c r="Z2" s="58"/>
      <c r="AA2" s="58"/>
      <c r="AB2" s="70" t="s">
        <v>151</v>
      </c>
      <c r="AC2" s="58"/>
      <c r="AD2" s="71" t="s">
        <v>152</v>
      </c>
      <c r="AE2" s="58"/>
      <c r="AG2" s="68" t="s">
        <v>144</v>
      </c>
      <c r="AH2" s="71" t="s">
        <v>145</v>
      </c>
      <c r="AI2" s="58"/>
      <c r="AJ2" s="58"/>
      <c r="AK2" s="58"/>
      <c r="AL2" s="69" t="s">
        <v>153</v>
      </c>
      <c r="AM2" s="68" t="s">
        <v>147</v>
      </c>
      <c r="AN2" s="69" t="s">
        <v>84</v>
      </c>
      <c r="AO2" s="68" t="s">
        <v>86</v>
      </c>
      <c r="AP2" s="69" t="s">
        <v>82</v>
      </c>
      <c r="AQ2" s="70" t="s">
        <v>148</v>
      </c>
      <c r="AR2" s="58"/>
      <c r="AS2" s="58"/>
      <c r="AT2" s="58"/>
      <c r="AU2" s="71" t="s">
        <v>149</v>
      </c>
      <c r="AV2" s="58"/>
      <c r="AW2" s="70" t="s">
        <v>150</v>
      </c>
      <c r="AX2" s="58"/>
      <c r="AY2" s="58"/>
      <c r="AZ2" s="71" t="s">
        <v>151</v>
      </c>
      <c r="BA2" s="58"/>
      <c r="BB2" s="70" t="s">
        <v>152</v>
      </c>
      <c r="BC2" s="58"/>
      <c r="BE2" s="69" t="s">
        <v>154</v>
      </c>
      <c r="BF2" s="68" t="s">
        <v>155</v>
      </c>
      <c r="BG2" s="69" t="s">
        <v>156</v>
      </c>
      <c r="BH2" s="68" t="s">
        <v>156</v>
      </c>
      <c r="BJ2" s="71" t="s">
        <v>5</v>
      </c>
      <c r="BK2" s="58"/>
      <c r="BL2" s="70" t="s">
        <v>6</v>
      </c>
      <c r="BM2" s="58"/>
      <c r="BN2" s="58"/>
      <c r="BP2" s="71" t="s">
        <v>7</v>
      </c>
      <c r="BQ2" s="58"/>
      <c r="BR2" s="70" t="s">
        <v>8</v>
      </c>
      <c r="BS2" s="58"/>
      <c r="BT2" s="58"/>
    </row>
    <row r="3" spans="1:72" ht="17" thickBot="1" x14ac:dyDescent="0.25">
      <c r="A3" s="61"/>
      <c r="B3" s="61"/>
      <c r="C3" s="61"/>
      <c r="D3" s="61"/>
      <c r="E3" s="61"/>
      <c r="F3" s="61"/>
      <c r="G3" s="61"/>
      <c r="I3" s="61"/>
      <c r="J3" s="55" t="s">
        <v>25</v>
      </c>
      <c r="K3" s="55" t="s">
        <v>23</v>
      </c>
      <c r="L3" s="55" t="s">
        <v>157</v>
      </c>
      <c r="M3" s="55" t="s">
        <v>158</v>
      </c>
      <c r="N3" s="61"/>
      <c r="O3" s="61"/>
      <c r="P3" s="61"/>
      <c r="Q3" s="61"/>
      <c r="R3" s="61"/>
      <c r="S3" s="56" t="s">
        <v>25</v>
      </c>
      <c r="T3" s="56" t="s">
        <v>157</v>
      </c>
      <c r="U3" s="56" t="s">
        <v>159</v>
      </c>
      <c r="V3" s="56" t="s">
        <v>24</v>
      </c>
      <c r="W3" s="55" t="s">
        <v>9</v>
      </c>
      <c r="X3" s="55" t="s">
        <v>10</v>
      </c>
      <c r="Y3" s="56" t="s">
        <v>11</v>
      </c>
      <c r="Z3" s="56" t="s">
        <v>12</v>
      </c>
      <c r="AA3" s="56" t="s">
        <v>13</v>
      </c>
      <c r="AB3" s="55" t="s">
        <v>160</v>
      </c>
      <c r="AC3" s="55" t="s">
        <v>161</v>
      </c>
      <c r="AD3" s="56" t="s">
        <v>160</v>
      </c>
      <c r="AE3" s="56" t="s">
        <v>161</v>
      </c>
      <c r="AG3" s="61"/>
      <c r="AH3" s="56" t="s">
        <v>25</v>
      </c>
      <c r="AI3" s="56" t="s">
        <v>23</v>
      </c>
      <c r="AJ3" s="56" t="s">
        <v>157</v>
      </c>
      <c r="AK3" s="56" t="s">
        <v>158</v>
      </c>
      <c r="AL3" s="61"/>
      <c r="AM3" s="61"/>
      <c r="AN3" s="61"/>
      <c r="AO3" s="61"/>
      <c r="AP3" s="61"/>
      <c r="AQ3" s="55" t="s">
        <v>25</v>
      </c>
      <c r="AR3" s="55" t="s">
        <v>157</v>
      </c>
      <c r="AS3" s="55" t="s">
        <v>159</v>
      </c>
      <c r="AT3" s="55" t="s">
        <v>24</v>
      </c>
      <c r="AU3" s="56" t="s">
        <v>9</v>
      </c>
      <c r="AV3" s="56" t="s">
        <v>10</v>
      </c>
      <c r="AW3" s="55" t="s">
        <v>11</v>
      </c>
      <c r="AX3" s="55" t="s">
        <v>12</v>
      </c>
      <c r="AY3" s="55" t="s">
        <v>13</v>
      </c>
      <c r="AZ3" s="56" t="s">
        <v>160</v>
      </c>
      <c r="BA3" s="56" t="s">
        <v>161</v>
      </c>
      <c r="BB3" s="55" t="s">
        <v>160</v>
      </c>
      <c r="BC3" s="55" t="s">
        <v>161</v>
      </c>
      <c r="BE3" s="61"/>
      <c r="BF3" s="61"/>
      <c r="BG3" s="61"/>
      <c r="BH3" s="61"/>
      <c r="BJ3" s="56" t="s">
        <v>9</v>
      </c>
      <c r="BK3" s="56" t="s">
        <v>10</v>
      </c>
      <c r="BL3" s="55" t="s">
        <v>11</v>
      </c>
      <c r="BM3" s="55" t="s">
        <v>12</v>
      </c>
      <c r="BN3" s="55" t="s">
        <v>13</v>
      </c>
      <c r="BP3" s="56" t="s">
        <v>9</v>
      </c>
      <c r="BQ3" s="56" t="s">
        <v>10</v>
      </c>
      <c r="BR3" s="55" t="s">
        <v>11</v>
      </c>
      <c r="BS3" s="55" t="s">
        <v>12</v>
      </c>
      <c r="BT3" s="55" t="s">
        <v>13</v>
      </c>
    </row>
    <row r="4" spans="1:72" ht="123" hidden="1" customHeight="1" x14ac:dyDescent="0.2">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
      <c r="A5" s="53" t="s">
        <v>229</v>
      </c>
      <c r="B5" s="53" t="s">
        <v>49</v>
      </c>
      <c r="C5" s="10" t="s">
        <v>230</v>
      </c>
      <c r="D5" s="53">
        <v>238146391</v>
      </c>
      <c r="E5" s="10">
        <v>10</v>
      </c>
      <c r="F5" s="10">
        <v>300</v>
      </c>
      <c r="G5" s="10">
        <v>30</v>
      </c>
      <c r="I5" s="11">
        <f t="shared" ref="I5:I39" si="0">IF(OR(ISBLANK(S5),ISBLANK(G5)),"·",S5*G5/F5/1000000)</f>
        <v>1.2511888</v>
      </c>
      <c r="J5" s="12">
        <f t="shared" ref="J5:J39" si="1">IF(ISBLANK(S5),"·",S5/D5)</f>
        <v>5.253864208254997E-2</v>
      </c>
      <c r="K5" s="12">
        <f t="shared" ref="K5:K39" si="2">IF(N5="","·",N5/D5)</f>
        <v>4.4726203723994287E-2</v>
      </c>
      <c r="L5" s="12">
        <f t="shared" ref="L5:L39" si="3">IF(T5="","·",T5/D5)</f>
        <v>2.8122937206300137E-2</v>
      </c>
      <c r="M5" s="12">
        <f t="shared" ref="M5:M39" si="4">IF(ISBLANK(V5),"·",V5/D5)</f>
        <v>7.8124383585556831E-3</v>
      </c>
      <c r="N5" s="53">
        <f t="shared" ref="N5:N39" si="5">IF(OR(ISBLANK(T5),ISBLANK(U5)),"",T5+U5)</f>
        <v>10651384</v>
      </c>
      <c r="O5" s="12">
        <v>-12</v>
      </c>
      <c r="P5" s="13">
        <v>222480528</v>
      </c>
      <c r="Q5" s="13">
        <v>741601.76</v>
      </c>
      <c r="R5" s="13">
        <v>16854.09</v>
      </c>
      <c r="S5" s="14">
        <v>12511888</v>
      </c>
      <c r="T5" s="14">
        <v>6697376</v>
      </c>
      <c r="U5" s="14">
        <v>3954008</v>
      </c>
      <c r="V5" s="14">
        <v>1860504</v>
      </c>
      <c r="W5" s="15">
        <v>66.613611770000006</v>
      </c>
      <c r="X5" s="15">
        <v>68.404904942666704</v>
      </c>
      <c r="Y5" s="15">
        <v>31.604631879333301</v>
      </c>
      <c r="Z5" s="15">
        <v>44.315840599333299</v>
      </c>
      <c r="AA5" s="15">
        <v>43.810913964333402</v>
      </c>
      <c r="AB5" s="16">
        <v>59933.08</v>
      </c>
      <c r="AC5" s="16">
        <v>0</v>
      </c>
      <c r="AD5" s="16">
        <v>693.31200000000001</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3"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
      <c r="A6" s="18"/>
      <c r="B6" s="18" t="s">
        <v>49</v>
      </c>
      <c r="C6" s="19" t="s">
        <v>231</v>
      </c>
      <c r="D6" s="18">
        <v>238146391</v>
      </c>
      <c r="E6" s="19">
        <v>10</v>
      </c>
      <c r="F6" s="19">
        <v>300</v>
      </c>
      <c r="G6" s="19">
        <v>30</v>
      </c>
      <c r="I6" s="20">
        <f t="shared" si="0"/>
        <v>1.6539999999999999</v>
      </c>
      <c r="J6" s="21">
        <f t="shared" si="1"/>
        <v>6.9453078547808023E-2</v>
      </c>
      <c r="K6" s="21">
        <f t="shared" si="2"/>
        <v>5.4983827153609902E-2</v>
      </c>
      <c r="L6" s="21">
        <f t="shared" si="3"/>
        <v>3.8380560635915745E-2</v>
      </c>
      <c r="M6" s="21">
        <f t="shared" si="4"/>
        <v>1.4469251394198118E-2</v>
      </c>
      <c r="N6" s="18">
        <f t="shared" si="5"/>
        <v>13094200</v>
      </c>
      <c r="O6" s="21">
        <v>-12</v>
      </c>
      <c r="P6" s="22">
        <v>234624232</v>
      </c>
      <c r="Q6" s="22">
        <v>782080.77333333297</v>
      </c>
      <c r="R6" s="22">
        <v>20388.456666666701</v>
      </c>
      <c r="S6" s="23">
        <v>16540000</v>
      </c>
      <c r="T6" s="23">
        <v>9140192</v>
      </c>
      <c r="U6" s="23">
        <v>3954008</v>
      </c>
      <c r="V6" s="23">
        <v>3445800</v>
      </c>
      <c r="W6" s="24">
        <v>68.323659321999997</v>
      </c>
      <c r="X6" s="24">
        <v>70.403800327999903</v>
      </c>
      <c r="Y6" s="24">
        <v>33.653191272000001</v>
      </c>
      <c r="Z6" s="24">
        <v>45.411708975666699</v>
      </c>
      <c r="AA6" s="24">
        <v>45.033917290333299</v>
      </c>
      <c r="AB6" s="25">
        <v>62781.072</v>
      </c>
      <c r="AC6" s="25">
        <v>0</v>
      </c>
      <c r="AD6" s="25">
        <v>722.84400000000005</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
      <c r="A7" s="53"/>
      <c r="B7" s="53" t="s">
        <v>49</v>
      </c>
      <c r="C7" s="10" t="s">
        <v>232</v>
      </c>
      <c r="D7" s="53">
        <v>238146391</v>
      </c>
      <c r="E7" s="10">
        <v>10</v>
      </c>
      <c r="F7" s="10">
        <v>300</v>
      </c>
      <c r="G7" s="10">
        <v>30</v>
      </c>
      <c r="I7" s="11">
        <f t="shared" si="0"/>
        <v>2.3387536</v>
      </c>
      <c r="J7" s="12">
        <f t="shared" si="1"/>
        <v>9.820655228825198E-2</v>
      </c>
      <c r="K7" s="12">
        <f t="shared" si="2"/>
        <v>6.9056213411187076E-2</v>
      </c>
      <c r="L7" s="12">
        <f t="shared" si="3"/>
        <v>5.2452946893492919E-2</v>
      </c>
      <c r="M7" s="12">
        <f t="shared" si="4"/>
        <v>2.9150338877064905E-2</v>
      </c>
      <c r="N7" s="53">
        <f t="shared" si="5"/>
        <v>16445488</v>
      </c>
      <c r="O7" s="12">
        <v>-12</v>
      </c>
      <c r="P7" s="13">
        <v>237199047</v>
      </c>
      <c r="Q7" s="13">
        <v>790663.49</v>
      </c>
      <c r="R7" s="13">
        <v>21739.403333333299</v>
      </c>
      <c r="S7" s="14">
        <v>23387536</v>
      </c>
      <c r="T7" s="14">
        <v>12491480</v>
      </c>
      <c r="U7" s="14">
        <v>3954008</v>
      </c>
      <c r="V7" s="14">
        <v>6942048</v>
      </c>
      <c r="W7" s="15">
        <v>69.651400551999998</v>
      </c>
      <c r="X7" s="15">
        <v>72.072478415333293</v>
      </c>
      <c r="Y7" s="15">
        <v>36.036792927333302</v>
      </c>
      <c r="Z7" s="15">
        <v>46.717065670666699</v>
      </c>
      <c r="AA7" s="15">
        <v>46.480287424333397</v>
      </c>
      <c r="AB7" s="16">
        <v>67275.807000000001</v>
      </c>
      <c r="AC7" s="16">
        <v>0</v>
      </c>
      <c r="AD7" s="16">
        <v>729.22199999999998</v>
      </c>
      <c r="AE7" s="16">
        <v>0</v>
      </c>
      <c r="AG7" s="11" t="str">
        <f t="shared" si="6"/>
        <v>·</v>
      </c>
      <c r="AH7" s="12" t="str">
        <f t="shared" si="7"/>
        <v>·</v>
      </c>
      <c r="AI7" s="12" t="str">
        <f t="shared" si="8"/>
        <v>·</v>
      </c>
      <c r="AJ7" s="12" t="str">
        <f t="shared" si="9"/>
        <v>·</v>
      </c>
      <c r="AK7" s="12" t="str">
        <f t="shared" si="10"/>
        <v>·</v>
      </c>
      <c r="AL7" s="53"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
      <c r="A8" s="18"/>
      <c r="B8" s="18" t="s">
        <v>49</v>
      </c>
      <c r="C8" s="19" t="s">
        <v>233</v>
      </c>
      <c r="D8" s="18">
        <v>238146391</v>
      </c>
      <c r="E8" s="19">
        <v>10</v>
      </c>
      <c r="F8" s="19">
        <v>300</v>
      </c>
      <c r="G8" s="19">
        <v>30</v>
      </c>
      <c r="I8" s="20">
        <f t="shared" si="0"/>
        <v>3.8743736000000002</v>
      </c>
      <c r="J8" s="21">
        <f t="shared" si="1"/>
        <v>0.16268873879344239</v>
      </c>
      <c r="K8" s="21">
        <f t="shared" si="2"/>
        <v>9.9402354579456967E-2</v>
      </c>
      <c r="L8" s="21">
        <f t="shared" si="3"/>
        <v>8.2799088061762824E-2</v>
      </c>
      <c r="M8" s="21">
        <f t="shared" si="4"/>
        <v>6.3286384213985428E-2</v>
      </c>
      <c r="N8" s="18">
        <f t="shared" si="5"/>
        <v>23672312</v>
      </c>
      <c r="O8" s="21">
        <v>-12</v>
      </c>
      <c r="P8" s="22">
        <v>246300421</v>
      </c>
      <c r="Q8" s="22">
        <v>821001.40333333297</v>
      </c>
      <c r="R8" s="22">
        <v>24976.016666666699</v>
      </c>
      <c r="S8" s="23">
        <v>38743736</v>
      </c>
      <c r="T8" s="23">
        <v>19718304</v>
      </c>
      <c r="U8" s="23">
        <v>3954008</v>
      </c>
      <c r="V8" s="23">
        <v>15071424</v>
      </c>
      <c r="W8" s="24">
        <v>70.736514995999997</v>
      </c>
      <c r="X8" s="24">
        <v>73.310262925000004</v>
      </c>
      <c r="Y8" s="24">
        <v>38.506508062999998</v>
      </c>
      <c r="Z8" s="24">
        <v>47.939309354000002</v>
      </c>
      <c r="AA8" s="24">
        <v>47.965740480000001</v>
      </c>
      <c r="AB8" s="25">
        <v>70514.789000000004</v>
      </c>
      <c r="AC8" s="25">
        <v>0</v>
      </c>
      <c r="AD8" s="25">
        <v>753.05399999999997</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ht="16" outlineLevel="1" thickBot="1" x14ac:dyDescent="0.25">
      <c r="A9" s="53"/>
      <c r="B9" s="27" t="s">
        <v>49</v>
      </c>
      <c r="C9" s="28" t="s">
        <v>234</v>
      </c>
      <c r="D9" s="27">
        <v>238146391</v>
      </c>
      <c r="E9" s="28">
        <v>10</v>
      </c>
      <c r="F9" s="28">
        <v>300</v>
      </c>
      <c r="G9" s="28">
        <v>30</v>
      </c>
      <c r="I9" s="29">
        <f t="shared" si="0"/>
        <v>7.7077239999999998</v>
      </c>
      <c r="J9" s="30">
        <f t="shared" si="1"/>
        <v>0.32365487327498488</v>
      </c>
      <c r="K9" s="30">
        <f t="shared" si="2"/>
        <v>0.1710012393175423</v>
      </c>
      <c r="L9" s="30">
        <f t="shared" si="3"/>
        <v>0.13463920181767525</v>
      </c>
      <c r="M9" s="30">
        <f t="shared" si="4"/>
        <v>0.15265363395744258</v>
      </c>
      <c r="N9" s="27">
        <f t="shared" si="5"/>
        <v>40723328</v>
      </c>
      <c r="O9" s="30">
        <v>-12</v>
      </c>
      <c r="P9" s="31">
        <v>236683423</v>
      </c>
      <c r="Q9" s="31">
        <v>788944.74333333306</v>
      </c>
      <c r="R9" s="31">
        <v>10914.45</v>
      </c>
      <c r="S9" s="32">
        <v>77077240</v>
      </c>
      <c r="T9" s="32">
        <v>32063840</v>
      </c>
      <c r="U9" s="32">
        <v>8659488</v>
      </c>
      <c r="V9" s="32">
        <v>36353912</v>
      </c>
      <c r="W9" s="33">
        <v>71.772389492000102</v>
      </c>
      <c r="X9" s="33">
        <v>75.151274295333295</v>
      </c>
      <c r="Y9" s="33">
        <v>41.028248087333303</v>
      </c>
      <c r="Z9" s="33">
        <v>49.432592487000001</v>
      </c>
      <c r="AA9" s="33">
        <v>49.486607839000001</v>
      </c>
      <c r="AB9" s="34">
        <v>78796.983999999997</v>
      </c>
      <c r="AC9" s="34">
        <v>0</v>
      </c>
      <c r="AD9" s="34">
        <v>743.13900000000001</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
      <c r="A10" s="18"/>
      <c r="B10" s="18" t="s">
        <v>57</v>
      </c>
      <c r="C10" s="19" t="s">
        <v>230</v>
      </c>
      <c r="D10" s="18">
        <v>218121242</v>
      </c>
      <c r="E10" s="19">
        <v>10</v>
      </c>
      <c r="F10" s="19">
        <v>300</v>
      </c>
      <c r="G10" s="19">
        <v>30</v>
      </c>
      <c r="I10" s="20">
        <f t="shared" si="0"/>
        <v>2.1210144</v>
      </c>
      <c r="J10" s="21">
        <f t="shared" si="1"/>
        <v>9.7240157838455729E-2</v>
      </c>
      <c r="K10" s="21">
        <f t="shared" si="2"/>
        <v>7.2763935573042449E-2</v>
      </c>
      <c r="L10" s="21">
        <f t="shared" si="3"/>
        <v>4.1379335259790977E-2</v>
      </c>
      <c r="M10" s="21">
        <f t="shared" si="4"/>
        <v>2.4476222265413287E-2</v>
      </c>
      <c r="N10" s="18">
        <f t="shared" si="5"/>
        <v>15871360</v>
      </c>
      <c r="O10" s="21">
        <v>-12</v>
      </c>
      <c r="P10" s="22">
        <v>203423665</v>
      </c>
      <c r="Q10" s="22">
        <v>678078.88333333295</v>
      </c>
      <c r="R10" s="22">
        <v>20690.483333333301</v>
      </c>
      <c r="S10" s="23">
        <v>21210144</v>
      </c>
      <c r="T10" s="23">
        <v>9025712</v>
      </c>
      <c r="U10" s="23">
        <v>6845648</v>
      </c>
      <c r="V10" s="23">
        <v>5338784</v>
      </c>
      <c r="W10" s="24">
        <v>65.918390966333405</v>
      </c>
      <c r="X10" s="24">
        <v>67.697320403666794</v>
      </c>
      <c r="Y10" s="24">
        <v>30.875329986000001</v>
      </c>
      <c r="Z10" s="24">
        <v>38.660015518666697</v>
      </c>
      <c r="AA10" s="24">
        <v>29.9092062743333</v>
      </c>
      <c r="AB10" s="25">
        <v>71218.42</v>
      </c>
      <c r="AC10" s="25">
        <v>0</v>
      </c>
      <c r="AD10" s="25">
        <v>682.327</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
      <c r="A11" s="53"/>
      <c r="B11" s="53" t="s">
        <v>57</v>
      </c>
      <c r="C11" s="10" t="s">
        <v>231</v>
      </c>
      <c r="D11" s="53">
        <v>218121242</v>
      </c>
      <c r="E11" s="10">
        <v>10</v>
      </c>
      <c r="F11" s="10">
        <v>300</v>
      </c>
      <c r="G11" s="10">
        <v>30</v>
      </c>
      <c r="I11" s="11">
        <f t="shared" si="0"/>
        <v>2.8989416000000001</v>
      </c>
      <c r="J11" s="12">
        <f t="shared" si="1"/>
        <v>0.13290505653731791</v>
      </c>
      <c r="K11" s="12">
        <f t="shared" si="2"/>
        <v>8.9526392848982589E-2</v>
      </c>
      <c r="L11" s="12">
        <f t="shared" si="3"/>
        <v>5.8141792535731117E-2</v>
      </c>
      <c r="M11" s="12">
        <f t="shared" si="4"/>
        <v>4.3378663688335317E-2</v>
      </c>
      <c r="N11" s="53">
        <f t="shared" si="5"/>
        <v>19527608</v>
      </c>
      <c r="O11" s="12">
        <v>-12</v>
      </c>
      <c r="P11" s="13">
        <v>214721626</v>
      </c>
      <c r="Q11" s="13">
        <v>715738.75333333295</v>
      </c>
      <c r="R11" s="13">
        <v>25171.793333333299</v>
      </c>
      <c r="S11" s="14">
        <v>28989416</v>
      </c>
      <c r="T11" s="14">
        <v>12681960</v>
      </c>
      <c r="U11" s="14">
        <v>6845648</v>
      </c>
      <c r="V11" s="14">
        <v>9461808</v>
      </c>
      <c r="W11" s="15">
        <v>67.582182775666695</v>
      </c>
      <c r="X11" s="15">
        <v>69.613673586333306</v>
      </c>
      <c r="Y11" s="15">
        <v>32.672546424666699</v>
      </c>
      <c r="Z11" s="15">
        <v>39.622250888000003</v>
      </c>
      <c r="AA11" s="15">
        <v>32.105569607666702</v>
      </c>
      <c r="AB11" s="16">
        <v>76966.116999999998</v>
      </c>
      <c r="AC11" s="16">
        <v>0</v>
      </c>
      <c r="AD11" s="16">
        <v>724.26800000000003</v>
      </c>
      <c r="AE11" s="16">
        <v>0</v>
      </c>
      <c r="AG11" s="11" t="str">
        <f t="shared" si="6"/>
        <v>·</v>
      </c>
      <c r="AH11" s="12" t="str">
        <f t="shared" si="7"/>
        <v>·</v>
      </c>
      <c r="AI11" s="12" t="str">
        <f t="shared" si="8"/>
        <v>·</v>
      </c>
      <c r="AJ11" s="12" t="str">
        <f t="shared" si="9"/>
        <v>·</v>
      </c>
      <c r="AK11" s="12" t="str">
        <f t="shared" si="10"/>
        <v>·</v>
      </c>
      <c r="AL11" s="53"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
      <c r="A12" s="18"/>
      <c r="B12" s="18" t="s">
        <v>57</v>
      </c>
      <c r="C12" s="19" t="s">
        <v>232</v>
      </c>
      <c r="D12" s="18">
        <v>218121242</v>
      </c>
      <c r="E12" s="19">
        <v>10</v>
      </c>
      <c r="F12" s="19">
        <v>300</v>
      </c>
      <c r="G12" s="19">
        <v>30</v>
      </c>
      <c r="I12" s="20">
        <f t="shared" si="0"/>
        <v>4.1355360000000001</v>
      </c>
      <c r="J12" s="21">
        <f t="shared" si="1"/>
        <v>0.1895980401578678</v>
      </c>
      <c r="K12" s="21">
        <f t="shared" si="2"/>
        <v>0.11454715630126477</v>
      </c>
      <c r="L12" s="21">
        <f t="shared" si="3"/>
        <v>8.3162555988013309E-2</v>
      </c>
      <c r="M12" s="21">
        <f t="shared" si="4"/>
        <v>7.5050883856603023E-2</v>
      </c>
      <c r="N12" s="18">
        <f t="shared" si="5"/>
        <v>24985168</v>
      </c>
      <c r="O12" s="21">
        <v>-12</v>
      </c>
      <c r="P12" s="22">
        <v>217488686</v>
      </c>
      <c r="Q12" s="22">
        <v>724962.28666666697</v>
      </c>
      <c r="R12" s="22">
        <v>26597.72</v>
      </c>
      <c r="S12" s="23">
        <v>41355360</v>
      </c>
      <c r="T12" s="23">
        <v>18139520</v>
      </c>
      <c r="U12" s="23">
        <v>6845648</v>
      </c>
      <c r="V12" s="23">
        <v>16370192</v>
      </c>
      <c r="W12" s="24">
        <v>68.905238925000006</v>
      </c>
      <c r="X12" s="24">
        <v>71.260605371333298</v>
      </c>
      <c r="Y12" s="24">
        <v>34.683141750666699</v>
      </c>
      <c r="Z12" s="24">
        <v>40.569274888333297</v>
      </c>
      <c r="AA12" s="24">
        <v>33.986043162000001</v>
      </c>
      <c r="AB12" s="25">
        <v>81001.884000000005</v>
      </c>
      <c r="AC12" s="25">
        <v>0</v>
      </c>
      <c r="AD12" s="25">
        <v>728.94600000000003</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
      <c r="A13" s="53"/>
      <c r="B13" s="53" t="s">
        <v>57</v>
      </c>
      <c r="C13" s="10" t="s">
        <v>233</v>
      </c>
      <c r="D13" s="53">
        <v>218121242</v>
      </c>
      <c r="E13" s="10">
        <v>10</v>
      </c>
      <c r="F13" s="10">
        <v>300</v>
      </c>
      <c r="G13" s="10">
        <v>30</v>
      </c>
      <c r="I13" s="11">
        <f t="shared" si="0"/>
        <v>6.7192144000000003</v>
      </c>
      <c r="J13" s="12">
        <f t="shared" si="1"/>
        <v>0.30804952045890149</v>
      </c>
      <c r="K13" s="12">
        <f t="shared" si="2"/>
        <v>0.16178466469579336</v>
      </c>
      <c r="L13" s="12">
        <f t="shared" si="3"/>
        <v>0.1304000643825419</v>
      </c>
      <c r="M13" s="12">
        <f t="shared" si="4"/>
        <v>0.1462648557631081</v>
      </c>
      <c r="N13" s="53">
        <f t="shared" si="5"/>
        <v>35288672</v>
      </c>
      <c r="O13" s="12">
        <v>-12</v>
      </c>
      <c r="P13" s="13">
        <v>225229598</v>
      </c>
      <c r="Q13" s="13">
        <v>750765.32666666701</v>
      </c>
      <c r="R13" s="13">
        <v>30236.0766666667</v>
      </c>
      <c r="S13" s="14">
        <v>67192144</v>
      </c>
      <c r="T13" s="14">
        <v>28443024</v>
      </c>
      <c r="U13" s="14">
        <v>6845648</v>
      </c>
      <c r="V13" s="14">
        <v>31903472</v>
      </c>
      <c r="W13" s="15">
        <v>69.9561156066667</v>
      </c>
      <c r="X13" s="15">
        <v>72.486503054666699</v>
      </c>
      <c r="Y13" s="15">
        <v>36.871493722666699</v>
      </c>
      <c r="Z13" s="15">
        <v>41.617722302666699</v>
      </c>
      <c r="AA13" s="15">
        <v>35.921080702333398</v>
      </c>
      <c r="AB13" s="16">
        <v>85618.77</v>
      </c>
      <c r="AC13" s="16">
        <v>0</v>
      </c>
      <c r="AD13" s="16">
        <v>742.71500000000003</v>
      </c>
      <c r="AE13" s="16">
        <v>0</v>
      </c>
      <c r="AG13" s="11" t="str">
        <f t="shared" si="6"/>
        <v>·</v>
      </c>
      <c r="AH13" s="12" t="str">
        <f t="shared" si="7"/>
        <v>·</v>
      </c>
      <c r="AI13" s="12" t="str">
        <f t="shared" si="8"/>
        <v>·</v>
      </c>
      <c r="AJ13" s="12" t="str">
        <f t="shared" si="9"/>
        <v>·</v>
      </c>
      <c r="AK13" s="12" t="str">
        <f t="shared" si="10"/>
        <v>·</v>
      </c>
      <c r="AL13" s="53"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ht="16" outlineLevel="1" thickBot="1" x14ac:dyDescent="0.25">
      <c r="A14" s="18"/>
      <c r="B14" s="37" t="s">
        <v>57</v>
      </c>
      <c r="C14" s="38" t="s">
        <v>234</v>
      </c>
      <c r="D14" s="37">
        <v>218121242</v>
      </c>
      <c r="E14" s="38">
        <v>10</v>
      </c>
      <c r="F14" s="38">
        <v>300</v>
      </c>
      <c r="G14" s="38">
        <v>30</v>
      </c>
      <c r="I14" s="39">
        <f t="shared" si="0"/>
        <v>13.222121599999999</v>
      </c>
      <c r="J14" s="40">
        <f t="shared" si="1"/>
        <v>0.60618220759993657</v>
      </c>
      <c r="K14" s="40">
        <f t="shared" si="2"/>
        <v>0.27258153976585187</v>
      </c>
      <c r="L14" s="40">
        <f t="shared" si="3"/>
        <v>0.21063558770676724</v>
      </c>
      <c r="M14" s="40">
        <f t="shared" si="4"/>
        <v>0.33360066783408465</v>
      </c>
      <c r="N14" s="37">
        <f t="shared" si="5"/>
        <v>59455824</v>
      </c>
      <c r="O14" s="40">
        <v>-12</v>
      </c>
      <c r="P14" s="41">
        <v>213009264</v>
      </c>
      <c r="Q14" s="41">
        <v>710030.88</v>
      </c>
      <c r="R14" s="41">
        <v>14270.0133333333</v>
      </c>
      <c r="S14" s="42">
        <v>132221216</v>
      </c>
      <c r="T14" s="42">
        <v>45944096</v>
      </c>
      <c r="U14" s="42">
        <v>13511728</v>
      </c>
      <c r="V14" s="42">
        <v>72765392</v>
      </c>
      <c r="W14" s="43">
        <v>70.811935710666702</v>
      </c>
      <c r="X14" s="43">
        <v>74.587800904666693</v>
      </c>
      <c r="Y14" s="43">
        <v>39.259962429333299</v>
      </c>
      <c r="Z14" s="43">
        <v>42.902484741000002</v>
      </c>
      <c r="AA14" s="43">
        <v>38.032773995666702</v>
      </c>
      <c r="AB14" s="44">
        <v>95462.284</v>
      </c>
      <c r="AC14" s="44">
        <v>0</v>
      </c>
      <c r="AD14" s="44">
        <v>722.154</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
      <c r="A15" s="53"/>
      <c r="B15" s="53" t="s">
        <v>62</v>
      </c>
      <c r="C15" s="10" t="s">
        <v>230</v>
      </c>
      <c r="D15" s="53">
        <v>322589704</v>
      </c>
      <c r="E15" s="10">
        <v>10</v>
      </c>
      <c r="F15" s="10">
        <v>300</v>
      </c>
      <c r="G15" s="10">
        <v>30</v>
      </c>
      <c r="I15" s="11">
        <f t="shared" si="0"/>
        <v>1.8791783999999998</v>
      </c>
      <c r="J15" s="12">
        <f t="shared" si="1"/>
        <v>5.8252894518914959E-2</v>
      </c>
      <c r="K15" s="12">
        <f t="shared" si="2"/>
        <v>4.8378481416133483E-2</v>
      </c>
      <c r="L15" s="12">
        <f t="shared" si="3"/>
        <v>2.6924455096682193E-2</v>
      </c>
      <c r="M15" s="12">
        <f t="shared" si="4"/>
        <v>9.8744131027814833E-3</v>
      </c>
      <c r="N15" s="53">
        <f t="shared" si="5"/>
        <v>15606400</v>
      </c>
      <c r="O15" s="12">
        <v>-12</v>
      </c>
      <c r="P15" s="13">
        <v>308568020</v>
      </c>
      <c r="Q15" s="13">
        <v>1028560.06666666</v>
      </c>
      <c r="R15" s="13">
        <v>31474.01</v>
      </c>
      <c r="S15" s="14">
        <v>18791784</v>
      </c>
      <c r="T15" s="14">
        <v>8685552</v>
      </c>
      <c r="U15" s="14">
        <v>6920848</v>
      </c>
      <c r="V15" s="14">
        <v>3185384</v>
      </c>
      <c r="W15" s="15">
        <v>66.292667793999996</v>
      </c>
      <c r="X15" s="15">
        <v>67.882903599333304</v>
      </c>
      <c r="Y15" s="15">
        <v>29.0275712163333</v>
      </c>
      <c r="Z15" s="15">
        <v>43.392186657333298</v>
      </c>
      <c r="AA15" s="15">
        <v>43.601365457</v>
      </c>
      <c r="AB15" s="16">
        <v>68110.899999999994</v>
      </c>
      <c r="AC15" s="16">
        <v>0</v>
      </c>
      <c r="AD15" s="16">
        <v>933.91300000000001</v>
      </c>
      <c r="AE15" s="16">
        <v>0</v>
      </c>
      <c r="AG15" s="11" t="str">
        <f t="shared" si="6"/>
        <v>·</v>
      </c>
      <c r="AH15" s="12" t="str">
        <f t="shared" si="7"/>
        <v>·</v>
      </c>
      <c r="AI15" s="12" t="str">
        <f t="shared" si="8"/>
        <v>·</v>
      </c>
      <c r="AJ15" s="12" t="str">
        <f t="shared" si="9"/>
        <v>·</v>
      </c>
      <c r="AK15" s="12" t="str">
        <f t="shared" si="10"/>
        <v>·</v>
      </c>
      <c r="AL15" s="53"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
      <c r="A16" s="18"/>
      <c r="B16" s="18" t="s">
        <v>62</v>
      </c>
      <c r="C16" s="19" t="s">
        <v>231</v>
      </c>
      <c r="D16" s="18">
        <v>322589704</v>
      </c>
      <c r="E16" s="19">
        <v>10</v>
      </c>
      <c r="F16" s="19">
        <v>300</v>
      </c>
      <c r="G16" s="19">
        <v>30</v>
      </c>
      <c r="I16" s="20">
        <f t="shared" si="0"/>
        <v>2.5047023999999998</v>
      </c>
      <c r="J16" s="21">
        <f t="shared" si="1"/>
        <v>7.7643593981536377E-2</v>
      </c>
      <c r="K16" s="21">
        <f t="shared" si="2"/>
        <v>5.8671159573028403E-2</v>
      </c>
      <c r="L16" s="21">
        <f t="shared" si="3"/>
        <v>3.7217133253577117E-2</v>
      </c>
      <c r="M16" s="21">
        <f t="shared" si="4"/>
        <v>1.8972434408507967E-2</v>
      </c>
      <c r="N16" s="18">
        <f t="shared" si="5"/>
        <v>18926712</v>
      </c>
      <c r="O16" s="21">
        <v>-12</v>
      </c>
      <c r="P16" s="22">
        <v>320786351</v>
      </c>
      <c r="Q16" s="22">
        <v>1069287.8366666599</v>
      </c>
      <c r="R16" s="22">
        <v>36368.023333333302</v>
      </c>
      <c r="S16" s="23">
        <v>25047024</v>
      </c>
      <c r="T16" s="23">
        <v>12005864</v>
      </c>
      <c r="U16" s="23">
        <v>6920848</v>
      </c>
      <c r="V16" s="23">
        <v>6120312</v>
      </c>
      <c r="W16" s="24">
        <v>68.004283246</v>
      </c>
      <c r="X16" s="24">
        <v>70.007956566999994</v>
      </c>
      <c r="Y16" s="24">
        <v>31.341946709999998</v>
      </c>
      <c r="Z16" s="24">
        <v>44.019484023666699</v>
      </c>
      <c r="AA16" s="24">
        <v>44.367089771333397</v>
      </c>
      <c r="AB16" s="25">
        <v>73237.243000000002</v>
      </c>
      <c r="AC16" s="25">
        <v>0</v>
      </c>
      <c r="AD16" s="25">
        <v>984.76</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
      <c r="A17" s="53"/>
      <c r="B17" s="53" t="s">
        <v>62</v>
      </c>
      <c r="C17" s="10" t="s">
        <v>232</v>
      </c>
      <c r="D17" s="53">
        <v>322589704</v>
      </c>
      <c r="E17" s="10">
        <v>10</v>
      </c>
      <c r="F17" s="10">
        <v>300</v>
      </c>
      <c r="G17" s="10">
        <v>30</v>
      </c>
      <c r="I17" s="11">
        <f t="shared" si="0"/>
        <v>3.5982072000000001</v>
      </c>
      <c r="J17" s="12">
        <f t="shared" si="1"/>
        <v>0.11154129085285375</v>
      </c>
      <c r="K17" s="12">
        <f t="shared" si="2"/>
        <v>7.2699704017831893E-2</v>
      </c>
      <c r="L17" s="12">
        <f t="shared" si="3"/>
        <v>5.12456776983806E-2</v>
      </c>
      <c r="M17" s="12">
        <f t="shared" si="4"/>
        <v>3.8841586835021862E-2</v>
      </c>
      <c r="N17" s="53">
        <f t="shared" si="5"/>
        <v>23452176</v>
      </c>
      <c r="O17" s="12">
        <v>-12</v>
      </c>
      <c r="P17" s="13">
        <v>321801817</v>
      </c>
      <c r="Q17" s="13">
        <v>1072672.7233333299</v>
      </c>
      <c r="R17" s="13">
        <v>37373.223333333299</v>
      </c>
      <c r="S17" s="14">
        <v>35982072</v>
      </c>
      <c r="T17" s="14">
        <v>16531328</v>
      </c>
      <c r="U17" s="14">
        <v>6920848</v>
      </c>
      <c r="V17" s="14">
        <v>12529896</v>
      </c>
      <c r="W17" s="15">
        <v>69.316818243333302</v>
      </c>
      <c r="X17" s="15">
        <v>71.769334908000005</v>
      </c>
      <c r="Y17" s="15">
        <v>33.744162116666701</v>
      </c>
      <c r="Z17" s="15">
        <v>45.193575019666604</v>
      </c>
      <c r="AA17" s="15">
        <v>45.614868759666699</v>
      </c>
      <c r="AB17" s="16">
        <v>76974.781000000003</v>
      </c>
      <c r="AC17" s="16">
        <v>0</v>
      </c>
      <c r="AD17" s="16">
        <v>991.55899999999997</v>
      </c>
      <c r="AE17" s="16">
        <v>0</v>
      </c>
      <c r="AG17" s="11" t="str">
        <f t="shared" si="6"/>
        <v>·</v>
      </c>
      <c r="AH17" s="12" t="str">
        <f t="shared" si="7"/>
        <v>·</v>
      </c>
      <c r="AI17" s="12" t="str">
        <f t="shared" si="8"/>
        <v>·</v>
      </c>
      <c r="AJ17" s="12" t="str">
        <f t="shared" si="9"/>
        <v>·</v>
      </c>
      <c r="AK17" s="12" t="str">
        <f t="shared" si="10"/>
        <v>·</v>
      </c>
      <c r="AL17" s="53"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
      <c r="A18" s="18"/>
      <c r="B18" s="18" t="s">
        <v>62</v>
      </c>
      <c r="C18" s="19" t="s">
        <v>233</v>
      </c>
      <c r="D18" s="18">
        <v>322589704</v>
      </c>
      <c r="E18" s="19">
        <v>10</v>
      </c>
      <c r="F18" s="19">
        <v>300</v>
      </c>
      <c r="G18" s="19">
        <v>30</v>
      </c>
      <c r="I18" s="20">
        <f t="shared" si="0"/>
        <v>6.2447568000000002</v>
      </c>
      <c r="J18" s="21">
        <f t="shared" si="1"/>
        <v>0.1935820245521537</v>
      </c>
      <c r="K18" s="21">
        <f t="shared" si="2"/>
        <v>0.10666961646116269</v>
      </c>
      <c r="L18" s="21">
        <f t="shared" si="3"/>
        <v>8.52155901417114E-2</v>
      </c>
      <c r="M18" s="21">
        <f t="shared" si="4"/>
        <v>8.6912408090991031E-2</v>
      </c>
      <c r="N18" s="18">
        <f t="shared" si="5"/>
        <v>34410520</v>
      </c>
      <c r="O18" s="21">
        <v>-12</v>
      </c>
      <c r="P18" s="22">
        <v>331409396</v>
      </c>
      <c r="Q18" s="22">
        <v>1104697.9866666601</v>
      </c>
      <c r="R18" s="22">
        <v>41617.916666666701</v>
      </c>
      <c r="S18" s="23">
        <v>62447568</v>
      </c>
      <c r="T18" s="23">
        <v>27489672</v>
      </c>
      <c r="U18" s="23">
        <v>6920848</v>
      </c>
      <c r="V18" s="23">
        <v>28037048</v>
      </c>
      <c r="W18" s="24">
        <v>70.477661480999998</v>
      </c>
      <c r="X18" s="24">
        <v>73.080995031333401</v>
      </c>
      <c r="Y18" s="24">
        <v>36.162619462000002</v>
      </c>
      <c r="Z18" s="24">
        <v>46.509221224333302</v>
      </c>
      <c r="AA18" s="24">
        <v>47.003146488666701</v>
      </c>
      <c r="AB18" s="25">
        <v>83043.957999999999</v>
      </c>
      <c r="AC18" s="25">
        <v>0</v>
      </c>
      <c r="AD18" s="25">
        <v>1016.741</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ht="16" outlineLevel="1" thickBot="1" x14ac:dyDescent="0.25">
      <c r="A19" s="53"/>
      <c r="B19" s="27" t="s">
        <v>62</v>
      </c>
      <c r="C19" s="28" t="s">
        <v>234</v>
      </c>
      <c r="D19" s="27">
        <v>322589704</v>
      </c>
      <c r="E19" s="28">
        <v>10</v>
      </c>
      <c r="F19" s="28">
        <v>300</v>
      </c>
      <c r="G19" s="28">
        <v>30</v>
      </c>
      <c r="I19" s="29">
        <f t="shared" si="0"/>
        <v>13.0956048</v>
      </c>
      <c r="J19" s="30">
        <f t="shared" si="1"/>
        <v>0.40595234868376334</v>
      </c>
      <c r="K19" s="30">
        <f t="shared" si="2"/>
        <v>0.18438150772474748</v>
      </c>
      <c r="L19" s="30">
        <f t="shared" si="3"/>
        <v>0.13908359579882934</v>
      </c>
      <c r="M19" s="30">
        <f t="shared" si="4"/>
        <v>0.22157084095901586</v>
      </c>
      <c r="N19" s="27">
        <f t="shared" si="5"/>
        <v>59479576</v>
      </c>
      <c r="O19" s="30">
        <v>-12</v>
      </c>
      <c r="P19" s="31">
        <v>314100769</v>
      </c>
      <c r="Q19" s="31">
        <v>1047002.56333333</v>
      </c>
      <c r="R19" s="31">
        <v>18131.233333333301</v>
      </c>
      <c r="S19" s="32">
        <v>130956048</v>
      </c>
      <c r="T19" s="32">
        <v>44866936</v>
      </c>
      <c r="U19" s="32">
        <v>14612640</v>
      </c>
      <c r="V19" s="32">
        <v>71476472</v>
      </c>
      <c r="W19" s="33">
        <v>71.164479241999999</v>
      </c>
      <c r="X19" s="33">
        <v>75.029448713999997</v>
      </c>
      <c r="Y19" s="33">
        <v>38.638705205333302</v>
      </c>
      <c r="Z19" s="33">
        <v>48.278675399999997</v>
      </c>
      <c r="AA19" s="33">
        <v>48.831352789333302</v>
      </c>
      <c r="AB19" s="34">
        <v>92719.153999999995</v>
      </c>
      <c r="AC19" s="34">
        <v>0</v>
      </c>
      <c r="AD19" s="34">
        <v>973.298</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
      <c r="A20" s="18"/>
      <c r="B20" s="18" t="s">
        <v>68</v>
      </c>
      <c r="C20" s="19" t="s">
        <v>230</v>
      </c>
      <c r="D20" s="18">
        <v>250602891</v>
      </c>
      <c r="E20" s="19">
        <v>10</v>
      </c>
      <c r="F20" s="19">
        <v>250</v>
      </c>
      <c r="G20" s="19">
        <v>50</v>
      </c>
      <c r="I20" s="20">
        <f t="shared" si="0"/>
        <v>2.1729599999999998</v>
      </c>
      <c r="J20" s="21">
        <f t="shared" si="1"/>
        <v>4.3354647492873495E-2</v>
      </c>
      <c r="K20" s="21">
        <f t="shared" si="2"/>
        <v>3.4890419520339853E-2</v>
      </c>
      <c r="L20" s="21">
        <f t="shared" si="3"/>
        <v>2.0288704490643725E-2</v>
      </c>
      <c r="M20" s="21">
        <f t="shared" si="4"/>
        <v>8.4642279725336451E-3</v>
      </c>
      <c r="N20" s="18">
        <f t="shared" si="5"/>
        <v>8743640</v>
      </c>
      <c r="O20" s="21">
        <v>-12</v>
      </c>
      <c r="P20" s="22">
        <v>237018345</v>
      </c>
      <c r="Q20" s="22">
        <v>948073.38</v>
      </c>
      <c r="R20" s="22">
        <v>29222.799999999999</v>
      </c>
      <c r="S20" s="23">
        <v>10864800</v>
      </c>
      <c r="T20" s="23">
        <v>5084408</v>
      </c>
      <c r="U20" s="23">
        <v>3659232</v>
      </c>
      <c r="V20" s="23">
        <v>2121160</v>
      </c>
      <c r="W20" s="24">
        <v>67.503272120800005</v>
      </c>
      <c r="X20" s="24">
        <v>69.260534054399997</v>
      </c>
      <c r="Y20" s="24">
        <v>30.353030781200001</v>
      </c>
      <c r="Z20" s="24">
        <v>40.308233544399997</v>
      </c>
      <c r="AA20" s="24">
        <v>38.863081360400002</v>
      </c>
      <c r="AB20" s="25">
        <v>52830.616000000002</v>
      </c>
      <c r="AC20" s="25">
        <v>0</v>
      </c>
      <c r="AD20" s="25">
        <v>679.798</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
      <c r="A21" s="53"/>
      <c r="B21" s="53" t="s">
        <v>68</v>
      </c>
      <c r="C21" s="10" t="s">
        <v>231</v>
      </c>
      <c r="D21" s="53">
        <v>250602891</v>
      </c>
      <c r="E21" s="10">
        <v>10</v>
      </c>
      <c r="F21" s="10">
        <v>250</v>
      </c>
      <c r="G21" s="10">
        <v>50</v>
      </c>
      <c r="I21" s="11">
        <f t="shared" si="0"/>
        <v>2.8927072000000003</v>
      </c>
      <c r="J21" s="12">
        <f t="shared" si="1"/>
        <v>5.7714960678566157E-2</v>
      </c>
      <c r="K21" s="12">
        <f t="shared" si="2"/>
        <v>4.1755144795995187E-2</v>
      </c>
      <c r="L21" s="12">
        <f t="shared" si="3"/>
        <v>2.7153429766299066E-2</v>
      </c>
      <c r="M21" s="12">
        <f t="shared" si="4"/>
        <v>1.5959815882570963E-2</v>
      </c>
      <c r="N21" s="53">
        <f t="shared" si="5"/>
        <v>10463960</v>
      </c>
      <c r="O21" s="12">
        <v>-12</v>
      </c>
      <c r="P21" s="13">
        <v>245886783</v>
      </c>
      <c r="Q21" s="13">
        <v>983547.13199999998</v>
      </c>
      <c r="R21" s="13">
        <v>33605.892</v>
      </c>
      <c r="S21" s="14">
        <v>14463536</v>
      </c>
      <c r="T21" s="14">
        <v>6804728</v>
      </c>
      <c r="U21" s="14">
        <v>3659232</v>
      </c>
      <c r="V21" s="14">
        <v>3999576</v>
      </c>
      <c r="W21" s="15">
        <v>69.068684850799997</v>
      </c>
      <c r="X21" s="15">
        <v>71.224062661600101</v>
      </c>
      <c r="Y21" s="15">
        <v>31.8825132584</v>
      </c>
      <c r="Z21" s="15">
        <v>41.403128194399997</v>
      </c>
      <c r="AA21" s="15">
        <v>40.156720546400003</v>
      </c>
      <c r="AB21" s="16">
        <v>55637.069000000003</v>
      </c>
      <c r="AC21" s="16">
        <v>0</v>
      </c>
      <c r="AD21" s="16">
        <v>712.846</v>
      </c>
      <c r="AE21" s="16">
        <v>0</v>
      </c>
      <c r="AG21" s="11" t="str">
        <f t="shared" si="6"/>
        <v>·</v>
      </c>
      <c r="AH21" s="12" t="str">
        <f t="shared" si="7"/>
        <v>·</v>
      </c>
      <c r="AI21" s="12" t="str">
        <f t="shared" si="8"/>
        <v>·</v>
      </c>
      <c r="AJ21" s="12" t="str">
        <f t="shared" si="9"/>
        <v>·</v>
      </c>
      <c r="AK21" s="12" t="str">
        <f t="shared" si="10"/>
        <v>·</v>
      </c>
      <c r="AL21" s="53"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
      <c r="A22" s="18"/>
      <c r="B22" s="18" t="s">
        <v>68</v>
      </c>
      <c r="C22" s="19" t="s">
        <v>232</v>
      </c>
      <c r="D22" s="18">
        <v>250602891</v>
      </c>
      <c r="E22" s="19">
        <v>10</v>
      </c>
      <c r="F22" s="19">
        <v>250</v>
      </c>
      <c r="G22" s="19">
        <v>50</v>
      </c>
      <c r="I22" s="20">
        <f t="shared" si="0"/>
        <v>4.2697584000000006</v>
      </c>
      <c r="J22" s="21">
        <f t="shared" si="1"/>
        <v>8.5189727519943095E-2</v>
      </c>
      <c r="K22" s="21">
        <f t="shared" si="2"/>
        <v>4.9453922700357034E-2</v>
      </c>
      <c r="L22" s="21">
        <f t="shared" si="3"/>
        <v>3.4852207670660912E-2</v>
      </c>
      <c r="M22" s="21">
        <f t="shared" si="4"/>
        <v>3.5735804819586062E-2</v>
      </c>
      <c r="N22" s="18">
        <f t="shared" si="5"/>
        <v>12393296</v>
      </c>
      <c r="O22" s="21">
        <v>-12</v>
      </c>
      <c r="P22" s="22">
        <v>252684195</v>
      </c>
      <c r="Q22" s="22">
        <v>1010736.78</v>
      </c>
      <c r="R22" s="22">
        <v>35728.872000000003</v>
      </c>
      <c r="S22" s="23">
        <v>21348792</v>
      </c>
      <c r="T22" s="23">
        <v>8734064</v>
      </c>
      <c r="U22" s="23">
        <v>3659232</v>
      </c>
      <c r="V22" s="23">
        <v>8955496</v>
      </c>
      <c r="W22" s="24">
        <v>70.264228885599906</v>
      </c>
      <c r="X22" s="24">
        <v>72.745654840399993</v>
      </c>
      <c r="Y22" s="24">
        <v>33.747086876799997</v>
      </c>
      <c r="Z22" s="24">
        <v>42.659626546799998</v>
      </c>
      <c r="AA22" s="24">
        <v>41.462635494799997</v>
      </c>
      <c r="AB22" s="25">
        <v>57871.453000000001</v>
      </c>
      <c r="AC22" s="25">
        <v>0</v>
      </c>
      <c r="AD22" s="25">
        <v>717.404</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
      <c r="A23" s="53"/>
      <c r="B23" s="53" t="s">
        <v>68</v>
      </c>
      <c r="C23" s="10" t="s">
        <v>233</v>
      </c>
      <c r="D23" s="53">
        <v>250602891</v>
      </c>
      <c r="E23" s="10">
        <v>10</v>
      </c>
      <c r="F23" s="10">
        <v>250</v>
      </c>
      <c r="G23" s="10">
        <v>50</v>
      </c>
      <c r="I23" s="11">
        <f t="shared" si="0"/>
        <v>7.8608032000000003</v>
      </c>
      <c r="J23" s="12">
        <f t="shared" si="1"/>
        <v>0.15683783951239413</v>
      </c>
      <c r="K23" s="12">
        <f t="shared" si="2"/>
        <v>7.2432971254110551E-2</v>
      </c>
      <c r="L23" s="12">
        <f t="shared" si="3"/>
        <v>5.7831256224414429E-2</v>
      </c>
      <c r="M23" s="12">
        <f t="shared" si="4"/>
        <v>8.4404868258283583E-2</v>
      </c>
      <c r="N23" s="53">
        <f t="shared" si="5"/>
        <v>18151912</v>
      </c>
      <c r="O23" s="12">
        <v>-12</v>
      </c>
      <c r="P23" s="13">
        <v>255752821</v>
      </c>
      <c r="Q23" s="13">
        <v>1023011.284</v>
      </c>
      <c r="R23" s="13">
        <v>38087.656000000003</v>
      </c>
      <c r="S23" s="14">
        <v>39304016</v>
      </c>
      <c r="T23" s="14">
        <v>14492680</v>
      </c>
      <c r="U23" s="14">
        <v>3659232</v>
      </c>
      <c r="V23" s="14">
        <v>21152104</v>
      </c>
      <c r="W23" s="15">
        <v>71.207261404400001</v>
      </c>
      <c r="X23" s="15">
        <v>73.987679937999999</v>
      </c>
      <c r="Y23" s="15">
        <v>35.6532255288</v>
      </c>
      <c r="Z23" s="15">
        <v>43.816418338399998</v>
      </c>
      <c r="AA23" s="15">
        <v>42.613811779999999</v>
      </c>
      <c r="AB23" s="16">
        <v>62042.699000000001</v>
      </c>
      <c r="AC23" s="16">
        <v>0</v>
      </c>
      <c r="AD23" s="16">
        <v>726.58799999999997</v>
      </c>
      <c r="AE23" s="16">
        <v>0</v>
      </c>
      <c r="AG23" s="11" t="str">
        <f t="shared" si="6"/>
        <v>·</v>
      </c>
      <c r="AH23" s="12" t="str">
        <f t="shared" si="7"/>
        <v>·</v>
      </c>
      <c r="AI23" s="12" t="str">
        <f t="shared" si="8"/>
        <v>·</v>
      </c>
      <c r="AJ23" s="12" t="str">
        <f t="shared" si="9"/>
        <v>·</v>
      </c>
      <c r="AK23" s="12" t="str">
        <f t="shared" si="10"/>
        <v>·</v>
      </c>
      <c r="AL23" s="53"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ht="16" outlineLevel="1" thickBot="1" x14ac:dyDescent="0.25">
      <c r="A24" s="37"/>
      <c r="B24" s="37" t="s">
        <v>68</v>
      </c>
      <c r="C24" s="38" t="s">
        <v>234</v>
      </c>
      <c r="D24" s="37">
        <v>250602891</v>
      </c>
      <c r="E24" s="38">
        <v>10</v>
      </c>
      <c r="F24" s="38">
        <v>250</v>
      </c>
      <c r="G24" s="38">
        <v>50</v>
      </c>
      <c r="I24" s="39">
        <f t="shared" si="0"/>
        <v>15.7746224</v>
      </c>
      <c r="J24" s="40">
        <f t="shared" si="1"/>
        <v>0.31473344814685317</v>
      </c>
      <c r="K24" s="40">
        <f t="shared" si="2"/>
        <v>0.12525161172222871</v>
      </c>
      <c r="L24" s="40">
        <f t="shared" si="3"/>
        <v>9.2969206807753862E-2</v>
      </c>
      <c r="M24" s="40">
        <f t="shared" si="4"/>
        <v>0.18948183642462449</v>
      </c>
      <c r="N24" s="37">
        <f t="shared" si="5"/>
        <v>31388416</v>
      </c>
      <c r="O24" s="40">
        <v>-12</v>
      </c>
      <c r="P24" s="41">
        <v>244609621</v>
      </c>
      <c r="Q24" s="41">
        <v>978438.48400000005</v>
      </c>
      <c r="R24" s="41">
        <v>18826.132000000001</v>
      </c>
      <c r="S24" s="42">
        <v>78873112</v>
      </c>
      <c r="T24" s="42">
        <v>23298352</v>
      </c>
      <c r="U24" s="42">
        <v>8090064</v>
      </c>
      <c r="V24" s="42">
        <v>47484696</v>
      </c>
      <c r="W24" s="43">
        <v>71.9755270104</v>
      </c>
      <c r="X24" s="43">
        <v>75.962816012000005</v>
      </c>
      <c r="Y24" s="43">
        <v>36.874410743600002</v>
      </c>
      <c r="Z24" s="43">
        <v>44.784683919999999</v>
      </c>
      <c r="AA24" s="43">
        <v>43.364027979600003</v>
      </c>
      <c r="AB24" s="44">
        <v>68750.165999999997</v>
      </c>
      <c r="AC24" s="44">
        <v>0</v>
      </c>
      <c r="AD24" s="44">
        <v>715.45100000000002</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
      <c r="A25" s="53" t="s">
        <v>235</v>
      </c>
      <c r="B25" s="53" t="s">
        <v>71</v>
      </c>
      <c r="C25" s="10" t="s">
        <v>230</v>
      </c>
      <c r="D25" s="53">
        <v>250294582</v>
      </c>
      <c r="E25" s="10">
        <v>10</v>
      </c>
      <c r="F25" s="10">
        <v>300</v>
      </c>
      <c r="G25" s="10">
        <v>30</v>
      </c>
      <c r="I25" s="11">
        <f t="shared" si="0"/>
        <v>2.1645943999999999</v>
      </c>
      <c r="J25" s="12">
        <f t="shared" si="1"/>
        <v>8.6481871988743242E-2</v>
      </c>
      <c r="K25" s="12">
        <f t="shared" si="2"/>
        <v>5.5784187929405517E-2</v>
      </c>
      <c r="L25" s="12">
        <f t="shared" si="3"/>
        <v>3.4247645040914231E-2</v>
      </c>
      <c r="M25" s="12">
        <f t="shared" si="4"/>
        <v>3.0697684059337729E-2</v>
      </c>
      <c r="N25" s="53">
        <f t="shared" si="5"/>
        <v>13962480</v>
      </c>
      <c r="O25" s="12">
        <v>-12</v>
      </c>
      <c r="P25" s="13">
        <v>232261685</v>
      </c>
      <c r="Q25" s="13">
        <v>774205.61666666705</v>
      </c>
      <c r="R25" s="13">
        <v>16147.07</v>
      </c>
      <c r="S25" s="14">
        <v>21645944</v>
      </c>
      <c r="T25" s="14">
        <v>8572000</v>
      </c>
      <c r="U25" s="14">
        <v>5390480</v>
      </c>
      <c r="V25" s="14">
        <v>7683464</v>
      </c>
      <c r="W25" s="15">
        <v>66.374411449666695</v>
      </c>
      <c r="X25" s="15">
        <v>68.133947371000005</v>
      </c>
      <c r="Y25" s="15">
        <v>25.855201420333401</v>
      </c>
      <c r="Z25" s="15">
        <v>32.413243729666704</v>
      </c>
      <c r="AA25" s="15">
        <v>31.576484604333299</v>
      </c>
      <c r="AB25" s="16">
        <v>65795.020999999993</v>
      </c>
      <c r="AC25" s="16">
        <v>0</v>
      </c>
      <c r="AD25" s="16">
        <v>735.36599999999999</v>
      </c>
      <c r="AE25" s="16">
        <v>0</v>
      </c>
      <c r="AG25" s="11" t="str">
        <f t="shared" si="6"/>
        <v>·</v>
      </c>
      <c r="AH25" s="12" t="str">
        <f t="shared" si="7"/>
        <v>·</v>
      </c>
      <c r="AI25" s="12" t="str">
        <f t="shared" si="8"/>
        <v>·</v>
      </c>
      <c r="AJ25" s="12" t="str">
        <f t="shared" si="9"/>
        <v>·</v>
      </c>
      <c r="AK25" s="12" t="str">
        <f t="shared" si="10"/>
        <v>·</v>
      </c>
      <c r="AL25" s="53"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
      <c r="A26" s="18"/>
      <c r="B26" s="18" t="s">
        <v>71</v>
      </c>
      <c r="C26" s="19" t="s">
        <v>231</v>
      </c>
      <c r="D26" s="18">
        <v>250294582</v>
      </c>
      <c r="E26" s="19">
        <v>10</v>
      </c>
      <c r="F26" s="19">
        <v>300</v>
      </c>
      <c r="G26" s="19">
        <v>30</v>
      </c>
      <c r="I26" s="20">
        <f t="shared" si="0"/>
        <v>3.3339319999999999</v>
      </c>
      <c r="J26" s="21">
        <f t="shared" si="1"/>
        <v>0.13320032632588108</v>
      </c>
      <c r="K26" s="21">
        <f t="shared" si="2"/>
        <v>6.9850045735308799E-2</v>
      </c>
      <c r="L26" s="21">
        <f t="shared" si="3"/>
        <v>4.8313502846817513E-2</v>
      </c>
      <c r="M26" s="21">
        <f t="shared" si="4"/>
        <v>6.3350280590572267E-2</v>
      </c>
      <c r="N26" s="18">
        <f t="shared" si="5"/>
        <v>17483088</v>
      </c>
      <c r="O26" s="21">
        <v>-12</v>
      </c>
      <c r="P26" s="22">
        <v>244017051</v>
      </c>
      <c r="Q26" s="22">
        <v>813390.17</v>
      </c>
      <c r="R26" s="22">
        <v>19452.830000000002</v>
      </c>
      <c r="S26" s="23">
        <v>33339320</v>
      </c>
      <c r="T26" s="23">
        <v>12092608</v>
      </c>
      <c r="U26" s="23">
        <v>5390480</v>
      </c>
      <c r="V26" s="23">
        <v>15856232</v>
      </c>
      <c r="W26" s="24">
        <v>68.07343711</v>
      </c>
      <c r="X26" s="24">
        <v>70.121058895333306</v>
      </c>
      <c r="Y26" s="24">
        <v>27.8821063233333</v>
      </c>
      <c r="Z26" s="24">
        <v>33.601267204666698</v>
      </c>
      <c r="AA26" s="24">
        <v>32.965454473000001</v>
      </c>
      <c r="AB26" s="25">
        <v>69629.178</v>
      </c>
      <c r="AC26" s="25">
        <v>0</v>
      </c>
      <c r="AD26" s="25">
        <v>776.83600000000001</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
      <c r="A27" s="53"/>
      <c r="B27" s="53" t="s">
        <v>71</v>
      </c>
      <c r="C27" s="10" t="s">
        <v>232</v>
      </c>
      <c r="D27" s="53">
        <v>250294582</v>
      </c>
      <c r="E27" s="10">
        <v>10</v>
      </c>
      <c r="F27" s="10">
        <v>300</v>
      </c>
      <c r="G27" s="10">
        <v>30</v>
      </c>
      <c r="I27" s="11">
        <f t="shared" si="0"/>
        <v>5.6210111999999999</v>
      </c>
      <c r="J27" s="12">
        <f t="shared" si="1"/>
        <v>0.22457582401843601</v>
      </c>
      <c r="K27" s="12">
        <f t="shared" si="2"/>
        <v>9.0528879286727829E-2</v>
      </c>
      <c r="L27" s="12">
        <f t="shared" si="3"/>
        <v>6.8992336398236542E-2</v>
      </c>
      <c r="M27" s="12">
        <f t="shared" si="4"/>
        <v>0.13404694473170817</v>
      </c>
      <c r="N27" s="53">
        <f t="shared" si="5"/>
        <v>22658888</v>
      </c>
      <c r="O27" s="12">
        <v>-12</v>
      </c>
      <c r="P27" s="13">
        <v>246258006</v>
      </c>
      <c r="Q27" s="13">
        <v>820860.02</v>
      </c>
      <c r="R27" s="13">
        <v>20381.416666666701</v>
      </c>
      <c r="S27" s="14">
        <v>56210112</v>
      </c>
      <c r="T27" s="14">
        <v>17268408</v>
      </c>
      <c r="U27" s="14">
        <v>5390480</v>
      </c>
      <c r="V27" s="14">
        <v>33551224</v>
      </c>
      <c r="W27" s="15">
        <v>69.364096003333302</v>
      </c>
      <c r="X27" s="15">
        <v>71.800465197999998</v>
      </c>
      <c r="Y27" s="15">
        <v>30.1849615626667</v>
      </c>
      <c r="Z27" s="15">
        <v>34.850961630999997</v>
      </c>
      <c r="AA27" s="15">
        <v>34.304519073666697</v>
      </c>
      <c r="AB27" s="16">
        <v>74626.953999999998</v>
      </c>
      <c r="AC27" s="16">
        <v>0</v>
      </c>
      <c r="AD27" s="16">
        <v>787.94100000000003</v>
      </c>
      <c r="AE27" s="16">
        <v>0</v>
      </c>
      <c r="AG27" s="11" t="str">
        <f t="shared" si="6"/>
        <v>·</v>
      </c>
      <c r="AH27" s="12" t="str">
        <f t="shared" si="7"/>
        <v>·</v>
      </c>
      <c r="AI27" s="12" t="str">
        <f t="shared" si="8"/>
        <v>·</v>
      </c>
      <c r="AJ27" s="12" t="str">
        <f t="shared" si="9"/>
        <v>·</v>
      </c>
      <c r="AK27" s="12" t="str">
        <f t="shared" si="10"/>
        <v>·</v>
      </c>
      <c r="AL27" s="53"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
      <c r="A28" s="18"/>
      <c r="B28" s="18" t="s">
        <v>71</v>
      </c>
      <c r="C28" s="19" t="s">
        <v>233</v>
      </c>
      <c r="D28" s="18">
        <v>250294582</v>
      </c>
      <c r="E28" s="19">
        <v>10</v>
      </c>
      <c r="F28" s="19">
        <v>300</v>
      </c>
      <c r="G28" s="19">
        <v>30</v>
      </c>
      <c r="I28" s="20">
        <f t="shared" si="0"/>
        <v>10.857028</v>
      </c>
      <c r="J28" s="21">
        <f t="shared" si="1"/>
        <v>0.43376999666736693</v>
      </c>
      <c r="K28" s="21">
        <f t="shared" si="2"/>
        <v>0.12791602496613372</v>
      </c>
      <c r="L28" s="21">
        <f t="shared" si="3"/>
        <v>0.10637948207764242</v>
      </c>
      <c r="M28" s="21">
        <f t="shared" si="4"/>
        <v>0.30585397170123324</v>
      </c>
      <c r="N28" s="18">
        <f t="shared" si="5"/>
        <v>32016688</v>
      </c>
      <c r="O28" s="21">
        <v>-12</v>
      </c>
      <c r="P28" s="22">
        <v>253130702</v>
      </c>
      <c r="Q28" s="22">
        <v>843769.00666666694</v>
      </c>
      <c r="R28" s="22">
        <v>22971.599999999999</v>
      </c>
      <c r="S28" s="23">
        <v>108570280</v>
      </c>
      <c r="T28" s="23">
        <v>26626208</v>
      </c>
      <c r="U28" s="23">
        <v>5390480</v>
      </c>
      <c r="V28" s="23">
        <v>76553592</v>
      </c>
      <c r="W28" s="24">
        <v>70.489876801333395</v>
      </c>
      <c r="X28" s="24">
        <v>73.0511250160001</v>
      </c>
      <c r="Y28" s="24">
        <v>32.697093207999998</v>
      </c>
      <c r="Z28" s="24">
        <v>36.405289037666698</v>
      </c>
      <c r="AA28" s="24">
        <v>35.851776847333298</v>
      </c>
      <c r="AB28" s="25">
        <v>82129.748000000007</v>
      </c>
      <c r="AC28" s="25">
        <v>0</v>
      </c>
      <c r="AD28" s="25">
        <v>801.09100000000001</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ht="16" outlineLevel="1" thickBot="1" x14ac:dyDescent="0.25">
      <c r="A29" s="27"/>
      <c r="B29" s="27" t="s">
        <v>71</v>
      </c>
      <c r="C29" s="28" t="s">
        <v>234</v>
      </c>
      <c r="D29" s="27">
        <v>250294582</v>
      </c>
      <c r="E29" s="28">
        <v>10</v>
      </c>
      <c r="F29" s="28">
        <v>300</v>
      </c>
      <c r="G29" s="28">
        <v>30</v>
      </c>
      <c r="I29" s="29">
        <f t="shared" si="0"/>
        <v>25.060362399999999</v>
      </c>
      <c r="J29" s="30">
        <f t="shared" si="1"/>
        <v>1.0012347131029788</v>
      </c>
      <c r="K29" s="30">
        <f t="shared" si="2"/>
        <v>0.21126386187616319</v>
      </c>
      <c r="L29" s="30">
        <f t="shared" si="3"/>
        <v>0.1675664557533251</v>
      </c>
      <c r="M29" s="30">
        <f t="shared" si="4"/>
        <v>0.78997085122681565</v>
      </c>
      <c r="N29" s="27">
        <f t="shared" si="5"/>
        <v>52878200</v>
      </c>
      <c r="O29" s="30">
        <v>-12</v>
      </c>
      <c r="P29" s="31">
        <v>243606103</v>
      </c>
      <c r="Q29" s="31">
        <v>812020.34333333303</v>
      </c>
      <c r="R29" s="31">
        <v>10652.176666666701</v>
      </c>
      <c r="S29" s="32">
        <v>250603624</v>
      </c>
      <c r="T29" s="32">
        <v>41940976</v>
      </c>
      <c r="U29" s="32">
        <v>10937224</v>
      </c>
      <c r="V29" s="32">
        <v>197725424</v>
      </c>
      <c r="W29" s="33">
        <v>71.188858848333297</v>
      </c>
      <c r="X29" s="33">
        <v>74.930262529666706</v>
      </c>
      <c r="Y29" s="33">
        <v>35.698859221333301</v>
      </c>
      <c r="Z29" s="33">
        <v>38.379231636333301</v>
      </c>
      <c r="AA29" s="33">
        <v>37.764484105333402</v>
      </c>
      <c r="AB29" s="34">
        <v>91485.262000000002</v>
      </c>
      <c r="AC29" s="34">
        <v>0</v>
      </c>
      <c r="AD29" s="34">
        <v>792.94899999999996</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
      <c r="A30" s="18" t="s">
        <v>236</v>
      </c>
      <c r="B30" s="18" t="s">
        <v>75</v>
      </c>
      <c r="C30" s="19" t="s">
        <v>230</v>
      </c>
      <c r="D30" s="18">
        <v>375422539</v>
      </c>
      <c r="E30" s="19">
        <v>11</v>
      </c>
      <c r="F30" s="19">
        <v>64</v>
      </c>
      <c r="G30" s="19">
        <v>30</v>
      </c>
      <c r="I30" s="20">
        <f t="shared" si="0"/>
        <v>3.9638175000000002</v>
      </c>
      <c r="J30" s="21">
        <f t="shared" si="1"/>
        <v>2.2524337570472827E-2</v>
      </c>
      <c r="K30" s="21">
        <f t="shared" si="2"/>
        <v>1.7590739270984472E-2</v>
      </c>
      <c r="L30" s="21">
        <f t="shared" si="3"/>
        <v>1.1208618457508221E-2</v>
      </c>
      <c r="M30" s="21">
        <f t="shared" si="4"/>
        <v>4.9335982994883534E-3</v>
      </c>
      <c r="N30" s="18">
        <f t="shared" si="5"/>
        <v>6603960</v>
      </c>
      <c r="O30" s="21">
        <v>-12</v>
      </c>
      <c r="P30" s="22">
        <v>172279877</v>
      </c>
      <c r="Q30" s="22">
        <v>2691873.078125</v>
      </c>
      <c r="R30" s="22">
        <v>32633.046875</v>
      </c>
      <c r="S30" s="23">
        <v>8456144</v>
      </c>
      <c r="T30" s="23">
        <v>4207968</v>
      </c>
      <c r="U30" s="23">
        <v>2395992</v>
      </c>
      <c r="V30" s="23">
        <v>1852184</v>
      </c>
      <c r="W30" s="24">
        <v>73.543331201562495</v>
      </c>
      <c r="X30" s="24">
        <v>75.641968950000006</v>
      </c>
      <c r="Y30" s="24">
        <v>32.978207721875002</v>
      </c>
      <c r="Z30" s="24">
        <v>41.915018301562498</v>
      </c>
      <c r="AA30" s="24">
        <v>43.292016943749999</v>
      </c>
      <c r="AB30" s="25">
        <v>53957.65</v>
      </c>
      <c r="AC30" s="25">
        <v>0</v>
      </c>
      <c r="AD30" s="25">
        <v>561.09199999999998</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
      <c r="A31" s="53"/>
      <c r="B31" s="53" t="s">
        <v>75</v>
      </c>
      <c r="C31" s="10" t="s">
        <v>231</v>
      </c>
      <c r="D31" s="53">
        <v>375422539</v>
      </c>
      <c r="E31" s="10">
        <v>11</v>
      </c>
      <c r="F31" s="10">
        <v>64</v>
      </c>
      <c r="G31" s="10">
        <v>30</v>
      </c>
      <c r="I31" s="11">
        <f t="shared" si="0"/>
        <v>5.3098875000000003</v>
      </c>
      <c r="J31" s="12">
        <f t="shared" si="1"/>
        <v>3.0173361541300535E-2</v>
      </c>
      <c r="K31" s="12">
        <f t="shared" si="2"/>
        <v>2.1757628142832414E-2</v>
      </c>
      <c r="L31" s="12">
        <f t="shared" si="3"/>
        <v>1.5375507329356164E-2</v>
      </c>
      <c r="M31" s="12">
        <f t="shared" si="4"/>
        <v>8.4157333984681195E-3</v>
      </c>
      <c r="N31" s="53">
        <f t="shared" si="5"/>
        <v>8168304</v>
      </c>
      <c r="O31" s="12">
        <v>-12</v>
      </c>
      <c r="P31" s="13">
        <v>181511850</v>
      </c>
      <c r="Q31" s="13">
        <v>2836122.65625</v>
      </c>
      <c r="R31" s="13">
        <v>39904.75</v>
      </c>
      <c r="S31" s="14">
        <v>11327760</v>
      </c>
      <c r="T31" s="14">
        <v>5772312</v>
      </c>
      <c r="U31" s="14">
        <v>2395992</v>
      </c>
      <c r="V31" s="14">
        <v>3159456</v>
      </c>
      <c r="W31" s="15">
        <v>75.180527681249998</v>
      </c>
      <c r="X31" s="15">
        <v>77.545081148437504</v>
      </c>
      <c r="Y31" s="15">
        <v>35.004398134375002</v>
      </c>
      <c r="Z31" s="15">
        <v>42.569007379687498</v>
      </c>
      <c r="AA31" s="15">
        <v>44.483915478124999</v>
      </c>
      <c r="AB31" s="16">
        <v>57613.425000000003</v>
      </c>
      <c r="AC31" s="16">
        <v>0</v>
      </c>
      <c r="AD31" s="16">
        <v>592.72199999999998</v>
      </c>
      <c r="AE31" s="16">
        <v>0</v>
      </c>
      <c r="AG31" s="11" t="str">
        <f t="shared" si="6"/>
        <v>·</v>
      </c>
      <c r="AH31" s="12" t="str">
        <f t="shared" si="7"/>
        <v>·</v>
      </c>
      <c r="AI31" s="12" t="str">
        <f t="shared" si="8"/>
        <v>·</v>
      </c>
      <c r="AJ31" s="12" t="str">
        <f t="shared" si="9"/>
        <v>·</v>
      </c>
      <c r="AK31" s="12" t="str">
        <f t="shared" si="10"/>
        <v>·</v>
      </c>
      <c r="AL31" s="53"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
      <c r="A32" s="18"/>
      <c r="B32" s="18" t="s">
        <v>75</v>
      </c>
      <c r="C32" s="19" t="s">
        <v>232</v>
      </c>
      <c r="D32" s="18">
        <v>375422539</v>
      </c>
      <c r="E32" s="19">
        <v>11</v>
      </c>
      <c r="F32" s="19">
        <v>64</v>
      </c>
      <c r="G32" s="19">
        <v>30</v>
      </c>
      <c r="I32" s="20">
        <f t="shared" si="0"/>
        <v>7.6527412500000001</v>
      </c>
      <c r="J32" s="21">
        <f t="shared" si="1"/>
        <v>4.3486595246749422E-2</v>
      </c>
      <c r="K32" s="21">
        <f t="shared" si="2"/>
        <v>2.7845041024561396E-2</v>
      </c>
      <c r="L32" s="21">
        <f t="shared" si="3"/>
        <v>2.1462920211085142E-2</v>
      </c>
      <c r="M32" s="21">
        <f t="shared" si="4"/>
        <v>1.564155422218803E-2</v>
      </c>
      <c r="N32" s="18">
        <f t="shared" si="5"/>
        <v>10453656</v>
      </c>
      <c r="O32" s="21">
        <v>-12</v>
      </c>
      <c r="P32" s="22">
        <v>184180151</v>
      </c>
      <c r="Q32" s="22">
        <v>2877814.859375</v>
      </c>
      <c r="R32" s="22">
        <v>42774.359375</v>
      </c>
      <c r="S32" s="23">
        <v>16325848</v>
      </c>
      <c r="T32" s="23">
        <v>8057664</v>
      </c>
      <c r="U32" s="23">
        <v>2395992</v>
      </c>
      <c r="V32" s="23">
        <v>5872192</v>
      </c>
      <c r="W32" s="24">
        <v>76.420264581249995</v>
      </c>
      <c r="X32" s="24">
        <v>79.110503059375006</v>
      </c>
      <c r="Y32" s="24">
        <v>36.886706257812499</v>
      </c>
      <c r="Z32" s="24">
        <v>43.160052076562501</v>
      </c>
      <c r="AA32" s="24">
        <v>45.947658115625003</v>
      </c>
      <c r="AB32" s="25">
        <v>59464.908000000003</v>
      </c>
      <c r="AC32" s="25">
        <v>0</v>
      </c>
      <c r="AD32" s="25">
        <v>602.02800000000002</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
      <c r="A33" s="53"/>
      <c r="B33" s="53" t="s">
        <v>75</v>
      </c>
      <c r="C33" s="10" t="s">
        <v>233</v>
      </c>
      <c r="D33" s="53">
        <v>375422539</v>
      </c>
      <c r="E33" s="10">
        <v>11</v>
      </c>
      <c r="F33" s="10">
        <v>64</v>
      </c>
      <c r="G33" s="10">
        <v>30</v>
      </c>
      <c r="I33" s="11">
        <f t="shared" si="0"/>
        <v>12.64620375</v>
      </c>
      <c r="J33" s="12">
        <f t="shared" si="1"/>
        <v>7.1861876145907153E-2</v>
      </c>
      <c r="K33" s="12">
        <f t="shared" si="2"/>
        <v>3.8692082895960593E-2</v>
      </c>
      <c r="L33" s="12">
        <f t="shared" si="3"/>
        <v>3.2309962082484343E-2</v>
      </c>
      <c r="M33" s="12">
        <f t="shared" si="4"/>
        <v>3.3169793249946559E-2</v>
      </c>
      <c r="N33" s="53">
        <f t="shared" si="5"/>
        <v>14525880</v>
      </c>
      <c r="O33" s="12">
        <v>-12</v>
      </c>
      <c r="P33" s="13">
        <v>188808885</v>
      </c>
      <c r="Q33" s="13">
        <v>2950138.828125</v>
      </c>
      <c r="R33" s="13">
        <v>47745.578125</v>
      </c>
      <c r="S33" s="14">
        <v>26978568</v>
      </c>
      <c r="T33" s="14">
        <v>12129888</v>
      </c>
      <c r="U33" s="14">
        <v>2395992</v>
      </c>
      <c r="V33" s="14">
        <v>12452688</v>
      </c>
      <c r="W33" s="15">
        <v>77.551316700000001</v>
      </c>
      <c r="X33" s="15">
        <v>80.269495339062502</v>
      </c>
      <c r="Y33" s="15">
        <v>38.694701215625003</v>
      </c>
      <c r="Z33" s="15">
        <v>43.746094768749998</v>
      </c>
      <c r="AA33" s="15">
        <v>47.272506607812502</v>
      </c>
      <c r="AB33" s="16">
        <v>64557.671000000002</v>
      </c>
      <c r="AC33" s="16">
        <v>0</v>
      </c>
      <c r="AD33" s="16">
        <v>613.94200000000001</v>
      </c>
      <c r="AE33" s="16">
        <v>0</v>
      </c>
      <c r="AG33" s="11" t="str">
        <f t="shared" si="6"/>
        <v>·</v>
      </c>
      <c r="AH33" s="12" t="str">
        <f t="shared" si="7"/>
        <v>·</v>
      </c>
      <c r="AI33" s="12" t="str">
        <f t="shared" si="8"/>
        <v>·</v>
      </c>
      <c r="AJ33" s="12" t="str">
        <f t="shared" si="9"/>
        <v>·</v>
      </c>
      <c r="AK33" s="12" t="str">
        <f t="shared" si="10"/>
        <v>·</v>
      </c>
      <c r="AL33" s="53"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6" outlineLevel="1" thickBot="1" x14ac:dyDescent="0.25">
      <c r="A34" s="18"/>
      <c r="B34" s="37" t="s">
        <v>75</v>
      </c>
      <c r="C34" s="38" t="s">
        <v>234</v>
      </c>
      <c r="D34" s="37">
        <v>375422539</v>
      </c>
      <c r="E34" s="38">
        <v>11</v>
      </c>
      <c r="F34" s="38">
        <v>64</v>
      </c>
      <c r="G34" s="38">
        <v>30</v>
      </c>
      <c r="I34" s="39">
        <f t="shared" si="0"/>
        <v>25.573754999999998</v>
      </c>
      <c r="J34" s="40">
        <f t="shared" si="1"/>
        <v>0.14532250553022871</v>
      </c>
      <c r="K34" s="40">
        <f t="shared" si="2"/>
        <v>6.4285730058418256E-2</v>
      </c>
      <c r="L34" s="40">
        <f t="shared" si="3"/>
        <v>5.1118401284905274E-2</v>
      </c>
      <c r="M34" s="40">
        <f t="shared" si="4"/>
        <v>8.1036775471810443E-2</v>
      </c>
      <c r="N34" s="37">
        <f t="shared" si="5"/>
        <v>24134312</v>
      </c>
      <c r="O34" s="40">
        <v>-12</v>
      </c>
      <c r="P34" s="41">
        <v>185077129</v>
      </c>
      <c r="Q34" s="41">
        <v>2891830.140625</v>
      </c>
      <c r="R34" s="41">
        <v>18985.5625</v>
      </c>
      <c r="S34" s="42">
        <v>54557344</v>
      </c>
      <c r="T34" s="42">
        <v>19191000</v>
      </c>
      <c r="U34" s="42">
        <v>4943312</v>
      </c>
      <c r="V34" s="42">
        <v>30423032</v>
      </c>
      <c r="W34" s="43">
        <v>78.459992628124994</v>
      </c>
      <c r="X34" s="43">
        <v>81.912455267187497</v>
      </c>
      <c r="Y34" s="43">
        <v>40.515962482812498</v>
      </c>
      <c r="Z34" s="43">
        <v>44.455741223437499</v>
      </c>
      <c r="AA34" s="43">
        <v>48.740456545312497</v>
      </c>
      <c r="AB34" s="44">
        <v>68271.472999999998</v>
      </c>
      <c r="AC34" s="44">
        <v>0</v>
      </c>
      <c r="AD34" s="44">
        <v>606.88</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
      <c r="A35" s="53"/>
      <c r="B35" s="53" t="s">
        <v>80</v>
      </c>
      <c r="C35" s="10" t="s">
        <v>230</v>
      </c>
      <c r="D35" s="53">
        <v>333190689</v>
      </c>
      <c r="E35" s="10">
        <v>11</v>
      </c>
      <c r="F35" s="10">
        <v>64</v>
      </c>
      <c r="G35" s="10">
        <v>30</v>
      </c>
      <c r="I35" s="11">
        <f t="shared" si="0"/>
        <v>4.3605824999999996</v>
      </c>
      <c r="J35" s="12">
        <f t="shared" si="1"/>
        <v>2.7919675750602984E-2</v>
      </c>
      <c r="K35" s="12">
        <f t="shared" si="2"/>
        <v>2.1450827516971822E-2</v>
      </c>
      <c r="L35" s="12">
        <f t="shared" si="3"/>
        <v>1.374441768989529E-2</v>
      </c>
      <c r="M35" s="12">
        <f t="shared" si="4"/>
        <v>6.4688482336311623E-3</v>
      </c>
      <c r="N35" s="53">
        <f t="shared" si="5"/>
        <v>7147216</v>
      </c>
      <c r="O35" s="12">
        <v>-12</v>
      </c>
      <c r="P35" s="13">
        <v>149783644</v>
      </c>
      <c r="Q35" s="13">
        <v>2340369.4375</v>
      </c>
      <c r="R35" s="13">
        <v>30839.203125</v>
      </c>
      <c r="S35" s="14">
        <v>9302576</v>
      </c>
      <c r="T35" s="14">
        <v>4579512</v>
      </c>
      <c r="U35" s="14">
        <v>2567704</v>
      </c>
      <c r="V35" s="14">
        <v>2155360</v>
      </c>
      <c r="W35" s="15">
        <v>73.210619532812501</v>
      </c>
      <c r="X35" s="15">
        <v>75.4104364921875</v>
      </c>
      <c r="Y35" s="15">
        <v>31.882476753125001</v>
      </c>
      <c r="Z35" s="15">
        <v>42.072775596874997</v>
      </c>
      <c r="AA35" s="15">
        <v>43.235692310937502</v>
      </c>
      <c r="AB35" s="16">
        <v>49087.612000000001</v>
      </c>
      <c r="AC35" s="16">
        <v>0</v>
      </c>
      <c r="AD35" s="16">
        <v>487.05</v>
      </c>
      <c r="AE35" s="16">
        <v>0</v>
      </c>
      <c r="AG35" s="11" t="str">
        <f t="shared" si="6"/>
        <v>·</v>
      </c>
      <c r="AH35" s="12" t="str">
        <f t="shared" si="7"/>
        <v>·</v>
      </c>
      <c r="AI35" s="12" t="str">
        <f t="shared" si="8"/>
        <v>·</v>
      </c>
      <c r="AJ35" s="12" t="str">
        <f t="shared" si="9"/>
        <v>·</v>
      </c>
      <c r="AK35" s="12" t="str">
        <f t="shared" si="10"/>
        <v>·</v>
      </c>
      <c r="AL35" s="53"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
      <c r="A36" s="18"/>
      <c r="B36" s="18" t="s">
        <v>80</v>
      </c>
      <c r="C36" s="19" t="s">
        <v>231</v>
      </c>
      <c r="D36" s="18">
        <v>333190689</v>
      </c>
      <c r="E36" s="19">
        <v>11</v>
      </c>
      <c r="F36" s="19">
        <v>64</v>
      </c>
      <c r="G36" s="19">
        <v>30</v>
      </c>
      <c r="I36" s="20">
        <f t="shared" si="0"/>
        <v>5.87109375</v>
      </c>
      <c r="J36" s="21">
        <f t="shared" si="1"/>
        <v>3.7591086466404827E-2</v>
      </c>
      <c r="K36" s="21">
        <f t="shared" si="2"/>
        <v>2.6591571410928595E-2</v>
      </c>
      <c r="L36" s="21">
        <f t="shared" si="3"/>
        <v>1.8885161583852061E-2</v>
      </c>
      <c r="M36" s="21">
        <f t="shared" si="4"/>
        <v>1.0999515055476234E-2</v>
      </c>
      <c r="N36" s="18">
        <f t="shared" si="5"/>
        <v>8860064</v>
      </c>
      <c r="O36" s="21">
        <v>-12</v>
      </c>
      <c r="P36" s="22">
        <v>159875215</v>
      </c>
      <c r="Q36" s="22">
        <v>2498050.234375</v>
      </c>
      <c r="R36" s="22">
        <v>38977.515625</v>
      </c>
      <c r="S36" s="23">
        <v>12525000</v>
      </c>
      <c r="T36" s="23">
        <v>6292360</v>
      </c>
      <c r="U36" s="23">
        <v>2567704</v>
      </c>
      <c r="V36" s="23">
        <v>3664936</v>
      </c>
      <c r="W36" s="24">
        <v>74.944844035937507</v>
      </c>
      <c r="X36" s="24">
        <v>77.366622557812505</v>
      </c>
      <c r="Y36" s="24">
        <v>34.096944178125</v>
      </c>
      <c r="Z36" s="24">
        <v>42.914270645312499</v>
      </c>
      <c r="AA36" s="24">
        <v>44.8783842859375</v>
      </c>
      <c r="AB36" s="25">
        <v>52719.495000000003</v>
      </c>
      <c r="AC36" s="25">
        <v>0</v>
      </c>
      <c r="AD36" s="25">
        <v>518.79300000000001</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
      <c r="A37" s="53"/>
      <c r="B37" s="53" t="s">
        <v>80</v>
      </c>
      <c r="C37" s="10" t="s">
        <v>232</v>
      </c>
      <c r="D37" s="53">
        <v>333190689</v>
      </c>
      <c r="E37" s="10">
        <v>11</v>
      </c>
      <c r="F37" s="10">
        <v>64</v>
      </c>
      <c r="G37" s="10">
        <v>30</v>
      </c>
      <c r="I37" s="11">
        <f t="shared" si="0"/>
        <v>8.4550424999999994</v>
      </c>
      <c r="J37" s="12">
        <f t="shared" si="1"/>
        <v>5.4135438340535379E-2</v>
      </c>
      <c r="K37" s="12">
        <f t="shared" si="2"/>
        <v>3.4023303694419867E-2</v>
      </c>
      <c r="L37" s="12">
        <f t="shared" si="3"/>
        <v>2.6316893867343333E-2</v>
      </c>
      <c r="M37" s="12">
        <f t="shared" si="4"/>
        <v>2.0112134646115516E-2</v>
      </c>
      <c r="N37" s="53">
        <f t="shared" si="5"/>
        <v>11336248</v>
      </c>
      <c r="O37" s="12">
        <v>-12</v>
      </c>
      <c r="P37" s="13">
        <v>163075557</v>
      </c>
      <c r="Q37" s="13">
        <v>2548055.578125</v>
      </c>
      <c r="R37" s="13">
        <v>41994.140625</v>
      </c>
      <c r="S37" s="14">
        <v>18037424</v>
      </c>
      <c r="T37" s="14">
        <v>8768544</v>
      </c>
      <c r="U37" s="14">
        <v>2567704</v>
      </c>
      <c r="V37" s="14">
        <v>6701176</v>
      </c>
      <c r="W37" s="15">
        <v>76.2433486796875</v>
      </c>
      <c r="X37" s="15">
        <v>78.984892148437496</v>
      </c>
      <c r="Y37" s="15">
        <v>36.1883745203125</v>
      </c>
      <c r="Z37" s="15">
        <v>43.480801406250002</v>
      </c>
      <c r="AA37" s="15">
        <v>46.125068804687501</v>
      </c>
      <c r="AB37" s="16">
        <v>55594.019</v>
      </c>
      <c r="AC37" s="16">
        <v>0</v>
      </c>
      <c r="AD37" s="16">
        <v>529.98699999999997</v>
      </c>
      <c r="AE37" s="16">
        <v>0</v>
      </c>
      <c r="AG37" s="11" t="str">
        <f t="shared" si="6"/>
        <v>·</v>
      </c>
      <c r="AH37" s="12" t="str">
        <f t="shared" si="7"/>
        <v>·</v>
      </c>
      <c r="AI37" s="12" t="str">
        <f t="shared" si="8"/>
        <v>·</v>
      </c>
      <c r="AJ37" s="12" t="str">
        <f t="shared" si="9"/>
        <v>·</v>
      </c>
      <c r="AK37" s="12" t="str">
        <f t="shared" si="10"/>
        <v>·</v>
      </c>
      <c r="AL37" s="53"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
      <c r="A38" s="18"/>
      <c r="B38" s="18" t="s">
        <v>80</v>
      </c>
      <c r="C38" s="19" t="s">
        <v>233</v>
      </c>
      <c r="D38" s="18">
        <v>333190689</v>
      </c>
      <c r="E38" s="19">
        <v>11</v>
      </c>
      <c r="F38" s="19">
        <v>64</v>
      </c>
      <c r="G38" s="19">
        <v>30</v>
      </c>
      <c r="I38" s="20">
        <f t="shared" si="0"/>
        <v>13.796234999999999</v>
      </c>
      <c r="J38" s="21">
        <f t="shared" si="1"/>
        <v>8.8333704907342117E-2</v>
      </c>
      <c r="K38" s="21">
        <f t="shared" si="2"/>
        <v>4.6547567240091757E-2</v>
      </c>
      <c r="L38" s="21">
        <f t="shared" si="3"/>
        <v>3.884115741301522E-2</v>
      </c>
      <c r="M38" s="21">
        <f t="shared" si="4"/>
        <v>4.178613766725036E-2</v>
      </c>
      <c r="N38" s="18">
        <f t="shared" si="5"/>
        <v>15509216</v>
      </c>
      <c r="O38" s="21">
        <v>-12</v>
      </c>
      <c r="P38" s="22">
        <v>167304628</v>
      </c>
      <c r="Q38" s="22">
        <v>2614134.8125</v>
      </c>
      <c r="R38" s="22">
        <v>47006.4375</v>
      </c>
      <c r="S38" s="23">
        <v>29431968</v>
      </c>
      <c r="T38" s="23">
        <v>12941512</v>
      </c>
      <c r="U38" s="23">
        <v>2567704</v>
      </c>
      <c r="V38" s="23">
        <v>13922752</v>
      </c>
      <c r="W38" s="24">
        <v>77.419455374999998</v>
      </c>
      <c r="X38" s="24">
        <v>80.179710025000006</v>
      </c>
      <c r="Y38" s="24">
        <v>38.161623559375002</v>
      </c>
      <c r="Z38" s="24">
        <v>44.155385321875002</v>
      </c>
      <c r="AA38" s="24">
        <v>47.278682946875001</v>
      </c>
      <c r="AB38" s="25">
        <v>58049.841</v>
      </c>
      <c r="AC38" s="25">
        <v>0</v>
      </c>
      <c r="AD38" s="25">
        <v>539.44000000000005</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6" outlineLevel="1" thickBot="1" x14ac:dyDescent="0.25">
      <c r="A39" s="27"/>
      <c r="B39" s="27" t="s">
        <v>80</v>
      </c>
      <c r="C39" s="28" t="s">
        <v>234</v>
      </c>
      <c r="D39" s="27">
        <v>333190689</v>
      </c>
      <c r="E39" s="28">
        <v>11</v>
      </c>
      <c r="F39" s="28">
        <v>64</v>
      </c>
      <c r="G39" s="28">
        <v>30</v>
      </c>
      <c r="I39" s="29">
        <f t="shared" si="0"/>
        <v>27.490001249999999</v>
      </c>
      <c r="J39" s="30">
        <f t="shared" si="1"/>
        <v>0.17601132905607694</v>
      </c>
      <c r="K39" s="30">
        <f t="shared" si="2"/>
        <v>7.5684155747821627E-2</v>
      </c>
      <c r="L39" s="30">
        <f t="shared" si="3"/>
        <v>6.0025398849005651E-2</v>
      </c>
      <c r="M39" s="30">
        <f t="shared" si="4"/>
        <v>0.10032717330825532</v>
      </c>
      <c r="N39" s="27">
        <f t="shared" si="5"/>
        <v>25217256</v>
      </c>
      <c r="O39" s="30">
        <v>-12</v>
      </c>
      <c r="P39" s="31">
        <v>163695879</v>
      </c>
      <c r="Q39" s="31">
        <v>2557748.109375</v>
      </c>
      <c r="R39" s="31">
        <v>18545.546875</v>
      </c>
      <c r="S39" s="32">
        <v>58645336</v>
      </c>
      <c r="T39" s="32">
        <v>19999904</v>
      </c>
      <c r="U39" s="32">
        <v>5217352</v>
      </c>
      <c r="V39" s="32">
        <v>33428080</v>
      </c>
      <c r="W39" s="33">
        <v>78.291473129687503</v>
      </c>
      <c r="X39" s="33">
        <v>81.883866295312501</v>
      </c>
      <c r="Y39" s="33">
        <v>40.244059890625003</v>
      </c>
      <c r="Z39" s="33">
        <v>45.056261031250003</v>
      </c>
      <c r="AA39" s="33">
        <v>48.67299353125</v>
      </c>
      <c r="AB39" s="34">
        <v>63256.101000000002</v>
      </c>
      <c r="AC39" s="34">
        <v>0</v>
      </c>
      <c r="AD39" s="34">
        <v>538.20600000000002</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ht="16" x14ac:dyDescent="0.2">
      <c r="B40" s="47" t="s">
        <v>14</v>
      </c>
      <c r="J40" s="48">
        <f>AVERAGE(J5:J24)</f>
        <v>0.17726598217596848</v>
      </c>
      <c r="K40" s="48">
        <f>AVERAGE(K5:K24)</f>
        <v>9.7247903327833035E-2</v>
      </c>
      <c r="L40" s="48">
        <f>AVERAGE(L5:L24)</f>
        <v>7.1644766371847191E-2</v>
      </c>
      <c r="M40" s="48">
        <f>AVERAGE(M5:M24)</f>
        <v>8.0018078848135388E-2</v>
      </c>
      <c r="AH40" s="48" t="e">
        <f>AVERAGE(AH5:AH24)</f>
        <v>#DIV/0!</v>
      </c>
      <c r="AI40" s="48" t="e">
        <f>AVERAGE(AI5:AI24)</f>
        <v>#DIV/0!</v>
      </c>
      <c r="AJ40" s="48" t="e">
        <f>AVERAGE(AJ5:AJ24)</f>
        <v>#DIV/0!</v>
      </c>
      <c r="AK40" s="48" t="e">
        <f>AVERAGE(AK5:AK24)</f>
        <v>#DIV/0!</v>
      </c>
      <c r="BE40" s="52" t="e">
        <f t="shared" si="12"/>
        <v>#DIV/0!</v>
      </c>
      <c r="BH40" s="54"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ht="16" x14ac:dyDescent="0.2">
      <c r="B41" s="47" t="s">
        <v>15</v>
      </c>
      <c r="J41" s="48">
        <f>AVERAGE(J25:J29)</f>
        <v>0.37585254642068122</v>
      </c>
      <c r="K41" s="48">
        <f>AVERAGE(K25:K29)</f>
        <v>0.11106859995874781</v>
      </c>
      <c r="L41" s="48">
        <f>AVERAGE(L25:L29)</f>
        <v>8.5099884423387159E-2</v>
      </c>
      <c r="M41" s="48">
        <f>AVERAGE(M25:M29)</f>
        <v>0.26478394646193343</v>
      </c>
      <c r="AH41" s="48" t="e">
        <f>AVERAGE(AH25:AH29)</f>
        <v>#DIV/0!</v>
      </c>
      <c r="AI41" s="48" t="e">
        <f>AVERAGE(AI25:AI29)</f>
        <v>#DIV/0!</v>
      </c>
      <c r="AJ41" s="48" t="e">
        <f>AVERAGE(AJ25:AJ29)</f>
        <v>#DIV/0!</v>
      </c>
      <c r="AK41" s="48" t="e">
        <f>AVERAGE(AK25:AK29)</f>
        <v>#DIV/0!</v>
      </c>
      <c r="BE41" s="52" t="e">
        <f t="shared" si="12"/>
        <v>#DIV/0!</v>
      </c>
      <c r="BH41" s="54"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ht="16" x14ac:dyDescent="0.2">
      <c r="B42" s="47" t="s">
        <v>16</v>
      </c>
      <c r="J42" s="48">
        <f>AVERAGE(J30:J39)</f>
        <v>6.9735991055562094E-2</v>
      </c>
      <c r="K42" s="48">
        <f>AVERAGE(K30:K39)</f>
        <v>3.7446864700299079E-2</v>
      </c>
      <c r="L42" s="48">
        <f>AVERAGE(L30:L39)</f>
        <v>2.8928843876845068E-2</v>
      </c>
      <c r="M42" s="48">
        <f>AVERAGE(M30:M39)</f>
        <v>3.2289126355263008E-2</v>
      </c>
      <c r="AH42" s="48" t="e">
        <f>AVERAGE(AH30:AH39)</f>
        <v>#DIV/0!</v>
      </c>
      <c r="AI42" s="48" t="e">
        <f>AVERAGE(AI30:AI39)</f>
        <v>#DIV/0!</v>
      </c>
      <c r="AJ42" s="48" t="e">
        <f>AVERAGE(AJ30:AJ39)</f>
        <v>#DIV/0!</v>
      </c>
      <c r="AK42" s="48" t="e">
        <f>AVERAGE(AK30:AK39)</f>
        <v>#DIV/0!</v>
      </c>
      <c r="BE42" s="52" t="e">
        <f t="shared" si="12"/>
        <v>#DIV/0!</v>
      </c>
      <c r="BH42" s="54"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ht="16" x14ac:dyDescent="0.2">
      <c r="B43" s="47" t="s">
        <v>17</v>
      </c>
      <c r="J43" s="48">
        <f>AVERAGE(J5:J39)</f>
        <v>0.17491263674795413</v>
      </c>
      <c r="K43" s="48">
        <f>AVERAGE(K5:K39)</f>
        <v>8.2136277524382573E-2</v>
      </c>
      <c r="L43" s="48">
        <f>AVERAGE(L5:L39)</f>
        <v>6.1362376809209439E-2</v>
      </c>
      <c r="M43" s="48">
        <f>AVERAGE(M5:M39)</f>
        <v>9.2776359223571581E-2</v>
      </c>
      <c r="AH43" s="48" t="e">
        <f>AVERAGE(AH5:AH39)</f>
        <v>#DIV/0!</v>
      </c>
      <c r="AI43" s="48" t="e">
        <f>AVERAGE(AI5:AI39)</f>
        <v>#DIV/0!</v>
      </c>
      <c r="AJ43" s="48" t="e">
        <f>AVERAGE(AJ5:AJ39)</f>
        <v>#DIV/0!</v>
      </c>
      <c r="AK43" s="48" t="e">
        <f>AVERAGE(AK5:AK39)</f>
        <v>#DIV/0!</v>
      </c>
      <c r="BE43" s="52" t="e">
        <f t="shared" si="12"/>
        <v>#DIV/0!</v>
      </c>
      <c r="BH43" s="54"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t="16" hidden="1" outlineLevel="2" x14ac:dyDescent="0.2">
      <c r="A44" s="47" t="s">
        <v>237</v>
      </c>
      <c r="B44" s="47" t="s">
        <v>238</v>
      </c>
      <c r="AB44" s="49">
        <f>SUM(AB5:AB24,AB25:AB29,AB30:AB39)</f>
        <v>2407025.6039999998</v>
      </c>
      <c r="AC44" s="49">
        <f>SUM(AC5:AC24,AC25:AC29,AC30:AC39)</f>
        <v>0</v>
      </c>
      <c r="AD44" s="49">
        <f>SUM(AD5:AD24,AD25:AD29,AD30:AD39)</f>
        <v>25178.662</v>
      </c>
      <c r="AE44" s="49">
        <f>SUM(AE5:AE24,AE25:AE29,AE30:AE39)</f>
        <v>0</v>
      </c>
      <c r="AZ44" s="49">
        <f>SUM(AZ5:AZ24,AZ25:AZ29,AZ30:AZ39)</f>
        <v>0</v>
      </c>
      <c r="BA44" s="49">
        <f>SUM(BA5:BA24,BA25:BA29,BA30:BA39)</f>
        <v>0</v>
      </c>
      <c r="BB44" s="49">
        <f>SUM(BB5:BB24,BB25:BB29,BB30:BB39)</f>
        <v>0</v>
      </c>
      <c r="BC44" s="49">
        <f>SUM(BC5:BC24,BC25:BC29,BC30:BC39)</f>
        <v>0</v>
      </c>
    </row>
    <row r="45" spans="1:72" ht="16" hidden="1" outlineLevel="2" x14ac:dyDescent="0.2">
      <c r="B45" s="47" t="s">
        <v>239</v>
      </c>
      <c r="AZ45" s="54">
        <f>AZ44/AB44</f>
        <v>0</v>
      </c>
      <c r="BA45" s="54" t="e">
        <f>BA44/AC44</f>
        <v>#DIV/0!</v>
      </c>
      <c r="BB45" s="54">
        <f>BB44/AD44</f>
        <v>0</v>
      </c>
      <c r="BC45" s="54" t="e">
        <f>BC44/AE44</f>
        <v>#DIV/0!</v>
      </c>
    </row>
    <row r="46" spans="1:72" ht="16" hidden="1" outlineLevel="2" x14ac:dyDescent="0.2">
      <c r="B46" s="47" t="s">
        <v>240</v>
      </c>
      <c r="AB46" s="49">
        <f>GEOMEAN(AB5:AB24,AB25:AB29,AB30:AB39)</f>
        <v>67755.306955018677</v>
      </c>
      <c r="AC46" s="49" t="e">
        <f>GEOMEAN(AC5:AC24,AC25:AC29,AC30:AC39)</f>
        <v>#NUM!</v>
      </c>
      <c r="AD46" s="49">
        <f>GEOMEAN(AD5:AD24,AD25:AD29,AD30:AD39)</f>
        <v>706.91713273997061</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ht="16" outlineLevel="2" collapsed="1" x14ac:dyDescent="0.2">
      <c r="B47" s="47" t="s">
        <v>241</v>
      </c>
      <c r="AZ47" s="54" t="e">
        <f>AZ46/AB46</f>
        <v>#NUM!</v>
      </c>
      <c r="BA47" s="54" t="e">
        <f>BA46/AC46</f>
        <v>#NUM!</v>
      </c>
      <c r="BB47" s="54" t="e">
        <f>BB46/AD46</f>
        <v>#NUM!</v>
      </c>
      <c r="BC47" s="54"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Microsoft Office User</cp:lastModifiedBy>
  <dcterms:created xsi:type="dcterms:W3CDTF">2019-04-23T13:57:55Z</dcterms:created>
  <dcterms:modified xsi:type="dcterms:W3CDTF">2023-05-25T08:55:37Z</dcterms:modified>
</cp:coreProperties>
</file>