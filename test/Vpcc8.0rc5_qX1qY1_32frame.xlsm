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06F67E43-D9D8-1F49-8A7D-53294436E22E}" xr6:coauthVersionLast="36" xr6:coauthVersionMax="36" xr10:uidLastSave="{00000000-0000-0000-0000-000000000000}"/>
  <bookViews>
    <workbookView xWindow="4100" yWindow="6060" windowWidth="43940" windowHeight="25540" activeTab="2"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R5" i="7"/>
  <c r="BQ35" i="7"/>
  <c r="BJ35" i="7"/>
  <c r="BL5" i="7"/>
  <c r="BM25" i="7"/>
  <c r="BJ5" i="7"/>
  <c r="BS10" i="7"/>
  <c r="BQ30" i="7"/>
  <c r="BS35" i="7"/>
  <c r="BM15" i="7"/>
  <c r="BP20" i="7"/>
  <c r="BR20" i="7"/>
  <c r="BN35" i="7"/>
  <c r="BS25" i="7"/>
  <c r="BT10" i="7"/>
  <c r="BR35" i="7"/>
  <c r="BQ15" i="7"/>
  <c r="BT30" i="7"/>
  <c r="BJ15" i="7"/>
  <c r="BS15" i="7"/>
  <c r="BK35" i="7"/>
  <c r="BM30" i="7"/>
  <c r="BM20" i="7"/>
  <c r="BT25" i="7"/>
  <c r="BR15" i="7"/>
  <c r="BP30" i="7"/>
  <c r="BQ5" i="7"/>
  <c r="BL15" i="7"/>
  <c r="BR10" i="7"/>
  <c r="BS20" i="7"/>
  <c r="BT20" i="7"/>
  <c r="BN10" i="7"/>
  <c r="BK15" i="7"/>
  <c r="BP5" i="7"/>
  <c r="BL35" i="7"/>
  <c r="BK25" i="7"/>
  <c r="BQ25" i="7"/>
  <c r="BT5" i="7"/>
  <c r="BS5" i="7"/>
  <c r="BM10" i="7"/>
  <c r="BM35" i="7"/>
  <c r="BT35" i="7"/>
  <c r="BN25" i="7"/>
  <c r="BJ25" i="7"/>
  <c r="BN5" i="7"/>
  <c r="BL25" i="7"/>
  <c r="BP25" i="7"/>
  <c r="BS30" i="7"/>
  <c r="BR30" i="7"/>
  <c r="BR25" i="7"/>
  <c r="BL10" i="7"/>
  <c r="BN30" i="7"/>
  <c r="BQ10" i="7"/>
  <c r="BT15" i="7"/>
  <c r="BQ20" i="7"/>
  <c r="BK5" i="7"/>
  <c r="BP35" i="7"/>
  <c r="BL30" i="7"/>
  <c r="BM5" i="7"/>
  <c r="BP10" i="7"/>
  <c r="BL20" i="7"/>
  <c r="BP15" i="7"/>
  <c r="BN20" i="7"/>
  <c r="BN15" i="7"/>
  <c r="BL20" i="3"/>
  <c r="BS15" i="3"/>
  <c r="BR10" i="3"/>
  <c r="BS5" i="3"/>
  <c r="BS35" i="3"/>
  <c r="BK25" i="3"/>
  <c r="BN10" i="3"/>
  <c r="BN20" i="3"/>
  <c r="BP25" i="3"/>
  <c r="BN30" i="3"/>
  <c r="BL35" i="3"/>
  <c r="BM5" i="3"/>
  <c r="BP30" i="3"/>
  <c r="BM20" i="3"/>
  <c r="BM15" i="3"/>
  <c r="BP5" i="3"/>
  <c r="BK30" i="3"/>
  <c r="BS25" i="3"/>
  <c r="BR30" i="3"/>
  <c r="BT20" i="3"/>
  <c r="BR20" i="3"/>
  <c r="BQ10" i="3"/>
  <c r="BQ5" i="3"/>
  <c r="BT30" i="3"/>
  <c r="BN15" i="3"/>
  <c r="BR25" i="3"/>
  <c r="BL15" i="3"/>
  <c r="BN25" i="3"/>
  <c r="BJ20" i="3"/>
  <c r="BR15" i="3"/>
  <c r="BL10" i="3"/>
  <c r="BM35" i="3"/>
  <c r="BK35" i="3"/>
  <c r="BQ15" i="3"/>
  <c r="BJ30" i="3"/>
  <c r="BP20" i="3"/>
  <c r="BQ35" i="3"/>
  <c r="BL30" i="3"/>
  <c r="BS30" i="3"/>
  <c r="BQ20" i="3"/>
  <c r="BS10" i="3"/>
  <c r="BK20" i="3"/>
  <c r="BP15" i="3"/>
  <c r="BT10" i="3"/>
  <c r="BP10" i="3"/>
  <c r="BR5" i="3"/>
  <c r="BQ25" i="3"/>
  <c r="BT35" i="3"/>
  <c r="BN35" i="3"/>
  <c r="BK15" i="3"/>
  <c r="BT15" i="3"/>
  <c r="BQ30" i="3"/>
  <c r="BJ10" i="3"/>
  <c r="BM10" i="3"/>
  <c r="BS20" i="3"/>
  <c r="BM30" i="3"/>
  <c r="BN5" i="3"/>
  <c r="BP35" i="3"/>
  <c r="BT25" i="3"/>
  <c r="BL25" i="3"/>
  <c r="BT5" i="3"/>
  <c r="BR35" i="3"/>
  <c r="BL5" i="3"/>
  <c r="BM25" i="3"/>
  <c r="L42" i="7" l="1"/>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30" i="7"/>
  <c r="BK30" i="7"/>
  <c r="BJ20" i="7"/>
  <c r="BJ10" i="7"/>
  <c r="BK20" i="7"/>
  <c r="BK10" i="7"/>
  <c r="BK5" i="3"/>
  <c r="BK10" i="3"/>
  <c r="BJ25" i="3"/>
  <c r="BJ5" i="3"/>
  <c r="BJ35" i="3"/>
  <c r="BJ15" i="3"/>
  <c r="K40" i="7" l="1"/>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<sst xmlns="http://schemas.openxmlformats.org/spreadsheetml/2006/main" count="1512" uniqueCount="594">
  <si>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</si>
  <si>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</si>
  <si>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</si>
  <si>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</si>
  <si>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</si>
  <si>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</si>
  <si>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</si>
  <si>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</si>
  <si>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</si>
  <si>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</si>
  <si>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</si>
  <si>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</si>
  <si>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</si>
  <si>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</si>
  <si>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</si>
  <si>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</si>
  <si>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</si>
  <si>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</si>
  <si>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</si>
  <si>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</si>
  <si>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</si>
  <si>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</si>
  <si>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</si>
  <si>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</si>
  <si>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</si>
  <si>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</si>
  <si>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</si>
  <si>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</si>
  <si>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</si>
  <si>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</si>
  <si>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</si>
  <si>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</si>
  <si>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</si>
  <si>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</si>
  <si>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</si>
  <si>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</si>
  <si>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</si>
  <si>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</si>
  <si>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</si>
  <si>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</si>
  <si>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</si>
  <si>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</si>
  <si>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</si>
  <si>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</si>
  <si>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</si>
  <si>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</si>
  <si>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</si>
  <si>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</si>
  <si>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</si>
  <si>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</si>
  <si>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</si>
  <si>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</si>
  <si>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</si>
  <si>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</si>
  <si>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</si>
  <si>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</si>
  <si>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</si>
  <si>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</si>
  <si>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</si>
  <si>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</si>
  <si>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</si>
  <si>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</si>
  <si>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</si>
  <si>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</si>
  <si>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</si>
  <si>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</si>
  <si>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</si>
  <si>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</si>
  <si>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</si>
  <si>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</si>
  <si>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</si>
  <si>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</si>
  <si>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</si>
  <si>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</si>
  <si>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</si>
  <si>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</si>
  <si>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</si>
  <si>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</si>
  <si>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</si>
  <si>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</si>
  <si>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</si>
  <si>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</si>
  <si>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</si>
  <si>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</si>
  <si>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</si>
  <si>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</si>
  <si>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</si>
  <si>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</si>
  <si>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</si>
  <si>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</si>
  <si>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</si>
  <si>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</si>
  <si>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</si>
  <si>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</si>
  <si>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</si>
  <si>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</si>
  <si>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</si>
  <si>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</si>
  <si>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</si>
  <si>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</si>
  <si>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</si>
  <si>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</si>
  <si>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</si>
  <si>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</si>
  <si>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</si>
  <si>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</si>
  <si>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</si>
  <si>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</si>
  <si>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</si>
  <si>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</si>
  <si>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</si>
  <si>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</si>
  <si>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</si>
  <si>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</si>
  <si>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</si>
  <si>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</si>
  <si>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</si>
  <si>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</si>
  <si>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</si>
  <si>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</si>
  <si>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</si>
  <si>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</si>
  <si>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</si>
  <si>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</si>
  <si>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</si>
  <si>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</si>
  <si>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</si>
  <si>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</si>
  <si>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</si>
  <si>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</si>
  <si>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</si>
  <si>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</si>
  <si>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</si>
  <si>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</si>
  <si>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</si>
  <si>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</si>
  <si>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</si>
  <si>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</si>
  <si>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</si>
  <si>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</si>
  <si>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</si>
  <si>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</si>
  <si>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</si>
  <si>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</si>
  <si>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</si>
  <si>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</si>
  <si>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</si>
  <si>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</si>
  <si>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</si>
  <si>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</si>
  <si>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</si>
  <si>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</si>
  <si>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</si>
  <si>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</si>
  <si>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</si>
  <si>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</si>
  <si>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</si>
  <si>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</si>
  <si>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</si>
  <si>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</si>
  <si>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</si>
  <si>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</si>
  <si>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</si>
  <si>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</si>
  <si>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</si>
  <si>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</si>
  <si>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</si>
  <si>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</si>
  <si>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</si>
  <si>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</si>
  <si>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</si>
  <si>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</si>
  <si>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</si>
  <si>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</si>
  <si>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</si>
  <si>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</si>
  <si>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</si>
  <si>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</si>
  <si>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</si>
  <si>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</si>
  <si>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</si>
  <si>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</si>
  <si>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</si>
  <si>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</si>
  <si>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</si>
  <si>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</si>
  <si>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</si>
  <si>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</si>
  <si>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</si>
  <si>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</si>
  <si>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</si>
  <si>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</si>
  <si>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</si>
  <si>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</si>
  <si>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</si>
  <si>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</si>
  <si>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</si>
  <si>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</si>
  <si>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</si>
  <si>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</si>
  <si>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</si>
  <si>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</si>
  <si>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</si>
  <si>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</si>
  <si>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</si>
  <si>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</si>
  <si>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</si>
  <si>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</si>
  <si>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</si>
  <si>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</si>
  <si>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</si>
  <si>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</si>
  <si>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</si>
  <si>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</si>
  <si>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</si>
  <si>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</si>
  <si>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</si>
  <si>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</si>
  <si>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</si>
  <si>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</si>
  <si>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</si>
  <si>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</si>
  <si>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</si>
  <si>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</si>
  <si>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</si>
  <si>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</si>
  <si>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</si>
  <si>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</si>
  <si>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</si>
  <si>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</si>
  <si>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</si>
  <si>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</si>
  <si>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</si>
  <si>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</si>
  <si>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</si>
  <si>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</si>
  <si>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</si>
  <si>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</si>
  <si>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</si>
  <si>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</si>
  <si>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</si>
  <si>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</si>
  <si>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</si>
  <si>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</si>
  <si>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</si>
  <si>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</si>
  <si>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</si>
  <si>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</si>
  <si>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</si>
  <si>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</si>
  <si>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</si>
  <si>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</si>
  <si>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</si>
  <si>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</si>
  <si>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</si>
  <si>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</si>
  <si>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</si>
  <si>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</si>
  <si>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</si>
  <si>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</si>
  <si>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</si>
  <si>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</si>
  <si>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</si>
  <si>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</si>
  <si>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</si>
  <si>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</si>
  <si>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</si>
  <si>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</si>
  <si>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</si>
  <si>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</si>
  <si>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</si>
  <si>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</si>
  <si>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</si>
  <si>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</si>
  <si>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</si>
  <si>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</si>
  <si>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</si>
  <si>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</si>
  <si>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</si>
  <si>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</si>
  <si>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</si>
  <si>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</si>
  <si>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</si>
  <si>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</si>
  <si>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</si>
  <si>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</si>
  <si>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</si>
  <si>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</si>
  <si>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</si>
  <si>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</si>
  <si>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</si>
  <si>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</si>
  <si>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</si>
  <si>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</si>
  <si>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</si>
  <si>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</si>
  <si>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</si>
  <si>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</si>
  <si>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</si>
  <si>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</si>
  <si>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</si>
  <si>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</si>
  <si>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</si>
  <si>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</si>
  <si>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</si>
  <si>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</si>
  <si>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</si>
  <si>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</si>
  <si>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</si>
  <si>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</si>
  <si>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</si>
  <si>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</si>
  <si>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</si>
  <si>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</si>
  <si>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</si>
  <si>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</si>
  <si>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</si>
  <si>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</si>
  <si>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</si>
  <si>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</si>
  <si>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</si>
  <si>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</si>
  <si>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</si>
  <si>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</si>
  <si>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</si>
  <si>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</si>
  <si>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</si>
  <si>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</si>
  <si>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</si>
  <si>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</si>
  <si>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</si>
  <si>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</si>
  <si>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</si>
  <si>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</si>
  <si>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</si>
  <si>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</si>
  <si>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</si>
  <si>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</si>
  <si>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</si>
  <si>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</si>
  <si>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</si>
  <si>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</si>
  <si>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</si>
  <si>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</si>
  <si>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</si>
  <si>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</si>
  <si>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</si>
  <si>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</si>
  <si>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</si>
  <si>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</si>
  <si>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</si>
  <si>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</si>
  <si>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</si>
  <si>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</si>
  <si>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</si>
  <si>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</si>
  <si>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</si>
  <si>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</si>
  <si>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</si>
  <si>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</si>
  <si>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</si>
  <si>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</si>
  <si>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</si>
  <si>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</si>
  <si>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</si>
  <si>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</si>
  <si>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</si>
  <si>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</si>
  <si>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</si>
  <si>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</si>
  <si>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</si>
  <si>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</si>
  <si>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</si>
  <si>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</si>
  <si>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</si>
  <si>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</si>
  <si>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</si>
  <si>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</si>
  <si>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</si>
  <si>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</si>
  <si>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</si>
  <si>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</si>
  <si>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</si>
  <si>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</si>
  <si>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</si>
  <si>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</si>
  <si>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</si>
  <si>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</si>
  <si>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</si>
  <si>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</si>
  <si>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</si>
  <si>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</si>
  <si>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</si>
  <si>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</si>
  <si>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</si>
  <si>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</si>
  <si>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</si>
  <si>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</si>
  <si>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</si>
  <si>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</si>
  <si>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</si>
  <si>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</si>
  <si>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</si>
  <si>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</si>
  <si>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</si>
  <si>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</si>
  <si>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</si>
  <si>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</si>
  <si>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</si>
  <si>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</si>
  <si>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</si>
  <si>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</si>
  <si>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</si>
  <si>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</si>
  <si>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</si>
  <si>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</si>
  <si>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</si>
  <si>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</si>
  <si>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</si>
  <si>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</si>
  <si>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</si>
  <si>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</si>
  <si>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</si>
  <si>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</si>
  <si>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</si>
  <si>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</si>
  <si>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</si>
  <si>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</si>
  <si>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</si>
  <si>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</si>
  <si>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</si>
  <si>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</si>
  <si>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</si>
  <si>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</si>
  <si>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</si>
  <si>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</si>
  <si>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</si>
  <si>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</si>
  <si>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</si>
  <si>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</si>
  <si>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</si>
  <si>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</si>
  <si>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</si>
  <si>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</si>
  <si>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</si>
  <si>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</si>
  <si>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</si>
  <si>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</si>
  <si>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</si>
  <si>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</si>
  <si>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</si>
  <si>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</si>
  <si>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</si>
  <si>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</si>
  <si>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</si>
  <si>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</si>
  <si>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</si>
  <si>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</si>
  <si>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</si>
  <si>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</si>
  <si>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</si>
  <si>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</si>
  <si>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</si>
  <si>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</si>
  <si>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</si>
  <si>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</si>
  <si>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</si>
  <si>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</si>
  <si>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</si>
  <si>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</si>
  <si>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</si>
  <si>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</si>
  <si>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</si>
  <si>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</si>
  <si>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</si>
  <si>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</si>
  <si>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</si>
  <si>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</si>
  <si>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</si>
  <si>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</si>
  <si>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</si>
  <si>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</si>
  <si>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</si>
  <si>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</si>
  <si>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</si>
  <si>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</si>
  <si>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</si>
  <si>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</si>
  <si>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</si>
  <si>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</si>
  <si>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</si>
  <si>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</si>
  <si>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</si>
  <si>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</si>
  <si>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</si>
  <si>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</si>
  <si>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</si>
  <si>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</si>
  <si>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</si>
  <si>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</si>
  <si>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</si>
  <si>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</si>
  <si>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</si>
  <si>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</si>
  <si>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</si>
  <si>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</si>
  <si>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</si>
  <si>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</si>
  <si>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</si>
  <si>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</si>
  <si>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</si>
  <si>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</si>
  <si>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</si>
  <si>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</si>
  <si>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</si>
  <si>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</si>
  <si>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</si>
  <si>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</si>
  <si>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</si>
  <si>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</si>
  <si>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</si>
  <si>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</si>
  <si>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</si>
  <si>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</si>
  <si>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</si>
  <si>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</si>
  <si>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</si>
  <si>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</si>
  <si>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</si>
  <si>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</si>
  <si>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</si>
  <si>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</si>
  <si>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</si>
  <si>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</si>
  <si>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</si>
  <si>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</si>
  <si>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</si>
  <si>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</si>
  <si>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</si>
  <si>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</si>
  <si>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</si>
  <si>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</si>
  <si>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</si>
  <si>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</si>
  <si>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</si>
  <si>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</si>
  <si>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</si>
  <si>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</si>
  <si>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</si>
  <si>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</si>
  <si>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</si>
  <si>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</si>
  <si>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</si>
  <si>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</si>
  <si>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</si>
  <si>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</si>
  <si>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</si>
  <si>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</si>
  <si>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</si>
  <si>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</si>
  <si>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</si>
  <si>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</si>
  <si>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</si>
  <si>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</si>
  <si>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</si>
  <si>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</si>
  <si>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</si>
  <si>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</si>
  <si>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</si>
  <si>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</si>
  <si>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</si>
  <si>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</si>
  <si>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</si>
  <si>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</si>
  <si>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</si>
  <si>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</si>
  <si>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</si>
  <si>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</si>
  <si>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</si>
  <si>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</si>
  <si>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</si>
  <si>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</si>
  <si>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</si>
  <si>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</si>
  <si>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</si>
  <si>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</si>
  <si>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</si>
  <si>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</si>
  <si>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</si>
  <si>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</si>
  <si>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</si>
  <si>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</si>
  <si>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</si>
  <si>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rc5 : quantizationstep(1,1)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</si>
</sst>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rc5 : quantizationstep(1,1)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66.351528000000002</c:v>
                </c:pt>
                <c:pt idx="1">
                  <c:v>68.251756</c:v>
                </c:pt>
                <c:pt idx="2">
                  <c:v>69.678756000000007</c:v>
                </c:pt>
                <c:pt idx="3">
                  <c:v>70.847631000000007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rc5 : quantizationstep(1,1)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68.489052999999998</c:v>
                </c:pt>
                <c:pt idx="1">
                  <c:v>70.448597000000007</c:v>
                </c:pt>
                <c:pt idx="2">
                  <c:v>72.142109000000005</c:v>
                </c:pt>
                <c:pt idx="3">
                  <c:v>73.420930999999996</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rc5 : quantizationstep(1,1)</c:v>
                </c:pt>
              </c:strCache>
            </c:strRef>
          </c:tx>
          <c:spPr>
            <a:ln>
              <a:prstDash val="solid"/>
            </a:ln>
          </c:spPr>
          <c:marker>
            <c:symbol val="none"/>
          </c:marker>
          <c:xVal>
            <c:numRef>
              <c:f>Graphs!graph_c_x_range_B</c:f>
              <c:numCache>
                <c:formatCode>0.00</c:formatCode>
                <c:ptCount val="5"/>
                <c:pt idx="0">
                  <c:v>3.5687964719146215E-3</c:v>
                </c:pt>
                <c:pt idx="1">
                  <c:v>7.6427948051499134E-3</c:v>
                </c:pt>
                <c:pt idx="2">
                  <c:v>1.5413947633579717E-2</c:v>
                </c:pt>
                <c:pt idx="3">
                  <c:v>2.9447030335219313E-2</c:v>
                </c:pt>
                <c:pt idx="4">
                  <c:v>5.4642322923130086E-2</c:v>
                </c:pt>
              </c:numCache>
            </c:numRef>
          </c:xVal>
          <c:yVal>
            <c:numRef>
              <c:f>Graphs!graph_c_y_range_B</c:f>
              <c:numCache>
                <c:formatCode>0.00</c:formatCode>
                <c:ptCount val="5"/>
                <c:pt idx="0">
                  <c:v>32.102027999999997</c:v>
                </c:pt>
                <c:pt idx="1">
                  <c:v>34.350309000000003</c:v>
                </c:pt>
                <c:pt idx="2">
                  <c:v>36.888697000000001</c:v>
                </c:pt>
                <c:pt idx="3">
                  <c:v>39.522199999999998</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rc5 : quantizationstep(1,1)</c:v>
                </c:pt>
              </c:strCache>
            </c:strRef>
          </c:tx>
          <c:spPr>
            <a:ln>
              <a:prstDash val="solid"/>
            </a:ln>
          </c:spPr>
          <c:marker>
            <c:symbol val="none"/>
          </c:marker>
          <c:xVal>
            <c:numRef>
              <c:f>Graphs!graph_d_x_range_B</c:f>
              <c:numCache>
                <c:formatCode>0.00</c:formatCode>
                <c:ptCount val="5"/>
                <c:pt idx="0">
                  <c:v>3.5687964719146215E-3</c:v>
                </c:pt>
                <c:pt idx="1">
                  <c:v>7.6427948051499134E-3</c:v>
                </c:pt>
                <c:pt idx="2">
                  <c:v>1.5413947633579717E-2</c:v>
                </c:pt>
                <c:pt idx="3">
                  <c:v>2.9447030335219313E-2</c:v>
                </c:pt>
                <c:pt idx="4">
                  <c:v>5.4642322923130086E-2</c:v>
                </c:pt>
              </c:numCache>
            </c:numRef>
          </c:xVal>
          <c:yVal>
            <c:numRef>
              <c:f>Graphs!graph_d_y_range_B</c:f>
              <c:numCache>
                <c:formatCode>0.00</c:formatCode>
                <c:ptCount val="5"/>
                <c:pt idx="0">
                  <c:v>44.204236999999999</c:v>
                </c:pt>
                <c:pt idx="1">
                  <c:v>45.497658999999999</c:v>
                </c:pt>
                <c:pt idx="2">
                  <c:v>46.569280999999997</c:v>
                </c:pt>
                <c:pt idx="3">
                  <c:v>47.901769000000002</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rc5 : quantizationstep(1,1)</c:v>
                </c:pt>
              </c:strCache>
            </c:strRef>
          </c:tx>
          <c:spPr>
            <a:ln>
              <a:prstDash val="solid"/>
            </a:ln>
          </c:spPr>
          <c:marker>
            <c:symbol val="none"/>
          </c:marker>
          <c:xVal>
            <c:numRef>
              <c:f>Graphs!graph_e_x_range_B</c:f>
              <c:numCache>
                <c:formatCode>0.00</c:formatCode>
                <c:ptCount val="5"/>
                <c:pt idx="0">
                  <c:v>3.5687964719146215E-3</c:v>
                </c:pt>
                <c:pt idx="1">
                  <c:v>7.6427948051499134E-3</c:v>
                </c:pt>
                <c:pt idx="2">
                  <c:v>1.5413947633579717E-2</c:v>
                </c:pt>
                <c:pt idx="3">
                  <c:v>2.9447030335219313E-2</c:v>
                </c:pt>
                <c:pt idx="4">
                  <c:v>5.4642322923130086E-2</c:v>
                </c:pt>
              </c:numCache>
            </c:numRef>
          </c:xVal>
          <c:yVal>
            <c:numRef>
              <c:f>Graphs!graph_e_y_range_B</c:f>
              <c:numCache>
                <c:formatCode>0.00</c:formatCode>
                <c:ptCount val="5"/>
                <c:pt idx="0">
                  <c:v>43.856124999999999</c:v>
                </c:pt>
                <c:pt idx="1">
                  <c:v>45.231906000000002</c:v>
                </c:pt>
                <c:pt idx="2">
                  <c:v>46.449362999999998</c:v>
                </c:pt>
                <c:pt idx="3">
                  <c:v>47.928894</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rc5 : quantizationstep(1,1)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cols>
    <col min="2" max="2" width="16.6640625" style="53" customWidth="1"/>
    <col min="3" max="12" width="24.6640625" style="53" customWidth="1"/>
  </cols>
  <sheetData>
    <row r="1" spans="2:12">
      <c r="B1" t="s">
        <v>0</v>
      </c>
      <c r="C1" s="61" t="s">
        <v>1</v>
      </c>
      <c r="D1" s="62"/>
      <c r="E1" s="62"/>
    </row>
    <row r="2" spans="2:12">
      <c r="B2" t="s">
        <v>2</v>
      </c>
      <c r="C2" s="63" t="s">
        <v>3</v>
      </c>
      <c r="D2" s="62"/>
      <c r="E2" s="62"/>
    </row>
    <row r="4" spans="2:12" s="1" customFormat="1">
      <c r="B4" s="1" t="s">
        <v>4</v>
      </c>
    </row>
    <row r="6" spans="2:12">
      <c r="B6" s="64" t="s">
        <v>5</v>
      </c>
      <c r="C6" s="66" t="s">
        <v>6</v>
      </c>
      <c r="D6" s="67"/>
      <c r="E6" s="67"/>
      <c r="F6" s="67"/>
      <c r="G6" s="67"/>
      <c r="H6" s="67"/>
      <c r="I6" s="67"/>
      <c r="J6" s="67"/>
      <c r="K6" s="67"/>
      <c r="L6" s="67"/>
    </row>
    <row r="7" spans="2:12">
      <c r="B7" s="62"/>
      <c r="C7" s="68" t="s">
        <v>7</v>
      </c>
      <c r="D7" s="62"/>
      <c r="E7" s="69" t="s">
        <v>8</v>
      </c>
      <c r="F7" s="62"/>
      <c r="G7" s="62"/>
      <c r="H7" s="68" t="s">
        <v>9</v>
      </c>
      <c r="I7" s="62"/>
      <c r="J7" s="69" t="s">
        <v>10</v>
      </c>
      <c r="K7" s="62"/>
      <c r="L7" s="62"/>
    </row>
    <row r="8" spans="2:12" ht="16">
      <c r="B8" s="65"/>
      <c r="C8" s="2" t="s">
        <v>11</v>
      </c>
      <c r="D8" s="2" t="s">
        <v>12</v>
      </c>
      <c r="E8" s="3" t="s">
        <v>13</v>
      </c>
      <c r="F8" s="3" t="s">
        <v>14</v>
      </c>
      <c r="G8" s="3" t="s">
        <v>15</v>
      </c>
      <c r="H8" s="2" t="s">
        <v>11</v>
      </c>
      <c r="I8" s="2" t="s">
        <v>12</v>
      </c>
      <c r="J8" s="3" t="s">
        <v>13</v>
      </c>
      <c r="K8" s="3" t="s">
        <v>14</v>
      </c>
      <c r="L8" s="3" t="s">
        <v>15</v>
      </c>
    </row>
    <row r="9" spans="2:12">
      <c r="B9" t="s">
        <v>16</v>
      </c>
      <c r="C9" s="51">
        <f>'C2 lossyG,lossyA,intra'!$BJ$40:$BJ$40</f>
        <v>7.7686352720856555E-3</v>
      </c>
      <c r="D9" s="51">
        <f>'C2 lossyG,lossyA,intra'!$BK$40:$BK$40</f>
        <v>1.1647383183869819E-3</v>
      </c>
      <c r="E9" s="51">
        <f>'C2 lossyG,lossyA,intra'!$BL$40:$BL$40</f>
        <v>-2.8607134483096819E-3</v>
      </c>
      <c r="F9" s="51">
        <f>'C2 lossyG,lossyA,intra'!$BM$40:$BM$40</f>
        <v>-4.3269124081607435E-3</v>
      </c>
      <c r="G9" s="51">
        <f>'C2 lossyG,lossyA,intra'!$BN$40:$BN$40</f>
        <v>-3.2915556200568685E-3</v>
      </c>
      <c r="H9" s="51">
        <f>'C2 lossyG,lossyA,intra'!$BP$40:$BP$40</f>
        <v>1.4881302550454889E-3</v>
      </c>
      <c r="I9" s="51">
        <f>'C2 lossyG,lossyA,intra'!$BQ$40:$BQ$40</f>
        <v>-9.722660644298553E-3</v>
      </c>
      <c r="J9" s="51">
        <f>'C2 lossyG,lossyA,intra'!$BR$40:$BR$40</f>
        <v>1.1830328921798305E-3</v>
      </c>
      <c r="K9" s="51">
        <f>'C2 lossyG,lossyA,intra'!$BS$40:$BS$40</f>
        <v>4.5280241270281851E-4</v>
      </c>
      <c r="L9" s="51">
        <f>'C2 lossyG,lossyA,intra'!$BT$40:$BT$40</f>
        <v>1.2487848419610315E-3</v>
      </c>
    </row>
    <row r="10" spans="2:12">
      <c r="B10" t="s">
        <v>17</v>
      </c>
      <c r="C10" s="51">
        <f>'C2 lossyG,lossyA,intra'!$BJ$41:$BJ$41</f>
        <v>6.5299569340808716E-3</v>
      </c>
      <c r="D10" s="51">
        <f>'C2 lossyG,lossyA,intra'!$BK$41:$BK$41</f>
        <v>-5.498025208350299E-5</v>
      </c>
      <c r="E10" s="51">
        <f>'C2 lossyG,lossyA,intra'!$BL$41:$BL$41</f>
        <v>-5.4697050583740747E-4</v>
      </c>
      <c r="F10" s="51">
        <f>'C2 lossyG,lossyA,intra'!$BM$41:$BM$41</f>
        <v>6.4159330864899111E-4</v>
      </c>
      <c r="G10" s="51">
        <f>'C2 lossyG,lossyA,intra'!$BN$41:$BN$41</f>
        <v>9.4119938842007755E-5</v>
      </c>
      <c r="H10" s="51">
        <f>'C2 lossyG,lossyA,intra'!$BP$41:$BP$41</f>
        <v>-1.2169313186449759E-4</v>
      </c>
      <c r="I10" s="51">
        <f>'C2 lossyG,lossyA,intra'!$BQ$41:$BQ$41</f>
        <v>-1.2059925459881105E-2</v>
      </c>
      <c r="J10" s="51">
        <f>'C2 lossyG,lossyA,intra'!$BR$41:$BR$41</f>
        <v>1.0926999494049738E-3</v>
      </c>
      <c r="K10" s="51">
        <f>'C2 lossyG,lossyA,intra'!$BS$41:$BS$41</f>
        <v>1.857165278630557E-3</v>
      </c>
      <c r="L10" s="51">
        <f>'C2 lossyG,lossyA,intra'!$BT$41:$BT$41</f>
        <v>1.5377379582595108E-3</v>
      </c>
    </row>
    <row r="11" spans="2:12">
      <c r="B11" t="s">
        <v>18</v>
      </c>
      <c r="C11" s="51">
        <f>'C2 lossyG,lossyA,intra'!$BJ$42:$BJ$42</f>
        <v>3.44774110625512E-3</v>
      </c>
      <c r="D11" s="51">
        <f>'C2 lossyG,lossyA,intra'!$BK$42:$BK$42</f>
        <v>1.0020234665625294E-3</v>
      </c>
      <c r="E11" s="51">
        <f>'C2 lossyG,lossyA,intra'!$BL$42:$BL$42</f>
        <v>-2.1502437342446612E-4</v>
      </c>
      <c r="F11" s="51">
        <f>'C2 lossyG,lossyA,intra'!$BM$42:$BM$42</f>
        <v>-4.4277003842099205E-3</v>
      </c>
      <c r="G11" s="51">
        <f>'C2 lossyG,lossyA,intra'!$BN$42:$BN$42</f>
        <v>-7.7146543842859794E-4</v>
      </c>
      <c r="H11" s="51">
        <f>'C2 lossyG,lossyA,intra'!$BP$42:$BP$42</f>
        <v>5.2721734332084047E-4</v>
      </c>
      <c r="I11" s="51">
        <f>'C2 lossyG,lossyA,intra'!$BQ$42:$BQ$42</f>
        <v>-3.3230379520328146E-3</v>
      </c>
      <c r="J11" s="51">
        <f>'C2 lossyG,lossyA,intra'!$BR$42:$BR$42</f>
        <v>1.831905404912737E-3</v>
      </c>
      <c r="K11" s="51">
        <f>'C2 lossyG,lossyA,intra'!$BS$42:$BS$42</f>
        <v>-1.493340794549991E-3</v>
      </c>
      <c r="L11" s="51">
        <f>'C2 lossyG,lossyA,intra'!$BT$42:$BT$42</f>
        <v>1.1081121912343006E-3</v>
      </c>
    </row>
    <row r="12" spans="2:12">
      <c r="B12" s="4" t="s">
        <v>19</v>
      </c>
      <c r="C12" s="5">
        <f>'C2 lossyG,lossyA,intra'!$BJ$43:$BJ$43</f>
        <v>6.3571400335619621E-3</v>
      </c>
      <c r="D12" s="5">
        <f>'C2 lossyG,lossyA,intra'!$BK$43:$BK$43</f>
        <v>9.4400285065564054E-4</v>
      </c>
      <c r="E12" s="5">
        <f>'C2 lossyG,lossyA,intra'!$BL$43:$BL$43</f>
        <v>-1.7742675779892953E-3</v>
      </c>
      <c r="F12" s="5">
        <f>'C2 lossyG,lossyA,intra'!$BM$43:$BM$43</f>
        <v>-3.6459224417734032E-3</v>
      </c>
      <c r="G12" s="5">
        <f>'C2 lossyG,lossyA,intra'!$BN$43:$BN$43</f>
        <v>-2.0878619168918089E-3</v>
      </c>
      <c r="H12" s="5">
        <f>'C2 lossyG,lossyA,intra'!$BP$43:$BP$43</f>
        <v>9.8360893927987693E-4</v>
      </c>
      <c r="I12" s="5">
        <f>'C2 lossyG,lossyA,intra'!$BQ$43:$BQ$43</f>
        <v>-8.2280919915915639E-3</v>
      </c>
      <c r="J12" s="5">
        <f>'C2 lossyG,lossyA,intra'!$BR$43:$BR$43</f>
        <v>1.3555203325642529E-3</v>
      </c>
      <c r="K12" s="5">
        <f>'C2 lossyG,lossyA,intra'!$BS$43:$BS$43</f>
        <v>9.7384762905978437E-5</v>
      </c>
      <c r="L12" s="5">
        <f>'C2 lossyG,lossyA,intra'!$BT$43:$BT$43</f>
        <v>1.2498716726531769E-3</v>
      </c>
    </row>
    <row r="13" spans="2:12">
      <c r="B13" t="s">
        <v>20</v>
      </c>
      <c r="C13" s="70">
        <f>'C2 lossyG,lossyA,intra'!AZ47</f>
        <v>0.98412948069462836</v>
      </c>
      <c r="D13" s="62"/>
      <c r="E13" s="62"/>
      <c r="F13" s="62"/>
      <c r="G13" s="62"/>
      <c r="H13" s="62"/>
      <c r="I13" s="62"/>
      <c r="J13" s="62"/>
      <c r="K13" s="62"/>
      <c r="L13" s="62"/>
    </row>
    <row r="14" spans="2:12">
      <c r="B14" s="54" t="s">
        <v>21</v>
      </c>
      <c r="C14" s="71">
        <f>'C2 lossyG,lossyA,intra'!BB47</f>
        <v>0.98734262321780442</v>
      </c>
      <c r="D14" s="65"/>
      <c r="E14" s="65"/>
      <c r="F14" s="65"/>
      <c r="G14" s="65"/>
      <c r="H14" s="65"/>
      <c r="I14" s="65"/>
      <c r="J14" s="65"/>
      <c r="K14" s="65"/>
      <c r="L14" s="65"/>
    </row>
    <row r="16" spans="2:12">
      <c r="B16" s="64" t="s">
        <v>22</v>
      </c>
      <c r="C16" s="66" t="s">
        <v>23</v>
      </c>
      <c r="D16" s="67"/>
      <c r="E16" s="67"/>
    </row>
    <row r="17" spans="2:5">
      <c r="B17" s="62"/>
      <c r="C17" s="68" t="s">
        <v>24</v>
      </c>
      <c r="D17" s="62"/>
      <c r="E17" s="62"/>
    </row>
    <row r="18" spans="2:5" ht="16">
      <c r="B18" s="65"/>
      <c r="C18" s="2" t="s">
        <v>25</v>
      </c>
      <c r="D18" s="2" t="s">
        <v>26</v>
      </c>
      <c r="E18" s="2" t="s">
        <v>27</v>
      </c>
    </row>
    <row r="19" spans="2:5">
      <c r="B19" t="s">
        <v>16</v>
      </c>
      <c r="C19" s="51">
        <f>'CW losslG,losslA,intra'!BC12</f>
        <v>0.99933196444008188</v>
      </c>
      <c r="D19" s="51">
        <f>'CW losslG,losslA,intra'!BE12</f>
        <v>1</v>
      </c>
      <c r="E19" s="51">
        <f>'CW losslG,losslA,intra'!BB12</f>
        <v>0.99989983288954176</v>
      </c>
    </row>
    <row r="20" spans="2:5">
      <c r="B20" t="s">
        <v>17</v>
      </c>
      <c r="C20" s="51">
        <f>'CW losslG,losslA,intra'!BC13</f>
        <v>0.99943689022257842</v>
      </c>
      <c r="D20" s="51">
        <f>'CW losslG,losslA,intra'!BE13</f>
        <v>1</v>
      </c>
      <c r="E20" s="51">
        <f>'CW losslG,losslA,intra'!BB13</f>
        <v>0.99994390933504917</v>
      </c>
    </row>
    <row r="21" spans="2:5">
      <c r="B21" t="s">
        <v>18</v>
      </c>
      <c r="C21" s="51">
        <f>'CW losslG,losslA,intra'!BC14</f>
        <v>0.99973796689118832</v>
      </c>
      <c r="D21" s="51">
        <f>'CW losslG,losslA,intra'!BE14</f>
        <v>1</v>
      </c>
      <c r="E21" s="51">
        <f>'CW losslG,losslA,intra'!BB14</f>
        <v>0.99996973997964711</v>
      </c>
    </row>
    <row r="22" spans="2:5">
      <c r="B22" s="4" t="s">
        <v>19</v>
      </c>
      <c r="C22" s="5">
        <f>'CW losslG,losslA,intra'!BC15</f>
        <v>0.99951118958660645</v>
      </c>
      <c r="D22" s="5">
        <f>'CW losslG,losslA,intra'!BE15</f>
        <v>1</v>
      </c>
      <c r="E22" s="5">
        <f>'CW losslG,losslA,intra'!BB15</f>
        <v>0.9999378194076749</v>
      </c>
    </row>
    <row r="23" spans="2:5">
      <c r="B23" t="s">
        <v>20</v>
      </c>
      <c r="C23" s="70">
        <f>'CW losslG,losslA,intra'!AW19</f>
        <v>1.0105846924587463</v>
      </c>
      <c r="D23" s="62"/>
      <c r="E23" s="62"/>
    </row>
    <row r="24" spans="2:5">
      <c r="B24" s="54" t="s">
        <v>21</v>
      </c>
      <c r="C24" s="71">
        <f>'CW losslG,losslA,intra'!AY19</f>
        <v>0.98987766038150427</v>
      </c>
      <c r="D24" s="65"/>
      <c r="E24" s="65"/>
    </row>
    <row r="26" spans="2:5" s="1" customFormat="1">
      <c r="B26" s="1" t="s">
        <v>28</v>
      </c>
    </row>
    <row r="28" spans="2:5">
      <c r="B28" s="64" t="s">
        <v>29</v>
      </c>
      <c r="C28" s="66" t="s">
        <v>30</v>
      </c>
      <c r="D28" s="67"/>
      <c r="E28" s="67"/>
    </row>
    <row r="29" spans="2:5">
      <c r="B29" s="62"/>
      <c r="C29" s="68" t="s">
        <v>24</v>
      </c>
      <c r="D29" s="62"/>
      <c r="E29" s="62"/>
    </row>
    <row r="30" spans="2:5" ht="16">
      <c r="B30" s="65"/>
      <c r="C30" s="2" t="s">
        <v>25</v>
      </c>
      <c r="D30" s="2" t="s">
        <v>26</v>
      </c>
      <c r="E30" s="2" t="s">
        <v>27</v>
      </c>
    </row>
    <row r="31" spans="2:5">
      <c r="B31" t="s">
        <v>16</v>
      </c>
      <c r="C31" s="51">
        <f>'CW losslG,losslA,interLD'!BC12</f>
        <v>0.99925405727349204</v>
      </c>
      <c r="D31" s="51">
        <f>'CW losslG,losslA,interLD'!BE12</f>
        <v>1</v>
      </c>
      <c r="E31" s="51">
        <f>'CW losslG,losslA,interLD'!BB12</f>
        <v>0.99989543827066096</v>
      </c>
    </row>
    <row r="32" spans="2:5">
      <c r="B32" t="s">
        <v>17</v>
      </c>
      <c r="C32" s="51">
        <f>'CW losslG,losslA,interLD'!BC13</f>
        <v>0.99939578181757061</v>
      </c>
      <c r="D32" s="51">
        <f>'CW losslG,losslA,interLD'!BE13</f>
        <v>1</v>
      </c>
      <c r="E32" s="51">
        <f>'CW losslG,losslA,interLD'!BB13</f>
        <v>0.99993943069435165</v>
      </c>
    </row>
    <row r="33" spans="2:12">
      <c r="B33" t="s">
        <v>18</v>
      </c>
      <c r="C33" s="51" t="e">
        <f>'CW losslG,losslA,interLD'!BC14</f>
        <v>#DIV/0!</v>
      </c>
      <c r="D33" s="51" t="e">
        <f>'CW losslG,losslA,interLD'!BE14</f>
        <v>#DIV/0!</v>
      </c>
      <c r="E33" s="51" t="e">
        <f>'CW losslG,losslA,interLD'!BB14</f>
        <v>#DIV/0!</v>
      </c>
    </row>
    <row r="34" spans="2:12">
      <c r="B34" s="4" t="s">
        <v>19</v>
      </c>
      <c r="C34" s="5">
        <f>'CW losslG,losslA,interLD'!BC15</f>
        <v>0.79319990185323741</v>
      </c>
      <c r="D34" s="5">
        <f>'CW losslG,losslA,interLD'!BE15</f>
        <v>0.747849009320672</v>
      </c>
      <c r="E34" s="5">
        <f>'CW losslG,losslA,interLD'!BB15</f>
        <v>0.75346734763285494</v>
      </c>
    </row>
    <row r="35" spans="2:12">
      <c r="B35" t="s">
        <v>20</v>
      </c>
      <c r="C35" s="70">
        <f>'CW losslG,losslA,interLD'!AW19</f>
        <v>1.0239506512196195</v>
      </c>
      <c r="D35" s="62"/>
      <c r="E35" s="62"/>
    </row>
    <row r="36" spans="2:12">
      <c r="B36" s="54" t="s">
        <v>21</v>
      </c>
      <c r="C36" s="71">
        <f>'CW losslG,losslA,interLD'!AY19</f>
        <v>0.68989038328079733</v>
      </c>
      <c r="D36" s="65"/>
      <c r="E36" s="65"/>
    </row>
    <row r="38" spans="2:12" s="1" customFormat="1">
      <c r="B38" s="1" t="s">
        <v>31</v>
      </c>
    </row>
    <row r="40" spans="2:12">
      <c r="B40" s="64" t="s">
        <v>32</v>
      </c>
      <c r="C40" s="66" t="s">
        <v>33</v>
      </c>
      <c r="D40" s="67"/>
      <c r="E40" s="67"/>
      <c r="F40" s="67"/>
      <c r="G40" s="67"/>
      <c r="H40" s="67"/>
      <c r="I40" s="67"/>
      <c r="J40" s="67"/>
      <c r="K40" s="67"/>
      <c r="L40" s="67"/>
    </row>
    <row r="41" spans="2:12">
      <c r="B41" s="62"/>
      <c r="C41" s="68" t="s">
        <v>7</v>
      </c>
      <c r="D41" s="62"/>
      <c r="E41" s="69" t="s">
        <v>8</v>
      </c>
      <c r="F41" s="62"/>
      <c r="G41" s="62"/>
      <c r="H41" s="68" t="s">
        <v>9</v>
      </c>
      <c r="I41" s="62"/>
      <c r="J41" s="69" t="s">
        <v>10</v>
      </c>
      <c r="K41" s="62"/>
      <c r="L41" s="62"/>
    </row>
    <row r="42" spans="2:12" ht="16">
      <c r="B42" s="65"/>
      <c r="C42" s="2" t="s">
        <v>11</v>
      </c>
      <c r="D42" s="2" t="s">
        <v>12</v>
      </c>
      <c r="E42" s="3" t="s">
        <v>13</v>
      </c>
      <c r="F42" s="3" t="s">
        <v>14</v>
      </c>
      <c r="G42" s="3" t="s">
        <v>15</v>
      </c>
      <c r="H42" s="2" t="s">
        <v>11</v>
      </c>
      <c r="I42" s="2" t="s">
        <v>12</v>
      </c>
      <c r="J42" s="3" t="s">
        <v>13</v>
      </c>
      <c r="K42" s="3" t="s">
        <v>14</v>
      </c>
      <c r="L42" s="3" t="s">
        <v>15</v>
      </c>
    </row>
    <row r="43" spans="2:12">
      <c r="B43" t="s">
        <v>16</v>
      </c>
      <c r="C43" s="51">
        <f>'C2 lossyG,lossyA,interRA'!$BJ$40:$BJ$40</f>
        <v>7.0024374430657232E-3</v>
      </c>
      <c r="D43" s="51">
        <f>'C2 lossyG,lossyA,interRA'!$BK$40:$BK$40</f>
        <v>1.1882892483142116E-4</v>
      </c>
      <c r="E43" s="51">
        <f>'C2 lossyG,lossyA,interRA'!$BL$40:$BL$40</f>
        <v>-5.092820744698745E-3</v>
      </c>
      <c r="F43" s="51">
        <f>'C2 lossyG,lossyA,interRA'!$BM$40:$BM$40</f>
        <v>-2.7693388249454831E-3</v>
      </c>
      <c r="G43" s="51">
        <f>'C2 lossyG,lossyA,interRA'!$BN$40:$BN$40</f>
        <v>-1.009163147405015E-2</v>
      </c>
      <c r="H43" s="51">
        <f>'C2 lossyG,lossyA,interRA'!$BP$40:$BP$40</f>
        <v>2.4423267582828756E-3</v>
      </c>
      <c r="I43" s="51">
        <f>'C2 lossyG,lossyA,interRA'!$BQ$40:$BQ$40</f>
        <v>-7.882195492419114E-3</v>
      </c>
      <c r="J43" s="51">
        <f>'C2 lossyG,lossyA,interRA'!$BR$40:$BR$40</f>
        <v>2.7228432818111603E-3</v>
      </c>
      <c r="K43" s="51">
        <f>'C2 lossyG,lossyA,interRA'!$BS$40:$BS$40</f>
        <v>2.3130776323419255E-3</v>
      </c>
      <c r="L43" s="51">
        <f>'C2 lossyG,lossyA,interRA'!$BT$40:$BT$40</f>
        <v>-9.0880796074674364E-4</v>
      </c>
    </row>
    <row r="44" spans="2:12">
      <c r="B44" t="s">
        <v>17</v>
      </c>
      <c r="C44" s="51">
        <f>'C2 lossyG,lossyA,interRA'!$BJ$41:$BJ$41</f>
        <v>7.1033183710620396E-3</v>
      </c>
      <c r="D44" s="51">
        <f>'C2 lossyG,lossyA,interRA'!$BK$41:$BK$41</f>
        <v>3.7662138300254E-4</v>
      </c>
      <c r="E44" s="51">
        <f>'C2 lossyG,lossyA,interRA'!$BL$41:$BL$41</f>
        <v>-2.0178452010055636E-4</v>
      </c>
      <c r="F44" s="51">
        <f>'C2 lossyG,lossyA,interRA'!$BM$41:$BM$41</f>
        <v>-3.5631267063455097E-3</v>
      </c>
      <c r="G44" s="51">
        <f>'C2 lossyG,lossyA,interRA'!$BN$41:$BN$41</f>
        <v>1.0004216010237599E-3</v>
      </c>
      <c r="H44" s="51">
        <f>'C2 lossyG,lossyA,interRA'!$BP$41:$BP$41</f>
        <v>1.6738337642159262E-3</v>
      </c>
      <c r="I44" s="51">
        <f>'C2 lossyG,lossyA,interRA'!$BQ$41:$BQ$41</f>
        <v>-1.0074461955445035E-2</v>
      </c>
      <c r="J44" s="51">
        <f>'C2 lossyG,lossyA,interRA'!$BR$41:$BR$41</f>
        <v>3.0206859041528311E-3</v>
      </c>
      <c r="K44" s="51">
        <f>'C2 lossyG,lossyA,interRA'!$BS$41:$BS$41</f>
        <v>1.9921544172984973E-4</v>
      </c>
      <c r="L44" s="51">
        <f>'C2 lossyG,lossyA,interRA'!$BT$41:$BT$41</f>
        <v>3.8944295174316856E-3</v>
      </c>
    </row>
    <row r="45" spans="2:12">
      <c r="B45" t="s">
        <v>18</v>
      </c>
      <c r="C45" s="51">
        <f>'C2 lossyG,lossyA,interRA'!$BJ$42:$BJ$42</f>
        <v>4.0827571086228254E-3</v>
      </c>
      <c r="D45" s="51">
        <f>'C2 lossyG,lossyA,interRA'!$BK$42:$BK$42</f>
        <v>1.4546982586994828E-3</v>
      </c>
      <c r="E45" s="51">
        <f>'C2 lossyG,lossyA,interRA'!$BL$42:$BL$42</f>
        <v>-1.4554377296610577E-3</v>
      </c>
      <c r="F45" s="51">
        <f>'C2 lossyG,lossyA,interRA'!$BM$42:$BM$42</f>
        <v>2.1044653624128218E-3</v>
      </c>
      <c r="G45" s="51">
        <f>'C2 lossyG,lossyA,interRA'!$BN$42:$BN$42</f>
        <v>-1.8162014376566171E-2</v>
      </c>
      <c r="H45" s="51">
        <f>'C2 lossyG,lossyA,interRA'!$BP$42:$BP$42</f>
        <v>1.5736998275857061E-3</v>
      </c>
      <c r="I45" s="51">
        <f>'C2 lossyG,lossyA,interRA'!$BQ$42:$BQ$42</f>
        <v>-2.0846200627623324E-3</v>
      </c>
      <c r="J45" s="51">
        <f>'C2 lossyG,lossyA,interRA'!$BR$42:$BR$42</f>
        <v>2.5856811248635703E-3</v>
      </c>
      <c r="K45" s="51">
        <f>'C2 lossyG,lossyA,interRA'!$BS$42:$BS$42</f>
        <v>4.1197852618971575E-3</v>
      </c>
      <c r="L45" s="51">
        <f>'C2 lossyG,lossyA,interRA'!$BT$42:$BT$42</f>
        <v>-8.9644896828944831E-3</v>
      </c>
    </row>
    <row r="46" spans="2:12">
      <c r="B46" s="4" t="s">
        <v>19</v>
      </c>
      <c r="C46" s="5">
        <f>'C2 lossyG,lossyA,interRA'!$BJ$43:$BJ$43</f>
        <v>6.1826546229386548E-3</v>
      </c>
      <c r="D46" s="5">
        <f>'C2 lossyG,lossyA,interRA'!$BK$43:$BK$43</f>
        <v>5.3733337138959863E-4</v>
      </c>
      <c r="E46" s="5">
        <f>'C2 lossyG,lossyA,interRA'!$BL$43:$BL$43</f>
        <v>-3.3548489940310932E-3</v>
      </c>
      <c r="F46" s="5">
        <f>'C2 lossyG,lossyA,interRA'!$BM$43:$BM$43</f>
        <v>-1.4902216116145426E-3</v>
      </c>
      <c r="G46" s="5">
        <f>'C2 lossyG,lossyA,interRA'!$BN$43:$BN$43</f>
        <v>-1.0812876149758455E-2</v>
      </c>
      <c r="H46" s="5">
        <f>'C2 lossyG,lossyA,interRA'!$BP$43:$BP$43</f>
        <v>2.0843629217884058E-3</v>
      </c>
      <c r="I46" s="5">
        <f>'C2 lossyG,lossyA,interRA'!$BQ$43:$BQ$43</f>
        <v>-6.5389262929494507E-3</v>
      </c>
      <c r="J46" s="5">
        <f>'C2 lossyG,lossyA,interRA'!$BR$43:$BR$43</f>
        <v>2.726203040160659E-3</v>
      </c>
      <c r="K46" s="5">
        <f>'C2 lossyG,lossyA,interRA'!$BS$43:$BS$43</f>
        <v>2.5272994992702668E-3</v>
      </c>
      <c r="L46" s="5">
        <f>'C2 lossyG,lossyA,interRA'!$BT$43:$BT$43</f>
        <v>-2.5242545273348937E-3</v>
      </c>
    </row>
    <row r="47" spans="2:12">
      <c r="B47" t="s">
        <v>20</v>
      </c>
      <c r="C47" s="70">
        <f>'C2 lossyG,lossyA,interRA'!AZ47</f>
        <v>0.98014955133934645</v>
      </c>
      <c r="D47" s="62"/>
      <c r="E47" s="62"/>
      <c r="F47" s="62"/>
      <c r="G47" s="62"/>
      <c r="H47" s="62"/>
      <c r="I47" s="62"/>
      <c r="J47" s="62"/>
      <c r="K47" s="62"/>
      <c r="L47" s="62"/>
    </row>
    <row r="48" spans="2:12">
      <c r="B48" s="54" t="s">
        <v>21</v>
      </c>
      <c r="C48" s="71">
        <f>'C2 lossyG,lossyA,interRA'!BB47</f>
        <v>0.9854136331143496</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cols>
    <col min="1" max="1" width="12.6640625" style="53" customWidth="1"/>
    <col min="2" max="2" width="24.6640625" style="53" customWidth="1"/>
    <col min="4" max="4" width="24.6640625" style="53" customWidth="1"/>
    <col min="9" max="9" width="16.6640625" style="53" customWidth="1"/>
  </cols>
  <sheetData>
    <row r="1" spans="1:16">
      <c r="A1" t="s">
        <v>34</v>
      </c>
      <c r="B1" s="6" t="str">
        <f>M1</f>
        <v>C2 lossyG,lossyA,intra</v>
      </c>
      <c r="C1" t="s">
        <v>35</v>
      </c>
      <c r="I1" t="s">
        <v>36</v>
      </c>
      <c r="M1" t="s">
        <v>37</v>
      </c>
      <c r="N1" t="s">
        <v>38</v>
      </c>
      <c r="O1" t="s">
        <v>39</v>
      </c>
      <c r="P1" t="s">
        <v>40</v>
      </c>
    </row>
    <row r="2" spans="1:16">
      <c r="A2" t="s">
        <v>41</v>
      </c>
      <c r="B2" s="6" t="str">
        <f>HLOOKUP(B1,M1:ZZ3,3,0)</f>
        <v>8ivfbv2_loot_vox10</v>
      </c>
      <c r="C2" t="s">
        <v>42</v>
      </c>
      <c r="I2" t="s">
        <v>43</v>
      </c>
      <c r="J2" t="s">
        <v>44</v>
      </c>
      <c r="M2" t="s">
        <v>45</v>
      </c>
      <c r="N2" t="s">
        <v>46</v>
      </c>
      <c r="O2" t="s">
        <v>47</v>
      </c>
      <c r="P2" t="s">
        <v>48</v>
      </c>
    </row>
    <row r="3" spans="1:16">
      <c r="I3" t="s">
        <v>49</v>
      </c>
      <c r="J3" t="s">
        <v>50</v>
      </c>
      <c r="M3" t="s">
        <v>51</v>
      </c>
      <c r="N3" t="s">
        <v>51</v>
      </c>
      <c r="O3" t="s">
        <v>51</v>
      </c>
      <c r="P3" t="s">
        <v>51</v>
      </c>
    </row>
    <row r="4" spans="1:16">
      <c r="A4" t="s">
        <v>52</v>
      </c>
      <c r="B4" s="6" t="s">
        <v>53</v>
      </c>
      <c r="C4" t="s">
        <v>54</v>
      </c>
      <c r="D4" s="6" t="s">
        <v>55</v>
      </c>
      <c r="E4" t="s">
        <v>56</v>
      </c>
      <c r="I4" t="s">
        <v>57</v>
      </c>
      <c r="J4" t="s">
        <v>58</v>
      </c>
      <c r="M4" t="s">
        <v>59</v>
      </c>
      <c r="N4" t="s">
        <v>59</v>
      </c>
      <c r="O4" t="s">
        <v>59</v>
      </c>
      <c r="P4" t="s">
        <v>59</v>
      </c>
    </row>
    <row r="5" spans="1:16">
      <c r="A5" t="s">
        <v>52</v>
      </c>
      <c r="B5" s="6" t="s">
        <v>53</v>
      </c>
      <c r="C5" t="s">
        <v>54</v>
      </c>
      <c r="D5" s="6" t="s">
        <v>60</v>
      </c>
      <c r="E5" t="s">
        <v>61</v>
      </c>
      <c r="I5" t="s">
        <v>62</v>
      </c>
      <c r="J5" t="s">
        <v>63</v>
      </c>
      <c r="M5" t="s">
        <v>64</v>
      </c>
      <c r="N5" t="s">
        <v>64</v>
      </c>
      <c r="O5" t="s">
        <v>64</v>
      </c>
      <c r="P5" t="s">
        <v>64</v>
      </c>
    </row>
    <row r="6" spans="1:16">
      <c r="A6" t="s">
        <v>52</v>
      </c>
      <c r="B6" s="6" t="s">
        <v>65</v>
      </c>
      <c r="C6" t="s">
        <v>54</v>
      </c>
      <c r="D6" s="6" t="s">
        <v>66</v>
      </c>
      <c r="E6" t="s">
        <v>67</v>
      </c>
      <c r="I6" t="s">
        <v>68</v>
      </c>
      <c r="J6" t="s">
        <v>69</v>
      </c>
      <c r="M6" t="s">
        <v>70</v>
      </c>
      <c r="N6" t="s">
        <v>70</v>
      </c>
      <c r="O6" t="s">
        <v>70</v>
      </c>
      <c r="P6" t="s">
        <v>70</v>
      </c>
    </row>
    <row r="7" spans="1:16">
      <c r="A7" t="s">
        <v>52</v>
      </c>
      <c r="B7" s="6" t="s">
        <v>65</v>
      </c>
      <c r="C7" t="s">
        <v>54</v>
      </c>
      <c r="D7" s="6" t="s">
        <v>49</v>
      </c>
      <c r="E7" t="s">
        <v>71</v>
      </c>
      <c r="I7" t="s">
        <v>55</v>
      </c>
      <c r="J7" t="s">
        <v>72</v>
      </c>
      <c r="M7" t="s">
        <v>73</v>
      </c>
      <c r="N7" t="s">
        <v>73</v>
      </c>
      <c r="O7" t="s">
        <v>73</v>
      </c>
      <c r="P7" t="s">
        <v>73</v>
      </c>
    </row>
    <row r="8" spans="1:16">
      <c r="A8" t="s">
        <v>52</v>
      </c>
      <c r="B8" s="6" t="s">
        <v>65</v>
      </c>
      <c r="C8" t="s">
        <v>54</v>
      </c>
      <c r="D8" s="6" t="s">
        <v>62</v>
      </c>
      <c r="E8" t="s">
        <v>74</v>
      </c>
      <c r="I8" t="s">
        <v>75</v>
      </c>
      <c r="J8" t="s">
        <v>76</v>
      </c>
      <c r="M8" t="s">
        <v>77</v>
      </c>
      <c r="N8" t="s">
        <v>77</v>
      </c>
      <c r="O8" t="s">
        <v>77</v>
      </c>
      <c r="P8" t="s">
        <v>77</v>
      </c>
    </row>
    <row r="9" spans="1:16">
      <c r="A9" t="s">
        <v>52</v>
      </c>
      <c r="B9" s="6" t="s">
        <v>78</v>
      </c>
      <c r="C9" t="s">
        <v>54</v>
      </c>
      <c r="D9" s="6" t="s">
        <v>79</v>
      </c>
      <c r="E9" t="s">
        <v>80</v>
      </c>
      <c r="I9" t="s">
        <v>60</v>
      </c>
      <c r="J9" t="s">
        <v>81</v>
      </c>
      <c r="M9" t="s">
        <v>82</v>
      </c>
      <c r="N9" t="s">
        <v>82</v>
      </c>
      <c r="O9" t="s">
        <v>82</v>
      </c>
      <c r="P9" t="s">
        <v>82</v>
      </c>
    </row>
    <row r="10" spans="1:16">
      <c r="I10" t="s">
        <v>83</v>
      </c>
      <c r="J10" t="s">
        <v>84</v>
      </c>
    </row>
    <row r="11" spans="1:16">
      <c r="I11" t="s">
        <v>85</v>
      </c>
      <c r="J11" t="s">
        <v>86</v>
      </c>
    </row>
    <row r="12" spans="1:16">
      <c r="I12" t="s">
        <v>87</v>
      </c>
      <c r="J12" t="s">
        <v>88</v>
      </c>
    </row>
    <row r="13" spans="1:16">
      <c r="I13" t="s">
        <v>89</v>
      </c>
      <c r="J13" t="s">
        <v>90</v>
      </c>
    </row>
    <row r="14" spans="1:16">
      <c r="I14" t="s">
        <v>91</v>
      </c>
      <c r="J14" t="s">
        <v>92</v>
      </c>
    </row>
    <row r="15" spans="1:16">
      <c r="I15" t="s">
        <v>93</v>
      </c>
      <c r="J15" t="s">
        <v>94</v>
      </c>
    </row>
    <row r="16" spans="1:16">
      <c r="I16" t="s">
        <v>95</v>
      </c>
      <c r="J16" t="s">
        <v>96</v>
      </c>
    </row>
    <row r="17" spans="9:10">
      <c r="I17" t="s">
        <v>79</v>
      </c>
      <c r="J17" t="s">
        <v>97</v>
      </c>
    </row>
    <row r="18" spans="9:10">
      <c r="I18" t="s">
        <v>98</v>
      </c>
      <c r="J18" t="s">
        <v>99</v>
      </c>
    </row>
    <row r="19" spans="9:10">
      <c r="I19" t="s">
        <v>100</v>
      </c>
      <c r="J19" t="s">
        <v>101</v>
      </c>
    </row>
    <row r="20" spans="9:10">
      <c r="I20" t="s">
        <v>102</v>
      </c>
      <c r="J20" t="s">
        <v>103</v>
      </c>
    </row>
    <row r="21" spans="9:10">
      <c r="I21" t="s">
        <v>104</v>
      </c>
      <c r="J21" t="s">
        <v>105</v>
      </c>
    </row>
    <row r="22" spans="9:10">
      <c r="I22" t="s">
        <v>66</v>
      </c>
      <c r="J22" t="s">
        <v>106</v>
      </c>
    </row>
    <row r="23" spans="9:10">
      <c r="I23" t="s">
        <v>107</v>
      </c>
      <c r="J23" t="s">
        <v>108</v>
      </c>
    </row>
    <row r="24" spans="9:10">
      <c r="I24" t="s">
        <v>109</v>
      </c>
      <c r="J24" t="s">
        <v>110</v>
      </c>
    </row>
    <row r="25" spans="9:10">
      <c r="I25" t="s">
        <v>111</v>
      </c>
      <c r="J25" t="s">
        <v>112</v>
      </c>
    </row>
    <row r="26" spans="9:10">
      <c r="I26" t="s">
        <v>113</v>
      </c>
      <c r="J26" t="s">
        <v>114</v>
      </c>
    </row>
    <row r="27" spans="9:10">
      <c r="I27" t="s">
        <v>115</v>
      </c>
      <c r="J27" t="s">
        <v>116</v>
      </c>
    </row>
    <row r="28" spans="9:10">
      <c r="I28" t="s">
        <v>117</v>
      </c>
      <c r="J28" t="s">
        <v>118</v>
      </c>
    </row>
    <row r="29" spans="9:10">
      <c r="I29" t="s">
        <v>119</v>
      </c>
      <c r="J29" t="s">
        <v>120</v>
      </c>
    </row>
    <row r="30" spans="9:10">
      <c r="I30" t="s">
        <v>121</v>
      </c>
      <c r="J30" t="s">
        <v>122</v>
      </c>
    </row>
    <row r="31" spans="9:10">
      <c r="I31" t="s">
        <v>123</v>
      </c>
      <c r="J31" t="s">
        <v>124</v>
      </c>
    </row>
    <row r="32" spans="9:10">
      <c r="I32" t="s">
        <v>125</v>
      </c>
      <c r="J32" t="s">
        <v>126</v>
      </c>
    </row>
    <row r="33" spans="9:10">
      <c r="I33" t="s">
        <v>127</v>
      </c>
      <c r="J33" t="s">
        <v>128</v>
      </c>
    </row>
    <row r="34" spans="9:10">
      <c r="I34" t="s">
        <v>129</v>
      </c>
      <c r="J34" t="s">
        <v>130</v>
      </c>
    </row>
    <row r="35" spans="9:10">
      <c r="I35" t="s">
        <v>65</v>
      </c>
      <c r="J35" t="s">
        <v>131</v>
      </c>
    </row>
    <row r="36" spans="9:10">
      <c r="I36" t="s">
        <v>53</v>
      </c>
      <c r="J36" t="s">
        <v>132</v>
      </c>
    </row>
    <row r="37" spans="9:10">
      <c r="I37" t="s">
        <v>133</v>
      </c>
      <c r="J37" t="s">
        <v>134</v>
      </c>
    </row>
    <row r="38" spans="9:10">
      <c r="I38" t="s">
        <v>78</v>
      </c>
      <c r="J38" t="s">
        <v>135</v>
      </c>
    </row>
    <row r="39" spans="9:10">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tabSelected="1" zoomScale="70" zoomScaleNormal="70" workbookViewId="0">
      <pane xSplit="2" ySplit="4" topLeftCell="AQ5" activePane="bottomRight" state="frozen"/>
      <selection pane="topRight" activeCell="C1" sqref="C1"/>
      <selection pane="bottomLeft" activeCell="A5" sqref="A5"/>
      <selection pane="bottomRight" activeCell="AX71" sqref="AX71"/>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138</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2.1813975000000001</v>
      </c>
      <c r="AH5" s="11">
        <f t="shared" ref="AH5:AH39" si="7">IF(ISBLANK(AQ5),"·",AQ5/D5)</f>
        <v>9.7705616710353597E-3</v>
      </c>
      <c r="AI5" s="11">
        <f t="shared" ref="AI5:AI39" si="8">IF(AL5="","·",AL5/D5)</f>
        <v>6.201227714595095E-3</v>
      </c>
      <c r="AJ5" s="11">
        <f t="shared" ref="AJ5:AJ39" si="9">IF(AR5="","·",AR5/D5)</f>
        <v>3.5272086067430685E-3</v>
      </c>
      <c r="AK5" s="11">
        <f t="shared" ref="AK5:AK39" si="10">IF(ISBLANK(AT5),"·",AT5/D5)</f>
        <v>3.5687964719146215E-3</v>
      </c>
      <c r="AL5" s="52">
        <f t="shared" ref="AL5:AL39" si="11">IF(OR(ISBLANK(AR5),ISBLANK(AS5)),"",AR5+AS5)</f>
        <v>1476800</v>
      </c>
      <c r="AM5" s="11">
        <v>16</v>
      </c>
      <c r="AN5" s="12">
        <v>21760286</v>
      </c>
      <c r="AO5" s="12">
        <v>680008.9375</v>
      </c>
      <c r="AP5" s="12">
        <v>13230.5625</v>
      </c>
      <c r="AQ5" s="13">
        <v>2326824</v>
      </c>
      <c r="AR5" s="13">
        <v>839992</v>
      </c>
      <c r="AS5" s="13">
        <v>636808</v>
      </c>
      <c r="AT5" s="13">
        <v>849896</v>
      </c>
      <c r="AU5" s="14">
        <v>66.351528000000002</v>
      </c>
      <c r="AV5" s="14">
        <v>68.489052999999998</v>
      </c>
      <c r="AW5" s="14">
        <v>32.102027999999997</v>
      </c>
      <c r="AX5" s="14">
        <v>44.204236999999999</v>
      </c>
      <c r="AY5" s="14">
        <v>43.856124999999999</v>
      </c>
      <c r="AZ5" s="15">
        <v>3209.64</v>
      </c>
      <c r="BA5" s="15">
        <v>931.43700000000001</v>
      </c>
      <c r="BB5" s="15">
        <v>53.848999999999997</v>
      </c>
      <c r="BC5" s="15">
        <v>13.707000000000001</v>
      </c>
      <c r="BE5" s="50">
        <f t="shared" ref="BE5:BE43" si="12">AI5/K5</f>
        <v>1.0064991712466196</v>
      </c>
      <c r="BF5" s="16">
        <f t="shared" ref="BF5:BF39" si="13">(AP5/AO5) - (R5/Q5)</f>
        <v>-3.6385237378963597E-4</v>
      </c>
      <c r="BG5" s="16">
        <f t="shared" ref="BG5:BG39" si="14">(AL5/AQ5) - (N5/S5)</f>
        <v>2.1366170235311843E-3</v>
      </c>
      <c r="BH5" s="16">
        <f t="array" ref="BH5">AVERAGE(AL5:AL9/AQ5:AQ9) - AVERAGE(N5:N9/S5:S9)</f>
        <v>1.3502986596736766E-3</v>
      </c>
      <c r="BJ5" s="50">
        <f>IF( OR(ISBLANK(N5:N9),ISBLANK(AL5:AL9), ISBLANK(W5:W9),ISBLANK(AU5:AU9)), "·", bdRateExtend( N5:N9,W5:W9, AL5:AL9,AU5:AU9))</f>
        <v>3.9698574999638137E-3</v>
      </c>
      <c r="BK5" s="50">
        <f>IF( OR(ISBLANK(N5:N9),ISBLANK(AL5:AL9), ISBLANK(X5:X9),ISBLANK(AV5:AV9)), "·", bdRateExtend( N5:N9,X5:X9, AL5:AL9,AV5:AV9))</f>
        <v>2.2022470328326715E-3</v>
      </c>
      <c r="BL5" s="50">
        <f>IF( OR(ISBLANK(V5:V9),ISBLANK(AT5:AT9), ISBLANK(Y5:Y9),ISBLANK(AW5:AW9)), "·", bdRateExtend( V5:V9,Y5:Y9, AT5:AT9,AW5:AW9))</f>
        <v>-8.3533846410388524E-4</v>
      </c>
      <c r="BM5" s="50">
        <f>IF( OR(ISBLANK(V5:V9),ISBLANK(AT5:AT9), ISBLANK(Z5:Z9),ISBLANK(AX5:AX9)), "·", bdRateExtend( V5:V9,Z5:Z9, AT5:AT9,AX5:AX9))</f>
        <v>-8.3128722718248671E-3</v>
      </c>
      <c r="BN5" s="50">
        <f>IF( OR(ISBLANK(V5:V9),ISBLANK(AT5:AT9), ISBLANK(AA5:AA9),ISBLANK(AY5:AY9)), "·", bdRateExtend( V5:V9,AA5:AA9, AT5:AT9,AY5:AY9))</f>
        <v>6.4234995569629749E-3</v>
      </c>
      <c r="BP5" s="50">
        <f>IF( OR(ISBLANK(S5:S9),ISBLANK(AQ5:AQ9), ISBLANK(W5:W9),ISBLANK(AU5:AU9)), "·", bdRateExtend( S5:S9,W5:W9, AQ5:AQ9,AU5:AU9))</f>
        <v>5.4467867639029777E-4</v>
      </c>
      <c r="BQ5" s="50">
        <f>IF( OR(ISBLANK(S5:S9),ISBLANK(AQ5:AQ9), ISBLANK(X5:X9),ISBLANK(AV5:AV9)), "·", bdRateExtend( S5:S9,X5:X9, AQ5:AQ9,AV5:AV9))</f>
        <v>-2.6250813013379837E-3</v>
      </c>
      <c r="BR5" s="50">
        <f>IF( OR(ISBLANK(S5:S9),ISBLANK(AQ5:AQ9), ISBLANK(Y5:Y9),ISBLANK(AW5:AW9)), "·", bdRateExtend( S5:S9,Y5:Y9, AQ5:AQ9,AW5:AW9))</f>
        <v>1.4356075519199596E-3</v>
      </c>
      <c r="BS5" s="50">
        <f>IF( OR(ISBLANK(S5:S9),ISBLANK(AQ5:AQ9), ISBLANK(Z5:Z9),ISBLANK(AX5:AX9)), "·", bdRateExtend( S5:S9,Z5:Z9, AQ5:AQ9,AX5:AX9))</f>
        <v>-2.8292333140299553E-3</v>
      </c>
      <c r="BT5" s="50">
        <f>IF( OR(ISBLANK(S5:S9),ISBLANK(AQ5:AQ9), ISBLANK(AA5:AA9),ISBLANK(AY5:AY9)), "·", bdRateExtend( S5:S9,AA5:AA9, AQ5:AQ9,AY5:AY9))</f>
        <v>6.9478014143780076E-3</v>
      </c>
      <c r="BV5" s="58">
        <f>AN5-P5</f>
        <v>-25553</v>
      </c>
      <c r="BW5" s="58">
        <f t="shared" ref="BW5:CG20" si="15">AO5-Q5</f>
        <v>-798.53125</v>
      </c>
      <c r="BX5" s="58">
        <f t="shared" si="15"/>
        <v>-263.25</v>
      </c>
      <c r="BY5" s="58">
        <f t="shared" si="15"/>
        <v>7216</v>
      </c>
      <c r="BZ5" s="58">
        <f t="shared" si="15"/>
        <v>0</v>
      </c>
      <c r="CA5" s="58">
        <f t="shared" si="15"/>
        <v>9536</v>
      </c>
      <c r="CB5" s="58">
        <f t="shared" si="15"/>
        <v>-2320</v>
      </c>
      <c r="CC5" s="58">
        <f t="shared" si="15"/>
        <v>-3.1000000000034333E-3</v>
      </c>
      <c r="CD5" s="58">
        <f t="shared" si="15"/>
        <v>1.0527999999993654E-2</v>
      </c>
      <c r="CE5" s="58">
        <f t="shared" si="15"/>
        <v>-2.7000000000043656E-3</v>
      </c>
      <c r="CF5" s="58">
        <f t="shared" si="15"/>
        <v>4.3974999999996101E-2</v>
      </c>
      <c r="CG5" s="58">
        <f t="shared" si="15"/>
        <v>1.428099999999688E-2</v>
      </c>
      <c r="CJ5" t="s">
        <v>233</v>
      </c>
    </row>
    <row r="6" spans="1:88" outlineLevel="1">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3.3955500000000001</v>
      </c>
      <c r="AH6" s="20">
        <f t="shared" si="7"/>
        <v>1.5208796508698719E-2</v>
      </c>
      <c r="AI6" s="20">
        <f t="shared" si="8"/>
        <v>7.5654642190231634E-3</v>
      </c>
      <c r="AJ6" s="20">
        <f t="shared" si="9"/>
        <v>4.8914115183882837E-3</v>
      </c>
      <c r="AK6" s="20">
        <f t="shared" si="10"/>
        <v>7.6427948051499134E-3</v>
      </c>
      <c r="AL6" s="17">
        <f t="shared" si="11"/>
        <v>1801688</v>
      </c>
      <c r="AM6" s="20">
        <v>16</v>
      </c>
      <c r="AN6" s="21">
        <v>24163836</v>
      </c>
      <c r="AO6" s="21">
        <v>755119.875</v>
      </c>
      <c r="AP6" s="21">
        <v>18737.5625</v>
      </c>
      <c r="AQ6" s="22">
        <v>3621920</v>
      </c>
      <c r="AR6" s="22">
        <v>1164872</v>
      </c>
      <c r="AS6" s="22">
        <v>636816</v>
      </c>
      <c r="AT6" s="22">
        <v>1820104</v>
      </c>
      <c r="AU6" s="23">
        <v>68.251756</v>
      </c>
      <c r="AV6" s="23">
        <v>70.448597000000007</v>
      </c>
      <c r="AW6" s="23">
        <v>34.350309000000003</v>
      </c>
      <c r="AX6" s="23">
        <v>45.497658999999999</v>
      </c>
      <c r="AY6" s="23">
        <v>45.231906000000002</v>
      </c>
      <c r="AZ6" s="24">
        <v>4193.9399999999996</v>
      </c>
      <c r="BA6" s="24">
        <v>1470.59</v>
      </c>
      <c r="BB6" s="24">
        <v>71.460999999999999</v>
      </c>
      <c r="BC6" s="24">
        <v>22.556000000000001</v>
      </c>
      <c r="BE6" s="49">
        <f t="shared" si="12"/>
        <v>1.0053254649179977</v>
      </c>
      <c r="BF6" s="25">
        <f t="shared" si="13"/>
        <v>-4.3200633203984568E-4</v>
      </c>
      <c r="BG6" s="25">
        <f t="shared" si="14"/>
        <v>1.8896722293769153E-3</v>
      </c>
      <c r="BH6" s="25"/>
      <c r="BJ6" s="49"/>
      <c r="BK6" s="49"/>
      <c r="BL6" s="49"/>
      <c r="BM6" s="49"/>
      <c r="BN6" s="49"/>
      <c r="BP6" s="49"/>
      <c r="BQ6" s="49"/>
      <c r="BR6" s="49"/>
      <c r="BS6" s="49"/>
      <c r="BT6" s="49"/>
      <c r="BV6" s="58">
        <f t="shared" ref="BV6:CG39" si="16">AN6-P6</f>
        <v>-28126</v>
      </c>
      <c r="BW6" s="58">
        <f t="shared" si="15"/>
        <v>-878.9375</v>
      </c>
      <c r="BX6" s="58">
        <f t="shared" si="15"/>
        <v>-348.40625</v>
      </c>
      <c r="BY6" s="58">
        <f t="shared" si="15"/>
        <v>5448</v>
      </c>
      <c r="BZ6" s="58">
        <f t="shared" si="15"/>
        <v>0</v>
      </c>
      <c r="CA6" s="58">
        <f t="shared" si="15"/>
        <v>9544</v>
      </c>
      <c r="CB6" s="58">
        <f t="shared" si="15"/>
        <v>-4096</v>
      </c>
      <c r="CC6" s="58">
        <f t="shared" si="15"/>
        <v>-4.2219999999986157E-3</v>
      </c>
      <c r="CD6" s="58">
        <f t="shared" si="15"/>
        <v>1.0138000000011971E-2</v>
      </c>
      <c r="CE6" s="58">
        <f t="shared" si="15"/>
        <v>-5.3190000000000737E-3</v>
      </c>
      <c r="CF6" s="58">
        <f t="shared" si="15"/>
        <v>4.0486999999998829E-2</v>
      </c>
      <c r="CG6" s="58">
        <f t="shared" si="15"/>
        <v>-2.3499999999998522E-2</v>
      </c>
      <c r="CJ6" t="s">
        <v>233</v>
      </c>
    </row>
    <row r="7" spans="1:88" outlineLevel="1">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5.565315</v>
      </c>
      <c r="AH7" s="11">
        <f t="shared" si="7"/>
        <v>2.4927255773529652E-2</v>
      </c>
      <c r="AI7" s="11">
        <f t="shared" si="8"/>
        <v>9.5127706554242932E-3</v>
      </c>
      <c r="AJ7" s="11">
        <f t="shared" si="9"/>
        <v>6.8387179547894136E-3</v>
      </c>
      <c r="AK7" s="11">
        <f t="shared" si="10"/>
        <v>1.5413947633579717E-2</v>
      </c>
      <c r="AL7" s="52">
        <f t="shared" si="11"/>
        <v>2265432</v>
      </c>
      <c r="AM7" s="11">
        <v>16</v>
      </c>
      <c r="AN7" s="12">
        <v>24780258</v>
      </c>
      <c r="AO7" s="12">
        <v>774383.0625</v>
      </c>
      <c r="AP7" s="12">
        <v>20588.8125</v>
      </c>
      <c r="AQ7" s="13">
        <v>5936336</v>
      </c>
      <c r="AR7" s="13">
        <v>1628616</v>
      </c>
      <c r="AS7" s="13">
        <v>636816</v>
      </c>
      <c r="AT7" s="13">
        <v>3670776</v>
      </c>
      <c r="AU7" s="14">
        <v>69.678756000000007</v>
      </c>
      <c r="AV7" s="14">
        <v>72.142109000000005</v>
      </c>
      <c r="AW7" s="14">
        <v>36.888697000000001</v>
      </c>
      <c r="AX7" s="14">
        <v>46.569280999999997</v>
      </c>
      <c r="AY7" s="14">
        <v>46.449362999999998</v>
      </c>
      <c r="AZ7" s="15">
        <v>3988.94</v>
      </c>
      <c r="BA7" s="15">
        <v>1176.27</v>
      </c>
      <c r="BB7" s="15">
        <v>67.691999999999993</v>
      </c>
      <c r="BC7" s="15">
        <v>16.670000000000002</v>
      </c>
      <c r="BE7" s="50">
        <f t="shared" si="12"/>
        <v>1.0042307064889746</v>
      </c>
      <c r="BF7" s="16">
        <f t="shared" si="13"/>
        <v>-4.4209830256786847E-4</v>
      </c>
      <c r="BG7" s="16">
        <f t="shared" si="14"/>
        <v>1.6609785818663125E-3</v>
      </c>
      <c r="BH7" s="16"/>
      <c r="BJ7" s="50"/>
      <c r="BK7" s="50"/>
      <c r="BL7" s="50"/>
      <c r="BM7" s="50"/>
      <c r="BN7" s="50"/>
      <c r="BP7" s="50"/>
      <c r="BQ7" s="50"/>
      <c r="BR7" s="50"/>
      <c r="BS7" s="50"/>
      <c r="BT7" s="50"/>
      <c r="BV7" s="58">
        <f t="shared" si="16"/>
        <v>-27958</v>
      </c>
      <c r="BW7" s="58">
        <f t="shared" si="15"/>
        <v>-873.6875</v>
      </c>
      <c r="BX7" s="58">
        <f t="shared" si="15"/>
        <v>-365.96875</v>
      </c>
      <c r="BY7" s="58">
        <f t="shared" si="15"/>
        <v>-832</v>
      </c>
      <c r="BZ7" s="58">
        <f t="shared" si="15"/>
        <v>0</v>
      </c>
      <c r="CA7" s="58">
        <f t="shared" si="15"/>
        <v>9544</v>
      </c>
      <c r="CB7" s="58">
        <f t="shared" si="15"/>
        <v>-10376</v>
      </c>
      <c r="CC7" s="58">
        <f t="shared" si="15"/>
        <v>-4.9689999999884549E-3</v>
      </c>
      <c r="CD7" s="58">
        <f t="shared" si="15"/>
        <v>1.2706000000008544E-2</v>
      </c>
      <c r="CE7" s="58">
        <f t="shared" si="15"/>
        <v>-8.3690000000018472E-3</v>
      </c>
      <c r="CF7" s="58">
        <f t="shared" si="15"/>
        <v>-2.0682000000000755E-2</v>
      </c>
      <c r="CG7" s="58">
        <f t="shared" si="15"/>
        <v>-3.6315000000001874E-2</v>
      </c>
      <c r="CJ7" t="s">
        <v>233</v>
      </c>
    </row>
    <row r="8" spans="1:88" outlineLevel="1">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9.42666</v>
      </c>
      <c r="AH8" s="20">
        <f t="shared" si="7"/>
        <v>4.2222365654073675E-2</v>
      </c>
      <c r="AI8" s="20">
        <f t="shared" si="8"/>
        <v>1.2774797834328718E-2</v>
      </c>
      <c r="AJ8" s="20">
        <f t="shared" si="9"/>
        <v>1.0100745133693839E-2</v>
      </c>
      <c r="AK8" s="20">
        <f t="shared" si="10"/>
        <v>2.9447030335219313E-2</v>
      </c>
      <c r="AL8" s="17">
        <f t="shared" si="11"/>
        <v>3042272</v>
      </c>
      <c r="AM8" s="20">
        <v>16</v>
      </c>
      <c r="AN8" s="21">
        <v>25768910</v>
      </c>
      <c r="AO8" s="21">
        <v>805278.4375</v>
      </c>
      <c r="AP8" s="21">
        <v>23796.34375</v>
      </c>
      <c r="AQ8" s="22">
        <v>10055104</v>
      </c>
      <c r="AR8" s="22">
        <v>2405456</v>
      </c>
      <c r="AS8" s="22">
        <v>636816</v>
      </c>
      <c r="AT8" s="22">
        <v>7012704</v>
      </c>
      <c r="AU8" s="23">
        <v>70.847631000000007</v>
      </c>
      <c r="AV8" s="23">
        <v>73.420930999999996</v>
      </c>
      <c r="AW8" s="23">
        <v>39.522199999999998</v>
      </c>
      <c r="AX8" s="23">
        <v>47.901769000000002</v>
      </c>
      <c r="AY8" s="23">
        <v>47.928894</v>
      </c>
      <c r="AZ8" s="24">
        <v>4100.07</v>
      </c>
      <c r="BA8" s="24">
        <v>1592.58</v>
      </c>
      <c r="BB8" s="24">
        <v>77.67</v>
      </c>
      <c r="BC8" s="24">
        <v>23.23</v>
      </c>
      <c r="BE8" s="49">
        <f t="shared" si="12"/>
        <v>1.003147001643405</v>
      </c>
      <c r="BF8" s="25">
        <f t="shared" si="13"/>
        <v>-4.6736610144582774E-4</v>
      </c>
      <c r="BG8" s="25">
        <f t="shared" si="14"/>
        <v>1.0645493465037403E-3</v>
      </c>
      <c r="BH8" s="25"/>
      <c r="BJ8" s="49"/>
      <c r="BK8" s="49"/>
      <c r="BL8" s="49"/>
      <c r="BM8" s="49"/>
      <c r="BN8" s="49"/>
      <c r="BP8" s="49"/>
      <c r="BQ8" s="49"/>
      <c r="BR8" s="49"/>
      <c r="BS8" s="49"/>
      <c r="BT8" s="49"/>
      <c r="BV8" s="58">
        <f t="shared" si="16"/>
        <v>-28899</v>
      </c>
      <c r="BW8" s="58">
        <f t="shared" si="15"/>
        <v>-903.09375</v>
      </c>
      <c r="BX8" s="58">
        <f t="shared" si="15"/>
        <v>-403.46875</v>
      </c>
      <c r="BY8" s="58">
        <f t="shared" si="15"/>
        <v>-3848</v>
      </c>
      <c r="BZ8" s="58">
        <f t="shared" si="15"/>
        <v>0</v>
      </c>
      <c r="CA8" s="58">
        <f t="shared" si="15"/>
        <v>9544</v>
      </c>
      <c r="CB8" s="58">
        <f t="shared" si="15"/>
        <v>-13392</v>
      </c>
      <c r="CC8" s="58">
        <f t="shared" si="15"/>
        <v>1.0790000000000077E-2</v>
      </c>
      <c r="CD8" s="58">
        <f t="shared" si="15"/>
        <v>1.3949999999994134E-2</v>
      </c>
      <c r="CE8" s="58">
        <f t="shared" si="15"/>
        <v>-3.0160000000023501E-3</v>
      </c>
      <c r="CF8" s="58">
        <f t="shared" si="15"/>
        <v>-3.6559999999994375E-3</v>
      </c>
      <c r="CG8" s="58">
        <f t="shared" si="15"/>
        <v>-1.323099999999755E-2</v>
      </c>
      <c r="CJ8" t="s">
        <v>233</v>
      </c>
    </row>
    <row r="9" spans="1:88" ht="16" outlineLevel="1" thickBot="1">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16.8078</v>
      </c>
      <c r="AH9" s="29">
        <f t="shared" si="7"/>
        <v>7.5282770084053041E-2</v>
      </c>
      <c r="AI9" s="29">
        <f t="shared" si="8"/>
        <v>2.0639909676397322E-2</v>
      </c>
      <c r="AJ9" s="29">
        <f t="shared" si="9"/>
        <v>1.5547781280464586E-2</v>
      </c>
      <c r="AK9" s="29">
        <f t="shared" si="10"/>
        <v>5.4642322923130086E-2</v>
      </c>
      <c r="AL9" s="26">
        <f t="shared" si="11"/>
        <v>4915320</v>
      </c>
      <c r="AM9" s="29">
        <v>16</v>
      </c>
      <c r="AN9" s="30">
        <v>24868389</v>
      </c>
      <c r="AO9" s="30">
        <v>777137.15625</v>
      </c>
      <c r="AP9" s="30">
        <v>10635.96875</v>
      </c>
      <c r="AQ9" s="31">
        <v>17928320</v>
      </c>
      <c r="AR9" s="31">
        <v>3702648</v>
      </c>
      <c r="AS9" s="31">
        <v>1212672</v>
      </c>
      <c r="AT9" s="31">
        <v>13012872</v>
      </c>
      <c r="AU9" s="32">
        <v>71.945244000000002</v>
      </c>
      <c r="AV9" s="32">
        <v>75.319241000000005</v>
      </c>
      <c r="AW9" s="32">
        <v>42.127887000000001</v>
      </c>
      <c r="AX9" s="32">
        <v>49.411659</v>
      </c>
      <c r="AY9" s="32">
        <v>49.554577999999999</v>
      </c>
      <c r="AZ9" s="33">
        <v>3489.53</v>
      </c>
      <c r="BA9" s="33">
        <v>1344.1</v>
      </c>
      <c r="BB9" s="33">
        <v>65.596999999999994</v>
      </c>
      <c r="BC9" s="33">
        <v>17.832999999999998</v>
      </c>
      <c r="BE9" s="34">
        <f t="shared" si="12"/>
        <v>0.99999837243821765</v>
      </c>
      <c r="BF9" s="35">
        <f t="shared" si="13"/>
        <v>0</v>
      </c>
      <c r="BG9" s="35">
        <f t="shared" si="14"/>
        <v>-3.2388290988061286E-7</v>
      </c>
      <c r="BH9" s="35"/>
      <c r="BJ9" s="34"/>
      <c r="BK9" s="34"/>
      <c r="BL9" s="34"/>
      <c r="BM9" s="34"/>
      <c r="BN9" s="34"/>
      <c r="BP9" s="34"/>
      <c r="BQ9" s="34"/>
      <c r="BR9" s="34"/>
      <c r="BS9" s="34"/>
      <c r="BT9" s="34"/>
      <c r="BV9" s="58">
        <f t="shared" si="16"/>
        <v>0</v>
      </c>
      <c r="BW9" s="58">
        <f t="shared" si="15"/>
        <v>0</v>
      </c>
      <c r="BX9" s="58">
        <f t="shared" si="15"/>
        <v>0</v>
      </c>
      <c r="BY9" s="58">
        <f t="shared" si="15"/>
        <v>-8</v>
      </c>
      <c r="BZ9" s="58">
        <f t="shared" si="15"/>
        <v>0</v>
      </c>
      <c r="CA9" s="58">
        <f t="shared" si="15"/>
        <v>-8</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3.1975275000000001</v>
      </c>
      <c r="AH10" s="20">
        <f t="shared" si="7"/>
        <v>1.5636698052544556E-2</v>
      </c>
      <c r="AI10" s="20">
        <f t="shared" si="8"/>
        <v>8.13998665934609E-3</v>
      </c>
      <c r="AJ10" s="20">
        <f t="shared" si="9"/>
        <v>4.2806284772576161E-3</v>
      </c>
      <c r="AK10" s="20">
        <f t="shared" si="10"/>
        <v>7.4961245636039429E-3</v>
      </c>
      <c r="AL10" s="17">
        <f t="shared" si="11"/>
        <v>1775504</v>
      </c>
      <c r="AM10" s="20">
        <v>16</v>
      </c>
      <c r="AN10" s="21">
        <v>20603817</v>
      </c>
      <c r="AO10" s="21">
        <v>643869.28125</v>
      </c>
      <c r="AP10" s="21">
        <v>17648.375</v>
      </c>
      <c r="AQ10" s="22">
        <v>3410696</v>
      </c>
      <c r="AR10" s="22">
        <v>933696</v>
      </c>
      <c r="AS10" s="22">
        <v>841808</v>
      </c>
      <c r="AT10" s="22">
        <v>1635064</v>
      </c>
      <c r="AU10" s="23">
        <v>65.892347000000001</v>
      </c>
      <c r="AV10" s="23">
        <v>67.854377999999997</v>
      </c>
      <c r="AW10" s="23">
        <v>32.372072000000003</v>
      </c>
      <c r="AX10" s="23">
        <v>39.164178</v>
      </c>
      <c r="AY10" s="23">
        <v>32.081263</v>
      </c>
      <c r="AZ10" s="24">
        <v>3939.43</v>
      </c>
      <c r="BA10" s="24">
        <v>1384.95</v>
      </c>
      <c r="BB10" s="24">
        <v>59.813000000000002</v>
      </c>
      <c r="BC10" s="24">
        <v>22.091000000000001</v>
      </c>
      <c r="BE10" s="49">
        <f t="shared" si="12"/>
        <v>1.0131102042306883</v>
      </c>
      <c r="BF10" s="25">
        <f t="shared" si="13"/>
        <v>-7.137938550786406E-4</v>
      </c>
      <c r="BG10" s="25">
        <f t="shared" si="14"/>
        <v>4.0772905015010741E-3</v>
      </c>
      <c r="BH10" s="25">
        <f t="array" ref="BH10">AVERAGE(AL10:AL14/AQ10:AQ14) - AVERAGE(N10:N14/S10:S14)</f>
        <v>2.3403867962014657E-3</v>
      </c>
      <c r="BJ10" s="49">
        <f>IF( OR(ISBLANK(N10:N14),ISBLANK(AL10:AL14), ISBLANK(W10:W14),ISBLANK(AU10:AU14)), "·", bdRateExtend( N10:N14,W10:W14, AL10:AL14,AU10:AU14))</f>
        <v>6.8335359849636124E-3</v>
      </c>
      <c r="BK10" s="49">
        <f>IF( OR(ISBLANK(N10:N14),ISBLANK(AL10:AL14), ISBLANK(X10:X14),ISBLANK(AV10:AV14)), "·", bdRateExtend( N10:N14,X10:X14, AL10:AL14,AV10:AV14))</f>
        <v>8.6672095375739389E-4</v>
      </c>
      <c r="BL10" s="49">
        <f>IF( OR(ISBLANK(V10:V14),ISBLANK(AT10:AT14), ISBLANK(Y10:Y14),ISBLANK(AW10:AW14)), "·", bdRateExtend( V10:V14,Y10:Y14, AT10:AT14,AW10:AW14))</f>
        <v>-3.1028882234351851E-4</v>
      </c>
      <c r="BM10" s="49">
        <f>IF( OR(ISBLANK(V10:V14),ISBLANK(AT10:AT14), ISBLANK(Z10:Z14),ISBLANK(AX10:AX14)), "·", bdRateExtend( V10:V14,Z10:Z14, AT10:AT14,AX10:AX14))</f>
        <v>-1.2964816979581517E-3</v>
      </c>
      <c r="BN10" s="49">
        <f>IF( OR(ISBLANK(V10:V14),ISBLANK(AT10:AT14), ISBLANK(AA10:AA14),ISBLANK(AY10:AY14)), "·", bdRateExtend( V10:V14,AA10:AA14, AT10:AT14,AY10:AY14))</f>
        <v>-9.7455454389405727E-4</v>
      </c>
      <c r="BP10" s="49">
        <f>IF( OR(ISBLANK(S10:S14),ISBLANK(AQ10:AQ14), ISBLANK(W10:W14),ISBLANK(AU10:AU14)), "·", bdRateExtend( S10:S14,W10:W14, AQ10:AQ14,AU10:AU14))</f>
        <v>-1.756206885198397E-4</v>
      </c>
      <c r="BQ10" s="49">
        <f>IF( OR(ISBLANK(S10:S14),ISBLANK(AQ10:AQ14), ISBLANK(X10:X14),ISBLANK(AV10:AV14)), "·", bdRateExtend( S10:S14,X10:X14, AQ10:AQ14,AV10:AV14))</f>
        <v>-9.3328509443152408E-3</v>
      </c>
      <c r="BR10" s="49">
        <f>IF( OR(ISBLANK(S10:S14),ISBLANK(AQ10:AQ14), ISBLANK(Y10:Y14),ISBLANK(AW10:AW14)), "·", bdRateExtend( S10:S14,Y10:Y14, AQ10:AQ14,AW10:AW14))</f>
        <v>3.1778005026159573E-3</v>
      </c>
      <c r="BS10" s="49">
        <f>IF( OR(ISBLANK(S10:S14),ISBLANK(AQ10:AQ14), ISBLANK(Z10:Z14),ISBLANK(AX10:AX14)), "·", bdRateExtend( S10:S14,Z10:Z14, AQ10:AQ14,AX10:AX14))</f>
        <v>2.1393962904421304E-3</v>
      </c>
      <c r="BT10" s="49">
        <f>IF( OR(ISBLANK(S10:S14),ISBLANK(AQ10:AQ14), ISBLANK(AA10:AA14),ISBLANK(AY10:AY14)), "·", bdRateExtend( S10:S14,AA10:AA14, AQ10:AQ14,AY10:AY14))</f>
        <v>2.7788361678366957E-3</v>
      </c>
      <c r="BV10" s="58">
        <f t="shared" si="16"/>
        <v>-63154</v>
      </c>
      <c r="BW10" s="58">
        <f t="shared" si="15"/>
        <v>-1973.5625</v>
      </c>
      <c r="BX10" s="58">
        <f t="shared" si="15"/>
        <v>-515.09375</v>
      </c>
      <c r="BY10" s="58">
        <f t="shared" si="15"/>
        <v>17560</v>
      </c>
      <c r="BZ10" s="58">
        <f t="shared" si="15"/>
        <v>0</v>
      </c>
      <c r="CA10" s="58">
        <f t="shared" si="15"/>
        <v>22976</v>
      </c>
      <c r="CB10" s="58">
        <f t="shared" si="15"/>
        <v>-5416</v>
      </c>
      <c r="CC10" s="58">
        <f t="shared" si="15"/>
        <v>-1.2064999999992665E-2</v>
      </c>
      <c r="CD10" s="58">
        <f t="shared" si="15"/>
        <v>3.161899999999207E-2</v>
      </c>
      <c r="CE10" s="58">
        <f t="shared" si="15"/>
        <v>-1.4793999999994867E-2</v>
      </c>
      <c r="CF10" s="58">
        <f t="shared" si="15"/>
        <v>-1.1600000000001387E-2</v>
      </c>
      <c r="CG10" s="58">
        <f t="shared" si="15"/>
        <v>-5.3679999999971528E-3</v>
      </c>
      <c r="CJ10" t="s">
        <v>238</v>
      </c>
    </row>
    <row r="11" spans="1:88" outlineLevel="1">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4.6147650000000002</v>
      </c>
      <c r="AH11" s="11">
        <f t="shared" si="7"/>
        <v>2.2567338948125005E-2</v>
      </c>
      <c r="AI11" s="11">
        <f t="shared" si="8"/>
        <v>9.889912510217598E-3</v>
      </c>
      <c r="AJ11" s="11">
        <f t="shared" si="9"/>
        <v>6.0305543281291233E-3</v>
      </c>
      <c r="AK11" s="11">
        <f t="shared" si="10"/>
        <v>1.2676839608312885E-2</v>
      </c>
      <c r="AL11" s="52">
        <f t="shared" si="11"/>
        <v>2157200</v>
      </c>
      <c r="AM11" s="11">
        <v>16</v>
      </c>
      <c r="AN11" s="12">
        <v>22030518</v>
      </c>
      <c r="AO11" s="12">
        <v>688453.6875</v>
      </c>
      <c r="AP11" s="12">
        <v>22319.09375</v>
      </c>
      <c r="AQ11" s="13">
        <v>4922416</v>
      </c>
      <c r="AR11" s="13">
        <v>1315392</v>
      </c>
      <c r="AS11" s="13">
        <v>841808</v>
      </c>
      <c r="AT11" s="13">
        <v>2765088</v>
      </c>
      <c r="AU11" s="14">
        <v>67.597624999999994</v>
      </c>
      <c r="AV11" s="14">
        <v>69.734994</v>
      </c>
      <c r="AW11" s="14">
        <v>34.240949999999998</v>
      </c>
      <c r="AX11" s="14">
        <v>40.022441000000001</v>
      </c>
      <c r="AY11" s="14">
        <v>33.856281000000003</v>
      </c>
      <c r="AZ11" s="15">
        <v>4107.91</v>
      </c>
      <c r="BA11" s="15">
        <v>1496.36</v>
      </c>
      <c r="BB11" s="15">
        <v>65.209000000000003</v>
      </c>
      <c r="BC11" s="15">
        <v>22.640999999999998</v>
      </c>
      <c r="BE11" s="50">
        <f t="shared" si="12"/>
        <v>1.010765505401495</v>
      </c>
      <c r="BF11" s="16">
        <f t="shared" si="13"/>
        <v>-8.2566265764010688E-4</v>
      </c>
      <c r="BG11" s="16">
        <f t="shared" si="14"/>
        <v>2.9691345893729792E-3</v>
      </c>
      <c r="BH11" s="16"/>
      <c r="BJ11" s="50"/>
      <c r="BK11" s="50"/>
      <c r="BL11" s="50"/>
      <c r="BM11" s="50"/>
      <c r="BN11" s="50"/>
      <c r="BP11" s="50"/>
      <c r="BQ11" s="50"/>
      <c r="BR11" s="50"/>
      <c r="BS11" s="50"/>
      <c r="BT11" s="50"/>
      <c r="BV11" s="58">
        <f t="shared" si="16"/>
        <v>-67145</v>
      </c>
      <c r="BW11" s="58">
        <f t="shared" si="15"/>
        <v>-2098.28125</v>
      </c>
      <c r="BX11" s="58">
        <f t="shared" si="15"/>
        <v>-638.1875</v>
      </c>
      <c r="BY11" s="58">
        <f t="shared" si="15"/>
        <v>19208</v>
      </c>
      <c r="BZ11" s="58">
        <f t="shared" si="15"/>
        <v>0</v>
      </c>
      <c r="CA11" s="58">
        <f t="shared" si="15"/>
        <v>22976</v>
      </c>
      <c r="CB11" s="58">
        <f t="shared" si="15"/>
        <v>-3768</v>
      </c>
      <c r="CC11" s="58">
        <f t="shared" si="15"/>
        <v>-1.0294000000001802E-2</v>
      </c>
      <c r="CD11" s="58">
        <f t="shared" si="15"/>
        <v>3.5049999999998249E-2</v>
      </c>
      <c r="CE11" s="58">
        <f t="shared" si="15"/>
        <v>-7.0090000000035957E-3</v>
      </c>
      <c r="CF11" s="58">
        <f t="shared" si="15"/>
        <v>-4.7500000000013642E-3</v>
      </c>
      <c r="CG11" s="58">
        <f t="shared" si="15"/>
        <v>-5.1969999999954553E-3</v>
      </c>
      <c r="CJ11" t="s">
        <v>238</v>
      </c>
    </row>
    <row r="12" spans="1:88" outlineLevel="1">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7.1199599999999998</v>
      </c>
      <c r="AH12" s="20">
        <f t="shared" si="7"/>
        <v>3.4818360331911186E-2</v>
      </c>
      <c r="AI12" s="20">
        <f t="shared" si="8"/>
        <v>1.257348424597729E-2</v>
      </c>
      <c r="AJ12" s="20">
        <f t="shared" si="9"/>
        <v>8.714126063888817E-3</v>
      </c>
      <c r="AK12" s="20">
        <f t="shared" si="10"/>
        <v>2.224428925633937E-2</v>
      </c>
      <c r="AL12" s="17">
        <f t="shared" si="11"/>
        <v>2742544</v>
      </c>
      <c r="AM12" s="20">
        <v>16</v>
      </c>
      <c r="AN12" s="21">
        <v>22444153</v>
      </c>
      <c r="AO12" s="21">
        <v>701379.78125</v>
      </c>
      <c r="AP12" s="21">
        <v>24011.34375</v>
      </c>
      <c r="AQ12" s="22">
        <v>7594624</v>
      </c>
      <c r="AR12" s="22">
        <v>1900736</v>
      </c>
      <c r="AS12" s="22">
        <v>841808</v>
      </c>
      <c r="AT12" s="22">
        <v>4851952</v>
      </c>
      <c r="AU12" s="23">
        <v>68.945055999999994</v>
      </c>
      <c r="AV12" s="23">
        <v>71.373661999999996</v>
      </c>
      <c r="AW12" s="23">
        <v>36.338743999999998</v>
      </c>
      <c r="AX12" s="23">
        <v>40.931896999999999</v>
      </c>
      <c r="AY12" s="23">
        <v>35.632565999999997</v>
      </c>
      <c r="AZ12" s="24">
        <v>3881.53</v>
      </c>
      <c r="BA12" s="24">
        <v>1493.94</v>
      </c>
      <c r="BB12" s="24">
        <v>64.882999999999996</v>
      </c>
      <c r="BC12" s="24">
        <v>22.994</v>
      </c>
      <c r="BE12" s="49">
        <f t="shared" si="12"/>
        <v>1.008448400628335</v>
      </c>
      <c r="BF12" s="25">
        <f t="shared" si="13"/>
        <v>-8.9129491270585615E-4</v>
      </c>
      <c r="BG12" s="25">
        <f t="shared" si="14"/>
        <v>2.8498116480545899E-3</v>
      </c>
      <c r="BH12" s="25"/>
      <c r="BJ12" s="49"/>
      <c r="BK12" s="49"/>
      <c r="BL12" s="49"/>
      <c r="BM12" s="49"/>
      <c r="BN12" s="49"/>
      <c r="BP12" s="49"/>
      <c r="BQ12" s="49"/>
      <c r="BR12" s="49"/>
      <c r="BS12" s="49"/>
      <c r="BT12" s="49"/>
      <c r="BV12" s="58">
        <f t="shared" si="16"/>
        <v>-66693</v>
      </c>
      <c r="BW12" s="58">
        <f t="shared" si="15"/>
        <v>-2084.15625</v>
      </c>
      <c r="BX12" s="58">
        <f t="shared" si="15"/>
        <v>-698.34375</v>
      </c>
      <c r="BY12" s="58">
        <f t="shared" si="15"/>
        <v>3720</v>
      </c>
      <c r="BZ12" s="58">
        <f t="shared" si="15"/>
        <v>0</v>
      </c>
      <c r="CA12" s="58">
        <f t="shared" si="15"/>
        <v>22976</v>
      </c>
      <c r="CB12" s="58">
        <f t="shared" si="15"/>
        <v>-19256</v>
      </c>
      <c r="CC12" s="58">
        <f t="shared" si="15"/>
        <v>-1.1007000000006428E-2</v>
      </c>
      <c r="CD12" s="58">
        <f t="shared" si="15"/>
        <v>4.1696000000001732E-2</v>
      </c>
      <c r="CE12" s="58">
        <f t="shared" si="15"/>
        <v>-1.313999999999993E-2</v>
      </c>
      <c r="CF12" s="58">
        <f t="shared" si="15"/>
        <v>3.2999999999958618E-3</v>
      </c>
      <c r="CG12" s="58">
        <f t="shared" si="15"/>
        <v>-8.903000000003658E-3</v>
      </c>
      <c r="CJ12" t="s">
        <v>238</v>
      </c>
    </row>
    <row r="13" spans="1:88" outlineLevel="1">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11.9988375</v>
      </c>
      <c r="AH13" s="11">
        <f t="shared" si="7"/>
        <v>5.8677274540734549E-2</v>
      </c>
      <c r="AI13" s="11">
        <f t="shared" si="8"/>
        <v>1.7254917336295014E-2</v>
      </c>
      <c r="AJ13" s="11">
        <f t="shared" si="9"/>
        <v>1.3395559154206539E-2</v>
      </c>
      <c r="AK13" s="11">
        <f t="shared" si="10"/>
        <v>4.1421770374845013E-2</v>
      </c>
      <c r="AL13" s="52">
        <f t="shared" si="11"/>
        <v>3763664</v>
      </c>
      <c r="AM13" s="11">
        <v>16</v>
      </c>
      <c r="AN13" s="12">
        <v>23222951</v>
      </c>
      <c r="AO13" s="12">
        <v>725717.21875</v>
      </c>
      <c r="AP13" s="12">
        <v>27305.5</v>
      </c>
      <c r="AQ13" s="13">
        <v>12798760</v>
      </c>
      <c r="AR13" s="13">
        <v>2921856</v>
      </c>
      <c r="AS13" s="13">
        <v>841808</v>
      </c>
      <c r="AT13" s="13">
        <v>9034968</v>
      </c>
      <c r="AU13" s="14">
        <v>70.109750000000005</v>
      </c>
      <c r="AV13" s="14">
        <v>72.643253000000001</v>
      </c>
      <c r="AW13" s="14">
        <v>38.661306000000003</v>
      </c>
      <c r="AX13" s="14">
        <v>42.106019000000003</v>
      </c>
      <c r="AY13" s="14">
        <v>37.687244</v>
      </c>
      <c r="AZ13" s="15">
        <v>3359.66</v>
      </c>
      <c r="BA13" s="15">
        <v>1252.83</v>
      </c>
      <c r="BB13" s="15">
        <v>60.103999999999999</v>
      </c>
      <c r="BC13" s="15">
        <v>17.696000000000002</v>
      </c>
      <c r="BE13" s="50">
        <f t="shared" si="12"/>
        <v>1.0061421856086368</v>
      </c>
      <c r="BF13" s="16">
        <f t="shared" si="13"/>
        <v>-9.2826107003274316E-4</v>
      </c>
      <c r="BG13" s="16">
        <f t="shared" si="14"/>
        <v>1.8059519943157687E-3</v>
      </c>
      <c r="BH13" s="16"/>
      <c r="BJ13" s="50"/>
      <c r="BK13" s="50"/>
      <c r="BL13" s="50"/>
      <c r="BM13" s="50"/>
      <c r="BN13" s="50"/>
      <c r="BP13" s="50"/>
      <c r="BQ13" s="50"/>
      <c r="BR13" s="50"/>
      <c r="BS13" s="50"/>
      <c r="BT13" s="50"/>
      <c r="BV13" s="58">
        <f t="shared" si="16"/>
        <v>-68788</v>
      </c>
      <c r="BW13" s="58">
        <f t="shared" si="15"/>
        <v>-2149.625</v>
      </c>
      <c r="BX13" s="58">
        <f t="shared" si="15"/>
        <v>-756.53125</v>
      </c>
      <c r="BY13" s="58">
        <f t="shared" si="15"/>
        <v>-472</v>
      </c>
      <c r="BZ13" s="58">
        <f t="shared" si="15"/>
        <v>0</v>
      </c>
      <c r="CA13" s="58">
        <f t="shared" si="15"/>
        <v>22976</v>
      </c>
      <c r="CB13" s="58">
        <f t="shared" si="15"/>
        <v>-23448</v>
      </c>
      <c r="CC13" s="58">
        <f t="shared" si="15"/>
        <v>3.7475000000000591E-2</v>
      </c>
      <c r="CD13" s="58">
        <f t="shared" si="15"/>
        <v>5.3047000000006506E-2</v>
      </c>
      <c r="CE13" s="58">
        <f t="shared" si="15"/>
        <v>-4.6599999999941133E-3</v>
      </c>
      <c r="CF13" s="58">
        <f t="shared" si="15"/>
        <v>-1.4839999999978204E-3</v>
      </c>
      <c r="CG13" s="58">
        <f t="shared" si="15"/>
        <v>-2.0310000000023365E-3</v>
      </c>
      <c r="CJ13" t="s">
        <v>238</v>
      </c>
    </row>
    <row r="14" spans="1:88" ht="16" outlineLevel="1" thickBot="1">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21.556605000000001</v>
      </c>
      <c r="AH14" s="39">
        <f t="shared" si="7"/>
        <v>0.10541711476225686</v>
      </c>
      <c r="AI14" s="39">
        <f t="shared" si="8"/>
        <v>2.8229364290892862E-2</v>
      </c>
      <c r="AJ14" s="39">
        <f t="shared" si="9"/>
        <v>2.1154363315059429E-2</v>
      </c>
      <c r="AK14" s="39">
        <f t="shared" si="10"/>
        <v>7.7187163641769474E-2</v>
      </c>
      <c r="AL14" s="36">
        <f t="shared" si="11"/>
        <v>6157424</v>
      </c>
      <c r="AM14" s="39">
        <v>16</v>
      </c>
      <c r="AN14" s="40">
        <v>22124056</v>
      </c>
      <c r="AO14" s="40">
        <v>691376.75</v>
      </c>
      <c r="AP14" s="40">
        <v>13278.71875</v>
      </c>
      <c r="AQ14" s="41">
        <v>22993712</v>
      </c>
      <c r="AR14" s="41">
        <v>4614216</v>
      </c>
      <c r="AS14" s="41">
        <v>1543208</v>
      </c>
      <c r="AT14" s="41">
        <v>16836160</v>
      </c>
      <c r="AU14" s="42">
        <v>70.923046999999997</v>
      </c>
      <c r="AV14" s="42">
        <v>74.675602999999995</v>
      </c>
      <c r="AW14" s="42">
        <v>40.962909000000003</v>
      </c>
      <c r="AX14" s="42">
        <v>43.423147</v>
      </c>
      <c r="AY14" s="42">
        <v>39.504384000000002</v>
      </c>
      <c r="AZ14" s="43">
        <v>4211.3</v>
      </c>
      <c r="BA14" s="43">
        <v>1839.38</v>
      </c>
      <c r="BB14" s="43">
        <v>63.098999999999997</v>
      </c>
      <c r="BC14" s="43">
        <v>28.468</v>
      </c>
      <c r="BE14" s="44">
        <f t="shared" si="12"/>
        <v>0.99999870075706887</v>
      </c>
      <c r="BF14" s="45">
        <f t="shared" si="13"/>
        <v>0</v>
      </c>
      <c r="BG14" s="45">
        <f t="shared" si="14"/>
        <v>-2.5475223747184472E-7</v>
      </c>
      <c r="BH14" s="45"/>
      <c r="BJ14" s="44"/>
      <c r="BK14" s="44"/>
      <c r="BL14" s="44"/>
      <c r="BM14" s="44"/>
      <c r="BN14" s="44"/>
      <c r="BP14" s="44"/>
      <c r="BQ14" s="44"/>
      <c r="BR14" s="44"/>
      <c r="BS14" s="44"/>
      <c r="BT14" s="44"/>
      <c r="BV14" s="58">
        <f t="shared" si="16"/>
        <v>0</v>
      </c>
      <c r="BW14" s="58">
        <f t="shared" si="15"/>
        <v>0</v>
      </c>
      <c r="BX14" s="58">
        <f t="shared" si="15"/>
        <v>0</v>
      </c>
      <c r="BY14" s="58">
        <f t="shared" si="15"/>
        <v>-8</v>
      </c>
      <c r="BZ14" s="58">
        <f t="shared" si="15"/>
        <v>0</v>
      </c>
      <c r="CA14" s="58">
        <f t="shared" si="15"/>
        <v>-8</v>
      </c>
      <c r="CB14" s="58">
        <f t="shared" si="15"/>
        <v>0</v>
      </c>
      <c r="CC14" s="58">
        <f t="shared" si="15"/>
        <v>0</v>
      </c>
      <c r="CD14" s="58">
        <f t="shared" si="15"/>
        <v>0</v>
      </c>
      <c r="CE14" s="58">
        <f t="shared" si="15"/>
        <v>0</v>
      </c>
      <c r="CF14" s="58">
        <f t="shared" si="15"/>
        <v>0</v>
      </c>
      <c r="CG14" s="58">
        <f t="shared" si="15"/>
        <v>0</v>
      </c>
      <c r="CJ14" t="s">
        <v>238</v>
      </c>
    </row>
    <row r="15" spans="1:88">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4.4089574999999996</v>
      </c>
      <c r="AH15" s="11">
        <f t="shared" si="7"/>
        <v>1.4578543399512837E-2</v>
      </c>
      <c r="AI15" s="11">
        <f t="shared" si="8"/>
        <v>8.2713365210192822E-3</v>
      </c>
      <c r="AJ15" s="11">
        <f t="shared" si="9"/>
        <v>4.3923534521734149E-3</v>
      </c>
      <c r="AK15" s="11">
        <f t="shared" si="10"/>
        <v>6.3068100896363386E-3</v>
      </c>
      <c r="AL15" s="52">
        <f t="shared" si="11"/>
        <v>2668248</v>
      </c>
      <c r="AM15" s="11">
        <v>16</v>
      </c>
      <c r="AN15" s="12">
        <v>30990640</v>
      </c>
      <c r="AO15" s="12">
        <v>968457.5</v>
      </c>
      <c r="AP15" s="12">
        <v>27013.75</v>
      </c>
      <c r="AQ15" s="13">
        <v>4702888</v>
      </c>
      <c r="AR15" s="13">
        <v>1416928</v>
      </c>
      <c r="AS15" s="13">
        <v>1251320</v>
      </c>
      <c r="AT15" s="13">
        <v>2034512</v>
      </c>
      <c r="AU15" s="14">
        <v>65.914488000000006</v>
      </c>
      <c r="AV15" s="14">
        <v>67.690391000000005</v>
      </c>
      <c r="AW15" s="14">
        <v>29.409375000000001</v>
      </c>
      <c r="AX15" s="14">
        <v>43.137599999999999</v>
      </c>
      <c r="AY15" s="14">
        <v>43.296866000000001</v>
      </c>
      <c r="AZ15" s="15">
        <v>5174.6899999999996</v>
      </c>
      <c r="BA15" s="15">
        <v>1140.8800000000001</v>
      </c>
      <c r="BB15" s="15">
        <v>88.144999999999996</v>
      </c>
      <c r="BC15" s="15">
        <v>17.388999999999999</v>
      </c>
      <c r="BE15" s="50">
        <f t="shared" si="12"/>
        <v>1.0125778716893148</v>
      </c>
      <c r="BF15" s="16">
        <f t="shared" si="13"/>
        <v>-8.7148528369741449E-4</v>
      </c>
      <c r="BG15" s="16">
        <f t="shared" si="14"/>
        <v>3.6269645655016003E-3</v>
      </c>
      <c r="BH15" s="16">
        <f t="array" ref="BH15">AVERAGE(AL15:AL19/AQ15:AQ19) - AVERAGE(N15:N19/S15:S19)</f>
        <v>2.1420043755746576E-3</v>
      </c>
      <c r="BJ15" s="50">
        <f>IF( OR(ISBLANK(N15:N19),ISBLANK(AL15:AL19), ISBLANK(W15:W19),ISBLANK(AU15:AU19)), "·", bdRateExtend( N15:N19,W15:W19, AL15:AL19,AU15:AU19))</f>
        <v>6.8003709065758144E-3</v>
      </c>
      <c r="BK15" s="50">
        <f>IF( OR(ISBLANK(N15:N19),ISBLANK(AL15:AL19), ISBLANK(X15:X19),ISBLANK(AV15:AV19)), "·", bdRateExtend( N15:N19,X15:X19, AL15:AL19,AV15:AV19))</f>
        <v>1.1781285998784252E-3</v>
      </c>
      <c r="BL15" s="50">
        <f>IF( OR(ISBLANK(V15:V19),ISBLANK(AT15:AT19), ISBLANK(Y15:Y19),ISBLANK(AW15:AW19)), "·", bdRateExtend( V15:V19,Y15:Y19, AT15:AT19,AW15:AW19))</f>
        <v>-5.4961069305436983E-4</v>
      </c>
      <c r="BM15" s="50">
        <f>IF( OR(ISBLANK(V15:V19),ISBLANK(AT15:AT19), ISBLANK(Z15:Z19),ISBLANK(AX15:AX19)), "·", bdRateExtend( V15:V19,Z15:Z19, AT15:AT19,AX15:AX19))</f>
        <v>-1.3820491853901995E-3</v>
      </c>
      <c r="BN15" s="50">
        <f>IF( OR(ISBLANK(V15:V19),ISBLANK(AT15:AT19), ISBLANK(AA15:AA19),ISBLANK(AY15:AY19)), "·", bdRateExtend( V15:V19,AA15:AA19, AT15:AT19,AY15:AY19))</f>
        <v>-4.7569164381203732E-3</v>
      </c>
      <c r="BP15" s="50">
        <f>IF( OR(ISBLANK(S15:S19),ISBLANK(AQ15:AQ19), ISBLANK(W15:W19),ISBLANK(AU15:AU19)), "·", bdRateExtend( S15:S19,W15:W19, AQ15:AQ19,AU15:AU19))</f>
        <v>1.9722852960812887E-5</v>
      </c>
      <c r="BQ15" s="50">
        <f>IF( OR(ISBLANK(S15:S19),ISBLANK(AQ15:AQ19), ISBLANK(X15:X19),ISBLANK(AV15:AV19)), "·", bdRateExtend( S15:S19,X15:X19, AQ15:AQ19,AV15:AV19))</f>
        <v>-9.9485675549514374E-3</v>
      </c>
      <c r="BR15" s="50">
        <f>IF( OR(ISBLANK(S15:S19),ISBLANK(AQ15:AQ19), ISBLANK(Y15:Y19),ISBLANK(AW15:AW19)), "·", bdRateExtend( S15:S19,Y15:Y19, AQ15:AQ19,AW15:AW19))</f>
        <v>2.8740632201482708E-3</v>
      </c>
      <c r="BS15" s="50">
        <f>IF( OR(ISBLANK(S15:S19),ISBLANK(AQ15:AQ19), ISBLANK(Z15:Z19),ISBLANK(AX15:AX19)), "·", bdRateExtend( S15:S19,Z15:Z19, AQ15:AQ19,AX15:AX19))</f>
        <v>1.5916921848622145E-3</v>
      </c>
      <c r="BT15" s="50">
        <f>IF( OR(ISBLANK(S15:S19),ISBLANK(AQ15:AQ19), ISBLANK(AA15:AA19),ISBLANK(AY15:AY19)), "·", bdRateExtend( S15:S19,AA15:AA19, AQ15:AQ19,AY15:AY19))</f>
        <v>-4.1036420183804267E-4</v>
      </c>
      <c r="BV15" s="58">
        <f t="shared" si="16"/>
        <v>-96197</v>
      </c>
      <c r="BW15" s="58">
        <f t="shared" si="15"/>
        <v>-3006.15625</v>
      </c>
      <c r="BX15" s="58">
        <f t="shared" si="15"/>
        <v>-930.46875</v>
      </c>
      <c r="BY15" s="58">
        <f t="shared" si="15"/>
        <v>28536</v>
      </c>
      <c r="BZ15" s="58">
        <f t="shared" si="15"/>
        <v>0</v>
      </c>
      <c r="CA15" s="58">
        <f t="shared" si="15"/>
        <v>33144</v>
      </c>
      <c r="CB15" s="58">
        <f t="shared" si="15"/>
        <v>-4608</v>
      </c>
      <c r="CC15" s="58">
        <f t="shared" si="15"/>
        <v>-8.6179999999984602E-3</v>
      </c>
      <c r="CD15" s="58">
        <f t="shared" si="15"/>
        <v>2.8597000000004869E-2</v>
      </c>
      <c r="CE15" s="58">
        <f t="shared" si="15"/>
        <v>-5.2659999999988827E-3</v>
      </c>
      <c r="CF15" s="58">
        <f t="shared" si="15"/>
        <v>1.1902999999996666E-2</v>
      </c>
      <c r="CG15" s="58">
        <f t="shared" si="15"/>
        <v>3.3507000000000176E-2</v>
      </c>
      <c r="CJ15" t="s">
        <v>233</v>
      </c>
    </row>
    <row r="16" spans="1:88" outlineLevel="1">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6.9981450000000001</v>
      </c>
      <c r="AH16" s="20">
        <f t="shared" si="7"/>
        <v>2.3139882976550299E-2</v>
      </c>
      <c r="AI16" s="20">
        <f t="shared" si="8"/>
        <v>1.0076725821354795E-2</v>
      </c>
      <c r="AJ16" s="20">
        <f t="shared" si="9"/>
        <v>6.1977427525089267E-3</v>
      </c>
      <c r="AK16" s="20">
        <f t="shared" si="10"/>
        <v>1.3062760366338287E-2</v>
      </c>
      <c r="AL16" s="17">
        <f t="shared" si="11"/>
        <v>3250648</v>
      </c>
      <c r="AM16" s="20">
        <v>16</v>
      </c>
      <c r="AN16" s="21">
        <v>33082337</v>
      </c>
      <c r="AO16" s="21">
        <v>1033823.03125</v>
      </c>
      <c r="AP16" s="21">
        <v>33603.96875</v>
      </c>
      <c r="AQ16" s="22">
        <v>7464688</v>
      </c>
      <c r="AR16" s="22">
        <v>1999328</v>
      </c>
      <c r="AS16" s="22">
        <v>1251320</v>
      </c>
      <c r="AT16" s="22">
        <v>4213912</v>
      </c>
      <c r="AU16" s="23">
        <v>67.703699999999998</v>
      </c>
      <c r="AV16" s="23">
        <v>69.775362000000001</v>
      </c>
      <c r="AW16" s="23">
        <v>31.801380999999999</v>
      </c>
      <c r="AX16" s="23">
        <v>43.962591000000003</v>
      </c>
      <c r="AY16" s="23">
        <v>44.270212000000001</v>
      </c>
      <c r="AZ16" s="24">
        <v>4653.72</v>
      </c>
      <c r="BA16" s="24">
        <v>1062.73</v>
      </c>
      <c r="BB16" s="24">
        <v>81.709999999999994</v>
      </c>
      <c r="BC16" s="24">
        <v>15.593999999999999</v>
      </c>
      <c r="BE16" s="49">
        <f t="shared" si="12"/>
        <v>1.0103011526947596</v>
      </c>
      <c r="BF16" s="25">
        <f t="shared" si="13"/>
        <v>-1.0027171409736288E-3</v>
      </c>
      <c r="BG16" s="25">
        <f t="shared" si="14"/>
        <v>3.2110834175744229E-3</v>
      </c>
      <c r="BH16" s="25"/>
      <c r="BJ16" s="49"/>
      <c r="BK16" s="49"/>
      <c r="BL16" s="49"/>
      <c r="BM16" s="49"/>
      <c r="BN16" s="49"/>
      <c r="BP16" s="49"/>
      <c r="BQ16" s="49"/>
      <c r="BR16" s="49"/>
      <c r="BS16" s="49"/>
      <c r="BT16" s="49"/>
      <c r="BV16" s="58">
        <f t="shared" si="16"/>
        <v>-103135</v>
      </c>
      <c r="BW16" s="58">
        <f t="shared" si="15"/>
        <v>-3222.96875</v>
      </c>
      <c r="BX16" s="58">
        <f t="shared" si="15"/>
        <v>-1144.625</v>
      </c>
      <c r="BY16" s="58">
        <f t="shared" si="15"/>
        <v>21224</v>
      </c>
      <c r="BZ16" s="58">
        <f t="shared" si="15"/>
        <v>0</v>
      </c>
      <c r="CA16" s="58">
        <f t="shared" si="15"/>
        <v>33144</v>
      </c>
      <c r="CB16" s="58">
        <f t="shared" si="15"/>
        <v>-11920</v>
      </c>
      <c r="CC16" s="58">
        <f t="shared" si="15"/>
        <v>-9.1500000000053205E-3</v>
      </c>
      <c r="CD16" s="58">
        <f t="shared" si="15"/>
        <v>3.3958999999995854E-2</v>
      </c>
      <c r="CE16" s="58">
        <f t="shared" si="15"/>
        <v>-6.9280000000020436E-3</v>
      </c>
      <c r="CF16" s="58">
        <f t="shared" si="15"/>
        <v>-1.4111999999997238E-2</v>
      </c>
      <c r="CG16" s="58">
        <f t="shared" si="15"/>
        <v>7.3209999999974684E-3</v>
      </c>
      <c r="CJ16" t="s">
        <v>233</v>
      </c>
    </row>
    <row r="17" spans="1:88" outlineLevel="1">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11.6772975</v>
      </c>
      <c r="AH17" s="11">
        <f t="shared" si="7"/>
        <v>3.8611846086693456E-2</v>
      </c>
      <c r="AI17" s="11">
        <f t="shared" si="8"/>
        <v>1.2836094731653308E-2</v>
      </c>
      <c r="AJ17" s="11">
        <f t="shared" si="9"/>
        <v>8.9570868635038652E-3</v>
      </c>
      <c r="AK17" s="11">
        <f t="shared" si="10"/>
        <v>2.5775354566182931E-2</v>
      </c>
      <c r="AL17" s="52">
        <f t="shared" si="11"/>
        <v>4140792</v>
      </c>
      <c r="AM17" s="11">
        <v>16</v>
      </c>
      <c r="AN17" s="12">
        <v>33503406</v>
      </c>
      <c r="AO17" s="12">
        <v>1046981.4375</v>
      </c>
      <c r="AP17" s="12">
        <v>35353.59375</v>
      </c>
      <c r="AQ17" s="13">
        <v>12455784</v>
      </c>
      <c r="AR17" s="13">
        <v>2889464</v>
      </c>
      <c r="AS17" s="13">
        <v>1251328</v>
      </c>
      <c r="AT17" s="13">
        <v>8314864</v>
      </c>
      <c r="AU17" s="14">
        <v>69.124808999999999</v>
      </c>
      <c r="AV17" s="14">
        <v>71.640930999999995</v>
      </c>
      <c r="AW17" s="14">
        <v>34.346091000000001</v>
      </c>
      <c r="AX17" s="14">
        <v>44.808599999999998</v>
      </c>
      <c r="AY17" s="14">
        <v>45.211472000000001</v>
      </c>
      <c r="AZ17" s="15">
        <v>5626.9</v>
      </c>
      <c r="BA17" s="15">
        <v>1231.3599999999999</v>
      </c>
      <c r="BB17" s="15">
        <v>93.730999999999995</v>
      </c>
      <c r="BC17" s="15">
        <v>19.422999999999998</v>
      </c>
      <c r="BE17" s="50">
        <f t="shared" si="12"/>
        <v>1.008068851079742</v>
      </c>
      <c r="BF17" s="16">
        <f t="shared" si="13"/>
        <v>-1.0597313010549461E-3</v>
      </c>
      <c r="BG17" s="16">
        <f t="shared" si="14"/>
        <v>2.3089569605482252E-3</v>
      </c>
      <c r="BH17" s="16"/>
      <c r="BJ17" s="50"/>
      <c r="BK17" s="50"/>
      <c r="BL17" s="50"/>
      <c r="BM17" s="50"/>
      <c r="BN17" s="50"/>
      <c r="BP17" s="50"/>
      <c r="BQ17" s="50"/>
      <c r="BR17" s="50"/>
      <c r="BS17" s="50"/>
      <c r="BT17" s="50"/>
      <c r="BV17" s="58">
        <f t="shared" si="16"/>
        <v>-100939</v>
      </c>
      <c r="BW17" s="58">
        <f t="shared" si="15"/>
        <v>-3154.34375</v>
      </c>
      <c r="BX17" s="58">
        <f t="shared" si="15"/>
        <v>-1219.375</v>
      </c>
      <c r="BY17" s="58">
        <f t="shared" si="15"/>
        <v>13280</v>
      </c>
      <c r="BZ17" s="58">
        <f t="shared" si="15"/>
        <v>0</v>
      </c>
      <c r="CA17" s="58">
        <f t="shared" si="15"/>
        <v>33144</v>
      </c>
      <c r="CB17" s="58">
        <f t="shared" si="15"/>
        <v>-19864</v>
      </c>
      <c r="CC17" s="58">
        <f t="shared" si="15"/>
        <v>-9.6290000000038845E-3</v>
      </c>
      <c r="CD17" s="58">
        <f t="shared" si="15"/>
        <v>4.3833999999989715E-2</v>
      </c>
      <c r="CE17" s="58">
        <f t="shared" si="15"/>
        <v>-5.9719999999998663E-3</v>
      </c>
      <c r="CF17" s="58">
        <f t="shared" si="15"/>
        <v>1.2521999999997036E-2</v>
      </c>
      <c r="CG17" s="58">
        <f t="shared" si="15"/>
        <v>4.7029999999992356E-3</v>
      </c>
      <c r="CJ17" t="s">
        <v>233</v>
      </c>
    </row>
    <row r="18" spans="1:88" outlineLevel="1">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20.150242500000001</v>
      </c>
      <c r="AH18" s="20">
        <f t="shared" si="7"/>
        <v>6.6628264118435726E-2</v>
      </c>
      <c r="AI18" s="20">
        <f t="shared" si="8"/>
        <v>1.7339077877079424E-2</v>
      </c>
      <c r="AJ18" s="20">
        <f t="shared" si="9"/>
        <v>1.3460070008929981E-2</v>
      </c>
      <c r="AK18" s="20">
        <f t="shared" si="10"/>
        <v>4.9288789452499079E-2</v>
      </c>
      <c r="AL18" s="17">
        <f t="shared" si="11"/>
        <v>5593408</v>
      </c>
      <c r="AM18" s="20">
        <v>16</v>
      </c>
      <c r="AN18" s="21">
        <v>34695615</v>
      </c>
      <c r="AO18" s="21">
        <v>1084237.96875</v>
      </c>
      <c r="AP18" s="21">
        <v>39568.4375</v>
      </c>
      <c r="AQ18" s="22">
        <v>21493592</v>
      </c>
      <c r="AR18" s="22">
        <v>4342080</v>
      </c>
      <c r="AS18" s="22">
        <v>1251328</v>
      </c>
      <c r="AT18" s="22">
        <v>15900056</v>
      </c>
      <c r="AU18" s="23">
        <v>70.408924999999996</v>
      </c>
      <c r="AV18" s="23">
        <v>73.008893999999998</v>
      </c>
      <c r="AW18" s="23">
        <v>37.024712000000001</v>
      </c>
      <c r="AX18" s="23">
        <v>46.135137</v>
      </c>
      <c r="AY18" s="23">
        <v>46.634112999999999</v>
      </c>
      <c r="AZ18" s="24">
        <v>5696.58</v>
      </c>
      <c r="BA18" s="24">
        <v>1779.01</v>
      </c>
      <c r="BB18" s="24">
        <v>101.538</v>
      </c>
      <c r="BC18" s="24">
        <v>24.222999999999999</v>
      </c>
      <c r="BE18" s="49">
        <f t="shared" si="12"/>
        <v>1.0059623154041828</v>
      </c>
      <c r="BF18" s="25">
        <f t="shared" si="13"/>
        <v>-1.0789487544512547E-3</v>
      </c>
      <c r="BG18" s="25">
        <f t="shared" si="14"/>
        <v>1.5630169342489286E-3</v>
      </c>
      <c r="BH18" s="25"/>
      <c r="BJ18" s="49"/>
      <c r="BK18" s="49"/>
      <c r="BL18" s="49"/>
      <c r="BM18" s="49"/>
      <c r="BN18" s="49"/>
      <c r="BP18" s="49"/>
      <c r="BQ18" s="49"/>
      <c r="BR18" s="49"/>
      <c r="BS18" s="49"/>
      <c r="BT18" s="49"/>
      <c r="BV18" s="58">
        <f t="shared" si="16"/>
        <v>-103803</v>
      </c>
      <c r="BW18" s="58">
        <f t="shared" si="15"/>
        <v>-3243.84375</v>
      </c>
      <c r="BX18" s="58">
        <f t="shared" si="15"/>
        <v>-1291.71875</v>
      </c>
      <c r="BY18" s="58">
        <f t="shared" si="15"/>
        <v>-1712</v>
      </c>
      <c r="BZ18" s="58">
        <f t="shared" si="15"/>
        <v>0</v>
      </c>
      <c r="CA18" s="58">
        <f t="shared" si="15"/>
        <v>33152</v>
      </c>
      <c r="CB18" s="58">
        <f t="shared" si="15"/>
        <v>-34864</v>
      </c>
      <c r="CC18" s="58">
        <f t="shared" si="15"/>
        <v>3.6050000000003024E-2</v>
      </c>
      <c r="CD18" s="58">
        <f t="shared" si="15"/>
        <v>5.7613000000003467E-2</v>
      </c>
      <c r="CE18" s="58">
        <f t="shared" si="15"/>
        <v>-8.4689999999980614E-3</v>
      </c>
      <c r="CF18" s="58">
        <f t="shared" si="15"/>
        <v>-2.8969999999972629E-3</v>
      </c>
      <c r="CG18" s="58">
        <f t="shared" si="15"/>
        <v>-4.6870000000041045E-3</v>
      </c>
      <c r="CJ18" t="s">
        <v>233</v>
      </c>
    </row>
    <row r="19" spans="1:88" ht="16" outlineLevel="1" thickBot="1">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35.66865</v>
      </c>
      <c r="AH19" s="29">
        <f t="shared" si="7"/>
        <v>0.11794102393298951</v>
      </c>
      <c r="AI19" s="29">
        <f t="shared" si="8"/>
        <v>2.7706079546791735E-2</v>
      </c>
      <c r="AJ19" s="29">
        <f t="shared" si="9"/>
        <v>2.0647974555319349E-2</v>
      </c>
      <c r="AK19" s="29">
        <f t="shared" si="10"/>
        <v>9.023454759734055E-2</v>
      </c>
      <c r="AL19" s="26">
        <f t="shared" si="11"/>
        <v>8937696</v>
      </c>
      <c r="AM19" s="29">
        <v>16</v>
      </c>
      <c r="AN19" s="30">
        <v>33039030</v>
      </c>
      <c r="AO19" s="30">
        <v>1032469.6875</v>
      </c>
      <c r="AP19" s="30">
        <v>17754.53125</v>
      </c>
      <c r="AQ19" s="31">
        <v>38046560</v>
      </c>
      <c r="AR19" s="31">
        <v>6660824</v>
      </c>
      <c r="AS19" s="31">
        <v>2276872</v>
      </c>
      <c r="AT19" s="31">
        <v>29108736</v>
      </c>
      <c r="AU19" s="32">
        <v>71.149227999999994</v>
      </c>
      <c r="AV19" s="32">
        <v>75.004366000000005</v>
      </c>
      <c r="AW19" s="32">
        <v>39.539543999999999</v>
      </c>
      <c r="AX19" s="32">
        <v>47.871558999999998</v>
      </c>
      <c r="AY19" s="32">
        <v>48.474975000000001</v>
      </c>
      <c r="AZ19" s="33">
        <v>5705.75</v>
      </c>
      <c r="BA19" s="33">
        <v>2066.9</v>
      </c>
      <c r="BB19" s="33">
        <v>92.465999999999994</v>
      </c>
      <c r="BC19" s="33">
        <v>26.178999999999998</v>
      </c>
      <c r="BE19" s="34">
        <f t="shared" si="12"/>
        <v>1</v>
      </c>
      <c r="BF19" s="35">
        <f t="shared" si="13"/>
        <v>0</v>
      </c>
      <c r="BG19" s="35">
        <f t="shared" si="14"/>
        <v>0</v>
      </c>
      <c r="BH19" s="35"/>
      <c r="BJ19" s="34"/>
      <c r="BK19" s="34"/>
      <c r="BL19" s="34"/>
      <c r="BM19" s="34"/>
      <c r="BN19" s="34"/>
      <c r="BP19" s="34"/>
      <c r="BQ19" s="34"/>
      <c r="BR19" s="34"/>
      <c r="BS19" s="34"/>
      <c r="BT19" s="34"/>
      <c r="BV19" s="58">
        <f t="shared" si="16"/>
        <v>0</v>
      </c>
      <c r="BW19" s="58">
        <f t="shared" si="15"/>
        <v>0</v>
      </c>
      <c r="BX19" s="58">
        <f t="shared" si="15"/>
        <v>0</v>
      </c>
      <c r="BY19" s="58">
        <f t="shared" si="15"/>
        <v>0</v>
      </c>
      <c r="BZ19" s="58">
        <f t="shared" si="15"/>
        <v>0</v>
      </c>
      <c r="CA19" s="58">
        <f t="shared" si="15"/>
        <v>0</v>
      </c>
      <c r="CB19" s="58">
        <f t="shared" si="15"/>
        <v>0</v>
      </c>
      <c r="CC19" s="58">
        <f t="shared" si="15"/>
        <v>0</v>
      </c>
      <c r="CD19" s="58">
        <f t="shared" si="15"/>
        <v>0</v>
      </c>
      <c r="CE19" s="58">
        <f t="shared" si="15"/>
        <v>0</v>
      </c>
      <c r="CF19" s="58">
        <f t="shared" si="15"/>
        <v>0</v>
      </c>
      <c r="CG19" s="58">
        <f t="shared" si="15"/>
        <v>0</v>
      </c>
      <c r="CJ19" t="s">
        <v>233</v>
      </c>
    </row>
    <row r="20" spans="1:88">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5.1117249999999999</v>
      </c>
      <c r="AH20" s="20">
        <f t="shared" si="7"/>
        <v>1.3054534155394081E-2</v>
      </c>
      <c r="AI20" s="20">
        <f t="shared" si="8"/>
        <v>7.6601829784956471E-3</v>
      </c>
      <c r="AJ20" s="20">
        <f t="shared" si="9"/>
        <v>3.7271078409067517E-3</v>
      </c>
      <c r="AK20" s="20">
        <f t="shared" si="10"/>
        <v>5.3938404086487576E-3</v>
      </c>
      <c r="AL20" s="17">
        <f t="shared" si="11"/>
        <v>1919664</v>
      </c>
      <c r="AM20" s="20">
        <v>16</v>
      </c>
      <c r="AN20" s="21">
        <v>26581277</v>
      </c>
      <c r="AO20" s="21">
        <v>830664.90625</v>
      </c>
      <c r="AP20" s="21">
        <v>21660.4375</v>
      </c>
      <c r="AQ20" s="22">
        <v>3271504</v>
      </c>
      <c r="AR20" s="22">
        <v>934024</v>
      </c>
      <c r="AS20" s="22">
        <v>985640</v>
      </c>
      <c r="AT20" s="22">
        <v>1351712</v>
      </c>
      <c r="AU20" s="23">
        <v>66.538336999999999</v>
      </c>
      <c r="AV20" s="23">
        <v>68.875163000000001</v>
      </c>
      <c r="AW20" s="23">
        <v>30.735430999999998</v>
      </c>
      <c r="AX20" s="23">
        <v>39.506503000000002</v>
      </c>
      <c r="AY20" s="23">
        <v>38.205413</v>
      </c>
      <c r="AZ20" s="24">
        <v>4645.05</v>
      </c>
      <c r="BA20" s="24">
        <v>1172.53</v>
      </c>
      <c r="BB20" s="24">
        <v>71.807000000000002</v>
      </c>
      <c r="BC20" s="24">
        <v>17.677</v>
      </c>
      <c r="BE20" s="49">
        <f t="shared" si="12"/>
        <v>1.0144371213690535</v>
      </c>
      <c r="BF20" s="25">
        <f t="shared" si="13"/>
        <v>-5.7557368055510469E-4</v>
      </c>
      <c r="BG20" s="25">
        <f t="shared" si="14"/>
        <v>5.9391069430503318E-3</v>
      </c>
      <c r="BH20" s="25">
        <f t="array" ref="BH20">AVERAGE(AL20:AL24/AQ20:AQ24) - AVERAGE(N20:N24/S20:S24)</f>
        <v>3.5118598605697326E-3</v>
      </c>
      <c r="BJ20" s="49">
        <f>IF( OR(ISBLANK(N20:N24),ISBLANK(AL20:AL24), ISBLANK(W20:W24),ISBLANK(AU20:AU24)), "·", bdRateExtend( N20:N24,W20:W24, AL20:AL24,AU20:AU24))</f>
        <v>1.3470776696839382E-2</v>
      </c>
      <c r="BK20" s="49">
        <f>IF( OR(ISBLANK(N20:N24),ISBLANK(AL20:AL24), ISBLANK(X20:X24),ISBLANK(AV20:AV24)), "·", bdRateExtend( N20:N24,X20:X24, AL20:AL24,AV20:AV24))</f>
        <v>4.1185668707943712E-4</v>
      </c>
      <c r="BL20" s="49">
        <f>IF( OR(ISBLANK(V20:V24),ISBLANK(AT20:AT24), ISBLANK(Y20:Y24),ISBLANK(AW20:AW24)), "·", bdRateExtend( V20:V24,Y20:Y24, AT20:AT24,AW20:AW24))</f>
        <v>-9.747615813736954E-3</v>
      </c>
      <c r="BM20" s="49">
        <f>IF( OR(ISBLANK(V20:V24),ISBLANK(AT20:AT24), ISBLANK(Z20:Z24),ISBLANK(AX20:AX24)), "·", bdRateExtend( V20:V24,Z20:Z24, AT20:AT24,AX20:AX24))</f>
        <v>-6.3162464774697558E-3</v>
      </c>
      <c r="BN20" s="49">
        <f>IF( OR(ISBLANK(V20:V24),ISBLANK(AT20:AT24), ISBLANK(AA20:AA24),ISBLANK(AY20:AY24)), "·", bdRateExtend( V20:V24,AA20:AA24, AT20:AT24,AY20:AY24))</f>
        <v>-1.3858251055176019E-2</v>
      </c>
      <c r="BP20" s="49">
        <f>IF( OR(ISBLANK(S20:S24),ISBLANK(AQ20:AQ24), ISBLANK(W20:W24),ISBLANK(AU20:AU24)), "·", bdRateExtend( S20:S24,W20:W24, AQ20:AQ24,AU20:AU24))</f>
        <v>5.5637401793506847E-3</v>
      </c>
      <c r="BQ20" s="49">
        <f>IF( OR(ISBLANK(S20:S24),ISBLANK(AQ20:AQ24), ISBLANK(X20:X24),ISBLANK(AV20:AV24)), "·", bdRateExtend( S20:S24,X20:X24, AQ20:AQ24,AV20:AV24))</f>
        <v>-1.698414277658955E-2</v>
      </c>
      <c r="BR20" s="49">
        <f>IF( OR(ISBLANK(S20:S24),ISBLANK(AQ20:AQ24), ISBLANK(Y20:Y24),ISBLANK(AW20:AW24)), "·", bdRateExtend( S20:S24,Y20:Y24, AQ20:AQ24,AW20:AW24))</f>
        <v>-2.7553397059648654E-3</v>
      </c>
      <c r="BS20" s="49">
        <f>IF( OR(ISBLANK(S20:S24),ISBLANK(AQ20:AQ24), ISBLANK(Z20:Z24),ISBLANK(AX20:AX24)), "·", bdRateExtend( S20:S24,Z20:Z24, AQ20:AQ24,AX20:AX24))</f>
        <v>9.0935448953688436E-4</v>
      </c>
      <c r="BT20" s="49">
        <f>IF( OR(ISBLANK(S20:S24),ISBLANK(AQ20:AQ24), ISBLANK(AA20:AA24),ISBLANK(AY20:AY24)), "·", bdRateExtend( S20:S24,AA20:AA24, AQ20:AQ24,AY20:AY24))</f>
        <v>-4.3211340125325348E-3</v>
      </c>
      <c r="BV20" s="58">
        <f t="shared" si="16"/>
        <v>-81628</v>
      </c>
      <c r="BW20" s="58">
        <f t="shared" si="15"/>
        <v>-2550.875</v>
      </c>
      <c r="BX20" s="58">
        <f t="shared" si="15"/>
        <v>-546.09375</v>
      </c>
      <c r="BY20" s="58">
        <f t="shared" si="15"/>
        <v>13584</v>
      </c>
      <c r="BZ20" s="58">
        <f t="shared" si="15"/>
        <v>0</v>
      </c>
      <c r="CA20" s="58">
        <f t="shared" si="15"/>
        <v>27320</v>
      </c>
      <c r="CB20" s="58">
        <f t="shared" si="15"/>
        <v>-13736</v>
      </c>
      <c r="CC20" s="58">
        <f t="shared" si="15"/>
        <v>-1.0663000000008083E-2</v>
      </c>
      <c r="CD20" s="58">
        <f t="shared" si="15"/>
        <v>4.2141000000000872E-2</v>
      </c>
      <c r="CE20" s="58">
        <f t="shared" si="15"/>
        <v>-1.2810000000001764E-2</v>
      </c>
      <c r="CF20" s="58">
        <f t="shared" si="15"/>
        <v>3.2937000000003991E-2</v>
      </c>
      <c r="CG20" s="58">
        <f t="shared" si="15"/>
        <v>1.3941000000002646E-2</v>
      </c>
      <c r="CJ20" t="s">
        <v>239</v>
      </c>
    </row>
    <row r="21" spans="1:88" outlineLevel="1">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7.5611125000000001</v>
      </c>
      <c r="AH21" s="11">
        <f t="shared" si="7"/>
        <v>1.930988098616947E-2</v>
      </c>
      <c r="AI21" s="11">
        <f t="shared" si="8"/>
        <v>9.0701268087126745E-3</v>
      </c>
      <c r="AJ21" s="11">
        <f t="shared" si="9"/>
        <v>5.1370516711237782E-3</v>
      </c>
      <c r="AK21" s="11">
        <f t="shared" si="10"/>
        <v>1.0239243409207118E-2</v>
      </c>
      <c r="AL21" s="52">
        <f t="shared" si="11"/>
        <v>2273000</v>
      </c>
      <c r="AM21" s="11">
        <v>16</v>
      </c>
      <c r="AN21" s="12">
        <v>28180051</v>
      </c>
      <c r="AO21" s="12">
        <v>880626.59375</v>
      </c>
      <c r="AP21" s="12">
        <v>26704.6875</v>
      </c>
      <c r="AQ21" s="13">
        <v>4839112</v>
      </c>
      <c r="AR21" s="13">
        <v>1287360</v>
      </c>
      <c r="AS21" s="13">
        <v>985640</v>
      </c>
      <c r="AT21" s="13">
        <v>2565984</v>
      </c>
      <c r="AU21" s="14">
        <v>68.082796999999999</v>
      </c>
      <c r="AV21" s="14">
        <v>70.895634000000001</v>
      </c>
      <c r="AW21" s="14">
        <v>32.440215999999999</v>
      </c>
      <c r="AX21" s="14">
        <v>40.632697</v>
      </c>
      <c r="AY21" s="14">
        <v>39.516680999999998</v>
      </c>
      <c r="AZ21" s="15">
        <v>4404.93</v>
      </c>
      <c r="BA21" s="15">
        <v>1153.42</v>
      </c>
      <c r="BB21" s="15">
        <v>72.611000000000004</v>
      </c>
      <c r="BC21" s="15">
        <v>19.974</v>
      </c>
      <c r="BE21" s="50">
        <f t="shared" si="12"/>
        <v>1.0121655801360836</v>
      </c>
      <c r="BF21" s="16">
        <f t="shared" si="13"/>
        <v>-6.7421429785619394E-4</v>
      </c>
      <c r="BG21" s="16">
        <f t="shared" si="14"/>
        <v>4.9803193506144927E-3</v>
      </c>
      <c r="BH21" s="16"/>
      <c r="BJ21" s="50"/>
      <c r="BK21" s="50"/>
      <c r="BL21" s="50"/>
      <c r="BM21" s="50"/>
      <c r="BN21" s="50"/>
      <c r="BP21" s="50"/>
      <c r="BQ21" s="50"/>
      <c r="BR21" s="50"/>
      <c r="BS21" s="50"/>
      <c r="BT21" s="50"/>
      <c r="BV21" s="58">
        <f t="shared" si="16"/>
        <v>-85184</v>
      </c>
      <c r="BW21" s="58">
        <f t="shared" si="16"/>
        <v>-2662</v>
      </c>
      <c r="BX21" s="58">
        <f t="shared" si="16"/>
        <v>-676.25</v>
      </c>
      <c r="BY21" s="58">
        <f t="shared" si="16"/>
        <v>6928</v>
      </c>
      <c r="BZ21" s="58">
        <f t="shared" si="16"/>
        <v>0</v>
      </c>
      <c r="CA21" s="58">
        <f t="shared" si="16"/>
        <v>27320</v>
      </c>
      <c r="CB21" s="58">
        <f t="shared" si="16"/>
        <v>-20392</v>
      </c>
      <c r="CC21" s="58">
        <f t="shared" si="16"/>
        <v>-1.1230999999995106E-2</v>
      </c>
      <c r="CD21" s="58">
        <f t="shared" si="16"/>
        <v>4.8843000000005077E-2</v>
      </c>
      <c r="CE21" s="58">
        <f t="shared" si="16"/>
        <v>-7.0090000000035957E-3</v>
      </c>
      <c r="CF21" s="58">
        <f t="shared" si="16"/>
        <v>8.647000000003402E-3</v>
      </c>
      <c r="CG21" s="58">
        <f t="shared" si="16"/>
        <v>2.9933999999997241E-2</v>
      </c>
      <c r="CJ21" t="s">
        <v>239</v>
      </c>
    </row>
    <row r="22" spans="1:88" outlineLevel="1">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12.220974999999999</v>
      </c>
      <c r="AH22" s="20">
        <f t="shared" si="7"/>
        <v>3.1210430050465778E-2</v>
      </c>
      <c r="AI22" s="20">
        <f t="shared" si="8"/>
        <v>1.1211395003419973E-2</v>
      </c>
      <c r="AJ22" s="20">
        <f t="shared" si="9"/>
        <v>7.2783198658310771E-3</v>
      </c>
      <c r="AK22" s="20">
        <f t="shared" si="10"/>
        <v>1.9998524278796129E-2</v>
      </c>
      <c r="AL22" s="17">
        <f t="shared" si="11"/>
        <v>2809608</v>
      </c>
      <c r="AM22" s="20">
        <v>16</v>
      </c>
      <c r="AN22" s="21">
        <v>28920118</v>
      </c>
      <c r="AO22" s="21">
        <v>903753.6875</v>
      </c>
      <c r="AP22" s="21">
        <v>28376.78125</v>
      </c>
      <c r="AQ22" s="22">
        <v>7821424</v>
      </c>
      <c r="AR22" s="22">
        <v>1823968</v>
      </c>
      <c r="AS22" s="22">
        <v>985640</v>
      </c>
      <c r="AT22" s="22">
        <v>5011688</v>
      </c>
      <c r="AU22" s="23">
        <v>69.218659000000002</v>
      </c>
      <c r="AV22" s="23">
        <v>72.576961999999995</v>
      </c>
      <c r="AW22" s="23">
        <v>34.093325</v>
      </c>
      <c r="AX22" s="23">
        <v>41.698137000000003</v>
      </c>
      <c r="AY22" s="23">
        <v>40.573146999999999</v>
      </c>
      <c r="AZ22" s="24">
        <v>5292.54</v>
      </c>
      <c r="BA22" s="24">
        <v>1666.74</v>
      </c>
      <c r="BB22" s="24">
        <v>85.474999999999994</v>
      </c>
      <c r="BC22" s="24">
        <v>24.198</v>
      </c>
      <c r="BE22" s="49">
        <f t="shared" si="12"/>
        <v>1.0098192566693311</v>
      </c>
      <c r="BF22" s="25">
        <f t="shared" si="13"/>
        <v>-6.5559073528666245E-4</v>
      </c>
      <c r="BG22" s="25">
        <f t="shared" si="14"/>
        <v>4.0092482028135645E-3</v>
      </c>
      <c r="BH22" s="25"/>
      <c r="BJ22" s="49"/>
      <c r="BK22" s="49"/>
      <c r="BL22" s="49"/>
      <c r="BM22" s="49"/>
      <c r="BN22" s="49"/>
      <c r="BP22" s="49"/>
      <c r="BQ22" s="49"/>
      <c r="BR22" s="49"/>
      <c r="BS22" s="49"/>
      <c r="BT22" s="49"/>
      <c r="BV22" s="58">
        <f t="shared" si="16"/>
        <v>-80870</v>
      </c>
      <c r="BW22" s="58">
        <f t="shared" si="16"/>
        <v>-2527.1875</v>
      </c>
      <c r="BX22" s="58">
        <f t="shared" si="16"/>
        <v>-673.5</v>
      </c>
      <c r="BY22" s="58">
        <f t="shared" si="16"/>
        <v>-11368</v>
      </c>
      <c r="BZ22" s="58">
        <f t="shared" si="16"/>
        <v>0</v>
      </c>
      <c r="CA22" s="58">
        <f t="shared" si="16"/>
        <v>27320</v>
      </c>
      <c r="CB22" s="58">
        <f t="shared" si="16"/>
        <v>-38688</v>
      </c>
      <c r="CC22" s="58">
        <f t="shared" si="16"/>
        <v>-1.1729000000002543E-2</v>
      </c>
      <c r="CD22" s="58">
        <f t="shared" si="16"/>
        <v>5.7377999999999929E-2</v>
      </c>
      <c r="CE22" s="58">
        <f t="shared" si="16"/>
        <v>1.0640999999999678E-2</v>
      </c>
      <c r="CF22" s="58">
        <f t="shared" si="16"/>
        <v>-1.8296999999996899E-2</v>
      </c>
      <c r="CG22" s="58">
        <f t="shared" si="16"/>
        <v>3.7129999999976349E-3</v>
      </c>
      <c r="CJ22" t="s">
        <v>239</v>
      </c>
    </row>
    <row r="23" spans="1:88" outlineLevel="1">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21.677937499999999</v>
      </c>
      <c r="AH23" s="11">
        <f t="shared" si="7"/>
        <v>5.5362010967383454E-2</v>
      </c>
      <c r="AI23" s="11">
        <f t="shared" si="8"/>
        <v>1.5058405690938338E-2</v>
      </c>
      <c r="AJ23" s="11">
        <f t="shared" si="9"/>
        <v>1.1125330553349442E-2</v>
      </c>
      <c r="AK23" s="11">
        <f t="shared" si="10"/>
        <v>4.0303094508195435E-2</v>
      </c>
      <c r="AL23" s="52">
        <f t="shared" si="11"/>
        <v>3773680</v>
      </c>
      <c r="AM23" s="11">
        <v>16</v>
      </c>
      <c r="AN23" s="12">
        <v>29824706</v>
      </c>
      <c r="AO23" s="12">
        <v>932022.0625</v>
      </c>
      <c r="AP23" s="12">
        <v>31522.78125</v>
      </c>
      <c r="AQ23" s="13">
        <v>13873880</v>
      </c>
      <c r="AR23" s="13">
        <v>2788040</v>
      </c>
      <c r="AS23" s="13">
        <v>985640</v>
      </c>
      <c r="AT23" s="13">
        <v>10100072</v>
      </c>
      <c r="AU23" s="14">
        <v>70.335744000000005</v>
      </c>
      <c r="AV23" s="14">
        <v>73.980309000000005</v>
      </c>
      <c r="AW23" s="14">
        <v>35.491266000000003</v>
      </c>
      <c r="AX23" s="14">
        <v>42.869968999999998</v>
      </c>
      <c r="AY23" s="14">
        <v>41.653455999999998</v>
      </c>
      <c r="AZ23" s="15">
        <v>4480.7299999999996</v>
      </c>
      <c r="BA23" s="15">
        <v>1344.3</v>
      </c>
      <c r="BB23" s="15">
        <v>76.233000000000004</v>
      </c>
      <c r="BC23" s="15">
        <v>17.759</v>
      </c>
      <c r="BE23" s="50">
        <f t="shared" si="12"/>
        <v>1.0072924118344206</v>
      </c>
      <c r="BF23" s="16">
        <f t="shared" si="13"/>
        <v>-6.582002887281363E-4</v>
      </c>
      <c r="BG23" s="16">
        <f t="shared" si="14"/>
        <v>2.6303827035186189E-3</v>
      </c>
      <c r="BH23" s="16"/>
      <c r="BJ23" s="50"/>
      <c r="BK23" s="50"/>
      <c r="BL23" s="50"/>
      <c r="BM23" s="50"/>
      <c r="BN23" s="50"/>
      <c r="BP23" s="50"/>
      <c r="BQ23" s="50"/>
      <c r="BR23" s="50"/>
      <c r="BS23" s="50"/>
      <c r="BT23" s="50"/>
      <c r="BV23" s="58">
        <f t="shared" si="16"/>
        <v>-82174</v>
      </c>
      <c r="BW23" s="58">
        <f t="shared" si="16"/>
        <v>-2567.9375</v>
      </c>
      <c r="BX23" s="58">
        <f t="shared" si="16"/>
        <v>-702</v>
      </c>
      <c r="BY23" s="58">
        <f t="shared" si="16"/>
        <v>-34056</v>
      </c>
      <c r="BZ23" s="58">
        <f t="shared" si="16"/>
        <v>0</v>
      </c>
      <c r="CA23" s="58">
        <f t="shared" si="16"/>
        <v>27320</v>
      </c>
      <c r="CB23" s="58">
        <f t="shared" si="16"/>
        <v>-61376</v>
      </c>
      <c r="CC23" s="58">
        <f t="shared" si="16"/>
        <v>-1.3508999999999105E-2</v>
      </c>
      <c r="CD23" s="58">
        <f t="shared" si="16"/>
        <v>7.3737000000008379E-2</v>
      </c>
      <c r="CE23" s="58">
        <f t="shared" si="16"/>
        <v>2.4619000000001279E-2</v>
      </c>
      <c r="CF23" s="58">
        <f t="shared" si="16"/>
        <v>-6.4810000000008472E-3</v>
      </c>
      <c r="CG23" s="58">
        <f t="shared" si="16"/>
        <v>-2.0600000000001728E-3</v>
      </c>
      <c r="CJ23" t="s">
        <v>239</v>
      </c>
    </row>
    <row r="24" spans="1:88" ht="16" outlineLevel="1" thickBot="1">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38.194612499999998</v>
      </c>
      <c r="AH24" s="39">
        <f t="shared" si="7"/>
        <v>9.7542976868531014E-2</v>
      </c>
      <c r="AI24" s="39">
        <f t="shared" si="8"/>
        <v>2.5384415856559293E-2</v>
      </c>
      <c r="AJ24" s="39">
        <f t="shared" si="9"/>
        <v>1.7993918513892961E-2</v>
      </c>
      <c r="AK24" s="39">
        <f t="shared" si="10"/>
        <v>7.2158050243722044E-2</v>
      </c>
      <c r="AL24" s="36">
        <f t="shared" si="11"/>
        <v>6361408</v>
      </c>
      <c r="AM24" s="39">
        <v>16</v>
      </c>
      <c r="AN24" s="40">
        <v>28451194</v>
      </c>
      <c r="AO24" s="40">
        <v>889099.8125</v>
      </c>
      <c r="AP24" s="40">
        <v>15570.875</v>
      </c>
      <c r="AQ24" s="41">
        <v>24444552</v>
      </c>
      <c r="AR24" s="41">
        <v>4509328</v>
      </c>
      <c r="AS24" s="41">
        <v>1852080</v>
      </c>
      <c r="AT24" s="41">
        <v>18083016</v>
      </c>
      <c r="AU24" s="42">
        <v>70.750319000000005</v>
      </c>
      <c r="AV24" s="42">
        <v>75.060381000000007</v>
      </c>
      <c r="AW24" s="42">
        <v>36.768334000000003</v>
      </c>
      <c r="AX24" s="42">
        <v>43.808950000000003</v>
      </c>
      <c r="AY24" s="42">
        <v>42.358119000000002</v>
      </c>
      <c r="AZ24" s="43">
        <v>4575.6000000000004</v>
      </c>
      <c r="BA24" s="43">
        <v>1552.79</v>
      </c>
      <c r="BB24" s="43">
        <v>76.406000000000006</v>
      </c>
      <c r="BC24" s="43">
        <v>21.321999999999999</v>
      </c>
      <c r="BE24" s="44">
        <f t="shared" si="12"/>
        <v>1.0000012575848085</v>
      </c>
      <c r="BF24" s="45">
        <f t="shared" si="13"/>
        <v>0</v>
      </c>
      <c r="BG24" s="45">
        <f t="shared" si="14"/>
        <v>2.4210285187731273E-7</v>
      </c>
      <c r="BH24" s="45"/>
      <c r="BJ24" s="44"/>
      <c r="BK24" s="44"/>
      <c r="BL24" s="44"/>
      <c r="BM24" s="44"/>
      <c r="BN24" s="44"/>
      <c r="BP24" s="44"/>
      <c r="BQ24" s="44"/>
      <c r="BR24" s="44"/>
      <c r="BS24" s="44"/>
      <c r="BT24" s="44"/>
      <c r="BV24" s="58">
        <f t="shared" si="16"/>
        <v>0</v>
      </c>
      <c r="BW24" s="58">
        <f t="shared" si="16"/>
        <v>0</v>
      </c>
      <c r="BX24" s="58">
        <f t="shared" si="16"/>
        <v>0</v>
      </c>
      <c r="BY24" s="58">
        <f t="shared" si="16"/>
        <v>8</v>
      </c>
      <c r="BZ24" s="58">
        <f t="shared" si="16"/>
        <v>0</v>
      </c>
      <c r="CA24" s="58">
        <f t="shared" si="16"/>
        <v>8</v>
      </c>
      <c r="CB24" s="58">
        <f t="shared" si="16"/>
        <v>0</v>
      </c>
      <c r="CC24" s="58">
        <f t="shared" si="16"/>
        <v>0</v>
      </c>
      <c r="CD24" s="58">
        <f t="shared" si="16"/>
        <v>0</v>
      </c>
      <c r="CE24" s="58">
        <f t="shared" si="16"/>
        <v>0</v>
      </c>
      <c r="CF24" s="58">
        <f t="shared" si="16"/>
        <v>0</v>
      </c>
      <c r="CG24" s="58">
        <f t="shared" si="16"/>
        <v>0</v>
      </c>
      <c r="CJ24" t="s">
        <v>239</v>
      </c>
    </row>
    <row r="25" spans="1:88">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4.3806225000000003</v>
      </c>
      <c r="AH25" s="11">
        <f t="shared" si="7"/>
        <v>1.8668658197323666E-2</v>
      </c>
      <c r="AI25" s="11">
        <f t="shared" si="8"/>
        <v>6.5464621203826139E-3</v>
      </c>
      <c r="AJ25" s="11">
        <f t="shared" si="9"/>
        <v>3.7261054256460093E-3</v>
      </c>
      <c r="AK25" s="11">
        <f t="shared" si="10"/>
        <v>1.2121684679534932E-2</v>
      </c>
      <c r="AL25" s="52">
        <f t="shared" si="11"/>
        <v>1638544</v>
      </c>
      <c r="AM25" s="11">
        <v>16</v>
      </c>
      <c r="AN25" s="12">
        <v>23107459</v>
      </c>
      <c r="AO25" s="12">
        <v>722108.09375</v>
      </c>
      <c r="AP25" s="12">
        <v>13654.09375</v>
      </c>
      <c r="AQ25" s="13">
        <v>4672664</v>
      </c>
      <c r="AR25" s="13">
        <v>932624</v>
      </c>
      <c r="AS25" s="13">
        <v>705920</v>
      </c>
      <c r="AT25" s="13">
        <v>3033992</v>
      </c>
      <c r="AU25" s="14">
        <v>66.202068999999995</v>
      </c>
      <c r="AV25" s="14">
        <v>68.009952999999996</v>
      </c>
      <c r="AW25" s="14">
        <v>27.331074999999998</v>
      </c>
      <c r="AX25" s="14">
        <v>33.160896999999999</v>
      </c>
      <c r="AY25" s="14">
        <v>32.594696999999996</v>
      </c>
      <c r="AZ25" s="15">
        <v>1527.36</v>
      </c>
      <c r="BA25" s="15">
        <v>1080.98</v>
      </c>
      <c r="BB25" s="15">
        <v>60.838999999999999</v>
      </c>
      <c r="BC25" s="15">
        <v>15.584</v>
      </c>
      <c r="BE25" s="50">
        <f t="shared" si="12"/>
        <v>1.010852881516541</v>
      </c>
      <c r="BF25" s="16">
        <f t="shared" si="13"/>
        <v>-5.2139720013296212E-4</v>
      </c>
      <c r="BG25" s="16">
        <f t="shared" si="14"/>
        <v>2.625563226804295E-3</v>
      </c>
      <c r="BH25" s="16">
        <f t="array" ref="BH25">AVERAGE(AL25:AL29/AQ25:AQ29) - AVERAGE(N25:N29/S25:S29)</f>
        <v>1.31956528491875E-3</v>
      </c>
      <c r="BJ25" s="50">
        <f>IF( OR(ISBLANK(N25:N29),ISBLANK(AL25:AL29), ISBLANK(W25:W29),ISBLANK(AU25:AU29)), "·", bdRateExtend( N25:N29,W25:W29, AL25:AL29,AU25:AU29))</f>
        <v>6.5299569340808716E-3</v>
      </c>
      <c r="BK25" s="50">
        <f>IF( OR(ISBLANK(N25:N29),ISBLANK(AL25:AL29), ISBLANK(X25:X29),ISBLANK(AV25:AV29)), "·", bdRateExtend( N25:N29,X25:X29, AL25:AL29,AV25:AV29))</f>
        <v>-5.498025208350299E-5</v>
      </c>
      <c r="BL25" s="50">
        <f>IF( OR(ISBLANK(V25:V29),ISBLANK(AT25:AT29), ISBLANK(Y25:Y29),ISBLANK(AW25:AW29)), "·", bdRateExtend( V25:V29,Y25:Y29, AT25:AT29,AW25:AW29))</f>
        <v>-5.4697050583740747E-4</v>
      </c>
      <c r="BM25" s="50">
        <f>IF( OR(ISBLANK(V25:V29),ISBLANK(AT25:AT29), ISBLANK(Z25:Z29),ISBLANK(AX25:AX29)), "·", bdRateExtend( V25:V29,Z25:Z29, AT25:AT29,AX25:AX29))</f>
        <v>6.4159330864899111E-4</v>
      </c>
      <c r="BN25" s="50">
        <f>IF( OR(ISBLANK(V25:V29),ISBLANK(AT25:AT29), ISBLANK(AA25:AA29),ISBLANK(AY25:AY29)), "·", bdRateExtend( V25:V29,AA25:AA29, AT25:AT29,AY25:AY29))</f>
        <v>9.4119938842007755E-5</v>
      </c>
      <c r="BP25" s="50">
        <f>IF( OR(ISBLANK(S25:S29),ISBLANK(AQ25:AQ29), ISBLANK(W25:W29),ISBLANK(AU25:AU29)), "·", bdRateExtend( S25:S29,W25:W29, AQ25:AQ29,AU25:AU29))</f>
        <v>-1.2169313186449759E-4</v>
      </c>
      <c r="BQ25" s="50">
        <f>IF( OR(ISBLANK(S25:S29),ISBLANK(AQ25:AQ29), ISBLANK(X25:X29),ISBLANK(AV25:AV29)), "·", bdRateExtend( S25:S29,X25:X29, AQ25:AQ29,AV25:AV29))</f>
        <v>-1.2059925459881105E-2</v>
      </c>
      <c r="BR25" s="50">
        <f>IF( OR(ISBLANK(S25:S29),ISBLANK(AQ25:AQ29), ISBLANK(Y25:Y29),ISBLANK(AW25:AW29)), "·", bdRateExtend( S25:S29,Y25:Y29, AQ25:AQ29,AW25:AW29))</f>
        <v>1.0926999494049738E-3</v>
      </c>
      <c r="BS25" s="50">
        <f>IF( OR(ISBLANK(S25:S29),ISBLANK(AQ25:AQ29), ISBLANK(Z25:Z29),ISBLANK(AX25:AX29)), "·", bdRateExtend( S25:S29,Z25:Z29, AQ25:AQ29,AX25:AX29))</f>
        <v>1.857165278630557E-3</v>
      </c>
      <c r="BT25" s="50">
        <f>IF( OR(ISBLANK(S25:S29),ISBLANK(AQ25:AQ29), ISBLANK(AA25:AA29),ISBLANK(AY25:AY29)), "·", bdRateExtend( S25:S29,AA25:AA29, AQ25:AQ29,AY25:AY29))</f>
        <v>1.5377379582595108E-3</v>
      </c>
      <c r="BV25" s="58">
        <f t="shared" si="16"/>
        <v>-49451</v>
      </c>
      <c r="BW25" s="58">
        <f t="shared" si="16"/>
        <v>-1545.34375</v>
      </c>
      <c r="BX25" s="58">
        <f t="shared" si="16"/>
        <v>-406.53125</v>
      </c>
      <c r="BY25" s="58">
        <f t="shared" si="16"/>
        <v>15296</v>
      </c>
      <c r="BZ25" s="58">
        <f t="shared" si="16"/>
        <v>0</v>
      </c>
      <c r="CA25" s="58">
        <f t="shared" si="16"/>
        <v>17592</v>
      </c>
      <c r="CB25" s="58">
        <f t="shared" si="16"/>
        <v>-2296</v>
      </c>
      <c r="CC25" s="58">
        <f t="shared" si="16"/>
        <v>-6.6120000000040591E-3</v>
      </c>
      <c r="CD25" s="58">
        <f t="shared" si="16"/>
        <v>2.7024999999994748E-2</v>
      </c>
      <c r="CE25" s="58">
        <f t="shared" si="16"/>
        <v>-4.7370000000022117E-3</v>
      </c>
      <c r="CF25" s="58">
        <f t="shared" si="16"/>
        <v>-6.153000000004738E-3</v>
      </c>
      <c r="CG25" s="58">
        <f t="shared" si="16"/>
        <v>5.999999999062311E-6</v>
      </c>
      <c r="CJ25" t="s">
        <v>241</v>
      </c>
    </row>
    <row r="26" spans="1:88" outlineLevel="1">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7.5016575000000003</v>
      </c>
      <c r="AH26" s="20">
        <f t="shared" si="7"/>
        <v>3.1969401558999785E-2</v>
      </c>
      <c r="AI26" s="20">
        <f t="shared" si="8"/>
        <v>8.0729833776425897E-3</v>
      </c>
      <c r="AJ26" s="20">
        <f t="shared" si="9"/>
        <v>5.2525947205681028E-3</v>
      </c>
      <c r="AK26" s="20">
        <f t="shared" si="10"/>
        <v>2.3895906783951079E-2</v>
      </c>
      <c r="AL26" s="17">
        <f t="shared" si="11"/>
        <v>2020624</v>
      </c>
      <c r="AM26" s="20">
        <v>16</v>
      </c>
      <c r="AN26" s="21">
        <v>24508716</v>
      </c>
      <c r="AO26" s="21">
        <v>765897.375</v>
      </c>
      <c r="AP26" s="21">
        <v>17166.9375</v>
      </c>
      <c r="AQ26" s="22">
        <v>8001768</v>
      </c>
      <c r="AR26" s="22">
        <v>1314696</v>
      </c>
      <c r="AS26" s="22">
        <v>705928</v>
      </c>
      <c r="AT26" s="22">
        <v>5981016</v>
      </c>
      <c r="AU26" s="23">
        <v>67.937234000000004</v>
      </c>
      <c r="AV26" s="23">
        <v>69.975053000000003</v>
      </c>
      <c r="AW26" s="23">
        <v>29.713241</v>
      </c>
      <c r="AX26" s="23">
        <v>34.329984000000003</v>
      </c>
      <c r="AY26" s="23">
        <v>33.889113000000002</v>
      </c>
      <c r="AZ26" s="24">
        <v>1491.95</v>
      </c>
      <c r="BA26" s="24">
        <v>1093.1500000000001</v>
      </c>
      <c r="BB26" s="24">
        <v>66.144000000000005</v>
      </c>
      <c r="BC26" s="24">
        <v>16.413</v>
      </c>
      <c r="BE26" s="49">
        <f t="shared" si="12"/>
        <v>1.0087867144876947</v>
      </c>
      <c r="BF26" s="25">
        <f t="shared" si="13"/>
        <v>-6.627141377055952E-4</v>
      </c>
      <c r="BG26" s="25">
        <f t="shared" si="14"/>
        <v>1.9407204400462286E-3</v>
      </c>
      <c r="BH26" s="25"/>
      <c r="BJ26" s="49"/>
      <c r="BK26" s="49"/>
      <c r="BL26" s="49"/>
      <c r="BM26" s="49"/>
      <c r="BN26" s="49"/>
      <c r="BP26" s="49"/>
      <c r="BQ26" s="49"/>
      <c r="BR26" s="49"/>
      <c r="BS26" s="49"/>
      <c r="BT26" s="49"/>
      <c r="BV26" s="58">
        <f t="shared" si="16"/>
        <v>-55585</v>
      </c>
      <c r="BW26" s="58">
        <f t="shared" si="16"/>
        <v>-1737.03125</v>
      </c>
      <c r="BX26" s="58">
        <f t="shared" si="16"/>
        <v>-547.65625</v>
      </c>
      <c r="BY26" s="58">
        <f t="shared" si="16"/>
        <v>8264</v>
      </c>
      <c r="BZ26" s="58">
        <f t="shared" si="16"/>
        <v>0</v>
      </c>
      <c r="CA26" s="58">
        <f t="shared" si="16"/>
        <v>17600</v>
      </c>
      <c r="CB26" s="58">
        <f t="shared" si="16"/>
        <v>-9336</v>
      </c>
      <c r="CC26" s="58">
        <f t="shared" si="16"/>
        <v>-4.3220000000019354E-3</v>
      </c>
      <c r="CD26" s="58">
        <f t="shared" si="16"/>
        <v>3.3156000000005292E-2</v>
      </c>
      <c r="CE26" s="58">
        <f t="shared" si="16"/>
        <v>-4.120000000007451E-4</v>
      </c>
      <c r="CF26" s="58">
        <f t="shared" si="16"/>
        <v>-9.937999999998226E-3</v>
      </c>
      <c r="CG26" s="58">
        <f t="shared" si="16"/>
        <v>-2.8809999999950264E-3</v>
      </c>
      <c r="CJ26" t="s">
        <v>241</v>
      </c>
    </row>
    <row r="27" spans="1:88" outlineLevel="1">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13.1859375</v>
      </c>
      <c r="AH27" s="11">
        <f t="shared" si="7"/>
        <v>5.6193785289367547E-2</v>
      </c>
      <c r="AI27" s="11">
        <f t="shared" si="8"/>
        <v>1.0369381467474193E-2</v>
      </c>
      <c r="AJ27" s="11">
        <f t="shared" si="9"/>
        <v>7.5490247727375897E-3</v>
      </c>
      <c r="AK27" s="11">
        <f t="shared" si="10"/>
        <v>4.5823892424487242E-2</v>
      </c>
      <c r="AL27" s="52">
        <f t="shared" si="11"/>
        <v>2595400</v>
      </c>
      <c r="AM27" s="11">
        <v>16</v>
      </c>
      <c r="AN27" s="12">
        <v>24798309</v>
      </c>
      <c r="AO27" s="12">
        <v>774947.15625</v>
      </c>
      <c r="AP27" s="12">
        <v>18123.96875</v>
      </c>
      <c r="AQ27" s="13">
        <v>14065000</v>
      </c>
      <c r="AR27" s="13">
        <v>1889480</v>
      </c>
      <c r="AS27" s="13">
        <v>705920</v>
      </c>
      <c r="AT27" s="13">
        <v>11469472</v>
      </c>
      <c r="AU27" s="14">
        <v>69.255833999999993</v>
      </c>
      <c r="AV27" s="14">
        <v>71.688381000000007</v>
      </c>
      <c r="AW27" s="14">
        <v>32.209243999999998</v>
      </c>
      <c r="AX27" s="14">
        <v>35.582158999999997</v>
      </c>
      <c r="AY27" s="14">
        <v>35.200043999999998</v>
      </c>
      <c r="AZ27" s="15">
        <v>1554.16</v>
      </c>
      <c r="BA27" s="15">
        <v>1194.67</v>
      </c>
      <c r="BB27" s="15">
        <v>65.674000000000007</v>
      </c>
      <c r="BC27" s="15">
        <v>17.082000000000001</v>
      </c>
      <c r="BE27" s="50">
        <f t="shared" si="12"/>
        <v>1.0068212781672548</v>
      </c>
      <c r="BF27" s="16">
        <f t="shared" si="13"/>
        <v>-6.7623655540560018E-4</v>
      </c>
      <c r="BG27" s="16">
        <f t="shared" si="14"/>
        <v>1.3534458284009954E-3</v>
      </c>
      <c r="BH27" s="16"/>
      <c r="BJ27" s="50"/>
      <c r="BK27" s="50"/>
      <c r="BL27" s="50"/>
      <c r="BM27" s="50"/>
      <c r="BN27" s="50"/>
      <c r="BP27" s="50"/>
      <c r="BQ27" s="50"/>
      <c r="BR27" s="50"/>
      <c r="BS27" s="50"/>
      <c r="BT27" s="50"/>
      <c r="BV27" s="58">
        <f t="shared" si="16"/>
        <v>-54168</v>
      </c>
      <c r="BW27" s="58">
        <f t="shared" si="16"/>
        <v>-1692.75</v>
      </c>
      <c r="BX27" s="58">
        <f t="shared" si="16"/>
        <v>-564.78125</v>
      </c>
      <c r="BY27" s="58">
        <f t="shared" si="16"/>
        <v>-7928</v>
      </c>
      <c r="BZ27" s="58">
        <f t="shared" si="16"/>
        <v>0</v>
      </c>
      <c r="CA27" s="58">
        <f t="shared" si="16"/>
        <v>17584</v>
      </c>
      <c r="CB27" s="58">
        <f t="shared" si="16"/>
        <v>-25512</v>
      </c>
      <c r="CC27" s="58">
        <f t="shared" si="16"/>
        <v>-7.9100000000096315E-3</v>
      </c>
      <c r="CD27" s="58">
        <f t="shared" si="16"/>
        <v>3.9146999999999821E-2</v>
      </c>
      <c r="CE27" s="58">
        <f t="shared" si="16"/>
        <v>-3.6440000000013129E-3</v>
      </c>
      <c r="CF27" s="58">
        <f t="shared" si="16"/>
        <v>1.9779999999940401E-3</v>
      </c>
      <c r="CG27" s="58">
        <f t="shared" si="16"/>
        <v>-4.9400000000048294E-3</v>
      </c>
      <c r="CJ27" t="s">
        <v>241</v>
      </c>
    </row>
    <row r="28" spans="1:88" outlineLevel="1">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24.461422500000001</v>
      </c>
      <c r="AH28" s="20">
        <f t="shared" si="7"/>
        <v>0.10424590013698339</v>
      </c>
      <c r="AI28" s="20">
        <f t="shared" si="8"/>
        <v>1.4226532478437748E-2</v>
      </c>
      <c r="AJ28" s="20">
        <f t="shared" si="9"/>
        <v>1.1406143821363261E-2</v>
      </c>
      <c r="AK28" s="20">
        <f t="shared" si="10"/>
        <v>9.0018856261139521E-2</v>
      </c>
      <c r="AL28" s="17">
        <f t="shared" si="11"/>
        <v>3560824</v>
      </c>
      <c r="AM28" s="20">
        <v>16</v>
      </c>
      <c r="AN28" s="21">
        <v>25465245</v>
      </c>
      <c r="AO28" s="21">
        <v>795788.90625</v>
      </c>
      <c r="AP28" s="21">
        <v>20312.65625</v>
      </c>
      <c r="AQ28" s="22">
        <v>26092184</v>
      </c>
      <c r="AR28" s="22">
        <v>2854896</v>
      </c>
      <c r="AS28" s="22">
        <v>705928</v>
      </c>
      <c r="AT28" s="22">
        <v>22531232</v>
      </c>
      <c r="AU28" s="23">
        <v>70.450806</v>
      </c>
      <c r="AV28" s="23">
        <v>73.022352999999995</v>
      </c>
      <c r="AW28" s="23">
        <v>34.906115999999997</v>
      </c>
      <c r="AX28" s="23">
        <v>37.368709000000003</v>
      </c>
      <c r="AY28" s="23">
        <v>36.932906000000003</v>
      </c>
      <c r="AZ28" s="24">
        <v>1540.54</v>
      </c>
      <c r="BA28" s="24">
        <v>1346.9</v>
      </c>
      <c r="BB28" s="24">
        <v>64.853999999999999</v>
      </c>
      <c r="BC28" s="24">
        <v>18.686</v>
      </c>
      <c r="BE28" s="49">
        <f t="shared" si="12"/>
        <v>1.0049649585463216</v>
      </c>
      <c r="BF28" s="25">
        <f t="shared" si="13"/>
        <v>-7.0879347526607572E-4</v>
      </c>
      <c r="BG28" s="25">
        <f t="shared" si="14"/>
        <v>6.7809692934225896E-4</v>
      </c>
      <c r="BH28" s="25"/>
      <c r="BJ28" s="49"/>
      <c r="BK28" s="49"/>
      <c r="BL28" s="49"/>
      <c r="BM28" s="49"/>
      <c r="BN28" s="49"/>
      <c r="BP28" s="49"/>
      <c r="BQ28" s="49"/>
      <c r="BR28" s="49"/>
      <c r="BS28" s="49"/>
      <c r="BT28" s="49"/>
      <c r="BV28" s="58">
        <f t="shared" si="16"/>
        <v>-55897</v>
      </c>
      <c r="BW28" s="58">
        <f t="shared" si="16"/>
        <v>-1746.78125</v>
      </c>
      <c r="BX28" s="58">
        <f t="shared" si="16"/>
        <v>-609.875</v>
      </c>
      <c r="BY28" s="58">
        <f t="shared" si="16"/>
        <v>-744</v>
      </c>
      <c r="BZ28" s="58">
        <f t="shared" si="16"/>
        <v>0</v>
      </c>
      <c r="CA28" s="58">
        <f t="shared" si="16"/>
        <v>17592</v>
      </c>
      <c r="CB28" s="58">
        <f t="shared" si="16"/>
        <v>-18336</v>
      </c>
      <c r="CC28" s="58">
        <f t="shared" si="16"/>
        <v>1.8333999999995854E-2</v>
      </c>
      <c r="CD28" s="58">
        <f t="shared" si="16"/>
        <v>5.2152999999989902E-2</v>
      </c>
      <c r="CE28" s="58">
        <f t="shared" si="16"/>
        <v>-4.8560000000037462E-3</v>
      </c>
      <c r="CF28" s="58">
        <f t="shared" si="16"/>
        <v>-4.3689999999969586E-3</v>
      </c>
      <c r="CG28" s="58">
        <f t="shared" si="16"/>
        <v>-3.7069999999985725E-3</v>
      </c>
      <c r="CJ28" t="s">
        <v>241</v>
      </c>
    </row>
    <row r="29" spans="1:88" ht="16" outlineLevel="1" thickBot="1">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44.176470000000002</v>
      </c>
      <c r="AH29" s="29">
        <f t="shared" si="7"/>
        <v>0.18826443474513563</v>
      </c>
      <c r="AI29" s="29">
        <f t="shared" si="8"/>
        <v>2.2894366926408338E-2</v>
      </c>
      <c r="AJ29" s="29">
        <f t="shared" si="9"/>
        <v>1.7641772205840237E-2</v>
      </c>
      <c r="AK29" s="29">
        <f t="shared" si="10"/>
        <v>0.16536955642132117</v>
      </c>
      <c r="AL29" s="26">
        <f t="shared" si="11"/>
        <v>5730336</v>
      </c>
      <c r="AM29" s="29">
        <v>16</v>
      </c>
      <c r="AN29" s="30">
        <v>24571358</v>
      </c>
      <c r="AO29" s="30">
        <v>767854.9375</v>
      </c>
      <c r="AP29" s="30">
        <v>9744.125</v>
      </c>
      <c r="AQ29" s="31">
        <v>47121568</v>
      </c>
      <c r="AR29" s="31">
        <v>4415640</v>
      </c>
      <c r="AS29" s="31">
        <v>1314696</v>
      </c>
      <c r="AT29" s="31">
        <v>41391104</v>
      </c>
      <c r="AU29" s="32">
        <v>71.152737999999999</v>
      </c>
      <c r="AV29" s="32">
        <v>74.905512999999999</v>
      </c>
      <c r="AW29" s="32">
        <v>37.369269000000003</v>
      </c>
      <c r="AX29" s="32">
        <v>39.408925000000004</v>
      </c>
      <c r="AY29" s="32">
        <v>38.766097000000002</v>
      </c>
      <c r="AZ29" s="33">
        <v>1504.73</v>
      </c>
      <c r="BA29" s="33">
        <v>1542.35</v>
      </c>
      <c r="BB29" s="33">
        <v>62.884999999999998</v>
      </c>
      <c r="BC29" s="33">
        <v>19.673999999999999</v>
      </c>
      <c r="BE29" s="34">
        <f t="shared" si="12"/>
        <v>1</v>
      </c>
      <c r="BF29" s="35">
        <f t="shared" si="13"/>
        <v>0</v>
      </c>
      <c r="BG29" s="35">
        <f t="shared" si="14"/>
        <v>0</v>
      </c>
      <c r="BH29" s="35"/>
      <c r="BJ29" s="34"/>
      <c r="BK29" s="34"/>
      <c r="BL29" s="34"/>
      <c r="BM29" s="34"/>
      <c r="BN29" s="34"/>
      <c r="BP29" s="34"/>
      <c r="BQ29" s="34"/>
      <c r="BR29" s="34"/>
      <c r="BS29" s="34"/>
      <c r="BT29" s="34"/>
      <c r="BV29" s="58">
        <f t="shared" si="16"/>
        <v>0</v>
      </c>
      <c r="BW29" s="58">
        <f t="shared" si="16"/>
        <v>0</v>
      </c>
      <c r="BX29" s="58">
        <f t="shared" si="16"/>
        <v>0</v>
      </c>
      <c r="BY29" s="58">
        <f t="shared" si="16"/>
        <v>0</v>
      </c>
      <c r="BZ29" s="58">
        <f t="shared" si="16"/>
        <v>0</v>
      </c>
      <c r="CA29" s="58">
        <f t="shared" si="16"/>
        <v>0</v>
      </c>
      <c r="CB29" s="58">
        <f t="shared" si="16"/>
        <v>0</v>
      </c>
      <c r="CC29" s="58">
        <f t="shared" si="16"/>
        <v>0</v>
      </c>
      <c r="CD29" s="58">
        <f t="shared" si="16"/>
        <v>0</v>
      </c>
      <c r="CE29" s="58">
        <f t="shared" si="16"/>
        <v>0</v>
      </c>
      <c r="CF29" s="58">
        <f t="shared" si="16"/>
        <v>0</v>
      </c>
      <c r="CG29" s="58">
        <f t="shared" si="16"/>
        <v>0</v>
      </c>
      <c r="CJ29" t="s">
        <v>241</v>
      </c>
    </row>
    <row r="30" spans="1:88">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5.7250724999999996</v>
      </c>
      <c r="AH30" s="20">
        <f t="shared" si="7"/>
        <v>1.6266322251898679E-2</v>
      </c>
      <c r="AI30" s="20">
        <f t="shared" si="8"/>
        <v>9.9641753261915898E-3</v>
      </c>
      <c r="AJ30" s="20">
        <f t="shared" si="9"/>
        <v>6.1752286002199775E-3</v>
      </c>
      <c r="AK30" s="20">
        <f t="shared" si="10"/>
        <v>6.3018059765452706E-3</v>
      </c>
      <c r="AL30" s="17">
        <f t="shared" si="11"/>
        <v>3740776</v>
      </c>
      <c r="AM30" s="20">
        <v>16</v>
      </c>
      <c r="AN30" s="21">
        <v>84189552</v>
      </c>
      <c r="AO30" s="21">
        <v>2630923.5</v>
      </c>
      <c r="AP30" s="21">
        <v>31752.9375</v>
      </c>
      <c r="AQ30" s="22">
        <v>6106744</v>
      </c>
      <c r="AR30" s="22">
        <v>2318320</v>
      </c>
      <c r="AS30" s="22">
        <v>1422456</v>
      </c>
      <c r="AT30" s="22">
        <v>2365840</v>
      </c>
      <c r="AU30" s="23">
        <v>73.458337</v>
      </c>
      <c r="AV30" s="23">
        <v>75.724943999999994</v>
      </c>
      <c r="AW30" s="23">
        <v>34.742100000000001</v>
      </c>
      <c r="AX30" s="23">
        <v>42.161028000000002</v>
      </c>
      <c r="AY30" s="23">
        <v>43.769072000000001</v>
      </c>
      <c r="AZ30" s="24">
        <v>3879.56</v>
      </c>
      <c r="BA30" s="24">
        <v>3181.19</v>
      </c>
      <c r="BB30" s="24">
        <v>236.667</v>
      </c>
      <c r="BC30" s="24">
        <v>46.521000000000001</v>
      </c>
      <c r="BE30" s="49">
        <f t="shared" si="12"/>
        <v>1.0057125527755135</v>
      </c>
      <c r="BF30" s="25">
        <f t="shared" si="13"/>
        <v>-2.4549511511748681E-4</v>
      </c>
      <c r="BG30" s="25">
        <f t="shared" si="14"/>
        <v>1.7101099128437047E-3</v>
      </c>
      <c r="BH30" s="25">
        <f t="array" ref="BH30">AVERAGE(AL30:AL34/AQ30:AQ34) - AVERAGE(N30:N34/S30:S34)</f>
        <v>1.0527137916052642E-3</v>
      </c>
      <c r="BJ30" s="49">
        <f>IF( OR(ISBLANK(N30:N34),ISBLANK(AL30:AL34), ISBLANK(W30:W34),ISBLANK(AU30:AU34)), "·", bdRateExtend( N30:N34,W30:W34, AL30:AL34,AU30:AU34))</f>
        <v>3.2890186996530346E-3</v>
      </c>
      <c r="BK30" s="49">
        <f>IF( OR(ISBLANK(N30:N34),ISBLANK(AL30:AL34), ISBLANK(X30:X34),ISBLANK(AV30:AV34)), "·", bdRateExtend( N30:N34,X30:X34, AL30:AL34,AV30:AV34))</f>
        <v>8.9426607681875048E-4</v>
      </c>
      <c r="BL30" s="49">
        <f>IF( OR(ISBLANK(V30:V34),ISBLANK(AT30:AT34), ISBLANK(Y30:Y34),ISBLANK(AW30:AW34)), "·", bdRateExtend( V30:V34,Y30:Y34, AT30:AT34,AW30:AW34))</f>
        <v>8.6840044271063732E-5</v>
      </c>
      <c r="BM30" s="49">
        <f>IF( OR(ISBLANK(V30:V34),ISBLANK(AT30:AT34), ISBLANK(Z30:Z34),ISBLANK(AX30:AX34)), "·", bdRateExtend( V30:V34,Z30:Z34, AT30:AT34,AX30:AX34))</f>
        <v>-4.1459806647093922E-3</v>
      </c>
      <c r="BN30" s="49">
        <f>IF( OR(ISBLANK(V30:V34),ISBLANK(AT30:AT34), ISBLANK(AA30:AA34),ISBLANK(AY30:AY34)), "·", bdRateExtend( V30:V34,AA30:AA34, AT30:AT34,AY30:AY34))</f>
        <v>8.14564457068645E-3</v>
      </c>
      <c r="BP30" s="49">
        <f>IF( OR(ISBLANK(S30:S34),ISBLANK(AQ30:AQ34), ISBLANK(W30:W34),ISBLANK(AU30:AU34)), "·", bdRateExtend( S30:S34,W30:W34, AQ30:AQ34,AU30:AU34))</f>
        <v>6.0811390202331062E-4</v>
      </c>
      <c r="BQ30" s="49">
        <f>IF( OR(ISBLANK(S30:S34),ISBLANK(AQ30:AQ34), ISBLANK(X30:X34),ISBLANK(AV30:AV34)), "·", bdRateExtend( S30:S34,X30:X34, AQ30:AQ34,AV30:AV34))</f>
        <v>-3.214854563471925E-3</v>
      </c>
      <c r="BR30" s="49">
        <f>IF( OR(ISBLANK(S30:S34),ISBLANK(AQ30:AQ34), ISBLANK(Y30:Y34),ISBLANK(AW30:AW34)), "·", bdRateExtend( S30:S34,Y30:Y34, AQ30:AQ34,AW30:AW34))</f>
        <v>1.9998572746655618E-3</v>
      </c>
      <c r="BS30" s="49">
        <f>IF( OR(ISBLANK(S30:S34),ISBLANK(AQ30:AQ34), ISBLANK(Z30:Z34),ISBLANK(AX30:AX34)), "·", bdRateExtend( S30:S34,Z30:Z34, AQ30:AQ34,AX30:AX34))</f>
        <v>-1.1200117583221036E-3</v>
      </c>
      <c r="BT30" s="49">
        <f>IF( OR(ISBLANK(S30:S34),ISBLANK(AQ30:AQ34), ISBLANK(AA30:AA34),ISBLANK(AY30:AY34)), "·", bdRateExtend( S30:S34,AA30:AA34, AQ30:AQ34,AY30:AY34))</f>
        <v>7.5109699221120874E-3</v>
      </c>
      <c r="BV30" s="58">
        <f t="shared" si="16"/>
        <v>-68770</v>
      </c>
      <c r="BW30" s="58">
        <f t="shared" si="16"/>
        <v>-2149.0625</v>
      </c>
      <c r="BX30" s="58">
        <f t="shared" si="16"/>
        <v>-672.34375</v>
      </c>
      <c r="BY30" s="58">
        <f t="shared" si="16"/>
        <v>17688</v>
      </c>
      <c r="BZ30" s="58">
        <f t="shared" si="16"/>
        <v>0</v>
      </c>
      <c r="CA30" s="58">
        <f t="shared" si="16"/>
        <v>21248</v>
      </c>
      <c r="CB30" s="58">
        <f t="shared" si="16"/>
        <v>-3560</v>
      </c>
      <c r="CC30" s="58">
        <f t="shared" si="16"/>
        <v>-2.3939999999953443E-3</v>
      </c>
      <c r="CD30" s="58">
        <f t="shared" si="16"/>
        <v>1.1337999999994963E-2</v>
      </c>
      <c r="CE30" s="58">
        <f t="shared" si="16"/>
        <v>-3.0089999999987072E-3</v>
      </c>
      <c r="CF30" s="58">
        <f t="shared" si="16"/>
        <v>-6.3309999999958677E-3</v>
      </c>
      <c r="CG30" s="58">
        <f t="shared" si="16"/>
        <v>-2.4833999999998468E-2</v>
      </c>
      <c r="CJ30" t="s">
        <v>243</v>
      </c>
    </row>
    <row r="31" spans="1:88" outlineLevel="1">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8.1724650000000008</v>
      </c>
      <c r="AH31" s="11">
        <f t="shared" si="7"/>
        <v>2.3219959097873982E-2</v>
      </c>
      <c r="AI31" s="11">
        <f t="shared" si="8"/>
        <v>1.2259977816622246E-2</v>
      </c>
      <c r="AJ31" s="11">
        <f t="shared" si="9"/>
        <v>8.4710097813280195E-3</v>
      </c>
      <c r="AK31" s="11">
        <f t="shared" si="10"/>
        <v>1.0959640332089918E-2</v>
      </c>
      <c r="AL31" s="52">
        <f t="shared" si="11"/>
        <v>4602672</v>
      </c>
      <c r="AM31" s="11">
        <v>16</v>
      </c>
      <c r="AN31" s="12">
        <v>89782953</v>
      </c>
      <c r="AO31" s="12">
        <v>2805717.28125</v>
      </c>
      <c r="AP31" s="12">
        <v>40242.21875</v>
      </c>
      <c r="AQ31" s="13">
        <v>8717296</v>
      </c>
      <c r="AR31" s="13">
        <v>3180208</v>
      </c>
      <c r="AS31" s="13">
        <v>1422464</v>
      </c>
      <c r="AT31" s="13">
        <v>4114496</v>
      </c>
      <c r="AU31" s="14">
        <v>75.168240999999995</v>
      </c>
      <c r="AV31" s="14">
        <v>77.588708999999994</v>
      </c>
      <c r="AW31" s="14">
        <v>36.650630999999997</v>
      </c>
      <c r="AX31" s="14">
        <v>42.692883999999999</v>
      </c>
      <c r="AY31" s="14">
        <v>45.016378000000003</v>
      </c>
      <c r="AZ31" s="15">
        <v>3771.7</v>
      </c>
      <c r="BA31" s="15">
        <v>3275.22</v>
      </c>
      <c r="BB31" s="15">
        <v>241.94499999999999</v>
      </c>
      <c r="BC31" s="15">
        <v>46.584000000000003</v>
      </c>
      <c r="BE31" s="50">
        <f t="shared" si="12"/>
        <v>1.0046413678938877</v>
      </c>
      <c r="BF31" s="16">
        <f t="shared" si="13"/>
        <v>-2.9249359206576057E-4</v>
      </c>
      <c r="BG31" s="16">
        <f t="shared" si="14"/>
        <v>1.0412239504774545E-3</v>
      </c>
      <c r="BH31" s="16"/>
      <c r="BJ31" s="50"/>
      <c r="BK31" s="50"/>
      <c r="BL31" s="50"/>
      <c r="BM31" s="50"/>
      <c r="BN31" s="50"/>
      <c r="BP31" s="50"/>
      <c r="BQ31" s="50"/>
      <c r="BR31" s="50"/>
      <c r="BS31" s="50"/>
      <c r="BT31" s="50"/>
      <c r="BV31" s="58">
        <f t="shared" si="16"/>
        <v>-74686</v>
      </c>
      <c r="BW31" s="58">
        <f t="shared" si="16"/>
        <v>-2333.9375</v>
      </c>
      <c r="BX31" s="58">
        <f t="shared" si="16"/>
        <v>-854.8125</v>
      </c>
      <c r="BY31" s="58">
        <f t="shared" si="16"/>
        <v>23128</v>
      </c>
      <c r="BZ31" s="58">
        <f t="shared" si="16"/>
        <v>0</v>
      </c>
      <c r="CA31" s="58">
        <f t="shared" si="16"/>
        <v>21264</v>
      </c>
      <c r="CB31" s="58">
        <f t="shared" si="16"/>
        <v>1864</v>
      </c>
      <c r="CC31" s="58">
        <f t="shared" si="16"/>
        <v>-2.4429999999995289E-3</v>
      </c>
      <c r="CD31" s="58">
        <f t="shared" si="16"/>
        <v>1.3467999999988933E-2</v>
      </c>
      <c r="CE31" s="58">
        <f t="shared" si="16"/>
        <v>-9.4000000004257345E-5</v>
      </c>
      <c r="CF31" s="58">
        <f t="shared" si="16"/>
        <v>1.4381000000000199E-2</v>
      </c>
      <c r="CG31" s="58">
        <f t="shared" si="16"/>
        <v>-3.6144000000000176E-2</v>
      </c>
      <c r="CJ31" t="s">
        <v>243</v>
      </c>
    </row>
    <row r="32" spans="1:88" outlineLevel="1">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12.641565</v>
      </c>
      <c r="AH32" s="20">
        <f t="shared" si="7"/>
        <v>3.5917758256917016E-2</v>
      </c>
      <c r="AI32" s="20">
        <f t="shared" si="8"/>
        <v>1.5566417550652174E-2</v>
      </c>
      <c r="AJ32" s="20">
        <f t="shared" si="9"/>
        <v>1.1777470824680562E-2</v>
      </c>
      <c r="AK32" s="20">
        <f t="shared" si="10"/>
        <v>2.0350999757103024E-2</v>
      </c>
      <c r="AL32" s="17">
        <f t="shared" si="11"/>
        <v>5843984</v>
      </c>
      <c r="AM32" s="20">
        <v>16</v>
      </c>
      <c r="AN32" s="21">
        <v>91740724</v>
      </c>
      <c r="AO32" s="21">
        <v>2866897.625</v>
      </c>
      <c r="AP32" s="21">
        <v>43819.875</v>
      </c>
      <c r="AQ32" s="22">
        <v>13484336</v>
      </c>
      <c r="AR32" s="22">
        <v>4421528</v>
      </c>
      <c r="AS32" s="22">
        <v>1422456</v>
      </c>
      <c r="AT32" s="22">
        <v>7640224</v>
      </c>
      <c r="AU32" s="23">
        <v>76.463631000000007</v>
      </c>
      <c r="AV32" s="23">
        <v>79.139415999999997</v>
      </c>
      <c r="AW32" s="23">
        <v>38.397559000000001</v>
      </c>
      <c r="AX32" s="23">
        <v>43.207177999999999</v>
      </c>
      <c r="AY32" s="23">
        <v>46.201340999999999</v>
      </c>
      <c r="AZ32" s="24">
        <v>4371.47</v>
      </c>
      <c r="BA32" s="24">
        <v>3781.9</v>
      </c>
      <c r="BB32" s="24">
        <v>257.19200000000001</v>
      </c>
      <c r="BC32" s="24">
        <v>52.005000000000003</v>
      </c>
      <c r="BE32" s="49">
        <f t="shared" si="12"/>
        <v>1.0036505225729246</v>
      </c>
      <c r="BF32" s="25">
        <f t="shared" si="13"/>
        <v>-2.9010429051310946E-4</v>
      </c>
      <c r="BG32" s="25">
        <f t="shared" si="14"/>
        <v>1.5025530378391938E-3</v>
      </c>
      <c r="BH32" s="25"/>
      <c r="BJ32" s="49"/>
      <c r="BK32" s="49"/>
      <c r="BL32" s="49"/>
      <c r="BM32" s="49"/>
      <c r="BN32" s="49"/>
      <c r="BP32" s="49"/>
      <c r="BQ32" s="49"/>
      <c r="BR32" s="49"/>
      <c r="BS32" s="49"/>
      <c r="BT32" s="49"/>
      <c r="BV32" s="58">
        <f t="shared" si="16"/>
        <v>-73620</v>
      </c>
      <c r="BW32" s="58">
        <f t="shared" si="16"/>
        <v>-2300.625</v>
      </c>
      <c r="BX32" s="58">
        <f t="shared" si="16"/>
        <v>-867.53125</v>
      </c>
      <c r="BY32" s="58">
        <f t="shared" si="16"/>
        <v>2304</v>
      </c>
      <c r="BZ32" s="58">
        <f t="shared" si="16"/>
        <v>0</v>
      </c>
      <c r="CA32" s="58">
        <f t="shared" si="16"/>
        <v>21256</v>
      </c>
      <c r="CB32" s="58">
        <f t="shared" si="16"/>
        <v>-18952</v>
      </c>
      <c r="CC32" s="58">
        <f t="shared" si="16"/>
        <v>-2.6849999999996044E-3</v>
      </c>
      <c r="CD32" s="58">
        <f t="shared" si="16"/>
        <v>1.5665999999995961E-2</v>
      </c>
      <c r="CE32" s="58">
        <f t="shared" si="16"/>
        <v>-8.9249999999978513E-3</v>
      </c>
      <c r="CF32" s="58">
        <f t="shared" si="16"/>
        <v>2.0689999999987663E-3</v>
      </c>
      <c r="CG32" s="58">
        <f t="shared" si="16"/>
        <v>-2.4946999999997388E-2</v>
      </c>
      <c r="CJ32" t="s">
        <v>243</v>
      </c>
    </row>
    <row r="33" spans="1:88" outlineLevel="1">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21.13476</v>
      </c>
      <c r="AH33" s="11">
        <f t="shared" si="7"/>
        <v>6.0048989227042653E-2</v>
      </c>
      <c r="AI33" s="11">
        <f t="shared" si="8"/>
        <v>2.1036051860487789E-2</v>
      </c>
      <c r="AJ33" s="11">
        <f t="shared" si="9"/>
        <v>1.7247105134516178E-2</v>
      </c>
      <c r="AK33" s="11">
        <f t="shared" si="10"/>
        <v>3.901259641739304E-2</v>
      </c>
      <c r="AL33" s="52">
        <f t="shared" si="11"/>
        <v>7897408</v>
      </c>
      <c r="AM33" s="11">
        <v>16</v>
      </c>
      <c r="AN33" s="12">
        <v>93844003</v>
      </c>
      <c r="AO33" s="12">
        <v>2932625.09375</v>
      </c>
      <c r="AP33" s="12">
        <v>48500.4375</v>
      </c>
      <c r="AQ33" s="13">
        <v>22543744</v>
      </c>
      <c r="AR33" s="13">
        <v>6474952</v>
      </c>
      <c r="AS33" s="13">
        <v>1422456</v>
      </c>
      <c r="AT33" s="13">
        <v>14646208</v>
      </c>
      <c r="AU33" s="14">
        <v>77.608205999999996</v>
      </c>
      <c r="AV33" s="14">
        <v>80.347469000000004</v>
      </c>
      <c r="AW33" s="14">
        <v>39.998409000000002</v>
      </c>
      <c r="AX33" s="14">
        <v>43.905481000000002</v>
      </c>
      <c r="AY33" s="14">
        <v>47.808619</v>
      </c>
      <c r="AZ33" s="15">
        <v>3807.33</v>
      </c>
      <c r="BA33" s="15">
        <v>3685.34</v>
      </c>
      <c r="BB33" s="15">
        <v>245.267</v>
      </c>
      <c r="BC33" s="15">
        <v>49.197000000000003</v>
      </c>
      <c r="BE33" s="50">
        <f t="shared" si="12"/>
        <v>1.0026987798102422</v>
      </c>
      <c r="BF33" s="16">
        <f t="shared" si="13"/>
        <v>-2.9764274573232039E-4</v>
      </c>
      <c r="BG33" s="16">
        <f t="shared" si="14"/>
        <v>1.0098144166582612E-3</v>
      </c>
      <c r="BH33" s="16"/>
      <c r="BJ33" s="50"/>
      <c r="BK33" s="50"/>
      <c r="BL33" s="50"/>
      <c r="BM33" s="50"/>
      <c r="BN33" s="50"/>
      <c r="BP33" s="50"/>
      <c r="BQ33" s="50"/>
      <c r="BR33" s="50"/>
      <c r="BS33" s="50"/>
      <c r="BT33" s="50"/>
      <c r="BV33" s="58">
        <f t="shared" si="16"/>
        <v>-74247</v>
      </c>
      <c r="BW33" s="58">
        <f t="shared" si="16"/>
        <v>-2320.21875</v>
      </c>
      <c r="BX33" s="58">
        <f t="shared" si="16"/>
        <v>-911.9375</v>
      </c>
      <c r="BY33" s="58">
        <f t="shared" si="16"/>
        <v>-4320</v>
      </c>
      <c r="BZ33" s="58">
        <f t="shared" si="16"/>
        <v>0</v>
      </c>
      <c r="CA33" s="58">
        <f t="shared" si="16"/>
        <v>21256</v>
      </c>
      <c r="CB33" s="58">
        <f t="shared" si="16"/>
        <v>-25576</v>
      </c>
      <c r="CC33" s="58">
        <f t="shared" si="16"/>
        <v>9.7839999999962401E-3</v>
      </c>
      <c r="CD33" s="58">
        <f t="shared" si="16"/>
        <v>1.8962999999999397E-2</v>
      </c>
      <c r="CE33" s="58">
        <f t="shared" si="16"/>
        <v>-2.2689999999983002E-3</v>
      </c>
      <c r="CF33" s="58">
        <f t="shared" si="16"/>
        <v>-2.7410000000003265E-3</v>
      </c>
      <c r="CG33" s="58">
        <f t="shared" si="16"/>
        <v>-7.7969999999965012E-3</v>
      </c>
      <c r="CJ33" t="s">
        <v>243</v>
      </c>
    </row>
    <row r="34" spans="1:88" ht="16" outlineLevel="1" thickBot="1">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39.806077500000001</v>
      </c>
      <c r="AH34" s="39">
        <f t="shared" si="7"/>
        <v>0.11309873965771672</v>
      </c>
      <c r="AI34" s="39">
        <f t="shared" si="8"/>
        <v>3.3647249932428805E-2</v>
      </c>
      <c r="AJ34" s="39">
        <f t="shared" si="9"/>
        <v>2.6181230424207429E-2</v>
      </c>
      <c r="AK34" s="39">
        <f t="shared" si="10"/>
        <v>7.9451148776126093E-2</v>
      </c>
      <c r="AL34" s="36">
        <f t="shared" si="11"/>
        <v>12631936</v>
      </c>
      <c r="AM34" s="39">
        <v>16</v>
      </c>
      <c r="AN34" s="40">
        <v>92079625</v>
      </c>
      <c r="AO34" s="40">
        <v>2877488.28125</v>
      </c>
      <c r="AP34" s="40">
        <v>21318.28125</v>
      </c>
      <c r="AQ34" s="41">
        <v>42459816</v>
      </c>
      <c r="AR34" s="41">
        <v>9829024</v>
      </c>
      <c r="AS34" s="41">
        <v>2802912</v>
      </c>
      <c r="AT34" s="41">
        <v>29827752</v>
      </c>
      <c r="AU34" s="42">
        <v>78.535988000000003</v>
      </c>
      <c r="AV34" s="42">
        <v>81.998384000000001</v>
      </c>
      <c r="AW34" s="42">
        <v>41.515903000000002</v>
      </c>
      <c r="AX34" s="42">
        <v>44.700215999999998</v>
      </c>
      <c r="AY34" s="42">
        <v>49.230597000000003</v>
      </c>
      <c r="AZ34" s="43">
        <v>4264.53</v>
      </c>
      <c r="BA34" s="43">
        <v>4472.07</v>
      </c>
      <c r="BB34" s="43">
        <v>261.78899999999999</v>
      </c>
      <c r="BC34" s="43">
        <v>59.732999999999997</v>
      </c>
      <c r="BE34" s="44">
        <f t="shared" si="12"/>
        <v>0.99999936668496947</v>
      </c>
      <c r="BF34" s="45">
        <f t="shared" si="13"/>
        <v>0</v>
      </c>
      <c r="BG34" s="45">
        <f t="shared" si="14"/>
        <v>-1.3235979223757965E-7</v>
      </c>
      <c r="BH34" s="45"/>
      <c r="BJ34" s="44"/>
      <c r="BK34" s="44"/>
      <c r="BL34" s="44"/>
      <c r="BM34" s="44"/>
      <c r="BN34" s="44"/>
      <c r="BP34" s="44"/>
      <c r="BQ34" s="44"/>
      <c r="BR34" s="44"/>
      <c r="BS34" s="44"/>
      <c r="BT34" s="44"/>
      <c r="BV34" s="58">
        <f t="shared" si="16"/>
        <v>0</v>
      </c>
      <c r="BW34" s="58">
        <f t="shared" si="16"/>
        <v>0</v>
      </c>
      <c r="BX34" s="58">
        <f t="shared" si="16"/>
        <v>0</v>
      </c>
      <c r="BY34" s="58">
        <f t="shared" si="16"/>
        <v>-8</v>
      </c>
      <c r="BZ34" s="58">
        <f t="shared" si="16"/>
        <v>0</v>
      </c>
      <c r="CA34" s="58">
        <f t="shared" si="16"/>
        <v>-8</v>
      </c>
      <c r="CB34" s="58">
        <f t="shared" si="16"/>
        <v>0</v>
      </c>
      <c r="CC34" s="58">
        <f t="shared" si="16"/>
        <v>0</v>
      </c>
      <c r="CD34" s="58">
        <f t="shared" si="16"/>
        <v>0</v>
      </c>
      <c r="CE34" s="58">
        <f t="shared" si="16"/>
        <v>0</v>
      </c>
      <c r="CF34" s="58">
        <f t="shared" si="16"/>
        <v>0</v>
      </c>
      <c r="CG34" s="58">
        <f t="shared" si="16"/>
        <v>0</v>
      </c>
      <c r="CJ34" t="s">
        <v>243</v>
      </c>
    </row>
    <row r="35" spans="1:88">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6.3665925000000003</v>
      </c>
      <c r="AH35" s="11">
        <f t="shared" si="7"/>
        <v>2.038181805254468E-2</v>
      </c>
      <c r="AI35" s="11">
        <f t="shared" si="8"/>
        <v>1.1806140237010045E-2</v>
      </c>
      <c r="AJ35" s="11">
        <f t="shared" si="9"/>
        <v>7.2102134882886838E-3</v>
      </c>
      <c r="AK35" s="11">
        <f t="shared" si="10"/>
        <v>8.5752936511380128E-3</v>
      </c>
      <c r="AL35" s="52">
        <f t="shared" si="11"/>
        <v>3933696</v>
      </c>
      <c r="AM35" s="11">
        <v>16</v>
      </c>
      <c r="AN35" s="12">
        <v>74624002</v>
      </c>
      <c r="AO35" s="12">
        <v>2332000.0625</v>
      </c>
      <c r="AP35" s="12">
        <v>30330.8125</v>
      </c>
      <c r="AQ35" s="13">
        <v>6791032</v>
      </c>
      <c r="AR35" s="13">
        <v>2402376</v>
      </c>
      <c r="AS35" s="13">
        <v>1531320</v>
      </c>
      <c r="AT35" s="13">
        <v>2857208</v>
      </c>
      <c r="AU35" s="14">
        <v>73.189231000000007</v>
      </c>
      <c r="AV35" s="14">
        <v>75.441303000000005</v>
      </c>
      <c r="AW35" s="14">
        <v>33.994008999999998</v>
      </c>
      <c r="AX35" s="14">
        <v>42.551588000000002</v>
      </c>
      <c r="AY35" s="14">
        <v>44.072034000000002</v>
      </c>
      <c r="AZ35" s="15">
        <v>3387.81</v>
      </c>
      <c r="BA35" s="15">
        <v>4557.21</v>
      </c>
      <c r="BB35" s="15">
        <v>199.77</v>
      </c>
      <c r="BC35" s="15">
        <v>63.829000000000001</v>
      </c>
      <c r="BE35" s="50">
        <f t="shared" si="12"/>
        <v>1.0057784314166669</v>
      </c>
      <c r="BF35" s="16">
        <f t="shared" si="13"/>
        <v>-2.8051707428736888E-4</v>
      </c>
      <c r="BG35" s="16">
        <f t="shared" si="14"/>
        <v>1.6138199991250213E-3</v>
      </c>
      <c r="BH35" s="16">
        <f t="array" ref="BH35">AVERAGE(AL35:AL39/AQ35:AQ39) - AVERAGE(N35:N39/S35:S39)</f>
        <v>1.139890318505421E-3</v>
      </c>
      <c r="BJ35" s="50">
        <f>IF( OR(ISBLANK(N35:N39),ISBLANK(AL35:AL39), ISBLANK(W35:W39),ISBLANK(AU35:AU39)), "·", bdRateExtend( N35:N39,W35:W39, AL35:AL39,AU35:AU39))</f>
        <v>3.6064635128572053E-3</v>
      </c>
      <c r="BK35" s="50">
        <f>IF( OR(ISBLANK(N35:N39),ISBLANK(AL35:AL39), ISBLANK(X35:X39),ISBLANK(AV35:AV39)), "·", bdRateExtend( N35:N39,X35:X39, AL35:AL39,AV35:AV39))</f>
        <v>1.1097808563063083E-3</v>
      </c>
      <c r="BL35" s="50">
        <f>IF( OR(ISBLANK(V35:V39),ISBLANK(AT35:AT39), ISBLANK(Y35:Y39),ISBLANK(AW35:AW39)), "·", bdRateExtend( V35:V39,Y35:Y39, AT35:AT39,AW35:AW39))</f>
        <v>-5.1688879111999597E-4</v>
      </c>
      <c r="BM35" s="50">
        <f>IF( OR(ISBLANK(V35:V39),ISBLANK(AT35:AT39), ISBLANK(Z35:Z39),ISBLANK(AX35:AX39)), "·", bdRateExtend( V35:V39,Z35:Z39, AT35:AT39,AX35:AX39))</f>
        <v>-4.7094201037104488E-3</v>
      </c>
      <c r="BN35" s="50">
        <f>IF( OR(ISBLANK(V35:V39),ISBLANK(AT35:AT39), ISBLANK(AA35:AA39),ISBLANK(AY35:AY39)), "·", bdRateExtend( V35:V39,AA35:AA39, AT35:AT39,AY35:AY39))</f>
        <v>-9.6885754475436459E-3</v>
      </c>
      <c r="BP35" s="50">
        <f>IF( OR(ISBLANK(S35:S39),ISBLANK(AQ35:AQ39), ISBLANK(W35:W39),ISBLANK(AU35:AU39)), "·", bdRateExtend( S35:S39,W35:W39, AQ35:AQ39,AU35:AU39))</f>
        <v>4.4632078461837033E-4</v>
      </c>
      <c r="BQ35" s="50">
        <f>IF( OR(ISBLANK(S35:S39),ISBLANK(AQ35:AQ39), ISBLANK(X35:X39),ISBLANK(AV35:AV39)), "·", bdRateExtend( S35:S39,X35:X39, AQ35:AQ39,AV35:AV39))</f>
        <v>-3.4312213405937042E-3</v>
      </c>
      <c r="BR35" s="50">
        <f>IF( OR(ISBLANK(S35:S39),ISBLANK(AQ35:AQ39), ISBLANK(Y35:Y39),ISBLANK(AW35:AW39)), "·", bdRateExtend( S35:S39,Y35:Y39, AQ35:AQ39,AW35:AW39))</f>
        <v>1.6639535351599122E-3</v>
      </c>
      <c r="BS35" s="50">
        <f>IF( OR(ISBLANK(S35:S39),ISBLANK(AQ35:AQ39), ISBLANK(Z35:Z39),ISBLANK(AX35:AX39)), "·", bdRateExtend( S35:S39,Z35:Z39, AQ35:AQ39,AX35:AX39))</f>
        <v>-1.8666698307778784E-3</v>
      </c>
      <c r="BT35" s="50">
        <f>IF( OR(ISBLANK(S35:S39),ISBLANK(AQ35:AQ39), ISBLANK(AA35:AA39),ISBLANK(AY35:AY39)), "·", bdRateExtend( S35:S39,AA35:AA39, AQ35:AQ39,AY35:AY39))</f>
        <v>-5.2947455396434862E-3</v>
      </c>
      <c r="BV35" s="58">
        <f t="shared" si="16"/>
        <v>-64853</v>
      </c>
      <c r="BW35" s="58">
        <f t="shared" si="16"/>
        <v>-2026.65625</v>
      </c>
      <c r="BX35" s="58">
        <f t="shared" si="16"/>
        <v>-681.09375</v>
      </c>
      <c r="BY35" s="58">
        <f t="shared" si="16"/>
        <v>20152</v>
      </c>
      <c r="BZ35" s="58">
        <f t="shared" si="16"/>
        <v>0</v>
      </c>
      <c r="CA35" s="58">
        <f t="shared" si="16"/>
        <v>22600</v>
      </c>
      <c r="CB35" s="58">
        <f t="shared" si="16"/>
        <v>-2448</v>
      </c>
      <c r="CC35" s="58">
        <f t="shared" si="16"/>
        <v>-2.0499999999969987E-3</v>
      </c>
      <c r="CD35" s="58">
        <f t="shared" si="16"/>
        <v>1.0733999999999355E-2</v>
      </c>
      <c r="CE35" s="58">
        <f t="shared" si="16"/>
        <v>-2.2629999999992378E-3</v>
      </c>
      <c r="CF35" s="58">
        <f t="shared" si="16"/>
        <v>-1.1477999999996769E-2</v>
      </c>
      <c r="CG35" s="58">
        <f t="shared" si="16"/>
        <v>2.2928000000000281E-2</v>
      </c>
      <c r="CJ35" t="s">
        <v>244</v>
      </c>
    </row>
    <row r="36" spans="1:88" outlineLevel="1">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9.0500624999999992</v>
      </c>
      <c r="AH36" s="20">
        <f t="shared" si="7"/>
        <v>2.8972598330921546E-2</v>
      </c>
      <c r="AI36" s="20">
        <f t="shared" si="8"/>
        <v>1.4401746982791588E-2</v>
      </c>
      <c r="AJ36" s="20">
        <f t="shared" si="9"/>
        <v>9.8057962237954373E-3</v>
      </c>
      <c r="AK36" s="20">
        <f t="shared" si="10"/>
        <v>1.4570467183733336E-2</v>
      </c>
      <c r="AL36" s="17">
        <f t="shared" si="11"/>
        <v>4798528</v>
      </c>
      <c r="AM36" s="20">
        <v>16</v>
      </c>
      <c r="AN36" s="21">
        <v>79875771</v>
      </c>
      <c r="AO36" s="21">
        <v>2496117.84375</v>
      </c>
      <c r="AP36" s="21">
        <v>38700.625</v>
      </c>
      <c r="AQ36" s="22">
        <v>9653400</v>
      </c>
      <c r="AR36" s="22">
        <v>3267200</v>
      </c>
      <c r="AS36" s="22">
        <v>1531328</v>
      </c>
      <c r="AT36" s="22">
        <v>4854744</v>
      </c>
      <c r="AU36" s="23">
        <v>74.928299999999993</v>
      </c>
      <c r="AV36" s="23">
        <v>77.372186999999997</v>
      </c>
      <c r="AW36" s="23">
        <v>36.0914</v>
      </c>
      <c r="AX36" s="23">
        <v>43.179687000000001</v>
      </c>
      <c r="AY36" s="23">
        <v>45.370522000000001</v>
      </c>
      <c r="AZ36" s="24">
        <v>3988.35</v>
      </c>
      <c r="BA36" s="24">
        <v>5700.59</v>
      </c>
      <c r="BB36" s="24">
        <v>244.81100000000001</v>
      </c>
      <c r="BC36" s="24">
        <v>77.319000000000003</v>
      </c>
      <c r="BE36" s="49">
        <f t="shared" si="12"/>
        <v>1.0047320646374904</v>
      </c>
      <c r="BF36" s="25">
        <f t="shared" si="13"/>
        <v>-3.1565286717566421E-4</v>
      </c>
      <c r="BG36" s="25">
        <f t="shared" si="14"/>
        <v>2.0010178017420555E-3</v>
      </c>
      <c r="BH36" s="25"/>
      <c r="BJ36" s="49"/>
      <c r="BK36" s="49"/>
      <c r="BL36" s="49"/>
      <c r="BM36" s="49"/>
      <c r="BN36" s="49"/>
      <c r="BP36" s="49"/>
      <c r="BQ36" s="49"/>
      <c r="BR36" s="49"/>
      <c r="BS36" s="49"/>
      <c r="BT36" s="49"/>
      <c r="BV36" s="58">
        <f t="shared" si="16"/>
        <v>-70037</v>
      </c>
      <c r="BW36" s="58">
        <f t="shared" si="16"/>
        <v>-2188.65625</v>
      </c>
      <c r="BX36" s="58">
        <f t="shared" si="16"/>
        <v>-822.53125</v>
      </c>
      <c r="BY36" s="58">
        <f t="shared" si="16"/>
        <v>6632</v>
      </c>
      <c r="BZ36" s="58">
        <f t="shared" si="16"/>
        <v>0</v>
      </c>
      <c r="CA36" s="58">
        <f t="shared" si="16"/>
        <v>22600</v>
      </c>
      <c r="CB36" s="58">
        <f t="shared" si="16"/>
        <v>-15968</v>
      </c>
      <c r="CC36" s="58">
        <f t="shared" si="16"/>
        <v>-2.2810000000106356E-3</v>
      </c>
      <c r="CD36" s="58">
        <f t="shared" si="16"/>
        <v>1.337099999999225E-2</v>
      </c>
      <c r="CE36" s="58">
        <f t="shared" si="16"/>
        <v>-7.5250000000011141E-3</v>
      </c>
      <c r="CF36" s="58">
        <f t="shared" si="16"/>
        <v>1.1093000000002462E-2</v>
      </c>
      <c r="CG36" s="58">
        <f t="shared" si="16"/>
        <v>3.4778000000002862E-2</v>
      </c>
      <c r="CJ36" t="s">
        <v>244</v>
      </c>
    </row>
    <row r="37" spans="1:88" outlineLevel="1">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13.76427</v>
      </c>
      <c r="AH37" s="11">
        <f t="shared" si="7"/>
        <v>4.4064520662520673E-2</v>
      </c>
      <c r="AI37" s="11">
        <f t="shared" si="8"/>
        <v>1.820084474209302E-2</v>
      </c>
      <c r="AJ37" s="11">
        <f t="shared" si="9"/>
        <v>1.3604893983096869E-2</v>
      </c>
      <c r="AK37" s="11">
        <f t="shared" si="10"/>
        <v>2.5863291756031033E-2</v>
      </c>
      <c r="AL37" s="52">
        <f t="shared" si="11"/>
        <v>6064352</v>
      </c>
      <c r="AM37" s="11">
        <v>16</v>
      </c>
      <c r="AN37" s="12">
        <v>81711372</v>
      </c>
      <c r="AO37" s="12">
        <v>2553480.375</v>
      </c>
      <c r="AP37" s="12">
        <v>42156.59375</v>
      </c>
      <c r="AQ37" s="13">
        <v>14681888</v>
      </c>
      <c r="AR37" s="13">
        <v>4533024</v>
      </c>
      <c r="AS37" s="13">
        <v>1531328</v>
      </c>
      <c r="AT37" s="13">
        <v>8617408</v>
      </c>
      <c r="AU37" s="14">
        <v>76.236446999999998</v>
      </c>
      <c r="AV37" s="14">
        <v>78.956621999999996</v>
      </c>
      <c r="AW37" s="14">
        <v>37.924518999999997</v>
      </c>
      <c r="AX37" s="14">
        <v>43.749394000000002</v>
      </c>
      <c r="AY37" s="14">
        <v>46.493327999999998</v>
      </c>
      <c r="AZ37" s="15">
        <v>3319.77</v>
      </c>
      <c r="BA37" s="15">
        <v>4826.45</v>
      </c>
      <c r="BB37" s="15">
        <v>220.25399999999999</v>
      </c>
      <c r="BC37" s="15">
        <v>68.762</v>
      </c>
      <c r="BE37" s="50">
        <f t="shared" si="12"/>
        <v>1.003740636821902</v>
      </c>
      <c r="BF37" s="16">
        <f t="shared" si="13"/>
        <v>-3.2190374783725925E-4</v>
      </c>
      <c r="BG37" s="16">
        <f t="shared" si="14"/>
        <v>1.1791112557384409E-3</v>
      </c>
      <c r="BH37" s="16"/>
      <c r="BJ37" s="50"/>
      <c r="BK37" s="50"/>
      <c r="BL37" s="50"/>
      <c r="BM37" s="50"/>
      <c r="BN37" s="50"/>
      <c r="BP37" s="50"/>
      <c r="BQ37" s="50"/>
      <c r="BR37" s="50"/>
      <c r="BS37" s="50"/>
      <c r="BT37" s="50"/>
      <c r="BV37" s="58">
        <f t="shared" si="16"/>
        <v>-68729</v>
      </c>
      <c r="BW37" s="58">
        <f t="shared" si="16"/>
        <v>-2147.78125</v>
      </c>
      <c r="BX37" s="58">
        <f t="shared" si="16"/>
        <v>-858.125</v>
      </c>
      <c r="BY37" s="58">
        <f t="shared" si="16"/>
        <v>12840</v>
      </c>
      <c r="BZ37" s="58">
        <f t="shared" si="16"/>
        <v>0</v>
      </c>
      <c r="CA37" s="58">
        <f t="shared" si="16"/>
        <v>22600</v>
      </c>
      <c r="CB37" s="58">
        <f t="shared" si="16"/>
        <v>-9760</v>
      </c>
      <c r="CC37" s="58">
        <f t="shared" si="16"/>
        <v>-2.3659999999949832E-3</v>
      </c>
      <c r="CD37" s="58">
        <f t="shared" si="16"/>
        <v>1.5412999999995236E-2</v>
      </c>
      <c r="CE37" s="58">
        <f t="shared" si="16"/>
        <v>-3.5400000000009868E-3</v>
      </c>
      <c r="CF37" s="58">
        <f t="shared" si="16"/>
        <v>4.131000000000995E-3</v>
      </c>
      <c r="CG37" s="58">
        <f t="shared" si="16"/>
        <v>6.5899999999885495E-4</v>
      </c>
      <c r="CJ37" t="s">
        <v>244</v>
      </c>
    </row>
    <row r="38" spans="1:88" outlineLevel="1">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f t="shared" si="6"/>
        <v>22.9934625</v>
      </c>
      <c r="AH38" s="20">
        <f t="shared" si="7"/>
        <v>7.3610580396500813E-2</v>
      </c>
      <c r="AI38" s="20">
        <f t="shared" si="8"/>
        <v>2.4395375586260756E-2</v>
      </c>
      <c r="AJ38" s="20">
        <f t="shared" si="9"/>
        <v>1.9799424827264607E-2</v>
      </c>
      <c r="AK38" s="20">
        <f t="shared" si="10"/>
        <v>4.9214820645843441E-2</v>
      </c>
      <c r="AL38" s="17">
        <f t="shared" si="11"/>
        <v>8128312</v>
      </c>
      <c r="AM38" s="20">
        <v>16</v>
      </c>
      <c r="AN38" s="21">
        <v>83893505</v>
      </c>
      <c r="AO38" s="21">
        <v>2621672.03125</v>
      </c>
      <c r="AP38" s="21">
        <v>47338.9375</v>
      </c>
      <c r="AQ38" s="22">
        <v>24526360</v>
      </c>
      <c r="AR38" s="22">
        <v>6596984</v>
      </c>
      <c r="AS38" s="22">
        <v>1531328</v>
      </c>
      <c r="AT38" s="22">
        <v>16397920</v>
      </c>
      <c r="AU38" s="23">
        <v>77.425336999999999</v>
      </c>
      <c r="AV38" s="23">
        <v>80.159183999999996</v>
      </c>
      <c r="AW38" s="23">
        <v>39.694588000000003</v>
      </c>
      <c r="AX38" s="23">
        <v>44.533847000000002</v>
      </c>
      <c r="AY38" s="23">
        <v>47.822355999999999</v>
      </c>
      <c r="AZ38" s="24">
        <v>3565.46</v>
      </c>
      <c r="BA38" s="24">
        <v>5268.57</v>
      </c>
      <c r="BB38" s="24">
        <v>233.13399999999999</v>
      </c>
      <c r="BC38" s="24">
        <v>75.061000000000007</v>
      </c>
      <c r="BE38" s="49">
        <f t="shared" si="12"/>
        <v>1.0027881572895756</v>
      </c>
      <c r="BF38" s="25">
        <f t="shared" si="13"/>
        <v>-3.4279906302486784E-4</v>
      </c>
      <c r="BG38" s="25">
        <f t="shared" si="14"/>
        <v>9.0550253592164287E-4</v>
      </c>
      <c r="BH38" s="25"/>
      <c r="BJ38" s="49"/>
      <c r="BK38" s="49"/>
      <c r="BL38" s="49"/>
      <c r="BM38" s="49"/>
      <c r="BN38" s="49"/>
      <c r="BP38" s="49"/>
      <c r="BQ38" s="49"/>
      <c r="BR38" s="49"/>
      <c r="BS38" s="49"/>
      <c r="BT38" s="49"/>
      <c r="BV38" s="58">
        <f t="shared" si="16"/>
        <v>-70403</v>
      </c>
      <c r="BW38" s="58">
        <f t="shared" si="16"/>
        <v>-2200.09375</v>
      </c>
      <c r="BX38" s="58">
        <f t="shared" si="16"/>
        <v>-939.1875</v>
      </c>
      <c r="BY38" s="58">
        <f t="shared" si="16"/>
        <v>1184</v>
      </c>
      <c r="BZ38" s="58">
        <f t="shared" si="16"/>
        <v>0</v>
      </c>
      <c r="CA38" s="58">
        <f t="shared" si="16"/>
        <v>22600</v>
      </c>
      <c r="CB38" s="58">
        <f t="shared" si="16"/>
        <v>-21416</v>
      </c>
      <c r="CC38" s="58">
        <f t="shared" si="16"/>
        <v>6.9210000000055061E-3</v>
      </c>
      <c r="CD38" s="58">
        <f t="shared" si="16"/>
        <v>1.8664999999998599E-2</v>
      </c>
      <c r="CE38" s="58">
        <f t="shared" si="16"/>
        <v>-2.1239999999949077E-3</v>
      </c>
      <c r="CF38" s="58">
        <f t="shared" si="16"/>
        <v>2.6939999999981978E-3</v>
      </c>
      <c r="CG38" s="58">
        <f t="shared" si="16"/>
        <v>1.7558999999998548E-2</v>
      </c>
      <c r="CJ38" t="s">
        <v>244</v>
      </c>
    </row>
    <row r="39" spans="1:88" ht="16" outlineLevel="1" thickBot="1">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42.363262499999998</v>
      </c>
      <c r="AH39" s="29">
        <f t="shared" si="7"/>
        <v>0.13562047647736039</v>
      </c>
      <c r="AI39" s="29">
        <f t="shared" si="8"/>
        <v>3.9399204219659333E-2</v>
      </c>
      <c r="AJ39" s="29">
        <f t="shared" si="9"/>
        <v>3.0117168130109423E-2</v>
      </c>
      <c r="AK39" s="29">
        <f t="shared" si="10"/>
        <v>9.6220888093304438E-2</v>
      </c>
      <c r="AL39" s="26">
        <f t="shared" si="11"/>
        <v>13127448</v>
      </c>
      <c r="AM39" s="29">
        <v>16</v>
      </c>
      <c r="AN39" s="30">
        <v>82025858</v>
      </c>
      <c r="AO39" s="30">
        <v>2563308.0625</v>
      </c>
      <c r="AP39" s="30">
        <v>19366.5625</v>
      </c>
      <c r="AQ39" s="31">
        <v>45187480</v>
      </c>
      <c r="AR39" s="31">
        <v>10034760</v>
      </c>
      <c r="AS39" s="31">
        <v>3092688</v>
      </c>
      <c r="AT39" s="31">
        <v>32059904</v>
      </c>
      <c r="AU39" s="32">
        <v>78.318230999999997</v>
      </c>
      <c r="AV39" s="32">
        <v>81.877509000000003</v>
      </c>
      <c r="AW39" s="32">
        <v>41.297905999999998</v>
      </c>
      <c r="AX39" s="32">
        <v>45.537005999999998</v>
      </c>
      <c r="AY39" s="32">
        <v>49.137197</v>
      </c>
      <c r="AZ39" s="33">
        <v>3356.93</v>
      </c>
      <c r="BA39" s="33">
        <v>5401.26</v>
      </c>
      <c r="BB39" s="33">
        <v>215.24600000000001</v>
      </c>
      <c r="BC39" s="33">
        <v>77.308000000000007</v>
      </c>
      <c r="BE39" s="34">
        <f t="shared" si="12"/>
        <v>1</v>
      </c>
      <c r="BF39" s="35">
        <f t="shared" si="13"/>
        <v>0</v>
      </c>
      <c r="BG39" s="35">
        <f t="shared" si="14"/>
        <v>0</v>
      </c>
      <c r="BH39" s="35"/>
      <c r="BJ39" s="34"/>
      <c r="BK39" s="34"/>
      <c r="BL39" s="34"/>
      <c r="BM39" s="34"/>
      <c r="BN39" s="34"/>
      <c r="BP39" s="34"/>
      <c r="BQ39" s="34"/>
      <c r="BR39" s="34"/>
      <c r="BS39" s="34"/>
      <c r="BT39" s="34"/>
      <c r="BV39" s="58">
        <f t="shared" si="16"/>
        <v>0</v>
      </c>
      <c r="BW39" s="58">
        <f t="shared" si="16"/>
        <v>0</v>
      </c>
      <c r="BX39" s="58">
        <f t="shared" si="16"/>
        <v>0</v>
      </c>
      <c r="BY39" s="58">
        <f t="shared" si="16"/>
        <v>0</v>
      </c>
      <c r="BZ39" s="58">
        <f t="shared" si="16"/>
        <v>0</v>
      </c>
      <c r="CA39" s="58">
        <f t="shared" si="16"/>
        <v>0</v>
      </c>
      <c r="CB39" s="58">
        <f t="shared" si="16"/>
        <v>0</v>
      </c>
      <c r="CC39" s="58">
        <f t="shared" si="16"/>
        <v>0</v>
      </c>
      <c r="CD39" s="58">
        <f t="shared" si="16"/>
        <v>0</v>
      </c>
      <c r="CE39" s="58">
        <f t="shared" si="16"/>
        <v>0</v>
      </c>
      <c r="CF39" s="58">
        <f t="shared" si="16"/>
        <v>0</v>
      </c>
      <c r="CG39" s="58">
        <f t="shared" si="16"/>
        <v>0</v>
      </c>
      <c r="CJ39" t="s">
        <v>244</v>
      </c>
    </row>
    <row r="40" spans="1:88" ht="16">
      <c r="B40" s="46" t="s">
        <v>16</v>
      </c>
      <c r="J40" s="47">
        <f>AVERAGE(J5:J24)</f>
        <v>4.4080014091290469E-2</v>
      </c>
      <c r="K40" s="47">
        <f>AVERAGE(K5:K24)</f>
        <v>1.3798351612897667E-2</v>
      </c>
      <c r="L40" s="47">
        <f>AVERAGE(L5:L24)</f>
        <v>9.669902595508012E-3</v>
      </c>
      <c r="M40" s="47">
        <f>AVERAGE(M5:M24)</f>
        <v>3.0281154510586043E-2</v>
      </c>
      <c r="AH40" s="47">
        <f>AVERAGE(AH5:AH24)</f>
        <v>4.4095396493454411E-2</v>
      </c>
      <c r="AI40" s="47">
        <f>AVERAGE(AI5:AI24)</f>
        <v>1.3869783798926097E-2</v>
      </c>
      <c r="AJ40" s="47">
        <f>AVERAGE(AJ5:AJ24)</f>
        <v>9.669902595508012E-3</v>
      </c>
      <c r="AK40" s="47">
        <f>AVERAGE(AK5:AK24)</f>
        <v>3.0225104726721554E-2</v>
      </c>
      <c r="BE40" s="51">
        <f t="shared" si="12"/>
        <v>1.0051768637321621</v>
      </c>
      <c r="BH40" s="55">
        <f>AVERAGE(BH5:BH24)</f>
        <v>2.3361374230048831E-3</v>
      </c>
      <c r="BJ40" s="51">
        <f>AVERAGE(BJ5:BJ24)</f>
        <v>7.7686352720856555E-3</v>
      </c>
      <c r="BK40" s="51">
        <f>AVERAGE(BK5:BK24)</f>
        <v>1.1647383183869819E-3</v>
      </c>
      <c r="BL40" s="51">
        <f>AVERAGE(BL5:BL24)</f>
        <v>-2.8607134483096819E-3</v>
      </c>
      <c r="BM40" s="51">
        <f>AVERAGE(BM5:BM24)</f>
        <v>-4.3269124081607435E-3</v>
      </c>
      <c r="BN40" s="51">
        <f>AVERAGE(BN5:BN24)</f>
        <v>-3.2915556200568685E-3</v>
      </c>
      <c r="BP40" s="51">
        <f>AVERAGE(BP5:BP24)</f>
        <v>1.4881302550454889E-3</v>
      </c>
      <c r="BQ40" s="51">
        <f>AVERAGE(BQ5:BQ24)</f>
        <v>-9.722660644298553E-3</v>
      </c>
      <c r="BR40" s="51">
        <f>AVERAGE(BR5:BR24)</f>
        <v>1.1830328921798305E-3</v>
      </c>
      <c r="BS40" s="51">
        <f>AVERAGE(BS5:BS24)</f>
        <v>4.5280241270281851E-4</v>
      </c>
      <c r="BT40" s="51">
        <f>AVERAGE(BT5:BT24)</f>
        <v>1.2487848419610315E-3</v>
      </c>
    </row>
    <row r="41" spans="1:88" ht="16">
      <c r="B41" s="46" t="s">
        <v>17</v>
      </c>
      <c r="J41" s="47">
        <f>AVERAGE(J25:J29)</f>
        <v>7.9856539603402193E-2</v>
      </c>
      <c r="K41" s="47">
        <f>AVERAGE(K25:K29)</f>
        <v>1.2365717129266504E-2</v>
      </c>
      <c r="L41" s="47">
        <f>AVERAGE(L25:L29)</f>
        <v>9.1151281892310389E-3</v>
      </c>
      <c r="M41" s="47">
        <f>AVERAGE(M25:M29)</f>
        <v>6.7490311076729578E-2</v>
      </c>
      <c r="AH41" s="47">
        <f>AVERAGE(AH25:AH29)</f>
        <v>7.9868435985561995E-2</v>
      </c>
      <c r="AI41" s="47">
        <f>AVERAGE(AI25:AI29)</f>
        <v>1.2421945274069096E-2</v>
      </c>
      <c r="AJ41" s="47">
        <f>AVERAGE(AJ25:AJ29)</f>
        <v>9.1151281892310389E-3</v>
      </c>
      <c r="AK41" s="47">
        <f>AVERAGE(AK25:AK29)</f>
        <v>6.7445979314086787E-2</v>
      </c>
      <c r="BE41" s="51">
        <f t="shared" si="12"/>
        <v>1.0045470993889642</v>
      </c>
      <c r="BH41" s="55">
        <f>AVERAGE(BH25:BH29)</f>
        <v>1.31956528491875E-3</v>
      </c>
      <c r="BJ41" s="51">
        <f>AVERAGE(BJ25:BJ29)</f>
        <v>6.5299569340808716E-3</v>
      </c>
      <c r="BK41" s="51">
        <f>AVERAGE(BK25:BK29)</f>
        <v>-5.498025208350299E-5</v>
      </c>
      <c r="BL41" s="51">
        <f>AVERAGE(BL25:BL29)</f>
        <v>-5.4697050583740747E-4</v>
      </c>
      <c r="BM41" s="51">
        <f>AVERAGE(BM25:BM29)</f>
        <v>6.4159330864899111E-4</v>
      </c>
      <c r="BN41" s="51">
        <f>AVERAGE(BN25:BN29)</f>
        <v>9.4119938842007755E-5</v>
      </c>
      <c r="BP41" s="51">
        <f>AVERAGE(BP25:BP29)</f>
        <v>-1.2169313186449759E-4</v>
      </c>
      <c r="BQ41" s="51">
        <f>AVERAGE(BQ25:BQ29)</f>
        <v>-1.2059925459881105E-2</v>
      </c>
      <c r="BR41" s="51">
        <f>AVERAGE(BR25:BR29)</f>
        <v>1.0926999494049738E-3</v>
      </c>
      <c r="BS41" s="51">
        <f>AVERAGE(BS25:BS29)</f>
        <v>1.857165278630557E-3</v>
      </c>
      <c r="BT41" s="51">
        <f>AVERAGE(BT25:BT29)</f>
        <v>1.5377379582595108E-3</v>
      </c>
    </row>
    <row r="42" spans="1:88" ht="16">
      <c r="B42" s="46" t="s">
        <v>18</v>
      </c>
      <c r="J42" s="47">
        <f>AVERAGE(J30:J39)</f>
        <v>5.5097595709424504E-2</v>
      </c>
      <c r="K42" s="47">
        <f>AVERAGE(K30:K39)</f>
        <v>2.0017941397766689E-2</v>
      </c>
      <c r="L42" s="47">
        <f>AVERAGE(L30:L39)</f>
        <v>1.5038954141750719E-2</v>
      </c>
      <c r="M42" s="47">
        <f>AVERAGE(M30:M39)</f>
        <v>3.5079291754878603E-2</v>
      </c>
      <c r="AH42" s="47">
        <f>AVERAGE(AH30:AH39)</f>
        <v>5.5120176241129713E-2</v>
      </c>
      <c r="AI42" s="47">
        <f>AVERAGE(AI30:AI39)</f>
        <v>2.0067718425419736E-2</v>
      </c>
      <c r="AJ42" s="47">
        <f>AVERAGE(AJ30:AJ39)</f>
        <v>1.5038954141750719E-2</v>
      </c>
      <c r="AK42" s="47">
        <f>AVERAGE(AK30:AK39)</f>
        <v>3.5052095258930757E-2</v>
      </c>
      <c r="BE42" s="51">
        <f t="shared" si="12"/>
        <v>1.0024866207100895</v>
      </c>
      <c r="BH42" s="55">
        <f>AVERAGE(BH30:BH39)</f>
        <v>1.0963020550553426E-3</v>
      </c>
      <c r="BJ42" s="51">
        <f>AVERAGE(BJ30:BJ39)</f>
        <v>3.44774110625512E-3</v>
      </c>
      <c r="BK42" s="51">
        <f>AVERAGE(BK30:BK39)</f>
        <v>1.0020234665625294E-3</v>
      </c>
      <c r="BL42" s="51">
        <f>AVERAGE(BL30:BL39)</f>
        <v>-2.1502437342446612E-4</v>
      </c>
      <c r="BM42" s="51">
        <f>AVERAGE(BM30:BM39)</f>
        <v>-4.4277003842099205E-3</v>
      </c>
      <c r="BN42" s="51">
        <f>AVERAGE(BN30:BN39)</f>
        <v>-7.7146543842859794E-4</v>
      </c>
      <c r="BP42" s="51">
        <f>AVERAGE(BP30:BP39)</f>
        <v>5.2721734332084047E-4</v>
      </c>
      <c r="BQ42" s="51">
        <f>AVERAGE(BQ30:BQ39)</f>
        <v>-3.3230379520328146E-3</v>
      </c>
      <c r="BR42" s="51">
        <f>AVERAGE(BR30:BR39)</f>
        <v>1.831905404912737E-3</v>
      </c>
      <c r="BS42" s="51">
        <f>AVERAGE(BS30:BS39)</f>
        <v>-1.493340794549991E-3</v>
      </c>
      <c r="BT42" s="51">
        <f>AVERAGE(BT30:BT39)</f>
        <v>1.1081121912343006E-3</v>
      </c>
    </row>
    <row r="43" spans="1:88" ht="16">
      <c r="B43" s="46" t="s">
        <v>19</v>
      </c>
      <c r="J43" s="47">
        <f>AVERAGE(J5:J39)</f>
        <v>5.2338826769630448E-2</v>
      </c>
      <c r="K43" s="47">
        <f>AVERAGE(K5:K39)</f>
        <v>1.5370715196627222E-2</v>
      </c>
      <c r="L43" s="47">
        <f>AVERAGE(L5:L39)</f>
        <v>1.1124663836394934E-2</v>
      </c>
      <c r="M43" s="47">
        <f>AVERAGE(M5:M39)</f>
        <v>3.696764466126156E-2</v>
      </c>
      <c r="AH43" s="47">
        <f>AVERAGE(AH5:AH39)</f>
        <v>5.2355767777377001E-2</v>
      </c>
      <c r="AI43" s="47">
        <f>AVERAGE(AI5:AI39)</f>
        <v>1.5433788188658992E-2</v>
      </c>
      <c r="AJ43" s="47">
        <f>AVERAGE(AJ5:AJ39)</f>
        <v>1.1124663836394934E-2</v>
      </c>
      <c r="AK43" s="47">
        <f>AVERAGE(AK5:AK39)</f>
        <v>3.6921512676976354E-2</v>
      </c>
      <c r="BE43" s="51">
        <f t="shared" si="12"/>
        <v>1.004103452001089</v>
      </c>
      <c r="BH43" s="55">
        <f>AVERAGE(BH5:BH39)</f>
        <v>1.8366741552927096E-3</v>
      </c>
      <c r="BJ43" s="51">
        <f>AVERAGE(BJ5:BJ39)</f>
        <v>6.3571400335619621E-3</v>
      </c>
      <c r="BK43" s="51">
        <f>AVERAGE(BK5:BK39)</f>
        <v>9.4400285065564054E-4</v>
      </c>
      <c r="BL43" s="51">
        <f>AVERAGE(BL5:BL39)</f>
        <v>-1.7742675779892953E-3</v>
      </c>
      <c r="BM43" s="51">
        <f>AVERAGE(BM5:BM39)</f>
        <v>-3.6459224417734032E-3</v>
      </c>
      <c r="BN43" s="51">
        <f>AVERAGE(BN5:BN39)</f>
        <v>-2.0878619168918089E-3</v>
      </c>
      <c r="BP43" s="51">
        <f>AVERAGE(BP5:BP39)</f>
        <v>9.8360893927987693E-4</v>
      </c>
      <c r="BQ43" s="51">
        <f>AVERAGE(BQ5:BQ39)</f>
        <v>-8.2280919915915639E-3</v>
      </c>
      <c r="BR43" s="51">
        <f>AVERAGE(BR5:BR39)</f>
        <v>1.3555203325642529E-3</v>
      </c>
      <c r="BS43" s="51">
        <f>AVERAGE(BS5:BS39)</f>
        <v>9.7384762905978437E-5</v>
      </c>
      <c r="BT43" s="51">
        <f>AVERAGE(BT5:BT39)</f>
        <v>1.2498716726531769E-3</v>
      </c>
    </row>
    <row r="44" spans="1:88" ht="16" hidden="1" outlineLevel="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134070.09</v>
      </c>
      <c r="BA44" s="48">
        <f>SUM(BA5:BA24,BA25:BA29,BA30:BA39)</f>
        <v>78560.947</v>
      </c>
      <c r="BB44" s="48">
        <f>SUM(BB5:BB24,BB25:BB29,BB30:BB39)</f>
        <v>4165.97</v>
      </c>
      <c r="BC44" s="48">
        <f>SUM(BC5:BC24,BC25:BC29,BC30:BC39)</f>
        <v>1115.3819999999996</v>
      </c>
    </row>
    <row r="45" spans="1:88" ht="16" hidden="1" outlineLevel="2">
      <c r="B45" s="46" t="s">
        <v>247</v>
      </c>
      <c r="AZ45" s="55">
        <f>AZ44/AB44</f>
        <v>0.99187435941028246</v>
      </c>
      <c r="BA45" s="55">
        <f>BA44/AC44</f>
        <v>0.95186715652016274</v>
      </c>
      <c r="BB45" s="55">
        <f>BB44/AD44</f>
        <v>0.97548919402610412</v>
      </c>
      <c r="BC45" s="55">
        <f>BC44/AE44</f>
        <v>0.9631303536888639</v>
      </c>
    </row>
    <row r="46" spans="1:88" ht="16" hidden="1" outlineLevel="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3603.4562921871557</v>
      </c>
      <c r="BA46" s="48">
        <f>GEOMEAN(BA5:BA24,BA25:BA29,BA30:BA39)</f>
        <v>1884.9396030071009</v>
      </c>
      <c r="BB46" s="48">
        <f>GEOMEAN(BB5:BB24,BB25:BB29,BB30:BB39)</f>
        <v>100.41139299183838</v>
      </c>
      <c r="BC46" s="48">
        <f>GEOMEAN(BC5:BC24,BC25:BC29,BC30:BC39)</f>
        <v>27.086213319471756</v>
      </c>
    </row>
    <row r="47" spans="1:88" ht="16" outlineLevel="2" collapsed="1">
      <c r="B47" s="46" t="s">
        <v>249</v>
      </c>
      <c r="AZ47" s="55">
        <f>AZ46/AB46</f>
        <v>0.98412948069462836</v>
      </c>
      <c r="BA47" s="55">
        <f>BA46/AC46</f>
        <v>0.98292207153917344</v>
      </c>
      <c r="BB47" s="55">
        <f>BB46/AD46</f>
        <v>0.98734262321780442</v>
      </c>
      <c r="BC47" s="55">
        <f>BC46/AE46</f>
        <v>1.0044473705225569</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sheetData>
    <row r="1" spans="1:2">
      <c r="A1" t="s">
        <v>250</v>
      </c>
      <c r="B1">
        <v>1</v>
      </c>
    </row>
    <row r="2" spans="1:2">
      <c r="A2" t="s">
        <v>251</v>
      </c>
      <c r="B2">
        <v>2</v>
      </c>
    </row>
    <row r="3" spans="1:2">
      <c r="A3" t="s">
        <v>252</v>
      </c>
      <c r="B3">
        <v>3</v>
      </c>
    </row>
    <row r="4" spans="1:2">
      <c r="A4" t="s">
        <v>253</v>
      </c>
      <c r="B4">
        <v>4</v>
      </c>
    </row>
    <row r="5" spans="1:2">
      <c r="A5" t="s">
        <v>254</v>
      </c>
      <c r="B5">
        <v>5</v>
      </c>
    </row>
    <row r="6" spans="1:2">
      <c r="A6" t="s">
        <v>255</v>
      </c>
      <c r="B6">
        <v>6</v>
      </c>
    </row>
    <row r="7" spans="1:2">
      <c r="A7" t="s">
        <v>256</v>
      </c>
      <c r="B7">
        <v>7</v>
      </c>
    </row>
    <row r="8" spans="1:2">
      <c r="A8" t="s">
        <v>257</v>
      </c>
      <c r="B8">
        <v>9</v>
      </c>
    </row>
    <row r="9" spans="1:2">
      <c r="A9" t="s">
        <v>258</v>
      </c>
      <c r="B9">
        <v>10</v>
      </c>
    </row>
    <row r="10" spans="1:2">
      <c r="A10" t="s">
        <v>259</v>
      </c>
      <c r="B10">
        <v>11</v>
      </c>
    </row>
    <row r="11" spans="1:2">
      <c r="A11" t="s">
        <v>260</v>
      </c>
      <c r="B11">
        <v>12</v>
      </c>
    </row>
    <row r="12" spans="1:2">
      <c r="A12" t="s">
        <v>261</v>
      </c>
      <c r="B12">
        <v>13</v>
      </c>
    </row>
    <row r="13" spans="1:2">
      <c r="A13" t="s">
        <v>262</v>
      </c>
      <c r="B13">
        <v>14</v>
      </c>
    </row>
    <row r="14" spans="1:2">
      <c r="A14" t="s">
        <v>263</v>
      </c>
      <c r="B14">
        <v>15</v>
      </c>
    </row>
    <row r="15" spans="1:2">
      <c r="A15" t="s">
        <v>264</v>
      </c>
      <c r="B15">
        <v>16</v>
      </c>
    </row>
    <row r="16" spans="1:2">
      <c r="A16" t="s">
        <v>265</v>
      </c>
      <c r="B16">
        <v>17</v>
      </c>
    </row>
    <row r="17" spans="1:2">
      <c r="A17" t="s">
        <v>266</v>
      </c>
      <c r="B17">
        <v>18</v>
      </c>
    </row>
    <row r="18" spans="1:2">
      <c r="A18" t="s">
        <v>267</v>
      </c>
      <c r="B18">
        <v>19</v>
      </c>
    </row>
    <row r="19" spans="1:2">
      <c r="A19" t="s">
        <v>268</v>
      </c>
      <c r="B19">
        <v>20</v>
      </c>
    </row>
    <row r="20" spans="1:2">
      <c r="A20" t="s">
        <v>269</v>
      </c>
      <c r="B20">
        <v>21</v>
      </c>
    </row>
    <row r="21" spans="1:2">
      <c r="A21" t="s">
        <v>270</v>
      </c>
      <c r="B21">
        <v>22</v>
      </c>
    </row>
    <row r="22" spans="1:2">
      <c r="A22" t="s">
        <v>271</v>
      </c>
      <c r="B22">
        <v>23</v>
      </c>
    </row>
    <row r="23" spans="1:2">
      <c r="A23" t="s">
        <v>272</v>
      </c>
      <c r="B23">
        <v>24</v>
      </c>
    </row>
    <row r="24" spans="1:2">
      <c r="A24" t="s">
        <v>273</v>
      </c>
      <c r="B24">
        <v>25</v>
      </c>
    </row>
    <row r="25" spans="1:2">
      <c r="A25" t="s">
        <v>274</v>
      </c>
      <c r="B25">
        <v>26</v>
      </c>
    </row>
    <row r="26" spans="1:2">
      <c r="A26" t="s">
        <v>275</v>
      </c>
      <c r="B26">
        <v>27</v>
      </c>
    </row>
    <row r="27" spans="1:2">
      <c r="A27" t="s">
        <v>276</v>
      </c>
      <c r="B27">
        <v>28</v>
      </c>
    </row>
    <row r="28" spans="1:2">
      <c r="A28" t="s">
        <v>277</v>
      </c>
      <c r="B28">
        <v>29</v>
      </c>
    </row>
    <row r="29" spans="1:2">
      <c r="A29" t="s">
        <v>278</v>
      </c>
      <c r="B29">
        <v>30</v>
      </c>
    </row>
    <row r="30" spans="1:2">
      <c r="A30" t="s">
        <v>279</v>
      </c>
      <c r="B30">
        <v>31</v>
      </c>
    </row>
    <row r="31" spans="1:2">
      <c r="A31" t="s">
        <v>280</v>
      </c>
      <c r="B31">
        <v>33</v>
      </c>
    </row>
    <row r="32" spans="1:2">
      <c r="A32" t="s">
        <v>281</v>
      </c>
      <c r="B32">
        <v>34</v>
      </c>
    </row>
    <row r="33" spans="1:2">
      <c r="A33" t="s">
        <v>282</v>
      </c>
      <c r="B33">
        <v>35</v>
      </c>
    </row>
    <row r="34" spans="1:2">
      <c r="A34" t="s">
        <v>283</v>
      </c>
      <c r="B34">
        <v>36</v>
      </c>
    </row>
    <row r="35" spans="1:2">
      <c r="A35" t="s">
        <v>284</v>
      </c>
      <c r="B35">
        <v>37</v>
      </c>
    </row>
    <row r="36" spans="1:2">
      <c r="A36" t="s">
        <v>285</v>
      </c>
      <c r="B36">
        <v>38</v>
      </c>
    </row>
    <row r="37" spans="1:2">
      <c r="A37" t="s">
        <v>286</v>
      </c>
      <c r="B37">
        <v>39</v>
      </c>
    </row>
    <row r="38" spans="1:2">
      <c r="A38" t="s">
        <v>287</v>
      </c>
      <c r="B38">
        <v>40</v>
      </c>
    </row>
    <row r="39" spans="1:2">
      <c r="A39" t="s">
        <v>288</v>
      </c>
      <c r="B39">
        <v>41</v>
      </c>
    </row>
    <row r="40" spans="1:2">
      <c r="A40" t="s">
        <v>289</v>
      </c>
      <c r="B40">
        <v>42</v>
      </c>
    </row>
    <row r="41" spans="1:2">
      <c r="A41" t="s">
        <v>290</v>
      </c>
      <c r="B41">
        <v>43</v>
      </c>
    </row>
    <row r="42" spans="1:2">
      <c r="A42" t="s">
        <v>291</v>
      </c>
      <c r="B42">
        <v>44</v>
      </c>
    </row>
    <row r="43" spans="1:2">
      <c r="A43" t="s">
        <v>292</v>
      </c>
      <c r="B43">
        <v>45</v>
      </c>
    </row>
    <row r="44" spans="1:2">
      <c r="A44" t="s">
        <v>293</v>
      </c>
      <c r="B44">
        <v>46</v>
      </c>
    </row>
    <row r="45" spans="1:2">
      <c r="A45" t="s">
        <v>294</v>
      </c>
      <c r="B45">
        <v>47</v>
      </c>
    </row>
    <row r="46" spans="1:2">
      <c r="A46" t="s">
        <v>295</v>
      </c>
      <c r="B46">
        <v>48</v>
      </c>
    </row>
    <row r="47" spans="1:2">
      <c r="A47" t="s">
        <v>296</v>
      </c>
      <c r="B47">
        <v>49</v>
      </c>
    </row>
    <row r="48" spans="1:2">
      <c r="A48" t="s">
        <v>297</v>
      </c>
      <c r="B48">
        <v>50</v>
      </c>
    </row>
    <row r="49" spans="1:2">
      <c r="A49" t="s">
        <v>298</v>
      </c>
      <c r="B49">
        <v>51</v>
      </c>
    </row>
    <row r="50" spans="1:2">
      <c r="A50" t="s">
        <v>299</v>
      </c>
      <c r="B50">
        <v>52</v>
      </c>
    </row>
    <row r="51" spans="1:2">
      <c r="A51" t="s">
        <v>300</v>
      </c>
      <c r="B51">
        <v>53</v>
      </c>
    </row>
    <row r="52" spans="1:2">
      <c r="A52" t="s">
        <v>301</v>
      </c>
      <c r="B52">
        <v>54</v>
      </c>
    </row>
    <row r="53" spans="1:2">
      <c r="A53" t="s">
        <v>302</v>
      </c>
      <c r="B53">
        <v>55</v>
      </c>
    </row>
    <row r="54" spans="1:2">
      <c r="A54" t="s">
        <v>303</v>
      </c>
      <c r="B54">
        <v>57</v>
      </c>
    </row>
    <row r="55" spans="1:2">
      <c r="A55" t="s">
        <v>304</v>
      </c>
      <c r="B55">
        <v>58</v>
      </c>
    </row>
    <row r="56" spans="1:2">
      <c r="A56" t="s">
        <v>305</v>
      </c>
      <c r="B56">
        <v>59</v>
      </c>
    </row>
    <row r="57" spans="1:2">
      <c r="A57" t="s">
        <v>306</v>
      </c>
      <c r="B57">
        <v>60</v>
      </c>
    </row>
    <row r="58" spans="1:2">
      <c r="A58" t="s">
        <v>307</v>
      </c>
      <c r="B58">
        <v>62</v>
      </c>
    </row>
    <row r="59" spans="1:2">
      <c r="A59" t="s">
        <v>308</v>
      </c>
      <c r="B59">
        <v>63</v>
      </c>
    </row>
    <row r="60" spans="1:2">
      <c r="A60" t="s">
        <v>309</v>
      </c>
      <c r="B60">
        <v>64</v>
      </c>
    </row>
    <row r="61" spans="1:2">
      <c r="A61" t="s">
        <v>310</v>
      </c>
      <c r="B61">
        <v>65</v>
      </c>
    </row>
    <row r="62" spans="1:2">
      <c r="A62" t="s">
        <v>311</v>
      </c>
      <c r="B62">
        <v>66</v>
      </c>
    </row>
    <row r="63" spans="1:2">
      <c r="A63" t="s">
        <v>312</v>
      </c>
      <c r="B63">
        <v>68</v>
      </c>
    </row>
    <row r="64" spans="1:2">
      <c r="A64" t="s">
        <v>313</v>
      </c>
      <c r="B64">
        <v>69</v>
      </c>
    </row>
    <row r="65" spans="1:24">
      <c r="A65" t="s">
        <v>314</v>
      </c>
      <c r="B65">
        <v>70</v>
      </c>
    </row>
    <row r="66" spans="1:24">
      <c r="A66" t="s">
        <v>315</v>
      </c>
      <c r="B66">
        <v>71</v>
      </c>
    </row>
    <row r="67" spans="1:24">
      <c r="A67" t="s">
        <v>316</v>
      </c>
      <c r="B67">
        <v>72</v>
      </c>
    </row>
    <row r="68" spans="1:24">
      <c r="A68" t="s">
        <v>317</v>
      </c>
      <c r="B68" t="s">
        <v>318</v>
      </c>
    </row>
    <row r="69" spans="1:24">
      <c r="A69" t="s">
        <v>319</v>
      </c>
      <c r="B69" t="s">
        <v>320</v>
      </c>
    </row>
    <row r="70" spans="1:24">
      <c r="A70" t="s">
        <v>321</v>
      </c>
      <c r="B70" t="s">
        <v>322</v>
      </c>
    </row>
    <row r="71" spans="1:24">
      <c r="A71" t="s">
        <v>323</v>
      </c>
      <c r="B71" t="s">
        <v>324</v>
      </c>
    </row>
    <row r="72" spans="1:24">
      <c r="A72" t="s">
        <v>325</v>
      </c>
      <c r="B72" t="s">
        <v>326</v>
      </c>
    </row>
    <row r="73" spans="1:24">
      <c r="A73" t="s">
        <v>327</v>
      </c>
      <c r="B73" t="s">
        <v>328</v>
      </c>
    </row>
    <row r="74" spans="1:24">
      <c r="A74" t="s">
        <v>329</v>
      </c>
      <c r="B74" t="s">
        <v>330</v>
      </c>
    </row>
    <row r="75" spans="1:24">
      <c r="A75" t="s">
        <v>331</v>
      </c>
      <c r="B75" t="s">
        <v>332</v>
      </c>
    </row>
    <row r="76" spans="1:24">
      <c r="A76" t="s">
        <v>333</v>
      </c>
      <c r="B76" t="s">
        <v>334</v>
      </c>
    </row>
    <row r="77" spans="1:24">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c r="A78" t="s">
        <v>336</v>
      </c>
      <c r="B78">
        <v>1</v>
      </c>
    </row>
    <row r="79" spans="1:24">
      <c r="A79" t="s">
        <v>337</v>
      </c>
      <c r="B79">
        <v>2</v>
      </c>
    </row>
    <row r="80" spans="1:24">
      <c r="A80" t="s">
        <v>338</v>
      </c>
      <c r="B80">
        <v>3</v>
      </c>
    </row>
    <row r="81" spans="1:2">
      <c r="A81" t="s">
        <v>339</v>
      </c>
      <c r="B81">
        <v>4</v>
      </c>
    </row>
    <row r="82" spans="1:2">
      <c r="A82" t="s">
        <v>340</v>
      </c>
      <c r="B82">
        <v>5</v>
      </c>
    </row>
    <row r="83" spans="1:2">
      <c r="A83" t="s">
        <v>341</v>
      </c>
      <c r="B83">
        <v>6</v>
      </c>
    </row>
    <row r="84" spans="1:2">
      <c r="A84" t="s">
        <v>342</v>
      </c>
      <c r="B84">
        <v>8</v>
      </c>
    </row>
    <row r="85" spans="1:2">
      <c r="A85" t="s">
        <v>343</v>
      </c>
      <c r="B85">
        <v>9</v>
      </c>
    </row>
    <row r="86" spans="1:2">
      <c r="A86" t="s">
        <v>344</v>
      </c>
      <c r="B86">
        <v>10</v>
      </c>
    </row>
    <row r="87" spans="1:2">
      <c r="A87" t="s">
        <v>345</v>
      </c>
      <c r="B87">
        <v>11</v>
      </c>
    </row>
    <row r="88" spans="1:2">
      <c r="A88" t="s">
        <v>346</v>
      </c>
      <c r="B88">
        <v>12</v>
      </c>
    </row>
    <row r="89" spans="1:2">
      <c r="A89" t="s">
        <v>347</v>
      </c>
      <c r="B89">
        <v>13</v>
      </c>
    </row>
    <row r="90" spans="1:2">
      <c r="A90" t="s">
        <v>348</v>
      </c>
      <c r="B90">
        <v>14</v>
      </c>
    </row>
    <row r="91" spans="1:2">
      <c r="A91" t="s">
        <v>349</v>
      </c>
      <c r="B91">
        <v>15</v>
      </c>
    </row>
    <row r="92" spans="1:2">
      <c r="A92" t="s">
        <v>350</v>
      </c>
      <c r="B92">
        <v>16</v>
      </c>
    </row>
    <row r="93" spans="1:2">
      <c r="A93" t="s">
        <v>351</v>
      </c>
      <c r="B93">
        <v>17</v>
      </c>
    </row>
    <row r="94" spans="1:2">
      <c r="A94" t="s">
        <v>352</v>
      </c>
      <c r="B94">
        <v>18</v>
      </c>
    </row>
    <row r="95" spans="1:2">
      <c r="A95" t="s">
        <v>353</v>
      </c>
      <c r="B95">
        <v>19</v>
      </c>
    </row>
    <row r="96" spans="1:2">
      <c r="A96" t="s">
        <v>354</v>
      </c>
      <c r="B96">
        <v>20</v>
      </c>
    </row>
    <row r="97" spans="1:2">
      <c r="A97" t="s">
        <v>355</v>
      </c>
      <c r="B97">
        <v>21</v>
      </c>
    </row>
    <row r="98" spans="1:2">
      <c r="A98" t="s">
        <v>356</v>
      </c>
      <c r="B98">
        <v>22</v>
      </c>
    </row>
    <row r="99" spans="1:2">
      <c r="A99" t="s">
        <v>357</v>
      </c>
      <c r="B99">
        <v>23</v>
      </c>
    </row>
    <row r="100" spans="1:2">
      <c r="A100" t="s">
        <v>358</v>
      </c>
      <c r="B100">
        <v>24</v>
      </c>
    </row>
    <row r="101" spans="1:2">
      <c r="A101" t="s">
        <v>359</v>
      </c>
      <c r="B101">
        <v>25</v>
      </c>
    </row>
    <row r="102" spans="1:2">
      <c r="A102" t="s">
        <v>360</v>
      </c>
      <c r="B102">
        <v>26</v>
      </c>
    </row>
    <row r="103" spans="1:2">
      <c r="A103" t="s">
        <v>361</v>
      </c>
      <c r="B103">
        <v>27</v>
      </c>
    </row>
    <row r="104" spans="1:2">
      <c r="A104" t="s">
        <v>362</v>
      </c>
      <c r="B104">
        <v>28</v>
      </c>
    </row>
    <row r="105" spans="1:2">
      <c r="A105" t="s">
        <v>363</v>
      </c>
      <c r="B105">
        <v>29</v>
      </c>
    </row>
    <row r="106" spans="1:2">
      <c r="A106" t="s">
        <v>364</v>
      </c>
      <c r="B106">
        <v>31</v>
      </c>
    </row>
    <row r="107" spans="1:2">
      <c r="A107" t="s">
        <v>365</v>
      </c>
      <c r="B107">
        <v>32</v>
      </c>
    </row>
    <row r="108" spans="1:2">
      <c r="A108" t="s">
        <v>366</v>
      </c>
      <c r="B108">
        <v>33</v>
      </c>
    </row>
    <row r="109" spans="1:2">
      <c r="A109" t="s">
        <v>367</v>
      </c>
      <c r="B109">
        <v>34</v>
      </c>
    </row>
    <row r="110" spans="1:2">
      <c r="A110" t="s">
        <v>368</v>
      </c>
      <c r="B110">
        <v>35</v>
      </c>
    </row>
    <row r="111" spans="1:2">
      <c r="A111" t="s">
        <v>369</v>
      </c>
      <c r="B111">
        <v>36</v>
      </c>
    </row>
    <row r="112" spans="1:2">
      <c r="A112" t="s">
        <v>370</v>
      </c>
      <c r="B112">
        <v>37</v>
      </c>
    </row>
    <row r="113" spans="1:2">
      <c r="A113" t="s">
        <v>371</v>
      </c>
      <c r="B113">
        <v>38</v>
      </c>
    </row>
    <row r="114" spans="1:2">
      <c r="A114" t="s">
        <v>372</v>
      </c>
      <c r="B114">
        <v>39</v>
      </c>
    </row>
    <row r="115" spans="1:2">
      <c r="A115" t="s">
        <v>373</v>
      </c>
      <c r="B115">
        <v>40</v>
      </c>
    </row>
    <row r="116" spans="1:2">
      <c r="A116" t="s">
        <v>374</v>
      </c>
      <c r="B116">
        <v>41</v>
      </c>
    </row>
    <row r="117" spans="1:2">
      <c r="A117" t="s">
        <v>375</v>
      </c>
      <c r="B117">
        <v>42</v>
      </c>
    </row>
    <row r="118" spans="1:2">
      <c r="A118" t="s">
        <v>376</v>
      </c>
      <c r="B118">
        <v>43</v>
      </c>
    </row>
    <row r="119" spans="1:2">
      <c r="A119" t="s">
        <v>377</v>
      </c>
      <c r="B119">
        <v>44</v>
      </c>
    </row>
    <row r="120" spans="1:2">
      <c r="A120" t="s">
        <v>378</v>
      </c>
      <c r="B120">
        <v>45</v>
      </c>
    </row>
    <row r="121" spans="1:2">
      <c r="A121" t="s">
        <v>379</v>
      </c>
      <c r="B121">
        <v>46</v>
      </c>
    </row>
    <row r="122" spans="1:2">
      <c r="A122" t="s">
        <v>380</v>
      </c>
      <c r="B122">
        <v>47</v>
      </c>
    </row>
    <row r="123" spans="1:2">
      <c r="A123" t="s">
        <v>381</v>
      </c>
      <c r="B123">
        <v>48</v>
      </c>
    </row>
    <row r="124" spans="1:2">
      <c r="A124" t="s">
        <v>382</v>
      </c>
      <c r="B124">
        <v>49</v>
      </c>
    </row>
    <row r="125" spans="1:2">
      <c r="A125" t="s">
        <v>383</v>
      </c>
      <c r="B125">
        <v>50</v>
      </c>
    </row>
    <row r="126" spans="1:2">
      <c r="A126" t="s">
        <v>384</v>
      </c>
      <c r="B126">
        <v>51</v>
      </c>
    </row>
    <row r="127" spans="1:2">
      <c r="A127" t="s">
        <v>385</v>
      </c>
      <c r="B127">
        <v>52</v>
      </c>
    </row>
    <row r="128" spans="1:2">
      <c r="A128" t="s">
        <v>386</v>
      </c>
      <c r="B128">
        <v>54</v>
      </c>
    </row>
    <row r="129" spans="1:23">
      <c r="A129" t="s">
        <v>387</v>
      </c>
      <c r="B129">
        <v>55</v>
      </c>
    </row>
    <row r="130" spans="1:23">
      <c r="A130" t="s">
        <v>388</v>
      </c>
      <c r="B130">
        <v>56</v>
      </c>
    </row>
    <row r="131" spans="1:23">
      <c r="A131" t="s">
        <v>389</v>
      </c>
      <c r="B131">
        <v>57</v>
      </c>
    </row>
    <row r="132" spans="1:23">
      <c r="A132" t="s">
        <v>390</v>
      </c>
      <c r="B132">
        <v>58</v>
      </c>
    </row>
    <row r="133" spans="1:23">
      <c r="A133" t="s">
        <v>391</v>
      </c>
      <c r="B133">
        <v>59</v>
      </c>
    </row>
    <row r="134" spans="1:23">
      <c r="A134" t="s">
        <v>392</v>
      </c>
      <c r="B134" t="s">
        <v>393</v>
      </c>
    </row>
    <row r="135" spans="1:23">
      <c r="A135" t="s">
        <v>394</v>
      </c>
      <c r="B135" t="s">
        <v>395</v>
      </c>
    </row>
    <row r="136" spans="1:23">
      <c r="A136" t="s">
        <v>396</v>
      </c>
      <c r="B136" t="s">
        <v>397</v>
      </c>
    </row>
    <row r="137" spans="1:23">
      <c r="A137" t="s">
        <v>398</v>
      </c>
      <c r="B137" t="s">
        <v>399</v>
      </c>
    </row>
    <row r="138" spans="1:23">
      <c r="A138" t="s">
        <v>400</v>
      </c>
      <c r="B138" t="s">
        <v>401</v>
      </c>
    </row>
    <row r="139" spans="1:23">
      <c r="A139" t="s">
        <v>402</v>
      </c>
      <c r="B139" t="s">
        <v>403</v>
      </c>
    </row>
    <row r="140" spans="1:23">
      <c r="A140" t="s">
        <v>404</v>
      </c>
      <c r="B140" t="s">
        <v>405</v>
      </c>
    </row>
    <row r="141" spans="1:23">
      <c r="A141" t="s">
        <v>406</v>
      </c>
      <c r="B141" t="s">
        <v>407</v>
      </c>
    </row>
    <row r="142" spans="1:23">
      <c r="A142" t="s">
        <v>408</v>
      </c>
      <c r="B142" t="s">
        <v>409</v>
      </c>
    </row>
    <row r="143" spans="1:23">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c r="A144" t="s">
        <v>411</v>
      </c>
      <c r="B144">
        <v>1</v>
      </c>
    </row>
    <row r="145" spans="1:2">
      <c r="A145" t="s">
        <v>412</v>
      </c>
      <c r="B145">
        <v>2</v>
      </c>
    </row>
    <row r="146" spans="1:2">
      <c r="A146" t="s">
        <v>413</v>
      </c>
      <c r="B146">
        <v>3</v>
      </c>
    </row>
    <row r="147" spans="1:2">
      <c r="A147" t="s">
        <v>414</v>
      </c>
      <c r="B147">
        <v>4</v>
      </c>
    </row>
    <row r="148" spans="1:2">
      <c r="A148" t="s">
        <v>415</v>
      </c>
      <c r="B148">
        <v>5</v>
      </c>
    </row>
    <row r="149" spans="1:2">
      <c r="A149" t="s">
        <v>416</v>
      </c>
      <c r="B149">
        <v>6</v>
      </c>
    </row>
    <row r="150" spans="1:2">
      <c r="A150" t="s">
        <v>417</v>
      </c>
      <c r="B150">
        <v>8</v>
      </c>
    </row>
    <row r="151" spans="1:2">
      <c r="A151" t="s">
        <v>418</v>
      </c>
      <c r="B151">
        <v>9</v>
      </c>
    </row>
    <row r="152" spans="1:2">
      <c r="A152" t="s">
        <v>419</v>
      </c>
      <c r="B152">
        <v>10</v>
      </c>
    </row>
    <row r="153" spans="1:2">
      <c r="A153" t="s">
        <v>420</v>
      </c>
      <c r="B153">
        <v>11</v>
      </c>
    </row>
    <row r="154" spans="1:2">
      <c r="A154" t="s">
        <v>421</v>
      </c>
      <c r="B154">
        <v>12</v>
      </c>
    </row>
    <row r="155" spans="1:2">
      <c r="A155" t="s">
        <v>422</v>
      </c>
      <c r="B155">
        <v>13</v>
      </c>
    </row>
    <row r="156" spans="1:2">
      <c r="A156" t="s">
        <v>423</v>
      </c>
      <c r="B156">
        <v>14</v>
      </c>
    </row>
    <row r="157" spans="1:2">
      <c r="A157" t="s">
        <v>424</v>
      </c>
      <c r="B157">
        <v>15</v>
      </c>
    </row>
    <row r="158" spans="1:2">
      <c r="A158" t="s">
        <v>425</v>
      </c>
      <c r="B158">
        <v>16</v>
      </c>
    </row>
    <row r="159" spans="1:2">
      <c r="A159" t="s">
        <v>426</v>
      </c>
      <c r="B159">
        <v>17</v>
      </c>
    </row>
    <row r="160" spans="1:2">
      <c r="A160" t="s">
        <v>427</v>
      </c>
      <c r="B160">
        <v>18</v>
      </c>
    </row>
    <row r="161" spans="1:2">
      <c r="A161" t="s">
        <v>428</v>
      </c>
      <c r="B161">
        <v>19</v>
      </c>
    </row>
    <row r="162" spans="1:2">
      <c r="A162" t="s">
        <v>429</v>
      </c>
      <c r="B162">
        <v>20</v>
      </c>
    </row>
    <row r="163" spans="1:2">
      <c r="A163" t="s">
        <v>430</v>
      </c>
      <c r="B163">
        <v>21</v>
      </c>
    </row>
    <row r="164" spans="1:2">
      <c r="A164" t="s">
        <v>431</v>
      </c>
      <c r="B164">
        <v>22</v>
      </c>
    </row>
    <row r="165" spans="1:2">
      <c r="A165" t="s">
        <v>432</v>
      </c>
      <c r="B165">
        <v>23</v>
      </c>
    </row>
    <row r="166" spans="1:2">
      <c r="A166" t="s">
        <v>433</v>
      </c>
      <c r="B166">
        <v>24</v>
      </c>
    </row>
    <row r="167" spans="1:2">
      <c r="A167" t="s">
        <v>434</v>
      </c>
      <c r="B167">
        <v>25</v>
      </c>
    </row>
    <row r="168" spans="1:2">
      <c r="A168" t="s">
        <v>435</v>
      </c>
      <c r="B168">
        <v>26</v>
      </c>
    </row>
    <row r="169" spans="1:2">
      <c r="A169" t="s">
        <v>436</v>
      </c>
      <c r="B169">
        <v>27</v>
      </c>
    </row>
    <row r="170" spans="1:2">
      <c r="A170" t="s">
        <v>437</v>
      </c>
      <c r="B170">
        <v>28</v>
      </c>
    </row>
    <row r="171" spans="1:2">
      <c r="A171" t="s">
        <v>438</v>
      </c>
      <c r="B171">
        <v>29</v>
      </c>
    </row>
    <row r="172" spans="1:2">
      <c r="A172" t="s">
        <v>439</v>
      </c>
      <c r="B172">
        <v>31</v>
      </c>
    </row>
    <row r="173" spans="1:2">
      <c r="A173" t="s">
        <v>440</v>
      </c>
      <c r="B173">
        <v>32</v>
      </c>
    </row>
    <row r="174" spans="1:2">
      <c r="A174" t="s">
        <v>441</v>
      </c>
      <c r="B174">
        <v>33</v>
      </c>
    </row>
    <row r="175" spans="1:2">
      <c r="A175" t="s">
        <v>442</v>
      </c>
      <c r="B175">
        <v>34</v>
      </c>
    </row>
    <row r="176" spans="1:2">
      <c r="A176" t="s">
        <v>443</v>
      </c>
      <c r="B176">
        <v>35</v>
      </c>
    </row>
    <row r="177" spans="1:2">
      <c r="A177" t="s">
        <v>444</v>
      </c>
      <c r="B177">
        <v>36</v>
      </c>
    </row>
    <row r="178" spans="1:2">
      <c r="A178" t="s">
        <v>445</v>
      </c>
      <c r="B178">
        <v>37</v>
      </c>
    </row>
    <row r="179" spans="1:2">
      <c r="A179" t="s">
        <v>446</v>
      </c>
      <c r="B179">
        <v>38</v>
      </c>
    </row>
    <row r="180" spans="1:2">
      <c r="A180" t="s">
        <v>447</v>
      </c>
      <c r="B180">
        <v>39</v>
      </c>
    </row>
    <row r="181" spans="1:2">
      <c r="A181" t="s">
        <v>448</v>
      </c>
      <c r="B181">
        <v>40</v>
      </c>
    </row>
    <row r="182" spans="1:2">
      <c r="A182" t="s">
        <v>449</v>
      </c>
      <c r="B182">
        <v>41</v>
      </c>
    </row>
    <row r="183" spans="1:2">
      <c r="A183" t="s">
        <v>450</v>
      </c>
      <c r="B183">
        <v>42</v>
      </c>
    </row>
    <row r="184" spans="1:2">
      <c r="A184" t="s">
        <v>451</v>
      </c>
      <c r="B184">
        <v>43</v>
      </c>
    </row>
    <row r="185" spans="1:2">
      <c r="A185" t="s">
        <v>452</v>
      </c>
      <c r="B185">
        <v>44</v>
      </c>
    </row>
    <row r="186" spans="1:2">
      <c r="A186" t="s">
        <v>453</v>
      </c>
      <c r="B186">
        <v>45</v>
      </c>
    </row>
    <row r="187" spans="1:2">
      <c r="A187" t="s">
        <v>454</v>
      </c>
      <c r="B187">
        <v>46</v>
      </c>
    </row>
    <row r="188" spans="1:2">
      <c r="A188" t="s">
        <v>455</v>
      </c>
      <c r="B188">
        <v>47</v>
      </c>
    </row>
    <row r="189" spans="1:2">
      <c r="A189" t="s">
        <v>456</v>
      </c>
      <c r="B189">
        <v>48</v>
      </c>
    </row>
    <row r="190" spans="1:2">
      <c r="A190" t="s">
        <v>457</v>
      </c>
      <c r="B190">
        <v>49</v>
      </c>
    </row>
    <row r="191" spans="1:2">
      <c r="A191" t="s">
        <v>458</v>
      </c>
      <c r="B191">
        <v>50</v>
      </c>
    </row>
    <row r="192" spans="1:2">
      <c r="A192" t="s">
        <v>459</v>
      </c>
      <c r="B192">
        <v>51</v>
      </c>
    </row>
    <row r="193" spans="1:2">
      <c r="A193" t="s">
        <v>460</v>
      </c>
      <c r="B193">
        <v>52</v>
      </c>
    </row>
    <row r="194" spans="1:2">
      <c r="A194" t="s">
        <v>461</v>
      </c>
      <c r="B194">
        <v>54</v>
      </c>
    </row>
    <row r="195" spans="1:2">
      <c r="A195" t="s">
        <v>462</v>
      </c>
      <c r="B195">
        <v>55</v>
      </c>
    </row>
    <row r="196" spans="1:2">
      <c r="A196" t="s">
        <v>463</v>
      </c>
      <c r="B196">
        <v>56</v>
      </c>
    </row>
    <row r="197" spans="1:2">
      <c r="A197" t="s">
        <v>464</v>
      </c>
      <c r="B197">
        <v>57</v>
      </c>
    </row>
    <row r="198" spans="1:2">
      <c r="A198" t="s">
        <v>465</v>
      </c>
      <c r="B198">
        <v>58</v>
      </c>
    </row>
    <row r="199" spans="1:2">
      <c r="A199" t="s">
        <v>466</v>
      </c>
      <c r="B199">
        <v>59</v>
      </c>
    </row>
    <row r="200" spans="1:2">
      <c r="A200" t="s">
        <v>467</v>
      </c>
      <c r="B200" t="s">
        <v>468</v>
      </c>
    </row>
    <row r="201" spans="1:2">
      <c r="A201" t="s">
        <v>469</v>
      </c>
      <c r="B201" t="s">
        <v>470</v>
      </c>
    </row>
    <row r="202" spans="1:2">
      <c r="A202" t="s">
        <v>471</v>
      </c>
      <c r="B202" t="s">
        <v>472</v>
      </c>
    </row>
    <row r="203" spans="1:2">
      <c r="A203" t="s">
        <v>473</v>
      </c>
      <c r="B203" t="s">
        <v>474</v>
      </c>
    </row>
    <row r="204" spans="1:2">
      <c r="A204" t="s">
        <v>475</v>
      </c>
      <c r="B204" t="s">
        <v>476</v>
      </c>
    </row>
    <row r="205" spans="1:2">
      <c r="A205" t="s">
        <v>477</v>
      </c>
      <c r="B205" t="s">
        <v>478</v>
      </c>
    </row>
    <row r="206" spans="1:2">
      <c r="A206" t="s">
        <v>479</v>
      </c>
      <c r="B206" t="s">
        <v>480</v>
      </c>
    </row>
    <row r="207" spans="1:2">
      <c r="A207" t="s">
        <v>481</v>
      </c>
      <c r="B207" t="s">
        <v>482</v>
      </c>
    </row>
    <row r="208" spans="1:2">
      <c r="A208" t="s">
        <v>483</v>
      </c>
      <c r="B208" t="s">
        <v>484</v>
      </c>
    </row>
    <row r="209" spans="1:23">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c r="A210" t="s">
        <v>486</v>
      </c>
      <c r="B210">
        <v>1</v>
      </c>
    </row>
    <row r="211" spans="1:23">
      <c r="A211" t="s">
        <v>487</v>
      </c>
      <c r="B211">
        <v>2</v>
      </c>
    </row>
    <row r="212" spans="1:23">
      <c r="A212" t="s">
        <v>488</v>
      </c>
      <c r="B212">
        <v>3</v>
      </c>
    </row>
    <row r="213" spans="1:23">
      <c r="A213" t="s">
        <v>489</v>
      </c>
      <c r="B213">
        <v>4</v>
      </c>
    </row>
    <row r="214" spans="1:23">
      <c r="A214" t="s">
        <v>490</v>
      </c>
      <c r="B214">
        <v>5</v>
      </c>
    </row>
    <row r="215" spans="1:23">
      <c r="A215" t="s">
        <v>491</v>
      </c>
      <c r="B215">
        <v>6</v>
      </c>
    </row>
    <row r="216" spans="1:23">
      <c r="A216" t="s">
        <v>492</v>
      </c>
      <c r="B216">
        <v>7</v>
      </c>
    </row>
    <row r="217" spans="1:23">
      <c r="A217" t="s">
        <v>493</v>
      </c>
      <c r="B217">
        <v>9</v>
      </c>
    </row>
    <row r="218" spans="1:23">
      <c r="A218" t="s">
        <v>494</v>
      </c>
      <c r="B218">
        <v>10</v>
      </c>
    </row>
    <row r="219" spans="1:23">
      <c r="A219" t="s">
        <v>495</v>
      </c>
      <c r="B219">
        <v>11</v>
      </c>
    </row>
    <row r="220" spans="1:23">
      <c r="A220" t="s">
        <v>496</v>
      </c>
      <c r="B220">
        <v>12</v>
      </c>
    </row>
    <row r="221" spans="1:23">
      <c r="A221" t="s">
        <v>497</v>
      </c>
      <c r="B221">
        <v>13</v>
      </c>
    </row>
    <row r="222" spans="1:23">
      <c r="A222" t="s">
        <v>498</v>
      </c>
      <c r="B222">
        <v>14</v>
      </c>
    </row>
    <row r="223" spans="1:23">
      <c r="A223" t="s">
        <v>499</v>
      </c>
      <c r="B223">
        <v>15</v>
      </c>
    </row>
    <row r="224" spans="1:23">
      <c r="A224" t="s">
        <v>500</v>
      </c>
      <c r="B224">
        <v>16</v>
      </c>
    </row>
    <row r="225" spans="1:2">
      <c r="A225" t="s">
        <v>501</v>
      </c>
      <c r="B225">
        <v>17</v>
      </c>
    </row>
    <row r="226" spans="1:2">
      <c r="A226" t="s">
        <v>502</v>
      </c>
      <c r="B226">
        <v>18</v>
      </c>
    </row>
    <row r="227" spans="1:2">
      <c r="A227" t="s">
        <v>503</v>
      </c>
      <c r="B227">
        <v>19</v>
      </c>
    </row>
    <row r="228" spans="1:2">
      <c r="A228" t="s">
        <v>504</v>
      </c>
      <c r="B228">
        <v>20</v>
      </c>
    </row>
    <row r="229" spans="1:2">
      <c r="A229" t="s">
        <v>505</v>
      </c>
      <c r="B229">
        <v>21</v>
      </c>
    </row>
    <row r="230" spans="1:2">
      <c r="A230" t="s">
        <v>506</v>
      </c>
      <c r="B230">
        <v>22</v>
      </c>
    </row>
    <row r="231" spans="1:2">
      <c r="A231" t="s">
        <v>507</v>
      </c>
      <c r="B231">
        <v>23</v>
      </c>
    </row>
    <row r="232" spans="1:2">
      <c r="A232" t="s">
        <v>508</v>
      </c>
      <c r="B232">
        <v>24</v>
      </c>
    </row>
    <row r="233" spans="1:2">
      <c r="A233" t="s">
        <v>509</v>
      </c>
      <c r="B233">
        <v>25</v>
      </c>
    </row>
    <row r="234" spans="1:2">
      <c r="A234" t="s">
        <v>510</v>
      </c>
      <c r="B234">
        <v>26</v>
      </c>
    </row>
    <row r="235" spans="1:2">
      <c r="A235" t="s">
        <v>511</v>
      </c>
      <c r="B235">
        <v>27</v>
      </c>
    </row>
    <row r="236" spans="1:2">
      <c r="A236" t="s">
        <v>512</v>
      </c>
      <c r="B236">
        <v>28</v>
      </c>
    </row>
    <row r="237" spans="1:2">
      <c r="A237" t="s">
        <v>513</v>
      </c>
      <c r="B237">
        <v>29</v>
      </c>
    </row>
    <row r="238" spans="1:2">
      <c r="A238" t="s">
        <v>514</v>
      </c>
      <c r="B238">
        <v>30</v>
      </c>
    </row>
    <row r="239" spans="1:2">
      <c r="A239" t="s">
        <v>515</v>
      </c>
      <c r="B239">
        <v>31</v>
      </c>
    </row>
    <row r="240" spans="1:2">
      <c r="A240" t="s">
        <v>516</v>
      </c>
      <c r="B240">
        <v>33</v>
      </c>
    </row>
    <row r="241" spans="1:2">
      <c r="A241" t="s">
        <v>517</v>
      </c>
      <c r="B241">
        <v>34</v>
      </c>
    </row>
    <row r="242" spans="1:2">
      <c r="A242" t="s">
        <v>518</v>
      </c>
      <c r="B242">
        <v>35</v>
      </c>
    </row>
    <row r="243" spans="1:2">
      <c r="A243" t="s">
        <v>519</v>
      </c>
      <c r="B243">
        <v>36</v>
      </c>
    </row>
    <row r="244" spans="1:2">
      <c r="A244" t="s">
        <v>520</v>
      </c>
      <c r="B244">
        <v>37</v>
      </c>
    </row>
    <row r="245" spans="1:2">
      <c r="A245" t="s">
        <v>521</v>
      </c>
      <c r="B245">
        <v>38</v>
      </c>
    </row>
    <row r="246" spans="1:2">
      <c r="A246" t="s">
        <v>522</v>
      </c>
      <c r="B246">
        <v>39</v>
      </c>
    </row>
    <row r="247" spans="1:2">
      <c r="A247" t="s">
        <v>523</v>
      </c>
      <c r="B247">
        <v>40</v>
      </c>
    </row>
    <row r="248" spans="1:2">
      <c r="A248" t="s">
        <v>524</v>
      </c>
      <c r="B248">
        <v>41</v>
      </c>
    </row>
    <row r="249" spans="1:2">
      <c r="A249" t="s">
        <v>525</v>
      </c>
      <c r="B249">
        <v>42</v>
      </c>
    </row>
    <row r="250" spans="1:2">
      <c r="A250" t="s">
        <v>526</v>
      </c>
      <c r="B250">
        <v>43</v>
      </c>
    </row>
    <row r="251" spans="1:2">
      <c r="A251" t="s">
        <v>527</v>
      </c>
      <c r="B251">
        <v>44</v>
      </c>
    </row>
    <row r="252" spans="1:2">
      <c r="A252" t="s">
        <v>528</v>
      </c>
      <c r="B252">
        <v>45</v>
      </c>
    </row>
    <row r="253" spans="1:2">
      <c r="A253" t="s">
        <v>529</v>
      </c>
      <c r="B253">
        <v>46</v>
      </c>
    </row>
    <row r="254" spans="1:2">
      <c r="A254" t="s">
        <v>530</v>
      </c>
      <c r="B254">
        <v>47</v>
      </c>
    </row>
    <row r="255" spans="1:2">
      <c r="A255" t="s">
        <v>531</v>
      </c>
      <c r="B255">
        <v>48</v>
      </c>
    </row>
    <row r="256" spans="1:2">
      <c r="A256" t="s">
        <v>532</v>
      </c>
      <c r="B256">
        <v>49</v>
      </c>
    </row>
    <row r="257" spans="1:2">
      <c r="A257" t="s">
        <v>533</v>
      </c>
      <c r="B257">
        <v>50</v>
      </c>
    </row>
    <row r="258" spans="1:2">
      <c r="A258" t="s">
        <v>534</v>
      </c>
      <c r="B258">
        <v>51</v>
      </c>
    </row>
    <row r="259" spans="1:2">
      <c r="A259" t="s">
        <v>535</v>
      </c>
      <c r="B259">
        <v>52</v>
      </c>
    </row>
    <row r="260" spans="1:2">
      <c r="A260" t="s">
        <v>536</v>
      </c>
      <c r="B260">
        <v>53</v>
      </c>
    </row>
    <row r="261" spans="1:2">
      <c r="A261" t="s">
        <v>537</v>
      </c>
      <c r="B261">
        <v>54</v>
      </c>
    </row>
    <row r="262" spans="1:2">
      <c r="A262" t="s">
        <v>538</v>
      </c>
      <c r="B262">
        <v>55</v>
      </c>
    </row>
    <row r="263" spans="1:2">
      <c r="A263" t="s">
        <v>539</v>
      </c>
      <c r="B263">
        <v>57</v>
      </c>
    </row>
    <row r="264" spans="1:2">
      <c r="A264" t="s">
        <v>540</v>
      </c>
      <c r="B264">
        <v>58</v>
      </c>
    </row>
    <row r="265" spans="1:2">
      <c r="A265" t="s">
        <v>541</v>
      </c>
      <c r="B265">
        <v>59</v>
      </c>
    </row>
    <row r="266" spans="1:2">
      <c r="A266" t="s">
        <v>542</v>
      </c>
      <c r="B266">
        <v>60</v>
      </c>
    </row>
    <row r="267" spans="1:2">
      <c r="A267" t="s">
        <v>543</v>
      </c>
      <c r="B267">
        <v>62</v>
      </c>
    </row>
    <row r="268" spans="1:2">
      <c r="A268" t="s">
        <v>544</v>
      </c>
      <c r="B268">
        <v>63</v>
      </c>
    </row>
    <row r="269" spans="1:2">
      <c r="A269" t="s">
        <v>545</v>
      </c>
      <c r="B269">
        <v>64</v>
      </c>
    </row>
    <row r="270" spans="1:2">
      <c r="A270" t="s">
        <v>546</v>
      </c>
      <c r="B270">
        <v>65</v>
      </c>
    </row>
    <row r="271" spans="1:2">
      <c r="A271" t="s">
        <v>547</v>
      </c>
      <c r="B271">
        <v>66</v>
      </c>
    </row>
    <row r="272" spans="1:2">
      <c r="A272" t="s">
        <v>548</v>
      </c>
      <c r="B272">
        <v>68</v>
      </c>
    </row>
    <row r="273" spans="1:24">
      <c r="A273" t="s">
        <v>549</v>
      </c>
      <c r="B273">
        <v>69</v>
      </c>
    </row>
    <row r="274" spans="1:24">
      <c r="A274" t="s">
        <v>550</v>
      </c>
      <c r="B274">
        <v>70</v>
      </c>
    </row>
    <row r="275" spans="1:24">
      <c r="A275" t="s">
        <v>551</v>
      </c>
      <c r="B275">
        <v>71</v>
      </c>
    </row>
    <row r="276" spans="1:24">
      <c r="A276" t="s">
        <v>552</v>
      </c>
      <c r="B276">
        <v>72</v>
      </c>
    </row>
    <row r="277" spans="1:24">
      <c r="A277" t="s">
        <v>553</v>
      </c>
      <c r="B277" t="s">
        <v>554</v>
      </c>
    </row>
    <row r="278" spans="1:24">
      <c r="A278" t="s">
        <v>555</v>
      </c>
      <c r="B278" t="s">
        <v>556</v>
      </c>
    </row>
    <row r="279" spans="1:24">
      <c r="A279" t="s">
        <v>557</v>
      </c>
      <c r="B279" t="s">
        <v>558</v>
      </c>
    </row>
    <row r="280" spans="1:24">
      <c r="A280" t="s">
        <v>559</v>
      </c>
      <c r="B280" t="s">
        <v>560</v>
      </c>
    </row>
    <row r="281" spans="1:24">
      <c r="A281" t="s">
        <v>561</v>
      </c>
      <c r="B281" t="s">
        <v>562</v>
      </c>
    </row>
    <row r="282" spans="1:24">
      <c r="A282" t="s">
        <v>563</v>
      </c>
      <c r="B282" t="s">
        <v>564</v>
      </c>
    </row>
    <row r="283" spans="1:24">
      <c r="A283" t="s">
        <v>565</v>
      </c>
      <c r="B283" t="s">
        <v>566</v>
      </c>
    </row>
    <row r="284" spans="1:24">
      <c r="A284" t="s">
        <v>567</v>
      </c>
      <c r="B284" t="s">
        <v>568</v>
      </c>
    </row>
    <row r="285" spans="1:24">
      <c r="A285" t="s">
        <v>569</v>
      </c>
      <c r="B285" t="s">
        <v>570</v>
      </c>
    </row>
    <row r="286" spans="1:24">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G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586</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1.0462875</v>
      </c>
      <c r="AH5" s="11">
        <f t="shared" ref="AH5:AH39" si="7">IF(ISBLANK(AQ5),"·",AQ5/D5)</f>
        <v>4.6863611718558438E-3</v>
      </c>
      <c r="AI5" s="11">
        <f t="shared" ref="AI5:AI39" si="8">IF(AL5="","·",AL5/D5)</f>
        <v>4.0730577353154176E-3</v>
      </c>
      <c r="AJ5" s="11">
        <f t="shared" ref="AJ5:AJ39" si="9">IF(AR5="","·",AR5/D5)</f>
        <v>2.5510359298285567E-3</v>
      </c>
      <c r="AK5" s="11">
        <f t="shared" ref="AK5:AK39" si="10">IF(ISBLANK(AT5),"·",AT5/D5)</f>
        <v>6.127659520147841E-4</v>
      </c>
      <c r="AL5" s="52">
        <f t="shared" ref="AL5:AL39" si="11">IF(OR(ISBLANK(AR5),ISBLANK(AS5)),"",AR5+AS5)</f>
        <v>969984</v>
      </c>
      <c r="AM5" s="11">
        <v>16</v>
      </c>
      <c r="AN5" s="12">
        <v>23553072</v>
      </c>
      <c r="AO5" s="12">
        <v>736033.5</v>
      </c>
      <c r="AP5" s="12">
        <v>16645.09375</v>
      </c>
      <c r="AQ5" s="13">
        <v>1116040</v>
      </c>
      <c r="AR5" s="13">
        <v>607520</v>
      </c>
      <c r="AS5" s="13">
        <v>362464</v>
      </c>
      <c r="AT5" s="13">
        <v>145928</v>
      </c>
      <c r="AU5" s="14">
        <v>66.842349999999996</v>
      </c>
      <c r="AV5" s="14">
        <v>68.628699999999995</v>
      </c>
      <c r="AW5" s="14">
        <v>31.732144000000002</v>
      </c>
      <c r="AX5" s="14">
        <v>44.428694</v>
      </c>
      <c r="AY5" s="14">
        <v>44.036524999999997</v>
      </c>
      <c r="AZ5" s="15">
        <v>4158</v>
      </c>
      <c r="BA5" s="15">
        <v>3725.25</v>
      </c>
      <c r="BB5" s="15">
        <v>69.638999999999996</v>
      </c>
      <c r="BC5" s="15">
        <v>19.308</v>
      </c>
      <c r="BE5" s="50">
        <f t="shared" ref="BE5:BE43" si="12">AI5/K5</f>
        <v>1.0046234153616702</v>
      </c>
      <c r="BF5" s="16">
        <f t="shared" ref="BF5:BF39" si="13">(AP5/AO5) - (R5/Q5)</f>
        <v>-4.3321127267852838E-4</v>
      </c>
      <c r="BG5" s="16">
        <f t="shared" ref="BG5:BG39" si="14">(AL5/AQ5) - (N5/S5)</f>
        <v>4.567927036694952E-4</v>
      </c>
      <c r="BH5" s="16">
        <f t="array" ref="BH5">AVERAGE(AL5:AL9/AQ5:AQ9) - AVERAGE(N5:N9/S5:S9)</f>
        <v>9.0435579800751675E-4</v>
      </c>
      <c r="BJ5" s="50">
        <f>IF( OR(ISBLANK(N5:N9),ISBLANK(AL5:AL9), ISBLANK(W5:W9),ISBLANK(AU5:AU9)), "·", bdRateExtend( N5:N9,W5:W9, AL5:AL9,AU5:AU9))</f>
        <v>2.3828696393943805E-3</v>
      </c>
      <c r="BK5" s="50">
        <f>IF( OR(ISBLANK(N5:N9),ISBLANK(AL5:AL9), ISBLANK(X5:X9),ISBLANK(AV5:AV9)), "·", bdRateExtend( N5:N9,X5:X9, AL5:AL9,AV5:AV9))</f>
        <v>8.267261375143331E-4</v>
      </c>
      <c r="BL5" s="50">
        <f>IF( OR(ISBLANK(V5:V9),ISBLANK(AT5:AT9), ISBLANK(Y5:Y9),ISBLANK(AW5:AW9)), "·", bdRateExtend( V5:V9,Y5:Y9, AT5:AT9,AW5:AW9))</f>
        <v>-4.5758481380593352E-3</v>
      </c>
      <c r="BM5" s="50">
        <f>IF( OR(ISBLANK(V5:V9),ISBLANK(AT5:AT9), ISBLANK(Z5:Z9),ISBLANK(AX5:AX9)), "·", bdRateExtend( V5:V9,Z5:Z9, AT5:AT9,AX5:AX9))</f>
        <v>-4.8248934399963694E-3</v>
      </c>
      <c r="BN5" s="50">
        <f>IF( OR(ISBLANK(V5:V9),ISBLANK(AT5:AT9), ISBLANK(AA5:AA9),ISBLANK(AY5:AY9)), "·", bdRateExtend( V5:V9,AA5:AA9, AT5:AT9,AY5:AY9))</f>
        <v>-5.6606520137419958E-3</v>
      </c>
      <c r="BP5" s="50">
        <f>IF( OR(ISBLANK(S5:S9),ISBLANK(AQ5:AQ9), ISBLANK(W5:W9),ISBLANK(AU5:AU9)), "·", bdRateExtend( S5:S9,W5:W9, AQ5:AQ9,AU5:AU9))</f>
        <v>7.598423392867204E-4</v>
      </c>
      <c r="BQ5" s="50">
        <f>IF( OR(ISBLANK(S5:S9),ISBLANK(AQ5:AQ9), ISBLANK(X5:X9),ISBLANK(AV5:AV9)), "·", bdRateExtend( S5:S9,X5:X9, AQ5:AQ9,AV5:AV9))</f>
        <v>-1.3840000561747834E-3</v>
      </c>
      <c r="BR5" s="50">
        <f>IF( OR(ISBLANK(S5:S9),ISBLANK(AQ5:AQ9), ISBLANK(Y5:Y9),ISBLANK(AW5:AW9)), "·", bdRateExtend( S5:S9,Y5:Y9, AQ5:AQ9,AW5:AW9))</f>
        <v>6.8234880947226628E-4</v>
      </c>
      <c r="BS5" s="50">
        <f>IF( OR(ISBLANK(S5:S9),ISBLANK(AQ5:AQ9), ISBLANK(Z5:Z9),ISBLANK(AX5:AX9)), "·", bdRateExtend( S5:S9,Z5:Z9, AQ5:AQ9,AX5:AX9))</f>
        <v>-4.3212770615960183E-3</v>
      </c>
      <c r="BT5" s="50">
        <f>IF( OR(ISBLANK(S5:S9),ISBLANK(AQ5:AQ9), ISBLANK(AA5:AA9),ISBLANK(AY5:AY9)), "·", bdRateExtend( S5:S9,AA5:AA9, AQ5:AQ9,AY5:AY9))</f>
        <v>-5.1609870747596487E-3</v>
      </c>
      <c r="BV5" s="58">
        <f>AN5-P5</f>
        <v>-29137</v>
      </c>
      <c r="BW5" s="58">
        <f t="shared" ref="BW5:CG20" si="15">AO5-Q5</f>
        <v>-910.53125</v>
      </c>
      <c r="BX5" s="58">
        <f t="shared" si="15"/>
        <v>-339.84375</v>
      </c>
      <c r="BY5" s="58">
        <f t="shared" si="15"/>
        <v>4552</v>
      </c>
      <c r="BZ5" s="58">
        <f t="shared" si="15"/>
        <v>0</v>
      </c>
      <c r="CA5" s="58">
        <f t="shared" si="15"/>
        <v>4464</v>
      </c>
      <c r="CB5" s="58">
        <f t="shared" si="15"/>
        <v>88</v>
      </c>
      <c r="CC5" s="58">
        <f t="shared" si="15"/>
        <v>-3.3560000000107948E-3</v>
      </c>
      <c r="CD5" s="58">
        <f t="shared" si="15"/>
        <v>8.7249999999983174E-3</v>
      </c>
      <c r="CE5" s="58">
        <f t="shared" si="15"/>
        <v>1.2835000000002594E-2</v>
      </c>
      <c r="CF5" s="58">
        <f t="shared" si="15"/>
        <v>-0.14033700000000238</v>
      </c>
      <c r="CG5" s="58">
        <f t="shared" si="15"/>
        <v>-0.19987800000000533</v>
      </c>
      <c r="CJ5" t="s">
        <v>233</v>
      </c>
    </row>
    <row r="6" spans="1:88" outlineLevel="1">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1.3587674999999999</v>
      </c>
      <c r="AH6" s="20">
        <f t="shared" si="7"/>
        <v>6.0859708766277292E-3</v>
      </c>
      <c r="AI6" s="20">
        <f t="shared" si="8"/>
        <v>4.9633336664757603E-3</v>
      </c>
      <c r="AJ6" s="20">
        <f t="shared" si="9"/>
        <v>3.4412782682060462E-3</v>
      </c>
      <c r="AK6" s="20">
        <f t="shared" si="10"/>
        <v>1.1220997256263271E-3</v>
      </c>
      <c r="AL6" s="17">
        <f t="shared" si="11"/>
        <v>1182000</v>
      </c>
      <c r="AM6" s="20">
        <v>16</v>
      </c>
      <c r="AN6" s="21">
        <v>24748529</v>
      </c>
      <c r="AO6" s="21">
        <v>773391.53125</v>
      </c>
      <c r="AP6" s="21">
        <v>19565.15625</v>
      </c>
      <c r="AQ6" s="22">
        <v>1449352</v>
      </c>
      <c r="AR6" s="22">
        <v>819528</v>
      </c>
      <c r="AS6" s="22">
        <v>362472</v>
      </c>
      <c r="AT6" s="22">
        <v>267224</v>
      </c>
      <c r="AU6" s="23">
        <v>68.550150000000002</v>
      </c>
      <c r="AV6" s="23">
        <v>70.632244</v>
      </c>
      <c r="AW6" s="23">
        <v>33.822887000000001</v>
      </c>
      <c r="AX6" s="23">
        <v>45.412174999999998</v>
      </c>
      <c r="AY6" s="23">
        <v>45.098371999999998</v>
      </c>
      <c r="AZ6" s="24">
        <v>3767.97</v>
      </c>
      <c r="BA6" s="24">
        <v>3325.22</v>
      </c>
      <c r="BB6" s="24">
        <v>68.272000000000006</v>
      </c>
      <c r="BC6" s="24">
        <v>15.164</v>
      </c>
      <c r="BE6" s="49">
        <f t="shared" si="12"/>
        <v>1.0037909669003751</v>
      </c>
      <c r="BF6" s="25">
        <f t="shared" si="13"/>
        <v>-4.3426777347422424E-4</v>
      </c>
      <c r="BG6" s="25">
        <f t="shared" si="14"/>
        <v>6.0599781348835702E-4</v>
      </c>
      <c r="BH6" s="25"/>
      <c r="BJ6" s="49"/>
      <c r="BK6" s="49"/>
      <c r="BL6" s="49"/>
      <c r="BM6" s="49"/>
      <c r="BN6" s="49"/>
      <c r="BP6" s="49"/>
      <c r="BQ6" s="49"/>
      <c r="BR6" s="49"/>
      <c r="BS6" s="49"/>
      <c r="BT6" s="49"/>
      <c r="BV6" s="58">
        <f t="shared" ref="BV6:CG39" si="16">AN6-P6</f>
        <v>-28972</v>
      </c>
      <c r="BW6" s="58">
        <f t="shared" si="15"/>
        <v>-905.375</v>
      </c>
      <c r="BX6" s="58">
        <f t="shared" si="15"/>
        <v>-359.15625</v>
      </c>
      <c r="BY6" s="58">
        <f t="shared" si="15"/>
        <v>4400</v>
      </c>
      <c r="BZ6" s="58">
        <f t="shared" si="15"/>
        <v>0</v>
      </c>
      <c r="CA6" s="58">
        <f t="shared" si="15"/>
        <v>4464</v>
      </c>
      <c r="CB6" s="58">
        <f t="shared" si="15"/>
        <v>-64</v>
      </c>
      <c r="CC6" s="58">
        <f t="shared" si="15"/>
        <v>-2.7469999999993888E-3</v>
      </c>
      <c r="CD6" s="58">
        <f t="shared" si="15"/>
        <v>1.0182000000000357E-2</v>
      </c>
      <c r="CE6" s="58">
        <f t="shared" si="15"/>
        <v>2.5431000000004644E-2</v>
      </c>
      <c r="CF6" s="58">
        <f t="shared" si="15"/>
        <v>-8.1138000000002819E-2</v>
      </c>
      <c r="CG6" s="58">
        <f t="shared" si="15"/>
        <v>-5.5581000000003655E-2</v>
      </c>
      <c r="CJ6" t="s">
        <v>233</v>
      </c>
    </row>
    <row r="7" spans="1:88" outlineLevel="1">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1.8763875000000001</v>
      </c>
      <c r="AH7" s="11">
        <f t="shared" si="7"/>
        <v>8.4044103779846915E-3</v>
      </c>
      <c r="AI7" s="11">
        <f t="shared" si="8"/>
        <v>6.1619577514403735E-3</v>
      </c>
      <c r="AJ7" s="11">
        <f t="shared" si="9"/>
        <v>4.6399023531706598E-3</v>
      </c>
      <c r="AK7" s="11">
        <f t="shared" si="10"/>
        <v>2.2419151420186756E-3</v>
      </c>
      <c r="AL7" s="52">
        <f t="shared" si="11"/>
        <v>1467448</v>
      </c>
      <c r="AM7" s="11">
        <v>16</v>
      </c>
      <c r="AN7" s="12">
        <v>24895273</v>
      </c>
      <c r="AO7" s="12">
        <v>777977.28125</v>
      </c>
      <c r="AP7" s="12">
        <v>20728.15625</v>
      </c>
      <c r="AQ7" s="13">
        <v>2001480</v>
      </c>
      <c r="AR7" s="13">
        <v>1104976</v>
      </c>
      <c r="AS7" s="13">
        <v>362472</v>
      </c>
      <c r="AT7" s="13">
        <v>533904</v>
      </c>
      <c r="AU7" s="14">
        <v>69.832553000000004</v>
      </c>
      <c r="AV7" s="14">
        <v>72.285994000000002</v>
      </c>
      <c r="AW7" s="14">
        <v>36.190227999999998</v>
      </c>
      <c r="AX7" s="14">
        <v>46.894953000000001</v>
      </c>
      <c r="AY7" s="14">
        <v>46.622937</v>
      </c>
      <c r="AZ7" s="15">
        <v>3351.4</v>
      </c>
      <c r="BA7" s="15">
        <v>3307.51</v>
      </c>
      <c r="BB7" s="15">
        <v>66.477000000000004</v>
      </c>
      <c r="BC7" s="15">
        <v>14.862</v>
      </c>
      <c r="BE7" s="50">
        <f t="shared" si="12"/>
        <v>1.0030512978952606</v>
      </c>
      <c r="BF7" s="16">
        <f t="shared" si="13"/>
        <v>-4.5328312031234219E-4</v>
      </c>
      <c r="BG7" s="16">
        <f t="shared" si="14"/>
        <v>1.6397008915106648E-3</v>
      </c>
      <c r="BH7" s="16"/>
      <c r="BJ7" s="50"/>
      <c r="BK7" s="50"/>
      <c r="BL7" s="50"/>
      <c r="BM7" s="50"/>
      <c r="BN7" s="50"/>
      <c r="BP7" s="50"/>
      <c r="BQ7" s="50"/>
      <c r="BR7" s="50"/>
      <c r="BS7" s="50"/>
      <c r="BT7" s="50"/>
      <c r="BV7" s="58">
        <f t="shared" si="16"/>
        <v>-28431</v>
      </c>
      <c r="BW7" s="58">
        <f t="shared" si="15"/>
        <v>-888.46875</v>
      </c>
      <c r="BX7" s="58">
        <f t="shared" si="15"/>
        <v>-376.71875</v>
      </c>
      <c r="BY7" s="58">
        <f t="shared" si="15"/>
        <v>1616</v>
      </c>
      <c r="BZ7" s="58">
        <f t="shared" si="15"/>
        <v>0</v>
      </c>
      <c r="CA7" s="58">
        <f t="shared" si="15"/>
        <v>4464</v>
      </c>
      <c r="CB7" s="58">
        <f t="shared" si="15"/>
        <v>-2848</v>
      </c>
      <c r="CC7" s="58">
        <f t="shared" si="15"/>
        <v>-4.8809999999974707E-3</v>
      </c>
      <c r="CD7" s="58">
        <f t="shared" si="15"/>
        <v>1.1822000000009325E-2</v>
      </c>
      <c r="CE7" s="58">
        <f t="shared" si="15"/>
        <v>4.8100000000061982E-4</v>
      </c>
      <c r="CF7" s="58">
        <f t="shared" si="15"/>
        <v>1.0750000000001592E-2</v>
      </c>
      <c r="CG7" s="58">
        <f t="shared" si="15"/>
        <v>-4.1640999999998485E-2</v>
      </c>
      <c r="CJ7" t="s">
        <v>233</v>
      </c>
    </row>
    <row r="8" spans="1:88" outlineLevel="1">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3.0901125</v>
      </c>
      <c r="AH8" s="20">
        <f t="shared" si="7"/>
        <v>1.384073042702545E-2</v>
      </c>
      <c r="AI8" s="20">
        <f t="shared" si="8"/>
        <v>8.8764561626298172E-3</v>
      </c>
      <c r="AJ8" s="20">
        <f t="shared" si="9"/>
        <v>7.3544007643601035E-3</v>
      </c>
      <c r="AK8" s="20">
        <f t="shared" si="10"/>
        <v>4.9637367798699922E-3</v>
      </c>
      <c r="AL8" s="17">
        <f t="shared" si="11"/>
        <v>2113896</v>
      </c>
      <c r="AM8" s="20">
        <v>16</v>
      </c>
      <c r="AN8" s="21">
        <v>25865486</v>
      </c>
      <c r="AO8" s="21">
        <v>808296.4375</v>
      </c>
      <c r="AP8" s="21">
        <v>23953.75</v>
      </c>
      <c r="AQ8" s="22">
        <v>3296120</v>
      </c>
      <c r="AR8" s="22">
        <v>1751424</v>
      </c>
      <c r="AS8" s="22">
        <v>362472</v>
      </c>
      <c r="AT8" s="22">
        <v>1182096</v>
      </c>
      <c r="AU8" s="23">
        <v>70.909927999999994</v>
      </c>
      <c r="AV8" s="23">
        <v>73.473887000000005</v>
      </c>
      <c r="AW8" s="23">
        <v>38.664141000000001</v>
      </c>
      <c r="AX8" s="23">
        <v>48.205331000000001</v>
      </c>
      <c r="AY8" s="23">
        <v>48.257472</v>
      </c>
      <c r="AZ8" s="24">
        <v>4115.62</v>
      </c>
      <c r="BA8" s="24">
        <v>4664.8900000000003</v>
      </c>
      <c r="BB8" s="24">
        <v>75.150000000000006</v>
      </c>
      <c r="BC8" s="24">
        <v>20.475999999999999</v>
      </c>
      <c r="BE8" s="49">
        <f t="shared" si="12"/>
        <v>1.0021200100122118</v>
      </c>
      <c r="BF8" s="25">
        <f t="shared" si="13"/>
        <v>-4.7204378204927094E-4</v>
      </c>
      <c r="BG8" s="25">
        <f t="shared" si="14"/>
        <v>1.8192875813687337E-3</v>
      </c>
      <c r="BH8" s="25"/>
      <c r="BJ8" s="49"/>
      <c r="BK8" s="49"/>
      <c r="BL8" s="49"/>
      <c r="BM8" s="49"/>
      <c r="BN8" s="49"/>
      <c r="BP8" s="49"/>
      <c r="BQ8" s="49"/>
      <c r="BR8" s="49"/>
      <c r="BS8" s="49"/>
      <c r="BT8" s="49"/>
      <c r="BV8" s="58">
        <f t="shared" si="16"/>
        <v>-29075</v>
      </c>
      <c r="BW8" s="58">
        <f t="shared" si="15"/>
        <v>-908.59375</v>
      </c>
      <c r="BX8" s="58">
        <f t="shared" si="15"/>
        <v>-408.90625</v>
      </c>
      <c r="BY8" s="58">
        <f t="shared" si="15"/>
        <v>-2384</v>
      </c>
      <c r="BZ8" s="58">
        <f t="shared" si="15"/>
        <v>0</v>
      </c>
      <c r="CA8" s="58">
        <f t="shared" si="15"/>
        <v>4472</v>
      </c>
      <c r="CB8" s="58">
        <f t="shared" si="15"/>
        <v>-6856</v>
      </c>
      <c r="CC8" s="58">
        <f t="shared" si="15"/>
        <v>1.0546999999988316E-2</v>
      </c>
      <c r="CD8" s="58">
        <f t="shared" si="15"/>
        <v>1.3612000000009061E-2</v>
      </c>
      <c r="CE8" s="58">
        <f t="shared" si="15"/>
        <v>-7.7619999999996026E-3</v>
      </c>
      <c r="CF8" s="58">
        <f t="shared" si="15"/>
        <v>8.2833999999998298E-2</v>
      </c>
      <c r="CG8" s="58">
        <f t="shared" si="15"/>
        <v>0.115949999999998</v>
      </c>
      <c r="CJ8" t="s">
        <v>233</v>
      </c>
    </row>
    <row r="9" spans="1:88" ht="16" outlineLevel="1" thickBot="1">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6.3077399999999999</v>
      </c>
      <c r="AH9" s="29">
        <f t="shared" si="7"/>
        <v>2.8252605348111279E-2</v>
      </c>
      <c r="AI9" s="29">
        <f t="shared" si="8"/>
        <v>1.556676120277632E-2</v>
      </c>
      <c r="AJ9" s="29">
        <f t="shared" si="9"/>
        <v>1.2147654171253009E-2</v>
      </c>
      <c r="AK9" s="29">
        <f t="shared" si="10"/>
        <v>1.2685306660809317E-2</v>
      </c>
      <c r="AL9" s="26">
        <f t="shared" si="11"/>
        <v>3707168</v>
      </c>
      <c r="AM9" s="29">
        <v>16</v>
      </c>
      <c r="AN9" s="30">
        <v>24903158</v>
      </c>
      <c r="AO9" s="30">
        <v>778223.6875</v>
      </c>
      <c r="AP9" s="30">
        <v>10582.96875</v>
      </c>
      <c r="AQ9" s="31">
        <v>6728256</v>
      </c>
      <c r="AR9" s="31">
        <v>2892920</v>
      </c>
      <c r="AS9" s="31">
        <v>814248</v>
      </c>
      <c r="AT9" s="31">
        <v>3020960</v>
      </c>
      <c r="AU9" s="32">
        <v>71.932044000000005</v>
      </c>
      <c r="AV9" s="32">
        <v>75.246166000000002</v>
      </c>
      <c r="AW9" s="32">
        <v>41.135641</v>
      </c>
      <c r="AX9" s="32">
        <v>49.545462000000001</v>
      </c>
      <c r="AY9" s="32">
        <v>49.686588</v>
      </c>
      <c r="AZ9" s="33">
        <v>4201.9399999999996</v>
      </c>
      <c r="BA9" s="33">
        <v>4200.66</v>
      </c>
      <c r="BB9" s="33">
        <v>66.244</v>
      </c>
      <c r="BC9" s="33">
        <v>16.986000000000001</v>
      </c>
      <c r="BE9" s="34">
        <f t="shared" si="12"/>
        <v>1</v>
      </c>
      <c r="BF9" s="35">
        <f t="shared" si="13"/>
        <v>0</v>
      </c>
      <c r="BG9" s="35">
        <f t="shared" si="14"/>
        <v>0</v>
      </c>
      <c r="BH9" s="35"/>
      <c r="BJ9" s="34"/>
      <c r="BK9" s="34"/>
      <c r="BL9" s="34"/>
      <c r="BM9" s="34"/>
      <c r="BN9" s="34"/>
      <c r="BP9" s="34"/>
      <c r="BQ9" s="34"/>
      <c r="BR9" s="34"/>
      <c r="BS9" s="34"/>
      <c r="BT9" s="34"/>
      <c r="BV9" s="58">
        <f t="shared" si="16"/>
        <v>0</v>
      </c>
      <c r="BW9" s="58">
        <f t="shared" si="15"/>
        <v>0</v>
      </c>
      <c r="BX9" s="58">
        <f t="shared" si="15"/>
        <v>0</v>
      </c>
      <c r="BY9" s="58">
        <f t="shared" si="15"/>
        <v>0</v>
      </c>
      <c r="BZ9" s="58">
        <f t="shared" si="15"/>
        <v>0</v>
      </c>
      <c r="CA9" s="58">
        <f t="shared" si="15"/>
        <v>0</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1.9777199999999999</v>
      </c>
      <c r="AH10" s="20">
        <f t="shared" si="7"/>
        <v>9.6715385473552361E-3</v>
      </c>
      <c r="AI10" s="20">
        <f t="shared" si="8"/>
        <v>7.2509765004914106E-3</v>
      </c>
      <c r="AJ10" s="20">
        <f t="shared" si="9"/>
        <v>4.1104845716952226E-3</v>
      </c>
      <c r="AK10" s="20">
        <f t="shared" si="10"/>
        <v>2.4199752172693019E-3</v>
      </c>
      <c r="AL10" s="17">
        <f t="shared" si="11"/>
        <v>1581592</v>
      </c>
      <c r="AM10" s="20">
        <v>16</v>
      </c>
      <c r="AN10" s="21">
        <v>20877871</v>
      </c>
      <c r="AO10" s="21">
        <v>652433.46875</v>
      </c>
      <c r="AP10" s="21">
        <v>18399.21875</v>
      </c>
      <c r="AQ10" s="22">
        <v>2109568</v>
      </c>
      <c r="AR10" s="22">
        <v>896584</v>
      </c>
      <c r="AS10" s="22">
        <v>685008</v>
      </c>
      <c r="AT10" s="22">
        <v>527848</v>
      </c>
      <c r="AU10" s="23">
        <v>65.971738000000002</v>
      </c>
      <c r="AV10" s="23">
        <v>67.892266000000006</v>
      </c>
      <c r="AW10" s="23">
        <v>31.018336999999999</v>
      </c>
      <c r="AX10" s="23">
        <v>38.767231000000002</v>
      </c>
      <c r="AY10" s="23">
        <v>30.108008999999999</v>
      </c>
      <c r="AZ10" s="24">
        <v>3545.78</v>
      </c>
      <c r="BA10" s="24">
        <v>3559.46</v>
      </c>
      <c r="BB10" s="24">
        <v>55.618000000000002</v>
      </c>
      <c r="BC10" s="24">
        <v>15.558</v>
      </c>
      <c r="BE10" s="49">
        <f t="shared" si="12"/>
        <v>1.0143924389668231</v>
      </c>
      <c r="BF10" s="25">
        <f t="shared" si="13"/>
        <v>-7.4469258312132719E-4</v>
      </c>
      <c r="BG10" s="25">
        <f t="shared" si="14"/>
        <v>2.2983902276551005E-3</v>
      </c>
      <c r="BH10" s="25">
        <f t="array" ref="BH10">AVERAGE(AL10:AL14/AQ10:AQ14) - AVERAGE(N10:N14/S10:S14)</f>
        <v>2.1280823925361458E-3</v>
      </c>
      <c r="BJ10" s="49">
        <f>IF( OR(ISBLANK(N10:N14),ISBLANK(AL10:AL14), ISBLANK(W10:W14),ISBLANK(AU10:AU14)), "·", bdRateExtend( N10:N14,W10:W14, AL10:AL14,AU10:AU14))</f>
        <v>6.9630890431446879E-3</v>
      </c>
      <c r="BK10" s="49">
        <f>IF( OR(ISBLANK(N10:N14),ISBLANK(AL10:AL14), ISBLANK(X10:X14),ISBLANK(AV10:AV14)), "·", bdRateExtend( N10:N14,X10:X14, AL10:AL14,AV10:AV14))</f>
        <v>8.7795019968783805E-4</v>
      </c>
      <c r="BL10" s="49">
        <f>IF( OR(ISBLANK(V10:V14),ISBLANK(AT10:AT14), ISBLANK(Y10:Y14),ISBLANK(AW10:AW14)), "·", bdRateExtend( V10:V14,Y10:Y14, AT10:AT14,AW10:AW14))</f>
        <v>2.1637308266830857E-4</v>
      </c>
      <c r="BM10" s="49">
        <f>IF( OR(ISBLANK(V10:V14),ISBLANK(AT10:AT14), ISBLANK(Z10:Z14),ISBLANK(AX10:AX14)), "·", bdRateExtend( V10:V14,Z10:Z14, AT10:AT14,AX10:AX14))</f>
        <v>-2.8856218673999345E-3</v>
      </c>
      <c r="BN10" s="49">
        <f>IF( OR(ISBLANK(V10:V14),ISBLANK(AT10:AT14), ISBLANK(AA10:AA14),ISBLANK(AY10:AY14)), "·", bdRateExtend( V10:V14,AA10:AA14, AT10:AT14,AY10:AY14))</f>
        <v>-1.8828223695208646E-3</v>
      </c>
      <c r="BP10" s="49">
        <f>IF( OR(ISBLANK(S10:S14),ISBLANK(AQ10:AQ14), ISBLANK(W10:W14),ISBLANK(AU10:AU14)), "·", bdRateExtend( S10:S14,W10:W14, AQ10:AQ14,AU10:AU14))</f>
        <v>2.0625256127695391E-3</v>
      </c>
      <c r="BQ10" s="49">
        <f>IF( OR(ISBLANK(S10:S14),ISBLANK(AQ10:AQ14), ISBLANK(X10:X14),ISBLANK(AV10:AV14)), "·", bdRateExtend( S10:S14,X10:X14, AQ10:AQ14,AV10:AV14))</f>
        <v>-6.0459540694262071E-3</v>
      </c>
      <c r="BR10" s="49">
        <f>IF( OR(ISBLANK(S10:S14),ISBLANK(AQ10:AQ14), ISBLANK(Y10:Y14),ISBLANK(AW10:AW14)), "·", bdRateExtend( S10:S14,Y10:Y14, AQ10:AQ14,AW10:AW14))</f>
        <v>5.8761565354610301E-3</v>
      </c>
      <c r="BS10" s="49">
        <f>IF( OR(ISBLANK(S10:S14),ISBLANK(AQ10:AQ14), ISBLANK(Z10:Z14),ISBLANK(AX10:AX14)), "·", bdRateExtend( S10:S14,Z10:Z14, AQ10:AQ14,AX10:AX14))</f>
        <v>2.8872404020827691E-3</v>
      </c>
      <c r="BT10" s="49">
        <f>IF( OR(ISBLANK(S10:S14),ISBLANK(AQ10:AQ14), ISBLANK(AA10:AA14),ISBLANK(AY10:AY14)), "·", bdRateExtend( S10:S14,AA10:AA14, AQ10:AQ14,AY10:AY14))</f>
        <v>4.8134656132949871E-3</v>
      </c>
      <c r="BV10" s="58">
        <f t="shared" si="16"/>
        <v>-64687</v>
      </c>
      <c r="BW10" s="58">
        <f t="shared" si="15"/>
        <v>-2021.46875</v>
      </c>
      <c r="BX10" s="58">
        <f t="shared" si="15"/>
        <v>-544.375</v>
      </c>
      <c r="BY10" s="58">
        <f t="shared" si="15"/>
        <v>23536</v>
      </c>
      <c r="BZ10" s="58">
        <f t="shared" si="15"/>
        <v>0</v>
      </c>
      <c r="CA10" s="58">
        <f t="shared" si="15"/>
        <v>22440</v>
      </c>
      <c r="CB10" s="58">
        <f t="shared" si="15"/>
        <v>1096</v>
      </c>
      <c r="CC10" s="58">
        <f t="shared" si="15"/>
        <v>-1.2311999999994327E-2</v>
      </c>
      <c r="CD10" s="58">
        <f t="shared" si="15"/>
        <v>3.2572000000001822E-2</v>
      </c>
      <c r="CE10" s="58">
        <f t="shared" si="15"/>
        <v>5.7930000000006032E-3</v>
      </c>
      <c r="CF10" s="58">
        <f t="shared" si="15"/>
        <v>-1.8059999999948673E-3</v>
      </c>
      <c r="CG10" s="58">
        <f t="shared" si="15"/>
        <v>4.1228000000000264E-2</v>
      </c>
      <c r="CJ10" t="s">
        <v>587</v>
      </c>
    </row>
    <row r="11" spans="1:88" outlineLevel="1">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2.7005175000000001</v>
      </c>
      <c r="AH11" s="11">
        <f t="shared" si="7"/>
        <v>1.3206196579423474E-2</v>
      </c>
      <c r="AI11" s="11">
        <f t="shared" si="8"/>
        <v>8.8998576305557627E-3</v>
      </c>
      <c r="AJ11" s="11">
        <f t="shared" si="9"/>
        <v>5.7593657017595747E-3</v>
      </c>
      <c r="AK11" s="11">
        <f t="shared" si="10"/>
        <v>4.305752119273188E-3</v>
      </c>
      <c r="AL11" s="52">
        <f t="shared" si="11"/>
        <v>1941248</v>
      </c>
      <c r="AM11" s="11">
        <v>16</v>
      </c>
      <c r="AN11" s="12">
        <v>22164749</v>
      </c>
      <c r="AO11" s="12">
        <v>692648.40625</v>
      </c>
      <c r="AP11" s="12">
        <v>22530.9375</v>
      </c>
      <c r="AQ11" s="13">
        <v>2880552</v>
      </c>
      <c r="AR11" s="13">
        <v>1256240</v>
      </c>
      <c r="AS11" s="13">
        <v>685008</v>
      </c>
      <c r="AT11" s="13">
        <v>939176</v>
      </c>
      <c r="AU11" s="14">
        <v>67.664377999999999</v>
      </c>
      <c r="AV11" s="14">
        <v>69.789749999999998</v>
      </c>
      <c r="AW11" s="14">
        <v>32.846628000000003</v>
      </c>
      <c r="AX11" s="14">
        <v>39.649797</v>
      </c>
      <c r="AY11" s="14">
        <v>32.240763000000001</v>
      </c>
      <c r="AZ11" s="15">
        <v>3912.08</v>
      </c>
      <c r="BA11" s="15">
        <v>3892.85</v>
      </c>
      <c r="BB11" s="15">
        <v>58.939</v>
      </c>
      <c r="BC11" s="15">
        <v>16.317</v>
      </c>
      <c r="BE11" s="50">
        <f t="shared" si="12"/>
        <v>1.011694760497142</v>
      </c>
      <c r="BF11" s="16">
        <f t="shared" si="13"/>
        <v>-8.6876749752524962E-4</v>
      </c>
      <c r="BG11" s="16">
        <f t="shared" si="14"/>
        <v>2.4023146977348864E-3</v>
      </c>
      <c r="BH11" s="16"/>
      <c r="BJ11" s="50"/>
      <c r="BK11" s="50"/>
      <c r="BL11" s="50"/>
      <c r="BM11" s="50"/>
      <c r="BN11" s="50"/>
      <c r="BP11" s="50"/>
      <c r="BQ11" s="50"/>
      <c r="BR11" s="50"/>
      <c r="BS11" s="50"/>
      <c r="BT11" s="50"/>
      <c r="BV11" s="58">
        <f t="shared" si="16"/>
        <v>-68418</v>
      </c>
      <c r="BW11" s="58">
        <f t="shared" si="15"/>
        <v>-2138.0625</v>
      </c>
      <c r="BX11" s="58">
        <f t="shared" si="15"/>
        <v>-673.15625</v>
      </c>
      <c r="BY11" s="58">
        <f t="shared" si="15"/>
        <v>23112</v>
      </c>
      <c r="BZ11" s="58">
        <f t="shared" si="15"/>
        <v>0</v>
      </c>
      <c r="CA11" s="58">
        <f t="shared" si="15"/>
        <v>22440</v>
      </c>
      <c r="CB11" s="58">
        <f t="shared" si="15"/>
        <v>672</v>
      </c>
      <c r="CC11" s="58">
        <f t="shared" si="15"/>
        <v>-1.035299999999495E-2</v>
      </c>
      <c r="CD11" s="58">
        <f t="shared" si="15"/>
        <v>3.629399999999805E-2</v>
      </c>
      <c r="CE11" s="58">
        <f t="shared" si="15"/>
        <v>-1.5337999999999852E-2</v>
      </c>
      <c r="CF11" s="58">
        <f t="shared" si="15"/>
        <v>-3.5921999999999343E-2</v>
      </c>
      <c r="CG11" s="58">
        <f t="shared" si="15"/>
        <v>-8.3099999999802776E-4</v>
      </c>
      <c r="CJ11" t="s">
        <v>587</v>
      </c>
    </row>
    <row r="12" spans="1:88" outlineLevel="1">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3.8415075000000001</v>
      </c>
      <c r="AH12" s="20">
        <f t="shared" si="7"/>
        <v>1.8785919071559295E-2</v>
      </c>
      <c r="AI12" s="20">
        <f t="shared" si="8"/>
        <v>1.1417613329012678E-2</v>
      </c>
      <c r="AJ12" s="20">
        <f t="shared" si="9"/>
        <v>8.2770847233668322E-3</v>
      </c>
      <c r="AK12" s="20">
        <f t="shared" si="10"/>
        <v>7.3677189129520912E-3</v>
      </c>
      <c r="AL12" s="17">
        <f t="shared" si="11"/>
        <v>2490424</v>
      </c>
      <c r="AM12" s="20">
        <v>16</v>
      </c>
      <c r="AN12" s="21">
        <v>22503246</v>
      </c>
      <c r="AO12" s="21">
        <v>703226.4375</v>
      </c>
      <c r="AP12" s="21">
        <v>24019.96875</v>
      </c>
      <c r="AQ12" s="22">
        <v>4097608</v>
      </c>
      <c r="AR12" s="22">
        <v>1805408</v>
      </c>
      <c r="AS12" s="22">
        <v>685016</v>
      </c>
      <c r="AT12" s="22">
        <v>1607056</v>
      </c>
      <c r="AU12" s="23">
        <v>68.998565999999997</v>
      </c>
      <c r="AV12" s="23">
        <v>71.422471999999999</v>
      </c>
      <c r="AW12" s="23">
        <v>34.859247000000003</v>
      </c>
      <c r="AX12" s="23">
        <v>40.681175000000003</v>
      </c>
      <c r="AY12" s="23">
        <v>34.129021999999999</v>
      </c>
      <c r="AZ12" s="24">
        <v>3866.45</v>
      </c>
      <c r="BA12" s="24">
        <v>4370.37</v>
      </c>
      <c r="BB12" s="24">
        <v>60.679000000000002</v>
      </c>
      <c r="BC12" s="24">
        <v>17.292000000000002</v>
      </c>
      <c r="BE12" s="49">
        <f t="shared" si="12"/>
        <v>1.0090957124380464</v>
      </c>
      <c r="BF12" s="25">
        <f t="shared" si="13"/>
        <v>-8.9438930723458737E-4</v>
      </c>
      <c r="BG12" s="25">
        <f t="shared" si="14"/>
        <v>3.4146235060078522E-3</v>
      </c>
      <c r="BH12" s="25"/>
      <c r="BJ12" s="49"/>
      <c r="BK12" s="49"/>
      <c r="BL12" s="49"/>
      <c r="BM12" s="49"/>
      <c r="BN12" s="49"/>
      <c r="BP12" s="49"/>
      <c r="BQ12" s="49"/>
      <c r="BR12" s="49"/>
      <c r="BS12" s="49"/>
      <c r="BT12" s="49"/>
      <c r="BV12" s="58">
        <f t="shared" si="16"/>
        <v>-66655</v>
      </c>
      <c r="BW12" s="58">
        <f t="shared" si="15"/>
        <v>-2082.96875</v>
      </c>
      <c r="BX12" s="58">
        <f t="shared" si="15"/>
        <v>-701.96875</v>
      </c>
      <c r="BY12" s="58">
        <f t="shared" si="15"/>
        <v>13992</v>
      </c>
      <c r="BZ12" s="58">
        <f t="shared" si="15"/>
        <v>0</v>
      </c>
      <c r="CA12" s="58">
        <f t="shared" si="15"/>
        <v>22448</v>
      </c>
      <c r="CB12" s="58">
        <f t="shared" si="15"/>
        <v>-8456</v>
      </c>
      <c r="CC12" s="58">
        <f t="shared" si="15"/>
        <v>-1.0884000000004335E-2</v>
      </c>
      <c r="CD12" s="58">
        <f t="shared" si="15"/>
        <v>4.2500000000003979E-2</v>
      </c>
      <c r="CE12" s="58">
        <f t="shared" si="15"/>
        <v>-1.3399999999990087E-3</v>
      </c>
      <c r="CF12" s="58">
        <f t="shared" si="15"/>
        <v>2.5203000000004749E-2</v>
      </c>
      <c r="CG12" s="58">
        <f t="shared" si="15"/>
        <v>-1.1059000000003039E-2</v>
      </c>
      <c r="CJ12" t="s">
        <v>587</v>
      </c>
    </row>
    <row r="13" spans="1:88" outlineLevel="1">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6.1943925000000002</v>
      </c>
      <c r="AH13" s="11">
        <f t="shared" si="7"/>
        <v>3.0292106992495484E-2</v>
      </c>
      <c r="AI13" s="11">
        <f t="shared" si="8"/>
        <v>1.5920026716150826E-2</v>
      </c>
      <c r="AJ13" s="11">
        <f t="shared" si="9"/>
        <v>1.2779498110504982E-2</v>
      </c>
      <c r="AK13" s="11">
        <f t="shared" si="10"/>
        <v>1.4371493446750134E-2</v>
      </c>
      <c r="AL13" s="52">
        <f t="shared" si="11"/>
        <v>3472496</v>
      </c>
      <c r="AM13" s="11">
        <v>16</v>
      </c>
      <c r="AN13" s="12">
        <v>23239478</v>
      </c>
      <c r="AO13" s="12">
        <v>726233.6875</v>
      </c>
      <c r="AP13" s="12">
        <v>27238.5625</v>
      </c>
      <c r="AQ13" s="13">
        <v>6607352</v>
      </c>
      <c r="AR13" s="13">
        <v>2787480</v>
      </c>
      <c r="AS13" s="13">
        <v>685016</v>
      </c>
      <c r="AT13" s="13">
        <v>3134728</v>
      </c>
      <c r="AU13" s="14">
        <v>70.102266</v>
      </c>
      <c r="AV13" s="14">
        <v>72.621137000000004</v>
      </c>
      <c r="AW13" s="14">
        <v>37.039583999999998</v>
      </c>
      <c r="AX13" s="14">
        <v>41.694862000000001</v>
      </c>
      <c r="AY13" s="14">
        <v>36.075288</v>
      </c>
      <c r="AZ13" s="15">
        <v>4141.5</v>
      </c>
      <c r="BA13" s="15">
        <v>4754.7700000000004</v>
      </c>
      <c r="BB13" s="15">
        <v>64.775999999999996</v>
      </c>
      <c r="BC13" s="15">
        <v>17.79</v>
      </c>
      <c r="BE13" s="50">
        <f t="shared" si="12"/>
        <v>1.00650657614039</v>
      </c>
      <c r="BF13" s="16">
        <f t="shared" si="13"/>
        <v>-9.2234203520022429E-4</v>
      </c>
      <c r="BG13" s="16">
        <f t="shared" si="14"/>
        <v>2.5254228415255708E-3</v>
      </c>
      <c r="BH13" s="16"/>
      <c r="BJ13" s="50"/>
      <c r="BK13" s="50"/>
      <c r="BL13" s="50"/>
      <c r="BM13" s="50"/>
      <c r="BN13" s="50"/>
      <c r="BP13" s="50"/>
      <c r="BQ13" s="50"/>
      <c r="BR13" s="50"/>
      <c r="BS13" s="50"/>
      <c r="BT13" s="50"/>
      <c r="BV13" s="58">
        <f t="shared" si="16"/>
        <v>-68965</v>
      </c>
      <c r="BW13" s="58">
        <f t="shared" si="15"/>
        <v>-2155.15625</v>
      </c>
      <c r="BX13" s="58">
        <f t="shared" si="15"/>
        <v>-752.65625</v>
      </c>
      <c r="BY13" s="58">
        <f t="shared" si="15"/>
        <v>11016</v>
      </c>
      <c r="BZ13" s="58">
        <f t="shared" si="15"/>
        <v>0</v>
      </c>
      <c r="CA13" s="58">
        <f t="shared" si="15"/>
        <v>22448</v>
      </c>
      <c r="CB13" s="58">
        <f t="shared" si="15"/>
        <v>-11432</v>
      </c>
      <c r="CC13" s="58">
        <f t="shared" si="15"/>
        <v>4.1978000000000293E-2</v>
      </c>
      <c r="CD13" s="58">
        <f t="shared" si="15"/>
        <v>5.3965000000005148E-2</v>
      </c>
      <c r="CE13" s="58">
        <f t="shared" si="15"/>
        <v>-1.1085000000001344E-2</v>
      </c>
      <c r="CF13" s="58">
        <f t="shared" si="15"/>
        <v>1.486500000000035E-2</v>
      </c>
      <c r="CG13" s="58">
        <f t="shared" si="15"/>
        <v>-1.3399999999990087E-3</v>
      </c>
      <c r="CJ13" t="s">
        <v>587</v>
      </c>
    </row>
    <row r="14" spans="1:88" ht="16" outlineLevel="1" thickBot="1">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12.2196225</v>
      </c>
      <c r="AH14" s="39">
        <f t="shared" si="7"/>
        <v>5.9756967640959974E-2</v>
      </c>
      <c r="AI14" s="39">
        <f t="shared" si="8"/>
        <v>2.6721358940364003E-2</v>
      </c>
      <c r="AJ14" s="39">
        <f t="shared" si="9"/>
        <v>2.0741492018461916E-2</v>
      </c>
      <c r="AK14" s="39">
        <f t="shared" si="10"/>
        <v>3.3035021871001449E-2</v>
      </c>
      <c r="AL14" s="36">
        <f t="shared" si="11"/>
        <v>5828496</v>
      </c>
      <c r="AM14" s="39">
        <v>16</v>
      </c>
      <c r="AN14" s="40">
        <v>22150010</v>
      </c>
      <c r="AO14" s="40">
        <v>692187.8125</v>
      </c>
      <c r="AP14" s="40">
        <v>13331.5625</v>
      </c>
      <c r="AQ14" s="41">
        <v>13034264</v>
      </c>
      <c r="AR14" s="41">
        <v>4524160</v>
      </c>
      <c r="AS14" s="41">
        <v>1304336</v>
      </c>
      <c r="AT14" s="41">
        <v>7205640</v>
      </c>
      <c r="AU14" s="42">
        <v>70.920671999999996</v>
      </c>
      <c r="AV14" s="42">
        <v>74.632659000000004</v>
      </c>
      <c r="AW14" s="42">
        <v>39.477800000000002</v>
      </c>
      <c r="AX14" s="42">
        <v>42.980525</v>
      </c>
      <c r="AY14" s="42">
        <v>38.260322000000002</v>
      </c>
      <c r="AZ14" s="43">
        <v>3315.51</v>
      </c>
      <c r="BA14" s="43">
        <v>4569.4799999999996</v>
      </c>
      <c r="BB14" s="43">
        <v>54.999000000000002</v>
      </c>
      <c r="BC14" s="43">
        <v>18.065999999999999</v>
      </c>
      <c r="BE14" s="44">
        <f t="shared" si="12"/>
        <v>0.99999862743510171</v>
      </c>
      <c r="BF14" s="45">
        <f t="shared" si="13"/>
        <v>0</v>
      </c>
      <c r="BG14" s="45">
        <f t="shared" si="14"/>
        <v>-3.3931024251421249E-7</v>
      </c>
      <c r="BH14" s="45"/>
      <c r="BJ14" s="44"/>
      <c r="BK14" s="44"/>
      <c r="BL14" s="44"/>
      <c r="BM14" s="44"/>
      <c r="BN14" s="44"/>
      <c r="BP14" s="44"/>
      <c r="BQ14" s="44"/>
      <c r="BR14" s="44"/>
      <c r="BS14" s="44"/>
      <c r="BT14" s="44"/>
      <c r="BV14" s="58">
        <f t="shared" si="16"/>
        <v>0</v>
      </c>
      <c r="BW14" s="58">
        <f t="shared" si="15"/>
        <v>0</v>
      </c>
      <c r="BX14" s="58">
        <f t="shared" si="15"/>
        <v>0</v>
      </c>
      <c r="BY14" s="58">
        <f t="shared" si="15"/>
        <v>-8</v>
      </c>
      <c r="BZ14" s="58">
        <f t="shared" si="15"/>
        <v>0</v>
      </c>
      <c r="CA14" s="58">
        <f t="shared" si="15"/>
        <v>-8</v>
      </c>
      <c r="CB14" s="58">
        <f t="shared" si="15"/>
        <v>0</v>
      </c>
      <c r="CC14" s="58">
        <f t="shared" si="15"/>
        <v>0</v>
      </c>
      <c r="CD14" s="58">
        <f t="shared" si="15"/>
        <v>0</v>
      </c>
      <c r="CE14" s="58">
        <f t="shared" si="15"/>
        <v>0</v>
      </c>
      <c r="CF14" s="58">
        <f t="shared" si="15"/>
        <v>0</v>
      </c>
      <c r="CG14" s="58">
        <f t="shared" si="15"/>
        <v>0</v>
      </c>
      <c r="CJ14" t="s">
        <v>587</v>
      </c>
    </row>
    <row r="15" spans="1:88">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1.6301099999999999</v>
      </c>
      <c r="AH15" s="11">
        <f t="shared" si="7"/>
        <v>5.3900790336445454E-3</v>
      </c>
      <c r="AI15" s="11">
        <f t="shared" si="8"/>
        <v>4.5392893258614352E-3</v>
      </c>
      <c r="AJ15" s="11">
        <f t="shared" si="9"/>
        <v>2.3656551667253461E-3</v>
      </c>
      <c r="AK15" s="11">
        <f t="shared" si="10"/>
        <v>8.5039291892589355E-4</v>
      </c>
      <c r="AL15" s="52">
        <f t="shared" si="11"/>
        <v>1464328</v>
      </c>
      <c r="AM15" s="11">
        <v>16</v>
      </c>
      <c r="AN15" s="12">
        <v>32313377</v>
      </c>
      <c r="AO15" s="12">
        <v>1009793.03125</v>
      </c>
      <c r="AP15" s="12">
        <v>30975.21875</v>
      </c>
      <c r="AQ15" s="13">
        <v>1738784</v>
      </c>
      <c r="AR15" s="13">
        <v>763136</v>
      </c>
      <c r="AS15" s="13">
        <v>701192</v>
      </c>
      <c r="AT15" s="13">
        <v>274328</v>
      </c>
      <c r="AU15" s="14">
        <v>66.308402999999998</v>
      </c>
      <c r="AV15" s="14">
        <v>67.882296999999994</v>
      </c>
      <c r="AW15" s="14">
        <v>29.237096999999999</v>
      </c>
      <c r="AX15" s="14">
        <v>43.484918999999998</v>
      </c>
      <c r="AY15" s="14">
        <v>43.7348</v>
      </c>
      <c r="AZ15" s="15">
        <v>5786.02</v>
      </c>
      <c r="BA15" s="15">
        <v>2979.07</v>
      </c>
      <c r="BB15" s="15">
        <v>90.878</v>
      </c>
      <c r="BC15" s="15">
        <v>15.468999999999999</v>
      </c>
      <c r="BE15" s="50">
        <f t="shared" si="12"/>
        <v>1.0139427444550309</v>
      </c>
      <c r="BF15" s="16">
        <f t="shared" si="13"/>
        <v>-9.5221493504999907E-4</v>
      </c>
      <c r="BG15" s="16">
        <f t="shared" si="14"/>
        <v>2.1425840826763132E-3</v>
      </c>
      <c r="BH15" s="16">
        <f t="array" ref="BH15">AVERAGE(AL15:AL19/AQ15:AQ19) - AVERAGE(N15:N19/S15:S19)</f>
        <v>2.5188492420554764E-3</v>
      </c>
      <c r="BJ15" s="50">
        <f>IF( OR(ISBLANK(N15:N19),ISBLANK(AL15:AL19), ISBLANK(W15:W19),ISBLANK(AU15:AU19)), "·", bdRateExtend( N15:N19,W15:W19, AL15:AL19,AU15:AU19))</f>
        <v>5.6073447416091771E-3</v>
      </c>
      <c r="BK15" s="50">
        <f>IF( OR(ISBLANK(N15:N19),ISBLANK(AL15:AL19), ISBLANK(X15:X19),ISBLANK(AV15:AV19)), "·", bdRateExtend( N15:N19,X15:X19, AL15:AL19,AV15:AV19))</f>
        <v>7.5594843712156745E-4</v>
      </c>
      <c r="BL15" s="50">
        <f>IF( OR(ISBLANK(V15:V19),ISBLANK(AT15:AT19), ISBLANK(Y15:Y19),ISBLANK(AW15:AW19)), "·", bdRateExtend( V15:V19,Y15:Y19, AT15:AT19,AW15:AW19))</f>
        <v>-5.4665698170823784E-3</v>
      </c>
      <c r="BM15" s="50">
        <f>IF( OR(ISBLANK(V15:V19),ISBLANK(AT15:AT19), ISBLANK(Z15:Z19),ISBLANK(AX15:AX19)), "·", bdRateExtend( V15:V19,Z15:Z19, AT15:AT19,AX15:AX19))</f>
        <v>-5.0091500901976449E-3</v>
      </c>
      <c r="BN15" s="50">
        <f>IF( OR(ISBLANK(V15:V19),ISBLANK(AT15:AT19), ISBLANK(AA15:AA19),ISBLANK(AY15:AY19)), "·", bdRateExtend( V15:V19,AA15:AA19, AT15:AT19,AY15:AY19))</f>
        <v>-1.1817135902855935E-2</v>
      </c>
      <c r="BP15" s="50">
        <f>IF( OR(ISBLANK(S15:S19),ISBLANK(AQ15:AQ19), ISBLANK(W15:W19),ISBLANK(AU15:AU19)), "·", bdRateExtend( S15:S19,W15:W19, AQ15:AQ19,AU15:AU19))</f>
        <v>-4.111891725380179E-4</v>
      </c>
      <c r="BQ15" s="50">
        <f>IF( OR(ISBLANK(S15:S19),ISBLANK(AQ15:AQ19), ISBLANK(X15:X19),ISBLANK(AV15:AV19)), "·", bdRateExtend( S15:S19,X15:X19, AQ15:AQ19,AV15:AV19))</f>
        <v>-7.0947697339751592E-3</v>
      </c>
      <c r="BR15" s="50">
        <f>IF( OR(ISBLANK(S15:S19),ISBLANK(AQ15:AQ19), ISBLANK(Y15:Y19),ISBLANK(AW15:AW19)), "·", bdRateExtend( S15:S19,Y15:Y19, AQ15:AQ19,AW15:AW19))</f>
        <v>4.3219049956848554E-3</v>
      </c>
      <c r="BS15" s="50">
        <f>IF( OR(ISBLANK(S15:S19),ISBLANK(AQ15:AQ19), ISBLANK(Z15:Z19),ISBLANK(AX15:AX19)), "·", bdRateExtend( S15:S19,Z15:Z19, AQ15:AQ19,AX15:AX19))</f>
        <v>1.2591730480768781E-3</v>
      </c>
      <c r="BT15" s="50">
        <f>IF( OR(ISBLANK(S15:S19),ISBLANK(AQ15:AQ19), ISBLANK(AA15:AA19),ISBLANK(AY15:AY19)), "·", bdRateExtend( S15:S19,AA15:AA19, AQ15:AQ19,AY15:AY19))</f>
        <v>1.1200892617113656E-3</v>
      </c>
      <c r="BV15" s="58">
        <f t="shared" si="16"/>
        <v>-102530</v>
      </c>
      <c r="BW15" s="58">
        <f t="shared" si="15"/>
        <v>-3204.0625</v>
      </c>
      <c r="BX15" s="58">
        <f t="shared" si="15"/>
        <v>-1062.875</v>
      </c>
      <c r="BY15" s="58">
        <f t="shared" si="15"/>
        <v>19536</v>
      </c>
      <c r="BZ15" s="58">
        <f t="shared" si="15"/>
        <v>0</v>
      </c>
      <c r="CA15" s="58">
        <f t="shared" si="15"/>
        <v>20136</v>
      </c>
      <c r="CB15" s="58">
        <f t="shared" si="15"/>
        <v>-600</v>
      </c>
      <c r="CC15" s="58">
        <f t="shared" si="15"/>
        <v>9.6340000000054715E-3</v>
      </c>
      <c r="CD15" s="58">
        <f t="shared" si="15"/>
        <v>3.2105999999998858E-2</v>
      </c>
      <c r="CE15" s="58">
        <f t="shared" si="15"/>
        <v>-1.4631000000001393E-2</v>
      </c>
      <c r="CF15" s="58">
        <f t="shared" si="15"/>
        <v>-3.19300000000311E-3</v>
      </c>
      <c r="CG15" s="58">
        <f t="shared" si="15"/>
        <v>1.8543999999998562E-2</v>
      </c>
      <c r="CJ15" t="s">
        <v>233</v>
      </c>
    </row>
    <row r="16" spans="1:88" outlineLevel="1">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2.1305100000000001</v>
      </c>
      <c r="AH16" s="20">
        <f t="shared" si="7"/>
        <v>7.0446885682377515E-3</v>
      </c>
      <c r="AI16" s="20">
        <f t="shared" si="8"/>
        <v>5.4695856009093213E-3</v>
      </c>
      <c r="AJ16" s="20">
        <f t="shared" si="9"/>
        <v>3.2959762410768078E-3</v>
      </c>
      <c r="AK16" s="20">
        <f t="shared" si="10"/>
        <v>1.5747061784712137E-3</v>
      </c>
      <c r="AL16" s="17">
        <f t="shared" si="11"/>
        <v>1764432</v>
      </c>
      <c r="AM16" s="20">
        <v>16</v>
      </c>
      <c r="AN16" s="21">
        <v>33768468</v>
      </c>
      <c r="AO16" s="21">
        <v>1055264.625</v>
      </c>
      <c r="AP16" s="21">
        <v>35665.90625</v>
      </c>
      <c r="AQ16" s="22">
        <v>2272544</v>
      </c>
      <c r="AR16" s="22">
        <v>1063248</v>
      </c>
      <c r="AS16" s="22">
        <v>701184</v>
      </c>
      <c r="AT16" s="22">
        <v>507984</v>
      </c>
      <c r="AU16" s="23">
        <v>68.036383999999998</v>
      </c>
      <c r="AV16" s="23">
        <v>70.043559000000002</v>
      </c>
      <c r="AW16" s="23">
        <v>31.565287000000001</v>
      </c>
      <c r="AX16" s="23">
        <v>44.037609000000003</v>
      </c>
      <c r="AY16" s="23">
        <v>44.431821999999997</v>
      </c>
      <c r="AZ16" s="24">
        <v>4980.3900000000003</v>
      </c>
      <c r="BA16" s="24">
        <v>2914.81</v>
      </c>
      <c r="BB16" s="24">
        <v>83.727000000000004</v>
      </c>
      <c r="BC16" s="24">
        <v>13.519</v>
      </c>
      <c r="BE16" s="49">
        <f t="shared" si="12"/>
        <v>1.0115439122717704</v>
      </c>
      <c r="BF16" s="25">
        <f t="shared" si="13"/>
        <v>-1.0265546135672793E-3</v>
      </c>
      <c r="BG16" s="25">
        <f t="shared" si="14"/>
        <v>3.0261509461839697E-3</v>
      </c>
      <c r="BH16" s="25"/>
      <c r="BJ16" s="49"/>
      <c r="BK16" s="49"/>
      <c r="BL16" s="49"/>
      <c r="BM16" s="49"/>
      <c r="BN16" s="49"/>
      <c r="BP16" s="49"/>
      <c r="BQ16" s="49"/>
      <c r="BR16" s="49"/>
      <c r="BS16" s="49"/>
      <c r="BT16" s="49"/>
      <c r="BV16" s="58">
        <f t="shared" si="16"/>
        <v>-105696</v>
      </c>
      <c r="BW16" s="58">
        <f t="shared" si="15"/>
        <v>-3303</v>
      </c>
      <c r="BX16" s="58">
        <f t="shared" si="15"/>
        <v>-1198.3125</v>
      </c>
      <c r="BY16" s="58">
        <f t="shared" si="15"/>
        <v>17144</v>
      </c>
      <c r="BZ16" s="58">
        <f t="shared" si="15"/>
        <v>0</v>
      </c>
      <c r="CA16" s="58">
        <f t="shared" si="15"/>
        <v>20136</v>
      </c>
      <c r="CB16" s="58">
        <f t="shared" si="15"/>
        <v>-2992</v>
      </c>
      <c r="CC16" s="58">
        <f t="shared" si="15"/>
        <v>6.7499999999967031E-3</v>
      </c>
      <c r="CD16" s="58">
        <f t="shared" si="15"/>
        <v>3.6743000000001302E-2</v>
      </c>
      <c r="CE16" s="58">
        <f t="shared" si="15"/>
        <v>-3.4939999999998861E-3</v>
      </c>
      <c r="CF16" s="58">
        <f t="shared" si="15"/>
        <v>-3.2524999999999693E-2</v>
      </c>
      <c r="CG16" s="58">
        <f t="shared" si="15"/>
        <v>8.7589999999977408E-3</v>
      </c>
      <c r="CJ16" t="s">
        <v>233</v>
      </c>
    </row>
    <row r="17" spans="1:88" outlineLevel="1">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2.9952299999999998</v>
      </c>
      <c r="AH17" s="11">
        <f t="shared" si="7"/>
        <v>9.9039490733405424E-3</v>
      </c>
      <c r="AI17" s="11">
        <f t="shared" si="8"/>
        <v>6.6743357686332109E-3</v>
      </c>
      <c r="AJ17" s="11">
        <f t="shared" si="9"/>
        <v>4.5007264088006973E-3</v>
      </c>
      <c r="AK17" s="11">
        <f t="shared" si="10"/>
        <v>3.2292165158501153E-3</v>
      </c>
      <c r="AL17" s="52">
        <f t="shared" si="11"/>
        <v>2153072</v>
      </c>
      <c r="AM17" s="11">
        <v>16</v>
      </c>
      <c r="AN17" s="12">
        <v>33677929</v>
      </c>
      <c r="AO17" s="12">
        <v>1052435.28125</v>
      </c>
      <c r="AP17" s="12">
        <v>36197.65625</v>
      </c>
      <c r="AQ17" s="13">
        <v>3194912</v>
      </c>
      <c r="AR17" s="13">
        <v>1451888</v>
      </c>
      <c r="AS17" s="13">
        <v>701184</v>
      </c>
      <c r="AT17" s="13">
        <v>1041712</v>
      </c>
      <c r="AU17" s="14">
        <v>69.341690999999997</v>
      </c>
      <c r="AV17" s="14">
        <v>71.885758999999993</v>
      </c>
      <c r="AW17" s="14">
        <v>33.945278000000002</v>
      </c>
      <c r="AX17" s="14">
        <v>45.125438000000003</v>
      </c>
      <c r="AY17" s="14">
        <v>45.613463000000003</v>
      </c>
      <c r="AZ17" s="15">
        <v>5521</v>
      </c>
      <c r="BA17" s="15">
        <v>3317.13</v>
      </c>
      <c r="BB17" s="15">
        <v>88.128</v>
      </c>
      <c r="BC17" s="15">
        <v>15.358000000000001</v>
      </c>
      <c r="BE17" s="50">
        <f t="shared" si="12"/>
        <v>1.00944050829467</v>
      </c>
      <c r="BF17" s="16">
        <f t="shared" si="13"/>
        <v>-1.0565495810347519E-3</v>
      </c>
      <c r="BG17" s="16">
        <f t="shared" si="14"/>
        <v>3.9455354736266379E-3</v>
      </c>
      <c r="BH17" s="16"/>
      <c r="BJ17" s="50"/>
      <c r="BK17" s="50"/>
      <c r="BL17" s="50"/>
      <c r="BM17" s="50"/>
      <c r="BN17" s="50"/>
      <c r="BP17" s="50"/>
      <c r="BQ17" s="50"/>
      <c r="BR17" s="50"/>
      <c r="BS17" s="50"/>
      <c r="BT17" s="50"/>
      <c r="BV17" s="58">
        <f t="shared" si="16"/>
        <v>-100720</v>
      </c>
      <c r="BW17" s="58">
        <f t="shared" si="15"/>
        <v>-3147.5</v>
      </c>
      <c r="BX17" s="58">
        <f t="shared" si="15"/>
        <v>-1223.53125</v>
      </c>
      <c r="BY17" s="58">
        <f t="shared" si="15"/>
        <v>11240</v>
      </c>
      <c r="BZ17" s="58">
        <f t="shared" si="15"/>
        <v>0</v>
      </c>
      <c r="CA17" s="58">
        <f t="shared" si="15"/>
        <v>20136</v>
      </c>
      <c r="CB17" s="58">
        <f t="shared" si="15"/>
        <v>-8896</v>
      </c>
      <c r="CC17" s="58">
        <f t="shared" si="15"/>
        <v>-9.8119999999966012E-3</v>
      </c>
      <c r="CD17" s="58">
        <f t="shared" si="15"/>
        <v>4.5442999999991684E-2</v>
      </c>
      <c r="CE17" s="58">
        <f t="shared" si="15"/>
        <v>-6.4029999999988263E-3</v>
      </c>
      <c r="CF17" s="58">
        <f t="shared" si="15"/>
        <v>-3.4542999999999324E-2</v>
      </c>
      <c r="CG17" s="58">
        <f t="shared" si="15"/>
        <v>7.4625000000004604E-2</v>
      </c>
      <c r="CJ17" t="s">
        <v>233</v>
      </c>
    </row>
    <row r="18" spans="1:88" outlineLevel="1">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5.2626150000000003</v>
      </c>
      <c r="AH18" s="20">
        <f t="shared" si="7"/>
        <v>1.7401224931840976E-2</v>
      </c>
      <c r="AI18" s="20">
        <f t="shared" si="8"/>
        <v>9.9364361610251514E-3</v>
      </c>
      <c r="AJ18" s="20">
        <f t="shared" si="9"/>
        <v>7.7628268011926379E-3</v>
      </c>
      <c r="AK18" s="20">
        <f t="shared" si="10"/>
        <v>7.4643919819586055E-3</v>
      </c>
      <c r="AL18" s="17">
        <f t="shared" si="11"/>
        <v>3205392</v>
      </c>
      <c r="AM18" s="20">
        <v>16</v>
      </c>
      <c r="AN18" s="21">
        <v>34810687</v>
      </c>
      <c r="AO18" s="21">
        <v>1087833.96875</v>
      </c>
      <c r="AP18" s="21">
        <v>40285.9375</v>
      </c>
      <c r="AQ18" s="22">
        <v>5613456</v>
      </c>
      <c r="AR18" s="22">
        <v>2504208</v>
      </c>
      <c r="AS18" s="22">
        <v>701184</v>
      </c>
      <c r="AT18" s="22">
        <v>2407936</v>
      </c>
      <c r="AU18" s="23">
        <v>70.568353000000002</v>
      </c>
      <c r="AV18" s="23">
        <v>73.192905999999994</v>
      </c>
      <c r="AW18" s="23">
        <v>36.287725000000002</v>
      </c>
      <c r="AX18" s="23">
        <v>46.448950000000004</v>
      </c>
      <c r="AY18" s="23">
        <v>46.976846999999999</v>
      </c>
      <c r="AZ18" s="24">
        <v>4787.7</v>
      </c>
      <c r="BA18" s="24">
        <v>3407.14</v>
      </c>
      <c r="BB18" s="24">
        <v>88.710999999999999</v>
      </c>
      <c r="BC18" s="24">
        <v>16.122</v>
      </c>
      <c r="BE18" s="49">
        <f t="shared" si="12"/>
        <v>1.006321626895923</v>
      </c>
      <c r="BF18" s="25">
        <f t="shared" si="13"/>
        <v>-1.0973993223114611E-3</v>
      </c>
      <c r="BG18" s="25">
        <f t="shared" si="14"/>
        <v>3.4803299062287074E-3</v>
      </c>
      <c r="BH18" s="25"/>
      <c r="BJ18" s="49"/>
      <c r="BK18" s="49"/>
      <c r="BL18" s="49"/>
      <c r="BM18" s="49"/>
      <c r="BN18" s="49"/>
      <c r="BP18" s="49"/>
      <c r="BQ18" s="49"/>
      <c r="BR18" s="49"/>
      <c r="BS18" s="49"/>
      <c r="BT18" s="49"/>
      <c r="BV18" s="58">
        <f t="shared" si="16"/>
        <v>-103638</v>
      </c>
      <c r="BW18" s="58">
        <f t="shared" si="15"/>
        <v>-3238.6875</v>
      </c>
      <c r="BX18" s="58">
        <f t="shared" si="15"/>
        <v>-1317.28125</v>
      </c>
      <c r="BY18" s="58">
        <f t="shared" si="15"/>
        <v>1056</v>
      </c>
      <c r="BZ18" s="58">
        <f t="shared" si="15"/>
        <v>0</v>
      </c>
      <c r="CA18" s="58">
        <f t="shared" si="15"/>
        <v>20136</v>
      </c>
      <c r="CB18" s="58">
        <f t="shared" si="15"/>
        <v>-19080</v>
      </c>
      <c r="CC18" s="58">
        <f t="shared" si="15"/>
        <v>3.8503000000005727E-2</v>
      </c>
      <c r="CD18" s="58">
        <f t="shared" si="15"/>
        <v>5.9521999999986974E-2</v>
      </c>
      <c r="CE18" s="58">
        <f t="shared" si="15"/>
        <v>3.6249999999995453E-3</v>
      </c>
      <c r="CF18" s="58">
        <f t="shared" si="15"/>
        <v>3.6266000000004794E-2</v>
      </c>
      <c r="CG18" s="58">
        <f t="shared" si="15"/>
        <v>-2.976600000000218E-2</v>
      </c>
      <c r="CJ18" t="s">
        <v>233</v>
      </c>
    </row>
    <row r="19" spans="1:88" ht="16" outlineLevel="1" thickBot="1">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11.3998425</v>
      </c>
      <c r="AH19" s="29">
        <f t="shared" si="7"/>
        <v>3.7694420650201531E-2</v>
      </c>
      <c r="AI19" s="29">
        <f t="shared" si="8"/>
        <v>1.7400704146465877E-2</v>
      </c>
      <c r="AJ19" s="29">
        <f t="shared" si="9"/>
        <v>1.2811841012755943E-2</v>
      </c>
      <c r="AK19" s="29">
        <f t="shared" si="10"/>
        <v>2.0293319714878438E-2</v>
      </c>
      <c r="AL19" s="26">
        <f t="shared" si="11"/>
        <v>5613288</v>
      </c>
      <c r="AM19" s="29">
        <v>16</v>
      </c>
      <c r="AN19" s="30">
        <v>33019287</v>
      </c>
      <c r="AO19" s="30">
        <v>1031852.71875</v>
      </c>
      <c r="AP19" s="30">
        <v>17790.15625</v>
      </c>
      <c r="AQ19" s="31">
        <v>12159832</v>
      </c>
      <c r="AR19" s="31">
        <v>4132968</v>
      </c>
      <c r="AS19" s="31">
        <v>1480320</v>
      </c>
      <c r="AT19" s="31">
        <v>6546416</v>
      </c>
      <c r="AU19" s="32">
        <v>71.185569000000001</v>
      </c>
      <c r="AV19" s="32">
        <v>75.071019000000007</v>
      </c>
      <c r="AW19" s="32">
        <v>38.708165999999999</v>
      </c>
      <c r="AX19" s="32">
        <v>48.191471999999997</v>
      </c>
      <c r="AY19" s="32">
        <v>48.813738000000001</v>
      </c>
      <c r="AZ19" s="33">
        <v>4972.88</v>
      </c>
      <c r="BA19" s="33">
        <v>4147.3599999999997</v>
      </c>
      <c r="BB19" s="33">
        <v>85.805999999999997</v>
      </c>
      <c r="BC19" s="33">
        <v>17.920999999999999</v>
      </c>
      <c r="BE19" s="34">
        <f t="shared" si="12"/>
        <v>0.99999857481237409</v>
      </c>
      <c r="BF19" s="35">
        <f t="shared" si="13"/>
        <v>0</v>
      </c>
      <c r="BG19" s="35">
        <f t="shared" si="14"/>
        <v>-3.5419843902317893E-7</v>
      </c>
      <c r="BH19" s="35"/>
      <c r="BJ19" s="34"/>
      <c r="BK19" s="34"/>
      <c r="BL19" s="34"/>
      <c r="BM19" s="34"/>
      <c r="BN19" s="34"/>
      <c r="BP19" s="34"/>
      <c r="BQ19" s="34"/>
      <c r="BR19" s="34"/>
      <c r="BS19" s="34"/>
      <c r="BT19" s="34"/>
      <c r="BV19" s="58">
        <f t="shared" si="16"/>
        <v>0</v>
      </c>
      <c r="BW19" s="58">
        <f t="shared" si="15"/>
        <v>0</v>
      </c>
      <c r="BX19" s="58">
        <f t="shared" si="15"/>
        <v>0</v>
      </c>
      <c r="BY19" s="58">
        <f t="shared" si="15"/>
        <v>-8</v>
      </c>
      <c r="BZ19" s="58">
        <f t="shared" si="15"/>
        <v>0</v>
      </c>
      <c r="CA19" s="58">
        <f t="shared" si="15"/>
        <v>-8</v>
      </c>
      <c r="CB19" s="58">
        <f t="shared" si="15"/>
        <v>0</v>
      </c>
      <c r="CC19" s="58">
        <f t="shared" si="15"/>
        <v>0</v>
      </c>
      <c r="CD19" s="58">
        <f t="shared" si="15"/>
        <v>0</v>
      </c>
      <c r="CE19" s="58">
        <f t="shared" si="15"/>
        <v>0</v>
      </c>
      <c r="CF19" s="58">
        <f t="shared" si="15"/>
        <v>0</v>
      </c>
      <c r="CG19" s="58">
        <f t="shared" si="15"/>
        <v>0</v>
      </c>
      <c r="CJ19" t="s">
        <v>233</v>
      </c>
    </row>
    <row r="20" spans="1:88">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2.0306000000000002</v>
      </c>
      <c r="AH20" s="20">
        <f t="shared" si="7"/>
        <v>5.1858300389679068E-3</v>
      </c>
      <c r="AI20" s="20">
        <f t="shared" si="8"/>
        <v>4.0504879889833355E-3</v>
      </c>
      <c r="AJ20" s="20">
        <f t="shared" si="9"/>
        <v>2.2733975562955495E-3</v>
      </c>
      <c r="AK20" s="20">
        <f t="shared" si="10"/>
        <v>1.1348312817348943E-3</v>
      </c>
      <c r="AL20" s="17">
        <f t="shared" si="11"/>
        <v>1015064</v>
      </c>
      <c r="AM20" s="20">
        <v>16</v>
      </c>
      <c r="AN20" s="21">
        <v>27160685</v>
      </c>
      <c r="AO20" s="21">
        <v>848771.40625</v>
      </c>
      <c r="AP20" s="21">
        <v>23798.65625</v>
      </c>
      <c r="AQ20" s="22">
        <v>1299584</v>
      </c>
      <c r="AR20" s="22">
        <v>569720</v>
      </c>
      <c r="AS20" s="22">
        <v>445344</v>
      </c>
      <c r="AT20" s="22">
        <v>284392</v>
      </c>
      <c r="AU20" s="23">
        <v>66.817706000000001</v>
      </c>
      <c r="AV20" s="23">
        <v>68.969893999999996</v>
      </c>
      <c r="AW20" s="23">
        <v>30.091569</v>
      </c>
      <c r="AX20" s="23">
        <v>39.479737999999998</v>
      </c>
      <c r="AY20" s="23">
        <v>37.950674999999997</v>
      </c>
      <c r="AZ20" s="24">
        <v>4258.6000000000004</v>
      </c>
      <c r="BA20" s="24">
        <v>2898.17</v>
      </c>
      <c r="BB20" s="24">
        <v>68.177999999999997</v>
      </c>
      <c r="BC20" s="24">
        <v>14.645</v>
      </c>
      <c r="BE20" s="49">
        <f t="shared" si="12"/>
        <v>1.0127953384418902</v>
      </c>
      <c r="BF20" s="25">
        <f t="shared" si="13"/>
        <v>-5.9355272841333032E-4</v>
      </c>
      <c r="BG20" s="25">
        <f t="shared" si="14"/>
        <v>4.263423145309253E-3</v>
      </c>
      <c r="BH20" s="25">
        <f t="array" ref="BH20">AVERAGE(AL20:AL24/AQ20:AQ24) - AVERAGE(N20:N24/S20:S24)</f>
        <v>3.7973997315119412E-3</v>
      </c>
      <c r="BJ20" s="49">
        <f>IF( OR(ISBLANK(N20:N24),ISBLANK(AL20:AL24), ISBLANK(W20:W24),ISBLANK(AU20:AU24)), "·", bdRateExtend( N20:N24,W20:W24, AL20:AL24,AU20:AU24))</f>
        <v>1.3056446348114648E-2</v>
      </c>
      <c r="BK20" s="49">
        <f>IF( OR(ISBLANK(N20:N24),ISBLANK(AL20:AL24), ISBLANK(X20:X24),ISBLANK(AV20:AV24)), "·", bdRateExtend( N20:N24,X20:X24, AL20:AL24,AV20:AV24))</f>
        <v>-1.985309074998054E-3</v>
      </c>
      <c r="BL20" s="49">
        <f>IF( OR(ISBLANK(V20:V24),ISBLANK(AT20:AT24), ISBLANK(Y20:Y24),ISBLANK(AW20:AW24)), "·", bdRateExtend( V20:V24,Y20:Y24, AT20:AT24,AW20:AW24))</f>
        <v>-1.0545238106321575E-2</v>
      </c>
      <c r="BM20" s="49">
        <f>IF( OR(ISBLANK(V20:V24),ISBLANK(AT20:AT24), ISBLANK(Z20:Z24),ISBLANK(AX20:AX24)), "·", bdRateExtend( V20:V24,Z20:Z24, AT20:AT24,AX20:AX24))</f>
        <v>1.6423100978120164E-3</v>
      </c>
      <c r="BN20" s="49">
        <f>IF( OR(ISBLANK(V20:V24),ISBLANK(AT20:AT24), ISBLANK(AA20:AA24),ISBLANK(AY20:AY24)), "·", bdRateExtend( V20:V24,AA20:AA24, AT20:AT24,AY20:AY24))</f>
        <v>-2.1005915610081805E-2</v>
      </c>
      <c r="BP20" s="49">
        <f>IF( OR(ISBLANK(S20:S24),ISBLANK(AQ20:AQ24), ISBLANK(W20:W24),ISBLANK(AU20:AU24)), "·", bdRateExtend( S20:S24,W20:W24, AQ20:AQ24,AU20:AU24))</f>
        <v>7.3581282536132608E-3</v>
      </c>
      <c r="BQ20" s="49">
        <f>IF( OR(ISBLANK(S20:S24),ISBLANK(AQ20:AQ24), ISBLANK(X20:X24),ISBLANK(AV20:AV24)), "·", bdRateExtend( S20:S24,X20:X24, AQ20:AQ24,AV20:AV24))</f>
        <v>-1.7004058110100306E-2</v>
      </c>
      <c r="BR20" s="49">
        <f>IF( OR(ISBLANK(S20:S24),ISBLANK(AQ20:AQ24), ISBLANK(Y20:Y24),ISBLANK(AW20:AW24)), "·", bdRateExtend( S20:S24,Y20:Y24, AQ20:AQ24,AW20:AW24))</f>
        <v>1.0962786626489418E-5</v>
      </c>
      <c r="BS20" s="49">
        <f>IF( OR(ISBLANK(S20:S24),ISBLANK(AQ20:AQ24), ISBLANK(Z20:Z24),ISBLANK(AX20:AX24)), "·", bdRateExtend( S20:S24,Z20:Z24, AQ20:AQ24,AX20:AX24))</f>
        <v>9.4271741408040732E-3</v>
      </c>
      <c r="BT20" s="49">
        <f>IF( OR(ISBLANK(S20:S24),ISBLANK(AQ20:AQ24), ISBLANK(AA20:AA24),ISBLANK(AY20:AY24)), "·", bdRateExtend( S20:S24,AA20:AA24, AQ20:AQ24,AY20:AY24))</f>
        <v>-4.4077996432336786E-3</v>
      </c>
      <c r="BV20" s="58">
        <f t="shared" si="16"/>
        <v>-83531</v>
      </c>
      <c r="BW20" s="58">
        <f t="shared" si="15"/>
        <v>-2610.34375</v>
      </c>
      <c r="BX20" s="58">
        <f t="shared" si="15"/>
        <v>-578.53125</v>
      </c>
      <c r="BY20" s="58">
        <f t="shared" si="15"/>
        <v>9376</v>
      </c>
      <c r="BZ20" s="58">
        <f t="shared" si="15"/>
        <v>0</v>
      </c>
      <c r="CA20" s="58">
        <f t="shared" si="15"/>
        <v>12824</v>
      </c>
      <c r="CB20" s="58">
        <f t="shared" si="15"/>
        <v>-3448</v>
      </c>
      <c r="CC20" s="58">
        <f t="shared" si="15"/>
        <v>-1.1134999999995898E-2</v>
      </c>
      <c r="CD20" s="58">
        <f t="shared" si="15"/>
        <v>4.4263000000000829E-2</v>
      </c>
      <c r="CE20" s="58">
        <f t="shared" si="15"/>
        <v>1.5557000000001153E-2</v>
      </c>
      <c r="CF20" s="58">
        <f t="shared" si="15"/>
        <v>1.6706999999996697E-2</v>
      </c>
      <c r="CG20" s="58">
        <f t="shared" si="15"/>
        <v>5.8983999999995262E-2</v>
      </c>
      <c r="CJ20" t="s">
        <v>239</v>
      </c>
    </row>
    <row r="21" spans="1:88" outlineLevel="1">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2.7010999999999998</v>
      </c>
      <c r="AH21" s="11">
        <f t="shared" si="7"/>
        <v>6.8981805960091659E-3</v>
      </c>
      <c r="AI21" s="11">
        <f t="shared" si="8"/>
        <v>4.7643823869533888E-3</v>
      </c>
      <c r="AJ21" s="11">
        <f t="shared" si="9"/>
        <v>2.9873238772812082E-3</v>
      </c>
      <c r="AK21" s="11">
        <f t="shared" si="10"/>
        <v>2.1332874408060997E-3</v>
      </c>
      <c r="AL21" s="52">
        <f t="shared" si="11"/>
        <v>1193968</v>
      </c>
      <c r="AM21" s="11">
        <v>16</v>
      </c>
      <c r="AN21" s="12">
        <v>28319375</v>
      </c>
      <c r="AO21" s="12">
        <v>884980.46875</v>
      </c>
      <c r="AP21" s="12">
        <v>27229.1875</v>
      </c>
      <c r="AQ21" s="13">
        <v>1728704</v>
      </c>
      <c r="AR21" s="13">
        <v>748632</v>
      </c>
      <c r="AS21" s="13">
        <v>445336</v>
      </c>
      <c r="AT21" s="13">
        <v>534608</v>
      </c>
      <c r="AU21" s="14">
        <v>68.318100000000001</v>
      </c>
      <c r="AV21" s="14">
        <v>71.157927999999998</v>
      </c>
      <c r="AW21" s="14">
        <v>31.512325000000001</v>
      </c>
      <c r="AX21" s="14">
        <v>40.491131000000003</v>
      </c>
      <c r="AY21" s="14">
        <v>39.234397000000001</v>
      </c>
      <c r="AZ21" s="15">
        <v>4721.38</v>
      </c>
      <c r="BA21" s="15">
        <v>3200.02</v>
      </c>
      <c r="BB21" s="15">
        <v>78.015000000000001</v>
      </c>
      <c r="BC21" s="15">
        <v>15.414</v>
      </c>
      <c r="BE21" s="50">
        <f t="shared" si="12"/>
        <v>1.0108504239928475</v>
      </c>
      <c r="BF21" s="16">
        <f t="shared" si="13"/>
        <v>-6.5955756665125875E-4</v>
      </c>
      <c r="BG21" s="16">
        <f t="shared" si="14"/>
        <v>4.5336726149275419E-3</v>
      </c>
      <c r="BH21" s="16"/>
      <c r="BJ21" s="50"/>
      <c r="BK21" s="50"/>
      <c r="BL21" s="50"/>
      <c r="BM21" s="50"/>
      <c r="BN21" s="50"/>
      <c r="BP21" s="50"/>
      <c r="BQ21" s="50"/>
      <c r="BR21" s="50"/>
      <c r="BS21" s="50"/>
      <c r="BT21" s="50"/>
      <c r="BV21" s="58">
        <f t="shared" si="16"/>
        <v>-84376</v>
      </c>
      <c r="BW21" s="58">
        <f t="shared" si="16"/>
        <v>-2636.75</v>
      </c>
      <c r="BX21" s="58">
        <f t="shared" si="16"/>
        <v>-666.5625</v>
      </c>
      <c r="BY21" s="58">
        <f t="shared" si="16"/>
        <v>7256</v>
      </c>
      <c r="BZ21" s="58">
        <f t="shared" si="16"/>
        <v>0</v>
      </c>
      <c r="CA21" s="58">
        <f t="shared" si="16"/>
        <v>12816</v>
      </c>
      <c r="CB21" s="58">
        <f t="shared" si="16"/>
        <v>-5560</v>
      </c>
      <c r="CC21" s="58">
        <f t="shared" si="16"/>
        <v>-1.2171999999992522E-2</v>
      </c>
      <c r="CD21" s="58">
        <f t="shared" si="16"/>
        <v>5.3280999999998357E-2</v>
      </c>
      <c r="CE21" s="58">
        <f t="shared" si="16"/>
        <v>-2.0369999999978461E-3</v>
      </c>
      <c r="CF21" s="58">
        <f t="shared" si="16"/>
        <v>-2.844999999999942E-2</v>
      </c>
      <c r="CG21" s="58">
        <f t="shared" si="16"/>
        <v>2.4447000000002106E-2</v>
      </c>
      <c r="CJ21" t="s">
        <v>239</v>
      </c>
    </row>
    <row r="22" spans="1:88" outlineLevel="1">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4.0499875000000003</v>
      </c>
      <c r="AH22" s="20">
        <f t="shared" si="7"/>
        <v>1.034302513293831E-2</v>
      </c>
      <c r="AI22" s="20">
        <f t="shared" si="8"/>
        <v>5.5411012796336813E-3</v>
      </c>
      <c r="AJ22" s="20">
        <f t="shared" si="9"/>
        <v>3.7640427699615004E-3</v>
      </c>
      <c r="AK22" s="20">
        <f t="shared" si="10"/>
        <v>4.8014130850549527E-3</v>
      </c>
      <c r="AL22" s="17">
        <f t="shared" si="11"/>
        <v>1388616</v>
      </c>
      <c r="AM22" s="20">
        <v>16</v>
      </c>
      <c r="AN22" s="21">
        <v>28946951</v>
      </c>
      <c r="AO22" s="21">
        <v>904592.21875</v>
      </c>
      <c r="AP22" s="21">
        <v>28688.53125</v>
      </c>
      <c r="AQ22" s="22">
        <v>2591992</v>
      </c>
      <c r="AR22" s="22">
        <v>943280</v>
      </c>
      <c r="AS22" s="22">
        <v>445336</v>
      </c>
      <c r="AT22" s="22">
        <v>1203248</v>
      </c>
      <c r="AU22" s="23">
        <v>69.399900000000002</v>
      </c>
      <c r="AV22" s="23">
        <v>72.860902999999993</v>
      </c>
      <c r="AW22" s="23">
        <v>33.247256</v>
      </c>
      <c r="AX22" s="23">
        <v>41.750303000000002</v>
      </c>
      <c r="AY22" s="23">
        <v>40.415784000000002</v>
      </c>
      <c r="AZ22" s="24">
        <v>4885.1499999999996</v>
      </c>
      <c r="BA22" s="24">
        <v>3909.82</v>
      </c>
      <c r="BB22" s="24">
        <v>78.209000000000003</v>
      </c>
      <c r="BC22" s="24">
        <v>18.469000000000001</v>
      </c>
      <c r="BE22" s="49">
        <f t="shared" si="12"/>
        <v>1.0093153074574792</v>
      </c>
      <c r="BF22" s="25">
        <f t="shared" si="13"/>
        <v>-6.6528040960955881E-4</v>
      </c>
      <c r="BG22" s="25">
        <f t="shared" si="14"/>
        <v>5.8488637372232644E-3</v>
      </c>
      <c r="BH22" s="25"/>
      <c r="BJ22" s="49"/>
      <c r="BK22" s="49"/>
      <c r="BL22" s="49"/>
      <c r="BM22" s="49"/>
      <c r="BN22" s="49"/>
      <c r="BP22" s="49"/>
      <c r="BQ22" s="49"/>
      <c r="BR22" s="49"/>
      <c r="BS22" s="49"/>
      <c r="BT22" s="49"/>
      <c r="BV22" s="58">
        <f t="shared" si="16"/>
        <v>-80148</v>
      </c>
      <c r="BW22" s="58">
        <f t="shared" si="16"/>
        <v>-2504.625</v>
      </c>
      <c r="BX22" s="58">
        <f t="shared" si="16"/>
        <v>-682.90625</v>
      </c>
      <c r="BY22" s="58">
        <f t="shared" si="16"/>
        <v>-4424</v>
      </c>
      <c r="BZ22" s="58">
        <f t="shared" si="16"/>
        <v>0</v>
      </c>
      <c r="CA22" s="58">
        <f t="shared" si="16"/>
        <v>12816</v>
      </c>
      <c r="CB22" s="58">
        <f t="shared" si="16"/>
        <v>-17240</v>
      </c>
      <c r="CC22" s="58">
        <f t="shared" si="16"/>
        <v>-1.2641000000002123E-2</v>
      </c>
      <c r="CD22" s="58">
        <f t="shared" si="16"/>
        <v>5.9227999999990288E-2</v>
      </c>
      <c r="CE22" s="58">
        <f t="shared" si="16"/>
        <v>-2.0581999999997436E-2</v>
      </c>
      <c r="CF22" s="58">
        <f t="shared" si="16"/>
        <v>3.5870000000031155E-3</v>
      </c>
      <c r="CG22" s="58">
        <f t="shared" si="16"/>
        <v>4.7810000000012565E-3</v>
      </c>
      <c r="CJ22" t="s">
        <v>239</v>
      </c>
    </row>
    <row r="23" spans="1:88" outlineLevel="1">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7.660825</v>
      </c>
      <c r="AH23" s="11">
        <f t="shared" si="7"/>
        <v>1.9564530881648928E-2</v>
      </c>
      <c r="AI23" s="11">
        <f t="shared" si="8"/>
        <v>8.2250926626381178E-3</v>
      </c>
      <c r="AJ23" s="11">
        <f t="shared" si="9"/>
        <v>6.4480341529659368E-3</v>
      </c>
      <c r="AK23" s="11">
        <f t="shared" si="10"/>
        <v>1.1338927450761132E-2</v>
      </c>
      <c r="AL23" s="52">
        <f t="shared" si="11"/>
        <v>2061232</v>
      </c>
      <c r="AM23" s="11">
        <v>16</v>
      </c>
      <c r="AN23" s="12">
        <v>29686310</v>
      </c>
      <c r="AO23" s="12">
        <v>927697.1875</v>
      </c>
      <c r="AP23" s="12">
        <v>31521.5</v>
      </c>
      <c r="AQ23" s="13">
        <v>4902928</v>
      </c>
      <c r="AR23" s="13">
        <v>1615896</v>
      </c>
      <c r="AS23" s="13">
        <v>445336</v>
      </c>
      <c r="AT23" s="13">
        <v>2841568</v>
      </c>
      <c r="AU23" s="14">
        <v>70.423584000000005</v>
      </c>
      <c r="AV23" s="14">
        <v>74.214797000000004</v>
      </c>
      <c r="AW23" s="14">
        <v>35.028463000000002</v>
      </c>
      <c r="AX23" s="14">
        <v>42.714556000000002</v>
      </c>
      <c r="AY23" s="14">
        <v>41.454287000000001</v>
      </c>
      <c r="AZ23" s="15">
        <v>5122.3</v>
      </c>
      <c r="BA23" s="15">
        <v>4573.5200000000004</v>
      </c>
      <c r="BB23" s="15">
        <v>86.99</v>
      </c>
      <c r="BC23" s="15">
        <v>21.65</v>
      </c>
      <c r="BE23" s="50">
        <f t="shared" si="12"/>
        <v>1.0062565416399794</v>
      </c>
      <c r="BF23" s="16">
        <f t="shared" si="13"/>
        <v>-6.779137622126355E-4</v>
      </c>
      <c r="BG23" s="16">
        <f t="shared" si="14"/>
        <v>4.3410391600996467E-3</v>
      </c>
      <c r="BH23" s="16"/>
      <c r="BJ23" s="50"/>
      <c r="BK23" s="50"/>
      <c r="BL23" s="50"/>
      <c r="BM23" s="50"/>
      <c r="BN23" s="50"/>
      <c r="BP23" s="50"/>
      <c r="BQ23" s="50"/>
      <c r="BR23" s="50"/>
      <c r="BS23" s="50"/>
      <c r="BT23" s="50"/>
      <c r="BV23" s="58">
        <f t="shared" si="16"/>
        <v>-81349</v>
      </c>
      <c r="BW23" s="58">
        <f t="shared" si="16"/>
        <v>-2542.15625</v>
      </c>
      <c r="BX23" s="58">
        <f t="shared" si="16"/>
        <v>-717</v>
      </c>
      <c r="BY23" s="58">
        <f t="shared" si="16"/>
        <v>-20352</v>
      </c>
      <c r="BZ23" s="58">
        <f t="shared" si="16"/>
        <v>0</v>
      </c>
      <c r="CA23" s="58">
        <f t="shared" si="16"/>
        <v>12816</v>
      </c>
      <c r="CB23" s="58">
        <f t="shared" si="16"/>
        <v>-33168</v>
      </c>
      <c r="CC23" s="58">
        <f t="shared" si="16"/>
        <v>-1.3515999999995643E-2</v>
      </c>
      <c r="CD23" s="58">
        <f t="shared" si="16"/>
        <v>7.8025000000010891E-2</v>
      </c>
      <c r="CE23" s="58">
        <f t="shared" si="16"/>
        <v>1.3026000000003535E-2</v>
      </c>
      <c r="CF23" s="58">
        <f t="shared" si="16"/>
        <v>-3.7071999999994887E-2</v>
      </c>
      <c r="CG23" s="58">
        <f t="shared" si="16"/>
        <v>7.3870000000013647E-3</v>
      </c>
      <c r="CJ23" t="s">
        <v>239</v>
      </c>
    </row>
    <row r="24" spans="1:88" ht="16" outlineLevel="1" thickBot="1">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15.657612500000001</v>
      </c>
      <c r="AH24" s="39">
        <f t="shared" si="7"/>
        <v>3.9987056653707956E-2</v>
      </c>
      <c r="AI24" s="39">
        <f t="shared" si="8"/>
        <v>1.4560151263378682E-2</v>
      </c>
      <c r="AJ24" s="39">
        <f t="shared" si="9"/>
        <v>1.0772996230119309E-2</v>
      </c>
      <c r="AK24" s="39">
        <f t="shared" si="10"/>
        <v>2.5426394622079598E-2</v>
      </c>
      <c r="AL24" s="36">
        <f t="shared" si="11"/>
        <v>3648816</v>
      </c>
      <c r="AM24" s="39">
        <v>16</v>
      </c>
      <c r="AN24" s="40">
        <v>28369875</v>
      </c>
      <c r="AO24" s="40">
        <v>886558.59375</v>
      </c>
      <c r="AP24" s="40">
        <v>15235.15625</v>
      </c>
      <c r="AQ24" s="41">
        <v>10020872</v>
      </c>
      <c r="AR24" s="41">
        <v>2699744</v>
      </c>
      <c r="AS24" s="41">
        <v>949072</v>
      </c>
      <c r="AT24" s="41">
        <v>6371928</v>
      </c>
      <c r="AU24" s="42">
        <v>70.790784000000002</v>
      </c>
      <c r="AV24" s="42">
        <v>75.132078000000007</v>
      </c>
      <c r="AW24" s="42">
        <v>36.493172000000001</v>
      </c>
      <c r="AX24" s="42">
        <v>43.658065999999998</v>
      </c>
      <c r="AY24" s="42">
        <v>42.193319000000002</v>
      </c>
      <c r="AZ24" s="43">
        <v>5100.41</v>
      </c>
      <c r="BA24" s="43">
        <v>4389.26</v>
      </c>
      <c r="BB24" s="43">
        <v>78.81</v>
      </c>
      <c r="BC24" s="43">
        <v>19.207999999999998</v>
      </c>
      <c r="BE24" s="44">
        <f t="shared" si="12"/>
        <v>1</v>
      </c>
      <c r="BF24" s="45">
        <f t="shared" si="13"/>
        <v>0</v>
      </c>
      <c r="BG24" s="45">
        <f t="shared" si="14"/>
        <v>0</v>
      </c>
      <c r="BH24" s="45"/>
      <c r="BJ24" s="44"/>
      <c r="BK24" s="44"/>
      <c r="BL24" s="44"/>
      <c r="BM24" s="44"/>
      <c r="BN24" s="44"/>
      <c r="BP24" s="44"/>
      <c r="BQ24" s="44"/>
      <c r="BR24" s="44"/>
      <c r="BS24" s="44"/>
      <c r="BT24" s="44"/>
      <c r="BV24" s="58">
        <f t="shared" si="16"/>
        <v>0</v>
      </c>
      <c r="BW24" s="58">
        <f t="shared" si="16"/>
        <v>0</v>
      </c>
      <c r="BX24" s="58">
        <f t="shared" si="16"/>
        <v>0</v>
      </c>
      <c r="BY24" s="58">
        <f t="shared" si="16"/>
        <v>0</v>
      </c>
      <c r="BZ24" s="58">
        <f t="shared" si="16"/>
        <v>0</v>
      </c>
      <c r="CA24" s="58">
        <f t="shared" si="16"/>
        <v>0</v>
      </c>
      <c r="CB24" s="58">
        <f t="shared" si="16"/>
        <v>0</v>
      </c>
      <c r="CC24" s="58">
        <f t="shared" si="16"/>
        <v>0</v>
      </c>
      <c r="CD24" s="58">
        <f t="shared" si="16"/>
        <v>0</v>
      </c>
      <c r="CE24" s="58">
        <f t="shared" si="16"/>
        <v>0</v>
      </c>
      <c r="CF24" s="58">
        <f t="shared" si="16"/>
        <v>0</v>
      </c>
      <c r="CG24" s="58">
        <f t="shared" si="16"/>
        <v>0</v>
      </c>
      <c r="CJ24" t="s">
        <v>239</v>
      </c>
    </row>
    <row r="25" spans="1:88">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2.0582699999999998</v>
      </c>
      <c r="AH25" s="11">
        <f t="shared" si="7"/>
        <v>8.7716161590745099E-3</v>
      </c>
      <c r="AI25" s="11">
        <f t="shared" si="8"/>
        <v>5.7216739913291455E-3</v>
      </c>
      <c r="AJ25" s="11">
        <f t="shared" si="9"/>
        <v>3.5055013695821828E-3</v>
      </c>
      <c r="AK25" s="11">
        <f t="shared" si="10"/>
        <v>3.0494307703392478E-3</v>
      </c>
      <c r="AL25" s="52">
        <f t="shared" si="11"/>
        <v>1432104</v>
      </c>
      <c r="AM25" s="11">
        <v>16</v>
      </c>
      <c r="AN25" s="12">
        <v>23372991</v>
      </c>
      <c r="AO25" s="12">
        <v>730405.96875</v>
      </c>
      <c r="AP25" s="12">
        <v>14150.46875</v>
      </c>
      <c r="AQ25" s="13">
        <v>2195488</v>
      </c>
      <c r="AR25" s="13">
        <v>877408</v>
      </c>
      <c r="AS25" s="13">
        <v>554696</v>
      </c>
      <c r="AT25" s="13">
        <v>763256</v>
      </c>
      <c r="AU25" s="14">
        <v>66.242318999999995</v>
      </c>
      <c r="AV25" s="14">
        <v>68.022993999999997</v>
      </c>
      <c r="AW25" s="14">
        <v>25.904775000000001</v>
      </c>
      <c r="AX25" s="14">
        <v>32.466644000000002</v>
      </c>
      <c r="AY25" s="14">
        <v>31.666103</v>
      </c>
      <c r="AZ25" s="15">
        <v>1492.76</v>
      </c>
      <c r="BA25" s="15">
        <v>3710.63</v>
      </c>
      <c r="BB25" s="15">
        <v>59.411000000000001</v>
      </c>
      <c r="BC25" s="15">
        <v>16.22</v>
      </c>
      <c r="BE25" s="50">
        <f t="shared" si="12"/>
        <v>1.0115729098974373</v>
      </c>
      <c r="BF25" s="16">
        <f t="shared" si="13"/>
        <v>-5.7390652528370792E-4</v>
      </c>
      <c r="BG25" s="16">
        <f t="shared" si="14"/>
        <v>3.9377202422099522E-3</v>
      </c>
      <c r="BH25" s="16">
        <f t="array" ref="BH25">AVERAGE(AL25:AL29/AQ25:AQ29) - AVERAGE(N25:N29/S25:S29)</f>
        <v>2.0650770394483042E-3</v>
      </c>
      <c r="BJ25" s="50">
        <f>IF( OR(ISBLANK(N25:N29),ISBLANK(AL25:AL29), ISBLANK(W25:W29),ISBLANK(AU25:AU29)), "·", bdRateExtend( N25:N29,W25:W29, AL25:AL29,AU25:AU29))</f>
        <v>7.1033183710620396E-3</v>
      </c>
      <c r="BK25" s="50">
        <f>IF( OR(ISBLANK(N25:N29),ISBLANK(AL25:AL29), ISBLANK(X25:X29),ISBLANK(AV25:AV29)), "·", bdRateExtend( N25:N29,X25:X29, AL25:AL29,AV25:AV29))</f>
        <v>3.7662138300254E-4</v>
      </c>
      <c r="BL25" s="50">
        <f>IF( OR(ISBLANK(V25:V29),ISBLANK(AT25:AT29), ISBLANK(Y25:Y29),ISBLANK(AW25:AW29)), "·", bdRateExtend( V25:V29,Y25:Y29, AT25:AT29,AW25:AW29))</f>
        <v>-2.0178452010055636E-4</v>
      </c>
      <c r="BM25" s="50">
        <f>IF( OR(ISBLANK(V25:V29),ISBLANK(AT25:AT29), ISBLANK(Z25:Z29),ISBLANK(AX25:AX29)), "·", bdRateExtend( V25:V29,Z25:Z29, AT25:AT29,AX25:AX29))</f>
        <v>-3.5631267063455097E-3</v>
      </c>
      <c r="BN25" s="50">
        <f>IF( OR(ISBLANK(V25:V29),ISBLANK(AT25:AT29), ISBLANK(AA25:AA29),ISBLANK(AY25:AY29)), "·", bdRateExtend( V25:V29,AA25:AA29, AT25:AT29,AY25:AY29))</f>
        <v>1.0004216010237599E-3</v>
      </c>
      <c r="BP25" s="50">
        <f>IF( OR(ISBLANK(S25:S29),ISBLANK(AQ25:AQ29), ISBLANK(W25:W29),ISBLANK(AU25:AU29)), "·", bdRateExtend( S25:S29,W25:W29, AQ25:AQ29,AU25:AU29))</f>
        <v>1.6738337642159262E-3</v>
      </c>
      <c r="BQ25" s="50">
        <f>IF( OR(ISBLANK(S25:S29),ISBLANK(AQ25:AQ29), ISBLANK(X25:X29),ISBLANK(AV25:AV29)), "·", bdRateExtend( S25:S29,X25:X29, AQ25:AQ29,AV25:AV29))</f>
        <v>-1.0074461955445035E-2</v>
      </c>
      <c r="BR25" s="50">
        <f>IF( OR(ISBLANK(S25:S29),ISBLANK(AQ25:AQ29), ISBLANK(Y25:Y29),ISBLANK(AW25:AW29)), "·", bdRateExtend( S25:S29,Y25:Y29, AQ25:AQ29,AW25:AW29))</f>
        <v>3.0206859041528311E-3</v>
      </c>
      <c r="BS25" s="50">
        <f>IF( OR(ISBLANK(S25:S29),ISBLANK(AQ25:AQ29), ISBLANK(Z25:Z29),ISBLANK(AX25:AX29)), "·", bdRateExtend( S25:S29,Z25:Z29, AQ25:AQ29,AX25:AX29))</f>
        <v>1.9921544172984973E-4</v>
      </c>
      <c r="BT25" s="50">
        <f>IF( OR(ISBLANK(S25:S29),ISBLANK(AQ25:AQ29), ISBLANK(AA25:AA29),ISBLANK(AY25:AY29)), "·", bdRateExtend( S25:S29,AA25:AA29, AQ25:AQ29,AY25:AY29))</f>
        <v>3.8944295174316856E-3</v>
      </c>
      <c r="BV25" s="58">
        <f t="shared" si="16"/>
        <v>-50738</v>
      </c>
      <c r="BW25" s="58">
        <f t="shared" si="16"/>
        <v>-1585.5625</v>
      </c>
      <c r="BX25" s="58">
        <f t="shared" si="16"/>
        <v>-450.8125</v>
      </c>
      <c r="BY25" s="58">
        <f t="shared" si="16"/>
        <v>11936</v>
      </c>
      <c r="BZ25" s="58">
        <f t="shared" si="16"/>
        <v>0</v>
      </c>
      <c r="CA25" s="58">
        <f t="shared" si="16"/>
        <v>16384</v>
      </c>
      <c r="CB25" s="58">
        <f t="shared" si="16"/>
        <v>-4448</v>
      </c>
      <c r="CC25" s="58">
        <f t="shared" si="16"/>
        <v>-7.2370000000034906E-3</v>
      </c>
      <c r="CD25" s="58">
        <f t="shared" si="16"/>
        <v>2.0871999999997115E-2</v>
      </c>
      <c r="CE25" s="58">
        <f t="shared" si="16"/>
        <v>-9.477999999997877E-3</v>
      </c>
      <c r="CF25" s="58">
        <f t="shared" si="16"/>
        <v>8.9410000000000878E-3</v>
      </c>
      <c r="CG25" s="58">
        <f t="shared" si="16"/>
        <v>3.361999999999199E-3</v>
      </c>
      <c r="CJ25" t="s">
        <v>579</v>
      </c>
    </row>
    <row r="26" spans="1:88" outlineLevel="1">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3.1732425000000002</v>
      </c>
      <c r="AH26" s="20">
        <f t="shared" si="7"/>
        <v>1.3523233195675007E-2</v>
      </c>
      <c r="AI26" s="20">
        <f t="shared" si="8"/>
        <v>7.196000750827279E-3</v>
      </c>
      <c r="AJ26" s="20">
        <f t="shared" si="9"/>
        <v>4.9798281290803171E-3</v>
      </c>
      <c r="AK26" s="20">
        <f t="shared" si="10"/>
        <v>6.3267210474416101E-3</v>
      </c>
      <c r="AL26" s="17">
        <f t="shared" si="11"/>
        <v>1801120</v>
      </c>
      <c r="AM26" s="20">
        <v>16</v>
      </c>
      <c r="AN26" s="21">
        <v>24587731</v>
      </c>
      <c r="AO26" s="21">
        <v>768366.59375</v>
      </c>
      <c r="AP26" s="21">
        <v>17303.65625</v>
      </c>
      <c r="AQ26" s="22">
        <v>3384792</v>
      </c>
      <c r="AR26" s="22">
        <v>1246424</v>
      </c>
      <c r="AS26" s="22">
        <v>554696</v>
      </c>
      <c r="AT26" s="22">
        <v>1583544</v>
      </c>
      <c r="AU26" s="23">
        <v>68.000247000000002</v>
      </c>
      <c r="AV26" s="23">
        <v>70.045058999999995</v>
      </c>
      <c r="AW26" s="23">
        <v>27.913394</v>
      </c>
      <c r="AX26" s="23">
        <v>33.657837000000001</v>
      </c>
      <c r="AY26" s="23">
        <v>33.027534000000003</v>
      </c>
      <c r="AZ26" s="24">
        <v>1939.19</v>
      </c>
      <c r="BA26" s="24">
        <v>5678.35</v>
      </c>
      <c r="BB26" s="24">
        <v>77.298000000000002</v>
      </c>
      <c r="BC26" s="24">
        <v>24.867999999999999</v>
      </c>
      <c r="BE26" s="49">
        <f t="shared" si="12"/>
        <v>1.0091800692091155</v>
      </c>
      <c r="BF26" s="25">
        <f t="shared" si="13"/>
        <v>-6.4447563639063662E-4</v>
      </c>
      <c r="BG26" s="25">
        <f t="shared" si="14"/>
        <v>2.2707370993212406E-3</v>
      </c>
      <c r="BH26" s="25"/>
      <c r="BJ26" s="49"/>
      <c r="BK26" s="49"/>
      <c r="BL26" s="49"/>
      <c r="BM26" s="49"/>
      <c r="BN26" s="49"/>
      <c r="BP26" s="49"/>
      <c r="BQ26" s="49"/>
      <c r="BR26" s="49"/>
      <c r="BS26" s="49"/>
      <c r="BT26" s="49"/>
      <c r="BV26" s="58">
        <f t="shared" si="16"/>
        <v>-54601</v>
      </c>
      <c r="BW26" s="58">
        <f t="shared" si="16"/>
        <v>-1706.28125</v>
      </c>
      <c r="BX26" s="58">
        <f t="shared" si="16"/>
        <v>-534.71875</v>
      </c>
      <c r="BY26" s="58">
        <f t="shared" si="16"/>
        <v>16416</v>
      </c>
      <c r="BZ26" s="58">
        <f t="shared" si="16"/>
        <v>0</v>
      </c>
      <c r="CA26" s="58">
        <f t="shared" si="16"/>
        <v>16384</v>
      </c>
      <c r="CB26" s="58">
        <f t="shared" si="16"/>
        <v>32</v>
      </c>
      <c r="CC26" s="58">
        <f t="shared" si="16"/>
        <v>-5.1119999999968968E-3</v>
      </c>
      <c r="CD26" s="58">
        <f t="shared" si="16"/>
        <v>2.8449999999992315E-2</v>
      </c>
      <c r="CE26" s="58">
        <f t="shared" si="16"/>
        <v>-4.8969999999997071E-3</v>
      </c>
      <c r="CF26" s="58">
        <f t="shared" si="16"/>
        <v>-1.0218999999999312E-2</v>
      </c>
      <c r="CG26" s="58">
        <f t="shared" si="16"/>
        <v>-1.2699999999995271E-2</v>
      </c>
      <c r="CJ26" t="s">
        <v>579</v>
      </c>
    </row>
    <row r="27" spans="1:88" outlineLevel="1">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5.3504100000000001</v>
      </c>
      <c r="AH27" s="11">
        <f t="shared" si="7"/>
        <v>2.2801548297198059E-2</v>
      </c>
      <c r="AI27" s="11">
        <f t="shared" si="8"/>
        <v>9.3589880423380484E-3</v>
      </c>
      <c r="AJ27" s="11">
        <f t="shared" si="9"/>
        <v>7.1428154205910857E-3</v>
      </c>
      <c r="AK27" s="11">
        <f t="shared" si="10"/>
        <v>1.3442048857453894E-2</v>
      </c>
      <c r="AL27" s="52">
        <f t="shared" si="11"/>
        <v>2342504</v>
      </c>
      <c r="AM27" s="11">
        <v>16</v>
      </c>
      <c r="AN27" s="12">
        <v>24821659</v>
      </c>
      <c r="AO27" s="12">
        <v>775676.84375</v>
      </c>
      <c r="AP27" s="12">
        <v>18104.84375</v>
      </c>
      <c r="AQ27" s="13">
        <v>5707104</v>
      </c>
      <c r="AR27" s="13">
        <v>1787808</v>
      </c>
      <c r="AS27" s="13">
        <v>554696</v>
      </c>
      <c r="AT27" s="13">
        <v>3364472</v>
      </c>
      <c r="AU27" s="14">
        <v>69.293794000000005</v>
      </c>
      <c r="AV27" s="14">
        <v>71.727694</v>
      </c>
      <c r="AW27" s="14">
        <v>30.197378</v>
      </c>
      <c r="AX27" s="14">
        <v>34.911127999999998</v>
      </c>
      <c r="AY27" s="14">
        <v>34.338963</v>
      </c>
      <c r="AZ27" s="15">
        <v>1569.17</v>
      </c>
      <c r="BA27" s="15">
        <v>4488.3900000000003</v>
      </c>
      <c r="BB27" s="15">
        <v>66.825999999999993</v>
      </c>
      <c r="BC27" s="15">
        <v>17.963000000000001</v>
      </c>
      <c r="BE27" s="50">
        <f t="shared" si="12"/>
        <v>1.0070434887280106</v>
      </c>
      <c r="BF27" s="16">
        <f t="shared" si="13"/>
        <v>-6.9902308861443177E-4</v>
      </c>
      <c r="BG27" s="16">
        <f t="shared" si="14"/>
        <v>2.1863443366978985E-3</v>
      </c>
      <c r="BH27" s="16"/>
      <c r="BJ27" s="50"/>
      <c r="BK27" s="50"/>
      <c r="BL27" s="50"/>
      <c r="BM27" s="50"/>
      <c r="BN27" s="50"/>
      <c r="BP27" s="50"/>
      <c r="BQ27" s="50"/>
      <c r="BR27" s="50"/>
      <c r="BS27" s="50"/>
      <c r="BT27" s="50"/>
      <c r="BV27" s="58">
        <f t="shared" si="16"/>
        <v>-53748</v>
      </c>
      <c r="BW27" s="58">
        <f t="shared" si="16"/>
        <v>-1679.625</v>
      </c>
      <c r="BX27" s="58">
        <f t="shared" si="16"/>
        <v>-582.59375</v>
      </c>
      <c r="BY27" s="58">
        <f t="shared" si="16"/>
        <v>9568</v>
      </c>
      <c r="BZ27" s="58">
        <f t="shared" si="16"/>
        <v>0</v>
      </c>
      <c r="CA27" s="58">
        <f t="shared" si="16"/>
        <v>16384</v>
      </c>
      <c r="CB27" s="58">
        <f t="shared" si="16"/>
        <v>-6816</v>
      </c>
      <c r="CC27" s="58">
        <f t="shared" si="16"/>
        <v>-7.961999999992031E-3</v>
      </c>
      <c r="CD27" s="58">
        <f t="shared" si="16"/>
        <v>3.7175000000004843E-2</v>
      </c>
      <c r="CE27" s="58">
        <f t="shared" si="16"/>
        <v>-8.4969999999984225E-3</v>
      </c>
      <c r="CF27" s="58">
        <f t="shared" si="16"/>
        <v>1.3089999999991164E-3</v>
      </c>
      <c r="CG27" s="58">
        <f t="shared" si="16"/>
        <v>-1.1670999999999765E-2</v>
      </c>
      <c r="CJ27" t="s">
        <v>579</v>
      </c>
    </row>
    <row r="28" spans="1:88" outlineLevel="1">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10.310062500000001</v>
      </c>
      <c r="AH28" s="20">
        <f t="shared" si="7"/>
        <v>4.3937826828388961E-2</v>
      </c>
      <c r="AI28" s="20">
        <f t="shared" si="8"/>
        <v>1.3193158132364208E-2</v>
      </c>
      <c r="AJ28" s="20">
        <f t="shared" si="9"/>
        <v>1.0976985510617245E-2</v>
      </c>
      <c r="AK28" s="20">
        <f t="shared" si="10"/>
        <v>3.0744157298618634E-2</v>
      </c>
      <c r="AL28" s="17">
        <f t="shared" si="11"/>
        <v>3302176</v>
      </c>
      <c r="AM28" s="20">
        <v>16</v>
      </c>
      <c r="AN28" s="21">
        <v>25503029</v>
      </c>
      <c r="AO28" s="21">
        <v>796969.65625</v>
      </c>
      <c r="AP28" s="21">
        <v>20498</v>
      </c>
      <c r="AQ28" s="22">
        <v>10997400</v>
      </c>
      <c r="AR28" s="22">
        <v>2747480</v>
      </c>
      <c r="AS28" s="22">
        <v>554696</v>
      </c>
      <c r="AT28" s="22">
        <v>7695096</v>
      </c>
      <c r="AU28" s="23">
        <v>70.478258999999994</v>
      </c>
      <c r="AV28" s="23">
        <v>73.042312999999993</v>
      </c>
      <c r="AW28" s="23">
        <v>32.697221999999996</v>
      </c>
      <c r="AX28" s="23">
        <v>36.425156000000001</v>
      </c>
      <c r="AY28" s="23">
        <v>35.862946999999998</v>
      </c>
      <c r="AZ28" s="24">
        <v>1604.88</v>
      </c>
      <c r="BA28" s="24">
        <v>4818.34</v>
      </c>
      <c r="BB28" s="24">
        <v>65.804000000000002</v>
      </c>
      <c r="BC28" s="24">
        <v>18.666</v>
      </c>
      <c r="BE28" s="49">
        <f t="shared" si="12"/>
        <v>1.0049863168453754</v>
      </c>
      <c r="BF28" s="25">
        <f t="shared" si="13"/>
        <v>-7.0895195554840362E-4</v>
      </c>
      <c r="BG28" s="25">
        <f t="shared" si="14"/>
        <v>1.9305835190121523E-3</v>
      </c>
      <c r="BH28" s="25"/>
      <c r="BJ28" s="49"/>
      <c r="BK28" s="49"/>
      <c r="BL28" s="49"/>
      <c r="BM28" s="49"/>
      <c r="BN28" s="49"/>
      <c r="BP28" s="49"/>
      <c r="BQ28" s="49"/>
      <c r="BR28" s="49"/>
      <c r="BS28" s="49"/>
      <c r="BT28" s="49"/>
      <c r="BV28" s="58">
        <f t="shared" si="16"/>
        <v>-55605</v>
      </c>
      <c r="BW28" s="58">
        <f t="shared" si="16"/>
        <v>-1737.65625</v>
      </c>
      <c r="BX28" s="58">
        <f t="shared" si="16"/>
        <v>-610.9375</v>
      </c>
      <c r="BY28" s="58">
        <f t="shared" si="16"/>
        <v>-16248</v>
      </c>
      <c r="BZ28" s="58">
        <f t="shared" si="16"/>
        <v>0</v>
      </c>
      <c r="CA28" s="58">
        <f t="shared" si="16"/>
        <v>16384</v>
      </c>
      <c r="CB28" s="58">
        <f t="shared" si="16"/>
        <v>-32632</v>
      </c>
      <c r="CC28" s="58">
        <f t="shared" si="16"/>
        <v>1.6142999999999574E-2</v>
      </c>
      <c r="CD28" s="58">
        <f t="shared" si="16"/>
        <v>4.8718999999991297E-2</v>
      </c>
      <c r="CE28" s="58">
        <f t="shared" si="16"/>
        <v>-7.4060000000031323E-3</v>
      </c>
      <c r="CF28" s="58">
        <f t="shared" si="16"/>
        <v>1.1315000000003295E-2</v>
      </c>
      <c r="CG28" s="58">
        <f t="shared" si="16"/>
        <v>-2.0090000000010377E-3</v>
      </c>
      <c r="CJ28" t="s">
        <v>579</v>
      </c>
    </row>
    <row r="29" spans="1:88" ht="16" outlineLevel="1" thickBot="1">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23.852354999999999</v>
      </c>
      <c r="AH29" s="29">
        <f t="shared" si="7"/>
        <v>0.10165027063989743</v>
      </c>
      <c r="AI29" s="29">
        <f t="shared" si="8"/>
        <v>2.15839110732329E-2</v>
      </c>
      <c r="AJ29" s="29">
        <f t="shared" si="9"/>
        <v>1.7231247938079619E-2</v>
      </c>
      <c r="AK29" s="29">
        <f t="shared" si="10"/>
        <v>8.0065848169258408E-2</v>
      </c>
      <c r="AL29" s="26">
        <f t="shared" si="11"/>
        <v>5402336</v>
      </c>
      <c r="AM29" s="29">
        <v>16</v>
      </c>
      <c r="AN29" s="30">
        <v>24591050</v>
      </c>
      <c r="AO29" s="30">
        <v>768470.3125</v>
      </c>
      <c r="AP29" s="30">
        <v>9839.84375</v>
      </c>
      <c r="AQ29" s="31">
        <v>25442512</v>
      </c>
      <c r="AR29" s="31">
        <v>4312888</v>
      </c>
      <c r="AS29" s="31">
        <v>1089448</v>
      </c>
      <c r="AT29" s="31">
        <v>20040048</v>
      </c>
      <c r="AU29" s="32">
        <v>71.138030999999998</v>
      </c>
      <c r="AV29" s="32">
        <v>74.865933999999996</v>
      </c>
      <c r="AW29" s="32">
        <v>35.755878000000003</v>
      </c>
      <c r="AX29" s="32">
        <v>38.367171999999997</v>
      </c>
      <c r="AY29" s="32">
        <v>37.762050000000002</v>
      </c>
      <c r="AZ29" s="33">
        <v>1528.79</v>
      </c>
      <c r="BA29" s="33">
        <v>5456.08</v>
      </c>
      <c r="BB29" s="33">
        <v>66.893000000000001</v>
      </c>
      <c r="BC29" s="33">
        <v>22.814</v>
      </c>
      <c r="BE29" s="34">
        <f t="shared" si="12"/>
        <v>1</v>
      </c>
      <c r="BF29" s="35">
        <f t="shared" si="13"/>
        <v>0</v>
      </c>
      <c r="BG29" s="35">
        <f t="shared" si="14"/>
        <v>0</v>
      </c>
      <c r="BH29" s="35"/>
      <c r="BJ29" s="34"/>
      <c r="BK29" s="34"/>
      <c r="BL29" s="34"/>
      <c r="BM29" s="34"/>
      <c r="BN29" s="34"/>
      <c r="BP29" s="34"/>
      <c r="BQ29" s="34"/>
      <c r="BR29" s="34"/>
      <c r="BS29" s="34"/>
      <c r="BT29" s="34"/>
      <c r="BV29" s="58">
        <f t="shared" si="16"/>
        <v>0</v>
      </c>
      <c r="BW29" s="58">
        <f t="shared" si="16"/>
        <v>0</v>
      </c>
      <c r="BX29" s="58">
        <f t="shared" si="16"/>
        <v>0</v>
      </c>
      <c r="BY29" s="58">
        <f t="shared" si="16"/>
        <v>0</v>
      </c>
      <c r="BZ29" s="58">
        <f t="shared" si="16"/>
        <v>0</v>
      </c>
      <c r="CA29" s="58">
        <f t="shared" si="16"/>
        <v>0</v>
      </c>
      <c r="CB29" s="58">
        <f t="shared" si="16"/>
        <v>0</v>
      </c>
      <c r="CC29" s="58">
        <f t="shared" si="16"/>
        <v>0</v>
      </c>
      <c r="CD29" s="58">
        <f t="shared" si="16"/>
        <v>0</v>
      </c>
      <c r="CE29" s="58">
        <f t="shared" si="16"/>
        <v>0</v>
      </c>
      <c r="CF29" s="58">
        <f t="shared" si="16"/>
        <v>0</v>
      </c>
      <c r="CG29" s="58">
        <f t="shared" si="16"/>
        <v>0</v>
      </c>
      <c r="CJ29" t="s">
        <v>579</v>
      </c>
    </row>
    <row r="30" spans="1:88">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3.7093275000000001</v>
      </c>
      <c r="AH30" s="20">
        <f t="shared" si="7"/>
        <v>1.0539100850308829E-2</v>
      </c>
      <c r="AI30" s="20">
        <f t="shared" si="8"/>
        <v>8.367254689521984E-3</v>
      </c>
      <c r="AJ30" s="20">
        <f t="shared" si="9"/>
        <v>5.2756768554058494E-3</v>
      </c>
      <c r="AK30" s="20">
        <f t="shared" si="10"/>
        <v>2.1715052116250272E-3</v>
      </c>
      <c r="AL30" s="17">
        <f t="shared" si="11"/>
        <v>3141256</v>
      </c>
      <c r="AM30" s="20">
        <v>16</v>
      </c>
      <c r="AN30" s="21">
        <v>86172524</v>
      </c>
      <c r="AO30" s="21">
        <v>2692891.375</v>
      </c>
      <c r="AP30" s="21">
        <v>33167.65625</v>
      </c>
      <c r="AQ30" s="22">
        <v>3956616</v>
      </c>
      <c r="AR30" s="22">
        <v>1980608</v>
      </c>
      <c r="AS30" s="22">
        <v>1160648</v>
      </c>
      <c r="AT30" s="22">
        <v>815232</v>
      </c>
      <c r="AU30" s="23">
        <v>73.634636999999998</v>
      </c>
      <c r="AV30" s="23">
        <v>75.754368999999997</v>
      </c>
      <c r="AW30" s="23">
        <v>33.233052999999998</v>
      </c>
      <c r="AX30" s="23">
        <v>41.904916</v>
      </c>
      <c r="AY30" s="23">
        <v>43.477350000000001</v>
      </c>
      <c r="AZ30" s="24">
        <v>4501.17</v>
      </c>
      <c r="BA30" s="24">
        <v>22141.1</v>
      </c>
      <c r="BB30" s="24">
        <v>264.73</v>
      </c>
      <c r="BC30" s="24">
        <v>100.937</v>
      </c>
      <c r="BE30" s="49">
        <f t="shared" si="12"/>
        <v>1.0071588699707079</v>
      </c>
      <c r="BF30" s="25">
        <f t="shared" si="13"/>
        <v>-2.4159603519163103E-4</v>
      </c>
      <c r="BG30" s="25">
        <f t="shared" si="14"/>
        <v>2.1805643637301531E-3</v>
      </c>
      <c r="BH30" s="25">
        <f t="array" ref="BH30">AVERAGE(AL30:AL34/AQ30:AQ34) - AVERAGE(N30:N34/S30:S34)</f>
        <v>1.5274956056116062E-3</v>
      </c>
      <c r="BJ30" s="49">
        <f>IF( OR(ISBLANK(N30:N34),ISBLANK(AL30:AL34), ISBLANK(W30:W34),ISBLANK(AU30:AU34)), "·", bdRateExtend( N30:N34,W30:W34, AL30:AL34,AU30:AU34))</f>
        <v>3.8948586330569412E-3</v>
      </c>
      <c r="BK30" s="49">
        <f>IF( OR(ISBLANK(N30:N34),ISBLANK(AL30:AL34), ISBLANK(X30:X34),ISBLANK(AV30:AV34)), "·", bdRateExtend( N30:N34,X30:X34, AL30:AL34,AV30:AV34))</f>
        <v>1.4680036225502846E-3</v>
      </c>
      <c r="BL30" s="49">
        <f>IF( OR(ISBLANK(V30:V34),ISBLANK(AT30:AT34), ISBLANK(Y30:Y34),ISBLANK(AW30:AW34)), "·", bdRateExtend( V30:V34,Y30:Y34, AT30:AT34,AW30:AW34))</f>
        <v>-2.6962908631215088E-3</v>
      </c>
      <c r="BM30" s="49">
        <f>IF( OR(ISBLANK(V30:V34),ISBLANK(AT30:AT34), ISBLANK(Z30:Z34),ISBLANK(AX30:AX34)), "·", bdRateExtend( V30:V34,Z30:Z34, AT30:AT34,AX30:AX34))</f>
        <v>-1.2029125914561067E-3</v>
      </c>
      <c r="BN30" s="49">
        <f>IF( OR(ISBLANK(V30:V34),ISBLANK(AT30:AT34), ISBLANK(AA30:AA34),ISBLANK(AY30:AY34)), "·", bdRateExtend( V30:V34,AA30:AA34, AT30:AT34,AY30:AY34))</f>
        <v>-8.8246274308869666E-3</v>
      </c>
      <c r="BP30" s="49">
        <f>IF( OR(ISBLANK(S30:S34),ISBLANK(AQ30:AQ34), ISBLANK(W30:W34),ISBLANK(AU30:AU34)), "·", bdRateExtend( S30:S34,W30:W34, AQ30:AQ34,AU30:AU34))</f>
        <v>9.3130705131061475E-4</v>
      </c>
      <c r="BQ30" s="49">
        <f>IF( OR(ISBLANK(S30:S34),ISBLANK(AQ30:AQ34), ISBLANK(X30:X34),ISBLANK(AV30:AV34)), "·", bdRateExtend( S30:S34,X30:X34, AQ30:AQ34,AV30:AV34))</f>
        <v>-2.428328010996017E-3</v>
      </c>
      <c r="BR30" s="49">
        <f>IF( OR(ISBLANK(S30:S34),ISBLANK(AQ30:AQ34), ISBLANK(Y30:Y34),ISBLANK(AW30:AW34)), "·", bdRateExtend( S30:S34,Y30:Y34, AQ30:AQ34,AW30:AW34))</f>
        <v>2.3197290655156966E-3</v>
      </c>
      <c r="BS30" s="49">
        <f>IF( OR(ISBLANK(S30:S34),ISBLANK(AQ30:AQ34), ISBLANK(Z30:Z34),ISBLANK(AX30:AX34)), "·", bdRateExtend( S30:S34,Z30:Z34, AQ30:AQ34,AX30:AX34))</f>
        <v>2.2414245846151815E-3</v>
      </c>
      <c r="BT30" s="49">
        <f>IF( OR(ISBLANK(S30:S34),ISBLANK(AQ30:AQ34), ISBLANK(AA30:AA34),ISBLANK(AY30:AY34)), "·", bdRateExtend( S30:S34,AA30:AA34, AQ30:AQ34,AY30:AY34))</f>
        <v>-3.4388663594563385E-3</v>
      </c>
      <c r="BV30" s="58">
        <f t="shared" si="16"/>
        <v>-70874</v>
      </c>
      <c r="BW30" s="58">
        <f t="shared" si="16"/>
        <v>-2214.8125</v>
      </c>
      <c r="BX30" s="58">
        <f t="shared" si="16"/>
        <v>-678.40625</v>
      </c>
      <c r="BY30" s="58">
        <f t="shared" si="16"/>
        <v>17304</v>
      </c>
      <c r="BZ30" s="58">
        <f t="shared" si="16"/>
        <v>0</v>
      </c>
      <c r="CA30" s="58">
        <f t="shared" si="16"/>
        <v>22328</v>
      </c>
      <c r="CB30" s="58">
        <f t="shared" si="16"/>
        <v>-5024</v>
      </c>
      <c r="CC30" s="58">
        <f t="shared" si="16"/>
        <v>-2.4379999999979418E-3</v>
      </c>
      <c r="CD30" s="58">
        <f t="shared" si="16"/>
        <v>1.1769000000001029E-2</v>
      </c>
      <c r="CE30" s="58">
        <f t="shared" si="16"/>
        <v>2.108999999997252E-3</v>
      </c>
      <c r="CF30" s="58">
        <f t="shared" si="16"/>
        <v>-2.4303000000003294E-2</v>
      </c>
      <c r="CG30" s="58">
        <f t="shared" si="16"/>
        <v>0.16123100000000079</v>
      </c>
      <c r="CJ30" t="s">
        <v>588</v>
      </c>
    </row>
    <row r="31" spans="1:88" outlineLevel="1">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4.9483350000000002</v>
      </c>
      <c r="AH31" s="11">
        <f t="shared" si="7"/>
        <v>1.4059422255412322E-2</v>
      </c>
      <c r="AI31" s="11">
        <f t="shared" si="8"/>
        <v>1.0307106255013633E-2</v>
      </c>
      <c r="AJ31" s="11">
        <f t="shared" si="9"/>
        <v>7.2155284208974997E-3</v>
      </c>
      <c r="AK31" s="11">
        <f t="shared" si="10"/>
        <v>3.7519750512368679E-3</v>
      </c>
      <c r="AL31" s="52">
        <f t="shared" si="11"/>
        <v>3869520</v>
      </c>
      <c r="AM31" s="11">
        <v>16</v>
      </c>
      <c r="AN31" s="12">
        <v>90467450</v>
      </c>
      <c r="AO31" s="12">
        <v>2827107.8125</v>
      </c>
      <c r="AP31" s="12">
        <v>40638.5</v>
      </c>
      <c r="AQ31" s="13">
        <v>5278224</v>
      </c>
      <c r="AR31" s="13">
        <v>2708872</v>
      </c>
      <c r="AS31" s="13">
        <v>1160648</v>
      </c>
      <c r="AT31" s="13">
        <v>1408576</v>
      </c>
      <c r="AU31" s="14">
        <v>75.250219000000001</v>
      </c>
      <c r="AV31" s="14">
        <v>77.598215999999994</v>
      </c>
      <c r="AW31" s="14">
        <v>35.161777999999998</v>
      </c>
      <c r="AX31" s="14">
        <v>42.546097000000003</v>
      </c>
      <c r="AY31" s="14">
        <v>44.472696999999997</v>
      </c>
      <c r="AZ31" s="15">
        <v>3724.23</v>
      </c>
      <c r="BA31" s="15">
        <v>16939</v>
      </c>
      <c r="BB31" s="15">
        <v>241.47200000000001</v>
      </c>
      <c r="BC31" s="15">
        <v>75.433999999999997</v>
      </c>
      <c r="BE31" s="50">
        <f t="shared" si="12"/>
        <v>1.0058037134616622</v>
      </c>
      <c r="BF31" s="16">
        <f t="shared" si="13"/>
        <v>-2.7878136808711512E-4</v>
      </c>
      <c r="BG31" s="16">
        <f t="shared" si="14"/>
        <v>1.6003239082359455E-3</v>
      </c>
      <c r="BH31" s="16"/>
      <c r="BJ31" s="50"/>
      <c r="BK31" s="50"/>
      <c r="BL31" s="50"/>
      <c r="BM31" s="50"/>
      <c r="BN31" s="50"/>
      <c r="BP31" s="50"/>
      <c r="BQ31" s="50"/>
      <c r="BR31" s="50"/>
      <c r="BS31" s="50"/>
      <c r="BT31" s="50"/>
      <c r="BV31" s="58">
        <f t="shared" si="16"/>
        <v>-74342</v>
      </c>
      <c r="BW31" s="58">
        <f t="shared" si="16"/>
        <v>-2323.1875</v>
      </c>
      <c r="BX31" s="58">
        <f t="shared" si="16"/>
        <v>-822.1875</v>
      </c>
      <c r="BY31" s="58">
        <f t="shared" si="16"/>
        <v>18976</v>
      </c>
      <c r="BZ31" s="58">
        <f t="shared" si="16"/>
        <v>0</v>
      </c>
      <c r="CA31" s="58">
        <f t="shared" si="16"/>
        <v>22328</v>
      </c>
      <c r="CB31" s="58">
        <f t="shared" si="16"/>
        <v>-3352</v>
      </c>
      <c r="CC31" s="58">
        <f t="shared" si="16"/>
        <v>-2.4310000000014043E-3</v>
      </c>
      <c r="CD31" s="58">
        <f t="shared" si="16"/>
        <v>1.3552999999987492E-2</v>
      </c>
      <c r="CE31" s="58">
        <f t="shared" si="16"/>
        <v>-6.5220000000039136E-3</v>
      </c>
      <c r="CF31" s="58">
        <f t="shared" si="16"/>
        <v>-3.1568999999997516E-2</v>
      </c>
      <c r="CG31" s="58">
        <f t="shared" si="16"/>
        <v>-0.23020000000000351</v>
      </c>
      <c r="CJ31" t="s">
        <v>588</v>
      </c>
    </row>
    <row r="32" spans="1:88" outlineLevel="1">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7.1446800000000001</v>
      </c>
      <c r="AH32" s="20">
        <f t="shared" si="7"/>
        <v>2.0299772145539723E-2</v>
      </c>
      <c r="AI32" s="20">
        <f t="shared" si="8"/>
        <v>1.3198419075206351E-2</v>
      </c>
      <c r="AJ32" s="20">
        <f t="shared" si="9"/>
        <v>1.0106862550412829E-2</v>
      </c>
      <c r="AK32" s="20">
        <f t="shared" si="10"/>
        <v>7.1010121211715531E-3</v>
      </c>
      <c r="AL32" s="17">
        <f t="shared" si="11"/>
        <v>4954984</v>
      </c>
      <c r="AM32" s="20">
        <v>16</v>
      </c>
      <c r="AN32" s="21">
        <v>91714199</v>
      </c>
      <c r="AO32" s="21">
        <v>2866068.71875</v>
      </c>
      <c r="AP32" s="21">
        <v>43688.6875</v>
      </c>
      <c r="AQ32" s="22">
        <v>7620992</v>
      </c>
      <c r="AR32" s="22">
        <v>3794344</v>
      </c>
      <c r="AS32" s="22">
        <v>1160640</v>
      </c>
      <c r="AT32" s="22">
        <v>2665880</v>
      </c>
      <c r="AU32" s="23">
        <v>76.466821999999993</v>
      </c>
      <c r="AV32" s="23">
        <v>79.130025000000003</v>
      </c>
      <c r="AW32" s="23">
        <v>36.957465999999997</v>
      </c>
      <c r="AX32" s="23">
        <v>43.136938000000001</v>
      </c>
      <c r="AY32" s="23">
        <v>45.963444000000003</v>
      </c>
      <c r="AZ32" s="24">
        <v>4534.2299999999996</v>
      </c>
      <c r="BA32" s="24">
        <v>24104.5</v>
      </c>
      <c r="BB32" s="24">
        <v>279.82</v>
      </c>
      <c r="BC32" s="24">
        <v>104.82299999999999</v>
      </c>
      <c r="BE32" s="49">
        <f t="shared" si="12"/>
        <v>1.0045249382483785</v>
      </c>
      <c r="BF32" s="25">
        <f t="shared" si="13"/>
        <v>-2.828677394772737E-4</v>
      </c>
      <c r="BG32" s="25">
        <f t="shared" si="14"/>
        <v>2.0108937444650588E-3</v>
      </c>
      <c r="BH32" s="25"/>
      <c r="BJ32" s="49"/>
      <c r="BK32" s="49"/>
      <c r="BL32" s="49"/>
      <c r="BM32" s="49"/>
      <c r="BN32" s="49"/>
      <c r="BP32" s="49"/>
      <c r="BQ32" s="49"/>
      <c r="BR32" s="49"/>
      <c r="BS32" s="49"/>
      <c r="BT32" s="49"/>
      <c r="BV32" s="58">
        <f t="shared" si="16"/>
        <v>-73167</v>
      </c>
      <c r="BW32" s="58">
        <f t="shared" si="16"/>
        <v>-2286.46875</v>
      </c>
      <c r="BX32" s="58">
        <f t="shared" si="16"/>
        <v>-846.21875</v>
      </c>
      <c r="BY32" s="58">
        <f t="shared" si="16"/>
        <v>10792</v>
      </c>
      <c r="BZ32" s="58">
        <f t="shared" si="16"/>
        <v>0</v>
      </c>
      <c r="CA32" s="58">
        <f t="shared" si="16"/>
        <v>22320</v>
      </c>
      <c r="CB32" s="58">
        <f t="shared" si="16"/>
        <v>-11528</v>
      </c>
      <c r="CC32" s="58">
        <f t="shared" si="16"/>
        <v>-2.5779999999997472E-3</v>
      </c>
      <c r="CD32" s="58">
        <f t="shared" si="16"/>
        <v>1.5833999999998127E-2</v>
      </c>
      <c r="CE32" s="58">
        <f t="shared" si="16"/>
        <v>5.9409999999999741E-3</v>
      </c>
      <c r="CF32" s="58">
        <f t="shared" si="16"/>
        <v>3.2178999999999292E-2</v>
      </c>
      <c r="CG32" s="58">
        <f t="shared" si="16"/>
        <v>0.22802200000000283</v>
      </c>
      <c r="CJ32" t="s">
        <v>588</v>
      </c>
    </row>
    <row r="33" spans="1:88" outlineLevel="1">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11.968995</v>
      </c>
      <c r="AH33" s="11">
        <f t="shared" si="7"/>
        <v>3.4006823442212133E-2</v>
      </c>
      <c r="AI33" s="11">
        <f t="shared" si="8"/>
        <v>1.8528477321922327E-2</v>
      </c>
      <c r="AJ33" s="11">
        <f t="shared" si="9"/>
        <v>1.5436899487806192E-2</v>
      </c>
      <c r="AK33" s="11">
        <f t="shared" si="10"/>
        <v>1.5478005171127992E-2</v>
      </c>
      <c r="AL33" s="52">
        <f t="shared" si="11"/>
        <v>6956008</v>
      </c>
      <c r="AM33" s="11">
        <v>16</v>
      </c>
      <c r="AN33" s="12">
        <v>94040413</v>
      </c>
      <c r="AO33" s="12">
        <v>2938762.90625</v>
      </c>
      <c r="AP33" s="12">
        <v>48817.625</v>
      </c>
      <c r="AQ33" s="13">
        <v>12766928</v>
      </c>
      <c r="AR33" s="13">
        <v>5795360</v>
      </c>
      <c r="AS33" s="13">
        <v>1160648</v>
      </c>
      <c r="AT33" s="13">
        <v>5810792</v>
      </c>
      <c r="AU33" s="14">
        <v>77.577741000000003</v>
      </c>
      <c r="AV33" s="14">
        <v>80.285349999999994</v>
      </c>
      <c r="AW33" s="14">
        <v>38.711658999999997</v>
      </c>
      <c r="AX33" s="14">
        <v>43.695684</v>
      </c>
      <c r="AY33" s="14">
        <v>47.358806000000001</v>
      </c>
      <c r="AZ33" s="15">
        <v>3438.57</v>
      </c>
      <c r="BA33" s="15">
        <v>16339</v>
      </c>
      <c r="BB33" s="15">
        <v>222.57900000000001</v>
      </c>
      <c r="BC33" s="15">
        <v>71.180999999999997</v>
      </c>
      <c r="BE33" s="50">
        <f t="shared" si="12"/>
        <v>1.0032202236042045</v>
      </c>
      <c r="BF33" s="16">
        <f t="shared" si="13"/>
        <v>-2.9207824738308394E-4</v>
      </c>
      <c r="BG33" s="16">
        <f t="shared" si="14"/>
        <v>1.8455259388071577E-3</v>
      </c>
      <c r="BH33" s="16"/>
      <c r="BJ33" s="50"/>
      <c r="BK33" s="50"/>
      <c r="BL33" s="50"/>
      <c r="BM33" s="50"/>
      <c r="BN33" s="50"/>
      <c r="BP33" s="50"/>
      <c r="BQ33" s="50"/>
      <c r="BR33" s="50"/>
      <c r="BS33" s="50"/>
      <c r="BT33" s="50"/>
      <c r="BV33" s="58">
        <f t="shared" si="16"/>
        <v>-74353</v>
      </c>
      <c r="BW33" s="58">
        <f t="shared" si="16"/>
        <v>-2323.53125</v>
      </c>
      <c r="BX33" s="58">
        <f t="shared" si="16"/>
        <v>-897.625</v>
      </c>
      <c r="BY33" s="58">
        <f t="shared" si="16"/>
        <v>-2272</v>
      </c>
      <c r="BZ33" s="58">
        <f t="shared" si="16"/>
        <v>0</v>
      </c>
      <c r="CA33" s="58">
        <f t="shared" si="16"/>
        <v>22328</v>
      </c>
      <c r="CB33" s="58">
        <f t="shared" si="16"/>
        <v>-24600</v>
      </c>
      <c r="CC33" s="58">
        <f t="shared" si="16"/>
        <v>1.1387999999996623E-2</v>
      </c>
      <c r="CD33" s="58">
        <f t="shared" si="16"/>
        <v>1.8746999999990521E-2</v>
      </c>
      <c r="CE33" s="58">
        <f t="shared" si="16"/>
        <v>-5.3690000000017335E-3</v>
      </c>
      <c r="CF33" s="58">
        <f t="shared" si="16"/>
        <v>1.3930000000001996E-3</v>
      </c>
      <c r="CG33" s="58">
        <f t="shared" si="16"/>
        <v>1.0334000000000287E-2</v>
      </c>
      <c r="CJ33" t="s">
        <v>588</v>
      </c>
    </row>
    <row r="34" spans="1:88" ht="16" outlineLevel="1" thickBot="1">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24.6046725</v>
      </c>
      <c r="AH34" s="39">
        <f t="shared" si="7"/>
        <v>6.9907853880877405E-2</v>
      </c>
      <c r="AI34" s="39">
        <f t="shared" si="8"/>
        <v>3.0903141912851428E-2</v>
      </c>
      <c r="AJ34" s="39">
        <f t="shared" si="9"/>
        <v>2.459758549552615E-2</v>
      </c>
      <c r="AK34" s="39">
        <f t="shared" si="10"/>
        <v>3.9004371018864163E-2</v>
      </c>
      <c r="AL34" s="36">
        <f t="shared" si="11"/>
        <v>11601736</v>
      </c>
      <c r="AM34" s="39">
        <v>16</v>
      </c>
      <c r="AN34" s="40">
        <v>92205535</v>
      </c>
      <c r="AO34" s="40">
        <v>2881422.96875</v>
      </c>
      <c r="AP34" s="40">
        <v>21180.46875</v>
      </c>
      <c r="AQ34" s="41">
        <v>26244984</v>
      </c>
      <c r="AR34" s="41">
        <v>9234488</v>
      </c>
      <c r="AS34" s="41">
        <v>2367248</v>
      </c>
      <c r="AT34" s="41">
        <v>14643120</v>
      </c>
      <c r="AU34" s="42">
        <v>78.500297000000003</v>
      </c>
      <c r="AV34" s="42">
        <v>81.895680999999996</v>
      </c>
      <c r="AW34" s="42">
        <v>40.507772000000003</v>
      </c>
      <c r="AX34" s="42">
        <v>44.376384000000002</v>
      </c>
      <c r="AY34" s="42">
        <v>48.811852999999999</v>
      </c>
      <c r="AZ34" s="43">
        <v>3935.47</v>
      </c>
      <c r="BA34" s="43">
        <v>21032.6</v>
      </c>
      <c r="BB34" s="43">
        <v>252.07400000000001</v>
      </c>
      <c r="BC34" s="43">
        <v>86.653999999999996</v>
      </c>
      <c r="BE34" s="44">
        <f t="shared" si="12"/>
        <v>1.0000006895524529</v>
      </c>
      <c r="BF34" s="45">
        <f t="shared" si="13"/>
        <v>0</v>
      </c>
      <c r="BG34" s="45">
        <f t="shared" si="14"/>
        <v>1.7007281977177158E-7</v>
      </c>
      <c r="BH34" s="45"/>
      <c r="BJ34" s="44"/>
      <c r="BK34" s="44"/>
      <c r="BL34" s="44"/>
      <c r="BM34" s="44"/>
      <c r="BN34" s="44"/>
      <c r="BP34" s="44"/>
      <c r="BQ34" s="44"/>
      <c r="BR34" s="44"/>
      <c r="BS34" s="44"/>
      <c r="BT34" s="44"/>
      <c r="BV34" s="58">
        <f t="shared" si="16"/>
        <v>0</v>
      </c>
      <c r="BW34" s="58">
        <f t="shared" si="16"/>
        <v>0</v>
      </c>
      <c r="BX34" s="58">
        <f t="shared" si="16"/>
        <v>0</v>
      </c>
      <c r="BY34" s="58">
        <f t="shared" si="16"/>
        <v>8</v>
      </c>
      <c r="BZ34" s="58">
        <f t="shared" si="16"/>
        <v>0</v>
      </c>
      <c r="CA34" s="58">
        <f t="shared" si="16"/>
        <v>8</v>
      </c>
      <c r="CB34" s="58">
        <f t="shared" si="16"/>
        <v>0</v>
      </c>
      <c r="CC34" s="58">
        <f t="shared" si="16"/>
        <v>0</v>
      </c>
      <c r="CD34" s="58">
        <f t="shared" si="16"/>
        <v>0</v>
      </c>
      <c r="CE34" s="58">
        <f t="shared" si="16"/>
        <v>0</v>
      </c>
      <c r="CF34" s="58">
        <f t="shared" si="16"/>
        <v>0</v>
      </c>
      <c r="CG34" s="58">
        <f t="shared" si="16"/>
        <v>0</v>
      </c>
      <c r="CJ34" t="s">
        <v>588</v>
      </c>
    </row>
    <row r="35" spans="1:88">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4.6458300000000001</v>
      </c>
      <c r="AH35" s="11">
        <f t="shared" si="7"/>
        <v>1.4873020656348533E-2</v>
      </c>
      <c r="AI35" s="11">
        <f t="shared" si="8"/>
        <v>1.1157646725236071E-2</v>
      </c>
      <c r="AJ35" s="11">
        <f t="shared" si="9"/>
        <v>7.155662143968255E-3</v>
      </c>
      <c r="AK35" s="11">
        <f t="shared" si="10"/>
        <v>3.7149897667158398E-3</v>
      </c>
      <c r="AL35" s="52">
        <f t="shared" si="11"/>
        <v>3717624</v>
      </c>
      <c r="AM35" s="11">
        <v>16</v>
      </c>
      <c r="AN35" s="12">
        <v>74727220</v>
      </c>
      <c r="AO35" s="12">
        <v>2335225.625</v>
      </c>
      <c r="AP35" s="12">
        <v>30132.09375</v>
      </c>
      <c r="AQ35" s="13">
        <v>4955552</v>
      </c>
      <c r="AR35" s="13">
        <v>2384200</v>
      </c>
      <c r="AS35" s="13">
        <v>1333424</v>
      </c>
      <c r="AT35" s="13">
        <v>1237800</v>
      </c>
      <c r="AU35" s="14">
        <v>73.183969000000005</v>
      </c>
      <c r="AV35" s="14">
        <v>75.407516000000001</v>
      </c>
      <c r="AW35" s="14">
        <v>31.788378000000002</v>
      </c>
      <c r="AX35" s="14">
        <v>42.206480999999997</v>
      </c>
      <c r="AY35" s="14">
        <v>43.366340999999998</v>
      </c>
      <c r="AZ35" s="15">
        <v>4177.29</v>
      </c>
      <c r="BA35" s="15">
        <v>25433.5</v>
      </c>
      <c r="BB35" s="15">
        <v>241.23400000000001</v>
      </c>
      <c r="BC35" s="15">
        <v>111.02</v>
      </c>
      <c r="BE35" s="50">
        <f t="shared" si="12"/>
        <v>1.0066175960905279</v>
      </c>
      <c r="BF35" s="16">
        <f t="shared" si="13"/>
        <v>-2.8485316196626836E-4</v>
      </c>
      <c r="BG35" s="16">
        <f t="shared" si="14"/>
        <v>1.6534346934237165E-3</v>
      </c>
      <c r="BH35" s="16">
        <f t="array" ref="BH35">AVERAGE(AL35:AL39/AQ35:AQ39) - AVERAGE(N35:N39/S35:S39)</f>
        <v>1.1080120815061267E-3</v>
      </c>
      <c r="BJ35" s="50">
        <f>IF( OR(ISBLANK(N35:N39),ISBLANK(AL35:AL39), ISBLANK(W35:W39),ISBLANK(AU35:AU39)), "·", bdRateExtend( N35:N39,W35:W39, AL35:AL39,AU35:AU39))</f>
        <v>4.2706555841887095E-3</v>
      </c>
      <c r="BK35" s="50">
        <f>IF( OR(ISBLANK(N35:N39),ISBLANK(AL35:AL39), ISBLANK(X35:X39),ISBLANK(AV35:AV39)), "·", bdRateExtend( N35:N39,X35:X39, AL35:AL39,AV35:AV39))</f>
        <v>1.4413928948486809E-3</v>
      </c>
      <c r="BL35" s="50">
        <f>IF( OR(ISBLANK(V35:V39),ISBLANK(AT35:AT39), ISBLANK(Y35:Y39),ISBLANK(AW35:AW39)), "·", bdRateExtend( V35:V39,Y35:Y39, AT35:AT39,AW35:AW39))</f>
        <v>-2.1458459620060655E-4</v>
      </c>
      <c r="BM35" s="50">
        <f>IF( OR(ISBLANK(V35:V39),ISBLANK(AT35:AT39), ISBLANK(Z35:Z39),ISBLANK(AX35:AX39)), "·", bdRateExtend( V35:V39,Z35:Z39, AT35:AT39,AX35:AX39))</f>
        <v>5.4118433162817503E-3</v>
      </c>
      <c r="BN35" s="50">
        <f>IF( OR(ISBLANK(V35:V39),ISBLANK(AT35:AT39), ISBLANK(AA35:AA39),ISBLANK(AY35:AY39)), "·", bdRateExtend( V35:V39,AA35:AA39, AT35:AT39,AY35:AY39))</f>
        <v>-2.7499401322245376E-2</v>
      </c>
      <c r="BP35" s="50">
        <f>IF( OR(ISBLANK(S35:S39),ISBLANK(AQ35:AQ39), ISBLANK(W35:W39),ISBLANK(AU35:AU39)), "·", bdRateExtend( S35:S39,W35:W39, AQ35:AQ39,AU35:AU39))</f>
        <v>2.2160926038607975E-3</v>
      </c>
      <c r="BQ35" s="50">
        <f>IF( OR(ISBLANK(S35:S39),ISBLANK(AQ35:AQ39), ISBLANK(X35:X39),ISBLANK(AV35:AV39)), "·", bdRateExtend( S35:S39,X35:X39, AQ35:AQ39,AV35:AV39))</f>
        <v>-1.7409121145286477E-3</v>
      </c>
      <c r="BR35" s="50">
        <f>IF( OR(ISBLANK(S35:S39),ISBLANK(AQ35:AQ39), ISBLANK(Y35:Y39),ISBLANK(AW35:AW39)), "·", bdRateExtend( S35:S39,Y35:Y39, AQ35:AQ39,AW35:AW39))</f>
        <v>2.851633184211444E-3</v>
      </c>
      <c r="BS35" s="50">
        <f>IF( OR(ISBLANK(S35:S39),ISBLANK(AQ35:AQ39), ISBLANK(Z35:Z39),ISBLANK(AX35:AX39)), "·", bdRateExtend( S35:S39,Z35:Z39, AQ35:AQ39,AX35:AX39))</f>
        <v>5.9981459391791336E-3</v>
      </c>
      <c r="BT35" s="50">
        <f>IF( OR(ISBLANK(S35:S39),ISBLANK(AQ35:AQ39), ISBLANK(AA35:AA39),ISBLANK(AY35:AY39)), "·", bdRateExtend( S35:S39,AA35:AA39, AQ35:AQ39,AY35:AY39))</f>
        <v>-1.4490113006332628E-2</v>
      </c>
      <c r="BV35" s="58">
        <f t="shared" si="16"/>
        <v>-66705</v>
      </c>
      <c r="BW35" s="58">
        <f t="shared" si="16"/>
        <v>-2084.53125</v>
      </c>
      <c r="BX35" s="58">
        <f t="shared" si="16"/>
        <v>-692.6875</v>
      </c>
      <c r="BY35" s="58">
        <f t="shared" si="16"/>
        <v>21704</v>
      </c>
      <c r="BZ35" s="58">
        <f t="shared" si="16"/>
        <v>0</v>
      </c>
      <c r="CA35" s="58">
        <f t="shared" si="16"/>
        <v>24440</v>
      </c>
      <c r="CB35" s="58">
        <f t="shared" si="16"/>
        <v>-2736</v>
      </c>
      <c r="CC35" s="58">
        <f t="shared" si="16"/>
        <v>-2.0969999999920219E-3</v>
      </c>
      <c r="CD35" s="58">
        <f t="shared" si="16"/>
        <v>1.2425000000007458E-2</v>
      </c>
      <c r="CE35" s="58">
        <f t="shared" si="16"/>
        <v>8.4310000000016316E-3</v>
      </c>
      <c r="CF35" s="58">
        <f t="shared" si="16"/>
        <v>3.6630999999999858E-2</v>
      </c>
      <c r="CG35" s="58">
        <f t="shared" si="16"/>
        <v>6.0628999999998712E-2</v>
      </c>
      <c r="CJ35" t="s">
        <v>589</v>
      </c>
    </row>
    <row r="36" spans="1:88" outlineLevel="1">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6.233625</v>
      </c>
      <c r="AH36" s="20">
        <f t="shared" si="7"/>
        <v>1.9956139890811894E-2</v>
      </c>
      <c r="AI36" s="20">
        <f t="shared" si="8"/>
        <v>1.373771882322918E-2</v>
      </c>
      <c r="AJ36" s="20">
        <f t="shared" si="9"/>
        <v>9.7357342419613652E-3</v>
      </c>
      <c r="AK36" s="20">
        <f t="shared" si="10"/>
        <v>6.2180369031860907E-3</v>
      </c>
      <c r="AL36" s="17">
        <f t="shared" si="11"/>
        <v>4577280</v>
      </c>
      <c r="AM36" s="20">
        <v>16</v>
      </c>
      <c r="AN36" s="21">
        <v>79906006</v>
      </c>
      <c r="AO36" s="21">
        <v>2497062.6875</v>
      </c>
      <c r="AP36" s="21">
        <v>38268.03125</v>
      </c>
      <c r="AQ36" s="22">
        <v>6649200</v>
      </c>
      <c r="AR36" s="22">
        <v>3243856</v>
      </c>
      <c r="AS36" s="22">
        <v>1333424</v>
      </c>
      <c r="AT36" s="22">
        <v>2071792</v>
      </c>
      <c r="AU36" s="23">
        <v>74.936268999999996</v>
      </c>
      <c r="AV36" s="23">
        <v>77.369788</v>
      </c>
      <c r="AW36" s="23">
        <v>34.0291</v>
      </c>
      <c r="AX36" s="23">
        <v>42.938783999999998</v>
      </c>
      <c r="AY36" s="23">
        <v>44.965730999999998</v>
      </c>
      <c r="AZ36" s="24">
        <v>3660.76</v>
      </c>
      <c r="BA36" s="24">
        <v>20237</v>
      </c>
      <c r="BB36" s="24">
        <v>269.94799999999998</v>
      </c>
      <c r="BC36" s="24">
        <v>96.159000000000006</v>
      </c>
      <c r="BE36" s="49">
        <f t="shared" si="12"/>
        <v>1.0053680779469518</v>
      </c>
      <c r="BF36" s="25">
        <f t="shared" si="13"/>
        <v>-3.2153041874891965E-4</v>
      </c>
      <c r="BG36" s="25">
        <f t="shared" si="14"/>
        <v>1.1528875595698818E-3</v>
      </c>
      <c r="BH36" s="25"/>
      <c r="BJ36" s="49"/>
      <c r="BK36" s="49"/>
      <c r="BL36" s="49"/>
      <c r="BM36" s="49"/>
      <c r="BN36" s="49"/>
      <c r="BP36" s="49"/>
      <c r="BQ36" s="49"/>
      <c r="BR36" s="49"/>
      <c r="BS36" s="49"/>
      <c r="BT36" s="49"/>
      <c r="BV36" s="58">
        <f t="shared" si="16"/>
        <v>-70736</v>
      </c>
      <c r="BW36" s="58">
        <f t="shared" si="16"/>
        <v>-2210.5</v>
      </c>
      <c r="BX36" s="58">
        <f t="shared" si="16"/>
        <v>-837.46875</v>
      </c>
      <c r="BY36" s="58">
        <f t="shared" si="16"/>
        <v>24408</v>
      </c>
      <c r="BZ36" s="58">
        <f t="shared" si="16"/>
        <v>0</v>
      </c>
      <c r="CA36" s="58">
        <f t="shared" si="16"/>
        <v>24440</v>
      </c>
      <c r="CB36" s="58">
        <f t="shared" si="16"/>
        <v>-32</v>
      </c>
      <c r="CC36" s="58">
        <f t="shared" si="16"/>
        <v>-2.2310000000089758E-3</v>
      </c>
      <c r="CD36" s="58">
        <f t="shared" si="16"/>
        <v>1.390100000000416E-2</v>
      </c>
      <c r="CE36" s="58">
        <f t="shared" si="16"/>
        <v>-5.49999999999784E-3</v>
      </c>
      <c r="CF36" s="58">
        <f t="shared" si="16"/>
        <v>-3.3549999999998192E-2</v>
      </c>
      <c r="CG36" s="58">
        <f t="shared" si="16"/>
        <v>0.1453780000000009</v>
      </c>
      <c r="CJ36" t="s">
        <v>589</v>
      </c>
    </row>
    <row r="37" spans="1:88" outlineLevel="1">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8.8861574999999995</v>
      </c>
      <c r="AH37" s="11">
        <f t="shared" si="7"/>
        <v>2.8447877785684462E-2</v>
      </c>
      <c r="AI37" s="11">
        <f t="shared" si="8"/>
        <v>1.7428602274056945E-2</v>
      </c>
      <c r="AJ37" s="11">
        <f t="shared" si="9"/>
        <v>1.3426617692789128E-2</v>
      </c>
      <c r="AK37" s="11">
        <f t="shared" si="10"/>
        <v>1.1018891347230894E-2</v>
      </c>
      <c r="AL37" s="52">
        <f t="shared" si="11"/>
        <v>5807048</v>
      </c>
      <c r="AM37" s="11">
        <v>16</v>
      </c>
      <c r="AN37" s="12">
        <v>81717968</v>
      </c>
      <c r="AO37" s="12">
        <v>2553686.5</v>
      </c>
      <c r="AP37" s="12">
        <v>42041.15625</v>
      </c>
      <c r="AQ37" s="13">
        <v>9478568</v>
      </c>
      <c r="AR37" s="13">
        <v>4473624</v>
      </c>
      <c r="AS37" s="13">
        <v>1333424</v>
      </c>
      <c r="AT37" s="13">
        <v>3671392</v>
      </c>
      <c r="AU37" s="14">
        <v>76.243730999999997</v>
      </c>
      <c r="AV37" s="14">
        <v>78.953772000000001</v>
      </c>
      <c r="AW37" s="14">
        <v>36.126131000000001</v>
      </c>
      <c r="AX37" s="14">
        <v>43.530734000000002</v>
      </c>
      <c r="AY37" s="14">
        <v>46.099834000000001</v>
      </c>
      <c r="AZ37" s="15">
        <v>4157.87</v>
      </c>
      <c r="BA37" s="15">
        <v>23599.599999999999</v>
      </c>
      <c r="BB37" s="15">
        <v>240.85900000000001</v>
      </c>
      <c r="BC37" s="15">
        <v>87.77</v>
      </c>
      <c r="BE37" s="50">
        <f t="shared" si="12"/>
        <v>1.0042264666738607</v>
      </c>
      <c r="BF37" s="16">
        <f t="shared" si="13"/>
        <v>-3.2664672122519403E-4</v>
      </c>
      <c r="BG37" s="16">
        <f t="shared" si="14"/>
        <v>1.6693158183723744E-3</v>
      </c>
      <c r="BH37" s="16"/>
      <c r="BJ37" s="50"/>
      <c r="BK37" s="50"/>
      <c r="BL37" s="50"/>
      <c r="BM37" s="50"/>
      <c r="BN37" s="50"/>
      <c r="BP37" s="50"/>
      <c r="BQ37" s="50"/>
      <c r="BR37" s="50"/>
      <c r="BS37" s="50"/>
      <c r="BT37" s="50"/>
      <c r="BV37" s="58">
        <f t="shared" si="16"/>
        <v>-69513</v>
      </c>
      <c r="BW37" s="58">
        <f t="shared" si="16"/>
        <v>-2172.28125</v>
      </c>
      <c r="BX37" s="58">
        <f t="shared" si="16"/>
        <v>-870.625</v>
      </c>
      <c r="BY37" s="58">
        <f t="shared" si="16"/>
        <v>14104</v>
      </c>
      <c r="BZ37" s="58">
        <f t="shared" si="16"/>
        <v>0</v>
      </c>
      <c r="CA37" s="58">
        <f t="shared" si="16"/>
        <v>24440</v>
      </c>
      <c r="CB37" s="58">
        <f t="shared" si="16"/>
        <v>-10336</v>
      </c>
      <c r="CC37" s="58">
        <f t="shared" si="16"/>
        <v>-2.338000000008833E-3</v>
      </c>
      <c r="CD37" s="58">
        <f t="shared" si="16"/>
        <v>1.6137999999997987E-2</v>
      </c>
      <c r="CE37" s="58">
        <f t="shared" si="16"/>
        <v>-1.3569999999987203E-3</v>
      </c>
      <c r="CF37" s="58">
        <f t="shared" si="16"/>
        <v>-5.6129999999967595E-3</v>
      </c>
      <c r="CG37" s="58">
        <f t="shared" si="16"/>
        <v>-9.3940000000003465E-3</v>
      </c>
      <c r="CJ37" t="s">
        <v>589</v>
      </c>
    </row>
    <row r="38" spans="1:88" outlineLevel="1">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14.3929425</v>
      </c>
      <c r="AH38" s="20">
        <f t="shared" si="7"/>
        <v>4.6077133926152418E-2</v>
      </c>
      <c r="AI38" s="20">
        <f t="shared" si="8"/>
        <v>2.3697829083093015E-2</v>
      </c>
      <c r="AJ38" s="20">
        <f t="shared" si="9"/>
        <v>1.9695868512099989E-2</v>
      </c>
      <c r="AK38" s="20">
        <f t="shared" si="10"/>
        <v>2.2378920678662782E-2</v>
      </c>
      <c r="AL38" s="17">
        <f t="shared" si="11"/>
        <v>7895896</v>
      </c>
      <c r="AM38" s="20">
        <v>16</v>
      </c>
      <c r="AN38" s="21">
        <v>83788756</v>
      </c>
      <c r="AO38" s="21">
        <v>2618398.625</v>
      </c>
      <c r="AP38" s="21">
        <v>47174.875</v>
      </c>
      <c r="AQ38" s="22">
        <v>15352472</v>
      </c>
      <c r="AR38" s="22">
        <v>6562480</v>
      </c>
      <c r="AS38" s="22">
        <v>1333416</v>
      </c>
      <c r="AT38" s="22">
        <v>7456448</v>
      </c>
      <c r="AU38" s="23">
        <v>77.420840999999996</v>
      </c>
      <c r="AV38" s="23">
        <v>80.150356000000002</v>
      </c>
      <c r="AW38" s="23">
        <v>38.078080999999997</v>
      </c>
      <c r="AX38" s="23">
        <v>44.199334</v>
      </c>
      <c r="AY38" s="23">
        <v>47.280571999999999</v>
      </c>
      <c r="AZ38" s="24">
        <v>3492.19</v>
      </c>
      <c r="BA38" s="24">
        <v>21688.1</v>
      </c>
      <c r="BB38" s="24">
        <v>230.148</v>
      </c>
      <c r="BC38" s="24">
        <v>102.614</v>
      </c>
      <c r="BE38" s="49">
        <f t="shared" si="12"/>
        <v>1.0031038698773189</v>
      </c>
      <c r="BF38" s="25">
        <f t="shared" si="13"/>
        <v>-3.3924881232236248E-4</v>
      </c>
      <c r="BG38" s="25">
        <f t="shared" si="14"/>
        <v>1.0642700485813394E-3</v>
      </c>
      <c r="BH38" s="25"/>
      <c r="BJ38" s="49"/>
      <c r="BK38" s="49"/>
      <c r="BL38" s="49"/>
      <c r="BM38" s="49"/>
      <c r="BN38" s="49"/>
      <c r="BP38" s="49"/>
      <c r="BQ38" s="49"/>
      <c r="BR38" s="49"/>
      <c r="BS38" s="49"/>
      <c r="BT38" s="49"/>
      <c r="BV38" s="58">
        <f t="shared" si="16"/>
        <v>-70591</v>
      </c>
      <c r="BW38" s="58">
        <f t="shared" si="16"/>
        <v>-2205.96875</v>
      </c>
      <c r="BX38" s="58">
        <f t="shared" si="16"/>
        <v>-928.78125</v>
      </c>
      <c r="BY38" s="58">
        <f t="shared" si="16"/>
        <v>15768</v>
      </c>
      <c r="BZ38" s="58">
        <f t="shared" si="16"/>
        <v>0</v>
      </c>
      <c r="CA38" s="58">
        <f t="shared" si="16"/>
        <v>24432</v>
      </c>
      <c r="CB38" s="58">
        <f t="shared" si="16"/>
        <v>-8664</v>
      </c>
      <c r="CC38" s="58">
        <f t="shared" si="16"/>
        <v>5.1319999999890342E-3</v>
      </c>
      <c r="CD38" s="58">
        <f t="shared" si="16"/>
        <v>1.8956000000002859E-2</v>
      </c>
      <c r="CE38" s="58">
        <f t="shared" si="16"/>
        <v>-5.5130000000005452E-3</v>
      </c>
      <c r="CF38" s="58">
        <f t="shared" si="16"/>
        <v>1.5280000000004179E-3</v>
      </c>
      <c r="CG38" s="58">
        <f t="shared" si="16"/>
        <v>4.0016000000001384E-2</v>
      </c>
      <c r="CJ38" t="s">
        <v>589</v>
      </c>
    </row>
    <row r="39" spans="1:88" ht="16" outlineLevel="1" thickBot="1">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28.6119825</v>
      </c>
      <c r="AH39" s="29">
        <f t="shared" si="7"/>
        <v>9.159754161077413E-2</v>
      </c>
      <c r="AI39" s="29">
        <f t="shared" si="8"/>
        <v>3.8382441113172884E-2</v>
      </c>
      <c r="AJ39" s="29">
        <f t="shared" si="9"/>
        <v>3.036807550165365E-2</v>
      </c>
      <c r="AK39" s="29">
        <f t="shared" si="10"/>
        <v>5.3214716333204619E-2</v>
      </c>
      <c r="AL39" s="26">
        <f t="shared" si="11"/>
        <v>12788672</v>
      </c>
      <c r="AM39" s="29">
        <v>16</v>
      </c>
      <c r="AN39" s="30">
        <v>82067544</v>
      </c>
      <c r="AO39" s="30">
        <v>2564610.75</v>
      </c>
      <c r="AP39" s="30">
        <v>19264.46875</v>
      </c>
      <c r="AQ39" s="31">
        <v>30519448</v>
      </c>
      <c r="AR39" s="31">
        <v>10118360</v>
      </c>
      <c r="AS39" s="31">
        <v>2670312</v>
      </c>
      <c r="AT39" s="31">
        <v>17730648</v>
      </c>
      <c r="AU39" s="32">
        <v>78.311515999999997</v>
      </c>
      <c r="AV39" s="32">
        <v>81.848194000000007</v>
      </c>
      <c r="AW39" s="32">
        <v>40.159621999999999</v>
      </c>
      <c r="AX39" s="32">
        <v>45.117593999999997</v>
      </c>
      <c r="AY39" s="32">
        <v>48.624606</v>
      </c>
      <c r="AZ39" s="33">
        <v>3458.04</v>
      </c>
      <c r="BA39" s="33">
        <v>22966.1</v>
      </c>
      <c r="BB39" s="33">
        <v>218.923</v>
      </c>
      <c r="BC39" s="33">
        <v>87.536000000000001</v>
      </c>
      <c r="BE39" s="34">
        <f t="shared" si="12"/>
        <v>1.0000006255540064</v>
      </c>
      <c r="BF39" s="35">
        <f t="shared" si="13"/>
        <v>0</v>
      </c>
      <c r="BG39" s="35">
        <f t="shared" si="14"/>
        <v>1.5228758348806437E-7</v>
      </c>
      <c r="BH39" s="35"/>
      <c r="BJ39" s="34"/>
      <c r="BK39" s="34"/>
      <c r="BL39" s="34"/>
      <c r="BM39" s="34"/>
      <c r="BN39" s="34"/>
      <c r="BP39" s="34"/>
      <c r="BQ39" s="34"/>
      <c r="BR39" s="34"/>
      <c r="BS39" s="34"/>
      <c r="BT39" s="34"/>
      <c r="BV39" s="58">
        <f t="shared" si="16"/>
        <v>0</v>
      </c>
      <c r="BW39" s="58">
        <f t="shared" si="16"/>
        <v>0</v>
      </c>
      <c r="BX39" s="58">
        <f t="shared" si="16"/>
        <v>0</v>
      </c>
      <c r="BY39" s="58">
        <f t="shared" si="16"/>
        <v>8</v>
      </c>
      <c r="BZ39" s="58">
        <f t="shared" si="16"/>
        <v>0</v>
      </c>
      <c r="CA39" s="58">
        <f t="shared" si="16"/>
        <v>8</v>
      </c>
      <c r="CB39" s="58">
        <f t="shared" si="16"/>
        <v>0</v>
      </c>
      <c r="CC39" s="58">
        <f t="shared" si="16"/>
        <v>0</v>
      </c>
      <c r="CD39" s="58">
        <f t="shared" si="16"/>
        <v>0</v>
      </c>
      <c r="CE39" s="58">
        <f t="shared" si="16"/>
        <v>0</v>
      </c>
      <c r="CF39" s="58">
        <f t="shared" si="16"/>
        <v>0</v>
      </c>
      <c r="CG39" s="58">
        <f t="shared" si="16"/>
        <v>0</v>
      </c>
      <c r="CJ39" t="s">
        <v>589</v>
      </c>
    </row>
    <row r="40" spans="1:88" ht="16">
      <c r="B40" s="46" t="s">
        <v>16</v>
      </c>
      <c r="J40" s="47">
        <f>AVERAGE(J5:J24)</f>
        <v>1.7595682520211983E-2</v>
      </c>
      <c r="K40" s="47">
        <f>AVERAGE(K5:K24)</f>
        <v>9.5036076704731846E-3</v>
      </c>
      <c r="L40" s="47">
        <f>AVERAGE(L5:L24)</f>
        <v>6.9392508414890929E-3</v>
      </c>
      <c r="M40" s="47">
        <f>AVERAGE(M5:M24)</f>
        <v>8.0915668819320323E-3</v>
      </c>
      <c r="AH40" s="47">
        <f>AVERAGE(AH5:AH24)</f>
        <v>1.7619789629696805E-2</v>
      </c>
      <c r="AI40" s="47">
        <f>AVERAGE(AI5:AI24)</f>
        <v>9.5506483109847294E-3</v>
      </c>
      <c r="AJ40" s="47">
        <f>AVERAGE(AJ5:AJ24)</f>
        <v>6.9392508414890929E-3</v>
      </c>
      <c r="AK40" s="47">
        <f>AVERAGE(AK5:AK24)</f>
        <v>8.0686333509053104E-3</v>
      </c>
      <c r="BE40" s="51">
        <f t="shared" si="12"/>
        <v>1.0049497666720497</v>
      </c>
      <c r="BH40" s="55">
        <f>AVERAGE(BH5:BH24)</f>
        <v>2.3371717910277701E-3</v>
      </c>
      <c r="BJ40" s="51">
        <f>AVERAGE(BJ5:BJ24)</f>
        <v>7.0024374430657232E-3</v>
      </c>
      <c r="BK40" s="51">
        <f>AVERAGE(BK5:BK24)</f>
        <v>1.1882892483142116E-4</v>
      </c>
      <c r="BL40" s="51">
        <f>AVERAGE(BL5:BL24)</f>
        <v>-5.092820744698745E-3</v>
      </c>
      <c r="BM40" s="51">
        <f>AVERAGE(BM5:BM24)</f>
        <v>-2.7693388249454831E-3</v>
      </c>
      <c r="BN40" s="51">
        <f>AVERAGE(BN5:BN24)</f>
        <v>-1.009163147405015E-2</v>
      </c>
      <c r="BP40" s="51">
        <f>AVERAGE(BP5:BP24)</f>
        <v>2.4423267582828756E-3</v>
      </c>
      <c r="BQ40" s="51">
        <f>AVERAGE(BQ5:BQ24)</f>
        <v>-7.882195492419114E-3</v>
      </c>
      <c r="BR40" s="51">
        <f>AVERAGE(BR5:BR24)</f>
        <v>2.7228432818111603E-3</v>
      </c>
      <c r="BS40" s="51">
        <f>AVERAGE(BS5:BS24)</f>
        <v>2.3130776323419255E-3</v>
      </c>
      <c r="BT40" s="51">
        <f>AVERAGE(BT5:BT24)</f>
        <v>-9.0880796074674364E-4</v>
      </c>
    </row>
    <row r="41" spans="1:88" ht="16">
      <c r="B41" s="46" t="s">
        <v>17</v>
      </c>
      <c r="J41" s="47">
        <f>AVERAGE(J25:J29)</f>
        <v>3.8119581829382146E-2</v>
      </c>
      <c r="K41" s="47">
        <f>AVERAGE(K25:K29)</f>
        <v>1.135837930363191E-2</v>
      </c>
      <c r="L41" s="47">
        <f>AVERAGE(L25:L29)</f>
        <v>8.7672756735900897E-3</v>
      </c>
      <c r="M41" s="47">
        <f>AVERAGE(M25:M29)</f>
        <v>2.6760691128344116E-2</v>
      </c>
      <c r="AH41" s="47">
        <f>AVERAGE(AH25:AH29)</f>
        <v>3.8136899024046794E-2</v>
      </c>
      <c r="AI41" s="47">
        <f>AVERAGE(AI25:AI29)</f>
        <v>1.1410746398018316E-2</v>
      </c>
      <c r="AJ41" s="47">
        <f>AVERAGE(AJ25:AJ29)</f>
        <v>8.7672756735900897E-3</v>
      </c>
      <c r="AK41" s="47">
        <f>AVERAGE(AK25:AK29)</f>
        <v>2.6725641228622359E-2</v>
      </c>
      <c r="BE41" s="51">
        <f t="shared" si="12"/>
        <v>1.0046104371923608</v>
      </c>
      <c r="BH41" s="55">
        <f>AVERAGE(BH25:BH29)</f>
        <v>2.0650770394483042E-3</v>
      </c>
      <c r="BJ41" s="51">
        <f>AVERAGE(BJ25:BJ29)</f>
        <v>7.1033183710620396E-3</v>
      </c>
      <c r="BK41" s="51">
        <f>AVERAGE(BK25:BK29)</f>
        <v>3.7662138300254E-4</v>
      </c>
      <c r="BL41" s="51">
        <f>AVERAGE(BL25:BL29)</f>
        <v>-2.0178452010055636E-4</v>
      </c>
      <c r="BM41" s="51">
        <f>AVERAGE(BM25:BM29)</f>
        <v>-3.5631267063455097E-3</v>
      </c>
      <c r="BN41" s="51">
        <f>AVERAGE(BN25:BN29)</f>
        <v>1.0004216010237599E-3</v>
      </c>
      <c r="BP41" s="51">
        <f>AVERAGE(BP25:BP29)</f>
        <v>1.6738337642159262E-3</v>
      </c>
      <c r="BQ41" s="51">
        <f>AVERAGE(BQ25:BQ29)</f>
        <v>-1.0074461955445035E-2</v>
      </c>
      <c r="BR41" s="51">
        <f>AVERAGE(BR25:BR29)</f>
        <v>3.0206859041528311E-3</v>
      </c>
      <c r="BS41" s="51">
        <f>AVERAGE(BS25:BS29)</f>
        <v>1.9921544172984973E-4</v>
      </c>
      <c r="BT41" s="51">
        <f>AVERAGE(BT25:BT29)</f>
        <v>3.8944295174316856E-3</v>
      </c>
    </row>
    <row r="42" spans="1:88" ht="16">
      <c r="B42" s="46" t="s">
        <v>18</v>
      </c>
      <c r="J42" s="47">
        <f>AVERAGE(J30:J39)</f>
        <v>3.4941725932794265E-2</v>
      </c>
      <c r="K42" s="47">
        <f>AVERAGE(K30:K39)</f>
        <v>1.8517733443772399E-2</v>
      </c>
      <c r="L42" s="47">
        <f>AVERAGE(L30:L39)</f>
        <v>1.4301451090252094E-2</v>
      </c>
      <c r="M42" s="47">
        <f>AVERAGE(M30:M39)</f>
        <v>1.6423629932242643E-2</v>
      </c>
      <c r="AH42" s="47">
        <f>AVERAGE(AH30:AH39)</f>
        <v>3.4976468644412187E-2</v>
      </c>
      <c r="AI42" s="47">
        <f>AVERAGE(AI30:AI39)</f>
        <v>1.857086372733038E-2</v>
      </c>
      <c r="AJ42" s="47">
        <f>AVERAGE(AJ30:AJ39)</f>
        <v>1.4301451090252094E-2</v>
      </c>
      <c r="AK42" s="47">
        <f>AVERAGE(AK30:AK39)</f>
        <v>1.6405242360302587E-2</v>
      </c>
      <c r="BE42" s="51">
        <f t="shared" si="12"/>
        <v>1.0028691569472747</v>
      </c>
      <c r="BH42" s="55">
        <f>AVERAGE(BH30:BH39)</f>
        <v>1.3177538435588665E-3</v>
      </c>
      <c r="BJ42" s="51">
        <f>AVERAGE(BJ30:BJ39)</f>
        <v>4.0827571086228254E-3</v>
      </c>
      <c r="BK42" s="51">
        <f>AVERAGE(BK30:BK39)</f>
        <v>1.4546982586994828E-3</v>
      </c>
      <c r="BL42" s="51">
        <f>AVERAGE(BL30:BL39)</f>
        <v>-1.4554377296610577E-3</v>
      </c>
      <c r="BM42" s="51">
        <f>AVERAGE(BM30:BM39)</f>
        <v>2.1044653624128218E-3</v>
      </c>
      <c r="BN42" s="51">
        <f>AVERAGE(BN30:BN39)</f>
        <v>-1.8162014376566171E-2</v>
      </c>
      <c r="BP42" s="51">
        <f>AVERAGE(BP30:BP39)</f>
        <v>1.5736998275857061E-3</v>
      </c>
      <c r="BQ42" s="51">
        <f>AVERAGE(BQ30:BQ39)</f>
        <v>-2.0846200627623324E-3</v>
      </c>
      <c r="BR42" s="51">
        <f>AVERAGE(BR30:BR39)</f>
        <v>2.5856811248635703E-3</v>
      </c>
      <c r="BS42" s="51">
        <f>AVERAGE(BS30:BS39)</f>
        <v>4.1197852618971575E-3</v>
      </c>
      <c r="BT42" s="51">
        <f>AVERAGE(BT30:BT39)</f>
        <v>-8.9644896828944831E-3</v>
      </c>
    </row>
    <row r="43" spans="1:88" ht="16">
      <c r="B43" s="46" t="s">
        <v>19</v>
      </c>
      <c r="J43" s="47">
        <f>AVERAGE(J5:J39)</f>
        <v>2.5483680539402653E-2</v>
      </c>
      <c r="K43" s="47">
        <f>AVERAGE(K5:K39)</f>
        <v>1.2344039553295636E-2</v>
      </c>
      <c r="L43" s="47">
        <f>AVERAGE(L5:L39)</f>
        <v>9.303883031435806E-3</v>
      </c>
      <c r="M43" s="47">
        <f>AVERAGE(M5:M39)</f>
        <v>1.3139174074365361E-2</v>
      </c>
      <c r="AH43" s="47">
        <f>AVERAGE(AH5:AH39)</f>
        <v>2.5509856404522628E-2</v>
      </c>
      <c r="AI43" s="47">
        <f>AVERAGE(AI5:AI39)</f>
        <v>1.2393581013802569E-2</v>
      </c>
      <c r="AJ43" s="47">
        <f>AVERAGE(AJ5:AJ39)</f>
        <v>9.303883031435806E-3</v>
      </c>
      <c r="AK43" s="47">
        <f>AVERAGE(AK5:AK39)</f>
        <v>1.3115808478978395E-2</v>
      </c>
      <c r="BE43" s="51">
        <f t="shared" si="12"/>
        <v>1.0040133912641025</v>
      </c>
      <c r="BH43" s="55">
        <f>AVERAGE(BH5:BH39)</f>
        <v>2.0070388415253026E-3</v>
      </c>
      <c r="BJ43" s="51">
        <f>AVERAGE(BJ5:BJ39)</f>
        <v>6.1826546229386548E-3</v>
      </c>
      <c r="BK43" s="51">
        <f>AVERAGE(BK5:BK39)</f>
        <v>5.3733337138959863E-4</v>
      </c>
      <c r="BL43" s="51">
        <f>AVERAGE(BL5:BL39)</f>
        <v>-3.3548489940310932E-3</v>
      </c>
      <c r="BM43" s="51">
        <f>AVERAGE(BM5:BM39)</f>
        <v>-1.4902216116145426E-3</v>
      </c>
      <c r="BN43" s="51">
        <f>AVERAGE(BN5:BN39)</f>
        <v>-1.0812876149758455E-2</v>
      </c>
      <c r="BP43" s="51">
        <f>AVERAGE(BP5:BP39)</f>
        <v>2.0843629217884058E-3</v>
      </c>
      <c r="BQ43" s="51">
        <f>AVERAGE(BQ5:BQ39)</f>
        <v>-6.5389262929494507E-3</v>
      </c>
      <c r="BR43" s="51">
        <f>AVERAGE(BR5:BR39)</f>
        <v>2.726203040160659E-3</v>
      </c>
      <c r="BS43" s="51">
        <f>AVERAGE(BS5:BS39)</f>
        <v>2.5272994992702668E-3</v>
      </c>
      <c r="BT43" s="51">
        <f>AVERAGE(BT5:BT39)</f>
        <v>-2.5242545273348937E-3</v>
      </c>
    </row>
    <row r="44" spans="1:88" ht="16" hidden="1" outlineLevel="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135726.68999999997</v>
      </c>
      <c r="BA44" s="48">
        <f>SUM(BA5:BA24,BA25:BA29,BA30:BA39)</f>
        <v>314739.04999999993</v>
      </c>
      <c r="BB44" s="48">
        <f>SUM(BB5:BB24,BB25:BB29,BB30:BB39)</f>
        <v>4266.264000000001</v>
      </c>
      <c r="BC44" s="48">
        <f>SUM(BC5:BC24,BC25:BC29,BC30:BC39)</f>
        <v>1364.2530000000002</v>
      </c>
    </row>
    <row r="45" spans="1:88" ht="16" hidden="1" outlineLevel="2">
      <c r="B45" s="46" t="s">
        <v>247</v>
      </c>
      <c r="AZ45" s="55">
        <f>AZ44/AB44</f>
        <v>0.98072612643546597</v>
      </c>
      <c r="BA45" s="55">
        <f>BA44/AC44</f>
        <v>0.99073573981842344</v>
      </c>
      <c r="BB45" s="55">
        <f>BB44/AD44</f>
        <v>0.99725083420503635</v>
      </c>
      <c r="BC45" s="55">
        <f>BC44/AE44</f>
        <v>1.0102165490767565</v>
      </c>
    </row>
    <row r="46" spans="1:88" ht="16" hidden="1" outlineLevel="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3668.5965377491625</v>
      </c>
      <c r="BA46" s="48">
        <f>GEOMEAN(BA5:BA24,BA25:BA29,BA30:BA39)</f>
        <v>6378.4793226812499</v>
      </c>
      <c r="BB46" s="48">
        <f>GEOMEAN(BB5:BB24,BB25:BB29,BB30:BB39)</f>
        <v>101.59335273113318</v>
      </c>
      <c r="BC46" s="48">
        <f>GEOMEAN(BC5:BC24,BC25:BC29,BC30:BC39)</f>
        <v>27.98545545936674</v>
      </c>
    </row>
    <row r="47" spans="1:88" ht="16" outlineLevel="2" collapsed="1">
      <c r="B47" s="46" t="s">
        <v>249</v>
      </c>
      <c r="AZ47" s="55">
        <f>AZ46/AB46</f>
        <v>0.98014955133934645</v>
      </c>
      <c r="BA47" s="55">
        <f>BA46/AC46</f>
        <v>0.97665559505627886</v>
      </c>
      <c r="BB47" s="55">
        <f>BB46/AD46</f>
        <v>0.9854136331143496</v>
      </c>
      <c r="BC47" s="55">
        <f>BC46/AE46</f>
        <v>0.9785655267161073</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R19" sqref="R19"/>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572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thickBot="1">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c r="B17" s="46" t="s">
        <v>247</v>
      </c>
      <c r="AW17" s="55">
        <f>AW16/Z16</f>
        <v>1.0099767406948157</v>
      </c>
      <c r="AX17" s="55">
        <f>AX16/AA16</f>
        <v>0.9640510428170187</v>
      </c>
      <c r="AY17" s="55">
        <f>AY16/AB16</f>
        <v>0.97646954359793992</v>
      </c>
      <c r="AZ17" s="55">
        <f>AZ16/AC16</f>
        <v>0.99012260779611605</v>
      </c>
    </row>
    <row r="18" spans="2:52" ht="16" hidden="1" outlineLevel="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c r="B19" s="46" t="s">
        <v>249</v>
      </c>
      <c r="AW19" s="55">
        <f>AW18/Z18</f>
        <v>1.0105846924587463</v>
      </c>
      <c r="AX19" s="55">
        <f>AX18/AA18</f>
        <v>0.97766895226516171</v>
      </c>
      <c r="AY19" s="55">
        <f>AY18/AB18</f>
        <v>0.98987766038150427</v>
      </c>
      <c r="AZ19" s="55">
        <f>AZ18/AC18</f>
        <v>0.99154384552537467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582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c r="B17" s="46" t="s">
        <v>247</v>
      </c>
      <c r="AW17" s="55">
        <f>AW16/Z16</f>
        <v>0.72748377855898727</v>
      </c>
      <c r="AX17" s="55">
        <f>AX16/AA16</f>
        <v>0.38560467998443682</v>
      </c>
      <c r="AY17" s="55">
        <f>AY16/AB16</f>
        <v>0.39748671187683288</v>
      </c>
      <c r="AZ17" s="55">
        <f>AZ16/AC16</f>
        <v>0.42070403301181658</v>
      </c>
    </row>
    <row r="18" spans="2:52" ht="16" hidden="1" outlineLevel="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c r="B19" s="46" t="s">
        <v>249</v>
      </c>
      <c r="AW19" s="55">
        <f>AW18/Z18</f>
        <v>1.0239506512196195</v>
      </c>
      <c r="AX19" s="55">
        <f>AX18/AA18</f>
        <v>0.6918530503164505</v>
      </c>
      <c r="AY19" s="55">
        <f>AY18/AB18</f>
        <v>0.68989038328079733</v>
      </c>
      <c r="AZ19" s="55">
        <f>AZ18/AC18</f>
        <v>0.72033310332958367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2019-12-08T01:09:08Z</dcterms:modified>
</cp:coreProperties>
</file>