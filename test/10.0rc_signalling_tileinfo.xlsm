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413" codeName="{51196F13-6AD0-C1B8-E2B4-A1F9AE17003E}"/>
  <workbookPr codeName="ThisWorkbook1" defaultThemeVersion="124226"/>
  <mc:AlternateContent xmlns:mc="http://schemas.openxmlformats.org/markup-compatibility/2006">
    <mc:Choice Requires="x15">
      <x15ac:absPath xmlns:x15ac="http://schemas.microsoft.com/office/spreadsheetml/2010/11/ac" url="/Users/jkim/_RDoc/VPCCv10rc/"/>
    </mc:Choice>
  </mc:AlternateContent>
  <xr:revisionPtr revIDLastSave="0" documentId="13_ncr:1_{5EA3FC57-C3E0-E642-8FCB-6E47A55A0BA7}" xr6:coauthVersionLast="36" xr6:coauthVersionMax="45" xr10:uidLastSave="{00000000-0000-0000-0000-000000000000}"/>
  <bookViews>
    <workbookView xWindow="9760" yWindow="1800" windowWidth="47540" windowHeight="30700" activeTab="2" xr2:uid="{00000000-000D-0000-FFFF-FFFF00000000}"/>
  </bookViews>
  <sheets>
    <sheet name="Summary" sheetId="1" r:id="rId1"/>
    <sheet name="Graphs" sheetId="2" r:id="rId2"/>
    <sheet name="C2 lossyG,lossyA,intra" sheetId="3" r:id="rId3"/>
    <sheet name="names" sheetId="4" state="hidden" r:id="rId4"/>
    <sheet name="CW losslG,losslA,intra" sheetId="5" r:id="rId5"/>
    <sheet name="CW losslG,losslA,interLD" sheetId="6" r:id="rId6"/>
    <sheet name="C2 lossyG,lossyA,interRA" sheetId="7" r:id="rId7"/>
  </sheets>
  <functionGroups builtInGroupCount="19"/>
  <definedNames>
    <definedName name="all_cols" localSheetId="1">Graphs!$I$2:$I$39</definedName>
    <definedName name="filter_cols" localSheetId="1">IF(ISREF(Graphs!filter_cols_),Graphs!filter_cols_,Graphs!all_cols)</definedName>
    <definedName name="filter_cols_" localSheetId="1">INDIRECT(HLOOKUP(Graphs!$B$1,Graphs!$M$1:$ZZ$2,2,0))</definedName>
    <definedName name="graph_a_A_title" localSheetId="1">INDIRECT(VLOOKUP("name.A."&amp;Graphs!$B$1,names!$A:$B,2,0))</definedName>
    <definedName name="graph_a_B_title" localSheetId="1">INDIRECT(VLOOKUP("name.B."&amp;Graphs!$B$1,names!$A:$B,2,0))</definedName>
    <definedName name="graph_a_title" localSheetId="1">CONCATENATE(Graphs!graph_a_y_title, " (Graph a)")</definedName>
    <definedName name="graph_a_x_range_A" localSheetId="1">IF(ISREF(Graphs!graph_a_x_range_A_),Graphs!graph_a_x_range_A_,{0})</definedName>
    <definedName name="graph_a_x_range_A_" localSheetId="1">INDEX(INDIRECT(VLOOKUP("range." &amp; Graphs!$B$1 &amp;"."&amp; Graphs!$B$2, names!$A:$B,2,0)), 0, VLOOKUP("col."&amp; Graphs!$B$1 &amp;".A."&amp; Graphs!$B$4, names!$A:$B,2,0))</definedName>
    <definedName name="graph_a_x_range_B" localSheetId="1">IF(ISREF(Graphs!graph_a_x_range_B_),Graphs!graph_a_x_range_B_,{0})</definedName>
    <definedName name="graph_a_x_range_B_" localSheetId="1">INDEX(INDIRECT(VLOOKUP("range." &amp; Graphs!$B$1 &amp;"."&amp; Graphs!$B$2, names!$A:$B,2,0)), 0, VLOOKUP("col."&amp; Graphs!$B$1 &amp;".B."&amp; Graphs!$B$4, names!$A:$B,2,0))</definedName>
    <definedName name="graph_a_x_title" localSheetId="1">OFFSET(Graphs!all_cols, MATCH(Graphs!$B$4, Graphs!all_cols, 0)-1,1,1,1)</definedName>
    <definedName name="graph_a_y_range_A" localSheetId="1">IF(ISREF(Graphs!graph_a_y_range_A_),Graphs!graph_a_y_range_A_,{0})</definedName>
    <definedName name="graph_a_y_range_A_" localSheetId="1">INDEX(INDIRECT(VLOOKUP("range." &amp; Graphs!$B$1 &amp;"."&amp; Graphs!$B$2, names!$A:$B,2,0)), 0, VLOOKUP("col."&amp; Graphs!$B$1 &amp;".A."&amp; Graphs!$D$4, names!$A:$B,2,0))</definedName>
    <definedName name="graph_a_y_range_B" localSheetId="1">IF(ISREF(Graphs!graph_a_y_range_B_),Graphs!graph_a_y_range_B_,{0})</definedName>
    <definedName name="graph_a_y_range_B_" localSheetId="1">INDEX(INDIRECT(VLOOKUP("range." &amp; Graphs!$B$1 &amp;"."&amp; Graphs!$B$2, names!$A:$B,2,0)), 0, VLOOKUP("col."&amp; Graphs!$B$1 &amp;".B."&amp; Graphs!$D$4, names!$A:$B,2,0))</definedName>
    <definedName name="graph_a_y_title" localSheetId="1">OFFSET(Graphs!all_cols, MATCH(Graphs!$D$4, Graphs!all_cols, 0)-1,1,1,1)</definedName>
    <definedName name="graph_b_A_title" localSheetId="1">INDIRECT(VLOOKUP("name.A."&amp;Graphs!$B$1,names!$A:$B,2,0))</definedName>
    <definedName name="graph_b_B_title" localSheetId="1">INDIRECT(VLOOKUP("name.B."&amp;Graphs!$B$1,names!$A:$B,2,0))</definedName>
    <definedName name="graph_b_title" localSheetId="1">CONCATENATE(Graphs!graph_b_y_title, " (Graph b)")</definedName>
    <definedName name="graph_b_x_range_A" localSheetId="1">IF(ISREF(Graphs!graph_b_x_range_A_),Graphs!graph_b_x_range_A_,{0})</definedName>
    <definedName name="graph_b_x_range_A_" localSheetId="1">INDEX(INDIRECT(VLOOKUP("range." &amp; Graphs!$B$1 &amp;"."&amp; Graphs!$B$2, names!$A:$B,2,0)), 0, VLOOKUP("col."&amp; Graphs!$B$1 &amp;".A."&amp; Graphs!$B$5, names!$A:$B,2,0))</definedName>
    <definedName name="graph_b_x_range_B" localSheetId="1">IF(ISREF(Graphs!graph_b_x_range_B_),Graphs!graph_b_x_range_B_,{0})</definedName>
    <definedName name="graph_b_x_range_B_" localSheetId="1">INDEX(INDIRECT(VLOOKUP("range." &amp; Graphs!$B$1 &amp;"."&amp; Graphs!$B$2, names!$A:$B,2,0)), 0, VLOOKUP("col."&amp; Graphs!$B$1 &amp;".B."&amp; Graphs!$B$5, names!$A:$B,2,0))</definedName>
    <definedName name="graph_b_x_title" localSheetId="1">OFFSET(Graphs!all_cols, MATCH(Graphs!$B$5, Graphs!all_cols, 0)-1,1,1,1)</definedName>
    <definedName name="graph_b_y_range_A" localSheetId="1">IF(ISREF(Graphs!graph_b_y_range_A_),Graphs!graph_b_y_range_A_,{0})</definedName>
    <definedName name="graph_b_y_range_A_" localSheetId="1">INDEX(INDIRECT(VLOOKUP("range." &amp; Graphs!$B$1 &amp;"."&amp; Graphs!$B$2, names!$A:$B,2,0)), 0, VLOOKUP("col."&amp; Graphs!$B$1 &amp;".A."&amp; Graphs!$D$5, names!$A:$B,2,0))</definedName>
    <definedName name="graph_b_y_range_B" localSheetId="1">IF(ISREF(Graphs!graph_b_y_range_B_),Graphs!graph_b_y_range_B_,{0})</definedName>
    <definedName name="graph_b_y_range_B_" localSheetId="1">INDEX(INDIRECT(VLOOKUP("range." &amp; Graphs!$B$1 &amp;"."&amp; Graphs!$B$2, names!$A:$B,2,0)), 0, VLOOKUP("col."&amp; Graphs!$B$1 &amp;".B."&amp; Graphs!$D$5, names!$A:$B,2,0))</definedName>
    <definedName name="graph_b_y_title" localSheetId="1">OFFSET(Graphs!all_cols, MATCH(Graphs!$D$5, Graphs!all_cols, 0)-1,1,1,1)</definedName>
    <definedName name="graph_c_A_title" localSheetId="1">INDIRECT(VLOOKUP("name.A."&amp;Graphs!$B$1,names!$A:$B,2,0))</definedName>
    <definedName name="graph_c_B_title" localSheetId="1">INDIRECT(VLOOKUP("name.B."&amp;Graphs!$B$1,names!$A:$B,2,0))</definedName>
    <definedName name="graph_c_title" localSheetId="1">CONCATENATE(Graphs!graph_c_y_title, " (Graph c)")</definedName>
    <definedName name="graph_c_x_range_A" localSheetId="1">IF(ISREF(Graphs!graph_c_x_range_A_),Graphs!graph_c_x_range_A_,{0})</definedName>
    <definedName name="graph_c_x_range_A_" localSheetId="1">INDEX(INDIRECT(VLOOKUP("range." &amp; Graphs!$B$1 &amp;"."&amp; Graphs!$B$2, names!$A:$B,2,0)), 0, VLOOKUP("col."&amp; Graphs!$B$1 &amp;".A."&amp; Graphs!$B$6, names!$A:$B,2,0))</definedName>
    <definedName name="graph_c_x_range_B" localSheetId="1">IF(ISREF(Graphs!graph_c_x_range_B_),Graphs!graph_c_x_range_B_,{0})</definedName>
    <definedName name="graph_c_x_range_B_" localSheetId="1">INDEX(INDIRECT(VLOOKUP("range." &amp; Graphs!$B$1 &amp;"."&amp; Graphs!$B$2, names!$A:$B,2,0)), 0, VLOOKUP("col."&amp; Graphs!$B$1 &amp;".B."&amp; Graphs!$B$6, names!$A:$B,2,0))</definedName>
    <definedName name="graph_c_x_title" localSheetId="1">OFFSET(Graphs!all_cols, MATCH(Graphs!$B$6, Graphs!all_cols, 0)-1,1,1,1)</definedName>
    <definedName name="graph_c_y_range_A" localSheetId="1">IF(ISREF(Graphs!graph_c_y_range_A_),Graphs!graph_c_y_range_A_,{0})</definedName>
    <definedName name="graph_c_y_range_A_" localSheetId="1">INDEX(INDIRECT(VLOOKUP("range." &amp; Graphs!$B$1 &amp;"."&amp; Graphs!$B$2, names!$A:$B,2,0)), 0, VLOOKUP("col."&amp; Graphs!$B$1 &amp;".A."&amp; Graphs!$D$6, names!$A:$B,2,0))</definedName>
    <definedName name="graph_c_y_range_B" localSheetId="1">IF(ISREF(Graphs!graph_c_y_range_B_),Graphs!graph_c_y_range_B_,{0})</definedName>
    <definedName name="graph_c_y_range_B_" localSheetId="1">INDEX(INDIRECT(VLOOKUP("range." &amp; Graphs!$B$1 &amp;"."&amp; Graphs!$B$2, names!$A:$B,2,0)), 0, VLOOKUP("col."&amp; Graphs!$B$1 &amp;".B."&amp; Graphs!$D$6, names!$A:$B,2,0))</definedName>
    <definedName name="graph_c_y_title" localSheetId="1">OFFSET(Graphs!all_cols, MATCH(Graphs!$D$6, Graphs!all_cols, 0)-1,1,1,1)</definedName>
    <definedName name="graph_d_A_title" localSheetId="1">INDIRECT(VLOOKUP("name.A."&amp;Graphs!$B$1,names!$A:$B,2,0))</definedName>
    <definedName name="graph_d_B_title" localSheetId="1">INDIRECT(VLOOKUP("name.B."&amp;Graphs!$B$1,names!$A:$B,2,0))</definedName>
    <definedName name="graph_d_title" localSheetId="1">CONCATENATE(Graphs!graph_d_y_title, " (Graph d)")</definedName>
    <definedName name="graph_d_x_range_A" localSheetId="1">IF(ISREF(Graphs!graph_d_x_range_A_),Graphs!graph_d_x_range_A_,{0})</definedName>
    <definedName name="graph_d_x_range_A_" localSheetId="1">INDEX(INDIRECT(VLOOKUP("range." &amp; Graphs!$B$1 &amp;"."&amp; Graphs!$B$2, names!$A:$B,2,0)), 0, VLOOKUP("col."&amp; Graphs!$B$1 &amp;".A."&amp; Graphs!$B$7, names!$A:$B,2,0))</definedName>
    <definedName name="graph_d_x_range_B" localSheetId="1">IF(ISREF(Graphs!graph_d_x_range_B_),Graphs!graph_d_x_range_B_,{0})</definedName>
    <definedName name="graph_d_x_range_B_" localSheetId="1">INDEX(INDIRECT(VLOOKUP("range." &amp; Graphs!$B$1 &amp;"."&amp; Graphs!$B$2, names!$A:$B,2,0)), 0, VLOOKUP("col."&amp; Graphs!$B$1 &amp;".B."&amp; Graphs!$B$7, names!$A:$B,2,0))</definedName>
    <definedName name="graph_d_x_title" localSheetId="1">OFFSET(Graphs!all_cols, MATCH(Graphs!$B$7, Graphs!all_cols, 0)-1,1,1,1)</definedName>
    <definedName name="graph_d_y_range_A" localSheetId="1">IF(ISREF(Graphs!graph_d_y_range_A_),Graphs!graph_d_y_range_A_,{0})</definedName>
    <definedName name="graph_d_y_range_A_" localSheetId="1">INDEX(INDIRECT(VLOOKUP("range." &amp; Graphs!$B$1 &amp;"."&amp; Graphs!$B$2, names!$A:$B,2,0)), 0, VLOOKUP("col."&amp; Graphs!$B$1 &amp;".A."&amp; Graphs!$D$7, names!$A:$B,2,0))</definedName>
    <definedName name="graph_d_y_range_B" localSheetId="1">IF(ISREF(Graphs!graph_d_y_range_B_),Graphs!graph_d_y_range_B_,{0})</definedName>
    <definedName name="graph_d_y_range_B_" localSheetId="1">INDEX(INDIRECT(VLOOKUP("range." &amp; Graphs!$B$1 &amp;"."&amp; Graphs!$B$2, names!$A:$B,2,0)), 0, VLOOKUP("col."&amp; Graphs!$B$1 &amp;".B."&amp; Graphs!$D$7, names!$A:$B,2,0))</definedName>
    <definedName name="graph_d_y_title" localSheetId="1">OFFSET(Graphs!all_cols, MATCH(Graphs!$D$7, Graphs!all_cols, 0)-1,1,1,1)</definedName>
    <definedName name="graph_e_A_title" localSheetId="1">INDIRECT(VLOOKUP("name.A."&amp;Graphs!$B$1,names!$A:$B,2,0))</definedName>
    <definedName name="graph_e_B_title" localSheetId="1">INDIRECT(VLOOKUP("name.B."&amp;Graphs!$B$1,names!$A:$B,2,0))</definedName>
    <definedName name="graph_e_title" localSheetId="1">CONCATENATE(Graphs!graph_e_y_title, " (Graph e)")</definedName>
    <definedName name="graph_e_x_range_A" localSheetId="1">IF(ISREF(Graphs!graph_e_x_range_A_),Graphs!graph_e_x_range_A_,{0})</definedName>
    <definedName name="graph_e_x_range_A_" localSheetId="1">INDEX(INDIRECT(VLOOKUP("range." &amp; Graphs!$B$1 &amp;"."&amp; Graphs!$B$2, names!$A:$B,2,0)), 0, VLOOKUP("col."&amp; Graphs!$B$1 &amp;".A."&amp; Graphs!$B$8, names!$A:$B,2,0))</definedName>
    <definedName name="graph_e_x_range_B" localSheetId="1">IF(ISREF(Graphs!graph_e_x_range_B_),Graphs!graph_e_x_range_B_,{0})</definedName>
    <definedName name="graph_e_x_range_B_" localSheetId="1">INDEX(INDIRECT(VLOOKUP("range." &amp; Graphs!$B$1 &amp;"."&amp; Graphs!$B$2, names!$A:$B,2,0)), 0, VLOOKUP("col."&amp; Graphs!$B$1 &amp;".B."&amp; Graphs!$B$8, names!$A:$B,2,0))</definedName>
    <definedName name="graph_e_x_title" localSheetId="1">OFFSET(Graphs!all_cols, MATCH(Graphs!$B$8, Graphs!all_cols, 0)-1,1,1,1)</definedName>
    <definedName name="graph_e_y_range_A" localSheetId="1">IF(ISREF(Graphs!graph_e_y_range_A_),Graphs!graph_e_y_range_A_,{0})</definedName>
    <definedName name="graph_e_y_range_A_" localSheetId="1">INDEX(INDIRECT(VLOOKUP("range." &amp; Graphs!$B$1 &amp;"."&amp; Graphs!$B$2, names!$A:$B,2,0)), 0, VLOOKUP("col."&amp; Graphs!$B$1 &amp;".A."&amp; Graphs!$D$8, names!$A:$B,2,0))</definedName>
    <definedName name="graph_e_y_range_B" localSheetId="1">IF(ISREF(Graphs!graph_e_y_range_B_),Graphs!graph_e_y_range_B_,{0})</definedName>
    <definedName name="graph_e_y_range_B_" localSheetId="1">INDEX(INDIRECT(VLOOKUP("range." &amp; Graphs!$B$1 &amp;"."&amp; Graphs!$B$2, names!$A:$B,2,0)), 0, VLOOKUP("col."&amp; Graphs!$B$1 &amp;".B."&amp; Graphs!$D$8, names!$A:$B,2,0))</definedName>
    <definedName name="graph_e_y_title" localSheetId="1">OFFSET(Graphs!all_cols, MATCH(Graphs!$D$8, Graphs!all_cols, 0)-1,1,1,1)</definedName>
    <definedName name="graph_f_A_title" localSheetId="1">INDIRECT(VLOOKUP("name.A."&amp;Graphs!$B$1,names!$A:$B,2,0))</definedName>
    <definedName name="graph_f_B_title" localSheetId="1">INDIRECT(VLOOKUP("name.B."&amp;Graphs!$B$1,names!$A:$B,2,0))</definedName>
    <definedName name="graph_f_title" localSheetId="1">CONCATENATE(Graphs!graph_f_y_title, " (Graph f)")</definedName>
    <definedName name="graph_f_x_range_A" localSheetId="1">IF(ISREF(Graphs!graph_f_x_range_A_),Graphs!graph_f_x_range_A_,{0})</definedName>
    <definedName name="graph_f_x_range_A_" localSheetId="1">INDEX(INDIRECT(VLOOKUP("range." &amp; Graphs!$B$1 &amp;"."&amp; Graphs!$B$2, names!$A:$B,2,0)), 0, VLOOKUP("col."&amp; Graphs!$B$1 &amp;".A."&amp; Graphs!$B$9, names!$A:$B,2,0))</definedName>
    <definedName name="graph_f_x_range_B" localSheetId="1">IF(ISREF(Graphs!graph_f_x_range_B_),Graphs!graph_f_x_range_B_,{0})</definedName>
    <definedName name="graph_f_x_range_B_" localSheetId="1">INDEX(INDIRECT(VLOOKUP("range." &amp; Graphs!$B$1 &amp;"."&amp; Graphs!$B$2, names!$A:$B,2,0)), 0, VLOOKUP("col."&amp; Graphs!$B$1 &amp;".B."&amp; Graphs!$B$9, names!$A:$B,2,0))</definedName>
    <definedName name="graph_f_x_title" localSheetId="1">OFFSET(Graphs!all_cols, MATCH(Graphs!$B$9, Graphs!all_cols, 0)-1,1,1,1)</definedName>
    <definedName name="graph_f_y_range_A" localSheetId="1">IF(ISREF(Graphs!graph_f_y_range_A_),Graphs!graph_f_y_range_A_,{0})</definedName>
    <definedName name="graph_f_y_range_A_" localSheetId="1">INDEX(INDIRECT(VLOOKUP("range." &amp; Graphs!$B$1 &amp;"."&amp; Graphs!$B$2, names!$A:$B,2,0)), 0, VLOOKUP("col."&amp; Graphs!$B$1 &amp;".A."&amp; Graphs!$D$9, names!$A:$B,2,0))</definedName>
    <definedName name="graph_f_y_range_B" localSheetId="1">IF(ISREF(Graphs!graph_f_y_range_B_),Graphs!graph_f_y_range_B_,{0})</definedName>
    <definedName name="graph_f_y_range_B_" localSheetId="1">INDEX(INDIRECT(VLOOKUP("range." &amp; Graphs!$B$1 &amp;"."&amp; Graphs!$B$2, names!$A:$B,2,0)), 0, VLOOKUP("col."&amp; Graphs!$B$1 &amp;".B."&amp; Graphs!$D$9, names!$A:$B,2,0))</definedName>
    <definedName name="graph_f_y_title" localSheetId="1">OFFSET(Graphs!all_cols, MATCH(Graphs!$D$9, Graphs!all_cols, 0)-1,1,1,1)</definedName>
  </definedNames>
  <calcPr calcId="181029"/>
  <fileRecoveryPr repairLoad="1"/>
</workbook>
</file>

<file path=xl/calcChain.xml><?xml version="1.0" encoding="utf-8"?>
<calcChain xmlns="http://schemas.openxmlformats.org/spreadsheetml/2006/main">
  <c r="AY94" i="3" l="1"/>
  <c r="AX94" i="3"/>
  <c r="AW94" i="3"/>
  <c r="AV94" i="3"/>
  <c r="AU94" i="3"/>
  <c r="AT94" i="3"/>
  <c r="AS94" i="3"/>
  <c r="AR94" i="3"/>
  <c r="AQ94" i="3"/>
  <c r="AP94" i="3"/>
  <c r="AO94" i="3"/>
  <c r="AN94" i="3"/>
  <c r="AY93" i="3"/>
  <c r="AX93" i="3"/>
  <c r="AW93" i="3"/>
  <c r="AV93" i="3"/>
  <c r="AU93" i="3"/>
  <c r="AT93" i="3"/>
  <c r="AS93" i="3"/>
  <c r="AR93" i="3"/>
  <c r="AQ93" i="3"/>
  <c r="AP93" i="3"/>
  <c r="AO93" i="3"/>
  <c r="AN93" i="3"/>
  <c r="AY92" i="3"/>
  <c r="AX92" i="3"/>
  <c r="AW92" i="3"/>
  <c r="AV92" i="3"/>
  <c r="AU92" i="3"/>
  <c r="AT92" i="3"/>
  <c r="AS92" i="3"/>
  <c r="AR92" i="3"/>
  <c r="AQ92" i="3"/>
  <c r="AP92" i="3"/>
  <c r="AO92" i="3"/>
  <c r="AN92" i="3"/>
  <c r="AY91" i="3"/>
  <c r="AX91" i="3"/>
  <c r="AW91" i="3"/>
  <c r="AV91" i="3"/>
  <c r="AU91" i="3"/>
  <c r="AT91" i="3"/>
  <c r="AS91" i="3"/>
  <c r="AR91" i="3"/>
  <c r="AQ91" i="3"/>
  <c r="AP91" i="3"/>
  <c r="AO91" i="3"/>
  <c r="AN91" i="3"/>
  <c r="AY90" i="3"/>
  <c r="AX90" i="3"/>
  <c r="AW90" i="3"/>
  <c r="AV90" i="3"/>
  <c r="AU90" i="3"/>
  <c r="AT90" i="3"/>
  <c r="AS90" i="3"/>
  <c r="AR90" i="3"/>
  <c r="AQ90" i="3"/>
  <c r="AP90" i="3"/>
  <c r="AO90" i="3"/>
  <c r="AN90" i="3"/>
  <c r="AY89" i="3"/>
  <c r="AX89" i="3"/>
  <c r="AW89" i="3"/>
  <c r="AV89" i="3"/>
  <c r="AU89" i="3"/>
  <c r="AT89" i="3"/>
  <c r="AS89" i="3"/>
  <c r="AR89" i="3"/>
  <c r="AQ89" i="3"/>
  <c r="AP89" i="3"/>
  <c r="AO89" i="3"/>
  <c r="AN89" i="3"/>
  <c r="AY88" i="3"/>
  <c r="AX88" i="3"/>
  <c r="AW88" i="3"/>
  <c r="AV88" i="3"/>
  <c r="AU88" i="3"/>
  <c r="AT88" i="3"/>
  <c r="AS88" i="3"/>
  <c r="AR88" i="3"/>
  <c r="AQ88" i="3"/>
  <c r="AP88" i="3"/>
  <c r="AO88" i="3"/>
  <c r="AN88" i="3"/>
  <c r="AY87" i="3"/>
  <c r="AX87" i="3"/>
  <c r="AW87" i="3"/>
  <c r="AV87" i="3"/>
  <c r="AU87" i="3"/>
  <c r="AT87" i="3"/>
  <c r="AS87" i="3"/>
  <c r="AR87" i="3"/>
  <c r="AQ87" i="3"/>
  <c r="AP87" i="3"/>
  <c r="AO87" i="3"/>
  <c r="AN87" i="3"/>
  <c r="AY86" i="3"/>
  <c r="AX86" i="3"/>
  <c r="AW86" i="3"/>
  <c r="AV86" i="3"/>
  <c r="AU86" i="3"/>
  <c r="AT86" i="3"/>
  <c r="AS86" i="3"/>
  <c r="AR86" i="3"/>
  <c r="AQ86" i="3"/>
  <c r="AP86" i="3"/>
  <c r="AO86" i="3"/>
  <c r="AN86" i="3"/>
  <c r="AY85" i="3"/>
  <c r="AX85" i="3"/>
  <c r="AW85" i="3"/>
  <c r="AV85" i="3"/>
  <c r="AU85" i="3"/>
  <c r="AT85" i="3"/>
  <c r="AS85" i="3"/>
  <c r="AR85" i="3"/>
  <c r="AQ85" i="3"/>
  <c r="AP85" i="3"/>
  <c r="AO85" i="3"/>
  <c r="AN85" i="3"/>
  <c r="AY84" i="3"/>
  <c r="AX84" i="3"/>
  <c r="AW84" i="3"/>
  <c r="AV84" i="3"/>
  <c r="AU84" i="3"/>
  <c r="AT84" i="3"/>
  <c r="AS84" i="3"/>
  <c r="AR84" i="3"/>
  <c r="AQ84" i="3"/>
  <c r="AP84" i="3"/>
  <c r="AO84" i="3"/>
  <c r="AN84" i="3"/>
  <c r="AY83" i="3"/>
  <c r="AX83" i="3"/>
  <c r="AW83" i="3"/>
  <c r="AV83" i="3"/>
  <c r="AU83" i="3"/>
  <c r="AT83" i="3"/>
  <c r="AS83" i="3"/>
  <c r="AR83" i="3"/>
  <c r="AQ83" i="3"/>
  <c r="AP83" i="3"/>
  <c r="AO83" i="3"/>
  <c r="AN83" i="3"/>
  <c r="AY82" i="3"/>
  <c r="AX82" i="3"/>
  <c r="AW82" i="3"/>
  <c r="AV82" i="3"/>
  <c r="AU82" i="3"/>
  <c r="AT82" i="3"/>
  <c r="AS82" i="3"/>
  <c r="AR82" i="3"/>
  <c r="AQ82" i="3"/>
  <c r="AP82" i="3"/>
  <c r="AO82" i="3"/>
  <c r="AN82" i="3"/>
  <c r="AY81" i="3"/>
  <c r="AX81" i="3"/>
  <c r="AW81" i="3"/>
  <c r="AV81" i="3"/>
  <c r="AU81" i="3"/>
  <c r="AT81" i="3"/>
  <c r="AS81" i="3"/>
  <c r="AR81" i="3"/>
  <c r="AQ81" i="3"/>
  <c r="AP81" i="3"/>
  <c r="AO81" i="3"/>
  <c r="AN81" i="3"/>
  <c r="AY80" i="3"/>
  <c r="AX80" i="3"/>
  <c r="AW80" i="3"/>
  <c r="AV80" i="3"/>
  <c r="AU80" i="3"/>
  <c r="AT80" i="3"/>
  <c r="AS80" i="3"/>
  <c r="AR80" i="3"/>
  <c r="AQ80" i="3"/>
  <c r="AP80" i="3"/>
  <c r="AO80" i="3"/>
  <c r="AN80" i="3"/>
  <c r="AY79" i="3"/>
  <c r="AX79" i="3"/>
  <c r="AW79" i="3"/>
  <c r="AV79" i="3"/>
  <c r="AU79" i="3"/>
  <c r="AT79" i="3"/>
  <c r="AS79" i="3"/>
  <c r="AR79" i="3"/>
  <c r="AQ79" i="3"/>
  <c r="AP79" i="3"/>
  <c r="AO79" i="3"/>
  <c r="AN79" i="3"/>
  <c r="AY78" i="3"/>
  <c r="AX78" i="3"/>
  <c r="AW78" i="3"/>
  <c r="AV78" i="3"/>
  <c r="AU78" i="3"/>
  <c r="AT78" i="3"/>
  <c r="AS78" i="3"/>
  <c r="AR78" i="3"/>
  <c r="AQ78" i="3"/>
  <c r="AP78" i="3"/>
  <c r="AO78" i="3"/>
  <c r="AN78" i="3"/>
  <c r="AY77" i="3"/>
  <c r="AX77" i="3"/>
  <c r="AW77" i="3"/>
  <c r="AV77" i="3"/>
  <c r="AU77" i="3"/>
  <c r="AT77" i="3"/>
  <c r="AS77" i="3"/>
  <c r="AR77" i="3"/>
  <c r="AQ77" i="3"/>
  <c r="AP77" i="3"/>
  <c r="AO77" i="3"/>
  <c r="AN77" i="3"/>
  <c r="AY76" i="3"/>
  <c r="AX76" i="3"/>
  <c r="AW76" i="3"/>
  <c r="AV76" i="3"/>
  <c r="AU76" i="3"/>
  <c r="AT76" i="3"/>
  <c r="AS76" i="3"/>
  <c r="AR76" i="3"/>
  <c r="AQ76" i="3"/>
  <c r="AP76" i="3"/>
  <c r="AO76" i="3"/>
  <c r="AN76" i="3"/>
  <c r="AY75" i="3"/>
  <c r="AX75" i="3"/>
  <c r="AW75" i="3"/>
  <c r="AV75" i="3"/>
  <c r="AU75" i="3"/>
  <c r="AT75" i="3"/>
  <c r="AS75" i="3"/>
  <c r="AR75" i="3"/>
  <c r="AQ75" i="3"/>
  <c r="AP75" i="3"/>
  <c r="AO75" i="3"/>
  <c r="AN75" i="3"/>
  <c r="AY74" i="3"/>
  <c r="AX74" i="3"/>
  <c r="AW74" i="3"/>
  <c r="AV74" i="3"/>
  <c r="AU74" i="3"/>
  <c r="AT74" i="3"/>
  <c r="AS74" i="3"/>
  <c r="AR74" i="3"/>
  <c r="AQ74" i="3"/>
  <c r="AP74" i="3"/>
  <c r="AO74" i="3"/>
  <c r="AN74" i="3"/>
  <c r="AY73" i="3"/>
  <c r="AX73" i="3"/>
  <c r="AW73" i="3"/>
  <c r="AV73" i="3"/>
  <c r="AU73" i="3"/>
  <c r="AT73" i="3"/>
  <c r="AS73" i="3"/>
  <c r="AR73" i="3"/>
  <c r="AQ73" i="3"/>
  <c r="AP73" i="3"/>
  <c r="AO73" i="3"/>
  <c r="AN73" i="3"/>
  <c r="AY72" i="3"/>
  <c r="AX72" i="3"/>
  <c r="AW72" i="3"/>
  <c r="AV72" i="3"/>
  <c r="AU72" i="3"/>
  <c r="AT72" i="3"/>
  <c r="AS72" i="3"/>
  <c r="AR72" i="3"/>
  <c r="AQ72" i="3"/>
  <c r="AP72" i="3"/>
  <c r="AO72" i="3"/>
  <c r="AN72" i="3"/>
  <c r="AY71" i="3"/>
  <c r="AX71" i="3"/>
  <c r="AW71" i="3"/>
  <c r="AV71" i="3"/>
  <c r="AU71" i="3"/>
  <c r="AT71" i="3"/>
  <c r="AS71" i="3"/>
  <c r="AR71" i="3"/>
  <c r="AQ71" i="3"/>
  <c r="AP71" i="3"/>
  <c r="AO71" i="3"/>
  <c r="AN71" i="3"/>
  <c r="AY70" i="3"/>
  <c r="AX70" i="3"/>
  <c r="AW70" i="3"/>
  <c r="AV70" i="3"/>
  <c r="AU70" i="3"/>
  <c r="AT70" i="3"/>
  <c r="AS70" i="3"/>
  <c r="AR70" i="3"/>
  <c r="AQ70" i="3"/>
  <c r="AP70" i="3"/>
  <c r="AO70" i="3"/>
  <c r="AN70" i="3"/>
  <c r="AY69" i="3"/>
  <c r="AX69" i="3"/>
  <c r="AW69" i="3"/>
  <c r="AV69" i="3"/>
  <c r="AU69" i="3"/>
  <c r="AT69" i="3"/>
  <c r="AS69" i="3"/>
  <c r="AR69" i="3"/>
  <c r="AQ69" i="3"/>
  <c r="AP69" i="3"/>
  <c r="AO69" i="3"/>
  <c r="AN69" i="3"/>
  <c r="AY68" i="3"/>
  <c r="AX68" i="3"/>
  <c r="AW68" i="3"/>
  <c r="AV68" i="3"/>
  <c r="AU68" i="3"/>
  <c r="AT68" i="3"/>
  <c r="AS68" i="3"/>
  <c r="AR68" i="3"/>
  <c r="AQ68" i="3"/>
  <c r="AP68" i="3"/>
  <c r="AO68" i="3"/>
  <c r="AN68" i="3"/>
  <c r="AY67" i="3"/>
  <c r="AX67" i="3"/>
  <c r="AW67" i="3"/>
  <c r="AV67" i="3"/>
  <c r="AU67" i="3"/>
  <c r="AT67" i="3"/>
  <c r="AS67" i="3"/>
  <c r="AR67" i="3"/>
  <c r="AQ67" i="3"/>
  <c r="AP67" i="3"/>
  <c r="AO67" i="3"/>
  <c r="AN67" i="3"/>
  <c r="AY66" i="3"/>
  <c r="AX66" i="3"/>
  <c r="AW66" i="3"/>
  <c r="AV66" i="3"/>
  <c r="AU66" i="3"/>
  <c r="AT66" i="3"/>
  <c r="AS66" i="3"/>
  <c r="AR66" i="3"/>
  <c r="AQ66" i="3"/>
  <c r="AP66" i="3"/>
  <c r="AO66" i="3"/>
  <c r="AN66" i="3"/>
  <c r="AY65" i="3"/>
  <c r="AX65" i="3"/>
  <c r="AW65" i="3"/>
  <c r="AV65" i="3"/>
  <c r="AU65" i="3"/>
  <c r="AT65" i="3"/>
  <c r="AS65" i="3"/>
  <c r="AR65" i="3"/>
  <c r="AQ65" i="3"/>
  <c r="AP65" i="3"/>
  <c r="AO65" i="3"/>
  <c r="AN65" i="3"/>
  <c r="AY64" i="3"/>
  <c r="AX64" i="3"/>
  <c r="AW64" i="3"/>
  <c r="AV64" i="3"/>
  <c r="AU64" i="3"/>
  <c r="AT64" i="3"/>
  <c r="AS64" i="3"/>
  <c r="AR64" i="3"/>
  <c r="AQ64" i="3"/>
  <c r="AP64" i="3"/>
  <c r="AO64" i="3"/>
  <c r="AN64" i="3"/>
  <c r="AY63" i="3"/>
  <c r="AX63" i="3"/>
  <c r="AW63" i="3"/>
  <c r="AV63" i="3"/>
  <c r="AU63" i="3"/>
  <c r="AT63" i="3"/>
  <c r="AS63" i="3"/>
  <c r="AR63" i="3"/>
  <c r="AQ63" i="3"/>
  <c r="AP63" i="3"/>
  <c r="AO63" i="3"/>
  <c r="AN63" i="3"/>
  <c r="AY62" i="3"/>
  <c r="AX62" i="3"/>
  <c r="AW62" i="3"/>
  <c r="AV62" i="3"/>
  <c r="AU62" i="3"/>
  <c r="AT62" i="3"/>
  <c r="AS62" i="3"/>
  <c r="AR62" i="3"/>
  <c r="AQ62" i="3"/>
  <c r="AP62" i="3"/>
  <c r="AO62" i="3"/>
  <c r="AN62" i="3"/>
  <c r="AY61" i="3"/>
  <c r="AX61" i="3"/>
  <c r="AW61" i="3"/>
  <c r="AV61" i="3"/>
  <c r="AU61" i="3"/>
  <c r="AT61" i="3"/>
  <c r="AS61" i="3"/>
  <c r="AR61" i="3"/>
  <c r="AQ61" i="3"/>
  <c r="AP61" i="3"/>
  <c r="AO61" i="3"/>
  <c r="AN61" i="3"/>
  <c r="AY60" i="3"/>
  <c r="AX60" i="3"/>
  <c r="AW60" i="3"/>
  <c r="AV60" i="3"/>
  <c r="AU60" i="3"/>
  <c r="AT60" i="3"/>
  <c r="AS60" i="3"/>
  <c r="AR60" i="3"/>
  <c r="AQ60" i="3"/>
  <c r="AP60" i="3"/>
  <c r="AO60" i="3"/>
  <c r="AN60" i="3"/>
  <c r="AY94" i="7"/>
  <c r="AX94" i="7"/>
  <c r="AW94" i="7"/>
  <c r="AV94" i="7"/>
  <c r="AU94" i="7"/>
  <c r="AT94" i="7"/>
  <c r="AS94" i="7"/>
  <c r="AR94" i="7"/>
  <c r="AQ94" i="7"/>
  <c r="AP94" i="7"/>
  <c r="AO94" i="7"/>
  <c r="AN94" i="7"/>
  <c r="AY93" i="7"/>
  <c r="AX93" i="7"/>
  <c r="AW93" i="7"/>
  <c r="AV93" i="7"/>
  <c r="AU93" i="7"/>
  <c r="AT93" i="7"/>
  <c r="AS93" i="7"/>
  <c r="AR93" i="7"/>
  <c r="AQ93" i="7"/>
  <c r="AP93" i="7"/>
  <c r="AO93" i="7"/>
  <c r="AN93" i="7"/>
  <c r="AY92" i="7"/>
  <c r="AX92" i="7"/>
  <c r="AW92" i="7"/>
  <c r="AV92" i="7"/>
  <c r="AU92" i="7"/>
  <c r="AT92" i="7"/>
  <c r="AS92" i="7"/>
  <c r="AR92" i="7"/>
  <c r="AQ92" i="7"/>
  <c r="AP92" i="7"/>
  <c r="AO92" i="7"/>
  <c r="AN92" i="7"/>
  <c r="AY91" i="7"/>
  <c r="AX91" i="7"/>
  <c r="AW91" i="7"/>
  <c r="AV91" i="7"/>
  <c r="AU91" i="7"/>
  <c r="AT91" i="7"/>
  <c r="AS91" i="7"/>
  <c r="AR91" i="7"/>
  <c r="AQ91" i="7"/>
  <c r="AP91" i="7"/>
  <c r="AO91" i="7"/>
  <c r="AN91" i="7"/>
  <c r="AY90" i="7"/>
  <c r="AX90" i="7"/>
  <c r="AW90" i="7"/>
  <c r="AV90" i="7"/>
  <c r="AU90" i="7"/>
  <c r="AT90" i="7"/>
  <c r="AS90" i="7"/>
  <c r="AR90" i="7"/>
  <c r="AQ90" i="7"/>
  <c r="AP90" i="7"/>
  <c r="AO90" i="7"/>
  <c r="AN90" i="7"/>
  <c r="AY89" i="7"/>
  <c r="AX89" i="7"/>
  <c r="AW89" i="7"/>
  <c r="AV89" i="7"/>
  <c r="AU89" i="7"/>
  <c r="AT89" i="7"/>
  <c r="AS89" i="7"/>
  <c r="AR89" i="7"/>
  <c r="AQ89" i="7"/>
  <c r="AP89" i="7"/>
  <c r="AO89" i="7"/>
  <c r="AN89" i="7"/>
  <c r="AY88" i="7"/>
  <c r="AX88" i="7"/>
  <c r="AW88" i="7"/>
  <c r="AV88" i="7"/>
  <c r="AU88" i="7"/>
  <c r="AT88" i="7"/>
  <c r="AS88" i="7"/>
  <c r="AR88" i="7"/>
  <c r="AQ88" i="7"/>
  <c r="AP88" i="7"/>
  <c r="AO88" i="7"/>
  <c r="AN88" i="7"/>
  <c r="AY87" i="7"/>
  <c r="AX87" i="7"/>
  <c r="AW87" i="7"/>
  <c r="AV87" i="7"/>
  <c r="AU87" i="7"/>
  <c r="AT87" i="7"/>
  <c r="AS87" i="7"/>
  <c r="AR87" i="7"/>
  <c r="AQ87" i="7"/>
  <c r="AP87" i="7"/>
  <c r="AO87" i="7"/>
  <c r="AN87" i="7"/>
  <c r="AY86" i="7"/>
  <c r="AX86" i="7"/>
  <c r="AW86" i="7"/>
  <c r="AV86" i="7"/>
  <c r="AU86" i="7"/>
  <c r="AT86" i="7"/>
  <c r="AS86" i="7"/>
  <c r="AR86" i="7"/>
  <c r="AQ86" i="7"/>
  <c r="AP86" i="7"/>
  <c r="AO86" i="7"/>
  <c r="AN86" i="7"/>
  <c r="AY85" i="7"/>
  <c r="AX85" i="7"/>
  <c r="AW85" i="7"/>
  <c r="AV85" i="7"/>
  <c r="AU85" i="7"/>
  <c r="AT85" i="7"/>
  <c r="AS85" i="7"/>
  <c r="AR85" i="7"/>
  <c r="AQ85" i="7"/>
  <c r="AP85" i="7"/>
  <c r="AO85" i="7"/>
  <c r="AN85" i="7"/>
  <c r="AY84" i="7"/>
  <c r="AX84" i="7"/>
  <c r="AW84" i="7"/>
  <c r="AV84" i="7"/>
  <c r="AU84" i="7"/>
  <c r="AT84" i="7"/>
  <c r="AS84" i="7"/>
  <c r="AR84" i="7"/>
  <c r="AQ84" i="7"/>
  <c r="AP84" i="7"/>
  <c r="AO84" i="7"/>
  <c r="AN84" i="7"/>
  <c r="AY83" i="7"/>
  <c r="AX83" i="7"/>
  <c r="AW83" i="7"/>
  <c r="AV83" i="7"/>
  <c r="AU83" i="7"/>
  <c r="AT83" i="7"/>
  <c r="AS83" i="7"/>
  <c r="AR83" i="7"/>
  <c r="AQ83" i="7"/>
  <c r="AP83" i="7"/>
  <c r="AO83" i="7"/>
  <c r="AN83" i="7"/>
  <c r="AY82" i="7"/>
  <c r="AX82" i="7"/>
  <c r="AW82" i="7"/>
  <c r="AV82" i="7"/>
  <c r="AU82" i="7"/>
  <c r="AT82" i="7"/>
  <c r="AS82" i="7"/>
  <c r="AR82" i="7"/>
  <c r="AQ82" i="7"/>
  <c r="AP82" i="7"/>
  <c r="AO82" i="7"/>
  <c r="AN82" i="7"/>
  <c r="AY81" i="7"/>
  <c r="AX81" i="7"/>
  <c r="AW81" i="7"/>
  <c r="AV81" i="7"/>
  <c r="AU81" i="7"/>
  <c r="AT81" i="7"/>
  <c r="AS81" i="7"/>
  <c r="AR81" i="7"/>
  <c r="AQ81" i="7"/>
  <c r="AP81" i="7"/>
  <c r="AO81" i="7"/>
  <c r="AN81" i="7"/>
  <c r="AY80" i="7"/>
  <c r="AX80" i="7"/>
  <c r="AW80" i="7"/>
  <c r="AV80" i="7"/>
  <c r="AU80" i="7"/>
  <c r="AT80" i="7"/>
  <c r="AS80" i="7"/>
  <c r="AR80" i="7"/>
  <c r="AQ80" i="7"/>
  <c r="AP80" i="7"/>
  <c r="AO80" i="7"/>
  <c r="AN80" i="7"/>
  <c r="AY79" i="7"/>
  <c r="AX79" i="7"/>
  <c r="AW79" i="7"/>
  <c r="AV79" i="7"/>
  <c r="AU79" i="7"/>
  <c r="AT79" i="7"/>
  <c r="AS79" i="7"/>
  <c r="AR79" i="7"/>
  <c r="AQ79" i="7"/>
  <c r="AP79" i="7"/>
  <c r="AO79" i="7"/>
  <c r="AN79" i="7"/>
  <c r="AY78" i="7"/>
  <c r="AX78" i="7"/>
  <c r="AW78" i="7"/>
  <c r="AV78" i="7"/>
  <c r="AU78" i="7"/>
  <c r="AT78" i="7"/>
  <c r="AS78" i="7"/>
  <c r="AR78" i="7"/>
  <c r="AQ78" i="7"/>
  <c r="AP78" i="7"/>
  <c r="AO78" i="7"/>
  <c r="AN78" i="7"/>
  <c r="AY77" i="7"/>
  <c r="AX77" i="7"/>
  <c r="AW77" i="7"/>
  <c r="AV77" i="7"/>
  <c r="AU77" i="7"/>
  <c r="AT77" i="7"/>
  <c r="AS77" i="7"/>
  <c r="AR77" i="7"/>
  <c r="AQ77" i="7"/>
  <c r="AP77" i="7"/>
  <c r="AO77" i="7"/>
  <c r="AN77" i="7"/>
  <c r="AY76" i="7"/>
  <c r="AX76" i="7"/>
  <c r="AW76" i="7"/>
  <c r="AV76" i="7"/>
  <c r="AU76" i="7"/>
  <c r="AT76" i="7"/>
  <c r="AS76" i="7"/>
  <c r="AR76" i="7"/>
  <c r="AQ76" i="7"/>
  <c r="AP76" i="7"/>
  <c r="AO76" i="7"/>
  <c r="AN76" i="7"/>
  <c r="AY75" i="7"/>
  <c r="AX75" i="7"/>
  <c r="AW75" i="7"/>
  <c r="AV75" i="7"/>
  <c r="AU75" i="7"/>
  <c r="AT75" i="7"/>
  <c r="AS75" i="7"/>
  <c r="AR75" i="7"/>
  <c r="AQ75" i="7"/>
  <c r="AP75" i="7"/>
  <c r="AO75" i="7"/>
  <c r="AN75" i="7"/>
  <c r="AY74" i="7"/>
  <c r="AX74" i="7"/>
  <c r="AW74" i="7"/>
  <c r="AV74" i="7"/>
  <c r="AU74" i="7"/>
  <c r="AT74" i="7"/>
  <c r="AS74" i="7"/>
  <c r="AR74" i="7"/>
  <c r="AQ74" i="7"/>
  <c r="AP74" i="7"/>
  <c r="AO74" i="7"/>
  <c r="AN74" i="7"/>
  <c r="AY73" i="7"/>
  <c r="AX73" i="7"/>
  <c r="AW73" i="7"/>
  <c r="AV73" i="7"/>
  <c r="AU73" i="7"/>
  <c r="AT73" i="7"/>
  <c r="AS73" i="7"/>
  <c r="AR73" i="7"/>
  <c r="AQ73" i="7"/>
  <c r="AP73" i="7"/>
  <c r="AO73" i="7"/>
  <c r="AN73" i="7"/>
  <c r="AY72" i="7"/>
  <c r="AX72" i="7"/>
  <c r="AW72" i="7"/>
  <c r="AV72" i="7"/>
  <c r="AU72" i="7"/>
  <c r="AT72" i="7"/>
  <c r="AS72" i="7"/>
  <c r="AR72" i="7"/>
  <c r="AQ72" i="7"/>
  <c r="AP72" i="7"/>
  <c r="AO72" i="7"/>
  <c r="AN72" i="7"/>
  <c r="AY71" i="7"/>
  <c r="AX71" i="7"/>
  <c r="AW71" i="7"/>
  <c r="AV71" i="7"/>
  <c r="AU71" i="7"/>
  <c r="AT71" i="7"/>
  <c r="AS71" i="7"/>
  <c r="AR71" i="7"/>
  <c r="AQ71" i="7"/>
  <c r="AP71" i="7"/>
  <c r="AO71" i="7"/>
  <c r="AN71" i="7"/>
  <c r="AY70" i="7"/>
  <c r="AX70" i="7"/>
  <c r="AW70" i="7"/>
  <c r="AV70" i="7"/>
  <c r="AU70" i="7"/>
  <c r="AT70" i="7"/>
  <c r="AS70" i="7"/>
  <c r="AR70" i="7"/>
  <c r="AQ70" i="7"/>
  <c r="AP70" i="7"/>
  <c r="AO70" i="7"/>
  <c r="AN70" i="7"/>
  <c r="AY69" i="7"/>
  <c r="AX69" i="7"/>
  <c r="AW69" i="7"/>
  <c r="AV69" i="7"/>
  <c r="AU69" i="7"/>
  <c r="AT69" i="7"/>
  <c r="AS69" i="7"/>
  <c r="AR69" i="7"/>
  <c r="AQ69" i="7"/>
  <c r="AP69" i="7"/>
  <c r="AO69" i="7"/>
  <c r="AN69" i="7"/>
  <c r="AY68" i="7"/>
  <c r="AX68" i="7"/>
  <c r="AW68" i="7"/>
  <c r="AV68" i="7"/>
  <c r="AU68" i="7"/>
  <c r="AT68" i="7"/>
  <c r="AS68" i="7"/>
  <c r="AR68" i="7"/>
  <c r="AQ68" i="7"/>
  <c r="AP68" i="7"/>
  <c r="AO68" i="7"/>
  <c r="AN68" i="7"/>
  <c r="AY67" i="7"/>
  <c r="AX67" i="7"/>
  <c r="AW67" i="7"/>
  <c r="AV67" i="7"/>
  <c r="AU67" i="7"/>
  <c r="AT67" i="7"/>
  <c r="AS67" i="7"/>
  <c r="AR67" i="7"/>
  <c r="AQ67" i="7"/>
  <c r="AP67" i="7"/>
  <c r="AO67" i="7"/>
  <c r="AN67" i="7"/>
  <c r="AY66" i="7"/>
  <c r="AX66" i="7"/>
  <c r="AW66" i="7"/>
  <c r="AV66" i="7"/>
  <c r="AU66" i="7"/>
  <c r="AT66" i="7"/>
  <c r="AS66" i="7"/>
  <c r="AR66" i="7"/>
  <c r="AQ66" i="7"/>
  <c r="AP66" i="7"/>
  <c r="AO66" i="7"/>
  <c r="AN66" i="7"/>
  <c r="AY65" i="7"/>
  <c r="AX65" i="7"/>
  <c r="AW65" i="7"/>
  <c r="AV65" i="7"/>
  <c r="AU65" i="7"/>
  <c r="AT65" i="7"/>
  <c r="AS65" i="7"/>
  <c r="AR65" i="7"/>
  <c r="AQ65" i="7"/>
  <c r="AP65" i="7"/>
  <c r="AO65" i="7"/>
  <c r="AN65" i="7"/>
  <c r="AY64" i="7"/>
  <c r="AX64" i="7"/>
  <c r="AW64" i="7"/>
  <c r="AV64" i="7"/>
  <c r="AU64" i="7"/>
  <c r="AT64" i="7"/>
  <c r="AS64" i="7"/>
  <c r="AR64" i="7"/>
  <c r="AQ64" i="7"/>
  <c r="AP64" i="7"/>
  <c r="AO64" i="7"/>
  <c r="AN64" i="7"/>
  <c r="AY63" i="7"/>
  <c r="AX63" i="7"/>
  <c r="AW63" i="7"/>
  <c r="AV63" i="7"/>
  <c r="AU63" i="7"/>
  <c r="AT63" i="7"/>
  <c r="AS63" i="7"/>
  <c r="AR63" i="7"/>
  <c r="AQ63" i="7"/>
  <c r="AP63" i="7"/>
  <c r="AO63" i="7"/>
  <c r="AN63" i="7"/>
  <c r="AY62" i="7"/>
  <c r="AX62" i="7"/>
  <c r="AW62" i="7"/>
  <c r="AV62" i="7"/>
  <c r="AU62" i="7"/>
  <c r="AT62" i="7"/>
  <c r="AS62" i="7"/>
  <c r="AR62" i="7"/>
  <c r="AQ62" i="7"/>
  <c r="AP62" i="7"/>
  <c r="AO62" i="7"/>
  <c r="AN62" i="7"/>
  <c r="AY61" i="7"/>
  <c r="AX61" i="7"/>
  <c r="AW61" i="7"/>
  <c r="AV61" i="7"/>
  <c r="AU61" i="7"/>
  <c r="AT61" i="7"/>
  <c r="AS61" i="7"/>
  <c r="AR61" i="7"/>
  <c r="AQ61" i="7"/>
  <c r="AP61" i="7"/>
  <c r="AO61" i="7"/>
  <c r="AN61" i="7"/>
  <c r="AY60" i="7"/>
  <c r="AX60" i="7"/>
  <c r="AW60" i="7"/>
  <c r="AV60" i="7"/>
  <c r="AU60" i="7"/>
  <c r="AT60" i="7"/>
  <c r="AS60" i="7"/>
  <c r="AR60" i="7"/>
  <c r="AQ60" i="7"/>
  <c r="AP60" i="7"/>
  <c r="AO60" i="7"/>
  <c r="AN60" i="7"/>
  <c r="AD44" i="3" l="1"/>
  <c r="AD46" i="3"/>
  <c r="AE46" i="3"/>
  <c r="AE44" i="3"/>
  <c r="BC46" i="7"/>
  <c r="BB46" i="7"/>
  <c r="BA46" i="7"/>
  <c r="AZ46" i="7"/>
  <c r="AE46" i="7"/>
  <c r="AD46" i="7"/>
  <c r="AC46" i="7"/>
  <c r="AB46" i="7"/>
  <c r="BC44" i="7"/>
  <c r="BB44" i="7"/>
  <c r="BA44" i="7"/>
  <c r="AZ44" i="7"/>
  <c r="AE44" i="7"/>
  <c r="AD44" i="7"/>
  <c r="AC44" i="7"/>
  <c r="AB44" i="7"/>
  <c r="BF39" i="7"/>
  <c r="AL39" i="7"/>
  <c r="AI39" i="7" s="1"/>
  <c r="AK39" i="7"/>
  <c r="AJ39" i="7"/>
  <c r="AH39" i="7"/>
  <c r="AG39" i="7"/>
  <c r="N39" i="7"/>
  <c r="K39" i="7" s="1"/>
  <c r="M39" i="7"/>
  <c r="L39" i="7"/>
  <c r="J39" i="7"/>
  <c r="I39" i="7"/>
  <c r="BF38" i="7"/>
  <c r="AL38" i="7"/>
  <c r="AK38" i="7"/>
  <c r="AJ38" i="7"/>
  <c r="AH38" i="7"/>
  <c r="AG38" i="7"/>
  <c r="N38" i="7"/>
  <c r="K38" i="7" s="1"/>
  <c r="M38" i="7"/>
  <c r="L38" i="7"/>
  <c r="J38" i="7"/>
  <c r="I38" i="7"/>
  <c r="BF37" i="7"/>
  <c r="AL37" i="7"/>
  <c r="AI37" i="7" s="1"/>
  <c r="AK37" i="7"/>
  <c r="AJ37" i="7"/>
  <c r="AH37" i="7"/>
  <c r="AG37" i="7"/>
  <c r="N37" i="7"/>
  <c r="K37" i="7" s="1"/>
  <c r="M37" i="7"/>
  <c r="L37" i="7"/>
  <c r="J37" i="7"/>
  <c r="I37" i="7"/>
  <c r="BF36" i="7"/>
  <c r="AL36" i="7"/>
  <c r="AI36" i="7" s="1"/>
  <c r="AK36" i="7"/>
  <c r="AJ36" i="7"/>
  <c r="AH36" i="7"/>
  <c r="AG36" i="7"/>
  <c r="N36" i="7"/>
  <c r="M36" i="7"/>
  <c r="L36" i="7"/>
  <c r="J36" i="7"/>
  <c r="I36" i="7"/>
  <c r="BF35" i="7"/>
  <c r="AL35" i="7"/>
  <c r="AI35" i="7" s="1"/>
  <c r="AK35" i="7"/>
  <c r="AJ35" i="7"/>
  <c r="AH35" i="7"/>
  <c r="AG35" i="7"/>
  <c r="N35" i="7"/>
  <c r="K35" i="7" s="1"/>
  <c r="M35" i="7"/>
  <c r="L35" i="7"/>
  <c r="J35" i="7"/>
  <c r="I35" i="7"/>
  <c r="BF34" i="7"/>
  <c r="AL34" i="7"/>
  <c r="AK34" i="7"/>
  <c r="AJ34" i="7"/>
  <c r="AH34" i="7"/>
  <c r="AG34" i="7"/>
  <c r="N34" i="7"/>
  <c r="K34" i="7" s="1"/>
  <c r="M34" i="7"/>
  <c r="L34" i="7"/>
  <c r="J34" i="7"/>
  <c r="I34" i="7"/>
  <c r="BF33" i="7"/>
  <c r="AL33" i="7"/>
  <c r="AI33" i="7" s="1"/>
  <c r="AK33" i="7"/>
  <c r="AJ33" i="7"/>
  <c r="AH33" i="7"/>
  <c r="AG33" i="7"/>
  <c r="N33" i="7"/>
  <c r="M33" i="7"/>
  <c r="L33" i="7"/>
  <c r="J33" i="7"/>
  <c r="I33" i="7"/>
  <c r="BF32" i="7"/>
  <c r="AL32" i="7"/>
  <c r="AI32" i="7" s="1"/>
  <c r="AK32" i="7"/>
  <c r="AJ32" i="7"/>
  <c r="AH32" i="7"/>
  <c r="AG32" i="7"/>
  <c r="N32" i="7"/>
  <c r="K32" i="7" s="1"/>
  <c r="M32" i="7"/>
  <c r="L32" i="7"/>
  <c r="J32" i="7"/>
  <c r="I32" i="7"/>
  <c r="BF31" i="7"/>
  <c r="AL31" i="7"/>
  <c r="AK31" i="7"/>
  <c r="AJ31" i="7"/>
  <c r="AH31" i="7"/>
  <c r="AG31" i="7"/>
  <c r="N31" i="7"/>
  <c r="K31" i="7" s="1"/>
  <c r="M31" i="7"/>
  <c r="L31" i="7"/>
  <c r="J31" i="7"/>
  <c r="I31" i="7"/>
  <c r="BF30" i="7"/>
  <c r="AL30" i="7"/>
  <c r="AK30" i="7"/>
  <c r="AJ30" i="7"/>
  <c r="AH30" i="7"/>
  <c r="AG30" i="7"/>
  <c r="N30" i="7"/>
  <c r="M30" i="7"/>
  <c r="L30" i="7"/>
  <c r="J30" i="7"/>
  <c r="I30" i="7"/>
  <c r="BF29" i="7"/>
  <c r="AL29" i="7"/>
  <c r="AI29" i="7" s="1"/>
  <c r="AK29" i="7"/>
  <c r="AJ29" i="7"/>
  <c r="AH29" i="7"/>
  <c r="AG29" i="7"/>
  <c r="N29" i="7"/>
  <c r="M29" i="7"/>
  <c r="L29" i="7"/>
  <c r="J29" i="7"/>
  <c r="I29" i="7"/>
  <c r="BF28" i="7"/>
  <c r="AL28" i="7"/>
  <c r="AI28" i="7" s="1"/>
  <c r="AK28" i="7"/>
  <c r="AJ28" i="7"/>
  <c r="AH28" i="7"/>
  <c r="AG28" i="7"/>
  <c r="N28" i="7"/>
  <c r="K28" i="7" s="1"/>
  <c r="M28" i="7"/>
  <c r="L28" i="7"/>
  <c r="J28" i="7"/>
  <c r="I28" i="7"/>
  <c r="BF27" i="7"/>
  <c r="AL27" i="7"/>
  <c r="AI27" i="7" s="1"/>
  <c r="AK27" i="7"/>
  <c r="AJ27" i="7"/>
  <c r="AH27" i="7"/>
  <c r="AG27" i="7"/>
  <c r="N27" i="7"/>
  <c r="K27" i="7" s="1"/>
  <c r="M27" i="7"/>
  <c r="L27" i="7"/>
  <c r="J27" i="7"/>
  <c r="I27" i="7"/>
  <c r="BF26" i="7"/>
  <c r="AL26" i="7"/>
  <c r="AK26" i="7"/>
  <c r="AJ26" i="7"/>
  <c r="AH26" i="7"/>
  <c r="AG26" i="7"/>
  <c r="N26" i="7"/>
  <c r="K26" i="7" s="1"/>
  <c r="M26" i="7"/>
  <c r="L26" i="7"/>
  <c r="J26" i="7"/>
  <c r="I26" i="7"/>
  <c r="BF25" i="7"/>
  <c r="AL25" i="7"/>
  <c r="AK25" i="7"/>
  <c r="AJ25" i="7"/>
  <c r="AH25" i="7"/>
  <c r="AG25" i="7"/>
  <c r="N25" i="7"/>
  <c r="K25" i="7" s="1"/>
  <c r="M25" i="7"/>
  <c r="L25" i="7"/>
  <c r="J25" i="7"/>
  <c r="I25" i="7"/>
  <c r="BF24" i="7"/>
  <c r="AL24" i="7"/>
  <c r="AI24" i="7" s="1"/>
  <c r="AK24" i="7"/>
  <c r="AJ24" i="7"/>
  <c r="AH24" i="7"/>
  <c r="AG24" i="7"/>
  <c r="N24" i="7"/>
  <c r="K24" i="7" s="1"/>
  <c r="M24" i="7"/>
  <c r="L24" i="7"/>
  <c r="J24" i="7"/>
  <c r="I24" i="7"/>
  <c r="BF23" i="7"/>
  <c r="AL23" i="7"/>
  <c r="AI23" i="7" s="1"/>
  <c r="AK23" i="7"/>
  <c r="AJ23" i="7"/>
  <c r="AH23" i="7"/>
  <c r="AG23" i="7"/>
  <c r="N23" i="7"/>
  <c r="M23" i="7"/>
  <c r="L23" i="7"/>
  <c r="J23" i="7"/>
  <c r="I23" i="7"/>
  <c r="BF22" i="7"/>
  <c r="AL22" i="7"/>
  <c r="BH20" i="7" s="1" a="1"/>
  <c r="AK22" i="7"/>
  <c r="AJ22" i="7"/>
  <c r="AH22" i="7"/>
  <c r="AG22" i="7"/>
  <c r="N22" i="7"/>
  <c r="K22" i="7" s="1"/>
  <c r="M22" i="7"/>
  <c r="L22" i="7"/>
  <c r="J22" i="7"/>
  <c r="I22" i="7"/>
  <c r="BF21" i="7"/>
  <c r="AL21" i="7"/>
  <c r="AI21" i="7" s="1"/>
  <c r="AK21" i="7"/>
  <c r="AJ21" i="7"/>
  <c r="AH21" i="7"/>
  <c r="AG21" i="7"/>
  <c r="N21" i="7"/>
  <c r="K21" i="7" s="1"/>
  <c r="M21" i="7"/>
  <c r="L21" i="7"/>
  <c r="J21" i="7"/>
  <c r="I21" i="7"/>
  <c r="BF20" i="7"/>
  <c r="AL20" i="7"/>
  <c r="AI20" i="7" s="1"/>
  <c r="AK20" i="7"/>
  <c r="AJ20" i="7"/>
  <c r="AH20" i="7"/>
  <c r="AG20" i="7"/>
  <c r="N20" i="7"/>
  <c r="M20" i="7"/>
  <c r="L20" i="7"/>
  <c r="J20" i="7"/>
  <c r="I20" i="7"/>
  <c r="BF19" i="7"/>
  <c r="AL19" i="7"/>
  <c r="AK19" i="7"/>
  <c r="AJ19" i="7"/>
  <c r="AH19" i="7"/>
  <c r="AG19" i="7"/>
  <c r="N19" i="7"/>
  <c r="K19" i="7" s="1"/>
  <c r="M19" i="7"/>
  <c r="L19" i="7"/>
  <c r="J19" i="7"/>
  <c r="I19" i="7"/>
  <c r="BF18" i="7"/>
  <c r="AL18" i="7"/>
  <c r="AK18" i="7"/>
  <c r="AJ18" i="7"/>
  <c r="AH18" i="7"/>
  <c r="AG18" i="7"/>
  <c r="N18" i="7"/>
  <c r="K18" i="7" s="1"/>
  <c r="M18" i="7"/>
  <c r="L18" i="7"/>
  <c r="J18" i="7"/>
  <c r="I18" i="7"/>
  <c r="BF17" i="7"/>
  <c r="AL17" i="7"/>
  <c r="AI17" i="7" s="1"/>
  <c r="AK17" i="7"/>
  <c r="AJ17" i="7"/>
  <c r="AH17" i="7"/>
  <c r="AG17" i="7"/>
  <c r="N17" i="7"/>
  <c r="K17" i="7" s="1"/>
  <c r="M17" i="7"/>
  <c r="L17" i="7"/>
  <c r="J17" i="7"/>
  <c r="I17" i="7"/>
  <c r="BF16" i="7"/>
  <c r="AL16" i="7"/>
  <c r="AI16" i="7" s="1"/>
  <c r="AK16" i="7"/>
  <c r="AJ16" i="7"/>
  <c r="AH16" i="7"/>
  <c r="AG16" i="7"/>
  <c r="N16" i="7"/>
  <c r="K16" i="7" s="1"/>
  <c r="M16" i="7"/>
  <c r="L16" i="7"/>
  <c r="J16" i="7"/>
  <c r="I16" i="7"/>
  <c r="BF15" i="7"/>
  <c r="AL15" i="7"/>
  <c r="AK15" i="7"/>
  <c r="AJ15" i="7"/>
  <c r="AH15" i="7"/>
  <c r="AG15" i="7"/>
  <c r="N15" i="7"/>
  <c r="K15" i="7" s="1"/>
  <c r="M15" i="7"/>
  <c r="L15" i="7"/>
  <c r="J15" i="7"/>
  <c r="I15" i="7"/>
  <c r="BF14" i="7"/>
  <c r="AL14" i="7"/>
  <c r="AK14" i="7"/>
  <c r="AJ14" i="7"/>
  <c r="AH14" i="7"/>
  <c r="AG14" i="7"/>
  <c r="N14" i="7"/>
  <c r="K14" i="7" s="1"/>
  <c r="M14" i="7"/>
  <c r="L14" i="7"/>
  <c r="J14" i="7"/>
  <c r="I14" i="7"/>
  <c r="BF13" i="7"/>
  <c r="AL13" i="7"/>
  <c r="AK13" i="7"/>
  <c r="AJ13" i="7"/>
  <c r="AH13" i="7"/>
  <c r="AG13" i="7"/>
  <c r="N13" i="7"/>
  <c r="K13" i="7" s="1"/>
  <c r="M13" i="7"/>
  <c r="L13" i="7"/>
  <c r="J13" i="7"/>
  <c r="I13" i="7"/>
  <c r="BF12" i="7"/>
  <c r="AL12" i="7"/>
  <c r="AI12" i="7" s="1"/>
  <c r="AK12" i="7"/>
  <c r="AJ12" i="7"/>
  <c r="AH12" i="7"/>
  <c r="AG12" i="7"/>
  <c r="N12" i="7"/>
  <c r="K12" i="7" s="1"/>
  <c r="M12" i="7"/>
  <c r="L12" i="7"/>
  <c r="J12" i="7"/>
  <c r="I12" i="7"/>
  <c r="BF11" i="7"/>
  <c r="AL11" i="7"/>
  <c r="AI11" i="7" s="1"/>
  <c r="AK11" i="7"/>
  <c r="AJ11" i="7"/>
  <c r="AH11" i="7"/>
  <c r="AG11" i="7"/>
  <c r="N11" i="7"/>
  <c r="K11" i="7" s="1"/>
  <c r="M11" i="7"/>
  <c r="L11" i="7"/>
  <c r="J11" i="7"/>
  <c r="I11" i="7"/>
  <c r="BF10" i="7"/>
  <c r="AL10" i="7"/>
  <c r="AK10" i="7"/>
  <c r="AJ10" i="7"/>
  <c r="AH10" i="7"/>
  <c r="AG10" i="7"/>
  <c r="N10" i="7"/>
  <c r="K10" i="7" s="1"/>
  <c r="M10" i="7"/>
  <c r="L10" i="7"/>
  <c r="J10" i="7"/>
  <c r="I10" i="7"/>
  <c r="BF9" i="7"/>
  <c r="AL9" i="7"/>
  <c r="AK9" i="7"/>
  <c r="AJ9" i="7"/>
  <c r="AH9" i="7"/>
  <c r="AG9" i="7"/>
  <c r="N9" i="7"/>
  <c r="K9" i="7" s="1"/>
  <c r="M9" i="7"/>
  <c r="L9" i="7"/>
  <c r="J9" i="7"/>
  <c r="I9" i="7"/>
  <c r="BF8" i="7"/>
  <c r="AL8" i="7"/>
  <c r="AI8" i="7" s="1"/>
  <c r="AK8" i="7"/>
  <c r="AJ8" i="7"/>
  <c r="AH8" i="7"/>
  <c r="AG8" i="7"/>
  <c r="N8" i="7"/>
  <c r="K8" i="7" s="1"/>
  <c r="M8" i="7"/>
  <c r="L8" i="7"/>
  <c r="J8" i="7"/>
  <c r="I8" i="7"/>
  <c r="BF7" i="7"/>
  <c r="AL7" i="7"/>
  <c r="AI7" i="7" s="1"/>
  <c r="AK7" i="7"/>
  <c r="AJ7" i="7"/>
  <c r="AH7" i="7"/>
  <c r="AG7" i="7"/>
  <c r="N7" i="7"/>
  <c r="K7" i="7" s="1"/>
  <c r="M7" i="7"/>
  <c r="L7" i="7"/>
  <c r="J7" i="7"/>
  <c r="I7" i="7"/>
  <c r="BF6" i="7"/>
  <c r="AL6" i="7"/>
  <c r="AK6" i="7"/>
  <c r="AJ6" i="7"/>
  <c r="AH6" i="7"/>
  <c r="AG6" i="7"/>
  <c r="N6" i="7"/>
  <c r="K6" i="7" s="1"/>
  <c r="M6" i="7"/>
  <c r="L6" i="7"/>
  <c r="J6" i="7"/>
  <c r="I6" i="7"/>
  <c r="BF5" i="7"/>
  <c r="AL5" i="7"/>
  <c r="AI5" i="7" s="1"/>
  <c r="AK5" i="7"/>
  <c r="AJ5" i="7"/>
  <c r="AH5" i="7"/>
  <c r="AG5" i="7"/>
  <c r="N5" i="7"/>
  <c r="K5" i="7" s="1"/>
  <c r="M5" i="7"/>
  <c r="L5" i="7"/>
  <c r="J5" i="7"/>
  <c r="I5" i="7"/>
  <c r="AG1" i="7"/>
  <c r="I1" i="7"/>
  <c r="AZ18" i="6"/>
  <c r="AY18" i="6"/>
  <c r="AX18" i="6"/>
  <c r="AW18" i="6"/>
  <c r="AW19" i="6" s="1"/>
  <c r="C35" i="1" s="1"/>
  <c r="AC18" i="6"/>
  <c r="AB18" i="6"/>
  <c r="AA18" i="6"/>
  <c r="AX19" i="6" s="1"/>
  <c r="Z18" i="6"/>
  <c r="AZ16" i="6"/>
  <c r="AY16" i="6"/>
  <c r="AX16" i="6"/>
  <c r="AW16" i="6"/>
  <c r="AC16" i="6"/>
  <c r="AZ17" i="6" s="1"/>
  <c r="AB16" i="6"/>
  <c r="AA16" i="6"/>
  <c r="Z16" i="6"/>
  <c r="AK11" i="6"/>
  <c r="AH11" i="6" s="1"/>
  <c r="AJ11" i="6"/>
  <c r="AI11" i="6"/>
  <c r="AG11" i="6"/>
  <c r="BB11" i="6" s="1"/>
  <c r="AF11" i="6"/>
  <c r="AE11" i="6"/>
  <c r="N11" i="6"/>
  <c r="M11" i="6"/>
  <c r="L11" i="6"/>
  <c r="K11" i="6"/>
  <c r="J11" i="6"/>
  <c r="I11" i="6"/>
  <c r="H11" i="6"/>
  <c r="AK10" i="6"/>
  <c r="AJ10" i="6"/>
  <c r="AI10" i="6"/>
  <c r="AI14" i="6" s="1"/>
  <c r="AG10" i="6"/>
  <c r="AG14" i="6" s="1"/>
  <c r="AF10" i="6"/>
  <c r="AE10" i="6"/>
  <c r="N10" i="6"/>
  <c r="M10" i="6"/>
  <c r="L10" i="6"/>
  <c r="K10" i="6"/>
  <c r="J10" i="6"/>
  <c r="J14" i="6" s="1"/>
  <c r="I10" i="6"/>
  <c r="H10" i="6"/>
  <c r="AK9" i="6"/>
  <c r="BG9" i="6" s="1" a="1"/>
  <c r="BG9" i="6" s="1"/>
  <c r="BG13" i="6" s="1"/>
  <c r="AJ9" i="6"/>
  <c r="BE9" i="6" s="1"/>
  <c r="AI9" i="6"/>
  <c r="AG9" i="6"/>
  <c r="AF9" i="6"/>
  <c r="AE9" i="6"/>
  <c r="N9" i="6"/>
  <c r="M9" i="6"/>
  <c r="M13" i="6" s="1"/>
  <c r="L9" i="6"/>
  <c r="L13" i="6" s="1"/>
  <c r="J9" i="6"/>
  <c r="J13" i="6" s="1"/>
  <c r="I9" i="6"/>
  <c r="H9" i="6"/>
  <c r="BF8" i="6"/>
  <c r="AK8" i="6"/>
  <c r="AH8" i="6" s="1"/>
  <c r="AJ8" i="6"/>
  <c r="AI8" i="6"/>
  <c r="AG8" i="6"/>
  <c r="AF8" i="6"/>
  <c r="AE8" i="6"/>
  <c r="N8" i="6"/>
  <c r="K8" i="6" s="1"/>
  <c r="M8" i="6"/>
  <c r="L8" i="6"/>
  <c r="BD8" i="6" s="1"/>
  <c r="J8" i="6"/>
  <c r="I8" i="6"/>
  <c r="H8" i="6"/>
  <c r="BE7" i="6"/>
  <c r="AK7" i="6"/>
  <c r="AH7" i="6" s="1"/>
  <c r="AJ7" i="6"/>
  <c r="AI7" i="6"/>
  <c r="AG7" i="6"/>
  <c r="AF7" i="6"/>
  <c r="AE7" i="6"/>
  <c r="N7" i="6"/>
  <c r="K7" i="6" s="1"/>
  <c r="M7" i="6"/>
  <c r="L7" i="6"/>
  <c r="BD7" i="6" s="1"/>
  <c r="J7" i="6"/>
  <c r="I7" i="6"/>
  <c r="H7" i="6"/>
  <c r="AK6" i="6"/>
  <c r="AJ6" i="6"/>
  <c r="AI6" i="6"/>
  <c r="AG6" i="6"/>
  <c r="AF6" i="6"/>
  <c r="AE6" i="6"/>
  <c r="N6" i="6"/>
  <c r="M6" i="6"/>
  <c r="L6" i="6"/>
  <c r="BD6" i="6" s="1"/>
  <c r="K6" i="6"/>
  <c r="J6" i="6"/>
  <c r="I6" i="6"/>
  <c r="H6" i="6"/>
  <c r="AK5" i="6"/>
  <c r="BG5" i="6" s="1" a="1"/>
  <c r="AJ5" i="6"/>
  <c r="AJ12" i="6" s="1"/>
  <c r="AI5" i="6"/>
  <c r="AG5" i="6"/>
  <c r="AF5" i="6"/>
  <c r="AE5" i="6"/>
  <c r="N5" i="6"/>
  <c r="BF5" i="6" s="1"/>
  <c r="M5" i="6"/>
  <c r="L5" i="6"/>
  <c r="J5" i="6"/>
  <c r="I5" i="6"/>
  <c r="H5" i="6"/>
  <c r="AE1" i="6"/>
  <c r="H1" i="6"/>
  <c r="AZ18" i="5"/>
  <c r="AZ19" i="5" s="1"/>
  <c r="AY18" i="5"/>
  <c r="AY19" i="5" s="1"/>
  <c r="AX18" i="5"/>
  <c r="AW18" i="5"/>
  <c r="AC18" i="5"/>
  <c r="AB18" i="5"/>
  <c r="AA18" i="5"/>
  <c r="Z18" i="5"/>
  <c r="AZ16" i="5"/>
  <c r="AY16" i="5"/>
  <c r="AY17" i="5" s="1"/>
  <c r="AX16" i="5"/>
  <c r="AW16" i="5"/>
  <c r="AC16" i="5"/>
  <c r="AZ17" i="5" s="1"/>
  <c r="AB16" i="5"/>
  <c r="AA16" i="5"/>
  <c r="AX17" i="5" s="1"/>
  <c r="Z16" i="5"/>
  <c r="AG13" i="5"/>
  <c r="J13" i="5"/>
  <c r="AK11" i="5"/>
  <c r="AJ11" i="5"/>
  <c r="BE11" i="5" s="1"/>
  <c r="AI11" i="5"/>
  <c r="AG11" i="5"/>
  <c r="AF11" i="5"/>
  <c r="AE11" i="5"/>
  <c r="N11" i="5"/>
  <c r="M11" i="5"/>
  <c r="L11" i="5"/>
  <c r="K11" i="5"/>
  <c r="J11" i="5"/>
  <c r="I11" i="5"/>
  <c r="H11" i="5"/>
  <c r="AK10" i="5"/>
  <c r="AH10" i="5" s="1"/>
  <c r="AJ10" i="5"/>
  <c r="AI10" i="5"/>
  <c r="AG10" i="5"/>
  <c r="AF10" i="5"/>
  <c r="AE10" i="5"/>
  <c r="N10" i="5"/>
  <c r="K10" i="5" s="1"/>
  <c r="K14" i="5" s="1"/>
  <c r="M10" i="5"/>
  <c r="M14" i="5" s="1"/>
  <c r="L10" i="5"/>
  <c r="L14" i="5" s="1"/>
  <c r="J10" i="5"/>
  <c r="I10" i="5"/>
  <c r="H10" i="5"/>
  <c r="AK9" i="5"/>
  <c r="AH9" i="5" s="1"/>
  <c r="AH13" i="5" s="1"/>
  <c r="AJ9" i="5"/>
  <c r="AJ13" i="5" s="1"/>
  <c r="AI9" i="5"/>
  <c r="AI13" i="5" s="1"/>
  <c r="AG9" i="5"/>
  <c r="AF9" i="5"/>
  <c r="AE9" i="5"/>
  <c r="N9" i="5"/>
  <c r="M9" i="5"/>
  <c r="M13" i="5" s="1"/>
  <c r="L9" i="5"/>
  <c r="BD9" i="5" s="1"/>
  <c r="J9" i="5"/>
  <c r="I9" i="5"/>
  <c r="H9" i="5"/>
  <c r="BD8" i="5"/>
  <c r="AK8" i="5"/>
  <c r="AH8" i="5" s="1"/>
  <c r="AJ8" i="5"/>
  <c r="AI8" i="5"/>
  <c r="AG8" i="5"/>
  <c r="AF8" i="5"/>
  <c r="AE8" i="5"/>
  <c r="N8" i="5"/>
  <c r="K8" i="5" s="1"/>
  <c r="M8" i="5"/>
  <c r="M12" i="5" s="1"/>
  <c r="L8" i="5"/>
  <c r="J8" i="5"/>
  <c r="I8" i="5"/>
  <c r="H8" i="5"/>
  <c r="AK7" i="5"/>
  <c r="AJ7" i="5"/>
  <c r="AI7" i="5"/>
  <c r="AG7" i="5"/>
  <c r="AF7" i="5"/>
  <c r="AE7" i="5"/>
  <c r="N7" i="5"/>
  <c r="M7" i="5"/>
  <c r="L7" i="5"/>
  <c r="K7" i="5"/>
  <c r="J7" i="5"/>
  <c r="I7" i="5"/>
  <c r="H7" i="5"/>
  <c r="AK6" i="5"/>
  <c r="AJ6" i="5"/>
  <c r="AI6" i="5"/>
  <c r="BD6" i="5" s="1"/>
  <c r="AH6" i="5"/>
  <c r="AG6" i="5"/>
  <c r="AF6" i="5"/>
  <c r="AE6" i="5"/>
  <c r="N6" i="5"/>
  <c r="K6" i="5" s="1"/>
  <c r="M6" i="5"/>
  <c r="L6" i="5"/>
  <c r="J6" i="5"/>
  <c r="I6" i="5"/>
  <c r="H6" i="5"/>
  <c r="BC5" i="5"/>
  <c r="AK5" i="5"/>
  <c r="AH5" i="5" s="1"/>
  <c r="AJ5" i="5"/>
  <c r="AI5" i="5"/>
  <c r="AG5" i="5"/>
  <c r="AF5" i="5"/>
  <c r="AE5" i="5"/>
  <c r="N5" i="5"/>
  <c r="M5" i="5"/>
  <c r="L5" i="5"/>
  <c r="K5" i="5"/>
  <c r="J5" i="5"/>
  <c r="I5" i="5"/>
  <c r="H5" i="5"/>
  <c r="AE1" i="5"/>
  <c r="H1" i="5"/>
  <c r="BC46" i="3"/>
  <c r="BB46" i="3"/>
  <c r="BA46" i="3"/>
  <c r="AZ46" i="3"/>
  <c r="AC46" i="3"/>
  <c r="AB46" i="3"/>
  <c r="BC44" i="3"/>
  <c r="BB44" i="3"/>
  <c r="BA44" i="3"/>
  <c r="AZ44" i="3"/>
  <c r="AC44" i="3"/>
  <c r="AB44" i="3"/>
  <c r="BF39" i="3"/>
  <c r="AL39" i="3"/>
  <c r="AI39" i="3" s="1"/>
  <c r="AK39" i="3"/>
  <c r="AJ39" i="3"/>
  <c r="AH39" i="3"/>
  <c r="AG39" i="3"/>
  <c r="N39" i="3"/>
  <c r="K39" i="3" s="1"/>
  <c r="M39" i="3"/>
  <c r="L39" i="3"/>
  <c r="J39" i="3"/>
  <c r="I39" i="3"/>
  <c r="BF38" i="3"/>
  <c r="AL38" i="3"/>
  <c r="AI38" i="3" s="1"/>
  <c r="AK38" i="3"/>
  <c r="AJ38" i="3"/>
  <c r="AH38" i="3"/>
  <c r="AG38" i="3"/>
  <c r="N38" i="3"/>
  <c r="M38" i="3"/>
  <c r="L38" i="3"/>
  <c r="J38" i="3"/>
  <c r="I38" i="3"/>
  <c r="BF37" i="3"/>
  <c r="AL37" i="3"/>
  <c r="AK37" i="3"/>
  <c r="AJ37" i="3"/>
  <c r="AH37" i="3"/>
  <c r="AG37" i="3"/>
  <c r="N37" i="3"/>
  <c r="K37" i="3" s="1"/>
  <c r="M37" i="3"/>
  <c r="L37" i="3"/>
  <c r="J37" i="3"/>
  <c r="I37" i="3"/>
  <c r="BF36" i="3"/>
  <c r="AL36" i="3"/>
  <c r="AI36" i="3" s="1"/>
  <c r="AK36" i="3"/>
  <c r="AJ36" i="3"/>
  <c r="AH36" i="3"/>
  <c r="AG36" i="3"/>
  <c r="N36" i="3"/>
  <c r="M36" i="3"/>
  <c r="L36" i="3"/>
  <c r="J36" i="3"/>
  <c r="I36" i="3"/>
  <c r="BF35" i="3"/>
  <c r="AL35" i="3"/>
  <c r="AK35" i="3"/>
  <c r="AJ35" i="3"/>
  <c r="AH35" i="3"/>
  <c r="AG35" i="3"/>
  <c r="N35" i="3"/>
  <c r="K35" i="3" s="1"/>
  <c r="M35" i="3"/>
  <c r="L35" i="3"/>
  <c r="J35" i="3"/>
  <c r="I35" i="3"/>
  <c r="BF34" i="3"/>
  <c r="AL34" i="3"/>
  <c r="AI34" i="3" s="1"/>
  <c r="AK34" i="3"/>
  <c r="AJ34" i="3"/>
  <c r="AH34" i="3"/>
  <c r="AG34" i="3"/>
  <c r="N34" i="3"/>
  <c r="K34" i="3" s="1"/>
  <c r="M34" i="3"/>
  <c r="L34" i="3"/>
  <c r="J34" i="3"/>
  <c r="I34" i="3"/>
  <c r="BF33" i="3"/>
  <c r="AL33" i="3"/>
  <c r="AI33" i="3" s="1"/>
  <c r="AK33" i="3"/>
  <c r="AJ33" i="3"/>
  <c r="AH33" i="3"/>
  <c r="AG33" i="3"/>
  <c r="N33" i="3"/>
  <c r="K33" i="3" s="1"/>
  <c r="M33" i="3"/>
  <c r="L33" i="3"/>
  <c r="J33" i="3"/>
  <c r="I33" i="3"/>
  <c r="BF32" i="3"/>
  <c r="AL32" i="3"/>
  <c r="AI32" i="3" s="1"/>
  <c r="AK32" i="3"/>
  <c r="AJ32" i="3"/>
  <c r="AH32" i="3"/>
  <c r="AG32" i="3"/>
  <c r="N32" i="3"/>
  <c r="K32" i="3" s="1"/>
  <c r="M32" i="3"/>
  <c r="L32" i="3"/>
  <c r="J32" i="3"/>
  <c r="I32" i="3"/>
  <c r="BF31" i="3"/>
  <c r="AL31" i="3"/>
  <c r="AK31" i="3"/>
  <c r="AJ31" i="3"/>
  <c r="AH31" i="3"/>
  <c r="AG31" i="3"/>
  <c r="N31" i="3"/>
  <c r="K31" i="3" s="1"/>
  <c r="M31" i="3"/>
  <c r="L31" i="3"/>
  <c r="J31" i="3"/>
  <c r="I31" i="3"/>
  <c r="BF30" i="3"/>
  <c r="AL30" i="3"/>
  <c r="AI30" i="3" s="1"/>
  <c r="AK30" i="3"/>
  <c r="AJ30" i="3"/>
  <c r="AH30" i="3"/>
  <c r="AG30" i="3"/>
  <c r="N30" i="3"/>
  <c r="K30" i="3" s="1"/>
  <c r="M30" i="3"/>
  <c r="L30" i="3"/>
  <c r="J30" i="3"/>
  <c r="I30" i="3"/>
  <c r="BF29" i="3"/>
  <c r="AL29" i="3"/>
  <c r="AI29" i="3" s="1"/>
  <c r="AK29" i="3"/>
  <c r="AJ29" i="3"/>
  <c r="AH29" i="3"/>
  <c r="AG29" i="3"/>
  <c r="N29" i="3"/>
  <c r="K29" i="3" s="1"/>
  <c r="M29" i="3"/>
  <c r="L29" i="3"/>
  <c r="J29" i="3"/>
  <c r="I29" i="3"/>
  <c r="BF28" i="3"/>
  <c r="AL28" i="3"/>
  <c r="AI28" i="3" s="1"/>
  <c r="AK28" i="3"/>
  <c r="AJ28" i="3"/>
  <c r="AH28" i="3"/>
  <c r="AG28" i="3"/>
  <c r="N28" i="3"/>
  <c r="K28" i="3" s="1"/>
  <c r="M28" i="3"/>
  <c r="L28" i="3"/>
  <c r="J28" i="3"/>
  <c r="I28" i="3"/>
  <c r="BF27" i="3"/>
  <c r="AL27" i="3"/>
  <c r="AK27" i="3"/>
  <c r="AJ27" i="3"/>
  <c r="AH27" i="3"/>
  <c r="AG27" i="3"/>
  <c r="N27" i="3"/>
  <c r="K27" i="3" s="1"/>
  <c r="M27" i="3"/>
  <c r="L27" i="3"/>
  <c r="J27" i="3"/>
  <c r="I27" i="3"/>
  <c r="BF26" i="3"/>
  <c r="AL26" i="3"/>
  <c r="AK26" i="3"/>
  <c r="AJ26" i="3"/>
  <c r="AH26" i="3"/>
  <c r="AG26" i="3"/>
  <c r="N26" i="3"/>
  <c r="K26" i="3" s="1"/>
  <c r="M26" i="3"/>
  <c r="L26" i="3"/>
  <c r="J26" i="3"/>
  <c r="I26" i="3"/>
  <c r="BF25" i="3"/>
  <c r="AL25" i="3"/>
  <c r="AK25" i="3"/>
  <c r="AJ25" i="3"/>
  <c r="AH25" i="3"/>
  <c r="AG25" i="3"/>
  <c r="N25" i="3"/>
  <c r="K25" i="3" s="1"/>
  <c r="M25" i="3"/>
  <c r="L25" i="3"/>
  <c r="J25" i="3"/>
  <c r="I25" i="3"/>
  <c r="BF24" i="3"/>
  <c r="AL24" i="3"/>
  <c r="AI24" i="3" s="1"/>
  <c r="AK24" i="3"/>
  <c r="AJ24" i="3"/>
  <c r="AH24" i="3"/>
  <c r="AG24" i="3"/>
  <c r="N24" i="3"/>
  <c r="K24" i="3" s="1"/>
  <c r="M24" i="3"/>
  <c r="L24" i="3"/>
  <c r="J24" i="3"/>
  <c r="I24" i="3"/>
  <c r="BF23" i="3"/>
  <c r="AL23" i="3"/>
  <c r="AI23" i="3" s="1"/>
  <c r="AK23" i="3"/>
  <c r="AJ23" i="3"/>
  <c r="AH23" i="3"/>
  <c r="AG23" i="3"/>
  <c r="N23" i="3"/>
  <c r="K23" i="3" s="1"/>
  <c r="M23" i="3"/>
  <c r="L23" i="3"/>
  <c r="J23" i="3"/>
  <c r="I23" i="3"/>
  <c r="BF22" i="3"/>
  <c r="AL22" i="3"/>
  <c r="AK22" i="3"/>
  <c r="AJ22" i="3"/>
  <c r="AH22" i="3"/>
  <c r="AG22" i="3"/>
  <c r="N22" i="3"/>
  <c r="K22" i="3" s="1"/>
  <c r="M22" i="3"/>
  <c r="L22" i="3"/>
  <c r="J22" i="3"/>
  <c r="I22" i="3"/>
  <c r="BF21" i="3"/>
  <c r="AL21" i="3"/>
  <c r="AK21" i="3"/>
  <c r="AJ21" i="3"/>
  <c r="AH21" i="3"/>
  <c r="AG21" i="3"/>
  <c r="N21" i="3"/>
  <c r="K21" i="3" s="1"/>
  <c r="M21" i="3"/>
  <c r="L21" i="3"/>
  <c r="J21" i="3"/>
  <c r="I21" i="3"/>
  <c r="BF20" i="3"/>
  <c r="AL20" i="3"/>
  <c r="AI20" i="3" s="1"/>
  <c r="AK20" i="3"/>
  <c r="AJ20" i="3"/>
  <c r="AH20" i="3"/>
  <c r="AG20" i="3"/>
  <c r="N20" i="3"/>
  <c r="M20" i="3"/>
  <c r="L20" i="3"/>
  <c r="J20" i="3"/>
  <c r="I20" i="3"/>
  <c r="BF19" i="3"/>
  <c r="AL19" i="3"/>
  <c r="AI19" i="3" s="1"/>
  <c r="AK19" i="3"/>
  <c r="AJ19" i="3"/>
  <c r="AH19" i="3"/>
  <c r="AG19" i="3"/>
  <c r="N19" i="3"/>
  <c r="K19" i="3" s="1"/>
  <c r="M19" i="3"/>
  <c r="L19" i="3"/>
  <c r="J19" i="3"/>
  <c r="I19" i="3"/>
  <c r="BF18" i="3"/>
  <c r="AL18" i="3"/>
  <c r="AK18" i="3"/>
  <c r="AJ18" i="3"/>
  <c r="AH18" i="3"/>
  <c r="AG18" i="3"/>
  <c r="N18" i="3"/>
  <c r="K18" i="3" s="1"/>
  <c r="M18" i="3"/>
  <c r="L18" i="3"/>
  <c r="J18" i="3"/>
  <c r="I18" i="3"/>
  <c r="BF17" i="3"/>
  <c r="AL17" i="3"/>
  <c r="AI17" i="3" s="1"/>
  <c r="AK17" i="3"/>
  <c r="AJ17" i="3"/>
  <c r="AH17" i="3"/>
  <c r="AG17" i="3"/>
  <c r="N17" i="3"/>
  <c r="K17" i="3" s="1"/>
  <c r="M17" i="3"/>
  <c r="L17" i="3"/>
  <c r="J17" i="3"/>
  <c r="I17" i="3"/>
  <c r="BF16" i="3"/>
  <c r="AL16" i="3"/>
  <c r="AK16" i="3"/>
  <c r="AJ16" i="3"/>
  <c r="AH16" i="3"/>
  <c r="AG16" i="3"/>
  <c r="N16" i="3"/>
  <c r="K16" i="3" s="1"/>
  <c r="M16" i="3"/>
  <c r="L16" i="3"/>
  <c r="J16" i="3"/>
  <c r="I16" i="3"/>
  <c r="BF15" i="3"/>
  <c r="AL15" i="3"/>
  <c r="AI15" i="3" s="1"/>
  <c r="AK15" i="3"/>
  <c r="AJ15" i="3"/>
  <c r="AH15" i="3"/>
  <c r="AG15" i="3"/>
  <c r="N15" i="3"/>
  <c r="K15" i="3" s="1"/>
  <c r="M15" i="3"/>
  <c r="L15" i="3"/>
  <c r="J15" i="3"/>
  <c r="I15" i="3"/>
  <c r="BF14" i="3"/>
  <c r="AL14" i="3"/>
  <c r="AK14" i="3"/>
  <c r="AJ14" i="3"/>
  <c r="AH14" i="3"/>
  <c r="AG14" i="3"/>
  <c r="N14" i="3"/>
  <c r="K14" i="3" s="1"/>
  <c r="M14" i="3"/>
  <c r="L14" i="3"/>
  <c r="J14" i="3"/>
  <c r="I14" i="3"/>
  <c r="BF13" i="3"/>
  <c r="AL13" i="3"/>
  <c r="AI13" i="3" s="1"/>
  <c r="AK13" i="3"/>
  <c r="AJ13" i="3"/>
  <c r="AH13" i="3"/>
  <c r="AG13" i="3"/>
  <c r="N13" i="3"/>
  <c r="K13" i="3" s="1"/>
  <c r="M13" i="3"/>
  <c r="L13" i="3"/>
  <c r="J13" i="3"/>
  <c r="I13" i="3"/>
  <c r="BF12" i="3"/>
  <c r="AL12" i="3"/>
  <c r="AI12" i="3" s="1"/>
  <c r="AK12" i="3"/>
  <c r="AJ12" i="3"/>
  <c r="AH12" i="3"/>
  <c r="AG12" i="3"/>
  <c r="N12" i="3"/>
  <c r="K12" i="3" s="1"/>
  <c r="M12" i="3"/>
  <c r="L12" i="3"/>
  <c r="J12" i="3"/>
  <c r="I12" i="3"/>
  <c r="BF11" i="3"/>
  <c r="AL11" i="3"/>
  <c r="AI11" i="3" s="1"/>
  <c r="AK11" i="3"/>
  <c r="AJ11" i="3"/>
  <c r="AH11" i="3"/>
  <c r="AG11" i="3"/>
  <c r="N11" i="3"/>
  <c r="M11" i="3"/>
  <c r="L11" i="3"/>
  <c r="J11" i="3"/>
  <c r="I11" i="3"/>
  <c r="BF10" i="3"/>
  <c r="AL10" i="3"/>
  <c r="AK10" i="3"/>
  <c r="AJ10" i="3"/>
  <c r="AH10" i="3"/>
  <c r="AG10" i="3"/>
  <c r="N10" i="3"/>
  <c r="M10" i="3"/>
  <c r="L10" i="3"/>
  <c r="J10" i="3"/>
  <c r="I10" i="3"/>
  <c r="BF9" i="3"/>
  <c r="AL9" i="3"/>
  <c r="AI9" i="3" s="1"/>
  <c r="AK9" i="3"/>
  <c r="AJ9" i="3"/>
  <c r="AH9" i="3"/>
  <c r="AG9" i="3"/>
  <c r="N9" i="3"/>
  <c r="K9" i="3" s="1"/>
  <c r="M9" i="3"/>
  <c r="L9" i="3"/>
  <c r="J9" i="3"/>
  <c r="I9" i="3"/>
  <c r="BF8" i="3"/>
  <c r="AL8" i="3"/>
  <c r="AI8" i="3" s="1"/>
  <c r="AK8" i="3"/>
  <c r="AJ8" i="3"/>
  <c r="AH8" i="3"/>
  <c r="AG8" i="3"/>
  <c r="N8" i="3"/>
  <c r="K8" i="3" s="1"/>
  <c r="M8" i="3"/>
  <c r="L8" i="3"/>
  <c r="J8" i="3"/>
  <c r="I8" i="3"/>
  <c r="BF7" i="3"/>
  <c r="AL7" i="3"/>
  <c r="AK7" i="3"/>
  <c r="AJ7" i="3"/>
  <c r="AH7" i="3"/>
  <c r="AG7" i="3"/>
  <c r="N7" i="3"/>
  <c r="K7" i="3" s="1"/>
  <c r="M7" i="3"/>
  <c r="L7" i="3"/>
  <c r="J7" i="3"/>
  <c r="I7" i="3"/>
  <c r="BF6" i="3"/>
  <c r="AL6" i="3"/>
  <c r="AK6" i="3"/>
  <c r="AJ6" i="3"/>
  <c r="AH6" i="3"/>
  <c r="AG6" i="3"/>
  <c r="N6" i="3"/>
  <c r="K6" i="3" s="1"/>
  <c r="M6" i="3"/>
  <c r="L6" i="3"/>
  <c r="J6" i="3"/>
  <c r="I6" i="3"/>
  <c r="BF5" i="3"/>
  <c r="AL5" i="3"/>
  <c r="AI5" i="3" s="1"/>
  <c r="AK5" i="3"/>
  <c r="AJ5" i="3"/>
  <c r="AH5" i="3"/>
  <c r="AG5" i="3"/>
  <c r="N5" i="3"/>
  <c r="K5" i="3" s="1"/>
  <c r="M5" i="3"/>
  <c r="L5" i="3"/>
  <c r="J5" i="3"/>
  <c r="I5" i="3"/>
  <c r="AG1" i="3"/>
  <c r="I1" i="3"/>
  <c r="B1" i="2"/>
  <c r="B2" i="2" s="1"/>
  <c r="BN20" i="7"/>
  <c r="BM20" i="7"/>
  <c r="BQ25" i="7"/>
  <c r="BM35" i="7"/>
  <c r="BM10" i="7"/>
  <c r="BR35" i="7"/>
  <c r="BL5" i="7"/>
  <c r="BR5" i="7"/>
  <c r="BP10" i="7"/>
  <c r="BS15" i="7"/>
  <c r="BT35" i="7"/>
  <c r="BM5" i="7"/>
  <c r="BN10" i="7"/>
  <c r="BS10" i="7"/>
  <c r="BP15" i="7"/>
  <c r="BQ35" i="7"/>
  <c r="BL35" i="7"/>
  <c r="BN30" i="7"/>
  <c r="BR25" i="7"/>
  <c r="BL20" i="7"/>
  <c r="BT30" i="7"/>
  <c r="BT20" i="7"/>
  <c r="BN25" i="7"/>
  <c r="BP30" i="7"/>
  <c r="BR20" i="7"/>
  <c r="BT15" i="7"/>
  <c r="BS5" i="7"/>
  <c r="BR30" i="7"/>
  <c r="BS35" i="7"/>
  <c r="BT10" i="7"/>
  <c r="BN15" i="7"/>
  <c r="BP25" i="7"/>
  <c r="BQ20" i="7"/>
  <c r="BQ15" i="7"/>
  <c r="BQ10" i="7"/>
  <c r="BM15" i="7"/>
  <c r="BQ30" i="7"/>
  <c r="BS25" i="7"/>
  <c r="BL15" i="7"/>
  <c r="BT25" i="7"/>
  <c r="BP20" i="7"/>
  <c r="BN35" i="7"/>
  <c r="BN5" i="7"/>
  <c r="BL30" i="7"/>
  <c r="BM30" i="7"/>
  <c r="BS20" i="7"/>
  <c r="BL10" i="7"/>
  <c r="BS30" i="7"/>
  <c r="BR15" i="7"/>
  <c r="BL25" i="7"/>
  <c r="BM25" i="7"/>
  <c r="BR10" i="7"/>
  <c r="BK5" i="7"/>
  <c r="BP35" i="7"/>
  <c r="BP5" i="7"/>
  <c r="BT5" i="7"/>
  <c r="BQ5" i="7"/>
  <c r="BK15" i="7"/>
  <c r="BK25" i="7"/>
  <c r="BL15" i="3"/>
  <c r="BP20" i="3"/>
  <c r="BK20" i="3"/>
  <c r="BN5" i="3"/>
  <c r="BS20" i="3"/>
  <c r="BM15" i="3"/>
  <c r="BN20" i="3"/>
  <c r="BP25" i="3"/>
  <c r="BR35" i="3"/>
  <c r="BS10" i="3"/>
  <c r="BT25" i="3"/>
  <c r="BP35" i="3"/>
  <c r="BM35" i="3"/>
  <c r="BP5" i="3"/>
  <c r="BN30" i="3"/>
  <c r="BK15" i="3"/>
  <c r="BJ15" i="3"/>
  <c r="BL30" i="3"/>
  <c r="BL10" i="3"/>
  <c r="BP10" i="3"/>
  <c r="BR15" i="3"/>
  <c r="BM10" i="3"/>
  <c r="BT10" i="3"/>
  <c r="BL20" i="3"/>
  <c r="BQ10" i="3"/>
  <c r="BP15" i="3"/>
  <c r="BT20" i="3"/>
  <c r="BN15" i="3"/>
  <c r="BQ30" i="3"/>
  <c r="BR30" i="3"/>
  <c r="BP30" i="3"/>
  <c r="BM30" i="3"/>
  <c r="BQ5" i="3"/>
  <c r="BS5" i="3"/>
  <c r="BN25" i="3"/>
  <c r="BT30" i="3"/>
  <c r="BS25" i="3"/>
  <c r="BT35" i="3"/>
  <c r="BR5" i="3"/>
  <c r="BM25" i="3"/>
  <c r="BN35" i="3"/>
  <c r="BR25" i="3"/>
  <c r="BM20" i="3"/>
  <c r="BR20" i="3"/>
  <c r="BQ20" i="3"/>
  <c r="BS15" i="3"/>
  <c r="BT5" i="3"/>
  <c r="BL5" i="3"/>
  <c r="BL35" i="3"/>
  <c r="BM5" i="3"/>
  <c r="BN10" i="3"/>
  <c r="BQ15" i="3"/>
  <c r="BS30" i="3"/>
  <c r="BS35" i="3"/>
  <c r="BT15" i="3"/>
  <c r="BK10" i="3"/>
  <c r="BR10" i="3"/>
  <c r="BL25" i="3"/>
  <c r="BQ25" i="3"/>
  <c r="BQ35" i="3"/>
  <c r="BH15" i="3" l="1" a="1"/>
  <c r="BH35" i="3" a="1"/>
  <c r="BH10" i="3" a="1"/>
  <c r="CI5" i="7"/>
  <c r="CG10" i="7"/>
  <c r="CH6" i="7"/>
  <c r="CB8" i="7"/>
  <c r="CG9" i="7"/>
  <c r="BZ5" i="7"/>
  <c r="CA5" i="7"/>
  <c r="CF6" i="7"/>
  <c r="CG11" i="7"/>
  <c r="CF9" i="7"/>
  <c r="CF5" i="7"/>
  <c r="CC5" i="7"/>
  <c r="CI8" i="7"/>
  <c r="CB6" i="7"/>
  <c r="CG8" i="7"/>
  <c r="CF8" i="7"/>
  <c r="CE6" i="7"/>
  <c r="CI9" i="7"/>
  <c r="CG6" i="7"/>
  <c r="CB10" i="7"/>
  <c r="CE10" i="7"/>
  <c r="CC7" i="7"/>
  <c r="CA8" i="7"/>
  <c r="CB9" i="7"/>
  <c r="CH9" i="7"/>
  <c r="CB5" i="7"/>
  <c r="CA6" i="7"/>
  <c r="BZ9" i="7"/>
  <c r="CC9" i="7"/>
  <c r="CH8" i="7"/>
  <c r="CE8" i="7"/>
  <c r="CF7" i="7"/>
  <c r="CI11" i="7"/>
  <c r="CE9" i="7"/>
  <c r="CB7" i="7"/>
  <c r="CA10" i="7"/>
  <c r="CH5" i="7"/>
  <c r="CC11" i="7"/>
  <c r="CH10" i="7"/>
  <c r="CC6" i="7"/>
  <c r="CB11" i="7"/>
  <c r="CI6" i="7"/>
  <c r="CH11" i="7"/>
  <c r="CI7" i="7"/>
  <c r="CE5" i="7"/>
  <c r="CE7" i="7"/>
  <c r="CA11" i="7"/>
  <c r="CH7" i="7"/>
  <c r="CF11" i="7"/>
  <c r="CA7" i="7"/>
  <c r="CC8" i="7"/>
  <c r="CA9" i="7"/>
  <c r="CG5" i="7"/>
  <c r="CI10" i="7"/>
  <c r="CC10" i="7"/>
  <c r="CG7" i="7"/>
  <c r="CF10" i="7"/>
  <c r="CE11" i="7"/>
  <c r="BZ7" i="7"/>
  <c r="CF11" i="3"/>
  <c r="CB6" i="3"/>
  <c r="CE5" i="3"/>
  <c r="CA5" i="3"/>
  <c r="CH8" i="3"/>
  <c r="CH5" i="3"/>
  <c r="CB9" i="3"/>
  <c r="CI9" i="3"/>
  <c r="CA8" i="3"/>
  <c r="CH9" i="3"/>
  <c r="BY7" i="3"/>
  <c r="CA10" i="3"/>
  <c r="CE10" i="3"/>
  <c r="CB11" i="3"/>
  <c r="CH6" i="3"/>
  <c r="BZ7" i="3"/>
  <c r="CE11" i="3"/>
  <c r="CI5" i="3"/>
  <c r="CC11" i="3"/>
  <c r="CE8" i="3"/>
  <c r="CG9" i="3"/>
  <c r="BZ6" i="3"/>
  <c r="CI6" i="3"/>
  <c r="CG11" i="3"/>
  <c r="CH7" i="3"/>
  <c r="CF6" i="3"/>
  <c r="CB7" i="3"/>
  <c r="CC9" i="3"/>
  <c r="CF7" i="3"/>
  <c r="CG8" i="3"/>
  <c r="CG5" i="3"/>
  <c r="CG6" i="3"/>
  <c r="CI8" i="3"/>
  <c r="CA7" i="3"/>
  <c r="CH10" i="3"/>
  <c r="CI7" i="3"/>
  <c r="CC6" i="3"/>
  <c r="CG10" i="3"/>
  <c r="CC7" i="3"/>
  <c r="CE6" i="3"/>
  <c r="CB5" i="3"/>
  <c r="CF5" i="3"/>
  <c r="CE7" i="3"/>
  <c r="CF8" i="3"/>
  <c r="CF9" i="3"/>
  <c r="CF10" i="3"/>
  <c r="CE9" i="3"/>
  <c r="CB8" i="3"/>
  <c r="CI11" i="3"/>
  <c r="CH11" i="3"/>
  <c r="CG7" i="3"/>
  <c r="CA6" i="3"/>
  <c r="CI10" i="3"/>
  <c r="CB10" i="3"/>
  <c r="CC8" i="3"/>
  <c r="CA9" i="3"/>
  <c r="CC5" i="3"/>
  <c r="BZ8" i="3"/>
  <c r="CC10" i="3"/>
  <c r="CA11" i="3"/>
  <c r="BG7" i="3"/>
  <c r="BB47" i="3"/>
  <c r="C14" i="1" s="1"/>
  <c r="BG11" i="3"/>
  <c r="BA45" i="3"/>
  <c r="M41" i="7"/>
  <c r="BG26" i="3"/>
  <c r="BE28" i="7"/>
  <c r="BG36" i="3"/>
  <c r="K11" i="3"/>
  <c r="BE11" i="3" s="1"/>
  <c r="J41" i="3"/>
  <c r="BG18" i="3"/>
  <c r="BG25" i="7"/>
  <c r="BG22" i="3"/>
  <c r="BG33" i="7"/>
  <c r="AJ41" i="7"/>
  <c r="AJ42" i="7"/>
  <c r="BG23" i="7"/>
  <c r="BG29" i="7"/>
  <c r="BE37" i="7"/>
  <c r="BB45" i="3"/>
  <c r="BY16" i="3" s="1"/>
  <c r="AI7" i="3"/>
  <c r="BE7" i="3" s="1"/>
  <c r="L43" i="7"/>
  <c r="L42" i="7"/>
  <c r="BG31" i="7"/>
  <c r="K23" i="7"/>
  <c r="BE23" i="7" s="1"/>
  <c r="L41" i="7"/>
  <c r="BE32" i="7"/>
  <c r="K33" i="7"/>
  <c r="BE33" i="7" s="1"/>
  <c r="AZ47" i="7"/>
  <c r="C47" i="1" s="1"/>
  <c r="BG27" i="7"/>
  <c r="BA45" i="7"/>
  <c r="BA47" i="7"/>
  <c r="BG9" i="7"/>
  <c r="BG13" i="7"/>
  <c r="BG19" i="7"/>
  <c r="J41" i="7"/>
  <c r="J42" i="7"/>
  <c r="BB47" i="7"/>
  <c r="C48" i="1" s="1"/>
  <c r="BC47" i="7"/>
  <c r="BG6" i="3"/>
  <c r="BG25" i="3"/>
  <c r="L42" i="3"/>
  <c r="BG21" i="3"/>
  <c r="M41" i="3"/>
  <c r="BG27" i="3"/>
  <c r="K36" i="3"/>
  <c r="BE36" i="3" s="1"/>
  <c r="AI9" i="7"/>
  <c r="BE9" i="7" s="1"/>
  <c r="AI13" i="7"/>
  <c r="BE13" i="7" s="1"/>
  <c r="AI15" i="7"/>
  <c r="BE15" i="7" s="1"/>
  <c r="BG11" i="7"/>
  <c r="BG15" i="7"/>
  <c r="AI19" i="7"/>
  <c r="BE19" i="7" s="1"/>
  <c r="AI21" i="3"/>
  <c r="BE21" i="3" s="1"/>
  <c r="BE9" i="3"/>
  <c r="AH41" i="3"/>
  <c r="AJ41" i="3"/>
  <c r="AH41" i="7"/>
  <c r="AI25" i="7"/>
  <c r="BE25" i="7" s="1"/>
  <c r="AH42" i="7"/>
  <c r="AI31" i="7"/>
  <c r="BE31" i="7" s="1"/>
  <c r="AK41" i="7"/>
  <c r="BH20" i="7"/>
  <c r="BE5" i="7"/>
  <c r="BE17" i="7"/>
  <c r="AZ45" i="7"/>
  <c r="BE8" i="7"/>
  <c r="AH43" i="7"/>
  <c r="BG17" i="7"/>
  <c r="BE21" i="7"/>
  <c r="M43" i="7"/>
  <c r="K29" i="7"/>
  <c r="BE29" i="7" s="1"/>
  <c r="BE39" i="7"/>
  <c r="BE24" i="7"/>
  <c r="BE27" i="7"/>
  <c r="BG37" i="7"/>
  <c r="BG39" i="7"/>
  <c r="BE11" i="7"/>
  <c r="BE7" i="7"/>
  <c r="BG5" i="7"/>
  <c r="BG7" i="7"/>
  <c r="BG21" i="7"/>
  <c r="BE35" i="7"/>
  <c r="BB45" i="7"/>
  <c r="BY16" i="7" s="1"/>
  <c r="BC45" i="7"/>
  <c r="BC7" i="6"/>
  <c r="AG15" i="6"/>
  <c r="AJ13" i="6"/>
  <c r="AH5" i="6"/>
  <c r="BF9" i="6"/>
  <c r="BD10" i="6"/>
  <c r="AY19" i="6"/>
  <c r="AI12" i="6"/>
  <c r="BD12" i="6" s="1"/>
  <c r="AZ19" i="6"/>
  <c r="AX17" i="6"/>
  <c r="AH9" i="6"/>
  <c r="AH13" i="6" s="1"/>
  <c r="AY17" i="6"/>
  <c r="AW17" i="6"/>
  <c r="M12" i="6"/>
  <c r="BE12" i="6" s="1"/>
  <c r="D31" i="1" s="1"/>
  <c r="BC11" i="6"/>
  <c r="BE5" i="6"/>
  <c r="BB7" i="6"/>
  <c r="L14" i="6"/>
  <c r="BE13" i="6"/>
  <c r="D32" i="1" s="1"/>
  <c r="K14" i="6"/>
  <c r="BG5" i="6"/>
  <c r="BE6" i="6"/>
  <c r="BB8" i="6"/>
  <c r="M15" i="6"/>
  <c r="BE8" i="6"/>
  <c r="J15" i="6"/>
  <c r="BB15" i="6" s="1"/>
  <c r="E34" i="1" s="1"/>
  <c r="BC8" i="6"/>
  <c r="BD9" i="6"/>
  <c r="BF5" i="5"/>
  <c r="BB7" i="5"/>
  <c r="AW19" i="5"/>
  <c r="C23" i="1" s="1"/>
  <c r="BD7" i="5"/>
  <c r="AX19" i="5"/>
  <c r="BE13" i="5"/>
  <c r="D20" i="1" s="1"/>
  <c r="BF9" i="5"/>
  <c r="BD11" i="5"/>
  <c r="AW17" i="5"/>
  <c r="BE6" i="5"/>
  <c r="BF6" i="5"/>
  <c r="BE7" i="5"/>
  <c r="BB8" i="5"/>
  <c r="BB13" i="5"/>
  <c r="E20" i="1" s="1"/>
  <c r="J15" i="5"/>
  <c r="BB9" i="5"/>
  <c r="L13" i="5"/>
  <c r="BE8" i="5"/>
  <c r="BD13" i="5"/>
  <c r="BC8" i="5"/>
  <c r="BE9" i="5"/>
  <c r="BE10" i="5"/>
  <c r="BB11" i="5"/>
  <c r="M15" i="5"/>
  <c r="BF10" i="5"/>
  <c r="J14" i="5"/>
  <c r="AI25" i="3"/>
  <c r="BE25" i="3" s="1"/>
  <c r="AI27" i="3"/>
  <c r="BE27" i="3" s="1"/>
  <c r="AJ42" i="3"/>
  <c r="AZ47" i="3"/>
  <c r="C13" i="1" s="1"/>
  <c r="AK42" i="3"/>
  <c r="BA47" i="3"/>
  <c r="AZ45" i="3"/>
  <c r="BC47" i="3"/>
  <c r="AH42" i="3"/>
  <c r="AJ40" i="3"/>
  <c r="AH40" i="3"/>
  <c r="AK43" i="3"/>
  <c r="BC45" i="3"/>
  <c r="BG38" i="3"/>
  <c r="AJ43" i="3"/>
  <c r="BE17" i="3"/>
  <c r="BG19" i="3"/>
  <c r="BE13" i="3"/>
  <c r="BG15" i="3"/>
  <c r="BG23" i="3"/>
  <c r="BE8" i="3"/>
  <c r="BG5" i="3"/>
  <c r="BH10" i="3"/>
  <c r="BE15" i="3"/>
  <c r="L41" i="3"/>
  <c r="BG29" i="3"/>
  <c r="BG31" i="3"/>
  <c r="BG32" i="3"/>
  <c r="BE12" i="3"/>
  <c r="BG30" i="3"/>
  <c r="L40" i="3"/>
  <c r="BG9" i="3"/>
  <c r="BG14" i="3"/>
  <c r="BE19" i="3"/>
  <c r="J42" i="3"/>
  <c r="BG33" i="3"/>
  <c r="BH35" i="3"/>
  <c r="BE34" i="3"/>
  <c r="BH15" i="3"/>
  <c r="BG34" i="3"/>
  <c r="BG37" i="3"/>
  <c r="BE39" i="3"/>
  <c r="BG13" i="3"/>
  <c r="BE23" i="3"/>
  <c r="M42" i="3"/>
  <c r="BG39" i="3"/>
  <c r="BG17" i="3"/>
  <c r="BM43" i="3"/>
  <c r="BQ40" i="3"/>
  <c r="BT41" i="7"/>
  <c r="CI13" i="7" s="1"/>
  <c r="BL42" i="7"/>
  <c r="BL43" i="7"/>
  <c r="BL41" i="3"/>
  <c r="BL42" i="3"/>
  <c r="BM43" i="7"/>
  <c r="BK41" i="7"/>
  <c r="BM42" i="7"/>
  <c r="BM41" i="3"/>
  <c r="BM42" i="3"/>
  <c r="BN43" i="7"/>
  <c r="BL41" i="7"/>
  <c r="BN42" i="7"/>
  <c r="BN41" i="3"/>
  <c r="BN42" i="3"/>
  <c r="BP43" i="7"/>
  <c r="CE15" i="7" s="1"/>
  <c r="BP40" i="7"/>
  <c r="CE12" i="7" s="1"/>
  <c r="BM41" i="7"/>
  <c r="BP42" i="7"/>
  <c r="CE14" i="7" s="1"/>
  <c r="BP41" i="3"/>
  <c r="CE13" i="3" s="1"/>
  <c r="BQ43" i="7"/>
  <c r="CF15" i="7" s="1"/>
  <c r="BQ40" i="7"/>
  <c r="CF12" i="7" s="1"/>
  <c r="BN41" i="7"/>
  <c r="BQ42" i="7"/>
  <c r="CF14" i="7" s="1"/>
  <c r="BP41" i="7"/>
  <c r="CE13" i="7" s="1"/>
  <c r="BR42" i="7"/>
  <c r="CG14" i="7" s="1"/>
  <c r="BL43" i="3"/>
  <c r="BQ41" i="7"/>
  <c r="CF13" i="7" s="1"/>
  <c r="BS42" i="7"/>
  <c r="CH14" i="7" s="1"/>
  <c r="BQ41" i="3"/>
  <c r="BT42" i="7"/>
  <c r="CI14" i="7" s="1"/>
  <c r="BN43" i="3"/>
  <c r="BE32" i="3"/>
  <c r="BE30" i="3"/>
  <c r="BE28" i="3"/>
  <c r="BE24" i="3"/>
  <c r="C24" i="1"/>
  <c r="AI6" i="3"/>
  <c r="BG8" i="3"/>
  <c r="AI10" i="3"/>
  <c r="BG12" i="3"/>
  <c r="AI14" i="3"/>
  <c r="BE14" i="3" s="1"/>
  <c r="BG16" i="3"/>
  <c r="AI18" i="3"/>
  <c r="BE18" i="3" s="1"/>
  <c r="K20" i="3"/>
  <c r="BE20" i="3" s="1"/>
  <c r="BG20" i="3"/>
  <c r="AI22" i="3"/>
  <c r="BE22" i="3" s="1"/>
  <c r="BG24" i="3"/>
  <c r="AI26" i="3"/>
  <c r="BE26" i="3" s="1"/>
  <c r="BG28" i="3"/>
  <c r="AK40" i="3"/>
  <c r="BQ43" i="3"/>
  <c r="CF15" i="3" s="1"/>
  <c r="BG6" i="5" a="1"/>
  <c r="BG6" i="5" s="1"/>
  <c r="K9" i="5"/>
  <c r="K13" i="5" s="1"/>
  <c r="BD10" i="5"/>
  <c r="AI14" i="5"/>
  <c r="BD14" i="5" s="1"/>
  <c r="L12" i="6"/>
  <c r="BD11" i="6"/>
  <c r="BD14" i="6"/>
  <c r="BG14" i="7"/>
  <c r="AI14" i="7"/>
  <c r="BE14" i="7" s="1"/>
  <c r="BH15" i="7" a="1"/>
  <c r="BH15" i="7" s="1"/>
  <c r="BG18" i="7"/>
  <c r="AI18" i="7"/>
  <c r="BE18" i="7" s="1"/>
  <c r="BE5" i="3"/>
  <c r="AI35" i="3"/>
  <c r="BE35" i="3" s="1"/>
  <c r="K41" i="3"/>
  <c r="L43" i="3"/>
  <c r="BR43" i="3"/>
  <c r="CG15" i="3" s="1"/>
  <c r="BG9" i="5" a="1"/>
  <c r="BG9" i="5" s="1"/>
  <c r="BG13" i="5" s="1"/>
  <c r="M14" i="6"/>
  <c r="BE11" i="6"/>
  <c r="J43" i="7"/>
  <c r="J40" i="7"/>
  <c r="BH10" i="7" a="1"/>
  <c r="BH10" i="7" s="1"/>
  <c r="BG10" i="7"/>
  <c r="AI10" i="7"/>
  <c r="BE10" i="7" s="1"/>
  <c r="C36" i="1"/>
  <c r="J43" i="3"/>
  <c r="BH20" i="3" a="1"/>
  <c r="BH20" i="3" s="1"/>
  <c r="AI31" i="3"/>
  <c r="BE31" i="3" s="1"/>
  <c r="K38" i="3"/>
  <c r="AH43" i="3"/>
  <c r="BS43" i="3"/>
  <c r="CH15" i="3" s="1"/>
  <c r="BG10" i="5" a="1"/>
  <c r="BG10" i="5" s="1"/>
  <c r="BG22" i="7"/>
  <c r="AI22" i="7"/>
  <c r="BE22" i="7" s="1"/>
  <c r="BR41" i="7"/>
  <c r="CG13" i="7" s="1"/>
  <c r="BG26" i="7"/>
  <c r="BH25" i="7" a="1"/>
  <c r="BH25" i="7" s="1"/>
  <c r="BH41" i="7" s="1"/>
  <c r="AI26" i="7"/>
  <c r="BE26" i="7" s="1"/>
  <c r="BR43" i="7"/>
  <c r="CG15" i="7" s="1"/>
  <c r="AK42" i="7"/>
  <c r="BG34" i="7"/>
  <c r="AI34" i="7"/>
  <c r="BE34" i="7" s="1"/>
  <c r="BH5" i="3" a="1"/>
  <c r="BH5" i="3" s="1"/>
  <c r="BH25" i="3" a="1"/>
  <c r="BH25" i="3" s="1"/>
  <c r="BH41" i="3" s="1"/>
  <c r="BL40" i="3"/>
  <c r="BS41" i="3"/>
  <c r="CH13" i="3" s="1"/>
  <c r="AJ15" i="5"/>
  <c r="AG12" i="6"/>
  <c r="BB5" i="6"/>
  <c r="BH30" i="7" a="1"/>
  <c r="BH30" i="7" s="1"/>
  <c r="BG30" i="7"/>
  <c r="AI30" i="7"/>
  <c r="BH35" i="7" a="1"/>
  <c r="BH35" i="7" s="1"/>
  <c r="M40" i="7"/>
  <c r="BR41" i="3"/>
  <c r="CG13" i="3" s="1"/>
  <c r="AH11" i="5"/>
  <c r="BC11" i="5" s="1"/>
  <c r="BG11" i="5" a="1"/>
  <c r="BG11" i="5" s="1"/>
  <c r="BF11" i="5"/>
  <c r="M43" i="3"/>
  <c r="M40" i="3"/>
  <c r="K10" i="3"/>
  <c r="BG10" i="3"/>
  <c r="AI16" i="3"/>
  <c r="BE16" i="3" s="1"/>
  <c r="AI37" i="3"/>
  <c r="BE37" i="3" s="1"/>
  <c r="J40" i="3"/>
  <c r="BM40" i="3"/>
  <c r="AH15" i="5"/>
  <c r="J12" i="5"/>
  <c r="BG8" i="6" a="1"/>
  <c r="BG8" i="6" s="1"/>
  <c r="AH40" i="7"/>
  <c r="BB5" i="5"/>
  <c r="AG15" i="5"/>
  <c r="BB15" i="5" s="1"/>
  <c r="BH30" i="3" a="1"/>
  <c r="BH30" i="3" s="1"/>
  <c r="BG35" i="3"/>
  <c r="BN40" i="3"/>
  <c r="BP42" i="3"/>
  <c r="CE14" i="3" s="1"/>
  <c r="BD5" i="6"/>
  <c r="AI15" i="6"/>
  <c r="BE10" i="6"/>
  <c r="AJ14" i="6"/>
  <c r="BT41" i="3"/>
  <c r="CI13" i="3" s="1"/>
  <c r="BT43" i="3"/>
  <c r="CI15" i="3" s="1"/>
  <c r="BB9" i="6"/>
  <c r="AG13" i="6"/>
  <c r="BB13" i="6" s="1"/>
  <c r="BG38" i="7"/>
  <c r="AI38" i="7"/>
  <c r="BE38" i="7" s="1"/>
  <c r="AI15" i="5"/>
  <c r="BD15" i="5" s="1"/>
  <c r="AI12" i="5"/>
  <c r="BD12" i="5" s="1"/>
  <c r="BE33" i="3"/>
  <c r="BQ42" i="3"/>
  <c r="CF14" i="3" s="1"/>
  <c r="BD5" i="5"/>
  <c r="BB6" i="5"/>
  <c r="AG12" i="5"/>
  <c r="AH10" i="6"/>
  <c r="BG10" i="6" a="1"/>
  <c r="BG10" i="6" s="1"/>
  <c r="BF10" i="6"/>
  <c r="AI13" i="6"/>
  <c r="BD13" i="6" s="1"/>
  <c r="K20" i="7"/>
  <c r="BE20" i="7" s="1"/>
  <c r="BG36" i="7"/>
  <c r="K36" i="7"/>
  <c r="BE36" i="7" s="1"/>
  <c r="AH7" i="5"/>
  <c r="BC7" i="5" s="1"/>
  <c r="BG7" i="5" a="1"/>
  <c r="BG7" i="5" s="1"/>
  <c r="BF7" i="5"/>
  <c r="BE29" i="3"/>
  <c r="BR40" i="3"/>
  <c r="CG12" i="3" s="1"/>
  <c r="BR42" i="3"/>
  <c r="CG14" i="3" s="1"/>
  <c r="K12" i="5"/>
  <c r="BC6" i="5"/>
  <c r="BC13" i="5"/>
  <c r="BB10" i="6"/>
  <c r="AJ43" i="7"/>
  <c r="BS43" i="7"/>
  <c r="CH15" i="7" s="1"/>
  <c r="BS40" i="7"/>
  <c r="CH12" i="7" s="1"/>
  <c r="BG6" i="7"/>
  <c r="BH5" i="7" a="1"/>
  <c r="BH5" i="7" s="1"/>
  <c r="AI6" i="7"/>
  <c r="BS41" i="7"/>
  <c r="CH13" i="7" s="1"/>
  <c r="BS40" i="3"/>
  <c r="CH12" i="3" s="1"/>
  <c r="BS42" i="3"/>
  <c r="CH14" i="3" s="1"/>
  <c r="L12" i="5"/>
  <c r="BC9" i="5"/>
  <c r="BB10" i="5"/>
  <c r="AG14" i="5"/>
  <c r="BB14" i="5" s="1"/>
  <c r="AH6" i="6"/>
  <c r="AH12" i="6" s="1"/>
  <c r="BG6" i="6" a="1"/>
  <c r="BG6" i="6" s="1"/>
  <c r="BF6" i="6"/>
  <c r="BB14" i="6"/>
  <c r="AK43" i="7"/>
  <c r="BT43" i="7"/>
  <c r="CI15" i="7" s="1"/>
  <c r="BT40" i="7"/>
  <c r="CI12" i="7" s="1"/>
  <c r="BG8" i="7"/>
  <c r="BE12" i="7"/>
  <c r="BE16" i="7"/>
  <c r="BR40" i="7"/>
  <c r="CG12" i="7" s="1"/>
  <c r="BP43" i="3"/>
  <c r="CE15" i="3" s="1"/>
  <c r="BP40" i="3"/>
  <c r="CE12" i="3" s="1"/>
  <c r="AK41" i="3"/>
  <c r="BT40" i="3"/>
  <c r="CI12" i="3" s="1"/>
  <c r="BT42" i="3"/>
  <c r="CI14" i="3" s="1"/>
  <c r="BG5" i="5" a="1"/>
  <c r="BG5" i="5" s="1"/>
  <c r="BC10" i="5"/>
  <c r="AH14" i="5"/>
  <c r="BC14" i="5" s="1"/>
  <c r="L15" i="5"/>
  <c r="J12" i="6"/>
  <c r="BB6" i="6"/>
  <c r="M42" i="7"/>
  <c r="BE5" i="5"/>
  <c r="L15" i="6"/>
  <c r="BG12" i="7"/>
  <c r="BG16" i="7"/>
  <c r="BG20" i="7"/>
  <c r="BG24" i="7"/>
  <c r="BG28" i="7"/>
  <c r="BG32" i="7"/>
  <c r="L40" i="7"/>
  <c r="BN40" i="7"/>
  <c r="BF8" i="5"/>
  <c r="BF7" i="6"/>
  <c r="BF11" i="6"/>
  <c r="AJ40" i="7"/>
  <c r="AJ12" i="5"/>
  <c r="BE12" i="5" s="1"/>
  <c r="AJ15" i="6"/>
  <c r="AK40" i="7"/>
  <c r="BG8" i="5" a="1"/>
  <c r="BG8" i="5" s="1"/>
  <c r="BG7" i="6" a="1"/>
  <c r="BG7" i="6" s="1"/>
  <c r="BG11" i="6" a="1"/>
  <c r="BG11" i="6" s="1"/>
  <c r="K30" i="7"/>
  <c r="AJ14" i="5"/>
  <c r="BE14" i="5" s="1"/>
  <c r="K5" i="6"/>
  <c r="K9" i="6"/>
  <c r="K13" i="6" s="1"/>
  <c r="BG35" i="7"/>
  <c r="BL40" i="7"/>
  <c r="BM40" i="7"/>
  <c r="BJ15" i="7"/>
  <c r="BK20" i="7"/>
  <c r="BK30" i="7"/>
  <c r="BJ30" i="7"/>
  <c r="BK35" i="7"/>
  <c r="BJ25" i="7"/>
  <c r="BJ5" i="7"/>
  <c r="BJ10" i="7"/>
  <c r="BJ35" i="7"/>
  <c r="BJ20" i="7"/>
  <c r="BK10" i="7"/>
  <c r="BJ5" i="3"/>
  <c r="BJ20" i="3"/>
  <c r="BJ10" i="3"/>
  <c r="BJ25" i="3"/>
  <c r="BK35" i="3"/>
  <c r="BJ35" i="3"/>
  <c r="BJ30" i="3"/>
  <c r="BK30" i="3"/>
  <c r="BK25" i="3"/>
  <c r="BK5" i="3"/>
  <c r="K42" i="3" l="1"/>
  <c r="BY9" i="7"/>
  <c r="BJ41" i="7"/>
  <c r="BY7" i="7"/>
  <c r="BY11" i="7"/>
  <c r="BZ6" i="7"/>
  <c r="BZ10" i="7"/>
  <c r="BY10" i="7"/>
  <c r="BY8" i="7"/>
  <c r="BZ8" i="7"/>
  <c r="BZ11" i="7"/>
  <c r="BY5" i="7"/>
  <c r="BY6" i="7"/>
  <c r="F46" i="1"/>
  <c r="CB15" i="7"/>
  <c r="E45" i="1"/>
  <c r="CA14" i="7"/>
  <c r="G45" i="1"/>
  <c r="CC14" i="7"/>
  <c r="E43" i="1"/>
  <c r="CA12" i="7"/>
  <c r="G43" i="1"/>
  <c r="CC12" i="7"/>
  <c r="G44" i="1"/>
  <c r="CC13" i="7"/>
  <c r="E44" i="1"/>
  <c r="CA13" i="7"/>
  <c r="F45" i="1"/>
  <c r="CB14" i="7"/>
  <c r="C44" i="1"/>
  <c r="BY13" i="7"/>
  <c r="F43" i="1"/>
  <c r="CB12" i="7"/>
  <c r="F44" i="1"/>
  <c r="CB13" i="7"/>
  <c r="G46" i="1"/>
  <c r="CC15" i="7"/>
  <c r="D44" i="1"/>
  <c r="BZ13" i="7"/>
  <c r="E46" i="1"/>
  <c r="CA15" i="7"/>
  <c r="BZ10" i="3"/>
  <c r="BY5" i="3"/>
  <c r="BY6" i="3"/>
  <c r="BZ11" i="3"/>
  <c r="BY10" i="3"/>
  <c r="BY11" i="3"/>
  <c r="BY9" i="3"/>
  <c r="BY8" i="3"/>
  <c r="BZ5" i="3"/>
  <c r="BZ9" i="3"/>
  <c r="I10" i="1"/>
  <c r="CF13" i="3"/>
  <c r="G11" i="1"/>
  <c r="CC14" i="3"/>
  <c r="F12" i="1"/>
  <c r="CB15" i="3"/>
  <c r="E10" i="1"/>
  <c r="CA13" i="3"/>
  <c r="I9" i="1"/>
  <c r="CF12" i="3"/>
  <c r="G10" i="1"/>
  <c r="CC13" i="3"/>
  <c r="F11" i="1"/>
  <c r="CB14" i="3"/>
  <c r="F9" i="1"/>
  <c r="CB12" i="3"/>
  <c r="E12" i="1"/>
  <c r="CA15" i="3"/>
  <c r="E9" i="1"/>
  <c r="CA12" i="3"/>
  <c r="G9" i="1"/>
  <c r="CC12" i="3"/>
  <c r="G12" i="1"/>
  <c r="CC15" i="3"/>
  <c r="F10" i="1"/>
  <c r="CB13" i="3"/>
  <c r="E11" i="1"/>
  <c r="CA14" i="3"/>
  <c r="BJ41" i="3"/>
  <c r="K42" i="7"/>
  <c r="BH42" i="3"/>
  <c r="K40" i="3"/>
  <c r="BK40" i="3"/>
  <c r="BK41" i="3"/>
  <c r="AI40" i="3"/>
  <c r="K41" i="7"/>
  <c r="BC13" i="6"/>
  <c r="BG15" i="6"/>
  <c r="BE15" i="6"/>
  <c r="AH12" i="5"/>
  <c r="BE15" i="5"/>
  <c r="K15" i="5"/>
  <c r="BC15" i="5" s="1"/>
  <c r="AI41" i="3"/>
  <c r="BE41" i="3" s="1"/>
  <c r="K43" i="3"/>
  <c r="BE10" i="3"/>
  <c r="BJ42" i="3"/>
  <c r="BK42" i="7"/>
  <c r="BJ42" i="7"/>
  <c r="BJ40" i="3"/>
  <c r="BJ43" i="3"/>
  <c r="BK40" i="7"/>
  <c r="BK43" i="7"/>
  <c r="BK43" i="3"/>
  <c r="BK42" i="3"/>
  <c r="L44" i="1"/>
  <c r="H10" i="1"/>
  <c r="I45" i="1"/>
  <c r="H45" i="1"/>
  <c r="K45" i="1"/>
  <c r="J45" i="1"/>
  <c r="H44" i="1"/>
  <c r="I43" i="1"/>
  <c r="I44" i="1"/>
  <c r="I46" i="1"/>
  <c r="L45" i="1"/>
  <c r="H43" i="1"/>
  <c r="H46" i="1"/>
  <c r="C32" i="1"/>
  <c r="BE6" i="7"/>
  <c r="AI43" i="7"/>
  <c r="AI40" i="7"/>
  <c r="BJ43" i="7"/>
  <c r="BJ40" i="7"/>
  <c r="J43" i="1"/>
  <c r="C20" i="1"/>
  <c r="BD15" i="6"/>
  <c r="D22" i="1"/>
  <c r="I12" i="1"/>
  <c r="E21" i="1"/>
  <c r="BH43" i="7"/>
  <c r="BH40" i="7"/>
  <c r="H11" i="1"/>
  <c r="J44" i="1"/>
  <c r="AI42" i="3"/>
  <c r="BE42" i="3" s="1"/>
  <c r="C21" i="1"/>
  <c r="L43" i="1"/>
  <c r="K43" i="1"/>
  <c r="J9" i="1"/>
  <c r="BG14" i="6"/>
  <c r="E32" i="1"/>
  <c r="AI42" i="7"/>
  <c r="BE30" i="7"/>
  <c r="BH43" i="3"/>
  <c r="BH40" i="3"/>
  <c r="L46" i="1"/>
  <c r="K46" i="1"/>
  <c r="BC10" i="6"/>
  <c r="AH14" i="6"/>
  <c r="BC14" i="6" s="1"/>
  <c r="K40" i="7"/>
  <c r="J12" i="1"/>
  <c r="K10" i="1"/>
  <c r="K11" i="1"/>
  <c r="BB12" i="5"/>
  <c r="L12" i="1"/>
  <c r="E22" i="1"/>
  <c r="BH42" i="7"/>
  <c r="K43" i="7"/>
  <c r="AI41" i="7"/>
  <c r="BE38" i="3"/>
  <c r="J11" i="1"/>
  <c r="D34" i="1"/>
  <c r="L10" i="1"/>
  <c r="BG14" i="5"/>
  <c r="AI43" i="3"/>
  <c r="BE6" i="3"/>
  <c r="D19" i="1"/>
  <c r="L11" i="1"/>
  <c r="K9" i="1"/>
  <c r="L9" i="1"/>
  <c r="E33" i="1"/>
  <c r="K12" i="1"/>
  <c r="J10" i="1"/>
  <c r="K15" i="6"/>
  <c r="K12" i="6"/>
  <c r="BC12" i="6" s="1"/>
  <c r="BG12" i="6"/>
  <c r="I11" i="1"/>
  <c r="J46" i="1"/>
  <c r="BG12" i="5"/>
  <c r="BG15" i="5"/>
  <c r="D21" i="1"/>
  <c r="H9" i="1"/>
  <c r="BE14" i="6"/>
  <c r="H12" i="1"/>
  <c r="BC6" i="6"/>
  <c r="AH15" i="6"/>
  <c r="K44" i="1"/>
  <c r="BC12" i="5"/>
  <c r="BC9" i="6"/>
  <c r="BC5" i="6"/>
  <c r="BB12" i="6"/>
  <c r="C43" i="1" l="1"/>
  <c r="BY12" i="7"/>
  <c r="C46" i="1"/>
  <c r="BY15" i="7"/>
  <c r="D46" i="1"/>
  <c r="BZ15" i="7"/>
  <c r="C45" i="1"/>
  <c r="BY14" i="7"/>
  <c r="D43" i="1"/>
  <c r="BZ12" i="7"/>
  <c r="D45" i="1"/>
  <c r="BZ14" i="7"/>
  <c r="C12" i="1"/>
  <c r="BY15" i="3"/>
  <c r="D10" i="1"/>
  <c r="BZ13" i="3"/>
  <c r="D12" i="1"/>
  <c r="BZ15" i="3"/>
  <c r="C9" i="1"/>
  <c r="BY12" i="3"/>
  <c r="D9" i="1"/>
  <c r="BZ12" i="3"/>
  <c r="C10" i="1"/>
  <c r="BY13" i="3"/>
  <c r="C11" i="1"/>
  <c r="BY14" i="3"/>
  <c r="D11" i="1"/>
  <c r="BZ14" i="3"/>
  <c r="BE40" i="3"/>
  <c r="BE42" i="7"/>
  <c r="BE41" i="7"/>
  <c r="BE40" i="7"/>
  <c r="BC15" i="6"/>
  <c r="BE43" i="3"/>
  <c r="C31" i="1"/>
  <c r="C34" i="1"/>
  <c r="C22" i="1"/>
  <c r="D33" i="1"/>
  <c r="BE43" i="7"/>
  <c r="E19" i="1"/>
  <c r="E31" i="1"/>
  <c r="C19" i="1"/>
  <c r="C33" i="1"/>
</calcChain>
</file>

<file path=xl/sharedStrings.xml><?xml version="1.0" encoding="utf-8"?>
<sst xmlns="http://schemas.openxmlformats.org/spreadsheetml/2006/main" count="1527" uniqueCount="577">
  <si>
    <t>Reference:</t>
  </si>
  <si>
    <t>Tested:</t>
  </si>
  <si>
    <t>All Intra</t>
  </si>
  <si>
    <t>C2_ai</t>
  </si>
  <si>
    <t>lossy geometry, lossy attributes [all intra]</t>
  </si>
  <si>
    <t>Geom. BD‑TotGeomRate [%]</t>
  </si>
  <si>
    <t>End-to-End BD‑AttrRate [%]</t>
  </si>
  <si>
    <t>Geom. BD‑TotalRate [%]</t>
  </si>
  <si>
    <t>End-to-End BD‑TotalRate [%]</t>
  </si>
  <si>
    <t>D1</t>
  </si>
  <si>
    <t>D2</t>
  </si>
  <si>
    <t>Luma</t>
  </si>
  <si>
    <t>Chroma Cb</t>
  </si>
  <si>
    <t>Chroma Cr</t>
  </si>
  <si>
    <t>Cat2-A average</t>
  </si>
  <si>
    <t>Cat2-B average</t>
  </si>
  <si>
    <t>Cat2-C average</t>
  </si>
  <si>
    <t>Overall average</t>
  </si>
  <si>
    <t>Avg. Enc Time [%]</t>
  </si>
  <si>
    <t>Avg. Dec Time [%]</t>
  </si>
  <si>
    <t>CW_ai</t>
  </si>
  <si>
    <t>lossless geometry, lossless attributes [all intra]</t>
  </si>
  <si>
    <t>bpip ratio [%]</t>
  </si>
  <si>
    <t>Tot.Geom</t>
  </si>
  <si>
    <t>Colour</t>
  </si>
  <si>
    <t>Total</t>
  </si>
  <si>
    <t>Inter, Low Delay</t>
  </si>
  <si>
    <t>CW_ld</t>
  </si>
  <si>
    <t>lossless geometry, lossless attributes [inter, low delay]</t>
  </si>
  <si>
    <t>Inter, Random Access</t>
  </si>
  <si>
    <t>C2_ra</t>
  </si>
  <si>
    <t>lossy geometry, lossy attributes [inter, random access]</t>
  </si>
  <si>
    <t>Condition:</t>
  </si>
  <si>
    <t>← Select this …</t>
  </si>
  <si>
    <t>Columns</t>
  </si>
  <si>
    <t>C2 lossyG,lossyA,intra</t>
  </si>
  <si>
    <t>CW losslG,losslA,intra</t>
  </si>
  <si>
    <t>CW losslG,losslA,interLD</t>
  </si>
  <si>
    <t>C2 lossyG,lossyA,interRA</t>
  </si>
  <si>
    <t>Sequence:</t>
  </si>
  <si>
    <t>← … then this</t>
  </si>
  <si>
    <t>dec.cb-hpsnr</t>
  </si>
  <si>
    <t>Chroma Cb EtE Hausdorff PSNR</t>
  </si>
  <si>
    <t>names!$B$77:$X$77</t>
  </si>
  <si>
    <t>names!$B$143:$W$143</t>
  </si>
  <si>
    <t>names!$B$209:$W$209</t>
  </si>
  <si>
    <t>names!$B$286:$X$286</t>
  </si>
  <si>
    <t>dec.cb-psnr</t>
  </si>
  <si>
    <t>Chroma Cb End-to-end PSNR</t>
  </si>
  <si>
    <t>8ivfbv2_loot_vox10</t>
  </si>
  <si>
    <t>X:</t>
  </si>
  <si>
    <t>eqn.bpp.geometry</t>
  </si>
  <si>
    <t>Y:</t>
  </si>
  <si>
    <t>dec.d1-psnr</t>
  </si>
  <si>
    <t>← settings for graph a</t>
  </si>
  <si>
    <t>dec.cr-hpsnr</t>
  </si>
  <si>
    <t>Chroma Cr EtE Hausdorff PSNR</t>
  </si>
  <si>
    <t>8ivfbv2_redandblack_vox10</t>
  </si>
  <si>
    <t>dec.d2-psnr</t>
  </si>
  <si>
    <t>← settings for graph b</t>
  </si>
  <si>
    <t>dec.cr-psnr</t>
  </si>
  <si>
    <t>Chroma Cr End-to-end PSNR</t>
  </si>
  <si>
    <t>8ivfbv2_soldier_vox10</t>
  </si>
  <si>
    <t>eqn.bpp.colour</t>
  </si>
  <si>
    <t>dec.y-psnr</t>
  </si>
  <si>
    <t>← settings for graph c</t>
  </si>
  <si>
    <t>dec.d1-mse</t>
  </si>
  <si>
    <t>D1 Geometry MSE</t>
  </si>
  <si>
    <t>queen</t>
  </si>
  <si>
    <t>← settings for graph d</t>
  </si>
  <si>
    <t>D1 Geometry PSNR</t>
  </si>
  <si>
    <t>8ivfbv2_longdress_vox10</t>
  </si>
  <si>
    <t>← settings for graph e</t>
  </si>
  <si>
    <t>dec.d2-mse</t>
  </si>
  <si>
    <t>D2 Geometry MSE</t>
  </si>
  <si>
    <t>basketball_player_vox11</t>
  </si>
  <si>
    <t>eqn.bpp.reflectance</t>
  </si>
  <si>
    <t>dec.reflectance-psnr</t>
  </si>
  <si>
    <t>← settings for graph f</t>
  </si>
  <si>
    <t>D2 Geometry PSNR</t>
  </si>
  <si>
    <t>dancer_player_vox11</t>
  </si>
  <si>
    <t>dec.numduppoints.mean</t>
  </si>
  <si>
    <t>Mean duplicate points</t>
  </si>
  <si>
    <t>dec.numpoints</t>
  </si>
  <si>
    <t>№ output points</t>
  </si>
  <si>
    <t>dec.numpoints.mean</t>
  </si>
  <si>
    <t>Mean output points</t>
  </si>
  <si>
    <t>dec.post-recolour.cb-psnr</t>
  </si>
  <si>
    <t>Chroma Cb Post recolour PSNR</t>
  </si>
  <si>
    <t>dec.post-recolour.cr-psnr</t>
  </si>
  <si>
    <t>Chroma Cr Post recolour PSNR</t>
  </si>
  <si>
    <t>dec.post-recolour.y-psnr</t>
  </si>
  <si>
    <t>Luma Post recolour PSNR</t>
  </si>
  <si>
    <t>dec.reflectance-hpsnr</t>
  </si>
  <si>
    <t>Reflectance EtE Hausdorff PSNR</t>
  </si>
  <si>
    <t>Reflectance End-to-end PSNR</t>
  </si>
  <si>
    <t>dec.utime</t>
  </si>
  <si>
    <t>User Decoder runtime</t>
  </si>
  <si>
    <t>dec.utime.children</t>
  </si>
  <si>
    <t>Child Decoder runtime</t>
  </si>
  <si>
    <t>dec.utime.self</t>
  </si>
  <si>
    <t>Self Decoder runtime</t>
  </si>
  <si>
    <t>dec.y-hpsnr</t>
  </si>
  <si>
    <t>Luma EtE Hausdorff PSNR</t>
  </si>
  <si>
    <t>Luma End-to-end PSNR</t>
  </si>
  <si>
    <t>enc.bits.colour</t>
  </si>
  <si>
    <t>Colour Bitstream</t>
  </si>
  <si>
    <t>enc.bits.geometry</t>
  </si>
  <si>
    <t>Geometry Bitstream</t>
  </si>
  <si>
    <t>enc.bits.occ+patch</t>
  </si>
  <si>
    <t>Occ+Patch Bitstream</t>
  </si>
  <si>
    <t>enc.bits.reflectance</t>
  </si>
  <si>
    <t>Reflectance Bitstream</t>
  </si>
  <si>
    <t>enc.ext.bits</t>
  </si>
  <si>
    <t>Total Bitstream</t>
  </si>
  <si>
    <t>enc.utime</t>
  </si>
  <si>
    <t>User Encoder runtime</t>
  </si>
  <si>
    <t>enc.utime.children</t>
  </si>
  <si>
    <t>Child Encoder runtime</t>
  </si>
  <si>
    <t>enc.utime.self</t>
  </si>
  <si>
    <t>Self Encoder runtime</t>
  </si>
  <si>
    <t>eqn.bitrate</t>
  </si>
  <si>
    <t>Rate</t>
  </si>
  <si>
    <t>eqn.bits.totalgeometry</t>
  </si>
  <si>
    <t>eqn.bits.totalgeometry Bitstream</t>
  </si>
  <si>
    <t>eqn.bpop</t>
  </si>
  <si>
    <t>Total Bits per output point</t>
  </si>
  <si>
    <t>eqn.bpp</t>
  </si>
  <si>
    <t>Total Bits per input point</t>
  </si>
  <si>
    <t>Colour  Bits per input point</t>
  </si>
  <si>
    <t>Geometry Bits per input point</t>
  </si>
  <si>
    <t>eqn.bpp.geometry+occ+patch</t>
  </si>
  <si>
    <t>Tot.Geom Bits per input point</t>
  </si>
  <si>
    <t>Reflectance Bits per input point</t>
  </si>
  <si>
    <t>eqn.compratio</t>
  </si>
  <si>
    <t>Comp. ratio</t>
  </si>
  <si>
    <t>C2_ai — lossy geometry, lossy attributes [all intra]</t>
  </si>
  <si>
    <t>Class</t>
  </si>
  <si>
    <t>Sequence</t>
  </si>
  <si>
    <t>Variant</t>
  </si>
  <si>
    <t>№ input points</t>
  </si>
  <si>
    <t>Geometry precision [bits]</t>
  </si>
  <si>
    <t>№ frames</t>
  </si>
  <si>
    <t>Frame rate [fps]</t>
  </si>
  <si>
    <t>Rate [Mbps]</t>
  </si>
  <si>
    <t>Bits per input point [bpip]</t>
  </si>
  <si>
    <t>A.eqn.bits.totalgeometry Bitstream [bits]</t>
  </si>
  <si>
    <t>Total Bits per output point [bpop]</t>
  </si>
  <si>
    <t>Bitstream [bits]</t>
  </si>
  <si>
    <t>Geometry PSNR [dB]</t>
  </si>
  <si>
    <t>End-to-end PSNR [dB]</t>
  </si>
  <si>
    <t>Encoder runtime [s]</t>
  </si>
  <si>
    <t>Decoder runtime [s]</t>
  </si>
  <si>
    <t>B.eqn.bits.totalgeometry Bitstream [bits]</t>
  </si>
  <si>
    <t>Tot.Geom bpip ratio [%]</t>
  </si>
  <si>
    <t>Shift in duppoint ratio [pp]</t>
  </si>
  <si>
    <t>Shift in G:T bits ratio [pp]</t>
  </si>
  <si>
    <t>Geometry</t>
  </si>
  <si>
    <t xml:space="preserve">Colour </t>
  </si>
  <si>
    <t>Occ+Patch</t>
  </si>
  <si>
    <t>Self</t>
  </si>
  <si>
    <t>Child</t>
  </si>
  <si>
    <t>class</t>
  </si>
  <si>
    <t>sequence</t>
  </si>
  <si>
    <t>variant</t>
  </si>
  <si>
    <t>src.numpoints</t>
  </si>
  <si>
    <t>src.geometry-precision</t>
  </si>
  <si>
    <t>src.framecount</t>
  </si>
  <si>
    <t>src.framerate</t>
  </si>
  <si>
    <t>A.eqn.bitrate</t>
  </si>
  <si>
    <t>A.eqn.bpp</t>
  </si>
  <si>
    <t>A.eqn.bpp.geometry+occ+patch</t>
  </si>
  <si>
    <t>A.eqn.bpp.geometry</t>
  </si>
  <si>
    <t>A.eqn.bpp.colour</t>
  </si>
  <si>
    <t>A.eqn.bits.totalgeometry</t>
  </si>
  <si>
    <t>A.eqn.bpop</t>
  </si>
  <si>
    <t>A.dec.numpoints</t>
  </si>
  <si>
    <t>A.dec.numpoints.mean</t>
  </si>
  <si>
    <t>A.dec.numduppoints.mean</t>
  </si>
  <si>
    <t>A.enc.ext.bits</t>
  </si>
  <si>
    <t>A.enc.bits.geometry</t>
  </si>
  <si>
    <t>A.enc.bits.occ+patch</t>
  </si>
  <si>
    <t>A.enc.bits.colour</t>
  </si>
  <si>
    <t>A.dec.d1-psnr</t>
  </si>
  <si>
    <t>A.dec.d2-psnr</t>
  </si>
  <si>
    <t>A.dec.y-psnr</t>
  </si>
  <si>
    <t>A.dec.cb-psnr</t>
  </si>
  <si>
    <t>A.dec.cr-psnr</t>
  </si>
  <si>
    <t>A.enc.utime.self</t>
  </si>
  <si>
    <t>A.enc.utime.children</t>
  </si>
  <si>
    <t>A.dec.utime.self</t>
  </si>
  <si>
    <t>A.dec.utime.children</t>
  </si>
  <si>
    <t>B.eqn.bitrate</t>
  </si>
  <si>
    <t>B.eqn.bpp</t>
  </si>
  <si>
    <t>B.eqn.bpp.geometry+occ+patch</t>
  </si>
  <si>
    <t>B.eqn.bpp.geometry</t>
  </si>
  <si>
    <t>B.eqn.bpp.colour</t>
  </si>
  <si>
    <t>B.eqn.bits.totalgeometry</t>
  </si>
  <si>
    <t>B.eqn.bpop</t>
  </si>
  <si>
    <t>B.dec.numpoints</t>
  </si>
  <si>
    <t>B.dec.numpoints.mean</t>
  </si>
  <si>
    <t>B.dec.numduppoints.mean</t>
  </si>
  <si>
    <t>B.enc.ext.bits</t>
  </si>
  <si>
    <t>B.enc.bits.geometry</t>
  </si>
  <si>
    <t>B.enc.bits.occ+patch</t>
  </si>
  <si>
    <t>B.enc.bits.colour</t>
  </si>
  <si>
    <t>B.dec.d1-psnr</t>
  </si>
  <si>
    <t>B.dec.d2-psnr</t>
  </si>
  <si>
    <t>B.dec.y-psnr</t>
  </si>
  <si>
    <t>B.dec.cb-psnr</t>
  </si>
  <si>
    <t>B.dec.cr-psnr</t>
  </si>
  <si>
    <t>B.enc.utime.self</t>
  </si>
  <si>
    <t>B.enc.utime.children</t>
  </si>
  <si>
    <t>B.dec.utime.self</t>
  </si>
  <si>
    <t>B.dec.utime.children</t>
  </si>
  <si>
    <t>eqn.ab.ratio-bpp-geometry-total</t>
  </si>
  <si>
    <t>eqn.ab.delta-duppoints_ratio</t>
  </si>
  <si>
    <t>eqn.ab.delta-geom_texture_bits_ratio</t>
  </si>
  <si>
    <t>eqn.ab.summary-delta-geom_texture_bits_ratio</t>
  </si>
  <si>
    <t>eqn.ab.bdrate-d1-geomrate</t>
  </si>
  <si>
    <t>eqn.ab.bdrate-d2-geomrate</t>
  </si>
  <si>
    <t>eqn.ab.bdrate-y-attrrate</t>
  </si>
  <si>
    <t>eqn.ab.bdrate-cb-attrrate</t>
  </si>
  <si>
    <t>eqn.ab.bdrate-cr-attrrate</t>
  </si>
  <si>
    <t>eqn.ab.bdrate-d1</t>
  </si>
  <si>
    <t>eqn.ab.bdrate-d2</t>
  </si>
  <si>
    <t>eqn.ab.bdrate-y</t>
  </si>
  <si>
    <t>eqn.ab.bdrate-cb</t>
  </si>
  <si>
    <t>eqn.ab.bdrate-cr</t>
  </si>
  <si>
    <t>cat2-A</t>
  </si>
  <si>
    <t>r01</t>
  </si>
  <si>
    <t>r02</t>
  </si>
  <si>
    <t>r03</t>
  </si>
  <si>
    <t>r04</t>
  </si>
  <si>
    <t>r05</t>
  </si>
  <si>
    <t>cat2-B</t>
  </si>
  <si>
    <t>cat2-C</t>
  </si>
  <si>
    <t>Overall</t>
  </si>
  <si>
    <t>Total time [s]</t>
  </si>
  <si>
    <t>Total time [%]</t>
  </si>
  <si>
    <t>Avg (geometric) time [s]</t>
  </si>
  <si>
    <t>Avg (geometric) time [%]</t>
  </si>
  <si>
    <t>col.C2 lossyG,lossyA,intra.class</t>
  </si>
  <si>
    <t>col.C2 lossyG,lossyA,intra.sequence</t>
  </si>
  <si>
    <t>col.C2 lossyG,lossyA,intra.variant</t>
  </si>
  <si>
    <t>col.C2 lossyG,lossyA,intra.src.numpoints</t>
  </si>
  <si>
    <t>col.C2 lossyG,lossyA,intra.src.geometry-precision</t>
  </si>
  <si>
    <t>col.C2 lossyG,lossyA,intra.src.framecount</t>
  </si>
  <si>
    <t>col.C2 lossyG,lossyA,intra.src.framerate</t>
  </si>
  <si>
    <t>col.C2 lossyG,lossyA,intra.A.eqn.bitrate</t>
  </si>
  <si>
    <t>col.C2 lossyG,lossyA,intra.A.eqn.bpp</t>
  </si>
  <si>
    <t>col.C2 lossyG,lossyA,intra.A.eqn.bpp.geometry+occ+patch</t>
  </si>
  <si>
    <t>col.C2 lossyG,lossyA,intra.A.eqn.bpp.geometry</t>
  </si>
  <si>
    <t>col.C2 lossyG,lossyA,intra.A.eqn.bpp.colour</t>
  </si>
  <si>
    <t>col.C2 lossyG,lossyA,intra.A.eqn.bits.totalgeometry</t>
  </si>
  <si>
    <t>col.C2 lossyG,lossyA,intra.A.eqn.bpop</t>
  </si>
  <si>
    <t>col.C2 lossyG,lossyA,intra.A.dec.numpoints</t>
  </si>
  <si>
    <t>col.C2 lossyG,lossyA,intra.A.dec.numpoints.mean</t>
  </si>
  <si>
    <t>col.C2 lossyG,lossyA,intra.A.dec.numduppoints.mean</t>
  </si>
  <si>
    <t>col.C2 lossyG,lossyA,intra.A.enc.ext.bits</t>
  </si>
  <si>
    <t>col.C2 lossyG,lossyA,intra.A.enc.bits.geometry</t>
  </si>
  <si>
    <t>col.C2 lossyG,lossyA,intra.A.enc.bits.occ+patch</t>
  </si>
  <si>
    <t>col.C2 lossyG,lossyA,intra.A.enc.bits.colour</t>
  </si>
  <si>
    <t>col.C2 lossyG,lossyA,intra.A.dec.d1-psnr</t>
  </si>
  <si>
    <t>col.C2 lossyG,lossyA,intra.A.dec.d2-psnr</t>
  </si>
  <si>
    <t>col.C2 lossyG,lossyA,intra.A.dec.y-psnr</t>
  </si>
  <si>
    <t>col.C2 lossyG,lossyA,intra.A.dec.cb-psnr</t>
  </si>
  <si>
    <t>col.C2 lossyG,lossyA,intra.A.dec.cr-psnr</t>
  </si>
  <si>
    <t>col.C2 lossyG,lossyA,intra.A.enc.utime.self</t>
  </si>
  <si>
    <t>col.C2 lossyG,lossyA,intra.A.enc.utime.children</t>
  </si>
  <si>
    <t>col.C2 lossyG,lossyA,intra.A.dec.utime.self</t>
  </si>
  <si>
    <t>col.C2 lossyG,lossyA,intra.A.dec.utime.children</t>
  </si>
  <si>
    <t>col.C2 lossyG,lossyA,intra.B.eqn.bitrate</t>
  </si>
  <si>
    <t>col.C2 lossyG,lossyA,intra.B.eqn.bpp</t>
  </si>
  <si>
    <t>col.C2 lossyG,lossyA,intra.B.eqn.bpp.geometry+occ+patch</t>
  </si>
  <si>
    <t>col.C2 lossyG,lossyA,intra.B.eqn.bpp.geometry</t>
  </si>
  <si>
    <t>col.C2 lossyG,lossyA,intra.B.eqn.bpp.colour</t>
  </si>
  <si>
    <t>col.C2 lossyG,lossyA,intra.B.eqn.bits.totalgeometry</t>
  </si>
  <si>
    <t>col.C2 lossyG,lossyA,intra.B.eqn.bpop</t>
  </si>
  <si>
    <t>col.C2 lossyG,lossyA,intra.B.dec.numpoints</t>
  </si>
  <si>
    <t>col.C2 lossyG,lossyA,intra.B.dec.numpoints.mean</t>
  </si>
  <si>
    <t>col.C2 lossyG,lossyA,intra.B.dec.numduppoints.mean</t>
  </si>
  <si>
    <t>col.C2 lossyG,lossyA,intra.B.enc.ext.bits</t>
  </si>
  <si>
    <t>col.C2 lossyG,lossyA,intra.B.enc.bits.geometry</t>
  </si>
  <si>
    <t>col.C2 lossyG,lossyA,intra.B.enc.bits.occ+patch</t>
  </si>
  <si>
    <t>col.C2 lossyG,lossyA,intra.B.enc.bits.colour</t>
  </si>
  <si>
    <t>col.C2 lossyG,lossyA,intra.B.dec.d1-psnr</t>
  </si>
  <si>
    <t>col.C2 lossyG,lossyA,intra.B.dec.d2-psnr</t>
  </si>
  <si>
    <t>col.C2 lossyG,lossyA,intra.B.dec.y-psnr</t>
  </si>
  <si>
    <t>col.C2 lossyG,lossyA,intra.B.dec.cb-psnr</t>
  </si>
  <si>
    <t>col.C2 lossyG,lossyA,intra.B.dec.cr-psnr</t>
  </si>
  <si>
    <t>col.C2 lossyG,lossyA,intra.B.enc.utime.self</t>
  </si>
  <si>
    <t>col.C2 lossyG,lossyA,intra.B.enc.utime.children</t>
  </si>
  <si>
    <t>col.C2 lossyG,lossyA,intra.B.dec.utime.self</t>
  </si>
  <si>
    <t>col.C2 lossyG,lossyA,intra.B.dec.utime.children</t>
  </si>
  <si>
    <t>col.C2 lossyG,lossyA,intra.eqn.ab.ratio-bpp-geometry-total</t>
  </si>
  <si>
    <t>col.C2 lossyG,lossyA,intra.eqn.ab.delta-duppoints_ratio</t>
  </si>
  <si>
    <t>col.C2 lossyG,lossyA,intra.eqn.ab.delta-geom_texture_bits_ratio</t>
  </si>
  <si>
    <t>col.C2 lossyG,lossyA,intra.eqn.ab.summary-delta-geom_texture_bits_ratio</t>
  </si>
  <si>
    <t>col.C2 lossyG,lossyA,intra.eqn.ab.bdrate-d1-geomrate</t>
  </si>
  <si>
    <t>col.C2 lossyG,lossyA,intra.eqn.ab.bdrate-d2-geomrate</t>
  </si>
  <si>
    <t>col.C2 lossyG,lossyA,intra.eqn.ab.bdrate-y-attrrate</t>
  </si>
  <si>
    <t>col.C2 lossyG,lossyA,intra.eqn.ab.bdrate-cb-attrrate</t>
  </si>
  <si>
    <t>col.C2 lossyG,lossyA,intra.eqn.ab.bdrate-cr-attrrate</t>
  </si>
  <si>
    <t>col.C2 lossyG,lossyA,intra.eqn.ab.bdrate-d1</t>
  </si>
  <si>
    <t>col.C2 lossyG,lossyA,intra.eqn.ab.bdrate-d2</t>
  </si>
  <si>
    <t>col.C2 lossyG,lossyA,intra.eqn.ab.bdrate-y</t>
  </si>
  <si>
    <t>col.C2 lossyG,lossyA,intra.eqn.ab.bdrate-cb</t>
  </si>
  <si>
    <t>col.C2 lossyG,lossyA,intra.eqn.ab.bdrate-cr</t>
  </si>
  <si>
    <t>name.A.C2 lossyG,lossyA,intra</t>
  </si>
  <si>
    <t>'C2 lossyG,lossyA,intra'!$I$1</t>
  </si>
  <si>
    <t>name.B.C2 lossyG,lossyA,intra</t>
  </si>
  <si>
    <t>'C2 lossyG,lossyA,intra'!$AG$1</t>
  </si>
  <si>
    <t>range.C2 lossyG,lossyA,intra.8ivfbv2_loot_vox10</t>
  </si>
  <si>
    <t>'C2 lossyG,lossyA,intra'!$A$5:$BT$9</t>
  </si>
  <si>
    <t>range.C2 lossyG,lossyA,intra.8ivfbv2_redandblack_vox10</t>
  </si>
  <si>
    <t>'C2 lossyG,lossyA,intra'!$A$10:$BT$14</t>
  </si>
  <si>
    <t>range.C2 lossyG,lossyA,intra.8ivfbv2_soldier_vox10</t>
  </si>
  <si>
    <t>'C2 lossyG,lossyA,intra'!$A$15:$BT$19</t>
  </si>
  <si>
    <t>range.C2 lossyG,lossyA,intra.queen</t>
  </si>
  <si>
    <t>'C2 lossyG,lossyA,intra'!$A$20:$BT$24</t>
  </si>
  <si>
    <t>range.C2 lossyG,lossyA,intra.8ivfbv2_longdress_vox10</t>
  </si>
  <si>
    <t>'C2 lossyG,lossyA,intra'!$A$25:$BT$29</t>
  </si>
  <si>
    <t>range.C2 lossyG,lossyA,intra.basketball_player_vox11</t>
  </si>
  <si>
    <t>'C2 lossyG,lossyA,intra'!$A$30:$BT$34</t>
  </si>
  <si>
    <t>range.C2 lossyG,lossyA,intra.dancer_player_vox11</t>
  </si>
  <si>
    <t>'C2 lossyG,lossyA,intra'!$A$35:$BT$39</t>
  </si>
  <si>
    <t>cols.C2 lossyG,lossyA,intra</t>
  </si>
  <si>
    <t>col.CW losslG,losslA,intra.class</t>
  </si>
  <si>
    <t>col.CW losslG,losslA,intra.sequence</t>
  </si>
  <si>
    <t>col.CW losslG,losslA,intra.src.numpoints</t>
  </si>
  <si>
    <t>col.CW losslG,losslA,intra.src.geometry-precision</t>
  </si>
  <si>
    <t>col.CW losslG,losslA,intra.src.framecount</t>
  </si>
  <si>
    <t>col.CW losslG,losslA,intra.src.framerate</t>
  </si>
  <si>
    <t>col.CW losslG,losslA,intra.A.eqn.compratio</t>
  </si>
  <si>
    <t>col.CW losslG,losslA,intra.A.eqn.bitrate</t>
  </si>
  <si>
    <t>col.CW losslG,losslA,intra.A.eqn.bpp</t>
  </si>
  <si>
    <t>col.CW losslG,losslA,intra.A.eqn.bpp.geometry+occ+patch</t>
  </si>
  <si>
    <t>col.CW losslG,losslA,intra.A.eqn.bpp.geometry</t>
  </si>
  <si>
    <t>col.CW losslG,losslA,intra.A.eqn.bpp.colour</t>
  </si>
  <si>
    <t>col.CW losslG,losslA,intra.A.eqn.bits.totalgeometry</t>
  </si>
  <si>
    <t>col.CW losslG,losslA,intra.A.eqn.bpop</t>
  </si>
  <si>
    <t>col.CW losslG,losslA,intra.A.dec.numpoints</t>
  </si>
  <si>
    <t>col.CW losslG,losslA,intra.A.enc.ext.bits</t>
  </si>
  <si>
    <t>col.CW losslG,losslA,intra.A.enc.bits.geometry</t>
  </si>
  <si>
    <t>col.CW losslG,losslA,intra.A.enc.bits.occ+patch</t>
  </si>
  <si>
    <t>col.CW losslG,losslA,intra.A.enc.bits.colour</t>
  </si>
  <si>
    <t>col.CW losslG,losslA,intra.A.dec.d1-psnr</t>
  </si>
  <si>
    <t>col.CW losslG,losslA,intra.A.dec.d2-psnr</t>
  </si>
  <si>
    <t>col.CW losslG,losslA,intra.A.dec.y-psnr</t>
  </si>
  <si>
    <t>col.CW losslG,losslA,intra.A.dec.cb-psnr</t>
  </si>
  <si>
    <t>col.CW losslG,losslA,intra.A.dec.cr-psnr</t>
  </si>
  <si>
    <t>col.CW losslG,losslA,intra.A.enc.utime.self</t>
  </si>
  <si>
    <t>col.CW losslG,losslA,intra.A.enc.utime.children</t>
  </si>
  <si>
    <t>col.CW losslG,losslA,intra.A.dec.utime.self</t>
  </si>
  <si>
    <t>col.CW losslG,losslA,intra.A.dec.utime.children</t>
  </si>
  <si>
    <t>col.CW losslG,losslA,intra.B.eqn.compratio</t>
  </si>
  <si>
    <t>col.CW losslG,losslA,intra.B.eqn.bitrate</t>
  </si>
  <si>
    <t>col.CW losslG,losslA,intra.B.eqn.bpp</t>
  </si>
  <si>
    <t>col.CW losslG,losslA,intra.B.eqn.bpp.geometry+occ+patch</t>
  </si>
  <si>
    <t>col.CW losslG,losslA,intra.B.eqn.bpp.geometry</t>
  </si>
  <si>
    <t>col.CW losslG,losslA,intra.B.eqn.bpp.colour</t>
  </si>
  <si>
    <t>col.CW losslG,losslA,intra.B.eqn.bits.totalgeometry</t>
  </si>
  <si>
    <t>col.CW losslG,losslA,intra.B.eqn.bpop</t>
  </si>
  <si>
    <t>col.CW losslG,losslA,intra.B.dec.numpoints</t>
  </si>
  <si>
    <t>col.CW losslG,losslA,intra.B.enc.ext.bits</t>
  </si>
  <si>
    <t>col.CW losslG,losslA,intra.B.enc.bits.geometry</t>
  </si>
  <si>
    <t>col.CW losslG,losslA,intra.B.enc.bits.occ+patch</t>
  </si>
  <si>
    <t>col.CW losslG,losslA,intra.B.enc.bits.colour</t>
  </si>
  <si>
    <t>col.CW losslG,losslA,intra.B.dec.d1-psnr</t>
  </si>
  <si>
    <t>col.CW losslG,losslA,intra.B.dec.d2-psnr</t>
  </si>
  <si>
    <t>col.CW losslG,losslA,intra.B.dec.y-psnr</t>
  </si>
  <si>
    <t>col.CW losslG,losslA,intra.B.dec.cb-psnr</t>
  </si>
  <si>
    <t>col.CW losslG,losslA,intra.B.dec.cr-psnr</t>
  </si>
  <si>
    <t>col.CW losslG,losslA,intra.B.enc.utime.self</t>
  </si>
  <si>
    <t>col.CW losslG,losslA,intra.B.enc.utime.children</t>
  </si>
  <si>
    <t>col.CW losslG,losslA,intra.B.dec.utime.self</t>
  </si>
  <si>
    <t>col.CW losslG,losslA,intra.B.dec.utime.children</t>
  </si>
  <si>
    <t>col.CW losslG,losslA,intra.eqn.ab.ratio-bpp</t>
  </si>
  <si>
    <t>col.CW losslG,losslA,intra.eqn.ab.ratio-bpp-geometry-total</t>
  </si>
  <si>
    <t>col.CW losslG,losslA,intra.eqn.ab.ratio-bpp-geometry</t>
  </si>
  <si>
    <t>col.CW losslG,losslA,intra.eqn.ab.ratio-bpp-colour</t>
  </si>
  <si>
    <t>col.CW losslG,losslA,intra.eqn.ab.delta-geom_texture_bits_ratio</t>
  </si>
  <si>
    <t>col.CW losslG,losslA,intra.eqn.ab.summary-delta-geom_texture_bits_ratio</t>
  </si>
  <si>
    <t>name.A.CW losslG,losslA,intra</t>
  </si>
  <si>
    <t>'CW losslG,losslA,intra'!$H$1</t>
  </si>
  <si>
    <t>name.B.CW losslG,losslA,intra</t>
  </si>
  <si>
    <t>'CW losslG,losslA,intra'!$AE$1</t>
  </si>
  <si>
    <t>range.CW losslG,losslA,intra.8ivfbv2_loot_vox10</t>
  </si>
  <si>
    <t>'CW losslG,losslA,intra'!$A$5:$BG$5</t>
  </si>
  <si>
    <t>range.CW losslG,losslA,intra.8ivfbv2_redandblack_vox10</t>
  </si>
  <si>
    <t>'CW losslG,losslA,intra'!$A$6:$BG$6</t>
  </si>
  <si>
    <t>range.CW losslG,losslA,intra.8ivfbv2_soldier_vox10</t>
  </si>
  <si>
    <t>'CW losslG,losslA,intra'!$A$7:$BG$7</t>
  </si>
  <si>
    <t>range.CW losslG,losslA,intra.queen</t>
  </si>
  <si>
    <t>'CW losslG,losslA,intra'!$A$8:$BG$8</t>
  </si>
  <si>
    <t>range.CW losslG,losslA,intra.8ivfbv2_longdress_vox10</t>
  </si>
  <si>
    <t>'CW losslG,losslA,intra'!$A$9:$BG$9</t>
  </si>
  <si>
    <t>range.CW losslG,losslA,intra.basketball_player_vox11</t>
  </si>
  <si>
    <t>'CW losslG,losslA,intra'!$A$10:$BG$10</t>
  </si>
  <si>
    <t>range.CW losslG,losslA,intra.dancer_player_vox11</t>
  </si>
  <si>
    <t>'CW losslG,losslA,intra'!$A$11:$BG$11</t>
  </si>
  <si>
    <t>cols.CW losslG,losslA,intra</t>
  </si>
  <si>
    <t>col.CW losslG,losslA,interLD.class</t>
  </si>
  <si>
    <t>col.CW losslG,losslA,interLD.sequence</t>
  </si>
  <si>
    <t>col.CW losslG,losslA,interLD.src.numpoints</t>
  </si>
  <si>
    <t>col.CW losslG,losslA,interLD.src.geometry-precision</t>
  </si>
  <si>
    <t>col.CW losslG,losslA,interLD.src.framecount</t>
  </si>
  <si>
    <t>col.CW losslG,losslA,interLD.src.framerate</t>
  </si>
  <si>
    <t>col.CW losslG,losslA,interLD.A.eqn.compratio</t>
  </si>
  <si>
    <t>col.CW losslG,losslA,interLD.A.eqn.bitrate</t>
  </si>
  <si>
    <t>col.CW losslG,losslA,interLD.A.eqn.bpp</t>
  </si>
  <si>
    <t>col.CW losslG,losslA,interLD.A.eqn.bpp.geometry+occ+patch</t>
  </si>
  <si>
    <t>col.CW losslG,losslA,interLD.A.eqn.bpp.geometry</t>
  </si>
  <si>
    <t>col.CW losslG,losslA,interLD.A.eqn.bpp.colour</t>
  </si>
  <si>
    <t>col.CW losslG,losslA,interLD.A.eqn.bits.totalgeometry</t>
  </si>
  <si>
    <t>col.CW losslG,losslA,interLD.A.eqn.bpop</t>
  </si>
  <si>
    <t>col.CW losslG,losslA,interLD.A.dec.numpoints</t>
  </si>
  <si>
    <t>col.CW losslG,losslA,interLD.A.enc.ext.bits</t>
  </si>
  <si>
    <t>col.CW losslG,losslA,interLD.A.enc.bits.geometry</t>
  </si>
  <si>
    <t>col.CW losslG,losslA,interLD.A.enc.bits.occ+patch</t>
  </si>
  <si>
    <t>col.CW losslG,losslA,interLD.A.enc.bits.colour</t>
  </si>
  <si>
    <t>col.CW losslG,losslA,interLD.A.dec.d1-psnr</t>
  </si>
  <si>
    <t>col.CW losslG,losslA,interLD.A.dec.d2-psnr</t>
  </si>
  <si>
    <t>col.CW losslG,losslA,interLD.A.dec.y-psnr</t>
  </si>
  <si>
    <t>col.CW losslG,losslA,interLD.A.dec.cb-psnr</t>
  </si>
  <si>
    <t>col.CW losslG,losslA,interLD.A.dec.cr-psnr</t>
  </si>
  <si>
    <t>col.CW losslG,losslA,interLD.A.enc.utime.self</t>
  </si>
  <si>
    <t>col.CW losslG,losslA,interLD.A.enc.utime.children</t>
  </si>
  <si>
    <t>col.CW losslG,losslA,interLD.A.dec.utime.self</t>
  </si>
  <si>
    <t>col.CW losslG,losslA,interLD.A.dec.utime.children</t>
  </si>
  <si>
    <t>col.CW losslG,losslA,interLD.B.eqn.compratio</t>
  </si>
  <si>
    <t>col.CW losslG,losslA,interLD.B.eqn.bitrate</t>
  </si>
  <si>
    <t>col.CW losslG,losslA,interLD.B.eqn.bpp</t>
  </si>
  <si>
    <t>col.CW losslG,losslA,interLD.B.eqn.bpp.geometry+occ+patch</t>
  </si>
  <si>
    <t>col.CW losslG,losslA,interLD.B.eqn.bpp.geometry</t>
  </si>
  <si>
    <t>col.CW losslG,losslA,interLD.B.eqn.bpp.colour</t>
  </si>
  <si>
    <t>col.CW losslG,losslA,interLD.B.eqn.bits.totalgeometry</t>
  </si>
  <si>
    <t>col.CW losslG,losslA,interLD.B.eqn.bpop</t>
  </si>
  <si>
    <t>col.CW losslG,losslA,interLD.B.dec.numpoints</t>
  </si>
  <si>
    <t>col.CW losslG,losslA,interLD.B.enc.ext.bits</t>
  </si>
  <si>
    <t>col.CW losslG,losslA,interLD.B.enc.bits.geometry</t>
  </si>
  <si>
    <t>col.CW losslG,losslA,interLD.B.enc.bits.occ+patch</t>
  </si>
  <si>
    <t>col.CW losslG,losslA,interLD.B.enc.bits.colour</t>
  </si>
  <si>
    <t>col.CW losslG,losslA,interLD.B.dec.d1-psnr</t>
  </si>
  <si>
    <t>col.CW losslG,losslA,interLD.B.dec.d2-psnr</t>
  </si>
  <si>
    <t>col.CW losslG,losslA,interLD.B.dec.y-psnr</t>
  </si>
  <si>
    <t>col.CW losslG,losslA,interLD.B.dec.cb-psnr</t>
  </si>
  <si>
    <t>col.CW losslG,losslA,interLD.B.dec.cr-psnr</t>
  </si>
  <si>
    <t>col.CW losslG,losslA,interLD.B.enc.utime.self</t>
  </si>
  <si>
    <t>col.CW losslG,losslA,interLD.B.enc.utime.children</t>
  </si>
  <si>
    <t>col.CW losslG,losslA,interLD.B.dec.utime.self</t>
  </si>
  <si>
    <t>col.CW losslG,losslA,interLD.B.dec.utime.children</t>
  </si>
  <si>
    <t>col.CW losslG,losslA,interLD.eqn.ab.ratio-bpp</t>
  </si>
  <si>
    <t>col.CW losslG,losslA,interLD.eqn.ab.ratio-bpp-geometry-total</t>
  </si>
  <si>
    <t>col.CW losslG,losslA,interLD.eqn.ab.ratio-bpp-geometry</t>
  </si>
  <si>
    <t>col.CW losslG,losslA,interLD.eqn.ab.ratio-bpp-colour</t>
  </si>
  <si>
    <t>col.CW losslG,losslA,interLD.eqn.ab.delta-geom_texture_bits_ratio</t>
  </si>
  <si>
    <t>col.CW losslG,losslA,interLD.eqn.ab.summary-delta-geom_texture_bits_ratio</t>
  </si>
  <si>
    <t>name.A.CW losslG,losslA,interLD</t>
  </si>
  <si>
    <t>'CW losslG,losslA,interLD'!$H$1</t>
  </si>
  <si>
    <t>name.B.CW losslG,losslA,interLD</t>
  </si>
  <si>
    <t>'CW losslG,losslA,interLD'!$AE$1</t>
  </si>
  <si>
    <t>range.CW losslG,losslA,interLD.8ivfbv2_loot_vox10</t>
  </si>
  <si>
    <t>'CW losslG,losslA,interLD'!$A$5:$BG$5</t>
  </si>
  <si>
    <t>range.CW losslG,losslA,interLD.8ivfbv2_redandblack_vox10</t>
  </si>
  <si>
    <t>'CW losslG,losslA,interLD'!$A$6:$BG$6</t>
  </si>
  <si>
    <t>range.CW losslG,losslA,interLD.8ivfbv2_soldier_vox10</t>
  </si>
  <si>
    <t>'CW losslG,losslA,interLD'!$A$7:$BG$7</t>
  </si>
  <si>
    <t>range.CW losslG,losslA,interLD.queen</t>
  </si>
  <si>
    <t>'CW losslG,losslA,interLD'!$A$8:$BG$8</t>
  </si>
  <si>
    <t>range.CW losslG,losslA,interLD.8ivfbv2_longdress_vox10</t>
  </si>
  <si>
    <t>'CW losslG,losslA,interLD'!$A$9:$BG$9</t>
  </si>
  <si>
    <t>range.CW losslG,losslA,interLD.basketball_player_vox11</t>
  </si>
  <si>
    <t>'CW losslG,losslA,interLD'!$A$10:$BG$10</t>
  </si>
  <si>
    <t>range.CW losslG,losslA,interLD.dancer_player_vox11</t>
  </si>
  <si>
    <t>'CW losslG,losslA,interLD'!$A$11:$BG$11</t>
  </si>
  <si>
    <t>cols.CW losslG,losslA,interLD</t>
  </si>
  <si>
    <t>col.C2 lossyG,lossyA,interRA.class</t>
  </si>
  <si>
    <t>col.C2 lossyG,lossyA,interRA.sequence</t>
  </si>
  <si>
    <t>col.C2 lossyG,lossyA,interRA.variant</t>
  </si>
  <si>
    <t>col.C2 lossyG,lossyA,interRA.src.numpoints</t>
  </si>
  <si>
    <t>col.C2 lossyG,lossyA,interRA.src.geometry-precision</t>
  </si>
  <si>
    <t>col.C2 lossyG,lossyA,interRA.src.framecount</t>
  </si>
  <si>
    <t>col.C2 lossyG,lossyA,interRA.src.framerate</t>
  </si>
  <si>
    <t>col.C2 lossyG,lossyA,interRA.A.eqn.bitrate</t>
  </si>
  <si>
    <t>col.C2 lossyG,lossyA,interRA.A.eqn.bpp</t>
  </si>
  <si>
    <t>col.C2 lossyG,lossyA,interRA.A.eqn.bpp.geometry+occ+patch</t>
  </si>
  <si>
    <t>col.C2 lossyG,lossyA,interRA.A.eqn.bpp.geometry</t>
  </si>
  <si>
    <t>col.C2 lossyG,lossyA,interRA.A.eqn.bpp.colour</t>
  </si>
  <si>
    <t>col.C2 lossyG,lossyA,interRA.A.eqn.bits.totalgeometry</t>
  </si>
  <si>
    <t>col.C2 lossyG,lossyA,interRA.A.eqn.bpop</t>
  </si>
  <si>
    <t>col.C2 lossyG,lossyA,interRA.A.dec.numpoints</t>
  </si>
  <si>
    <t>col.C2 lossyG,lossyA,interRA.A.dec.numpoints.mean</t>
  </si>
  <si>
    <t>col.C2 lossyG,lossyA,interRA.A.dec.numduppoints.mean</t>
  </si>
  <si>
    <t>col.C2 lossyG,lossyA,interRA.A.enc.ext.bits</t>
  </si>
  <si>
    <t>col.C2 lossyG,lossyA,interRA.A.enc.bits.geometry</t>
  </si>
  <si>
    <t>col.C2 lossyG,lossyA,interRA.A.enc.bits.occ+patch</t>
  </si>
  <si>
    <t>col.C2 lossyG,lossyA,interRA.A.enc.bits.colour</t>
  </si>
  <si>
    <t>col.C2 lossyG,lossyA,interRA.A.dec.d1-psnr</t>
  </si>
  <si>
    <t>col.C2 lossyG,lossyA,interRA.A.dec.d2-psnr</t>
  </si>
  <si>
    <t>col.C2 lossyG,lossyA,interRA.A.dec.y-psnr</t>
  </si>
  <si>
    <t>col.C2 lossyG,lossyA,interRA.A.dec.cb-psnr</t>
  </si>
  <si>
    <t>col.C2 lossyG,lossyA,interRA.A.dec.cr-psnr</t>
  </si>
  <si>
    <t>col.C2 lossyG,lossyA,interRA.A.enc.utime.self</t>
  </si>
  <si>
    <t>col.C2 lossyG,lossyA,interRA.A.enc.utime.children</t>
  </si>
  <si>
    <t>col.C2 lossyG,lossyA,interRA.A.dec.utime.self</t>
  </si>
  <si>
    <t>col.C2 lossyG,lossyA,interRA.A.dec.utime.children</t>
  </si>
  <si>
    <t>col.C2 lossyG,lossyA,interRA.B.eqn.bitrate</t>
  </si>
  <si>
    <t>col.C2 lossyG,lossyA,interRA.B.eqn.bpp</t>
  </si>
  <si>
    <t>col.C2 lossyG,lossyA,interRA.B.eqn.bpp.geometry+occ+patch</t>
  </si>
  <si>
    <t>col.C2 lossyG,lossyA,interRA.B.eqn.bpp.geometry</t>
  </si>
  <si>
    <t>col.C2 lossyG,lossyA,interRA.B.eqn.bpp.colour</t>
  </si>
  <si>
    <t>col.C2 lossyG,lossyA,interRA.B.eqn.bits.totalgeometry</t>
  </si>
  <si>
    <t>col.C2 lossyG,lossyA,interRA.B.eqn.bpop</t>
  </si>
  <si>
    <t>col.C2 lossyG,lossyA,interRA.B.dec.numpoints</t>
  </si>
  <si>
    <t>col.C2 lossyG,lossyA,interRA.B.dec.numpoints.mean</t>
  </si>
  <si>
    <t>col.C2 lossyG,lossyA,interRA.B.dec.numduppoints.mean</t>
  </si>
  <si>
    <t>col.C2 lossyG,lossyA,interRA.B.enc.ext.bits</t>
  </si>
  <si>
    <t>col.C2 lossyG,lossyA,interRA.B.enc.bits.geometry</t>
  </si>
  <si>
    <t>col.C2 lossyG,lossyA,interRA.B.enc.bits.occ+patch</t>
  </si>
  <si>
    <t>col.C2 lossyG,lossyA,interRA.B.enc.bits.colour</t>
  </si>
  <si>
    <t>col.C2 lossyG,lossyA,interRA.B.dec.d1-psnr</t>
  </si>
  <si>
    <t>col.C2 lossyG,lossyA,interRA.B.dec.d2-psnr</t>
  </si>
  <si>
    <t>col.C2 lossyG,lossyA,interRA.B.dec.y-psnr</t>
  </si>
  <si>
    <t>col.C2 lossyG,lossyA,interRA.B.dec.cb-psnr</t>
  </si>
  <si>
    <t>col.C2 lossyG,lossyA,interRA.B.dec.cr-psnr</t>
  </si>
  <si>
    <t>col.C2 lossyG,lossyA,interRA.B.enc.utime.self</t>
  </si>
  <si>
    <t>col.C2 lossyG,lossyA,interRA.B.enc.utime.children</t>
  </si>
  <si>
    <t>col.C2 lossyG,lossyA,interRA.B.dec.utime.self</t>
  </si>
  <si>
    <t>col.C2 lossyG,lossyA,interRA.B.dec.utime.children</t>
  </si>
  <si>
    <t>col.C2 lossyG,lossyA,interRA.eqn.ab.ratio-bpp-geometry-total</t>
  </si>
  <si>
    <t>col.C2 lossyG,lossyA,interRA.eqn.ab.delta-duppoints_ratio</t>
  </si>
  <si>
    <t>col.C2 lossyG,lossyA,interRA.eqn.ab.delta-geom_texture_bits_ratio</t>
  </si>
  <si>
    <t>col.C2 lossyG,lossyA,interRA.eqn.ab.summary-delta-geom_texture_bits_ratio</t>
  </si>
  <si>
    <t>col.C2 lossyG,lossyA,interRA.eqn.ab.bdrate-d1-geomrate</t>
  </si>
  <si>
    <t>col.C2 lossyG,lossyA,interRA.eqn.ab.bdrate-d2-geomrate</t>
  </si>
  <si>
    <t>col.C2 lossyG,lossyA,interRA.eqn.ab.bdrate-y-attrrate</t>
  </si>
  <si>
    <t>col.C2 lossyG,lossyA,interRA.eqn.ab.bdrate-cb-attrrate</t>
  </si>
  <si>
    <t>col.C2 lossyG,lossyA,interRA.eqn.ab.bdrate-cr-attrrate</t>
  </si>
  <si>
    <t>col.C2 lossyG,lossyA,interRA.eqn.ab.bdrate-d1</t>
  </si>
  <si>
    <t>col.C2 lossyG,lossyA,interRA.eqn.ab.bdrate-d2</t>
  </si>
  <si>
    <t>col.C2 lossyG,lossyA,interRA.eqn.ab.bdrate-y</t>
  </si>
  <si>
    <t>col.C2 lossyG,lossyA,interRA.eqn.ab.bdrate-cb</t>
  </si>
  <si>
    <t>col.C2 lossyG,lossyA,interRA.eqn.ab.bdrate-cr</t>
  </si>
  <si>
    <t>name.A.C2 lossyG,lossyA,interRA</t>
  </si>
  <si>
    <t>'C2 lossyG,lossyA,interRA'!$I$1</t>
  </si>
  <si>
    <t>name.B.C2 lossyG,lossyA,interRA</t>
  </si>
  <si>
    <t>'C2 lossyG,lossyA,interRA'!$AG$1</t>
  </si>
  <si>
    <t>range.C2 lossyG,lossyA,interRA.8ivfbv2_loot_vox10</t>
  </si>
  <si>
    <t>'C2 lossyG,lossyA,interRA'!$A$5:$BT$9</t>
  </si>
  <si>
    <t>range.C2 lossyG,lossyA,interRA.8ivfbv2_redandblack_vox10</t>
  </si>
  <si>
    <t>'C2 lossyG,lossyA,interRA'!$A$10:$BT$14</t>
  </si>
  <si>
    <t>range.C2 lossyG,lossyA,interRA.8ivfbv2_soldier_vox10</t>
  </si>
  <si>
    <t>'C2 lossyG,lossyA,interRA'!$A$15:$BT$19</t>
  </si>
  <si>
    <t>range.C2 lossyG,lossyA,interRA.queen</t>
  </si>
  <si>
    <t>'C2 lossyG,lossyA,interRA'!$A$20:$BT$24</t>
  </si>
  <si>
    <t>range.C2 lossyG,lossyA,interRA.8ivfbv2_longdress_vox10</t>
  </si>
  <si>
    <t>'C2 lossyG,lossyA,interRA'!$A$25:$BT$29</t>
  </si>
  <si>
    <t>range.C2 lossyG,lossyA,interRA.basketball_player_vox11</t>
  </si>
  <si>
    <t>'C2 lossyG,lossyA,interRA'!$A$30:$BT$34</t>
  </si>
  <si>
    <t>range.C2 lossyG,lossyA,interRA.dancer_player_vox11</t>
  </si>
  <si>
    <t>'C2 lossyG,lossyA,interRA'!$A$35:$BT$39</t>
  </si>
  <si>
    <t>cols.C2 lossyG,lossyA,interRA</t>
  </si>
  <si>
    <t>CW_ai — lossless geometry, lossless attributes [all intra]</t>
  </si>
  <si>
    <t>Comp. ratio [%]</t>
  </si>
  <si>
    <t>A.eqn.compratio</t>
  </si>
  <si>
    <t>B.eqn.compratio</t>
  </si>
  <si>
    <t>eqn.ab.ratio-bpp</t>
  </si>
  <si>
    <t>eqn.ab.ratio-bpp-geometry</t>
  </si>
  <si>
    <t>eqn.ab.ratio-bpp-colour</t>
  </si>
  <si>
    <t>inf</t>
  </si>
  <si>
    <t>CW_ld — lossless geometry, lossless attributes [inter, low delay]</t>
  </si>
  <si>
    <t>C2_ra — lossy geometry, lossy attributes [inter, random access]</t>
  </si>
  <si>
    <t>ALL_master+r90</t>
  </si>
  <si>
    <t>decoding time</t>
  </si>
  <si>
    <t>Random Access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</si>
</sst>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
    <numFmt numFmtId="166" formatCode="[&gt;1000]0;[&gt;100]0.0;0.00"/>
  </numFmts>
  <fonts count="4">
    <font>
      <sz val="11"/>
      <color theme="1"/>
      <name val="Calibri"/>
      <family val="2"/>
      <scheme val="minor"/>
    </font>
    <font>
      <b/>
      <sz val="11"/>
      <color theme="1"/>
      <name val="Calibri"/>
      <family val="2"/>
      <scheme val="minor"/>
    </font>
    <font>
      <b/>
      <sz val="7"/>
      <color theme="1"/>
      <name val="Calibri"/>
      <family val="2"/>
      <scheme val="minor"/>
    </font>
    <font>
      <sz val="7"/>
      <color theme="1"/>
      <name val="Calibri"/>
      <family val="2"/>
      <scheme val="minor"/>
    </font>
  </fonts>
  <fills count="12">
    <fill>
      <patternFill patternType="none"/>
    </fill>
    <fill>
      <patternFill patternType="gray125"/>
    </fill>
    <fill>
      <patternFill patternType="solid">
        <fgColor rgb="FFDA9694"/>
        <bgColor auto="1"/>
      </patternFill>
    </fill>
    <fill>
      <patternFill patternType="solid">
        <fgColor rgb="FFC4D796"/>
        <bgColor auto="1"/>
      </patternFill>
    </fill>
    <fill>
      <patternFill patternType="solid">
        <fgColor rgb="FFBFBFBF"/>
        <bgColor auto="1"/>
      </patternFill>
    </fill>
    <fill>
      <patternFill patternType="solid">
        <fgColor rgb="FFA6A6A6"/>
        <bgColor auto="1"/>
      </patternFill>
    </fill>
    <fill>
      <patternFill patternType="solid">
        <fgColor rgb="FFFFFF00"/>
        <bgColor auto="1"/>
      </patternFill>
    </fill>
    <fill>
      <patternFill patternType="solid">
        <fgColor rgb="FFC4BF97"/>
        <bgColor auto="1"/>
      </patternFill>
    </fill>
    <fill>
      <patternFill patternType="solid">
        <fgColor rgb="FFF2F2F2"/>
        <bgColor auto="1"/>
      </patternFill>
    </fill>
    <fill>
      <patternFill patternType="solid">
        <fgColor rgb="FFDCE6F1"/>
        <bgColor auto="1"/>
      </patternFill>
    </fill>
    <fill>
      <patternFill patternType="solid">
        <fgColor rgb="FFD9D9D9"/>
        <bgColor auto="1"/>
      </patternFill>
    </fill>
    <fill>
      <patternFill patternType="solid">
        <fgColor rgb="FFB8CCE4"/>
        <bgColor auto="1"/>
      </patternFill>
    </fill>
  </fills>
  <borders count="9">
    <border>
      <left/>
      <right/>
      <top/>
      <bottom/>
      <diagonal/>
    </border>
    <border>
      <left/>
      <right/>
      <top style="medium">
        <color auto="1"/>
      </top>
      <bottom style="medium">
        <color auto="1"/>
      </bottom>
      <diagonal/>
    </border>
    <border>
      <left/>
      <right/>
      <top style="medium">
        <color auto="1"/>
      </top>
      <bottom/>
      <diagonal/>
    </border>
    <border>
      <left/>
      <right/>
      <top/>
      <bottom style="medium">
        <color auto="1"/>
      </bottom>
      <diagonal/>
    </border>
    <border>
      <left/>
      <right/>
      <top style="thin">
        <color auto="1"/>
      </top>
      <bottom style="thin">
        <color auto="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1">
    <xf numFmtId="0" fontId="0" fillId="0" borderId="0"/>
  </cellStyleXfs>
  <cellXfs count="101">
    <xf numFmtId="0" fontId="0" fillId="0" borderId="0" xfId="0"/>
    <xf numFmtId="0" fontId="1" fillId="4" borderId="0" xfId="0" applyFont="1" applyFill="1"/>
    <xf numFmtId="0" fontId="1" fillId="4" borderId="3" xfId="0" applyFont="1" applyFill="1" applyBorder="1" applyAlignment="1">
      <alignment horizontal="center" vertical="center" wrapText="1"/>
    </xf>
    <xf numFmtId="0" fontId="1" fillId="5" borderId="3" xfId="0" applyFont="1" applyFill="1" applyBorder="1" applyAlignment="1">
      <alignment horizontal="center" vertical="center" wrapText="1"/>
    </xf>
    <xf numFmtId="0" fontId="1" fillId="0" borderId="4" xfId="0" applyFont="1" applyBorder="1"/>
    <xf numFmtId="164" fontId="0" fillId="0" borderId="4" xfId="0" applyNumberFormat="1" applyBorder="1" applyAlignment="1">
      <alignment horizontal="center"/>
    </xf>
    <xf numFmtId="0" fontId="0" fillId="0" borderId="3" xfId="0" applyBorder="1"/>
    <xf numFmtId="0" fontId="0" fillId="6" borderId="0" xfId="0" applyFill="1"/>
    <xf numFmtId="0" fontId="1" fillId="5" borderId="3" xfId="0" applyFont="1" applyFill="1" applyBorder="1" applyAlignment="1">
      <alignment horizontal="center" textRotation="90" wrapText="1"/>
    </xf>
    <xf numFmtId="0" fontId="1" fillId="4" borderId="3" xfId="0" applyFont="1" applyFill="1" applyBorder="1" applyAlignment="1">
      <alignment horizontal="center" textRotation="90" wrapText="1"/>
    </xf>
    <xf numFmtId="0" fontId="0" fillId="8" borderId="0" xfId="0" applyFill="1" applyAlignment="1">
      <alignment horizontal="center"/>
    </xf>
    <xf numFmtId="165" fontId="0" fillId="8" borderId="0" xfId="0" applyNumberFormat="1" applyFill="1" applyAlignment="1">
      <alignment horizontal="center"/>
    </xf>
    <xf numFmtId="2" fontId="0" fillId="8" borderId="0" xfId="0" applyNumberFormat="1" applyFill="1" applyAlignment="1">
      <alignment horizontal="center"/>
    </xf>
    <xf numFmtId="0" fontId="0" fillId="9" borderId="0" xfId="0" applyFill="1"/>
    <xf numFmtId="0" fontId="0" fillId="9" borderId="0" xfId="0" applyFill="1" applyAlignment="1">
      <alignment horizontal="center"/>
    </xf>
    <xf numFmtId="2" fontId="0" fillId="9" borderId="0" xfId="0" applyNumberFormat="1" applyFill="1" applyAlignment="1">
      <alignment horizontal="center"/>
    </xf>
    <xf numFmtId="166" fontId="0" fillId="9" borderId="0" xfId="0" applyNumberFormat="1" applyFill="1" applyAlignment="1">
      <alignment horizontal="center"/>
    </xf>
    <xf numFmtId="9" fontId="0" fillId="8" borderId="0" xfId="0" applyNumberFormat="1" applyFill="1" applyAlignment="1">
      <alignment horizontal="center"/>
    </xf>
    <xf numFmtId="0" fontId="0" fillId="10" borderId="0" xfId="0" applyFill="1"/>
    <xf numFmtId="0" fontId="0" fillId="10" borderId="0" xfId="0" applyFill="1" applyAlignment="1">
      <alignment horizontal="center"/>
    </xf>
    <xf numFmtId="165" fontId="0" fillId="10" borderId="0" xfId="0" applyNumberFormat="1" applyFill="1" applyAlignment="1">
      <alignment horizontal="center"/>
    </xf>
    <xf numFmtId="2" fontId="0" fillId="10" borderId="0" xfId="0" applyNumberFormat="1" applyFill="1" applyAlignment="1">
      <alignment horizontal="center"/>
    </xf>
    <xf numFmtId="0" fontId="0" fillId="11" borderId="0" xfId="0" applyFill="1"/>
    <xf numFmtId="0" fontId="0" fillId="11" borderId="0" xfId="0" applyFill="1" applyAlignment="1">
      <alignment horizontal="center"/>
    </xf>
    <xf numFmtId="2" fontId="0" fillId="11" borderId="0" xfId="0" applyNumberFormat="1" applyFill="1" applyAlignment="1">
      <alignment horizontal="center"/>
    </xf>
    <xf numFmtId="166" fontId="0" fillId="11" borderId="0" xfId="0" applyNumberFormat="1" applyFill="1" applyAlignment="1">
      <alignment horizontal="center"/>
    </xf>
    <xf numFmtId="9" fontId="0" fillId="10" borderId="0" xfId="0" applyNumberFormat="1" applyFill="1" applyAlignment="1">
      <alignment horizontal="center"/>
    </xf>
    <xf numFmtId="0" fontId="0" fillId="8" borderId="3" xfId="0" applyFill="1" applyBorder="1"/>
    <xf numFmtId="0" fontId="0" fillId="8" borderId="3" xfId="0" applyFill="1" applyBorder="1" applyAlignment="1">
      <alignment horizontal="center"/>
    </xf>
    <xf numFmtId="165" fontId="0" fillId="8" borderId="3" xfId="0" applyNumberFormat="1" applyFill="1" applyBorder="1" applyAlignment="1">
      <alignment horizontal="center"/>
    </xf>
    <xf numFmtId="2" fontId="0" fillId="8" borderId="3" xfId="0" applyNumberFormat="1" applyFill="1" applyBorder="1" applyAlignment="1">
      <alignment horizontal="center"/>
    </xf>
    <xf numFmtId="0" fontId="0" fillId="9" borderId="3" xfId="0" applyFill="1" applyBorder="1"/>
    <xf numFmtId="0" fontId="0" fillId="9" borderId="3" xfId="0" applyFill="1" applyBorder="1" applyAlignment="1">
      <alignment horizontal="center"/>
    </xf>
    <xf numFmtId="2" fontId="0" fillId="9" borderId="3" xfId="0" applyNumberFormat="1" applyFill="1" applyBorder="1" applyAlignment="1">
      <alignment horizontal="center"/>
    </xf>
    <xf numFmtId="166" fontId="0" fillId="9" borderId="3" xfId="0" applyNumberFormat="1" applyFill="1" applyBorder="1" applyAlignment="1">
      <alignment horizontal="center"/>
    </xf>
    <xf numFmtId="164" fontId="0" fillId="8" borderId="3" xfId="0" applyNumberFormat="1" applyFill="1" applyBorder="1" applyAlignment="1">
      <alignment horizontal="center"/>
    </xf>
    <xf numFmtId="9" fontId="0" fillId="8" borderId="3" xfId="0" applyNumberFormat="1" applyFill="1" applyBorder="1" applyAlignment="1">
      <alignment horizontal="center"/>
    </xf>
    <xf numFmtId="0" fontId="0" fillId="10" borderId="3" xfId="0" applyFill="1" applyBorder="1"/>
    <xf numFmtId="0" fontId="0" fillId="10" borderId="3" xfId="0" applyFill="1" applyBorder="1" applyAlignment="1">
      <alignment horizontal="center"/>
    </xf>
    <xf numFmtId="165" fontId="0" fillId="10" borderId="3" xfId="0" applyNumberFormat="1" applyFill="1" applyBorder="1" applyAlignment="1">
      <alignment horizontal="center"/>
    </xf>
    <xf numFmtId="2" fontId="0" fillId="10" borderId="3" xfId="0" applyNumberFormat="1" applyFill="1" applyBorder="1" applyAlignment="1">
      <alignment horizontal="center"/>
    </xf>
    <xf numFmtId="0" fontId="0" fillId="11" borderId="3" xfId="0" applyFill="1" applyBorder="1"/>
    <xf numFmtId="0" fontId="0" fillId="11" borderId="3" xfId="0" applyFill="1" applyBorder="1" applyAlignment="1">
      <alignment horizontal="center"/>
    </xf>
    <xf numFmtId="2" fontId="0" fillId="11" borderId="3" xfId="0" applyNumberFormat="1" applyFill="1" applyBorder="1" applyAlignment="1">
      <alignment horizontal="center"/>
    </xf>
    <xf numFmtId="166" fontId="0" fillId="11" borderId="3" xfId="0" applyNumberFormat="1" applyFill="1" applyBorder="1" applyAlignment="1">
      <alignment horizontal="center"/>
    </xf>
    <xf numFmtId="164" fontId="0" fillId="10" borderId="3" xfId="0" applyNumberFormat="1" applyFill="1" applyBorder="1" applyAlignment="1">
      <alignment horizontal="center"/>
    </xf>
    <xf numFmtId="9" fontId="0" fillId="10" borderId="3" xfId="0" applyNumberFormat="1" applyFill="1" applyBorder="1" applyAlignment="1">
      <alignment horizontal="center"/>
    </xf>
    <xf numFmtId="0" fontId="1" fillId="0" borderId="0" xfId="0" applyFont="1" applyAlignment="1">
      <alignment wrapText="1"/>
    </xf>
    <xf numFmtId="2" fontId="0" fillId="0" borderId="0" xfId="0" applyNumberFormat="1" applyAlignment="1">
      <alignment horizontal="center"/>
    </xf>
    <xf numFmtId="166" fontId="0" fillId="0" borderId="0" xfId="0" applyNumberFormat="1" applyAlignment="1">
      <alignment horizontal="center"/>
    </xf>
    <xf numFmtId="164" fontId="0" fillId="10" borderId="0" xfId="0" applyNumberFormat="1" applyFill="1" applyAlignment="1">
      <alignment horizontal="center"/>
    </xf>
    <xf numFmtId="164" fontId="0" fillId="8" borderId="0" xfId="0" applyNumberFormat="1" applyFill="1" applyAlignment="1">
      <alignment horizontal="center"/>
    </xf>
    <xf numFmtId="164" fontId="0" fillId="0" borderId="0" xfId="0" applyNumberFormat="1" applyAlignment="1">
      <alignment horizontal="center"/>
    </xf>
    <xf numFmtId="0" fontId="0" fillId="0" borderId="0" xfId="0"/>
    <xf numFmtId="0" fontId="0" fillId="8" borderId="0" xfId="0" applyFill="1"/>
    <xf numFmtId="9" fontId="0" fillId="0" borderId="0" xfId="0" applyNumberFormat="1" applyAlignment="1">
      <alignment horizontal="center"/>
    </xf>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0" fontId="0" fillId="0" borderId="0" xfId="0"/>
    <xf numFmtId="9" fontId="0" fillId="0" borderId="0" xfId="0" applyNumberFormat="1" applyAlignment="1">
      <alignment horizontal="center"/>
    </xf>
    <xf numFmtId="0" fontId="0" fillId="0" borderId="0" xfId="0"/>
    <xf numFmtId="0" fontId="0" fillId="0" borderId="0" xfId="0"/>
    <xf numFmtId="0" fontId="2" fillId="5" borderId="3" xfId="0" applyFont="1" applyFill="1" applyBorder="1" applyAlignment="1">
      <alignment wrapText="1"/>
    </xf>
    <xf numFmtId="0" fontId="3" fillId="0" borderId="0" xfId="0" applyFont="1"/>
    <xf numFmtId="0" fontId="3" fillId="0" borderId="3" xfId="0" applyFont="1" applyBorder="1" applyAlignment="1"/>
    <xf numFmtId="0" fontId="2" fillId="4" borderId="3" xfId="0" applyFont="1" applyFill="1" applyBorder="1" applyAlignment="1">
      <alignment horizontal="center" wrapText="1"/>
    </xf>
    <xf numFmtId="0" fontId="2" fillId="5" borderId="3" xfId="0" applyFont="1" applyFill="1" applyBorder="1" applyAlignment="1">
      <alignment horizontal="center" wrapText="1"/>
    </xf>
    <xf numFmtId="0" fontId="2" fillId="5" borderId="0" xfId="0" applyFont="1" applyFill="1" applyBorder="1" applyAlignment="1">
      <alignment horizontal="center" textRotation="90" wrapText="1"/>
    </xf>
    <xf numFmtId="0" fontId="2" fillId="4" borderId="0" xfId="0" applyFont="1" applyFill="1" applyBorder="1" applyAlignment="1">
      <alignment horizontal="center" textRotation="90" wrapText="1"/>
    </xf>
    <xf numFmtId="0" fontId="3" fillId="0" borderId="6" xfId="0" applyFont="1" applyFill="1" applyBorder="1"/>
    <xf numFmtId="0" fontId="3" fillId="0" borderId="5" xfId="0" applyFont="1" applyFill="1" applyBorder="1"/>
    <xf numFmtId="164" fontId="3" fillId="0" borderId="5" xfId="0" applyNumberFormat="1" applyFont="1" applyFill="1" applyBorder="1"/>
    <xf numFmtId="0" fontId="3" fillId="0" borderId="0" xfId="0" applyFont="1" applyFill="1"/>
    <xf numFmtId="0" fontId="3" fillId="0" borderId="7" xfId="0" applyFont="1" applyFill="1" applyBorder="1"/>
    <xf numFmtId="0" fontId="3" fillId="0" borderId="8" xfId="0" applyFont="1" applyFill="1" applyBorder="1"/>
    <xf numFmtId="0" fontId="2" fillId="0" borderId="5" xfId="0" applyFont="1" applyFill="1" applyBorder="1" applyAlignment="1">
      <alignment wrapText="1"/>
    </xf>
    <xf numFmtId="0" fontId="2" fillId="0" borderId="6" xfId="0" applyFont="1" applyFill="1" applyBorder="1" applyAlignment="1">
      <alignment wrapText="1"/>
    </xf>
    <xf numFmtId="164" fontId="3" fillId="0" borderId="6" xfId="0" applyNumberFormat="1" applyFont="1" applyFill="1" applyBorder="1"/>
    <xf numFmtId="0" fontId="0" fillId="0" borderId="0" xfId="0"/>
    <xf numFmtId="0" fontId="1" fillId="2" borderId="0" xfId="0" applyFont="1" applyFill="1" applyAlignment="1">
      <alignment horizontal="center" wrapText="1"/>
    </xf>
    <xf numFmtId="0" fontId="0" fillId="0" borderId="0" xfId="0"/>
    <xf numFmtId="0" fontId="1" fillId="3" borderId="0" xfId="0" applyFont="1" applyFill="1" applyAlignment="1">
      <alignment horizontal="center" wrapText="1"/>
    </xf>
    <xf numFmtId="0" fontId="1" fillId="4" borderId="1" xfId="0" applyFont="1" applyFill="1" applyBorder="1" applyAlignment="1">
      <alignment horizontal="center" vertical="center" wrapText="1"/>
    </xf>
    <xf numFmtId="0" fontId="0" fillId="0" borderId="3" xfId="0" applyBorder="1"/>
    <xf numFmtId="0" fontId="1" fillId="4" borderId="2" xfId="0" applyFont="1" applyFill="1" applyBorder="1" applyAlignment="1">
      <alignment horizontal="center" vertical="center" wrapText="1"/>
    </xf>
    <xf numFmtId="0" fontId="0" fillId="0" borderId="2" xfId="0" applyBorder="1"/>
    <xf numFmtId="0" fontId="1" fillId="4" borderId="0" xfId="0" applyFont="1" applyFill="1" applyAlignment="1">
      <alignment horizontal="center" vertical="center" wrapText="1"/>
    </xf>
    <xf numFmtId="0" fontId="1" fillId="5" borderId="0" xfId="0" applyFont="1" applyFill="1" applyAlignment="1">
      <alignment horizontal="center" vertical="center" wrapText="1"/>
    </xf>
    <xf numFmtId="9" fontId="0" fillId="0" borderId="0" xfId="0" applyNumberFormat="1" applyAlignment="1">
      <alignment horizontal="center"/>
    </xf>
    <xf numFmtId="9" fontId="0" fillId="0" borderId="3" xfId="0" applyNumberFormat="1" applyBorder="1" applyAlignment="1">
      <alignment horizontal="center"/>
    </xf>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0" fontId="1" fillId="4" borderId="0" xfId="0" applyFont="1" applyFill="1" applyAlignment="1">
      <alignment horizontal="center" wrapText="1"/>
    </xf>
    <xf numFmtId="0" fontId="1" fillId="5" borderId="0" xfId="0" applyFont="1" applyFill="1" applyAlignment="1">
      <alignment horizontal="center" wrapText="1"/>
    </xf>
    <xf numFmtId="0" fontId="1" fillId="7" borderId="0" xfId="0" applyFont="1" applyFill="1" applyAlignment="1">
      <alignment horizontal="left" vertical="top"/>
    </xf>
    <xf numFmtId="0" fontId="2" fillId="4" borderId="3" xfId="0" applyFont="1" applyFill="1" applyBorder="1" applyAlignment="1">
      <alignment horizontal="center" wrapText="1"/>
    </xf>
    <xf numFmtId="0" fontId="3" fillId="0" borderId="3" xfId="0" applyFont="1" applyBorder="1"/>
    <xf numFmtId="9" fontId="3" fillId="0" borderId="5" xfId="0" applyNumberFormat="1" applyFont="1" applyFill="1" applyBorder="1" applyAlignment="1">
      <alignment horizontal="center"/>
    </xf>
    <xf numFmtId="0" fontId="2" fillId="4" borderId="0" xfId="0" applyFont="1" applyFill="1" applyAlignment="1">
      <alignment horizontal="center" wrapText="1"/>
    </xf>
    <xf numFmtId="0" fontId="3" fillId="0" borderId="0" xfId="0" applyFont="1"/>
    <xf numFmtId="0" fontId="2" fillId="5" borderId="0" xfId="0" applyFont="1" applyFill="1" applyAlignment="1">
      <alignment horizontal="center" wrapText="1"/>
    </xf>
  </cellXfs>
  <cellStyles count="1">
    <cellStyle name="Normal" xfId="0" builtinId="0"/>
  </cellStyles>
  <dxfs count="114">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Graphs!graph_a_title</c:f>
          <c:strCache>
            <c:ptCount val="1"/>
            <c:pt idx="0">
              <c:v>D1 Geometry PSNR (Graph a)</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Graphs!graph_a_A_title</c:f>
              <c:strCache>
                <c:ptCount val="1"/>
                <c:pt idx="0">
                  <c:v>ALL_master+r90</c:v>
                </c:pt>
              </c:strCache>
            </c:strRef>
          </c:tx>
          <c:spPr>
            <a:ln>
              <a:prstDash val="solid"/>
            </a:ln>
          </c:spPr>
          <c:marker>
            <c:symbol val="none"/>
          </c:marker>
          <c:xVal>
            <c:numRef>
              <c:f>Graphs!graph_a_x_range_A</c:f>
              <c:numCache>
                <c:formatCode>0.00</c:formatCode>
                <c:ptCount val="5"/>
                <c:pt idx="0">
                  <c:v>3.5272086067430685E-3</c:v>
                </c:pt>
                <c:pt idx="1">
                  <c:v>4.8914115183882837E-3</c:v>
                </c:pt>
                <c:pt idx="2">
                  <c:v>6.8387179547894136E-3</c:v>
                </c:pt>
                <c:pt idx="3">
                  <c:v>1.0100745133693839E-2</c:v>
                </c:pt>
                <c:pt idx="4">
                  <c:v>1.5547781280464586E-2</c:v>
                </c:pt>
              </c:numCache>
            </c:numRef>
          </c:xVal>
          <c:yVal>
            <c:numRef>
              <c:f>Graphs!graph_a_y_range_A</c:f>
              <c:numCache>
                <c:formatCode>General</c:formatCode>
                <c:ptCount val="5"/>
                <c:pt idx="0">
                  <c:v>66.354630999999998</c:v>
                </c:pt>
                <c:pt idx="1">
                  <c:v>68.255983999999998</c:v>
                </c:pt>
                <c:pt idx="2">
                  <c:v>69.683722000000003</c:v>
                </c:pt>
                <c:pt idx="3">
                  <c:v>70.836841000000007</c:v>
                </c:pt>
                <c:pt idx="4">
                  <c:v>71.945244000000002</c:v>
                </c:pt>
              </c:numCache>
            </c:numRef>
          </c:yVal>
          <c:smooth val="1"/>
          <c:extLst>
            <c:ext xmlns:c16="http://schemas.microsoft.com/office/drawing/2014/chart" uri="{C3380CC4-5D6E-409C-BE32-E72D297353CC}">
              <c16:uniqueId val="{00000000-1AFB-4A76-8C37-3B7DB66539CF}"/>
            </c:ext>
          </c:extLst>
        </c:ser>
        <c:ser>
          <c:idx val="1"/>
          <c:order val="1"/>
          <c:tx>
            <c:strRef>
              <c:f>Graphs!graph_a_B_title</c:f>
              <c:strCache>
                <c:ptCount val="1"/>
                <c:pt idx="0">
                  <c:v>0</c:v>
                </c:pt>
              </c:strCache>
            </c:strRef>
          </c:tx>
          <c:spPr>
            <a:ln>
              <a:prstDash val="solid"/>
            </a:ln>
          </c:spPr>
          <c:marker>
            <c:symbol val="none"/>
          </c:marker>
          <c:xVal>
            <c:numRef>
              <c:f>Graphs!graph_a_x_range_B</c:f>
              <c:numCache>
                <c:formatCode>0.00</c:formatCode>
                <c:ptCount val="5"/>
                <c:pt idx="0">
                  <c:v>3.5272086067430685E-3</c:v>
                </c:pt>
                <c:pt idx="1">
                  <c:v>4.8914115183882837E-3</c:v>
                </c:pt>
                <c:pt idx="2">
                  <c:v>6.8387179547894136E-3</c:v>
                </c:pt>
                <c:pt idx="3">
                  <c:v>1.0100745133693839E-2</c:v>
                </c:pt>
                <c:pt idx="4">
                  <c:v>1.5547781280464586E-2</c:v>
                </c:pt>
              </c:numCache>
            </c:numRef>
          </c:xVal>
          <c:yVal>
            <c:numRef>
              <c:f>Graphs!graph_a_y_range_B</c:f>
              <c:numCache>
                <c:formatCode>General</c:formatCode>
                <c:ptCount val="5"/>
                <c:pt idx="0">
                  <c:v>66.354630999999998</c:v>
                </c:pt>
                <c:pt idx="1">
                  <c:v>68.255983999999998</c:v>
                </c:pt>
                <c:pt idx="2">
                  <c:v>69.683722000000003</c:v>
                </c:pt>
                <c:pt idx="3">
                  <c:v>70.836841000000007</c:v>
                </c:pt>
                <c:pt idx="4">
                  <c:v>71.945244000000002</c:v>
                </c:pt>
              </c:numCache>
            </c:numRef>
          </c:yVal>
          <c:smooth val="1"/>
          <c:extLst>
            <c:ext xmlns:c16="http://schemas.microsoft.com/office/drawing/2014/chart" uri="{C3380CC4-5D6E-409C-BE32-E72D297353CC}">
              <c16:uniqueId val="{00000001-1AFB-4A76-8C37-3B7DB66539CF}"/>
            </c:ext>
          </c:extLst>
        </c:ser>
        <c:dLbls>
          <c:showLegendKey val="0"/>
          <c:showVal val="0"/>
          <c:showCatName val="0"/>
          <c:showSerName val="0"/>
          <c:showPercent val="0"/>
          <c:showBubbleSize val="0"/>
        </c:dLbls>
        <c:axId val="50010001"/>
        <c:axId val="50010002"/>
      </c:scatterChart>
      <c:valAx>
        <c:axId val="50010001"/>
        <c:scaling>
          <c:orientation val="minMax"/>
        </c:scaling>
        <c:delete val="0"/>
        <c:axPos val="b"/>
        <c:title>
          <c:tx>
            <c:strRef>
              <c:f>Graphs!graph_a_x_title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10002"/>
        <c:crosses val="autoZero"/>
        <c:crossBetween val="midCat"/>
      </c:valAx>
      <c:valAx>
        <c:axId val="50010002"/>
        <c:scaling>
          <c:orientation val="minMax"/>
        </c:scaling>
        <c:delete val="0"/>
        <c:axPos val="l"/>
        <c:majorGridlines/>
        <c:title>
          <c:tx>
            <c:strRef>
              <c:f>Graphs!graph_a_y_title</c:f>
              <c:strCache>
                <c:ptCount val="1"/>
                <c:pt idx="0">
                  <c:v>D1 Geometry PSNR</c:v>
                </c:pt>
              </c:strCache>
            </c:strRef>
          </c:tx>
          <c:overlay val="0"/>
          <c:txPr>
            <a:bodyPr rot="-5400000" vert="horz"/>
            <a:lstStyle/>
            <a:p>
              <a:pPr>
                <a:defRPr/>
              </a:pPr>
              <a:endParaRPr lang="en-US"/>
            </a:p>
          </c:txPr>
        </c:title>
        <c:numFmt formatCode="General" sourceLinked="1"/>
        <c:majorTickMark val="out"/>
        <c:minorTickMark val="none"/>
        <c:tickLblPos val="nextTo"/>
        <c:crossAx val="5001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Graphs!graph_b_title</c:f>
          <c:strCache>
            <c:ptCount val="1"/>
            <c:pt idx="0">
              <c:v>D2 Geometry PSNR (Graph b)</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Graphs!graph_b_A_title</c:f>
              <c:strCache>
                <c:ptCount val="1"/>
                <c:pt idx="0">
                  <c:v>ALL_master+r90</c:v>
                </c:pt>
              </c:strCache>
            </c:strRef>
          </c:tx>
          <c:spPr>
            <a:ln>
              <a:prstDash val="solid"/>
            </a:ln>
          </c:spPr>
          <c:marker>
            <c:symbol val="none"/>
          </c:marker>
          <c:xVal>
            <c:numRef>
              <c:f>Graphs!graph_b_x_range_A</c:f>
              <c:numCache>
                <c:formatCode>0.00</c:formatCode>
                <c:ptCount val="5"/>
                <c:pt idx="0">
                  <c:v>3.5272086067430685E-3</c:v>
                </c:pt>
                <c:pt idx="1">
                  <c:v>4.8914115183882837E-3</c:v>
                </c:pt>
                <c:pt idx="2">
                  <c:v>6.8387179547894136E-3</c:v>
                </c:pt>
                <c:pt idx="3">
                  <c:v>1.0100745133693839E-2</c:v>
                </c:pt>
                <c:pt idx="4">
                  <c:v>1.5547781280464586E-2</c:v>
                </c:pt>
              </c:numCache>
            </c:numRef>
          </c:xVal>
          <c:yVal>
            <c:numRef>
              <c:f>Graphs!graph_b_y_range_A</c:f>
              <c:numCache>
                <c:formatCode>General</c:formatCode>
                <c:ptCount val="5"/>
                <c:pt idx="0">
                  <c:v>68.478521999999998</c:v>
                </c:pt>
                <c:pt idx="1">
                  <c:v>70.438462000000001</c:v>
                </c:pt>
                <c:pt idx="2">
                  <c:v>72.129402999999996</c:v>
                </c:pt>
                <c:pt idx="3">
                  <c:v>73.406981000000002</c:v>
                </c:pt>
                <c:pt idx="4">
                  <c:v>75.319247000000004</c:v>
                </c:pt>
              </c:numCache>
            </c:numRef>
          </c:yVal>
          <c:smooth val="1"/>
          <c:extLst>
            <c:ext xmlns:c16="http://schemas.microsoft.com/office/drawing/2014/chart" uri="{C3380CC4-5D6E-409C-BE32-E72D297353CC}">
              <c16:uniqueId val="{00000000-C86B-449F-AB1E-837E4B740278}"/>
            </c:ext>
          </c:extLst>
        </c:ser>
        <c:ser>
          <c:idx val="1"/>
          <c:order val="1"/>
          <c:tx>
            <c:strRef>
              <c:f>Graphs!graph_b_B_title</c:f>
              <c:strCache>
                <c:ptCount val="1"/>
                <c:pt idx="0">
                  <c:v>0</c:v>
                </c:pt>
              </c:strCache>
            </c:strRef>
          </c:tx>
          <c:spPr>
            <a:ln>
              <a:prstDash val="solid"/>
            </a:ln>
          </c:spPr>
          <c:marker>
            <c:symbol val="none"/>
          </c:marker>
          <c:xVal>
            <c:numRef>
              <c:f>Graphs!graph_b_x_range_B</c:f>
              <c:numCache>
                <c:formatCode>0.00</c:formatCode>
                <c:ptCount val="5"/>
                <c:pt idx="0">
                  <c:v>3.5272086067430685E-3</c:v>
                </c:pt>
                <c:pt idx="1">
                  <c:v>4.8914115183882837E-3</c:v>
                </c:pt>
                <c:pt idx="2">
                  <c:v>6.8387179547894136E-3</c:v>
                </c:pt>
                <c:pt idx="3">
                  <c:v>1.0100745133693839E-2</c:v>
                </c:pt>
                <c:pt idx="4">
                  <c:v>1.5547781280464586E-2</c:v>
                </c:pt>
              </c:numCache>
            </c:numRef>
          </c:xVal>
          <c:yVal>
            <c:numRef>
              <c:f>Graphs!graph_b_y_range_B</c:f>
              <c:numCache>
                <c:formatCode>General</c:formatCode>
                <c:ptCount val="5"/>
                <c:pt idx="0">
                  <c:v>68.478521999999998</c:v>
                </c:pt>
                <c:pt idx="1">
                  <c:v>70.438462000000001</c:v>
                </c:pt>
                <c:pt idx="2">
                  <c:v>72.129402999999996</c:v>
                </c:pt>
                <c:pt idx="3">
                  <c:v>73.406981000000002</c:v>
                </c:pt>
                <c:pt idx="4">
                  <c:v>75.319247000000004</c:v>
                </c:pt>
              </c:numCache>
            </c:numRef>
          </c:yVal>
          <c:smooth val="1"/>
          <c:extLst>
            <c:ext xmlns:c16="http://schemas.microsoft.com/office/drawing/2014/chart" uri="{C3380CC4-5D6E-409C-BE32-E72D297353CC}">
              <c16:uniqueId val="{00000001-C86B-449F-AB1E-837E4B740278}"/>
            </c:ext>
          </c:extLst>
        </c:ser>
        <c:dLbls>
          <c:showLegendKey val="0"/>
          <c:showVal val="0"/>
          <c:showCatName val="0"/>
          <c:showSerName val="0"/>
          <c:showPercent val="0"/>
          <c:showBubbleSize val="0"/>
        </c:dLbls>
        <c:axId val="50020001"/>
        <c:axId val="50020002"/>
      </c:scatterChart>
      <c:valAx>
        <c:axId val="50020001"/>
        <c:scaling>
          <c:orientation val="minMax"/>
        </c:scaling>
        <c:delete val="0"/>
        <c:axPos val="b"/>
        <c:title>
          <c:tx>
            <c:strRef>
              <c:f>Graphs!graph_b_x_title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20002"/>
        <c:crosses val="autoZero"/>
        <c:crossBetween val="midCat"/>
      </c:valAx>
      <c:valAx>
        <c:axId val="50020002"/>
        <c:scaling>
          <c:orientation val="minMax"/>
        </c:scaling>
        <c:delete val="0"/>
        <c:axPos val="l"/>
        <c:majorGridlines/>
        <c:title>
          <c:tx>
            <c:strRef>
              <c:f>Graphs!graph_b_y_title</c:f>
              <c:strCache>
                <c:ptCount val="1"/>
                <c:pt idx="0">
                  <c:v>D2 Geometry PSNR</c:v>
                </c:pt>
              </c:strCache>
            </c:strRef>
          </c:tx>
          <c:overlay val="0"/>
          <c:txPr>
            <a:bodyPr rot="-5400000" vert="horz"/>
            <a:lstStyle/>
            <a:p>
              <a:pPr>
                <a:defRPr/>
              </a:pPr>
              <a:endParaRPr lang="en-US"/>
            </a:p>
          </c:txPr>
        </c:title>
        <c:numFmt formatCode="General" sourceLinked="1"/>
        <c:majorTickMark val="out"/>
        <c:minorTickMark val="none"/>
        <c:tickLblPos val="nextTo"/>
        <c:crossAx val="5002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Graphs!graph_c_title</c:f>
          <c:strCache>
            <c:ptCount val="1"/>
            <c:pt idx="0">
              <c:v>Luma End-to-end PSNR (Graph c)</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Graphs!graph_c_A_title</c:f>
              <c:strCache>
                <c:ptCount val="1"/>
                <c:pt idx="0">
                  <c:v>ALL_master+r90</c:v>
                </c:pt>
              </c:strCache>
            </c:strRef>
          </c:tx>
          <c:spPr>
            <a:ln>
              <a:prstDash val="solid"/>
            </a:ln>
          </c:spPr>
          <c:marker>
            <c:symbol val="none"/>
          </c:marker>
          <c:xVal>
            <c:numRef>
              <c:f>Graphs!graph_c_x_range_A</c:f>
              <c:numCache>
                <c:formatCode>0.00</c:formatCode>
                <c:ptCount val="5"/>
                <c:pt idx="0">
                  <c:v>3.5785383789418835E-3</c:v>
                </c:pt>
                <c:pt idx="1">
                  <c:v>7.6599943099704589E-3</c:v>
                </c:pt>
                <c:pt idx="2">
                  <c:v>1.5457517472939575E-2</c:v>
                </c:pt>
                <c:pt idx="3">
                  <c:v>2.9503264653714615E-2</c:v>
                </c:pt>
                <c:pt idx="4">
                  <c:v>5.4642322923130086E-2</c:v>
                </c:pt>
              </c:numCache>
            </c:numRef>
          </c:xVal>
          <c:yVal>
            <c:numRef>
              <c:f>Graphs!graph_c_y_range_A</c:f>
              <c:numCache>
                <c:formatCode>General</c:formatCode>
                <c:ptCount val="5"/>
                <c:pt idx="0">
                  <c:v>32.104706</c:v>
                </c:pt>
                <c:pt idx="1">
                  <c:v>34.355888</c:v>
                </c:pt>
                <c:pt idx="2">
                  <c:v>36.897531000000001</c:v>
                </c:pt>
                <c:pt idx="3">
                  <c:v>39.525759000000001</c:v>
                </c:pt>
                <c:pt idx="4">
                  <c:v>42.128563</c:v>
                </c:pt>
              </c:numCache>
            </c:numRef>
          </c:yVal>
          <c:smooth val="1"/>
          <c:extLst>
            <c:ext xmlns:c16="http://schemas.microsoft.com/office/drawing/2014/chart" uri="{C3380CC4-5D6E-409C-BE32-E72D297353CC}">
              <c16:uniqueId val="{00000000-DFC9-4667-AAB0-D1269424A40D}"/>
            </c:ext>
          </c:extLst>
        </c:ser>
        <c:ser>
          <c:idx val="1"/>
          <c:order val="1"/>
          <c:tx>
            <c:strRef>
              <c:f>Graphs!graph_c_B_title</c:f>
              <c:strCache>
                <c:ptCount val="1"/>
                <c:pt idx="0">
                  <c:v>0</c:v>
                </c:pt>
              </c:strCache>
            </c:strRef>
          </c:tx>
          <c:spPr>
            <a:ln>
              <a:prstDash val="solid"/>
            </a:ln>
          </c:spPr>
          <c:marker>
            <c:symbol val="none"/>
          </c:marker>
          <c:xVal>
            <c:numRef>
              <c:f>Graphs!graph_c_x_range_B</c:f>
              <c:numCache>
                <c:formatCode>0.00</c:formatCode>
                <c:ptCount val="5"/>
                <c:pt idx="0">
                  <c:v>3.5785383789418835E-3</c:v>
                </c:pt>
                <c:pt idx="1">
                  <c:v>7.6599943099704589E-3</c:v>
                </c:pt>
                <c:pt idx="2">
                  <c:v>1.5457517472939575E-2</c:v>
                </c:pt>
                <c:pt idx="3">
                  <c:v>2.9503264653714615E-2</c:v>
                </c:pt>
                <c:pt idx="4">
                  <c:v>5.4642322923130086E-2</c:v>
                </c:pt>
              </c:numCache>
            </c:numRef>
          </c:xVal>
          <c:yVal>
            <c:numRef>
              <c:f>Graphs!graph_c_y_range_B</c:f>
              <c:numCache>
                <c:formatCode>General</c:formatCode>
                <c:ptCount val="5"/>
                <c:pt idx="0">
                  <c:v>32.104706</c:v>
                </c:pt>
                <c:pt idx="1">
                  <c:v>34.355888</c:v>
                </c:pt>
                <c:pt idx="2">
                  <c:v>36.897531000000001</c:v>
                </c:pt>
                <c:pt idx="3">
                  <c:v>39.525759000000001</c:v>
                </c:pt>
                <c:pt idx="4">
                  <c:v>42.128563</c:v>
                </c:pt>
              </c:numCache>
            </c:numRef>
          </c:yVal>
          <c:smooth val="1"/>
          <c:extLst>
            <c:ext xmlns:c16="http://schemas.microsoft.com/office/drawing/2014/chart" uri="{C3380CC4-5D6E-409C-BE32-E72D297353CC}">
              <c16:uniqueId val="{00000001-DFC9-4667-AAB0-D1269424A40D}"/>
            </c:ext>
          </c:extLst>
        </c:ser>
        <c:dLbls>
          <c:showLegendKey val="0"/>
          <c:showVal val="0"/>
          <c:showCatName val="0"/>
          <c:showSerName val="0"/>
          <c:showPercent val="0"/>
          <c:showBubbleSize val="0"/>
        </c:dLbls>
        <c:axId val="50030001"/>
        <c:axId val="50030002"/>
      </c:scatterChart>
      <c:valAx>
        <c:axId val="50030001"/>
        <c:scaling>
          <c:orientation val="minMax"/>
        </c:scaling>
        <c:delete val="0"/>
        <c:axPos val="b"/>
        <c:title>
          <c:tx>
            <c:strRef>
              <c:f>Graphs!graph_c_x_title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30002"/>
        <c:crosses val="autoZero"/>
        <c:crossBetween val="midCat"/>
      </c:valAx>
      <c:valAx>
        <c:axId val="50030002"/>
        <c:scaling>
          <c:orientation val="minMax"/>
        </c:scaling>
        <c:delete val="0"/>
        <c:axPos val="l"/>
        <c:majorGridlines/>
        <c:title>
          <c:tx>
            <c:strRef>
              <c:f>Graphs!graph_c_y_title</c:f>
              <c:strCache>
                <c:ptCount val="1"/>
                <c:pt idx="0">
                  <c:v>Luma End-to-end PSNR</c:v>
                </c:pt>
              </c:strCache>
            </c:strRef>
          </c:tx>
          <c:overlay val="0"/>
          <c:txPr>
            <a:bodyPr rot="-5400000" vert="horz"/>
            <a:lstStyle/>
            <a:p>
              <a:pPr>
                <a:defRPr/>
              </a:pPr>
              <a:endParaRPr lang="en-US"/>
            </a:p>
          </c:txPr>
        </c:title>
        <c:numFmt formatCode="General" sourceLinked="1"/>
        <c:majorTickMark val="out"/>
        <c:minorTickMark val="none"/>
        <c:tickLblPos val="nextTo"/>
        <c:crossAx val="5003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Graphs!graph_d_title</c:f>
          <c:strCache>
            <c:ptCount val="1"/>
            <c:pt idx="0">
              <c:v>Chroma Cb End-to-end PSNR (Graph d)</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Graphs!graph_d_A_title</c:f>
              <c:strCache>
                <c:ptCount val="1"/>
                <c:pt idx="0">
                  <c:v>ALL_master+r90</c:v>
                </c:pt>
              </c:strCache>
            </c:strRef>
          </c:tx>
          <c:spPr>
            <a:ln>
              <a:prstDash val="solid"/>
            </a:ln>
          </c:spPr>
          <c:marker>
            <c:symbol val="none"/>
          </c:marker>
          <c:xVal>
            <c:numRef>
              <c:f>Graphs!graph_d_x_range_A</c:f>
              <c:numCache>
                <c:formatCode>0.00</c:formatCode>
                <c:ptCount val="5"/>
                <c:pt idx="0">
                  <c:v>3.5785383789418835E-3</c:v>
                </c:pt>
                <c:pt idx="1">
                  <c:v>7.6599943099704589E-3</c:v>
                </c:pt>
                <c:pt idx="2">
                  <c:v>1.5457517472939575E-2</c:v>
                </c:pt>
                <c:pt idx="3">
                  <c:v>2.9503264653714615E-2</c:v>
                </c:pt>
                <c:pt idx="4">
                  <c:v>5.4642322923130086E-2</c:v>
                </c:pt>
              </c:numCache>
            </c:numRef>
          </c:xVal>
          <c:yVal>
            <c:numRef>
              <c:f>Graphs!graph_d_y_range_A</c:f>
              <c:numCache>
                <c:formatCode>General</c:formatCode>
                <c:ptCount val="5"/>
                <c:pt idx="0">
                  <c:v>44.161034000000001</c:v>
                </c:pt>
                <c:pt idx="1">
                  <c:v>45.458553000000002</c:v>
                </c:pt>
                <c:pt idx="2">
                  <c:v>46.591675000000002</c:v>
                </c:pt>
                <c:pt idx="3">
                  <c:v>47.907319000000001</c:v>
                </c:pt>
                <c:pt idx="4">
                  <c:v>49.413119000000002</c:v>
                </c:pt>
              </c:numCache>
            </c:numRef>
          </c:yVal>
          <c:smooth val="1"/>
          <c:extLst>
            <c:ext xmlns:c16="http://schemas.microsoft.com/office/drawing/2014/chart" uri="{C3380CC4-5D6E-409C-BE32-E72D297353CC}">
              <c16:uniqueId val="{00000000-C1EC-4F76-9F7E-352E10E5D04F}"/>
            </c:ext>
          </c:extLst>
        </c:ser>
        <c:ser>
          <c:idx val="1"/>
          <c:order val="1"/>
          <c:tx>
            <c:strRef>
              <c:f>Graphs!graph_d_B_title</c:f>
              <c:strCache>
                <c:ptCount val="1"/>
                <c:pt idx="0">
                  <c:v>0</c:v>
                </c:pt>
              </c:strCache>
            </c:strRef>
          </c:tx>
          <c:spPr>
            <a:ln>
              <a:prstDash val="solid"/>
            </a:ln>
          </c:spPr>
          <c:marker>
            <c:symbol val="none"/>
          </c:marker>
          <c:xVal>
            <c:numRef>
              <c:f>Graphs!graph_d_x_range_B</c:f>
              <c:numCache>
                <c:formatCode>0.00</c:formatCode>
                <c:ptCount val="5"/>
                <c:pt idx="0">
                  <c:v>3.5785383789418835E-3</c:v>
                </c:pt>
                <c:pt idx="1">
                  <c:v>7.6599943099704589E-3</c:v>
                </c:pt>
                <c:pt idx="2">
                  <c:v>1.5457517472939575E-2</c:v>
                </c:pt>
                <c:pt idx="3">
                  <c:v>2.9503264653714615E-2</c:v>
                </c:pt>
                <c:pt idx="4">
                  <c:v>5.4642322923130086E-2</c:v>
                </c:pt>
              </c:numCache>
            </c:numRef>
          </c:xVal>
          <c:yVal>
            <c:numRef>
              <c:f>Graphs!graph_d_y_range_B</c:f>
              <c:numCache>
                <c:formatCode>General</c:formatCode>
                <c:ptCount val="5"/>
                <c:pt idx="0">
                  <c:v>44.161034000000001</c:v>
                </c:pt>
                <c:pt idx="1">
                  <c:v>45.458553000000002</c:v>
                </c:pt>
                <c:pt idx="2">
                  <c:v>46.591675000000002</c:v>
                </c:pt>
                <c:pt idx="3">
                  <c:v>47.907319000000001</c:v>
                </c:pt>
                <c:pt idx="4">
                  <c:v>49.413119000000002</c:v>
                </c:pt>
              </c:numCache>
            </c:numRef>
          </c:yVal>
          <c:smooth val="1"/>
          <c:extLst>
            <c:ext xmlns:c16="http://schemas.microsoft.com/office/drawing/2014/chart" uri="{C3380CC4-5D6E-409C-BE32-E72D297353CC}">
              <c16:uniqueId val="{00000001-C1EC-4F76-9F7E-352E10E5D04F}"/>
            </c:ext>
          </c:extLst>
        </c:ser>
        <c:dLbls>
          <c:showLegendKey val="0"/>
          <c:showVal val="0"/>
          <c:showCatName val="0"/>
          <c:showSerName val="0"/>
          <c:showPercent val="0"/>
          <c:showBubbleSize val="0"/>
        </c:dLbls>
        <c:axId val="50040001"/>
        <c:axId val="50040002"/>
      </c:scatterChart>
      <c:valAx>
        <c:axId val="50040001"/>
        <c:scaling>
          <c:orientation val="minMax"/>
        </c:scaling>
        <c:delete val="0"/>
        <c:axPos val="b"/>
        <c:title>
          <c:tx>
            <c:strRef>
              <c:f>Graphs!graph_d_x_title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40002"/>
        <c:crosses val="autoZero"/>
        <c:crossBetween val="midCat"/>
      </c:valAx>
      <c:valAx>
        <c:axId val="50040002"/>
        <c:scaling>
          <c:orientation val="minMax"/>
        </c:scaling>
        <c:delete val="0"/>
        <c:axPos val="l"/>
        <c:majorGridlines/>
        <c:title>
          <c:tx>
            <c:strRef>
              <c:f>Graphs!graph_d_y_title</c:f>
              <c:strCache>
                <c:ptCount val="1"/>
                <c:pt idx="0">
                  <c:v>Chroma Cb End-to-end PSNR</c:v>
                </c:pt>
              </c:strCache>
            </c:strRef>
          </c:tx>
          <c:overlay val="0"/>
          <c:txPr>
            <a:bodyPr rot="-5400000" vert="horz"/>
            <a:lstStyle/>
            <a:p>
              <a:pPr>
                <a:defRPr/>
              </a:pPr>
              <a:endParaRPr lang="en-US"/>
            </a:p>
          </c:txPr>
        </c:title>
        <c:numFmt formatCode="General" sourceLinked="1"/>
        <c:majorTickMark val="out"/>
        <c:minorTickMark val="none"/>
        <c:tickLblPos val="nextTo"/>
        <c:crossAx val="5004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Graphs!graph_e_title</c:f>
          <c:strCache>
            <c:ptCount val="1"/>
            <c:pt idx="0">
              <c:v>Chroma Cr End-to-end PSNR (Graph e)</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Graphs!graph_e_A_title</c:f>
              <c:strCache>
                <c:ptCount val="1"/>
                <c:pt idx="0">
                  <c:v>ALL_master+r90</c:v>
                </c:pt>
              </c:strCache>
            </c:strRef>
          </c:tx>
          <c:spPr>
            <a:ln>
              <a:prstDash val="solid"/>
            </a:ln>
          </c:spPr>
          <c:marker>
            <c:symbol val="none"/>
          </c:marker>
          <c:xVal>
            <c:numRef>
              <c:f>Graphs!graph_e_x_range_A</c:f>
              <c:numCache>
                <c:formatCode>0.00</c:formatCode>
                <c:ptCount val="5"/>
                <c:pt idx="0">
                  <c:v>3.5785383789418835E-3</c:v>
                </c:pt>
                <c:pt idx="1">
                  <c:v>7.6599943099704589E-3</c:v>
                </c:pt>
                <c:pt idx="2">
                  <c:v>1.5457517472939575E-2</c:v>
                </c:pt>
                <c:pt idx="3">
                  <c:v>2.9503264653714615E-2</c:v>
                </c:pt>
                <c:pt idx="4">
                  <c:v>5.4642322923130086E-2</c:v>
                </c:pt>
              </c:numCache>
            </c:numRef>
          </c:xVal>
          <c:yVal>
            <c:numRef>
              <c:f>Graphs!graph_e_y_range_A</c:f>
              <c:numCache>
                <c:formatCode>General</c:formatCode>
                <c:ptCount val="5"/>
                <c:pt idx="0">
                  <c:v>43.842883999999998</c:v>
                </c:pt>
                <c:pt idx="1">
                  <c:v>45.257409000000003</c:v>
                </c:pt>
                <c:pt idx="2">
                  <c:v>46.488269000000003</c:v>
                </c:pt>
                <c:pt idx="3">
                  <c:v>47.945813000000001</c:v>
                </c:pt>
                <c:pt idx="4">
                  <c:v>49.557274999999997</c:v>
                </c:pt>
              </c:numCache>
            </c:numRef>
          </c:yVal>
          <c:smooth val="1"/>
          <c:extLst>
            <c:ext xmlns:c16="http://schemas.microsoft.com/office/drawing/2014/chart" uri="{C3380CC4-5D6E-409C-BE32-E72D297353CC}">
              <c16:uniqueId val="{00000000-A710-429D-A180-AFA5CECE82CE}"/>
            </c:ext>
          </c:extLst>
        </c:ser>
        <c:ser>
          <c:idx val="1"/>
          <c:order val="1"/>
          <c:tx>
            <c:strRef>
              <c:f>Graphs!graph_e_B_title</c:f>
              <c:strCache>
                <c:ptCount val="1"/>
                <c:pt idx="0">
                  <c:v>0</c:v>
                </c:pt>
              </c:strCache>
            </c:strRef>
          </c:tx>
          <c:spPr>
            <a:ln>
              <a:prstDash val="solid"/>
            </a:ln>
          </c:spPr>
          <c:marker>
            <c:symbol val="none"/>
          </c:marker>
          <c:xVal>
            <c:numRef>
              <c:f>Graphs!graph_e_x_range_B</c:f>
              <c:numCache>
                <c:formatCode>0.00</c:formatCode>
                <c:ptCount val="5"/>
                <c:pt idx="0">
                  <c:v>3.5785383789418835E-3</c:v>
                </c:pt>
                <c:pt idx="1">
                  <c:v>7.6599943099704589E-3</c:v>
                </c:pt>
                <c:pt idx="2">
                  <c:v>1.5457517472939575E-2</c:v>
                </c:pt>
                <c:pt idx="3">
                  <c:v>2.9503264653714615E-2</c:v>
                </c:pt>
                <c:pt idx="4">
                  <c:v>5.4642322923130086E-2</c:v>
                </c:pt>
              </c:numCache>
            </c:numRef>
          </c:xVal>
          <c:yVal>
            <c:numRef>
              <c:f>Graphs!graph_e_y_range_B</c:f>
              <c:numCache>
                <c:formatCode>General</c:formatCode>
                <c:ptCount val="5"/>
                <c:pt idx="0">
                  <c:v>43.842883999999998</c:v>
                </c:pt>
                <c:pt idx="1">
                  <c:v>45.257409000000003</c:v>
                </c:pt>
                <c:pt idx="2">
                  <c:v>46.488269000000003</c:v>
                </c:pt>
                <c:pt idx="3">
                  <c:v>47.945813000000001</c:v>
                </c:pt>
                <c:pt idx="4">
                  <c:v>49.557274999999997</c:v>
                </c:pt>
              </c:numCache>
            </c:numRef>
          </c:yVal>
          <c:smooth val="1"/>
          <c:extLst>
            <c:ext xmlns:c16="http://schemas.microsoft.com/office/drawing/2014/chart" uri="{C3380CC4-5D6E-409C-BE32-E72D297353CC}">
              <c16:uniqueId val="{00000001-A710-429D-A180-AFA5CECE82CE}"/>
            </c:ext>
          </c:extLst>
        </c:ser>
        <c:dLbls>
          <c:showLegendKey val="0"/>
          <c:showVal val="0"/>
          <c:showCatName val="0"/>
          <c:showSerName val="0"/>
          <c:showPercent val="0"/>
          <c:showBubbleSize val="0"/>
        </c:dLbls>
        <c:axId val="50050001"/>
        <c:axId val="50050002"/>
      </c:scatterChart>
      <c:valAx>
        <c:axId val="50050001"/>
        <c:scaling>
          <c:orientation val="minMax"/>
        </c:scaling>
        <c:delete val="0"/>
        <c:axPos val="b"/>
        <c:title>
          <c:tx>
            <c:strRef>
              <c:f>Graphs!graph_e_x_title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50002"/>
        <c:crosses val="autoZero"/>
        <c:crossBetween val="midCat"/>
      </c:valAx>
      <c:valAx>
        <c:axId val="50050002"/>
        <c:scaling>
          <c:orientation val="minMax"/>
        </c:scaling>
        <c:delete val="0"/>
        <c:axPos val="l"/>
        <c:majorGridlines/>
        <c:title>
          <c:tx>
            <c:strRef>
              <c:f>Graphs!graph_e_y_title</c:f>
              <c:strCache>
                <c:ptCount val="1"/>
                <c:pt idx="0">
                  <c:v>Chroma Cr End-to-end PSNR</c:v>
                </c:pt>
              </c:strCache>
            </c:strRef>
          </c:tx>
          <c:overlay val="0"/>
          <c:txPr>
            <a:bodyPr rot="-5400000" vert="horz"/>
            <a:lstStyle/>
            <a:p>
              <a:pPr>
                <a:defRPr/>
              </a:pPr>
              <a:endParaRPr lang="en-US"/>
            </a:p>
          </c:txPr>
        </c:title>
        <c:numFmt formatCode="General" sourceLinked="1"/>
        <c:majorTickMark val="out"/>
        <c:minorTickMark val="none"/>
        <c:tickLblPos val="nextTo"/>
        <c:crossAx val="5005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Graphs!graph_f_title</c:f>
          <c:strCache>
            <c:ptCount val="1"/>
            <c:pt idx="0">
              <c:v>Reflectance End-to-end PSNR (Graph f)</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Graphs!graph_f_A_title</c:f>
              <c:strCache>
                <c:ptCount val="1"/>
                <c:pt idx="0">
                  <c:v>ALL_master+r90</c:v>
                </c:pt>
              </c:strCache>
            </c:strRef>
          </c:tx>
          <c:spPr>
            <a:ln>
              <a:prstDash val="solid"/>
            </a:ln>
          </c:spPr>
          <c:marker>
            <c:symbol val="none"/>
          </c:marker>
          <c:xVal>
            <c:numRef>
              <c:f>Graphs!graph_f_x_range_A</c:f>
              <c:numCache>
                <c:formatCode>General</c:formatCode>
                <c:ptCount val="1"/>
                <c:pt idx="0">
                  <c:v>0</c:v>
                </c:pt>
              </c:numCache>
            </c:numRef>
          </c:xVal>
          <c:yVal>
            <c:numRef>
              <c:f>Graphs!graph_f_y_range_A</c:f>
              <c:numCache>
                <c:formatCode>General</c:formatCode>
                <c:ptCount val="1"/>
                <c:pt idx="0">
                  <c:v>0</c:v>
                </c:pt>
              </c:numCache>
            </c:numRef>
          </c:yVal>
          <c:smooth val="1"/>
          <c:extLst>
            <c:ext xmlns:c16="http://schemas.microsoft.com/office/drawing/2014/chart" uri="{C3380CC4-5D6E-409C-BE32-E72D297353CC}">
              <c16:uniqueId val="{00000000-CCAE-474B-9A73-31F98F8721B7}"/>
            </c:ext>
          </c:extLst>
        </c:ser>
        <c:ser>
          <c:idx val="1"/>
          <c:order val="1"/>
          <c:tx>
            <c:strRef>
              <c:f>Graphs!graph_f_B_title</c:f>
              <c:strCache>
                <c:ptCount val="1"/>
                <c:pt idx="0">
                  <c:v>0</c:v>
                </c:pt>
              </c:strCache>
            </c:strRef>
          </c:tx>
          <c:spPr>
            <a:ln>
              <a:prstDash val="solid"/>
            </a:ln>
          </c:spPr>
          <c:marker>
            <c:symbol val="none"/>
          </c:marker>
          <c:xVal>
            <c:numRef>
              <c:f>Graphs!graph_f_x_range_B</c:f>
              <c:numCache>
                <c:formatCode>General</c:formatCode>
                <c:ptCount val="1"/>
                <c:pt idx="0">
                  <c:v>0</c:v>
                </c:pt>
              </c:numCache>
            </c:numRef>
          </c:xVal>
          <c:yVal>
            <c:numRef>
              <c:f>Graphs!graph_f_y_range_B</c:f>
              <c:numCache>
                <c:formatCode>General</c:formatCode>
                <c:ptCount val="1"/>
                <c:pt idx="0">
                  <c:v>0</c:v>
                </c:pt>
              </c:numCache>
            </c:numRef>
          </c:yVal>
          <c:smooth val="1"/>
          <c:extLst>
            <c:ext xmlns:c16="http://schemas.microsoft.com/office/drawing/2014/chart" uri="{C3380CC4-5D6E-409C-BE32-E72D297353CC}">
              <c16:uniqueId val="{00000001-CCAE-474B-9A73-31F98F8721B7}"/>
            </c:ext>
          </c:extLst>
        </c:ser>
        <c:dLbls>
          <c:showLegendKey val="0"/>
          <c:showVal val="0"/>
          <c:showCatName val="0"/>
          <c:showSerName val="0"/>
          <c:showPercent val="0"/>
          <c:showBubbleSize val="0"/>
        </c:dLbls>
        <c:axId val="50060001"/>
        <c:axId val="50060002"/>
      </c:scatterChart>
      <c:valAx>
        <c:axId val="50060001"/>
        <c:scaling>
          <c:orientation val="minMax"/>
        </c:scaling>
        <c:delete val="0"/>
        <c:axPos val="b"/>
        <c:title>
          <c:tx>
            <c:strRef>
              <c:f>Graphs!graph_f_x_title</c:f>
              <c:strCache>
                <c:ptCount val="1"/>
                <c:pt idx="0">
                  <c:v>Reflectance Bits per input point</c:v>
                </c:pt>
              </c:strCache>
            </c:strRef>
          </c:tx>
          <c:overlay val="0"/>
          <c:txPr>
            <a:bodyPr/>
            <a:lstStyle/>
            <a:p>
              <a:pPr>
                <a:defRPr/>
              </a:pPr>
              <a:endParaRPr lang="en-US"/>
            </a:p>
          </c:txPr>
        </c:title>
        <c:numFmt formatCode="General" sourceLinked="1"/>
        <c:majorTickMark val="out"/>
        <c:minorTickMark val="none"/>
        <c:tickLblPos val="nextTo"/>
        <c:crossAx val="50060002"/>
        <c:crosses val="autoZero"/>
        <c:crossBetween val="midCat"/>
      </c:valAx>
      <c:valAx>
        <c:axId val="50060002"/>
        <c:scaling>
          <c:orientation val="minMax"/>
        </c:scaling>
        <c:delete val="0"/>
        <c:axPos val="l"/>
        <c:majorGridlines/>
        <c:title>
          <c:tx>
            <c:strRef>
              <c:f>Graphs!graph_f_y_title</c:f>
              <c:strCache>
                <c:ptCount val="1"/>
                <c:pt idx="0">
                  <c:v>Reflectance End-to-end PSNR</c:v>
                </c:pt>
              </c:strCache>
            </c:strRef>
          </c:tx>
          <c:overlay val="0"/>
          <c:txPr>
            <a:bodyPr rot="-5400000" vert="horz"/>
            <a:lstStyle/>
            <a:p>
              <a:pPr>
                <a:defRPr/>
              </a:pPr>
              <a:endParaRPr lang="en-US"/>
            </a:p>
          </c:txPr>
        </c:title>
        <c:numFmt formatCode="General" sourceLinked="1"/>
        <c:majorTickMark val="out"/>
        <c:minorTickMark val="none"/>
        <c:tickLblPos val="nextTo"/>
        <c:crossAx val="5006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0</xdr:rowOff>
    </xdr:from>
    <xdr:to>
      <xdr:col>7</xdr:col>
      <xdr:colOff>276225</xdr:colOff>
      <xdr:row>30</xdr:row>
      <xdr:rowOff>114300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9</xdr:row>
      <xdr:rowOff>0</xdr:rowOff>
    </xdr:from>
    <xdr:to>
      <xdr:col>18</xdr:col>
      <xdr:colOff>257175</xdr:colOff>
      <xdr:row>30</xdr:row>
      <xdr:rowOff>114300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31</xdr:row>
      <xdr:rowOff>0</xdr:rowOff>
    </xdr:from>
    <xdr:to>
      <xdr:col>7</xdr:col>
      <xdr:colOff>276225</xdr:colOff>
      <xdr:row>52</xdr:row>
      <xdr:rowOff>114300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31</xdr:row>
      <xdr:rowOff>0</xdr:rowOff>
    </xdr:from>
    <xdr:to>
      <xdr:col>18</xdr:col>
      <xdr:colOff>257175</xdr:colOff>
      <xdr:row>52</xdr:row>
      <xdr:rowOff>114300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0</xdr:colOff>
      <xdr:row>31</xdr:row>
      <xdr:rowOff>0</xdr:rowOff>
    </xdr:from>
    <xdr:to>
      <xdr:col>30</xdr:col>
      <xdr:colOff>152400</xdr:colOff>
      <xdr:row>52</xdr:row>
      <xdr:rowOff>114300</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0</xdr:colOff>
      <xdr:row>9</xdr:row>
      <xdr:rowOff>0</xdr:rowOff>
    </xdr:from>
    <xdr:to>
      <xdr:col>30</xdr:col>
      <xdr:colOff>152400</xdr:colOff>
      <xdr:row>30</xdr:row>
      <xdr:rowOff>114300</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1:L48"/>
  <sheetViews>
    <sheetView workbookViewId="0">
      <selection activeCell="C2" sqref="C2:E2"/>
    </sheetView>
  </sheetViews>
  <sheetFormatPr baseColWidth="10" defaultColWidth="8.83203125" defaultRowHeight="15"/>
  <cols>
    <col min="2" max="2" width="16.6640625" style="53" customWidth="1"/>
    <col min="3" max="12" width="24.6640625" style="53" customWidth="1"/>
  </cols>
  <sheetData>
    <row r="1" spans="2:12">
      <c r="B1" t="s">
        <v>0</v>
      </c>
      <c r="C1" s="79" t="s">
        <v>574</v>
      </c>
      <c r="D1" s="80"/>
      <c r="E1" s="80"/>
    </row>
    <row r="2" spans="2:12">
      <c r="B2" t="s">
        <v>1</v>
      </c>
      <c r="C2" s="81"/>
      <c r="D2" s="80"/>
      <c r="E2" s="80"/>
    </row>
    <row r="4" spans="2:12" s="1" customFormat="1">
      <c r="B4" s="1" t="s">
        <v>2</v>
      </c>
    </row>
    <row r="6" spans="2:12">
      <c r="B6" s="82" t="s">
        <v>3</v>
      </c>
      <c r="C6" s="84" t="s">
        <v>4</v>
      </c>
      <c r="D6" s="85"/>
      <c r="E6" s="85"/>
      <c r="F6" s="85"/>
      <c r="G6" s="85"/>
      <c r="H6" s="85"/>
      <c r="I6" s="85"/>
      <c r="J6" s="85"/>
      <c r="K6" s="85"/>
      <c r="L6" s="85"/>
    </row>
    <row r="7" spans="2:12">
      <c r="B7" s="80"/>
      <c r="C7" s="86" t="s">
        <v>5</v>
      </c>
      <c r="D7" s="80"/>
      <c r="E7" s="87" t="s">
        <v>6</v>
      </c>
      <c r="F7" s="80"/>
      <c r="G7" s="80"/>
      <c r="H7" s="86" t="s">
        <v>7</v>
      </c>
      <c r="I7" s="80"/>
      <c r="J7" s="87" t="s">
        <v>8</v>
      </c>
      <c r="K7" s="80"/>
      <c r="L7" s="80"/>
    </row>
    <row r="8" spans="2:12" ht="16">
      <c r="B8" s="83"/>
      <c r="C8" s="2" t="s">
        <v>9</v>
      </c>
      <c r="D8" s="2" t="s">
        <v>10</v>
      </c>
      <c r="E8" s="3" t="s">
        <v>11</v>
      </c>
      <c r="F8" s="3" t="s">
        <v>12</v>
      </c>
      <c r="G8" s="3" t="s">
        <v>13</v>
      </c>
      <c r="H8" s="2" t="s">
        <v>9</v>
      </c>
      <c r="I8" s="2" t="s">
        <v>10</v>
      </c>
      <c r="J8" s="3" t="s">
        <v>11</v>
      </c>
      <c r="K8" s="3" t="s">
        <v>12</v>
      </c>
      <c r="L8" s="3" t="s">
        <v>13</v>
      </c>
    </row>
    <row r="9" spans="2:12">
      <c r="B9" t="s">
        <v>14</v>
      </c>
      <c r="C9" s="52">
        <f>'C2 lossyG,lossyA,intra'!$BJ$40:$BJ$40</f>
        <v>9.3292691975555009E-5</v>
      </c>
      <c r="D9" s="52">
        <f>'C2 lossyG,lossyA,intra'!$BK$40:$BK$40</f>
        <v>8.6855955652775929E-5</v>
      </c>
      <c r="E9" s="52">
        <f>'C2 lossyG,lossyA,intra'!$BL$40:$BL$40</f>
        <v>0</v>
      </c>
      <c r="F9" s="52">
        <f>'C2 lossyG,lossyA,intra'!$BM$40:$BM$40</f>
        <v>0</v>
      </c>
      <c r="G9" s="52">
        <f>'C2 lossyG,lossyA,intra'!$BN$40:$BN$40</f>
        <v>0</v>
      </c>
      <c r="H9" s="52">
        <f>'C2 lossyG,lossyA,intra'!$BP$40:$BP$40</f>
        <v>4.0294617954572676E-5</v>
      </c>
      <c r="I9" s="52">
        <f>'C2 lossyG,lossyA,intra'!$BQ$40:$BQ$40</f>
        <v>3.6166837837581234E-5</v>
      </c>
      <c r="J9" s="52">
        <f>'C2 lossyG,lossyA,intra'!$BR$40:$BR$40</f>
        <v>3.5353172543717282E-5</v>
      </c>
      <c r="K9" s="52">
        <f>'C2 lossyG,lossyA,intra'!$BS$40:$BS$40</f>
        <v>3.3675867753990563E-5</v>
      </c>
      <c r="L9" s="52">
        <f>'C2 lossyG,lossyA,intra'!$BT$40:$BT$40</f>
        <v>3.5316463540380205E-5</v>
      </c>
    </row>
    <row r="10" spans="2:12">
      <c r="B10" t="s">
        <v>15</v>
      </c>
      <c r="C10" s="52">
        <f>'C2 lossyG,lossyA,intra'!$BJ$41:$BJ$41</f>
        <v>1.0590213731953568E-4</v>
      </c>
      <c r="D10" s="52">
        <f>'C2 lossyG,lossyA,intra'!$BK$41:$BK$41</f>
        <v>9.7308263112383386E-5</v>
      </c>
      <c r="E10" s="52">
        <f>'C2 lossyG,lossyA,intra'!$BL$41:$BL$41</f>
        <v>0</v>
      </c>
      <c r="F10" s="52">
        <f>'C2 lossyG,lossyA,intra'!$BM$41:$BM$41</f>
        <v>0</v>
      </c>
      <c r="G10" s="52">
        <f>'C2 lossyG,lossyA,intra'!$BN$41:$BN$41</f>
        <v>0</v>
      </c>
      <c r="H10" s="52">
        <f>'C2 lossyG,lossyA,intra'!$BP$41:$BP$41</f>
        <v>2.5269985922671268E-5</v>
      </c>
      <c r="I10" s="52">
        <f>'C2 lossyG,lossyA,intra'!$BQ$41:$BQ$41</f>
        <v>2.2040257361854998E-5</v>
      </c>
      <c r="J10" s="52">
        <f>'C2 lossyG,lossyA,intra'!$BR$41:$BR$41</f>
        <v>2.0953484925145816E-5</v>
      </c>
      <c r="K10" s="52">
        <f>'C2 lossyG,lossyA,intra'!$BS$41:$BS$41</f>
        <v>1.8436577188474246E-5</v>
      </c>
      <c r="L10" s="52">
        <f>'C2 lossyG,lossyA,intra'!$BT$41:$BT$41</f>
        <v>1.9422735773710897E-5</v>
      </c>
    </row>
    <row r="11" spans="2:12">
      <c r="B11" t="s">
        <v>16</v>
      </c>
      <c r="C11" s="52">
        <f>'C2 lossyG,lossyA,intra'!$BJ$42:$BJ$42</f>
        <v>4.3210934242421395E-5</v>
      </c>
      <c r="D11" s="52">
        <f>'C2 lossyG,lossyA,intra'!$BK$42:$BK$42</f>
        <v>4.1187787813035115E-5</v>
      </c>
      <c r="E11" s="52">
        <f>'C2 lossyG,lossyA,intra'!$BL$42:$BL$42</f>
        <v>0</v>
      </c>
      <c r="F11" s="52">
        <f>'C2 lossyG,lossyA,intra'!$BM$42:$BM$42</f>
        <v>0</v>
      </c>
      <c r="G11" s="52">
        <f>'C2 lossyG,lossyA,intra'!$BN$42:$BN$42</f>
        <v>0</v>
      </c>
      <c r="H11" s="52">
        <f>'C2 lossyG,lossyA,intra'!$BP$42:$BP$42</f>
        <v>2.0688021811987589E-5</v>
      </c>
      <c r="I11" s="52">
        <f>'C2 lossyG,lossyA,intra'!$BQ$42:$BQ$42</f>
        <v>1.9287826178882028E-5</v>
      </c>
      <c r="J11" s="52">
        <f>'C2 lossyG,lossyA,intra'!$BR$42:$BR$42</f>
        <v>1.9284958714727019E-5</v>
      </c>
      <c r="K11" s="52">
        <f>'C2 lossyG,lossyA,intra'!$BS$42:$BS$42</f>
        <v>1.6845743167404059E-5</v>
      </c>
      <c r="L11" s="52">
        <f>'C2 lossyG,lossyA,intra'!$BT$42:$BT$42</f>
        <v>1.8293840720828847E-5</v>
      </c>
    </row>
    <row r="12" spans="2:12">
      <c r="B12" s="4" t="s">
        <v>17</v>
      </c>
      <c r="C12" s="5">
        <f>'C2 lossyG,lossyA,intra'!$BJ$43:$BJ$43</f>
        <v>8.0784967672371219E-5</v>
      </c>
      <c r="D12" s="5">
        <f>'C2 lossyG,lossyA,intra'!$BK$43:$BK$43</f>
        <v>7.530109447850819E-5</v>
      </c>
      <c r="E12" s="5">
        <f>'C2 lossyG,lossyA,intra'!$BL$43:$BL$43</f>
        <v>0</v>
      </c>
      <c r="F12" s="5">
        <f>'C2 lossyG,lossyA,intra'!$BM$43:$BM$43</f>
        <v>0</v>
      </c>
      <c r="G12" s="5">
        <f>'C2 lossyG,lossyA,intra'!$BN$43:$BN$43</f>
        <v>0</v>
      </c>
      <c r="H12" s="5">
        <f>'C2 lossyG,lossyA,intra'!$BP$43:$BP$43</f>
        <v>3.2546357337848164E-5</v>
      </c>
      <c r="I12" s="5">
        <f>'C2 lossyG,lossyA,intra'!$BQ$43:$BQ$43</f>
        <v>2.9326180152849141E-5</v>
      </c>
      <c r="J12" s="5">
        <f>'C2 lossyG,lossyA,intra'!$BR$43:$BR$43</f>
        <v>2.8705156075638427E-5</v>
      </c>
      <c r="K12" s="5">
        <f>'C2 lossyG,lossyA,intra'!$BS$43:$BS$43</f>
        <v>2.6690219219892087E-5</v>
      </c>
      <c r="L12" s="5">
        <f>'C2 lossyG,lossyA,intra'!$BT$43:$BT$43</f>
        <v>2.8182324482412774E-5</v>
      </c>
    </row>
    <row r="13" spans="2:12">
      <c r="B13" t="s">
        <v>18</v>
      </c>
      <c r="C13" s="88" t="e">
        <f>'C2 lossyG,lossyA,intra'!AZ47</f>
        <v>#NUM!</v>
      </c>
      <c r="D13" s="80"/>
      <c r="E13" s="80"/>
      <c r="F13" s="80"/>
      <c r="G13" s="80"/>
      <c r="H13" s="80"/>
      <c r="I13" s="80"/>
      <c r="J13" s="80"/>
      <c r="K13" s="80"/>
      <c r="L13" s="80"/>
    </row>
    <row r="14" spans="2:12">
      <c r="B14" s="6" t="s">
        <v>19</v>
      </c>
      <c r="C14" s="89" t="e">
        <f>'C2 lossyG,lossyA,intra'!BB47</f>
        <v>#NUM!</v>
      </c>
      <c r="D14" s="83"/>
      <c r="E14" s="83"/>
      <c r="F14" s="83"/>
      <c r="G14" s="83"/>
      <c r="H14" s="83"/>
      <c r="I14" s="83"/>
      <c r="J14" s="83"/>
      <c r="K14" s="83"/>
      <c r="L14" s="83"/>
    </row>
    <row r="16" spans="2:12">
      <c r="B16" s="82" t="s">
        <v>20</v>
      </c>
      <c r="C16" s="84" t="s">
        <v>21</v>
      </c>
      <c r="D16" s="85"/>
      <c r="E16" s="85"/>
    </row>
    <row r="17" spans="2:5">
      <c r="B17" s="80"/>
      <c r="C17" s="86" t="s">
        <v>22</v>
      </c>
      <c r="D17" s="80"/>
      <c r="E17" s="80"/>
    </row>
    <row r="18" spans="2:5" ht="16">
      <c r="B18" s="83"/>
      <c r="C18" s="2" t="s">
        <v>23</v>
      </c>
      <c r="D18" s="2" t="s">
        <v>24</v>
      </c>
      <c r="E18" s="2" t="s">
        <v>25</v>
      </c>
    </row>
    <row r="19" spans="2:5">
      <c r="B19" t="s">
        <v>14</v>
      </c>
      <c r="C19" s="52" t="e">
        <f>'CW losslG,losslA,intra'!BC12</f>
        <v>#DIV/0!</v>
      </c>
      <c r="D19" s="52" t="e">
        <f>'CW losslG,losslA,intra'!BE12</f>
        <v>#DIV/0!</v>
      </c>
      <c r="E19" s="52" t="e">
        <f>'CW losslG,losslA,intra'!BB12</f>
        <v>#DIV/0!</v>
      </c>
    </row>
    <row r="20" spans="2:5">
      <c r="B20" t="s">
        <v>15</v>
      </c>
      <c r="C20" s="52" t="e">
        <f>'CW losslG,losslA,intra'!BC13</f>
        <v>#DIV/0!</v>
      </c>
      <c r="D20" s="52" t="e">
        <f>'CW losslG,losslA,intra'!BE13</f>
        <v>#DIV/0!</v>
      </c>
      <c r="E20" s="52" t="e">
        <f>'CW losslG,losslA,intra'!BB13</f>
        <v>#DIV/0!</v>
      </c>
    </row>
    <row r="21" spans="2:5">
      <c r="B21" t="s">
        <v>16</v>
      </c>
      <c r="C21" s="52" t="e">
        <f>'CW losslG,losslA,intra'!BC14</f>
        <v>#DIV/0!</v>
      </c>
      <c r="D21" s="52" t="e">
        <f>'CW losslG,losslA,intra'!BE14</f>
        <v>#DIV/0!</v>
      </c>
      <c r="E21" s="52" t="e">
        <f>'CW losslG,losslA,intra'!BB14</f>
        <v>#DIV/0!</v>
      </c>
    </row>
    <row r="22" spans="2:5">
      <c r="B22" s="4" t="s">
        <v>17</v>
      </c>
      <c r="C22" s="5" t="e">
        <f>'CW losslG,losslA,intra'!BC15</f>
        <v>#DIV/0!</v>
      </c>
      <c r="D22" s="5" t="e">
        <f>'CW losslG,losslA,intra'!BE15</f>
        <v>#DIV/0!</v>
      </c>
      <c r="E22" s="5" t="e">
        <f>'CW losslG,losslA,intra'!BB15</f>
        <v>#DIV/0!</v>
      </c>
    </row>
    <row r="23" spans="2:5">
      <c r="B23" t="s">
        <v>18</v>
      </c>
      <c r="C23" s="88" t="e">
        <f>'CW losslG,losslA,intra'!AW19</f>
        <v>#NUM!</v>
      </c>
      <c r="D23" s="80"/>
      <c r="E23" s="80"/>
    </row>
    <row r="24" spans="2:5">
      <c r="B24" s="6" t="s">
        <v>19</v>
      </c>
      <c r="C24" s="89" t="e">
        <f>'CW losslG,losslA,intra'!AY19</f>
        <v>#NUM!</v>
      </c>
      <c r="D24" s="83"/>
      <c r="E24" s="83"/>
    </row>
    <row r="26" spans="2:5" s="1" customFormat="1">
      <c r="B26" s="1" t="s">
        <v>26</v>
      </c>
    </row>
    <row r="28" spans="2:5">
      <c r="B28" s="82" t="s">
        <v>27</v>
      </c>
      <c r="C28" s="84" t="s">
        <v>28</v>
      </c>
      <c r="D28" s="85"/>
      <c r="E28" s="85"/>
    </row>
    <row r="29" spans="2:5">
      <c r="B29" s="80"/>
      <c r="C29" s="86" t="s">
        <v>22</v>
      </c>
      <c r="D29" s="80"/>
      <c r="E29" s="80"/>
    </row>
    <row r="30" spans="2:5" ht="16">
      <c r="B30" s="83"/>
      <c r="C30" s="2" t="s">
        <v>23</v>
      </c>
      <c r="D30" s="2" t="s">
        <v>24</v>
      </c>
      <c r="E30" s="2" t="s">
        <v>25</v>
      </c>
    </row>
    <row r="31" spans="2:5">
      <c r="B31" t="s">
        <v>14</v>
      </c>
      <c r="C31" s="52" t="e">
        <f>'CW losslG,losslA,interLD'!BC12</f>
        <v>#DIV/0!</v>
      </c>
      <c r="D31" s="52" t="e">
        <f>'CW losslG,losslA,interLD'!BE12</f>
        <v>#DIV/0!</v>
      </c>
      <c r="E31" s="52" t="e">
        <f>'CW losslG,losslA,interLD'!BB12</f>
        <v>#DIV/0!</v>
      </c>
    </row>
    <row r="32" spans="2:5">
      <c r="B32" t="s">
        <v>15</v>
      </c>
      <c r="C32" s="52" t="e">
        <f>'CW losslG,losslA,interLD'!BC13</f>
        <v>#DIV/0!</v>
      </c>
      <c r="D32" s="52" t="e">
        <f>'CW losslG,losslA,interLD'!BE13</f>
        <v>#DIV/0!</v>
      </c>
      <c r="E32" s="52" t="e">
        <f>'CW losslG,losslA,interLD'!BB13</f>
        <v>#DIV/0!</v>
      </c>
    </row>
    <row r="33" spans="2:12">
      <c r="B33" t="s">
        <v>16</v>
      </c>
      <c r="C33" s="52" t="e">
        <f>'CW losslG,losslA,interLD'!BC14</f>
        <v>#DIV/0!</v>
      </c>
      <c r="D33" s="52" t="e">
        <f>'CW losslG,losslA,interLD'!BE14</f>
        <v>#DIV/0!</v>
      </c>
      <c r="E33" s="52" t="e">
        <f>'CW losslG,losslA,interLD'!BB14</f>
        <v>#DIV/0!</v>
      </c>
    </row>
    <row r="34" spans="2:12">
      <c r="B34" s="4" t="s">
        <v>17</v>
      </c>
      <c r="C34" s="5" t="e">
        <f>'CW losslG,losslA,interLD'!BC15</f>
        <v>#DIV/0!</v>
      </c>
      <c r="D34" s="5" t="e">
        <f>'CW losslG,losslA,interLD'!BE15</f>
        <v>#DIV/0!</v>
      </c>
      <c r="E34" s="5" t="e">
        <f>'CW losslG,losslA,interLD'!BB15</f>
        <v>#DIV/0!</v>
      </c>
    </row>
    <row r="35" spans="2:12">
      <c r="B35" t="s">
        <v>18</v>
      </c>
      <c r="C35" s="88" t="e">
        <f>'CW losslG,losslA,interLD'!AW19</f>
        <v>#NUM!</v>
      </c>
      <c r="D35" s="80"/>
      <c r="E35" s="80"/>
    </row>
    <row r="36" spans="2:12">
      <c r="B36" s="6" t="s">
        <v>19</v>
      </c>
      <c r="C36" s="89" t="e">
        <f>'CW losslG,losslA,interLD'!AY19</f>
        <v>#NUM!</v>
      </c>
      <c r="D36" s="83"/>
      <c r="E36" s="83"/>
    </row>
    <row r="38" spans="2:12" s="1" customFormat="1">
      <c r="B38" s="1" t="s">
        <v>29</v>
      </c>
    </row>
    <row r="40" spans="2:12">
      <c r="B40" s="82" t="s">
        <v>30</v>
      </c>
      <c r="C40" s="84" t="s">
        <v>31</v>
      </c>
      <c r="D40" s="85"/>
      <c r="E40" s="85"/>
      <c r="F40" s="85"/>
      <c r="G40" s="85"/>
      <c r="H40" s="85"/>
      <c r="I40" s="85"/>
      <c r="J40" s="85"/>
      <c r="K40" s="85"/>
      <c r="L40" s="85"/>
    </row>
    <row r="41" spans="2:12">
      <c r="B41" s="80"/>
      <c r="C41" s="86" t="s">
        <v>5</v>
      </c>
      <c r="D41" s="80"/>
      <c r="E41" s="87" t="s">
        <v>6</v>
      </c>
      <c r="F41" s="80"/>
      <c r="G41" s="80"/>
      <c r="H41" s="86" t="s">
        <v>7</v>
      </c>
      <c r="I41" s="80"/>
      <c r="J41" s="87" t="s">
        <v>8</v>
      </c>
      <c r="K41" s="80"/>
      <c r="L41" s="80"/>
    </row>
    <row r="42" spans="2:12" ht="16">
      <c r="B42" s="83"/>
      <c r="C42" s="2" t="s">
        <v>9</v>
      </c>
      <c r="D42" s="2" t="s">
        <v>10</v>
      </c>
      <c r="E42" s="3" t="s">
        <v>11</v>
      </c>
      <c r="F42" s="3" t="s">
        <v>12</v>
      </c>
      <c r="G42" s="3" t="s">
        <v>13</v>
      </c>
      <c r="H42" s="2" t="s">
        <v>9</v>
      </c>
      <c r="I42" s="2" t="s">
        <v>10</v>
      </c>
      <c r="J42" s="3" t="s">
        <v>11</v>
      </c>
      <c r="K42" s="3" t="s">
        <v>12</v>
      </c>
      <c r="L42" s="3" t="s">
        <v>13</v>
      </c>
    </row>
    <row r="43" spans="2:12">
      <c r="B43" t="s">
        <v>14</v>
      </c>
      <c r="C43" s="52">
        <f>'C2 lossyG,lossyA,interRA'!$BJ$40:$BJ$40</f>
        <v>1.7820017034542168E-5</v>
      </c>
      <c r="D43" s="52">
        <f>'C2 lossyG,lossyA,interRA'!$BK$40:$BK$40</f>
        <v>1.6407576529042789E-5</v>
      </c>
      <c r="E43" s="52">
        <f>'C2 lossyG,lossyA,interRA'!$BL$40:$BL$40</f>
        <v>0</v>
      </c>
      <c r="F43" s="52">
        <f>'C2 lossyG,lossyA,interRA'!$BM$40:$BM$40</f>
        <v>0</v>
      </c>
      <c r="G43" s="52">
        <f>'C2 lossyG,lossyA,interRA'!$BN$40:$BN$40</f>
        <v>0</v>
      </c>
      <c r="H43" s="52">
        <f>'C2 lossyG,lossyA,interRA'!$BP$40:$BP$40</f>
        <v>1.2369172240178639E-5</v>
      </c>
      <c r="I43" s="52">
        <f>'C2 lossyG,lossyA,interRA'!$BQ$40:$BQ$40</f>
        <v>1.1122536351493295E-5</v>
      </c>
      <c r="J43" s="52">
        <f>'C2 lossyG,lossyA,interRA'!$BR$40:$BR$40</f>
        <v>1.0658908636440589E-5</v>
      </c>
      <c r="K43" s="52">
        <f>'C2 lossyG,lossyA,interRA'!$BS$40:$BS$40</f>
        <v>9.7589211147108834E-6</v>
      </c>
      <c r="L43" s="52">
        <f>'C2 lossyG,lossyA,interRA'!$BT$40:$BT$40</f>
        <v>1.0115785851694259E-5</v>
      </c>
    </row>
    <row r="44" spans="2:12">
      <c r="B44" t="s">
        <v>15</v>
      </c>
      <c r="C44" s="52">
        <f>'C2 lossyG,lossyA,interRA'!$BJ$41:$BJ$41</f>
        <v>2.3086641415925868E-5</v>
      </c>
      <c r="D44" s="52">
        <f>'C2 lossyG,lossyA,interRA'!$BK$41:$BK$41</f>
        <v>2.1139329469122004E-5</v>
      </c>
      <c r="E44" s="52">
        <f>'C2 lossyG,lossyA,interRA'!$BL$41:$BL$41</f>
        <v>0</v>
      </c>
      <c r="F44" s="52">
        <f>'C2 lossyG,lossyA,interRA'!$BM$41:$BM$41</f>
        <v>0</v>
      </c>
      <c r="G44" s="52">
        <f>'C2 lossyG,lossyA,interRA'!$BN$41:$BN$41</f>
        <v>0</v>
      </c>
      <c r="H44" s="52">
        <f>'C2 lossyG,lossyA,interRA'!$BP$41:$BP$41</f>
        <v>1.1421469178873878E-5</v>
      </c>
      <c r="I44" s="52">
        <f>'C2 lossyG,lossyA,interRA'!$BQ$41:$BQ$41</f>
        <v>9.9648915568018026E-6</v>
      </c>
      <c r="J44" s="52">
        <f>'C2 lossyG,lossyA,interRA'!$BR$41:$BR$41</f>
        <v>8.7108599964302869E-6</v>
      </c>
      <c r="K44" s="52">
        <f>'C2 lossyG,lossyA,interRA'!$BS$41:$BS$41</f>
        <v>8.5477683822166028E-6</v>
      </c>
      <c r="L44" s="52">
        <f>'C2 lossyG,lossyA,interRA'!$BT$41:$BT$41</f>
        <v>8.9054754945916414E-6</v>
      </c>
    </row>
    <row r="45" spans="2:12">
      <c r="B45" t="s">
        <v>16</v>
      </c>
      <c r="C45" s="52">
        <f>'C2 lossyG,lossyA,interRA'!$BJ$42:$BJ$42</f>
        <v>5.1709309927039371E-5</v>
      </c>
      <c r="D45" s="52">
        <f>'C2 lossyG,lossyA,interRA'!$BK$42:$BK$42</f>
        <v>4.9371511956830538E-5</v>
      </c>
      <c r="E45" s="52">
        <f>'C2 lossyG,lossyA,interRA'!$BL$42:$BL$42</f>
        <v>0</v>
      </c>
      <c r="F45" s="52">
        <f>'C2 lossyG,lossyA,interRA'!$BM$42:$BM$42</f>
        <v>0</v>
      </c>
      <c r="G45" s="52">
        <f>'C2 lossyG,lossyA,interRA'!$BN$42:$BN$42</f>
        <v>0</v>
      </c>
      <c r="H45" s="52">
        <f>'C2 lossyG,lossyA,interRA'!$BP$42:$BP$42</f>
        <v>3.4967663499529955E-5</v>
      </c>
      <c r="I45" s="52">
        <f>'C2 lossyG,lossyA,interRA'!$BQ$42:$BQ$42</f>
        <v>3.2909874361330971E-5</v>
      </c>
      <c r="J45" s="52">
        <f>'C2 lossyG,lossyA,interRA'!$BR$42:$BR$42</f>
        <v>3.1954438167836052E-5</v>
      </c>
      <c r="K45" s="52">
        <f>'C2 lossyG,lossyA,interRA'!$BS$42:$BS$42</f>
        <v>2.9972233814845595E-5</v>
      </c>
      <c r="L45" s="52">
        <f>'C2 lossyG,lossyA,interRA'!$BT$42:$BT$42</f>
        <v>3.0867189797945116E-5</v>
      </c>
    </row>
    <row r="46" spans="2:12">
      <c r="B46" s="4" t="s">
        <v>17</v>
      </c>
      <c r="C46" s="5">
        <f>'C2 lossyG,lossyA,interRA'!$BJ$43:$BJ$43</f>
        <v>2.8255047058310468E-5</v>
      </c>
      <c r="D46" s="5">
        <f>'C2 lossyG,lossyA,interRA'!$BK$43:$BK$43</f>
        <v>2.6501808499850605E-5</v>
      </c>
      <c r="E46" s="5">
        <f>'C2 lossyG,lossyA,interRA'!$BL$43:$BL$43</f>
        <v>0</v>
      </c>
      <c r="F46" s="5">
        <f>'C2 lossyG,lossyA,interRA'!$BM$43:$BM$43</f>
        <v>0</v>
      </c>
      <c r="G46" s="5">
        <f>'C2 lossyG,lossyA,interRA'!$BN$43:$BN$43</f>
        <v>0</v>
      </c>
      <c r="H46" s="5">
        <f>'C2 lossyG,lossyA,interRA'!$BP$43:$BP$43</f>
        <v>1.8690497876949763E-5</v>
      </c>
      <c r="I46" s="5">
        <f>'C2 lossyG,lossyA,interRA'!$BQ$43:$BQ$43</f>
        <v>1.7182112240776704E-5</v>
      </c>
      <c r="J46" s="5">
        <f>'C2 lossyG,lossyA,interRA'!$BR$43:$BR$43</f>
        <v>1.6465052982552108E-5</v>
      </c>
      <c r="K46" s="5">
        <f>'C2 lossyG,lossyA,interRA'!$BS$43:$BS$43</f>
        <v>1.5361131495821617E-5</v>
      </c>
      <c r="L46" s="5">
        <f>'C2 lossyG,lossyA,interRA'!$BT$43:$BT$43</f>
        <v>1.5871856928179845E-5</v>
      </c>
    </row>
    <row r="47" spans="2:12">
      <c r="B47" t="s">
        <v>18</v>
      </c>
      <c r="C47" s="88" t="e">
        <f>'C2 lossyG,lossyA,interRA'!AZ47</f>
        <v>#NUM!</v>
      </c>
      <c r="D47" s="80"/>
      <c r="E47" s="80"/>
      <c r="F47" s="80"/>
      <c r="G47" s="80"/>
      <c r="H47" s="80"/>
      <c r="I47" s="80"/>
      <c r="J47" s="80"/>
      <c r="K47" s="80"/>
      <c r="L47" s="80"/>
    </row>
    <row r="48" spans="2:12">
      <c r="B48" s="6" t="s">
        <v>19</v>
      </c>
      <c r="C48" s="89" t="e">
        <f>'C2 lossyG,lossyA,interRA'!BB47</f>
        <v>#NUM!</v>
      </c>
      <c r="D48" s="83"/>
      <c r="E48" s="83"/>
      <c r="F48" s="83"/>
      <c r="G48" s="83"/>
      <c r="H48" s="83"/>
      <c r="I48" s="83"/>
      <c r="J48" s="83"/>
      <c r="K48" s="83"/>
      <c r="L48" s="83"/>
    </row>
  </sheetData>
  <mergeCells count="28">
    <mergeCell ref="C47:L47"/>
    <mergeCell ref="C48:L48"/>
    <mergeCell ref="C35:E35"/>
    <mergeCell ref="C36:E36"/>
    <mergeCell ref="B40:B42"/>
    <mergeCell ref="C40:L40"/>
    <mergeCell ref="C41:D41"/>
    <mergeCell ref="E41:G41"/>
    <mergeCell ref="H41:I41"/>
    <mergeCell ref="J41:L41"/>
    <mergeCell ref="C23:E23"/>
    <mergeCell ref="C24:E24"/>
    <mergeCell ref="B28:B30"/>
    <mergeCell ref="C28:E28"/>
    <mergeCell ref="C29:E29"/>
    <mergeCell ref="C13:L13"/>
    <mergeCell ref="C14:L14"/>
    <mergeCell ref="B16:B18"/>
    <mergeCell ref="C16:E16"/>
    <mergeCell ref="C17:E17"/>
    <mergeCell ref="C1:E1"/>
    <mergeCell ref="C2:E2"/>
    <mergeCell ref="B6:B8"/>
    <mergeCell ref="C6:L6"/>
    <mergeCell ref="C7:D7"/>
    <mergeCell ref="E7:G7"/>
    <mergeCell ref="H7:I7"/>
    <mergeCell ref="J7:L7"/>
  </mergeCells>
  <conditionalFormatting sqref="C19 C20 C21 C22">
    <cfRule type="cellIs" dxfId="113" priority="23" operator="greaterThanOrEqual">
      <formula>1.03</formula>
    </cfRule>
    <cfRule type="cellIs" dxfId="112" priority="24" operator="lessThanOrEqual">
      <formula>0.97</formula>
    </cfRule>
  </conditionalFormatting>
  <conditionalFormatting sqref="C31 C32 C33 C34">
    <cfRule type="cellIs" dxfId="111" priority="27" operator="greaterThanOrEqual">
      <formula>1.03</formula>
    </cfRule>
    <cfRule type="cellIs" dxfId="110" priority="28" operator="lessThanOrEqual">
      <formula>0.97</formula>
    </cfRule>
  </conditionalFormatting>
  <conditionalFormatting sqref="C43 C44 C45 C46">
    <cfRule type="cellIs" dxfId="109" priority="51" operator="greaterThanOrEqual">
      <formula>0.03</formula>
    </cfRule>
    <cfRule type="cellIs" dxfId="108" priority="52" operator="lessThanOrEqual">
      <formula>-0.03</formula>
    </cfRule>
  </conditionalFormatting>
  <conditionalFormatting sqref="C9 C10 C11 C12">
    <cfRule type="cellIs" dxfId="107" priority="15" operator="greaterThanOrEqual">
      <formula>0.03</formula>
    </cfRule>
    <cfRule type="cellIs" dxfId="106" priority="16" operator="lessThanOrEqual">
      <formula>-0.03</formula>
    </cfRule>
  </conditionalFormatting>
  <conditionalFormatting sqref="D19 D20 D21 D22">
    <cfRule type="cellIs" dxfId="105" priority="25" operator="greaterThanOrEqual">
      <formula>1.03</formula>
    </cfRule>
    <cfRule type="cellIs" dxfId="104" priority="26" operator="lessThanOrEqual">
      <formula>0.97</formula>
    </cfRule>
  </conditionalFormatting>
  <conditionalFormatting sqref="D31 D32 D33 D34">
    <cfRule type="cellIs" dxfId="103" priority="29" operator="greaterThanOrEqual">
      <formula>1.03</formula>
    </cfRule>
    <cfRule type="cellIs" dxfId="102" priority="30" operator="lessThanOrEqual">
      <formula>0.97</formula>
    </cfRule>
  </conditionalFormatting>
  <conditionalFormatting sqref="D43 D44 D45 D46">
    <cfRule type="cellIs" dxfId="101" priority="35" operator="greaterThanOrEqual">
      <formula>0.03</formula>
    </cfRule>
    <cfRule type="cellIs" dxfId="100" priority="36" operator="lessThanOrEqual">
      <formula>-0.03</formula>
    </cfRule>
  </conditionalFormatting>
  <conditionalFormatting sqref="D9 D10 D11 D12">
    <cfRule type="cellIs" dxfId="99" priority="7" operator="greaterThanOrEqual">
      <formula>0.03</formula>
    </cfRule>
    <cfRule type="cellIs" dxfId="98" priority="8" operator="lessThanOrEqual">
      <formula>-0.03</formula>
    </cfRule>
  </conditionalFormatting>
  <conditionalFormatting sqref="E19 E20 E21 E22">
    <cfRule type="cellIs" dxfId="97" priority="21" operator="greaterThanOrEqual">
      <formula>1.03</formula>
    </cfRule>
    <cfRule type="cellIs" dxfId="96" priority="22" operator="lessThanOrEqual">
      <formula>0.97</formula>
    </cfRule>
  </conditionalFormatting>
  <conditionalFormatting sqref="E31 E32 E33 E34">
    <cfRule type="cellIs" dxfId="95" priority="31" operator="greaterThanOrEqual">
      <formula>1.03</formula>
    </cfRule>
    <cfRule type="cellIs" dxfId="94" priority="32" operator="lessThanOrEqual">
      <formula>0.97</formula>
    </cfRule>
  </conditionalFormatting>
  <conditionalFormatting sqref="E43 E44 E45 E46">
    <cfRule type="cellIs" dxfId="93" priority="37" operator="greaterThanOrEqual">
      <formula>0.03</formula>
    </cfRule>
    <cfRule type="cellIs" dxfId="92" priority="38" operator="lessThanOrEqual">
      <formula>-0.03</formula>
    </cfRule>
  </conditionalFormatting>
  <conditionalFormatting sqref="E9 E10 E11 E12">
    <cfRule type="cellIs" dxfId="91" priority="9" operator="greaterThanOrEqual">
      <formula>0.03</formula>
    </cfRule>
    <cfRule type="cellIs" dxfId="90" priority="10" operator="lessThanOrEqual">
      <formula>-0.03</formula>
    </cfRule>
  </conditionalFormatting>
  <conditionalFormatting sqref="F43 F44 F45 F46">
    <cfRule type="cellIs" dxfId="89" priority="47" operator="greaterThanOrEqual">
      <formula>0.03</formula>
    </cfRule>
    <cfRule type="cellIs" dxfId="88" priority="48" operator="lessThanOrEqual">
      <formula>-0.03</formula>
    </cfRule>
  </conditionalFormatting>
  <conditionalFormatting sqref="F9 F10 F11 F12">
    <cfRule type="cellIs" dxfId="87" priority="11" operator="greaterThanOrEqual">
      <formula>0.03</formula>
    </cfRule>
    <cfRule type="cellIs" dxfId="86" priority="12" operator="lessThanOrEqual">
      <formula>-0.03</formula>
    </cfRule>
  </conditionalFormatting>
  <conditionalFormatting sqref="G43 G44 G45 G46">
    <cfRule type="cellIs" dxfId="85" priority="49" operator="greaterThanOrEqual">
      <formula>0.03</formula>
    </cfRule>
    <cfRule type="cellIs" dxfId="84" priority="50" operator="lessThanOrEqual">
      <formula>-0.03</formula>
    </cfRule>
  </conditionalFormatting>
  <conditionalFormatting sqref="G9 G10 G11 G12">
    <cfRule type="cellIs" dxfId="83" priority="13" operator="greaterThanOrEqual">
      <formula>0.03</formula>
    </cfRule>
    <cfRule type="cellIs" dxfId="82" priority="14" operator="lessThanOrEqual">
      <formula>-0.03</formula>
    </cfRule>
  </conditionalFormatting>
  <conditionalFormatting sqref="H43 H44 H45 H46">
    <cfRule type="cellIs" dxfId="81" priority="39" operator="greaterThanOrEqual">
      <formula>0.03</formula>
    </cfRule>
    <cfRule type="cellIs" dxfId="80" priority="40" operator="lessThanOrEqual">
      <formula>-0.03</formula>
    </cfRule>
  </conditionalFormatting>
  <conditionalFormatting sqref="H9 H10 H11 H12">
    <cfRule type="cellIs" dxfId="79" priority="5" operator="greaterThanOrEqual">
      <formula>0.03</formula>
    </cfRule>
    <cfRule type="cellIs" dxfId="78" priority="6" operator="lessThanOrEqual">
      <formula>-0.03</formula>
    </cfRule>
  </conditionalFormatting>
  <conditionalFormatting sqref="I43 I44 I45 I46">
    <cfRule type="cellIs" dxfId="77" priority="45" operator="greaterThanOrEqual">
      <formula>0.03</formula>
    </cfRule>
    <cfRule type="cellIs" dxfId="76" priority="46" operator="lessThanOrEqual">
      <formula>-0.03</formula>
    </cfRule>
  </conditionalFormatting>
  <conditionalFormatting sqref="I9 I10 I11 I12">
    <cfRule type="cellIs" dxfId="75" priority="19" operator="greaterThanOrEqual">
      <formula>0.03</formula>
    </cfRule>
    <cfRule type="cellIs" dxfId="74" priority="20" operator="lessThanOrEqual">
      <formula>-0.03</formula>
    </cfRule>
  </conditionalFormatting>
  <conditionalFormatting sqref="J43 J44 J45 J46">
    <cfRule type="cellIs" dxfId="73" priority="41" operator="greaterThanOrEqual">
      <formula>0.03</formula>
    </cfRule>
    <cfRule type="cellIs" dxfId="72" priority="42" operator="lessThanOrEqual">
      <formula>-0.03</formula>
    </cfRule>
  </conditionalFormatting>
  <conditionalFormatting sqref="J9 J10 J11 J12">
    <cfRule type="cellIs" dxfId="71" priority="1" operator="greaterThanOrEqual">
      <formula>0.03</formula>
    </cfRule>
    <cfRule type="cellIs" dxfId="70" priority="2" operator="lessThanOrEqual">
      <formula>-0.03</formula>
    </cfRule>
  </conditionalFormatting>
  <conditionalFormatting sqref="K43 K44 K45 K46">
    <cfRule type="cellIs" dxfId="69" priority="43" operator="greaterThanOrEqual">
      <formula>0.03</formula>
    </cfRule>
    <cfRule type="cellIs" dxfId="68" priority="44" operator="lessThanOrEqual">
      <formula>-0.03</formula>
    </cfRule>
  </conditionalFormatting>
  <conditionalFormatting sqref="K9 K10 K11 K12">
    <cfRule type="cellIs" dxfId="67" priority="17" operator="greaterThanOrEqual">
      <formula>0.03</formula>
    </cfRule>
    <cfRule type="cellIs" dxfId="66" priority="18" operator="lessThanOrEqual">
      <formula>-0.03</formula>
    </cfRule>
  </conditionalFormatting>
  <conditionalFormatting sqref="L43 L44 L45 L46">
    <cfRule type="cellIs" dxfId="65" priority="33" operator="greaterThanOrEqual">
      <formula>0.03</formula>
    </cfRule>
    <cfRule type="cellIs" dxfId="64" priority="34" operator="lessThanOrEqual">
      <formula>-0.03</formula>
    </cfRule>
  </conditionalFormatting>
  <conditionalFormatting sqref="L9 L10 L11 L12">
    <cfRule type="cellIs" dxfId="63" priority="3" operator="greaterThanOrEqual">
      <formula>0.03</formula>
    </cfRule>
    <cfRule type="cellIs" dxfId="62" priority="4" operator="lessThanOrEqual">
      <formula>-0.03</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P39"/>
  <sheetViews>
    <sheetView workbookViewId="0"/>
  </sheetViews>
  <sheetFormatPr baseColWidth="10" defaultColWidth="8.83203125" defaultRowHeight="15"/>
  <cols>
    <col min="1" max="1" width="12.6640625" style="53" customWidth="1"/>
    <col min="2" max="2" width="24.6640625" style="53" customWidth="1"/>
    <col min="4" max="4" width="24.6640625" style="53" customWidth="1"/>
    <col min="9" max="9" width="16.6640625" style="53" customWidth="1"/>
  </cols>
  <sheetData>
    <row r="1" spans="1:16">
      <c r="A1" t="s">
        <v>32</v>
      </c>
      <c r="B1" s="7" t="str">
        <f>M1</f>
        <v>C2 lossyG,lossyA,intra</v>
      </c>
      <c r="C1" t="s">
        <v>33</v>
      </c>
      <c r="I1" t="s">
        <v>34</v>
      </c>
      <c r="M1" t="s">
        <v>35</v>
      </c>
      <c r="N1" t="s">
        <v>36</v>
      </c>
      <c r="O1" t="s">
        <v>37</v>
      </c>
      <c r="P1" t="s">
        <v>38</v>
      </c>
    </row>
    <row r="2" spans="1:16">
      <c r="A2" t="s">
        <v>39</v>
      </c>
      <c r="B2" s="7" t="str">
        <f>HLOOKUP(B1,M1:ZZ3,3,0)</f>
        <v>8ivfbv2_loot_vox10</v>
      </c>
      <c r="C2" t="s">
        <v>40</v>
      </c>
      <c r="I2" t="s">
        <v>41</v>
      </c>
      <c r="J2" t="s">
        <v>42</v>
      </c>
      <c r="M2" t="s">
        <v>43</v>
      </c>
      <c r="N2" t="s">
        <v>44</v>
      </c>
      <c r="O2" t="s">
        <v>45</v>
      </c>
      <c r="P2" t="s">
        <v>46</v>
      </c>
    </row>
    <row r="3" spans="1:16">
      <c r="I3" t="s">
        <v>47</v>
      </c>
      <c r="J3" t="s">
        <v>48</v>
      </c>
      <c r="M3" t="s">
        <v>49</v>
      </c>
      <c r="N3" t="s">
        <v>49</v>
      </c>
      <c r="O3" t="s">
        <v>49</v>
      </c>
      <c r="P3" t="s">
        <v>49</v>
      </c>
    </row>
    <row r="4" spans="1:16">
      <c r="A4" t="s">
        <v>50</v>
      </c>
      <c r="B4" s="7" t="s">
        <v>51</v>
      </c>
      <c r="C4" t="s">
        <v>52</v>
      </c>
      <c r="D4" s="7" t="s">
        <v>53</v>
      </c>
      <c r="E4" t="s">
        <v>54</v>
      </c>
      <c r="I4" t="s">
        <v>55</v>
      </c>
      <c r="J4" t="s">
        <v>56</v>
      </c>
      <c r="M4" t="s">
        <v>57</v>
      </c>
      <c r="N4" t="s">
        <v>57</v>
      </c>
      <c r="O4" t="s">
        <v>57</v>
      </c>
      <c r="P4" t="s">
        <v>57</v>
      </c>
    </row>
    <row r="5" spans="1:16">
      <c r="A5" t="s">
        <v>50</v>
      </c>
      <c r="B5" s="7" t="s">
        <v>51</v>
      </c>
      <c r="C5" t="s">
        <v>52</v>
      </c>
      <c r="D5" s="7" t="s">
        <v>58</v>
      </c>
      <c r="E5" t="s">
        <v>59</v>
      </c>
      <c r="I5" t="s">
        <v>60</v>
      </c>
      <c r="J5" t="s">
        <v>61</v>
      </c>
      <c r="M5" t="s">
        <v>62</v>
      </c>
      <c r="N5" t="s">
        <v>62</v>
      </c>
      <c r="O5" t="s">
        <v>62</v>
      </c>
      <c r="P5" t="s">
        <v>62</v>
      </c>
    </row>
    <row r="6" spans="1:16">
      <c r="A6" t="s">
        <v>50</v>
      </c>
      <c r="B6" s="7" t="s">
        <v>63</v>
      </c>
      <c r="C6" t="s">
        <v>52</v>
      </c>
      <c r="D6" s="7" t="s">
        <v>64</v>
      </c>
      <c r="E6" t="s">
        <v>65</v>
      </c>
      <c r="I6" t="s">
        <v>66</v>
      </c>
      <c r="J6" t="s">
        <v>67</v>
      </c>
      <c r="M6" t="s">
        <v>68</v>
      </c>
      <c r="N6" t="s">
        <v>68</v>
      </c>
      <c r="O6" t="s">
        <v>68</v>
      </c>
      <c r="P6" t="s">
        <v>68</v>
      </c>
    </row>
    <row r="7" spans="1:16">
      <c r="A7" t="s">
        <v>50</v>
      </c>
      <c r="B7" s="7" t="s">
        <v>63</v>
      </c>
      <c r="C7" t="s">
        <v>52</v>
      </c>
      <c r="D7" s="7" t="s">
        <v>47</v>
      </c>
      <c r="E7" t="s">
        <v>69</v>
      </c>
      <c r="I7" t="s">
        <v>53</v>
      </c>
      <c r="J7" t="s">
        <v>70</v>
      </c>
      <c r="M7" t="s">
        <v>71</v>
      </c>
      <c r="N7" t="s">
        <v>71</v>
      </c>
      <c r="O7" t="s">
        <v>71</v>
      </c>
      <c r="P7" t="s">
        <v>71</v>
      </c>
    </row>
    <row r="8" spans="1:16">
      <c r="A8" t="s">
        <v>50</v>
      </c>
      <c r="B8" s="7" t="s">
        <v>63</v>
      </c>
      <c r="C8" t="s">
        <v>52</v>
      </c>
      <c r="D8" s="7" t="s">
        <v>60</v>
      </c>
      <c r="E8" t="s">
        <v>72</v>
      </c>
      <c r="I8" t="s">
        <v>73</v>
      </c>
      <c r="J8" t="s">
        <v>74</v>
      </c>
      <c r="M8" t="s">
        <v>75</v>
      </c>
      <c r="N8" t="s">
        <v>75</v>
      </c>
      <c r="O8" t="s">
        <v>75</v>
      </c>
      <c r="P8" t="s">
        <v>75</v>
      </c>
    </row>
    <row r="9" spans="1:16">
      <c r="A9" t="s">
        <v>50</v>
      </c>
      <c r="B9" s="7" t="s">
        <v>76</v>
      </c>
      <c r="C9" t="s">
        <v>52</v>
      </c>
      <c r="D9" s="7" t="s">
        <v>77</v>
      </c>
      <c r="E9" t="s">
        <v>78</v>
      </c>
      <c r="I9" t="s">
        <v>58</v>
      </c>
      <c r="J9" t="s">
        <v>79</v>
      </c>
      <c r="M9" t="s">
        <v>80</v>
      </c>
      <c r="N9" t="s">
        <v>80</v>
      </c>
      <c r="O9" t="s">
        <v>80</v>
      </c>
      <c r="P9" t="s">
        <v>80</v>
      </c>
    </row>
    <row r="10" spans="1:16">
      <c r="I10" t="s">
        <v>81</v>
      </c>
      <c r="J10" t="s">
        <v>82</v>
      </c>
    </row>
    <row r="11" spans="1:16">
      <c r="I11" t="s">
        <v>83</v>
      </c>
      <c r="J11" t="s">
        <v>84</v>
      </c>
    </row>
    <row r="12" spans="1:16">
      <c r="I12" t="s">
        <v>85</v>
      </c>
      <c r="J12" t="s">
        <v>86</v>
      </c>
    </row>
    <row r="13" spans="1:16">
      <c r="I13" t="s">
        <v>87</v>
      </c>
      <c r="J13" t="s">
        <v>88</v>
      </c>
    </row>
    <row r="14" spans="1:16">
      <c r="I14" t="s">
        <v>89</v>
      </c>
      <c r="J14" t="s">
        <v>90</v>
      </c>
    </row>
    <row r="15" spans="1:16">
      <c r="I15" t="s">
        <v>91</v>
      </c>
      <c r="J15" t="s">
        <v>92</v>
      </c>
    </row>
    <row r="16" spans="1:16">
      <c r="I16" t="s">
        <v>93</v>
      </c>
      <c r="J16" t="s">
        <v>94</v>
      </c>
    </row>
    <row r="17" spans="9:10">
      <c r="I17" t="s">
        <v>77</v>
      </c>
      <c r="J17" t="s">
        <v>95</v>
      </c>
    </row>
    <row r="18" spans="9:10">
      <c r="I18" t="s">
        <v>96</v>
      </c>
      <c r="J18" t="s">
        <v>97</v>
      </c>
    </row>
    <row r="19" spans="9:10">
      <c r="I19" t="s">
        <v>98</v>
      </c>
      <c r="J19" t="s">
        <v>99</v>
      </c>
    </row>
    <row r="20" spans="9:10">
      <c r="I20" t="s">
        <v>100</v>
      </c>
      <c r="J20" t="s">
        <v>101</v>
      </c>
    </row>
    <row r="21" spans="9:10">
      <c r="I21" t="s">
        <v>102</v>
      </c>
      <c r="J21" t="s">
        <v>103</v>
      </c>
    </row>
    <row r="22" spans="9:10">
      <c r="I22" t="s">
        <v>64</v>
      </c>
      <c r="J22" t="s">
        <v>104</v>
      </c>
    </row>
    <row r="23" spans="9:10">
      <c r="I23" t="s">
        <v>105</v>
      </c>
      <c r="J23" t="s">
        <v>106</v>
      </c>
    </row>
    <row r="24" spans="9:10">
      <c r="I24" t="s">
        <v>107</v>
      </c>
      <c r="J24" t="s">
        <v>108</v>
      </c>
    </row>
    <row r="25" spans="9:10">
      <c r="I25" t="s">
        <v>109</v>
      </c>
      <c r="J25" t="s">
        <v>110</v>
      </c>
    </row>
    <row r="26" spans="9:10">
      <c r="I26" t="s">
        <v>111</v>
      </c>
      <c r="J26" t="s">
        <v>112</v>
      </c>
    </row>
    <row r="27" spans="9:10">
      <c r="I27" t="s">
        <v>113</v>
      </c>
      <c r="J27" t="s">
        <v>114</v>
      </c>
    </row>
    <row r="28" spans="9:10">
      <c r="I28" t="s">
        <v>115</v>
      </c>
      <c r="J28" t="s">
        <v>116</v>
      </c>
    </row>
    <row r="29" spans="9:10">
      <c r="I29" t="s">
        <v>117</v>
      </c>
      <c r="J29" t="s">
        <v>118</v>
      </c>
    </row>
    <row r="30" spans="9:10">
      <c r="I30" t="s">
        <v>119</v>
      </c>
      <c r="J30" t="s">
        <v>120</v>
      </c>
    </row>
    <row r="31" spans="9:10">
      <c r="I31" t="s">
        <v>121</v>
      </c>
      <c r="J31" t="s">
        <v>122</v>
      </c>
    </row>
    <row r="32" spans="9:10">
      <c r="I32" t="s">
        <v>123</v>
      </c>
      <c r="J32" t="s">
        <v>124</v>
      </c>
    </row>
    <row r="33" spans="9:10">
      <c r="I33" t="s">
        <v>125</v>
      </c>
      <c r="J33" t="s">
        <v>126</v>
      </c>
    </row>
    <row r="34" spans="9:10">
      <c r="I34" t="s">
        <v>127</v>
      </c>
      <c r="J34" t="s">
        <v>128</v>
      </c>
    </row>
    <row r="35" spans="9:10">
      <c r="I35" t="s">
        <v>63</v>
      </c>
      <c r="J35" t="s">
        <v>129</v>
      </c>
    </row>
    <row r="36" spans="9:10">
      <c r="I36" t="s">
        <v>51</v>
      </c>
      <c r="J36" t="s">
        <v>130</v>
      </c>
    </row>
    <row r="37" spans="9:10">
      <c r="I37" t="s">
        <v>131</v>
      </c>
      <c r="J37" t="s">
        <v>132</v>
      </c>
    </row>
    <row r="38" spans="9:10">
      <c r="I38" t="s">
        <v>76</v>
      </c>
      <c r="J38" t="s">
        <v>133</v>
      </c>
    </row>
    <row r="39" spans="9:10">
      <c r="I39" t="s">
        <v>134</v>
      </c>
      <c r="J39" t="s">
        <v>135</v>
      </c>
    </row>
  </sheetData>
  <conditionalFormatting sqref="B2">
    <cfRule type="expression" dxfId="61" priority="1">
      <formula>ISNA(MATCH(B2,OFFSET(M:M,2,MATCH(B1,M1:ZZ1,0)-1,COUNTA(INDEX(M:ZZ,,MATCH(B1,M1:ZZ1,0)))-2),0))</formula>
    </cfRule>
  </conditionalFormatting>
  <conditionalFormatting sqref="B4 D4 B5 D5 B6 D6 B7 D7 B8 D8 B9 D9">
    <cfRule type="expression" dxfId="60" priority="2">
      <formula>ISNA(MATCH(B4,filter_cols,0))</formula>
    </cfRule>
  </conditionalFormatting>
  <dataValidations count="3">
    <dataValidation type="list" showInputMessage="1" showErrorMessage="1" sqref="B1" xr:uid="{00000000-0002-0000-0100-000000000000}">
      <formula1>OFFSET(1:1,0,COLUMN(M1)-1,1,COUNTA(M1:ZZ1))</formula1>
    </dataValidation>
    <dataValidation type="list" showInputMessage="1" showErrorMessage="1" sqref="B2" xr:uid="{00000000-0002-0000-0100-000001000000}">
      <formula1>OFFSET(M:M,2,MATCH(B1,M1:ZZ1,0)-1,COUNTA(INDEX(M:ZZ,,MATCH(B1,M1:ZZ1,0)))-2)</formula1>
    </dataValidation>
    <dataValidation type="list" showInputMessage="1" showErrorMessage="1" sqref="B4:B9 D4:D9" xr:uid="{00000000-0002-0000-0100-000002000000}">
      <formula1>Graphs!filter_cols</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outlinePr summaryBelow="0"/>
  </sheetPr>
  <dimension ref="A1:CI95"/>
  <sheetViews>
    <sheetView tabSelected="1" zoomScale="80" zoomScaleNormal="80" workbookViewId="0">
      <pane xSplit="2" ySplit="4" topLeftCell="AK5" activePane="bottomRight" state="frozen"/>
      <selection pane="topRight" activeCell="C1" sqref="C1"/>
      <selection pane="bottomLeft" activeCell="A5" sqref="A5"/>
      <selection pane="bottomRight" activeCell="AR48" sqref="AR48"/>
    </sheetView>
  </sheetViews>
  <sheetFormatPr baseColWidth="10" defaultColWidth="8.83203125" defaultRowHeight="15" outlineLevelRow="2"/>
  <cols>
    <col min="2" max="2" width="24.6640625" style="53" customWidth="1"/>
    <col min="4" max="5" width="10.6640625" style="53" customWidth="1"/>
    <col min="8" max="8" width="1.6640625" style="53" customWidth="1"/>
    <col min="10" max="13" width="10.6640625" style="53" customWidth="1"/>
    <col min="14" max="14" width="24.6640625" style="53" hidden="1" customWidth="1"/>
    <col min="15" max="15" width="12.6640625" style="53" customWidth="1"/>
    <col min="16" max="16" width="10.6640625" style="53" customWidth="1"/>
    <col min="19" max="22" width="12.6640625" style="53" customWidth="1"/>
    <col min="23" max="27" width="11.6640625" style="53" customWidth="1"/>
    <col min="32" max="32" width="1.6640625" style="53" customWidth="1"/>
    <col min="34" max="37" width="10.6640625" style="53" customWidth="1"/>
    <col min="38" max="38" width="24.6640625" style="53" hidden="1" customWidth="1"/>
    <col min="39" max="39" width="12.6640625" style="53" customWidth="1"/>
    <col min="40" max="40" width="10.6640625" style="53" customWidth="1"/>
    <col min="43" max="46" width="12.6640625" style="53" customWidth="1"/>
    <col min="47" max="51" width="11.6640625" style="53" customWidth="1"/>
    <col min="56" max="56" width="1.6640625" style="53" customWidth="1"/>
    <col min="61" max="61" width="1.6640625" style="53" customWidth="1"/>
    <col min="64" max="66" width="11.6640625" style="53" customWidth="1"/>
    <col min="67" max="67" width="1.6640625" style="53" customWidth="1"/>
    <col min="70" max="72" width="11.6640625" style="53" customWidth="1"/>
    <col min="73" max="73" width="1.6640625" style="53" customWidth="1"/>
    <col min="74" max="74" width="13.1640625" style="61" customWidth="1"/>
    <col min="75" max="75" width="4.5" style="61" bestFit="1" customWidth="1"/>
    <col min="76" max="76" width="15.83203125" bestFit="1" customWidth="1"/>
    <col min="77" max="78" width="3.6640625" bestFit="1" customWidth="1"/>
    <col min="79" max="79" width="4.1640625" bestFit="1" customWidth="1"/>
    <col min="80" max="81" width="7.33203125" bestFit="1" customWidth="1"/>
    <col min="82" max="82" width="3" customWidth="1"/>
    <col min="83" max="84" width="3.6640625" bestFit="1" customWidth="1"/>
    <col min="85" max="85" width="4.1640625" bestFit="1" customWidth="1"/>
    <col min="86" max="87" width="7.33203125" bestFit="1" customWidth="1"/>
  </cols>
  <sheetData>
    <row r="1" spans="1:87">
      <c r="A1" s="94" t="s">
        <v>136</v>
      </c>
      <c r="B1" s="80"/>
      <c r="C1" s="80"/>
      <c r="D1" s="80"/>
      <c r="E1" s="80"/>
      <c r="F1" s="80"/>
      <c r="G1" s="80"/>
      <c r="I1" s="79" t="str">
        <f>Summary!$C$1</f>
        <v>ALL_master+r90</v>
      </c>
      <c r="J1" s="80"/>
      <c r="K1" s="80"/>
      <c r="L1" s="80"/>
      <c r="M1" s="80"/>
      <c r="N1" s="80"/>
      <c r="O1" s="80"/>
      <c r="P1" s="80"/>
      <c r="Q1" s="80"/>
      <c r="R1" s="80"/>
      <c r="S1" s="80"/>
      <c r="T1" s="80"/>
      <c r="U1" s="80"/>
      <c r="V1" s="80"/>
      <c r="W1" s="80"/>
      <c r="X1" s="80"/>
      <c r="Y1" s="80"/>
      <c r="Z1" s="80"/>
      <c r="AA1" s="80"/>
      <c r="AB1" s="80"/>
      <c r="AC1" s="80"/>
      <c r="AD1" s="80"/>
      <c r="AE1" s="80"/>
      <c r="AG1" s="81">
        <f>Summary!$C$2</f>
        <v>0</v>
      </c>
      <c r="AH1" s="80"/>
      <c r="AI1" s="80"/>
      <c r="AJ1" s="80"/>
      <c r="AK1" s="80"/>
      <c r="AL1" s="80"/>
      <c r="AM1" s="80"/>
      <c r="AN1" s="80"/>
      <c r="AO1" s="80"/>
      <c r="AP1" s="80"/>
      <c r="AQ1" s="80"/>
      <c r="AR1" s="80"/>
      <c r="AS1" s="80"/>
      <c r="AT1" s="80"/>
      <c r="AU1" s="80"/>
      <c r="AV1" s="80"/>
      <c r="AW1" s="80"/>
      <c r="AX1" s="80"/>
      <c r="AY1" s="80"/>
      <c r="AZ1" s="80"/>
      <c r="BA1" s="80"/>
      <c r="BB1" s="80"/>
      <c r="BC1" s="80"/>
    </row>
    <row r="2" spans="1:87" ht="30" customHeight="1" thickBot="1">
      <c r="A2" s="90" t="s">
        <v>137</v>
      </c>
      <c r="B2" s="91" t="s">
        <v>138</v>
      </c>
      <c r="C2" s="90" t="s">
        <v>139</v>
      </c>
      <c r="D2" s="91" t="s">
        <v>140</v>
      </c>
      <c r="E2" s="90" t="s">
        <v>141</v>
      </c>
      <c r="F2" s="91" t="s">
        <v>142</v>
      </c>
      <c r="G2" s="90" t="s">
        <v>143</v>
      </c>
      <c r="I2" s="91" t="s">
        <v>144</v>
      </c>
      <c r="J2" s="93" t="s">
        <v>145</v>
      </c>
      <c r="K2" s="80"/>
      <c r="L2" s="80"/>
      <c r="M2" s="80"/>
      <c r="N2" s="90" t="s">
        <v>146</v>
      </c>
      <c r="O2" s="91" t="s">
        <v>147</v>
      </c>
      <c r="P2" s="90" t="s">
        <v>84</v>
      </c>
      <c r="Q2" s="91" t="s">
        <v>86</v>
      </c>
      <c r="R2" s="90" t="s">
        <v>82</v>
      </c>
      <c r="S2" s="92" t="s">
        <v>148</v>
      </c>
      <c r="T2" s="80"/>
      <c r="U2" s="80"/>
      <c r="V2" s="80"/>
      <c r="W2" s="93" t="s">
        <v>149</v>
      </c>
      <c r="X2" s="80"/>
      <c r="Y2" s="92" t="s">
        <v>150</v>
      </c>
      <c r="Z2" s="80"/>
      <c r="AA2" s="80"/>
      <c r="AB2" s="93" t="s">
        <v>151</v>
      </c>
      <c r="AC2" s="80"/>
      <c r="AD2" s="92" t="s">
        <v>152</v>
      </c>
      <c r="AE2" s="80"/>
      <c r="AG2" s="90" t="s">
        <v>144</v>
      </c>
      <c r="AH2" s="92" t="s">
        <v>145</v>
      </c>
      <c r="AI2" s="80"/>
      <c r="AJ2" s="80"/>
      <c r="AK2" s="80"/>
      <c r="AL2" s="91" t="s">
        <v>153</v>
      </c>
      <c r="AM2" s="90" t="s">
        <v>147</v>
      </c>
      <c r="AN2" s="91" t="s">
        <v>84</v>
      </c>
      <c r="AO2" s="90" t="s">
        <v>86</v>
      </c>
      <c r="AP2" s="91" t="s">
        <v>82</v>
      </c>
      <c r="AQ2" s="93" t="s">
        <v>148</v>
      </c>
      <c r="AR2" s="80"/>
      <c r="AS2" s="80"/>
      <c r="AT2" s="80"/>
      <c r="AU2" s="92" t="s">
        <v>149</v>
      </c>
      <c r="AV2" s="80"/>
      <c r="AW2" s="93" t="s">
        <v>150</v>
      </c>
      <c r="AX2" s="80"/>
      <c r="AY2" s="80"/>
      <c r="AZ2" s="92" t="s">
        <v>151</v>
      </c>
      <c r="BA2" s="80"/>
      <c r="BB2" s="93" t="s">
        <v>152</v>
      </c>
      <c r="BC2" s="80"/>
      <c r="BE2" s="91" t="s">
        <v>154</v>
      </c>
      <c r="BF2" s="90" t="s">
        <v>155</v>
      </c>
      <c r="BG2" s="91" t="s">
        <v>156</v>
      </c>
      <c r="BH2" s="90" t="s">
        <v>156</v>
      </c>
      <c r="BJ2" s="92" t="s">
        <v>5</v>
      </c>
      <c r="BK2" s="80"/>
      <c r="BL2" s="93" t="s">
        <v>6</v>
      </c>
      <c r="BM2" s="80"/>
      <c r="BN2" s="80"/>
      <c r="BP2" s="92" t="s">
        <v>7</v>
      </c>
      <c r="BQ2" s="80"/>
      <c r="BR2" s="93" t="s">
        <v>8</v>
      </c>
      <c r="BS2" s="80"/>
      <c r="BT2" s="80"/>
      <c r="BW2" s="62" t="s">
        <v>2</v>
      </c>
      <c r="BX2" s="95" t="s">
        <v>138</v>
      </c>
      <c r="BY2" s="98" t="s">
        <v>5</v>
      </c>
      <c r="BZ2" s="99"/>
      <c r="CA2" s="100" t="s">
        <v>6</v>
      </c>
      <c r="CB2" s="99"/>
      <c r="CC2" s="99"/>
      <c r="CD2" s="63"/>
      <c r="CE2" s="98" t="s">
        <v>7</v>
      </c>
      <c r="CF2" s="99"/>
      <c r="CG2" s="100" t="s">
        <v>8</v>
      </c>
      <c r="CH2" s="99"/>
      <c r="CI2" s="99"/>
    </row>
    <row r="3" spans="1:87" ht="17" thickBot="1">
      <c r="A3" s="83"/>
      <c r="B3" s="83"/>
      <c r="C3" s="83"/>
      <c r="D3" s="83"/>
      <c r="E3" s="83"/>
      <c r="F3" s="83"/>
      <c r="G3" s="83"/>
      <c r="I3" s="83"/>
      <c r="J3" s="56" t="s">
        <v>25</v>
      </c>
      <c r="K3" s="56" t="s">
        <v>23</v>
      </c>
      <c r="L3" s="56" t="s">
        <v>157</v>
      </c>
      <c r="M3" s="56" t="s">
        <v>158</v>
      </c>
      <c r="N3" s="83"/>
      <c r="O3" s="83"/>
      <c r="P3" s="83"/>
      <c r="Q3" s="83"/>
      <c r="R3" s="83"/>
      <c r="S3" s="57" t="s">
        <v>25</v>
      </c>
      <c r="T3" s="57" t="s">
        <v>157</v>
      </c>
      <c r="U3" s="57" t="s">
        <v>159</v>
      </c>
      <c r="V3" s="57" t="s">
        <v>24</v>
      </c>
      <c r="W3" s="56" t="s">
        <v>9</v>
      </c>
      <c r="X3" s="56" t="s">
        <v>10</v>
      </c>
      <c r="Y3" s="57" t="s">
        <v>11</v>
      </c>
      <c r="Z3" s="57" t="s">
        <v>12</v>
      </c>
      <c r="AA3" s="57" t="s">
        <v>13</v>
      </c>
      <c r="AB3" s="56" t="s">
        <v>160</v>
      </c>
      <c r="AC3" s="56" t="s">
        <v>161</v>
      </c>
      <c r="AD3" s="57" t="s">
        <v>160</v>
      </c>
      <c r="AE3" s="57" t="s">
        <v>161</v>
      </c>
      <c r="AG3" s="83"/>
      <c r="AH3" s="57" t="s">
        <v>25</v>
      </c>
      <c r="AI3" s="57" t="s">
        <v>23</v>
      </c>
      <c r="AJ3" s="57" t="s">
        <v>157</v>
      </c>
      <c r="AK3" s="57" t="s">
        <v>158</v>
      </c>
      <c r="AL3" s="83"/>
      <c r="AM3" s="83"/>
      <c r="AN3" s="83"/>
      <c r="AO3" s="83"/>
      <c r="AP3" s="83"/>
      <c r="AQ3" s="56" t="s">
        <v>25</v>
      </c>
      <c r="AR3" s="56" t="s">
        <v>157</v>
      </c>
      <c r="AS3" s="56" t="s">
        <v>159</v>
      </c>
      <c r="AT3" s="56" t="s">
        <v>24</v>
      </c>
      <c r="AU3" s="57" t="s">
        <v>9</v>
      </c>
      <c r="AV3" s="57" t="s">
        <v>10</v>
      </c>
      <c r="AW3" s="56" t="s">
        <v>11</v>
      </c>
      <c r="AX3" s="56" t="s">
        <v>12</v>
      </c>
      <c r="AY3" s="56" t="s">
        <v>13</v>
      </c>
      <c r="AZ3" s="57" t="s">
        <v>160</v>
      </c>
      <c r="BA3" s="57" t="s">
        <v>161</v>
      </c>
      <c r="BB3" s="56" t="s">
        <v>160</v>
      </c>
      <c r="BC3" s="56" t="s">
        <v>161</v>
      </c>
      <c r="BE3" s="83"/>
      <c r="BF3" s="83"/>
      <c r="BG3" s="83"/>
      <c r="BH3" s="83"/>
      <c r="BJ3" s="57" t="s">
        <v>9</v>
      </c>
      <c r="BK3" s="57" t="s">
        <v>10</v>
      </c>
      <c r="BL3" s="56" t="s">
        <v>11</v>
      </c>
      <c r="BM3" s="56" t="s">
        <v>12</v>
      </c>
      <c r="BN3" s="56" t="s">
        <v>13</v>
      </c>
      <c r="BP3" s="57" t="s">
        <v>9</v>
      </c>
      <c r="BQ3" s="57" t="s">
        <v>10</v>
      </c>
      <c r="BR3" s="56" t="s">
        <v>11</v>
      </c>
      <c r="BS3" s="56" t="s">
        <v>12</v>
      </c>
      <c r="BT3" s="56" t="s">
        <v>13</v>
      </c>
      <c r="BW3" s="64" t="s">
        <v>162</v>
      </c>
      <c r="BX3" s="96"/>
      <c r="BY3" s="65" t="s">
        <v>9</v>
      </c>
      <c r="BZ3" s="65" t="s">
        <v>10</v>
      </c>
      <c r="CA3" s="66" t="s">
        <v>11</v>
      </c>
      <c r="CB3" s="66" t="s">
        <v>12</v>
      </c>
      <c r="CC3" s="66" t="s">
        <v>13</v>
      </c>
      <c r="CD3" s="63"/>
      <c r="CE3" s="65" t="s">
        <v>9</v>
      </c>
      <c r="CF3" s="65" t="s">
        <v>10</v>
      </c>
      <c r="CG3" s="66" t="s">
        <v>11</v>
      </c>
      <c r="CH3" s="66" t="s">
        <v>12</v>
      </c>
      <c r="CI3" s="66" t="s">
        <v>13</v>
      </c>
    </row>
    <row r="4" spans="1:87" ht="123" hidden="1" customHeight="1">
      <c r="A4" s="8" t="s">
        <v>162</v>
      </c>
      <c r="B4" s="9" t="s">
        <v>163</v>
      </c>
      <c r="C4" s="8" t="s">
        <v>164</v>
      </c>
      <c r="D4" s="9" t="s">
        <v>165</v>
      </c>
      <c r="E4" s="8" t="s">
        <v>166</v>
      </c>
      <c r="F4" s="9" t="s">
        <v>167</v>
      </c>
      <c r="G4" s="8" t="s">
        <v>168</v>
      </c>
      <c r="I4" s="9" t="s">
        <v>169</v>
      </c>
      <c r="J4" s="8" t="s">
        <v>170</v>
      </c>
      <c r="K4" s="8" t="s">
        <v>171</v>
      </c>
      <c r="L4" s="8" t="s">
        <v>172</v>
      </c>
      <c r="M4" s="8" t="s">
        <v>173</v>
      </c>
      <c r="N4" s="8" t="s">
        <v>174</v>
      </c>
      <c r="O4" s="9" t="s">
        <v>175</v>
      </c>
      <c r="P4" s="8" t="s">
        <v>176</v>
      </c>
      <c r="Q4" s="9" t="s">
        <v>177</v>
      </c>
      <c r="R4" s="8" t="s">
        <v>178</v>
      </c>
      <c r="S4" s="9" t="s">
        <v>179</v>
      </c>
      <c r="T4" s="9" t="s">
        <v>180</v>
      </c>
      <c r="U4" s="9" t="s">
        <v>181</v>
      </c>
      <c r="V4" s="9" t="s">
        <v>182</v>
      </c>
      <c r="W4" s="8" t="s">
        <v>183</v>
      </c>
      <c r="X4" s="8" t="s">
        <v>184</v>
      </c>
      <c r="Y4" s="9" t="s">
        <v>185</v>
      </c>
      <c r="Z4" s="9" t="s">
        <v>186</v>
      </c>
      <c r="AA4" s="9" t="s">
        <v>187</v>
      </c>
      <c r="AB4" s="8" t="s">
        <v>188</v>
      </c>
      <c r="AC4" s="8" t="s">
        <v>189</v>
      </c>
      <c r="AD4" s="9" t="s">
        <v>190</v>
      </c>
      <c r="AE4" s="9" t="s">
        <v>191</v>
      </c>
      <c r="AG4" s="8" t="s">
        <v>192</v>
      </c>
      <c r="AH4" s="9" t="s">
        <v>193</v>
      </c>
      <c r="AI4" s="9" t="s">
        <v>194</v>
      </c>
      <c r="AJ4" s="9" t="s">
        <v>195</v>
      </c>
      <c r="AK4" s="9" t="s">
        <v>196</v>
      </c>
      <c r="AL4" s="9" t="s">
        <v>197</v>
      </c>
      <c r="AM4" s="8" t="s">
        <v>198</v>
      </c>
      <c r="AN4" s="9" t="s">
        <v>199</v>
      </c>
      <c r="AO4" s="8" t="s">
        <v>200</v>
      </c>
      <c r="AP4" s="9" t="s">
        <v>201</v>
      </c>
      <c r="AQ4" s="8" t="s">
        <v>202</v>
      </c>
      <c r="AR4" s="8" t="s">
        <v>203</v>
      </c>
      <c r="AS4" s="8" t="s">
        <v>204</v>
      </c>
      <c r="AT4" s="8" t="s">
        <v>205</v>
      </c>
      <c r="AU4" s="9" t="s">
        <v>206</v>
      </c>
      <c r="AV4" s="9" t="s">
        <v>207</v>
      </c>
      <c r="AW4" s="8" t="s">
        <v>208</v>
      </c>
      <c r="AX4" s="8" t="s">
        <v>209</v>
      </c>
      <c r="AY4" s="8" t="s">
        <v>210</v>
      </c>
      <c r="AZ4" s="9" t="s">
        <v>211</v>
      </c>
      <c r="BA4" s="9" t="s">
        <v>212</v>
      </c>
      <c r="BB4" s="8" t="s">
        <v>213</v>
      </c>
      <c r="BC4" s="8" t="s">
        <v>214</v>
      </c>
      <c r="BE4" s="9" t="s">
        <v>215</v>
      </c>
      <c r="BF4" s="8" t="s">
        <v>216</v>
      </c>
      <c r="BG4" s="9" t="s">
        <v>217</v>
      </c>
      <c r="BH4" s="8" t="s">
        <v>218</v>
      </c>
      <c r="BJ4" s="9" t="s">
        <v>219</v>
      </c>
      <c r="BK4" s="9" t="s">
        <v>220</v>
      </c>
      <c r="BL4" s="8" t="s">
        <v>221</v>
      </c>
      <c r="BM4" s="8" t="s">
        <v>222</v>
      </c>
      <c r="BN4" s="8" t="s">
        <v>223</v>
      </c>
      <c r="BP4" s="9" t="s">
        <v>224</v>
      </c>
      <c r="BQ4" s="9" t="s">
        <v>225</v>
      </c>
      <c r="BR4" s="8" t="s">
        <v>226</v>
      </c>
      <c r="BS4" s="8" t="s">
        <v>227</v>
      </c>
      <c r="BT4" s="8" t="s">
        <v>228</v>
      </c>
      <c r="BW4" s="67" t="s">
        <v>162</v>
      </c>
      <c r="BX4" s="68" t="s">
        <v>163</v>
      </c>
      <c r="BY4" s="63"/>
      <c r="BZ4" s="63"/>
      <c r="CA4" s="63"/>
      <c r="CB4" s="63"/>
      <c r="CC4" s="63"/>
      <c r="CD4" s="63"/>
      <c r="CE4" s="63"/>
      <c r="CF4" s="63"/>
      <c r="CG4" s="63"/>
      <c r="CH4" s="63"/>
      <c r="CI4" s="63"/>
    </row>
    <row r="5" spans="1:87">
      <c r="A5" s="54" t="s">
        <v>229</v>
      </c>
      <c r="B5" s="54" t="s">
        <v>49</v>
      </c>
      <c r="C5" s="10" t="s">
        <v>230</v>
      </c>
      <c r="D5" s="54">
        <v>238146391</v>
      </c>
      <c r="E5" s="10">
        <v>10</v>
      </c>
      <c r="F5" s="10">
        <v>32</v>
      </c>
      <c r="G5" s="10">
        <v>30</v>
      </c>
      <c r="I5" s="11">
        <f t="shared" ref="I5:I39" si="0">IF(OR(ISBLANK(S5),ISBLANK(G5)),"·",S5*G5/F5/1000000)</f>
        <v>2.1811349999999998</v>
      </c>
      <c r="J5" s="12">
        <f t="shared" ref="J5:J39" si="1">IF(ISBLANK(S5),"·",S5/D5)</f>
        <v>9.7693859236355172E-3</v>
      </c>
      <c r="K5" s="12">
        <f t="shared" ref="K5:K39" si="2">IF(N5="","·",N5/D5)</f>
        <v>6.1908475446936333E-3</v>
      </c>
      <c r="L5" s="12">
        <f t="shared" ref="L5:L39" si="3">IF(T5="","·",T5/D5)</f>
        <v>3.5272086067430685E-3</v>
      </c>
      <c r="M5" s="12">
        <f t="shared" ref="M5:M39" si="4">IF(ISBLANK(V5),"·",V5/D5)</f>
        <v>3.5785383789418835E-3</v>
      </c>
      <c r="N5" s="54">
        <f t="shared" ref="N5:N39" si="5">IF(OR(ISBLANK(T5),ISBLANK(U5)),"",T5+U5)</f>
        <v>1474328</v>
      </c>
      <c r="O5" s="12">
        <v>16</v>
      </c>
      <c r="P5" s="13">
        <v>21785839</v>
      </c>
      <c r="Q5" s="13">
        <v>680807.46875</v>
      </c>
      <c r="R5" s="13">
        <v>13493.71875</v>
      </c>
      <c r="S5" s="13">
        <v>2326544</v>
      </c>
      <c r="T5" s="13">
        <v>839992</v>
      </c>
      <c r="U5" s="13">
        <v>634336</v>
      </c>
      <c r="V5" s="13">
        <v>852216</v>
      </c>
      <c r="W5" s="13">
        <v>66.354630999999998</v>
      </c>
      <c r="X5" s="13">
        <v>68.478521999999998</v>
      </c>
      <c r="Y5" s="13">
        <v>32.104706</v>
      </c>
      <c r="Z5" s="13">
        <v>44.161034000000001</v>
      </c>
      <c r="AA5" s="13">
        <v>43.842883999999998</v>
      </c>
      <c r="AB5" s="13">
        <v>1886.66</v>
      </c>
      <c r="AC5" s="13">
        <v>982.93200000000002</v>
      </c>
      <c r="AD5" s="13">
        <v>35.375999999999998</v>
      </c>
      <c r="AE5" s="13">
        <v>15.273999999999999</v>
      </c>
      <c r="AG5" s="11">
        <f t="shared" ref="AG5:AG39" si="6">IF(OR(ISBLANK(AQ5),ISBLANK(G5)),"·",AQ5*G5/F5/1000000)</f>
        <v>2.1813674999999999</v>
      </c>
      <c r="AH5" s="12">
        <f t="shared" ref="AH5:AH39" si="7">IF(ISBLANK(AQ5),"·",AQ5/D5)</f>
        <v>9.7704272999039488E-3</v>
      </c>
      <c r="AI5" s="12">
        <f t="shared" ref="AI5:AI39" si="8">IF(AL5="","·",AL5/D5)</f>
        <v>6.1918889209620648E-3</v>
      </c>
      <c r="AJ5" s="12">
        <f t="shared" ref="AJ5:AJ39" si="9">IF(AR5="","·",AR5/D5)</f>
        <v>3.5272086067430685E-3</v>
      </c>
      <c r="AK5" s="12">
        <f t="shared" ref="AK5:AK39" si="10">IF(ISBLANK(AT5),"·",AT5/D5)</f>
        <v>3.5785383789418835E-3</v>
      </c>
      <c r="AL5" s="54">
        <f t="shared" ref="AL5:AL39" si="11">IF(OR(ISBLANK(AR5),ISBLANK(AS5)),"",AR5+AS5)</f>
        <v>1474576</v>
      </c>
      <c r="AM5" s="12">
        <v>16</v>
      </c>
      <c r="AN5" s="13">
        <v>21785839</v>
      </c>
      <c r="AO5" s="13">
        <v>680807.46875</v>
      </c>
      <c r="AP5" s="13">
        <v>13493.71875</v>
      </c>
      <c r="AQ5" s="13">
        <v>2326792</v>
      </c>
      <c r="AR5" s="13">
        <v>839992</v>
      </c>
      <c r="AS5" s="13">
        <v>634584</v>
      </c>
      <c r="AT5" s="13">
        <v>852216</v>
      </c>
      <c r="AU5" s="13">
        <v>66.354630999999998</v>
      </c>
      <c r="AV5" s="13">
        <v>68.478521999999998</v>
      </c>
      <c r="AW5" s="13">
        <v>32.104706</v>
      </c>
      <c r="AX5" s="13">
        <v>44.161034000000001</v>
      </c>
      <c r="AY5" s="13">
        <v>43.842883999999998</v>
      </c>
      <c r="AZ5" s="13"/>
      <c r="BA5" s="13"/>
      <c r="BB5" s="13"/>
      <c r="BC5" s="13"/>
      <c r="BE5" s="51">
        <f t="shared" ref="BE5:BE43" si="12">AI5/K5</f>
        <v>1.0001682122295716</v>
      </c>
      <c r="BF5" s="17">
        <f t="shared" ref="BF5:BF39" si="13">(AP5/AO5) - (R5/Q5)</f>
        <v>0</v>
      </c>
      <c r="BG5" s="17">
        <f t="shared" ref="BG5:BG39" si="14">(AL5/AQ5) - (N5/S5)</f>
        <v>3.9042042702774893E-5</v>
      </c>
      <c r="BH5" s="17">
        <f t="array" ref="BH5">AVERAGE(AL5:AL9/AQ5:AQ9) - AVERAGE(N5:N9/S5:S9)</f>
        <v>2.5312817656497621E-5</v>
      </c>
      <c r="BJ5" s="51">
        <f>IF( OR(ISBLANK(N5:N9),ISBLANK(AL5:AL9), ISBLANK(W5:W9),ISBLANK(AU5:AU9)), "·", bdRateExtend( N5:N9,W5:W9, AL5:AL9,AU5:AU9))</f>
        <v>1.1693983024474441E-4</v>
      </c>
      <c r="BK5" s="51">
        <f>IF( OR(ISBLANK(N5:N9),ISBLANK(AL5:AL9), ISBLANK(X5:X9),ISBLANK(AV5:AV9)), "·", bdRateExtend( N5:N9,X5:X9, AL5:AL9,AV5:AV9))</f>
        <v>1.1060455281564074E-4</v>
      </c>
      <c r="BL5" s="51">
        <f>IF( OR(ISBLANK(V5:V9),ISBLANK(AT5:AT9), ISBLANK(Y5:Y9),ISBLANK(AW5:AW9)), "·", bdRateExtend( V5:V9,Y5:Y9, AT5:AT9,AW5:AW9))</f>
        <v>0</v>
      </c>
      <c r="BM5" s="51">
        <f>IF( OR(ISBLANK(V5:V9),ISBLANK(AT5:AT9), ISBLANK(Z5:Z9),ISBLANK(AX5:AX9)), "·", bdRateExtend( V5:V9,Z5:Z9, AT5:AT9,AX5:AX9))</f>
        <v>0</v>
      </c>
      <c r="BN5" s="51">
        <f>IF( OR(ISBLANK(V5:V9),ISBLANK(AT5:AT9), ISBLANK(AA5:AA9),ISBLANK(AY5:AY9)), "·", bdRateExtend( V5:V9,AA5:AA9, AT5:AT9,AY5:AY9))</f>
        <v>0</v>
      </c>
      <c r="BP5" s="51">
        <f>IF( OR(ISBLANK(S5:S9),ISBLANK(AQ5:AQ9), ISBLANK(W5:W9),ISBLANK(AU5:AU9)), "·", bdRateExtend( S5:S9,W5:W9, AQ5:AQ9,AU5:AU9))</f>
        <v>5.4182726622276078E-5</v>
      </c>
      <c r="BQ5" s="51">
        <f>IF( OR(ISBLANK(S5:S9),ISBLANK(AQ5:AQ9), ISBLANK(X5:X9),ISBLANK(AV5:AV9)), "·", bdRateExtend( S5:S9,X5:X9, AQ5:AQ9,AV5:AV9))</f>
        <v>4.9539005593679519E-5</v>
      </c>
      <c r="BR5" s="51">
        <f>IF( OR(ISBLANK(S5:S9),ISBLANK(AQ5:AQ9), ISBLANK(Y5:Y9),ISBLANK(AW5:AW9)), "·", bdRateExtend( S5:S9,Y5:Y9, AQ5:AQ9,AW5:AW9))</f>
        <v>4.6457125504106855E-5</v>
      </c>
      <c r="BS5" s="51">
        <f>IF( OR(ISBLANK(S5:S9),ISBLANK(AQ5:AQ9), ISBLANK(Z5:Z9),ISBLANK(AX5:AX9)), "·", bdRateExtend( S5:S9,Z5:Z9, AQ5:AQ9,AX5:AX9))</f>
        <v>4.6570885916308313E-5</v>
      </c>
      <c r="BT5" s="51">
        <f>IF( OR(ISBLANK(S5:S9),ISBLANK(AQ5:AQ9), ISBLANK(AA5:AA9),ISBLANK(AY5:AY9)), "·", bdRateExtend( S5:S9,AA5:AA9, AQ5:AQ9,AY5:AY9))</f>
        <v>4.6670883291355381E-5</v>
      </c>
      <c r="BW5" s="69" t="s">
        <v>229</v>
      </c>
      <c r="BX5" s="70" t="s">
        <v>49</v>
      </c>
      <c r="BY5" s="71">
        <f>BJ5</f>
        <v>1.1693983024474441E-4</v>
      </c>
      <c r="BZ5" s="71">
        <f t="shared" ref="BZ5:CC5" si="15">BK5</f>
        <v>1.1060455281564074E-4</v>
      </c>
      <c r="CA5" s="71">
        <f t="shared" si="15"/>
        <v>0</v>
      </c>
      <c r="CB5" s="71">
        <f t="shared" si="15"/>
        <v>0</v>
      </c>
      <c r="CC5" s="71">
        <f t="shared" si="15"/>
        <v>0</v>
      </c>
      <c r="CD5" s="72"/>
      <c r="CE5" s="71">
        <f>BP5</f>
        <v>5.4182726622276078E-5</v>
      </c>
      <c r="CF5" s="71">
        <f t="shared" ref="CF5" si="16">BQ5</f>
        <v>4.9539005593679519E-5</v>
      </c>
      <c r="CG5" s="71">
        <f t="shared" ref="CG5" si="17">BR5</f>
        <v>4.6457125504106855E-5</v>
      </c>
      <c r="CH5" s="71">
        <f t="shared" ref="CH5" si="18">BS5</f>
        <v>4.6570885916308313E-5</v>
      </c>
      <c r="CI5" s="71">
        <f t="shared" ref="CI5" si="19">BT5</f>
        <v>4.6670883291355381E-5</v>
      </c>
    </row>
    <row r="6" spans="1:87" outlineLevel="1">
      <c r="A6" s="18"/>
      <c r="B6" s="18" t="s">
        <v>49</v>
      </c>
      <c r="C6" s="19" t="s">
        <v>231</v>
      </c>
      <c r="D6" s="18">
        <v>238146391</v>
      </c>
      <c r="E6" s="19">
        <v>10</v>
      </c>
      <c r="F6" s="19">
        <v>32</v>
      </c>
      <c r="G6" s="19">
        <v>30</v>
      </c>
      <c r="I6" s="20">
        <f t="shared" si="0"/>
        <v>3.3969450000000001</v>
      </c>
      <c r="J6" s="21">
        <f t="shared" si="1"/>
        <v>1.5215044766309308E-2</v>
      </c>
      <c r="K6" s="21">
        <f t="shared" si="2"/>
        <v>7.5550504563388493E-3</v>
      </c>
      <c r="L6" s="21">
        <f t="shared" si="3"/>
        <v>4.8914115183882837E-3</v>
      </c>
      <c r="M6" s="21">
        <f t="shared" si="4"/>
        <v>7.6599943099704589E-3</v>
      </c>
      <c r="N6" s="18">
        <f t="shared" si="5"/>
        <v>1799208</v>
      </c>
      <c r="O6" s="21">
        <v>16</v>
      </c>
      <c r="P6" s="22">
        <v>24191962</v>
      </c>
      <c r="Q6" s="22">
        <v>755998.8125</v>
      </c>
      <c r="R6" s="22">
        <v>19085.96875</v>
      </c>
      <c r="S6" s="22">
        <v>3623408</v>
      </c>
      <c r="T6" s="22">
        <v>1164872</v>
      </c>
      <c r="U6" s="22">
        <v>634336</v>
      </c>
      <c r="V6" s="22">
        <v>1824200</v>
      </c>
      <c r="W6" s="22">
        <v>68.255983999999998</v>
      </c>
      <c r="X6" s="22">
        <v>70.438462000000001</v>
      </c>
      <c r="Y6" s="22">
        <v>34.355888</v>
      </c>
      <c r="Z6" s="22">
        <v>45.458553000000002</v>
      </c>
      <c r="AA6" s="22">
        <v>45.257409000000003</v>
      </c>
      <c r="AB6" s="22">
        <v>1975.07</v>
      </c>
      <c r="AC6" s="22">
        <v>1375.31</v>
      </c>
      <c r="AD6" s="22">
        <v>42.131999999999998</v>
      </c>
      <c r="AE6" s="22">
        <v>19.454999999999998</v>
      </c>
      <c r="AG6" s="20">
        <f t="shared" si="6"/>
        <v>3.3971775000000002</v>
      </c>
      <c r="AH6" s="21">
        <f t="shared" si="7"/>
        <v>1.521608614257774E-2</v>
      </c>
      <c r="AI6" s="21">
        <f t="shared" si="8"/>
        <v>7.5560918326072809E-3</v>
      </c>
      <c r="AJ6" s="21">
        <f t="shared" si="9"/>
        <v>4.8914115183882837E-3</v>
      </c>
      <c r="AK6" s="21">
        <f t="shared" si="10"/>
        <v>7.6599943099704589E-3</v>
      </c>
      <c r="AL6" s="18">
        <f t="shared" si="11"/>
        <v>1799456</v>
      </c>
      <c r="AM6" s="21">
        <v>16</v>
      </c>
      <c r="AN6" s="22">
        <v>24191962</v>
      </c>
      <c r="AO6" s="22">
        <v>755998.8125</v>
      </c>
      <c r="AP6" s="22">
        <v>19085.96875</v>
      </c>
      <c r="AQ6" s="22">
        <v>3623656</v>
      </c>
      <c r="AR6" s="22">
        <v>1164872</v>
      </c>
      <c r="AS6" s="22">
        <v>634584</v>
      </c>
      <c r="AT6" s="22">
        <v>1824200</v>
      </c>
      <c r="AU6" s="22">
        <v>68.255983999999998</v>
      </c>
      <c r="AV6" s="22">
        <v>70.438462000000001</v>
      </c>
      <c r="AW6" s="22">
        <v>34.355888</v>
      </c>
      <c r="AX6" s="22">
        <v>45.458553000000002</v>
      </c>
      <c r="AY6" s="22">
        <v>45.257409000000003</v>
      </c>
      <c r="AZ6" s="22"/>
      <c r="BA6" s="22"/>
      <c r="BB6" s="22"/>
      <c r="BC6" s="22"/>
      <c r="BE6" s="50">
        <f t="shared" si="12"/>
        <v>1.0001378384266855</v>
      </c>
      <c r="BF6" s="26">
        <f t="shared" si="13"/>
        <v>0</v>
      </c>
      <c r="BG6" s="26">
        <f t="shared" si="14"/>
        <v>3.4455609023487099E-5</v>
      </c>
      <c r="BH6" s="26"/>
      <c r="BJ6" s="50"/>
      <c r="BK6" s="50"/>
      <c r="BL6" s="50"/>
      <c r="BM6" s="50"/>
      <c r="BN6" s="50"/>
      <c r="BP6" s="50"/>
      <c r="BQ6" s="50"/>
      <c r="BR6" s="50"/>
      <c r="BS6" s="50"/>
      <c r="BT6" s="50"/>
      <c r="BW6" s="73"/>
      <c r="BX6" s="70" t="s">
        <v>57</v>
      </c>
      <c r="BY6" s="71">
        <f>BJ10</f>
        <v>9.8059548619078285E-5</v>
      </c>
      <c r="BZ6" s="71">
        <f t="shared" ref="BZ6:CC6" si="20">BK10</f>
        <v>8.9824780388880754E-5</v>
      </c>
      <c r="CA6" s="71">
        <f t="shared" si="20"/>
        <v>0</v>
      </c>
      <c r="CB6" s="71">
        <f t="shared" si="20"/>
        <v>0</v>
      </c>
      <c r="CC6" s="71">
        <f t="shared" si="20"/>
        <v>0</v>
      </c>
      <c r="CD6" s="72"/>
      <c r="CE6" s="71">
        <f>BP10</f>
        <v>4.0370277251788877E-5</v>
      </c>
      <c r="CF6" s="71">
        <f t="shared" ref="CF6" si="21">BQ10</f>
        <v>3.5639040069979089E-5</v>
      </c>
      <c r="CG6" s="71">
        <f t="shared" ref="CG6" si="22">BR10</f>
        <v>3.4126050193927782E-5</v>
      </c>
      <c r="CH6" s="71">
        <f t="shared" ref="CH6" si="23">BS10</f>
        <v>3.2455919484419837E-5</v>
      </c>
      <c r="CI6" s="71">
        <f t="shared" ref="CI6" si="24">BT10</f>
        <v>3.5186664449682326E-5</v>
      </c>
    </row>
    <row r="7" spans="1:87" outlineLevel="1">
      <c r="A7" s="54"/>
      <c r="B7" s="54" t="s">
        <v>49</v>
      </c>
      <c r="C7" s="10" t="s">
        <v>232</v>
      </c>
      <c r="D7" s="54">
        <v>238146391</v>
      </c>
      <c r="E7" s="10">
        <v>10</v>
      </c>
      <c r="F7" s="10">
        <v>32</v>
      </c>
      <c r="G7" s="10">
        <v>30</v>
      </c>
      <c r="I7" s="11">
        <f t="shared" si="0"/>
        <v>5.5725974999999996</v>
      </c>
      <c r="J7" s="12">
        <f t="shared" si="1"/>
        <v>2.4959874365679553E-2</v>
      </c>
      <c r="K7" s="12">
        <f t="shared" si="2"/>
        <v>9.5023568927399792E-3</v>
      </c>
      <c r="L7" s="12">
        <f t="shared" si="3"/>
        <v>6.8387179547894136E-3</v>
      </c>
      <c r="M7" s="12">
        <f t="shared" si="4"/>
        <v>1.5457517472939575E-2</v>
      </c>
      <c r="N7" s="54">
        <f t="shared" si="5"/>
        <v>2262952</v>
      </c>
      <c r="O7" s="12">
        <v>16</v>
      </c>
      <c r="P7" s="13">
        <v>24808216</v>
      </c>
      <c r="Q7" s="13">
        <v>775256.75</v>
      </c>
      <c r="R7" s="13">
        <v>20954.78125</v>
      </c>
      <c r="S7" s="13">
        <v>5944104</v>
      </c>
      <c r="T7" s="13">
        <v>1628616</v>
      </c>
      <c r="U7" s="13">
        <v>634336</v>
      </c>
      <c r="V7" s="13">
        <v>3681152</v>
      </c>
      <c r="W7" s="13">
        <v>69.683722000000003</v>
      </c>
      <c r="X7" s="13">
        <v>72.129402999999996</v>
      </c>
      <c r="Y7" s="13">
        <v>36.897531000000001</v>
      </c>
      <c r="Z7" s="13">
        <v>46.591675000000002</v>
      </c>
      <c r="AA7" s="13">
        <v>46.488269000000003</v>
      </c>
      <c r="AB7" s="13">
        <v>1762.11</v>
      </c>
      <c r="AC7" s="13">
        <v>1070.4000000000001</v>
      </c>
      <c r="AD7" s="13">
        <v>37.323999999999998</v>
      </c>
      <c r="AE7" s="13">
        <v>15.000999999999999</v>
      </c>
      <c r="AG7" s="11">
        <f t="shared" si="6"/>
        <v>5.5728299999999997</v>
      </c>
      <c r="AH7" s="12">
        <f t="shared" si="7"/>
        <v>2.4960915741947986E-2</v>
      </c>
      <c r="AI7" s="12">
        <f t="shared" si="8"/>
        <v>9.5033982690084107E-3</v>
      </c>
      <c r="AJ7" s="12">
        <f t="shared" si="9"/>
        <v>6.8387179547894136E-3</v>
      </c>
      <c r="AK7" s="12">
        <f t="shared" si="10"/>
        <v>1.5457517472939575E-2</v>
      </c>
      <c r="AL7" s="54">
        <f t="shared" si="11"/>
        <v>2263200</v>
      </c>
      <c r="AM7" s="12">
        <v>16</v>
      </c>
      <c r="AN7" s="13">
        <v>24808216</v>
      </c>
      <c r="AO7" s="13">
        <v>775256.75</v>
      </c>
      <c r="AP7" s="13">
        <v>20954.78125</v>
      </c>
      <c r="AQ7" s="13">
        <v>5944352</v>
      </c>
      <c r="AR7" s="13">
        <v>1628616</v>
      </c>
      <c r="AS7" s="13">
        <v>634584</v>
      </c>
      <c r="AT7" s="13">
        <v>3681152</v>
      </c>
      <c r="AU7" s="13">
        <v>69.683722000000003</v>
      </c>
      <c r="AV7" s="13">
        <v>72.129402999999996</v>
      </c>
      <c r="AW7" s="13">
        <v>36.897531000000001</v>
      </c>
      <c r="AX7" s="13">
        <v>46.591675000000002</v>
      </c>
      <c r="AY7" s="13">
        <v>46.488269000000003</v>
      </c>
      <c r="AZ7" s="13"/>
      <c r="BA7" s="13"/>
      <c r="BB7" s="13"/>
      <c r="BC7" s="13"/>
      <c r="BE7" s="51">
        <f t="shared" si="12"/>
        <v>1.0001095913656144</v>
      </c>
      <c r="BF7" s="17">
        <f t="shared" si="13"/>
        <v>0</v>
      </c>
      <c r="BG7" s="17">
        <f t="shared" si="14"/>
        <v>2.5837144449702976E-5</v>
      </c>
      <c r="BH7" s="17"/>
      <c r="BJ7" s="51"/>
      <c r="BK7" s="51"/>
      <c r="BL7" s="51"/>
      <c r="BM7" s="51"/>
      <c r="BN7" s="51"/>
      <c r="BP7" s="51"/>
      <c r="BQ7" s="51"/>
      <c r="BR7" s="51"/>
      <c r="BS7" s="51"/>
      <c r="BT7" s="51"/>
      <c r="BW7" s="73"/>
      <c r="BX7" s="70" t="s">
        <v>62</v>
      </c>
      <c r="BY7" s="71">
        <f>BJ15</f>
        <v>6.5559510573853785E-5</v>
      </c>
      <c r="BZ7" s="71">
        <f t="shared" ref="BZ7:CC7" si="25">BK15</f>
        <v>6.0777907446629698E-5</v>
      </c>
      <c r="CA7" s="71">
        <f t="shared" si="25"/>
        <v>0</v>
      </c>
      <c r="CB7" s="71">
        <f t="shared" si="25"/>
        <v>0</v>
      </c>
      <c r="CC7" s="71">
        <f t="shared" si="25"/>
        <v>0</v>
      </c>
      <c r="CD7" s="72"/>
      <c r="CE7" s="71">
        <f>BP15</f>
        <v>2.6804063643526277E-5</v>
      </c>
      <c r="CF7" s="71">
        <f t="shared" ref="CF7" si="26">BQ15</f>
        <v>2.3883276166092315E-5</v>
      </c>
      <c r="CG7" s="71">
        <f t="shared" ref="CG7" si="27">BR15</f>
        <v>2.2778273993440123E-5</v>
      </c>
      <c r="CH7" s="71">
        <f t="shared" ref="CH7" si="28">BS15</f>
        <v>1.9461019393984813E-5</v>
      </c>
      <c r="CI7" s="71">
        <f t="shared" ref="CI7" si="29">BT15</f>
        <v>2.0025512065036111E-5</v>
      </c>
    </row>
    <row r="8" spans="1:87" outlineLevel="1">
      <c r="A8" s="18"/>
      <c r="B8" s="18" t="s">
        <v>49</v>
      </c>
      <c r="C8" s="19" t="s">
        <v>233</v>
      </c>
      <c r="D8" s="18">
        <v>238146391</v>
      </c>
      <c r="E8" s="19">
        <v>10</v>
      </c>
      <c r="F8" s="19">
        <v>32</v>
      </c>
      <c r="G8" s="19">
        <v>30</v>
      </c>
      <c r="I8" s="20">
        <f t="shared" si="0"/>
        <v>9.4367699999999992</v>
      </c>
      <c r="J8" s="21">
        <f t="shared" si="1"/>
        <v>4.2267648725359014E-2</v>
      </c>
      <c r="K8" s="21">
        <f t="shared" si="2"/>
        <v>1.2764384071644402E-2</v>
      </c>
      <c r="L8" s="21">
        <f t="shared" si="3"/>
        <v>1.0100745133693839E-2</v>
      </c>
      <c r="M8" s="21">
        <f t="shared" si="4"/>
        <v>2.9503264653714615E-2</v>
      </c>
      <c r="N8" s="18">
        <f t="shared" si="5"/>
        <v>3039792</v>
      </c>
      <c r="O8" s="21">
        <v>16</v>
      </c>
      <c r="P8" s="22">
        <v>25797809</v>
      </c>
      <c r="Q8" s="22">
        <v>806181.53125</v>
      </c>
      <c r="R8" s="22">
        <v>24199.84375</v>
      </c>
      <c r="S8" s="22">
        <v>10065888</v>
      </c>
      <c r="T8" s="22">
        <v>2405456</v>
      </c>
      <c r="U8" s="22">
        <v>634336</v>
      </c>
      <c r="V8" s="22">
        <v>7026096</v>
      </c>
      <c r="W8" s="22">
        <v>70.836841000000007</v>
      </c>
      <c r="X8" s="22">
        <v>73.406981000000002</v>
      </c>
      <c r="Y8" s="22">
        <v>39.525759000000001</v>
      </c>
      <c r="Z8" s="22">
        <v>47.907319000000001</v>
      </c>
      <c r="AA8" s="22">
        <v>47.945813000000001</v>
      </c>
      <c r="AB8" s="22">
        <v>1687.29</v>
      </c>
      <c r="AC8" s="22">
        <v>1107.26</v>
      </c>
      <c r="AD8" s="22">
        <v>37.005000000000003</v>
      </c>
      <c r="AE8" s="22">
        <v>14.845000000000001</v>
      </c>
      <c r="AG8" s="20">
        <f t="shared" si="6"/>
        <v>9.4370025000000002</v>
      </c>
      <c r="AH8" s="21">
        <f t="shared" si="7"/>
        <v>4.2268690101627447E-2</v>
      </c>
      <c r="AI8" s="21">
        <f t="shared" si="8"/>
        <v>1.2765425447912834E-2</v>
      </c>
      <c r="AJ8" s="21">
        <f t="shared" si="9"/>
        <v>1.0100745133693839E-2</v>
      </c>
      <c r="AK8" s="21">
        <f t="shared" si="10"/>
        <v>2.9503264653714615E-2</v>
      </c>
      <c r="AL8" s="18">
        <f t="shared" si="11"/>
        <v>3040040</v>
      </c>
      <c r="AM8" s="21">
        <v>16</v>
      </c>
      <c r="AN8" s="22">
        <v>25797809</v>
      </c>
      <c r="AO8" s="22">
        <v>806181.53125</v>
      </c>
      <c r="AP8" s="22">
        <v>24199.84375</v>
      </c>
      <c r="AQ8" s="22">
        <v>10066136</v>
      </c>
      <c r="AR8" s="22">
        <v>2405456</v>
      </c>
      <c r="AS8" s="22">
        <v>634584</v>
      </c>
      <c r="AT8" s="22">
        <v>7026096</v>
      </c>
      <c r="AU8" s="22">
        <v>70.836841000000007</v>
      </c>
      <c r="AV8" s="22">
        <v>73.406981000000002</v>
      </c>
      <c r="AW8" s="22">
        <v>39.525759000000001</v>
      </c>
      <c r="AX8" s="22">
        <v>47.907319000000001</v>
      </c>
      <c r="AY8" s="22">
        <v>47.945813000000001</v>
      </c>
      <c r="AZ8" s="22"/>
      <c r="BA8" s="22"/>
      <c r="BB8" s="22"/>
      <c r="BC8" s="22"/>
      <c r="BE8" s="50">
        <f t="shared" si="12"/>
        <v>1.0000815845294677</v>
      </c>
      <c r="BF8" s="26">
        <f t="shared" si="13"/>
        <v>0</v>
      </c>
      <c r="BG8" s="26">
        <f t="shared" si="14"/>
        <v>1.7196927989904243E-5</v>
      </c>
      <c r="BH8" s="26"/>
      <c r="BJ8" s="50"/>
      <c r="BK8" s="50"/>
      <c r="BL8" s="50"/>
      <c r="BM8" s="50"/>
      <c r="BN8" s="50"/>
      <c r="BP8" s="50"/>
      <c r="BQ8" s="50"/>
      <c r="BR8" s="50"/>
      <c r="BS8" s="50"/>
      <c r="BT8" s="50"/>
      <c r="BW8" s="74"/>
      <c r="BX8" s="70" t="s">
        <v>68</v>
      </c>
      <c r="BY8" s="71">
        <f>BJ20</f>
        <v>9.2611878464543551E-5</v>
      </c>
      <c r="BZ8" s="71">
        <f t="shared" ref="BZ8:CC8" si="30">BK20</f>
        <v>8.6216581959952521E-5</v>
      </c>
      <c r="CA8" s="71">
        <f t="shared" si="30"/>
        <v>0</v>
      </c>
      <c r="CB8" s="71">
        <f t="shared" si="30"/>
        <v>0</v>
      </c>
      <c r="CC8" s="71">
        <f t="shared" si="30"/>
        <v>0</v>
      </c>
      <c r="CD8" s="72"/>
      <c r="CE8" s="71">
        <f>BP20</f>
        <v>3.982140430069947E-5</v>
      </c>
      <c r="CF8" s="71">
        <f t="shared" ref="CF8" si="31">BQ20</f>
        <v>3.5606029520574012E-5</v>
      </c>
      <c r="CG8" s="71">
        <f t="shared" ref="CG8" si="32">BR20</f>
        <v>3.8051240483394366E-5</v>
      </c>
      <c r="CH8" s="71">
        <f t="shared" ref="CH8" si="33">BS20</f>
        <v>3.6215646221249287E-5</v>
      </c>
      <c r="CI8" s="71">
        <f t="shared" ref="CI8" si="34">BT20</f>
        <v>3.9382794355447004E-5</v>
      </c>
    </row>
    <row r="9" spans="1:87" ht="16" outlineLevel="1" thickBot="1">
      <c r="A9" s="54"/>
      <c r="B9" s="27" t="s">
        <v>49</v>
      </c>
      <c r="C9" s="28" t="s">
        <v>234</v>
      </c>
      <c r="D9" s="27">
        <v>238146391</v>
      </c>
      <c r="E9" s="28">
        <v>10</v>
      </c>
      <c r="F9" s="28">
        <v>32</v>
      </c>
      <c r="G9" s="28">
        <v>30</v>
      </c>
      <c r="I9" s="29">
        <f t="shared" si="0"/>
        <v>16.814309999999999</v>
      </c>
      <c r="J9" s="30">
        <f t="shared" si="1"/>
        <v>7.5311928619569132E-2</v>
      </c>
      <c r="K9" s="30">
        <f t="shared" si="2"/>
        <v>2.0669605696439046E-2</v>
      </c>
      <c r="L9" s="30">
        <f t="shared" si="3"/>
        <v>1.5547781280464586E-2</v>
      </c>
      <c r="M9" s="30">
        <f t="shared" si="4"/>
        <v>5.4642322923130086E-2</v>
      </c>
      <c r="N9" s="27">
        <f t="shared" si="5"/>
        <v>4922392</v>
      </c>
      <c r="O9" s="30">
        <v>16</v>
      </c>
      <c r="P9" s="31">
        <v>24868389</v>
      </c>
      <c r="Q9" s="31">
        <v>777137.15625</v>
      </c>
      <c r="R9" s="31">
        <v>10635.96875</v>
      </c>
      <c r="S9" s="31">
        <v>17935264</v>
      </c>
      <c r="T9" s="31">
        <v>3702648</v>
      </c>
      <c r="U9" s="31">
        <v>1219744</v>
      </c>
      <c r="V9" s="31">
        <v>13012872</v>
      </c>
      <c r="W9" s="31">
        <v>71.945244000000002</v>
      </c>
      <c r="X9" s="31">
        <v>75.319247000000004</v>
      </c>
      <c r="Y9" s="31">
        <v>42.128563</v>
      </c>
      <c r="Z9" s="31">
        <v>49.413119000000002</v>
      </c>
      <c r="AA9" s="31">
        <v>49.557274999999997</v>
      </c>
      <c r="AB9" s="31">
        <v>1925.32</v>
      </c>
      <c r="AC9" s="31">
        <v>1649.84</v>
      </c>
      <c r="AD9" s="31">
        <v>40.942</v>
      </c>
      <c r="AE9" s="31">
        <v>22.303000000000001</v>
      </c>
      <c r="AG9" s="29">
        <f t="shared" si="6"/>
        <v>16.814542500000002</v>
      </c>
      <c r="AH9" s="30">
        <f t="shared" si="7"/>
        <v>7.5312969995837559E-2</v>
      </c>
      <c r="AI9" s="30">
        <f t="shared" si="8"/>
        <v>2.0670647072707476E-2</v>
      </c>
      <c r="AJ9" s="30">
        <f t="shared" si="9"/>
        <v>1.5547781280464586E-2</v>
      </c>
      <c r="AK9" s="30">
        <f t="shared" si="10"/>
        <v>5.4642322923130086E-2</v>
      </c>
      <c r="AL9" s="27">
        <f t="shared" si="11"/>
        <v>4922640</v>
      </c>
      <c r="AM9" s="30">
        <v>16</v>
      </c>
      <c r="AN9" s="31">
        <v>24868389</v>
      </c>
      <c r="AO9" s="31">
        <v>777137.15625</v>
      </c>
      <c r="AP9" s="31">
        <v>10635.96875</v>
      </c>
      <c r="AQ9" s="31">
        <v>17935512</v>
      </c>
      <c r="AR9" s="31">
        <v>3702648</v>
      </c>
      <c r="AS9" s="31">
        <v>1219992</v>
      </c>
      <c r="AT9" s="31">
        <v>13012872</v>
      </c>
      <c r="AU9" s="31">
        <v>71.945244000000002</v>
      </c>
      <c r="AV9" s="31">
        <v>75.319247000000004</v>
      </c>
      <c r="AW9" s="31">
        <v>42.128563</v>
      </c>
      <c r="AX9" s="31">
        <v>49.413119000000002</v>
      </c>
      <c r="AY9" s="31">
        <v>49.557274999999997</v>
      </c>
      <c r="AZ9" s="31"/>
      <c r="BA9" s="31"/>
      <c r="BB9" s="31"/>
      <c r="BC9" s="31"/>
      <c r="BE9" s="35">
        <f t="shared" si="12"/>
        <v>1.0000503820093969</v>
      </c>
      <c r="BF9" s="36">
        <f t="shared" si="13"/>
        <v>0</v>
      </c>
      <c r="BG9" s="36">
        <f t="shared" si="14"/>
        <v>1.0032364116951964E-5</v>
      </c>
      <c r="BH9" s="36"/>
      <c r="BJ9" s="35"/>
      <c r="BK9" s="35"/>
      <c r="BL9" s="35"/>
      <c r="BM9" s="35"/>
      <c r="BN9" s="35"/>
      <c r="BP9" s="35"/>
      <c r="BQ9" s="35"/>
      <c r="BR9" s="35"/>
      <c r="BS9" s="35"/>
      <c r="BT9" s="35"/>
      <c r="BW9" s="70" t="s">
        <v>235</v>
      </c>
      <c r="BX9" s="70" t="s">
        <v>71</v>
      </c>
      <c r="BY9" s="71">
        <f>BJ25</f>
        <v>1.0590213731953568E-4</v>
      </c>
      <c r="BZ9" s="71">
        <f t="shared" ref="BZ9:CC9" si="35">BK25</f>
        <v>9.7308263112383386E-5</v>
      </c>
      <c r="CA9" s="71">
        <f t="shared" si="35"/>
        <v>0</v>
      </c>
      <c r="CB9" s="71">
        <f t="shared" si="35"/>
        <v>0</v>
      </c>
      <c r="CC9" s="71">
        <f t="shared" si="35"/>
        <v>0</v>
      </c>
      <c r="CD9" s="72"/>
      <c r="CE9" s="71">
        <f>BP25</f>
        <v>2.5269985922671268E-5</v>
      </c>
      <c r="CF9" s="71">
        <f t="shared" ref="CF9" si="36">BQ25</f>
        <v>2.2040257361854998E-5</v>
      </c>
      <c r="CG9" s="71">
        <f t="shared" ref="CG9" si="37">BR25</f>
        <v>2.0953484925145816E-5</v>
      </c>
      <c r="CH9" s="71">
        <f t="shared" ref="CH9" si="38">BS25</f>
        <v>1.8436577188474246E-5</v>
      </c>
      <c r="CI9" s="71">
        <f t="shared" ref="CI9" si="39">BT25</f>
        <v>1.9422735773710897E-5</v>
      </c>
    </row>
    <row r="10" spans="1:87">
      <c r="A10" s="18"/>
      <c r="B10" s="18" t="s">
        <v>57</v>
      </c>
      <c r="C10" s="19" t="s">
        <v>230</v>
      </c>
      <c r="D10" s="18">
        <v>218121242</v>
      </c>
      <c r="E10" s="19">
        <v>10</v>
      </c>
      <c r="F10" s="19">
        <v>32</v>
      </c>
      <c r="G10" s="19">
        <v>30</v>
      </c>
      <c r="I10" s="20">
        <f t="shared" si="0"/>
        <v>3.1941525</v>
      </c>
      <c r="J10" s="21">
        <f t="shared" si="1"/>
        <v>1.562019347019856E-2</v>
      </c>
      <c r="K10" s="21">
        <f t="shared" si="2"/>
        <v>8.0991653256769925E-3</v>
      </c>
      <c r="L10" s="21">
        <f t="shared" si="3"/>
        <v>4.2808118615059046E-3</v>
      </c>
      <c r="M10" s="21">
        <f t="shared" si="4"/>
        <v>7.5210281445215682E-3</v>
      </c>
      <c r="N10" s="18">
        <f t="shared" si="5"/>
        <v>1766600</v>
      </c>
      <c r="O10" s="21">
        <v>16</v>
      </c>
      <c r="P10" s="22">
        <v>20669095</v>
      </c>
      <c r="Q10" s="22">
        <v>645909.21875</v>
      </c>
      <c r="R10" s="22">
        <v>18184.71875</v>
      </c>
      <c r="S10" s="22">
        <v>3407096</v>
      </c>
      <c r="T10" s="22">
        <v>933736</v>
      </c>
      <c r="U10" s="22">
        <v>832864</v>
      </c>
      <c r="V10" s="22">
        <v>1640496</v>
      </c>
      <c r="W10" s="22">
        <v>65.902412999999996</v>
      </c>
      <c r="X10" s="22">
        <v>67.818875000000006</v>
      </c>
      <c r="Y10" s="22">
        <v>32.385306</v>
      </c>
      <c r="Z10" s="22">
        <v>39.173828</v>
      </c>
      <c r="AA10" s="22">
        <v>32.087077999999998</v>
      </c>
      <c r="AB10" s="22">
        <v>1666.67</v>
      </c>
      <c r="AC10" s="22">
        <v>1110.42</v>
      </c>
      <c r="AD10" s="22">
        <v>31.61</v>
      </c>
      <c r="AE10" s="22">
        <v>15.022</v>
      </c>
      <c r="AG10" s="20">
        <f t="shared" si="6"/>
        <v>3.194385</v>
      </c>
      <c r="AH10" s="21">
        <f t="shared" si="7"/>
        <v>1.5621330452537951E-2</v>
      </c>
      <c r="AI10" s="21">
        <f t="shared" si="8"/>
        <v>8.1003023080163834E-3</v>
      </c>
      <c r="AJ10" s="21">
        <f t="shared" si="9"/>
        <v>4.2808118615059046E-3</v>
      </c>
      <c r="AK10" s="21">
        <f t="shared" si="10"/>
        <v>7.5210281445215682E-3</v>
      </c>
      <c r="AL10" s="18">
        <f t="shared" si="11"/>
        <v>1766848</v>
      </c>
      <c r="AM10" s="21">
        <v>16</v>
      </c>
      <c r="AN10" s="22">
        <v>20669095</v>
      </c>
      <c r="AO10" s="22">
        <v>645909.21875</v>
      </c>
      <c r="AP10" s="22">
        <v>18184.71875</v>
      </c>
      <c r="AQ10" s="22">
        <v>3407344</v>
      </c>
      <c r="AR10" s="22">
        <v>933736</v>
      </c>
      <c r="AS10" s="22">
        <v>833112</v>
      </c>
      <c r="AT10" s="22">
        <v>1640496</v>
      </c>
      <c r="AU10" s="22">
        <v>65.902412999999996</v>
      </c>
      <c r="AV10" s="22">
        <v>67.818875000000006</v>
      </c>
      <c r="AW10" s="22">
        <v>32.385306</v>
      </c>
      <c r="AX10" s="22">
        <v>39.173828</v>
      </c>
      <c r="AY10" s="22">
        <v>32.087077999999998</v>
      </c>
      <c r="AZ10" s="22"/>
      <c r="BA10" s="22"/>
      <c r="BB10" s="22"/>
      <c r="BC10" s="22"/>
      <c r="BE10" s="50">
        <f t="shared" si="12"/>
        <v>1.0001403826559492</v>
      </c>
      <c r="BF10" s="26">
        <f t="shared" si="13"/>
        <v>0</v>
      </c>
      <c r="BG10" s="26">
        <f t="shared" si="14"/>
        <v>3.5045035521985568E-5</v>
      </c>
      <c r="BH10" s="26">
        <f t="array" ref="BH10">AVERAGE(AL10:AL14/AQ10:AQ14) - AVERAGE(N10:N14/S10:S14)</f>
        <v>2.1180209418214524E-5</v>
      </c>
      <c r="BJ10" s="50">
        <f>IF( OR(ISBLANK(N10:N14),ISBLANK(AL10:AL14), ISBLANK(W10:W14),ISBLANK(AU10:AU14)), "·", bdRateExtend( N10:N14,W10:W14, AL10:AL14,AU10:AU14))</f>
        <v>9.8059548619078285E-5</v>
      </c>
      <c r="BK10" s="50">
        <f>IF( OR(ISBLANK(N10:N14),ISBLANK(AL10:AL14), ISBLANK(X10:X14),ISBLANK(AV10:AV14)), "·", bdRateExtend( N10:N14,X10:X14, AL10:AL14,AV10:AV14))</f>
        <v>8.9824780388880754E-5</v>
      </c>
      <c r="BL10" s="50">
        <f>IF( OR(ISBLANK(V10:V14),ISBLANK(AT10:AT14), ISBLANK(Y10:Y14),ISBLANK(AW10:AW14)), "·", bdRateExtend( V10:V14,Y10:Y14, AT10:AT14,AW10:AW14))</f>
        <v>0</v>
      </c>
      <c r="BM10" s="50">
        <f>IF( OR(ISBLANK(V10:V14),ISBLANK(AT10:AT14), ISBLANK(Z10:Z14),ISBLANK(AX10:AX14)), "·", bdRateExtend( V10:V14,Z10:Z14, AT10:AT14,AX10:AX14))</f>
        <v>0</v>
      </c>
      <c r="BN10" s="50">
        <f>IF( OR(ISBLANK(V10:V14),ISBLANK(AT10:AT14), ISBLANK(AA10:AA14),ISBLANK(AY10:AY14)), "·", bdRateExtend( V10:V14,AA10:AA14, AT10:AT14,AY10:AY14))</f>
        <v>0</v>
      </c>
      <c r="BP10" s="50">
        <f>IF( OR(ISBLANK(S10:S14),ISBLANK(AQ10:AQ14), ISBLANK(W10:W14),ISBLANK(AU10:AU14)), "·", bdRateExtend( S10:S14,W10:W14, AQ10:AQ14,AU10:AU14))</f>
        <v>4.0370277251788877E-5</v>
      </c>
      <c r="BQ10" s="50">
        <f>IF( OR(ISBLANK(S10:S14),ISBLANK(AQ10:AQ14), ISBLANK(X10:X14),ISBLANK(AV10:AV14)), "·", bdRateExtend( S10:S14,X10:X14, AQ10:AQ14,AV10:AV14))</f>
        <v>3.5639040069979089E-5</v>
      </c>
      <c r="BR10" s="50">
        <f>IF( OR(ISBLANK(S10:S14),ISBLANK(AQ10:AQ14), ISBLANK(Y10:Y14),ISBLANK(AW10:AW14)), "·", bdRateExtend( S10:S14,Y10:Y14, AQ10:AQ14,AW10:AW14))</f>
        <v>3.4126050193927782E-5</v>
      </c>
      <c r="BS10" s="50">
        <f>IF( OR(ISBLANK(S10:S14),ISBLANK(AQ10:AQ14), ISBLANK(Z10:Z14),ISBLANK(AX10:AX14)), "·", bdRateExtend( S10:S14,Z10:Z14, AQ10:AQ14,AX10:AX14))</f>
        <v>3.2455919484419837E-5</v>
      </c>
      <c r="BT10" s="50">
        <f>IF( OR(ISBLANK(S10:S14),ISBLANK(AQ10:AQ14), ISBLANK(AA10:AA14),ISBLANK(AY10:AY14)), "·", bdRateExtend( S10:S14,AA10:AA14, AQ10:AQ14,AY10:AY14))</f>
        <v>3.5186664449682326E-5</v>
      </c>
      <c r="BW10" s="69" t="s">
        <v>236</v>
      </c>
      <c r="BX10" s="70" t="s">
        <v>75</v>
      </c>
      <c r="BY10" s="71">
        <f>BJ30</f>
        <v>4.3755098446007779E-5</v>
      </c>
      <c r="BZ10" s="71">
        <f t="shared" ref="BZ10:CC10" si="40">BK30</f>
        <v>4.1754422573481165E-5</v>
      </c>
      <c r="CA10" s="71">
        <f t="shared" si="40"/>
        <v>0</v>
      </c>
      <c r="CB10" s="71">
        <f t="shared" si="40"/>
        <v>0</v>
      </c>
      <c r="CC10" s="71">
        <f t="shared" si="40"/>
        <v>0</v>
      </c>
      <c r="CD10" s="72"/>
      <c r="CE10" s="71">
        <f>BP30</f>
        <v>2.125250385764943E-5</v>
      </c>
      <c r="CF10" s="71">
        <f t="shared" ref="CF10" si="41">BQ30</f>
        <v>1.9840316398234137E-5</v>
      </c>
      <c r="CG10" s="71">
        <f t="shared" ref="CG10" si="42">BR30</f>
        <v>1.9804996156835841E-5</v>
      </c>
      <c r="CH10" s="71">
        <f t="shared" ref="CH10" si="43">BS30</f>
        <v>1.7258179965340403E-5</v>
      </c>
      <c r="CI10" s="71">
        <f t="shared" ref="CI10" si="44">BT30</f>
        <v>1.838394367137397E-5</v>
      </c>
    </row>
    <row r="11" spans="1:87" outlineLevel="1">
      <c r="A11" s="54"/>
      <c r="B11" s="54" t="s">
        <v>57</v>
      </c>
      <c r="C11" s="10" t="s">
        <v>231</v>
      </c>
      <c r="D11" s="54">
        <v>218121242</v>
      </c>
      <c r="E11" s="10">
        <v>10</v>
      </c>
      <c r="F11" s="10">
        <v>32</v>
      </c>
      <c r="G11" s="10">
        <v>30</v>
      </c>
      <c r="I11" s="11">
        <f t="shared" si="0"/>
        <v>4.6089074999999999</v>
      </c>
      <c r="J11" s="12">
        <f t="shared" si="1"/>
        <v>2.2538694328542289E-2</v>
      </c>
      <c r="K11" s="12">
        <f t="shared" si="2"/>
        <v>9.8536391059060625E-3</v>
      </c>
      <c r="L11" s="12">
        <f t="shared" si="3"/>
        <v>6.0352856417349764E-3</v>
      </c>
      <c r="M11" s="12">
        <f t="shared" si="4"/>
        <v>1.2685055222636226E-2</v>
      </c>
      <c r="N11" s="54">
        <f t="shared" si="5"/>
        <v>2149288</v>
      </c>
      <c r="O11" s="12">
        <v>16</v>
      </c>
      <c r="P11" s="13">
        <v>22097416</v>
      </c>
      <c r="Q11" s="13">
        <v>690544.25</v>
      </c>
      <c r="R11" s="13">
        <v>22962.71875</v>
      </c>
      <c r="S11" s="13">
        <v>4916168</v>
      </c>
      <c r="T11" s="13">
        <v>1316424</v>
      </c>
      <c r="U11" s="13">
        <v>832864</v>
      </c>
      <c r="V11" s="13">
        <v>2766880</v>
      </c>
      <c r="W11" s="13">
        <v>67.609744000000006</v>
      </c>
      <c r="X11" s="13">
        <v>69.703928000000005</v>
      </c>
      <c r="Y11" s="13">
        <v>34.243409</v>
      </c>
      <c r="Z11" s="13">
        <v>40.022652999999998</v>
      </c>
      <c r="AA11" s="13">
        <v>33.859912000000001</v>
      </c>
      <c r="AB11" s="13">
        <v>1575.78</v>
      </c>
      <c r="AC11" s="13">
        <v>1036.9000000000001</v>
      </c>
      <c r="AD11" s="13">
        <v>31.501999999999999</v>
      </c>
      <c r="AE11" s="13">
        <v>14.055999999999999</v>
      </c>
      <c r="AG11" s="11">
        <f t="shared" si="6"/>
        <v>4.60914</v>
      </c>
      <c r="AH11" s="12">
        <f t="shared" si="7"/>
        <v>2.2539831310881678E-2</v>
      </c>
      <c r="AI11" s="12">
        <f t="shared" si="8"/>
        <v>9.8547760882454535E-3</v>
      </c>
      <c r="AJ11" s="12">
        <f t="shared" si="9"/>
        <v>6.0352856417349764E-3</v>
      </c>
      <c r="AK11" s="12">
        <f t="shared" si="10"/>
        <v>1.2685055222636226E-2</v>
      </c>
      <c r="AL11" s="54">
        <f t="shared" si="11"/>
        <v>2149536</v>
      </c>
      <c r="AM11" s="12">
        <v>16</v>
      </c>
      <c r="AN11" s="13">
        <v>22097416</v>
      </c>
      <c r="AO11" s="13">
        <v>690544.25</v>
      </c>
      <c r="AP11" s="13">
        <v>22962.71875</v>
      </c>
      <c r="AQ11" s="13">
        <v>4916416</v>
      </c>
      <c r="AR11" s="13">
        <v>1316424</v>
      </c>
      <c r="AS11" s="13">
        <v>833112</v>
      </c>
      <c r="AT11" s="13">
        <v>2766880</v>
      </c>
      <c r="AU11" s="13">
        <v>67.609744000000006</v>
      </c>
      <c r="AV11" s="13">
        <v>69.703928000000005</v>
      </c>
      <c r="AW11" s="13">
        <v>34.243409</v>
      </c>
      <c r="AX11" s="13">
        <v>40.022652999999998</v>
      </c>
      <c r="AY11" s="13">
        <v>33.859912000000001</v>
      </c>
      <c r="AZ11" s="13"/>
      <c r="BA11" s="13"/>
      <c r="BB11" s="13"/>
      <c r="BC11" s="13"/>
      <c r="BE11" s="51">
        <f t="shared" si="12"/>
        <v>1.0001153870491064</v>
      </c>
      <c r="BF11" s="17">
        <f t="shared" si="13"/>
        <v>0</v>
      </c>
      <c r="BG11" s="17">
        <f t="shared" si="14"/>
        <v>2.8390083247065157E-5</v>
      </c>
      <c r="BH11" s="17"/>
      <c r="BJ11" s="51"/>
      <c r="BK11" s="51"/>
      <c r="BL11" s="51"/>
      <c r="BM11" s="51"/>
      <c r="BN11" s="51"/>
      <c r="BP11" s="51"/>
      <c r="BQ11" s="51"/>
      <c r="BR11" s="51"/>
      <c r="BS11" s="51"/>
      <c r="BT11" s="51"/>
      <c r="BW11" s="74"/>
      <c r="BX11" s="70" t="s">
        <v>80</v>
      </c>
      <c r="BY11" s="71">
        <f>BJ35</f>
        <v>4.2666770038835011E-5</v>
      </c>
      <c r="BZ11" s="71">
        <f t="shared" ref="BZ11:CC11" si="45">BK35</f>
        <v>4.0621153052589065E-5</v>
      </c>
      <c r="CA11" s="71">
        <f t="shared" si="45"/>
        <v>0</v>
      </c>
      <c r="CB11" s="71">
        <f t="shared" si="45"/>
        <v>0</v>
      </c>
      <c r="CC11" s="71">
        <f t="shared" si="45"/>
        <v>0</v>
      </c>
      <c r="CD11" s="72"/>
      <c r="CE11" s="71">
        <f>BP35</f>
        <v>2.0123539766325749E-5</v>
      </c>
      <c r="CF11" s="71">
        <f t="shared" ref="CF11" si="46">BQ35</f>
        <v>1.873533595952992E-5</v>
      </c>
      <c r="CG11" s="71">
        <f t="shared" ref="CG11" si="47">BR35</f>
        <v>1.8764921272618196E-5</v>
      </c>
      <c r="CH11" s="71">
        <f t="shared" ref="CH11" si="48">BS35</f>
        <v>1.6433306369467715E-5</v>
      </c>
      <c r="CI11" s="71">
        <f t="shared" ref="CI11" si="49">BT35</f>
        <v>1.8203737770283723E-5</v>
      </c>
    </row>
    <row r="12" spans="1:87" outlineLevel="1">
      <c r="A12" s="18"/>
      <c r="B12" s="18" t="s">
        <v>57</v>
      </c>
      <c r="C12" s="19" t="s">
        <v>232</v>
      </c>
      <c r="D12" s="18">
        <v>218121242</v>
      </c>
      <c r="E12" s="19">
        <v>10</v>
      </c>
      <c r="F12" s="19">
        <v>32</v>
      </c>
      <c r="G12" s="19">
        <v>30</v>
      </c>
      <c r="I12" s="20">
        <f t="shared" si="0"/>
        <v>7.1275874999999997</v>
      </c>
      <c r="J12" s="21">
        <f t="shared" si="1"/>
        <v>3.4855660688013136E-2</v>
      </c>
      <c r="K12" s="21">
        <f t="shared" si="2"/>
        <v>1.2528995227342415E-2</v>
      </c>
      <c r="L12" s="21">
        <f t="shared" si="3"/>
        <v>8.7106417631713281E-3</v>
      </c>
      <c r="M12" s="21">
        <f t="shared" si="4"/>
        <v>2.2326665460670723E-2</v>
      </c>
      <c r="N12" s="18">
        <f t="shared" si="5"/>
        <v>2732840</v>
      </c>
      <c r="O12" s="21">
        <v>16</v>
      </c>
      <c r="P12" s="22">
        <v>22514733</v>
      </c>
      <c r="Q12" s="22">
        <v>703585.40625</v>
      </c>
      <c r="R12" s="22">
        <v>24682.8125</v>
      </c>
      <c r="S12" s="22">
        <v>7602760</v>
      </c>
      <c r="T12" s="22">
        <v>1899976</v>
      </c>
      <c r="U12" s="22">
        <v>832864</v>
      </c>
      <c r="V12" s="22">
        <v>4869920</v>
      </c>
      <c r="W12" s="22">
        <v>68.954471999999996</v>
      </c>
      <c r="X12" s="22">
        <v>71.328387000000006</v>
      </c>
      <c r="Y12" s="22">
        <v>36.345365999999999</v>
      </c>
      <c r="Z12" s="22">
        <v>40.923341000000001</v>
      </c>
      <c r="AA12" s="22">
        <v>35.640546999999998</v>
      </c>
      <c r="AB12" s="22">
        <v>1822.94</v>
      </c>
      <c r="AC12" s="22">
        <v>1163.8699999999999</v>
      </c>
      <c r="AD12" s="22">
        <v>34.018000000000001</v>
      </c>
      <c r="AE12" s="22">
        <v>15.282999999999999</v>
      </c>
      <c r="AG12" s="20">
        <f t="shared" si="6"/>
        <v>7.1278199999999998</v>
      </c>
      <c r="AH12" s="21">
        <f t="shared" si="7"/>
        <v>3.4856797670352525E-2</v>
      </c>
      <c r="AI12" s="21">
        <f t="shared" si="8"/>
        <v>1.2530132209681806E-2</v>
      </c>
      <c r="AJ12" s="21">
        <f t="shared" si="9"/>
        <v>8.7106417631713281E-3</v>
      </c>
      <c r="AK12" s="21">
        <f t="shared" si="10"/>
        <v>2.2326665460670723E-2</v>
      </c>
      <c r="AL12" s="18">
        <f t="shared" si="11"/>
        <v>2733088</v>
      </c>
      <c r="AM12" s="21">
        <v>16</v>
      </c>
      <c r="AN12" s="22">
        <v>22514733</v>
      </c>
      <c r="AO12" s="22">
        <v>703585.40625</v>
      </c>
      <c r="AP12" s="22">
        <v>24682.8125</v>
      </c>
      <c r="AQ12" s="22">
        <v>7603008</v>
      </c>
      <c r="AR12" s="22">
        <v>1899976</v>
      </c>
      <c r="AS12" s="22">
        <v>833112</v>
      </c>
      <c r="AT12" s="22">
        <v>4869920</v>
      </c>
      <c r="AU12" s="22">
        <v>68.954471999999996</v>
      </c>
      <c r="AV12" s="22">
        <v>71.328387000000006</v>
      </c>
      <c r="AW12" s="22">
        <v>36.345365999999999</v>
      </c>
      <c r="AX12" s="22">
        <v>40.923341000000001</v>
      </c>
      <c r="AY12" s="22">
        <v>35.640546999999998</v>
      </c>
      <c r="AZ12" s="22"/>
      <c r="BA12" s="22"/>
      <c r="BB12" s="22"/>
      <c r="BC12" s="22"/>
      <c r="BE12" s="50">
        <f t="shared" si="12"/>
        <v>1.00009074808624</v>
      </c>
      <c r="BF12" s="26">
        <f t="shared" si="13"/>
        <v>0</v>
      </c>
      <c r="BG12" s="26">
        <f t="shared" si="14"/>
        <v>2.0893768535090729E-5</v>
      </c>
      <c r="BH12" s="26"/>
      <c r="BJ12" s="50"/>
      <c r="BK12" s="50"/>
      <c r="BL12" s="50"/>
      <c r="BM12" s="50"/>
      <c r="BN12" s="50"/>
      <c r="BP12" s="50"/>
      <c r="BQ12" s="50"/>
      <c r="BR12" s="50"/>
      <c r="BS12" s="50"/>
      <c r="BT12" s="50"/>
      <c r="BW12" s="72"/>
      <c r="BX12" s="75" t="s">
        <v>14</v>
      </c>
      <c r="BY12" s="71">
        <f>BJ40</f>
        <v>9.3292691975555009E-5</v>
      </c>
      <c r="BZ12" s="71">
        <f t="shared" ref="BZ12:CC15" si="50">BK40</f>
        <v>8.6855955652775929E-5</v>
      </c>
      <c r="CA12" s="71">
        <f t="shared" si="50"/>
        <v>0</v>
      </c>
      <c r="CB12" s="71">
        <f t="shared" si="50"/>
        <v>0</v>
      </c>
      <c r="CC12" s="71">
        <f t="shared" si="50"/>
        <v>0</v>
      </c>
      <c r="CD12" s="72"/>
      <c r="CE12" s="71">
        <f>BP40</f>
        <v>4.0294617954572676E-5</v>
      </c>
      <c r="CF12" s="71">
        <f t="shared" ref="CF12:CI15" si="51">BQ40</f>
        <v>3.6166837837581234E-5</v>
      </c>
      <c r="CG12" s="71">
        <f t="shared" si="51"/>
        <v>3.5353172543717282E-5</v>
      </c>
      <c r="CH12" s="71">
        <f t="shared" si="51"/>
        <v>3.3675867753990563E-5</v>
      </c>
      <c r="CI12" s="71">
        <f t="shared" si="51"/>
        <v>3.5316463540380205E-5</v>
      </c>
    </row>
    <row r="13" spans="1:87" outlineLevel="1">
      <c r="A13" s="54"/>
      <c r="B13" s="54" t="s">
        <v>57</v>
      </c>
      <c r="C13" s="10" t="s">
        <v>233</v>
      </c>
      <c r="D13" s="54">
        <v>218121242</v>
      </c>
      <c r="E13" s="10">
        <v>10</v>
      </c>
      <c r="F13" s="10">
        <v>32</v>
      </c>
      <c r="G13" s="10">
        <v>30</v>
      </c>
      <c r="I13" s="11">
        <f t="shared" si="0"/>
        <v>12.011872500000001</v>
      </c>
      <c r="J13" s="12">
        <f t="shared" si="1"/>
        <v>5.8741018905439757E-2</v>
      </c>
      <c r="K13" s="12">
        <f t="shared" si="2"/>
        <v>1.7213179081384471E-2</v>
      </c>
      <c r="L13" s="12">
        <f t="shared" si="3"/>
        <v>1.3394825617213384E-2</v>
      </c>
      <c r="M13" s="12">
        <f t="shared" si="4"/>
        <v>4.1527839824055286E-2</v>
      </c>
      <c r="N13" s="54">
        <f t="shared" si="5"/>
        <v>3754560</v>
      </c>
      <c r="O13" s="12">
        <v>16</v>
      </c>
      <c r="P13" s="13">
        <v>23299291</v>
      </c>
      <c r="Q13" s="13">
        <v>728102.84375</v>
      </c>
      <c r="R13" s="13">
        <v>28059</v>
      </c>
      <c r="S13" s="13">
        <v>12812664</v>
      </c>
      <c r="T13" s="13">
        <v>2921696</v>
      </c>
      <c r="U13" s="13">
        <v>832864</v>
      </c>
      <c r="V13" s="13">
        <v>9058104</v>
      </c>
      <c r="W13" s="13">
        <v>70.067155999999997</v>
      </c>
      <c r="X13" s="13">
        <v>72.583797000000004</v>
      </c>
      <c r="Y13" s="13">
        <v>38.663621999999997</v>
      </c>
      <c r="Z13" s="13">
        <v>42.107778000000003</v>
      </c>
      <c r="AA13" s="13">
        <v>37.690230999999997</v>
      </c>
      <c r="AB13" s="13">
        <v>1949.26</v>
      </c>
      <c r="AC13" s="13">
        <v>1681</v>
      </c>
      <c r="AD13" s="13">
        <v>42.097999999999999</v>
      </c>
      <c r="AE13" s="13">
        <v>22.396999999999998</v>
      </c>
      <c r="AG13" s="11">
        <f t="shared" si="6"/>
        <v>12.012105</v>
      </c>
      <c r="AH13" s="12">
        <f t="shared" si="7"/>
        <v>5.8742155887779146E-2</v>
      </c>
      <c r="AI13" s="12">
        <f t="shared" si="8"/>
        <v>1.7214316063723863E-2</v>
      </c>
      <c r="AJ13" s="12">
        <f t="shared" si="9"/>
        <v>1.3394825617213384E-2</v>
      </c>
      <c r="AK13" s="12">
        <f t="shared" si="10"/>
        <v>4.1527839824055286E-2</v>
      </c>
      <c r="AL13" s="54">
        <f t="shared" si="11"/>
        <v>3754808</v>
      </c>
      <c r="AM13" s="12">
        <v>16</v>
      </c>
      <c r="AN13" s="13">
        <v>23299291</v>
      </c>
      <c r="AO13" s="13">
        <v>728102.84375</v>
      </c>
      <c r="AP13" s="13">
        <v>28059</v>
      </c>
      <c r="AQ13" s="13">
        <v>12812912</v>
      </c>
      <c r="AR13" s="13">
        <v>2921696</v>
      </c>
      <c r="AS13" s="13">
        <v>833112</v>
      </c>
      <c r="AT13" s="13">
        <v>9058104</v>
      </c>
      <c r="AU13" s="13">
        <v>70.067155999999997</v>
      </c>
      <c r="AV13" s="13">
        <v>72.583797000000004</v>
      </c>
      <c r="AW13" s="13">
        <v>38.663621999999997</v>
      </c>
      <c r="AX13" s="13">
        <v>42.107778000000003</v>
      </c>
      <c r="AY13" s="13">
        <v>37.690230999999997</v>
      </c>
      <c r="AZ13" s="13"/>
      <c r="BA13" s="13"/>
      <c r="BB13" s="13"/>
      <c r="BC13" s="13"/>
      <c r="BE13" s="51">
        <f t="shared" si="12"/>
        <v>1.0000660530128698</v>
      </c>
      <c r="BF13" s="17">
        <f t="shared" si="13"/>
        <v>0</v>
      </c>
      <c r="BG13" s="17">
        <f t="shared" si="14"/>
        <v>1.3683641981732109E-5</v>
      </c>
      <c r="BH13" s="17"/>
      <c r="BJ13" s="51"/>
      <c r="BK13" s="51"/>
      <c r="BL13" s="51"/>
      <c r="BM13" s="51"/>
      <c r="BN13" s="51"/>
      <c r="BP13" s="51"/>
      <c r="BQ13" s="51"/>
      <c r="BR13" s="51"/>
      <c r="BS13" s="51"/>
      <c r="BT13" s="51"/>
      <c r="BW13" s="72"/>
      <c r="BX13" s="75" t="s">
        <v>15</v>
      </c>
      <c r="BY13" s="71">
        <f t="shared" ref="BY13:BY15" si="52">BJ41</f>
        <v>1.0590213731953568E-4</v>
      </c>
      <c r="BZ13" s="71">
        <f t="shared" si="50"/>
        <v>9.7308263112383386E-5</v>
      </c>
      <c r="CA13" s="71">
        <f t="shared" si="50"/>
        <v>0</v>
      </c>
      <c r="CB13" s="71">
        <f t="shared" si="50"/>
        <v>0</v>
      </c>
      <c r="CC13" s="71">
        <f t="shared" si="50"/>
        <v>0</v>
      </c>
      <c r="CD13" s="72"/>
      <c r="CE13" s="71">
        <f t="shared" ref="CE13:CE15" si="53">BP41</f>
        <v>2.5269985922671268E-5</v>
      </c>
      <c r="CF13" s="71">
        <f t="shared" si="51"/>
        <v>2.2040257361854998E-5</v>
      </c>
      <c r="CG13" s="71">
        <f t="shared" si="51"/>
        <v>2.0953484925145816E-5</v>
      </c>
      <c r="CH13" s="71">
        <f t="shared" si="51"/>
        <v>1.8436577188474246E-5</v>
      </c>
      <c r="CI13" s="71">
        <f t="shared" si="51"/>
        <v>1.9422735773710897E-5</v>
      </c>
    </row>
    <row r="14" spans="1:87" ht="16" outlineLevel="1" thickBot="1">
      <c r="A14" s="18"/>
      <c r="B14" s="37" t="s">
        <v>57</v>
      </c>
      <c r="C14" s="38" t="s">
        <v>234</v>
      </c>
      <c r="D14" s="37">
        <v>218121242</v>
      </c>
      <c r="E14" s="38">
        <v>10</v>
      </c>
      <c r="F14" s="38">
        <v>32</v>
      </c>
      <c r="G14" s="38">
        <v>30</v>
      </c>
      <c r="I14" s="39">
        <f t="shared" si="0"/>
        <v>21.566767500000001</v>
      </c>
      <c r="J14" s="40">
        <f t="shared" si="1"/>
        <v>0.10546681189354314</v>
      </c>
      <c r="K14" s="40">
        <f t="shared" si="2"/>
        <v>2.8291568227912438E-2</v>
      </c>
      <c r="L14" s="40">
        <f t="shared" si="3"/>
        <v>2.115271285682483E-2</v>
      </c>
      <c r="M14" s="40">
        <f t="shared" si="4"/>
        <v>7.7175243665630694E-2</v>
      </c>
      <c r="N14" s="37">
        <f t="shared" si="5"/>
        <v>6170992</v>
      </c>
      <c r="O14" s="40">
        <v>16</v>
      </c>
      <c r="P14" s="41">
        <v>22125335</v>
      </c>
      <c r="Q14" s="41">
        <v>691416.71875</v>
      </c>
      <c r="R14" s="41">
        <v>13294.1875</v>
      </c>
      <c r="S14" s="41">
        <v>23004552</v>
      </c>
      <c r="T14" s="41">
        <v>4613856</v>
      </c>
      <c r="U14" s="41">
        <v>1557136</v>
      </c>
      <c r="V14" s="41">
        <v>16833560</v>
      </c>
      <c r="W14" s="41">
        <v>70.921865999999994</v>
      </c>
      <c r="X14" s="41">
        <v>74.681325000000001</v>
      </c>
      <c r="Y14" s="41">
        <v>40.955947000000002</v>
      </c>
      <c r="Z14" s="41">
        <v>43.424833999999997</v>
      </c>
      <c r="AA14" s="41">
        <v>39.501480999999998</v>
      </c>
      <c r="AB14" s="41">
        <v>1634.97</v>
      </c>
      <c r="AC14" s="41">
        <v>1356.92</v>
      </c>
      <c r="AD14" s="41">
        <v>32.722000000000001</v>
      </c>
      <c r="AE14" s="41">
        <v>18.507000000000001</v>
      </c>
      <c r="AG14" s="39">
        <f t="shared" si="6"/>
        <v>21.567</v>
      </c>
      <c r="AH14" s="40">
        <f t="shared" si="7"/>
        <v>0.10546794887588253</v>
      </c>
      <c r="AI14" s="40">
        <f t="shared" si="8"/>
        <v>2.8292705210251828E-2</v>
      </c>
      <c r="AJ14" s="40">
        <f t="shared" si="9"/>
        <v>2.115271285682483E-2</v>
      </c>
      <c r="AK14" s="40">
        <f t="shared" si="10"/>
        <v>7.7175243665630694E-2</v>
      </c>
      <c r="AL14" s="37">
        <f t="shared" si="11"/>
        <v>6171240</v>
      </c>
      <c r="AM14" s="40">
        <v>16</v>
      </c>
      <c r="AN14" s="41">
        <v>22125335</v>
      </c>
      <c r="AO14" s="41">
        <v>691416.71875</v>
      </c>
      <c r="AP14" s="41">
        <v>13294.1875</v>
      </c>
      <c r="AQ14" s="41">
        <v>23004800</v>
      </c>
      <c r="AR14" s="41">
        <v>4613856</v>
      </c>
      <c r="AS14" s="41">
        <v>1557384</v>
      </c>
      <c r="AT14" s="41">
        <v>16833560</v>
      </c>
      <c r="AU14" s="41">
        <v>70.921865999999994</v>
      </c>
      <c r="AV14" s="41">
        <v>74.681325000000001</v>
      </c>
      <c r="AW14" s="41">
        <v>40.955947000000002</v>
      </c>
      <c r="AX14" s="41">
        <v>43.424833999999997</v>
      </c>
      <c r="AY14" s="41">
        <v>39.501480999999998</v>
      </c>
      <c r="AZ14" s="41"/>
      <c r="BA14" s="41"/>
      <c r="BB14" s="41"/>
      <c r="BC14" s="41"/>
      <c r="BE14" s="45">
        <f t="shared" si="12"/>
        <v>1.000040188028116</v>
      </c>
      <c r="BF14" s="46">
        <f t="shared" si="13"/>
        <v>0</v>
      </c>
      <c r="BG14" s="46">
        <f t="shared" si="14"/>
        <v>7.8885178053100802E-6</v>
      </c>
      <c r="BH14" s="46"/>
      <c r="BJ14" s="45"/>
      <c r="BK14" s="45"/>
      <c r="BL14" s="45"/>
      <c r="BM14" s="45"/>
      <c r="BN14" s="45"/>
      <c r="BP14" s="45"/>
      <c r="BQ14" s="45"/>
      <c r="BR14" s="45"/>
      <c r="BS14" s="45"/>
      <c r="BT14" s="45"/>
      <c r="BW14" s="72"/>
      <c r="BX14" s="75" t="s">
        <v>16</v>
      </c>
      <c r="BY14" s="71">
        <f t="shared" si="52"/>
        <v>4.3210934242421395E-5</v>
      </c>
      <c r="BZ14" s="71">
        <f t="shared" si="50"/>
        <v>4.1187787813035115E-5</v>
      </c>
      <c r="CA14" s="71">
        <f t="shared" si="50"/>
        <v>0</v>
      </c>
      <c r="CB14" s="71">
        <f t="shared" si="50"/>
        <v>0</v>
      </c>
      <c r="CC14" s="71">
        <f t="shared" si="50"/>
        <v>0</v>
      </c>
      <c r="CD14" s="72"/>
      <c r="CE14" s="71">
        <f t="shared" si="53"/>
        <v>2.0688021811987589E-5</v>
      </c>
      <c r="CF14" s="71">
        <f t="shared" si="51"/>
        <v>1.9287826178882028E-5</v>
      </c>
      <c r="CG14" s="71">
        <f t="shared" si="51"/>
        <v>1.9284958714727019E-5</v>
      </c>
      <c r="CH14" s="71">
        <f t="shared" si="51"/>
        <v>1.6845743167404059E-5</v>
      </c>
      <c r="CI14" s="71">
        <f t="shared" si="51"/>
        <v>1.8293840720828847E-5</v>
      </c>
    </row>
    <row r="15" spans="1:87">
      <c r="A15" s="54"/>
      <c r="B15" s="54" t="s">
        <v>62</v>
      </c>
      <c r="C15" s="10" t="s">
        <v>230</v>
      </c>
      <c r="D15" s="54">
        <v>322589704</v>
      </c>
      <c r="E15" s="10">
        <v>10</v>
      </c>
      <c r="F15" s="10">
        <v>32</v>
      </c>
      <c r="G15" s="10">
        <v>30</v>
      </c>
      <c r="I15" s="11">
        <f t="shared" si="0"/>
        <v>4.4133449999999996</v>
      </c>
      <c r="J15" s="12">
        <f t="shared" si="1"/>
        <v>1.459305099210482E-2</v>
      </c>
      <c r="K15" s="12">
        <f t="shared" si="2"/>
        <v>8.271956503608683E-3</v>
      </c>
      <c r="L15" s="12">
        <f t="shared" si="3"/>
        <v>4.3923534521734149E-3</v>
      </c>
      <c r="M15" s="12">
        <f t="shared" si="4"/>
        <v>6.3210944884961361E-3</v>
      </c>
      <c r="N15" s="54">
        <f t="shared" si="5"/>
        <v>2668448</v>
      </c>
      <c r="O15" s="12">
        <v>16</v>
      </c>
      <c r="P15" s="13">
        <v>31086837</v>
      </c>
      <c r="Q15" s="13">
        <v>971463.65625</v>
      </c>
      <c r="R15" s="13">
        <v>27944.34375</v>
      </c>
      <c r="S15" s="13">
        <v>4707568</v>
      </c>
      <c r="T15" s="13">
        <v>1416928</v>
      </c>
      <c r="U15" s="13">
        <v>1251520</v>
      </c>
      <c r="V15" s="13">
        <v>2039120</v>
      </c>
      <c r="W15" s="13">
        <v>65.923106000000004</v>
      </c>
      <c r="X15" s="13">
        <v>67.661797000000007</v>
      </c>
      <c r="Y15" s="13">
        <v>29.414843999999999</v>
      </c>
      <c r="Z15" s="13">
        <v>43.126981000000001</v>
      </c>
      <c r="AA15" s="13">
        <v>43.263272000000001</v>
      </c>
      <c r="AB15" s="13">
        <v>2650.38</v>
      </c>
      <c r="AC15" s="13">
        <v>998.02499999999998</v>
      </c>
      <c r="AD15" s="13">
        <v>45.957000000000001</v>
      </c>
      <c r="AE15" s="13">
        <v>13.891</v>
      </c>
      <c r="AG15" s="11">
        <f t="shared" si="6"/>
        <v>4.4135774999999997</v>
      </c>
      <c r="AH15" s="12">
        <f t="shared" si="7"/>
        <v>1.4593819770515676E-2</v>
      </c>
      <c r="AI15" s="12">
        <f t="shared" si="8"/>
        <v>8.2727252820195395E-3</v>
      </c>
      <c r="AJ15" s="12">
        <f t="shared" si="9"/>
        <v>4.3923534521734149E-3</v>
      </c>
      <c r="AK15" s="12">
        <f t="shared" si="10"/>
        <v>6.3210944884961361E-3</v>
      </c>
      <c r="AL15" s="54">
        <f t="shared" si="11"/>
        <v>2668696</v>
      </c>
      <c r="AM15" s="12">
        <v>16</v>
      </c>
      <c r="AN15" s="13">
        <v>31086837</v>
      </c>
      <c r="AO15" s="13">
        <v>971463.65625</v>
      </c>
      <c r="AP15" s="13">
        <v>27944.34375</v>
      </c>
      <c r="AQ15" s="13">
        <v>4707816</v>
      </c>
      <c r="AR15" s="13">
        <v>1416928</v>
      </c>
      <c r="AS15" s="13">
        <v>1251768</v>
      </c>
      <c r="AT15" s="13">
        <v>2039120</v>
      </c>
      <c r="AU15" s="13">
        <v>65.923106000000004</v>
      </c>
      <c r="AV15" s="13">
        <v>67.661797000000007</v>
      </c>
      <c r="AW15" s="13">
        <v>29.414843999999999</v>
      </c>
      <c r="AX15" s="13">
        <v>43.126981000000001</v>
      </c>
      <c r="AY15" s="13">
        <v>43.263272000000001</v>
      </c>
      <c r="AZ15" s="13"/>
      <c r="BA15" s="13"/>
      <c r="BB15" s="13"/>
      <c r="BC15" s="13"/>
      <c r="BE15" s="51">
        <f t="shared" si="12"/>
        <v>1.000092937917471</v>
      </c>
      <c r="BF15" s="17">
        <f t="shared" si="13"/>
        <v>0</v>
      </c>
      <c r="BG15" s="17">
        <f t="shared" si="14"/>
        <v>2.2818042385130965E-5</v>
      </c>
      <c r="BH15" s="17">
        <f t="array" ref="BH15">AVERAGE(AL15:AL19/AQ15:AQ19) - AVERAGE(N15:N19/S15:S19)</f>
        <v>1.3670255655406915E-5</v>
      </c>
      <c r="BJ15" s="51">
        <f>IF( OR(ISBLANK(N15:N19),ISBLANK(AL15:AL19), ISBLANK(W15:W19),ISBLANK(AU15:AU19)), "·", bdRateExtend( N15:N19,W15:W19, AL15:AL19,AU15:AU19))</f>
        <v>6.5559510573853785E-5</v>
      </c>
      <c r="BK15" s="51">
        <f>IF( OR(ISBLANK(N15:N19),ISBLANK(AL15:AL19), ISBLANK(X15:X19),ISBLANK(AV15:AV19)), "·", bdRateExtend( N15:N19,X15:X19, AL15:AL19,AV15:AV19))</f>
        <v>6.0777907446629698E-5</v>
      </c>
      <c r="BL15" s="51">
        <f>IF( OR(ISBLANK(V15:V19),ISBLANK(AT15:AT19), ISBLANK(Y15:Y19),ISBLANK(AW15:AW19)), "·", bdRateExtend( V15:V19,Y15:Y19, AT15:AT19,AW15:AW19))</f>
        <v>0</v>
      </c>
      <c r="BM15" s="51">
        <f>IF( OR(ISBLANK(V15:V19),ISBLANK(AT15:AT19), ISBLANK(Z15:Z19),ISBLANK(AX15:AX19)), "·", bdRateExtend( V15:V19,Z15:Z19, AT15:AT19,AX15:AX19))</f>
        <v>0</v>
      </c>
      <c r="BN15" s="51">
        <f>IF( OR(ISBLANK(V15:V19),ISBLANK(AT15:AT19), ISBLANK(AA15:AA19),ISBLANK(AY15:AY19)), "·", bdRateExtend( V15:V19,AA15:AA19, AT15:AT19,AY15:AY19))</f>
        <v>0</v>
      </c>
      <c r="BP15" s="51">
        <f>IF( OR(ISBLANK(S15:S19),ISBLANK(AQ15:AQ19), ISBLANK(W15:W19),ISBLANK(AU15:AU19)), "·", bdRateExtend( S15:S19,W15:W19, AQ15:AQ19,AU15:AU19))</f>
        <v>2.6804063643526277E-5</v>
      </c>
      <c r="BQ15" s="51">
        <f>IF( OR(ISBLANK(S15:S19),ISBLANK(AQ15:AQ19), ISBLANK(X15:X19),ISBLANK(AV15:AV19)), "·", bdRateExtend( S15:S19,X15:X19, AQ15:AQ19,AV15:AV19))</f>
        <v>2.3883276166092315E-5</v>
      </c>
      <c r="BR15" s="51">
        <f>IF( OR(ISBLANK(S15:S19),ISBLANK(AQ15:AQ19), ISBLANK(Y15:Y19),ISBLANK(AW15:AW19)), "·", bdRateExtend( S15:S19,Y15:Y19, AQ15:AQ19,AW15:AW19))</f>
        <v>2.2778273993440123E-5</v>
      </c>
      <c r="BS15" s="51">
        <f>IF( OR(ISBLANK(S15:S19),ISBLANK(AQ15:AQ19), ISBLANK(Z15:Z19),ISBLANK(AX15:AX19)), "·", bdRateExtend( S15:S19,Z15:Z19, AQ15:AQ19,AX15:AX19))</f>
        <v>1.9461019393984813E-5</v>
      </c>
      <c r="BT15" s="51">
        <f>IF( OR(ISBLANK(S15:S19),ISBLANK(AQ15:AQ19), ISBLANK(AA15:AA19),ISBLANK(AY15:AY19)), "·", bdRateExtend( S15:S19,AA15:AA19, AQ15:AQ19,AY15:AY19))</f>
        <v>2.0025512065036111E-5</v>
      </c>
      <c r="BW15" s="72"/>
      <c r="BX15" s="76" t="s">
        <v>17</v>
      </c>
      <c r="BY15" s="77">
        <f t="shared" si="52"/>
        <v>8.0784967672371219E-5</v>
      </c>
      <c r="BZ15" s="77">
        <f t="shared" si="50"/>
        <v>7.530109447850819E-5</v>
      </c>
      <c r="CA15" s="77">
        <f t="shared" si="50"/>
        <v>0</v>
      </c>
      <c r="CB15" s="77">
        <f t="shared" si="50"/>
        <v>0</v>
      </c>
      <c r="CC15" s="77">
        <f t="shared" si="50"/>
        <v>0</v>
      </c>
      <c r="CD15" s="72"/>
      <c r="CE15" s="77">
        <f t="shared" si="53"/>
        <v>3.2546357337848164E-5</v>
      </c>
      <c r="CF15" s="77">
        <f t="shared" si="51"/>
        <v>2.9326180152849141E-5</v>
      </c>
      <c r="CG15" s="77">
        <f t="shared" si="51"/>
        <v>2.8705156075638427E-5</v>
      </c>
      <c r="CH15" s="77">
        <f t="shared" si="51"/>
        <v>2.6690219219892087E-5</v>
      </c>
      <c r="CI15" s="77">
        <f t="shared" si="51"/>
        <v>2.8182324482412774E-5</v>
      </c>
    </row>
    <row r="16" spans="1:87" outlineLevel="1">
      <c r="A16" s="18"/>
      <c r="B16" s="18" t="s">
        <v>62</v>
      </c>
      <c r="C16" s="19" t="s">
        <v>231</v>
      </c>
      <c r="D16" s="18">
        <v>322589704</v>
      </c>
      <c r="E16" s="19">
        <v>10</v>
      </c>
      <c r="F16" s="19">
        <v>32</v>
      </c>
      <c r="G16" s="19">
        <v>30</v>
      </c>
      <c r="I16" s="20">
        <f t="shared" si="0"/>
        <v>7.0093874999999999</v>
      </c>
      <c r="J16" s="21">
        <f t="shared" si="1"/>
        <v>2.3177057132610781E-2</v>
      </c>
      <c r="K16" s="21">
        <f t="shared" si="2"/>
        <v>1.0077345803944196E-2</v>
      </c>
      <c r="L16" s="21">
        <f t="shared" si="3"/>
        <v>6.1977427525089267E-3</v>
      </c>
      <c r="M16" s="21">
        <f t="shared" si="4"/>
        <v>1.3099711328666584E-2</v>
      </c>
      <c r="N16" s="18">
        <f t="shared" si="5"/>
        <v>3250848</v>
      </c>
      <c r="O16" s="21">
        <v>16</v>
      </c>
      <c r="P16" s="22">
        <v>33185472</v>
      </c>
      <c r="Q16" s="22">
        <v>1037046</v>
      </c>
      <c r="R16" s="22">
        <v>34748.53125</v>
      </c>
      <c r="S16" s="22">
        <v>7476680</v>
      </c>
      <c r="T16" s="22">
        <v>1999328</v>
      </c>
      <c r="U16" s="22">
        <v>1251520</v>
      </c>
      <c r="V16" s="22">
        <v>4225832</v>
      </c>
      <c r="W16" s="22">
        <v>67.712850000000003</v>
      </c>
      <c r="X16" s="22">
        <v>69.741403000000005</v>
      </c>
      <c r="Y16" s="22">
        <v>31.808596999999999</v>
      </c>
      <c r="Z16" s="22">
        <v>43.977277999999998</v>
      </c>
      <c r="AA16" s="22">
        <v>44.263759</v>
      </c>
      <c r="AB16" s="22">
        <v>3169.72</v>
      </c>
      <c r="AC16" s="22">
        <v>1516.65</v>
      </c>
      <c r="AD16" s="22">
        <v>60.43</v>
      </c>
      <c r="AE16" s="22">
        <v>20.638999999999999</v>
      </c>
      <c r="AG16" s="20">
        <f t="shared" si="6"/>
        <v>7.00962</v>
      </c>
      <c r="AH16" s="21">
        <f t="shared" si="7"/>
        <v>2.3177825911021636E-2</v>
      </c>
      <c r="AI16" s="21">
        <f t="shared" si="8"/>
        <v>1.0078114582355052E-2</v>
      </c>
      <c r="AJ16" s="21">
        <f t="shared" si="9"/>
        <v>6.1977427525089267E-3</v>
      </c>
      <c r="AK16" s="21">
        <f t="shared" si="10"/>
        <v>1.3099711328666584E-2</v>
      </c>
      <c r="AL16" s="18">
        <f t="shared" si="11"/>
        <v>3251096</v>
      </c>
      <c r="AM16" s="21">
        <v>16</v>
      </c>
      <c r="AN16" s="22">
        <v>33185472</v>
      </c>
      <c r="AO16" s="22">
        <v>1037046</v>
      </c>
      <c r="AP16" s="22">
        <v>34748.53125</v>
      </c>
      <c r="AQ16" s="22">
        <v>7476928</v>
      </c>
      <c r="AR16" s="22">
        <v>1999328</v>
      </c>
      <c r="AS16" s="22">
        <v>1251768</v>
      </c>
      <c r="AT16" s="22">
        <v>4225832</v>
      </c>
      <c r="AU16" s="22">
        <v>67.712850000000003</v>
      </c>
      <c r="AV16" s="22">
        <v>69.741403000000005</v>
      </c>
      <c r="AW16" s="22">
        <v>31.808596999999999</v>
      </c>
      <c r="AX16" s="22">
        <v>43.977277999999998</v>
      </c>
      <c r="AY16" s="22">
        <v>44.263759</v>
      </c>
      <c r="AZ16" s="22"/>
      <c r="BA16" s="22"/>
      <c r="BB16" s="22"/>
      <c r="BC16" s="22"/>
      <c r="BE16" s="50">
        <f t="shared" si="12"/>
        <v>1.0000762877870635</v>
      </c>
      <c r="BF16" s="26">
        <f t="shared" si="13"/>
        <v>0</v>
      </c>
      <c r="BG16" s="26">
        <f t="shared" si="14"/>
        <v>1.8747005913199999E-5</v>
      </c>
      <c r="BH16" s="26"/>
      <c r="BJ16" s="50"/>
      <c r="BK16" s="50"/>
      <c r="BL16" s="50"/>
      <c r="BM16" s="50"/>
      <c r="BN16" s="50"/>
      <c r="BP16" s="50"/>
      <c r="BQ16" s="50"/>
      <c r="BR16" s="50"/>
      <c r="BS16" s="50"/>
      <c r="BT16" s="50"/>
      <c r="BW16" s="72"/>
      <c r="BX16" s="75" t="s">
        <v>575</v>
      </c>
      <c r="BY16" s="97">
        <f>BB45</f>
        <v>0</v>
      </c>
      <c r="BZ16" s="97"/>
      <c r="CA16" s="97"/>
      <c r="CB16" s="97"/>
      <c r="CC16" s="97"/>
      <c r="CD16" s="97"/>
      <c r="CE16" s="97"/>
      <c r="CF16" s="97"/>
      <c r="CG16" s="97"/>
      <c r="CH16" s="97"/>
      <c r="CI16" s="97"/>
    </row>
    <row r="17" spans="1:76" outlineLevel="1">
      <c r="A17" s="54"/>
      <c r="B17" s="54" t="s">
        <v>62</v>
      </c>
      <c r="C17" s="10" t="s">
        <v>232</v>
      </c>
      <c r="D17" s="54">
        <v>322589704</v>
      </c>
      <c r="E17" s="10">
        <v>10</v>
      </c>
      <c r="F17" s="10">
        <v>32</v>
      </c>
      <c r="G17" s="10">
        <v>30</v>
      </c>
      <c r="I17" s="11">
        <f t="shared" si="0"/>
        <v>11.6948325</v>
      </c>
      <c r="J17" s="12">
        <f t="shared" si="1"/>
        <v>3.8669826858454229E-2</v>
      </c>
      <c r="K17" s="12">
        <f t="shared" si="2"/>
        <v>1.2835722742099667E-2</v>
      </c>
      <c r="L17" s="12">
        <f t="shared" si="3"/>
        <v>8.9561196906643992E-3</v>
      </c>
      <c r="M17" s="12">
        <f t="shared" si="4"/>
        <v>2.5834104116354561E-2</v>
      </c>
      <c r="N17" s="54">
        <f t="shared" si="5"/>
        <v>4140672</v>
      </c>
      <c r="O17" s="12">
        <v>16</v>
      </c>
      <c r="P17" s="13">
        <v>33602137</v>
      </c>
      <c r="Q17" s="13">
        <v>1050066.78125</v>
      </c>
      <c r="R17" s="13">
        <v>36579.4375</v>
      </c>
      <c r="S17" s="13">
        <v>12474488</v>
      </c>
      <c r="T17" s="13">
        <v>2889152</v>
      </c>
      <c r="U17" s="13">
        <v>1251520</v>
      </c>
      <c r="V17" s="13">
        <v>8333816</v>
      </c>
      <c r="W17" s="13">
        <v>69.134241000000003</v>
      </c>
      <c r="X17" s="13">
        <v>71.597499999999997</v>
      </c>
      <c r="Y17" s="13">
        <v>34.352561999999999</v>
      </c>
      <c r="Z17" s="13">
        <v>44.799747000000004</v>
      </c>
      <c r="AA17" s="13">
        <v>45.208846999999999</v>
      </c>
      <c r="AB17" s="13">
        <v>2323.25</v>
      </c>
      <c r="AC17" s="13">
        <v>1137.7</v>
      </c>
      <c r="AD17" s="13">
        <v>49.47</v>
      </c>
      <c r="AE17" s="13">
        <v>15.180999999999999</v>
      </c>
      <c r="AG17" s="11">
        <f t="shared" si="6"/>
        <v>11.695065</v>
      </c>
      <c r="AH17" s="12">
        <f t="shared" si="7"/>
        <v>3.867059563686509E-2</v>
      </c>
      <c r="AI17" s="12">
        <f t="shared" si="8"/>
        <v>1.2836491520510524E-2</v>
      </c>
      <c r="AJ17" s="12">
        <f t="shared" si="9"/>
        <v>8.9561196906643992E-3</v>
      </c>
      <c r="AK17" s="12">
        <f t="shared" si="10"/>
        <v>2.5834104116354561E-2</v>
      </c>
      <c r="AL17" s="54">
        <f t="shared" si="11"/>
        <v>4140920</v>
      </c>
      <c r="AM17" s="12">
        <v>16</v>
      </c>
      <c r="AN17" s="13">
        <v>33602137</v>
      </c>
      <c r="AO17" s="13">
        <v>1050066.78125</v>
      </c>
      <c r="AP17" s="13">
        <v>36579.4375</v>
      </c>
      <c r="AQ17" s="13">
        <v>12474736</v>
      </c>
      <c r="AR17" s="13">
        <v>2889152</v>
      </c>
      <c r="AS17" s="13">
        <v>1251768</v>
      </c>
      <c r="AT17" s="13">
        <v>8333816</v>
      </c>
      <c r="AU17" s="13">
        <v>69.134241000000003</v>
      </c>
      <c r="AV17" s="13">
        <v>71.597499999999997</v>
      </c>
      <c r="AW17" s="13">
        <v>34.352561999999999</v>
      </c>
      <c r="AX17" s="13">
        <v>44.799747000000004</v>
      </c>
      <c r="AY17" s="13">
        <v>45.208846999999999</v>
      </c>
      <c r="AZ17" s="13"/>
      <c r="BA17" s="13"/>
      <c r="BB17" s="13"/>
      <c r="BC17" s="13"/>
      <c r="BE17" s="51">
        <f t="shared" si="12"/>
        <v>1.0000598936597731</v>
      </c>
      <c r="BF17" s="17">
        <f t="shared" si="13"/>
        <v>0</v>
      </c>
      <c r="BG17" s="17">
        <f t="shared" si="14"/>
        <v>1.3281327785386043E-5</v>
      </c>
      <c r="BH17" s="17"/>
      <c r="BJ17" s="51"/>
      <c r="BK17" s="51"/>
      <c r="BL17" s="51"/>
      <c r="BM17" s="51"/>
      <c r="BN17" s="51"/>
      <c r="BP17" s="51"/>
      <c r="BQ17" s="51"/>
      <c r="BR17" s="51"/>
      <c r="BS17" s="51"/>
      <c r="BT17" s="51"/>
      <c r="BX17" s="47"/>
    </row>
    <row r="18" spans="1:76" outlineLevel="1">
      <c r="A18" s="18"/>
      <c r="B18" s="18" t="s">
        <v>62</v>
      </c>
      <c r="C18" s="19" t="s">
        <v>233</v>
      </c>
      <c r="D18" s="18">
        <v>322589704</v>
      </c>
      <c r="E18" s="19">
        <v>10</v>
      </c>
      <c r="F18" s="19">
        <v>32</v>
      </c>
      <c r="G18" s="19">
        <v>30</v>
      </c>
      <c r="I18" s="20">
        <f t="shared" si="0"/>
        <v>20.183317500000001</v>
      </c>
      <c r="J18" s="21">
        <f t="shared" si="1"/>
        <v>6.6737629047206051E-2</v>
      </c>
      <c r="K18" s="21">
        <f t="shared" si="2"/>
        <v>1.7339673060365251E-2</v>
      </c>
      <c r="L18" s="21">
        <f t="shared" si="3"/>
        <v>1.3460070008929981E-2</v>
      </c>
      <c r="M18" s="21">
        <f t="shared" si="4"/>
        <v>4.9397955986840797E-2</v>
      </c>
      <c r="N18" s="18">
        <f t="shared" si="5"/>
        <v>5593600</v>
      </c>
      <c r="O18" s="21">
        <v>16</v>
      </c>
      <c r="P18" s="22">
        <v>34802570</v>
      </c>
      <c r="Q18" s="22">
        <v>1087580.3125</v>
      </c>
      <c r="R18" s="22">
        <v>40873.28125</v>
      </c>
      <c r="S18" s="22">
        <v>21528872</v>
      </c>
      <c r="T18" s="22">
        <v>4342080</v>
      </c>
      <c r="U18" s="22">
        <v>1251520</v>
      </c>
      <c r="V18" s="22">
        <v>15935272</v>
      </c>
      <c r="W18" s="22">
        <v>70.372422</v>
      </c>
      <c r="X18" s="22">
        <v>72.950705999999997</v>
      </c>
      <c r="Y18" s="22">
        <v>37.033952999999997</v>
      </c>
      <c r="Z18" s="22">
        <v>46.139862000000001</v>
      </c>
      <c r="AA18" s="22">
        <v>46.645646999999997</v>
      </c>
      <c r="AB18" s="22">
        <v>2771.91</v>
      </c>
      <c r="AC18" s="22">
        <v>1796.97</v>
      </c>
      <c r="AD18" s="22">
        <v>60.838999999999999</v>
      </c>
      <c r="AE18" s="22">
        <v>24.824999999999999</v>
      </c>
      <c r="AG18" s="20">
        <f t="shared" si="6"/>
        <v>20.18355</v>
      </c>
      <c r="AH18" s="21">
        <f t="shared" si="7"/>
        <v>6.6738397825616899E-2</v>
      </c>
      <c r="AI18" s="21">
        <f t="shared" si="8"/>
        <v>1.7340441838776106E-2</v>
      </c>
      <c r="AJ18" s="21">
        <f t="shared" si="9"/>
        <v>1.3460070008929981E-2</v>
      </c>
      <c r="AK18" s="21">
        <f t="shared" si="10"/>
        <v>4.9397955986840797E-2</v>
      </c>
      <c r="AL18" s="18">
        <f t="shared" si="11"/>
        <v>5593848</v>
      </c>
      <c r="AM18" s="21">
        <v>16</v>
      </c>
      <c r="AN18" s="22">
        <v>34802570</v>
      </c>
      <c r="AO18" s="22">
        <v>1087580.3125</v>
      </c>
      <c r="AP18" s="22">
        <v>40873.28125</v>
      </c>
      <c r="AQ18" s="22">
        <v>21529120</v>
      </c>
      <c r="AR18" s="22">
        <v>4342080</v>
      </c>
      <c r="AS18" s="22">
        <v>1251768</v>
      </c>
      <c r="AT18" s="22">
        <v>15935272</v>
      </c>
      <c r="AU18" s="22">
        <v>70.372422</v>
      </c>
      <c r="AV18" s="22">
        <v>72.950705999999997</v>
      </c>
      <c r="AW18" s="22">
        <v>37.033952999999997</v>
      </c>
      <c r="AX18" s="22">
        <v>46.139862000000001</v>
      </c>
      <c r="AY18" s="22">
        <v>46.645646999999997</v>
      </c>
      <c r="AZ18" s="22"/>
      <c r="BA18" s="22"/>
      <c r="BB18" s="22"/>
      <c r="BC18" s="22"/>
      <c r="BE18" s="50">
        <f t="shared" si="12"/>
        <v>1.0000443363844391</v>
      </c>
      <c r="BF18" s="26">
        <f t="shared" si="13"/>
        <v>0</v>
      </c>
      <c r="BG18" s="26">
        <f t="shared" si="14"/>
        <v>8.5263588631145915E-6</v>
      </c>
      <c r="BH18" s="26"/>
      <c r="BJ18" s="50"/>
      <c r="BK18" s="50"/>
      <c r="BL18" s="50"/>
      <c r="BM18" s="50"/>
      <c r="BN18" s="50"/>
      <c r="BP18" s="50"/>
      <c r="BQ18" s="50"/>
      <c r="BR18" s="50"/>
      <c r="BS18" s="50"/>
      <c r="BT18" s="50"/>
      <c r="BX18" s="47"/>
    </row>
    <row r="19" spans="1:76" ht="16" outlineLevel="1" thickBot="1">
      <c r="A19" s="54"/>
      <c r="B19" s="27" t="s">
        <v>62</v>
      </c>
      <c r="C19" s="28" t="s">
        <v>234</v>
      </c>
      <c r="D19" s="27">
        <v>322589704</v>
      </c>
      <c r="E19" s="28">
        <v>10</v>
      </c>
      <c r="F19" s="28">
        <v>32</v>
      </c>
      <c r="G19" s="28">
        <v>30</v>
      </c>
      <c r="I19" s="29">
        <f t="shared" si="0"/>
        <v>35.697832499999997</v>
      </c>
      <c r="J19" s="30">
        <f t="shared" si="1"/>
        <v>0.11803751802320386</v>
      </c>
      <c r="K19" s="30">
        <f t="shared" si="2"/>
        <v>2.7808947058025137E-2</v>
      </c>
      <c r="L19" s="30">
        <f t="shared" si="3"/>
        <v>2.0647478569247826E-2</v>
      </c>
      <c r="M19" s="30">
        <f t="shared" si="4"/>
        <v>9.0228570965178723E-2</v>
      </c>
      <c r="N19" s="27">
        <f t="shared" si="5"/>
        <v>8970880</v>
      </c>
      <c r="O19" s="30">
        <v>16</v>
      </c>
      <c r="P19" s="31">
        <v>33042374</v>
      </c>
      <c r="Q19" s="31">
        <v>1032574.1875</v>
      </c>
      <c r="R19" s="31">
        <v>17761.0625</v>
      </c>
      <c r="S19" s="31">
        <v>38077688</v>
      </c>
      <c r="T19" s="31">
        <v>6660664</v>
      </c>
      <c r="U19" s="31">
        <v>2310216</v>
      </c>
      <c r="V19" s="31">
        <v>29106808</v>
      </c>
      <c r="W19" s="31">
        <v>71.149422000000001</v>
      </c>
      <c r="X19" s="31">
        <v>75.002240999999998</v>
      </c>
      <c r="Y19" s="31">
        <v>39.540858999999998</v>
      </c>
      <c r="Z19" s="31">
        <v>47.872106000000002</v>
      </c>
      <c r="AA19" s="31">
        <v>48.471403000000002</v>
      </c>
      <c r="AB19" s="31">
        <v>2717.27</v>
      </c>
      <c r="AC19" s="31">
        <v>1902.07</v>
      </c>
      <c r="AD19" s="31">
        <v>53.628999999999998</v>
      </c>
      <c r="AE19" s="31">
        <v>25.05</v>
      </c>
      <c r="AG19" s="29">
        <f t="shared" si="6"/>
        <v>35.698065</v>
      </c>
      <c r="AH19" s="30">
        <f t="shared" si="7"/>
        <v>0.11803828680161473</v>
      </c>
      <c r="AI19" s="30">
        <f t="shared" si="8"/>
        <v>2.7809715836435996E-2</v>
      </c>
      <c r="AJ19" s="30">
        <f t="shared" si="9"/>
        <v>2.0647478569247826E-2</v>
      </c>
      <c r="AK19" s="30">
        <f t="shared" si="10"/>
        <v>9.0228570965178723E-2</v>
      </c>
      <c r="AL19" s="27">
        <f t="shared" si="11"/>
        <v>8971128</v>
      </c>
      <c r="AM19" s="30">
        <v>16</v>
      </c>
      <c r="AN19" s="31">
        <v>33042374</v>
      </c>
      <c r="AO19" s="31">
        <v>1032574.1875</v>
      </c>
      <c r="AP19" s="31">
        <v>17761.0625</v>
      </c>
      <c r="AQ19" s="31">
        <v>38077936</v>
      </c>
      <c r="AR19" s="31">
        <v>6660664</v>
      </c>
      <c r="AS19" s="31">
        <v>2310464</v>
      </c>
      <c r="AT19" s="31">
        <v>29106808</v>
      </c>
      <c r="AU19" s="31">
        <v>71.149422000000001</v>
      </c>
      <c r="AV19" s="31">
        <v>75.002240999999998</v>
      </c>
      <c r="AW19" s="31">
        <v>39.540858999999998</v>
      </c>
      <c r="AX19" s="31">
        <v>47.872106000000002</v>
      </c>
      <c r="AY19" s="31">
        <v>48.471403000000002</v>
      </c>
      <c r="AZ19" s="31"/>
      <c r="BA19" s="31"/>
      <c r="BB19" s="31"/>
      <c r="BC19" s="31"/>
      <c r="BE19" s="35">
        <f t="shared" si="12"/>
        <v>1.000027645002497</v>
      </c>
      <c r="BF19" s="36">
        <f t="shared" si="13"/>
        <v>0</v>
      </c>
      <c r="BG19" s="36">
        <f t="shared" si="14"/>
        <v>4.9785433303417559E-6</v>
      </c>
      <c r="BH19" s="36"/>
      <c r="BJ19" s="35"/>
      <c r="BK19" s="35"/>
      <c r="BL19" s="35"/>
      <c r="BM19" s="35"/>
      <c r="BN19" s="35"/>
      <c r="BP19" s="35"/>
      <c r="BQ19" s="35"/>
      <c r="BR19" s="35"/>
      <c r="BS19" s="35"/>
      <c r="BT19" s="35"/>
      <c r="BX19" s="47"/>
    </row>
    <row r="20" spans="1:76">
      <c r="A20" s="18"/>
      <c r="B20" s="18" t="s">
        <v>68</v>
      </c>
      <c r="C20" s="19" t="s">
        <v>230</v>
      </c>
      <c r="D20" s="18">
        <v>250602891</v>
      </c>
      <c r="E20" s="19">
        <v>10</v>
      </c>
      <c r="F20" s="19">
        <v>32</v>
      </c>
      <c r="G20" s="19">
        <v>50</v>
      </c>
      <c r="I20" s="20">
        <f t="shared" si="0"/>
        <v>5.108225</v>
      </c>
      <c r="J20" s="21">
        <f t="shared" si="1"/>
        <v>1.3045595711024739E-2</v>
      </c>
      <c r="K20" s="21">
        <f t="shared" si="2"/>
        <v>7.616831523304334E-3</v>
      </c>
      <c r="L20" s="21">
        <f t="shared" si="3"/>
        <v>3.776045823828904E-3</v>
      </c>
      <c r="M20" s="21">
        <f t="shared" si="4"/>
        <v>5.4287641877204043E-3</v>
      </c>
      <c r="N20" s="18">
        <f t="shared" si="5"/>
        <v>1908800</v>
      </c>
      <c r="O20" s="21">
        <v>16</v>
      </c>
      <c r="P20" s="22">
        <v>30323913</v>
      </c>
      <c r="Q20" s="22">
        <v>947622.28125</v>
      </c>
      <c r="R20" s="22">
        <v>27816.5625</v>
      </c>
      <c r="S20" s="22">
        <v>3269264</v>
      </c>
      <c r="T20" s="22">
        <v>946288</v>
      </c>
      <c r="U20" s="22">
        <v>962512</v>
      </c>
      <c r="V20" s="22">
        <v>1360464</v>
      </c>
      <c r="W20" s="22">
        <v>67.129975000000002</v>
      </c>
      <c r="X20" s="22">
        <v>68.823369</v>
      </c>
      <c r="Y20" s="22">
        <v>30.728477999999999</v>
      </c>
      <c r="Z20" s="22">
        <v>39.531953000000001</v>
      </c>
      <c r="AA20" s="22">
        <v>38.260503</v>
      </c>
      <c r="AB20" s="22">
        <v>2560.61</v>
      </c>
      <c r="AC20" s="22">
        <v>1141.43</v>
      </c>
      <c r="AD20" s="22">
        <v>44.752000000000002</v>
      </c>
      <c r="AE20" s="22">
        <v>15.901999999999999</v>
      </c>
      <c r="AG20" s="20">
        <f t="shared" si="6"/>
        <v>5.1086124999999996</v>
      </c>
      <c r="AH20" s="21">
        <f t="shared" si="7"/>
        <v>1.3046585324508487E-2</v>
      </c>
      <c r="AI20" s="21">
        <f t="shared" si="8"/>
        <v>7.6178211367880829E-3</v>
      </c>
      <c r="AJ20" s="21">
        <f t="shared" si="9"/>
        <v>3.776045823828904E-3</v>
      </c>
      <c r="AK20" s="21">
        <f t="shared" si="10"/>
        <v>5.4287641877204043E-3</v>
      </c>
      <c r="AL20" s="18">
        <f t="shared" si="11"/>
        <v>1909048</v>
      </c>
      <c r="AM20" s="21">
        <v>16</v>
      </c>
      <c r="AN20" s="22">
        <v>30323913</v>
      </c>
      <c r="AO20" s="22">
        <v>947622.28125</v>
      </c>
      <c r="AP20" s="22">
        <v>27816.5625</v>
      </c>
      <c r="AQ20" s="22">
        <v>3269512</v>
      </c>
      <c r="AR20" s="22">
        <v>946288</v>
      </c>
      <c r="AS20" s="22">
        <v>962760</v>
      </c>
      <c r="AT20" s="22">
        <v>1360464</v>
      </c>
      <c r="AU20" s="22">
        <v>67.129975000000002</v>
      </c>
      <c r="AV20" s="22">
        <v>68.823369</v>
      </c>
      <c r="AW20" s="22">
        <v>30.728477999999999</v>
      </c>
      <c r="AX20" s="22">
        <v>39.531953000000001</v>
      </c>
      <c r="AY20" s="22">
        <v>38.260503</v>
      </c>
      <c r="AZ20" s="22"/>
      <c r="BA20" s="22"/>
      <c r="BB20" s="22"/>
      <c r="BC20" s="22"/>
      <c r="BE20" s="50">
        <f t="shared" si="12"/>
        <v>1.0001299245599329</v>
      </c>
      <c r="BF20" s="26">
        <f t="shared" si="13"/>
        <v>0</v>
      </c>
      <c r="BG20" s="26">
        <f t="shared" si="14"/>
        <v>3.1565000977118451E-5</v>
      </c>
      <c r="BH20" s="26">
        <f t="array" ref="BH20">AVERAGE(AL20:AL24/AQ20:AQ24) - AVERAGE(N20:N24/S20:S24)</f>
        <v>1.9820197207198742E-5</v>
      </c>
      <c r="BJ20" s="50">
        <f>IF( OR(ISBLANK(N20:N24),ISBLANK(AL20:AL24), ISBLANK(W20:W24),ISBLANK(AU20:AU24)), "·", bdRateExtend( N20:N24,W20:W24, AL20:AL24,AU20:AU24))</f>
        <v>9.2611878464543551E-5</v>
      </c>
      <c r="BK20" s="50">
        <f>IF( OR(ISBLANK(N20:N24),ISBLANK(AL20:AL24), ISBLANK(X20:X24),ISBLANK(AV20:AV24)), "·", bdRateExtend( N20:N24,X20:X24, AL20:AL24,AV20:AV24))</f>
        <v>8.6216581959952521E-5</v>
      </c>
      <c r="BL20" s="50">
        <f>IF( OR(ISBLANK(V20:V24),ISBLANK(AT20:AT24), ISBLANK(Y20:Y24),ISBLANK(AW20:AW24)), "·", bdRateExtend( V20:V24,Y20:Y24, AT20:AT24,AW20:AW24))</f>
        <v>0</v>
      </c>
      <c r="BM20" s="50">
        <f>IF( OR(ISBLANK(V20:V24),ISBLANK(AT20:AT24), ISBLANK(Z20:Z24),ISBLANK(AX20:AX24)), "·", bdRateExtend( V20:V24,Z20:Z24, AT20:AT24,AX20:AX24))</f>
        <v>0</v>
      </c>
      <c r="BN20" s="50">
        <f>IF( OR(ISBLANK(V20:V24),ISBLANK(AT20:AT24), ISBLANK(AA20:AA24),ISBLANK(AY20:AY24)), "·", bdRateExtend( V20:V24,AA20:AA24, AT20:AT24,AY20:AY24))</f>
        <v>0</v>
      </c>
      <c r="BP20" s="50">
        <f>IF( OR(ISBLANK(S20:S24),ISBLANK(AQ20:AQ24), ISBLANK(W20:W24),ISBLANK(AU20:AU24)), "·", bdRateExtend( S20:S24,W20:W24, AQ20:AQ24,AU20:AU24))</f>
        <v>3.982140430069947E-5</v>
      </c>
      <c r="BQ20" s="50">
        <f>IF( OR(ISBLANK(S20:S24),ISBLANK(AQ20:AQ24), ISBLANK(X20:X24),ISBLANK(AV20:AV24)), "·", bdRateExtend( S20:S24,X20:X24, AQ20:AQ24,AV20:AV24))</f>
        <v>3.5606029520574012E-5</v>
      </c>
      <c r="BR20" s="50">
        <f>IF( OR(ISBLANK(S20:S24),ISBLANK(AQ20:AQ24), ISBLANK(Y20:Y24),ISBLANK(AW20:AW24)), "·", bdRateExtend( S20:S24,Y20:Y24, AQ20:AQ24,AW20:AW24))</f>
        <v>3.8051240483394366E-5</v>
      </c>
      <c r="BS20" s="50">
        <f>IF( OR(ISBLANK(S20:S24),ISBLANK(AQ20:AQ24), ISBLANK(Z20:Z24),ISBLANK(AX20:AX24)), "·", bdRateExtend( S20:S24,Z20:Z24, AQ20:AQ24,AX20:AX24))</f>
        <v>3.6215646221249287E-5</v>
      </c>
      <c r="BT20" s="50">
        <f>IF( OR(ISBLANK(S20:S24),ISBLANK(AQ20:AQ24), ISBLANK(AA20:AA24),ISBLANK(AY20:AY24)), "·", bdRateExtend( S20:S24,AA20:AA24, AQ20:AQ24,AY20:AY24))</f>
        <v>3.9382794355447004E-5</v>
      </c>
    </row>
    <row r="21" spans="1:76" outlineLevel="1">
      <c r="A21" s="54"/>
      <c r="B21" s="54" t="s">
        <v>68</v>
      </c>
      <c r="C21" s="10" t="s">
        <v>231</v>
      </c>
      <c r="D21" s="54">
        <v>250602891</v>
      </c>
      <c r="E21" s="10">
        <v>10</v>
      </c>
      <c r="F21" s="10">
        <v>32</v>
      </c>
      <c r="G21" s="10">
        <v>50</v>
      </c>
      <c r="I21" s="11">
        <f t="shared" si="0"/>
        <v>7.6090375000000003</v>
      </c>
      <c r="J21" s="12">
        <f t="shared" si="1"/>
        <v>1.9432273827998257E-2</v>
      </c>
      <c r="K21" s="12">
        <f t="shared" si="2"/>
        <v>9.0664875849337263E-3</v>
      </c>
      <c r="L21" s="12">
        <f t="shared" si="3"/>
        <v>5.2257018854582962E-3</v>
      </c>
      <c r="M21" s="12">
        <f t="shared" si="4"/>
        <v>1.036578624306453E-2</v>
      </c>
      <c r="N21" s="54">
        <f t="shared" si="5"/>
        <v>2272088</v>
      </c>
      <c r="O21" s="12">
        <v>16</v>
      </c>
      <c r="P21" s="13">
        <v>31547254</v>
      </c>
      <c r="Q21" s="13">
        <v>985851.6875</v>
      </c>
      <c r="R21" s="13">
        <v>32992.53125</v>
      </c>
      <c r="S21" s="13">
        <v>4869784</v>
      </c>
      <c r="T21" s="13">
        <v>1309576</v>
      </c>
      <c r="U21" s="13">
        <v>962512</v>
      </c>
      <c r="V21" s="13">
        <v>2597696</v>
      </c>
      <c r="W21" s="13">
        <v>68.684825000000004</v>
      </c>
      <c r="X21" s="13">
        <v>70.763768999999996</v>
      </c>
      <c r="Y21" s="13">
        <v>32.529958999999998</v>
      </c>
      <c r="Z21" s="13">
        <v>40.677137000000002</v>
      </c>
      <c r="AA21" s="13">
        <v>39.585231</v>
      </c>
      <c r="AB21" s="13">
        <v>2259.42</v>
      </c>
      <c r="AC21" s="13">
        <v>1157.1199999999999</v>
      </c>
      <c r="AD21" s="13">
        <v>44.750999999999998</v>
      </c>
      <c r="AE21" s="13">
        <v>15.775</v>
      </c>
      <c r="AG21" s="11">
        <f t="shared" si="6"/>
        <v>7.6094249999999999</v>
      </c>
      <c r="AH21" s="12">
        <f t="shared" si="7"/>
        <v>1.9433263441482006E-2</v>
      </c>
      <c r="AI21" s="12">
        <f t="shared" si="8"/>
        <v>9.067477198417476E-3</v>
      </c>
      <c r="AJ21" s="12">
        <f t="shared" si="9"/>
        <v>5.2257018854582962E-3</v>
      </c>
      <c r="AK21" s="12">
        <f t="shared" si="10"/>
        <v>1.036578624306453E-2</v>
      </c>
      <c r="AL21" s="54">
        <f t="shared" si="11"/>
        <v>2272336</v>
      </c>
      <c r="AM21" s="12">
        <v>16</v>
      </c>
      <c r="AN21" s="13">
        <v>31547254</v>
      </c>
      <c r="AO21" s="13">
        <v>985851.6875</v>
      </c>
      <c r="AP21" s="13">
        <v>32992.53125</v>
      </c>
      <c r="AQ21" s="13">
        <v>4870032</v>
      </c>
      <c r="AR21" s="13">
        <v>1309576</v>
      </c>
      <c r="AS21" s="13">
        <v>962760</v>
      </c>
      <c r="AT21" s="13">
        <v>2597696</v>
      </c>
      <c r="AU21" s="13">
        <v>68.684825000000004</v>
      </c>
      <c r="AV21" s="13">
        <v>70.763768999999996</v>
      </c>
      <c r="AW21" s="13">
        <v>32.529958999999998</v>
      </c>
      <c r="AX21" s="13">
        <v>40.677137000000002</v>
      </c>
      <c r="AY21" s="13">
        <v>39.585231</v>
      </c>
      <c r="AZ21" s="13"/>
      <c r="BA21" s="13"/>
      <c r="BB21" s="13"/>
      <c r="BC21" s="13"/>
      <c r="BE21" s="51">
        <f t="shared" si="12"/>
        <v>1.0001091507019095</v>
      </c>
      <c r="BF21" s="17">
        <f t="shared" si="13"/>
        <v>0</v>
      </c>
      <c r="BG21" s="17">
        <f t="shared" si="14"/>
        <v>2.7164298435800038E-5</v>
      </c>
      <c r="BH21" s="17"/>
      <c r="BJ21" s="51"/>
      <c r="BK21" s="51"/>
      <c r="BL21" s="51"/>
      <c r="BM21" s="51"/>
      <c r="BN21" s="51"/>
      <c r="BP21" s="51"/>
      <c r="BQ21" s="51"/>
      <c r="BR21" s="51"/>
      <c r="BS21" s="51"/>
      <c r="BT21" s="51"/>
    </row>
    <row r="22" spans="1:76" outlineLevel="1">
      <c r="A22" s="18"/>
      <c r="B22" s="18" t="s">
        <v>68</v>
      </c>
      <c r="C22" s="19" t="s">
        <v>232</v>
      </c>
      <c r="D22" s="18">
        <v>250602891</v>
      </c>
      <c r="E22" s="19">
        <v>10</v>
      </c>
      <c r="F22" s="19">
        <v>32</v>
      </c>
      <c r="G22" s="19">
        <v>50</v>
      </c>
      <c r="I22" s="20">
        <f t="shared" si="0"/>
        <v>12.37565</v>
      </c>
      <c r="J22" s="21">
        <f t="shared" si="1"/>
        <v>3.1605445445559523E-2</v>
      </c>
      <c r="K22" s="21">
        <f t="shared" si="2"/>
        <v>1.1326509397690867E-2</v>
      </c>
      <c r="L22" s="21">
        <f t="shared" si="3"/>
        <v>7.4857236982154365E-3</v>
      </c>
      <c r="M22" s="21">
        <f t="shared" si="4"/>
        <v>2.0278936047868658E-2</v>
      </c>
      <c r="N22" s="18">
        <f t="shared" si="5"/>
        <v>2838456</v>
      </c>
      <c r="O22" s="21">
        <v>16</v>
      </c>
      <c r="P22" s="22">
        <v>32778173</v>
      </c>
      <c r="Q22" s="22">
        <v>1024317.90625</v>
      </c>
      <c r="R22" s="22">
        <v>35188.46875</v>
      </c>
      <c r="S22" s="22">
        <v>7920416</v>
      </c>
      <c r="T22" s="22">
        <v>1875944</v>
      </c>
      <c r="U22" s="22">
        <v>962512</v>
      </c>
      <c r="V22" s="22">
        <v>5081960</v>
      </c>
      <c r="W22" s="22">
        <v>69.862159000000005</v>
      </c>
      <c r="X22" s="22">
        <v>72.260553000000002</v>
      </c>
      <c r="Y22" s="22">
        <v>34.254728</v>
      </c>
      <c r="Z22" s="22">
        <v>41.707321999999998</v>
      </c>
      <c r="AA22" s="22">
        <v>40.618600000000001</v>
      </c>
      <c r="AB22" s="22">
        <v>2590.5700000000002</v>
      </c>
      <c r="AC22" s="22">
        <v>1699.66</v>
      </c>
      <c r="AD22" s="22">
        <v>55.920999999999999</v>
      </c>
      <c r="AE22" s="22">
        <v>23.588000000000001</v>
      </c>
      <c r="AG22" s="20">
        <f t="shared" si="6"/>
        <v>12.376037500000001</v>
      </c>
      <c r="AH22" s="21">
        <f t="shared" si="7"/>
        <v>3.1606435059043272E-2</v>
      </c>
      <c r="AI22" s="21">
        <f t="shared" si="8"/>
        <v>1.1327499011174616E-2</v>
      </c>
      <c r="AJ22" s="21">
        <f t="shared" si="9"/>
        <v>7.4857236982154365E-3</v>
      </c>
      <c r="AK22" s="21">
        <f t="shared" si="10"/>
        <v>2.0278936047868658E-2</v>
      </c>
      <c r="AL22" s="18">
        <f t="shared" si="11"/>
        <v>2838704</v>
      </c>
      <c r="AM22" s="21">
        <v>16</v>
      </c>
      <c r="AN22" s="22">
        <v>32778173</v>
      </c>
      <c r="AO22" s="22">
        <v>1024317.90625</v>
      </c>
      <c r="AP22" s="22">
        <v>35188.46875</v>
      </c>
      <c r="AQ22" s="22">
        <v>7920664</v>
      </c>
      <c r="AR22" s="22">
        <v>1875944</v>
      </c>
      <c r="AS22" s="22">
        <v>962760</v>
      </c>
      <c r="AT22" s="22">
        <v>5081960</v>
      </c>
      <c r="AU22" s="22">
        <v>69.862159000000005</v>
      </c>
      <c r="AV22" s="22">
        <v>72.260553000000002</v>
      </c>
      <c r="AW22" s="22">
        <v>34.254728</v>
      </c>
      <c r="AX22" s="22">
        <v>41.707321999999998</v>
      </c>
      <c r="AY22" s="22">
        <v>40.618600000000001</v>
      </c>
      <c r="AZ22" s="22"/>
      <c r="BA22" s="22"/>
      <c r="BB22" s="22"/>
      <c r="BC22" s="22"/>
      <c r="BE22" s="50">
        <f t="shared" si="12"/>
        <v>1.0000873714441938</v>
      </c>
      <c r="BF22" s="26">
        <f t="shared" si="13"/>
        <v>0</v>
      </c>
      <c r="BG22" s="26">
        <f t="shared" si="14"/>
        <v>2.0089694853120399E-5</v>
      </c>
      <c r="BH22" s="26"/>
      <c r="BJ22" s="50"/>
      <c r="BK22" s="50"/>
      <c r="BL22" s="50"/>
      <c r="BM22" s="50"/>
      <c r="BN22" s="50"/>
      <c r="BP22" s="50"/>
      <c r="BQ22" s="50"/>
      <c r="BR22" s="50"/>
      <c r="BS22" s="50"/>
      <c r="BT22" s="50"/>
    </row>
    <row r="23" spans="1:76" outlineLevel="1">
      <c r="A23" s="54"/>
      <c r="B23" s="54" t="s">
        <v>68</v>
      </c>
      <c r="C23" s="10" t="s">
        <v>233</v>
      </c>
      <c r="D23" s="54">
        <v>250602891</v>
      </c>
      <c r="E23" s="10">
        <v>10</v>
      </c>
      <c r="F23" s="10">
        <v>32</v>
      </c>
      <c r="G23" s="10">
        <v>50</v>
      </c>
      <c r="I23" s="11">
        <f t="shared" si="0"/>
        <v>22.0180875</v>
      </c>
      <c r="J23" s="12">
        <f t="shared" si="1"/>
        <v>5.623070006802116E-2</v>
      </c>
      <c r="K23" s="12">
        <f t="shared" si="2"/>
        <v>1.5247932634584013E-2</v>
      </c>
      <c r="L23" s="12">
        <f t="shared" si="3"/>
        <v>1.1407146935108583E-2</v>
      </c>
      <c r="M23" s="12">
        <f t="shared" si="4"/>
        <v>4.0982767433437151E-2</v>
      </c>
      <c r="N23" s="54">
        <f t="shared" si="5"/>
        <v>3821176</v>
      </c>
      <c r="O23" s="12">
        <v>16</v>
      </c>
      <c r="P23" s="13">
        <v>32789353</v>
      </c>
      <c r="Q23" s="13">
        <v>1024667.28125</v>
      </c>
      <c r="R23" s="13">
        <v>36955.375</v>
      </c>
      <c r="S23" s="13">
        <v>14091576</v>
      </c>
      <c r="T23" s="13">
        <v>2858664</v>
      </c>
      <c r="U23" s="13">
        <v>962512</v>
      </c>
      <c r="V23" s="13">
        <v>10270400</v>
      </c>
      <c r="W23" s="13">
        <v>70.885131000000001</v>
      </c>
      <c r="X23" s="13">
        <v>73.609525000000005</v>
      </c>
      <c r="Y23" s="13">
        <v>35.664534000000003</v>
      </c>
      <c r="Z23" s="13">
        <v>42.877513</v>
      </c>
      <c r="AA23" s="13">
        <v>41.702306</v>
      </c>
      <c r="AB23" s="13">
        <v>2694.79</v>
      </c>
      <c r="AC23" s="13">
        <v>1874.53</v>
      </c>
      <c r="AD23" s="13">
        <v>59.494999999999997</v>
      </c>
      <c r="AE23" s="13">
        <v>24.986000000000001</v>
      </c>
      <c r="AG23" s="11">
        <f t="shared" si="6"/>
        <v>22.018474999999999</v>
      </c>
      <c r="AH23" s="12">
        <f t="shared" si="7"/>
        <v>5.6231689681504909E-2</v>
      </c>
      <c r="AI23" s="12">
        <f t="shared" si="8"/>
        <v>1.5248922248067761E-2</v>
      </c>
      <c r="AJ23" s="12">
        <f t="shared" si="9"/>
        <v>1.1407146935108583E-2</v>
      </c>
      <c r="AK23" s="12">
        <f t="shared" si="10"/>
        <v>4.0982767433437151E-2</v>
      </c>
      <c r="AL23" s="54">
        <f t="shared" si="11"/>
        <v>3821424</v>
      </c>
      <c r="AM23" s="12">
        <v>16</v>
      </c>
      <c r="AN23" s="13">
        <v>32789353</v>
      </c>
      <c r="AO23" s="13">
        <v>1024667.28125</v>
      </c>
      <c r="AP23" s="13">
        <v>36955.375</v>
      </c>
      <c r="AQ23" s="13">
        <v>14091824</v>
      </c>
      <c r="AR23" s="13">
        <v>2858664</v>
      </c>
      <c r="AS23" s="13">
        <v>962760</v>
      </c>
      <c r="AT23" s="13">
        <v>10270400</v>
      </c>
      <c r="AU23" s="13">
        <v>70.885131000000001</v>
      </c>
      <c r="AV23" s="13">
        <v>73.609525000000005</v>
      </c>
      <c r="AW23" s="13">
        <v>35.664534000000003</v>
      </c>
      <c r="AX23" s="13">
        <v>42.877513</v>
      </c>
      <c r="AY23" s="13">
        <v>41.702306</v>
      </c>
      <c r="AZ23" s="13"/>
      <c r="BA23" s="13"/>
      <c r="BB23" s="13"/>
      <c r="BC23" s="13"/>
      <c r="BE23" s="51">
        <f t="shared" si="12"/>
        <v>1.0000649014858252</v>
      </c>
      <c r="BF23" s="17">
        <f t="shared" si="13"/>
        <v>0</v>
      </c>
      <c r="BG23" s="17">
        <f t="shared" si="14"/>
        <v>1.2826620972128389E-5</v>
      </c>
      <c r="BH23" s="17"/>
      <c r="BJ23" s="51"/>
      <c r="BK23" s="51"/>
      <c r="BL23" s="51"/>
      <c r="BM23" s="51"/>
      <c r="BN23" s="51"/>
      <c r="BP23" s="51"/>
      <c r="BQ23" s="51"/>
      <c r="BR23" s="51"/>
      <c r="BS23" s="51"/>
      <c r="BT23" s="51"/>
    </row>
    <row r="24" spans="1:76" ht="16" outlineLevel="1" thickBot="1">
      <c r="A24" s="37"/>
      <c r="B24" s="37" t="s">
        <v>68</v>
      </c>
      <c r="C24" s="38" t="s">
        <v>234</v>
      </c>
      <c r="D24" s="37">
        <v>250602891</v>
      </c>
      <c r="E24" s="38">
        <v>10</v>
      </c>
      <c r="F24" s="38">
        <v>32</v>
      </c>
      <c r="G24" s="38">
        <v>50</v>
      </c>
      <c r="I24" s="39">
        <f t="shared" si="0"/>
        <v>38.648825000000002</v>
      </c>
      <c r="J24" s="40">
        <f t="shared" si="1"/>
        <v>9.8702963486562489E-2</v>
      </c>
      <c r="K24" s="40">
        <f t="shared" si="2"/>
        <v>2.5307641004029758E-2</v>
      </c>
      <c r="L24" s="40">
        <f t="shared" si="3"/>
        <v>1.7938755542927873E-2</v>
      </c>
      <c r="M24" s="40">
        <f t="shared" si="4"/>
        <v>7.3395322482532735E-2</v>
      </c>
      <c r="N24" s="37">
        <f t="shared" si="5"/>
        <v>6342168</v>
      </c>
      <c r="O24" s="40">
        <v>16</v>
      </c>
      <c r="P24" s="41">
        <v>31420466</v>
      </c>
      <c r="Q24" s="41">
        <v>981889.5625</v>
      </c>
      <c r="R24" s="41">
        <v>18332.15625</v>
      </c>
      <c r="S24" s="41">
        <v>24735248</v>
      </c>
      <c r="T24" s="41">
        <v>4495504</v>
      </c>
      <c r="U24" s="41">
        <v>1846664</v>
      </c>
      <c r="V24" s="41">
        <v>18393080</v>
      </c>
      <c r="W24" s="41">
        <v>71.729253</v>
      </c>
      <c r="X24" s="41">
        <v>75.633027999999996</v>
      </c>
      <c r="Y24" s="41">
        <v>36.893743999999998</v>
      </c>
      <c r="Z24" s="41">
        <v>43.807071999999998</v>
      </c>
      <c r="AA24" s="41">
        <v>42.362096999999999</v>
      </c>
      <c r="AB24" s="41">
        <v>2813.59</v>
      </c>
      <c r="AC24" s="41">
        <v>2145.62</v>
      </c>
      <c r="AD24" s="41">
        <v>54.030999999999999</v>
      </c>
      <c r="AE24" s="41">
        <v>27.919</v>
      </c>
      <c r="AG24" s="39">
        <f t="shared" si="6"/>
        <v>38.649212499999997</v>
      </c>
      <c r="AH24" s="40">
        <f t="shared" si="7"/>
        <v>9.8703953100046246E-2</v>
      </c>
      <c r="AI24" s="40">
        <f t="shared" si="8"/>
        <v>2.5308630617513508E-2</v>
      </c>
      <c r="AJ24" s="40">
        <f t="shared" si="9"/>
        <v>1.7938755542927873E-2</v>
      </c>
      <c r="AK24" s="40">
        <f t="shared" si="10"/>
        <v>7.3395322482532735E-2</v>
      </c>
      <c r="AL24" s="37">
        <f t="shared" si="11"/>
        <v>6342416</v>
      </c>
      <c r="AM24" s="40">
        <v>16</v>
      </c>
      <c r="AN24" s="41">
        <v>31420466</v>
      </c>
      <c r="AO24" s="41">
        <v>981889.5625</v>
      </c>
      <c r="AP24" s="41">
        <v>18332.15625</v>
      </c>
      <c r="AQ24" s="41">
        <v>24735496</v>
      </c>
      <c r="AR24" s="41">
        <v>4495504</v>
      </c>
      <c r="AS24" s="41">
        <v>1846912</v>
      </c>
      <c r="AT24" s="41">
        <v>18393080</v>
      </c>
      <c r="AU24" s="41">
        <v>71.729253</v>
      </c>
      <c r="AV24" s="41">
        <v>75.633027999999996</v>
      </c>
      <c r="AW24" s="41">
        <v>36.893743999999998</v>
      </c>
      <c r="AX24" s="41">
        <v>43.807071999999998</v>
      </c>
      <c r="AY24" s="41">
        <v>42.362096999999999</v>
      </c>
      <c r="AZ24" s="41"/>
      <c r="BA24" s="41"/>
      <c r="BB24" s="41"/>
      <c r="BC24" s="41"/>
      <c r="BE24" s="45">
        <f t="shared" si="12"/>
        <v>1.000039103347625</v>
      </c>
      <c r="BF24" s="46">
        <f t="shared" si="13"/>
        <v>0</v>
      </c>
      <c r="BG24" s="46">
        <f t="shared" si="14"/>
        <v>7.4553707979929662E-6</v>
      </c>
      <c r="BH24" s="46"/>
      <c r="BJ24" s="45"/>
      <c r="BK24" s="45"/>
      <c r="BL24" s="45"/>
      <c r="BM24" s="45"/>
      <c r="BN24" s="45"/>
      <c r="BP24" s="45"/>
      <c r="BQ24" s="45"/>
      <c r="BR24" s="45"/>
      <c r="BS24" s="45"/>
      <c r="BT24" s="45"/>
    </row>
    <row r="25" spans="1:76">
      <c r="A25" s="54" t="s">
        <v>235</v>
      </c>
      <c r="B25" s="54" t="s">
        <v>71</v>
      </c>
      <c r="C25" s="10" t="s">
        <v>230</v>
      </c>
      <c r="D25" s="54">
        <v>250294582</v>
      </c>
      <c r="E25" s="10">
        <v>10</v>
      </c>
      <c r="F25" s="10">
        <v>32</v>
      </c>
      <c r="G25" s="10">
        <v>30</v>
      </c>
      <c r="I25" s="11">
        <f t="shared" si="0"/>
        <v>4.3790250000000004</v>
      </c>
      <c r="J25" s="12">
        <f t="shared" si="1"/>
        <v>1.8661850219354729E-2</v>
      </c>
      <c r="K25" s="12">
        <f t="shared" si="2"/>
        <v>6.524599881271102E-3</v>
      </c>
      <c r="L25" s="12">
        <f t="shared" si="3"/>
        <v>3.7288222243660072E-3</v>
      </c>
      <c r="M25" s="12">
        <f t="shared" si="4"/>
        <v>1.2137250338083626E-2</v>
      </c>
      <c r="N25" s="54">
        <f t="shared" si="5"/>
        <v>1633072</v>
      </c>
      <c r="O25" s="12">
        <v>16</v>
      </c>
      <c r="P25" s="13">
        <v>23138864</v>
      </c>
      <c r="Q25" s="13">
        <v>723089.5</v>
      </c>
      <c r="R25" s="13">
        <v>14043.03125</v>
      </c>
      <c r="S25" s="13">
        <v>4670960</v>
      </c>
      <c r="T25" s="13">
        <v>933304</v>
      </c>
      <c r="U25" s="13">
        <v>699768</v>
      </c>
      <c r="V25" s="13">
        <v>3037888</v>
      </c>
      <c r="W25" s="13">
        <v>66.207505999999995</v>
      </c>
      <c r="X25" s="13">
        <v>67.988172000000006</v>
      </c>
      <c r="Y25" s="13">
        <v>27.335218999999999</v>
      </c>
      <c r="Z25" s="13">
        <v>33.162247000000001</v>
      </c>
      <c r="AA25" s="13">
        <v>32.595975000000003</v>
      </c>
      <c r="AB25" s="13">
        <v>1053.7</v>
      </c>
      <c r="AC25" s="13">
        <v>1400.97</v>
      </c>
      <c r="AD25" s="13">
        <v>39.353999999999999</v>
      </c>
      <c r="AE25" s="13">
        <v>20.395</v>
      </c>
      <c r="AG25" s="11">
        <f t="shared" si="6"/>
        <v>4.3792574999999996</v>
      </c>
      <c r="AH25" s="12">
        <f t="shared" si="7"/>
        <v>1.8662841051829079E-2</v>
      </c>
      <c r="AI25" s="12">
        <f t="shared" si="8"/>
        <v>6.5255907137454537E-3</v>
      </c>
      <c r="AJ25" s="12">
        <f t="shared" si="9"/>
        <v>3.7288222243660072E-3</v>
      </c>
      <c r="AK25" s="12">
        <f t="shared" si="10"/>
        <v>1.2137250338083626E-2</v>
      </c>
      <c r="AL25" s="54">
        <f t="shared" si="11"/>
        <v>1633320</v>
      </c>
      <c r="AM25" s="12">
        <v>16</v>
      </c>
      <c r="AN25" s="13">
        <v>23138864</v>
      </c>
      <c r="AO25" s="13">
        <v>723089.5</v>
      </c>
      <c r="AP25" s="13">
        <v>14043.03125</v>
      </c>
      <c r="AQ25" s="13">
        <v>4671208</v>
      </c>
      <c r="AR25" s="13">
        <v>933304</v>
      </c>
      <c r="AS25" s="13">
        <v>700016</v>
      </c>
      <c r="AT25" s="13">
        <v>3037888</v>
      </c>
      <c r="AU25" s="13">
        <v>66.207505999999995</v>
      </c>
      <c r="AV25" s="13">
        <v>67.988172000000006</v>
      </c>
      <c r="AW25" s="13">
        <v>27.335218999999999</v>
      </c>
      <c r="AX25" s="13">
        <v>33.162247000000001</v>
      </c>
      <c r="AY25" s="13">
        <v>32.595975000000003</v>
      </c>
      <c r="AZ25" s="13"/>
      <c r="BA25" s="13"/>
      <c r="BB25" s="13"/>
      <c r="BC25" s="13"/>
      <c r="BE25" s="51">
        <f t="shared" si="12"/>
        <v>1.0001518610324591</v>
      </c>
      <c r="BF25" s="17">
        <f t="shared" si="13"/>
        <v>0</v>
      </c>
      <c r="BG25" s="17">
        <f t="shared" si="14"/>
        <v>3.4529324713206133E-5</v>
      </c>
      <c r="BH25" s="17">
        <f t="array" ref="BH25">AVERAGE(AL25:AL29/AQ25:AQ29) - AVERAGE(N25:N29/S25:S29)</f>
        <v>1.6982383296476611E-5</v>
      </c>
      <c r="BJ25" s="51">
        <f>IF( OR(ISBLANK(N25:N29),ISBLANK(AL25:AL29), ISBLANK(W25:W29),ISBLANK(AU25:AU29)), "·", bdRateExtend( N25:N29,W25:W29, AL25:AL29,AU25:AU29))</f>
        <v>1.0590213731953568E-4</v>
      </c>
      <c r="BK25" s="51">
        <f>IF( OR(ISBLANK(N25:N29),ISBLANK(AL25:AL29), ISBLANK(X25:X29),ISBLANK(AV25:AV29)), "·", bdRateExtend( N25:N29,X25:X29, AL25:AL29,AV25:AV29))</f>
        <v>9.7308263112383386E-5</v>
      </c>
      <c r="BL25" s="51">
        <f>IF( OR(ISBLANK(V25:V29),ISBLANK(AT25:AT29), ISBLANK(Y25:Y29),ISBLANK(AW25:AW29)), "·", bdRateExtend( V25:V29,Y25:Y29, AT25:AT29,AW25:AW29))</f>
        <v>0</v>
      </c>
      <c r="BM25" s="51">
        <f>IF( OR(ISBLANK(V25:V29),ISBLANK(AT25:AT29), ISBLANK(Z25:Z29),ISBLANK(AX25:AX29)), "·", bdRateExtend( V25:V29,Z25:Z29, AT25:AT29,AX25:AX29))</f>
        <v>0</v>
      </c>
      <c r="BN25" s="51">
        <f>IF( OR(ISBLANK(V25:V29),ISBLANK(AT25:AT29), ISBLANK(AA25:AA29),ISBLANK(AY25:AY29)), "·", bdRateExtend( V25:V29,AA25:AA29, AT25:AT29,AY25:AY29))</f>
        <v>0</v>
      </c>
      <c r="BP25" s="51">
        <f>IF( OR(ISBLANK(S25:S29),ISBLANK(AQ25:AQ29), ISBLANK(W25:W29),ISBLANK(AU25:AU29)), "·", bdRateExtend( S25:S29,W25:W29, AQ25:AQ29,AU25:AU29))</f>
        <v>2.5269985922671268E-5</v>
      </c>
      <c r="BQ25" s="51">
        <f>IF( OR(ISBLANK(S25:S29),ISBLANK(AQ25:AQ29), ISBLANK(X25:X29),ISBLANK(AV25:AV29)), "·", bdRateExtend( S25:S29,X25:X29, AQ25:AQ29,AV25:AV29))</f>
        <v>2.2040257361854998E-5</v>
      </c>
      <c r="BR25" s="51">
        <f>IF( OR(ISBLANK(S25:S29),ISBLANK(AQ25:AQ29), ISBLANK(Y25:Y29),ISBLANK(AW25:AW29)), "·", bdRateExtend( S25:S29,Y25:Y29, AQ25:AQ29,AW25:AW29))</f>
        <v>2.0953484925145816E-5</v>
      </c>
      <c r="BS25" s="51">
        <f>IF( OR(ISBLANK(S25:S29),ISBLANK(AQ25:AQ29), ISBLANK(Z25:Z29),ISBLANK(AX25:AX29)), "·", bdRateExtend( S25:S29,Z25:Z29, AQ25:AQ29,AX25:AX29))</f>
        <v>1.8436577188474246E-5</v>
      </c>
      <c r="BT25" s="51">
        <f>IF( OR(ISBLANK(S25:S29),ISBLANK(AQ25:AQ29), ISBLANK(AA25:AA29),ISBLANK(AY25:AY29)), "·", bdRateExtend( S25:S29,AA25:AA29, AQ25:AQ29,AY25:AY29))</f>
        <v>1.9422735773710897E-5</v>
      </c>
    </row>
    <row r="26" spans="1:76" outlineLevel="1">
      <c r="A26" s="18"/>
      <c r="B26" s="18" t="s">
        <v>71</v>
      </c>
      <c r="C26" s="19" t="s">
        <v>231</v>
      </c>
      <c r="D26" s="18">
        <v>250294582</v>
      </c>
      <c r="E26" s="19">
        <v>10</v>
      </c>
      <c r="F26" s="19">
        <v>32</v>
      </c>
      <c r="G26" s="19">
        <v>30</v>
      </c>
      <c r="I26" s="20">
        <f t="shared" si="0"/>
        <v>7.5057</v>
      </c>
      <c r="J26" s="21">
        <f t="shared" si="1"/>
        <v>3.1986629259118361E-2</v>
      </c>
      <c r="K26" s="21">
        <f t="shared" si="2"/>
        <v>8.0470299592821388E-3</v>
      </c>
      <c r="L26" s="21">
        <f t="shared" si="3"/>
        <v>5.2512523023770449E-3</v>
      </c>
      <c r="M26" s="21">
        <f t="shared" si="4"/>
        <v>2.3939599299836224E-2</v>
      </c>
      <c r="N26" s="18">
        <f t="shared" si="5"/>
        <v>2014128</v>
      </c>
      <c r="O26" s="21">
        <v>16</v>
      </c>
      <c r="P26" s="22">
        <v>24580782</v>
      </c>
      <c r="Q26" s="22">
        <v>768149.4375</v>
      </c>
      <c r="R26" s="22">
        <v>17704.59375</v>
      </c>
      <c r="S26" s="22">
        <v>8006080</v>
      </c>
      <c r="T26" s="22">
        <v>1314360</v>
      </c>
      <c r="U26" s="22">
        <v>699768</v>
      </c>
      <c r="V26" s="22">
        <v>5991952</v>
      </c>
      <c r="W26" s="22">
        <v>67.944759000000005</v>
      </c>
      <c r="X26" s="22">
        <v>69.940765999999996</v>
      </c>
      <c r="Y26" s="22">
        <v>29.715297</v>
      </c>
      <c r="Z26" s="22">
        <v>34.340350000000001</v>
      </c>
      <c r="AA26" s="22">
        <v>33.890666000000003</v>
      </c>
      <c r="AB26" s="22">
        <v>878.27200000000005</v>
      </c>
      <c r="AC26" s="22">
        <v>1053.02</v>
      </c>
      <c r="AD26" s="22">
        <v>35.756</v>
      </c>
      <c r="AE26" s="22">
        <v>15.093</v>
      </c>
      <c r="AG26" s="20">
        <f t="shared" si="6"/>
        <v>7.5059325000000001</v>
      </c>
      <c r="AH26" s="21">
        <f t="shared" si="7"/>
        <v>3.1987620091592714E-2</v>
      </c>
      <c r="AI26" s="21">
        <f t="shared" si="8"/>
        <v>8.0480207917564914E-3</v>
      </c>
      <c r="AJ26" s="21">
        <f t="shared" si="9"/>
        <v>5.2512523023770449E-3</v>
      </c>
      <c r="AK26" s="21">
        <f t="shared" si="10"/>
        <v>2.3939599299836224E-2</v>
      </c>
      <c r="AL26" s="18">
        <f t="shared" si="11"/>
        <v>2014376</v>
      </c>
      <c r="AM26" s="21">
        <v>16</v>
      </c>
      <c r="AN26" s="22">
        <v>24580782</v>
      </c>
      <c r="AO26" s="22">
        <v>768149.4375</v>
      </c>
      <c r="AP26" s="22">
        <v>17704.59375</v>
      </c>
      <c r="AQ26" s="22">
        <v>8006328</v>
      </c>
      <c r="AR26" s="22">
        <v>1314360</v>
      </c>
      <c r="AS26" s="22">
        <v>700016</v>
      </c>
      <c r="AT26" s="22">
        <v>5991952</v>
      </c>
      <c r="AU26" s="22">
        <v>67.944759000000005</v>
      </c>
      <c r="AV26" s="22">
        <v>69.940765999999996</v>
      </c>
      <c r="AW26" s="22">
        <v>29.715297</v>
      </c>
      <c r="AX26" s="22">
        <v>34.340350000000001</v>
      </c>
      <c r="AY26" s="22">
        <v>33.890666000000003</v>
      </c>
      <c r="AZ26" s="22"/>
      <c r="BA26" s="22"/>
      <c r="BB26" s="22"/>
      <c r="BC26" s="22"/>
      <c r="BE26" s="50">
        <f t="shared" si="12"/>
        <v>1.0001231302082092</v>
      </c>
      <c r="BF26" s="26">
        <f t="shared" si="13"/>
        <v>0</v>
      </c>
      <c r="BG26" s="26">
        <f t="shared" si="14"/>
        <v>2.3182843473190662E-5</v>
      </c>
      <c r="BH26" s="26"/>
      <c r="BJ26" s="50"/>
      <c r="BK26" s="50"/>
      <c r="BL26" s="50"/>
      <c r="BM26" s="50"/>
      <c r="BN26" s="50"/>
      <c r="BP26" s="50"/>
      <c r="BQ26" s="50"/>
      <c r="BR26" s="50"/>
      <c r="BS26" s="50"/>
      <c r="BT26" s="50"/>
    </row>
    <row r="27" spans="1:76" outlineLevel="1">
      <c r="A27" s="54"/>
      <c r="B27" s="54" t="s">
        <v>71</v>
      </c>
      <c r="C27" s="10" t="s">
        <v>232</v>
      </c>
      <c r="D27" s="54">
        <v>250294582</v>
      </c>
      <c r="E27" s="10">
        <v>10</v>
      </c>
      <c r="F27" s="10">
        <v>32</v>
      </c>
      <c r="G27" s="10">
        <v>30</v>
      </c>
      <c r="I27" s="11">
        <f t="shared" si="0"/>
        <v>13.203457500000001</v>
      </c>
      <c r="J27" s="12">
        <f t="shared" si="1"/>
        <v>5.6268449310660669E-2</v>
      </c>
      <c r="K27" s="12">
        <f t="shared" si="2"/>
        <v>1.0346688207577741E-2</v>
      </c>
      <c r="L27" s="12">
        <f t="shared" si="3"/>
        <v>7.5509105506726473E-3</v>
      </c>
      <c r="M27" s="12">
        <f t="shared" si="4"/>
        <v>4.592176110308293E-2</v>
      </c>
      <c r="N27" s="54">
        <f t="shared" si="5"/>
        <v>2589720</v>
      </c>
      <c r="O27" s="12">
        <v>16</v>
      </c>
      <c r="P27" s="13">
        <v>24854017</v>
      </c>
      <c r="Q27" s="13">
        <v>776688.03125</v>
      </c>
      <c r="R27" s="13">
        <v>18708.96875</v>
      </c>
      <c r="S27" s="13">
        <v>14083688</v>
      </c>
      <c r="T27" s="13">
        <v>1889952</v>
      </c>
      <c r="U27" s="13">
        <v>699768</v>
      </c>
      <c r="V27" s="13">
        <v>11493968</v>
      </c>
      <c r="W27" s="13">
        <v>69.264531000000005</v>
      </c>
      <c r="X27" s="13">
        <v>71.652259000000001</v>
      </c>
      <c r="Y27" s="13">
        <v>32.214365999999998</v>
      </c>
      <c r="Z27" s="13">
        <v>35.579177999999999</v>
      </c>
      <c r="AA27" s="13">
        <v>35.202005999999997</v>
      </c>
      <c r="AB27" s="13">
        <v>1017.08</v>
      </c>
      <c r="AC27" s="13">
        <v>1505.92</v>
      </c>
      <c r="AD27" s="13">
        <v>41.356999999999999</v>
      </c>
      <c r="AE27" s="13">
        <v>21.312999999999999</v>
      </c>
      <c r="AG27" s="11">
        <f t="shared" si="6"/>
        <v>13.20369</v>
      </c>
      <c r="AH27" s="12">
        <f t="shared" si="7"/>
        <v>5.6269440143135022E-2</v>
      </c>
      <c r="AI27" s="12">
        <f t="shared" si="8"/>
        <v>1.0347679040052094E-2</v>
      </c>
      <c r="AJ27" s="12">
        <f t="shared" si="9"/>
        <v>7.5509105506726473E-3</v>
      </c>
      <c r="AK27" s="12">
        <f t="shared" si="10"/>
        <v>4.592176110308293E-2</v>
      </c>
      <c r="AL27" s="54">
        <f t="shared" si="11"/>
        <v>2589968</v>
      </c>
      <c r="AM27" s="12">
        <v>16</v>
      </c>
      <c r="AN27" s="13">
        <v>24854017</v>
      </c>
      <c r="AO27" s="13">
        <v>776688.03125</v>
      </c>
      <c r="AP27" s="13">
        <v>18708.96875</v>
      </c>
      <c r="AQ27" s="13">
        <v>14083936</v>
      </c>
      <c r="AR27" s="13">
        <v>1889952</v>
      </c>
      <c r="AS27" s="13">
        <v>700016</v>
      </c>
      <c r="AT27" s="13">
        <v>11493968</v>
      </c>
      <c r="AU27" s="13">
        <v>69.264531000000005</v>
      </c>
      <c r="AV27" s="13">
        <v>71.652259000000001</v>
      </c>
      <c r="AW27" s="13">
        <v>32.214365999999998</v>
      </c>
      <c r="AX27" s="13">
        <v>35.579177999999999</v>
      </c>
      <c r="AY27" s="13">
        <v>35.202005999999997</v>
      </c>
      <c r="AZ27" s="13"/>
      <c r="BA27" s="13"/>
      <c r="BB27" s="13"/>
      <c r="BC27" s="13"/>
      <c r="BE27" s="51">
        <f t="shared" si="12"/>
        <v>1.0000957632485366</v>
      </c>
      <c r="BF27" s="17">
        <f t="shared" si="13"/>
        <v>0</v>
      </c>
      <c r="BG27" s="17">
        <f t="shared" si="14"/>
        <v>1.4370809294117493E-5</v>
      </c>
      <c r="BH27" s="17"/>
      <c r="BJ27" s="51"/>
      <c r="BK27" s="51"/>
      <c r="BL27" s="51"/>
      <c r="BM27" s="51"/>
      <c r="BN27" s="51"/>
      <c r="BP27" s="51"/>
      <c r="BQ27" s="51"/>
      <c r="BR27" s="51"/>
      <c r="BS27" s="51"/>
      <c r="BT27" s="51"/>
    </row>
    <row r="28" spans="1:76" outlineLevel="1">
      <c r="A28" s="18"/>
      <c r="B28" s="18" t="s">
        <v>71</v>
      </c>
      <c r="C28" s="19" t="s">
        <v>233</v>
      </c>
      <c r="D28" s="18">
        <v>250294582</v>
      </c>
      <c r="E28" s="19">
        <v>10</v>
      </c>
      <c r="F28" s="19">
        <v>32</v>
      </c>
      <c r="G28" s="19">
        <v>30</v>
      </c>
      <c r="I28" s="20">
        <f t="shared" si="0"/>
        <v>24.466882500000001</v>
      </c>
      <c r="J28" s="21">
        <f t="shared" si="1"/>
        <v>0.10426916871896172</v>
      </c>
      <c r="K28" s="21">
        <f t="shared" si="2"/>
        <v>1.419952430292718E-2</v>
      </c>
      <c r="L28" s="21">
        <f t="shared" si="3"/>
        <v>1.1403746646022086E-2</v>
      </c>
      <c r="M28" s="21">
        <f t="shared" si="4"/>
        <v>9.0069644416034544E-2</v>
      </c>
      <c r="N28" s="18">
        <f t="shared" si="5"/>
        <v>3554064</v>
      </c>
      <c r="O28" s="21">
        <v>16</v>
      </c>
      <c r="P28" s="22">
        <v>25513364</v>
      </c>
      <c r="Q28" s="22">
        <v>797292.625</v>
      </c>
      <c r="R28" s="22">
        <v>20938.9375</v>
      </c>
      <c r="S28" s="22">
        <v>26098008</v>
      </c>
      <c r="T28" s="22">
        <v>2854296</v>
      </c>
      <c r="U28" s="22">
        <v>699768</v>
      </c>
      <c r="V28" s="22">
        <v>22543944</v>
      </c>
      <c r="W28" s="22">
        <v>70.431272000000007</v>
      </c>
      <c r="X28" s="22">
        <v>72.970453000000006</v>
      </c>
      <c r="Y28" s="22">
        <v>34.908571999999999</v>
      </c>
      <c r="Z28" s="22">
        <v>37.368456000000002</v>
      </c>
      <c r="AA28" s="22">
        <v>36.935197000000002</v>
      </c>
      <c r="AB28" s="22">
        <v>1032.3399999999999</v>
      </c>
      <c r="AC28" s="22">
        <v>1782.44</v>
      </c>
      <c r="AD28" s="22">
        <v>46.497999999999998</v>
      </c>
      <c r="AE28" s="22">
        <v>23.407</v>
      </c>
      <c r="AG28" s="20">
        <f t="shared" si="6"/>
        <v>24.467115</v>
      </c>
      <c r="AH28" s="21">
        <f t="shared" si="7"/>
        <v>0.10427015955143608</v>
      </c>
      <c r="AI28" s="21">
        <f t="shared" si="8"/>
        <v>1.4200515135401532E-2</v>
      </c>
      <c r="AJ28" s="21">
        <f t="shared" si="9"/>
        <v>1.1403746646022086E-2</v>
      </c>
      <c r="AK28" s="21">
        <f t="shared" si="10"/>
        <v>9.0069644416034544E-2</v>
      </c>
      <c r="AL28" s="18">
        <f t="shared" si="11"/>
        <v>3554312</v>
      </c>
      <c r="AM28" s="21">
        <v>16</v>
      </c>
      <c r="AN28" s="22">
        <v>25513364</v>
      </c>
      <c r="AO28" s="22">
        <v>797292.625</v>
      </c>
      <c r="AP28" s="22">
        <v>20938.9375</v>
      </c>
      <c r="AQ28" s="22">
        <v>26098256</v>
      </c>
      <c r="AR28" s="22">
        <v>2854296</v>
      </c>
      <c r="AS28" s="22">
        <v>700016</v>
      </c>
      <c r="AT28" s="22">
        <v>22543944</v>
      </c>
      <c r="AU28" s="22">
        <v>70.431272000000007</v>
      </c>
      <c r="AV28" s="22">
        <v>72.970453000000006</v>
      </c>
      <c r="AW28" s="22">
        <v>34.908571999999999</v>
      </c>
      <c r="AX28" s="22">
        <v>37.368456000000002</v>
      </c>
      <c r="AY28" s="22">
        <v>36.935197000000002</v>
      </c>
      <c r="AZ28" s="22"/>
      <c r="BA28" s="22"/>
      <c r="BB28" s="22"/>
      <c r="BC28" s="22"/>
      <c r="BE28" s="50">
        <f t="shared" si="12"/>
        <v>1.0000697792724047</v>
      </c>
      <c r="BF28" s="26">
        <f t="shared" si="13"/>
        <v>0</v>
      </c>
      <c r="BG28" s="26">
        <f t="shared" si="14"/>
        <v>8.2084797478898519E-6</v>
      </c>
      <c r="BH28" s="26"/>
      <c r="BJ28" s="50"/>
      <c r="BK28" s="50"/>
      <c r="BL28" s="50"/>
      <c r="BM28" s="50"/>
      <c r="BN28" s="50"/>
      <c r="BP28" s="50"/>
      <c r="BQ28" s="50"/>
      <c r="BR28" s="50"/>
      <c r="BS28" s="50"/>
      <c r="BT28" s="50"/>
    </row>
    <row r="29" spans="1:76" ht="16" outlineLevel="1" thickBot="1">
      <c r="A29" s="27"/>
      <c r="B29" s="27" t="s">
        <v>71</v>
      </c>
      <c r="C29" s="28" t="s">
        <v>234</v>
      </c>
      <c r="D29" s="27">
        <v>250294582</v>
      </c>
      <c r="E29" s="28">
        <v>10</v>
      </c>
      <c r="F29" s="28">
        <v>32</v>
      </c>
      <c r="G29" s="28">
        <v>30</v>
      </c>
      <c r="I29" s="29">
        <f t="shared" si="0"/>
        <v>44.1899175</v>
      </c>
      <c r="J29" s="30">
        <f t="shared" si="1"/>
        <v>0.18832174321695866</v>
      </c>
      <c r="K29" s="30">
        <f t="shared" si="2"/>
        <v>2.2939785408539127E-2</v>
      </c>
      <c r="L29" s="30">
        <f t="shared" si="3"/>
        <v>1.7641484544799295E-2</v>
      </c>
      <c r="M29" s="30">
        <f t="shared" si="4"/>
        <v>0.16538195780841952</v>
      </c>
      <c r="N29" s="27">
        <f t="shared" si="5"/>
        <v>5741704</v>
      </c>
      <c r="O29" s="30">
        <v>16</v>
      </c>
      <c r="P29" s="31">
        <v>24573689</v>
      </c>
      <c r="Q29" s="31">
        <v>767927.78125</v>
      </c>
      <c r="R29" s="31">
        <v>9762.53125</v>
      </c>
      <c r="S29" s="31">
        <v>47135912</v>
      </c>
      <c r="T29" s="31">
        <v>4415568</v>
      </c>
      <c r="U29" s="31">
        <v>1326136</v>
      </c>
      <c r="V29" s="31">
        <v>41394208</v>
      </c>
      <c r="W29" s="31">
        <v>71.151606000000001</v>
      </c>
      <c r="X29" s="31">
        <v>74.903306000000001</v>
      </c>
      <c r="Y29" s="31">
        <v>37.368509000000003</v>
      </c>
      <c r="Z29" s="31">
        <v>39.408155999999998</v>
      </c>
      <c r="AA29" s="31">
        <v>38.764840999999997</v>
      </c>
      <c r="AB29" s="31">
        <v>1007.62</v>
      </c>
      <c r="AC29" s="31">
        <v>2007.52</v>
      </c>
      <c r="AD29" s="31">
        <v>41.817</v>
      </c>
      <c r="AE29" s="31">
        <v>26.51</v>
      </c>
      <c r="AG29" s="29">
        <f t="shared" si="6"/>
        <v>44.190150000000003</v>
      </c>
      <c r="AH29" s="30">
        <f t="shared" si="7"/>
        <v>0.188322734049433</v>
      </c>
      <c r="AI29" s="30">
        <f t="shared" si="8"/>
        <v>2.294077624101348E-2</v>
      </c>
      <c r="AJ29" s="30">
        <f t="shared" si="9"/>
        <v>1.7641484544799295E-2</v>
      </c>
      <c r="AK29" s="30">
        <f t="shared" si="10"/>
        <v>0.16538195780841952</v>
      </c>
      <c r="AL29" s="27">
        <f t="shared" si="11"/>
        <v>5741952</v>
      </c>
      <c r="AM29" s="30">
        <v>16</v>
      </c>
      <c r="AN29" s="31">
        <v>24573689</v>
      </c>
      <c r="AO29" s="31">
        <v>767927.78125</v>
      </c>
      <c r="AP29" s="31">
        <v>9762.53125</v>
      </c>
      <c r="AQ29" s="31">
        <v>47136160</v>
      </c>
      <c r="AR29" s="31">
        <v>4415568</v>
      </c>
      <c r="AS29" s="31">
        <v>1326384</v>
      </c>
      <c r="AT29" s="31">
        <v>41394208</v>
      </c>
      <c r="AU29" s="31">
        <v>71.151606000000001</v>
      </c>
      <c r="AV29" s="31">
        <v>74.903306000000001</v>
      </c>
      <c r="AW29" s="31">
        <v>37.368509000000003</v>
      </c>
      <c r="AX29" s="31">
        <v>39.408155999999998</v>
      </c>
      <c r="AY29" s="31">
        <v>38.764840999999997</v>
      </c>
      <c r="AZ29" s="31"/>
      <c r="BA29" s="31"/>
      <c r="BB29" s="31"/>
      <c r="BC29" s="31"/>
      <c r="BE29" s="35">
        <f t="shared" si="12"/>
        <v>1.0000431927525348</v>
      </c>
      <c r="BF29" s="36">
        <f t="shared" si="13"/>
        <v>0</v>
      </c>
      <c r="BG29" s="36">
        <f t="shared" si="14"/>
        <v>4.6204592539927924E-6</v>
      </c>
      <c r="BH29" s="36"/>
      <c r="BJ29" s="35"/>
      <c r="BK29" s="35"/>
      <c r="BL29" s="35"/>
      <c r="BM29" s="35"/>
      <c r="BN29" s="35"/>
      <c r="BP29" s="35"/>
      <c r="BQ29" s="35"/>
      <c r="BR29" s="35"/>
      <c r="BS29" s="35"/>
      <c r="BT29" s="35"/>
    </row>
    <row r="30" spans="1:76">
      <c r="A30" s="18" t="s">
        <v>236</v>
      </c>
      <c r="B30" s="18" t="s">
        <v>75</v>
      </c>
      <c r="C30" s="19" t="s">
        <v>230</v>
      </c>
      <c r="D30" s="18">
        <v>375422539</v>
      </c>
      <c r="E30" s="19">
        <v>11</v>
      </c>
      <c r="F30" s="19">
        <v>10</v>
      </c>
      <c r="G30" s="19">
        <v>30</v>
      </c>
      <c r="I30" s="20">
        <f t="shared" si="0"/>
        <v>5.5450799999999996</v>
      </c>
      <c r="J30" s="21">
        <f t="shared" si="1"/>
        <v>4.9234124432790119E-3</v>
      </c>
      <c r="K30" s="21">
        <f t="shared" si="2"/>
        <v>3.0094303954403762E-3</v>
      </c>
      <c r="L30" s="21">
        <f t="shared" si="3"/>
        <v>1.8745384916807033E-3</v>
      </c>
      <c r="M30" s="21">
        <f t="shared" si="4"/>
        <v>1.9139820478386354E-3</v>
      </c>
      <c r="N30" s="18">
        <f t="shared" si="5"/>
        <v>1129808</v>
      </c>
      <c r="O30" s="21">
        <v>16</v>
      </c>
      <c r="P30" s="22">
        <v>26177974</v>
      </c>
      <c r="Q30" s="22">
        <v>2617797.4</v>
      </c>
      <c r="R30" s="22">
        <v>31010.1</v>
      </c>
      <c r="S30" s="22">
        <v>1848360</v>
      </c>
      <c r="T30" s="22">
        <v>703744</v>
      </c>
      <c r="U30" s="22">
        <v>426064</v>
      </c>
      <c r="V30" s="22">
        <v>718552</v>
      </c>
      <c r="W30" s="22">
        <v>73.489350000000002</v>
      </c>
      <c r="X30" s="22">
        <v>75.680970000000002</v>
      </c>
      <c r="Y30" s="22">
        <v>34.57432</v>
      </c>
      <c r="Z30" s="22">
        <v>41.833710000000004</v>
      </c>
      <c r="AA30" s="22">
        <v>43.57403</v>
      </c>
      <c r="AB30" s="22">
        <v>867.92</v>
      </c>
      <c r="AC30" s="22">
        <v>757.34</v>
      </c>
      <c r="AD30" s="22">
        <v>39.231000000000002</v>
      </c>
      <c r="AE30" s="22">
        <v>10.861000000000001</v>
      </c>
      <c r="AG30" s="20">
        <f t="shared" si="6"/>
        <v>5.5452959999999996</v>
      </c>
      <c r="AH30" s="21">
        <f t="shared" si="7"/>
        <v>4.9236042271825348E-3</v>
      </c>
      <c r="AI30" s="21">
        <f t="shared" si="8"/>
        <v>3.0096221793438991E-3</v>
      </c>
      <c r="AJ30" s="21">
        <f t="shared" si="9"/>
        <v>1.8745384916807033E-3</v>
      </c>
      <c r="AK30" s="21">
        <f t="shared" si="10"/>
        <v>1.9139820478386354E-3</v>
      </c>
      <c r="AL30" s="18">
        <f t="shared" si="11"/>
        <v>1129880</v>
      </c>
      <c r="AM30" s="21">
        <v>16</v>
      </c>
      <c r="AN30" s="22">
        <v>26177974</v>
      </c>
      <c r="AO30" s="22">
        <v>2617797.4</v>
      </c>
      <c r="AP30" s="22">
        <v>31010.1</v>
      </c>
      <c r="AQ30" s="22">
        <v>1848432</v>
      </c>
      <c r="AR30" s="22">
        <v>703744</v>
      </c>
      <c r="AS30" s="22">
        <v>426136</v>
      </c>
      <c r="AT30" s="22">
        <v>718552</v>
      </c>
      <c r="AU30" s="22">
        <v>73.489350000000002</v>
      </c>
      <c r="AV30" s="22">
        <v>75.680970000000002</v>
      </c>
      <c r="AW30" s="22">
        <v>34.57432</v>
      </c>
      <c r="AX30" s="22">
        <v>41.833710000000004</v>
      </c>
      <c r="AY30" s="22">
        <v>43.57403</v>
      </c>
      <c r="AZ30" s="22"/>
      <c r="BA30" s="22"/>
      <c r="BB30" s="22"/>
      <c r="BC30" s="22"/>
      <c r="BE30" s="50">
        <f t="shared" si="12"/>
        <v>1.0000637276422188</v>
      </c>
      <c r="BF30" s="26">
        <f t="shared" si="13"/>
        <v>0</v>
      </c>
      <c r="BG30" s="26">
        <f t="shared" si="14"/>
        <v>1.5142607277085496E-5</v>
      </c>
      <c r="BH30" s="26">
        <f t="array" ref="BH30">AVERAGE(AL30:AL34/AQ30:AQ34) - AVERAGE(N30:N34/S30:S34)</f>
        <v>9.7129841724608035E-6</v>
      </c>
      <c r="BJ30" s="50">
        <f>IF( OR(ISBLANK(N30:N34),ISBLANK(AL30:AL34), ISBLANK(W30:W34),ISBLANK(AU30:AU34)), "·", bdRateExtend( N30:N34,W30:W34, AL30:AL34,AU30:AU34))</f>
        <v>4.3755098446007779E-5</v>
      </c>
      <c r="BK30" s="50">
        <f>IF( OR(ISBLANK(N30:N34),ISBLANK(AL30:AL34), ISBLANK(X30:X34),ISBLANK(AV30:AV34)), "·", bdRateExtend( N30:N34,X30:X34, AL30:AL34,AV30:AV34))</f>
        <v>4.1754422573481165E-5</v>
      </c>
      <c r="BL30" s="50">
        <f>IF( OR(ISBLANK(V30:V34),ISBLANK(AT30:AT34), ISBLANK(Y30:Y34),ISBLANK(AW30:AW34)), "·", bdRateExtend( V30:V34,Y30:Y34, AT30:AT34,AW30:AW34))</f>
        <v>0</v>
      </c>
      <c r="BM30" s="50">
        <f>IF( OR(ISBLANK(V30:V34),ISBLANK(AT30:AT34), ISBLANK(Z30:Z34),ISBLANK(AX30:AX34)), "·", bdRateExtend( V30:V34,Z30:Z34, AT30:AT34,AX30:AX34))</f>
        <v>0</v>
      </c>
      <c r="BN30" s="50">
        <f>IF( OR(ISBLANK(V30:V34),ISBLANK(AT30:AT34), ISBLANK(AA30:AA34),ISBLANK(AY30:AY34)), "·", bdRateExtend( V30:V34,AA30:AA34, AT30:AT34,AY30:AY34))</f>
        <v>0</v>
      </c>
      <c r="BP30" s="50">
        <f>IF( OR(ISBLANK(S30:S34),ISBLANK(AQ30:AQ34), ISBLANK(W30:W34),ISBLANK(AU30:AU34)), "·", bdRateExtend( S30:S34,W30:W34, AQ30:AQ34,AU30:AU34))</f>
        <v>2.125250385764943E-5</v>
      </c>
      <c r="BQ30" s="50">
        <f>IF( OR(ISBLANK(S30:S34),ISBLANK(AQ30:AQ34), ISBLANK(X30:X34),ISBLANK(AV30:AV34)), "·", bdRateExtend( S30:S34,X30:X34, AQ30:AQ34,AV30:AV34))</f>
        <v>1.9840316398234137E-5</v>
      </c>
      <c r="BR30" s="50">
        <f>IF( OR(ISBLANK(S30:S34),ISBLANK(AQ30:AQ34), ISBLANK(Y30:Y34),ISBLANK(AW30:AW34)), "·", bdRateExtend( S30:S34,Y30:Y34, AQ30:AQ34,AW30:AW34))</f>
        <v>1.9804996156835841E-5</v>
      </c>
      <c r="BS30" s="50">
        <f>IF( OR(ISBLANK(S30:S34),ISBLANK(AQ30:AQ34), ISBLANK(Z30:Z34),ISBLANK(AX30:AX34)), "·", bdRateExtend( S30:S34,Z30:Z34, AQ30:AQ34,AX30:AX34))</f>
        <v>1.7258179965340403E-5</v>
      </c>
      <c r="BT30" s="50">
        <f>IF( OR(ISBLANK(S30:S34),ISBLANK(AQ30:AQ34), ISBLANK(AA30:AA34),ISBLANK(AY30:AY34)), "·", bdRateExtend( S30:S34,AA30:AA34, AQ30:AQ34,AY30:AY34))</f>
        <v>1.838394367137397E-5</v>
      </c>
    </row>
    <row r="31" spans="1:76" outlineLevel="1">
      <c r="A31" s="54"/>
      <c r="B31" s="54" t="s">
        <v>75</v>
      </c>
      <c r="C31" s="10" t="s">
        <v>231</v>
      </c>
      <c r="D31" s="54">
        <v>375422539</v>
      </c>
      <c r="E31" s="10">
        <v>11</v>
      </c>
      <c r="F31" s="10">
        <v>10</v>
      </c>
      <c r="G31" s="10">
        <v>30</v>
      </c>
      <c r="I31" s="11">
        <f t="shared" si="0"/>
        <v>7.9759200000000003</v>
      </c>
      <c r="J31" s="12">
        <f t="shared" si="1"/>
        <v>7.0817271842061671E-3</v>
      </c>
      <c r="K31" s="12">
        <f t="shared" si="2"/>
        <v>3.7055633465842602E-3</v>
      </c>
      <c r="L31" s="12">
        <f t="shared" si="3"/>
        <v>2.5706714428245874E-3</v>
      </c>
      <c r="M31" s="12">
        <f t="shared" si="4"/>
        <v>3.3761638376219069E-3</v>
      </c>
      <c r="N31" s="54">
        <f t="shared" si="5"/>
        <v>1391152</v>
      </c>
      <c r="O31" s="12">
        <v>16</v>
      </c>
      <c r="P31" s="13">
        <v>27910119</v>
      </c>
      <c r="Q31" s="13">
        <v>2791011.9</v>
      </c>
      <c r="R31" s="13">
        <v>39066.300000000003</v>
      </c>
      <c r="S31" s="13">
        <v>2658640</v>
      </c>
      <c r="T31" s="13">
        <v>965088</v>
      </c>
      <c r="U31" s="13">
        <v>426064</v>
      </c>
      <c r="V31" s="13">
        <v>1267488</v>
      </c>
      <c r="W31" s="13">
        <v>75.191879999999998</v>
      </c>
      <c r="X31" s="13">
        <v>77.558199999999999</v>
      </c>
      <c r="Y31" s="13">
        <v>36.460900000000002</v>
      </c>
      <c r="Z31" s="13">
        <v>42.352899999999998</v>
      </c>
      <c r="AA31" s="13">
        <v>44.874989999999997</v>
      </c>
      <c r="AB31" s="13">
        <v>944.51</v>
      </c>
      <c r="AC31" s="13">
        <v>863.27599999999995</v>
      </c>
      <c r="AD31" s="13">
        <v>46.350999999999999</v>
      </c>
      <c r="AE31" s="13">
        <v>12.180999999999999</v>
      </c>
      <c r="AG31" s="11">
        <f t="shared" si="6"/>
        <v>7.9761360000000003</v>
      </c>
      <c r="AH31" s="12">
        <f t="shared" si="7"/>
        <v>7.0819189681096901E-3</v>
      </c>
      <c r="AI31" s="12">
        <f t="shared" si="8"/>
        <v>3.7057551304877836E-3</v>
      </c>
      <c r="AJ31" s="12">
        <f t="shared" si="9"/>
        <v>2.5706714428245874E-3</v>
      </c>
      <c r="AK31" s="12">
        <f t="shared" si="10"/>
        <v>3.3761638376219069E-3</v>
      </c>
      <c r="AL31" s="54">
        <f t="shared" si="11"/>
        <v>1391224</v>
      </c>
      <c r="AM31" s="12">
        <v>16</v>
      </c>
      <c r="AN31" s="13">
        <v>27910119</v>
      </c>
      <c r="AO31" s="13">
        <v>2791011.9</v>
      </c>
      <c r="AP31" s="13">
        <v>39066.300000000003</v>
      </c>
      <c r="AQ31" s="13">
        <v>2658712</v>
      </c>
      <c r="AR31" s="13">
        <v>965088</v>
      </c>
      <c r="AS31" s="13">
        <v>426136</v>
      </c>
      <c r="AT31" s="13">
        <v>1267488</v>
      </c>
      <c r="AU31" s="13">
        <v>75.191879999999998</v>
      </c>
      <c r="AV31" s="13">
        <v>77.558199999999999</v>
      </c>
      <c r="AW31" s="13">
        <v>36.460900000000002</v>
      </c>
      <c r="AX31" s="13">
        <v>42.352899999999998</v>
      </c>
      <c r="AY31" s="13">
        <v>44.874989999999997</v>
      </c>
      <c r="AZ31" s="13"/>
      <c r="BA31" s="13"/>
      <c r="BB31" s="13"/>
      <c r="BC31" s="13"/>
      <c r="BE31" s="51">
        <f t="shared" si="12"/>
        <v>1.0000517556672457</v>
      </c>
      <c r="BF31" s="17">
        <f t="shared" si="13"/>
        <v>0</v>
      </c>
      <c r="BG31" s="17">
        <f t="shared" si="14"/>
        <v>1.291057314301014E-5</v>
      </c>
      <c r="BH31" s="17"/>
      <c r="BJ31" s="51"/>
      <c r="BK31" s="51"/>
      <c r="BL31" s="51"/>
      <c r="BM31" s="51"/>
      <c r="BN31" s="51"/>
      <c r="BP31" s="51"/>
      <c r="BQ31" s="51"/>
      <c r="BR31" s="51"/>
      <c r="BS31" s="51"/>
      <c r="BT31" s="51"/>
    </row>
    <row r="32" spans="1:76" outlineLevel="1">
      <c r="A32" s="18"/>
      <c r="B32" s="18" t="s">
        <v>75</v>
      </c>
      <c r="C32" s="19" t="s">
        <v>232</v>
      </c>
      <c r="D32" s="18">
        <v>375422539</v>
      </c>
      <c r="E32" s="19">
        <v>11</v>
      </c>
      <c r="F32" s="19">
        <v>10</v>
      </c>
      <c r="G32" s="19">
        <v>30</v>
      </c>
      <c r="I32" s="20">
        <f t="shared" si="0"/>
        <v>12.455615999999999</v>
      </c>
      <c r="J32" s="21">
        <f t="shared" si="1"/>
        <v>1.1059197487341058E-2</v>
      </c>
      <c r="K32" s="21">
        <f t="shared" si="2"/>
        <v>4.7118747976929538E-3</v>
      </c>
      <c r="L32" s="21">
        <f t="shared" si="3"/>
        <v>3.5769828939332809E-3</v>
      </c>
      <c r="M32" s="21">
        <f t="shared" si="4"/>
        <v>6.3473226896481032E-3</v>
      </c>
      <c r="N32" s="18">
        <f t="shared" si="5"/>
        <v>1768944</v>
      </c>
      <c r="O32" s="21">
        <v>16</v>
      </c>
      <c r="P32" s="22">
        <v>28438428</v>
      </c>
      <c r="Q32" s="22">
        <v>2843842.8</v>
      </c>
      <c r="R32" s="22">
        <v>42113.8</v>
      </c>
      <c r="S32" s="22">
        <v>4151872</v>
      </c>
      <c r="T32" s="22">
        <v>1342880</v>
      </c>
      <c r="U32" s="22">
        <v>426064</v>
      </c>
      <c r="V32" s="22">
        <v>2382928</v>
      </c>
      <c r="W32" s="22">
        <v>76.469800000000006</v>
      </c>
      <c r="X32" s="22">
        <v>79.123850000000004</v>
      </c>
      <c r="Y32" s="22">
        <v>38.191519999999997</v>
      </c>
      <c r="Z32" s="22">
        <v>42.848179999999999</v>
      </c>
      <c r="AA32" s="22">
        <v>46.052709999999998</v>
      </c>
      <c r="AB32" s="22">
        <v>819.80799999999999</v>
      </c>
      <c r="AC32" s="22">
        <v>822.08500000000004</v>
      </c>
      <c r="AD32" s="22">
        <v>41.058999999999997</v>
      </c>
      <c r="AE32" s="22">
        <v>10.906000000000001</v>
      </c>
      <c r="AG32" s="20">
        <f t="shared" si="6"/>
        <v>12.455831999999999</v>
      </c>
      <c r="AH32" s="21">
        <f t="shared" si="7"/>
        <v>1.105938927124458E-2</v>
      </c>
      <c r="AI32" s="21">
        <f t="shared" si="8"/>
        <v>4.7120665815964767E-3</v>
      </c>
      <c r="AJ32" s="21">
        <f t="shared" si="9"/>
        <v>3.5769828939332809E-3</v>
      </c>
      <c r="AK32" s="21">
        <f t="shared" si="10"/>
        <v>6.3473226896481032E-3</v>
      </c>
      <c r="AL32" s="18">
        <f t="shared" si="11"/>
        <v>1769016</v>
      </c>
      <c r="AM32" s="21">
        <v>16</v>
      </c>
      <c r="AN32" s="22">
        <v>28438428</v>
      </c>
      <c r="AO32" s="22">
        <v>2843842.8</v>
      </c>
      <c r="AP32" s="22">
        <v>42113.8</v>
      </c>
      <c r="AQ32" s="22">
        <v>4151944</v>
      </c>
      <c r="AR32" s="22">
        <v>1342880</v>
      </c>
      <c r="AS32" s="22">
        <v>426136</v>
      </c>
      <c r="AT32" s="22">
        <v>2382928</v>
      </c>
      <c r="AU32" s="22">
        <v>76.469800000000006</v>
      </c>
      <c r="AV32" s="22">
        <v>79.123850000000004</v>
      </c>
      <c r="AW32" s="22">
        <v>38.191519999999997</v>
      </c>
      <c r="AX32" s="22">
        <v>42.848179999999999</v>
      </c>
      <c r="AY32" s="22">
        <v>46.052709999999998</v>
      </c>
      <c r="AZ32" s="22"/>
      <c r="BA32" s="22"/>
      <c r="BB32" s="22"/>
      <c r="BC32" s="22"/>
      <c r="BE32" s="50">
        <f t="shared" si="12"/>
        <v>1.0000407022494775</v>
      </c>
      <c r="BF32" s="26">
        <f t="shared" si="13"/>
        <v>0</v>
      </c>
      <c r="BG32" s="26">
        <f t="shared" si="14"/>
        <v>9.952861795892165E-6</v>
      </c>
      <c r="BH32" s="26"/>
      <c r="BJ32" s="50"/>
      <c r="BK32" s="50"/>
      <c r="BL32" s="50"/>
      <c r="BM32" s="50"/>
      <c r="BN32" s="50"/>
      <c r="BP32" s="50"/>
      <c r="BQ32" s="50"/>
      <c r="BR32" s="50"/>
      <c r="BS32" s="50"/>
      <c r="BT32" s="50"/>
    </row>
    <row r="33" spans="1:72" outlineLevel="1">
      <c r="A33" s="54"/>
      <c r="B33" s="54" t="s">
        <v>75</v>
      </c>
      <c r="C33" s="10" t="s">
        <v>233</v>
      </c>
      <c r="D33" s="54">
        <v>375422539</v>
      </c>
      <c r="E33" s="10">
        <v>11</v>
      </c>
      <c r="F33" s="10">
        <v>10</v>
      </c>
      <c r="G33" s="10">
        <v>30</v>
      </c>
      <c r="I33" s="11">
        <f t="shared" si="0"/>
        <v>21.11712</v>
      </c>
      <c r="J33" s="12">
        <f t="shared" si="1"/>
        <v>1.874964678132977E-2</v>
      </c>
      <c r="K33" s="12">
        <f t="shared" si="2"/>
        <v>6.3891102712935414E-3</v>
      </c>
      <c r="L33" s="12">
        <f t="shared" si="3"/>
        <v>5.2542183675338685E-3</v>
      </c>
      <c r="M33" s="12">
        <f t="shared" si="4"/>
        <v>1.2360536510036229E-2</v>
      </c>
      <c r="N33" s="54">
        <f t="shared" si="5"/>
        <v>2398616</v>
      </c>
      <c r="O33" s="12">
        <v>16</v>
      </c>
      <c r="P33" s="13">
        <v>29099802</v>
      </c>
      <c r="Q33" s="13">
        <v>2909980.2</v>
      </c>
      <c r="R33" s="13">
        <v>46565.9</v>
      </c>
      <c r="S33" s="13">
        <v>7039040</v>
      </c>
      <c r="T33" s="13">
        <v>1972552</v>
      </c>
      <c r="U33" s="13">
        <v>426064</v>
      </c>
      <c r="V33" s="13">
        <v>4640424</v>
      </c>
      <c r="W33" s="13">
        <v>77.588589999999996</v>
      </c>
      <c r="X33" s="13">
        <v>80.302030000000002</v>
      </c>
      <c r="Y33" s="13">
        <v>39.781999999999996</v>
      </c>
      <c r="Z33" s="13">
        <v>43.568719999999999</v>
      </c>
      <c r="AA33" s="13">
        <v>47.686369999999997</v>
      </c>
      <c r="AB33" s="13">
        <v>923.45100000000002</v>
      </c>
      <c r="AC33" s="13">
        <v>965.56399999999996</v>
      </c>
      <c r="AD33" s="13">
        <v>45.777999999999999</v>
      </c>
      <c r="AE33" s="13">
        <v>12.872999999999999</v>
      </c>
      <c r="AG33" s="11">
        <f t="shared" si="6"/>
        <v>21.117336000000002</v>
      </c>
      <c r="AH33" s="12">
        <f t="shared" si="7"/>
        <v>1.8749838565233292E-2</v>
      </c>
      <c r="AI33" s="12">
        <f t="shared" si="8"/>
        <v>6.3893020551970643E-3</v>
      </c>
      <c r="AJ33" s="12">
        <f t="shared" si="9"/>
        <v>5.2542183675338685E-3</v>
      </c>
      <c r="AK33" s="12">
        <f t="shared" si="10"/>
        <v>1.2360536510036229E-2</v>
      </c>
      <c r="AL33" s="54">
        <f t="shared" si="11"/>
        <v>2398688</v>
      </c>
      <c r="AM33" s="12">
        <v>16</v>
      </c>
      <c r="AN33" s="13">
        <v>29099802</v>
      </c>
      <c r="AO33" s="13">
        <v>2909980.2</v>
      </c>
      <c r="AP33" s="13">
        <v>46565.9</v>
      </c>
      <c r="AQ33" s="13">
        <v>7039112</v>
      </c>
      <c r="AR33" s="13">
        <v>1972552</v>
      </c>
      <c r="AS33" s="13">
        <v>426136</v>
      </c>
      <c r="AT33" s="13">
        <v>4640424</v>
      </c>
      <c r="AU33" s="13">
        <v>77.588589999999996</v>
      </c>
      <c r="AV33" s="13">
        <v>80.302030000000002</v>
      </c>
      <c r="AW33" s="13">
        <v>39.781999999999996</v>
      </c>
      <c r="AX33" s="13">
        <v>43.568719999999999</v>
      </c>
      <c r="AY33" s="13">
        <v>47.686369999999997</v>
      </c>
      <c r="AZ33" s="13"/>
      <c r="BA33" s="13"/>
      <c r="BB33" s="13"/>
      <c r="BC33" s="13"/>
      <c r="BE33" s="51">
        <f t="shared" si="12"/>
        <v>1.0000300173099821</v>
      </c>
      <c r="BF33" s="17">
        <f t="shared" si="13"/>
        <v>0</v>
      </c>
      <c r="BG33" s="17">
        <f t="shared" si="14"/>
        <v>6.7430883847752199E-6</v>
      </c>
      <c r="BH33" s="17"/>
      <c r="BJ33" s="51"/>
      <c r="BK33" s="51"/>
      <c r="BL33" s="51"/>
      <c r="BM33" s="51"/>
      <c r="BN33" s="51"/>
      <c r="BP33" s="51"/>
      <c r="BQ33" s="51"/>
      <c r="BR33" s="51"/>
      <c r="BS33" s="51"/>
      <c r="BT33" s="51"/>
    </row>
    <row r="34" spans="1:72" ht="16" outlineLevel="1" thickBot="1">
      <c r="A34" s="18"/>
      <c r="B34" s="37" t="s">
        <v>75</v>
      </c>
      <c r="C34" s="38" t="s">
        <v>234</v>
      </c>
      <c r="D34" s="37">
        <v>375422539</v>
      </c>
      <c r="E34" s="38">
        <v>11</v>
      </c>
      <c r="F34" s="38">
        <v>10</v>
      </c>
      <c r="G34" s="38">
        <v>30</v>
      </c>
      <c r="I34" s="39">
        <f t="shared" si="0"/>
        <v>40.422767999999998</v>
      </c>
      <c r="J34" s="40">
        <f t="shared" si="1"/>
        <v>3.5890908510423772E-2</v>
      </c>
      <c r="K34" s="40">
        <f t="shared" si="2"/>
        <v>1.0261205974103755E-2</v>
      </c>
      <c r="L34" s="40">
        <f t="shared" si="3"/>
        <v>7.9796594205016544E-3</v>
      </c>
      <c r="M34" s="40">
        <f t="shared" si="4"/>
        <v>2.5629702536320017E-2</v>
      </c>
      <c r="N34" s="37">
        <f t="shared" si="5"/>
        <v>3852288</v>
      </c>
      <c r="O34" s="40">
        <v>16</v>
      </c>
      <c r="P34" s="41">
        <v>28538916</v>
      </c>
      <c r="Q34" s="41">
        <v>2853891.6</v>
      </c>
      <c r="R34" s="41">
        <v>18544.599999999999</v>
      </c>
      <c r="S34" s="41">
        <v>13474256</v>
      </c>
      <c r="T34" s="41">
        <v>2995744</v>
      </c>
      <c r="U34" s="41">
        <v>856544</v>
      </c>
      <c r="V34" s="41">
        <v>9621968</v>
      </c>
      <c r="W34" s="41">
        <v>78.543419999999998</v>
      </c>
      <c r="X34" s="41">
        <v>81.987719999999996</v>
      </c>
      <c r="Y34" s="41">
        <v>41.328600000000002</v>
      </c>
      <c r="Z34" s="41">
        <v>44.355719999999998</v>
      </c>
      <c r="AA34" s="41">
        <v>49.101080000000003</v>
      </c>
      <c r="AB34" s="41">
        <v>975.76599999999996</v>
      </c>
      <c r="AC34" s="41">
        <v>1411.96</v>
      </c>
      <c r="AD34" s="41">
        <v>49.393000000000001</v>
      </c>
      <c r="AE34" s="41">
        <v>18.78</v>
      </c>
      <c r="AG34" s="39">
        <f t="shared" si="6"/>
        <v>40.422984</v>
      </c>
      <c r="AH34" s="40">
        <f t="shared" si="7"/>
        <v>3.5891100294327294E-2</v>
      </c>
      <c r="AI34" s="40">
        <f t="shared" si="8"/>
        <v>1.0261397758007279E-2</v>
      </c>
      <c r="AJ34" s="40">
        <f t="shared" si="9"/>
        <v>7.9796594205016544E-3</v>
      </c>
      <c r="AK34" s="40">
        <f t="shared" si="10"/>
        <v>2.5629702536320017E-2</v>
      </c>
      <c r="AL34" s="37">
        <f t="shared" si="11"/>
        <v>3852360</v>
      </c>
      <c r="AM34" s="40">
        <v>16</v>
      </c>
      <c r="AN34" s="41">
        <v>28538916</v>
      </c>
      <c r="AO34" s="41">
        <v>2853891.6</v>
      </c>
      <c r="AP34" s="41">
        <v>18544.599999999999</v>
      </c>
      <c r="AQ34" s="41">
        <v>13474328</v>
      </c>
      <c r="AR34" s="41">
        <v>2995744</v>
      </c>
      <c r="AS34" s="41">
        <v>856616</v>
      </c>
      <c r="AT34" s="41">
        <v>9621968</v>
      </c>
      <c r="AU34" s="41">
        <v>78.543419999999998</v>
      </c>
      <c r="AV34" s="41">
        <v>81.987719999999996</v>
      </c>
      <c r="AW34" s="41">
        <v>41.328600000000002</v>
      </c>
      <c r="AX34" s="41">
        <v>44.355719999999998</v>
      </c>
      <c r="AY34" s="41">
        <v>49.101080000000003</v>
      </c>
      <c r="AZ34" s="41"/>
      <c r="BA34" s="41"/>
      <c r="BB34" s="41"/>
      <c r="BC34" s="41"/>
      <c r="BE34" s="45">
        <f t="shared" si="12"/>
        <v>1.0000186901913877</v>
      </c>
      <c r="BF34" s="46">
        <f t="shared" si="13"/>
        <v>0</v>
      </c>
      <c r="BG34" s="46">
        <f t="shared" si="14"/>
        <v>3.8157902618185524E-6</v>
      </c>
      <c r="BH34" s="46"/>
      <c r="BJ34" s="45"/>
      <c r="BK34" s="45"/>
      <c r="BL34" s="45"/>
      <c r="BM34" s="45"/>
      <c r="BN34" s="45"/>
      <c r="BP34" s="45"/>
      <c r="BQ34" s="45"/>
      <c r="BR34" s="45"/>
      <c r="BS34" s="45"/>
      <c r="BT34" s="45"/>
    </row>
    <row r="35" spans="1:72">
      <c r="A35" s="54"/>
      <c r="B35" s="54" t="s">
        <v>80</v>
      </c>
      <c r="C35" s="10" t="s">
        <v>230</v>
      </c>
      <c r="D35" s="54">
        <v>333190689</v>
      </c>
      <c r="E35" s="10">
        <v>11</v>
      </c>
      <c r="F35" s="10">
        <v>10</v>
      </c>
      <c r="G35" s="10">
        <v>30</v>
      </c>
      <c r="I35" s="11">
        <f t="shared" si="0"/>
        <v>5.9738160000000002</v>
      </c>
      <c r="J35" s="12">
        <f t="shared" si="1"/>
        <v>5.9763734874355989E-3</v>
      </c>
      <c r="K35" s="12">
        <f t="shared" si="2"/>
        <v>3.5147920955258148E-3</v>
      </c>
      <c r="L35" s="12">
        <f t="shared" si="3"/>
        <v>2.1516087443848109E-3</v>
      </c>
      <c r="M35" s="12">
        <f t="shared" si="4"/>
        <v>2.4615813919097842E-3</v>
      </c>
      <c r="N35" s="54">
        <f t="shared" si="5"/>
        <v>1171096</v>
      </c>
      <c r="O35" s="12">
        <v>16</v>
      </c>
      <c r="P35" s="13">
        <v>23194018</v>
      </c>
      <c r="Q35" s="13">
        <v>2319401.7999999998</v>
      </c>
      <c r="R35" s="13">
        <v>29254.6</v>
      </c>
      <c r="S35" s="13">
        <v>1991272</v>
      </c>
      <c r="T35" s="13">
        <v>716896</v>
      </c>
      <c r="U35" s="13">
        <v>454200</v>
      </c>
      <c r="V35" s="13">
        <v>820176</v>
      </c>
      <c r="W35" s="13">
        <v>73.210250000000002</v>
      </c>
      <c r="X35" s="13">
        <v>75.419640000000001</v>
      </c>
      <c r="Y35" s="13">
        <v>33.993679999999998</v>
      </c>
      <c r="Z35" s="13">
        <v>42.582999999999998</v>
      </c>
      <c r="AA35" s="13">
        <v>44.025329999999997</v>
      </c>
      <c r="AB35" s="13">
        <v>877.60199999999998</v>
      </c>
      <c r="AC35" s="13">
        <v>941.77200000000005</v>
      </c>
      <c r="AD35" s="13">
        <v>39.945</v>
      </c>
      <c r="AE35" s="13">
        <v>12.784000000000001</v>
      </c>
      <c r="AG35" s="11">
        <f t="shared" si="6"/>
        <v>5.9740320000000002</v>
      </c>
      <c r="AH35" s="12">
        <f t="shared" si="7"/>
        <v>5.9765895799086992E-3</v>
      </c>
      <c r="AI35" s="12">
        <f t="shared" si="8"/>
        <v>3.5150081879989151E-3</v>
      </c>
      <c r="AJ35" s="12">
        <f t="shared" si="9"/>
        <v>2.1516087443848109E-3</v>
      </c>
      <c r="AK35" s="12">
        <f t="shared" si="10"/>
        <v>2.4615813919097842E-3</v>
      </c>
      <c r="AL35" s="54">
        <f t="shared" si="11"/>
        <v>1171168</v>
      </c>
      <c r="AM35" s="12">
        <v>16</v>
      </c>
      <c r="AN35" s="13">
        <v>23194018</v>
      </c>
      <c r="AO35" s="13">
        <v>2319401.7999999998</v>
      </c>
      <c r="AP35" s="13">
        <v>29254.6</v>
      </c>
      <c r="AQ35" s="13">
        <v>1991344</v>
      </c>
      <c r="AR35" s="13">
        <v>716896</v>
      </c>
      <c r="AS35" s="13">
        <v>454272</v>
      </c>
      <c r="AT35" s="13">
        <v>820176</v>
      </c>
      <c r="AU35" s="13">
        <v>73.210250000000002</v>
      </c>
      <c r="AV35" s="13">
        <v>75.419640000000001</v>
      </c>
      <c r="AW35" s="13">
        <v>33.993679999999998</v>
      </c>
      <c r="AX35" s="13">
        <v>42.582999999999998</v>
      </c>
      <c r="AY35" s="13">
        <v>44.025329999999997</v>
      </c>
      <c r="AZ35" s="13"/>
      <c r="BA35" s="13"/>
      <c r="BB35" s="13"/>
      <c r="BC35" s="13"/>
      <c r="BE35" s="51">
        <f t="shared" si="12"/>
        <v>1.0000614808692028</v>
      </c>
      <c r="BF35" s="17">
        <f t="shared" si="13"/>
        <v>0</v>
      </c>
      <c r="BG35" s="17">
        <f t="shared" si="14"/>
        <v>1.4892330862603664E-5</v>
      </c>
      <c r="BH35" s="17">
        <f t="array" ref="BH35">AVERAGE(AL35:AL39/AQ35:AQ39) - AVERAGE(N35:N39/S35:S39)</f>
        <v>9.4576658540290737E-6</v>
      </c>
      <c r="BJ35" s="51">
        <f>IF( OR(ISBLANK(N35:N39),ISBLANK(AL35:AL39), ISBLANK(W35:W39),ISBLANK(AU35:AU39)), "·", bdRateExtend( N35:N39,W35:W39, AL35:AL39,AU35:AU39))</f>
        <v>4.2666770038835011E-5</v>
      </c>
      <c r="BK35" s="51">
        <f>IF( OR(ISBLANK(N35:N39),ISBLANK(AL35:AL39), ISBLANK(X35:X39),ISBLANK(AV35:AV39)), "·", bdRateExtend( N35:N39,X35:X39, AL35:AL39,AV35:AV39))</f>
        <v>4.0621153052589065E-5</v>
      </c>
      <c r="BL35" s="51">
        <f>IF( OR(ISBLANK(V35:V39),ISBLANK(AT35:AT39), ISBLANK(Y35:Y39),ISBLANK(AW35:AW39)), "·", bdRateExtend( V35:V39,Y35:Y39, AT35:AT39,AW35:AW39))</f>
        <v>0</v>
      </c>
      <c r="BM35" s="51">
        <f>IF( OR(ISBLANK(V35:V39),ISBLANK(AT35:AT39), ISBLANK(Z35:Z39),ISBLANK(AX35:AX39)), "·", bdRateExtend( V35:V39,Z35:Z39, AT35:AT39,AX35:AX39))</f>
        <v>0</v>
      </c>
      <c r="BN35" s="51">
        <f>IF( OR(ISBLANK(V35:V39),ISBLANK(AT35:AT39), ISBLANK(AA35:AA39),ISBLANK(AY35:AY39)), "·", bdRateExtend( V35:V39,AA35:AA39, AT35:AT39,AY35:AY39))</f>
        <v>0</v>
      </c>
      <c r="BP35" s="51">
        <f>IF( OR(ISBLANK(S35:S39),ISBLANK(AQ35:AQ39), ISBLANK(W35:W39),ISBLANK(AU35:AU39)), "·", bdRateExtend( S35:S39,W35:W39, AQ35:AQ39,AU35:AU39))</f>
        <v>2.0123539766325749E-5</v>
      </c>
      <c r="BQ35" s="51">
        <f>IF( OR(ISBLANK(S35:S39),ISBLANK(AQ35:AQ39), ISBLANK(X35:X39),ISBLANK(AV35:AV39)), "·", bdRateExtend( S35:S39,X35:X39, AQ35:AQ39,AV35:AV39))</f>
        <v>1.873533595952992E-5</v>
      </c>
      <c r="BR35" s="51">
        <f>IF( OR(ISBLANK(S35:S39),ISBLANK(AQ35:AQ39), ISBLANK(Y35:Y39),ISBLANK(AW35:AW39)), "·", bdRateExtend( S35:S39,Y35:Y39, AQ35:AQ39,AW35:AW39))</f>
        <v>1.8764921272618196E-5</v>
      </c>
      <c r="BS35" s="51">
        <f>IF( OR(ISBLANK(S35:S39),ISBLANK(AQ35:AQ39), ISBLANK(Z35:Z39),ISBLANK(AX35:AX39)), "·", bdRateExtend( S35:S39,Z35:Z39, AQ35:AQ39,AX35:AX39))</f>
        <v>1.6433306369467715E-5</v>
      </c>
      <c r="BT35" s="51">
        <f>IF( OR(ISBLANK(S35:S39),ISBLANK(AQ35:AQ39), ISBLANK(AA35:AA39),ISBLANK(AY35:AY39)), "·", bdRateExtend( S35:S39,AA35:AA39, AQ35:AQ39,AY35:AY39))</f>
        <v>1.8203737770283723E-5</v>
      </c>
    </row>
    <row r="36" spans="1:72" outlineLevel="1">
      <c r="A36" s="18"/>
      <c r="B36" s="18" t="s">
        <v>80</v>
      </c>
      <c r="C36" s="19" t="s">
        <v>231</v>
      </c>
      <c r="D36" s="18">
        <v>333190689</v>
      </c>
      <c r="E36" s="19">
        <v>11</v>
      </c>
      <c r="F36" s="19">
        <v>10</v>
      </c>
      <c r="G36" s="19">
        <v>30</v>
      </c>
      <c r="I36" s="20">
        <f t="shared" si="0"/>
        <v>8.5603680000000004</v>
      </c>
      <c r="J36" s="21">
        <f t="shared" si="1"/>
        <v>8.5640328322620085E-3</v>
      </c>
      <c r="K36" s="21">
        <f t="shared" si="2"/>
        <v>4.3207209790907452E-3</v>
      </c>
      <c r="L36" s="21">
        <f t="shared" si="3"/>
        <v>2.9575376279497414E-3</v>
      </c>
      <c r="M36" s="21">
        <f t="shared" si="4"/>
        <v>4.2433118531712633E-3</v>
      </c>
      <c r="N36" s="18">
        <f t="shared" si="5"/>
        <v>1439624</v>
      </c>
      <c r="O36" s="21">
        <v>16</v>
      </c>
      <c r="P36" s="22">
        <v>24823074</v>
      </c>
      <c r="Q36" s="22">
        <v>2482307.4</v>
      </c>
      <c r="R36" s="22">
        <v>37436.1</v>
      </c>
      <c r="S36" s="22">
        <v>2853456</v>
      </c>
      <c r="T36" s="22">
        <v>985424</v>
      </c>
      <c r="U36" s="22">
        <v>454200</v>
      </c>
      <c r="V36" s="22">
        <v>1413832</v>
      </c>
      <c r="W36" s="22">
        <v>74.951400000000007</v>
      </c>
      <c r="X36" s="22">
        <v>77.346739999999997</v>
      </c>
      <c r="Y36" s="22">
        <v>36.096339999999998</v>
      </c>
      <c r="Z36" s="22">
        <v>43.278570000000002</v>
      </c>
      <c r="AA36" s="22">
        <v>45.51332</v>
      </c>
      <c r="AB36" s="22">
        <v>859.39200000000005</v>
      </c>
      <c r="AC36" s="22">
        <v>956.69299999999998</v>
      </c>
      <c r="AD36" s="22">
        <v>38.835000000000001</v>
      </c>
      <c r="AE36" s="22">
        <v>13.698</v>
      </c>
      <c r="AG36" s="20">
        <f t="shared" si="6"/>
        <v>8.5605840000000004</v>
      </c>
      <c r="AH36" s="21">
        <f t="shared" si="7"/>
        <v>8.5642489247351079E-3</v>
      </c>
      <c r="AI36" s="21">
        <f t="shared" si="8"/>
        <v>4.3209370715638455E-3</v>
      </c>
      <c r="AJ36" s="21">
        <f t="shared" si="9"/>
        <v>2.9575376279497414E-3</v>
      </c>
      <c r="AK36" s="21">
        <f t="shared" si="10"/>
        <v>4.2433118531712633E-3</v>
      </c>
      <c r="AL36" s="18">
        <f t="shared" si="11"/>
        <v>1439696</v>
      </c>
      <c r="AM36" s="21">
        <v>16</v>
      </c>
      <c r="AN36" s="22">
        <v>24823074</v>
      </c>
      <c r="AO36" s="22">
        <v>2482307.4</v>
      </c>
      <c r="AP36" s="22">
        <v>37436.1</v>
      </c>
      <c r="AQ36" s="22">
        <v>2853528</v>
      </c>
      <c r="AR36" s="22">
        <v>985424</v>
      </c>
      <c r="AS36" s="22">
        <v>454272</v>
      </c>
      <c r="AT36" s="22">
        <v>1413832</v>
      </c>
      <c r="AU36" s="22">
        <v>74.951400000000007</v>
      </c>
      <c r="AV36" s="22">
        <v>77.346739999999997</v>
      </c>
      <c r="AW36" s="22">
        <v>36.096339999999998</v>
      </c>
      <c r="AX36" s="22">
        <v>43.278570000000002</v>
      </c>
      <c r="AY36" s="22">
        <v>45.51332</v>
      </c>
      <c r="AZ36" s="22"/>
      <c r="BA36" s="22"/>
      <c r="BB36" s="22"/>
      <c r="BC36" s="22"/>
      <c r="BE36" s="50">
        <f t="shared" si="12"/>
        <v>1.0000500130589653</v>
      </c>
      <c r="BF36" s="26">
        <f t="shared" si="13"/>
        <v>0</v>
      </c>
      <c r="BG36" s="26">
        <f t="shared" si="14"/>
        <v>1.2501927755814712E-5</v>
      </c>
      <c r="BH36" s="26"/>
      <c r="BJ36" s="50"/>
      <c r="BK36" s="50"/>
      <c r="BL36" s="50"/>
      <c r="BM36" s="50"/>
      <c r="BN36" s="50"/>
      <c r="BP36" s="50"/>
      <c r="BQ36" s="50"/>
      <c r="BR36" s="50"/>
      <c r="BS36" s="50"/>
      <c r="BT36" s="50"/>
    </row>
    <row r="37" spans="1:72" outlineLevel="1">
      <c r="A37" s="54"/>
      <c r="B37" s="54" t="s">
        <v>80</v>
      </c>
      <c r="C37" s="10" t="s">
        <v>232</v>
      </c>
      <c r="D37" s="54">
        <v>333190689</v>
      </c>
      <c r="E37" s="10">
        <v>11</v>
      </c>
      <c r="F37" s="10">
        <v>10</v>
      </c>
      <c r="G37" s="10">
        <v>30</v>
      </c>
      <c r="I37" s="11">
        <f t="shared" si="0"/>
        <v>13.058567999999999</v>
      </c>
      <c r="J37" s="12">
        <f t="shared" si="1"/>
        <v>1.3064158584575573E-2</v>
      </c>
      <c r="K37" s="12">
        <f t="shared" si="2"/>
        <v>5.4594322712301245E-3</v>
      </c>
      <c r="L37" s="12">
        <f t="shared" si="3"/>
        <v>4.0962489200891206E-3</v>
      </c>
      <c r="M37" s="12">
        <f t="shared" si="4"/>
        <v>7.6047263133454486E-3</v>
      </c>
      <c r="N37" s="54">
        <f t="shared" si="5"/>
        <v>1819032</v>
      </c>
      <c r="O37" s="12">
        <v>16</v>
      </c>
      <c r="P37" s="13">
        <v>25311121</v>
      </c>
      <c r="Q37" s="13">
        <v>2531112.1</v>
      </c>
      <c r="R37" s="13">
        <v>40405.5</v>
      </c>
      <c r="S37" s="13">
        <v>4352856</v>
      </c>
      <c r="T37" s="13">
        <v>1364832</v>
      </c>
      <c r="U37" s="13">
        <v>454200</v>
      </c>
      <c r="V37" s="13">
        <v>2533824</v>
      </c>
      <c r="W37" s="13">
        <v>76.245040000000003</v>
      </c>
      <c r="X37" s="13">
        <v>78.963070000000002</v>
      </c>
      <c r="Y37" s="13">
        <v>37.913350000000001</v>
      </c>
      <c r="Z37" s="13">
        <v>43.782229999999998</v>
      </c>
      <c r="AA37" s="13">
        <v>46.490940000000002</v>
      </c>
      <c r="AB37" s="13">
        <v>814.11300000000006</v>
      </c>
      <c r="AC37" s="13">
        <v>936.41899999999998</v>
      </c>
      <c r="AD37" s="13">
        <v>39.033000000000001</v>
      </c>
      <c r="AE37" s="13">
        <v>14.191000000000001</v>
      </c>
      <c r="AG37" s="11">
        <f t="shared" si="6"/>
        <v>13.058783999999999</v>
      </c>
      <c r="AH37" s="12">
        <f t="shared" si="7"/>
        <v>1.3064374677048674E-2</v>
      </c>
      <c r="AI37" s="12">
        <f t="shared" si="8"/>
        <v>5.4596483637032248E-3</v>
      </c>
      <c r="AJ37" s="12">
        <f t="shared" si="9"/>
        <v>4.0962489200891206E-3</v>
      </c>
      <c r="AK37" s="12">
        <f t="shared" si="10"/>
        <v>7.6047263133454486E-3</v>
      </c>
      <c r="AL37" s="54">
        <f t="shared" si="11"/>
        <v>1819104</v>
      </c>
      <c r="AM37" s="12">
        <v>16</v>
      </c>
      <c r="AN37" s="13">
        <v>25311121</v>
      </c>
      <c r="AO37" s="13">
        <v>2531112.1</v>
      </c>
      <c r="AP37" s="13">
        <v>40405.5</v>
      </c>
      <c r="AQ37" s="13">
        <v>4352928</v>
      </c>
      <c r="AR37" s="13">
        <v>1364832</v>
      </c>
      <c r="AS37" s="13">
        <v>454272</v>
      </c>
      <c r="AT37" s="13">
        <v>2533824</v>
      </c>
      <c r="AU37" s="13">
        <v>76.245040000000003</v>
      </c>
      <c r="AV37" s="13">
        <v>78.963070000000002</v>
      </c>
      <c r="AW37" s="13">
        <v>37.913350000000001</v>
      </c>
      <c r="AX37" s="13">
        <v>43.782229999999998</v>
      </c>
      <c r="AY37" s="13">
        <v>46.490940000000002</v>
      </c>
      <c r="AZ37" s="13"/>
      <c r="BA37" s="13"/>
      <c r="BB37" s="13"/>
      <c r="BC37" s="13"/>
      <c r="BE37" s="51">
        <f t="shared" si="12"/>
        <v>1.0000395814916945</v>
      </c>
      <c r="BF37" s="17">
        <f t="shared" si="13"/>
        <v>0</v>
      </c>
      <c r="BG37" s="17">
        <f t="shared" si="14"/>
        <v>9.6283785772088848E-6</v>
      </c>
      <c r="BH37" s="17"/>
      <c r="BJ37" s="51"/>
      <c r="BK37" s="51"/>
      <c r="BL37" s="51"/>
      <c r="BM37" s="51"/>
      <c r="BN37" s="51"/>
      <c r="BP37" s="51"/>
      <c r="BQ37" s="51"/>
      <c r="BR37" s="51"/>
      <c r="BS37" s="51"/>
      <c r="BT37" s="51"/>
    </row>
    <row r="38" spans="1:72" outlineLevel="1">
      <c r="A38" s="18"/>
      <c r="B38" s="18" t="s">
        <v>80</v>
      </c>
      <c r="C38" s="19" t="s">
        <v>233</v>
      </c>
      <c r="D38" s="18">
        <v>333190689</v>
      </c>
      <c r="E38" s="19">
        <v>11</v>
      </c>
      <c r="F38" s="19">
        <v>10</v>
      </c>
      <c r="G38" s="19">
        <v>30</v>
      </c>
      <c r="I38" s="20">
        <f t="shared" si="0"/>
        <v>22.055112000000001</v>
      </c>
      <c r="J38" s="21">
        <f t="shared" si="1"/>
        <v>2.2064554150851436E-2</v>
      </c>
      <c r="K38" s="21">
        <f t="shared" si="2"/>
        <v>7.389138056015725E-3</v>
      </c>
      <c r="L38" s="21">
        <f t="shared" si="3"/>
        <v>6.0259547048747211E-3</v>
      </c>
      <c r="M38" s="21">
        <f t="shared" si="4"/>
        <v>1.4675416094835711E-2</v>
      </c>
      <c r="N38" s="18">
        <f t="shared" si="5"/>
        <v>2461992</v>
      </c>
      <c r="O38" s="21">
        <v>16</v>
      </c>
      <c r="P38" s="22">
        <v>25894716</v>
      </c>
      <c r="Q38" s="22">
        <v>2589471.6</v>
      </c>
      <c r="R38" s="22">
        <v>44961</v>
      </c>
      <c r="S38" s="22">
        <v>7351704</v>
      </c>
      <c r="T38" s="22">
        <v>2007792</v>
      </c>
      <c r="U38" s="22">
        <v>454200</v>
      </c>
      <c r="V38" s="22">
        <v>4889712</v>
      </c>
      <c r="W38" s="22">
        <v>77.420320000000004</v>
      </c>
      <c r="X38" s="22">
        <v>80.20241</v>
      </c>
      <c r="Y38" s="22">
        <v>39.678620000000002</v>
      </c>
      <c r="Z38" s="22">
        <v>44.56512</v>
      </c>
      <c r="AA38" s="22">
        <v>47.819270000000003</v>
      </c>
      <c r="AB38" s="22">
        <v>755.53599999999994</v>
      </c>
      <c r="AC38" s="22">
        <v>977.178</v>
      </c>
      <c r="AD38" s="22">
        <v>38.256999999999998</v>
      </c>
      <c r="AE38" s="22">
        <v>13.458</v>
      </c>
      <c r="AG38" s="20">
        <f t="shared" si="6"/>
        <v>22.055327999999999</v>
      </c>
      <c r="AH38" s="21">
        <f t="shared" si="7"/>
        <v>2.2064770243324535E-2</v>
      </c>
      <c r="AI38" s="21">
        <f t="shared" si="8"/>
        <v>7.3893541484888253E-3</v>
      </c>
      <c r="AJ38" s="21">
        <f t="shared" si="9"/>
        <v>6.0259547048747211E-3</v>
      </c>
      <c r="AK38" s="21">
        <f t="shared" si="10"/>
        <v>1.4675416094835711E-2</v>
      </c>
      <c r="AL38" s="18">
        <f t="shared" si="11"/>
        <v>2462064</v>
      </c>
      <c r="AM38" s="21">
        <v>16</v>
      </c>
      <c r="AN38" s="22">
        <v>25894716</v>
      </c>
      <c r="AO38" s="22">
        <v>2589471.6</v>
      </c>
      <c r="AP38" s="22">
        <v>44961</v>
      </c>
      <c r="AQ38" s="22">
        <v>7351776</v>
      </c>
      <c r="AR38" s="22">
        <v>2007792</v>
      </c>
      <c r="AS38" s="22">
        <v>454272</v>
      </c>
      <c r="AT38" s="22">
        <v>4889712</v>
      </c>
      <c r="AU38" s="22">
        <v>77.420320000000004</v>
      </c>
      <c r="AV38" s="22">
        <v>80.20241</v>
      </c>
      <c r="AW38" s="22">
        <v>39.678620000000002</v>
      </c>
      <c r="AX38" s="22">
        <v>44.56512</v>
      </c>
      <c r="AY38" s="22">
        <v>47.819270000000003</v>
      </c>
      <c r="AZ38" s="22"/>
      <c r="BA38" s="22"/>
      <c r="BB38" s="22"/>
      <c r="BC38" s="22"/>
      <c r="BE38" s="50">
        <f t="shared" si="12"/>
        <v>1.0000292446116803</v>
      </c>
      <c r="BF38" s="26">
        <f t="shared" si="13"/>
        <v>0</v>
      </c>
      <c r="BG38" s="26">
        <f t="shared" si="14"/>
        <v>6.5138161672861905E-6</v>
      </c>
      <c r="BH38" s="26"/>
      <c r="BJ38" s="50"/>
      <c r="BK38" s="50"/>
      <c r="BL38" s="50"/>
      <c r="BM38" s="50"/>
      <c r="BN38" s="50"/>
      <c r="BP38" s="50"/>
      <c r="BQ38" s="50"/>
      <c r="BR38" s="50"/>
      <c r="BS38" s="50"/>
      <c r="BT38" s="50"/>
    </row>
    <row r="39" spans="1:72" ht="16" outlineLevel="1" thickBot="1">
      <c r="A39" s="27"/>
      <c r="B39" s="27" t="s">
        <v>80</v>
      </c>
      <c r="C39" s="28" t="s">
        <v>234</v>
      </c>
      <c r="D39" s="27">
        <v>333190689</v>
      </c>
      <c r="E39" s="28">
        <v>11</v>
      </c>
      <c r="F39" s="28">
        <v>10</v>
      </c>
      <c r="G39" s="28">
        <v>30</v>
      </c>
      <c r="I39" s="29">
        <f t="shared" si="0"/>
        <v>40.913352000000003</v>
      </c>
      <c r="J39" s="30">
        <f t="shared" si="1"/>
        <v>4.0930867668994196E-2</v>
      </c>
      <c r="K39" s="30">
        <f t="shared" si="2"/>
        <v>1.1842923977986673E-2</v>
      </c>
      <c r="L39" s="30">
        <f t="shared" si="3"/>
        <v>9.1389828723575164E-3</v>
      </c>
      <c r="M39" s="30">
        <f t="shared" si="4"/>
        <v>2.9087943691007524E-2</v>
      </c>
      <c r="N39" s="27">
        <f t="shared" si="5"/>
        <v>3945952</v>
      </c>
      <c r="O39" s="30">
        <v>16</v>
      </c>
      <c r="P39" s="31">
        <v>25419918</v>
      </c>
      <c r="Q39" s="31">
        <v>2541991.7999999998</v>
      </c>
      <c r="R39" s="31">
        <v>17971.3</v>
      </c>
      <c r="S39" s="31">
        <v>13637784</v>
      </c>
      <c r="T39" s="31">
        <v>3045024</v>
      </c>
      <c r="U39" s="31">
        <v>900928</v>
      </c>
      <c r="V39" s="31">
        <v>9691832</v>
      </c>
      <c r="W39" s="31">
        <v>78.311610000000002</v>
      </c>
      <c r="X39" s="31">
        <v>81.872630000000001</v>
      </c>
      <c r="Y39" s="31">
        <v>41.304169999999999</v>
      </c>
      <c r="Z39" s="31">
        <v>45.569310000000002</v>
      </c>
      <c r="AA39" s="31">
        <v>49.143949999999997</v>
      </c>
      <c r="AB39" s="31">
        <v>861.60599999999999</v>
      </c>
      <c r="AC39" s="31">
        <v>1163.03</v>
      </c>
      <c r="AD39" s="31">
        <v>39.116999999999997</v>
      </c>
      <c r="AE39" s="31">
        <v>15.41</v>
      </c>
      <c r="AG39" s="29">
        <f t="shared" si="6"/>
        <v>40.913567999999998</v>
      </c>
      <c r="AH39" s="30">
        <f t="shared" si="7"/>
        <v>4.0931083761467299E-2</v>
      </c>
      <c r="AI39" s="30">
        <f t="shared" si="8"/>
        <v>1.1843140070459772E-2</v>
      </c>
      <c r="AJ39" s="30">
        <f t="shared" si="9"/>
        <v>9.1389828723575164E-3</v>
      </c>
      <c r="AK39" s="30">
        <f t="shared" si="10"/>
        <v>2.9087943691007524E-2</v>
      </c>
      <c r="AL39" s="27">
        <f t="shared" si="11"/>
        <v>3946024</v>
      </c>
      <c r="AM39" s="30">
        <v>16</v>
      </c>
      <c r="AN39" s="31">
        <v>25419918</v>
      </c>
      <c r="AO39" s="31">
        <v>2541991.7999999998</v>
      </c>
      <c r="AP39" s="31">
        <v>17971.3</v>
      </c>
      <c r="AQ39" s="31">
        <v>13637856</v>
      </c>
      <c r="AR39" s="31">
        <v>3045024</v>
      </c>
      <c r="AS39" s="31">
        <v>901000</v>
      </c>
      <c r="AT39" s="31">
        <v>9691832</v>
      </c>
      <c r="AU39" s="31">
        <v>78.311610000000002</v>
      </c>
      <c r="AV39" s="31">
        <v>81.872630000000001</v>
      </c>
      <c r="AW39" s="31">
        <v>41.304169999999999</v>
      </c>
      <c r="AX39" s="31">
        <v>45.569310000000002</v>
      </c>
      <c r="AY39" s="31">
        <v>49.143949999999997</v>
      </c>
      <c r="AZ39" s="31"/>
      <c r="BA39" s="31"/>
      <c r="BB39" s="31"/>
      <c r="BC39" s="31"/>
      <c r="BE39" s="35">
        <f t="shared" si="12"/>
        <v>1.0000182465473477</v>
      </c>
      <c r="BF39" s="36">
        <f t="shared" si="13"/>
        <v>0</v>
      </c>
      <c r="BG39" s="36">
        <f t="shared" si="14"/>
        <v>3.7518759069543606E-6</v>
      </c>
      <c r="BH39" s="36"/>
      <c r="BJ39" s="35"/>
      <c r="BK39" s="35"/>
      <c r="BL39" s="35"/>
      <c r="BM39" s="35"/>
      <c r="BN39" s="35"/>
      <c r="BP39" s="35"/>
      <c r="BQ39" s="35"/>
      <c r="BR39" s="35"/>
      <c r="BS39" s="35"/>
      <c r="BT39" s="35"/>
    </row>
    <row r="40" spans="1:72" ht="16">
      <c r="B40" s="47" t="s">
        <v>14</v>
      </c>
      <c r="J40" s="48">
        <f>AVERAGE(J5:J24)</f>
        <v>4.4248916113951757E-2</v>
      </c>
      <c r="K40" s="48">
        <f>AVERAGE(K5:K24)</f>
        <v>1.3878391947133195E-2</v>
      </c>
      <c r="L40" s="48">
        <f>AVERAGE(L5:L24)</f>
        <v>9.6983640296796608E-3</v>
      </c>
      <c r="M40" s="48">
        <f>AVERAGE(M5:M24)</f>
        <v>3.0370524166818579E-2</v>
      </c>
      <c r="AH40" s="48">
        <f>AVERAGE(AH5:AH24)</f>
        <v>4.4249900301577369E-2</v>
      </c>
      <c r="AI40" s="48">
        <f>AVERAGE(AI5:AI24)</f>
        <v>1.38793761347588E-2</v>
      </c>
      <c r="AJ40" s="48">
        <f>AVERAGE(AJ5:AJ24)</f>
        <v>9.6983640296796608E-3</v>
      </c>
      <c r="AK40" s="48">
        <f>AVERAGE(AK5:AK24)</f>
        <v>3.0370524166818579E-2</v>
      </c>
      <c r="BE40" s="52">
        <f t="shared" si="12"/>
        <v>1.000070915105248</v>
      </c>
      <c r="BH40" s="55">
        <f>AVERAGE(BH5:BH24)</f>
        <v>1.9995869984329451E-5</v>
      </c>
      <c r="BJ40" s="52">
        <f>AVERAGE(BJ5:BJ24)</f>
        <v>9.3292691975555009E-5</v>
      </c>
      <c r="BK40" s="52">
        <f>AVERAGE(BK5:BK24)</f>
        <v>8.6855955652775929E-5</v>
      </c>
      <c r="BL40" s="52">
        <f>AVERAGE(BL5:BL24)</f>
        <v>0</v>
      </c>
      <c r="BM40" s="52">
        <f>AVERAGE(BM5:BM24)</f>
        <v>0</v>
      </c>
      <c r="BN40" s="52">
        <f>AVERAGE(BN5:BN24)</f>
        <v>0</v>
      </c>
      <c r="BP40" s="52">
        <f>AVERAGE(BP5:BP24)</f>
        <v>4.0294617954572676E-5</v>
      </c>
      <c r="BQ40" s="52">
        <f>AVERAGE(BQ5:BQ24)</f>
        <v>3.6166837837581234E-5</v>
      </c>
      <c r="BR40" s="52">
        <f>AVERAGE(BR5:BR24)</f>
        <v>3.5353172543717282E-5</v>
      </c>
      <c r="BS40" s="52">
        <f>AVERAGE(BS5:BS24)</f>
        <v>3.3675867753990563E-5</v>
      </c>
      <c r="BT40" s="52">
        <f>AVERAGE(BT5:BT24)</f>
        <v>3.5316463540380205E-5</v>
      </c>
    </row>
    <row r="41" spans="1:72" ht="16">
      <c r="B41" s="47" t="s">
        <v>15</v>
      </c>
      <c r="J41" s="48">
        <f>AVERAGE(J25:J29)</f>
        <v>7.9901568145010829E-2</v>
      </c>
      <c r="K41" s="48">
        <f>AVERAGE(K25:K29)</f>
        <v>1.2411525551919458E-2</v>
      </c>
      <c r="L41" s="48">
        <f>AVERAGE(L25:L29)</f>
        <v>9.1152432536474159E-3</v>
      </c>
      <c r="M41" s="48">
        <f>AVERAGE(M25:M29)</f>
        <v>6.7490042593091368E-2</v>
      </c>
      <c r="AH41" s="48">
        <f>AVERAGE(AH25:AH29)</f>
        <v>7.9902558977485189E-2</v>
      </c>
      <c r="AI41" s="48">
        <f>AVERAGE(AI25:AI29)</f>
        <v>1.241251638439381E-2</v>
      </c>
      <c r="AJ41" s="48">
        <f>AVERAGE(AJ25:AJ29)</f>
        <v>9.1152432536474159E-3</v>
      </c>
      <c r="AK41" s="48">
        <f>AVERAGE(AK25:AK29)</f>
        <v>6.7490042593091368E-2</v>
      </c>
      <c r="BE41" s="52">
        <f t="shared" si="12"/>
        <v>1.000079831642791</v>
      </c>
      <c r="BH41" s="55">
        <f>AVERAGE(BH25:BH29)</f>
        <v>1.6982383296476611E-5</v>
      </c>
      <c r="BJ41" s="52">
        <f>AVERAGE(BJ25:BJ29)</f>
        <v>1.0590213731953568E-4</v>
      </c>
      <c r="BK41" s="52">
        <f>AVERAGE(BK25:BK29)</f>
        <v>9.7308263112383386E-5</v>
      </c>
      <c r="BL41" s="52">
        <f>AVERAGE(BL25:BL29)</f>
        <v>0</v>
      </c>
      <c r="BM41" s="52">
        <f>AVERAGE(BM25:BM29)</f>
        <v>0</v>
      </c>
      <c r="BN41" s="52">
        <f>AVERAGE(BN25:BN29)</f>
        <v>0</v>
      </c>
      <c r="BP41" s="52">
        <f>AVERAGE(BP25:BP29)</f>
        <v>2.5269985922671268E-5</v>
      </c>
      <c r="BQ41" s="52">
        <f>AVERAGE(BQ25:BQ29)</f>
        <v>2.2040257361854998E-5</v>
      </c>
      <c r="BR41" s="52">
        <f>AVERAGE(BR25:BR29)</f>
        <v>2.0953484925145816E-5</v>
      </c>
      <c r="BS41" s="52">
        <f>AVERAGE(BS25:BS29)</f>
        <v>1.8436577188474246E-5</v>
      </c>
      <c r="BT41" s="52">
        <f>AVERAGE(BT25:BT29)</f>
        <v>1.9422735773710897E-5</v>
      </c>
    </row>
    <row r="42" spans="1:72" ht="16">
      <c r="B42" s="47" t="s">
        <v>16</v>
      </c>
      <c r="J42" s="48">
        <f>AVERAGE(J30:J39)</f>
        <v>1.6830487913069861E-2</v>
      </c>
      <c r="K42" s="48">
        <f>AVERAGE(K30:K39)</f>
        <v>6.0604192164963964E-3</v>
      </c>
      <c r="L42" s="48">
        <f>AVERAGE(L30:L39)</f>
        <v>4.5626403486130002E-3</v>
      </c>
      <c r="M42" s="48">
        <f>AVERAGE(M30:M39)</f>
        <v>1.0770068696573461E-2</v>
      </c>
      <c r="AH42" s="48">
        <f>AVERAGE(AH30:AH39)</f>
        <v>1.6830691851258166E-2</v>
      </c>
      <c r="AI42" s="48">
        <f>AVERAGE(AI30:AI39)</f>
        <v>6.0606231546847088E-3</v>
      </c>
      <c r="AJ42" s="48">
        <f>AVERAGE(AJ30:AJ39)</f>
        <v>4.5626403486130002E-3</v>
      </c>
      <c r="AK42" s="48">
        <f>AVERAGE(AK30:AK39)</f>
        <v>1.0770068696573461E-2</v>
      </c>
      <c r="BE42" s="52">
        <f t="shared" si="12"/>
        <v>1.0000336508385026</v>
      </c>
      <c r="BH42" s="55">
        <f>AVERAGE(BH30:BH39)</f>
        <v>9.5853250132449386E-6</v>
      </c>
      <c r="BJ42" s="52">
        <f>AVERAGE(BJ30:BJ39)</f>
        <v>4.3210934242421395E-5</v>
      </c>
      <c r="BK42" s="52">
        <f>AVERAGE(BK30:BK39)</f>
        <v>4.1187787813035115E-5</v>
      </c>
      <c r="BL42" s="52">
        <f>AVERAGE(BL30:BL39)</f>
        <v>0</v>
      </c>
      <c r="BM42" s="52">
        <f>AVERAGE(BM30:BM39)</f>
        <v>0</v>
      </c>
      <c r="BN42" s="52">
        <f>AVERAGE(BN30:BN39)</f>
        <v>0</v>
      </c>
      <c r="BP42" s="52">
        <f>AVERAGE(BP30:BP39)</f>
        <v>2.0688021811987589E-5</v>
      </c>
      <c r="BQ42" s="52">
        <f>AVERAGE(BQ30:BQ39)</f>
        <v>1.9287826178882028E-5</v>
      </c>
      <c r="BR42" s="52">
        <f>AVERAGE(BR30:BR39)</f>
        <v>1.9284958714727019E-5</v>
      </c>
      <c r="BS42" s="52">
        <f>AVERAGE(BS30:BS39)</f>
        <v>1.6845743167404059E-5</v>
      </c>
      <c r="BT42" s="52">
        <f>AVERAGE(BT30:BT39)</f>
        <v>1.8293840720828847E-5</v>
      </c>
    </row>
    <row r="43" spans="1:72" ht="16">
      <c r="B43" s="47" t="s">
        <v>17</v>
      </c>
      <c r="J43" s="48">
        <f>AVERAGE(J5:J39)</f>
        <v>4.1508315489565364E-2</v>
      </c>
      <c r="K43" s="48">
        <f>AVERAGE(K5:K39)</f>
        <v>1.1435133110492149E-2</v>
      </c>
      <c r="L43" s="48">
        <f>AVERAGE(L5:L39)</f>
        <v>8.1477114385131531E-3</v>
      </c>
      <c r="M43" s="48">
        <f>AVERAGE(M5:M39)</f>
        <v>3.0073182379073225E-2</v>
      </c>
      <c r="AH43" s="48">
        <f>AVERAGE(AH5:AH39)</f>
        <v>4.1509077698044433E-2</v>
      </c>
      <c r="AI43" s="48">
        <f>AVERAGE(AI5:AI39)</f>
        <v>1.1435895318971203E-2</v>
      </c>
      <c r="AJ43" s="48">
        <f>AVERAGE(AJ5:AJ39)</f>
        <v>8.1477114385131531E-3</v>
      </c>
      <c r="AK43" s="48">
        <f>AVERAGE(AK5:AK39)</f>
        <v>3.0073182379073225E-2</v>
      </c>
      <c r="BE43" s="52">
        <f t="shared" si="12"/>
        <v>1.0000666549721537</v>
      </c>
      <c r="BH43" s="55">
        <f>AVERAGE(BH5:BH39)</f>
        <v>1.6590930465754899E-5</v>
      </c>
      <c r="BJ43" s="52">
        <f>AVERAGE(BJ5:BJ39)</f>
        <v>8.0784967672371219E-5</v>
      </c>
      <c r="BK43" s="52">
        <f>AVERAGE(BK5:BK39)</f>
        <v>7.530109447850819E-5</v>
      </c>
      <c r="BL43" s="52">
        <f>AVERAGE(BL5:BL39)</f>
        <v>0</v>
      </c>
      <c r="BM43" s="52">
        <f>AVERAGE(BM5:BM39)</f>
        <v>0</v>
      </c>
      <c r="BN43" s="52">
        <f>AVERAGE(BN5:BN39)</f>
        <v>0</v>
      </c>
      <c r="BP43" s="52">
        <f>AVERAGE(BP5:BP39)</f>
        <v>3.2546357337848164E-5</v>
      </c>
      <c r="BQ43" s="52">
        <f>AVERAGE(BQ5:BQ39)</f>
        <v>2.9326180152849141E-5</v>
      </c>
      <c r="BR43" s="52">
        <f>AVERAGE(BR5:BR39)</f>
        <v>2.8705156075638427E-5</v>
      </c>
      <c r="BS43" s="52">
        <f>AVERAGE(BS5:BS39)</f>
        <v>2.6690219219892087E-5</v>
      </c>
      <c r="BT43" s="52">
        <f>AVERAGE(BT5:BT39)</f>
        <v>2.8182324482412774E-5</v>
      </c>
    </row>
    <row r="44" spans="1:72" ht="16" outlineLevel="2">
      <c r="A44" s="47" t="s">
        <v>237</v>
      </c>
      <c r="B44" s="47" t="s">
        <v>238</v>
      </c>
      <c r="AB44" s="49">
        <f>SUM(AB5:AB24,AB25:AB29,AB30:AB39)</f>
        <v>58126.295999999995</v>
      </c>
      <c r="AC44" s="49">
        <f>SUM(AC5:AC24,AC25:AC29,AC30:AC39)</f>
        <v>45449.813999999984</v>
      </c>
      <c r="AD44" s="49">
        <f>SUM(AD5:AD24,AD25:AD29,AD30:AD39)</f>
        <v>1515.7849999999999</v>
      </c>
      <c r="AE44" s="49">
        <f>SUM(AE5:AE24,AE25:AE29,AE30:AE39)</f>
        <v>621.75899999999979</v>
      </c>
      <c r="AZ44" s="49">
        <f>SUM(AZ5:AZ24,AZ25:AZ29,AZ30:AZ39)</f>
        <v>0</v>
      </c>
      <c r="BA44" s="49">
        <f>SUM(BA5:BA24,BA25:BA29,BA30:BA39)</f>
        <v>0</v>
      </c>
      <c r="BB44" s="49">
        <f>SUM(BB5:BB24,BB25:BB29,BB30:BB39)</f>
        <v>0</v>
      </c>
      <c r="BC44" s="49">
        <f>SUM(BC5:BC24,BC25:BC29,BC30:BC39)</f>
        <v>0</v>
      </c>
    </row>
    <row r="45" spans="1:72" ht="16" outlineLevel="2">
      <c r="B45" s="47" t="s">
        <v>239</v>
      </c>
      <c r="AD45" s="60"/>
      <c r="AE45" s="60"/>
      <c r="AZ45" s="55">
        <f>AZ44/AB44</f>
        <v>0</v>
      </c>
      <c r="BA45" s="55">
        <f>BA44/AC44</f>
        <v>0</v>
      </c>
      <c r="BB45" s="55">
        <f>BB44/AD44</f>
        <v>0</v>
      </c>
      <c r="BC45" s="55">
        <f>BC44/AE44</f>
        <v>0</v>
      </c>
    </row>
    <row r="46" spans="1:72" ht="16" outlineLevel="2">
      <c r="B46" s="47" t="s">
        <v>240</v>
      </c>
      <c r="AB46" s="49">
        <f>GEOMEAN(AB5:AB24,AB25:AB29,AB30:AB39)</f>
        <v>1494.7670856168183</v>
      </c>
      <c r="AC46" s="49">
        <f>GEOMEAN(AC5:AC24,AC25:AC29,AC30:AC39)</f>
        <v>1249.0197004238878</v>
      </c>
      <c r="AD46" s="49">
        <f>GEOMEAN(AD5:AD24,AD25:AD29,AD30:AD39)</f>
        <v>42.632252726511268</v>
      </c>
      <c r="AE46" s="49">
        <f>GEOMEAN(AE5:AE24,AE25:AE29,AE30:AE39)</f>
        <v>17.159783466912447</v>
      </c>
      <c r="AZ46" s="49" t="e">
        <f>GEOMEAN(AZ5:AZ24,AZ25:AZ29,AZ30:AZ39)</f>
        <v>#NUM!</v>
      </c>
      <c r="BA46" s="49" t="e">
        <f>GEOMEAN(BA5:BA24,BA25:BA29,BA30:BA39)</f>
        <v>#NUM!</v>
      </c>
      <c r="BB46" s="49" t="e">
        <f>GEOMEAN(BB5:BB24,BB25:BB29,BB30:BB39)</f>
        <v>#NUM!</v>
      </c>
      <c r="BC46" s="49" t="e">
        <f>GEOMEAN(BC5:BC24,BC25:BC29,BC30:BC39)</f>
        <v>#NUM!</v>
      </c>
    </row>
    <row r="47" spans="1:72" ht="16" outlineLevel="2" collapsed="1">
      <c r="B47" s="47" t="s">
        <v>241</v>
      </c>
      <c r="AD47" s="59"/>
      <c r="AE47" s="59"/>
      <c r="AZ47" s="55" t="e">
        <f>AZ46/AB46</f>
        <v>#NUM!</v>
      </c>
      <c r="BA47" s="55" t="e">
        <f>BA46/AC46</f>
        <v>#NUM!</v>
      </c>
      <c r="BB47" s="55" t="e">
        <f>BB46/AD46</f>
        <v>#NUM!</v>
      </c>
      <c r="BC47" s="55" t="e">
        <f>BC46/AE46</f>
        <v>#NUM!</v>
      </c>
    </row>
    <row r="60" spans="39:75">
      <c r="AM60"/>
      <c r="AN60" s="78">
        <f>AN5-P5</f>
        <v>0</v>
      </c>
      <c r="AO60" s="78">
        <f t="shared" ref="AO60:AY75" si="54">AO5-Q5</f>
        <v>0</v>
      </c>
      <c r="AP60" s="78">
        <f t="shared" si="54"/>
        <v>0</v>
      </c>
      <c r="AQ60" s="78">
        <f t="shared" si="54"/>
        <v>248</v>
      </c>
      <c r="AR60" s="78">
        <f t="shared" si="54"/>
        <v>0</v>
      </c>
      <c r="AS60" s="78">
        <f t="shared" si="54"/>
        <v>248</v>
      </c>
      <c r="AT60" s="78">
        <f t="shared" si="54"/>
        <v>0</v>
      </c>
      <c r="AU60" s="78">
        <f t="shared" si="54"/>
        <v>0</v>
      </c>
      <c r="AV60" s="78">
        <f t="shared" si="54"/>
        <v>0</v>
      </c>
      <c r="AW60" s="78">
        <f t="shared" si="54"/>
        <v>0</v>
      </c>
      <c r="AX60" s="78">
        <f t="shared" si="54"/>
        <v>0</v>
      </c>
      <c r="AY60" s="78">
        <f t="shared" si="54"/>
        <v>0</v>
      </c>
      <c r="AZ60" s="53"/>
      <c r="BA60" s="53"/>
      <c r="BB60" s="53"/>
      <c r="BD60"/>
      <c r="BE60" s="53"/>
      <c r="BF60" s="53"/>
      <c r="BG60" s="53"/>
      <c r="BH60" s="53"/>
      <c r="BI60" s="61"/>
      <c r="BJ60" s="61"/>
      <c r="BL60"/>
      <c r="BM60"/>
      <c r="BN60"/>
      <c r="BO60"/>
      <c r="BR60"/>
      <c r="BS60"/>
      <c r="BT60"/>
      <c r="BU60"/>
      <c r="BV60"/>
      <c r="BW60"/>
    </row>
    <row r="61" spans="39:75">
      <c r="AM61"/>
      <c r="AN61" s="78">
        <f t="shared" ref="AN61:AY76" si="55">AN6-P6</f>
        <v>0</v>
      </c>
      <c r="AO61" s="78">
        <f t="shared" si="54"/>
        <v>0</v>
      </c>
      <c r="AP61" s="78">
        <f t="shared" si="54"/>
        <v>0</v>
      </c>
      <c r="AQ61" s="78">
        <f t="shared" si="54"/>
        <v>248</v>
      </c>
      <c r="AR61" s="78">
        <f t="shared" si="54"/>
        <v>0</v>
      </c>
      <c r="AS61" s="78">
        <f t="shared" si="54"/>
        <v>248</v>
      </c>
      <c r="AT61" s="78">
        <f t="shared" si="54"/>
        <v>0</v>
      </c>
      <c r="AU61" s="78">
        <f t="shared" si="54"/>
        <v>0</v>
      </c>
      <c r="AV61" s="78">
        <f t="shared" si="54"/>
        <v>0</v>
      </c>
      <c r="AW61" s="78">
        <f t="shared" si="54"/>
        <v>0</v>
      </c>
      <c r="AX61" s="78">
        <f t="shared" si="54"/>
        <v>0</v>
      </c>
      <c r="AY61" s="78">
        <f t="shared" si="54"/>
        <v>0</v>
      </c>
      <c r="AZ61" s="53"/>
      <c r="BA61" s="53"/>
      <c r="BB61" s="53"/>
      <c r="BD61"/>
      <c r="BE61" s="53"/>
      <c r="BF61" s="53"/>
      <c r="BG61" s="53"/>
      <c r="BH61" s="53"/>
      <c r="BI61" s="61"/>
      <c r="BJ61" s="61"/>
      <c r="BL61"/>
      <c r="BM61"/>
      <c r="BN61"/>
      <c r="BO61"/>
      <c r="BR61"/>
      <c r="BS61"/>
      <c r="BT61"/>
      <c r="BU61"/>
      <c r="BV61"/>
      <c r="BW61"/>
    </row>
    <row r="62" spans="39:75">
      <c r="AM62"/>
      <c r="AN62" s="78">
        <f t="shared" si="55"/>
        <v>0</v>
      </c>
      <c r="AO62" s="78">
        <f t="shared" si="54"/>
        <v>0</v>
      </c>
      <c r="AP62" s="78">
        <f t="shared" si="54"/>
        <v>0</v>
      </c>
      <c r="AQ62" s="78">
        <f t="shared" si="54"/>
        <v>248</v>
      </c>
      <c r="AR62" s="78">
        <f t="shared" si="54"/>
        <v>0</v>
      </c>
      <c r="AS62" s="78">
        <f t="shared" si="54"/>
        <v>248</v>
      </c>
      <c r="AT62" s="78">
        <f t="shared" si="54"/>
        <v>0</v>
      </c>
      <c r="AU62" s="78">
        <f t="shared" si="54"/>
        <v>0</v>
      </c>
      <c r="AV62" s="78">
        <f t="shared" si="54"/>
        <v>0</v>
      </c>
      <c r="AW62" s="78">
        <f t="shared" si="54"/>
        <v>0</v>
      </c>
      <c r="AX62" s="78">
        <f t="shared" si="54"/>
        <v>0</v>
      </c>
      <c r="AY62" s="78">
        <f t="shared" si="54"/>
        <v>0</v>
      </c>
      <c r="AZ62" s="53"/>
      <c r="BA62" s="53"/>
      <c r="BB62" s="53"/>
      <c r="BD62"/>
      <c r="BE62" s="53"/>
      <c r="BF62" s="53"/>
      <c r="BG62" s="53"/>
      <c r="BH62" s="53"/>
      <c r="BI62" s="61"/>
      <c r="BJ62" s="61"/>
      <c r="BL62"/>
      <c r="BM62"/>
      <c r="BN62"/>
      <c r="BO62"/>
      <c r="BR62"/>
      <c r="BS62"/>
      <c r="BT62"/>
      <c r="BU62"/>
      <c r="BV62"/>
      <c r="BW62"/>
    </row>
    <row r="63" spans="39:75">
      <c r="AM63"/>
      <c r="AN63" s="78">
        <f t="shared" si="55"/>
        <v>0</v>
      </c>
      <c r="AO63" s="78">
        <f t="shared" si="54"/>
        <v>0</v>
      </c>
      <c r="AP63" s="78">
        <f t="shared" si="54"/>
        <v>0</v>
      </c>
      <c r="AQ63" s="78">
        <f t="shared" si="54"/>
        <v>248</v>
      </c>
      <c r="AR63" s="78">
        <f t="shared" si="54"/>
        <v>0</v>
      </c>
      <c r="AS63" s="78">
        <f t="shared" si="54"/>
        <v>248</v>
      </c>
      <c r="AT63" s="78">
        <f t="shared" si="54"/>
        <v>0</v>
      </c>
      <c r="AU63" s="78">
        <f t="shared" si="54"/>
        <v>0</v>
      </c>
      <c r="AV63" s="78">
        <f t="shared" si="54"/>
        <v>0</v>
      </c>
      <c r="AW63" s="78">
        <f t="shared" si="54"/>
        <v>0</v>
      </c>
      <c r="AX63" s="78">
        <f t="shared" si="54"/>
        <v>0</v>
      </c>
      <c r="AY63" s="78">
        <f t="shared" si="54"/>
        <v>0</v>
      </c>
      <c r="AZ63" s="53"/>
      <c r="BA63" s="53"/>
      <c r="BB63" s="53"/>
      <c r="BD63"/>
      <c r="BE63" s="53"/>
      <c r="BF63" s="53"/>
      <c r="BG63" s="53"/>
      <c r="BH63" s="53"/>
      <c r="BI63" s="61"/>
      <c r="BJ63" s="61"/>
      <c r="BL63"/>
      <c r="BM63"/>
      <c r="BN63"/>
      <c r="BO63"/>
      <c r="BR63"/>
      <c r="BS63"/>
      <c r="BT63"/>
      <c r="BU63"/>
      <c r="BV63"/>
      <c r="BW63"/>
    </row>
    <row r="64" spans="39:75">
      <c r="AM64"/>
      <c r="AN64" s="78">
        <f t="shared" si="55"/>
        <v>0</v>
      </c>
      <c r="AO64" s="78">
        <f t="shared" si="54"/>
        <v>0</v>
      </c>
      <c r="AP64" s="78">
        <f t="shared" si="54"/>
        <v>0</v>
      </c>
      <c r="AQ64" s="78">
        <f t="shared" si="54"/>
        <v>248</v>
      </c>
      <c r="AR64" s="78">
        <f t="shared" si="54"/>
        <v>0</v>
      </c>
      <c r="AS64" s="78">
        <f t="shared" si="54"/>
        <v>248</v>
      </c>
      <c r="AT64" s="78">
        <f t="shared" si="54"/>
        <v>0</v>
      </c>
      <c r="AU64" s="78">
        <f t="shared" si="54"/>
        <v>0</v>
      </c>
      <c r="AV64" s="78">
        <f t="shared" si="54"/>
        <v>0</v>
      </c>
      <c r="AW64" s="78">
        <f t="shared" si="54"/>
        <v>0</v>
      </c>
      <c r="AX64" s="78">
        <f t="shared" si="54"/>
        <v>0</v>
      </c>
      <c r="AY64" s="78">
        <f t="shared" si="54"/>
        <v>0</v>
      </c>
      <c r="AZ64" s="53"/>
      <c r="BA64" s="53"/>
      <c r="BB64" s="53"/>
      <c r="BD64"/>
      <c r="BE64" s="53"/>
      <c r="BF64" s="53"/>
      <c r="BG64" s="53"/>
      <c r="BH64" s="53"/>
      <c r="BI64" s="61"/>
      <c r="BJ64" s="61"/>
      <c r="BL64"/>
      <c r="BM64"/>
      <c r="BN64"/>
      <c r="BO64"/>
      <c r="BR64"/>
      <c r="BS64"/>
      <c r="BT64"/>
      <c r="BU64"/>
      <c r="BV64"/>
      <c r="BW64"/>
    </row>
    <row r="65" spans="39:75">
      <c r="AM65"/>
      <c r="AN65" s="78">
        <f t="shared" si="55"/>
        <v>0</v>
      </c>
      <c r="AO65" s="78">
        <f t="shared" si="54"/>
        <v>0</v>
      </c>
      <c r="AP65" s="78">
        <f t="shared" si="54"/>
        <v>0</v>
      </c>
      <c r="AQ65" s="78">
        <f t="shared" si="54"/>
        <v>248</v>
      </c>
      <c r="AR65" s="78">
        <f t="shared" si="54"/>
        <v>0</v>
      </c>
      <c r="AS65" s="78">
        <f t="shared" si="54"/>
        <v>248</v>
      </c>
      <c r="AT65" s="78">
        <f t="shared" si="54"/>
        <v>0</v>
      </c>
      <c r="AU65" s="78">
        <f t="shared" si="54"/>
        <v>0</v>
      </c>
      <c r="AV65" s="78">
        <f t="shared" si="54"/>
        <v>0</v>
      </c>
      <c r="AW65" s="78">
        <f t="shared" si="54"/>
        <v>0</v>
      </c>
      <c r="AX65" s="78">
        <f t="shared" si="54"/>
        <v>0</v>
      </c>
      <c r="AY65" s="78">
        <f t="shared" si="54"/>
        <v>0</v>
      </c>
      <c r="AZ65" s="53"/>
      <c r="BA65" s="53"/>
      <c r="BB65" s="53"/>
      <c r="BD65"/>
      <c r="BE65" s="53"/>
      <c r="BF65" s="53"/>
      <c r="BG65" s="53"/>
      <c r="BH65" s="53"/>
      <c r="BI65" s="61"/>
      <c r="BJ65" s="61"/>
      <c r="BL65"/>
      <c r="BM65"/>
      <c r="BN65"/>
      <c r="BO65"/>
      <c r="BR65"/>
      <c r="BS65"/>
      <c r="BT65"/>
      <c r="BU65"/>
      <c r="BV65"/>
      <c r="BW65"/>
    </row>
    <row r="66" spans="39:75">
      <c r="AM66"/>
      <c r="AN66" s="78">
        <f t="shared" si="55"/>
        <v>0</v>
      </c>
      <c r="AO66" s="78">
        <f t="shared" si="54"/>
        <v>0</v>
      </c>
      <c r="AP66" s="78">
        <f t="shared" si="54"/>
        <v>0</v>
      </c>
      <c r="AQ66" s="78">
        <f t="shared" si="54"/>
        <v>248</v>
      </c>
      <c r="AR66" s="78">
        <f t="shared" si="54"/>
        <v>0</v>
      </c>
      <c r="AS66" s="78">
        <f t="shared" si="54"/>
        <v>248</v>
      </c>
      <c r="AT66" s="78">
        <f t="shared" si="54"/>
        <v>0</v>
      </c>
      <c r="AU66" s="78">
        <f t="shared" si="54"/>
        <v>0</v>
      </c>
      <c r="AV66" s="78">
        <f t="shared" si="54"/>
        <v>0</v>
      </c>
      <c r="AW66" s="78">
        <f t="shared" si="54"/>
        <v>0</v>
      </c>
      <c r="AX66" s="78">
        <f t="shared" si="54"/>
        <v>0</v>
      </c>
      <c r="AY66" s="78">
        <f t="shared" si="54"/>
        <v>0</v>
      </c>
      <c r="AZ66" s="53"/>
      <c r="BA66" s="53"/>
      <c r="BB66" s="53"/>
      <c r="BD66"/>
      <c r="BE66" s="53"/>
      <c r="BF66" s="53"/>
      <c r="BG66" s="53"/>
      <c r="BH66" s="53"/>
      <c r="BI66" s="61"/>
      <c r="BJ66" s="61"/>
      <c r="BL66"/>
      <c r="BM66"/>
      <c r="BN66"/>
      <c r="BO66"/>
      <c r="BR66"/>
      <c r="BS66"/>
      <c r="BT66"/>
      <c r="BU66"/>
      <c r="BV66"/>
      <c r="BW66"/>
    </row>
    <row r="67" spans="39:75">
      <c r="AM67"/>
      <c r="AN67" s="78">
        <f t="shared" si="55"/>
        <v>0</v>
      </c>
      <c r="AO67" s="78">
        <f t="shared" si="54"/>
        <v>0</v>
      </c>
      <c r="AP67" s="78">
        <f t="shared" si="54"/>
        <v>0</v>
      </c>
      <c r="AQ67" s="78">
        <f t="shared" si="54"/>
        <v>248</v>
      </c>
      <c r="AR67" s="78">
        <f t="shared" si="54"/>
        <v>0</v>
      </c>
      <c r="AS67" s="78">
        <f t="shared" si="54"/>
        <v>248</v>
      </c>
      <c r="AT67" s="78">
        <f t="shared" si="54"/>
        <v>0</v>
      </c>
      <c r="AU67" s="78">
        <f t="shared" si="54"/>
        <v>0</v>
      </c>
      <c r="AV67" s="78">
        <f t="shared" si="54"/>
        <v>0</v>
      </c>
      <c r="AW67" s="78">
        <f t="shared" si="54"/>
        <v>0</v>
      </c>
      <c r="AX67" s="78">
        <f t="shared" si="54"/>
        <v>0</v>
      </c>
      <c r="AY67" s="78">
        <f t="shared" si="54"/>
        <v>0</v>
      </c>
      <c r="AZ67" s="53"/>
      <c r="BA67" s="53"/>
      <c r="BB67" s="53"/>
      <c r="BD67"/>
      <c r="BE67" s="53"/>
      <c r="BF67" s="53"/>
      <c r="BG67" s="53"/>
      <c r="BH67" s="53"/>
      <c r="BI67" s="61"/>
      <c r="BJ67" s="61"/>
      <c r="BL67"/>
      <c r="BM67"/>
      <c r="BN67"/>
      <c r="BO67"/>
      <c r="BR67"/>
      <c r="BS67"/>
      <c r="BT67"/>
      <c r="BU67"/>
      <c r="BV67"/>
      <c r="BW67"/>
    </row>
    <row r="68" spans="39:75">
      <c r="AM68"/>
      <c r="AN68" s="78">
        <f t="shared" si="55"/>
        <v>0</v>
      </c>
      <c r="AO68" s="78">
        <f t="shared" si="54"/>
        <v>0</v>
      </c>
      <c r="AP68" s="78">
        <f t="shared" si="54"/>
        <v>0</v>
      </c>
      <c r="AQ68" s="78">
        <f t="shared" si="54"/>
        <v>248</v>
      </c>
      <c r="AR68" s="78">
        <f t="shared" si="54"/>
        <v>0</v>
      </c>
      <c r="AS68" s="78">
        <f t="shared" si="54"/>
        <v>248</v>
      </c>
      <c r="AT68" s="78">
        <f t="shared" si="54"/>
        <v>0</v>
      </c>
      <c r="AU68" s="78">
        <f t="shared" si="54"/>
        <v>0</v>
      </c>
      <c r="AV68" s="78">
        <f t="shared" si="54"/>
        <v>0</v>
      </c>
      <c r="AW68" s="78">
        <f t="shared" si="54"/>
        <v>0</v>
      </c>
      <c r="AX68" s="78">
        <f t="shared" si="54"/>
        <v>0</v>
      </c>
      <c r="AY68" s="78">
        <f t="shared" si="54"/>
        <v>0</v>
      </c>
      <c r="AZ68" s="53"/>
      <c r="BA68" s="53"/>
      <c r="BB68" s="53"/>
      <c r="BD68"/>
      <c r="BE68" s="53"/>
      <c r="BF68" s="53"/>
      <c r="BG68" s="53"/>
      <c r="BH68" s="53"/>
      <c r="BI68" s="61"/>
      <c r="BJ68" s="61"/>
      <c r="BL68"/>
      <c r="BM68"/>
      <c r="BN68"/>
      <c r="BO68"/>
      <c r="BR68"/>
      <c r="BS68"/>
      <c r="BT68"/>
      <c r="BU68"/>
      <c r="BV68"/>
      <c r="BW68"/>
    </row>
    <row r="69" spans="39:75">
      <c r="AM69"/>
      <c r="AN69" s="78">
        <f t="shared" si="55"/>
        <v>0</v>
      </c>
      <c r="AO69" s="78">
        <f t="shared" si="54"/>
        <v>0</v>
      </c>
      <c r="AP69" s="78">
        <f t="shared" si="54"/>
        <v>0</v>
      </c>
      <c r="AQ69" s="78">
        <f t="shared" si="54"/>
        <v>248</v>
      </c>
      <c r="AR69" s="78">
        <f t="shared" si="54"/>
        <v>0</v>
      </c>
      <c r="AS69" s="78">
        <f t="shared" si="54"/>
        <v>248</v>
      </c>
      <c r="AT69" s="78">
        <f t="shared" si="54"/>
        <v>0</v>
      </c>
      <c r="AU69" s="78">
        <f t="shared" si="54"/>
        <v>0</v>
      </c>
      <c r="AV69" s="78">
        <f t="shared" si="54"/>
        <v>0</v>
      </c>
      <c r="AW69" s="78">
        <f t="shared" si="54"/>
        <v>0</v>
      </c>
      <c r="AX69" s="78">
        <f t="shared" si="54"/>
        <v>0</v>
      </c>
      <c r="AY69" s="78">
        <f t="shared" si="54"/>
        <v>0</v>
      </c>
      <c r="AZ69" s="53"/>
      <c r="BA69" s="53"/>
      <c r="BB69" s="53"/>
      <c r="BD69"/>
      <c r="BE69" s="53"/>
      <c r="BF69" s="53"/>
      <c r="BG69" s="53"/>
      <c r="BH69" s="53"/>
      <c r="BI69" s="61"/>
      <c r="BJ69" s="61"/>
      <c r="BL69"/>
      <c r="BM69"/>
      <c r="BN69"/>
      <c r="BO69"/>
      <c r="BR69"/>
      <c r="BS69"/>
      <c r="BT69"/>
      <c r="BU69"/>
      <c r="BV69"/>
      <c r="BW69"/>
    </row>
    <row r="70" spans="39:75">
      <c r="AM70"/>
      <c r="AN70" s="78">
        <f t="shared" si="55"/>
        <v>0</v>
      </c>
      <c r="AO70" s="78">
        <f t="shared" si="54"/>
        <v>0</v>
      </c>
      <c r="AP70" s="78">
        <f t="shared" si="54"/>
        <v>0</v>
      </c>
      <c r="AQ70" s="78">
        <f t="shared" si="54"/>
        <v>248</v>
      </c>
      <c r="AR70" s="78">
        <f t="shared" si="54"/>
        <v>0</v>
      </c>
      <c r="AS70" s="78">
        <f t="shared" si="54"/>
        <v>248</v>
      </c>
      <c r="AT70" s="78">
        <f t="shared" si="54"/>
        <v>0</v>
      </c>
      <c r="AU70" s="78">
        <f t="shared" si="54"/>
        <v>0</v>
      </c>
      <c r="AV70" s="78">
        <f t="shared" si="54"/>
        <v>0</v>
      </c>
      <c r="AW70" s="78">
        <f t="shared" si="54"/>
        <v>0</v>
      </c>
      <c r="AX70" s="78">
        <f t="shared" si="54"/>
        <v>0</v>
      </c>
      <c r="AY70" s="78">
        <f t="shared" si="54"/>
        <v>0</v>
      </c>
      <c r="AZ70" s="53"/>
      <c r="BA70" s="53"/>
      <c r="BB70" s="53"/>
      <c r="BD70"/>
      <c r="BE70" s="53"/>
      <c r="BF70" s="53"/>
      <c r="BG70" s="53"/>
      <c r="BH70" s="53"/>
      <c r="BI70" s="61"/>
      <c r="BJ70" s="61"/>
      <c r="BL70"/>
      <c r="BM70"/>
      <c r="BN70"/>
      <c r="BO70"/>
      <c r="BR70"/>
      <c r="BS70"/>
      <c r="BT70"/>
      <c r="BU70"/>
      <c r="BV70"/>
      <c r="BW70"/>
    </row>
    <row r="71" spans="39:75">
      <c r="AM71"/>
      <c r="AN71" s="78">
        <f t="shared" si="55"/>
        <v>0</v>
      </c>
      <c r="AO71" s="78">
        <f t="shared" si="54"/>
        <v>0</v>
      </c>
      <c r="AP71" s="78">
        <f t="shared" si="54"/>
        <v>0</v>
      </c>
      <c r="AQ71" s="78">
        <f t="shared" si="54"/>
        <v>248</v>
      </c>
      <c r="AR71" s="78">
        <f t="shared" si="54"/>
        <v>0</v>
      </c>
      <c r="AS71" s="78">
        <f t="shared" si="54"/>
        <v>248</v>
      </c>
      <c r="AT71" s="78">
        <f t="shared" si="54"/>
        <v>0</v>
      </c>
      <c r="AU71" s="78">
        <f t="shared" si="54"/>
        <v>0</v>
      </c>
      <c r="AV71" s="78">
        <f t="shared" si="54"/>
        <v>0</v>
      </c>
      <c r="AW71" s="78">
        <f t="shared" si="54"/>
        <v>0</v>
      </c>
      <c r="AX71" s="78">
        <f t="shared" si="54"/>
        <v>0</v>
      </c>
      <c r="AY71" s="78">
        <f t="shared" si="54"/>
        <v>0</v>
      </c>
      <c r="AZ71" s="53"/>
      <c r="BA71" s="53"/>
      <c r="BB71" s="53"/>
      <c r="BD71"/>
      <c r="BE71" s="53"/>
      <c r="BF71" s="53"/>
      <c r="BG71" s="53"/>
      <c r="BH71" s="53"/>
      <c r="BI71" s="61"/>
      <c r="BJ71" s="61"/>
      <c r="BL71"/>
      <c r="BM71"/>
      <c r="BN71"/>
      <c r="BO71"/>
      <c r="BR71"/>
      <c r="BS71"/>
      <c r="BT71"/>
      <c r="BU71"/>
      <c r="BV71"/>
      <c r="BW71"/>
    </row>
    <row r="72" spans="39:75">
      <c r="AM72"/>
      <c r="AN72" s="78">
        <f t="shared" si="55"/>
        <v>0</v>
      </c>
      <c r="AO72" s="78">
        <f t="shared" si="54"/>
        <v>0</v>
      </c>
      <c r="AP72" s="78">
        <f t="shared" si="54"/>
        <v>0</v>
      </c>
      <c r="AQ72" s="78">
        <f t="shared" si="54"/>
        <v>248</v>
      </c>
      <c r="AR72" s="78">
        <f t="shared" si="54"/>
        <v>0</v>
      </c>
      <c r="AS72" s="78">
        <f t="shared" si="54"/>
        <v>248</v>
      </c>
      <c r="AT72" s="78">
        <f t="shared" si="54"/>
        <v>0</v>
      </c>
      <c r="AU72" s="78">
        <f t="shared" si="54"/>
        <v>0</v>
      </c>
      <c r="AV72" s="78">
        <f t="shared" si="54"/>
        <v>0</v>
      </c>
      <c r="AW72" s="78">
        <f t="shared" si="54"/>
        <v>0</v>
      </c>
      <c r="AX72" s="78">
        <f t="shared" si="54"/>
        <v>0</v>
      </c>
      <c r="AY72" s="78">
        <f t="shared" si="54"/>
        <v>0</v>
      </c>
      <c r="AZ72" s="53"/>
      <c r="BA72" s="53"/>
      <c r="BB72" s="53"/>
      <c r="BD72"/>
      <c r="BE72" s="53"/>
      <c r="BF72" s="53"/>
      <c r="BG72" s="53"/>
      <c r="BH72" s="53"/>
      <c r="BI72" s="61"/>
      <c r="BJ72" s="61"/>
      <c r="BL72"/>
      <c r="BM72"/>
      <c r="BN72"/>
      <c r="BO72"/>
      <c r="BR72"/>
      <c r="BS72"/>
      <c r="BT72"/>
      <c r="BU72"/>
      <c r="BV72"/>
      <c r="BW72"/>
    </row>
    <row r="73" spans="39:75">
      <c r="AM73"/>
      <c r="AN73" s="78">
        <f t="shared" si="55"/>
        <v>0</v>
      </c>
      <c r="AO73" s="78">
        <f t="shared" si="54"/>
        <v>0</v>
      </c>
      <c r="AP73" s="78">
        <f t="shared" si="54"/>
        <v>0</v>
      </c>
      <c r="AQ73" s="78">
        <f t="shared" si="54"/>
        <v>248</v>
      </c>
      <c r="AR73" s="78">
        <f t="shared" si="54"/>
        <v>0</v>
      </c>
      <c r="AS73" s="78">
        <f t="shared" si="54"/>
        <v>248</v>
      </c>
      <c r="AT73" s="78">
        <f t="shared" si="54"/>
        <v>0</v>
      </c>
      <c r="AU73" s="78">
        <f t="shared" si="54"/>
        <v>0</v>
      </c>
      <c r="AV73" s="78">
        <f t="shared" si="54"/>
        <v>0</v>
      </c>
      <c r="AW73" s="78">
        <f t="shared" si="54"/>
        <v>0</v>
      </c>
      <c r="AX73" s="78">
        <f t="shared" si="54"/>
        <v>0</v>
      </c>
      <c r="AY73" s="78">
        <f t="shared" si="54"/>
        <v>0</v>
      </c>
      <c r="AZ73" s="53"/>
      <c r="BA73" s="53"/>
      <c r="BB73" s="53"/>
      <c r="BD73"/>
      <c r="BE73" s="53"/>
      <c r="BF73" s="53"/>
      <c r="BG73" s="53"/>
      <c r="BH73" s="53"/>
      <c r="BI73" s="61"/>
      <c r="BJ73" s="61"/>
      <c r="BL73"/>
      <c r="BM73"/>
      <c r="BN73"/>
      <c r="BO73"/>
      <c r="BR73"/>
      <c r="BS73"/>
      <c r="BT73"/>
      <c r="BU73"/>
      <c r="BV73"/>
      <c r="BW73"/>
    </row>
    <row r="74" spans="39:75">
      <c r="AM74"/>
      <c r="AN74" s="78">
        <f t="shared" si="55"/>
        <v>0</v>
      </c>
      <c r="AO74" s="78">
        <f t="shared" si="54"/>
        <v>0</v>
      </c>
      <c r="AP74" s="78">
        <f t="shared" si="54"/>
        <v>0</v>
      </c>
      <c r="AQ74" s="78">
        <f t="shared" si="54"/>
        <v>248</v>
      </c>
      <c r="AR74" s="78">
        <f t="shared" si="54"/>
        <v>0</v>
      </c>
      <c r="AS74" s="78">
        <f t="shared" si="54"/>
        <v>248</v>
      </c>
      <c r="AT74" s="78">
        <f t="shared" si="54"/>
        <v>0</v>
      </c>
      <c r="AU74" s="78">
        <f t="shared" si="54"/>
        <v>0</v>
      </c>
      <c r="AV74" s="78">
        <f t="shared" si="54"/>
        <v>0</v>
      </c>
      <c r="AW74" s="78">
        <f t="shared" si="54"/>
        <v>0</v>
      </c>
      <c r="AX74" s="78">
        <f t="shared" si="54"/>
        <v>0</v>
      </c>
      <c r="AY74" s="78">
        <f t="shared" si="54"/>
        <v>0</v>
      </c>
      <c r="AZ74" s="53"/>
      <c r="BA74" s="53"/>
      <c r="BB74" s="53"/>
      <c r="BD74"/>
      <c r="BE74" s="53"/>
      <c r="BF74" s="53"/>
      <c r="BG74" s="53"/>
      <c r="BH74" s="53"/>
      <c r="BI74" s="61"/>
      <c r="BJ74" s="61"/>
      <c r="BL74"/>
      <c r="BM74"/>
      <c r="BN74"/>
      <c r="BO74"/>
      <c r="BR74"/>
      <c r="BS74"/>
      <c r="BT74"/>
      <c r="BU74"/>
      <c r="BV74"/>
      <c r="BW74"/>
    </row>
    <row r="75" spans="39:75">
      <c r="AM75"/>
      <c r="AN75" s="78">
        <f t="shared" si="55"/>
        <v>0</v>
      </c>
      <c r="AO75" s="78">
        <f t="shared" si="54"/>
        <v>0</v>
      </c>
      <c r="AP75" s="78">
        <f t="shared" si="54"/>
        <v>0</v>
      </c>
      <c r="AQ75" s="78">
        <f t="shared" si="54"/>
        <v>248</v>
      </c>
      <c r="AR75" s="78">
        <f t="shared" si="54"/>
        <v>0</v>
      </c>
      <c r="AS75" s="78">
        <f t="shared" si="54"/>
        <v>248</v>
      </c>
      <c r="AT75" s="78">
        <f t="shared" si="54"/>
        <v>0</v>
      </c>
      <c r="AU75" s="78">
        <f t="shared" si="54"/>
        <v>0</v>
      </c>
      <c r="AV75" s="78">
        <f t="shared" si="54"/>
        <v>0</v>
      </c>
      <c r="AW75" s="78">
        <f t="shared" si="54"/>
        <v>0</v>
      </c>
      <c r="AX75" s="78">
        <f t="shared" si="54"/>
        <v>0</v>
      </c>
      <c r="AY75" s="78">
        <f t="shared" si="54"/>
        <v>0</v>
      </c>
      <c r="AZ75" s="53"/>
      <c r="BA75" s="53"/>
      <c r="BB75" s="53"/>
      <c r="BD75"/>
      <c r="BE75" s="53"/>
      <c r="BF75" s="53"/>
      <c r="BG75" s="53"/>
      <c r="BH75" s="53"/>
      <c r="BI75" s="61"/>
      <c r="BJ75" s="61"/>
      <c r="BL75"/>
      <c r="BM75"/>
      <c r="BN75"/>
      <c r="BO75"/>
      <c r="BR75"/>
      <c r="BS75"/>
      <c r="BT75"/>
      <c r="BU75"/>
      <c r="BV75"/>
      <c r="BW75"/>
    </row>
    <row r="76" spans="39:75">
      <c r="AM76"/>
      <c r="AN76" s="78">
        <f t="shared" si="55"/>
        <v>0</v>
      </c>
      <c r="AO76" s="78">
        <f t="shared" si="55"/>
        <v>0</v>
      </c>
      <c r="AP76" s="78">
        <f t="shared" si="55"/>
        <v>0</v>
      </c>
      <c r="AQ76" s="78">
        <f t="shared" si="55"/>
        <v>248</v>
      </c>
      <c r="AR76" s="78">
        <f t="shared" si="55"/>
        <v>0</v>
      </c>
      <c r="AS76" s="78">
        <f t="shared" si="55"/>
        <v>248</v>
      </c>
      <c r="AT76" s="78">
        <f t="shared" si="55"/>
        <v>0</v>
      </c>
      <c r="AU76" s="78">
        <f t="shared" si="55"/>
        <v>0</v>
      </c>
      <c r="AV76" s="78">
        <f t="shared" si="55"/>
        <v>0</v>
      </c>
      <c r="AW76" s="78">
        <f t="shared" si="55"/>
        <v>0</v>
      </c>
      <c r="AX76" s="78">
        <f t="shared" si="55"/>
        <v>0</v>
      </c>
      <c r="AY76" s="78">
        <f t="shared" si="55"/>
        <v>0</v>
      </c>
      <c r="AZ76" s="53"/>
      <c r="BA76" s="53"/>
      <c r="BB76" s="53"/>
      <c r="BD76"/>
      <c r="BE76" s="53"/>
      <c r="BF76" s="53"/>
      <c r="BG76" s="53"/>
      <c r="BH76" s="53"/>
      <c r="BI76" s="61"/>
      <c r="BJ76" s="61"/>
      <c r="BL76"/>
      <c r="BM76"/>
      <c r="BN76"/>
      <c r="BO76"/>
      <c r="BR76"/>
      <c r="BS76"/>
      <c r="BT76"/>
      <c r="BU76"/>
      <c r="BV76"/>
      <c r="BW76"/>
    </row>
    <row r="77" spans="39:75">
      <c r="AM77"/>
      <c r="AN77" s="78">
        <f t="shared" ref="AN77:AY92" si="56">AN22-P22</f>
        <v>0</v>
      </c>
      <c r="AO77" s="78">
        <f t="shared" si="56"/>
        <v>0</v>
      </c>
      <c r="AP77" s="78">
        <f t="shared" si="56"/>
        <v>0</v>
      </c>
      <c r="AQ77" s="78">
        <f t="shared" si="56"/>
        <v>248</v>
      </c>
      <c r="AR77" s="78">
        <f t="shared" si="56"/>
        <v>0</v>
      </c>
      <c r="AS77" s="78">
        <f t="shared" si="56"/>
        <v>248</v>
      </c>
      <c r="AT77" s="78">
        <f t="shared" si="56"/>
        <v>0</v>
      </c>
      <c r="AU77" s="78">
        <f t="shared" si="56"/>
        <v>0</v>
      </c>
      <c r="AV77" s="78">
        <f t="shared" si="56"/>
        <v>0</v>
      </c>
      <c r="AW77" s="78">
        <f t="shared" si="56"/>
        <v>0</v>
      </c>
      <c r="AX77" s="78">
        <f t="shared" si="56"/>
        <v>0</v>
      </c>
      <c r="AY77" s="78">
        <f t="shared" si="56"/>
        <v>0</v>
      </c>
      <c r="AZ77" s="53"/>
      <c r="BA77" s="53"/>
      <c r="BB77" s="53"/>
      <c r="BD77"/>
      <c r="BE77" s="53"/>
      <c r="BF77" s="53"/>
      <c r="BG77" s="53"/>
      <c r="BH77" s="53"/>
      <c r="BI77" s="61"/>
      <c r="BJ77" s="61"/>
      <c r="BL77"/>
      <c r="BM77"/>
      <c r="BN77"/>
      <c r="BO77"/>
      <c r="BR77"/>
      <c r="BS77"/>
      <c r="BT77"/>
      <c r="BU77"/>
      <c r="BV77"/>
      <c r="BW77"/>
    </row>
    <row r="78" spans="39:75">
      <c r="AM78"/>
      <c r="AN78" s="78">
        <f t="shared" si="56"/>
        <v>0</v>
      </c>
      <c r="AO78" s="78">
        <f t="shared" si="56"/>
        <v>0</v>
      </c>
      <c r="AP78" s="78">
        <f t="shared" si="56"/>
        <v>0</v>
      </c>
      <c r="AQ78" s="78">
        <f t="shared" si="56"/>
        <v>248</v>
      </c>
      <c r="AR78" s="78">
        <f t="shared" si="56"/>
        <v>0</v>
      </c>
      <c r="AS78" s="78">
        <f t="shared" si="56"/>
        <v>248</v>
      </c>
      <c r="AT78" s="78">
        <f t="shared" si="56"/>
        <v>0</v>
      </c>
      <c r="AU78" s="78">
        <f t="shared" si="56"/>
        <v>0</v>
      </c>
      <c r="AV78" s="78">
        <f t="shared" si="56"/>
        <v>0</v>
      </c>
      <c r="AW78" s="78">
        <f t="shared" si="56"/>
        <v>0</v>
      </c>
      <c r="AX78" s="78">
        <f t="shared" si="56"/>
        <v>0</v>
      </c>
      <c r="AY78" s="78">
        <f t="shared" si="56"/>
        <v>0</v>
      </c>
      <c r="AZ78" s="53"/>
      <c r="BA78" s="53"/>
      <c r="BB78" s="53"/>
      <c r="BD78"/>
      <c r="BE78" s="53"/>
      <c r="BF78" s="53"/>
      <c r="BG78" s="53"/>
      <c r="BH78" s="53"/>
      <c r="BI78" s="61"/>
      <c r="BJ78" s="61"/>
      <c r="BL78"/>
      <c r="BM78"/>
      <c r="BN78"/>
      <c r="BO78"/>
      <c r="BR78"/>
      <c r="BS78"/>
      <c r="BT78"/>
      <c r="BU78"/>
      <c r="BV78"/>
      <c r="BW78"/>
    </row>
    <row r="79" spans="39:75">
      <c r="AM79"/>
      <c r="AN79" s="78">
        <f t="shared" si="56"/>
        <v>0</v>
      </c>
      <c r="AO79" s="78">
        <f t="shared" si="56"/>
        <v>0</v>
      </c>
      <c r="AP79" s="78">
        <f t="shared" si="56"/>
        <v>0</v>
      </c>
      <c r="AQ79" s="78">
        <f t="shared" si="56"/>
        <v>248</v>
      </c>
      <c r="AR79" s="78">
        <f t="shared" si="56"/>
        <v>0</v>
      </c>
      <c r="AS79" s="78">
        <f t="shared" si="56"/>
        <v>248</v>
      </c>
      <c r="AT79" s="78">
        <f t="shared" si="56"/>
        <v>0</v>
      </c>
      <c r="AU79" s="78">
        <f t="shared" si="56"/>
        <v>0</v>
      </c>
      <c r="AV79" s="78">
        <f t="shared" si="56"/>
        <v>0</v>
      </c>
      <c r="AW79" s="78">
        <f t="shared" si="56"/>
        <v>0</v>
      </c>
      <c r="AX79" s="78">
        <f t="shared" si="56"/>
        <v>0</v>
      </c>
      <c r="AY79" s="78">
        <f t="shared" si="56"/>
        <v>0</v>
      </c>
      <c r="AZ79" s="53"/>
      <c r="BA79" s="53"/>
      <c r="BB79" s="53"/>
      <c r="BD79"/>
      <c r="BE79" s="53"/>
      <c r="BF79" s="53"/>
      <c r="BG79" s="53"/>
      <c r="BH79" s="53"/>
      <c r="BI79" s="61"/>
      <c r="BJ79" s="61"/>
      <c r="BL79"/>
      <c r="BM79"/>
      <c r="BN79"/>
      <c r="BO79"/>
      <c r="BR79"/>
      <c r="BS79"/>
      <c r="BT79"/>
      <c r="BU79"/>
      <c r="BV79"/>
      <c r="BW79"/>
    </row>
    <row r="80" spans="39:75">
      <c r="AM80"/>
      <c r="AN80" s="78">
        <f t="shared" si="56"/>
        <v>0</v>
      </c>
      <c r="AO80" s="78">
        <f t="shared" si="56"/>
        <v>0</v>
      </c>
      <c r="AP80" s="78">
        <f t="shared" si="56"/>
        <v>0</v>
      </c>
      <c r="AQ80" s="78">
        <f t="shared" si="56"/>
        <v>248</v>
      </c>
      <c r="AR80" s="78">
        <f t="shared" si="56"/>
        <v>0</v>
      </c>
      <c r="AS80" s="78">
        <f t="shared" si="56"/>
        <v>248</v>
      </c>
      <c r="AT80" s="78">
        <f t="shared" si="56"/>
        <v>0</v>
      </c>
      <c r="AU80" s="78">
        <f t="shared" si="56"/>
        <v>0</v>
      </c>
      <c r="AV80" s="78">
        <f t="shared" si="56"/>
        <v>0</v>
      </c>
      <c r="AW80" s="78">
        <f t="shared" si="56"/>
        <v>0</v>
      </c>
      <c r="AX80" s="78">
        <f t="shared" si="56"/>
        <v>0</v>
      </c>
      <c r="AY80" s="78">
        <f t="shared" si="56"/>
        <v>0</v>
      </c>
      <c r="AZ80" s="53"/>
      <c r="BA80" s="53"/>
      <c r="BB80" s="53"/>
      <c r="BD80"/>
      <c r="BE80" s="53"/>
      <c r="BF80" s="53"/>
      <c r="BG80" s="53"/>
      <c r="BH80" s="53"/>
      <c r="BI80" s="61"/>
      <c r="BJ80" s="61"/>
      <c r="BL80"/>
      <c r="BM80"/>
      <c r="BN80"/>
      <c r="BO80"/>
      <c r="BR80"/>
      <c r="BS80"/>
      <c r="BT80"/>
      <c r="BU80"/>
      <c r="BV80"/>
      <c r="BW80"/>
    </row>
    <row r="81" spans="39:75">
      <c r="AM81"/>
      <c r="AN81" s="78">
        <f t="shared" si="56"/>
        <v>0</v>
      </c>
      <c r="AO81" s="78">
        <f t="shared" si="56"/>
        <v>0</v>
      </c>
      <c r="AP81" s="78">
        <f t="shared" si="56"/>
        <v>0</v>
      </c>
      <c r="AQ81" s="78">
        <f t="shared" si="56"/>
        <v>248</v>
      </c>
      <c r="AR81" s="78">
        <f t="shared" si="56"/>
        <v>0</v>
      </c>
      <c r="AS81" s="78">
        <f t="shared" si="56"/>
        <v>248</v>
      </c>
      <c r="AT81" s="78">
        <f t="shared" si="56"/>
        <v>0</v>
      </c>
      <c r="AU81" s="78">
        <f t="shared" si="56"/>
        <v>0</v>
      </c>
      <c r="AV81" s="78">
        <f t="shared" si="56"/>
        <v>0</v>
      </c>
      <c r="AW81" s="78">
        <f t="shared" si="56"/>
        <v>0</v>
      </c>
      <c r="AX81" s="78">
        <f t="shared" si="56"/>
        <v>0</v>
      </c>
      <c r="AY81" s="78">
        <f t="shared" si="56"/>
        <v>0</v>
      </c>
      <c r="AZ81" s="53"/>
      <c r="BA81" s="53"/>
      <c r="BB81" s="53"/>
      <c r="BD81"/>
      <c r="BE81" s="53"/>
      <c r="BF81" s="53"/>
      <c r="BG81" s="53"/>
      <c r="BH81" s="53"/>
      <c r="BI81" s="61"/>
      <c r="BJ81" s="61"/>
      <c r="BL81"/>
      <c r="BM81"/>
      <c r="BN81"/>
      <c r="BO81"/>
      <c r="BR81"/>
      <c r="BS81"/>
      <c r="BT81"/>
      <c r="BU81"/>
      <c r="BV81"/>
      <c r="BW81"/>
    </row>
    <row r="82" spans="39:75">
      <c r="AM82"/>
      <c r="AN82" s="78">
        <f t="shared" si="56"/>
        <v>0</v>
      </c>
      <c r="AO82" s="78">
        <f t="shared" si="56"/>
        <v>0</v>
      </c>
      <c r="AP82" s="78">
        <f t="shared" si="56"/>
        <v>0</v>
      </c>
      <c r="AQ82" s="78">
        <f t="shared" si="56"/>
        <v>248</v>
      </c>
      <c r="AR82" s="78">
        <f t="shared" si="56"/>
        <v>0</v>
      </c>
      <c r="AS82" s="78">
        <f t="shared" si="56"/>
        <v>248</v>
      </c>
      <c r="AT82" s="78">
        <f t="shared" si="56"/>
        <v>0</v>
      </c>
      <c r="AU82" s="78">
        <f t="shared" si="56"/>
        <v>0</v>
      </c>
      <c r="AV82" s="78">
        <f t="shared" si="56"/>
        <v>0</v>
      </c>
      <c r="AW82" s="78">
        <f t="shared" si="56"/>
        <v>0</v>
      </c>
      <c r="AX82" s="78">
        <f t="shared" si="56"/>
        <v>0</v>
      </c>
      <c r="AY82" s="78">
        <f t="shared" si="56"/>
        <v>0</v>
      </c>
      <c r="AZ82" s="53"/>
      <c r="BA82" s="53"/>
      <c r="BB82" s="53"/>
      <c r="BD82"/>
      <c r="BE82" s="53"/>
      <c r="BF82" s="53"/>
      <c r="BG82" s="53"/>
      <c r="BH82" s="53"/>
      <c r="BI82" s="61"/>
      <c r="BJ82" s="61"/>
      <c r="BL82"/>
      <c r="BM82"/>
      <c r="BN82"/>
      <c r="BO82"/>
      <c r="BR82"/>
      <c r="BS82"/>
      <c r="BT82"/>
      <c r="BU82"/>
      <c r="BV82"/>
      <c r="BW82"/>
    </row>
    <row r="83" spans="39:75">
      <c r="AM83"/>
      <c r="AN83" s="78">
        <f t="shared" si="56"/>
        <v>0</v>
      </c>
      <c r="AO83" s="78">
        <f t="shared" si="56"/>
        <v>0</v>
      </c>
      <c r="AP83" s="78">
        <f t="shared" si="56"/>
        <v>0</v>
      </c>
      <c r="AQ83" s="78">
        <f t="shared" si="56"/>
        <v>248</v>
      </c>
      <c r="AR83" s="78">
        <f t="shared" si="56"/>
        <v>0</v>
      </c>
      <c r="AS83" s="78">
        <f t="shared" si="56"/>
        <v>248</v>
      </c>
      <c r="AT83" s="78">
        <f t="shared" si="56"/>
        <v>0</v>
      </c>
      <c r="AU83" s="78">
        <f t="shared" si="56"/>
        <v>0</v>
      </c>
      <c r="AV83" s="78">
        <f t="shared" si="56"/>
        <v>0</v>
      </c>
      <c r="AW83" s="78">
        <f t="shared" si="56"/>
        <v>0</v>
      </c>
      <c r="AX83" s="78">
        <f t="shared" si="56"/>
        <v>0</v>
      </c>
      <c r="AY83" s="78">
        <f t="shared" si="56"/>
        <v>0</v>
      </c>
      <c r="AZ83" s="53"/>
      <c r="BA83" s="53"/>
      <c r="BB83" s="53"/>
      <c r="BD83"/>
      <c r="BE83" s="53"/>
      <c r="BF83" s="53"/>
      <c r="BG83" s="53"/>
      <c r="BH83" s="53"/>
      <c r="BI83" s="61"/>
      <c r="BJ83" s="61"/>
      <c r="BL83"/>
      <c r="BM83"/>
      <c r="BN83"/>
      <c r="BO83"/>
      <c r="BR83"/>
      <c r="BS83"/>
      <c r="BT83"/>
      <c r="BU83"/>
      <c r="BV83"/>
      <c r="BW83"/>
    </row>
    <row r="84" spans="39:75">
      <c r="AM84"/>
      <c r="AN84" s="78">
        <f t="shared" si="56"/>
        <v>0</v>
      </c>
      <c r="AO84" s="78">
        <f t="shared" si="56"/>
        <v>0</v>
      </c>
      <c r="AP84" s="78">
        <f t="shared" si="56"/>
        <v>0</v>
      </c>
      <c r="AQ84" s="78">
        <f t="shared" si="56"/>
        <v>248</v>
      </c>
      <c r="AR84" s="78">
        <f t="shared" si="56"/>
        <v>0</v>
      </c>
      <c r="AS84" s="78">
        <f t="shared" si="56"/>
        <v>248</v>
      </c>
      <c r="AT84" s="78">
        <f t="shared" si="56"/>
        <v>0</v>
      </c>
      <c r="AU84" s="78">
        <f t="shared" si="56"/>
        <v>0</v>
      </c>
      <c r="AV84" s="78">
        <f t="shared" si="56"/>
        <v>0</v>
      </c>
      <c r="AW84" s="78">
        <f t="shared" si="56"/>
        <v>0</v>
      </c>
      <c r="AX84" s="78">
        <f t="shared" si="56"/>
        <v>0</v>
      </c>
      <c r="AY84" s="78">
        <f t="shared" si="56"/>
        <v>0</v>
      </c>
      <c r="AZ84" s="53"/>
      <c r="BA84" s="53"/>
      <c r="BB84" s="53"/>
      <c r="BD84"/>
      <c r="BE84" s="53"/>
      <c r="BF84" s="53"/>
      <c r="BG84" s="53"/>
      <c r="BH84" s="53"/>
      <c r="BI84" s="61"/>
      <c r="BJ84" s="61"/>
      <c r="BL84"/>
      <c r="BM84"/>
      <c r="BN84"/>
      <c r="BO84"/>
      <c r="BR84"/>
      <c r="BS84"/>
      <c r="BT84"/>
      <c r="BU84"/>
      <c r="BV84"/>
      <c r="BW84"/>
    </row>
    <row r="85" spans="39:75">
      <c r="AM85"/>
      <c r="AN85" s="78">
        <f t="shared" si="56"/>
        <v>0</v>
      </c>
      <c r="AO85" s="78">
        <f t="shared" si="56"/>
        <v>0</v>
      </c>
      <c r="AP85" s="78">
        <f t="shared" si="56"/>
        <v>0</v>
      </c>
      <c r="AQ85" s="78">
        <f t="shared" si="56"/>
        <v>72</v>
      </c>
      <c r="AR85" s="78">
        <f t="shared" si="56"/>
        <v>0</v>
      </c>
      <c r="AS85" s="78">
        <f t="shared" si="56"/>
        <v>72</v>
      </c>
      <c r="AT85" s="78">
        <f t="shared" si="56"/>
        <v>0</v>
      </c>
      <c r="AU85" s="78">
        <f t="shared" si="56"/>
        <v>0</v>
      </c>
      <c r="AV85" s="78">
        <f t="shared" si="56"/>
        <v>0</v>
      </c>
      <c r="AW85" s="78">
        <f t="shared" si="56"/>
        <v>0</v>
      </c>
      <c r="AX85" s="78">
        <f t="shared" si="56"/>
        <v>0</v>
      </c>
      <c r="AY85" s="78">
        <f t="shared" si="56"/>
        <v>0</v>
      </c>
      <c r="AZ85" s="53"/>
      <c r="BA85" s="53"/>
      <c r="BB85" s="53"/>
      <c r="BD85"/>
      <c r="BE85" s="53"/>
      <c r="BF85" s="53"/>
      <c r="BG85" s="53"/>
      <c r="BH85" s="53"/>
      <c r="BI85" s="61"/>
      <c r="BJ85" s="61"/>
      <c r="BL85"/>
      <c r="BM85"/>
      <c r="BN85"/>
      <c r="BO85"/>
      <c r="BR85"/>
      <c r="BS85"/>
      <c r="BT85"/>
      <c r="BU85"/>
      <c r="BV85"/>
      <c r="BW85"/>
    </row>
    <row r="86" spans="39:75">
      <c r="AM86"/>
      <c r="AN86" s="78">
        <f t="shared" si="56"/>
        <v>0</v>
      </c>
      <c r="AO86" s="78">
        <f t="shared" si="56"/>
        <v>0</v>
      </c>
      <c r="AP86" s="78">
        <f t="shared" si="56"/>
        <v>0</v>
      </c>
      <c r="AQ86" s="78">
        <f t="shared" si="56"/>
        <v>72</v>
      </c>
      <c r="AR86" s="78">
        <f t="shared" si="56"/>
        <v>0</v>
      </c>
      <c r="AS86" s="78">
        <f t="shared" si="56"/>
        <v>72</v>
      </c>
      <c r="AT86" s="78">
        <f t="shared" si="56"/>
        <v>0</v>
      </c>
      <c r="AU86" s="78">
        <f t="shared" si="56"/>
        <v>0</v>
      </c>
      <c r="AV86" s="78">
        <f t="shared" si="56"/>
        <v>0</v>
      </c>
      <c r="AW86" s="78">
        <f t="shared" si="56"/>
        <v>0</v>
      </c>
      <c r="AX86" s="78">
        <f t="shared" si="56"/>
        <v>0</v>
      </c>
      <c r="AY86" s="78">
        <f t="shared" si="56"/>
        <v>0</v>
      </c>
      <c r="AZ86" s="53"/>
      <c r="BA86" s="53"/>
      <c r="BB86" s="53"/>
      <c r="BD86"/>
      <c r="BE86" s="53"/>
      <c r="BF86" s="53"/>
      <c r="BG86" s="53"/>
      <c r="BH86" s="53"/>
      <c r="BI86" s="61"/>
      <c r="BJ86" s="61"/>
      <c r="BL86"/>
      <c r="BM86"/>
      <c r="BN86"/>
      <c r="BO86"/>
      <c r="BR86"/>
      <c r="BS86"/>
      <c r="BT86"/>
      <c r="BU86"/>
      <c r="BV86"/>
      <c r="BW86"/>
    </row>
    <row r="87" spans="39:75">
      <c r="AM87"/>
      <c r="AN87" s="78">
        <f t="shared" si="56"/>
        <v>0</v>
      </c>
      <c r="AO87" s="78">
        <f t="shared" si="56"/>
        <v>0</v>
      </c>
      <c r="AP87" s="78">
        <f t="shared" si="56"/>
        <v>0</v>
      </c>
      <c r="AQ87" s="78">
        <f t="shared" si="56"/>
        <v>72</v>
      </c>
      <c r="AR87" s="78">
        <f t="shared" si="56"/>
        <v>0</v>
      </c>
      <c r="AS87" s="78">
        <f t="shared" si="56"/>
        <v>72</v>
      </c>
      <c r="AT87" s="78">
        <f t="shared" si="56"/>
        <v>0</v>
      </c>
      <c r="AU87" s="78">
        <f t="shared" si="56"/>
        <v>0</v>
      </c>
      <c r="AV87" s="78">
        <f t="shared" si="56"/>
        <v>0</v>
      </c>
      <c r="AW87" s="78">
        <f t="shared" si="56"/>
        <v>0</v>
      </c>
      <c r="AX87" s="78">
        <f t="shared" si="56"/>
        <v>0</v>
      </c>
      <c r="AY87" s="78">
        <f t="shared" si="56"/>
        <v>0</v>
      </c>
      <c r="AZ87" s="53"/>
      <c r="BA87" s="53"/>
      <c r="BB87" s="53"/>
      <c r="BD87"/>
      <c r="BE87" s="53"/>
      <c r="BF87" s="53"/>
      <c r="BG87" s="53"/>
      <c r="BH87" s="53"/>
      <c r="BI87" s="61"/>
      <c r="BJ87" s="61"/>
      <c r="BL87"/>
      <c r="BM87"/>
      <c r="BN87"/>
      <c r="BO87"/>
      <c r="BR87"/>
      <c r="BS87"/>
      <c r="BT87"/>
      <c r="BU87"/>
      <c r="BV87"/>
      <c r="BW87"/>
    </row>
    <row r="88" spans="39:75">
      <c r="AM88"/>
      <c r="AN88" s="78">
        <f t="shared" si="56"/>
        <v>0</v>
      </c>
      <c r="AO88" s="78">
        <f t="shared" si="56"/>
        <v>0</v>
      </c>
      <c r="AP88" s="78">
        <f t="shared" si="56"/>
        <v>0</v>
      </c>
      <c r="AQ88" s="78">
        <f t="shared" si="56"/>
        <v>72</v>
      </c>
      <c r="AR88" s="78">
        <f t="shared" si="56"/>
        <v>0</v>
      </c>
      <c r="AS88" s="78">
        <f t="shared" si="56"/>
        <v>72</v>
      </c>
      <c r="AT88" s="78">
        <f t="shared" si="56"/>
        <v>0</v>
      </c>
      <c r="AU88" s="78">
        <f t="shared" si="56"/>
        <v>0</v>
      </c>
      <c r="AV88" s="78">
        <f t="shared" si="56"/>
        <v>0</v>
      </c>
      <c r="AW88" s="78">
        <f t="shared" si="56"/>
        <v>0</v>
      </c>
      <c r="AX88" s="78">
        <f t="shared" si="56"/>
        <v>0</v>
      </c>
      <c r="AY88" s="78">
        <f t="shared" si="56"/>
        <v>0</v>
      </c>
      <c r="AZ88" s="53"/>
      <c r="BA88" s="53"/>
      <c r="BB88" s="53"/>
      <c r="BD88"/>
      <c r="BE88" s="53"/>
      <c r="BF88" s="53"/>
      <c r="BG88" s="53"/>
      <c r="BH88" s="53"/>
      <c r="BI88" s="61"/>
      <c r="BJ88" s="61"/>
      <c r="BL88"/>
      <c r="BM88"/>
      <c r="BN88"/>
      <c r="BO88"/>
      <c r="BR88"/>
      <c r="BS88"/>
      <c r="BT88"/>
      <c r="BU88"/>
      <c r="BV88"/>
      <c r="BW88"/>
    </row>
    <row r="89" spans="39:75">
      <c r="AM89"/>
      <c r="AN89" s="78">
        <f t="shared" si="56"/>
        <v>0</v>
      </c>
      <c r="AO89" s="78">
        <f t="shared" si="56"/>
        <v>0</v>
      </c>
      <c r="AP89" s="78">
        <f t="shared" si="56"/>
        <v>0</v>
      </c>
      <c r="AQ89" s="78">
        <f t="shared" si="56"/>
        <v>72</v>
      </c>
      <c r="AR89" s="78">
        <f t="shared" si="56"/>
        <v>0</v>
      </c>
      <c r="AS89" s="78">
        <f t="shared" si="56"/>
        <v>72</v>
      </c>
      <c r="AT89" s="78">
        <f t="shared" si="56"/>
        <v>0</v>
      </c>
      <c r="AU89" s="78">
        <f t="shared" si="56"/>
        <v>0</v>
      </c>
      <c r="AV89" s="78">
        <f t="shared" si="56"/>
        <v>0</v>
      </c>
      <c r="AW89" s="78">
        <f t="shared" si="56"/>
        <v>0</v>
      </c>
      <c r="AX89" s="78">
        <f t="shared" si="56"/>
        <v>0</v>
      </c>
      <c r="AY89" s="78">
        <f t="shared" si="56"/>
        <v>0</v>
      </c>
      <c r="AZ89" s="53"/>
      <c r="BA89" s="53"/>
      <c r="BB89" s="53"/>
      <c r="BD89"/>
      <c r="BE89" s="53"/>
      <c r="BF89" s="53"/>
      <c r="BG89" s="53"/>
      <c r="BH89" s="53"/>
      <c r="BI89" s="61"/>
      <c r="BJ89" s="61"/>
      <c r="BL89"/>
      <c r="BM89"/>
      <c r="BN89"/>
      <c r="BO89"/>
      <c r="BR89"/>
      <c r="BS89"/>
      <c r="BT89"/>
      <c r="BU89"/>
      <c r="BV89"/>
      <c r="BW89"/>
    </row>
    <row r="90" spans="39:75">
      <c r="AM90"/>
      <c r="AN90" s="78">
        <f t="shared" si="56"/>
        <v>0</v>
      </c>
      <c r="AO90" s="78">
        <f t="shared" si="56"/>
        <v>0</v>
      </c>
      <c r="AP90" s="78">
        <f t="shared" si="56"/>
        <v>0</v>
      </c>
      <c r="AQ90" s="78">
        <f t="shared" si="56"/>
        <v>72</v>
      </c>
      <c r="AR90" s="78">
        <f t="shared" si="56"/>
        <v>0</v>
      </c>
      <c r="AS90" s="78">
        <f t="shared" si="56"/>
        <v>72</v>
      </c>
      <c r="AT90" s="78">
        <f t="shared" si="56"/>
        <v>0</v>
      </c>
      <c r="AU90" s="78">
        <f t="shared" si="56"/>
        <v>0</v>
      </c>
      <c r="AV90" s="78">
        <f t="shared" si="56"/>
        <v>0</v>
      </c>
      <c r="AW90" s="78">
        <f t="shared" si="56"/>
        <v>0</v>
      </c>
      <c r="AX90" s="78">
        <f t="shared" si="56"/>
        <v>0</v>
      </c>
      <c r="AY90" s="78">
        <f t="shared" si="56"/>
        <v>0</v>
      </c>
      <c r="AZ90" s="53"/>
      <c r="BA90" s="53"/>
      <c r="BB90" s="53"/>
      <c r="BD90"/>
      <c r="BE90" s="53"/>
      <c r="BF90" s="53"/>
      <c r="BG90" s="53"/>
      <c r="BH90" s="53"/>
      <c r="BI90" s="61"/>
      <c r="BJ90" s="61"/>
      <c r="BL90"/>
      <c r="BM90"/>
      <c r="BN90"/>
      <c r="BO90"/>
      <c r="BR90"/>
      <c r="BS90"/>
      <c r="BT90"/>
      <c r="BU90"/>
      <c r="BV90"/>
      <c r="BW90"/>
    </row>
    <row r="91" spans="39:75">
      <c r="AM91"/>
      <c r="AN91" s="78">
        <f t="shared" si="56"/>
        <v>0</v>
      </c>
      <c r="AO91" s="78">
        <f t="shared" si="56"/>
        <v>0</v>
      </c>
      <c r="AP91" s="78">
        <f t="shared" si="56"/>
        <v>0</v>
      </c>
      <c r="AQ91" s="78">
        <f t="shared" si="56"/>
        <v>72</v>
      </c>
      <c r="AR91" s="78">
        <f t="shared" si="56"/>
        <v>0</v>
      </c>
      <c r="AS91" s="78">
        <f t="shared" si="56"/>
        <v>72</v>
      </c>
      <c r="AT91" s="78">
        <f t="shared" si="56"/>
        <v>0</v>
      </c>
      <c r="AU91" s="78">
        <f t="shared" si="56"/>
        <v>0</v>
      </c>
      <c r="AV91" s="78">
        <f t="shared" si="56"/>
        <v>0</v>
      </c>
      <c r="AW91" s="78">
        <f t="shared" si="56"/>
        <v>0</v>
      </c>
      <c r="AX91" s="78">
        <f t="shared" si="56"/>
        <v>0</v>
      </c>
      <c r="AY91" s="78">
        <f t="shared" si="56"/>
        <v>0</v>
      </c>
      <c r="AZ91" s="53"/>
      <c r="BA91" s="53"/>
      <c r="BB91" s="53"/>
      <c r="BD91"/>
      <c r="BE91" s="53"/>
      <c r="BF91" s="53"/>
      <c r="BG91" s="53"/>
      <c r="BH91" s="53"/>
      <c r="BI91" s="61"/>
      <c r="BJ91" s="61"/>
      <c r="BL91"/>
      <c r="BM91"/>
      <c r="BN91"/>
      <c r="BO91"/>
      <c r="BR91"/>
      <c r="BS91"/>
      <c r="BT91"/>
      <c r="BU91"/>
      <c r="BV91"/>
      <c r="BW91"/>
    </row>
    <row r="92" spans="39:75">
      <c r="AM92"/>
      <c r="AN92" s="78">
        <f t="shared" si="56"/>
        <v>0</v>
      </c>
      <c r="AO92" s="78">
        <f t="shared" si="56"/>
        <v>0</v>
      </c>
      <c r="AP92" s="78">
        <f t="shared" si="56"/>
        <v>0</v>
      </c>
      <c r="AQ92" s="78">
        <f t="shared" si="56"/>
        <v>72</v>
      </c>
      <c r="AR92" s="78">
        <f t="shared" si="56"/>
        <v>0</v>
      </c>
      <c r="AS92" s="78">
        <f t="shared" si="56"/>
        <v>72</v>
      </c>
      <c r="AT92" s="78">
        <f t="shared" si="56"/>
        <v>0</v>
      </c>
      <c r="AU92" s="78">
        <f t="shared" si="56"/>
        <v>0</v>
      </c>
      <c r="AV92" s="78">
        <f t="shared" si="56"/>
        <v>0</v>
      </c>
      <c r="AW92" s="78">
        <f t="shared" si="56"/>
        <v>0</v>
      </c>
      <c r="AX92" s="78">
        <f t="shared" si="56"/>
        <v>0</v>
      </c>
      <c r="AY92" s="78">
        <f t="shared" si="56"/>
        <v>0</v>
      </c>
      <c r="AZ92" s="53"/>
      <c r="BA92" s="53"/>
      <c r="BB92" s="53"/>
      <c r="BD92"/>
      <c r="BE92" s="53"/>
      <c r="BF92" s="53"/>
      <c r="BG92" s="53"/>
      <c r="BH92" s="53"/>
      <c r="BI92" s="61"/>
      <c r="BJ92" s="61"/>
      <c r="BL92"/>
      <c r="BM92"/>
      <c r="BN92"/>
      <c r="BO92"/>
      <c r="BR92"/>
      <c r="BS92"/>
      <c r="BT92"/>
      <c r="BU92"/>
      <c r="BV92"/>
      <c r="BW92"/>
    </row>
    <row r="93" spans="39:75">
      <c r="AM93"/>
      <c r="AN93" s="78">
        <f t="shared" ref="AN93:AY94" si="57">AN38-P38</f>
        <v>0</v>
      </c>
      <c r="AO93" s="78">
        <f t="shared" si="57"/>
        <v>0</v>
      </c>
      <c r="AP93" s="78">
        <f t="shared" si="57"/>
        <v>0</v>
      </c>
      <c r="AQ93" s="78">
        <f t="shared" si="57"/>
        <v>72</v>
      </c>
      <c r="AR93" s="78">
        <f t="shared" si="57"/>
        <v>0</v>
      </c>
      <c r="AS93" s="78">
        <f t="shared" si="57"/>
        <v>72</v>
      </c>
      <c r="AT93" s="78">
        <f t="shared" si="57"/>
        <v>0</v>
      </c>
      <c r="AU93" s="78">
        <f t="shared" si="57"/>
        <v>0</v>
      </c>
      <c r="AV93" s="78">
        <f t="shared" si="57"/>
        <v>0</v>
      </c>
      <c r="AW93" s="78">
        <f t="shared" si="57"/>
        <v>0</v>
      </c>
      <c r="AX93" s="78">
        <f t="shared" si="57"/>
        <v>0</v>
      </c>
      <c r="AY93" s="78">
        <f t="shared" si="57"/>
        <v>0</v>
      </c>
      <c r="AZ93" s="53"/>
      <c r="BA93" s="53"/>
      <c r="BB93" s="53"/>
      <c r="BD93"/>
      <c r="BE93" s="53"/>
      <c r="BF93" s="53"/>
      <c r="BG93" s="53"/>
      <c r="BH93" s="53"/>
      <c r="BI93" s="61"/>
      <c r="BJ93" s="61"/>
      <c r="BL93"/>
      <c r="BM93"/>
      <c r="BN93"/>
      <c r="BO93"/>
      <c r="BR93"/>
      <c r="BS93"/>
      <c r="BT93"/>
      <c r="BU93"/>
      <c r="BV93"/>
      <c r="BW93"/>
    </row>
    <row r="94" spans="39:75">
      <c r="AM94"/>
      <c r="AN94" s="78">
        <f t="shared" si="57"/>
        <v>0</v>
      </c>
      <c r="AO94" s="78">
        <f t="shared" si="57"/>
        <v>0</v>
      </c>
      <c r="AP94" s="78">
        <f t="shared" si="57"/>
        <v>0</v>
      </c>
      <c r="AQ94" s="78">
        <f t="shared" si="57"/>
        <v>72</v>
      </c>
      <c r="AR94" s="78">
        <f t="shared" si="57"/>
        <v>0</v>
      </c>
      <c r="AS94" s="78">
        <f t="shared" si="57"/>
        <v>72</v>
      </c>
      <c r="AT94" s="78">
        <f t="shared" si="57"/>
        <v>0</v>
      </c>
      <c r="AU94" s="78">
        <f t="shared" si="57"/>
        <v>0</v>
      </c>
      <c r="AV94" s="78">
        <f t="shared" si="57"/>
        <v>0</v>
      </c>
      <c r="AW94" s="78">
        <f t="shared" si="57"/>
        <v>0</v>
      </c>
      <c r="AX94" s="78">
        <f t="shared" si="57"/>
        <v>0</v>
      </c>
      <c r="AY94" s="78">
        <f t="shared" si="57"/>
        <v>0</v>
      </c>
      <c r="AZ94" s="53"/>
      <c r="BA94" s="53"/>
      <c r="BB94" s="53"/>
      <c r="BD94"/>
      <c r="BE94" s="53"/>
      <c r="BF94" s="53"/>
      <c r="BG94" s="53"/>
      <c r="BH94" s="53"/>
      <c r="BI94" s="61"/>
      <c r="BJ94" s="61"/>
      <c r="BL94"/>
      <c r="BM94"/>
      <c r="BN94"/>
      <c r="BO94"/>
      <c r="BR94"/>
      <c r="BS94"/>
      <c r="BT94"/>
      <c r="BU94"/>
      <c r="BV94"/>
      <c r="BW94"/>
    </row>
    <row r="95" spans="39:75">
      <c r="AN95" s="58"/>
      <c r="AO95" s="58"/>
      <c r="AP95" s="58"/>
      <c r="AQ95" s="58"/>
      <c r="AR95" s="58"/>
      <c r="AS95" s="58"/>
      <c r="AT95" s="58"/>
      <c r="AU95" s="58"/>
      <c r="AV95" s="58"/>
      <c r="AW95" s="58"/>
      <c r="AX95" s="58"/>
      <c r="AY95" s="58"/>
    </row>
  </sheetData>
  <mergeCells count="48">
    <mergeCell ref="BY16:CI16"/>
    <mergeCell ref="BY2:BZ2"/>
    <mergeCell ref="CA2:CC2"/>
    <mergeCell ref="CE2:CF2"/>
    <mergeCell ref="CG2:CI2"/>
    <mergeCell ref="BX2:BX3"/>
    <mergeCell ref="BJ2:BK2"/>
    <mergeCell ref="BL2:BN2"/>
    <mergeCell ref="BP2:BQ2"/>
    <mergeCell ref="BR2:BT2"/>
    <mergeCell ref="A1:G1"/>
    <mergeCell ref="I1:AE1"/>
    <mergeCell ref="AG1:BC1"/>
    <mergeCell ref="BB2:BC2"/>
    <mergeCell ref="BE2:BE3"/>
    <mergeCell ref="AH2:AK2"/>
    <mergeCell ref="AL2:AL3"/>
    <mergeCell ref="AM2:AM3"/>
    <mergeCell ref="AN2:AN3"/>
    <mergeCell ref="AO2:AO3"/>
    <mergeCell ref="W2:X2"/>
    <mergeCell ref="Y2:AA2"/>
    <mergeCell ref="AB2:AC2"/>
    <mergeCell ref="AD2:AE2"/>
    <mergeCell ref="AG2:AG3"/>
    <mergeCell ref="O2:O3"/>
    <mergeCell ref="BF2:BF3"/>
    <mergeCell ref="BG2:BG3"/>
    <mergeCell ref="BH2:BH3"/>
    <mergeCell ref="AP2:AP3"/>
    <mergeCell ref="AQ2:AT2"/>
    <mergeCell ref="AU2:AV2"/>
    <mergeCell ref="AW2:AY2"/>
    <mergeCell ref="AZ2:BA2"/>
    <mergeCell ref="P2:P3"/>
    <mergeCell ref="Q2:Q3"/>
    <mergeCell ref="R2:R3"/>
    <mergeCell ref="S2:V2"/>
    <mergeCell ref="F2:F3"/>
    <mergeCell ref="G2:G3"/>
    <mergeCell ref="I2:I3"/>
    <mergeCell ref="J2:M2"/>
    <mergeCell ref="N2:N3"/>
    <mergeCell ref="A2:A3"/>
    <mergeCell ref="B2:B3"/>
    <mergeCell ref="C2:C3"/>
    <mergeCell ref="D2:D3"/>
    <mergeCell ref="E2:E3"/>
  </mergeCells>
  <conditionalFormatting sqref="BE5 BE6 BE7 BE8 BE9 BE10 BE11 BE12 BE13 BE14 BE15 BE16 BE17 BE18 BE19 BE20 BE21 BE22 BE23 BE24 BE25 BE26 BE27 BE28 BE29 BE30 BE31 BE32 BE33 BE34 BE35 BE36 BE37 BE38 BE39 BE40 BE41 BE42 BE43">
    <cfRule type="cellIs" dxfId="59" priority="1" operator="greaterThanOrEqual">
      <formula>1.03</formula>
    </cfRule>
    <cfRule type="cellIs" dxfId="58" priority="2"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57" priority="21" operator="greaterThanOrEqual">
      <formula>0.03</formula>
    </cfRule>
    <cfRule type="cellIs" dxfId="56" priority="2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55" priority="19" operator="greaterThanOrEqual">
      <formula>0.03</formula>
    </cfRule>
    <cfRule type="cellIs" dxfId="54" priority="20"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53" priority="5" operator="greaterThanOrEqual">
      <formula>0.03</formula>
    </cfRule>
    <cfRule type="cellIs" dxfId="52" priority="6"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51" priority="9" operator="greaterThanOrEqual">
      <formula>0.03</formula>
    </cfRule>
    <cfRule type="cellIs" dxfId="50"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49" priority="11" operator="greaterThanOrEqual">
      <formula>0.03</formula>
    </cfRule>
    <cfRule type="cellIs" dxfId="48" priority="12"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47" priority="7" operator="greaterThanOrEqual">
      <formula>0.03</formula>
    </cfRule>
    <cfRule type="cellIs" dxfId="46" priority="8"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45" priority="13" operator="greaterThanOrEqual">
      <formula>0.03</formula>
    </cfRule>
    <cfRule type="cellIs" dxfId="44" priority="14"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43" priority="3" operator="greaterThanOrEqual">
      <formula>0.03</formula>
    </cfRule>
    <cfRule type="cellIs" dxfId="42" priority="4"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41" priority="15" operator="greaterThanOrEqual">
      <formula>0.03</formula>
    </cfRule>
    <cfRule type="cellIs" dxfId="40" priority="16"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39" priority="17" operator="greaterThanOrEqual">
      <formula>0.03</formula>
    </cfRule>
    <cfRule type="cellIs" dxfId="38" priority="18" operator="lessThanOrEqual">
      <formula>-0.03</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X286"/>
  <sheetViews>
    <sheetView workbookViewId="0"/>
  </sheetViews>
  <sheetFormatPr baseColWidth="10" defaultColWidth="8.83203125" defaultRowHeight="15"/>
  <sheetData>
    <row r="1" spans="1:2">
      <c r="A1" t="s">
        <v>242</v>
      </c>
      <c r="B1">
        <v>1</v>
      </c>
    </row>
    <row r="2" spans="1:2">
      <c r="A2" t="s">
        <v>243</v>
      </c>
      <c r="B2">
        <v>2</v>
      </c>
    </row>
    <row r="3" spans="1:2">
      <c r="A3" t="s">
        <v>244</v>
      </c>
      <c r="B3">
        <v>3</v>
      </c>
    </row>
    <row r="4" spans="1:2">
      <c r="A4" t="s">
        <v>245</v>
      </c>
      <c r="B4">
        <v>4</v>
      </c>
    </row>
    <row r="5" spans="1:2">
      <c r="A5" t="s">
        <v>246</v>
      </c>
      <c r="B5">
        <v>5</v>
      </c>
    </row>
    <row r="6" spans="1:2">
      <c r="A6" t="s">
        <v>247</v>
      </c>
      <c r="B6">
        <v>6</v>
      </c>
    </row>
    <row r="7" spans="1:2">
      <c r="A7" t="s">
        <v>248</v>
      </c>
      <c r="B7">
        <v>7</v>
      </c>
    </row>
    <row r="8" spans="1:2">
      <c r="A8" t="s">
        <v>249</v>
      </c>
      <c r="B8">
        <v>9</v>
      </c>
    </row>
    <row r="9" spans="1:2">
      <c r="A9" t="s">
        <v>250</v>
      </c>
      <c r="B9">
        <v>10</v>
      </c>
    </row>
    <row r="10" spans="1:2">
      <c r="A10" t="s">
        <v>251</v>
      </c>
      <c r="B10">
        <v>11</v>
      </c>
    </row>
    <row r="11" spans="1:2">
      <c r="A11" t="s">
        <v>252</v>
      </c>
      <c r="B11">
        <v>12</v>
      </c>
    </row>
    <row r="12" spans="1:2">
      <c r="A12" t="s">
        <v>253</v>
      </c>
      <c r="B12">
        <v>13</v>
      </c>
    </row>
    <row r="13" spans="1:2">
      <c r="A13" t="s">
        <v>254</v>
      </c>
      <c r="B13">
        <v>14</v>
      </c>
    </row>
    <row r="14" spans="1:2">
      <c r="A14" t="s">
        <v>255</v>
      </c>
      <c r="B14">
        <v>15</v>
      </c>
    </row>
    <row r="15" spans="1:2">
      <c r="A15" t="s">
        <v>256</v>
      </c>
      <c r="B15">
        <v>16</v>
      </c>
    </row>
    <row r="16" spans="1:2">
      <c r="A16" t="s">
        <v>257</v>
      </c>
      <c r="B16">
        <v>17</v>
      </c>
    </row>
    <row r="17" spans="1:2">
      <c r="A17" t="s">
        <v>258</v>
      </c>
      <c r="B17">
        <v>18</v>
      </c>
    </row>
    <row r="18" spans="1:2">
      <c r="A18" t="s">
        <v>259</v>
      </c>
      <c r="B18">
        <v>19</v>
      </c>
    </row>
    <row r="19" spans="1:2">
      <c r="A19" t="s">
        <v>260</v>
      </c>
      <c r="B19">
        <v>20</v>
      </c>
    </row>
    <row r="20" spans="1:2">
      <c r="A20" t="s">
        <v>261</v>
      </c>
      <c r="B20">
        <v>21</v>
      </c>
    </row>
    <row r="21" spans="1:2">
      <c r="A21" t="s">
        <v>262</v>
      </c>
      <c r="B21">
        <v>22</v>
      </c>
    </row>
    <row r="22" spans="1:2">
      <c r="A22" t="s">
        <v>263</v>
      </c>
      <c r="B22">
        <v>23</v>
      </c>
    </row>
    <row r="23" spans="1:2">
      <c r="A23" t="s">
        <v>264</v>
      </c>
      <c r="B23">
        <v>24</v>
      </c>
    </row>
    <row r="24" spans="1:2">
      <c r="A24" t="s">
        <v>265</v>
      </c>
      <c r="B24">
        <v>25</v>
      </c>
    </row>
    <row r="25" spans="1:2">
      <c r="A25" t="s">
        <v>266</v>
      </c>
      <c r="B25">
        <v>26</v>
      </c>
    </row>
    <row r="26" spans="1:2">
      <c r="A26" t="s">
        <v>267</v>
      </c>
      <c r="B26">
        <v>27</v>
      </c>
    </row>
    <row r="27" spans="1:2">
      <c r="A27" t="s">
        <v>268</v>
      </c>
      <c r="B27">
        <v>28</v>
      </c>
    </row>
    <row r="28" spans="1:2">
      <c r="A28" t="s">
        <v>269</v>
      </c>
      <c r="B28">
        <v>29</v>
      </c>
    </row>
    <row r="29" spans="1:2">
      <c r="A29" t="s">
        <v>270</v>
      </c>
      <c r="B29">
        <v>30</v>
      </c>
    </row>
    <row r="30" spans="1:2">
      <c r="A30" t="s">
        <v>271</v>
      </c>
      <c r="B30">
        <v>31</v>
      </c>
    </row>
    <row r="31" spans="1:2">
      <c r="A31" t="s">
        <v>272</v>
      </c>
      <c r="B31">
        <v>33</v>
      </c>
    </row>
    <row r="32" spans="1:2">
      <c r="A32" t="s">
        <v>273</v>
      </c>
      <c r="B32">
        <v>34</v>
      </c>
    </row>
    <row r="33" spans="1:2">
      <c r="A33" t="s">
        <v>274</v>
      </c>
      <c r="B33">
        <v>35</v>
      </c>
    </row>
    <row r="34" spans="1:2">
      <c r="A34" t="s">
        <v>275</v>
      </c>
      <c r="B34">
        <v>36</v>
      </c>
    </row>
    <row r="35" spans="1:2">
      <c r="A35" t="s">
        <v>276</v>
      </c>
      <c r="B35">
        <v>37</v>
      </c>
    </row>
    <row r="36" spans="1:2">
      <c r="A36" t="s">
        <v>277</v>
      </c>
      <c r="B36">
        <v>38</v>
      </c>
    </row>
    <row r="37" spans="1:2">
      <c r="A37" t="s">
        <v>278</v>
      </c>
      <c r="B37">
        <v>39</v>
      </c>
    </row>
    <row r="38" spans="1:2">
      <c r="A38" t="s">
        <v>279</v>
      </c>
      <c r="B38">
        <v>40</v>
      </c>
    </row>
    <row r="39" spans="1:2">
      <c r="A39" t="s">
        <v>280</v>
      </c>
      <c r="B39">
        <v>41</v>
      </c>
    </row>
    <row r="40" spans="1:2">
      <c r="A40" t="s">
        <v>281</v>
      </c>
      <c r="B40">
        <v>42</v>
      </c>
    </row>
    <row r="41" spans="1:2">
      <c r="A41" t="s">
        <v>282</v>
      </c>
      <c r="B41">
        <v>43</v>
      </c>
    </row>
    <row r="42" spans="1:2">
      <c r="A42" t="s">
        <v>283</v>
      </c>
      <c r="B42">
        <v>44</v>
      </c>
    </row>
    <row r="43" spans="1:2">
      <c r="A43" t="s">
        <v>284</v>
      </c>
      <c r="B43">
        <v>45</v>
      </c>
    </row>
    <row r="44" spans="1:2">
      <c r="A44" t="s">
        <v>285</v>
      </c>
      <c r="B44">
        <v>46</v>
      </c>
    </row>
    <row r="45" spans="1:2">
      <c r="A45" t="s">
        <v>286</v>
      </c>
      <c r="B45">
        <v>47</v>
      </c>
    </row>
    <row r="46" spans="1:2">
      <c r="A46" t="s">
        <v>287</v>
      </c>
      <c r="B46">
        <v>48</v>
      </c>
    </row>
    <row r="47" spans="1:2">
      <c r="A47" t="s">
        <v>288</v>
      </c>
      <c r="B47">
        <v>49</v>
      </c>
    </row>
    <row r="48" spans="1:2">
      <c r="A48" t="s">
        <v>289</v>
      </c>
      <c r="B48">
        <v>50</v>
      </c>
    </row>
    <row r="49" spans="1:2">
      <c r="A49" t="s">
        <v>290</v>
      </c>
      <c r="B49">
        <v>51</v>
      </c>
    </row>
    <row r="50" spans="1:2">
      <c r="A50" t="s">
        <v>291</v>
      </c>
      <c r="B50">
        <v>52</v>
      </c>
    </row>
    <row r="51" spans="1:2">
      <c r="A51" t="s">
        <v>292</v>
      </c>
      <c r="B51">
        <v>53</v>
      </c>
    </row>
    <row r="52" spans="1:2">
      <c r="A52" t="s">
        <v>293</v>
      </c>
      <c r="B52">
        <v>54</v>
      </c>
    </row>
    <row r="53" spans="1:2">
      <c r="A53" t="s">
        <v>294</v>
      </c>
      <c r="B53">
        <v>55</v>
      </c>
    </row>
    <row r="54" spans="1:2">
      <c r="A54" t="s">
        <v>295</v>
      </c>
      <c r="B54">
        <v>57</v>
      </c>
    </row>
    <row r="55" spans="1:2">
      <c r="A55" t="s">
        <v>296</v>
      </c>
      <c r="B55">
        <v>58</v>
      </c>
    </row>
    <row r="56" spans="1:2">
      <c r="A56" t="s">
        <v>297</v>
      </c>
      <c r="B56">
        <v>59</v>
      </c>
    </row>
    <row r="57" spans="1:2">
      <c r="A57" t="s">
        <v>298</v>
      </c>
      <c r="B57">
        <v>60</v>
      </c>
    </row>
    <row r="58" spans="1:2">
      <c r="A58" t="s">
        <v>299</v>
      </c>
      <c r="B58">
        <v>62</v>
      </c>
    </row>
    <row r="59" spans="1:2">
      <c r="A59" t="s">
        <v>300</v>
      </c>
      <c r="B59">
        <v>63</v>
      </c>
    </row>
    <row r="60" spans="1:2">
      <c r="A60" t="s">
        <v>301</v>
      </c>
      <c r="B60">
        <v>64</v>
      </c>
    </row>
    <row r="61" spans="1:2">
      <c r="A61" t="s">
        <v>302</v>
      </c>
      <c r="B61">
        <v>65</v>
      </c>
    </row>
    <row r="62" spans="1:2">
      <c r="A62" t="s">
        <v>303</v>
      </c>
      <c r="B62">
        <v>66</v>
      </c>
    </row>
    <row r="63" spans="1:2">
      <c r="A63" t="s">
        <v>304</v>
      </c>
      <c r="B63">
        <v>68</v>
      </c>
    </row>
    <row r="64" spans="1:2">
      <c r="A64" t="s">
        <v>305</v>
      </c>
      <c r="B64">
        <v>69</v>
      </c>
    </row>
    <row r="65" spans="1:24">
      <c r="A65" t="s">
        <v>306</v>
      </c>
      <c r="B65">
        <v>70</v>
      </c>
    </row>
    <row r="66" spans="1:24">
      <c r="A66" t="s">
        <v>307</v>
      </c>
      <c r="B66">
        <v>71</v>
      </c>
    </row>
    <row r="67" spans="1:24">
      <c r="A67" t="s">
        <v>308</v>
      </c>
      <c r="B67">
        <v>72</v>
      </c>
    </row>
    <row r="68" spans="1:24">
      <c r="A68" t="s">
        <v>309</v>
      </c>
      <c r="B68" t="s">
        <v>310</v>
      </c>
    </row>
    <row r="69" spans="1:24">
      <c r="A69" t="s">
        <v>311</v>
      </c>
      <c r="B69" t="s">
        <v>312</v>
      </c>
    </row>
    <row r="70" spans="1:24">
      <c r="A70" t="s">
        <v>313</v>
      </c>
      <c r="B70" t="s">
        <v>314</v>
      </c>
    </row>
    <row r="71" spans="1:24">
      <c r="A71" t="s">
        <v>315</v>
      </c>
      <c r="B71" t="s">
        <v>316</v>
      </c>
    </row>
    <row r="72" spans="1:24">
      <c r="A72" t="s">
        <v>317</v>
      </c>
      <c r="B72" t="s">
        <v>318</v>
      </c>
    </row>
    <row r="73" spans="1:24">
      <c r="A73" t="s">
        <v>319</v>
      </c>
      <c r="B73" t="s">
        <v>320</v>
      </c>
    </row>
    <row r="74" spans="1:24">
      <c r="A74" t="s">
        <v>321</v>
      </c>
      <c r="B74" t="s">
        <v>322</v>
      </c>
    </row>
    <row r="75" spans="1:24">
      <c r="A75" t="s">
        <v>323</v>
      </c>
      <c r="B75" t="s">
        <v>324</v>
      </c>
    </row>
    <row r="76" spans="1:24">
      <c r="A76" t="s">
        <v>325</v>
      </c>
      <c r="B76" t="s">
        <v>326</v>
      </c>
    </row>
    <row r="77" spans="1:24">
      <c r="A77" t="s">
        <v>327</v>
      </c>
      <c r="B77" t="s">
        <v>119</v>
      </c>
      <c r="C77" t="s">
        <v>109</v>
      </c>
      <c r="D77" t="s">
        <v>64</v>
      </c>
      <c r="E77" t="s">
        <v>98</v>
      </c>
      <c r="F77" t="s">
        <v>127</v>
      </c>
      <c r="G77" t="s">
        <v>123</v>
      </c>
      <c r="H77" t="s">
        <v>85</v>
      </c>
      <c r="I77" t="s">
        <v>83</v>
      </c>
      <c r="J77" t="s">
        <v>100</v>
      </c>
      <c r="K77" t="s">
        <v>117</v>
      </c>
      <c r="L77" t="s">
        <v>105</v>
      </c>
      <c r="M77" t="s">
        <v>47</v>
      </c>
      <c r="N77" t="s">
        <v>60</v>
      </c>
      <c r="O77" t="s">
        <v>51</v>
      </c>
      <c r="P77" t="s">
        <v>63</v>
      </c>
      <c r="Q77" t="s">
        <v>125</v>
      </c>
      <c r="R77" t="s">
        <v>107</v>
      </c>
      <c r="S77" t="s">
        <v>131</v>
      </c>
      <c r="T77" t="s">
        <v>53</v>
      </c>
      <c r="U77" t="s">
        <v>121</v>
      </c>
      <c r="V77" t="s">
        <v>113</v>
      </c>
      <c r="W77" t="s">
        <v>81</v>
      </c>
      <c r="X77" t="s">
        <v>58</v>
      </c>
    </row>
    <row r="78" spans="1:24">
      <c r="A78" t="s">
        <v>328</v>
      </c>
      <c r="B78">
        <v>1</v>
      </c>
    </row>
    <row r="79" spans="1:24">
      <c r="A79" t="s">
        <v>329</v>
      </c>
      <c r="B79">
        <v>2</v>
      </c>
    </row>
    <row r="80" spans="1:24">
      <c r="A80" t="s">
        <v>330</v>
      </c>
      <c r="B80">
        <v>3</v>
      </c>
    </row>
    <row r="81" spans="1:2">
      <c r="A81" t="s">
        <v>331</v>
      </c>
      <c r="B81">
        <v>4</v>
      </c>
    </row>
    <row r="82" spans="1:2">
      <c r="A82" t="s">
        <v>332</v>
      </c>
      <c r="B82">
        <v>5</v>
      </c>
    </row>
    <row r="83" spans="1:2">
      <c r="A83" t="s">
        <v>333</v>
      </c>
      <c r="B83">
        <v>6</v>
      </c>
    </row>
    <row r="84" spans="1:2">
      <c r="A84" t="s">
        <v>334</v>
      </c>
      <c r="B84">
        <v>8</v>
      </c>
    </row>
    <row r="85" spans="1:2">
      <c r="A85" t="s">
        <v>335</v>
      </c>
      <c r="B85">
        <v>9</v>
      </c>
    </row>
    <row r="86" spans="1:2">
      <c r="A86" t="s">
        <v>336</v>
      </c>
      <c r="B86">
        <v>10</v>
      </c>
    </row>
    <row r="87" spans="1:2">
      <c r="A87" t="s">
        <v>337</v>
      </c>
      <c r="B87">
        <v>11</v>
      </c>
    </row>
    <row r="88" spans="1:2">
      <c r="A88" t="s">
        <v>338</v>
      </c>
      <c r="B88">
        <v>12</v>
      </c>
    </row>
    <row r="89" spans="1:2">
      <c r="A89" t="s">
        <v>339</v>
      </c>
      <c r="B89">
        <v>13</v>
      </c>
    </row>
    <row r="90" spans="1:2">
      <c r="A90" t="s">
        <v>340</v>
      </c>
      <c r="B90">
        <v>14</v>
      </c>
    </row>
    <row r="91" spans="1:2">
      <c r="A91" t="s">
        <v>341</v>
      </c>
      <c r="B91">
        <v>15</v>
      </c>
    </row>
    <row r="92" spans="1:2">
      <c r="A92" t="s">
        <v>342</v>
      </c>
      <c r="B92">
        <v>16</v>
      </c>
    </row>
    <row r="93" spans="1:2">
      <c r="A93" t="s">
        <v>343</v>
      </c>
      <c r="B93">
        <v>17</v>
      </c>
    </row>
    <row r="94" spans="1:2">
      <c r="A94" t="s">
        <v>344</v>
      </c>
      <c r="B94">
        <v>18</v>
      </c>
    </row>
    <row r="95" spans="1:2">
      <c r="A95" t="s">
        <v>345</v>
      </c>
      <c r="B95">
        <v>19</v>
      </c>
    </row>
    <row r="96" spans="1:2">
      <c r="A96" t="s">
        <v>346</v>
      </c>
      <c r="B96">
        <v>20</v>
      </c>
    </row>
    <row r="97" spans="1:2">
      <c r="A97" t="s">
        <v>347</v>
      </c>
      <c r="B97">
        <v>21</v>
      </c>
    </row>
    <row r="98" spans="1:2">
      <c r="A98" t="s">
        <v>348</v>
      </c>
      <c r="B98">
        <v>22</v>
      </c>
    </row>
    <row r="99" spans="1:2">
      <c r="A99" t="s">
        <v>349</v>
      </c>
      <c r="B99">
        <v>23</v>
      </c>
    </row>
    <row r="100" spans="1:2">
      <c r="A100" t="s">
        <v>350</v>
      </c>
      <c r="B100">
        <v>24</v>
      </c>
    </row>
    <row r="101" spans="1:2">
      <c r="A101" t="s">
        <v>351</v>
      </c>
      <c r="B101">
        <v>25</v>
      </c>
    </row>
    <row r="102" spans="1:2">
      <c r="A102" t="s">
        <v>352</v>
      </c>
      <c r="B102">
        <v>26</v>
      </c>
    </row>
    <row r="103" spans="1:2">
      <c r="A103" t="s">
        <v>353</v>
      </c>
      <c r="B103">
        <v>27</v>
      </c>
    </row>
    <row r="104" spans="1:2">
      <c r="A104" t="s">
        <v>354</v>
      </c>
      <c r="B104">
        <v>28</v>
      </c>
    </row>
    <row r="105" spans="1:2">
      <c r="A105" t="s">
        <v>355</v>
      </c>
      <c r="B105">
        <v>29</v>
      </c>
    </row>
    <row r="106" spans="1:2">
      <c r="A106" t="s">
        <v>356</v>
      </c>
      <c r="B106">
        <v>31</v>
      </c>
    </row>
    <row r="107" spans="1:2">
      <c r="A107" t="s">
        <v>357</v>
      </c>
      <c r="B107">
        <v>32</v>
      </c>
    </row>
    <row r="108" spans="1:2">
      <c r="A108" t="s">
        <v>358</v>
      </c>
      <c r="B108">
        <v>33</v>
      </c>
    </row>
    <row r="109" spans="1:2">
      <c r="A109" t="s">
        <v>359</v>
      </c>
      <c r="B109">
        <v>34</v>
      </c>
    </row>
    <row r="110" spans="1:2">
      <c r="A110" t="s">
        <v>360</v>
      </c>
      <c r="B110">
        <v>35</v>
      </c>
    </row>
    <row r="111" spans="1:2">
      <c r="A111" t="s">
        <v>361</v>
      </c>
      <c r="B111">
        <v>36</v>
      </c>
    </row>
    <row r="112" spans="1:2">
      <c r="A112" t="s">
        <v>362</v>
      </c>
      <c r="B112">
        <v>37</v>
      </c>
    </row>
    <row r="113" spans="1:2">
      <c r="A113" t="s">
        <v>363</v>
      </c>
      <c r="B113">
        <v>38</v>
      </c>
    </row>
    <row r="114" spans="1:2">
      <c r="A114" t="s">
        <v>364</v>
      </c>
      <c r="B114">
        <v>39</v>
      </c>
    </row>
    <row r="115" spans="1:2">
      <c r="A115" t="s">
        <v>365</v>
      </c>
      <c r="B115">
        <v>40</v>
      </c>
    </row>
    <row r="116" spans="1:2">
      <c r="A116" t="s">
        <v>366</v>
      </c>
      <c r="B116">
        <v>41</v>
      </c>
    </row>
    <row r="117" spans="1:2">
      <c r="A117" t="s">
        <v>367</v>
      </c>
      <c r="B117">
        <v>42</v>
      </c>
    </row>
    <row r="118" spans="1:2">
      <c r="A118" t="s">
        <v>368</v>
      </c>
      <c r="B118">
        <v>43</v>
      </c>
    </row>
    <row r="119" spans="1:2">
      <c r="A119" t="s">
        <v>369</v>
      </c>
      <c r="B119">
        <v>44</v>
      </c>
    </row>
    <row r="120" spans="1:2">
      <c r="A120" t="s">
        <v>370</v>
      </c>
      <c r="B120">
        <v>45</v>
      </c>
    </row>
    <row r="121" spans="1:2">
      <c r="A121" t="s">
        <v>371</v>
      </c>
      <c r="B121">
        <v>46</v>
      </c>
    </row>
    <row r="122" spans="1:2">
      <c r="A122" t="s">
        <v>372</v>
      </c>
      <c r="B122">
        <v>47</v>
      </c>
    </row>
    <row r="123" spans="1:2">
      <c r="A123" t="s">
        <v>373</v>
      </c>
      <c r="B123">
        <v>48</v>
      </c>
    </row>
    <row r="124" spans="1:2">
      <c r="A124" t="s">
        <v>374</v>
      </c>
      <c r="B124">
        <v>49</v>
      </c>
    </row>
    <row r="125" spans="1:2">
      <c r="A125" t="s">
        <v>375</v>
      </c>
      <c r="B125">
        <v>50</v>
      </c>
    </row>
    <row r="126" spans="1:2">
      <c r="A126" t="s">
        <v>376</v>
      </c>
      <c r="B126">
        <v>51</v>
      </c>
    </row>
    <row r="127" spans="1:2">
      <c r="A127" t="s">
        <v>377</v>
      </c>
      <c r="B127">
        <v>52</v>
      </c>
    </row>
    <row r="128" spans="1:2">
      <c r="A128" t="s">
        <v>378</v>
      </c>
      <c r="B128">
        <v>54</v>
      </c>
    </row>
    <row r="129" spans="1:23">
      <c r="A129" t="s">
        <v>379</v>
      </c>
      <c r="B129">
        <v>55</v>
      </c>
    </row>
    <row r="130" spans="1:23">
      <c r="A130" t="s">
        <v>380</v>
      </c>
      <c r="B130">
        <v>56</v>
      </c>
    </row>
    <row r="131" spans="1:23">
      <c r="A131" t="s">
        <v>381</v>
      </c>
      <c r="B131">
        <v>57</v>
      </c>
    </row>
    <row r="132" spans="1:23">
      <c r="A132" t="s">
        <v>382</v>
      </c>
      <c r="B132">
        <v>58</v>
      </c>
    </row>
    <row r="133" spans="1:23">
      <c r="A133" t="s">
        <v>383</v>
      </c>
      <c r="B133">
        <v>59</v>
      </c>
    </row>
    <row r="134" spans="1:23">
      <c r="A134" t="s">
        <v>384</v>
      </c>
      <c r="B134" t="s">
        <v>385</v>
      </c>
    </row>
    <row r="135" spans="1:23">
      <c r="A135" t="s">
        <v>386</v>
      </c>
      <c r="B135" t="s">
        <v>387</v>
      </c>
    </row>
    <row r="136" spans="1:23">
      <c r="A136" t="s">
        <v>388</v>
      </c>
      <c r="B136" t="s">
        <v>389</v>
      </c>
    </row>
    <row r="137" spans="1:23">
      <c r="A137" t="s">
        <v>390</v>
      </c>
      <c r="B137" t="s">
        <v>391</v>
      </c>
    </row>
    <row r="138" spans="1:23">
      <c r="A138" t="s">
        <v>392</v>
      </c>
      <c r="B138" t="s">
        <v>393</v>
      </c>
    </row>
    <row r="139" spans="1:23">
      <c r="A139" t="s">
        <v>394</v>
      </c>
      <c r="B139" t="s">
        <v>395</v>
      </c>
    </row>
    <row r="140" spans="1:23">
      <c r="A140" t="s">
        <v>396</v>
      </c>
      <c r="B140" t="s">
        <v>397</v>
      </c>
    </row>
    <row r="141" spans="1:23">
      <c r="A141" t="s">
        <v>398</v>
      </c>
      <c r="B141" t="s">
        <v>399</v>
      </c>
    </row>
    <row r="142" spans="1:23">
      <c r="A142" t="s">
        <v>400</v>
      </c>
      <c r="B142" t="s">
        <v>401</v>
      </c>
    </row>
    <row r="143" spans="1:23">
      <c r="A143" t="s">
        <v>402</v>
      </c>
      <c r="B143" t="s">
        <v>64</v>
      </c>
      <c r="C143" t="s">
        <v>127</v>
      </c>
      <c r="D143" t="s">
        <v>107</v>
      </c>
      <c r="E143" t="s">
        <v>53</v>
      </c>
      <c r="F143" t="s">
        <v>131</v>
      </c>
      <c r="G143" t="s">
        <v>134</v>
      </c>
      <c r="H143" t="s">
        <v>121</v>
      </c>
      <c r="I143" t="s">
        <v>98</v>
      </c>
      <c r="J143" t="s">
        <v>113</v>
      </c>
      <c r="K143" t="s">
        <v>123</v>
      </c>
      <c r="L143" t="s">
        <v>119</v>
      </c>
      <c r="M143" t="s">
        <v>63</v>
      </c>
      <c r="N143" t="s">
        <v>83</v>
      </c>
      <c r="O143" t="s">
        <v>125</v>
      </c>
      <c r="P143" t="s">
        <v>109</v>
      </c>
      <c r="Q143" t="s">
        <v>105</v>
      </c>
      <c r="R143" t="s">
        <v>47</v>
      </c>
      <c r="S143" t="s">
        <v>51</v>
      </c>
      <c r="T143" t="s">
        <v>60</v>
      </c>
      <c r="U143" t="s">
        <v>100</v>
      </c>
      <c r="V143" t="s">
        <v>58</v>
      </c>
      <c r="W143" t="s">
        <v>117</v>
      </c>
    </row>
    <row r="144" spans="1:23">
      <c r="A144" t="s">
        <v>403</v>
      </c>
      <c r="B144">
        <v>1</v>
      </c>
    </row>
    <row r="145" spans="1:2">
      <c r="A145" t="s">
        <v>404</v>
      </c>
      <c r="B145">
        <v>2</v>
      </c>
    </row>
    <row r="146" spans="1:2">
      <c r="A146" t="s">
        <v>405</v>
      </c>
      <c r="B146">
        <v>3</v>
      </c>
    </row>
    <row r="147" spans="1:2">
      <c r="A147" t="s">
        <v>406</v>
      </c>
      <c r="B147">
        <v>4</v>
      </c>
    </row>
    <row r="148" spans="1:2">
      <c r="A148" t="s">
        <v>407</v>
      </c>
      <c r="B148">
        <v>5</v>
      </c>
    </row>
    <row r="149" spans="1:2">
      <c r="A149" t="s">
        <v>408</v>
      </c>
      <c r="B149">
        <v>6</v>
      </c>
    </row>
    <row r="150" spans="1:2">
      <c r="A150" t="s">
        <v>409</v>
      </c>
      <c r="B150">
        <v>8</v>
      </c>
    </row>
    <row r="151" spans="1:2">
      <c r="A151" t="s">
        <v>410</v>
      </c>
      <c r="B151">
        <v>9</v>
      </c>
    </row>
    <row r="152" spans="1:2">
      <c r="A152" t="s">
        <v>411</v>
      </c>
      <c r="B152">
        <v>10</v>
      </c>
    </row>
    <row r="153" spans="1:2">
      <c r="A153" t="s">
        <v>412</v>
      </c>
      <c r="B153">
        <v>11</v>
      </c>
    </row>
    <row r="154" spans="1:2">
      <c r="A154" t="s">
        <v>413</v>
      </c>
      <c r="B154">
        <v>12</v>
      </c>
    </row>
    <row r="155" spans="1:2">
      <c r="A155" t="s">
        <v>414</v>
      </c>
      <c r="B155">
        <v>13</v>
      </c>
    </row>
    <row r="156" spans="1:2">
      <c r="A156" t="s">
        <v>415</v>
      </c>
      <c r="B156">
        <v>14</v>
      </c>
    </row>
    <row r="157" spans="1:2">
      <c r="A157" t="s">
        <v>416</v>
      </c>
      <c r="B157">
        <v>15</v>
      </c>
    </row>
    <row r="158" spans="1:2">
      <c r="A158" t="s">
        <v>417</v>
      </c>
      <c r="B158">
        <v>16</v>
      </c>
    </row>
    <row r="159" spans="1:2">
      <c r="A159" t="s">
        <v>418</v>
      </c>
      <c r="B159">
        <v>17</v>
      </c>
    </row>
    <row r="160" spans="1:2">
      <c r="A160" t="s">
        <v>419</v>
      </c>
      <c r="B160">
        <v>18</v>
      </c>
    </row>
    <row r="161" spans="1:2">
      <c r="A161" t="s">
        <v>420</v>
      </c>
      <c r="B161">
        <v>19</v>
      </c>
    </row>
    <row r="162" spans="1:2">
      <c r="A162" t="s">
        <v>421</v>
      </c>
      <c r="B162">
        <v>20</v>
      </c>
    </row>
    <row r="163" spans="1:2">
      <c r="A163" t="s">
        <v>422</v>
      </c>
      <c r="B163">
        <v>21</v>
      </c>
    </row>
    <row r="164" spans="1:2">
      <c r="A164" t="s">
        <v>423</v>
      </c>
      <c r="B164">
        <v>22</v>
      </c>
    </row>
    <row r="165" spans="1:2">
      <c r="A165" t="s">
        <v>424</v>
      </c>
      <c r="B165">
        <v>23</v>
      </c>
    </row>
    <row r="166" spans="1:2">
      <c r="A166" t="s">
        <v>425</v>
      </c>
      <c r="B166">
        <v>24</v>
      </c>
    </row>
    <row r="167" spans="1:2">
      <c r="A167" t="s">
        <v>426</v>
      </c>
      <c r="B167">
        <v>25</v>
      </c>
    </row>
    <row r="168" spans="1:2">
      <c r="A168" t="s">
        <v>427</v>
      </c>
      <c r="B168">
        <v>26</v>
      </c>
    </row>
    <row r="169" spans="1:2">
      <c r="A169" t="s">
        <v>428</v>
      </c>
      <c r="B169">
        <v>27</v>
      </c>
    </row>
    <row r="170" spans="1:2">
      <c r="A170" t="s">
        <v>429</v>
      </c>
      <c r="B170">
        <v>28</v>
      </c>
    </row>
    <row r="171" spans="1:2">
      <c r="A171" t="s">
        <v>430</v>
      </c>
      <c r="B171">
        <v>29</v>
      </c>
    </row>
    <row r="172" spans="1:2">
      <c r="A172" t="s">
        <v>431</v>
      </c>
      <c r="B172">
        <v>31</v>
      </c>
    </row>
    <row r="173" spans="1:2">
      <c r="A173" t="s">
        <v>432</v>
      </c>
      <c r="B173">
        <v>32</v>
      </c>
    </row>
    <row r="174" spans="1:2">
      <c r="A174" t="s">
        <v>433</v>
      </c>
      <c r="B174">
        <v>33</v>
      </c>
    </row>
    <row r="175" spans="1:2">
      <c r="A175" t="s">
        <v>434</v>
      </c>
      <c r="B175">
        <v>34</v>
      </c>
    </row>
    <row r="176" spans="1:2">
      <c r="A176" t="s">
        <v>435</v>
      </c>
      <c r="B176">
        <v>35</v>
      </c>
    </row>
    <row r="177" spans="1:2">
      <c r="A177" t="s">
        <v>436</v>
      </c>
      <c r="B177">
        <v>36</v>
      </c>
    </row>
    <row r="178" spans="1:2">
      <c r="A178" t="s">
        <v>437</v>
      </c>
      <c r="B178">
        <v>37</v>
      </c>
    </row>
    <row r="179" spans="1:2">
      <c r="A179" t="s">
        <v>438</v>
      </c>
      <c r="B179">
        <v>38</v>
      </c>
    </row>
    <row r="180" spans="1:2">
      <c r="A180" t="s">
        <v>439</v>
      </c>
      <c r="B180">
        <v>39</v>
      </c>
    </row>
    <row r="181" spans="1:2">
      <c r="A181" t="s">
        <v>440</v>
      </c>
      <c r="B181">
        <v>40</v>
      </c>
    </row>
    <row r="182" spans="1:2">
      <c r="A182" t="s">
        <v>441</v>
      </c>
      <c r="B182">
        <v>41</v>
      </c>
    </row>
    <row r="183" spans="1:2">
      <c r="A183" t="s">
        <v>442</v>
      </c>
      <c r="B183">
        <v>42</v>
      </c>
    </row>
    <row r="184" spans="1:2">
      <c r="A184" t="s">
        <v>443</v>
      </c>
      <c r="B184">
        <v>43</v>
      </c>
    </row>
    <row r="185" spans="1:2">
      <c r="A185" t="s">
        <v>444</v>
      </c>
      <c r="B185">
        <v>44</v>
      </c>
    </row>
    <row r="186" spans="1:2">
      <c r="A186" t="s">
        <v>445</v>
      </c>
      <c r="B186">
        <v>45</v>
      </c>
    </row>
    <row r="187" spans="1:2">
      <c r="A187" t="s">
        <v>446</v>
      </c>
      <c r="B187">
        <v>46</v>
      </c>
    </row>
    <row r="188" spans="1:2">
      <c r="A188" t="s">
        <v>447</v>
      </c>
      <c r="B188">
        <v>47</v>
      </c>
    </row>
    <row r="189" spans="1:2">
      <c r="A189" t="s">
        <v>448</v>
      </c>
      <c r="B189">
        <v>48</v>
      </c>
    </row>
    <row r="190" spans="1:2">
      <c r="A190" t="s">
        <v>449</v>
      </c>
      <c r="B190">
        <v>49</v>
      </c>
    </row>
    <row r="191" spans="1:2">
      <c r="A191" t="s">
        <v>450</v>
      </c>
      <c r="B191">
        <v>50</v>
      </c>
    </row>
    <row r="192" spans="1:2">
      <c r="A192" t="s">
        <v>451</v>
      </c>
      <c r="B192">
        <v>51</v>
      </c>
    </row>
    <row r="193" spans="1:2">
      <c r="A193" t="s">
        <v>452</v>
      </c>
      <c r="B193">
        <v>52</v>
      </c>
    </row>
    <row r="194" spans="1:2">
      <c r="A194" t="s">
        <v>453</v>
      </c>
      <c r="B194">
        <v>54</v>
      </c>
    </row>
    <row r="195" spans="1:2">
      <c r="A195" t="s">
        <v>454</v>
      </c>
      <c r="B195">
        <v>55</v>
      </c>
    </row>
    <row r="196" spans="1:2">
      <c r="A196" t="s">
        <v>455</v>
      </c>
      <c r="B196">
        <v>56</v>
      </c>
    </row>
    <row r="197" spans="1:2">
      <c r="A197" t="s">
        <v>456</v>
      </c>
      <c r="B197">
        <v>57</v>
      </c>
    </row>
    <row r="198" spans="1:2">
      <c r="A198" t="s">
        <v>457</v>
      </c>
      <c r="B198">
        <v>58</v>
      </c>
    </row>
    <row r="199" spans="1:2">
      <c r="A199" t="s">
        <v>458</v>
      </c>
      <c r="B199">
        <v>59</v>
      </c>
    </row>
    <row r="200" spans="1:2">
      <c r="A200" t="s">
        <v>459</v>
      </c>
      <c r="B200" t="s">
        <v>460</v>
      </c>
    </row>
    <row r="201" spans="1:2">
      <c r="A201" t="s">
        <v>461</v>
      </c>
      <c r="B201" t="s">
        <v>462</v>
      </c>
    </row>
    <row r="202" spans="1:2">
      <c r="A202" t="s">
        <v>463</v>
      </c>
      <c r="B202" t="s">
        <v>464</v>
      </c>
    </row>
    <row r="203" spans="1:2">
      <c r="A203" t="s">
        <v>465</v>
      </c>
      <c r="B203" t="s">
        <v>466</v>
      </c>
    </row>
    <row r="204" spans="1:2">
      <c r="A204" t="s">
        <v>467</v>
      </c>
      <c r="B204" t="s">
        <v>468</v>
      </c>
    </row>
    <row r="205" spans="1:2">
      <c r="A205" t="s">
        <v>469</v>
      </c>
      <c r="B205" t="s">
        <v>470</v>
      </c>
    </row>
    <row r="206" spans="1:2">
      <c r="A206" t="s">
        <v>471</v>
      </c>
      <c r="B206" t="s">
        <v>472</v>
      </c>
    </row>
    <row r="207" spans="1:2">
      <c r="A207" t="s">
        <v>473</v>
      </c>
      <c r="B207" t="s">
        <v>474</v>
      </c>
    </row>
    <row r="208" spans="1:2">
      <c r="A208" t="s">
        <v>475</v>
      </c>
      <c r="B208" t="s">
        <v>476</v>
      </c>
    </row>
    <row r="209" spans="1:23">
      <c r="A209" t="s">
        <v>477</v>
      </c>
      <c r="B209" t="s">
        <v>119</v>
      </c>
      <c r="C209" t="s">
        <v>125</v>
      </c>
      <c r="D209" t="s">
        <v>64</v>
      </c>
      <c r="E209" t="s">
        <v>109</v>
      </c>
      <c r="F209" t="s">
        <v>113</v>
      </c>
      <c r="G209" t="s">
        <v>98</v>
      </c>
      <c r="H209" t="s">
        <v>121</v>
      </c>
      <c r="I209" t="s">
        <v>134</v>
      </c>
      <c r="J209" t="s">
        <v>53</v>
      </c>
      <c r="K209" t="s">
        <v>131</v>
      </c>
      <c r="L209" t="s">
        <v>107</v>
      </c>
      <c r="M209" t="s">
        <v>127</v>
      </c>
      <c r="N209" t="s">
        <v>83</v>
      </c>
      <c r="O209" t="s">
        <v>123</v>
      </c>
      <c r="P209" t="s">
        <v>63</v>
      </c>
      <c r="Q209" t="s">
        <v>47</v>
      </c>
      <c r="R209" t="s">
        <v>60</v>
      </c>
      <c r="S209" t="s">
        <v>117</v>
      </c>
      <c r="T209" t="s">
        <v>100</v>
      </c>
      <c r="U209" t="s">
        <v>51</v>
      </c>
      <c r="V209" t="s">
        <v>105</v>
      </c>
      <c r="W209" t="s">
        <v>58</v>
      </c>
    </row>
    <row r="210" spans="1:23">
      <c r="A210" t="s">
        <v>478</v>
      </c>
      <c r="B210">
        <v>1</v>
      </c>
    </row>
    <row r="211" spans="1:23">
      <c r="A211" t="s">
        <v>479</v>
      </c>
      <c r="B211">
        <v>2</v>
      </c>
    </row>
    <row r="212" spans="1:23">
      <c r="A212" t="s">
        <v>480</v>
      </c>
      <c r="B212">
        <v>3</v>
      </c>
    </row>
    <row r="213" spans="1:23">
      <c r="A213" t="s">
        <v>481</v>
      </c>
      <c r="B213">
        <v>4</v>
      </c>
    </row>
    <row r="214" spans="1:23">
      <c r="A214" t="s">
        <v>482</v>
      </c>
      <c r="B214">
        <v>5</v>
      </c>
    </row>
    <row r="215" spans="1:23">
      <c r="A215" t="s">
        <v>483</v>
      </c>
      <c r="B215">
        <v>6</v>
      </c>
    </row>
    <row r="216" spans="1:23">
      <c r="A216" t="s">
        <v>484</v>
      </c>
      <c r="B216">
        <v>7</v>
      </c>
    </row>
    <row r="217" spans="1:23">
      <c r="A217" t="s">
        <v>485</v>
      </c>
      <c r="B217">
        <v>9</v>
      </c>
    </row>
    <row r="218" spans="1:23">
      <c r="A218" t="s">
        <v>486</v>
      </c>
      <c r="B218">
        <v>10</v>
      </c>
    </row>
    <row r="219" spans="1:23">
      <c r="A219" t="s">
        <v>487</v>
      </c>
      <c r="B219">
        <v>11</v>
      </c>
    </row>
    <row r="220" spans="1:23">
      <c r="A220" t="s">
        <v>488</v>
      </c>
      <c r="B220">
        <v>12</v>
      </c>
    </row>
    <row r="221" spans="1:23">
      <c r="A221" t="s">
        <v>489</v>
      </c>
      <c r="B221">
        <v>13</v>
      </c>
    </row>
    <row r="222" spans="1:23">
      <c r="A222" t="s">
        <v>490</v>
      </c>
      <c r="B222">
        <v>14</v>
      </c>
    </row>
    <row r="223" spans="1:23">
      <c r="A223" t="s">
        <v>491</v>
      </c>
      <c r="B223">
        <v>15</v>
      </c>
    </row>
    <row r="224" spans="1:23">
      <c r="A224" t="s">
        <v>492</v>
      </c>
      <c r="B224">
        <v>16</v>
      </c>
    </row>
    <row r="225" spans="1:2">
      <c r="A225" t="s">
        <v>493</v>
      </c>
      <c r="B225">
        <v>17</v>
      </c>
    </row>
    <row r="226" spans="1:2">
      <c r="A226" t="s">
        <v>494</v>
      </c>
      <c r="B226">
        <v>18</v>
      </c>
    </row>
    <row r="227" spans="1:2">
      <c r="A227" t="s">
        <v>495</v>
      </c>
      <c r="B227">
        <v>19</v>
      </c>
    </row>
    <row r="228" spans="1:2">
      <c r="A228" t="s">
        <v>496</v>
      </c>
      <c r="B228">
        <v>20</v>
      </c>
    </row>
    <row r="229" spans="1:2">
      <c r="A229" t="s">
        <v>497</v>
      </c>
      <c r="B229">
        <v>21</v>
      </c>
    </row>
    <row r="230" spans="1:2">
      <c r="A230" t="s">
        <v>498</v>
      </c>
      <c r="B230">
        <v>22</v>
      </c>
    </row>
    <row r="231" spans="1:2">
      <c r="A231" t="s">
        <v>499</v>
      </c>
      <c r="B231">
        <v>23</v>
      </c>
    </row>
    <row r="232" spans="1:2">
      <c r="A232" t="s">
        <v>500</v>
      </c>
      <c r="B232">
        <v>24</v>
      </c>
    </row>
    <row r="233" spans="1:2">
      <c r="A233" t="s">
        <v>501</v>
      </c>
      <c r="B233">
        <v>25</v>
      </c>
    </row>
    <row r="234" spans="1:2">
      <c r="A234" t="s">
        <v>502</v>
      </c>
      <c r="B234">
        <v>26</v>
      </c>
    </row>
    <row r="235" spans="1:2">
      <c r="A235" t="s">
        <v>503</v>
      </c>
      <c r="B235">
        <v>27</v>
      </c>
    </row>
    <row r="236" spans="1:2">
      <c r="A236" t="s">
        <v>504</v>
      </c>
      <c r="B236">
        <v>28</v>
      </c>
    </row>
    <row r="237" spans="1:2">
      <c r="A237" t="s">
        <v>505</v>
      </c>
      <c r="B237">
        <v>29</v>
      </c>
    </row>
    <row r="238" spans="1:2">
      <c r="A238" t="s">
        <v>506</v>
      </c>
      <c r="B238">
        <v>30</v>
      </c>
    </row>
    <row r="239" spans="1:2">
      <c r="A239" t="s">
        <v>507</v>
      </c>
      <c r="B239">
        <v>31</v>
      </c>
    </row>
    <row r="240" spans="1:2">
      <c r="A240" t="s">
        <v>508</v>
      </c>
      <c r="B240">
        <v>33</v>
      </c>
    </row>
    <row r="241" spans="1:2">
      <c r="A241" t="s">
        <v>509</v>
      </c>
      <c r="B241">
        <v>34</v>
      </c>
    </row>
    <row r="242" spans="1:2">
      <c r="A242" t="s">
        <v>510</v>
      </c>
      <c r="B242">
        <v>35</v>
      </c>
    </row>
    <row r="243" spans="1:2">
      <c r="A243" t="s">
        <v>511</v>
      </c>
      <c r="B243">
        <v>36</v>
      </c>
    </row>
    <row r="244" spans="1:2">
      <c r="A244" t="s">
        <v>512</v>
      </c>
      <c r="B244">
        <v>37</v>
      </c>
    </row>
    <row r="245" spans="1:2">
      <c r="A245" t="s">
        <v>513</v>
      </c>
      <c r="B245">
        <v>38</v>
      </c>
    </row>
    <row r="246" spans="1:2">
      <c r="A246" t="s">
        <v>514</v>
      </c>
      <c r="B246">
        <v>39</v>
      </c>
    </row>
    <row r="247" spans="1:2">
      <c r="A247" t="s">
        <v>515</v>
      </c>
      <c r="B247">
        <v>40</v>
      </c>
    </row>
    <row r="248" spans="1:2">
      <c r="A248" t="s">
        <v>516</v>
      </c>
      <c r="B248">
        <v>41</v>
      </c>
    </row>
    <row r="249" spans="1:2">
      <c r="A249" t="s">
        <v>517</v>
      </c>
      <c r="B249">
        <v>42</v>
      </c>
    </row>
    <row r="250" spans="1:2">
      <c r="A250" t="s">
        <v>518</v>
      </c>
      <c r="B250">
        <v>43</v>
      </c>
    </row>
    <row r="251" spans="1:2">
      <c r="A251" t="s">
        <v>519</v>
      </c>
      <c r="B251">
        <v>44</v>
      </c>
    </row>
    <row r="252" spans="1:2">
      <c r="A252" t="s">
        <v>520</v>
      </c>
      <c r="B252">
        <v>45</v>
      </c>
    </row>
    <row r="253" spans="1:2">
      <c r="A253" t="s">
        <v>521</v>
      </c>
      <c r="B253">
        <v>46</v>
      </c>
    </row>
    <row r="254" spans="1:2">
      <c r="A254" t="s">
        <v>522</v>
      </c>
      <c r="B254">
        <v>47</v>
      </c>
    </row>
    <row r="255" spans="1:2">
      <c r="A255" t="s">
        <v>523</v>
      </c>
      <c r="B255">
        <v>48</v>
      </c>
    </row>
    <row r="256" spans="1:2">
      <c r="A256" t="s">
        <v>524</v>
      </c>
      <c r="B256">
        <v>49</v>
      </c>
    </row>
    <row r="257" spans="1:2">
      <c r="A257" t="s">
        <v>525</v>
      </c>
      <c r="B257">
        <v>50</v>
      </c>
    </row>
    <row r="258" spans="1:2">
      <c r="A258" t="s">
        <v>526</v>
      </c>
      <c r="B258">
        <v>51</v>
      </c>
    </row>
    <row r="259" spans="1:2">
      <c r="A259" t="s">
        <v>527</v>
      </c>
      <c r="B259">
        <v>52</v>
      </c>
    </row>
    <row r="260" spans="1:2">
      <c r="A260" t="s">
        <v>528</v>
      </c>
      <c r="B260">
        <v>53</v>
      </c>
    </row>
    <row r="261" spans="1:2">
      <c r="A261" t="s">
        <v>529</v>
      </c>
      <c r="B261">
        <v>54</v>
      </c>
    </row>
    <row r="262" spans="1:2">
      <c r="A262" t="s">
        <v>530</v>
      </c>
      <c r="B262">
        <v>55</v>
      </c>
    </row>
    <row r="263" spans="1:2">
      <c r="A263" t="s">
        <v>531</v>
      </c>
      <c r="B263">
        <v>57</v>
      </c>
    </row>
    <row r="264" spans="1:2">
      <c r="A264" t="s">
        <v>532</v>
      </c>
      <c r="B264">
        <v>58</v>
      </c>
    </row>
    <row r="265" spans="1:2">
      <c r="A265" t="s">
        <v>533</v>
      </c>
      <c r="B265">
        <v>59</v>
      </c>
    </row>
    <row r="266" spans="1:2">
      <c r="A266" t="s">
        <v>534</v>
      </c>
      <c r="B266">
        <v>60</v>
      </c>
    </row>
    <row r="267" spans="1:2">
      <c r="A267" t="s">
        <v>535</v>
      </c>
      <c r="B267">
        <v>62</v>
      </c>
    </row>
    <row r="268" spans="1:2">
      <c r="A268" t="s">
        <v>536</v>
      </c>
      <c r="B268">
        <v>63</v>
      </c>
    </row>
    <row r="269" spans="1:2">
      <c r="A269" t="s">
        <v>537</v>
      </c>
      <c r="B269">
        <v>64</v>
      </c>
    </row>
    <row r="270" spans="1:2">
      <c r="A270" t="s">
        <v>538</v>
      </c>
      <c r="B270">
        <v>65</v>
      </c>
    </row>
    <row r="271" spans="1:2">
      <c r="A271" t="s">
        <v>539</v>
      </c>
      <c r="B271">
        <v>66</v>
      </c>
    </row>
    <row r="272" spans="1:2">
      <c r="A272" t="s">
        <v>540</v>
      </c>
      <c r="B272">
        <v>68</v>
      </c>
    </row>
    <row r="273" spans="1:24">
      <c r="A273" t="s">
        <v>541</v>
      </c>
      <c r="B273">
        <v>69</v>
      </c>
    </row>
    <row r="274" spans="1:24">
      <c r="A274" t="s">
        <v>542</v>
      </c>
      <c r="B274">
        <v>70</v>
      </c>
    </row>
    <row r="275" spans="1:24">
      <c r="A275" t="s">
        <v>543</v>
      </c>
      <c r="B275">
        <v>71</v>
      </c>
    </row>
    <row r="276" spans="1:24">
      <c r="A276" t="s">
        <v>544</v>
      </c>
      <c r="B276">
        <v>72</v>
      </c>
    </row>
    <row r="277" spans="1:24">
      <c r="A277" t="s">
        <v>545</v>
      </c>
      <c r="B277" t="s">
        <v>546</v>
      </c>
    </row>
    <row r="278" spans="1:24">
      <c r="A278" t="s">
        <v>547</v>
      </c>
      <c r="B278" t="s">
        <v>548</v>
      </c>
    </row>
    <row r="279" spans="1:24">
      <c r="A279" t="s">
        <v>549</v>
      </c>
      <c r="B279" t="s">
        <v>550</v>
      </c>
    </row>
    <row r="280" spans="1:24">
      <c r="A280" t="s">
        <v>551</v>
      </c>
      <c r="B280" t="s">
        <v>552</v>
      </c>
    </row>
    <row r="281" spans="1:24">
      <c r="A281" t="s">
        <v>553</v>
      </c>
      <c r="B281" t="s">
        <v>554</v>
      </c>
    </row>
    <row r="282" spans="1:24">
      <c r="A282" t="s">
        <v>555</v>
      </c>
      <c r="B282" t="s">
        <v>556</v>
      </c>
    </row>
    <row r="283" spans="1:24">
      <c r="A283" t="s">
        <v>557</v>
      </c>
      <c r="B283" t="s">
        <v>558</v>
      </c>
    </row>
    <row r="284" spans="1:24">
      <c r="A284" t="s">
        <v>559</v>
      </c>
      <c r="B284" t="s">
        <v>560</v>
      </c>
    </row>
    <row r="285" spans="1:24">
      <c r="A285" t="s">
        <v>561</v>
      </c>
      <c r="B285" t="s">
        <v>562</v>
      </c>
    </row>
    <row r="286" spans="1:24">
      <c r="A286" t="s">
        <v>563</v>
      </c>
      <c r="B286" t="s">
        <v>85</v>
      </c>
      <c r="C286" t="s">
        <v>83</v>
      </c>
      <c r="D286" t="s">
        <v>53</v>
      </c>
      <c r="E286" t="s">
        <v>58</v>
      </c>
      <c r="F286" t="s">
        <v>107</v>
      </c>
      <c r="G286" t="s">
        <v>81</v>
      </c>
      <c r="H286" t="s">
        <v>121</v>
      </c>
      <c r="I286" t="s">
        <v>47</v>
      </c>
      <c r="J286" t="s">
        <v>109</v>
      </c>
      <c r="K286" t="s">
        <v>125</v>
      </c>
      <c r="L286" t="s">
        <v>117</v>
      </c>
      <c r="M286" t="s">
        <v>60</v>
      </c>
      <c r="N286" t="s">
        <v>131</v>
      </c>
      <c r="O286" t="s">
        <v>113</v>
      </c>
      <c r="P286" t="s">
        <v>127</v>
      </c>
      <c r="Q286" t="s">
        <v>123</v>
      </c>
      <c r="R286" t="s">
        <v>63</v>
      </c>
      <c r="S286" t="s">
        <v>100</v>
      </c>
      <c r="T286" t="s">
        <v>51</v>
      </c>
      <c r="U286" t="s">
        <v>105</v>
      </c>
      <c r="V286" t="s">
        <v>98</v>
      </c>
      <c r="W286" t="s">
        <v>64</v>
      </c>
      <c r="X286" t="s">
        <v>119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outlinePr summaryBelow="0"/>
  </sheetPr>
  <dimension ref="A1:BH19"/>
  <sheetViews>
    <sheetView zoomScale="55" zoomScaleNormal="55" workbookViewId="0">
      <pane xSplit="2" ySplit="4" topLeftCell="L6" activePane="bottomRight" state="frozen"/>
      <selection pane="topRight" activeCell="C1" sqref="C1"/>
      <selection pane="bottomLeft" activeCell="A5" sqref="A5"/>
      <selection pane="bottomRight" activeCell="Z52" sqref="Z52"/>
    </sheetView>
  </sheetViews>
  <sheetFormatPr baseColWidth="10" defaultColWidth="8.83203125" defaultRowHeight="15" outlineLevelRow="2"/>
  <cols>
    <col min="2" max="2" width="24.6640625" style="53" customWidth="1"/>
    <col min="3" max="4" width="10.6640625" style="53" customWidth="1"/>
    <col min="7" max="7" width="1.6640625" style="53" customWidth="1"/>
    <col min="10" max="13" width="10.6640625" style="53" customWidth="1"/>
    <col min="14" max="14" width="24.6640625" style="53" hidden="1" customWidth="1"/>
    <col min="15" max="15" width="12.6640625" style="53" customWidth="1"/>
    <col min="16" max="16" width="10.6640625" style="53" customWidth="1"/>
    <col min="17" max="20" width="12.6640625" style="53" customWidth="1"/>
    <col min="21" max="25" width="11.6640625" style="53" customWidth="1"/>
    <col min="30" max="30" width="1.6640625" style="53" customWidth="1"/>
    <col min="33" max="36" width="10.6640625" style="53" customWidth="1"/>
    <col min="37" max="37" width="24.6640625" style="53" hidden="1" customWidth="1"/>
    <col min="38" max="38" width="12.6640625" style="53" customWidth="1"/>
    <col min="39" max="39" width="10.6640625" style="53" customWidth="1"/>
    <col min="40" max="43" width="12.6640625" style="53" customWidth="1"/>
    <col min="44" max="48" width="11.6640625" style="53" customWidth="1"/>
    <col min="53" max="53" width="1.6640625" style="53" customWidth="1"/>
    <col min="60" max="60" width="1.6640625" style="53" customWidth="1"/>
  </cols>
  <sheetData>
    <row r="1" spans="1:59">
      <c r="A1" s="94" t="s">
        <v>564</v>
      </c>
      <c r="B1" s="80"/>
      <c r="C1" s="80"/>
      <c r="D1" s="80"/>
      <c r="E1" s="80"/>
      <c r="F1" s="80"/>
      <c r="H1" s="79" t="str">
        <f>Summary!$C$1</f>
        <v>ALL_master+r90</v>
      </c>
      <c r="I1" s="80"/>
      <c r="J1" s="80"/>
      <c r="K1" s="80"/>
      <c r="L1" s="80"/>
      <c r="M1" s="80"/>
      <c r="N1" s="80"/>
      <c r="O1" s="80"/>
      <c r="P1" s="80"/>
      <c r="Q1" s="80"/>
      <c r="R1" s="80"/>
      <c r="S1" s="80"/>
      <c r="T1" s="80"/>
      <c r="U1" s="80"/>
      <c r="V1" s="80"/>
      <c r="W1" s="80"/>
      <c r="X1" s="80"/>
      <c r="Y1" s="80"/>
      <c r="Z1" s="80"/>
      <c r="AA1" s="80"/>
      <c r="AB1" s="80"/>
      <c r="AC1" s="80"/>
      <c r="AE1" s="81">
        <f>Summary!$C$2</f>
        <v>0</v>
      </c>
      <c r="AF1" s="80"/>
      <c r="AG1" s="80"/>
      <c r="AH1" s="80"/>
      <c r="AI1" s="80"/>
      <c r="AJ1" s="80"/>
      <c r="AK1" s="80"/>
      <c r="AL1" s="80"/>
      <c r="AM1" s="80"/>
      <c r="AN1" s="80"/>
      <c r="AO1" s="80"/>
      <c r="AP1" s="80"/>
      <c r="AQ1" s="80"/>
      <c r="AR1" s="80"/>
      <c r="AS1" s="80"/>
      <c r="AT1" s="80"/>
      <c r="AU1" s="80"/>
      <c r="AV1" s="80"/>
      <c r="AW1" s="80"/>
      <c r="AX1" s="80"/>
      <c r="AY1" s="80"/>
      <c r="AZ1" s="80"/>
    </row>
    <row r="2" spans="1:59" ht="30" customHeight="1">
      <c r="A2" s="90" t="s">
        <v>137</v>
      </c>
      <c r="B2" s="91" t="s">
        <v>138</v>
      </c>
      <c r="C2" s="90" t="s">
        <v>140</v>
      </c>
      <c r="D2" s="91" t="s">
        <v>141</v>
      </c>
      <c r="E2" s="90" t="s">
        <v>142</v>
      </c>
      <c r="F2" s="91" t="s">
        <v>143</v>
      </c>
      <c r="H2" s="90" t="s">
        <v>565</v>
      </c>
      <c r="I2" s="91" t="s">
        <v>144</v>
      </c>
      <c r="J2" s="93" t="s">
        <v>145</v>
      </c>
      <c r="K2" s="80"/>
      <c r="L2" s="80"/>
      <c r="M2" s="80"/>
      <c r="N2" s="90" t="s">
        <v>146</v>
      </c>
      <c r="O2" s="91" t="s">
        <v>147</v>
      </c>
      <c r="P2" s="90" t="s">
        <v>84</v>
      </c>
      <c r="Q2" s="92" t="s">
        <v>148</v>
      </c>
      <c r="R2" s="80"/>
      <c r="S2" s="80"/>
      <c r="T2" s="80"/>
      <c r="U2" s="93" t="s">
        <v>149</v>
      </c>
      <c r="V2" s="80"/>
      <c r="W2" s="92" t="s">
        <v>150</v>
      </c>
      <c r="X2" s="80"/>
      <c r="Y2" s="80"/>
      <c r="Z2" s="93" t="s">
        <v>151</v>
      </c>
      <c r="AA2" s="80"/>
      <c r="AB2" s="92" t="s">
        <v>152</v>
      </c>
      <c r="AC2" s="80"/>
      <c r="AE2" s="90" t="s">
        <v>565</v>
      </c>
      <c r="AF2" s="91" t="s">
        <v>144</v>
      </c>
      <c r="AG2" s="93" t="s">
        <v>145</v>
      </c>
      <c r="AH2" s="80"/>
      <c r="AI2" s="80"/>
      <c r="AJ2" s="80"/>
      <c r="AK2" s="90" t="s">
        <v>153</v>
      </c>
      <c r="AL2" s="91" t="s">
        <v>147</v>
      </c>
      <c r="AM2" s="90" t="s">
        <v>84</v>
      </c>
      <c r="AN2" s="92" t="s">
        <v>148</v>
      </c>
      <c r="AO2" s="80"/>
      <c r="AP2" s="80"/>
      <c r="AQ2" s="80"/>
      <c r="AR2" s="93" t="s">
        <v>149</v>
      </c>
      <c r="AS2" s="80"/>
      <c r="AT2" s="92" t="s">
        <v>150</v>
      </c>
      <c r="AU2" s="80"/>
      <c r="AV2" s="80"/>
      <c r="AW2" s="93" t="s">
        <v>151</v>
      </c>
      <c r="AX2" s="80"/>
      <c r="AY2" s="92" t="s">
        <v>152</v>
      </c>
      <c r="AZ2" s="80"/>
      <c r="BB2" s="93" t="s">
        <v>22</v>
      </c>
      <c r="BC2" s="80"/>
      <c r="BD2" s="80"/>
      <c r="BE2" s="80"/>
      <c r="BF2" s="91" t="s">
        <v>156</v>
      </c>
      <c r="BG2" s="90" t="s">
        <v>156</v>
      </c>
    </row>
    <row r="3" spans="1:59" ht="29" customHeight="1">
      <c r="A3" s="83"/>
      <c r="B3" s="83"/>
      <c r="C3" s="83"/>
      <c r="D3" s="83"/>
      <c r="E3" s="83"/>
      <c r="F3" s="83"/>
      <c r="H3" s="83"/>
      <c r="I3" s="83"/>
      <c r="J3" s="56" t="s">
        <v>25</v>
      </c>
      <c r="K3" s="56" t="s">
        <v>23</v>
      </c>
      <c r="L3" s="56" t="s">
        <v>157</v>
      </c>
      <c r="M3" s="56" t="s">
        <v>158</v>
      </c>
      <c r="N3" s="83"/>
      <c r="O3" s="83"/>
      <c r="P3" s="83"/>
      <c r="Q3" s="57" t="s">
        <v>25</v>
      </c>
      <c r="R3" s="57" t="s">
        <v>157</v>
      </c>
      <c r="S3" s="57" t="s">
        <v>159</v>
      </c>
      <c r="T3" s="57" t="s">
        <v>24</v>
      </c>
      <c r="U3" s="56" t="s">
        <v>9</v>
      </c>
      <c r="V3" s="56" t="s">
        <v>10</v>
      </c>
      <c r="W3" s="57" t="s">
        <v>11</v>
      </c>
      <c r="X3" s="57" t="s">
        <v>12</v>
      </c>
      <c r="Y3" s="57" t="s">
        <v>13</v>
      </c>
      <c r="Z3" s="56" t="s">
        <v>160</v>
      </c>
      <c r="AA3" s="56" t="s">
        <v>161</v>
      </c>
      <c r="AB3" s="57" t="s">
        <v>160</v>
      </c>
      <c r="AC3" s="57" t="s">
        <v>161</v>
      </c>
      <c r="AE3" s="83"/>
      <c r="AF3" s="83"/>
      <c r="AG3" s="56" t="s">
        <v>25</v>
      </c>
      <c r="AH3" s="56" t="s">
        <v>23</v>
      </c>
      <c r="AI3" s="56" t="s">
        <v>157</v>
      </c>
      <c r="AJ3" s="56" t="s">
        <v>158</v>
      </c>
      <c r="AK3" s="83"/>
      <c r="AL3" s="83"/>
      <c r="AM3" s="83"/>
      <c r="AN3" s="57" t="s">
        <v>25</v>
      </c>
      <c r="AO3" s="57" t="s">
        <v>157</v>
      </c>
      <c r="AP3" s="57" t="s">
        <v>159</v>
      </c>
      <c r="AQ3" s="57" t="s">
        <v>24</v>
      </c>
      <c r="AR3" s="56" t="s">
        <v>9</v>
      </c>
      <c r="AS3" s="56" t="s">
        <v>10</v>
      </c>
      <c r="AT3" s="57" t="s">
        <v>11</v>
      </c>
      <c r="AU3" s="57" t="s">
        <v>12</v>
      </c>
      <c r="AV3" s="57" t="s">
        <v>13</v>
      </c>
      <c r="AW3" s="56" t="s">
        <v>160</v>
      </c>
      <c r="AX3" s="56" t="s">
        <v>161</v>
      </c>
      <c r="AY3" s="57" t="s">
        <v>160</v>
      </c>
      <c r="AZ3" s="57" t="s">
        <v>161</v>
      </c>
      <c r="BB3" s="56" t="s">
        <v>25</v>
      </c>
      <c r="BC3" s="56" t="s">
        <v>23</v>
      </c>
      <c r="BD3" s="56" t="s">
        <v>157</v>
      </c>
      <c r="BE3" s="56" t="s">
        <v>24</v>
      </c>
      <c r="BF3" s="83"/>
      <c r="BG3" s="83"/>
    </row>
    <row r="4" spans="1:59" ht="123" hidden="1" customHeight="1">
      <c r="A4" s="8" t="s">
        <v>162</v>
      </c>
      <c r="B4" s="9" t="s">
        <v>163</v>
      </c>
      <c r="C4" s="8" t="s">
        <v>165</v>
      </c>
      <c r="D4" s="9" t="s">
        <v>166</v>
      </c>
      <c r="E4" s="8" t="s">
        <v>167</v>
      </c>
      <c r="F4" s="9" t="s">
        <v>168</v>
      </c>
      <c r="H4" s="8" t="s">
        <v>566</v>
      </c>
      <c r="I4" s="9" t="s">
        <v>169</v>
      </c>
      <c r="J4" s="8" t="s">
        <v>170</v>
      </c>
      <c r="K4" s="8" t="s">
        <v>171</v>
      </c>
      <c r="L4" s="8" t="s">
        <v>172</v>
      </c>
      <c r="M4" s="8" t="s">
        <v>173</v>
      </c>
      <c r="N4" s="8" t="s">
        <v>174</v>
      </c>
      <c r="O4" s="9" t="s">
        <v>175</v>
      </c>
      <c r="P4" s="8" t="s">
        <v>176</v>
      </c>
      <c r="Q4" s="9" t="s">
        <v>179</v>
      </c>
      <c r="R4" s="9" t="s">
        <v>180</v>
      </c>
      <c r="S4" s="9" t="s">
        <v>181</v>
      </c>
      <c r="T4" s="9" t="s">
        <v>182</v>
      </c>
      <c r="U4" s="8" t="s">
        <v>183</v>
      </c>
      <c r="V4" s="8" t="s">
        <v>184</v>
      </c>
      <c r="W4" s="9" t="s">
        <v>185</v>
      </c>
      <c r="X4" s="9" t="s">
        <v>186</v>
      </c>
      <c r="Y4" s="9" t="s">
        <v>187</v>
      </c>
      <c r="Z4" s="8" t="s">
        <v>188</v>
      </c>
      <c r="AA4" s="8" t="s">
        <v>189</v>
      </c>
      <c r="AB4" s="9" t="s">
        <v>190</v>
      </c>
      <c r="AC4" s="9" t="s">
        <v>191</v>
      </c>
      <c r="AE4" s="8" t="s">
        <v>567</v>
      </c>
      <c r="AF4" s="9" t="s">
        <v>192</v>
      </c>
      <c r="AG4" s="8" t="s">
        <v>193</v>
      </c>
      <c r="AH4" s="8" t="s">
        <v>194</v>
      </c>
      <c r="AI4" s="8" t="s">
        <v>195</v>
      </c>
      <c r="AJ4" s="8" t="s">
        <v>196</v>
      </c>
      <c r="AK4" s="8" t="s">
        <v>197</v>
      </c>
      <c r="AL4" s="9" t="s">
        <v>198</v>
      </c>
      <c r="AM4" s="8" t="s">
        <v>199</v>
      </c>
      <c r="AN4" s="9" t="s">
        <v>202</v>
      </c>
      <c r="AO4" s="9" t="s">
        <v>203</v>
      </c>
      <c r="AP4" s="9" t="s">
        <v>204</v>
      </c>
      <c r="AQ4" s="9" t="s">
        <v>205</v>
      </c>
      <c r="AR4" s="8" t="s">
        <v>206</v>
      </c>
      <c r="AS4" s="8" t="s">
        <v>207</v>
      </c>
      <c r="AT4" s="9" t="s">
        <v>208</v>
      </c>
      <c r="AU4" s="9" t="s">
        <v>209</v>
      </c>
      <c r="AV4" s="9" t="s">
        <v>210</v>
      </c>
      <c r="AW4" s="8" t="s">
        <v>211</v>
      </c>
      <c r="AX4" s="8" t="s">
        <v>212</v>
      </c>
      <c r="AY4" s="9" t="s">
        <v>213</v>
      </c>
      <c r="AZ4" s="9" t="s">
        <v>214</v>
      </c>
      <c r="BB4" s="8" t="s">
        <v>568</v>
      </c>
      <c r="BC4" s="8" t="s">
        <v>215</v>
      </c>
      <c r="BD4" s="8" t="s">
        <v>569</v>
      </c>
      <c r="BE4" s="8" t="s">
        <v>570</v>
      </c>
      <c r="BF4" s="9" t="s">
        <v>217</v>
      </c>
      <c r="BG4" s="8" t="s">
        <v>218</v>
      </c>
    </row>
    <row r="5" spans="1:59" collapsed="1">
      <c r="A5" s="54" t="s">
        <v>229</v>
      </c>
      <c r="B5" s="54" t="s">
        <v>49</v>
      </c>
      <c r="C5" s="54">
        <v>238146391</v>
      </c>
      <c r="D5" s="10">
        <v>10</v>
      </c>
      <c r="E5" s="10">
        <v>32</v>
      </c>
      <c r="F5" s="10">
        <v>30</v>
      </c>
      <c r="H5" s="17">
        <f t="shared" ref="H5:H11" si="0">IF(ISBLANK(Q5),"·",Q5/(C5*(D5*3+IF(AND(ISNUMBER(T5),T5&gt;0),24,0))))</f>
        <v>1.730879458493647E-2</v>
      </c>
      <c r="I5" s="11">
        <f t="shared" ref="I5:I11" si="1">IF(OR(ISBLANK(Q5),ISBLANK(F5)),"·",Q5*F5/E5/1000000)</f>
        <v>208.677615</v>
      </c>
      <c r="J5" s="12">
        <f t="shared" ref="J5:J11" si="2">IF(ISBLANK(Q5),"·",Q5/C5)</f>
        <v>0.93467490758656935</v>
      </c>
      <c r="K5" s="12">
        <f t="shared" ref="K5:K11" si="3">IF(N5="","·",N5/C5)</f>
        <v>0.14562148875898775</v>
      </c>
      <c r="L5" s="12">
        <f t="shared" ref="L5:L11" si="4">IF(R5="","·",R5/C5)</f>
        <v>0.13670905472592276</v>
      </c>
      <c r="M5" s="12">
        <f t="shared" ref="M5:M11" si="5">IF(ISBLANK(T5),"·",T5/C5)</f>
        <v>0.78905341882758151</v>
      </c>
      <c r="N5" s="54">
        <f t="shared" ref="N5:N11" si="6">IF(OR(ISBLANK(R5),ISBLANK(S5)),"",R5+S5)</f>
        <v>34679232</v>
      </c>
      <c r="O5" s="12">
        <v>16</v>
      </c>
      <c r="P5" s="13">
        <v>24964341</v>
      </c>
      <c r="Q5" s="14">
        <v>222589456</v>
      </c>
      <c r="R5" s="14">
        <v>32556768</v>
      </c>
      <c r="S5" s="14">
        <v>2122464</v>
      </c>
      <c r="T5" s="14">
        <v>187910224</v>
      </c>
      <c r="U5" s="15" t="s">
        <v>571</v>
      </c>
      <c r="V5" s="15" t="s">
        <v>571</v>
      </c>
      <c r="W5" s="15" t="s">
        <v>571</v>
      </c>
      <c r="X5" s="15" t="s">
        <v>571</v>
      </c>
      <c r="Y5" s="15" t="s">
        <v>571</v>
      </c>
      <c r="Z5" s="16">
        <v>1693.29</v>
      </c>
      <c r="AA5" s="16">
        <v>5740.59</v>
      </c>
      <c r="AB5" s="16">
        <v>5.7549999999999999</v>
      </c>
      <c r="AC5" s="16">
        <v>25.07</v>
      </c>
      <c r="AE5" s="17">
        <f t="shared" ref="AE5:AE11" si="7">IF(ISBLANK(Q5),"·",Q5/(C5*(D5*3+IF(AND(ISNUMBER(T5),T5&gt;0),24,0))))</f>
        <v>1.730879458493647E-2</v>
      </c>
      <c r="AF5" s="11" t="str">
        <f t="shared" ref="AF5:AF11" si="8">IF(OR(ISBLANK(AN5),ISBLANK(F5)),"·",AN5*F5/E5/1000000)</f>
        <v>·</v>
      </c>
      <c r="AG5" s="12" t="str">
        <f t="shared" ref="AG5:AG11" si="9">IF(ISBLANK(AN5),"·",AN5/C5)</f>
        <v>·</v>
      </c>
      <c r="AH5" s="12" t="str">
        <f t="shared" ref="AH5:AH11" si="10">IF(AK5="","·",AK5/C5)</f>
        <v>·</v>
      </c>
      <c r="AI5" s="12" t="str">
        <f t="shared" ref="AI5:AI11" si="11">IF(AO5="","·",AO5/C5)</f>
        <v>·</v>
      </c>
      <c r="AJ5" s="12" t="str">
        <f t="shared" ref="AJ5:AJ11" si="12">IF(ISBLANK(AQ5),"·",AQ5/C5)</f>
        <v>·</v>
      </c>
      <c r="AK5" s="54" t="str">
        <f t="shared" ref="AK5:AK11" si="13">IF(OR(ISBLANK(AO5),ISBLANK(AP5)),"",AO5+AP5)</f>
        <v/>
      </c>
      <c r="AL5" s="12">
        <v>16</v>
      </c>
      <c r="AM5" s="13"/>
      <c r="AN5" s="14"/>
      <c r="AO5" s="14"/>
      <c r="AP5" s="14"/>
      <c r="AQ5" s="14"/>
      <c r="AR5" s="15"/>
      <c r="AS5" s="15"/>
      <c r="AT5" s="15"/>
      <c r="AU5" s="15"/>
      <c r="AV5" s="15"/>
      <c r="AW5" s="16"/>
      <c r="AX5" s="16"/>
      <c r="AY5" s="16"/>
      <c r="AZ5" s="16"/>
      <c r="BB5" s="51" t="e">
        <f t="shared" ref="BB5:BB15" si="14">AG5/J5</f>
        <v>#VALUE!</v>
      </c>
      <c r="BC5" s="51" t="e">
        <f t="shared" ref="BC5:BC15" si="15">AH5/K5</f>
        <v>#VALUE!</v>
      </c>
      <c r="BD5" s="51" t="e">
        <f t="shared" ref="BD5:BD15" si="16">AI5/L5</f>
        <v>#VALUE!</v>
      </c>
      <c r="BE5" s="51" t="e">
        <f t="shared" ref="BE5:BE15" si="17">AJ5/M5</f>
        <v>#VALUE!</v>
      </c>
      <c r="BF5" s="17" t="e">
        <f t="shared" ref="BF5:BF11" si="18">(AK5/AN5) - (N5/Q5)</f>
        <v>#VALUE!</v>
      </c>
      <c r="BG5" s="17" t="e">
        <f t="array" ref="BG5">AVERAGE(AK5:AK5/AN5:AN5) - AVERAGE(N5:N5/Q5:Q5)</f>
        <v>#VALUE!</v>
      </c>
    </row>
    <row r="6" spans="1:59" collapsed="1">
      <c r="A6" s="18"/>
      <c r="B6" s="18" t="s">
        <v>57</v>
      </c>
      <c r="C6" s="18">
        <v>218121242</v>
      </c>
      <c r="D6" s="19">
        <v>10</v>
      </c>
      <c r="E6" s="19">
        <v>32</v>
      </c>
      <c r="F6" s="19">
        <v>30</v>
      </c>
      <c r="H6" s="26">
        <f t="shared" si="0"/>
        <v>2.467722158955166E-2</v>
      </c>
      <c r="I6" s="20">
        <f t="shared" si="1"/>
        <v>272.4954525</v>
      </c>
      <c r="J6" s="21">
        <f t="shared" si="2"/>
        <v>1.3325699658357897</v>
      </c>
      <c r="K6" s="21">
        <f t="shared" si="3"/>
        <v>0.17691621249800146</v>
      </c>
      <c r="L6" s="21">
        <f t="shared" si="4"/>
        <v>0.16169106537546674</v>
      </c>
      <c r="M6" s="21">
        <f t="shared" si="5"/>
        <v>1.1556537533377882</v>
      </c>
      <c r="N6" s="18">
        <f t="shared" si="6"/>
        <v>38589184</v>
      </c>
      <c r="O6" s="21">
        <v>16</v>
      </c>
      <c r="P6" s="22">
        <v>22654789</v>
      </c>
      <c r="Q6" s="23">
        <v>290661816</v>
      </c>
      <c r="R6" s="23">
        <v>35268256</v>
      </c>
      <c r="S6" s="23">
        <v>3320928</v>
      </c>
      <c r="T6" s="23">
        <v>252072632</v>
      </c>
      <c r="U6" s="24" t="s">
        <v>571</v>
      </c>
      <c r="V6" s="24" t="s">
        <v>571</v>
      </c>
      <c r="W6" s="24" t="s">
        <v>571</v>
      </c>
      <c r="X6" s="24" t="s">
        <v>571</v>
      </c>
      <c r="Y6" s="24" t="s">
        <v>571</v>
      </c>
      <c r="Z6" s="25">
        <v>1537.26</v>
      </c>
      <c r="AA6" s="25">
        <v>5667.32</v>
      </c>
      <c r="AB6" s="25">
        <v>5.4020000000000001</v>
      </c>
      <c r="AC6" s="25">
        <v>26.17</v>
      </c>
      <c r="AE6" s="26">
        <f t="shared" si="7"/>
        <v>2.467722158955166E-2</v>
      </c>
      <c r="AF6" s="20" t="str">
        <f t="shared" si="8"/>
        <v>·</v>
      </c>
      <c r="AG6" s="21" t="str">
        <f t="shared" si="9"/>
        <v>·</v>
      </c>
      <c r="AH6" s="21" t="str">
        <f t="shared" si="10"/>
        <v>·</v>
      </c>
      <c r="AI6" s="21" t="str">
        <f t="shared" si="11"/>
        <v>·</v>
      </c>
      <c r="AJ6" s="21" t="str">
        <f t="shared" si="12"/>
        <v>·</v>
      </c>
      <c r="AK6" s="18" t="str">
        <f t="shared" si="13"/>
        <v/>
      </c>
      <c r="AL6" s="21">
        <v>16</v>
      </c>
      <c r="AM6" s="22"/>
      <c r="AN6" s="23"/>
      <c r="AO6" s="23"/>
      <c r="AP6" s="23"/>
      <c r="AQ6" s="23"/>
      <c r="AR6" s="24"/>
      <c r="AS6" s="24"/>
      <c r="AT6" s="24"/>
      <c r="AU6" s="24"/>
      <c r="AV6" s="24"/>
      <c r="AW6" s="25"/>
      <c r="AX6" s="25"/>
      <c r="AY6" s="25"/>
      <c r="AZ6" s="25"/>
      <c r="BB6" s="50" t="e">
        <f t="shared" si="14"/>
        <v>#VALUE!</v>
      </c>
      <c r="BC6" s="50" t="e">
        <f t="shared" si="15"/>
        <v>#VALUE!</v>
      </c>
      <c r="BD6" s="50" t="e">
        <f t="shared" si="16"/>
        <v>#VALUE!</v>
      </c>
      <c r="BE6" s="50" t="e">
        <f t="shared" si="17"/>
        <v>#VALUE!</v>
      </c>
      <c r="BF6" s="26" t="e">
        <f t="shared" si="18"/>
        <v>#VALUE!</v>
      </c>
      <c r="BG6" s="26" t="e">
        <f t="array" ref="BG6">AVERAGE(AK6:AK6/AN6:AN6) - AVERAGE(N6:N6/Q6:Q6)</f>
        <v>#VALUE!</v>
      </c>
    </row>
    <row r="7" spans="1:59" collapsed="1">
      <c r="A7" s="54"/>
      <c r="B7" s="54" t="s">
        <v>62</v>
      </c>
      <c r="C7" s="54">
        <v>322589704</v>
      </c>
      <c r="D7" s="10">
        <v>10</v>
      </c>
      <c r="E7" s="10">
        <v>32</v>
      </c>
      <c r="F7" s="10">
        <v>30</v>
      </c>
      <c r="H7" s="17">
        <f t="shared" si="0"/>
        <v>1.9521560795128533E-2</v>
      </c>
      <c r="I7" s="11">
        <f t="shared" si="1"/>
        <v>318.80863499999998</v>
      </c>
      <c r="J7" s="12">
        <f t="shared" si="2"/>
        <v>1.0541642829369409</v>
      </c>
      <c r="K7" s="12">
        <f t="shared" si="3"/>
        <v>0.17334075857548137</v>
      </c>
      <c r="L7" s="12">
        <f t="shared" si="4"/>
        <v>0.16059818201761331</v>
      </c>
      <c r="M7" s="12">
        <f t="shared" si="5"/>
        <v>0.8808235243614595</v>
      </c>
      <c r="N7" s="54">
        <f t="shared" si="6"/>
        <v>55917944</v>
      </c>
      <c r="O7" s="12">
        <v>16</v>
      </c>
      <c r="P7" s="13">
        <v>33947718</v>
      </c>
      <c r="Q7" s="14">
        <v>340062544</v>
      </c>
      <c r="R7" s="14">
        <v>51807320</v>
      </c>
      <c r="S7" s="14">
        <v>4110624</v>
      </c>
      <c r="T7" s="14">
        <v>284144600</v>
      </c>
      <c r="U7" s="15" t="s">
        <v>571</v>
      </c>
      <c r="V7" s="15" t="s">
        <v>571</v>
      </c>
      <c r="W7" s="15" t="s">
        <v>571</v>
      </c>
      <c r="X7" s="15" t="s">
        <v>571</v>
      </c>
      <c r="Y7" s="15" t="s">
        <v>571</v>
      </c>
      <c r="Z7" s="16">
        <v>2267.5700000000002</v>
      </c>
      <c r="AA7" s="16">
        <v>7831.02</v>
      </c>
      <c r="AB7" s="16">
        <v>7.8040000000000003</v>
      </c>
      <c r="AC7" s="16">
        <v>31.448</v>
      </c>
      <c r="AE7" s="17">
        <f t="shared" si="7"/>
        <v>1.9521560795128533E-2</v>
      </c>
      <c r="AF7" s="11" t="str">
        <f t="shared" si="8"/>
        <v>·</v>
      </c>
      <c r="AG7" s="12" t="str">
        <f t="shared" si="9"/>
        <v>·</v>
      </c>
      <c r="AH7" s="12" t="str">
        <f t="shared" si="10"/>
        <v>·</v>
      </c>
      <c r="AI7" s="12" t="str">
        <f t="shared" si="11"/>
        <v>·</v>
      </c>
      <c r="AJ7" s="12" t="str">
        <f t="shared" si="12"/>
        <v>·</v>
      </c>
      <c r="AK7" s="54" t="str">
        <f t="shared" si="13"/>
        <v/>
      </c>
      <c r="AL7" s="12">
        <v>16</v>
      </c>
      <c r="AM7" s="13"/>
      <c r="AN7" s="14"/>
      <c r="AO7" s="14"/>
      <c r="AP7" s="14"/>
      <c r="AQ7" s="14"/>
      <c r="AR7" s="15"/>
      <c r="AS7" s="15"/>
      <c r="AT7" s="15"/>
      <c r="AU7" s="15"/>
      <c r="AV7" s="15"/>
      <c r="AW7" s="16"/>
      <c r="AX7" s="16"/>
      <c r="AY7" s="16"/>
      <c r="AZ7" s="16"/>
      <c r="BB7" s="51" t="e">
        <f t="shared" si="14"/>
        <v>#VALUE!</v>
      </c>
      <c r="BC7" s="51" t="e">
        <f t="shared" si="15"/>
        <v>#VALUE!</v>
      </c>
      <c r="BD7" s="51" t="e">
        <f t="shared" si="16"/>
        <v>#VALUE!</v>
      </c>
      <c r="BE7" s="51" t="e">
        <f t="shared" si="17"/>
        <v>#VALUE!</v>
      </c>
      <c r="BF7" s="17" t="e">
        <f t="shared" si="18"/>
        <v>#VALUE!</v>
      </c>
      <c r="BG7" s="17" t="e">
        <f t="array" ref="BG7">AVERAGE(AK7:AK7/AN7:AN7) - AVERAGE(N7:N7/Q7:Q7)</f>
        <v>#VALUE!</v>
      </c>
    </row>
    <row r="8" spans="1:59" collapsed="1">
      <c r="A8" s="37"/>
      <c r="B8" s="37" t="s">
        <v>68</v>
      </c>
      <c r="C8" s="37">
        <v>250602891</v>
      </c>
      <c r="D8" s="38">
        <v>10</v>
      </c>
      <c r="E8" s="38">
        <v>32</v>
      </c>
      <c r="F8" s="38">
        <v>50</v>
      </c>
      <c r="H8" s="46">
        <f t="shared" si="0"/>
        <v>1.9446255517666201E-2</v>
      </c>
      <c r="I8" s="39">
        <f t="shared" si="1"/>
        <v>411.18366250000003</v>
      </c>
      <c r="J8" s="40">
        <f t="shared" si="2"/>
        <v>1.050097797953975</v>
      </c>
      <c r="K8" s="40">
        <f t="shared" si="3"/>
        <v>0.16355051546472382</v>
      </c>
      <c r="L8" s="40">
        <f t="shared" si="4"/>
        <v>0.14347990901669208</v>
      </c>
      <c r="M8" s="40">
        <f t="shared" si="5"/>
        <v>0.88654728248925108</v>
      </c>
      <c r="N8" s="37">
        <f t="shared" si="6"/>
        <v>40986232</v>
      </c>
      <c r="O8" s="40">
        <v>16</v>
      </c>
      <c r="P8" s="41">
        <v>32209643</v>
      </c>
      <c r="Q8" s="42">
        <v>263157544</v>
      </c>
      <c r="R8" s="42">
        <v>35956480</v>
      </c>
      <c r="S8" s="42">
        <v>5029752</v>
      </c>
      <c r="T8" s="42">
        <v>222171312</v>
      </c>
      <c r="U8" s="43" t="s">
        <v>571</v>
      </c>
      <c r="V8" s="43" t="s">
        <v>571</v>
      </c>
      <c r="W8" s="43" t="s">
        <v>571</v>
      </c>
      <c r="X8" s="43" t="s">
        <v>571</v>
      </c>
      <c r="Y8" s="43" t="s">
        <v>571</v>
      </c>
      <c r="Z8" s="44">
        <v>2384.02</v>
      </c>
      <c r="AA8" s="44">
        <v>6291.05</v>
      </c>
      <c r="AB8" s="44">
        <v>7.1150000000000002</v>
      </c>
      <c r="AC8" s="44">
        <v>29.416</v>
      </c>
      <c r="AE8" s="46">
        <f t="shared" si="7"/>
        <v>1.9446255517666201E-2</v>
      </c>
      <c r="AF8" s="39" t="str">
        <f t="shared" si="8"/>
        <v>·</v>
      </c>
      <c r="AG8" s="40" t="str">
        <f t="shared" si="9"/>
        <v>·</v>
      </c>
      <c r="AH8" s="40" t="str">
        <f t="shared" si="10"/>
        <v>·</v>
      </c>
      <c r="AI8" s="40" t="str">
        <f t="shared" si="11"/>
        <v>·</v>
      </c>
      <c r="AJ8" s="40" t="str">
        <f t="shared" si="12"/>
        <v>·</v>
      </c>
      <c r="AK8" s="37" t="str">
        <f t="shared" si="13"/>
        <v/>
      </c>
      <c r="AL8" s="40">
        <v>16</v>
      </c>
      <c r="AM8" s="41"/>
      <c r="AN8" s="42"/>
      <c r="AO8" s="42"/>
      <c r="AP8" s="42"/>
      <c r="AQ8" s="42"/>
      <c r="AR8" s="43"/>
      <c r="AS8" s="43"/>
      <c r="AT8" s="43"/>
      <c r="AU8" s="43"/>
      <c r="AV8" s="43"/>
      <c r="AW8" s="44"/>
      <c r="AX8" s="44"/>
      <c r="AY8" s="44"/>
      <c r="AZ8" s="44"/>
      <c r="BB8" s="45" t="e">
        <f t="shared" si="14"/>
        <v>#VALUE!</v>
      </c>
      <c r="BC8" s="45" t="e">
        <f t="shared" si="15"/>
        <v>#VALUE!</v>
      </c>
      <c r="BD8" s="45" t="e">
        <f t="shared" si="16"/>
        <v>#VALUE!</v>
      </c>
      <c r="BE8" s="45" t="e">
        <f t="shared" si="17"/>
        <v>#VALUE!</v>
      </c>
      <c r="BF8" s="46" t="e">
        <f t="shared" si="18"/>
        <v>#VALUE!</v>
      </c>
      <c r="BG8" s="46" t="e">
        <f t="array" ref="BG8">AVERAGE(AK8:AK8/AN8:AN8) - AVERAGE(N8:N8/Q8:Q8)</f>
        <v>#VALUE!</v>
      </c>
    </row>
    <row r="9" spans="1:59" collapsed="1">
      <c r="A9" s="27" t="s">
        <v>235</v>
      </c>
      <c r="B9" s="27" t="s">
        <v>71</v>
      </c>
      <c r="C9" s="27">
        <v>250294582</v>
      </c>
      <c r="D9" s="28">
        <v>10</v>
      </c>
      <c r="E9" s="28">
        <v>32</v>
      </c>
      <c r="F9" s="28">
        <v>30</v>
      </c>
      <c r="H9" s="36">
        <f t="shared" si="0"/>
        <v>2.8068805444322106E-2</v>
      </c>
      <c r="I9" s="29">
        <f t="shared" si="1"/>
        <v>355.66441500000002</v>
      </c>
      <c r="J9" s="30">
        <f t="shared" si="2"/>
        <v>1.5157154939933937</v>
      </c>
      <c r="K9" s="30">
        <f t="shared" si="3"/>
        <v>0.15212548228471043</v>
      </c>
      <c r="L9" s="30">
        <f t="shared" si="4"/>
        <v>0.14250548979122529</v>
      </c>
      <c r="M9" s="30">
        <f t="shared" si="5"/>
        <v>1.3635900117086834</v>
      </c>
      <c r="N9" s="27">
        <f t="shared" si="6"/>
        <v>38076184</v>
      </c>
      <c r="O9" s="30">
        <v>16</v>
      </c>
      <c r="P9" s="31">
        <v>25312408</v>
      </c>
      <c r="Q9" s="32">
        <v>379375376</v>
      </c>
      <c r="R9" s="32">
        <v>35668352</v>
      </c>
      <c r="S9" s="32">
        <v>2407832</v>
      </c>
      <c r="T9" s="32">
        <v>341299192</v>
      </c>
      <c r="U9" s="33" t="s">
        <v>571</v>
      </c>
      <c r="V9" s="33" t="s">
        <v>571</v>
      </c>
      <c r="W9" s="33" t="s">
        <v>571</v>
      </c>
      <c r="X9" s="33" t="s">
        <v>571</v>
      </c>
      <c r="Y9" s="33" t="s">
        <v>571</v>
      </c>
      <c r="Z9" s="34">
        <v>828.14800000000002</v>
      </c>
      <c r="AA9" s="34">
        <v>6545.65</v>
      </c>
      <c r="AB9" s="34">
        <v>6.7229999999999999</v>
      </c>
      <c r="AC9" s="34">
        <v>33.834000000000003</v>
      </c>
      <c r="AE9" s="36">
        <f t="shared" si="7"/>
        <v>2.8068805444322106E-2</v>
      </c>
      <c r="AF9" s="29" t="str">
        <f t="shared" si="8"/>
        <v>·</v>
      </c>
      <c r="AG9" s="30" t="str">
        <f t="shared" si="9"/>
        <v>·</v>
      </c>
      <c r="AH9" s="30" t="str">
        <f t="shared" si="10"/>
        <v>·</v>
      </c>
      <c r="AI9" s="30" t="str">
        <f t="shared" si="11"/>
        <v>·</v>
      </c>
      <c r="AJ9" s="30" t="str">
        <f t="shared" si="12"/>
        <v>·</v>
      </c>
      <c r="AK9" s="27" t="str">
        <f t="shared" si="13"/>
        <v/>
      </c>
      <c r="AL9" s="30">
        <v>16</v>
      </c>
      <c r="AM9" s="31"/>
      <c r="AN9" s="32"/>
      <c r="AO9" s="32"/>
      <c r="AP9" s="32"/>
      <c r="AQ9" s="32"/>
      <c r="AR9" s="33"/>
      <c r="AS9" s="33"/>
      <c r="AT9" s="33"/>
      <c r="AU9" s="33"/>
      <c r="AV9" s="33"/>
      <c r="AW9" s="34"/>
      <c r="AX9" s="34"/>
      <c r="AY9" s="34"/>
      <c r="AZ9" s="34"/>
      <c r="BB9" s="35" t="e">
        <f t="shared" si="14"/>
        <v>#VALUE!</v>
      </c>
      <c r="BC9" s="35" t="e">
        <f t="shared" si="15"/>
        <v>#VALUE!</v>
      </c>
      <c r="BD9" s="35" t="e">
        <f t="shared" si="16"/>
        <v>#VALUE!</v>
      </c>
      <c r="BE9" s="35" t="e">
        <f t="shared" si="17"/>
        <v>#VALUE!</v>
      </c>
      <c r="BF9" s="36" t="e">
        <f t="shared" si="18"/>
        <v>#VALUE!</v>
      </c>
      <c r="BG9" s="36" t="e">
        <f t="array" ref="BG9">AVERAGE(AK9:AK9/AN9:AN9) - AVERAGE(N9:N9/Q9:Q9)</f>
        <v>#VALUE!</v>
      </c>
    </row>
    <row r="10" spans="1:59" collapsed="1">
      <c r="A10" s="18" t="s">
        <v>236</v>
      </c>
      <c r="B10" s="18" t="s">
        <v>75</v>
      </c>
      <c r="C10" s="18">
        <v>375422539</v>
      </c>
      <c r="D10" s="19">
        <v>11</v>
      </c>
      <c r="E10" s="19">
        <v>32</v>
      </c>
      <c r="F10" s="19">
        <v>30</v>
      </c>
      <c r="H10" s="26">
        <f t="shared" si="0"/>
        <v>4.2552256967387868E-2</v>
      </c>
      <c r="I10" s="20">
        <f t="shared" si="1"/>
        <v>853.66814250000004</v>
      </c>
      <c r="J10" s="21">
        <f t="shared" si="2"/>
        <v>2.4254786471411083</v>
      </c>
      <c r="K10" s="21">
        <f t="shared" si="3"/>
        <v>0.27627607089408129</v>
      </c>
      <c r="L10" s="21">
        <f t="shared" si="4"/>
        <v>0.26399395269126341</v>
      </c>
      <c r="M10" s="21">
        <f t="shared" si="5"/>
        <v>2.1492025762470273</v>
      </c>
      <c r="N10" s="18">
        <f t="shared" si="6"/>
        <v>103720264</v>
      </c>
      <c r="O10" s="21">
        <v>16</v>
      </c>
      <c r="P10" s="22">
        <v>92854683</v>
      </c>
      <c r="Q10" s="23">
        <v>910579352</v>
      </c>
      <c r="R10" s="23">
        <v>99109280</v>
      </c>
      <c r="S10" s="23">
        <v>4610984</v>
      </c>
      <c r="T10" s="23">
        <v>806859088</v>
      </c>
      <c r="U10" s="24" t="s">
        <v>571</v>
      </c>
      <c r="V10" s="24" t="s">
        <v>571</v>
      </c>
      <c r="W10" s="24" t="s">
        <v>571</v>
      </c>
      <c r="X10" s="24" t="s">
        <v>571</v>
      </c>
      <c r="Y10" s="24" t="s">
        <v>571</v>
      </c>
      <c r="Z10" s="25">
        <v>2329.15</v>
      </c>
      <c r="AA10" s="25">
        <v>19459.3</v>
      </c>
      <c r="AB10" s="25">
        <v>19.771999999999998</v>
      </c>
      <c r="AC10" s="25">
        <v>80.569000000000003</v>
      </c>
      <c r="AE10" s="26">
        <f t="shared" si="7"/>
        <v>4.2552256967387868E-2</v>
      </c>
      <c r="AF10" s="20" t="str">
        <f t="shared" si="8"/>
        <v>·</v>
      </c>
      <c r="AG10" s="21" t="str">
        <f t="shared" si="9"/>
        <v>·</v>
      </c>
      <c r="AH10" s="21" t="str">
        <f t="shared" si="10"/>
        <v>·</v>
      </c>
      <c r="AI10" s="21" t="str">
        <f t="shared" si="11"/>
        <v>·</v>
      </c>
      <c r="AJ10" s="21" t="str">
        <f t="shared" si="12"/>
        <v>·</v>
      </c>
      <c r="AK10" s="18" t="str">
        <f t="shared" si="13"/>
        <v/>
      </c>
      <c r="AL10" s="21">
        <v>16</v>
      </c>
      <c r="AM10" s="22"/>
      <c r="AN10" s="23"/>
      <c r="AO10" s="23"/>
      <c r="AP10" s="23"/>
      <c r="AQ10" s="23"/>
      <c r="AR10" s="24"/>
      <c r="AS10" s="24"/>
      <c r="AT10" s="24"/>
      <c r="AU10" s="24"/>
      <c r="AV10" s="24"/>
      <c r="AW10" s="25"/>
      <c r="AX10" s="25"/>
      <c r="AY10" s="25"/>
      <c r="AZ10" s="25"/>
      <c r="BB10" s="50" t="e">
        <f t="shared" si="14"/>
        <v>#VALUE!</v>
      </c>
      <c r="BC10" s="50" t="e">
        <f t="shared" si="15"/>
        <v>#VALUE!</v>
      </c>
      <c r="BD10" s="50" t="e">
        <f t="shared" si="16"/>
        <v>#VALUE!</v>
      </c>
      <c r="BE10" s="50" t="e">
        <f t="shared" si="17"/>
        <v>#VALUE!</v>
      </c>
      <c r="BF10" s="26" t="e">
        <f t="shared" si="18"/>
        <v>#VALUE!</v>
      </c>
      <c r="BG10" s="26" t="e">
        <f t="array" ref="BG10">AVERAGE(AK10:AK10/AN10:AN10) - AVERAGE(N10:N10/Q10:Q10)</f>
        <v>#VALUE!</v>
      </c>
    </row>
    <row r="11" spans="1:59" collapsed="1">
      <c r="A11" s="27"/>
      <c r="B11" s="27" t="s">
        <v>80</v>
      </c>
      <c r="C11" s="27">
        <v>333190689</v>
      </c>
      <c r="D11" s="28">
        <v>11</v>
      </c>
      <c r="E11" s="28">
        <v>32</v>
      </c>
      <c r="F11" s="28">
        <v>30</v>
      </c>
      <c r="H11" s="36">
        <f t="shared" si="0"/>
        <v>4.3732209192318398E-2</v>
      </c>
      <c r="I11" s="29">
        <f t="shared" si="1"/>
        <v>778.64662499999997</v>
      </c>
      <c r="J11" s="30">
        <f t="shared" si="2"/>
        <v>2.4927359239621487</v>
      </c>
      <c r="K11" s="30">
        <f t="shared" si="3"/>
        <v>0.29578766530297612</v>
      </c>
      <c r="L11" s="30">
        <f t="shared" si="4"/>
        <v>0.28154784361336099</v>
      </c>
      <c r="M11" s="30">
        <f t="shared" si="5"/>
        <v>2.1969482586591726</v>
      </c>
      <c r="N11" s="27">
        <f t="shared" si="6"/>
        <v>98553696</v>
      </c>
      <c r="O11" s="30">
        <v>16</v>
      </c>
      <c r="P11" s="31">
        <v>83104648</v>
      </c>
      <c r="Q11" s="32">
        <v>830556400</v>
      </c>
      <c r="R11" s="32">
        <v>93809120</v>
      </c>
      <c r="S11" s="32">
        <v>4744576</v>
      </c>
      <c r="T11" s="32">
        <v>732002704</v>
      </c>
      <c r="U11" s="33" t="s">
        <v>571</v>
      </c>
      <c r="V11" s="33" t="s">
        <v>571</v>
      </c>
      <c r="W11" s="33" t="s">
        <v>571</v>
      </c>
      <c r="X11" s="33" t="s">
        <v>571</v>
      </c>
      <c r="Y11" s="33" t="s">
        <v>571</v>
      </c>
      <c r="Z11" s="34">
        <v>1992.72</v>
      </c>
      <c r="AA11" s="34">
        <v>18256.599999999999</v>
      </c>
      <c r="AB11" s="34">
        <v>20.059999999999999</v>
      </c>
      <c r="AC11" s="34">
        <v>86.195999999999998</v>
      </c>
      <c r="AE11" s="36">
        <f t="shared" si="7"/>
        <v>4.3732209192318398E-2</v>
      </c>
      <c r="AF11" s="29" t="str">
        <f t="shared" si="8"/>
        <v>·</v>
      </c>
      <c r="AG11" s="30" t="str">
        <f t="shared" si="9"/>
        <v>·</v>
      </c>
      <c r="AH11" s="30" t="str">
        <f t="shared" si="10"/>
        <v>·</v>
      </c>
      <c r="AI11" s="30" t="str">
        <f t="shared" si="11"/>
        <v>·</v>
      </c>
      <c r="AJ11" s="30" t="str">
        <f t="shared" si="12"/>
        <v>·</v>
      </c>
      <c r="AK11" s="27" t="str">
        <f t="shared" si="13"/>
        <v/>
      </c>
      <c r="AL11" s="30">
        <v>16</v>
      </c>
      <c r="AM11" s="31"/>
      <c r="AN11" s="32"/>
      <c r="AO11" s="32"/>
      <c r="AP11" s="32"/>
      <c r="AQ11" s="32"/>
      <c r="AR11" s="33"/>
      <c r="AS11" s="33"/>
      <c r="AT11" s="33"/>
      <c r="AU11" s="33"/>
      <c r="AV11" s="33"/>
      <c r="AW11" s="34"/>
      <c r="AX11" s="34"/>
      <c r="AY11" s="34"/>
      <c r="AZ11" s="34"/>
      <c r="BB11" s="35" t="e">
        <f t="shared" si="14"/>
        <v>#VALUE!</v>
      </c>
      <c r="BC11" s="35" t="e">
        <f t="shared" si="15"/>
        <v>#VALUE!</v>
      </c>
      <c r="BD11" s="35" t="e">
        <f t="shared" si="16"/>
        <v>#VALUE!</v>
      </c>
      <c r="BE11" s="35" t="e">
        <f t="shared" si="17"/>
        <v>#VALUE!</v>
      </c>
      <c r="BF11" s="36" t="e">
        <f t="shared" si="18"/>
        <v>#VALUE!</v>
      </c>
      <c r="BG11" s="36" t="e">
        <f t="array" ref="BG11">AVERAGE(AK11:AK11/AN11:AN11) - AVERAGE(N11:N11/Q11:Q11)</f>
        <v>#VALUE!</v>
      </c>
    </row>
    <row r="12" spans="1:59" ht="16">
      <c r="B12" s="47" t="s">
        <v>14</v>
      </c>
      <c r="J12" s="48">
        <f>AVERAGE(J5:J8)</f>
        <v>1.0928767385783187</v>
      </c>
      <c r="K12" s="48">
        <f>AVERAGE(K5:K8)</f>
        <v>0.16485724382429862</v>
      </c>
      <c r="L12" s="48">
        <f>AVERAGE(L5:L8)</f>
        <v>0.15061955278392372</v>
      </c>
      <c r="M12" s="48">
        <f>AVERAGE(M5:M8)</f>
        <v>0.92801949475402012</v>
      </c>
      <c r="AG12" s="48" t="e">
        <f>AVERAGE(AG5:AG8)</f>
        <v>#DIV/0!</v>
      </c>
      <c r="AH12" s="48" t="e">
        <f>AVERAGE(AH5:AH8)</f>
        <v>#DIV/0!</v>
      </c>
      <c r="AI12" s="48" t="e">
        <f>AVERAGE(AI5:AI8)</f>
        <v>#DIV/0!</v>
      </c>
      <c r="AJ12" s="48" t="e">
        <f>AVERAGE(AJ5:AJ8)</f>
        <v>#DIV/0!</v>
      </c>
      <c r="BB12" s="52" t="e">
        <f t="shared" si="14"/>
        <v>#DIV/0!</v>
      </c>
      <c r="BC12" s="52" t="e">
        <f t="shared" si="15"/>
        <v>#DIV/0!</v>
      </c>
      <c r="BD12" s="52" t="e">
        <f t="shared" si="16"/>
        <v>#DIV/0!</v>
      </c>
      <c r="BE12" s="52" t="e">
        <f t="shared" si="17"/>
        <v>#DIV/0!</v>
      </c>
      <c r="BG12" s="55" t="e">
        <f>AVERAGE(BG5:BG8)</f>
        <v>#VALUE!</v>
      </c>
    </row>
    <row r="13" spans="1:59" ht="16">
      <c r="B13" s="47" t="s">
        <v>15</v>
      </c>
      <c r="J13" s="48">
        <f>AVERAGE(J9:J9)</f>
        <v>1.5157154939933937</v>
      </c>
      <c r="K13" s="48">
        <f>AVERAGE(K9:K9)</f>
        <v>0.15212548228471043</v>
      </c>
      <c r="L13" s="48">
        <f>AVERAGE(L9:L9)</f>
        <v>0.14250548979122529</v>
      </c>
      <c r="M13" s="48">
        <f>AVERAGE(M9:M9)</f>
        <v>1.3635900117086834</v>
      </c>
      <c r="AG13" s="48" t="e">
        <f>AVERAGE(AG9:AG9)</f>
        <v>#DIV/0!</v>
      </c>
      <c r="AH13" s="48" t="e">
        <f>AVERAGE(AH9:AH9)</f>
        <v>#DIV/0!</v>
      </c>
      <c r="AI13" s="48" t="e">
        <f>AVERAGE(AI9:AI9)</f>
        <v>#DIV/0!</v>
      </c>
      <c r="AJ13" s="48" t="e">
        <f>AVERAGE(AJ9:AJ9)</f>
        <v>#DIV/0!</v>
      </c>
      <c r="BB13" s="52" t="e">
        <f t="shared" si="14"/>
        <v>#DIV/0!</v>
      </c>
      <c r="BC13" s="52" t="e">
        <f t="shared" si="15"/>
        <v>#DIV/0!</v>
      </c>
      <c r="BD13" s="52" t="e">
        <f t="shared" si="16"/>
        <v>#DIV/0!</v>
      </c>
      <c r="BE13" s="52" t="e">
        <f t="shared" si="17"/>
        <v>#DIV/0!</v>
      </c>
      <c r="BG13" s="55" t="e">
        <f>AVERAGE(BG9:BG9)</f>
        <v>#VALUE!</v>
      </c>
    </row>
    <row r="14" spans="1:59" ht="16">
      <c r="B14" s="47" t="s">
        <v>16</v>
      </c>
      <c r="J14" s="48">
        <f>AVERAGE(J10:J11)</f>
        <v>2.4591072855516285</v>
      </c>
      <c r="K14" s="48">
        <f>AVERAGE(K10:K11)</f>
        <v>0.28603186809852871</v>
      </c>
      <c r="L14" s="48">
        <f>AVERAGE(L10:L11)</f>
        <v>0.2727708981523122</v>
      </c>
      <c r="M14" s="48">
        <f>AVERAGE(M10:M11)</f>
        <v>2.1730754174531</v>
      </c>
      <c r="AG14" s="48" t="e">
        <f>AVERAGE(AG10:AG11)</f>
        <v>#DIV/0!</v>
      </c>
      <c r="AH14" s="48" t="e">
        <f>AVERAGE(AH10:AH11)</f>
        <v>#DIV/0!</v>
      </c>
      <c r="AI14" s="48" t="e">
        <f>AVERAGE(AI10:AI11)</f>
        <v>#DIV/0!</v>
      </c>
      <c r="AJ14" s="48" t="e">
        <f>AVERAGE(AJ10:AJ11)</f>
        <v>#DIV/0!</v>
      </c>
      <c r="BB14" s="52" t="e">
        <f t="shared" si="14"/>
        <v>#DIV/0!</v>
      </c>
      <c r="BC14" s="52" t="e">
        <f t="shared" si="15"/>
        <v>#DIV/0!</v>
      </c>
      <c r="BD14" s="52" t="e">
        <f t="shared" si="16"/>
        <v>#DIV/0!</v>
      </c>
      <c r="BE14" s="52" t="e">
        <f t="shared" si="17"/>
        <v>#DIV/0!</v>
      </c>
      <c r="BG14" s="55" t="e">
        <f>AVERAGE(BG10:BG11)</f>
        <v>#VALUE!</v>
      </c>
    </row>
    <row r="15" spans="1:59" ht="16">
      <c r="B15" s="47" t="s">
        <v>17</v>
      </c>
      <c r="J15" s="48">
        <f>AVERAGE(J5:J11)</f>
        <v>1.5436338599157036</v>
      </c>
      <c r="K15" s="48">
        <f>AVERAGE(K5:K11)</f>
        <v>0.19765974196842317</v>
      </c>
      <c r="L15" s="48">
        <f>AVERAGE(L5:L11)</f>
        <v>0.18436078531879208</v>
      </c>
      <c r="M15" s="48">
        <f>AVERAGE(M5:M11)</f>
        <v>1.3459741179472806</v>
      </c>
      <c r="AG15" s="48" t="e">
        <f>AVERAGE(AG5:AG11)</f>
        <v>#DIV/0!</v>
      </c>
      <c r="AH15" s="48" t="e">
        <f>AVERAGE(AH5:AH11)</f>
        <v>#DIV/0!</v>
      </c>
      <c r="AI15" s="48" t="e">
        <f>AVERAGE(AI5:AI11)</f>
        <v>#DIV/0!</v>
      </c>
      <c r="AJ15" s="48" t="e">
        <f>AVERAGE(AJ5:AJ11)</f>
        <v>#DIV/0!</v>
      </c>
      <c r="BB15" s="52" t="e">
        <f t="shared" si="14"/>
        <v>#DIV/0!</v>
      </c>
      <c r="BC15" s="52" t="e">
        <f t="shared" si="15"/>
        <v>#DIV/0!</v>
      </c>
      <c r="BD15" s="52" t="e">
        <f t="shared" si="16"/>
        <v>#DIV/0!</v>
      </c>
      <c r="BE15" s="52" t="e">
        <f t="shared" si="17"/>
        <v>#DIV/0!</v>
      </c>
      <c r="BG15" s="55" t="e">
        <f>AVERAGE(BG5:BG11)</f>
        <v>#VALUE!</v>
      </c>
    </row>
    <row r="16" spans="1:59" ht="16" hidden="1" outlineLevel="2">
      <c r="A16" s="47" t="s">
        <v>237</v>
      </c>
      <c r="B16" s="47" t="s">
        <v>238</v>
      </c>
      <c r="Z16" s="49">
        <f>SUM(Z5:Z8,Z9:Z9,Z10:Z11)</f>
        <v>13032.157999999999</v>
      </c>
      <c r="AA16" s="49">
        <f>SUM(AA5:AA8,AA9:AA9,AA10:AA11)</f>
        <v>69791.53</v>
      </c>
      <c r="AB16" s="49">
        <f>SUM(AB5:AB8,AB9:AB9,AB10:AB11)</f>
        <v>72.631</v>
      </c>
      <c r="AC16" s="49">
        <f>SUM(AC5:AC8,AC9:AC9,AC10:AC11)</f>
        <v>312.70299999999997</v>
      </c>
      <c r="AW16" s="49">
        <f>SUM(AW5:AW8,AW9:AW9,AW10:AW11)</f>
        <v>0</v>
      </c>
      <c r="AX16" s="49">
        <f>SUM(AX5:AX8,AX9:AX9,AX10:AX11)</f>
        <v>0</v>
      </c>
      <c r="AY16" s="49">
        <f>SUM(AY5:AY8,AY9:AY9,AY10:AY11)</f>
        <v>0</v>
      </c>
      <c r="AZ16" s="49">
        <f>SUM(AZ5:AZ8,AZ9:AZ9,AZ10:AZ11)</f>
        <v>0</v>
      </c>
    </row>
    <row r="17" spans="2:52" ht="16" hidden="1" outlineLevel="2">
      <c r="B17" s="47" t="s">
        <v>239</v>
      </c>
      <c r="AW17" s="55">
        <f>AW16/Z16</f>
        <v>0</v>
      </c>
      <c r="AX17" s="55">
        <f>AX16/AA16</f>
        <v>0</v>
      </c>
      <c r="AY17" s="55">
        <f>AY16/AB16</f>
        <v>0</v>
      </c>
      <c r="AZ17" s="55">
        <f>AZ16/AC16</f>
        <v>0</v>
      </c>
    </row>
    <row r="18" spans="2:52" ht="16" hidden="1" outlineLevel="2">
      <c r="B18" s="47" t="s">
        <v>240</v>
      </c>
      <c r="Z18" s="49">
        <f>GEOMEAN(Z5:Z8,Z9:Z9,Z10:Z11)</f>
        <v>1768.4217669538757</v>
      </c>
      <c r="AA18" s="49">
        <f>GEOMEAN(AA5:AA8,AA9:AA9,AA10:AA11)</f>
        <v>8684.9624882108419</v>
      </c>
      <c r="AB18" s="49">
        <f>GEOMEAN(AB5:AB8,AB9:AB9,AB10:AB11)</f>
        <v>8.9508110183693184</v>
      </c>
      <c r="AC18" s="49">
        <f>GEOMEAN(AC5:AC8,AC9:AC9,AC10:AC11)</f>
        <v>39.214711049575868</v>
      </c>
      <c r="AW18" s="49" t="e">
        <f>GEOMEAN(AW5:AW8,AW9:AW9,AW10:AW11)</f>
        <v>#NUM!</v>
      </c>
      <c r="AX18" s="49" t="e">
        <f>GEOMEAN(AX5:AX8,AX9:AX9,AX10:AX11)</f>
        <v>#NUM!</v>
      </c>
      <c r="AY18" s="49" t="e">
        <f>GEOMEAN(AY5:AY8,AY9:AY9,AY10:AY11)</f>
        <v>#NUM!</v>
      </c>
      <c r="AZ18" s="49" t="e">
        <f>GEOMEAN(AZ5:AZ8,AZ9:AZ9,AZ10:AZ11)</f>
        <v>#NUM!</v>
      </c>
    </row>
    <row r="19" spans="2:52" ht="16" outlineLevel="2" collapsed="1">
      <c r="B19" s="47" t="s">
        <v>241</v>
      </c>
      <c r="AW19" s="55" t="e">
        <f>AW18/Z18</f>
        <v>#NUM!</v>
      </c>
      <c r="AX19" s="55" t="e">
        <f>AX18/AA18</f>
        <v>#NUM!</v>
      </c>
      <c r="AY19" s="55" t="e">
        <f>AY18/AB18</f>
        <v>#NUM!</v>
      </c>
      <c r="AZ19" s="55" t="e">
        <f>AZ18/AC18</f>
        <v>#NUM!</v>
      </c>
    </row>
  </sheetData>
  <mergeCells count="34">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 ref="AE2:AE3"/>
    <mergeCell ref="AF2:AF3"/>
    <mergeCell ref="AG2:AJ2"/>
    <mergeCell ref="O2:O3"/>
    <mergeCell ref="P2:P3"/>
    <mergeCell ref="Q2:T2"/>
    <mergeCell ref="U2:V2"/>
    <mergeCell ref="W2:Y2"/>
    <mergeCell ref="F2:F3"/>
    <mergeCell ref="H2:H3"/>
    <mergeCell ref="I2:I3"/>
    <mergeCell ref="J2:M2"/>
    <mergeCell ref="N2:N3"/>
    <mergeCell ref="A2:A3"/>
    <mergeCell ref="B2:B3"/>
    <mergeCell ref="C2:C3"/>
    <mergeCell ref="D2:D3"/>
    <mergeCell ref="E2:E3"/>
  </mergeCells>
  <conditionalFormatting sqref="BB5 BB6 BB7 BB8 BB9 BB10 BB11 BB12 BB13 BB14 BB15">
    <cfRule type="cellIs" dxfId="37" priority="3" operator="greaterThanOrEqual">
      <formula>1.03</formula>
    </cfRule>
    <cfRule type="cellIs" dxfId="36" priority="4" operator="lessThanOrEqual">
      <formula>0.97</formula>
    </cfRule>
  </conditionalFormatting>
  <conditionalFormatting sqref="BC5 BC6 BC7 BC8 BC9 BC10 BC11 BC12 BC13 BC14 BC15">
    <cfRule type="cellIs" dxfId="35" priority="7" operator="greaterThanOrEqual">
      <formula>1.03</formula>
    </cfRule>
    <cfRule type="cellIs" dxfId="34" priority="8" operator="lessThanOrEqual">
      <formula>0.97</formula>
    </cfRule>
  </conditionalFormatting>
  <conditionalFormatting sqref="BD5 BD6 BD7 BD8 BD9 BD10 BD11 BD12 BD13 BD14 BD15">
    <cfRule type="cellIs" dxfId="33" priority="1" operator="greaterThanOrEqual">
      <formula>1.03</formula>
    </cfRule>
    <cfRule type="cellIs" dxfId="32" priority="2" operator="lessThanOrEqual">
      <formula>0.97</formula>
    </cfRule>
  </conditionalFormatting>
  <conditionalFormatting sqref="BE5 BE6 BE7 BE8 BE9 BE10 BE11 BE12 BE13 BE14 BE15">
    <cfRule type="cellIs" dxfId="31" priority="5" operator="greaterThanOrEqual">
      <formula>1.03</formula>
    </cfRule>
    <cfRule type="cellIs" dxfId="30" priority="6" operator="lessThanOrEqual">
      <formula>0.97</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outlinePr summaryBelow="0"/>
  </sheetPr>
  <dimension ref="A1:BH19"/>
  <sheetViews>
    <sheetView zoomScale="55" zoomScaleNormal="55" workbookViewId="0">
      <pane xSplit="2" ySplit="4" topLeftCell="Q5" activePane="bottomRight" state="frozen"/>
      <selection pane="topRight" activeCell="C1" sqref="C1"/>
      <selection pane="bottomLeft" activeCell="A5" sqref="A5"/>
      <selection pane="bottomRight" activeCell="AB36" sqref="AB36"/>
    </sheetView>
  </sheetViews>
  <sheetFormatPr baseColWidth="10" defaultColWidth="8.83203125" defaultRowHeight="15" outlineLevelRow="2"/>
  <cols>
    <col min="2" max="2" width="24.6640625" style="53" customWidth="1"/>
    <col min="3" max="4" width="10.6640625" style="53" customWidth="1"/>
    <col min="7" max="7" width="1.6640625" style="53" customWidth="1"/>
    <col min="10" max="13" width="10.6640625" style="53" customWidth="1"/>
    <col min="14" max="14" width="24.6640625" style="53" hidden="1" customWidth="1"/>
    <col min="15" max="15" width="12.6640625" style="53" customWidth="1"/>
    <col min="16" max="16" width="10.6640625" style="53" customWidth="1"/>
    <col min="17" max="20" width="12.6640625" style="53" customWidth="1"/>
    <col min="21" max="25" width="11.6640625" style="53" customWidth="1"/>
    <col min="30" max="30" width="1.6640625" style="53" customWidth="1"/>
    <col min="33" max="36" width="10.6640625" style="53" customWidth="1"/>
    <col min="37" max="37" width="24.6640625" style="53" hidden="1" customWidth="1"/>
    <col min="38" max="38" width="12.6640625" style="53" customWidth="1"/>
    <col min="39" max="39" width="10.6640625" style="53" customWidth="1"/>
    <col min="40" max="43" width="12.6640625" style="53" customWidth="1"/>
    <col min="44" max="48" width="11.6640625" style="53" customWidth="1"/>
    <col min="53" max="53" width="1.6640625" style="53" customWidth="1"/>
    <col min="60" max="60" width="1.6640625" style="53" customWidth="1"/>
  </cols>
  <sheetData>
    <row r="1" spans="1:59">
      <c r="A1" s="94" t="s">
        <v>572</v>
      </c>
      <c r="B1" s="80"/>
      <c r="C1" s="80"/>
      <c r="D1" s="80"/>
      <c r="E1" s="80"/>
      <c r="F1" s="80"/>
      <c r="H1" s="79" t="str">
        <f>Summary!$C$1</f>
        <v>ALL_master+r90</v>
      </c>
      <c r="I1" s="80"/>
      <c r="J1" s="80"/>
      <c r="K1" s="80"/>
      <c r="L1" s="80"/>
      <c r="M1" s="80"/>
      <c r="N1" s="80"/>
      <c r="O1" s="80"/>
      <c r="P1" s="80"/>
      <c r="Q1" s="80"/>
      <c r="R1" s="80"/>
      <c r="S1" s="80"/>
      <c r="T1" s="80"/>
      <c r="U1" s="80"/>
      <c r="V1" s="80"/>
      <c r="W1" s="80"/>
      <c r="X1" s="80"/>
      <c r="Y1" s="80"/>
      <c r="Z1" s="80"/>
      <c r="AA1" s="80"/>
      <c r="AB1" s="80"/>
      <c r="AC1" s="80"/>
      <c r="AE1" s="81">
        <f>Summary!$C$2</f>
        <v>0</v>
      </c>
      <c r="AF1" s="80"/>
      <c r="AG1" s="80"/>
      <c r="AH1" s="80"/>
      <c r="AI1" s="80"/>
      <c r="AJ1" s="80"/>
      <c r="AK1" s="80"/>
      <c r="AL1" s="80"/>
      <c r="AM1" s="80"/>
      <c r="AN1" s="80"/>
      <c r="AO1" s="80"/>
      <c r="AP1" s="80"/>
      <c r="AQ1" s="80"/>
      <c r="AR1" s="80"/>
      <c r="AS1" s="80"/>
      <c r="AT1" s="80"/>
      <c r="AU1" s="80"/>
      <c r="AV1" s="80"/>
      <c r="AW1" s="80"/>
      <c r="AX1" s="80"/>
      <c r="AY1" s="80"/>
      <c r="AZ1" s="80"/>
    </row>
    <row r="2" spans="1:59" ht="30" customHeight="1">
      <c r="A2" s="90" t="s">
        <v>137</v>
      </c>
      <c r="B2" s="91" t="s">
        <v>138</v>
      </c>
      <c r="C2" s="90" t="s">
        <v>140</v>
      </c>
      <c r="D2" s="91" t="s">
        <v>141</v>
      </c>
      <c r="E2" s="90" t="s">
        <v>142</v>
      </c>
      <c r="F2" s="91" t="s">
        <v>143</v>
      </c>
      <c r="H2" s="90" t="s">
        <v>565</v>
      </c>
      <c r="I2" s="91" t="s">
        <v>144</v>
      </c>
      <c r="J2" s="93" t="s">
        <v>145</v>
      </c>
      <c r="K2" s="80"/>
      <c r="L2" s="80"/>
      <c r="M2" s="80"/>
      <c r="N2" s="90" t="s">
        <v>146</v>
      </c>
      <c r="O2" s="91" t="s">
        <v>147</v>
      </c>
      <c r="P2" s="90" t="s">
        <v>84</v>
      </c>
      <c r="Q2" s="92" t="s">
        <v>148</v>
      </c>
      <c r="R2" s="80"/>
      <c r="S2" s="80"/>
      <c r="T2" s="80"/>
      <c r="U2" s="93" t="s">
        <v>149</v>
      </c>
      <c r="V2" s="80"/>
      <c r="W2" s="92" t="s">
        <v>150</v>
      </c>
      <c r="X2" s="80"/>
      <c r="Y2" s="80"/>
      <c r="Z2" s="93" t="s">
        <v>151</v>
      </c>
      <c r="AA2" s="80"/>
      <c r="AB2" s="92" t="s">
        <v>152</v>
      </c>
      <c r="AC2" s="80"/>
      <c r="AE2" s="90" t="s">
        <v>565</v>
      </c>
      <c r="AF2" s="91" t="s">
        <v>144</v>
      </c>
      <c r="AG2" s="93" t="s">
        <v>145</v>
      </c>
      <c r="AH2" s="80"/>
      <c r="AI2" s="80"/>
      <c r="AJ2" s="80"/>
      <c r="AK2" s="90" t="s">
        <v>153</v>
      </c>
      <c r="AL2" s="91" t="s">
        <v>147</v>
      </c>
      <c r="AM2" s="90" t="s">
        <v>84</v>
      </c>
      <c r="AN2" s="92" t="s">
        <v>148</v>
      </c>
      <c r="AO2" s="80"/>
      <c r="AP2" s="80"/>
      <c r="AQ2" s="80"/>
      <c r="AR2" s="93" t="s">
        <v>149</v>
      </c>
      <c r="AS2" s="80"/>
      <c r="AT2" s="92" t="s">
        <v>150</v>
      </c>
      <c r="AU2" s="80"/>
      <c r="AV2" s="80"/>
      <c r="AW2" s="93" t="s">
        <v>151</v>
      </c>
      <c r="AX2" s="80"/>
      <c r="AY2" s="92" t="s">
        <v>152</v>
      </c>
      <c r="AZ2" s="80"/>
      <c r="BB2" s="93" t="s">
        <v>22</v>
      </c>
      <c r="BC2" s="80"/>
      <c r="BD2" s="80"/>
      <c r="BE2" s="80"/>
      <c r="BF2" s="91" t="s">
        <v>156</v>
      </c>
      <c r="BG2" s="90" t="s">
        <v>156</v>
      </c>
    </row>
    <row r="3" spans="1:59" ht="29" customHeight="1">
      <c r="A3" s="83"/>
      <c r="B3" s="83"/>
      <c r="C3" s="83"/>
      <c r="D3" s="83"/>
      <c r="E3" s="83"/>
      <c r="F3" s="83"/>
      <c r="H3" s="83"/>
      <c r="I3" s="83"/>
      <c r="J3" s="56" t="s">
        <v>25</v>
      </c>
      <c r="K3" s="56" t="s">
        <v>23</v>
      </c>
      <c r="L3" s="56" t="s">
        <v>157</v>
      </c>
      <c r="M3" s="56" t="s">
        <v>158</v>
      </c>
      <c r="N3" s="83"/>
      <c r="O3" s="83"/>
      <c r="P3" s="83"/>
      <c r="Q3" s="57" t="s">
        <v>25</v>
      </c>
      <c r="R3" s="57" t="s">
        <v>157</v>
      </c>
      <c r="S3" s="57" t="s">
        <v>159</v>
      </c>
      <c r="T3" s="57" t="s">
        <v>24</v>
      </c>
      <c r="U3" s="56" t="s">
        <v>9</v>
      </c>
      <c r="V3" s="56" t="s">
        <v>10</v>
      </c>
      <c r="W3" s="57" t="s">
        <v>11</v>
      </c>
      <c r="X3" s="57" t="s">
        <v>12</v>
      </c>
      <c r="Y3" s="57" t="s">
        <v>13</v>
      </c>
      <c r="Z3" s="56" t="s">
        <v>160</v>
      </c>
      <c r="AA3" s="56" t="s">
        <v>161</v>
      </c>
      <c r="AB3" s="57" t="s">
        <v>160</v>
      </c>
      <c r="AC3" s="57" t="s">
        <v>161</v>
      </c>
      <c r="AE3" s="83"/>
      <c r="AF3" s="83"/>
      <c r="AG3" s="56" t="s">
        <v>25</v>
      </c>
      <c r="AH3" s="56" t="s">
        <v>23</v>
      </c>
      <c r="AI3" s="56" t="s">
        <v>157</v>
      </c>
      <c r="AJ3" s="56" t="s">
        <v>158</v>
      </c>
      <c r="AK3" s="83"/>
      <c r="AL3" s="83"/>
      <c r="AM3" s="83"/>
      <c r="AN3" s="57" t="s">
        <v>25</v>
      </c>
      <c r="AO3" s="57" t="s">
        <v>157</v>
      </c>
      <c r="AP3" s="57" t="s">
        <v>159</v>
      </c>
      <c r="AQ3" s="57" t="s">
        <v>24</v>
      </c>
      <c r="AR3" s="56" t="s">
        <v>9</v>
      </c>
      <c r="AS3" s="56" t="s">
        <v>10</v>
      </c>
      <c r="AT3" s="57" t="s">
        <v>11</v>
      </c>
      <c r="AU3" s="57" t="s">
        <v>12</v>
      </c>
      <c r="AV3" s="57" t="s">
        <v>13</v>
      </c>
      <c r="AW3" s="56" t="s">
        <v>160</v>
      </c>
      <c r="AX3" s="56" t="s">
        <v>161</v>
      </c>
      <c r="AY3" s="57" t="s">
        <v>160</v>
      </c>
      <c r="AZ3" s="57" t="s">
        <v>161</v>
      </c>
      <c r="BB3" s="56" t="s">
        <v>25</v>
      </c>
      <c r="BC3" s="56" t="s">
        <v>23</v>
      </c>
      <c r="BD3" s="56" t="s">
        <v>157</v>
      </c>
      <c r="BE3" s="56" t="s">
        <v>24</v>
      </c>
      <c r="BF3" s="83"/>
      <c r="BG3" s="83"/>
    </row>
    <row r="4" spans="1:59" ht="123" hidden="1" customHeight="1">
      <c r="A4" s="8" t="s">
        <v>162</v>
      </c>
      <c r="B4" s="9" t="s">
        <v>163</v>
      </c>
      <c r="C4" s="8" t="s">
        <v>165</v>
      </c>
      <c r="D4" s="9" t="s">
        <v>166</v>
      </c>
      <c r="E4" s="8" t="s">
        <v>167</v>
      </c>
      <c r="F4" s="9" t="s">
        <v>168</v>
      </c>
      <c r="H4" s="8" t="s">
        <v>566</v>
      </c>
      <c r="I4" s="9" t="s">
        <v>169</v>
      </c>
      <c r="J4" s="8" t="s">
        <v>170</v>
      </c>
      <c r="K4" s="8" t="s">
        <v>171</v>
      </c>
      <c r="L4" s="8" t="s">
        <v>172</v>
      </c>
      <c r="M4" s="8" t="s">
        <v>173</v>
      </c>
      <c r="N4" s="8" t="s">
        <v>174</v>
      </c>
      <c r="O4" s="9" t="s">
        <v>175</v>
      </c>
      <c r="P4" s="8" t="s">
        <v>176</v>
      </c>
      <c r="Q4" s="9" t="s">
        <v>179</v>
      </c>
      <c r="R4" s="9" t="s">
        <v>180</v>
      </c>
      <c r="S4" s="9" t="s">
        <v>181</v>
      </c>
      <c r="T4" s="9" t="s">
        <v>182</v>
      </c>
      <c r="U4" s="8" t="s">
        <v>183</v>
      </c>
      <c r="V4" s="8" t="s">
        <v>184</v>
      </c>
      <c r="W4" s="9" t="s">
        <v>185</v>
      </c>
      <c r="X4" s="9" t="s">
        <v>186</v>
      </c>
      <c r="Y4" s="9" t="s">
        <v>187</v>
      </c>
      <c r="Z4" s="8" t="s">
        <v>188</v>
      </c>
      <c r="AA4" s="8" t="s">
        <v>189</v>
      </c>
      <c r="AB4" s="9" t="s">
        <v>190</v>
      </c>
      <c r="AC4" s="9" t="s">
        <v>191</v>
      </c>
      <c r="AE4" s="8" t="s">
        <v>567</v>
      </c>
      <c r="AF4" s="9" t="s">
        <v>192</v>
      </c>
      <c r="AG4" s="8" t="s">
        <v>193</v>
      </c>
      <c r="AH4" s="8" t="s">
        <v>194</v>
      </c>
      <c r="AI4" s="8" t="s">
        <v>195</v>
      </c>
      <c r="AJ4" s="8" t="s">
        <v>196</v>
      </c>
      <c r="AK4" s="8" t="s">
        <v>197</v>
      </c>
      <c r="AL4" s="9" t="s">
        <v>198</v>
      </c>
      <c r="AM4" s="8" t="s">
        <v>199</v>
      </c>
      <c r="AN4" s="9" t="s">
        <v>202</v>
      </c>
      <c r="AO4" s="9" t="s">
        <v>203</v>
      </c>
      <c r="AP4" s="9" t="s">
        <v>204</v>
      </c>
      <c r="AQ4" s="9" t="s">
        <v>205</v>
      </c>
      <c r="AR4" s="8" t="s">
        <v>206</v>
      </c>
      <c r="AS4" s="8" t="s">
        <v>207</v>
      </c>
      <c r="AT4" s="9" t="s">
        <v>208</v>
      </c>
      <c r="AU4" s="9" t="s">
        <v>209</v>
      </c>
      <c r="AV4" s="9" t="s">
        <v>210</v>
      </c>
      <c r="AW4" s="8" t="s">
        <v>211</v>
      </c>
      <c r="AX4" s="8" t="s">
        <v>212</v>
      </c>
      <c r="AY4" s="9" t="s">
        <v>213</v>
      </c>
      <c r="AZ4" s="9" t="s">
        <v>214</v>
      </c>
      <c r="BB4" s="8" t="s">
        <v>568</v>
      </c>
      <c r="BC4" s="8" t="s">
        <v>215</v>
      </c>
      <c r="BD4" s="8" t="s">
        <v>569</v>
      </c>
      <c r="BE4" s="8" t="s">
        <v>570</v>
      </c>
      <c r="BF4" s="9" t="s">
        <v>217</v>
      </c>
      <c r="BG4" s="8" t="s">
        <v>218</v>
      </c>
    </row>
    <row r="5" spans="1:59" collapsed="1">
      <c r="A5" s="54" t="s">
        <v>229</v>
      </c>
      <c r="B5" s="54" t="s">
        <v>49</v>
      </c>
      <c r="C5" s="54">
        <v>238146391</v>
      </c>
      <c r="D5" s="10">
        <v>10</v>
      </c>
      <c r="E5" s="10">
        <v>32</v>
      </c>
      <c r="F5" s="10">
        <v>30</v>
      </c>
      <c r="H5" s="17">
        <f t="shared" ref="H5:H11" si="0">IF(ISBLANK(Q5),"·",Q5/(C5*(D5*3+IF(AND(ISNUMBER(T5),T5&gt;0),24,0))))</f>
        <v>1.7166183268309921E-2</v>
      </c>
      <c r="I5" s="11">
        <f t="shared" ref="I5:I11" si="1">IF(OR(ISBLANK(Q5),ISBLANK(F5)),"·",Q5*F5/E5/1000000)</f>
        <v>206.95827</v>
      </c>
      <c r="J5" s="12">
        <f t="shared" ref="J5:J11" si="2">IF(ISBLANK(Q5),"·",Q5/C5)</f>
        <v>0.92697389648873574</v>
      </c>
      <c r="K5" s="12">
        <f t="shared" ref="K5:K11" si="3">IF(N5="","·",N5/C5)</f>
        <v>0.14288431521937278</v>
      </c>
      <c r="L5" s="12">
        <f t="shared" ref="L5:L11" si="4">IF(R5="","·",R5/C5)</f>
        <v>0.13400974025258269</v>
      </c>
      <c r="M5" s="12">
        <f t="shared" ref="M5:M11" si="5">IF(ISBLANK(T5),"·",T5/C5)</f>
        <v>0.78408958126936301</v>
      </c>
      <c r="N5" s="54">
        <f t="shared" ref="N5:N11" si="6">IF(OR(ISBLANK(R5),ISBLANK(S5)),"",R5+S5)</f>
        <v>34027384</v>
      </c>
      <c r="O5" s="12">
        <v>16</v>
      </c>
      <c r="P5" s="13">
        <v>24964341</v>
      </c>
      <c r="Q5" s="14">
        <v>220755488</v>
      </c>
      <c r="R5" s="14">
        <v>31913936</v>
      </c>
      <c r="S5" s="14">
        <v>2113448</v>
      </c>
      <c r="T5" s="14">
        <v>186728104</v>
      </c>
      <c r="U5" s="15" t="s">
        <v>571</v>
      </c>
      <c r="V5" s="15" t="s">
        <v>571</v>
      </c>
      <c r="W5" s="15" t="s">
        <v>571</v>
      </c>
      <c r="X5" s="15" t="s">
        <v>571</v>
      </c>
      <c r="Y5" s="15" t="s">
        <v>571</v>
      </c>
      <c r="Z5" s="16">
        <v>1715.76</v>
      </c>
      <c r="AA5" s="16">
        <v>7879.85</v>
      </c>
      <c r="AB5" s="16">
        <v>6.0250000000000004</v>
      </c>
      <c r="AC5" s="16">
        <v>26.052</v>
      </c>
      <c r="AE5" s="17">
        <f t="shared" ref="AE5:AE11" si="7">IF(ISBLANK(Q5),"·",Q5/(C5*(D5*3+IF(AND(ISNUMBER(T5),T5&gt;0),24,0))))</f>
        <v>1.7166183268309921E-2</v>
      </c>
      <c r="AF5" s="11" t="str">
        <f t="shared" ref="AF5:AF11" si="8">IF(OR(ISBLANK(AN5),ISBLANK(F5)),"·",AN5*F5/E5/1000000)</f>
        <v>·</v>
      </c>
      <c r="AG5" s="12" t="str">
        <f t="shared" ref="AG5:AG11" si="9">IF(ISBLANK(AN5),"·",AN5/C5)</f>
        <v>·</v>
      </c>
      <c r="AH5" s="12" t="str">
        <f t="shared" ref="AH5:AH11" si="10">IF(AK5="","·",AK5/C5)</f>
        <v>·</v>
      </c>
      <c r="AI5" s="12" t="str">
        <f t="shared" ref="AI5:AI11" si="11">IF(AO5="","·",AO5/C5)</f>
        <v>·</v>
      </c>
      <c r="AJ5" s="12" t="str">
        <f t="shared" ref="AJ5:AJ11" si="12">IF(ISBLANK(AQ5),"·",AQ5/C5)</f>
        <v>·</v>
      </c>
      <c r="AK5" s="54" t="str">
        <f t="shared" ref="AK5:AK11" si="13">IF(OR(ISBLANK(AO5),ISBLANK(AP5)),"",AO5+AP5)</f>
        <v/>
      </c>
      <c r="AL5" s="12">
        <v>16</v>
      </c>
      <c r="AM5" s="13"/>
      <c r="AN5" s="14"/>
      <c r="AO5" s="14"/>
      <c r="AP5" s="14"/>
      <c r="AQ5" s="14"/>
      <c r="AR5" s="15"/>
      <c r="AS5" s="15"/>
      <c r="AT5" s="15"/>
      <c r="AU5" s="15"/>
      <c r="AV5" s="15"/>
      <c r="AW5" s="16"/>
      <c r="AX5" s="16"/>
      <c r="AY5" s="16"/>
      <c r="AZ5" s="16"/>
      <c r="BB5" s="51" t="e">
        <f t="shared" ref="BB5:BB15" si="14">AG5/J5</f>
        <v>#VALUE!</v>
      </c>
      <c r="BC5" s="51" t="e">
        <f t="shared" ref="BC5:BC15" si="15">AH5/K5</f>
        <v>#VALUE!</v>
      </c>
      <c r="BD5" s="51" t="e">
        <f t="shared" ref="BD5:BD15" si="16">AI5/L5</f>
        <v>#VALUE!</v>
      </c>
      <c r="BE5" s="51" t="e">
        <f t="shared" ref="BE5:BE15" si="17">AJ5/M5</f>
        <v>#VALUE!</v>
      </c>
      <c r="BF5" s="17" t="e">
        <f t="shared" ref="BF5:BF11" si="18">(AK5/AN5) - (N5/Q5)</f>
        <v>#VALUE!</v>
      </c>
      <c r="BG5" s="17" t="e">
        <f t="array" ref="BG5">AVERAGE(AK5:AK5/AN5:AN5) - AVERAGE(N5:N5/Q5:Q5)</f>
        <v>#VALUE!</v>
      </c>
    </row>
    <row r="6" spans="1:59" collapsed="1">
      <c r="A6" s="18"/>
      <c r="B6" s="18" t="s">
        <v>57</v>
      </c>
      <c r="C6" s="18">
        <v>218121242</v>
      </c>
      <c r="D6" s="19">
        <v>10</v>
      </c>
      <c r="E6" s="19">
        <v>32</v>
      </c>
      <c r="F6" s="19">
        <v>30</v>
      </c>
      <c r="H6" s="26">
        <f t="shared" si="0"/>
        <v>2.455482143343081E-2</v>
      </c>
      <c r="I6" s="20">
        <f t="shared" si="1"/>
        <v>271.14386250000001</v>
      </c>
      <c r="J6" s="21">
        <f t="shared" si="2"/>
        <v>1.3259603574052636</v>
      </c>
      <c r="K6" s="21">
        <f t="shared" si="3"/>
        <v>0.17646534398515848</v>
      </c>
      <c r="L6" s="21">
        <f t="shared" si="4"/>
        <v>0.16081034418463472</v>
      </c>
      <c r="M6" s="21">
        <f t="shared" si="5"/>
        <v>1.1494950134201052</v>
      </c>
      <c r="N6" s="18">
        <f t="shared" si="6"/>
        <v>38490840</v>
      </c>
      <c r="O6" s="21">
        <v>16</v>
      </c>
      <c r="P6" s="22">
        <v>22654789</v>
      </c>
      <c r="Q6" s="23">
        <v>289220120</v>
      </c>
      <c r="R6" s="23">
        <v>35076152</v>
      </c>
      <c r="S6" s="23">
        <v>3414688</v>
      </c>
      <c r="T6" s="23">
        <v>250729280</v>
      </c>
      <c r="U6" s="24" t="s">
        <v>571</v>
      </c>
      <c r="V6" s="24" t="s">
        <v>571</v>
      </c>
      <c r="W6" s="24" t="s">
        <v>571</v>
      </c>
      <c r="X6" s="24" t="s">
        <v>571</v>
      </c>
      <c r="Y6" s="24" t="s">
        <v>571</v>
      </c>
      <c r="Z6" s="25">
        <v>1565.55</v>
      </c>
      <c r="AA6" s="25">
        <v>9835.27</v>
      </c>
      <c r="AB6" s="25">
        <v>5.4950000000000001</v>
      </c>
      <c r="AC6" s="25">
        <v>27.1</v>
      </c>
      <c r="AE6" s="26">
        <f t="shared" si="7"/>
        <v>2.455482143343081E-2</v>
      </c>
      <c r="AF6" s="20" t="str">
        <f t="shared" si="8"/>
        <v>·</v>
      </c>
      <c r="AG6" s="21" t="str">
        <f t="shared" si="9"/>
        <v>·</v>
      </c>
      <c r="AH6" s="21" t="str">
        <f t="shared" si="10"/>
        <v>·</v>
      </c>
      <c r="AI6" s="21" t="str">
        <f t="shared" si="11"/>
        <v>·</v>
      </c>
      <c r="AJ6" s="21" t="str">
        <f t="shared" si="12"/>
        <v>·</v>
      </c>
      <c r="AK6" s="18" t="str">
        <f t="shared" si="13"/>
        <v/>
      </c>
      <c r="AL6" s="21">
        <v>16</v>
      </c>
      <c r="AM6" s="22"/>
      <c r="AN6" s="23"/>
      <c r="AO6" s="23"/>
      <c r="AP6" s="23"/>
      <c r="AQ6" s="23"/>
      <c r="AR6" s="24"/>
      <c r="AS6" s="24"/>
      <c r="AT6" s="24"/>
      <c r="AU6" s="24"/>
      <c r="AV6" s="24"/>
      <c r="AW6" s="25"/>
      <c r="AX6" s="25"/>
      <c r="AY6" s="25"/>
      <c r="AZ6" s="25"/>
      <c r="BB6" s="50" t="e">
        <f t="shared" si="14"/>
        <v>#VALUE!</v>
      </c>
      <c r="BC6" s="50" t="e">
        <f t="shared" si="15"/>
        <v>#VALUE!</v>
      </c>
      <c r="BD6" s="50" t="e">
        <f t="shared" si="16"/>
        <v>#VALUE!</v>
      </c>
      <c r="BE6" s="50" t="e">
        <f t="shared" si="17"/>
        <v>#VALUE!</v>
      </c>
      <c r="BF6" s="26" t="e">
        <f t="shared" si="18"/>
        <v>#VALUE!</v>
      </c>
      <c r="BG6" s="26" t="e">
        <f t="array" ref="BG6">AVERAGE(AK6:AK6/AN6:AN6) - AVERAGE(N6:N6/Q6:Q6)</f>
        <v>#VALUE!</v>
      </c>
    </row>
    <row r="7" spans="1:59" collapsed="1">
      <c r="A7" s="54"/>
      <c r="B7" s="54" t="s">
        <v>62</v>
      </c>
      <c r="C7" s="54">
        <v>322589704</v>
      </c>
      <c r="D7" s="10">
        <v>10</v>
      </c>
      <c r="E7" s="10">
        <v>32</v>
      </c>
      <c r="F7" s="10">
        <v>30</v>
      </c>
      <c r="H7" s="17">
        <f t="shared" si="0"/>
        <v>1.8930182824663473E-2</v>
      </c>
      <c r="I7" s="11">
        <f t="shared" si="1"/>
        <v>309.15078</v>
      </c>
      <c r="J7" s="12">
        <f t="shared" si="2"/>
        <v>1.0222298725318275</v>
      </c>
      <c r="K7" s="12">
        <f t="shared" si="3"/>
        <v>0.15689462922226433</v>
      </c>
      <c r="L7" s="12">
        <f t="shared" si="4"/>
        <v>0.14511364566055709</v>
      </c>
      <c r="M7" s="12">
        <f t="shared" si="5"/>
        <v>0.86533524330956324</v>
      </c>
      <c r="N7" s="54">
        <f t="shared" si="6"/>
        <v>50612592</v>
      </c>
      <c r="O7" s="12">
        <v>16</v>
      </c>
      <c r="P7" s="13">
        <v>33947718</v>
      </c>
      <c r="Q7" s="14">
        <v>329760832</v>
      </c>
      <c r="R7" s="14">
        <v>46812168</v>
      </c>
      <c r="S7" s="14">
        <v>3800424</v>
      </c>
      <c r="T7" s="14">
        <v>279148240</v>
      </c>
      <c r="U7" s="15" t="s">
        <v>571</v>
      </c>
      <c r="V7" s="15" t="s">
        <v>571</v>
      </c>
      <c r="W7" s="15" t="s">
        <v>571</v>
      </c>
      <c r="X7" s="15" t="s">
        <v>571</v>
      </c>
      <c r="Y7" s="15" t="s">
        <v>571</v>
      </c>
      <c r="Z7" s="16">
        <v>2327.4499999999998</v>
      </c>
      <c r="AA7" s="16">
        <v>10154.1</v>
      </c>
      <c r="AB7" s="16">
        <v>8.0129999999999999</v>
      </c>
      <c r="AC7" s="16">
        <v>31.196000000000002</v>
      </c>
      <c r="AE7" s="17">
        <f t="shared" si="7"/>
        <v>1.8930182824663473E-2</v>
      </c>
      <c r="AF7" s="11" t="str">
        <f t="shared" si="8"/>
        <v>·</v>
      </c>
      <c r="AG7" s="12" t="str">
        <f t="shared" si="9"/>
        <v>·</v>
      </c>
      <c r="AH7" s="12" t="str">
        <f t="shared" si="10"/>
        <v>·</v>
      </c>
      <c r="AI7" s="12" t="str">
        <f t="shared" si="11"/>
        <v>·</v>
      </c>
      <c r="AJ7" s="12" t="str">
        <f t="shared" si="12"/>
        <v>·</v>
      </c>
      <c r="AK7" s="54" t="str">
        <f t="shared" si="13"/>
        <v/>
      </c>
      <c r="AL7" s="12">
        <v>16</v>
      </c>
      <c r="AM7" s="13"/>
      <c r="AN7" s="14"/>
      <c r="AO7" s="14"/>
      <c r="AP7" s="14"/>
      <c r="AQ7" s="14"/>
      <c r="AR7" s="15"/>
      <c r="AS7" s="15"/>
      <c r="AT7" s="15"/>
      <c r="AU7" s="15"/>
      <c r="AV7" s="15"/>
      <c r="AW7" s="16"/>
      <c r="AX7" s="16"/>
      <c r="AY7" s="16"/>
      <c r="AZ7" s="16"/>
      <c r="BB7" s="51" t="e">
        <f t="shared" si="14"/>
        <v>#VALUE!</v>
      </c>
      <c r="BC7" s="51" t="e">
        <f t="shared" si="15"/>
        <v>#VALUE!</v>
      </c>
      <c r="BD7" s="51" t="e">
        <f t="shared" si="16"/>
        <v>#VALUE!</v>
      </c>
      <c r="BE7" s="51" t="e">
        <f t="shared" si="17"/>
        <v>#VALUE!</v>
      </c>
      <c r="BF7" s="17" t="e">
        <f t="shared" si="18"/>
        <v>#VALUE!</v>
      </c>
      <c r="BG7" s="17" t="e">
        <f t="array" ref="BG7">AVERAGE(AK7:AK7/AN7:AN7) - AVERAGE(N7:N7/Q7:Q7)</f>
        <v>#VALUE!</v>
      </c>
    </row>
    <row r="8" spans="1:59" collapsed="1">
      <c r="A8" s="37"/>
      <c r="B8" s="37" t="s">
        <v>68</v>
      </c>
      <c r="C8" s="37">
        <v>250602891</v>
      </c>
      <c r="D8" s="38">
        <v>10</v>
      </c>
      <c r="E8" s="38">
        <v>32</v>
      </c>
      <c r="F8" s="38">
        <v>50</v>
      </c>
      <c r="H8" s="46">
        <f t="shared" si="0"/>
        <v>1.745068987784875E-2</v>
      </c>
      <c r="I8" s="39">
        <f t="shared" si="1"/>
        <v>368.98818749999998</v>
      </c>
      <c r="J8" s="40">
        <f t="shared" si="2"/>
        <v>0.94233725340383245</v>
      </c>
      <c r="K8" s="40">
        <f t="shared" si="3"/>
        <v>0.11761667984907644</v>
      </c>
      <c r="L8" s="40">
        <f t="shared" si="4"/>
        <v>0.10443241055826447</v>
      </c>
      <c r="M8" s="40">
        <f t="shared" si="5"/>
        <v>0.82472057355475603</v>
      </c>
      <c r="N8" s="37">
        <f t="shared" si="6"/>
        <v>29475080</v>
      </c>
      <c r="O8" s="40">
        <v>16</v>
      </c>
      <c r="P8" s="41">
        <v>32209643</v>
      </c>
      <c r="Q8" s="42">
        <v>236152440</v>
      </c>
      <c r="R8" s="42">
        <v>26171064</v>
      </c>
      <c r="S8" s="42">
        <v>3304016</v>
      </c>
      <c r="T8" s="42">
        <v>206677360</v>
      </c>
      <c r="U8" s="43" t="s">
        <v>571</v>
      </c>
      <c r="V8" s="43" t="s">
        <v>571</v>
      </c>
      <c r="W8" s="43" t="s">
        <v>571</v>
      </c>
      <c r="X8" s="43" t="s">
        <v>571</v>
      </c>
      <c r="Y8" s="43" t="s">
        <v>571</v>
      </c>
      <c r="Z8" s="44">
        <v>2330.38</v>
      </c>
      <c r="AA8" s="44">
        <v>8002.69</v>
      </c>
      <c r="AB8" s="44">
        <v>7.0350000000000001</v>
      </c>
      <c r="AC8" s="44">
        <v>28.238</v>
      </c>
      <c r="AE8" s="46">
        <f t="shared" si="7"/>
        <v>1.745068987784875E-2</v>
      </c>
      <c r="AF8" s="39" t="str">
        <f t="shared" si="8"/>
        <v>·</v>
      </c>
      <c r="AG8" s="40" t="str">
        <f t="shared" si="9"/>
        <v>·</v>
      </c>
      <c r="AH8" s="40" t="str">
        <f t="shared" si="10"/>
        <v>·</v>
      </c>
      <c r="AI8" s="40" t="str">
        <f t="shared" si="11"/>
        <v>·</v>
      </c>
      <c r="AJ8" s="40" t="str">
        <f t="shared" si="12"/>
        <v>·</v>
      </c>
      <c r="AK8" s="37" t="str">
        <f t="shared" si="13"/>
        <v/>
      </c>
      <c r="AL8" s="40">
        <v>16</v>
      </c>
      <c r="AM8" s="41"/>
      <c r="AN8" s="42"/>
      <c r="AO8" s="42"/>
      <c r="AP8" s="42"/>
      <c r="AQ8" s="42"/>
      <c r="AR8" s="43"/>
      <c r="AS8" s="43"/>
      <c r="AT8" s="43"/>
      <c r="AU8" s="43"/>
      <c r="AV8" s="43"/>
      <c r="AW8" s="44"/>
      <c r="AX8" s="44"/>
      <c r="AY8" s="44"/>
      <c r="AZ8" s="44"/>
      <c r="BB8" s="45" t="e">
        <f t="shared" si="14"/>
        <v>#VALUE!</v>
      </c>
      <c r="BC8" s="45" t="e">
        <f t="shared" si="15"/>
        <v>#VALUE!</v>
      </c>
      <c r="BD8" s="45" t="e">
        <f t="shared" si="16"/>
        <v>#VALUE!</v>
      </c>
      <c r="BE8" s="45" t="e">
        <f t="shared" si="17"/>
        <v>#VALUE!</v>
      </c>
      <c r="BF8" s="46" t="e">
        <f t="shared" si="18"/>
        <v>#VALUE!</v>
      </c>
      <c r="BG8" s="46" t="e">
        <f t="array" ref="BG8">AVERAGE(AK8:AK8/AN8:AN8) - AVERAGE(N8:N8/Q8:Q8)</f>
        <v>#VALUE!</v>
      </c>
    </row>
    <row r="9" spans="1:59" collapsed="1">
      <c r="A9" s="27" t="s">
        <v>235</v>
      </c>
      <c r="B9" s="27" t="s">
        <v>71</v>
      </c>
      <c r="C9" s="27">
        <v>250294582</v>
      </c>
      <c r="D9" s="28">
        <v>10</v>
      </c>
      <c r="E9" s="28">
        <v>32</v>
      </c>
      <c r="F9" s="28">
        <v>30</v>
      </c>
      <c r="H9" s="36">
        <f t="shared" si="0"/>
        <v>2.7896587040755812E-2</v>
      </c>
      <c r="I9" s="29">
        <f t="shared" si="1"/>
        <v>353.48220750000002</v>
      </c>
      <c r="J9" s="30">
        <f t="shared" si="2"/>
        <v>1.5064157002008138</v>
      </c>
      <c r="K9" s="30">
        <f t="shared" si="3"/>
        <v>0.15197183932651007</v>
      </c>
      <c r="L9" s="30">
        <f t="shared" si="4"/>
        <v>0.14215230595762557</v>
      </c>
      <c r="M9" s="30">
        <f t="shared" si="5"/>
        <v>1.3544438608743037</v>
      </c>
      <c r="N9" s="27">
        <f t="shared" si="6"/>
        <v>38037728</v>
      </c>
      <c r="O9" s="30">
        <v>16</v>
      </c>
      <c r="P9" s="31">
        <v>25312408</v>
      </c>
      <c r="Q9" s="32">
        <v>377047688</v>
      </c>
      <c r="R9" s="32">
        <v>35579952</v>
      </c>
      <c r="S9" s="32">
        <v>2457776</v>
      </c>
      <c r="T9" s="32">
        <v>339009960</v>
      </c>
      <c r="U9" s="33" t="s">
        <v>571</v>
      </c>
      <c r="V9" s="33" t="s">
        <v>571</v>
      </c>
      <c r="W9" s="33" t="s">
        <v>571</v>
      </c>
      <c r="X9" s="33" t="s">
        <v>571</v>
      </c>
      <c r="Y9" s="33" t="s">
        <v>571</v>
      </c>
      <c r="Z9" s="34">
        <v>828.73400000000004</v>
      </c>
      <c r="AA9" s="34">
        <v>10836.5</v>
      </c>
      <c r="AB9" s="34">
        <v>6.2530000000000001</v>
      </c>
      <c r="AC9" s="34">
        <v>32.149000000000001</v>
      </c>
      <c r="AE9" s="36">
        <f t="shared" si="7"/>
        <v>2.7896587040755812E-2</v>
      </c>
      <c r="AF9" s="29" t="str">
        <f t="shared" si="8"/>
        <v>·</v>
      </c>
      <c r="AG9" s="30" t="str">
        <f t="shared" si="9"/>
        <v>·</v>
      </c>
      <c r="AH9" s="30" t="str">
        <f t="shared" si="10"/>
        <v>·</v>
      </c>
      <c r="AI9" s="30" t="str">
        <f t="shared" si="11"/>
        <v>·</v>
      </c>
      <c r="AJ9" s="30" t="str">
        <f t="shared" si="12"/>
        <v>·</v>
      </c>
      <c r="AK9" s="27" t="str">
        <f t="shared" si="13"/>
        <v/>
      </c>
      <c r="AL9" s="30">
        <v>16</v>
      </c>
      <c r="AM9" s="31"/>
      <c r="AN9" s="32"/>
      <c r="AO9" s="32"/>
      <c r="AP9" s="32"/>
      <c r="AQ9" s="32"/>
      <c r="AR9" s="33"/>
      <c r="AS9" s="33"/>
      <c r="AT9" s="33"/>
      <c r="AU9" s="33"/>
      <c r="AV9" s="33"/>
      <c r="AW9" s="34"/>
      <c r="AX9" s="34"/>
      <c r="AY9" s="34"/>
      <c r="AZ9" s="34"/>
      <c r="BB9" s="35" t="e">
        <f t="shared" si="14"/>
        <v>#VALUE!</v>
      </c>
      <c r="BC9" s="35" t="e">
        <f t="shared" si="15"/>
        <v>#VALUE!</v>
      </c>
      <c r="BD9" s="35" t="e">
        <f t="shared" si="16"/>
        <v>#VALUE!</v>
      </c>
      <c r="BE9" s="35" t="e">
        <f t="shared" si="17"/>
        <v>#VALUE!</v>
      </c>
      <c r="BF9" s="36" t="e">
        <f t="shared" si="18"/>
        <v>#VALUE!</v>
      </c>
      <c r="BG9" s="36" t="e">
        <f t="array" ref="BG9">AVERAGE(AK9:AK9/AN9:AN9) - AVERAGE(N9:N9/Q9:Q9)</f>
        <v>#VALUE!</v>
      </c>
    </row>
    <row r="10" spans="1:59" collapsed="1">
      <c r="A10" s="18" t="s">
        <v>236</v>
      </c>
      <c r="B10" s="18" t="s">
        <v>75</v>
      </c>
      <c r="C10" s="18">
        <v>375422539</v>
      </c>
      <c r="D10" s="19">
        <v>11</v>
      </c>
      <c r="E10" s="19">
        <v>32</v>
      </c>
      <c r="F10" s="19">
        <v>30</v>
      </c>
      <c r="H10" s="26">
        <f t="shared" si="0"/>
        <v>4.2526493248652389E-2</v>
      </c>
      <c r="I10" s="20">
        <f t="shared" si="1"/>
        <v>853.15128000000004</v>
      </c>
      <c r="J10" s="21">
        <f t="shared" si="2"/>
        <v>2.4240101151731861</v>
      </c>
      <c r="K10" s="21">
        <f t="shared" si="3"/>
        <v>0.27541101894257874</v>
      </c>
      <c r="L10" s="21">
        <f t="shared" si="4"/>
        <v>0.26290847710664489</v>
      </c>
      <c r="M10" s="21">
        <f t="shared" si="5"/>
        <v>2.1485990962306074</v>
      </c>
      <c r="N10" s="18">
        <f t="shared" si="6"/>
        <v>103395504</v>
      </c>
      <c r="O10" s="21">
        <v>16</v>
      </c>
      <c r="P10" s="22">
        <v>92854683</v>
      </c>
      <c r="Q10" s="23">
        <v>910028032</v>
      </c>
      <c r="R10" s="23">
        <v>98701768</v>
      </c>
      <c r="S10" s="23">
        <v>4693736</v>
      </c>
      <c r="T10" s="23">
        <v>806632528</v>
      </c>
      <c r="U10" s="24" t="s">
        <v>571</v>
      </c>
      <c r="V10" s="24" t="s">
        <v>571</v>
      </c>
      <c r="W10" s="24" t="s">
        <v>571</v>
      </c>
      <c r="X10" s="24" t="s">
        <v>571</v>
      </c>
      <c r="Y10" s="24" t="s">
        <v>571</v>
      </c>
      <c r="Z10" s="25">
        <v>2311.62</v>
      </c>
      <c r="AA10" s="25">
        <v>32520.400000000001</v>
      </c>
      <c r="AB10" s="25">
        <v>19.393999999999998</v>
      </c>
      <c r="AC10" s="25">
        <v>80.037000000000006</v>
      </c>
      <c r="AE10" s="26">
        <f t="shared" si="7"/>
        <v>4.2526493248652389E-2</v>
      </c>
      <c r="AF10" s="20" t="str">
        <f t="shared" si="8"/>
        <v>·</v>
      </c>
      <c r="AG10" s="21" t="str">
        <f t="shared" si="9"/>
        <v>·</v>
      </c>
      <c r="AH10" s="21" t="str">
        <f t="shared" si="10"/>
        <v>·</v>
      </c>
      <c r="AI10" s="21" t="str">
        <f t="shared" si="11"/>
        <v>·</v>
      </c>
      <c r="AJ10" s="21" t="str">
        <f t="shared" si="12"/>
        <v>·</v>
      </c>
      <c r="AK10" s="18" t="str">
        <f t="shared" si="13"/>
        <v/>
      </c>
      <c r="AL10" s="21">
        <v>16</v>
      </c>
      <c r="AM10" s="22"/>
      <c r="AN10" s="23"/>
      <c r="AO10" s="23"/>
      <c r="AP10" s="23"/>
      <c r="AQ10" s="23"/>
      <c r="AR10" s="24"/>
      <c r="AS10" s="24"/>
      <c r="AT10" s="24"/>
      <c r="AU10" s="24"/>
      <c r="AV10" s="24"/>
      <c r="AW10" s="25"/>
      <c r="AX10" s="25"/>
      <c r="AY10" s="25"/>
      <c r="AZ10" s="25"/>
      <c r="BB10" s="50" t="e">
        <f t="shared" si="14"/>
        <v>#VALUE!</v>
      </c>
      <c r="BC10" s="50" t="e">
        <f t="shared" si="15"/>
        <v>#VALUE!</v>
      </c>
      <c r="BD10" s="50" t="e">
        <f t="shared" si="16"/>
        <v>#VALUE!</v>
      </c>
      <c r="BE10" s="50" t="e">
        <f t="shared" si="17"/>
        <v>#VALUE!</v>
      </c>
      <c r="BF10" s="26" t="e">
        <f t="shared" si="18"/>
        <v>#VALUE!</v>
      </c>
      <c r="BG10" s="26" t="e">
        <f t="array" ref="BG10">AVERAGE(AK10:AK10/AN10:AN10) - AVERAGE(N10:N10/Q10:Q10)</f>
        <v>#VALUE!</v>
      </c>
    </row>
    <row r="11" spans="1:59" collapsed="1">
      <c r="A11" s="27"/>
      <c r="B11" s="27" t="s">
        <v>80</v>
      </c>
      <c r="C11" s="27">
        <v>333190689</v>
      </c>
      <c r="D11" s="28">
        <v>11</v>
      </c>
      <c r="E11" s="28">
        <v>32</v>
      </c>
      <c r="F11" s="28">
        <v>30</v>
      </c>
      <c r="H11" s="36">
        <f t="shared" si="0"/>
        <v>4.3721054945363831E-2</v>
      </c>
      <c r="I11" s="29">
        <f t="shared" si="1"/>
        <v>778.44802500000003</v>
      </c>
      <c r="J11" s="30">
        <f t="shared" si="2"/>
        <v>2.4921001318857381</v>
      </c>
      <c r="K11" s="30">
        <f t="shared" si="3"/>
        <v>0.2956114298860254</v>
      </c>
      <c r="L11" s="30">
        <f t="shared" si="4"/>
        <v>0.28101527170826796</v>
      </c>
      <c r="M11" s="30">
        <f t="shared" si="5"/>
        <v>2.196488701999713</v>
      </c>
      <c r="N11" s="27">
        <f t="shared" si="6"/>
        <v>98494976</v>
      </c>
      <c r="O11" s="30">
        <v>16</v>
      </c>
      <c r="P11" s="31">
        <v>83104648</v>
      </c>
      <c r="Q11" s="32">
        <v>830344560</v>
      </c>
      <c r="R11" s="32">
        <v>93631672</v>
      </c>
      <c r="S11" s="32">
        <v>4863304</v>
      </c>
      <c r="T11" s="32">
        <v>731849584</v>
      </c>
      <c r="U11" s="33" t="s">
        <v>571</v>
      </c>
      <c r="V11" s="33" t="s">
        <v>571</v>
      </c>
      <c r="W11" s="33" t="s">
        <v>571</v>
      </c>
      <c r="X11" s="33" t="s">
        <v>571</v>
      </c>
      <c r="Y11" s="33" t="s">
        <v>571</v>
      </c>
      <c r="Z11" s="34">
        <v>1999.83</v>
      </c>
      <c r="AA11" s="34">
        <v>34293.1</v>
      </c>
      <c r="AB11" s="34">
        <v>17.856000000000002</v>
      </c>
      <c r="AC11" s="34">
        <v>76.435000000000002</v>
      </c>
      <c r="AE11" s="36">
        <f t="shared" si="7"/>
        <v>4.3721054945363831E-2</v>
      </c>
      <c r="AF11" s="29" t="str">
        <f t="shared" si="8"/>
        <v>·</v>
      </c>
      <c r="AG11" s="30" t="str">
        <f t="shared" si="9"/>
        <v>·</v>
      </c>
      <c r="AH11" s="30" t="str">
        <f t="shared" si="10"/>
        <v>·</v>
      </c>
      <c r="AI11" s="30" t="str">
        <f t="shared" si="11"/>
        <v>·</v>
      </c>
      <c r="AJ11" s="30" t="str">
        <f t="shared" si="12"/>
        <v>·</v>
      </c>
      <c r="AK11" s="27" t="str">
        <f t="shared" si="13"/>
        <v/>
      </c>
      <c r="AL11" s="30">
        <v>16</v>
      </c>
      <c r="AM11" s="31"/>
      <c r="AN11" s="32"/>
      <c r="AO11" s="32"/>
      <c r="AP11" s="32"/>
      <c r="AQ11" s="32"/>
      <c r="AR11" s="33"/>
      <c r="AS11" s="33"/>
      <c r="AT11" s="33"/>
      <c r="AU11" s="33"/>
      <c r="AV11" s="33"/>
      <c r="AW11" s="34"/>
      <c r="AX11" s="34"/>
      <c r="AY11" s="34"/>
      <c r="AZ11" s="34"/>
      <c r="BB11" s="35" t="e">
        <f t="shared" si="14"/>
        <v>#VALUE!</v>
      </c>
      <c r="BC11" s="35" t="e">
        <f t="shared" si="15"/>
        <v>#VALUE!</v>
      </c>
      <c r="BD11" s="35" t="e">
        <f t="shared" si="16"/>
        <v>#VALUE!</v>
      </c>
      <c r="BE11" s="35" t="e">
        <f t="shared" si="17"/>
        <v>#VALUE!</v>
      </c>
      <c r="BF11" s="36" t="e">
        <f t="shared" si="18"/>
        <v>#VALUE!</v>
      </c>
      <c r="BG11" s="36" t="e">
        <f t="array" ref="BG11">AVERAGE(AK11:AK11/AN11:AN11) - AVERAGE(N11:N11/Q11:Q11)</f>
        <v>#VALUE!</v>
      </c>
    </row>
    <row r="12" spans="1:59" ht="16">
      <c r="B12" s="47" t="s">
        <v>14</v>
      </c>
      <c r="J12" s="48">
        <f>AVERAGE(J5:J8)</f>
        <v>1.0543753449574149</v>
      </c>
      <c r="K12" s="48">
        <f>AVERAGE(K5:K8)</f>
        <v>0.14846524206896802</v>
      </c>
      <c r="L12" s="48">
        <f>AVERAGE(L5:L8)</f>
        <v>0.13609153516400974</v>
      </c>
      <c r="M12" s="48">
        <f>AVERAGE(M5:M8)</f>
        <v>0.90591010288844687</v>
      </c>
      <c r="AG12" s="48" t="e">
        <f>AVERAGE(AG5:AG8)</f>
        <v>#DIV/0!</v>
      </c>
      <c r="AH12" s="48" t="e">
        <f>AVERAGE(AH5:AH8)</f>
        <v>#DIV/0!</v>
      </c>
      <c r="AI12" s="48" t="e">
        <f>AVERAGE(AI5:AI8)</f>
        <v>#DIV/0!</v>
      </c>
      <c r="AJ12" s="48" t="e">
        <f>AVERAGE(AJ5:AJ8)</f>
        <v>#DIV/0!</v>
      </c>
      <c r="BB12" s="52" t="e">
        <f t="shared" si="14"/>
        <v>#DIV/0!</v>
      </c>
      <c r="BC12" s="52" t="e">
        <f t="shared" si="15"/>
        <v>#DIV/0!</v>
      </c>
      <c r="BD12" s="52" t="e">
        <f t="shared" si="16"/>
        <v>#DIV/0!</v>
      </c>
      <c r="BE12" s="52" t="e">
        <f t="shared" si="17"/>
        <v>#DIV/0!</v>
      </c>
      <c r="BG12" s="55" t="e">
        <f>AVERAGE(BG5:BG8)</f>
        <v>#VALUE!</v>
      </c>
    </row>
    <row r="13" spans="1:59" ht="16">
      <c r="B13" s="47" t="s">
        <v>15</v>
      </c>
      <c r="J13" s="48">
        <f>AVERAGE(J9:J9)</f>
        <v>1.5064157002008138</v>
      </c>
      <c r="K13" s="48">
        <f>AVERAGE(K9:K9)</f>
        <v>0.15197183932651007</v>
      </c>
      <c r="L13" s="48">
        <f>AVERAGE(L9:L9)</f>
        <v>0.14215230595762557</v>
      </c>
      <c r="M13" s="48">
        <f>AVERAGE(M9:M9)</f>
        <v>1.3544438608743037</v>
      </c>
      <c r="AG13" s="48" t="e">
        <f>AVERAGE(AG9:AG9)</f>
        <v>#DIV/0!</v>
      </c>
      <c r="AH13" s="48" t="e">
        <f>AVERAGE(AH9:AH9)</f>
        <v>#DIV/0!</v>
      </c>
      <c r="AI13" s="48" t="e">
        <f>AVERAGE(AI9:AI9)</f>
        <v>#DIV/0!</v>
      </c>
      <c r="AJ13" s="48" t="e">
        <f>AVERAGE(AJ9:AJ9)</f>
        <v>#DIV/0!</v>
      </c>
      <c r="BB13" s="52" t="e">
        <f t="shared" si="14"/>
        <v>#DIV/0!</v>
      </c>
      <c r="BC13" s="52" t="e">
        <f t="shared" si="15"/>
        <v>#DIV/0!</v>
      </c>
      <c r="BD13" s="52" t="e">
        <f t="shared" si="16"/>
        <v>#DIV/0!</v>
      </c>
      <c r="BE13" s="52" t="e">
        <f t="shared" si="17"/>
        <v>#DIV/0!</v>
      </c>
      <c r="BG13" s="55" t="e">
        <f>AVERAGE(BG9:BG9)</f>
        <v>#VALUE!</v>
      </c>
    </row>
    <row r="14" spans="1:59" ht="16">
      <c r="B14" s="47" t="s">
        <v>16</v>
      </c>
      <c r="J14" s="48">
        <f>AVERAGE(J10:J11)</f>
        <v>2.4580551235294621</v>
      </c>
      <c r="K14" s="48">
        <f>AVERAGE(K10:K11)</f>
        <v>0.2855112244143021</v>
      </c>
      <c r="L14" s="48">
        <f>AVERAGE(L10:L11)</f>
        <v>0.27196187440745645</v>
      </c>
      <c r="M14" s="48">
        <f>AVERAGE(M10:M11)</f>
        <v>2.1725438991151602</v>
      </c>
      <c r="AG14" s="48" t="e">
        <f>AVERAGE(AG10:AG11)</f>
        <v>#DIV/0!</v>
      </c>
      <c r="AH14" s="48" t="e">
        <f>AVERAGE(AH10:AH11)</f>
        <v>#DIV/0!</v>
      </c>
      <c r="AI14" s="48" t="e">
        <f>AVERAGE(AI10:AI11)</f>
        <v>#DIV/0!</v>
      </c>
      <c r="AJ14" s="48" t="e">
        <f>AVERAGE(AJ10:AJ11)</f>
        <v>#DIV/0!</v>
      </c>
      <c r="BB14" s="52" t="e">
        <f t="shared" si="14"/>
        <v>#DIV/0!</v>
      </c>
      <c r="BC14" s="52" t="e">
        <f t="shared" si="15"/>
        <v>#DIV/0!</v>
      </c>
      <c r="BD14" s="52" t="e">
        <f t="shared" si="16"/>
        <v>#DIV/0!</v>
      </c>
      <c r="BE14" s="52" t="e">
        <f t="shared" si="17"/>
        <v>#DIV/0!</v>
      </c>
      <c r="BG14" s="55" t="e">
        <f>AVERAGE(BG10:BG11)</f>
        <v>#VALUE!</v>
      </c>
    </row>
    <row r="15" spans="1:59" ht="16">
      <c r="B15" s="47" t="s">
        <v>17</v>
      </c>
      <c r="J15" s="48">
        <f>AVERAGE(J5:J11)</f>
        <v>1.5200039038699138</v>
      </c>
      <c r="K15" s="48">
        <f>AVERAGE(K5:K11)</f>
        <v>0.18812217949014087</v>
      </c>
      <c r="L15" s="48">
        <f>AVERAGE(L5:L11)</f>
        <v>0.17577745648979676</v>
      </c>
      <c r="M15" s="48">
        <f>AVERAGE(M5:M11)</f>
        <v>1.3318817243797731</v>
      </c>
      <c r="AG15" s="48" t="e">
        <f>AVERAGE(AG5:AG11)</f>
        <v>#DIV/0!</v>
      </c>
      <c r="AH15" s="48" t="e">
        <f>AVERAGE(AH5:AH11)</f>
        <v>#DIV/0!</v>
      </c>
      <c r="AI15" s="48" t="e">
        <f>AVERAGE(AI5:AI11)</f>
        <v>#DIV/0!</v>
      </c>
      <c r="AJ15" s="48" t="e">
        <f>AVERAGE(AJ5:AJ11)</f>
        <v>#DIV/0!</v>
      </c>
      <c r="BB15" s="52" t="e">
        <f t="shared" si="14"/>
        <v>#DIV/0!</v>
      </c>
      <c r="BC15" s="52" t="e">
        <f t="shared" si="15"/>
        <v>#DIV/0!</v>
      </c>
      <c r="BD15" s="52" t="e">
        <f t="shared" si="16"/>
        <v>#DIV/0!</v>
      </c>
      <c r="BE15" s="52" t="e">
        <f t="shared" si="17"/>
        <v>#DIV/0!</v>
      </c>
      <c r="BG15" s="55" t="e">
        <f>AVERAGE(BG5:BG11)</f>
        <v>#VALUE!</v>
      </c>
    </row>
    <row r="16" spans="1:59" ht="16" hidden="1" outlineLevel="2">
      <c r="A16" s="47" t="s">
        <v>237</v>
      </c>
      <c r="B16" s="47" t="s">
        <v>238</v>
      </c>
      <c r="Z16" s="49">
        <f>SUM(Z5:Z8,Z9:Z9,Z10:Z11)</f>
        <v>13079.323999999999</v>
      </c>
      <c r="AA16" s="49">
        <f>SUM(AA5:AA8,AA9:AA9,AA10:AA11)</f>
        <v>113521.91</v>
      </c>
      <c r="AB16" s="49">
        <f>SUM(AB5:AB8,AB9:AB9,AB10:AB11)</f>
        <v>70.070999999999998</v>
      </c>
      <c r="AC16" s="49">
        <f>SUM(AC5:AC8,AC9:AC9,AC10:AC11)</f>
        <v>301.20699999999999</v>
      </c>
      <c r="AW16" s="49">
        <f>SUM(AW5:AW8,AW9:AW9,AW10:AW11)</f>
        <v>0</v>
      </c>
      <c r="AX16" s="49">
        <f>SUM(AX5:AX8,AX9:AX9,AX10:AX11)</f>
        <v>0</v>
      </c>
      <c r="AY16" s="49">
        <f>SUM(AY5:AY8,AY9:AY9,AY10:AY11)</f>
        <v>0</v>
      </c>
      <c r="AZ16" s="49">
        <f>SUM(AZ5:AZ8,AZ9:AZ9,AZ10:AZ11)</f>
        <v>0</v>
      </c>
    </row>
    <row r="17" spans="2:52" ht="16" hidden="1" outlineLevel="2">
      <c r="B17" s="47" t="s">
        <v>239</v>
      </c>
      <c r="AW17" s="55">
        <f>AW16/Z16</f>
        <v>0</v>
      </c>
      <c r="AX17" s="55">
        <f>AX16/AA16</f>
        <v>0</v>
      </c>
      <c r="AY17" s="55">
        <f>AY16/AB16</f>
        <v>0</v>
      </c>
      <c r="AZ17" s="55">
        <f>AZ16/AC16</f>
        <v>0</v>
      </c>
    </row>
    <row r="18" spans="2:52" ht="16" hidden="1" outlineLevel="2">
      <c r="B18" s="47" t="s">
        <v>240</v>
      </c>
      <c r="Z18" s="49">
        <f>GEOMEAN(Z5:Z8,Z9:Z9,Z10:Z11)</f>
        <v>1776.3824194750543</v>
      </c>
      <c r="AA18" s="49">
        <f>GEOMEAN(AA5:AA8,AA9:AA9,AA10:AA11)</f>
        <v>13363.463960154864</v>
      </c>
      <c r="AB18" s="49">
        <f>GEOMEAN(AB5:AB8,AB9:AB9,AB10:AB11)</f>
        <v>8.7859583750252366</v>
      </c>
      <c r="AC18" s="49">
        <f>GEOMEAN(AC5:AC8,AC9:AC9,AC10:AC11)</f>
        <v>38.364335301581164</v>
      </c>
      <c r="AW18" s="49" t="e">
        <f>GEOMEAN(AW5:AW8,AW9:AW9,AW10:AW11)</f>
        <v>#NUM!</v>
      </c>
      <c r="AX18" s="49" t="e">
        <f>GEOMEAN(AX5:AX8,AX9:AX9,AX10:AX11)</f>
        <v>#NUM!</v>
      </c>
      <c r="AY18" s="49" t="e">
        <f>GEOMEAN(AY5:AY8,AY9:AY9,AY10:AY11)</f>
        <v>#NUM!</v>
      </c>
      <c r="AZ18" s="49" t="e">
        <f>GEOMEAN(AZ5:AZ8,AZ9:AZ9,AZ10:AZ11)</f>
        <v>#NUM!</v>
      </c>
    </row>
    <row r="19" spans="2:52" ht="16" outlineLevel="2" collapsed="1">
      <c r="B19" s="47" t="s">
        <v>241</v>
      </c>
      <c r="AW19" s="55" t="e">
        <f>AW18/Z18</f>
        <v>#NUM!</v>
      </c>
      <c r="AX19" s="55" t="e">
        <f>AX18/AA18</f>
        <v>#NUM!</v>
      </c>
      <c r="AY19" s="55" t="e">
        <f>AY18/AB18</f>
        <v>#NUM!</v>
      </c>
      <c r="AZ19" s="55" t="e">
        <f>AZ18/AC18</f>
        <v>#NUM!</v>
      </c>
    </row>
  </sheetData>
  <mergeCells count="34">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 ref="AE2:AE3"/>
    <mergeCell ref="AF2:AF3"/>
    <mergeCell ref="AG2:AJ2"/>
    <mergeCell ref="O2:O3"/>
    <mergeCell ref="P2:P3"/>
    <mergeCell ref="Q2:T2"/>
    <mergeCell ref="U2:V2"/>
    <mergeCell ref="W2:Y2"/>
    <mergeCell ref="F2:F3"/>
    <mergeCell ref="H2:H3"/>
    <mergeCell ref="I2:I3"/>
    <mergeCell ref="J2:M2"/>
    <mergeCell ref="N2:N3"/>
    <mergeCell ref="A2:A3"/>
    <mergeCell ref="B2:B3"/>
    <mergeCell ref="C2:C3"/>
    <mergeCell ref="D2:D3"/>
    <mergeCell ref="E2:E3"/>
  </mergeCells>
  <conditionalFormatting sqref="BB5 BB6 BB7 BB8 BB9 BB10 BB11 BB12 BB13 BB14 BB15">
    <cfRule type="cellIs" dxfId="29" priority="3" operator="greaterThanOrEqual">
      <formula>1.03</formula>
    </cfRule>
    <cfRule type="cellIs" dxfId="28" priority="4" operator="lessThanOrEqual">
      <formula>0.97</formula>
    </cfRule>
  </conditionalFormatting>
  <conditionalFormatting sqref="BC5 BC6 BC7 BC8 BC9 BC10 BC11 BC12 BC13 BC14 BC15">
    <cfRule type="cellIs" dxfId="27" priority="7" operator="greaterThanOrEqual">
      <formula>1.03</formula>
    </cfRule>
    <cfRule type="cellIs" dxfId="26" priority="8" operator="lessThanOrEqual">
      <formula>0.97</formula>
    </cfRule>
  </conditionalFormatting>
  <conditionalFormatting sqref="BD5 BD6 BD7 BD8 BD9 BD10 BD11 BD12 BD13 BD14 BD15">
    <cfRule type="cellIs" dxfId="25" priority="1" operator="greaterThanOrEqual">
      <formula>1.03</formula>
    </cfRule>
    <cfRule type="cellIs" dxfId="24" priority="2" operator="lessThanOrEqual">
      <formula>0.97</formula>
    </cfRule>
  </conditionalFormatting>
  <conditionalFormatting sqref="BE5 BE6 BE7 BE8 BE9 BE10 BE11 BE12 BE13 BE14 BE15">
    <cfRule type="cellIs" dxfId="23" priority="5" operator="greaterThanOrEqual">
      <formula>1.03</formula>
    </cfRule>
    <cfRule type="cellIs" dxfId="22" priority="6" operator="lessThanOrEqual">
      <formula>0.97</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outlinePr summaryBelow="0"/>
  </sheetPr>
  <dimension ref="A1:CI95"/>
  <sheetViews>
    <sheetView zoomScale="90" zoomScaleNormal="90" workbookViewId="0">
      <pane xSplit="2" ySplit="4" topLeftCell="X5" activePane="bottomRight" state="frozen"/>
      <selection pane="topRight" activeCell="C1" sqref="C1"/>
      <selection pane="bottomLeft" activeCell="A5" sqref="A5"/>
      <selection pane="bottomRight" activeCell="AN60" sqref="AN60:AY94"/>
    </sheetView>
  </sheetViews>
  <sheetFormatPr baseColWidth="10" defaultColWidth="8.83203125" defaultRowHeight="15" outlineLevelRow="2"/>
  <cols>
    <col min="2" max="2" width="24.6640625" style="53" customWidth="1"/>
    <col min="4" max="5" width="10.6640625" style="53" customWidth="1"/>
    <col min="8" max="8" width="1.6640625" style="53" customWidth="1"/>
    <col min="10" max="13" width="10.6640625" style="53" customWidth="1"/>
    <col min="14" max="14" width="24.6640625" style="53" hidden="1" customWidth="1"/>
    <col min="15" max="15" width="12.6640625" style="53" customWidth="1"/>
    <col min="16" max="16" width="10.6640625" style="53" customWidth="1"/>
    <col min="19" max="22" width="12.6640625" style="53" customWidth="1"/>
    <col min="23" max="27" width="11.6640625" style="53" customWidth="1"/>
    <col min="32" max="32" width="1.6640625" style="53" customWidth="1"/>
    <col min="34" max="37" width="10.6640625" style="53" customWidth="1"/>
    <col min="38" max="38" width="24.6640625" style="53" hidden="1" customWidth="1"/>
    <col min="39" max="39" width="12.6640625" style="53" customWidth="1"/>
    <col min="40" max="40" width="10.6640625" style="53" customWidth="1"/>
    <col min="43" max="46" width="12.6640625" style="53" customWidth="1"/>
    <col min="47" max="51" width="11.6640625" style="53" customWidth="1"/>
    <col min="56" max="56" width="1.6640625" style="53" customWidth="1"/>
    <col min="61" max="61" width="1.6640625" style="53" customWidth="1"/>
    <col min="64" max="66" width="11.6640625" style="53" customWidth="1"/>
    <col min="67" max="67" width="1.6640625" style="53" customWidth="1"/>
    <col min="70" max="72" width="11.6640625" style="53" customWidth="1"/>
    <col min="73" max="73" width="1.6640625" style="53" customWidth="1"/>
    <col min="75" max="75" width="8.33203125" bestFit="1" customWidth="1"/>
    <col min="76" max="76" width="15.5" bestFit="1" customWidth="1"/>
    <col min="77" max="78" width="3.5" bestFit="1" customWidth="1"/>
    <col min="79" max="79" width="4" bestFit="1" customWidth="1"/>
    <col min="80" max="80" width="7" bestFit="1" customWidth="1"/>
    <col min="81" max="81" width="6.83203125" bestFit="1" customWidth="1"/>
    <col min="82" max="82" width="2.33203125" customWidth="1"/>
    <col min="83" max="84" width="3.5" bestFit="1" customWidth="1"/>
    <col min="85" max="85" width="4" bestFit="1" customWidth="1"/>
    <col min="86" max="86" width="7" bestFit="1" customWidth="1"/>
    <col min="87" max="87" width="6.83203125" bestFit="1" customWidth="1"/>
  </cols>
  <sheetData>
    <row r="1" spans="1:87">
      <c r="A1" s="94" t="s">
        <v>573</v>
      </c>
      <c r="B1" s="80"/>
      <c r="C1" s="80"/>
      <c r="D1" s="80"/>
      <c r="E1" s="80"/>
      <c r="F1" s="80"/>
      <c r="G1" s="80"/>
      <c r="I1" s="79" t="str">
        <f>Summary!$C$1</f>
        <v>ALL_master+r90</v>
      </c>
      <c r="J1" s="80"/>
      <c r="K1" s="80"/>
      <c r="L1" s="80"/>
      <c r="M1" s="80"/>
      <c r="N1" s="80"/>
      <c r="O1" s="80"/>
      <c r="P1" s="80"/>
      <c r="Q1" s="80"/>
      <c r="R1" s="80"/>
      <c r="S1" s="80"/>
      <c r="T1" s="80"/>
      <c r="U1" s="80"/>
      <c r="V1" s="80"/>
      <c r="W1" s="80"/>
      <c r="X1" s="80"/>
      <c r="Y1" s="80"/>
      <c r="Z1" s="80"/>
      <c r="AA1" s="80"/>
      <c r="AB1" s="80"/>
      <c r="AC1" s="80"/>
      <c r="AD1" s="80"/>
      <c r="AE1" s="80"/>
      <c r="AG1" s="81">
        <f>Summary!$C$2</f>
        <v>0</v>
      </c>
      <c r="AH1" s="80"/>
      <c r="AI1" s="80"/>
      <c r="AJ1" s="80"/>
      <c r="AK1" s="80"/>
      <c r="AL1" s="80"/>
      <c r="AM1" s="80"/>
      <c r="AN1" s="80"/>
      <c r="AO1" s="80"/>
      <c r="AP1" s="80"/>
      <c r="AQ1" s="80"/>
      <c r="AR1" s="80"/>
      <c r="AS1" s="80"/>
      <c r="AT1" s="80"/>
      <c r="AU1" s="80"/>
      <c r="AV1" s="80"/>
      <c r="AW1" s="80"/>
      <c r="AX1" s="80"/>
      <c r="AY1" s="80"/>
      <c r="AZ1" s="80"/>
      <c r="BA1" s="80"/>
      <c r="BB1" s="80"/>
      <c r="BC1" s="80"/>
    </row>
    <row r="2" spans="1:87" ht="30" customHeight="1" thickBot="1">
      <c r="A2" s="90" t="s">
        <v>137</v>
      </c>
      <c r="B2" s="91" t="s">
        <v>138</v>
      </c>
      <c r="C2" s="90" t="s">
        <v>139</v>
      </c>
      <c r="D2" s="91" t="s">
        <v>140</v>
      </c>
      <c r="E2" s="90" t="s">
        <v>141</v>
      </c>
      <c r="F2" s="91" t="s">
        <v>142</v>
      </c>
      <c r="G2" s="90" t="s">
        <v>143</v>
      </c>
      <c r="I2" s="91" t="s">
        <v>144</v>
      </c>
      <c r="J2" s="93" t="s">
        <v>145</v>
      </c>
      <c r="K2" s="80"/>
      <c r="L2" s="80"/>
      <c r="M2" s="80"/>
      <c r="N2" s="90" t="s">
        <v>146</v>
      </c>
      <c r="O2" s="91" t="s">
        <v>147</v>
      </c>
      <c r="P2" s="90" t="s">
        <v>84</v>
      </c>
      <c r="Q2" s="91" t="s">
        <v>86</v>
      </c>
      <c r="R2" s="90" t="s">
        <v>82</v>
      </c>
      <c r="S2" s="92" t="s">
        <v>148</v>
      </c>
      <c r="T2" s="80"/>
      <c r="U2" s="80"/>
      <c r="V2" s="80"/>
      <c r="W2" s="93" t="s">
        <v>149</v>
      </c>
      <c r="X2" s="80"/>
      <c r="Y2" s="92" t="s">
        <v>150</v>
      </c>
      <c r="Z2" s="80"/>
      <c r="AA2" s="80"/>
      <c r="AB2" s="93" t="s">
        <v>151</v>
      </c>
      <c r="AC2" s="80"/>
      <c r="AD2" s="92" t="s">
        <v>152</v>
      </c>
      <c r="AE2" s="80"/>
      <c r="AG2" s="90" t="s">
        <v>144</v>
      </c>
      <c r="AH2" s="92" t="s">
        <v>145</v>
      </c>
      <c r="AI2" s="80"/>
      <c r="AJ2" s="80"/>
      <c r="AK2" s="80"/>
      <c r="AL2" s="91" t="s">
        <v>153</v>
      </c>
      <c r="AM2" s="90" t="s">
        <v>147</v>
      </c>
      <c r="AN2" s="91" t="s">
        <v>84</v>
      </c>
      <c r="AO2" s="90" t="s">
        <v>86</v>
      </c>
      <c r="AP2" s="91" t="s">
        <v>82</v>
      </c>
      <c r="AQ2" s="93" t="s">
        <v>148</v>
      </c>
      <c r="AR2" s="80"/>
      <c r="AS2" s="80"/>
      <c r="AT2" s="80"/>
      <c r="AU2" s="92" t="s">
        <v>149</v>
      </c>
      <c r="AV2" s="80"/>
      <c r="AW2" s="93" t="s">
        <v>150</v>
      </c>
      <c r="AX2" s="80"/>
      <c r="AY2" s="80"/>
      <c r="AZ2" s="92" t="s">
        <v>151</v>
      </c>
      <c r="BA2" s="80"/>
      <c r="BB2" s="93" t="s">
        <v>152</v>
      </c>
      <c r="BC2" s="80"/>
      <c r="BE2" s="91" t="s">
        <v>154</v>
      </c>
      <c r="BF2" s="90" t="s">
        <v>155</v>
      </c>
      <c r="BG2" s="91" t="s">
        <v>156</v>
      </c>
      <c r="BH2" s="90" t="s">
        <v>156</v>
      </c>
      <c r="BJ2" s="92" t="s">
        <v>5</v>
      </c>
      <c r="BK2" s="80"/>
      <c r="BL2" s="93" t="s">
        <v>6</v>
      </c>
      <c r="BM2" s="80"/>
      <c r="BN2" s="80"/>
      <c r="BP2" s="92" t="s">
        <v>7</v>
      </c>
      <c r="BQ2" s="80"/>
      <c r="BR2" s="93" t="s">
        <v>8</v>
      </c>
      <c r="BS2" s="80"/>
      <c r="BT2" s="80"/>
      <c r="BW2" s="62" t="s">
        <v>576</v>
      </c>
      <c r="BX2" s="95" t="s">
        <v>138</v>
      </c>
      <c r="BY2" s="98" t="s">
        <v>5</v>
      </c>
      <c r="BZ2" s="99"/>
      <c r="CA2" s="100" t="s">
        <v>6</v>
      </c>
      <c r="CB2" s="99"/>
      <c r="CC2" s="99"/>
      <c r="CD2" s="63"/>
      <c r="CE2" s="98" t="s">
        <v>7</v>
      </c>
      <c r="CF2" s="99"/>
      <c r="CG2" s="100" t="s">
        <v>8</v>
      </c>
      <c r="CH2" s="99"/>
      <c r="CI2" s="99"/>
    </row>
    <row r="3" spans="1:87" ht="17" thickBot="1">
      <c r="A3" s="83"/>
      <c r="B3" s="83"/>
      <c r="C3" s="83"/>
      <c r="D3" s="83"/>
      <c r="E3" s="83"/>
      <c r="F3" s="83"/>
      <c r="G3" s="83"/>
      <c r="I3" s="83"/>
      <c r="J3" s="56" t="s">
        <v>25</v>
      </c>
      <c r="K3" s="56" t="s">
        <v>23</v>
      </c>
      <c r="L3" s="56" t="s">
        <v>157</v>
      </c>
      <c r="M3" s="56" t="s">
        <v>158</v>
      </c>
      <c r="N3" s="83"/>
      <c r="O3" s="83"/>
      <c r="P3" s="83"/>
      <c r="Q3" s="83"/>
      <c r="R3" s="83"/>
      <c r="S3" s="57" t="s">
        <v>25</v>
      </c>
      <c r="T3" s="57" t="s">
        <v>157</v>
      </c>
      <c r="U3" s="57" t="s">
        <v>159</v>
      </c>
      <c r="V3" s="57" t="s">
        <v>24</v>
      </c>
      <c r="W3" s="56" t="s">
        <v>9</v>
      </c>
      <c r="X3" s="56" t="s">
        <v>10</v>
      </c>
      <c r="Y3" s="57" t="s">
        <v>11</v>
      </c>
      <c r="Z3" s="57" t="s">
        <v>12</v>
      </c>
      <c r="AA3" s="57" t="s">
        <v>13</v>
      </c>
      <c r="AB3" s="56" t="s">
        <v>160</v>
      </c>
      <c r="AC3" s="56" t="s">
        <v>161</v>
      </c>
      <c r="AD3" s="57" t="s">
        <v>160</v>
      </c>
      <c r="AE3" s="57" t="s">
        <v>161</v>
      </c>
      <c r="AG3" s="83"/>
      <c r="AH3" s="57" t="s">
        <v>25</v>
      </c>
      <c r="AI3" s="57" t="s">
        <v>23</v>
      </c>
      <c r="AJ3" s="57" t="s">
        <v>157</v>
      </c>
      <c r="AK3" s="57" t="s">
        <v>158</v>
      </c>
      <c r="AL3" s="83"/>
      <c r="AM3" s="83"/>
      <c r="AN3" s="83"/>
      <c r="AO3" s="83"/>
      <c r="AP3" s="83"/>
      <c r="AQ3" s="56" t="s">
        <v>25</v>
      </c>
      <c r="AR3" s="56" t="s">
        <v>157</v>
      </c>
      <c r="AS3" s="56" t="s">
        <v>159</v>
      </c>
      <c r="AT3" s="56" t="s">
        <v>24</v>
      </c>
      <c r="AU3" s="57" t="s">
        <v>9</v>
      </c>
      <c r="AV3" s="57" t="s">
        <v>10</v>
      </c>
      <c r="AW3" s="56" t="s">
        <v>11</v>
      </c>
      <c r="AX3" s="56" t="s">
        <v>12</v>
      </c>
      <c r="AY3" s="56" t="s">
        <v>13</v>
      </c>
      <c r="AZ3" s="57" t="s">
        <v>160</v>
      </c>
      <c r="BA3" s="57" t="s">
        <v>161</v>
      </c>
      <c r="BB3" s="56" t="s">
        <v>160</v>
      </c>
      <c r="BC3" s="56" t="s">
        <v>161</v>
      </c>
      <c r="BE3" s="83"/>
      <c r="BF3" s="83"/>
      <c r="BG3" s="83"/>
      <c r="BH3" s="83"/>
      <c r="BJ3" s="57" t="s">
        <v>9</v>
      </c>
      <c r="BK3" s="57" t="s">
        <v>10</v>
      </c>
      <c r="BL3" s="56" t="s">
        <v>11</v>
      </c>
      <c r="BM3" s="56" t="s">
        <v>12</v>
      </c>
      <c r="BN3" s="56" t="s">
        <v>13</v>
      </c>
      <c r="BP3" s="57" t="s">
        <v>9</v>
      </c>
      <c r="BQ3" s="57" t="s">
        <v>10</v>
      </c>
      <c r="BR3" s="56" t="s">
        <v>11</v>
      </c>
      <c r="BS3" s="56" t="s">
        <v>12</v>
      </c>
      <c r="BT3" s="56" t="s">
        <v>13</v>
      </c>
      <c r="BW3" s="64" t="s">
        <v>137</v>
      </c>
      <c r="BX3" s="96"/>
      <c r="BY3" s="65" t="s">
        <v>9</v>
      </c>
      <c r="BZ3" s="65" t="s">
        <v>10</v>
      </c>
      <c r="CA3" s="66" t="s">
        <v>11</v>
      </c>
      <c r="CB3" s="66" t="s">
        <v>12</v>
      </c>
      <c r="CC3" s="66" t="s">
        <v>13</v>
      </c>
      <c r="CD3" s="63"/>
      <c r="CE3" s="65" t="s">
        <v>9</v>
      </c>
      <c r="CF3" s="65" t="s">
        <v>10</v>
      </c>
      <c r="CG3" s="66" t="s">
        <v>11</v>
      </c>
      <c r="CH3" s="66" t="s">
        <v>12</v>
      </c>
      <c r="CI3" s="66" t="s">
        <v>13</v>
      </c>
    </row>
    <row r="4" spans="1:87" ht="123" hidden="1" customHeight="1">
      <c r="A4" s="8" t="s">
        <v>162</v>
      </c>
      <c r="B4" s="9" t="s">
        <v>163</v>
      </c>
      <c r="C4" s="8" t="s">
        <v>164</v>
      </c>
      <c r="D4" s="9" t="s">
        <v>165</v>
      </c>
      <c r="E4" s="8" t="s">
        <v>166</v>
      </c>
      <c r="F4" s="9" t="s">
        <v>167</v>
      </c>
      <c r="G4" s="8" t="s">
        <v>168</v>
      </c>
      <c r="I4" s="9" t="s">
        <v>169</v>
      </c>
      <c r="J4" s="8" t="s">
        <v>170</v>
      </c>
      <c r="K4" s="8" t="s">
        <v>171</v>
      </c>
      <c r="L4" s="8" t="s">
        <v>172</v>
      </c>
      <c r="M4" s="8" t="s">
        <v>173</v>
      </c>
      <c r="N4" s="8" t="s">
        <v>174</v>
      </c>
      <c r="O4" s="9" t="s">
        <v>175</v>
      </c>
      <c r="P4" s="8" t="s">
        <v>176</v>
      </c>
      <c r="Q4" s="9" t="s">
        <v>177</v>
      </c>
      <c r="R4" s="8" t="s">
        <v>178</v>
      </c>
      <c r="S4" s="9" t="s">
        <v>179</v>
      </c>
      <c r="T4" s="9" t="s">
        <v>180</v>
      </c>
      <c r="U4" s="9" t="s">
        <v>181</v>
      </c>
      <c r="V4" s="9" t="s">
        <v>182</v>
      </c>
      <c r="W4" s="8" t="s">
        <v>183</v>
      </c>
      <c r="X4" s="8" t="s">
        <v>184</v>
      </c>
      <c r="Y4" s="9" t="s">
        <v>185</v>
      </c>
      <c r="Z4" s="9" t="s">
        <v>186</v>
      </c>
      <c r="AA4" s="9" t="s">
        <v>187</v>
      </c>
      <c r="AB4" s="8" t="s">
        <v>188</v>
      </c>
      <c r="AC4" s="8" t="s">
        <v>189</v>
      </c>
      <c r="AD4" s="9" t="s">
        <v>190</v>
      </c>
      <c r="AE4" s="9" t="s">
        <v>191</v>
      </c>
      <c r="AG4" s="8" t="s">
        <v>192</v>
      </c>
      <c r="AH4" s="9" t="s">
        <v>193</v>
      </c>
      <c r="AI4" s="9" t="s">
        <v>194</v>
      </c>
      <c r="AJ4" s="9" t="s">
        <v>195</v>
      </c>
      <c r="AK4" s="9" t="s">
        <v>196</v>
      </c>
      <c r="AL4" s="9" t="s">
        <v>197</v>
      </c>
      <c r="AM4" s="8" t="s">
        <v>198</v>
      </c>
      <c r="AN4" s="9" t="s">
        <v>199</v>
      </c>
      <c r="AO4" s="8" t="s">
        <v>200</v>
      </c>
      <c r="AP4" s="9" t="s">
        <v>201</v>
      </c>
      <c r="AQ4" s="8" t="s">
        <v>202</v>
      </c>
      <c r="AR4" s="8" t="s">
        <v>203</v>
      </c>
      <c r="AS4" s="8" t="s">
        <v>204</v>
      </c>
      <c r="AT4" s="8" t="s">
        <v>205</v>
      </c>
      <c r="AU4" s="9" t="s">
        <v>206</v>
      </c>
      <c r="AV4" s="9" t="s">
        <v>207</v>
      </c>
      <c r="AW4" s="8" t="s">
        <v>208</v>
      </c>
      <c r="AX4" s="8" t="s">
        <v>209</v>
      </c>
      <c r="AY4" s="8" t="s">
        <v>210</v>
      </c>
      <c r="AZ4" s="9" t="s">
        <v>211</v>
      </c>
      <c r="BA4" s="9" t="s">
        <v>212</v>
      </c>
      <c r="BB4" s="8" t="s">
        <v>213</v>
      </c>
      <c r="BC4" s="8" t="s">
        <v>214</v>
      </c>
      <c r="BE4" s="9" t="s">
        <v>215</v>
      </c>
      <c r="BF4" s="8" t="s">
        <v>216</v>
      </c>
      <c r="BG4" s="9" t="s">
        <v>217</v>
      </c>
      <c r="BH4" s="8" t="s">
        <v>218</v>
      </c>
      <c r="BJ4" s="9" t="s">
        <v>219</v>
      </c>
      <c r="BK4" s="9" t="s">
        <v>220</v>
      </c>
      <c r="BL4" s="8" t="s">
        <v>221</v>
      </c>
      <c r="BM4" s="8" t="s">
        <v>222</v>
      </c>
      <c r="BN4" s="8" t="s">
        <v>223</v>
      </c>
      <c r="BP4" s="9" t="s">
        <v>224</v>
      </c>
      <c r="BQ4" s="9" t="s">
        <v>225</v>
      </c>
      <c r="BR4" s="8" t="s">
        <v>226</v>
      </c>
      <c r="BS4" s="8" t="s">
        <v>227</v>
      </c>
      <c r="BT4" s="8" t="s">
        <v>228</v>
      </c>
      <c r="BW4" s="67" t="s">
        <v>162</v>
      </c>
      <c r="BX4" s="68" t="s">
        <v>163</v>
      </c>
      <c r="BY4" s="63"/>
      <c r="BZ4" s="63"/>
      <c r="CA4" s="63"/>
      <c r="CB4" s="63"/>
      <c r="CC4" s="63"/>
      <c r="CD4" s="63"/>
      <c r="CE4" s="63"/>
      <c r="CF4" s="63"/>
      <c r="CG4" s="63"/>
      <c r="CH4" s="63"/>
      <c r="CI4" s="63"/>
    </row>
    <row r="5" spans="1:87">
      <c r="A5" s="54" t="s">
        <v>229</v>
      </c>
      <c r="B5" s="54" t="s">
        <v>49</v>
      </c>
      <c r="C5" s="10" t="s">
        <v>230</v>
      </c>
      <c r="D5" s="54">
        <v>238146391</v>
      </c>
      <c r="E5" s="10">
        <v>10</v>
      </c>
      <c r="F5" s="10">
        <v>32</v>
      </c>
      <c r="G5" s="10">
        <v>30</v>
      </c>
      <c r="I5" s="11">
        <f t="shared" ref="I5:I39" si="0">IF(OR(ISBLANK(S5),ISBLANK(G5)),"·",S5*G5/F5/1000000)</f>
        <v>1.0418475</v>
      </c>
      <c r="J5" s="12">
        <f t="shared" ref="J5:J39" si="1">IF(ISBLANK(S5),"·",S5/D5)</f>
        <v>4.6664742444070886E-3</v>
      </c>
      <c r="K5" s="12">
        <f t="shared" ref="K5:K39" si="2">IF(N5="","·",N5/D5)</f>
        <v>4.0540778130036832E-3</v>
      </c>
      <c r="L5" s="12">
        <f t="shared" ref="L5:L39" si="3">IF(T5="","·",T5/D5)</f>
        <v>2.5510359298285567E-3</v>
      </c>
      <c r="M5" s="12">
        <f t="shared" ref="M5:M39" si="4">IF(ISBLANK(V5),"·",V5/D5)</f>
        <v>6.1239643140340516E-4</v>
      </c>
      <c r="N5" s="54">
        <f t="shared" ref="N5:N39" si="5">IF(OR(ISBLANK(T5),ISBLANK(U5)),"",T5+U5)</f>
        <v>965464</v>
      </c>
      <c r="O5" s="12">
        <v>16</v>
      </c>
      <c r="P5" s="13">
        <v>23582209</v>
      </c>
      <c r="Q5" s="13">
        <v>736944.03125</v>
      </c>
      <c r="R5" s="13">
        <v>16985</v>
      </c>
      <c r="S5" s="14">
        <v>1111304</v>
      </c>
      <c r="T5" s="14">
        <v>607520</v>
      </c>
      <c r="U5" s="14">
        <v>357944</v>
      </c>
      <c r="V5" s="14">
        <v>145840</v>
      </c>
      <c r="W5" s="15">
        <v>66.845706000000007</v>
      </c>
      <c r="X5" s="15">
        <v>68.619978000000003</v>
      </c>
      <c r="Y5" s="15">
        <v>31.719346999999999</v>
      </c>
      <c r="Z5" s="15">
        <v>44.569709000000003</v>
      </c>
      <c r="AA5" s="15">
        <v>44.238016000000002</v>
      </c>
      <c r="AB5" s="16">
        <v>1703.99</v>
      </c>
      <c r="AC5" s="16">
        <v>2876.59</v>
      </c>
      <c r="AD5" s="16">
        <v>37.156999999999996</v>
      </c>
      <c r="AE5" s="16">
        <v>13.561999999999999</v>
      </c>
      <c r="AG5" s="11">
        <f t="shared" ref="AG5:AG39" si="6">IF(OR(ISBLANK(AQ5),ISBLANK(G5)),"·",AQ5*G5/F5/1000000)</f>
        <v>1.041855</v>
      </c>
      <c r="AH5" s="12">
        <f t="shared" ref="AH5:AH39" si="7">IF(ISBLANK(AQ5),"·",AQ5/D5)</f>
        <v>4.6665078371899409E-3</v>
      </c>
      <c r="AI5" s="12">
        <f t="shared" ref="AI5:AI39" si="8">IF(AL5="","·",AL5/D5)</f>
        <v>4.0541114057865354E-3</v>
      </c>
      <c r="AJ5" s="12">
        <f t="shared" ref="AJ5:AJ39" si="9">IF(AR5="","·",AR5/D5)</f>
        <v>2.5510359298285567E-3</v>
      </c>
      <c r="AK5" s="12">
        <f t="shared" ref="AK5:AK39" si="10">IF(ISBLANK(AT5),"·",AT5/D5)</f>
        <v>6.1239643140340516E-4</v>
      </c>
      <c r="AL5" s="54">
        <f t="shared" ref="AL5:AL39" si="11">IF(OR(ISBLANK(AR5),ISBLANK(AS5)),"",AR5+AS5)</f>
        <v>965472</v>
      </c>
      <c r="AM5" s="12">
        <v>16</v>
      </c>
      <c r="AN5" s="13">
        <v>23582209</v>
      </c>
      <c r="AO5" s="13">
        <v>736944.03125</v>
      </c>
      <c r="AP5" s="13">
        <v>16985</v>
      </c>
      <c r="AQ5" s="14">
        <v>1111312</v>
      </c>
      <c r="AR5" s="14">
        <v>607520</v>
      </c>
      <c r="AS5" s="14">
        <v>357952</v>
      </c>
      <c r="AT5" s="14">
        <v>145840</v>
      </c>
      <c r="AU5" s="15">
        <v>66.845706000000007</v>
      </c>
      <c r="AV5" s="15">
        <v>68.619978000000003</v>
      </c>
      <c r="AW5" s="15">
        <v>31.719346999999999</v>
      </c>
      <c r="AX5" s="15">
        <v>44.569709000000003</v>
      </c>
      <c r="AY5" s="15">
        <v>44.238016000000002</v>
      </c>
      <c r="AZ5" s="16"/>
      <c r="BA5" s="16"/>
      <c r="BB5" s="16"/>
      <c r="BC5" s="16"/>
      <c r="BE5" s="51">
        <f t="shared" ref="BE5:BE43" si="12">AI5/K5</f>
        <v>1.0000082861712087</v>
      </c>
      <c r="BF5" s="17">
        <f t="shared" ref="BF5:BF39" si="13">(AP5/AO5) - (R5/Q5)</f>
        <v>0</v>
      </c>
      <c r="BG5" s="17">
        <f t="shared" ref="BG5:BG39" si="14">(AL5/AQ5) - (N5/S5)</f>
        <v>9.447083657576627E-7</v>
      </c>
      <c r="BH5" s="17">
        <f t="array" ref="BH5">AVERAGE(AL5:AL9/AQ5:AQ9) - AVERAGE(N5:N9/S5:S9)</f>
        <v>8.9023640681418215E-7</v>
      </c>
      <c r="BJ5" s="51">
        <f>IF( OR(ISBLANK(N5:N9),ISBLANK(AL5:AL9), ISBLANK(W5:W9),ISBLANK(AU5:AU9)), "·", bdRateExtend( N5:N9,W5:W9, AL5:AL9,AU5:AU9))</f>
        <v>5.6729056308046921E-6</v>
      </c>
      <c r="BK5" s="51">
        <f>IF( OR(ISBLANK(N5:N9),ISBLANK(AL5:AL9), ISBLANK(X5:X9),ISBLANK(AV5:AV9)), "·", bdRateExtend( N5:N9,X5:X9, AL5:AL9,AV5:AV9))</f>
        <v>5.4300764800174761E-6</v>
      </c>
      <c r="BL5" s="51">
        <f>IF( OR(ISBLANK(V5:V9),ISBLANK(AT5:AT9), ISBLANK(Y5:Y9),ISBLANK(AW5:AW9)), "·", bdRateExtend( V5:V9,Y5:Y9, AT5:AT9,AW5:AW9))</f>
        <v>0</v>
      </c>
      <c r="BM5" s="51">
        <f>IF( OR(ISBLANK(V5:V9),ISBLANK(AT5:AT9), ISBLANK(Z5:Z9),ISBLANK(AX5:AX9)), "·", bdRateExtend( V5:V9,Z5:Z9, AT5:AT9,AX5:AX9))</f>
        <v>0</v>
      </c>
      <c r="BN5" s="51">
        <f>IF( OR(ISBLANK(V5:V9),ISBLANK(AT5:AT9), ISBLANK(AA5:AA9),ISBLANK(AY5:AY9)), "·", bdRateExtend( V5:V9,AA5:AA9, AT5:AT9,AY5:AY9))</f>
        <v>0</v>
      </c>
      <c r="BP5" s="51">
        <f>IF( OR(ISBLANK(S5:S9),ISBLANK(AQ5:AQ9), ISBLANK(W5:W9),ISBLANK(AU5:AU9)), "·", bdRateExtend( S5:S9,W5:W9, AQ5:AQ9,AU5:AU9))</f>
        <v>4.3936373972375264E-6</v>
      </c>
      <c r="BQ5" s="51">
        <f>IF( OR(ISBLANK(S5:S9),ISBLANK(AQ5:AQ9), ISBLANK(X5:X9),ISBLANK(AV5:AV9)), "·", bdRateExtend( S5:S9,X5:X9, AQ5:AQ9,AV5:AV9))</f>
        <v>4.1594854165438733E-6</v>
      </c>
      <c r="BR5" s="51">
        <f>IF( OR(ISBLANK(S5:S9),ISBLANK(AQ5:AQ9), ISBLANK(Y5:Y9),ISBLANK(AW5:AW9)), "·", bdRateExtend( S5:S9,Y5:Y9, AQ5:AQ9,AW5:AW9))</f>
        <v>3.9158473952305428E-6</v>
      </c>
      <c r="BS5" s="51">
        <f>IF( OR(ISBLANK(S5:S9),ISBLANK(AQ5:AQ9), ISBLANK(Z5:Z9),ISBLANK(AX5:AX9)), "·", bdRateExtend( S5:S9,Z5:Z9, AQ5:AQ9,AX5:AX9))</f>
        <v>3.7975716060678621E-6</v>
      </c>
      <c r="BT5" s="51">
        <f>IF( OR(ISBLANK(S5:S9),ISBLANK(AQ5:AQ9), ISBLANK(AA5:AA9),ISBLANK(AY5:AY9)), "·", bdRateExtend( S5:S9,AA5:AA9, AQ5:AQ9,AY5:AY9))</f>
        <v>3.742869099321311E-6</v>
      </c>
      <c r="BW5" s="69" t="s">
        <v>229</v>
      </c>
      <c r="BX5" s="70" t="s">
        <v>49</v>
      </c>
      <c r="BY5" s="71">
        <f>BJ5</f>
        <v>5.6729056308046921E-6</v>
      </c>
      <c r="BZ5" s="71">
        <f t="shared" ref="BZ5:CC5" si="15">BK5</f>
        <v>5.4300764800174761E-6</v>
      </c>
      <c r="CA5" s="71">
        <f t="shared" si="15"/>
        <v>0</v>
      </c>
      <c r="CB5" s="71">
        <f t="shared" si="15"/>
        <v>0</v>
      </c>
      <c r="CC5" s="71">
        <f t="shared" si="15"/>
        <v>0</v>
      </c>
      <c r="CD5" s="72"/>
      <c r="CE5" s="71">
        <f>BP5</f>
        <v>4.3936373972375264E-6</v>
      </c>
      <c r="CF5" s="71">
        <f t="shared" ref="CF5:CI5" si="16">BQ5</f>
        <v>4.1594854165438733E-6</v>
      </c>
      <c r="CG5" s="71">
        <f t="shared" si="16"/>
        <v>3.9158473952305428E-6</v>
      </c>
      <c r="CH5" s="71">
        <f t="shared" si="16"/>
        <v>3.7975716060678621E-6</v>
      </c>
      <c r="CI5" s="71">
        <f t="shared" si="16"/>
        <v>3.742869099321311E-6</v>
      </c>
    </row>
    <row r="6" spans="1:87" outlineLevel="1">
      <c r="A6" s="18"/>
      <c r="B6" s="18" t="s">
        <v>49</v>
      </c>
      <c r="C6" s="19" t="s">
        <v>231</v>
      </c>
      <c r="D6" s="18">
        <v>238146391</v>
      </c>
      <c r="E6" s="19">
        <v>10</v>
      </c>
      <c r="F6" s="19">
        <v>32</v>
      </c>
      <c r="G6" s="19">
        <v>30</v>
      </c>
      <c r="I6" s="20">
        <f t="shared" si="0"/>
        <v>1.3544624999999999</v>
      </c>
      <c r="J6" s="21">
        <f t="shared" si="1"/>
        <v>6.0666886192703214E-3</v>
      </c>
      <c r="K6" s="21">
        <f t="shared" si="2"/>
        <v>4.9443201513811727E-3</v>
      </c>
      <c r="L6" s="21">
        <f t="shared" si="3"/>
        <v>3.4412782682060462E-3</v>
      </c>
      <c r="M6" s="21">
        <f t="shared" si="4"/>
        <v>1.1223684678891481E-3</v>
      </c>
      <c r="N6" s="18">
        <f t="shared" si="5"/>
        <v>1177472</v>
      </c>
      <c r="O6" s="21">
        <v>16</v>
      </c>
      <c r="P6" s="22">
        <v>24777501</v>
      </c>
      <c r="Q6" s="22">
        <v>774296.90625</v>
      </c>
      <c r="R6" s="22">
        <v>19924.375</v>
      </c>
      <c r="S6" s="23">
        <v>1444760</v>
      </c>
      <c r="T6" s="23">
        <v>819528</v>
      </c>
      <c r="U6" s="23">
        <v>357944</v>
      </c>
      <c r="V6" s="23">
        <v>267288</v>
      </c>
      <c r="W6" s="24">
        <v>68.552899999999994</v>
      </c>
      <c r="X6" s="24">
        <v>70.622062</v>
      </c>
      <c r="Y6" s="24">
        <v>33.797708999999998</v>
      </c>
      <c r="Z6" s="24">
        <v>45.493977999999998</v>
      </c>
      <c r="AA6" s="24">
        <v>45.155887</v>
      </c>
      <c r="AB6" s="25">
        <v>1669.5</v>
      </c>
      <c r="AC6" s="25">
        <v>2878.92</v>
      </c>
      <c r="AD6" s="25">
        <v>35.618000000000002</v>
      </c>
      <c r="AE6" s="25">
        <v>12.786</v>
      </c>
      <c r="AG6" s="20">
        <f t="shared" si="6"/>
        <v>1.3544700000000001</v>
      </c>
      <c r="AH6" s="21">
        <f t="shared" si="7"/>
        <v>6.0667222120531737E-3</v>
      </c>
      <c r="AI6" s="21">
        <f t="shared" si="8"/>
        <v>4.9443537441640258E-3</v>
      </c>
      <c r="AJ6" s="21">
        <f t="shared" si="9"/>
        <v>3.4412782682060462E-3</v>
      </c>
      <c r="AK6" s="21">
        <f t="shared" si="10"/>
        <v>1.1223684678891481E-3</v>
      </c>
      <c r="AL6" s="18">
        <f t="shared" si="11"/>
        <v>1177480</v>
      </c>
      <c r="AM6" s="21">
        <v>16</v>
      </c>
      <c r="AN6" s="22">
        <v>24777501</v>
      </c>
      <c r="AO6" s="22">
        <v>774296.90625</v>
      </c>
      <c r="AP6" s="22">
        <v>19924.375</v>
      </c>
      <c r="AQ6" s="23">
        <v>1444768</v>
      </c>
      <c r="AR6" s="23">
        <v>819528</v>
      </c>
      <c r="AS6" s="23">
        <v>357952</v>
      </c>
      <c r="AT6" s="23">
        <v>267288</v>
      </c>
      <c r="AU6" s="24">
        <v>68.552899999999994</v>
      </c>
      <c r="AV6" s="24">
        <v>70.622062</v>
      </c>
      <c r="AW6" s="24">
        <v>33.797708999999998</v>
      </c>
      <c r="AX6" s="24">
        <v>45.493977999999998</v>
      </c>
      <c r="AY6" s="24">
        <v>45.155887</v>
      </c>
      <c r="AZ6" s="25"/>
      <c r="BA6" s="25"/>
      <c r="BB6" s="25"/>
      <c r="BC6" s="25"/>
      <c r="BE6" s="50">
        <f t="shared" si="12"/>
        <v>1.0000067942167628</v>
      </c>
      <c r="BF6" s="26">
        <f t="shared" si="13"/>
        <v>0</v>
      </c>
      <c r="BG6" s="26">
        <f t="shared" si="14"/>
        <v>1.0244142836235426E-6</v>
      </c>
      <c r="BH6" s="26"/>
      <c r="BJ6" s="50"/>
      <c r="BK6" s="50"/>
      <c r="BL6" s="50"/>
      <c r="BM6" s="50"/>
      <c r="BN6" s="50"/>
      <c r="BP6" s="50"/>
      <c r="BQ6" s="50"/>
      <c r="BR6" s="50"/>
      <c r="BS6" s="50"/>
      <c r="BT6" s="50"/>
      <c r="BW6" s="73"/>
      <c r="BX6" s="70" t="s">
        <v>57</v>
      </c>
      <c r="BY6" s="71">
        <f>BJ10</f>
        <v>2.8131379787854627E-5</v>
      </c>
      <c r="BZ6" s="71">
        <f t="shared" ref="BZ6:CC6" si="17">BK10</f>
        <v>2.5740876525848222E-5</v>
      </c>
      <c r="CA6" s="71">
        <f t="shared" si="17"/>
        <v>0</v>
      </c>
      <c r="CB6" s="71">
        <f t="shared" si="17"/>
        <v>0</v>
      </c>
      <c r="CC6" s="71">
        <f t="shared" si="17"/>
        <v>0</v>
      </c>
      <c r="CD6" s="72"/>
      <c r="CE6" s="71">
        <f>BP10</f>
        <v>1.82116492628559E-5</v>
      </c>
      <c r="CF6" s="71">
        <f t="shared" ref="CF6:CI6" si="18">BQ10</f>
        <v>1.6238552660752248E-5</v>
      </c>
      <c r="CG6" s="71">
        <f t="shared" si="18"/>
        <v>1.5484607230664693E-5</v>
      </c>
      <c r="CH6" s="71">
        <f t="shared" si="18"/>
        <v>1.534856031382148E-5</v>
      </c>
      <c r="CI6" s="71">
        <f t="shared" si="18"/>
        <v>1.6213810987597554E-5</v>
      </c>
    </row>
    <row r="7" spans="1:87" outlineLevel="1">
      <c r="A7" s="54"/>
      <c r="B7" s="54" t="s">
        <v>49</v>
      </c>
      <c r="C7" s="10" t="s">
        <v>232</v>
      </c>
      <c r="D7" s="54">
        <v>238146391</v>
      </c>
      <c r="E7" s="10">
        <v>10</v>
      </c>
      <c r="F7" s="10">
        <v>32</v>
      </c>
      <c r="G7" s="10">
        <v>30</v>
      </c>
      <c r="I7" s="11">
        <f t="shared" si="0"/>
        <v>1.8746925000000001</v>
      </c>
      <c r="J7" s="12">
        <f t="shared" si="1"/>
        <v>8.3968184090599963E-3</v>
      </c>
      <c r="K7" s="12">
        <f t="shared" si="2"/>
        <v>6.1429442363457858E-3</v>
      </c>
      <c r="L7" s="12">
        <f t="shared" si="3"/>
        <v>4.6399023531706598E-3</v>
      </c>
      <c r="M7" s="12">
        <f t="shared" si="4"/>
        <v>2.2538741727142109E-3</v>
      </c>
      <c r="N7" s="54">
        <f t="shared" si="5"/>
        <v>1462920</v>
      </c>
      <c r="O7" s="12">
        <v>16</v>
      </c>
      <c r="P7" s="13">
        <v>24923704</v>
      </c>
      <c r="Q7" s="13">
        <v>778865.75</v>
      </c>
      <c r="R7" s="13">
        <v>21104.84375</v>
      </c>
      <c r="S7" s="14">
        <v>1999672</v>
      </c>
      <c r="T7" s="14">
        <v>1104976</v>
      </c>
      <c r="U7" s="14">
        <v>357944</v>
      </c>
      <c r="V7" s="14">
        <v>536752</v>
      </c>
      <c r="W7" s="15">
        <v>69.837428000000003</v>
      </c>
      <c r="X7" s="15">
        <v>72.274171999999993</v>
      </c>
      <c r="Y7" s="15">
        <v>36.190190999999999</v>
      </c>
      <c r="Z7" s="15">
        <v>46.885874999999999</v>
      </c>
      <c r="AA7" s="15">
        <v>46.667105999999997</v>
      </c>
      <c r="AB7" s="16">
        <v>1666.93</v>
      </c>
      <c r="AC7" s="16">
        <v>3080.82</v>
      </c>
      <c r="AD7" s="16">
        <v>36.113999999999997</v>
      </c>
      <c r="AE7" s="16">
        <v>13.407999999999999</v>
      </c>
      <c r="AG7" s="11">
        <f t="shared" si="6"/>
        <v>1.8747</v>
      </c>
      <c r="AH7" s="12">
        <f t="shared" si="7"/>
        <v>8.3968520018428503E-3</v>
      </c>
      <c r="AI7" s="12">
        <f t="shared" si="8"/>
        <v>6.142977829128639E-3</v>
      </c>
      <c r="AJ7" s="12">
        <f t="shared" si="9"/>
        <v>4.6399023531706598E-3</v>
      </c>
      <c r="AK7" s="12">
        <f t="shared" si="10"/>
        <v>2.2538741727142109E-3</v>
      </c>
      <c r="AL7" s="54">
        <f t="shared" si="11"/>
        <v>1462928</v>
      </c>
      <c r="AM7" s="12">
        <v>16</v>
      </c>
      <c r="AN7" s="13">
        <v>24923704</v>
      </c>
      <c r="AO7" s="13">
        <v>778865.75</v>
      </c>
      <c r="AP7" s="13">
        <v>21104.84375</v>
      </c>
      <c r="AQ7" s="14">
        <v>1999680</v>
      </c>
      <c r="AR7" s="14">
        <v>1104976</v>
      </c>
      <c r="AS7" s="14">
        <v>357952</v>
      </c>
      <c r="AT7" s="14">
        <v>536752</v>
      </c>
      <c r="AU7" s="15">
        <v>69.837428000000003</v>
      </c>
      <c r="AV7" s="15">
        <v>72.274171999999993</v>
      </c>
      <c r="AW7" s="15">
        <v>36.190190999999999</v>
      </c>
      <c r="AX7" s="15">
        <v>46.885874999999999</v>
      </c>
      <c r="AY7" s="15">
        <v>46.667105999999997</v>
      </c>
      <c r="AZ7" s="16"/>
      <c r="BA7" s="16"/>
      <c r="BB7" s="16"/>
      <c r="BC7" s="16"/>
      <c r="BE7" s="51">
        <f t="shared" si="12"/>
        <v>1.0000054685150248</v>
      </c>
      <c r="BF7" s="17">
        <f t="shared" si="13"/>
        <v>0</v>
      </c>
      <c r="BG7" s="17">
        <f t="shared" si="14"/>
        <v>1.0738518998465452E-6</v>
      </c>
      <c r="BH7" s="17"/>
      <c r="BJ7" s="51"/>
      <c r="BK7" s="51"/>
      <c r="BL7" s="51"/>
      <c r="BM7" s="51"/>
      <c r="BN7" s="51"/>
      <c r="BP7" s="51"/>
      <c r="BQ7" s="51"/>
      <c r="BR7" s="51"/>
      <c r="BS7" s="51"/>
      <c r="BT7" s="51"/>
      <c r="BW7" s="73"/>
      <c r="BX7" s="70" t="s">
        <v>62</v>
      </c>
      <c r="BY7" s="71">
        <f>BJ15</f>
        <v>3.1587850721326305E-5</v>
      </c>
      <c r="BZ7" s="71">
        <f t="shared" ref="BZ7:CC7" si="19">BK15</f>
        <v>2.9068156942146928E-5</v>
      </c>
      <c r="CA7" s="71">
        <f t="shared" si="19"/>
        <v>0</v>
      </c>
      <c r="CB7" s="71">
        <f t="shared" si="19"/>
        <v>0</v>
      </c>
      <c r="CC7" s="71">
        <f t="shared" si="19"/>
        <v>0</v>
      </c>
      <c r="CD7" s="72"/>
      <c r="CE7" s="71">
        <f>BP15</f>
        <v>2.3163114472701807E-5</v>
      </c>
      <c r="CF7" s="71">
        <f t="shared" ref="CF7:CI7" si="20">BQ15</f>
        <v>2.0823183921603317E-5</v>
      </c>
      <c r="CG7" s="71">
        <f t="shared" si="20"/>
        <v>1.9992262478618628E-5</v>
      </c>
      <c r="CH7" s="71">
        <f t="shared" si="20"/>
        <v>1.6578376981435383E-5</v>
      </c>
      <c r="CI7" s="71">
        <f t="shared" si="20"/>
        <v>1.6969884731654616E-5</v>
      </c>
    </row>
    <row r="8" spans="1:87" outlineLevel="1">
      <c r="A8" s="18"/>
      <c r="B8" s="18" t="s">
        <v>49</v>
      </c>
      <c r="C8" s="19" t="s">
        <v>233</v>
      </c>
      <c r="D8" s="18">
        <v>238146391</v>
      </c>
      <c r="E8" s="19">
        <v>10</v>
      </c>
      <c r="F8" s="19">
        <v>32</v>
      </c>
      <c r="G8" s="19">
        <v>30</v>
      </c>
      <c r="I8" s="20">
        <f t="shared" si="0"/>
        <v>3.0921750000000001</v>
      </c>
      <c r="J8" s="21">
        <f t="shared" si="1"/>
        <v>1.3849968442309924E-2</v>
      </c>
      <c r="K8" s="21">
        <f t="shared" si="2"/>
        <v>8.8574426475352304E-3</v>
      </c>
      <c r="L8" s="21">
        <f t="shared" si="3"/>
        <v>7.3544007643601035E-3</v>
      </c>
      <c r="M8" s="21">
        <f t="shared" si="4"/>
        <v>4.9925257947746942E-3</v>
      </c>
      <c r="N8" s="18">
        <f t="shared" si="5"/>
        <v>2109368</v>
      </c>
      <c r="O8" s="21">
        <v>16</v>
      </c>
      <c r="P8" s="22">
        <v>25894561</v>
      </c>
      <c r="Q8" s="22">
        <v>809205.03125</v>
      </c>
      <c r="R8" s="22">
        <v>24362.6875</v>
      </c>
      <c r="S8" s="23">
        <v>3298320</v>
      </c>
      <c r="T8" s="23">
        <v>1751424</v>
      </c>
      <c r="U8" s="23">
        <v>357944</v>
      </c>
      <c r="V8" s="23">
        <v>1188952</v>
      </c>
      <c r="W8" s="24">
        <v>70.899375000000006</v>
      </c>
      <c r="X8" s="24">
        <v>73.460280999999995</v>
      </c>
      <c r="Y8" s="24">
        <v>38.672843999999998</v>
      </c>
      <c r="Z8" s="24">
        <v>48.123803000000002</v>
      </c>
      <c r="AA8" s="24">
        <v>48.145434000000002</v>
      </c>
      <c r="AB8" s="25">
        <v>1967.86</v>
      </c>
      <c r="AC8" s="25">
        <v>3739.8</v>
      </c>
      <c r="AD8" s="25">
        <v>37.585999999999999</v>
      </c>
      <c r="AE8" s="25">
        <v>13.427</v>
      </c>
      <c r="AG8" s="20">
        <f t="shared" si="6"/>
        <v>3.0921824999999998</v>
      </c>
      <c r="AH8" s="21">
        <f t="shared" si="7"/>
        <v>1.3850002035092776E-2</v>
      </c>
      <c r="AI8" s="21">
        <f t="shared" si="8"/>
        <v>8.8574762403180827E-3</v>
      </c>
      <c r="AJ8" s="21">
        <f t="shared" si="9"/>
        <v>7.3544007643601035E-3</v>
      </c>
      <c r="AK8" s="21">
        <f t="shared" si="10"/>
        <v>4.9925257947746942E-3</v>
      </c>
      <c r="AL8" s="18">
        <f t="shared" si="11"/>
        <v>2109376</v>
      </c>
      <c r="AM8" s="21">
        <v>16</v>
      </c>
      <c r="AN8" s="22">
        <v>25894561</v>
      </c>
      <c r="AO8" s="22">
        <v>809205.03125</v>
      </c>
      <c r="AP8" s="22">
        <v>24362.6875</v>
      </c>
      <c r="AQ8" s="23">
        <v>3298328</v>
      </c>
      <c r="AR8" s="23">
        <v>1751424</v>
      </c>
      <c r="AS8" s="23">
        <v>357952</v>
      </c>
      <c r="AT8" s="23">
        <v>1188952</v>
      </c>
      <c r="AU8" s="24">
        <v>70.899375000000006</v>
      </c>
      <c r="AV8" s="24">
        <v>73.460280999999995</v>
      </c>
      <c r="AW8" s="24">
        <v>38.672843999999998</v>
      </c>
      <c r="AX8" s="24">
        <v>48.123803000000002</v>
      </c>
      <c r="AY8" s="24">
        <v>48.145434000000002</v>
      </c>
      <c r="AZ8" s="25"/>
      <c r="BA8" s="25"/>
      <c r="BB8" s="25"/>
      <c r="BC8" s="25"/>
      <c r="BE8" s="50">
        <f t="shared" si="12"/>
        <v>1.0000037926051784</v>
      </c>
      <c r="BF8" s="26">
        <f t="shared" si="13"/>
        <v>0</v>
      </c>
      <c r="BG8" s="26">
        <f t="shared" si="14"/>
        <v>8.7431449602437539E-7</v>
      </c>
      <c r="BH8" s="26"/>
      <c r="BJ8" s="50"/>
      <c r="BK8" s="50"/>
      <c r="BL8" s="50"/>
      <c r="BM8" s="50"/>
      <c r="BN8" s="50"/>
      <c r="BP8" s="50"/>
      <c r="BQ8" s="50"/>
      <c r="BR8" s="50"/>
      <c r="BS8" s="50"/>
      <c r="BT8" s="50"/>
      <c r="BW8" s="74"/>
      <c r="BX8" s="70" t="s">
        <v>68</v>
      </c>
      <c r="BY8" s="71">
        <f>BJ20</f>
        <v>5.8879319981830491E-6</v>
      </c>
      <c r="BZ8" s="71">
        <f t="shared" ref="BZ8:CC8" si="21">BK20</f>
        <v>5.3911961681585296E-6</v>
      </c>
      <c r="CA8" s="71">
        <f t="shared" si="21"/>
        <v>0</v>
      </c>
      <c r="CB8" s="71">
        <f t="shared" si="21"/>
        <v>0</v>
      </c>
      <c r="CC8" s="71">
        <f t="shared" si="21"/>
        <v>0</v>
      </c>
      <c r="CD8" s="72"/>
      <c r="CE8" s="71">
        <f>BP20</f>
        <v>3.708287827919321E-6</v>
      </c>
      <c r="CF8" s="71">
        <f t="shared" ref="CF8:CI8" si="22">BQ20</f>
        <v>3.2689234070737427E-6</v>
      </c>
      <c r="CG8" s="71">
        <f t="shared" si="22"/>
        <v>3.242917441248494E-6</v>
      </c>
      <c r="CH8" s="71">
        <f t="shared" si="22"/>
        <v>3.3111755575188084E-6</v>
      </c>
      <c r="CI8" s="71">
        <f t="shared" si="22"/>
        <v>3.5365785882035539E-6</v>
      </c>
    </row>
    <row r="9" spans="1:87" ht="16" outlineLevel="1" thickBot="1">
      <c r="A9" s="54"/>
      <c r="B9" s="27" t="s">
        <v>49</v>
      </c>
      <c r="C9" s="28" t="s">
        <v>234</v>
      </c>
      <c r="D9" s="27">
        <v>238146391</v>
      </c>
      <c r="E9" s="28">
        <v>10</v>
      </c>
      <c r="F9" s="28">
        <v>32</v>
      </c>
      <c r="G9" s="28">
        <v>30</v>
      </c>
      <c r="I9" s="29">
        <f t="shared" si="0"/>
        <v>6.3075599999999996</v>
      </c>
      <c r="J9" s="30">
        <f t="shared" si="1"/>
        <v>2.8251799121322817E-2</v>
      </c>
      <c r="K9" s="30">
        <f t="shared" si="2"/>
        <v>1.55664924605135E-2</v>
      </c>
      <c r="L9" s="30">
        <f t="shared" si="3"/>
        <v>1.2147654171253009E-2</v>
      </c>
      <c r="M9" s="30">
        <f t="shared" si="4"/>
        <v>1.2685306660809317E-2</v>
      </c>
      <c r="N9" s="27">
        <f t="shared" si="5"/>
        <v>3707104</v>
      </c>
      <c r="O9" s="30">
        <v>16</v>
      </c>
      <c r="P9" s="31">
        <v>24903158</v>
      </c>
      <c r="Q9" s="31">
        <v>778223.6875</v>
      </c>
      <c r="R9" s="31">
        <v>10582.96875</v>
      </c>
      <c r="S9" s="32">
        <v>6728064</v>
      </c>
      <c r="T9" s="32">
        <v>2892920</v>
      </c>
      <c r="U9" s="32">
        <v>814184</v>
      </c>
      <c r="V9" s="32">
        <v>3020960</v>
      </c>
      <c r="W9" s="33">
        <v>71.932040999999998</v>
      </c>
      <c r="X9" s="33">
        <v>75.246168999999995</v>
      </c>
      <c r="Y9" s="33">
        <v>41.136228000000003</v>
      </c>
      <c r="Z9" s="33">
        <v>49.547474999999999</v>
      </c>
      <c r="AA9" s="33">
        <v>49.690052999999999</v>
      </c>
      <c r="AB9" s="34">
        <v>1987.17</v>
      </c>
      <c r="AC9" s="34">
        <v>5029.8</v>
      </c>
      <c r="AD9" s="34">
        <v>42.936</v>
      </c>
      <c r="AE9" s="34">
        <v>21.940999999999999</v>
      </c>
      <c r="AG9" s="29">
        <f t="shared" si="6"/>
        <v>6.3075675000000002</v>
      </c>
      <c r="AH9" s="30">
        <f t="shared" si="7"/>
        <v>2.8251832714105668E-2</v>
      </c>
      <c r="AI9" s="30">
        <f t="shared" si="8"/>
        <v>1.5566526053296352E-2</v>
      </c>
      <c r="AJ9" s="30">
        <f t="shared" si="9"/>
        <v>1.2147654171253009E-2</v>
      </c>
      <c r="AK9" s="30">
        <f t="shared" si="10"/>
        <v>1.2685306660809317E-2</v>
      </c>
      <c r="AL9" s="27">
        <f t="shared" si="11"/>
        <v>3707112</v>
      </c>
      <c r="AM9" s="30">
        <v>16</v>
      </c>
      <c r="AN9" s="31">
        <v>24903158</v>
      </c>
      <c r="AO9" s="31">
        <v>778223.6875</v>
      </c>
      <c r="AP9" s="31">
        <v>10582.96875</v>
      </c>
      <c r="AQ9" s="32">
        <v>6728072</v>
      </c>
      <c r="AR9" s="32">
        <v>2892920</v>
      </c>
      <c r="AS9" s="32">
        <v>814192</v>
      </c>
      <c r="AT9" s="32">
        <v>3020960</v>
      </c>
      <c r="AU9" s="33">
        <v>71.932040999999998</v>
      </c>
      <c r="AV9" s="33">
        <v>75.246168999999995</v>
      </c>
      <c r="AW9" s="33">
        <v>41.136228000000003</v>
      </c>
      <c r="AX9" s="33">
        <v>49.547474999999999</v>
      </c>
      <c r="AY9" s="33">
        <v>49.690052999999999</v>
      </c>
      <c r="AZ9" s="34"/>
      <c r="BA9" s="34"/>
      <c r="BB9" s="34"/>
      <c r="BC9" s="34"/>
      <c r="BE9" s="35">
        <f t="shared" si="12"/>
        <v>1.0000021580187661</v>
      </c>
      <c r="BF9" s="36">
        <f t="shared" si="13"/>
        <v>0</v>
      </c>
      <c r="BG9" s="36">
        <f t="shared" si="14"/>
        <v>5.3389298859674028E-7</v>
      </c>
      <c r="BH9" s="36"/>
      <c r="BJ9" s="35"/>
      <c r="BK9" s="35"/>
      <c r="BL9" s="35"/>
      <c r="BM9" s="35"/>
      <c r="BN9" s="35"/>
      <c r="BP9" s="35"/>
      <c r="BQ9" s="35"/>
      <c r="BR9" s="35"/>
      <c r="BS9" s="35"/>
      <c r="BT9" s="35"/>
      <c r="BW9" s="70" t="s">
        <v>235</v>
      </c>
      <c r="BX9" s="70" t="s">
        <v>71</v>
      </c>
      <c r="BY9" s="71">
        <f>BJ25</f>
        <v>2.3086641415925868E-5</v>
      </c>
      <c r="BZ9" s="71">
        <f t="shared" ref="BZ9:CC9" si="23">BK25</f>
        <v>2.1139329469122004E-5</v>
      </c>
      <c r="CA9" s="71">
        <f t="shared" si="23"/>
        <v>0</v>
      </c>
      <c r="CB9" s="71">
        <f t="shared" si="23"/>
        <v>0</v>
      </c>
      <c r="CC9" s="71">
        <f t="shared" si="23"/>
        <v>0</v>
      </c>
      <c r="CD9" s="72"/>
      <c r="CE9" s="71">
        <f>BP25</f>
        <v>1.1421469178873878E-5</v>
      </c>
      <c r="CF9" s="71">
        <f t="shared" ref="CF9:CI9" si="24">BQ25</f>
        <v>9.9648915568018026E-6</v>
      </c>
      <c r="CG9" s="71">
        <f t="shared" si="24"/>
        <v>8.7108599964302869E-6</v>
      </c>
      <c r="CH9" s="71">
        <f t="shared" si="24"/>
        <v>8.5477683822166028E-6</v>
      </c>
      <c r="CI9" s="71">
        <f t="shared" si="24"/>
        <v>8.9054754945916414E-6</v>
      </c>
    </row>
    <row r="10" spans="1:87">
      <c r="A10" s="18"/>
      <c r="B10" s="18" t="s">
        <v>57</v>
      </c>
      <c r="C10" s="19" t="s">
        <v>230</v>
      </c>
      <c r="D10" s="18">
        <v>218121242</v>
      </c>
      <c r="E10" s="19">
        <v>10</v>
      </c>
      <c r="F10" s="19">
        <v>32</v>
      </c>
      <c r="G10" s="19">
        <v>30</v>
      </c>
      <c r="I10" s="20">
        <f t="shared" si="0"/>
        <v>1.9621875</v>
      </c>
      <c r="J10" s="21">
        <f t="shared" si="1"/>
        <v>9.5955807917139958E-3</v>
      </c>
      <c r="K10" s="21">
        <f t="shared" si="2"/>
        <v>7.1812904861416477E-3</v>
      </c>
      <c r="L10" s="21">
        <f t="shared" si="3"/>
        <v>4.1200939063055584E-3</v>
      </c>
      <c r="M10" s="21">
        <f t="shared" si="4"/>
        <v>2.4142903055723477E-3</v>
      </c>
      <c r="N10" s="18">
        <f t="shared" si="5"/>
        <v>1566392</v>
      </c>
      <c r="O10" s="21">
        <v>16</v>
      </c>
      <c r="P10" s="22">
        <v>21022693</v>
      </c>
      <c r="Q10" s="22">
        <v>656959.15625</v>
      </c>
      <c r="R10" s="22">
        <v>19029.53125</v>
      </c>
      <c r="S10" s="23">
        <v>2093000</v>
      </c>
      <c r="T10" s="23">
        <v>898680</v>
      </c>
      <c r="U10" s="23">
        <v>667712</v>
      </c>
      <c r="V10" s="23">
        <v>526608</v>
      </c>
      <c r="W10" s="24">
        <v>65.986408999999995</v>
      </c>
      <c r="X10" s="24">
        <v>67.859938</v>
      </c>
      <c r="Y10" s="24">
        <v>31.008880999999999</v>
      </c>
      <c r="Z10" s="24">
        <v>38.737783999999998</v>
      </c>
      <c r="AA10" s="24">
        <v>30.107271999999998</v>
      </c>
      <c r="AB10" s="25">
        <v>1677.71</v>
      </c>
      <c r="AC10" s="25">
        <v>3388.14</v>
      </c>
      <c r="AD10" s="25">
        <v>30.978999999999999</v>
      </c>
      <c r="AE10" s="25">
        <v>14.045999999999999</v>
      </c>
      <c r="AG10" s="20">
        <f t="shared" si="6"/>
        <v>1.9622474999999999</v>
      </c>
      <c r="AH10" s="21">
        <f t="shared" si="7"/>
        <v>9.5958742065112568E-3</v>
      </c>
      <c r="AI10" s="21">
        <f t="shared" si="8"/>
        <v>7.1815839009389103E-3</v>
      </c>
      <c r="AJ10" s="21">
        <f t="shared" si="9"/>
        <v>4.1200939063055584E-3</v>
      </c>
      <c r="AK10" s="21">
        <f t="shared" si="10"/>
        <v>2.4142903055723477E-3</v>
      </c>
      <c r="AL10" s="18">
        <f t="shared" si="11"/>
        <v>1566456</v>
      </c>
      <c r="AM10" s="21">
        <v>16</v>
      </c>
      <c r="AN10" s="22">
        <v>21022693</v>
      </c>
      <c r="AO10" s="22">
        <v>656959.15625</v>
      </c>
      <c r="AP10" s="22">
        <v>19029.53125</v>
      </c>
      <c r="AQ10" s="23">
        <v>2093064</v>
      </c>
      <c r="AR10" s="23">
        <v>898680</v>
      </c>
      <c r="AS10" s="23">
        <v>667776</v>
      </c>
      <c r="AT10" s="23">
        <v>526608</v>
      </c>
      <c r="AU10" s="24">
        <v>65.986408999999995</v>
      </c>
      <c r="AV10" s="24">
        <v>67.859938</v>
      </c>
      <c r="AW10" s="24">
        <v>31.008880999999999</v>
      </c>
      <c r="AX10" s="24">
        <v>38.737783999999998</v>
      </c>
      <c r="AY10" s="24">
        <v>30.107271999999998</v>
      </c>
      <c r="AZ10" s="25"/>
      <c r="BA10" s="25"/>
      <c r="BB10" s="25"/>
      <c r="BC10" s="25"/>
      <c r="BE10" s="50">
        <f t="shared" si="12"/>
        <v>1.0000408582270595</v>
      </c>
      <c r="BF10" s="26">
        <f t="shared" si="13"/>
        <v>0</v>
      </c>
      <c r="BG10" s="26">
        <f t="shared" si="14"/>
        <v>7.6933535327894376E-6</v>
      </c>
      <c r="BH10" s="26">
        <f t="array" ref="BH10">AVERAGE(AL10:AL14/AQ10:AQ14) - AVERAGE(N10:N14/S10:S14)</f>
        <v>5.7061694582749567E-6</v>
      </c>
      <c r="BJ10" s="50">
        <f>IF( OR(ISBLANK(N10:N14),ISBLANK(AL10:AL14), ISBLANK(W10:W14),ISBLANK(AU10:AU14)), "·", bdRateExtend( N10:N14,W10:W14, AL10:AL14,AU10:AU14))</f>
        <v>2.8131379787854627E-5</v>
      </c>
      <c r="BK10" s="50">
        <f>IF( OR(ISBLANK(N10:N14),ISBLANK(AL10:AL14), ISBLANK(X10:X14),ISBLANK(AV10:AV14)), "·", bdRateExtend( N10:N14,X10:X14, AL10:AL14,AV10:AV14))</f>
        <v>2.5740876525848222E-5</v>
      </c>
      <c r="BL10" s="50">
        <f>IF( OR(ISBLANK(V10:V14),ISBLANK(AT10:AT14), ISBLANK(Y10:Y14),ISBLANK(AW10:AW14)), "·", bdRateExtend( V10:V14,Y10:Y14, AT10:AT14,AW10:AW14))</f>
        <v>0</v>
      </c>
      <c r="BM10" s="50">
        <f>IF( OR(ISBLANK(V10:V14),ISBLANK(AT10:AT14), ISBLANK(Z10:Z14),ISBLANK(AX10:AX14)), "·", bdRateExtend( V10:V14,Z10:Z14, AT10:AT14,AX10:AX14))</f>
        <v>0</v>
      </c>
      <c r="BN10" s="50">
        <f>IF( OR(ISBLANK(V10:V14),ISBLANK(AT10:AT14), ISBLANK(AA10:AA14),ISBLANK(AY10:AY14)), "·", bdRateExtend( V10:V14,AA10:AA14, AT10:AT14,AY10:AY14))</f>
        <v>0</v>
      </c>
      <c r="BP10" s="50">
        <f>IF( OR(ISBLANK(S10:S14),ISBLANK(AQ10:AQ14), ISBLANK(W10:W14),ISBLANK(AU10:AU14)), "·", bdRateExtend( S10:S14,W10:W14, AQ10:AQ14,AU10:AU14))</f>
        <v>1.82116492628559E-5</v>
      </c>
      <c r="BQ10" s="50">
        <f>IF( OR(ISBLANK(S10:S14),ISBLANK(AQ10:AQ14), ISBLANK(X10:X14),ISBLANK(AV10:AV14)), "·", bdRateExtend( S10:S14,X10:X14, AQ10:AQ14,AV10:AV14))</f>
        <v>1.6238552660752248E-5</v>
      </c>
      <c r="BR10" s="50">
        <f>IF( OR(ISBLANK(S10:S14),ISBLANK(AQ10:AQ14), ISBLANK(Y10:Y14),ISBLANK(AW10:AW14)), "·", bdRateExtend( S10:S14,Y10:Y14, AQ10:AQ14,AW10:AW14))</f>
        <v>1.5484607230664693E-5</v>
      </c>
      <c r="BS10" s="50">
        <f>IF( OR(ISBLANK(S10:S14),ISBLANK(AQ10:AQ14), ISBLANK(Z10:Z14),ISBLANK(AX10:AX14)), "·", bdRateExtend( S10:S14,Z10:Z14, AQ10:AQ14,AX10:AX14))</f>
        <v>1.534856031382148E-5</v>
      </c>
      <c r="BT10" s="50">
        <f>IF( OR(ISBLANK(S10:S14),ISBLANK(AQ10:AQ14), ISBLANK(AA10:AA14),ISBLANK(AY10:AY14)), "·", bdRateExtend( S10:S14,AA10:AA14, AQ10:AQ14,AY10:AY14))</f>
        <v>1.6213810987597554E-5</v>
      </c>
      <c r="BW10" s="69" t="s">
        <v>236</v>
      </c>
      <c r="BX10" s="70" t="s">
        <v>75</v>
      </c>
      <c r="BY10" s="71">
        <f>BJ30</f>
        <v>5.7936574287875686E-5</v>
      </c>
      <c r="BZ10" s="71">
        <f t="shared" ref="BZ10:CC10" si="25">BK30</f>
        <v>5.5652590578381123E-5</v>
      </c>
      <c r="CA10" s="71">
        <f t="shared" si="25"/>
        <v>0</v>
      </c>
      <c r="CB10" s="71">
        <f t="shared" si="25"/>
        <v>0</v>
      </c>
      <c r="CC10" s="71">
        <f t="shared" si="25"/>
        <v>0</v>
      </c>
      <c r="CD10" s="72"/>
      <c r="CE10" s="71">
        <f>BP30</f>
        <v>4.0431669443119489E-5</v>
      </c>
      <c r="CF10" s="71">
        <f t="shared" ref="CF10:CI10" si="26">BQ30</f>
        <v>3.8381150769595251E-5</v>
      </c>
      <c r="CG10" s="71">
        <f t="shared" si="26"/>
        <v>3.7024216101189111E-5</v>
      </c>
      <c r="CH10" s="71">
        <f t="shared" si="26"/>
        <v>3.439819765582719E-5</v>
      </c>
      <c r="CI10" s="71">
        <f t="shared" si="26"/>
        <v>3.5680457849407432E-5</v>
      </c>
    </row>
    <row r="11" spans="1:87" outlineLevel="1">
      <c r="A11" s="54"/>
      <c r="B11" s="54" t="s">
        <v>57</v>
      </c>
      <c r="C11" s="10" t="s">
        <v>231</v>
      </c>
      <c r="D11" s="54">
        <v>218121242</v>
      </c>
      <c r="E11" s="10">
        <v>10</v>
      </c>
      <c r="F11" s="10">
        <v>32</v>
      </c>
      <c r="G11" s="10">
        <v>30</v>
      </c>
      <c r="I11" s="11">
        <f t="shared" si="0"/>
        <v>2.68404</v>
      </c>
      <c r="J11" s="12">
        <f t="shared" si="1"/>
        <v>1.3125617540725354E-2</v>
      </c>
      <c r="K11" s="12">
        <f t="shared" si="2"/>
        <v>8.8242299665614414E-3</v>
      </c>
      <c r="L11" s="12">
        <f t="shared" si="3"/>
        <v>5.7630333867253513E-3</v>
      </c>
      <c r="M11" s="12">
        <f t="shared" si="4"/>
        <v>4.3013875741639137E-3</v>
      </c>
      <c r="N11" s="54">
        <f t="shared" si="5"/>
        <v>1924752</v>
      </c>
      <c r="O11" s="12">
        <v>16</v>
      </c>
      <c r="P11" s="13">
        <v>22225091</v>
      </c>
      <c r="Q11" s="13">
        <v>694534.09375</v>
      </c>
      <c r="R11" s="13">
        <v>23225.96875</v>
      </c>
      <c r="S11" s="14">
        <v>2862976</v>
      </c>
      <c r="T11" s="14">
        <v>1257040</v>
      </c>
      <c r="U11" s="14">
        <v>667712</v>
      </c>
      <c r="V11" s="14">
        <v>938224</v>
      </c>
      <c r="W11" s="15">
        <v>67.670468999999997</v>
      </c>
      <c r="X11" s="15">
        <v>69.746769</v>
      </c>
      <c r="Y11" s="15">
        <v>32.849716000000001</v>
      </c>
      <c r="Z11" s="15">
        <v>39.671069000000003</v>
      </c>
      <c r="AA11" s="15">
        <v>32.234743999999999</v>
      </c>
      <c r="AB11" s="16">
        <v>1818.85</v>
      </c>
      <c r="AC11" s="16">
        <v>3844.52</v>
      </c>
      <c r="AD11" s="16">
        <v>37.024999999999999</v>
      </c>
      <c r="AE11" s="16">
        <v>16.637</v>
      </c>
      <c r="AG11" s="11">
        <f t="shared" si="6"/>
        <v>2.6840999999999999</v>
      </c>
      <c r="AH11" s="12">
        <f t="shared" si="7"/>
        <v>1.3125910955522617E-2</v>
      </c>
      <c r="AI11" s="12">
        <f t="shared" si="8"/>
        <v>8.8245233813587041E-3</v>
      </c>
      <c r="AJ11" s="12">
        <f t="shared" si="9"/>
        <v>5.7630333867253513E-3</v>
      </c>
      <c r="AK11" s="12">
        <f t="shared" si="10"/>
        <v>4.3013875741639137E-3</v>
      </c>
      <c r="AL11" s="54">
        <f t="shared" si="11"/>
        <v>1924816</v>
      </c>
      <c r="AM11" s="12">
        <v>16</v>
      </c>
      <c r="AN11" s="13">
        <v>22225091</v>
      </c>
      <c r="AO11" s="13">
        <v>694534.09375</v>
      </c>
      <c r="AP11" s="13">
        <v>23225.96875</v>
      </c>
      <c r="AQ11" s="14">
        <v>2863040</v>
      </c>
      <c r="AR11" s="14">
        <v>1257040</v>
      </c>
      <c r="AS11" s="14">
        <v>667776</v>
      </c>
      <c r="AT11" s="14">
        <v>938224</v>
      </c>
      <c r="AU11" s="15">
        <v>67.670468999999997</v>
      </c>
      <c r="AV11" s="15">
        <v>69.746769</v>
      </c>
      <c r="AW11" s="15">
        <v>32.849716000000001</v>
      </c>
      <c r="AX11" s="15">
        <v>39.671069000000003</v>
      </c>
      <c r="AY11" s="15">
        <v>32.234743999999999</v>
      </c>
      <c r="AZ11" s="16"/>
      <c r="BA11" s="16"/>
      <c r="BB11" s="16"/>
      <c r="BC11" s="16"/>
      <c r="BE11" s="51">
        <f t="shared" si="12"/>
        <v>1.0000332510370167</v>
      </c>
      <c r="BF11" s="17">
        <f t="shared" si="13"/>
        <v>0</v>
      </c>
      <c r="BG11" s="17">
        <f t="shared" si="14"/>
        <v>7.3255694331697541E-6</v>
      </c>
      <c r="BH11" s="17"/>
      <c r="BJ11" s="51"/>
      <c r="BK11" s="51"/>
      <c r="BL11" s="51"/>
      <c r="BM11" s="51"/>
      <c r="BN11" s="51"/>
      <c r="BP11" s="51"/>
      <c r="BQ11" s="51"/>
      <c r="BR11" s="51"/>
      <c r="BS11" s="51"/>
      <c r="BT11" s="51"/>
      <c r="BW11" s="74"/>
      <c r="BX11" s="70" t="s">
        <v>80</v>
      </c>
      <c r="BY11" s="71">
        <f>BJ35</f>
        <v>4.5482045566203055E-5</v>
      </c>
      <c r="BZ11" s="71">
        <f t="shared" ref="BZ11:CC11" si="27">BK35</f>
        <v>4.3090433335279954E-5</v>
      </c>
      <c r="CA11" s="71">
        <f t="shared" si="27"/>
        <v>0</v>
      </c>
      <c r="CB11" s="71">
        <f t="shared" si="27"/>
        <v>0</v>
      </c>
      <c r="CC11" s="71">
        <f t="shared" si="27"/>
        <v>0</v>
      </c>
      <c r="CD11" s="72"/>
      <c r="CE11" s="71">
        <f>BP35</f>
        <v>2.9503657555940421E-5</v>
      </c>
      <c r="CF11" s="71">
        <f t="shared" ref="CF11:CI11" si="28">BQ35</f>
        <v>2.743859795306669E-5</v>
      </c>
      <c r="CG11" s="71">
        <f t="shared" si="28"/>
        <v>2.6884660234482993E-5</v>
      </c>
      <c r="CH11" s="71">
        <f t="shared" si="28"/>
        <v>2.5546269973864E-5</v>
      </c>
      <c r="CI11" s="71">
        <f t="shared" si="28"/>
        <v>2.60539217464828E-5</v>
      </c>
    </row>
    <row r="12" spans="1:87" outlineLevel="1">
      <c r="A12" s="18"/>
      <c r="B12" s="18" t="s">
        <v>57</v>
      </c>
      <c r="C12" s="19" t="s">
        <v>232</v>
      </c>
      <c r="D12" s="18">
        <v>218121242</v>
      </c>
      <c r="E12" s="19">
        <v>10</v>
      </c>
      <c r="F12" s="19">
        <v>32</v>
      </c>
      <c r="G12" s="19">
        <v>30</v>
      </c>
      <c r="I12" s="20">
        <f t="shared" si="0"/>
        <v>3.8271449999999998</v>
      </c>
      <c r="J12" s="21">
        <f t="shared" si="1"/>
        <v>1.8715682904464664E-2</v>
      </c>
      <c r="K12" s="21">
        <f t="shared" si="2"/>
        <v>1.1330725872173422E-2</v>
      </c>
      <c r="L12" s="21">
        <f t="shared" si="3"/>
        <v>8.2695292923373326E-3</v>
      </c>
      <c r="M12" s="21">
        <f t="shared" si="4"/>
        <v>7.3849570322912427E-3</v>
      </c>
      <c r="N12" s="18">
        <f t="shared" si="5"/>
        <v>2471472</v>
      </c>
      <c r="O12" s="21">
        <v>16</v>
      </c>
      <c r="P12" s="22">
        <v>22547007</v>
      </c>
      <c r="Q12" s="22">
        <v>704593.96875</v>
      </c>
      <c r="R12" s="22">
        <v>24701.21875</v>
      </c>
      <c r="S12" s="23">
        <v>4082288</v>
      </c>
      <c r="T12" s="23">
        <v>1803760</v>
      </c>
      <c r="U12" s="23">
        <v>667712</v>
      </c>
      <c r="V12" s="23">
        <v>1610816</v>
      </c>
      <c r="W12" s="24">
        <v>69.008019000000004</v>
      </c>
      <c r="X12" s="24">
        <v>71.384221999999994</v>
      </c>
      <c r="Y12" s="24">
        <v>34.862197000000002</v>
      </c>
      <c r="Z12" s="24">
        <v>40.632966000000003</v>
      </c>
      <c r="AA12" s="24">
        <v>34.134309000000002</v>
      </c>
      <c r="AB12" s="25">
        <v>1649.62</v>
      </c>
      <c r="AC12" s="25">
        <v>3812.42</v>
      </c>
      <c r="AD12" s="25">
        <v>33.829000000000001</v>
      </c>
      <c r="AE12" s="25">
        <v>14.395</v>
      </c>
      <c r="AG12" s="20">
        <f t="shared" si="6"/>
        <v>3.8272050000000002</v>
      </c>
      <c r="AH12" s="21">
        <f t="shared" si="7"/>
        <v>1.8715976319261928E-2</v>
      </c>
      <c r="AI12" s="21">
        <f t="shared" si="8"/>
        <v>1.1331019286970685E-2</v>
      </c>
      <c r="AJ12" s="21">
        <f t="shared" si="9"/>
        <v>8.2695292923373326E-3</v>
      </c>
      <c r="AK12" s="21">
        <f t="shared" si="10"/>
        <v>7.3849570322912427E-3</v>
      </c>
      <c r="AL12" s="18">
        <f t="shared" si="11"/>
        <v>2471536</v>
      </c>
      <c r="AM12" s="21">
        <v>16</v>
      </c>
      <c r="AN12" s="22">
        <v>22547007</v>
      </c>
      <c r="AO12" s="22">
        <v>704593.96875</v>
      </c>
      <c r="AP12" s="22">
        <v>24701.21875</v>
      </c>
      <c r="AQ12" s="23">
        <v>4082352</v>
      </c>
      <c r="AR12" s="23">
        <v>1803760</v>
      </c>
      <c r="AS12" s="23">
        <v>667776</v>
      </c>
      <c r="AT12" s="23">
        <v>1610816</v>
      </c>
      <c r="AU12" s="24">
        <v>69.008019000000004</v>
      </c>
      <c r="AV12" s="24">
        <v>71.384221999999994</v>
      </c>
      <c r="AW12" s="24">
        <v>34.862197000000002</v>
      </c>
      <c r="AX12" s="24">
        <v>40.632966000000003</v>
      </c>
      <c r="AY12" s="24">
        <v>34.134309000000002</v>
      </c>
      <c r="AZ12" s="25"/>
      <c r="BA12" s="25"/>
      <c r="BB12" s="25"/>
      <c r="BC12" s="25"/>
      <c r="BE12" s="50">
        <f t="shared" si="12"/>
        <v>1.0000258954987149</v>
      </c>
      <c r="BF12" s="26">
        <f t="shared" si="13"/>
        <v>0</v>
      </c>
      <c r="BG12" s="26">
        <f t="shared" si="14"/>
        <v>6.1860271165503633E-6</v>
      </c>
      <c r="BH12" s="26"/>
      <c r="BJ12" s="50"/>
      <c r="BK12" s="50"/>
      <c r="BL12" s="50"/>
      <c r="BM12" s="50"/>
      <c r="BN12" s="50"/>
      <c r="BP12" s="50"/>
      <c r="BQ12" s="50"/>
      <c r="BR12" s="50"/>
      <c r="BS12" s="50"/>
      <c r="BT12" s="50"/>
      <c r="BW12" s="72"/>
      <c r="BX12" s="75" t="s">
        <v>14</v>
      </c>
      <c r="BY12" s="71">
        <f>BJ40</f>
        <v>1.7820017034542168E-5</v>
      </c>
      <c r="BZ12" s="71">
        <f t="shared" ref="BZ12:CC15" si="29">BK40</f>
        <v>1.6407576529042789E-5</v>
      </c>
      <c r="CA12" s="71">
        <f t="shared" si="29"/>
        <v>0</v>
      </c>
      <c r="CB12" s="71">
        <f t="shared" si="29"/>
        <v>0</v>
      </c>
      <c r="CC12" s="71">
        <f t="shared" si="29"/>
        <v>0</v>
      </c>
      <c r="CD12" s="72"/>
      <c r="CE12" s="71">
        <f>BP40</f>
        <v>1.2369172240178639E-5</v>
      </c>
      <c r="CF12" s="71">
        <f t="shared" ref="CF12:CI15" si="30">BQ40</f>
        <v>1.1122536351493295E-5</v>
      </c>
      <c r="CG12" s="71">
        <f t="shared" si="30"/>
        <v>1.0658908636440589E-5</v>
      </c>
      <c r="CH12" s="71">
        <f t="shared" si="30"/>
        <v>9.7589211147108834E-6</v>
      </c>
      <c r="CI12" s="71">
        <f t="shared" si="30"/>
        <v>1.0115785851694259E-5</v>
      </c>
    </row>
    <row r="13" spans="1:87" outlineLevel="1">
      <c r="A13" s="54"/>
      <c r="B13" s="54" t="s">
        <v>57</v>
      </c>
      <c r="C13" s="10" t="s">
        <v>233</v>
      </c>
      <c r="D13" s="54">
        <v>218121242</v>
      </c>
      <c r="E13" s="10">
        <v>10</v>
      </c>
      <c r="F13" s="10">
        <v>32</v>
      </c>
      <c r="G13" s="10">
        <v>30</v>
      </c>
      <c r="I13" s="11">
        <f t="shared" si="0"/>
        <v>6.1983600000000001</v>
      </c>
      <c r="J13" s="12">
        <f t="shared" si="1"/>
        <v>3.0311509045964444E-2</v>
      </c>
      <c r="K13" s="12">
        <f t="shared" si="2"/>
        <v>1.5864938087964856E-2</v>
      </c>
      <c r="L13" s="12">
        <f t="shared" si="3"/>
        <v>1.2803741508128769E-2</v>
      </c>
      <c r="M13" s="12">
        <f t="shared" si="4"/>
        <v>1.4446570957999588E-2</v>
      </c>
      <c r="N13" s="54">
        <f t="shared" si="5"/>
        <v>3460480</v>
      </c>
      <c r="O13" s="12">
        <v>16</v>
      </c>
      <c r="P13" s="13">
        <v>23302548</v>
      </c>
      <c r="Q13" s="13">
        <v>728204.625</v>
      </c>
      <c r="R13" s="13">
        <v>28114</v>
      </c>
      <c r="S13" s="14">
        <v>6611584</v>
      </c>
      <c r="T13" s="14">
        <v>2792768</v>
      </c>
      <c r="U13" s="14">
        <v>667712</v>
      </c>
      <c r="V13" s="14">
        <v>3151104</v>
      </c>
      <c r="W13" s="15">
        <v>70.065494000000001</v>
      </c>
      <c r="X13" s="15">
        <v>72.574931000000007</v>
      </c>
      <c r="Y13" s="15">
        <v>37.048875000000002</v>
      </c>
      <c r="Z13" s="15">
        <v>41.693744000000002</v>
      </c>
      <c r="AA13" s="15">
        <v>36.086528000000001</v>
      </c>
      <c r="AB13" s="16">
        <v>2016.08</v>
      </c>
      <c r="AC13" s="16">
        <v>4611.9799999999996</v>
      </c>
      <c r="AD13" s="16">
        <v>35.945999999999998</v>
      </c>
      <c r="AE13" s="16">
        <v>16.242000000000001</v>
      </c>
      <c r="AG13" s="11">
        <f t="shared" si="6"/>
        <v>6.1984199999999996</v>
      </c>
      <c r="AH13" s="12">
        <f t="shared" si="7"/>
        <v>3.0311802460761709E-2</v>
      </c>
      <c r="AI13" s="12">
        <f t="shared" si="8"/>
        <v>1.5865231502762121E-2</v>
      </c>
      <c r="AJ13" s="12">
        <f t="shared" si="9"/>
        <v>1.2803741508128769E-2</v>
      </c>
      <c r="AK13" s="12">
        <f t="shared" si="10"/>
        <v>1.4446570957999588E-2</v>
      </c>
      <c r="AL13" s="54">
        <f t="shared" si="11"/>
        <v>3460544</v>
      </c>
      <c r="AM13" s="12">
        <v>16</v>
      </c>
      <c r="AN13" s="13">
        <v>23302548</v>
      </c>
      <c r="AO13" s="13">
        <v>728204.625</v>
      </c>
      <c r="AP13" s="13">
        <v>28114</v>
      </c>
      <c r="AQ13" s="14">
        <v>6611648</v>
      </c>
      <c r="AR13" s="14">
        <v>2792768</v>
      </c>
      <c r="AS13" s="14">
        <v>667776</v>
      </c>
      <c r="AT13" s="14">
        <v>3151104</v>
      </c>
      <c r="AU13" s="15">
        <v>70.065494000000001</v>
      </c>
      <c r="AV13" s="15">
        <v>72.574931000000007</v>
      </c>
      <c r="AW13" s="15">
        <v>37.048875000000002</v>
      </c>
      <c r="AX13" s="15">
        <v>41.693744000000002</v>
      </c>
      <c r="AY13" s="15">
        <v>36.086528000000001</v>
      </c>
      <c r="AZ13" s="16"/>
      <c r="BA13" s="16"/>
      <c r="BB13" s="16"/>
      <c r="BC13" s="16"/>
      <c r="BE13" s="51">
        <f t="shared" si="12"/>
        <v>1.0000184945441097</v>
      </c>
      <c r="BF13" s="17">
        <f t="shared" si="13"/>
        <v>0</v>
      </c>
      <c r="BG13" s="17">
        <f t="shared" si="14"/>
        <v>4.6134675159015259E-6</v>
      </c>
      <c r="BH13" s="17"/>
      <c r="BJ13" s="51"/>
      <c r="BK13" s="51"/>
      <c r="BL13" s="51"/>
      <c r="BM13" s="51"/>
      <c r="BN13" s="51"/>
      <c r="BP13" s="51"/>
      <c r="BQ13" s="51"/>
      <c r="BR13" s="51"/>
      <c r="BS13" s="51"/>
      <c r="BT13" s="51"/>
      <c r="BW13" s="72"/>
      <c r="BX13" s="75" t="s">
        <v>15</v>
      </c>
      <c r="BY13" s="71">
        <f t="shared" ref="BY13:BY15" si="31">BJ41</f>
        <v>2.3086641415925868E-5</v>
      </c>
      <c r="BZ13" s="71">
        <f t="shared" si="29"/>
        <v>2.1139329469122004E-5</v>
      </c>
      <c r="CA13" s="71">
        <f t="shared" si="29"/>
        <v>0</v>
      </c>
      <c r="CB13" s="71">
        <f t="shared" si="29"/>
        <v>0</v>
      </c>
      <c r="CC13" s="71">
        <f t="shared" si="29"/>
        <v>0</v>
      </c>
      <c r="CD13" s="72"/>
      <c r="CE13" s="71">
        <f t="shared" ref="CE13:CE15" si="32">BP41</f>
        <v>1.1421469178873878E-5</v>
      </c>
      <c r="CF13" s="71">
        <f t="shared" si="30"/>
        <v>9.9648915568018026E-6</v>
      </c>
      <c r="CG13" s="71">
        <f t="shared" si="30"/>
        <v>8.7108599964302869E-6</v>
      </c>
      <c r="CH13" s="71">
        <f t="shared" si="30"/>
        <v>8.5477683822166028E-6</v>
      </c>
      <c r="CI13" s="71">
        <f t="shared" si="30"/>
        <v>8.9054754945916414E-6</v>
      </c>
    </row>
    <row r="14" spans="1:87" ht="16" outlineLevel="1" thickBot="1">
      <c r="A14" s="18"/>
      <c r="B14" s="37" t="s">
        <v>57</v>
      </c>
      <c r="C14" s="38" t="s">
        <v>234</v>
      </c>
      <c r="D14" s="37">
        <v>218121242</v>
      </c>
      <c r="E14" s="38">
        <v>10</v>
      </c>
      <c r="F14" s="38">
        <v>32</v>
      </c>
      <c r="G14" s="38">
        <v>30</v>
      </c>
      <c r="I14" s="39">
        <f t="shared" si="0"/>
        <v>12.2187</v>
      </c>
      <c r="J14" s="40">
        <f t="shared" si="1"/>
        <v>5.9752456388452072E-2</v>
      </c>
      <c r="K14" s="40">
        <f t="shared" si="2"/>
        <v>2.6746665966627864E-2</v>
      </c>
      <c r="L14" s="40">
        <f t="shared" si="3"/>
        <v>2.0743655952591724E-2</v>
      </c>
      <c r="M14" s="40">
        <f t="shared" si="4"/>
        <v>3.3005790421824208E-2</v>
      </c>
      <c r="N14" s="37">
        <f t="shared" si="5"/>
        <v>5834016</v>
      </c>
      <c r="O14" s="40">
        <v>16</v>
      </c>
      <c r="P14" s="41">
        <v>22137685</v>
      </c>
      <c r="Q14" s="41">
        <v>691802.65625</v>
      </c>
      <c r="R14" s="41">
        <v>13319.59375</v>
      </c>
      <c r="S14" s="42">
        <v>13033280</v>
      </c>
      <c r="T14" s="42">
        <v>4524632</v>
      </c>
      <c r="U14" s="42">
        <v>1309384</v>
      </c>
      <c r="V14" s="42">
        <v>7199264</v>
      </c>
      <c r="W14" s="43">
        <v>70.915209000000004</v>
      </c>
      <c r="X14" s="43">
        <v>74.637884</v>
      </c>
      <c r="Y14" s="43">
        <v>39.478163000000002</v>
      </c>
      <c r="Z14" s="43">
        <v>42.981166000000002</v>
      </c>
      <c r="AA14" s="43">
        <v>38.262300000000003</v>
      </c>
      <c r="AB14" s="44">
        <v>1841.21</v>
      </c>
      <c r="AC14" s="44">
        <v>4737.07</v>
      </c>
      <c r="AD14" s="44">
        <v>33.226999999999997</v>
      </c>
      <c r="AE14" s="44">
        <v>19.283999999999999</v>
      </c>
      <c r="AG14" s="39">
        <f t="shared" si="6"/>
        <v>12.21876</v>
      </c>
      <c r="AH14" s="40">
        <f t="shared" si="7"/>
        <v>5.9752749803249329E-2</v>
      </c>
      <c r="AI14" s="40">
        <f t="shared" si="8"/>
        <v>2.6746959381425125E-2</v>
      </c>
      <c r="AJ14" s="40">
        <f t="shared" si="9"/>
        <v>2.0743655952591724E-2</v>
      </c>
      <c r="AK14" s="40">
        <f t="shared" si="10"/>
        <v>3.3005790421824208E-2</v>
      </c>
      <c r="AL14" s="37">
        <f t="shared" si="11"/>
        <v>5834080</v>
      </c>
      <c r="AM14" s="40">
        <v>16</v>
      </c>
      <c r="AN14" s="41">
        <v>22137685</v>
      </c>
      <c r="AO14" s="41">
        <v>691802.65625</v>
      </c>
      <c r="AP14" s="41">
        <v>13319.59375</v>
      </c>
      <c r="AQ14" s="42">
        <v>13033344</v>
      </c>
      <c r="AR14" s="42">
        <v>4524632</v>
      </c>
      <c r="AS14" s="42">
        <v>1309448</v>
      </c>
      <c r="AT14" s="42">
        <v>7199264</v>
      </c>
      <c r="AU14" s="43">
        <v>70.915209000000004</v>
      </c>
      <c r="AV14" s="43">
        <v>74.637884</v>
      </c>
      <c r="AW14" s="43">
        <v>39.478163000000002</v>
      </c>
      <c r="AX14" s="43">
        <v>42.981166000000002</v>
      </c>
      <c r="AY14" s="43">
        <v>38.262300000000003</v>
      </c>
      <c r="AZ14" s="44"/>
      <c r="BA14" s="44"/>
      <c r="BB14" s="44"/>
      <c r="BC14" s="44"/>
      <c r="BE14" s="45">
        <f t="shared" si="12"/>
        <v>1.000010970144751</v>
      </c>
      <c r="BF14" s="46">
        <f t="shared" si="13"/>
        <v>0</v>
      </c>
      <c r="BG14" s="46">
        <f t="shared" si="14"/>
        <v>2.7124296931857472E-6</v>
      </c>
      <c r="BH14" s="46"/>
      <c r="BJ14" s="45"/>
      <c r="BK14" s="45"/>
      <c r="BL14" s="45"/>
      <c r="BM14" s="45"/>
      <c r="BN14" s="45"/>
      <c r="BP14" s="45"/>
      <c r="BQ14" s="45"/>
      <c r="BR14" s="45"/>
      <c r="BS14" s="45"/>
      <c r="BT14" s="45"/>
      <c r="BW14" s="72"/>
      <c r="BX14" s="75" t="s">
        <v>16</v>
      </c>
      <c r="BY14" s="71">
        <f t="shared" si="31"/>
        <v>5.1709309927039371E-5</v>
      </c>
      <c r="BZ14" s="71">
        <f t="shared" si="29"/>
        <v>4.9371511956830538E-5</v>
      </c>
      <c r="CA14" s="71">
        <f t="shared" si="29"/>
        <v>0</v>
      </c>
      <c r="CB14" s="71">
        <f t="shared" si="29"/>
        <v>0</v>
      </c>
      <c r="CC14" s="71">
        <f t="shared" si="29"/>
        <v>0</v>
      </c>
      <c r="CD14" s="72"/>
      <c r="CE14" s="71">
        <f t="shared" si="32"/>
        <v>3.4967663499529955E-5</v>
      </c>
      <c r="CF14" s="71">
        <f t="shared" si="30"/>
        <v>3.2909874361330971E-5</v>
      </c>
      <c r="CG14" s="71">
        <f t="shared" si="30"/>
        <v>3.1954438167836052E-5</v>
      </c>
      <c r="CH14" s="71">
        <f t="shared" si="30"/>
        <v>2.9972233814845595E-5</v>
      </c>
      <c r="CI14" s="71">
        <f t="shared" si="30"/>
        <v>3.0867189797945116E-5</v>
      </c>
    </row>
    <row r="15" spans="1:87">
      <c r="A15" s="54"/>
      <c r="B15" s="54" t="s">
        <v>62</v>
      </c>
      <c r="C15" s="10" t="s">
        <v>230</v>
      </c>
      <c r="D15" s="54">
        <v>322589704</v>
      </c>
      <c r="E15" s="10">
        <v>10</v>
      </c>
      <c r="F15" s="10">
        <v>32</v>
      </c>
      <c r="G15" s="10">
        <v>30</v>
      </c>
      <c r="I15" s="11">
        <f t="shared" si="0"/>
        <v>1.6204350000000001</v>
      </c>
      <c r="J15" s="12">
        <f t="shared" si="1"/>
        <v>5.3580879320314573E-3</v>
      </c>
      <c r="K15" s="12">
        <f t="shared" si="2"/>
        <v>4.5058350653373611E-3</v>
      </c>
      <c r="L15" s="12">
        <f t="shared" si="3"/>
        <v>2.3656551667253461E-3</v>
      </c>
      <c r="M15" s="12">
        <f t="shared" si="4"/>
        <v>8.5225286669409633E-4</v>
      </c>
      <c r="N15" s="54">
        <f t="shared" si="5"/>
        <v>1453536</v>
      </c>
      <c r="O15" s="12">
        <v>16</v>
      </c>
      <c r="P15" s="13">
        <v>32415907</v>
      </c>
      <c r="Q15" s="13">
        <v>1012997.09375</v>
      </c>
      <c r="R15" s="13">
        <v>32038.0625</v>
      </c>
      <c r="S15" s="14">
        <v>1728464</v>
      </c>
      <c r="T15" s="14">
        <v>763136</v>
      </c>
      <c r="U15" s="14">
        <v>690400</v>
      </c>
      <c r="V15" s="14">
        <v>274928</v>
      </c>
      <c r="W15" s="15">
        <v>66.298768999999993</v>
      </c>
      <c r="X15" s="15">
        <v>67.850188000000003</v>
      </c>
      <c r="Y15" s="15">
        <v>29.252161999999998</v>
      </c>
      <c r="Z15" s="15">
        <v>43.488953000000002</v>
      </c>
      <c r="AA15" s="15">
        <v>43.716743999999998</v>
      </c>
      <c r="AB15" s="16">
        <v>2814.47</v>
      </c>
      <c r="AC15" s="16">
        <v>2734.17</v>
      </c>
      <c r="AD15" s="16">
        <v>48.094999999999999</v>
      </c>
      <c r="AE15" s="16">
        <v>12.962</v>
      </c>
      <c r="AG15" s="11">
        <f t="shared" si="6"/>
        <v>1.620495</v>
      </c>
      <c r="AH15" s="12">
        <f t="shared" si="7"/>
        <v>5.3582863264600659E-3</v>
      </c>
      <c r="AI15" s="12">
        <f t="shared" si="8"/>
        <v>4.5060334597659697E-3</v>
      </c>
      <c r="AJ15" s="12">
        <f t="shared" si="9"/>
        <v>2.3656551667253461E-3</v>
      </c>
      <c r="AK15" s="12">
        <f t="shared" si="10"/>
        <v>8.5225286669409633E-4</v>
      </c>
      <c r="AL15" s="54">
        <f t="shared" si="11"/>
        <v>1453600</v>
      </c>
      <c r="AM15" s="12">
        <v>16</v>
      </c>
      <c r="AN15" s="13">
        <v>32415907</v>
      </c>
      <c r="AO15" s="13">
        <v>1012997.09375</v>
      </c>
      <c r="AP15" s="13">
        <v>32038.0625</v>
      </c>
      <c r="AQ15" s="14">
        <v>1728528</v>
      </c>
      <c r="AR15" s="14">
        <v>763136</v>
      </c>
      <c r="AS15" s="14">
        <v>690464</v>
      </c>
      <c r="AT15" s="14">
        <v>274928</v>
      </c>
      <c r="AU15" s="15">
        <v>66.298768999999993</v>
      </c>
      <c r="AV15" s="15">
        <v>67.850188000000003</v>
      </c>
      <c r="AW15" s="15">
        <v>29.252161999999998</v>
      </c>
      <c r="AX15" s="15">
        <v>43.488953000000002</v>
      </c>
      <c r="AY15" s="15">
        <v>43.716743999999998</v>
      </c>
      <c r="AZ15" s="16"/>
      <c r="BA15" s="16"/>
      <c r="BB15" s="16"/>
      <c r="BC15" s="16"/>
      <c r="BE15" s="51">
        <f t="shared" si="12"/>
        <v>1.0000440305572067</v>
      </c>
      <c r="BF15" s="17">
        <f t="shared" si="13"/>
        <v>0</v>
      </c>
      <c r="BG15" s="17">
        <f t="shared" si="14"/>
        <v>5.8892798135978808E-6</v>
      </c>
      <c r="BH15" s="17">
        <f t="array" ref="BH15">AVERAGE(AL15:AL19/AQ15:AQ19) - AVERAGE(N15:N19/S15:S19)</f>
        <v>5.3216083504281642E-6</v>
      </c>
      <c r="BJ15" s="51">
        <f>IF( OR(ISBLANK(N15:N19),ISBLANK(AL15:AL19), ISBLANK(W15:W19),ISBLANK(AU15:AU19)), "·", bdRateExtend( N15:N19,W15:W19, AL15:AL19,AU15:AU19))</f>
        <v>3.1587850721326305E-5</v>
      </c>
      <c r="BK15" s="51">
        <f>IF( OR(ISBLANK(N15:N19),ISBLANK(AL15:AL19), ISBLANK(X15:X19),ISBLANK(AV15:AV19)), "·", bdRateExtend( N15:N19,X15:X19, AL15:AL19,AV15:AV19))</f>
        <v>2.9068156942146928E-5</v>
      </c>
      <c r="BL15" s="51">
        <f>IF( OR(ISBLANK(V15:V19),ISBLANK(AT15:AT19), ISBLANK(Y15:Y19),ISBLANK(AW15:AW19)), "·", bdRateExtend( V15:V19,Y15:Y19, AT15:AT19,AW15:AW19))</f>
        <v>0</v>
      </c>
      <c r="BM15" s="51">
        <f>IF( OR(ISBLANK(V15:V19),ISBLANK(AT15:AT19), ISBLANK(Z15:Z19),ISBLANK(AX15:AX19)), "·", bdRateExtend( V15:V19,Z15:Z19, AT15:AT19,AX15:AX19))</f>
        <v>0</v>
      </c>
      <c r="BN15" s="51">
        <f>IF( OR(ISBLANK(V15:V19),ISBLANK(AT15:AT19), ISBLANK(AA15:AA19),ISBLANK(AY15:AY19)), "·", bdRateExtend( V15:V19,AA15:AA19, AT15:AT19,AY15:AY19))</f>
        <v>0</v>
      </c>
      <c r="BP15" s="51">
        <f>IF( OR(ISBLANK(S15:S19),ISBLANK(AQ15:AQ19), ISBLANK(W15:W19),ISBLANK(AU15:AU19)), "·", bdRateExtend( S15:S19,W15:W19, AQ15:AQ19,AU15:AU19))</f>
        <v>2.3163114472701807E-5</v>
      </c>
      <c r="BQ15" s="51">
        <f>IF( OR(ISBLANK(S15:S19),ISBLANK(AQ15:AQ19), ISBLANK(X15:X19),ISBLANK(AV15:AV19)), "·", bdRateExtend( S15:S19,X15:X19, AQ15:AQ19,AV15:AV19))</f>
        <v>2.0823183921603317E-5</v>
      </c>
      <c r="BR15" s="51">
        <f>IF( OR(ISBLANK(S15:S19),ISBLANK(AQ15:AQ19), ISBLANK(Y15:Y19),ISBLANK(AW15:AW19)), "·", bdRateExtend( S15:S19,Y15:Y19, AQ15:AQ19,AW15:AW19))</f>
        <v>1.9992262478618628E-5</v>
      </c>
      <c r="BS15" s="51">
        <f>IF( OR(ISBLANK(S15:S19),ISBLANK(AQ15:AQ19), ISBLANK(Z15:Z19),ISBLANK(AX15:AX19)), "·", bdRateExtend( S15:S19,Z15:Z19, AQ15:AQ19,AX15:AX19))</f>
        <v>1.6578376981435383E-5</v>
      </c>
      <c r="BT15" s="51">
        <f>IF( OR(ISBLANK(S15:S19),ISBLANK(AQ15:AQ19), ISBLANK(AA15:AA19),ISBLANK(AY15:AY19)), "·", bdRateExtend( S15:S19,AA15:AA19, AQ15:AQ19,AY15:AY19))</f>
        <v>1.6969884731654616E-5</v>
      </c>
      <c r="BW15" s="72"/>
      <c r="BX15" s="76" t="s">
        <v>17</v>
      </c>
      <c r="BY15" s="77">
        <f t="shared" si="31"/>
        <v>2.8255047058310468E-5</v>
      </c>
      <c r="BZ15" s="77">
        <f t="shared" si="29"/>
        <v>2.6501808499850605E-5</v>
      </c>
      <c r="CA15" s="77">
        <f t="shared" si="29"/>
        <v>0</v>
      </c>
      <c r="CB15" s="77">
        <f t="shared" si="29"/>
        <v>0</v>
      </c>
      <c r="CC15" s="77">
        <f t="shared" si="29"/>
        <v>0</v>
      </c>
      <c r="CD15" s="72"/>
      <c r="CE15" s="77">
        <f t="shared" si="32"/>
        <v>1.8690497876949763E-5</v>
      </c>
      <c r="CF15" s="77">
        <f t="shared" si="30"/>
        <v>1.7182112240776704E-5</v>
      </c>
      <c r="CG15" s="77">
        <f t="shared" si="30"/>
        <v>1.6465052982552108E-5</v>
      </c>
      <c r="CH15" s="77">
        <f t="shared" si="30"/>
        <v>1.5361131495821617E-5</v>
      </c>
      <c r="CI15" s="77">
        <f t="shared" si="30"/>
        <v>1.5871856928179845E-5</v>
      </c>
    </row>
    <row r="16" spans="1:87" outlineLevel="1">
      <c r="A16" s="18"/>
      <c r="B16" s="18" t="s">
        <v>62</v>
      </c>
      <c r="C16" s="19" t="s">
        <v>231</v>
      </c>
      <c r="D16" s="18">
        <v>322589704</v>
      </c>
      <c r="E16" s="19">
        <v>10</v>
      </c>
      <c r="F16" s="19">
        <v>32</v>
      </c>
      <c r="G16" s="19">
        <v>30</v>
      </c>
      <c r="I16" s="20">
        <f t="shared" si="0"/>
        <v>2.1235050000000002</v>
      </c>
      <c r="J16" s="21">
        <f t="shared" si="1"/>
        <v>7.0215260186977328E-3</v>
      </c>
      <c r="K16" s="21">
        <f t="shared" si="2"/>
        <v>5.4363793334210068E-3</v>
      </c>
      <c r="L16" s="21">
        <f t="shared" si="3"/>
        <v>3.2961994348089919E-3</v>
      </c>
      <c r="M16" s="21">
        <f t="shared" si="4"/>
        <v>1.5851466852767253E-3</v>
      </c>
      <c r="N16" s="18">
        <f t="shared" si="5"/>
        <v>1753720</v>
      </c>
      <c r="O16" s="21">
        <v>16</v>
      </c>
      <c r="P16" s="22">
        <v>33875717</v>
      </c>
      <c r="Q16" s="22">
        <v>1058616.15625</v>
      </c>
      <c r="R16" s="22">
        <v>36874.3125</v>
      </c>
      <c r="S16" s="23">
        <v>2265072</v>
      </c>
      <c r="T16" s="23">
        <v>1063320</v>
      </c>
      <c r="U16" s="23">
        <v>690400</v>
      </c>
      <c r="V16" s="23">
        <v>511352</v>
      </c>
      <c r="W16" s="24">
        <v>68.029883999999996</v>
      </c>
      <c r="X16" s="24">
        <v>70.006803000000005</v>
      </c>
      <c r="Y16" s="24">
        <v>31.569972</v>
      </c>
      <c r="Z16" s="24">
        <v>44.070343999999999</v>
      </c>
      <c r="AA16" s="24">
        <v>44.424630999999998</v>
      </c>
      <c r="AB16" s="25">
        <v>2711.29</v>
      </c>
      <c r="AC16" s="25">
        <v>3192.78</v>
      </c>
      <c r="AD16" s="25">
        <v>53.975000000000001</v>
      </c>
      <c r="AE16" s="25">
        <v>13.602</v>
      </c>
      <c r="AG16" s="20">
        <f t="shared" si="6"/>
        <v>2.1235650000000001</v>
      </c>
      <c r="AH16" s="21">
        <f t="shared" si="7"/>
        <v>7.0217244131263404E-3</v>
      </c>
      <c r="AI16" s="21">
        <f t="shared" si="8"/>
        <v>5.4365777278496154E-3</v>
      </c>
      <c r="AJ16" s="21">
        <f t="shared" si="9"/>
        <v>3.2961994348089919E-3</v>
      </c>
      <c r="AK16" s="21">
        <f t="shared" si="10"/>
        <v>1.5851466852767253E-3</v>
      </c>
      <c r="AL16" s="18">
        <f t="shared" si="11"/>
        <v>1753784</v>
      </c>
      <c r="AM16" s="21">
        <v>16</v>
      </c>
      <c r="AN16" s="22">
        <v>33875717</v>
      </c>
      <c r="AO16" s="22">
        <v>1058616.15625</v>
      </c>
      <c r="AP16" s="22">
        <v>36874.3125</v>
      </c>
      <c r="AQ16" s="23">
        <v>2265136</v>
      </c>
      <c r="AR16" s="23">
        <v>1063320</v>
      </c>
      <c r="AS16" s="23">
        <v>690464</v>
      </c>
      <c r="AT16" s="23">
        <v>511352</v>
      </c>
      <c r="AU16" s="24">
        <v>68.029883999999996</v>
      </c>
      <c r="AV16" s="24">
        <v>70.006803000000005</v>
      </c>
      <c r="AW16" s="24">
        <v>31.569972</v>
      </c>
      <c r="AX16" s="24">
        <v>44.070343999999999</v>
      </c>
      <c r="AY16" s="24">
        <v>44.424630999999998</v>
      </c>
      <c r="AZ16" s="25"/>
      <c r="BA16" s="25"/>
      <c r="BB16" s="25"/>
      <c r="BC16" s="25"/>
      <c r="BE16" s="50">
        <f t="shared" si="12"/>
        <v>1.0000364938530666</v>
      </c>
      <c r="BF16" s="26">
        <f t="shared" si="13"/>
        <v>0</v>
      </c>
      <c r="BG16" s="26">
        <f t="shared" si="14"/>
        <v>6.378574597287745E-6</v>
      </c>
      <c r="BH16" s="26"/>
      <c r="BJ16" s="50"/>
      <c r="BK16" s="50"/>
      <c r="BL16" s="50"/>
      <c r="BM16" s="50"/>
      <c r="BN16" s="50"/>
      <c r="BP16" s="50"/>
      <c r="BQ16" s="50"/>
      <c r="BR16" s="50"/>
      <c r="BS16" s="50"/>
      <c r="BT16" s="50"/>
      <c r="BW16" s="72"/>
      <c r="BX16" s="75" t="s">
        <v>575</v>
      </c>
      <c r="BY16" s="97">
        <f>BB45</f>
        <v>0</v>
      </c>
      <c r="BZ16" s="97"/>
      <c r="CA16" s="97"/>
      <c r="CB16" s="97"/>
      <c r="CC16" s="97"/>
      <c r="CD16" s="97"/>
      <c r="CE16" s="97"/>
      <c r="CF16" s="97"/>
      <c r="CG16" s="97"/>
      <c r="CH16" s="97"/>
      <c r="CI16" s="97"/>
    </row>
    <row r="17" spans="1:72" outlineLevel="1">
      <c r="A17" s="54"/>
      <c r="B17" s="54" t="s">
        <v>62</v>
      </c>
      <c r="C17" s="10" t="s">
        <v>232</v>
      </c>
      <c r="D17" s="54">
        <v>322589704</v>
      </c>
      <c r="E17" s="10">
        <v>10</v>
      </c>
      <c r="F17" s="10">
        <v>32</v>
      </c>
      <c r="G17" s="10">
        <v>30</v>
      </c>
      <c r="I17" s="11">
        <f t="shared" si="0"/>
        <v>2.9933399999999999</v>
      </c>
      <c r="J17" s="12">
        <f t="shared" si="1"/>
        <v>9.8976996488393809E-3</v>
      </c>
      <c r="K17" s="12">
        <f t="shared" si="2"/>
        <v>6.6409063074127127E-3</v>
      </c>
      <c r="L17" s="12">
        <f t="shared" si="3"/>
        <v>4.5007264088006973E-3</v>
      </c>
      <c r="M17" s="12">
        <f t="shared" si="4"/>
        <v>3.2567933414266686E-3</v>
      </c>
      <c r="N17" s="54">
        <f t="shared" si="5"/>
        <v>2142288</v>
      </c>
      <c r="O17" s="12">
        <v>16</v>
      </c>
      <c r="P17" s="13">
        <v>33778649</v>
      </c>
      <c r="Q17" s="13">
        <v>1055582.78125</v>
      </c>
      <c r="R17" s="13">
        <v>37421.15625</v>
      </c>
      <c r="S17" s="14">
        <v>3192896</v>
      </c>
      <c r="T17" s="14">
        <v>1451888</v>
      </c>
      <c r="U17" s="14">
        <v>690400</v>
      </c>
      <c r="V17" s="14">
        <v>1050608</v>
      </c>
      <c r="W17" s="15">
        <v>69.351502999999994</v>
      </c>
      <c r="X17" s="15">
        <v>71.840318999999994</v>
      </c>
      <c r="Y17" s="15">
        <v>33.952263000000002</v>
      </c>
      <c r="Z17" s="15">
        <v>45.160046999999999</v>
      </c>
      <c r="AA17" s="15">
        <v>45.539791000000001</v>
      </c>
      <c r="AB17" s="16">
        <v>2576.75</v>
      </c>
      <c r="AC17" s="16">
        <v>3244.86</v>
      </c>
      <c r="AD17" s="16">
        <v>49.473999999999997</v>
      </c>
      <c r="AE17" s="16">
        <v>13.568</v>
      </c>
      <c r="AG17" s="11">
        <f t="shared" si="6"/>
        <v>2.9933999999999998</v>
      </c>
      <c r="AH17" s="12">
        <f t="shared" si="7"/>
        <v>9.8978980432679903E-3</v>
      </c>
      <c r="AI17" s="12">
        <f t="shared" si="8"/>
        <v>6.6411047018413213E-3</v>
      </c>
      <c r="AJ17" s="12">
        <f t="shared" si="9"/>
        <v>4.5007264088006973E-3</v>
      </c>
      <c r="AK17" s="12">
        <f t="shared" si="10"/>
        <v>3.2567933414266686E-3</v>
      </c>
      <c r="AL17" s="54">
        <f t="shared" si="11"/>
        <v>2142352</v>
      </c>
      <c r="AM17" s="12">
        <v>16</v>
      </c>
      <c r="AN17" s="13">
        <v>33778649</v>
      </c>
      <c r="AO17" s="13">
        <v>1055582.78125</v>
      </c>
      <c r="AP17" s="13">
        <v>37421.15625</v>
      </c>
      <c r="AQ17" s="14">
        <v>3192960</v>
      </c>
      <c r="AR17" s="14">
        <v>1451888</v>
      </c>
      <c r="AS17" s="14">
        <v>690464</v>
      </c>
      <c r="AT17" s="14">
        <v>1050608</v>
      </c>
      <c r="AU17" s="15">
        <v>69.351502999999994</v>
      </c>
      <c r="AV17" s="15">
        <v>71.840318999999994</v>
      </c>
      <c r="AW17" s="15">
        <v>33.952263000000002</v>
      </c>
      <c r="AX17" s="15">
        <v>45.160046999999999</v>
      </c>
      <c r="AY17" s="15">
        <v>45.539791000000001</v>
      </c>
      <c r="AZ17" s="16"/>
      <c r="BA17" s="16"/>
      <c r="BB17" s="16"/>
      <c r="BC17" s="16"/>
      <c r="BE17" s="51">
        <f t="shared" si="12"/>
        <v>1.0000298746013607</v>
      </c>
      <c r="BF17" s="17">
        <f t="shared" si="13"/>
        <v>0</v>
      </c>
      <c r="BG17" s="17">
        <f t="shared" si="14"/>
        <v>6.5954195423989503E-6</v>
      </c>
      <c r="BH17" s="17"/>
      <c r="BJ17" s="51"/>
      <c r="BK17" s="51"/>
      <c r="BL17" s="51"/>
      <c r="BM17" s="51"/>
      <c r="BN17" s="51"/>
      <c r="BP17" s="51"/>
      <c r="BQ17" s="51"/>
      <c r="BR17" s="51"/>
      <c r="BS17" s="51"/>
      <c r="BT17" s="51"/>
    </row>
    <row r="18" spans="1:72" outlineLevel="1">
      <c r="A18" s="18"/>
      <c r="B18" s="18" t="s">
        <v>62</v>
      </c>
      <c r="C18" s="19" t="s">
        <v>233</v>
      </c>
      <c r="D18" s="18">
        <v>322589704</v>
      </c>
      <c r="E18" s="19">
        <v>10</v>
      </c>
      <c r="F18" s="19">
        <v>32</v>
      </c>
      <c r="G18" s="19">
        <v>30</v>
      </c>
      <c r="I18" s="20">
        <f t="shared" si="0"/>
        <v>5.2701525</v>
      </c>
      <c r="J18" s="21">
        <f t="shared" si="1"/>
        <v>1.742614823193489E-2</v>
      </c>
      <c r="K18" s="21">
        <f t="shared" si="2"/>
        <v>9.9018659318401564E-3</v>
      </c>
      <c r="L18" s="21">
        <f t="shared" si="3"/>
        <v>7.7616860332281401E-3</v>
      </c>
      <c r="M18" s="21">
        <f t="shared" si="4"/>
        <v>7.5242823000947357E-3</v>
      </c>
      <c r="N18" s="18">
        <f t="shared" si="5"/>
        <v>3194240</v>
      </c>
      <c r="O18" s="21">
        <v>16</v>
      </c>
      <c r="P18" s="22">
        <v>34914211</v>
      </c>
      <c r="Q18" s="22">
        <v>1091069.09375</v>
      </c>
      <c r="R18" s="22">
        <v>41605.03125</v>
      </c>
      <c r="S18" s="23">
        <v>5621496</v>
      </c>
      <c r="T18" s="23">
        <v>2503840</v>
      </c>
      <c r="U18" s="23">
        <v>690400</v>
      </c>
      <c r="V18" s="23">
        <v>2427256</v>
      </c>
      <c r="W18" s="24">
        <v>70.529827999999995</v>
      </c>
      <c r="X18" s="24">
        <v>73.133280999999997</v>
      </c>
      <c r="Y18" s="24">
        <v>36.285640999999998</v>
      </c>
      <c r="Z18" s="24">
        <v>46.413378000000002</v>
      </c>
      <c r="AA18" s="24">
        <v>47.007430999999997</v>
      </c>
      <c r="AB18" s="25">
        <v>2423.2399999999998</v>
      </c>
      <c r="AC18" s="25">
        <v>3402.51</v>
      </c>
      <c r="AD18" s="25">
        <v>50.938000000000002</v>
      </c>
      <c r="AE18" s="25">
        <v>15.102</v>
      </c>
      <c r="AG18" s="20">
        <f t="shared" si="6"/>
        <v>5.2702125000000004</v>
      </c>
      <c r="AH18" s="21">
        <f t="shared" si="7"/>
        <v>1.7426346626363502E-2</v>
      </c>
      <c r="AI18" s="21">
        <f t="shared" si="8"/>
        <v>9.9020643262687641E-3</v>
      </c>
      <c r="AJ18" s="21">
        <f t="shared" si="9"/>
        <v>7.7616860332281401E-3</v>
      </c>
      <c r="AK18" s="21">
        <f t="shared" si="10"/>
        <v>7.5242823000947357E-3</v>
      </c>
      <c r="AL18" s="18">
        <f t="shared" si="11"/>
        <v>3194304</v>
      </c>
      <c r="AM18" s="21">
        <v>16</v>
      </c>
      <c r="AN18" s="22">
        <v>34914211</v>
      </c>
      <c r="AO18" s="22">
        <v>1091069.09375</v>
      </c>
      <c r="AP18" s="22">
        <v>41605.03125</v>
      </c>
      <c r="AQ18" s="23">
        <v>5621560</v>
      </c>
      <c r="AR18" s="23">
        <v>2503840</v>
      </c>
      <c r="AS18" s="23">
        <v>690464</v>
      </c>
      <c r="AT18" s="23">
        <v>2427256</v>
      </c>
      <c r="AU18" s="24">
        <v>70.529827999999995</v>
      </c>
      <c r="AV18" s="24">
        <v>73.133280999999997</v>
      </c>
      <c r="AW18" s="24">
        <v>36.285640999999998</v>
      </c>
      <c r="AX18" s="24">
        <v>46.413378000000002</v>
      </c>
      <c r="AY18" s="24">
        <v>47.007430999999997</v>
      </c>
      <c r="AZ18" s="25"/>
      <c r="BA18" s="25"/>
      <c r="BB18" s="25"/>
      <c r="BC18" s="25"/>
      <c r="BE18" s="50">
        <f t="shared" si="12"/>
        <v>1.0000200360649167</v>
      </c>
      <c r="BF18" s="26">
        <f t="shared" si="13"/>
        <v>0</v>
      </c>
      <c r="BG18" s="26">
        <f t="shared" si="14"/>
        <v>4.9157161915447389E-6</v>
      </c>
      <c r="BH18" s="26"/>
      <c r="BJ18" s="50"/>
      <c r="BK18" s="50"/>
      <c r="BL18" s="50"/>
      <c r="BM18" s="50"/>
      <c r="BN18" s="50"/>
      <c r="BP18" s="50"/>
      <c r="BQ18" s="50"/>
      <c r="BR18" s="50"/>
      <c r="BS18" s="50"/>
      <c r="BT18" s="50"/>
    </row>
    <row r="19" spans="1:72" ht="16" outlineLevel="1" thickBot="1">
      <c r="A19" s="54"/>
      <c r="B19" s="27" t="s">
        <v>62</v>
      </c>
      <c r="C19" s="28" t="s">
        <v>234</v>
      </c>
      <c r="D19" s="27">
        <v>322589704</v>
      </c>
      <c r="E19" s="28">
        <v>10</v>
      </c>
      <c r="F19" s="28">
        <v>32</v>
      </c>
      <c r="G19" s="28">
        <v>30</v>
      </c>
      <c r="I19" s="29">
        <f t="shared" si="0"/>
        <v>11.408212499999999</v>
      </c>
      <c r="J19" s="30">
        <f t="shared" si="1"/>
        <v>3.7722096672992388E-2</v>
      </c>
      <c r="K19" s="30">
        <f t="shared" si="2"/>
        <v>1.7431008895435796E-2</v>
      </c>
      <c r="L19" s="30">
        <f t="shared" si="3"/>
        <v>1.2813155375845474E-2</v>
      </c>
      <c r="M19" s="30">
        <f t="shared" si="4"/>
        <v>2.0291087777556595E-2</v>
      </c>
      <c r="N19" s="27">
        <f t="shared" si="5"/>
        <v>5623064</v>
      </c>
      <c r="O19" s="30">
        <v>16</v>
      </c>
      <c r="P19" s="31">
        <v>33017129</v>
      </c>
      <c r="Q19" s="31">
        <v>1031785.28125</v>
      </c>
      <c r="R19" s="31">
        <v>17789.875</v>
      </c>
      <c r="S19" s="32">
        <v>12168760</v>
      </c>
      <c r="T19" s="32">
        <v>4133392</v>
      </c>
      <c r="U19" s="32">
        <v>1489672</v>
      </c>
      <c r="V19" s="32">
        <v>6545696</v>
      </c>
      <c r="W19" s="33">
        <v>71.185462999999999</v>
      </c>
      <c r="X19" s="33">
        <v>75.071727999999993</v>
      </c>
      <c r="Y19" s="33">
        <v>38.708402999999997</v>
      </c>
      <c r="Z19" s="33">
        <v>48.192796999999999</v>
      </c>
      <c r="AA19" s="33">
        <v>48.815424999999998</v>
      </c>
      <c r="AB19" s="34">
        <v>2991.92</v>
      </c>
      <c r="AC19" s="34">
        <v>4415.84</v>
      </c>
      <c r="AD19" s="34">
        <v>52.313000000000002</v>
      </c>
      <c r="AE19" s="34">
        <v>18.324999999999999</v>
      </c>
      <c r="AG19" s="29">
        <f t="shared" si="6"/>
        <v>11.408272500000001</v>
      </c>
      <c r="AH19" s="30">
        <f t="shared" si="7"/>
        <v>3.7722295067420995E-2</v>
      </c>
      <c r="AI19" s="30">
        <f t="shared" si="8"/>
        <v>1.7431207289864404E-2</v>
      </c>
      <c r="AJ19" s="30">
        <f t="shared" si="9"/>
        <v>1.2813155375845474E-2</v>
      </c>
      <c r="AK19" s="30">
        <f t="shared" si="10"/>
        <v>2.0291087777556595E-2</v>
      </c>
      <c r="AL19" s="27">
        <f t="shared" si="11"/>
        <v>5623128</v>
      </c>
      <c r="AM19" s="30">
        <v>16</v>
      </c>
      <c r="AN19" s="31">
        <v>33017129</v>
      </c>
      <c r="AO19" s="31">
        <v>1031785.28125</v>
      </c>
      <c r="AP19" s="31">
        <v>17789.875</v>
      </c>
      <c r="AQ19" s="32">
        <v>12168824</v>
      </c>
      <c r="AR19" s="32">
        <v>4133392</v>
      </c>
      <c r="AS19" s="32">
        <v>1489736</v>
      </c>
      <c r="AT19" s="32">
        <v>6545696</v>
      </c>
      <c r="AU19" s="33">
        <v>71.185462999999999</v>
      </c>
      <c r="AV19" s="33">
        <v>75.071727999999993</v>
      </c>
      <c r="AW19" s="33">
        <v>38.708402999999997</v>
      </c>
      <c r="AX19" s="33">
        <v>48.192796999999999</v>
      </c>
      <c r="AY19" s="33">
        <v>48.815424999999998</v>
      </c>
      <c r="AZ19" s="34"/>
      <c r="BA19" s="34"/>
      <c r="BB19" s="34"/>
      <c r="BC19" s="34"/>
      <c r="BE19" s="35">
        <f t="shared" si="12"/>
        <v>1.0000113816951042</v>
      </c>
      <c r="BF19" s="36">
        <f t="shared" si="13"/>
        <v>0</v>
      </c>
      <c r="BG19" s="36">
        <f t="shared" si="14"/>
        <v>2.8290516078666172E-6</v>
      </c>
      <c r="BH19" s="36"/>
      <c r="BJ19" s="35"/>
      <c r="BK19" s="35"/>
      <c r="BL19" s="35"/>
      <c r="BM19" s="35"/>
      <c r="BN19" s="35"/>
      <c r="BP19" s="35"/>
      <c r="BQ19" s="35"/>
      <c r="BR19" s="35"/>
      <c r="BS19" s="35"/>
      <c r="BT19" s="35"/>
    </row>
    <row r="20" spans="1:72">
      <c r="A20" s="18"/>
      <c r="B20" s="18" t="s">
        <v>68</v>
      </c>
      <c r="C20" s="19" t="s">
        <v>230</v>
      </c>
      <c r="D20" s="18">
        <v>250602891</v>
      </c>
      <c r="E20" s="19">
        <v>10</v>
      </c>
      <c r="F20" s="19">
        <v>32</v>
      </c>
      <c r="G20" s="19">
        <v>50</v>
      </c>
      <c r="I20" s="20">
        <f t="shared" si="0"/>
        <v>1.9657500000000001</v>
      </c>
      <c r="J20" s="21">
        <f t="shared" si="1"/>
        <v>5.0202134340102244E-3</v>
      </c>
      <c r="K20" s="21">
        <f t="shared" si="2"/>
        <v>3.9046955767162318E-3</v>
      </c>
      <c r="L20" s="21">
        <f t="shared" si="3"/>
        <v>2.2613625794125417E-3</v>
      </c>
      <c r="M20" s="21">
        <f t="shared" si="4"/>
        <v>1.1155178572939926E-3</v>
      </c>
      <c r="N20" s="18">
        <f t="shared" si="5"/>
        <v>978528</v>
      </c>
      <c r="O20" s="21">
        <v>16</v>
      </c>
      <c r="P20" s="22">
        <v>30601694</v>
      </c>
      <c r="Q20" s="22">
        <v>956302.9375</v>
      </c>
      <c r="R20" s="22">
        <v>28916.46875</v>
      </c>
      <c r="S20" s="23">
        <v>1258080</v>
      </c>
      <c r="T20" s="23">
        <v>566704</v>
      </c>
      <c r="U20" s="23">
        <v>411824</v>
      </c>
      <c r="V20" s="23">
        <v>279552</v>
      </c>
      <c r="W20" s="24">
        <v>67.295671999999996</v>
      </c>
      <c r="X20" s="24">
        <v>69.019294000000002</v>
      </c>
      <c r="Y20" s="24">
        <v>30.076443999999999</v>
      </c>
      <c r="Z20" s="24">
        <v>39.466802999999999</v>
      </c>
      <c r="AA20" s="24">
        <v>38.086846999999999</v>
      </c>
      <c r="AB20" s="25">
        <v>2859.4</v>
      </c>
      <c r="AC20" s="25">
        <v>3056.54</v>
      </c>
      <c r="AD20" s="25">
        <v>44.884</v>
      </c>
      <c r="AE20" s="25">
        <v>14.335000000000001</v>
      </c>
      <c r="AG20" s="20">
        <f t="shared" si="6"/>
        <v>1.9657625000000001</v>
      </c>
      <c r="AH20" s="21">
        <f t="shared" si="7"/>
        <v>5.0202453570258295E-3</v>
      </c>
      <c r="AI20" s="21">
        <f t="shared" si="8"/>
        <v>3.9047274997318368E-3</v>
      </c>
      <c r="AJ20" s="21">
        <f t="shared" si="9"/>
        <v>2.2613625794125417E-3</v>
      </c>
      <c r="AK20" s="21">
        <f t="shared" si="10"/>
        <v>1.1155178572939926E-3</v>
      </c>
      <c r="AL20" s="18">
        <f t="shared" si="11"/>
        <v>978536</v>
      </c>
      <c r="AM20" s="21">
        <v>16</v>
      </c>
      <c r="AN20" s="22">
        <v>30601694</v>
      </c>
      <c r="AO20" s="22">
        <v>956302.9375</v>
      </c>
      <c r="AP20" s="22">
        <v>28916.46875</v>
      </c>
      <c r="AQ20" s="23">
        <v>1258088</v>
      </c>
      <c r="AR20" s="23">
        <v>566704</v>
      </c>
      <c r="AS20" s="23">
        <v>411832</v>
      </c>
      <c r="AT20" s="23">
        <v>279552</v>
      </c>
      <c r="AU20" s="24">
        <v>67.295671999999996</v>
      </c>
      <c r="AV20" s="24">
        <v>69.019294000000002</v>
      </c>
      <c r="AW20" s="24">
        <v>30.076443999999999</v>
      </c>
      <c r="AX20" s="24">
        <v>39.466802999999999</v>
      </c>
      <c r="AY20" s="24">
        <v>38.086846999999999</v>
      </c>
      <c r="AZ20" s="25"/>
      <c r="BA20" s="25"/>
      <c r="BB20" s="25"/>
      <c r="BC20" s="25"/>
      <c r="BE20" s="50">
        <f t="shared" si="12"/>
        <v>1.000008175545309</v>
      </c>
      <c r="BF20" s="26">
        <f t="shared" si="13"/>
        <v>0</v>
      </c>
      <c r="BG20" s="26">
        <f t="shared" si="14"/>
        <v>1.4129712081478729E-6</v>
      </c>
      <c r="BH20" s="26">
        <f t="array" ref="BH20">AVERAGE(AL20:AL24/AQ20:AQ24) - AVERAGE(N20:N24/S20:S24)</f>
        <v>1.1523523899548138E-6</v>
      </c>
      <c r="BJ20" s="50">
        <f>IF( OR(ISBLANK(N20:N24),ISBLANK(AL20:AL24), ISBLANK(W20:W24),ISBLANK(AU20:AU24)), "·", bdRateExtend( N20:N24,W20:W24, AL20:AL24,AU20:AU24))</f>
        <v>5.8879319981830491E-6</v>
      </c>
      <c r="BK20" s="50">
        <f>IF( OR(ISBLANK(N20:N24),ISBLANK(AL20:AL24), ISBLANK(X20:X24),ISBLANK(AV20:AV24)), "·", bdRateExtend( N20:N24,X20:X24, AL20:AL24,AV20:AV24))</f>
        <v>5.3911961681585296E-6</v>
      </c>
      <c r="BL20" s="50">
        <f>IF( OR(ISBLANK(V20:V24),ISBLANK(AT20:AT24), ISBLANK(Y20:Y24),ISBLANK(AW20:AW24)), "·", bdRateExtend( V20:V24,Y20:Y24, AT20:AT24,AW20:AW24))</f>
        <v>0</v>
      </c>
      <c r="BM20" s="50">
        <f>IF( OR(ISBLANK(V20:V24),ISBLANK(AT20:AT24), ISBLANK(Z20:Z24),ISBLANK(AX20:AX24)), "·", bdRateExtend( V20:V24,Z20:Z24, AT20:AT24,AX20:AX24))</f>
        <v>0</v>
      </c>
      <c r="BN20" s="50">
        <f>IF( OR(ISBLANK(V20:V24),ISBLANK(AT20:AT24), ISBLANK(AA20:AA24),ISBLANK(AY20:AY24)), "·", bdRateExtend( V20:V24,AA20:AA24, AT20:AT24,AY20:AY24))</f>
        <v>0</v>
      </c>
      <c r="BP20" s="50">
        <f>IF( OR(ISBLANK(S20:S24),ISBLANK(AQ20:AQ24), ISBLANK(W20:W24),ISBLANK(AU20:AU24)), "·", bdRateExtend( S20:S24,W20:W24, AQ20:AQ24,AU20:AU24))</f>
        <v>3.708287827919321E-6</v>
      </c>
      <c r="BQ20" s="50">
        <f>IF( OR(ISBLANK(S20:S24),ISBLANK(AQ20:AQ24), ISBLANK(X20:X24),ISBLANK(AV20:AV24)), "·", bdRateExtend( S20:S24,X20:X24, AQ20:AQ24,AV20:AV24))</f>
        <v>3.2689234070737427E-6</v>
      </c>
      <c r="BR20" s="50">
        <f>IF( OR(ISBLANK(S20:S24),ISBLANK(AQ20:AQ24), ISBLANK(Y20:Y24),ISBLANK(AW20:AW24)), "·", bdRateExtend( S20:S24,Y20:Y24, AQ20:AQ24,AW20:AW24))</f>
        <v>3.242917441248494E-6</v>
      </c>
      <c r="BS20" s="50">
        <f>IF( OR(ISBLANK(S20:S24),ISBLANK(AQ20:AQ24), ISBLANK(Z20:Z24),ISBLANK(AX20:AX24)), "·", bdRateExtend( S20:S24,Z20:Z24, AQ20:AQ24,AX20:AX24))</f>
        <v>3.3111755575188084E-6</v>
      </c>
      <c r="BT20" s="50">
        <f>IF( OR(ISBLANK(S20:S24),ISBLANK(AQ20:AQ24), ISBLANK(AA20:AA24),ISBLANK(AY20:AY24)), "·", bdRateExtend( S20:S24,AA20:AA24, AQ20:AQ24,AY20:AY24))</f>
        <v>3.5365785882035539E-6</v>
      </c>
    </row>
    <row r="21" spans="1:72" outlineLevel="1">
      <c r="A21" s="54"/>
      <c r="B21" s="54" t="s">
        <v>68</v>
      </c>
      <c r="C21" s="10" t="s">
        <v>231</v>
      </c>
      <c r="D21" s="54">
        <v>250602891</v>
      </c>
      <c r="E21" s="10">
        <v>10</v>
      </c>
      <c r="F21" s="10">
        <v>32</v>
      </c>
      <c r="G21" s="10">
        <v>50</v>
      </c>
      <c r="I21" s="11">
        <f t="shared" si="0"/>
        <v>2.6321500000000002</v>
      </c>
      <c r="J21" s="12">
        <f t="shared" si="1"/>
        <v>6.7220932419331109E-3</v>
      </c>
      <c r="K21" s="12">
        <f t="shared" si="2"/>
        <v>4.6413510848125053E-3</v>
      </c>
      <c r="L21" s="12">
        <f t="shared" si="3"/>
        <v>2.9980180875088147E-3</v>
      </c>
      <c r="M21" s="12">
        <f t="shared" si="4"/>
        <v>2.0807421571206056E-3</v>
      </c>
      <c r="N21" s="54">
        <f t="shared" si="5"/>
        <v>1163136</v>
      </c>
      <c r="O21" s="12">
        <v>16</v>
      </c>
      <c r="P21" s="13">
        <v>31545436</v>
      </c>
      <c r="Q21" s="13">
        <v>985794.875</v>
      </c>
      <c r="R21" s="13">
        <v>33037.84375</v>
      </c>
      <c r="S21" s="14">
        <v>1684576</v>
      </c>
      <c r="T21" s="14">
        <v>751312</v>
      </c>
      <c r="U21" s="14">
        <v>411824</v>
      </c>
      <c r="V21" s="14">
        <v>521440</v>
      </c>
      <c r="W21" s="15">
        <v>68.839996999999997</v>
      </c>
      <c r="X21" s="15">
        <v>70.960471999999996</v>
      </c>
      <c r="Y21" s="15">
        <v>31.535066</v>
      </c>
      <c r="Z21" s="15">
        <v>40.461261999999998</v>
      </c>
      <c r="AA21" s="15">
        <v>39.263452999999998</v>
      </c>
      <c r="AB21" s="16">
        <v>2541.2399999999998</v>
      </c>
      <c r="AC21" s="16">
        <v>4080.93</v>
      </c>
      <c r="AD21" s="16">
        <v>54.825000000000003</v>
      </c>
      <c r="AE21" s="16">
        <v>22.37</v>
      </c>
      <c r="AG21" s="11">
        <f t="shared" si="6"/>
        <v>2.6321625000000002</v>
      </c>
      <c r="AH21" s="12">
        <f t="shared" si="7"/>
        <v>6.7221251649487159E-3</v>
      </c>
      <c r="AI21" s="12">
        <f t="shared" si="8"/>
        <v>4.6413830078281103E-3</v>
      </c>
      <c r="AJ21" s="12">
        <f t="shared" si="9"/>
        <v>2.9980180875088147E-3</v>
      </c>
      <c r="AK21" s="12">
        <f t="shared" si="10"/>
        <v>2.0807421571206056E-3</v>
      </c>
      <c r="AL21" s="54">
        <f t="shared" si="11"/>
        <v>1163144</v>
      </c>
      <c r="AM21" s="12">
        <v>16</v>
      </c>
      <c r="AN21" s="13">
        <v>31545436</v>
      </c>
      <c r="AO21" s="13">
        <v>985794.875</v>
      </c>
      <c r="AP21" s="13">
        <v>33037.84375</v>
      </c>
      <c r="AQ21" s="14">
        <v>1684584</v>
      </c>
      <c r="AR21" s="14">
        <v>751312</v>
      </c>
      <c r="AS21" s="14">
        <v>411832</v>
      </c>
      <c r="AT21" s="14">
        <v>521440</v>
      </c>
      <c r="AU21" s="15">
        <v>68.839996999999997</v>
      </c>
      <c r="AV21" s="15">
        <v>70.960471999999996</v>
      </c>
      <c r="AW21" s="15">
        <v>31.535066</v>
      </c>
      <c r="AX21" s="15">
        <v>40.461261999999998</v>
      </c>
      <c r="AY21" s="15">
        <v>39.263452999999998</v>
      </c>
      <c r="AZ21" s="16"/>
      <c r="BA21" s="16"/>
      <c r="BB21" s="16"/>
      <c r="BC21" s="16"/>
      <c r="BE21" s="51">
        <f t="shared" si="12"/>
        <v>1.0000068779575217</v>
      </c>
      <c r="BF21" s="17">
        <f t="shared" si="13"/>
        <v>0</v>
      </c>
      <c r="BG21" s="17">
        <f t="shared" si="14"/>
        <v>1.4699787261873709E-6</v>
      </c>
      <c r="BH21" s="17"/>
      <c r="BJ21" s="51"/>
      <c r="BK21" s="51"/>
      <c r="BL21" s="51"/>
      <c r="BM21" s="51"/>
      <c r="BN21" s="51"/>
      <c r="BP21" s="51"/>
      <c r="BQ21" s="51"/>
      <c r="BR21" s="51"/>
      <c r="BS21" s="51"/>
      <c r="BT21" s="51"/>
    </row>
    <row r="22" spans="1:72" outlineLevel="1">
      <c r="A22" s="18"/>
      <c r="B22" s="18" t="s">
        <v>68</v>
      </c>
      <c r="C22" s="19" t="s">
        <v>232</v>
      </c>
      <c r="D22" s="18">
        <v>250602891</v>
      </c>
      <c r="E22" s="19">
        <v>10</v>
      </c>
      <c r="F22" s="19">
        <v>32</v>
      </c>
      <c r="G22" s="19">
        <v>50</v>
      </c>
      <c r="I22" s="20">
        <f t="shared" si="0"/>
        <v>4.0659999999999998</v>
      </c>
      <c r="J22" s="21">
        <f t="shared" si="1"/>
        <v>1.0383918515928054E-2</v>
      </c>
      <c r="K22" s="21">
        <f t="shared" si="2"/>
        <v>5.5820585086546349E-3</v>
      </c>
      <c r="L22" s="21">
        <f t="shared" si="3"/>
        <v>3.9387255113509448E-3</v>
      </c>
      <c r="M22" s="21">
        <f t="shared" si="4"/>
        <v>4.8018600072734195E-3</v>
      </c>
      <c r="N22" s="18">
        <f t="shared" si="5"/>
        <v>1398880</v>
      </c>
      <c r="O22" s="21">
        <v>16</v>
      </c>
      <c r="P22" s="22">
        <v>32600579</v>
      </c>
      <c r="Q22" s="22">
        <v>1018768.09375</v>
      </c>
      <c r="R22" s="22">
        <v>35285.59375</v>
      </c>
      <c r="S22" s="23">
        <v>2602240</v>
      </c>
      <c r="T22" s="23">
        <v>987056</v>
      </c>
      <c r="U22" s="23">
        <v>411824</v>
      </c>
      <c r="V22" s="23">
        <v>1203360</v>
      </c>
      <c r="W22" s="24">
        <v>70.051181</v>
      </c>
      <c r="X22" s="24">
        <v>72.501681000000005</v>
      </c>
      <c r="Y22" s="24">
        <v>33.353316</v>
      </c>
      <c r="Z22" s="24">
        <v>41.726981000000002</v>
      </c>
      <c r="AA22" s="24">
        <v>40.472797</v>
      </c>
      <c r="AB22" s="25">
        <v>2236.71</v>
      </c>
      <c r="AC22" s="25">
        <v>3151.52</v>
      </c>
      <c r="AD22" s="25">
        <v>48.113</v>
      </c>
      <c r="AE22" s="25">
        <v>14.1</v>
      </c>
      <c r="AG22" s="20">
        <f t="shared" si="6"/>
        <v>4.0660125000000003</v>
      </c>
      <c r="AH22" s="21">
        <f t="shared" si="7"/>
        <v>1.0383950438943659E-2</v>
      </c>
      <c r="AI22" s="21">
        <f t="shared" si="8"/>
        <v>5.58209043167024E-3</v>
      </c>
      <c r="AJ22" s="21">
        <f t="shared" si="9"/>
        <v>3.9387255113509448E-3</v>
      </c>
      <c r="AK22" s="21">
        <f t="shared" si="10"/>
        <v>4.8018600072734195E-3</v>
      </c>
      <c r="AL22" s="18">
        <f t="shared" si="11"/>
        <v>1398888</v>
      </c>
      <c r="AM22" s="21">
        <v>16</v>
      </c>
      <c r="AN22" s="22">
        <v>32600579</v>
      </c>
      <c r="AO22" s="22">
        <v>1018768.09375</v>
      </c>
      <c r="AP22" s="22">
        <v>35285.59375</v>
      </c>
      <c r="AQ22" s="23">
        <v>2602248</v>
      </c>
      <c r="AR22" s="23">
        <v>987056</v>
      </c>
      <c r="AS22" s="23">
        <v>411832</v>
      </c>
      <c r="AT22" s="23">
        <v>1203360</v>
      </c>
      <c r="AU22" s="24">
        <v>70.051181</v>
      </c>
      <c r="AV22" s="24">
        <v>72.501681000000005</v>
      </c>
      <c r="AW22" s="24">
        <v>33.353316</v>
      </c>
      <c r="AX22" s="24">
        <v>41.726981000000002</v>
      </c>
      <c r="AY22" s="24">
        <v>40.472797</v>
      </c>
      <c r="AZ22" s="25"/>
      <c r="BA22" s="25"/>
      <c r="BB22" s="25"/>
      <c r="BC22" s="25"/>
      <c r="BE22" s="50">
        <f t="shared" si="12"/>
        <v>1.0000057188608029</v>
      </c>
      <c r="BF22" s="26">
        <f t="shared" si="13"/>
        <v>0</v>
      </c>
      <c r="BG22" s="26">
        <f t="shared" si="14"/>
        <v>1.4216396468924586E-6</v>
      </c>
      <c r="BH22" s="26"/>
      <c r="BJ22" s="50"/>
      <c r="BK22" s="50"/>
      <c r="BL22" s="50"/>
      <c r="BM22" s="50"/>
      <c r="BN22" s="50"/>
      <c r="BP22" s="50"/>
      <c r="BQ22" s="50"/>
      <c r="BR22" s="50"/>
      <c r="BS22" s="50"/>
      <c r="BT22" s="50"/>
    </row>
    <row r="23" spans="1:72" outlineLevel="1">
      <c r="A23" s="54"/>
      <c r="B23" s="54" t="s">
        <v>68</v>
      </c>
      <c r="C23" s="10" t="s">
        <v>233</v>
      </c>
      <c r="D23" s="54">
        <v>250602891</v>
      </c>
      <c r="E23" s="10">
        <v>10</v>
      </c>
      <c r="F23" s="10">
        <v>32</v>
      </c>
      <c r="G23" s="10">
        <v>50</v>
      </c>
      <c r="I23" s="11">
        <f t="shared" si="0"/>
        <v>7.6340500000000002</v>
      </c>
      <c r="J23" s="12">
        <f t="shared" si="1"/>
        <v>1.9496151782223452E-2</v>
      </c>
      <c r="K23" s="12">
        <f t="shared" si="2"/>
        <v>8.2544299139789262E-3</v>
      </c>
      <c r="L23" s="12">
        <f t="shared" si="3"/>
        <v>6.6110969166752352E-3</v>
      </c>
      <c r="M23" s="12">
        <f t="shared" si="4"/>
        <v>1.1241721868244528E-2</v>
      </c>
      <c r="N23" s="54">
        <f t="shared" si="5"/>
        <v>2068584</v>
      </c>
      <c r="O23" s="12">
        <v>16</v>
      </c>
      <c r="P23" s="13">
        <v>32844561</v>
      </c>
      <c r="Q23" s="13">
        <v>1026392.53125</v>
      </c>
      <c r="R23" s="13">
        <v>37184.71875</v>
      </c>
      <c r="S23" s="14">
        <v>4885792</v>
      </c>
      <c r="T23" s="14">
        <v>1656760</v>
      </c>
      <c r="U23" s="14">
        <v>411824</v>
      </c>
      <c r="V23" s="14">
        <v>2817208</v>
      </c>
      <c r="W23" s="15">
        <v>71.043290999999996</v>
      </c>
      <c r="X23" s="15">
        <v>73.804866000000004</v>
      </c>
      <c r="Y23" s="15">
        <v>35.154113000000002</v>
      </c>
      <c r="Z23" s="15">
        <v>42.749699999999997</v>
      </c>
      <c r="AA23" s="15">
        <v>41.501409000000002</v>
      </c>
      <c r="AB23" s="16">
        <v>2628.31</v>
      </c>
      <c r="AC23" s="16">
        <v>3558.43</v>
      </c>
      <c r="AD23" s="16">
        <v>48.654000000000003</v>
      </c>
      <c r="AE23" s="16">
        <v>15.868</v>
      </c>
      <c r="AG23" s="11">
        <f t="shared" si="6"/>
        <v>7.6340624999999998</v>
      </c>
      <c r="AH23" s="12">
        <f t="shared" si="7"/>
        <v>1.9496183705239058E-2</v>
      </c>
      <c r="AI23" s="12">
        <f t="shared" si="8"/>
        <v>8.2544618369945304E-3</v>
      </c>
      <c r="AJ23" s="12">
        <f t="shared" si="9"/>
        <v>6.6110969166752352E-3</v>
      </c>
      <c r="AK23" s="12">
        <f t="shared" si="10"/>
        <v>1.1241721868244528E-2</v>
      </c>
      <c r="AL23" s="54">
        <f t="shared" si="11"/>
        <v>2068592</v>
      </c>
      <c r="AM23" s="12">
        <v>16</v>
      </c>
      <c r="AN23" s="13">
        <v>32844561</v>
      </c>
      <c r="AO23" s="13">
        <v>1026392.53125</v>
      </c>
      <c r="AP23" s="13">
        <v>37184.71875</v>
      </c>
      <c r="AQ23" s="14">
        <v>4885800</v>
      </c>
      <c r="AR23" s="14">
        <v>1656760</v>
      </c>
      <c r="AS23" s="14">
        <v>411832</v>
      </c>
      <c r="AT23" s="14">
        <v>2817208</v>
      </c>
      <c r="AU23" s="15">
        <v>71.043290999999996</v>
      </c>
      <c r="AV23" s="15">
        <v>73.804866000000004</v>
      </c>
      <c r="AW23" s="15">
        <v>35.154113000000002</v>
      </c>
      <c r="AX23" s="15">
        <v>42.749699999999997</v>
      </c>
      <c r="AY23" s="15">
        <v>41.501409000000002</v>
      </c>
      <c r="AZ23" s="16"/>
      <c r="BA23" s="16"/>
      <c r="BB23" s="16"/>
      <c r="BC23" s="16"/>
      <c r="BE23" s="51">
        <f t="shared" si="12"/>
        <v>1.0000038673798115</v>
      </c>
      <c r="BF23" s="17">
        <f t="shared" si="13"/>
        <v>0</v>
      </c>
      <c r="BG23" s="17">
        <f t="shared" si="14"/>
        <v>9.4414400692022227E-7</v>
      </c>
      <c r="BH23" s="17"/>
      <c r="BJ23" s="51"/>
      <c r="BK23" s="51"/>
      <c r="BL23" s="51"/>
      <c r="BM23" s="51"/>
      <c r="BN23" s="51"/>
      <c r="BP23" s="51"/>
      <c r="BQ23" s="51"/>
      <c r="BR23" s="51"/>
      <c r="BS23" s="51"/>
      <c r="BT23" s="51"/>
    </row>
    <row r="24" spans="1:72" ht="16" outlineLevel="1" thickBot="1">
      <c r="A24" s="37"/>
      <c r="B24" s="37" t="s">
        <v>68</v>
      </c>
      <c r="C24" s="38" t="s">
        <v>234</v>
      </c>
      <c r="D24" s="37">
        <v>250602891</v>
      </c>
      <c r="E24" s="38">
        <v>10</v>
      </c>
      <c r="F24" s="38">
        <v>32</v>
      </c>
      <c r="G24" s="38">
        <v>50</v>
      </c>
      <c r="I24" s="39">
        <f t="shared" si="0"/>
        <v>15.628075000000001</v>
      </c>
      <c r="J24" s="40">
        <f t="shared" si="1"/>
        <v>3.9911622567833822E-2</v>
      </c>
      <c r="K24" s="40">
        <f t="shared" si="2"/>
        <v>1.4311822124988972E-2</v>
      </c>
      <c r="L24" s="40">
        <f t="shared" si="3"/>
        <v>1.0695040226012397E-2</v>
      </c>
      <c r="M24" s="40">
        <f t="shared" si="4"/>
        <v>2.559980044284485E-2</v>
      </c>
      <c r="N24" s="37">
        <f t="shared" si="5"/>
        <v>3586584</v>
      </c>
      <c r="O24" s="40">
        <v>16</v>
      </c>
      <c r="P24" s="41">
        <v>31330577</v>
      </c>
      <c r="Q24" s="41">
        <v>979080.53125</v>
      </c>
      <c r="R24" s="41">
        <v>17954.65625</v>
      </c>
      <c r="S24" s="42">
        <v>10001968</v>
      </c>
      <c r="T24" s="42">
        <v>2680208</v>
      </c>
      <c r="U24" s="42">
        <v>906376</v>
      </c>
      <c r="V24" s="42">
        <v>6415384</v>
      </c>
      <c r="W24" s="43">
        <v>71.781302999999994</v>
      </c>
      <c r="X24" s="43">
        <v>75.790836999999996</v>
      </c>
      <c r="Y24" s="43">
        <v>36.559627999999996</v>
      </c>
      <c r="Z24" s="43">
        <v>43.670727999999997</v>
      </c>
      <c r="AA24" s="43">
        <v>42.196212000000003</v>
      </c>
      <c r="AB24" s="44">
        <v>2439.9</v>
      </c>
      <c r="AC24" s="44">
        <v>3907.58</v>
      </c>
      <c r="AD24" s="44">
        <v>47.798000000000002</v>
      </c>
      <c r="AE24" s="44">
        <v>18.186</v>
      </c>
      <c r="AG24" s="39">
        <f t="shared" si="6"/>
        <v>15.628087499999999</v>
      </c>
      <c r="AH24" s="40">
        <f t="shared" si="7"/>
        <v>3.9911654490849428E-2</v>
      </c>
      <c r="AI24" s="40">
        <f t="shared" si="8"/>
        <v>1.4311854048004578E-2</v>
      </c>
      <c r="AJ24" s="40">
        <f t="shared" si="9"/>
        <v>1.0695040226012397E-2</v>
      </c>
      <c r="AK24" s="40">
        <f t="shared" si="10"/>
        <v>2.559980044284485E-2</v>
      </c>
      <c r="AL24" s="37">
        <f t="shared" si="11"/>
        <v>3586592</v>
      </c>
      <c r="AM24" s="40">
        <v>16</v>
      </c>
      <c r="AN24" s="41">
        <v>31330577</v>
      </c>
      <c r="AO24" s="41">
        <v>979080.53125</v>
      </c>
      <c r="AP24" s="41">
        <v>17954.65625</v>
      </c>
      <c r="AQ24" s="42">
        <v>10001976</v>
      </c>
      <c r="AR24" s="42">
        <v>2680208</v>
      </c>
      <c r="AS24" s="42">
        <v>906384</v>
      </c>
      <c r="AT24" s="42">
        <v>6415384</v>
      </c>
      <c r="AU24" s="43">
        <v>71.781302999999994</v>
      </c>
      <c r="AV24" s="43">
        <v>75.790836999999996</v>
      </c>
      <c r="AW24" s="43">
        <v>36.559627999999996</v>
      </c>
      <c r="AX24" s="43">
        <v>43.670727999999997</v>
      </c>
      <c r="AY24" s="43">
        <v>42.196212000000003</v>
      </c>
      <c r="AZ24" s="44"/>
      <c r="BA24" s="44"/>
      <c r="BB24" s="44"/>
      <c r="BC24" s="44"/>
      <c r="BE24" s="45">
        <f t="shared" si="12"/>
        <v>1.0000022305346816</v>
      </c>
      <c r="BF24" s="46">
        <f t="shared" si="13"/>
        <v>0</v>
      </c>
      <c r="BG24" s="46">
        <f t="shared" si="14"/>
        <v>5.1302836168165555E-7</v>
      </c>
      <c r="BH24" s="46"/>
      <c r="BJ24" s="45"/>
      <c r="BK24" s="45"/>
      <c r="BL24" s="45"/>
      <c r="BM24" s="45"/>
      <c r="BN24" s="45"/>
      <c r="BP24" s="45"/>
      <c r="BQ24" s="45"/>
      <c r="BR24" s="45"/>
      <c r="BS24" s="45"/>
      <c r="BT24" s="45"/>
    </row>
    <row r="25" spans="1:72">
      <c r="A25" s="54" t="s">
        <v>235</v>
      </c>
      <c r="B25" s="54" t="s">
        <v>71</v>
      </c>
      <c r="C25" s="10" t="s">
        <v>230</v>
      </c>
      <c r="D25" s="54">
        <v>250294582</v>
      </c>
      <c r="E25" s="10">
        <v>10</v>
      </c>
      <c r="F25" s="10">
        <v>32</v>
      </c>
      <c r="G25" s="10">
        <v>30</v>
      </c>
      <c r="I25" s="11">
        <f t="shared" si="0"/>
        <v>2.0485799999999998</v>
      </c>
      <c r="J25" s="12">
        <f t="shared" si="1"/>
        <v>8.7303208185305417E-3</v>
      </c>
      <c r="K25" s="12">
        <f t="shared" si="2"/>
        <v>5.6713972338402431E-3</v>
      </c>
      <c r="L25" s="12">
        <f t="shared" si="3"/>
        <v>3.5053415578927714E-3</v>
      </c>
      <c r="M25" s="12">
        <f t="shared" si="4"/>
        <v>3.0589235846902991E-3</v>
      </c>
      <c r="N25" s="54">
        <f t="shared" si="5"/>
        <v>1419520</v>
      </c>
      <c r="O25" s="12">
        <v>16</v>
      </c>
      <c r="P25" s="13">
        <v>23412684</v>
      </c>
      <c r="Q25" s="13">
        <v>731646.375</v>
      </c>
      <c r="R25" s="13">
        <v>14608.71875</v>
      </c>
      <c r="S25" s="14">
        <v>2185152</v>
      </c>
      <c r="T25" s="14">
        <v>877368</v>
      </c>
      <c r="U25" s="14">
        <v>542152</v>
      </c>
      <c r="V25" s="14">
        <v>765632</v>
      </c>
      <c r="W25" s="15">
        <v>66.251328000000001</v>
      </c>
      <c r="X25" s="15">
        <v>68.010480999999999</v>
      </c>
      <c r="Y25" s="15">
        <v>25.909856000000001</v>
      </c>
      <c r="Z25" s="15">
        <v>32.463306000000003</v>
      </c>
      <c r="AA25" s="15">
        <v>31.666108999999999</v>
      </c>
      <c r="AB25" s="16">
        <v>1093.8</v>
      </c>
      <c r="AC25" s="16">
        <v>4071.51</v>
      </c>
      <c r="AD25" s="16">
        <v>38.283999999999999</v>
      </c>
      <c r="AE25" s="16">
        <v>16.873000000000001</v>
      </c>
      <c r="AG25" s="11">
        <f t="shared" si="6"/>
        <v>2.0486249999999999</v>
      </c>
      <c r="AH25" s="12">
        <f t="shared" si="7"/>
        <v>8.7305125925578372E-3</v>
      </c>
      <c r="AI25" s="12">
        <f t="shared" si="8"/>
        <v>5.6715890078675377E-3</v>
      </c>
      <c r="AJ25" s="12">
        <f t="shared" si="9"/>
        <v>3.5053415578927714E-3</v>
      </c>
      <c r="AK25" s="12">
        <f t="shared" si="10"/>
        <v>3.0589235846902991E-3</v>
      </c>
      <c r="AL25" s="54">
        <f t="shared" si="11"/>
        <v>1419568</v>
      </c>
      <c r="AM25" s="12">
        <v>16</v>
      </c>
      <c r="AN25" s="13">
        <v>23412684</v>
      </c>
      <c r="AO25" s="13">
        <v>731646.375</v>
      </c>
      <c r="AP25" s="13">
        <v>14608.71875</v>
      </c>
      <c r="AQ25" s="14">
        <v>2185200</v>
      </c>
      <c r="AR25" s="14">
        <v>877368</v>
      </c>
      <c r="AS25" s="14">
        <v>542200</v>
      </c>
      <c r="AT25" s="14">
        <v>765632</v>
      </c>
      <c r="AU25" s="15">
        <v>66.251328000000001</v>
      </c>
      <c r="AV25" s="15">
        <v>68.010480999999999</v>
      </c>
      <c r="AW25" s="15">
        <v>25.909856000000001</v>
      </c>
      <c r="AX25" s="15">
        <v>32.463306000000003</v>
      </c>
      <c r="AY25" s="15">
        <v>31.666108999999999</v>
      </c>
      <c r="AZ25" s="16"/>
      <c r="BA25" s="16"/>
      <c r="BB25" s="16"/>
      <c r="BC25" s="16"/>
      <c r="BE25" s="51">
        <f t="shared" si="12"/>
        <v>1.0000338142470695</v>
      </c>
      <c r="BF25" s="17">
        <f t="shared" si="13"/>
        <v>0</v>
      </c>
      <c r="BG25" s="17">
        <f t="shared" si="14"/>
        <v>7.6964148734148807E-6</v>
      </c>
      <c r="BH25" s="17">
        <f t="array" ref="BH25">AVERAGE(AL25:AL29/AQ25:AQ29) - AVERAGE(N25:N29/S25:S29)</f>
        <v>4.7840403999410697E-6</v>
      </c>
      <c r="BJ25" s="51">
        <f>IF( OR(ISBLANK(N25:N29),ISBLANK(AL25:AL29), ISBLANK(W25:W29),ISBLANK(AU25:AU29)), "·", bdRateExtend( N25:N29,W25:W29, AL25:AL29,AU25:AU29))</f>
        <v>2.3086641415925868E-5</v>
      </c>
      <c r="BK25" s="51">
        <f>IF( OR(ISBLANK(N25:N29),ISBLANK(AL25:AL29), ISBLANK(X25:X29),ISBLANK(AV25:AV29)), "·", bdRateExtend( N25:N29,X25:X29, AL25:AL29,AV25:AV29))</f>
        <v>2.1139329469122004E-5</v>
      </c>
      <c r="BL25" s="51">
        <f>IF( OR(ISBLANK(V25:V29),ISBLANK(AT25:AT29), ISBLANK(Y25:Y29),ISBLANK(AW25:AW29)), "·", bdRateExtend( V25:V29,Y25:Y29, AT25:AT29,AW25:AW29))</f>
        <v>0</v>
      </c>
      <c r="BM25" s="51">
        <f>IF( OR(ISBLANK(V25:V29),ISBLANK(AT25:AT29), ISBLANK(Z25:Z29),ISBLANK(AX25:AX29)), "·", bdRateExtend( V25:V29,Z25:Z29, AT25:AT29,AX25:AX29))</f>
        <v>0</v>
      </c>
      <c r="BN25" s="51">
        <f>IF( OR(ISBLANK(V25:V29),ISBLANK(AT25:AT29), ISBLANK(AA25:AA29),ISBLANK(AY25:AY29)), "·", bdRateExtend( V25:V29,AA25:AA29, AT25:AT29,AY25:AY29))</f>
        <v>0</v>
      </c>
      <c r="BP25" s="51">
        <f>IF( OR(ISBLANK(S25:S29),ISBLANK(AQ25:AQ29), ISBLANK(W25:W29),ISBLANK(AU25:AU29)), "·", bdRateExtend( S25:S29,W25:W29, AQ25:AQ29,AU25:AU29))</f>
        <v>1.1421469178873878E-5</v>
      </c>
      <c r="BQ25" s="51">
        <f>IF( OR(ISBLANK(S25:S29),ISBLANK(AQ25:AQ29), ISBLANK(X25:X29),ISBLANK(AV25:AV29)), "·", bdRateExtend( S25:S29,X25:X29, AQ25:AQ29,AV25:AV29))</f>
        <v>9.9648915568018026E-6</v>
      </c>
      <c r="BR25" s="51">
        <f>IF( OR(ISBLANK(S25:S29),ISBLANK(AQ25:AQ29), ISBLANK(Y25:Y29),ISBLANK(AW25:AW29)), "·", bdRateExtend( S25:S29,Y25:Y29, AQ25:AQ29,AW25:AW29))</f>
        <v>8.7108599964302869E-6</v>
      </c>
      <c r="BS25" s="51">
        <f>IF( OR(ISBLANK(S25:S29),ISBLANK(AQ25:AQ29), ISBLANK(Z25:Z29),ISBLANK(AX25:AX29)), "·", bdRateExtend( S25:S29,Z25:Z29, AQ25:AQ29,AX25:AX29))</f>
        <v>8.5477683822166028E-6</v>
      </c>
      <c r="BT25" s="51">
        <f>IF( OR(ISBLANK(S25:S29),ISBLANK(AQ25:AQ29), ISBLANK(AA25:AA29),ISBLANK(AY25:AY29)), "·", bdRateExtend( S25:S29,AA25:AA29, AQ25:AQ29,AY25:AY29))</f>
        <v>8.9054754945916414E-6</v>
      </c>
    </row>
    <row r="26" spans="1:72" outlineLevel="1">
      <c r="A26" s="18"/>
      <c r="B26" s="18" t="s">
        <v>71</v>
      </c>
      <c r="C26" s="19" t="s">
        <v>231</v>
      </c>
      <c r="D26" s="18">
        <v>250294582</v>
      </c>
      <c r="E26" s="19">
        <v>10</v>
      </c>
      <c r="F26" s="19">
        <v>32</v>
      </c>
      <c r="G26" s="19">
        <v>30</v>
      </c>
      <c r="I26" s="20">
        <f t="shared" si="0"/>
        <v>3.1634625000000001</v>
      </c>
      <c r="J26" s="21">
        <f t="shared" si="1"/>
        <v>1.3481554307076451E-2</v>
      </c>
      <c r="K26" s="21">
        <f t="shared" si="2"/>
        <v>7.1432948556593209E-3</v>
      </c>
      <c r="L26" s="21">
        <f t="shared" si="3"/>
        <v>4.9772391797118483E-3</v>
      </c>
      <c r="M26" s="21">
        <f t="shared" si="4"/>
        <v>6.3382594514171308E-3</v>
      </c>
      <c r="N26" s="18">
        <f t="shared" si="5"/>
        <v>1787928</v>
      </c>
      <c r="O26" s="21">
        <v>16</v>
      </c>
      <c r="P26" s="22">
        <v>24648707</v>
      </c>
      <c r="Q26" s="22">
        <v>770272.09375</v>
      </c>
      <c r="R26" s="22">
        <v>17797.59375</v>
      </c>
      <c r="S26" s="23">
        <v>3374360</v>
      </c>
      <c r="T26" s="23">
        <v>1245776</v>
      </c>
      <c r="U26" s="23">
        <v>542152</v>
      </c>
      <c r="V26" s="23">
        <v>1586432</v>
      </c>
      <c r="W26" s="24">
        <v>68.002734000000004</v>
      </c>
      <c r="X26" s="24">
        <v>70.010191000000006</v>
      </c>
      <c r="Y26" s="24">
        <v>27.926013000000001</v>
      </c>
      <c r="Z26" s="24">
        <v>33.677669000000002</v>
      </c>
      <c r="AA26" s="24">
        <v>33.051997</v>
      </c>
      <c r="AB26" s="25">
        <v>990.00199999999995</v>
      </c>
      <c r="AC26" s="25">
        <v>4060.59</v>
      </c>
      <c r="AD26" s="25">
        <v>36.53</v>
      </c>
      <c r="AE26" s="25">
        <v>15.541</v>
      </c>
      <c r="AG26" s="20">
        <f t="shared" si="6"/>
        <v>3.1635075000000001</v>
      </c>
      <c r="AH26" s="21">
        <f t="shared" si="7"/>
        <v>1.3481746081103745E-2</v>
      </c>
      <c r="AI26" s="21">
        <f t="shared" si="8"/>
        <v>7.1434866296866146E-3</v>
      </c>
      <c r="AJ26" s="21">
        <f t="shared" si="9"/>
        <v>4.9772391797118483E-3</v>
      </c>
      <c r="AK26" s="21">
        <f t="shared" si="10"/>
        <v>6.3382594514171308E-3</v>
      </c>
      <c r="AL26" s="18">
        <f t="shared" si="11"/>
        <v>1787976</v>
      </c>
      <c r="AM26" s="21">
        <v>16</v>
      </c>
      <c r="AN26" s="22">
        <v>24648707</v>
      </c>
      <c r="AO26" s="22">
        <v>770272.09375</v>
      </c>
      <c r="AP26" s="22">
        <v>17797.59375</v>
      </c>
      <c r="AQ26" s="23">
        <v>3374408</v>
      </c>
      <c r="AR26" s="23">
        <v>1245776</v>
      </c>
      <c r="AS26" s="23">
        <v>542200</v>
      </c>
      <c r="AT26" s="23">
        <v>1586432</v>
      </c>
      <c r="AU26" s="24">
        <v>68.002734000000004</v>
      </c>
      <c r="AV26" s="24">
        <v>70.010191000000006</v>
      </c>
      <c r="AW26" s="24">
        <v>27.926013000000001</v>
      </c>
      <c r="AX26" s="24">
        <v>33.677669000000002</v>
      </c>
      <c r="AY26" s="24">
        <v>33.051997</v>
      </c>
      <c r="AZ26" s="25"/>
      <c r="BA26" s="25"/>
      <c r="BB26" s="25"/>
      <c r="BC26" s="25"/>
      <c r="BE26" s="50">
        <f t="shared" si="12"/>
        <v>1.0000268467186597</v>
      </c>
      <c r="BF26" s="26">
        <f t="shared" si="13"/>
        <v>0</v>
      </c>
      <c r="BG26" s="26">
        <f t="shared" si="14"/>
        <v>6.6876524092984724E-6</v>
      </c>
      <c r="BH26" s="26"/>
      <c r="BJ26" s="50"/>
      <c r="BK26" s="50"/>
      <c r="BL26" s="50"/>
      <c r="BM26" s="50"/>
      <c r="BN26" s="50"/>
      <c r="BP26" s="50"/>
      <c r="BQ26" s="50"/>
      <c r="BR26" s="50"/>
      <c r="BS26" s="50"/>
      <c r="BT26" s="50"/>
    </row>
    <row r="27" spans="1:72" outlineLevel="1">
      <c r="A27" s="54"/>
      <c r="B27" s="54" t="s">
        <v>71</v>
      </c>
      <c r="C27" s="10" t="s">
        <v>232</v>
      </c>
      <c r="D27" s="54">
        <v>250294582</v>
      </c>
      <c r="E27" s="10">
        <v>10</v>
      </c>
      <c r="F27" s="10">
        <v>32</v>
      </c>
      <c r="G27" s="10">
        <v>30</v>
      </c>
      <c r="I27" s="11">
        <f t="shared" si="0"/>
        <v>5.3400224999999999</v>
      </c>
      <c r="J27" s="12">
        <f t="shared" si="1"/>
        <v>2.2757280459231036E-2</v>
      </c>
      <c r="K27" s="12">
        <f t="shared" si="2"/>
        <v>9.3058666367776197E-3</v>
      </c>
      <c r="L27" s="12">
        <f t="shared" si="3"/>
        <v>7.1398109608301471E-3</v>
      </c>
      <c r="M27" s="12">
        <f t="shared" si="4"/>
        <v>1.3451413822453417E-2</v>
      </c>
      <c r="N27" s="54">
        <f t="shared" si="5"/>
        <v>2329208</v>
      </c>
      <c r="O27" s="12">
        <v>16</v>
      </c>
      <c r="P27" s="13">
        <v>24857847</v>
      </c>
      <c r="Q27" s="13">
        <v>776807.71875</v>
      </c>
      <c r="R27" s="13">
        <v>18658.4375</v>
      </c>
      <c r="S27" s="14">
        <v>5696024</v>
      </c>
      <c r="T27" s="14">
        <v>1787056</v>
      </c>
      <c r="U27" s="14">
        <v>542152</v>
      </c>
      <c r="V27" s="14">
        <v>3366816</v>
      </c>
      <c r="W27" s="15">
        <v>69.296153000000004</v>
      </c>
      <c r="X27" s="15">
        <v>71.689296999999996</v>
      </c>
      <c r="Y27" s="15">
        <v>30.202411999999999</v>
      </c>
      <c r="Z27" s="15">
        <v>34.929931000000003</v>
      </c>
      <c r="AA27" s="15">
        <v>34.3611</v>
      </c>
      <c r="AB27" s="16">
        <v>1050.02</v>
      </c>
      <c r="AC27" s="16">
        <v>5537.53</v>
      </c>
      <c r="AD27" s="16">
        <v>42.142000000000003</v>
      </c>
      <c r="AE27" s="16">
        <v>22.763999999999999</v>
      </c>
      <c r="AG27" s="11">
        <f t="shared" si="6"/>
        <v>5.3400675</v>
      </c>
      <c r="AH27" s="12">
        <f t="shared" si="7"/>
        <v>2.275747223325833E-2</v>
      </c>
      <c r="AI27" s="12">
        <f t="shared" si="8"/>
        <v>9.3060584108049134E-3</v>
      </c>
      <c r="AJ27" s="12">
        <f t="shared" si="9"/>
        <v>7.1398109608301471E-3</v>
      </c>
      <c r="AK27" s="12">
        <f t="shared" si="10"/>
        <v>1.3451413822453417E-2</v>
      </c>
      <c r="AL27" s="54">
        <f t="shared" si="11"/>
        <v>2329256</v>
      </c>
      <c r="AM27" s="12">
        <v>16</v>
      </c>
      <c r="AN27" s="13">
        <v>24857847</v>
      </c>
      <c r="AO27" s="13">
        <v>776807.71875</v>
      </c>
      <c r="AP27" s="13">
        <v>18658.4375</v>
      </c>
      <c r="AQ27" s="14">
        <v>5696072</v>
      </c>
      <c r="AR27" s="14">
        <v>1787056</v>
      </c>
      <c r="AS27" s="14">
        <v>542200</v>
      </c>
      <c r="AT27" s="14">
        <v>3366816</v>
      </c>
      <c r="AU27" s="15">
        <v>69.296153000000004</v>
      </c>
      <c r="AV27" s="15">
        <v>71.689296999999996</v>
      </c>
      <c r="AW27" s="15">
        <v>30.202411999999999</v>
      </c>
      <c r="AX27" s="15">
        <v>34.929931000000003</v>
      </c>
      <c r="AY27" s="15">
        <v>34.3611</v>
      </c>
      <c r="AZ27" s="16"/>
      <c r="BA27" s="16"/>
      <c r="BB27" s="16"/>
      <c r="BC27" s="16"/>
      <c r="BE27" s="51">
        <f t="shared" si="12"/>
        <v>1.0000206078632736</v>
      </c>
      <c r="BF27" s="17">
        <f t="shared" si="13"/>
        <v>0</v>
      </c>
      <c r="BG27" s="17">
        <f t="shared" si="14"/>
        <v>4.9809632671760085E-6</v>
      </c>
      <c r="BH27" s="17"/>
      <c r="BJ27" s="51"/>
      <c r="BK27" s="51"/>
      <c r="BL27" s="51"/>
      <c r="BM27" s="51"/>
      <c r="BN27" s="51"/>
      <c r="BP27" s="51"/>
      <c r="BQ27" s="51"/>
      <c r="BR27" s="51"/>
      <c r="BS27" s="51"/>
      <c r="BT27" s="51"/>
    </row>
    <row r="28" spans="1:72" outlineLevel="1">
      <c r="A28" s="18"/>
      <c r="B28" s="18" t="s">
        <v>71</v>
      </c>
      <c r="C28" s="19" t="s">
        <v>233</v>
      </c>
      <c r="D28" s="18">
        <v>250294582</v>
      </c>
      <c r="E28" s="19">
        <v>10</v>
      </c>
      <c r="F28" s="19">
        <v>32</v>
      </c>
      <c r="G28" s="19">
        <v>30</v>
      </c>
      <c r="I28" s="20">
        <f t="shared" si="0"/>
        <v>10.2941775</v>
      </c>
      <c r="J28" s="21">
        <f t="shared" si="1"/>
        <v>4.3870130596754188E-2</v>
      </c>
      <c r="K28" s="21">
        <f t="shared" si="2"/>
        <v>1.3063774588616545E-2</v>
      </c>
      <c r="L28" s="21">
        <f t="shared" si="3"/>
        <v>1.0897718912669073E-2</v>
      </c>
      <c r="M28" s="21">
        <f t="shared" si="4"/>
        <v>3.0806356008137643E-2</v>
      </c>
      <c r="N28" s="18">
        <f t="shared" si="5"/>
        <v>3269792</v>
      </c>
      <c r="O28" s="21">
        <v>16</v>
      </c>
      <c r="P28" s="22">
        <v>25537404</v>
      </c>
      <c r="Q28" s="22">
        <v>798043.875</v>
      </c>
      <c r="R28" s="22">
        <v>21046.25</v>
      </c>
      <c r="S28" s="23">
        <v>10980456</v>
      </c>
      <c r="T28" s="23">
        <v>2727640</v>
      </c>
      <c r="U28" s="23">
        <v>542152</v>
      </c>
      <c r="V28" s="23">
        <v>7710664</v>
      </c>
      <c r="W28" s="24">
        <v>70.432884000000001</v>
      </c>
      <c r="X28" s="24">
        <v>72.951308999999995</v>
      </c>
      <c r="Y28" s="24">
        <v>32.697758999999998</v>
      </c>
      <c r="Z28" s="24">
        <v>36.426347</v>
      </c>
      <c r="AA28" s="24">
        <v>35.863433999999998</v>
      </c>
      <c r="AB28" s="25">
        <v>993.30700000000002</v>
      </c>
      <c r="AC28" s="25">
        <v>5219.99</v>
      </c>
      <c r="AD28" s="25">
        <v>40.924999999999997</v>
      </c>
      <c r="AE28" s="25">
        <v>19.568999999999999</v>
      </c>
      <c r="AG28" s="20">
        <f t="shared" si="6"/>
        <v>10.2942225</v>
      </c>
      <c r="AH28" s="21">
        <f t="shared" si="7"/>
        <v>4.3870322370781485E-2</v>
      </c>
      <c r="AI28" s="21">
        <f t="shared" si="8"/>
        <v>1.3063966362643838E-2</v>
      </c>
      <c r="AJ28" s="21">
        <f t="shared" si="9"/>
        <v>1.0897718912669073E-2</v>
      </c>
      <c r="AK28" s="21">
        <f t="shared" si="10"/>
        <v>3.0806356008137643E-2</v>
      </c>
      <c r="AL28" s="18">
        <f t="shared" si="11"/>
        <v>3269840</v>
      </c>
      <c r="AM28" s="21">
        <v>16</v>
      </c>
      <c r="AN28" s="22">
        <v>25537404</v>
      </c>
      <c r="AO28" s="22">
        <v>798043.875</v>
      </c>
      <c r="AP28" s="22">
        <v>21046.25</v>
      </c>
      <c r="AQ28" s="23">
        <v>10980504</v>
      </c>
      <c r="AR28" s="23">
        <v>2727640</v>
      </c>
      <c r="AS28" s="23">
        <v>542200</v>
      </c>
      <c r="AT28" s="23">
        <v>7710664</v>
      </c>
      <c r="AU28" s="24">
        <v>70.432884000000001</v>
      </c>
      <c r="AV28" s="24">
        <v>72.951308999999995</v>
      </c>
      <c r="AW28" s="24">
        <v>32.697758999999998</v>
      </c>
      <c r="AX28" s="24">
        <v>36.426347</v>
      </c>
      <c r="AY28" s="24">
        <v>35.863433999999998</v>
      </c>
      <c r="AZ28" s="25"/>
      <c r="BA28" s="25"/>
      <c r="BB28" s="25"/>
      <c r="BC28" s="25"/>
      <c r="BE28" s="50">
        <f t="shared" si="12"/>
        <v>1.0000146798328455</v>
      </c>
      <c r="BF28" s="26">
        <f t="shared" si="13"/>
        <v>0</v>
      </c>
      <c r="BG28" s="26">
        <f t="shared" si="14"/>
        <v>3.0696606399538418E-6</v>
      </c>
      <c r="BH28" s="26"/>
      <c r="BJ28" s="50"/>
      <c r="BK28" s="50"/>
      <c r="BL28" s="50"/>
      <c r="BM28" s="50"/>
      <c r="BN28" s="50"/>
      <c r="BP28" s="50"/>
      <c r="BQ28" s="50"/>
      <c r="BR28" s="50"/>
      <c r="BS28" s="50"/>
      <c r="BT28" s="50"/>
    </row>
    <row r="29" spans="1:72" ht="16" outlineLevel="1" thickBot="1">
      <c r="A29" s="27"/>
      <c r="B29" s="27" t="s">
        <v>71</v>
      </c>
      <c r="C29" s="28" t="s">
        <v>234</v>
      </c>
      <c r="D29" s="27">
        <v>250294582</v>
      </c>
      <c r="E29" s="28">
        <v>10</v>
      </c>
      <c r="F29" s="28">
        <v>32</v>
      </c>
      <c r="G29" s="28">
        <v>30</v>
      </c>
      <c r="I29" s="29">
        <f t="shared" si="0"/>
        <v>23.849834999999999</v>
      </c>
      <c r="J29" s="30">
        <f t="shared" si="1"/>
        <v>0.10163953129436896</v>
      </c>
      <c r="K29" s="30">
        <f t="shared" si="2"/>
        <v>2.1617024055278992E-2</v>
      </c>
      <c r="L29" s="30">
        <f t="shared" si="3"/>
        <v>1.7254836143436775E-2</v>
      </c>
      <c r="M29" s="30">
        <f t="shared" si="4"/>
        <v>8.0022507239089977E-2</v>
      </c>
      <c r="N29" s="27">
        <f t="shared" si="5"/>
        <v>5410624</v>
      </c>
      <c r="O29" s="30">
        <v>16</v>
      </c>
      <c r="P29" s="31">
        <v>24583774</v>
      </c>
      <c r="Q29" s="31">
        <v>768242.9375</v>
      </c>
      <c r="R29" s="31">
        <v>9806.6875</v>
      </c>
      <c r="S29" s="32">
        <v>25439824</v>
      </c>
      <c r="T29" s="32">
        <v>4318792</v>
      </c>
      <c r="U29" s="32">
        <v>1091832</v>
      </c>
      <c r="V29" s="32">
        <v>20029200</v>
      </c>
      <c r="W29" s="33">
        <v>71.135999999999996</v>
      </c>
      <c r="X29" s="33">
        <v>74.866600000000005</v>
      </c>
      <c r="Y29" s="33">
        <v>35.755406000000001</v>
      </c>
      <c r="Z29" s="33">
        <v>38.381728000000003</v>
      </c>
      <c r="AA29" s="33">
        <v>37.767850000000003</v>
      </c>
      <c r="AB29" s="34">
        <v>1075.83</v>
      </c>
      <c r="AC29" s="34">
        <v>5169.17</v>
      </c>
      <c r="AD29" s="34">
        <v>35.435000000000002</v>
      </c>
      <c r="AE29" s="34">
        <v>18.969000000000001</v>
      </c>
      <c r="AG29" s="29">
        <f t="shared" si="6"/>
        <v>23.849879999999999</v>
      </c>
      <c r="AH29" s="30">
        <f t="shared" si="7"/>
        <v>0.10163972306839626</v>
      </c>
      <c r="AI29" s="30">
        <f t="shared" si="8"/>
        <v>2.1617215829306285E-2</v>
      </c>
      <c r="AJ29" s="30">
        <f t="shared" si="9"/>
        <v>1.7254836143436775E-2</v>
      </c>
      <c r="AK29" s="30">
        <f t="shared" si="10"/>
        <v>8.0022507239089977E-2</v>
      </c>
      <c r="AL29" s="27">
        <f t="shared" si="11"/>
        <v>5410672</v>
      </c>
      <c r="AM29" s="30">
        <v>16</v>
      </c>
      <c r="AN29" s="31">
        <v>24583774</v>
      </c>
      <c r="AO29" s="31">
        <v>768242.9375</v>
      </c>
      <c r="AP29" s="31">
        <v>9806.6875</v>
      </c>
      <c r="AQ29" s="32">
        <v>25439872</v>
      </c>
      <c r="AR29" s="32">
        <v>4318792</v>
      </c>
      <c r="AS29" s="32">
        <v>1091880</v>
      </c>
      <c r="AT29" s="32">
        <v>20029200</v>
      </c>
      <c r="AU29" s="33">
        <v>71.135999999999996</v>
      </c>
      <c r="AV29" s="33">
        <v>74.866600000000005</v>
      </c>
      <c r="AW29" s="33">
        <v>35.755406000000001</v>
      </c>
      <c r="AX29" s="33">
        <v>38.381728000000003</v>
      </c>
      <c r="AY29" s="33">
        <v>37.767850000000003</v>
      </c>
      <c r="AZ29" s="34"/>
      <c r="BA29" s="34"/>
      <c r="BB29" s="34"/>
      <c r="BC29" s="34"/>
      <c r="BE29" s="35">
        <f t="shared" si="12"/>
        <v>1.0000088714351616</v>
      </c>
      <c r="BF29" s="36">
        <f t="shared" si="13"/>
        <v>0</v>
      </c>
      <c r="BG29" s="36">
        <f t="shared" si="14"/>
        <v>1.4855108093625446E-6</v>
      </c>
      <c r="BH29" s="36"/>
      <c r="BJ29" s="35"/>
      <c r="BK29" s="35"/>
      <c r="BL29" s="35"/>
      <c r="BM29" s="35"/>
      <c r="BN29" s="35"/>
      <c r="BP29" s="35"/>
      <c r="BQ29" s="35"/>
      <c r="BR29" s="35"/>
      <c r="BS29" s="35"/>
      <c r="BT29" s="35"/>
    </row>
    <row r="30" spans="1:72">
      <c r="A30" s="18" t="s">
        <v>236</v>
      </c>
      <c r="B30" s="18" t="s">
        <v>75</v>
      </c>
      <c r="C30" s="19" t="s">
        <v>230</v>
      </c>
      <c r="D30" s="18">
        <v>375422539</v>
      </c>
      <c r="E30" s="19">
        <v>11</v>
      </c>
      <c r="F30" s="19">
        <v>10</v>
      </c>
      <c r="G30" s="19">
        <v>30</v>
      </c>
      <c r="I30" s="20">
        <f t="shared" si="0"/>
        <v>3.0733920000000001</v>
      </c>
      <c r="J30" s="21">
        <f t="shared" si="1"/>
        <v>2.7288292352633629E-3</v>
      </c>
      <c r="K30" s="21">
        <f t="shared" si="2"/>
        <v>2.2112044796543237E-3</v>
      </c>
      <c r="L30" s="21">
        <f t="shared" si="3"/>
        <v>1.3359666719424111E-3</v>
      </c>
      <c r="M30" s="21">
        <f t="shared" si="4"/>
        <v>5.1762475560903926E-4</v>
      </c>
      <c r="N30" s="18">
        <f t="shared" si="5"/>
        <v>830136</v>
      </c>
      <c r="O30" s="21">
        <v>16</v>
      </c>
      <c r="P30" s="22">
        <v>27115729</v>
      </c>
      <c r="Q30" s="22">
        <v>2711572.9</v>
      </c>
      <c r="R30" s="22">
        <v>33844.300000000003</v>
      </c>
      <c r="S30" s="23">
        <v>1024464</v>
      </c>
      <c r="T30" s="23">
        <v>501552</v>
      </c>
      <c r="U30" s="23">
        <v>328584</v>
      </c>
      <c r="V30" s="23">
        <v>194328</v>
      </c>
      <c r="W30" s="24">
        <v>73.790270000000007</v>
      </c>
      <c r="X30" s="24">
        <v>75.742109999999997</v>
      </c>
      <c r="Y30" s="24">
        <v>33.880020000000002</v>
      </c>
      <c r="Z30" s="24">
        <v>41.903019999999998</v>
      </c>
      <c r="AA30" s="24">
        <v>43.803170000000001</v>
      </c>
      <c r="AB30" s="25">
        <v>996.17700000000002</v>
      </c>
      <c r="AC30" s="25">
        <v>2145.14</v>
      </c>
      <c r="AD30" s="25">
        <v>44.972999999999999</v>
      </c>
      <c r="AE30" s="25">
        <v>10.712</v>
      </c>
      <c r="AG30" s="20">
        <f t="shared" si="6"/>
        <v>3.0736080000000001</v>
      </c>
      <c r="AH30" s="21">
        <f t="shared" si="7"/>
        <v>2.7290210191668858E-3</v>
      </c>
      <c r="AI30" s="21">
        <f t="shared" si="8"/>
        <v>2.2113962635578466E-3</v>
      </c>
      <c r="AJ30" s="21">
        <f t="shared" si="9"/>
        <v>1.3359666719424111E-3</v>
      </c>
      <c r="AK30" s="21">
        <f t="shared" si="10"/>
        <v>5.1762475560903926E-4</v>
      </c>
      <c r="AL30" s="18">
        <f t="shared" si="11"/>
        <v>830208</v>
      </c>
      <c r="AM30" s="21">
        <v>16</v>
      </c>
      <c r="AN30" s="22">
        <v>27115729</v>
      </c>
      <c r="AO30" s="22">
        <v>2711572.9</v>
      </c>
      <c r="AP30" s="22">
        <v>33844.300000000003</v>
      </c>
      <c r="AQ30" s="23">
        <v>1024536</v>
      </c>
      <c r="AR30" s="23">
        <v>501552</v>
      </c>
      <c r="AS30" s="23">
        <v>328656</v>
      </c>
      <c r="AT30" s="23">
        <v>194328</v>
      </c>
      <c r="AU30" s="24">
        <v>73.790270000000007</v>
      </c>
      <c r="AV30" s="24">
        <v>75.742109999999997</v>
      </c>
      <c r="AW30" s="24">
        <v>33.880020000000002</v>
      </c>
      <c r="AX30" s="24">
        <v>41.903019999999998</v>
      </c>
      <c r="AY30" s="24">
        <v>43.803170000000001</v>
      </c>
      <c r="AZ30" s="25"/>
      <c r="BA30" s="25"/>
      <c r="BB30" s="25"/>
      <c r="BC30" s="25"/>
      <c r="BE30" s="50">
        <f t="shared" si="12"/>
        <v>1.0000867327763161</v>
      </c>
      <c r="BF30" s="26">
        <f t="shared" si="13"/>
        <v>0</v>
      </c>
      <c r="BG30" s="26">
        <f t="shared" si="14"/>
        <v>1.3330423670576685E-5</v>
      </c>
      <c r="BH30" s="26">
        <f t="array" ref="BH30">AVERAGE(AL30:AL34/AQ30:AQ34) - AVERAGE(N30:N34/S30:S34)</f>
        <v>1.0752795941648685E-5</v>
      </c>
      <c r="BJ30" s="50">
        <f>IF( OR(ISBLANK(N30:N34),ISBLANK(AL30:AL34), ISBLANK(W30:W34),ISBLANK(AU30:AU34)), "·", bdRateExtend( N30:N34,W30:W34, AL30:AL34,AU30:AU34))</f>
        <v>5.7936574287875686E-5</v>
      </c>
      <c r="BK30" s="50">
        <f>IF( OR(ISBLANK(N30:N34),ISBLANK(AL30:AL34), ISBLANK(X30:X34),ISBLANK(AV30:AV34)), "·", bdRateExtend( N30:N34,X30:X34, AL30:AL34,AV30:AV34))</f>
        <v>5.5652590578381123E-5</v>
      </c>
      <c r="BL30" s="50">
        <f>IF( OR(ISBLANK(V30:V34),ISBLANK(AT30:AT34), ISBLANK(Y30:Y34),ISBLANK(AW30:AW34)), "·", bdRateExtend( V30:V34,Y30:Y34, AT30:AT34,AW30:AW34))</f>
        <v>0</v>
      </c>
      <c r="BM30" s="50">
        <f>IF( OR(ISBLANK(V30:V34),ISBLANK(AT30:AT34), ISBLANK(Z30:Z34),ISBLANK(AX30:AX34)), "·", bdRateExtend( V30:V34,Z30:Z34, AT30:AT34,AX30:AX34))</f>
        <v>0</v>
      </c>
      <c r="BN30" s="50">
        <f>IF( OR(ISBLANK(V30:V34),ISBLANK(AT30:AT34), ISBLANK(AA30:AA34),ISBLANK(AY30:AY34)), "·", bdRateExtend( V30:V34,AA30:AA34, AT30:AT34,AY30:AY34))</f>
        <v>0</v>
      </c>
      <c r="BP30" s="50">
        <f>IF( OR(ISBLANK(S30:S34),ISBLANK(AQ30:AQ34), ISBLANK(W30:W34),ISBLANK(AU30:AU34)), "·", bdRateExtend( S30:S34,W30:W34, AQ30:AQ34,AU30:AU34))</f>
        <v>4.0431669443119489E-5</v>
      </c>
      <c r="BQ30" s="50">
        <f>IF( OR(ISBLANK(S30:S34),ISBLANK(AQ30:AQ34), ISBLANK(X30:X34),ISBLANK(AV30:AV34)), "·", bdRateExtend( S30:S34,X30:X34, AQ30:AQ34,AV30:AV34))</f>
        <v>3.8381150769595251E-5</v>
      </c>
      <c r="BR30" s="50">
        <f>IF( OR(ISBLANK(S30:S34),ISBLANK(AQ30:AQ34), ISBLANK(Y30:Y34),ISBLANK(AW30:AW34)), "·", bdRateExtend( S30:S34,Y30:Y34, AQ30:AQ34,AW30:AW34))</f>
        <v>3.7024216101189111E-5</v>
      </c>
      <c r="BS30" s="50">
        <f>IF( OR(ISBLANK(S30:S34),ISBLANK(AQ30:AQ34), ISBLANK(Z30:Z34),ISBLANK(AX30:AX34)), "·", bdRateExtend( S30:S34,Z30:Z34, AQ30:AQ34,AX30:AX34))</f>
        <v>3.439819765582719E-5</v>
      </c>
      <c r="BT30" s="50">
        <f>IF( OR(ISBLANK(S30:S34),ISBLANK(AQ30:AQ34), ISBLANK(AA30:AA34),ISBLANK(AY30:AY34)), "·", bdRateExtend( S30:S34,AA30:AA34, AQ30:AQ34,AY30:AY34))</f>
        <v>3.5680457849407432E-5</v>
      </c>
    </row>
    <row r="31" spans="1:72" outlineLevel="1">
      <c r="A31" s="54"/>
      <c r="B31" s="54" t="s">
        <v>75</v>
      </c>
      <c r="C31" s="10" t="s">
        <v>231</v>
      </c>
      <c r="D31" s="54">
        <v>375422539</v>
      </c>
      <c r="E31" s="10">
        <v>11</v>
      </c>
      <c r="F31" s="19">
        <v>10</v>
      </c>
      <c r="G31" s="10">
        <v>30</v>
      </c>
      <c r="I31" s="11">
        <f t="shared" si="0"/>
        <v>4.1371919999999998</v>
      </c>
      <c r="J31" s="12">
        <f t="shared" si="1"/>
        <v>3.6733649601149812E-3</v>
      </c>
      <c r="K31" s="12">
        <f t="shared" si="2"/>
        <v>2.7323452734946208E-3</v>
      </c>
      <c r="L31" s="12">
        <f t="shared" si="3"/>
        <v>1.8570009191696399E-3</v>
      </c>
      <c r="M31" s="12">
        <f t="shared" si="4"/>
        <v>9.4101968662036036E-4</v>
      </c>
      <c r="N31" s="54">
        <f t="shared" si="5"/>
        <v>1025784</v>
      </c>
      <c r="O31" s="12">
        <v>16</v>
      </c>
      <c r="P31" s="13">
        <v>28279111</v>
      </c>
      <c r="Q31" s="13">
        <v>2827911.1</v>
      </c>
      <c r="R31" s="13">
        <v>39723.800000000003</v>
      </c>
      <c r="S31" s="14">
        <v>1379064</v>
      </c>
      <c r="T31" s="14">
        <v>697160</v>
      </c>
      <c r="U31" s="14">
        <v>328624</v>
      </c>
      <c r="V31" s="14">
        <v>353280</v>
      </c>
      <c r="W31" s="15">
        <v>75.345650000000006</v>
      </c>
      <c r="X31" s="15">
        <v>77.61627</v>
      </c>
      <c r="Y31" s="15">
        <v>35.64517</v>
      </c>
      <c r="Z31" s="15">
        <v>42.289380000000001</v>
      </c>
      <c r="AA31" s="15">
        <v>44.97146</v>
      </c>
      <c r="AB31" s="16">
        <v>879.08900000000006</v>
      </c>
      <c r="AC31" s="16">
        <v>2122.1799999999998</v>
      </c>
      <c r="AD31" s="16">
        <v>42.68</v>
      </c>
      <c r="AE31" s="16">
        <v>10.141999999999999</v>
      </c>
      <c r="AG31" s="11">
        <f t="shared" si="6"/>
        <v>4.1374079999999998</v>
      </c>
      <c r="AH31" s="12">
        <f t="shared" si="7"/>
        <v>3.6735567440185045E-3</v>
      </c>
      <c r="AI31" s="12">
        <f t="shared" si="8"/>
        <v>2.7325370573981441E-3</v>
      </c>
      <c r="AJ31" s="12">
        <f t="shared" si="9"/>
        <v>1.8570009191696399E-3</v>
      </c>
      <c r="AK31" s="12">
        <f t="shared" si="10"/>
        <v>9.4101968662036036E-4</v>
      </c>
      <c r="AL31" s="54">
        <f t="shared" si="11"/>
        <v>1025856</v>
      </c>
      <c r="AM31" s="12">
        <v>16</v>
      </c>
      <c r="AN31" s="13">
        <v>28279111</v>
      </c>
      <c r="AO31" s="13">
        <v>2827911.1</v>
      </c>
      <c r="AP31" s="13">
        <v>39723.800000000003</v>
      </c>
      <c r="AQ31" s="14">
        <v>1379136</v>
      </c>
      <c r="AR31" s="14">
        <v>697160</v>
      </c>
      <c r="AS31" s="14">
        <v>328696</v>
      </c>
      <c r="AT31" s="14">
        <v>353280</v>
      </c>
      <c r="AU31" s="15">
        <v>75.345650000000006</v>
      </c>
      <c r="AV31" s="15">
        <v>77.61627</v>
      </c>
      <c r="AW31" s="15">
        <v>35.64517</v>
      </c>
      <c r="AX31" s="15">
        <v>42.289380000000001</v>
      </c>
      <c r="AY31" s="15">
        <v>44.97146</v>
      </c>
      <c r="AZ31" s="16"/>
      <c r="BA31" s="16"/>
      <c r="BB31" s="16"/>
      <c r="BC31" s="16"/>
      <c r="BE31" s="51">
        <f t="shared" si="12"/>
        <v>1.000070190215484</v>
      </c>
      <c r="BF31" s="17">
        <f t="shared" si="13"/>
        <v>0</v>
      </c>
      <c r="BG31" s="17">
        <f t="shared" si="14"/>
        <v>1.3373960355944625E-5</v>
      </c>
      <c r="BH31" s="17"/>
      <c r="BJ31" s="51"/>
      <c r="BK31" s="51"/>
      <c r="BL31" s="51"/>
      <c r="BM31" s="51"/>
      <c r="BN31" s="51"/>
      <c r="BP31" s="51"/>
      <c r="BQ31" s="51"/>
      <c r="BR31" s="51"/>
      <c r="BS31" s="51"/>
      <c r="BT31" s="51"/>
    </row>
    <row r="32" spans="1:72" outlineLevel="1">
      <c r="A32" s="18"/>
      <c r="B32" s="18" t="s">
        <v>75</v>
      </c>
      <c r="C32" s="19" t="s">
        <v>232</v>
      </c>
      <c r="D32" s="18">
        <v>375422539</v>
      </c>
      <c r="E32" s="19">
        <v>11</v>
      </c>
      <c r="F32" s="19">
        <v>10</v>
      </c>
      <c r="G32" s="19">
        <v>30</v>
      </c>
      <c r="I32" s="20">
        <f t="shared" si="0"/>
        <v>6.1422720000000002</v>
      </c>
      <c r="J32" s="21">
        <f t="shared" si="1"/>
        <v>5.4536523178753526E-3</v>
      </c>
      <c r="K32" s="21">
        <f t="shared" si="2"/>
        <v>3.5321054605088587E-3</v>
      </c>
      <c r="L32" s="21">
        <f t="shared" si="3"/>
        <v>2.6567611061838778E-3</v>
      </c>
      <c r="M32" s="21">
        <f t="shared" si="4"/>
        <v>1.9215468573664939E-3</v>
      </c>
      <c r="N32" s="18">
        <f t="shared" si="5"/>
        <v>1326032</v>
      </c>
      <c r="O32" s="21">
        <v>16</v>
      </c>
      <c r="P32" s="22">
        <v>28454039</v>
      </c>
      <c r="Q32" s="22">
        <v>2845403.9</v>
      </c>
      <c r="R32" s="22">
        <v>42076.5</v>
      </c>
      <c r="S32" s="23">
        <v>2047424</v>
      </c>
      <c r="T32" s="23">
        <v>997408</v>
      </c>
      <c r="U32" s="23">
        <v>328624</v>
      </c>
      <c r="V32" s="23">
        <v>721392</v>
      </c>
      <c r="W32" s="24">
        <v>76.502629999999996</v>
      </c>
      <c r="X32" s="24">
        <v>79.137299999999996</v>
      </c>
      <c r="Y32" s="24">
        <v>37.190600000000003</v>
      </c>
      <c r="Z32" s="24">
        <v>42.97457</v>
      </c>
      <c r="AA32" s="24">
        <v>46.25779</v>
      </c>
      <c r="AB32" s="25">
        <v>871.90499999999997</v>
      </c>
      <c r="AC32" s="25">
        <v>2325.81</v>
      </c>
      <c r="AD32" s="25">
        <v>43.317999999999998</v>
      </c>
      <c r="AE32" s="25">
        <v>10.846</v>
      </c>
      <c r="AG32" s="20">
        <f t="shared" si="6"/>
        <v>6.1424880000000002</v>
      </c>
      <c r="AH32" s="21">
        <f t="shared" si="7"/>
        <v>5.4538441017788755E-3</v>
      </c>
      <c r="AI32" s="21">
        <f t="shared" si="8"/>
        <v>3.532297244412382E-3</v>
      </c>
      <c r="AJ32" s="21">
        <f t="shared" si="9"/>
        <v>2.6567611061838778E-3</v>
      </c>
      <c r="AK32" s="21">
        <f t="shared" si="10"/>
        <v>1.9215468573664939E-3</v>
      </c>
      <c r="AL32" s="18">
        <f t="shared" si="11"/>
        <v>1326104</v>
      </c>
      <c r="AM32" s="21">
        <v>16</v>
      </c>
      <c r="AN32" s="22">
        <v>28454039</v>
      </c>
      <c r="AO32" s="22">
        <v>2845403.9</v>
      </c>
      <c r="AP32" s="22">
        <v>42076.5</v>
      </c>
      <c r="AQ32" s="23">
        <v>2047496</v>
      </c>
      <c r="AR32" s="23">
        <v>997408</v>
      </c>
      <c r="AS32" s="23">
        <v>328696</v>
      </c>
      <c r="AT32" s="23">
        <v>721392</v>
      </c>
      <c r="AU32" s="24">
        <v>76.502629999999996</v>
      </c>
      <c r="AV32" s="24">
        <v>79.137299999999996</v>
      </c>
      <c r="AW32" s="24">
        <v>37.190600000000003</v>
      </c>
      <c r="AX32" s="24">
        <v>42.97457</v>
      </c>
      <c r="AY32" s="24">
        <v>46.25779</v>
      </c>
      <c r="AZ32" s="25"/>
      <c r="BA32" s="25"/>
      <c r="BB32" s="25"/>
      <c r="BC32" s="25"/>
      <c r="BE32" s="50">
        <f t="shared" si="12"/>
        <v>1.0000542973321911</v>
      </c>
      <c r="BF32" s="26">
        <f t="shared" si="13"/>
        <v>0</v>
      </c>
      <c r="BG32" s="26">
        <f t="shared" si="14"/>
        <v>1.2390047360866241E-5</v>
      </c>
      <c r="BH32" s="26"/>
      <c r="BJ32" s="50"/>
      <c r="BK32" s="50"/>
      <c r="BL32" s="50"/>
      <c r="BM32" s="50"/>
      <c r="BN32" s="50"/>
      <c r="BP32" s="50"/>
      <c r="BQ32" s="50"/>
      <c r="BR32" s="50"/>
      <c r="BS32" s="50"/>
      <c r="BT32" s="50"/>
    </row>
    <row r="33" spans="1:72" outlineLevel="1">
      <c r="A33" s="54"/>
      <c r="B33" s="54" t="s">
        <v>75</v>
      </c>
      <c r="C33" s="10" t="s">
        <v>233</v>
      </c>
      <c r="D33" s="54">
        <v>375422539</v>
      </c>
      <c r="E33" s="10">
        <v>11</v>
      </c>
      <c r="F33" s="19">
        <v>10</v>
      </c>
      <c r="G33" s="10">
        <v>30</v>
      </c>
      <c r="I33" s="11">
        <f t="shared" si="0"/>
        <v>10.716912000000001</v>
      </c>
      <c r="J33" s="12">
        <f t="shared" si="1"/>
        <v>9.5154223012699837E-3</v>
      </c>
      <c r="K33" s="12">
        <f t="shared" si="2"/>
        <v>5.1087183127276224E-3</v>
      </c>
      <c r="L33" s="12">
        <f t="shared" si="3"/>
        <v>4.2333739584026414E-3</v>
      </c>
      <c r="M33" s="12">
        <f t="shared" si="4"/>
        <v>4.4067039885423605E-3</v>
      </c>
      <c r="N33" s="54">
        <f t="shared" si="5"/>
        <v>1917928</v>
      </c>
      <c r="O33" s="12">
        <v>16</v>
      </c>
      <c r="P33" s="13">
        <v>29135264</v>
      </c>
      <c r="Q33" s="13">
        <v>2913526.4</v>
      </c>
      <c r="R33" s="13">
        <v>46620.800000000003</v>
      </c>
      <c r="S33" s="14">
        <v>3572304</v>
      </c>
      <c r="T33" s="14">
        <v>1589304</v>
      </c>
      <c r="U33" s="14">
        <v>328624</v>
      </c>
      <c r="V33" s="14">
        <v>1654376</v>
      </c>
      <c r="W33" s="15">
        <v>77.603250000000003</v>
      </c>
      <c r="X33" s="15">
        <v>80.286950000000004</v>
      </c>
      <c r="Y33" s="15">
        <v>38.737679999999997</v>
      </c>
      <c r="Z33" s="15">
        <v>43.518180000000001</v>
      </c>
      <c r="AA33" s="15">
        <v>47.627099999999999</v>
      </c>
      <c r="AB33" s="16">
        <v>981.505</v>
      </c>
      <c r="AC33" s="16">
        <v>3165.99</v>
      </c>
      <c r="AD33" s="16">
        <v>49.119</v>
      </c>
      <c r="AE33" s="16">
        <v>15.523999999999999</v>
      </c>
      <c r="AG33" s="11">
        <f t="shared" si="6"/>
        <v>10.717128000000001</v>
      </c>
      <c r="AH33" s="12">
        <f t="shared" si="7"/>
        <v>9.5156140851735058E-3</v>
      </c>
      <c r="AI33" s="12">
        <f t="shared" si="8"/>
        <v>5.1089100966311453E-3</v>
      </c>
      <c r="AJ33" s="12">
        <f t="shared" si="9"/>
        <v>4.2333739584026414E-3</v>
      </c>
      <c r="AK33" s="12">
        <f t="shared" si="10"/>
        <v>4.4067039885423605E-3</v>
      </c>
      <c r="AL33" s="54">
        <f t="shared" si="11"/>
        <v>1918000</v>
      </c>
      <c r="AM33" s="12">
        <v>16</v>
      </c>
      <c r="AN33" s="13">
        <v>29135264</v>
      </c>
      <c r="AO33" s="13">
        <v>2913526.4</v>
      </c>
      <c r="AP33" s="13">
        <v>46620.800000000003</v>
      </c>
      <c r="AQ33" s="14">
        <v>3572376</v>
      </c>
      <c r="AR33" s="14">
        <v>1589304</v>
      </c>
      <c r="AS33" s="14">
        <v>328696</v>
      </c>
      <c r="AT33" s="14">
        <v>1654376</v>
      </c>
      <c r="AU33" s="15">
        <v>77.603250000000003</v>
      </c>
      <c r="AV33" s="15">
        <v>80.286950000000004</v>
      </c>
      <c r="AW33" s="15">
        <v>38.737679999999997</v>
      </c>
      <c r="AX33" s="15">
        <v>43.518180000000001</v>
      </c>
      <c r="AY33" s="15">
        <v>47.627099999999999</v>
      </c>
      <c r="AZ33" s="16"/>
      <c r="BA33" s="16"/>
      <c r="BB33" s="16"/>
      <c r="BC33" s="16"/>
      <c r="BE33" s="51">
        <f t="shared" si="12"/>
        <v>1.0000375405124697</v>
      </c>
      <c r="BF33" s="17">
        <f t="shared" si="13"/>
        <v>0</v>
      </c>
      <c r="BG33" s="17">
        <f t="shared" si="14"/>
        <v>9.3338570372747398E-6</v>
      </c>
      <c r="BH33" s="17"/>
      <c r="BJ33" s="51"/>
      <c r="BK33" s="51"/>
      <c r="BL33" s="51"/>
      <c r="BM33" s="51"/>
      <c r="BN33" s="51"/>
      <c r="BP33" s="51"/>
      <c r="BQ33" s="51"/>
      <c r="BR33" s="51"/>
      <c r="BS33" s="51"/>
      <c r="BT33" s="51"/>
    </row>
    <row r="34" spans="1:72" ht="16" outlineLevel="1" thickBot="1">
      <c r="A34" s="18"/>
      <c r="B34" s="37" t="s">
        <v>75</v>
      </c>
      <c r="C34" s="38" t="s">
        <v>234</v>
      </c>
      <c r="D34" s="37">
        <v>375422539</v>
      </c>
      <c r="E34" s="38">
        <v>11</v>
      </c>
      <c r="F34" s="19">
        <v>10</v>
      </c>
      <c r="G34" s="38">
        <v>30</v>
      </c>
      <c r="I34" s="39">
        <f t="shared" si="0"/>
        <v>23.209152</v>
      </c>
      <c r="J34" s="40">
        <f t="shared" si="1"/>
        <v>2.0607137814919525E-2</v>
      </c>
      <c r="K34" s="40">
        <f t="shared" si="2"/>
        <v>8.7925674595685371E-3</v>
      </c>
      <c r="L34" s="40">
        <f t="shared" si="3"/>
        <v>6.9591346512096336E-3</v>
      </c>
      <c r="M34" s="40">
        <f t="shared" si="4"/>
        <v>1.1814570355350988E-2</v>
      </c>
      <c r="N34" s="37">
        <f t="shared" si="5"/>
        <v>3300928</v>
      </c>
      <c r="O34" s="40">
        <v>16</v>
      </c>
      <c r="P34" s="41">
        <v>28550363</v>
      </c>
      <c r="Q34" s="41">
        <v>2855036.3</v>
      </c>
      <c r="R34" s="41">
        <v>18364</v>
      </c>
      <c r="S34" s="42">
        <v>7736384</v>
      </c>
      <c r="T34" s="42">
        <v>2612616</v>
      </c>
      <c r="U34" s="42">
        <v>688312</v>
      </c>
      <c r="V34" s="42">
        <v>4435456</v>
      </c>
      <c r="W34" s="43">
        <v>78.487920000000003</v>
      </c>
      <c r="X34" s="43">
        <v>81.884450000000001</v>
      </c>
      <c r="Y34" s="43">
        <v>40.419040000000003</v>
      </c>
      <c r="Z34" s="43">
        <v>44.133400000000002</v>
      </c>
      <c r="AA34" s="43">
        <v>48.954689999999999</v>
      </c>
      <c r="AB34" s="44">
        <v>912.47</v>
      </c>
      <c r="AC34" s="44">
        <v>3000.87</v>
      </c>
      <c r="AD34" s="44">
        <v>46.207000000000001</v>
      </c>
      <c r="AE34" s="44">
        <v>14.269</v>
      </c>
      <c r="AG34" s="39">
        <f t="shared" si="6"/>
        <v>23.209368000000001</v>
      </c>
      <c r="AH34" s="40">
        <f t="shared" si="7"/>
        <v>2.0607329598823047E-2</v>
      </c>
      <c r="AI34" s="40">
        <f t="shared" si="8"/>
        <v>8.7927592434720609E-3</v>
      </c>
      <c r="AJ34" s="40">
        <f t="shared" si="9"/>
        <v>6.9591346512096336E-3</v>
      </c>
      <c r="AK34" s="40">
        <f t="shared" si="10"/>
        <v>1.1814570355350988E-2</v>
      </c>
      <c r="AL34" s="37">
        <f t="shared" si="11"/>
        <v>3301000</v>
      </c>
      <c r="AM34" s="40">
        <v>16</v>
      </c>
      <c r="AN34" s="41">
        <v>28550363</v>
      </c>
      <c r="AO34" s="41">
        <v>2855036.3</v>
      </c>
      <c r="AP34" s="41">
        <v>18364</v>
      </c>
      <c r="AQ34" s="42">
        <v>7736456</v>
      </c>
      <c r="AR34" s="42">
        <v>2612616</v>
      </c>
      <c r="AS34" s="42">
        <v>688384</v>
      </c>
      <c r="AT34" s="42">
        <v>4435456</v>
      </c>
      <c r="AU34" s="43">
        <v>78.487920000000003</v>
      </c>
      <c r="AV34" s="43">
        <v>81.884450000000001</v>
      </c>
      <c r="AW34" s="43">
        <v>40.419040000000003</v>
      </c>
      <c r="AX34" s="43">
        <v>44.133400000000002</v>
      </c>
      <c r="AY34" s="43">
        <v>48.954689999999999</v>
      </c>
      <c r="AZ34" s="44"/>
      <c r="BA34" s="44"/>
      <c r="BB34" s="44"/>
      <c r="BC34" s="44"/>
      <c r="BE34" s="45">
        <f t="shared" si="12"/>
        <v>1.000021812048006</v>
      </c>
      <c r="BF34" s="46">
        <f t="shared" si="13"/>
        <v>0</v>
      </c>
      <c r="BG34" s="46">
        <f t="shared" si="14"/>
        <v>5.3356912828594893E-6</v>
      </c>
      <c r="BH34" s="46"/>
      <c r="BJ34" s="45"/>
      <c r="BK34" s="45"/>
      <c r="BL34" s="45"/>
      <c r="BM34" s="45"/>
      <c r="BN34" s="45"/>
      <c r="BP34" s="45"/>
      <c r="BQ34" s="45"/>
      <c r="BR34" s="45"/>
      <c r="BS34" s="45"/>
      <c r="BT34" s="45"/>
    </row>
    <row r="35" spans="1:72">
      <c r="A35" s="54"/>
      <c r="B35" s="54" t="s">
        <v>80</v>
      </c>
      <c r="C35" s="10" t="s">
        <v>230</v>
      </c>
      <c r="D35" s="54">
        <v>333190689</v>
      </c>
      <c r="E35" s="10">
        <v>11</v>
      </c>
      <c r="F35" s="19">
        <v>10</v>
      </c>
      <c r="G35" s="10">
        <v>30</v>
      </c>
      <c r="I35" s="11">
        <f t="shared" si="0"/>
        <v>4.3447440000000004</v>
      </c>
      <c r="J35" s="12">
        <f t="shared" si="1"/>
        <v>4.3466040553132024E-3</v>
      </c>
      <c r="K35" s="12">
        <f t="shared" si="2"/>
        <v>3.2568977340180117E-3</v>
      </c>
      <c r="L35" s="12">
        <f t="shared" si="3"/>
        <v>2.0918711807099747E-3</v>
      </c>
      <c r="M35" s="12">
        <f t="shared" si="4"/>
        <v>1.0897063212951907E-3</v>
      </c>
      <c r="N35" s="54">
        <f t="shared" si="5"/>
        <v>1085168</v>
      </c>
      <c r="O35" s="12">
        <v>16</v>
      </c>
      <c r="P35" s="13">
        <v>23326429</v>
      </c>
      <c r="Q35" s="13">
        <v>2332642.9</v>
      </c>
      <c r="R35" s="13">
        <v>29464.799999999999</v>
      </c>
      <c r="S35" s="14">
        <v>1448248</v>
      </c>
      <c r="T35" s="14">
        <v>696992</v>
      </c>
      <c r="U35" s="14">
        <v>388176</v>
      </c>
      <c r="V35" s="14">
        <v>363080</v>
      </c>
      <c r="W35" s="15">
        <v>73.246139999999997</v>
      </c>
      <c r="X35" s="15">
        <v>75.423330000000007</v>
      </c>
      <c r="Y35" s="15">
        <v>32.069360000000003</v>
      </c>
      <c r="Z35" s="15">
        <v>42.268300000000004</v>
      </c>
      <c r="AA35" s="15">
        <v>43.740920000000003</v>
      </c>
      <c r="AB35" s="16">
        <v>834.90800000000002</v>
      </c>
      <c r="AC35" s="16">
        <v>3738.32</v>
      </c>
      <c r="AD35" s="16">
        <v>42.15</v>
      </c>
      <c r="AE35" s="16">
        <v>16.645</v>
      </c>
      <c r="AG35" s="11">
        <f t="shared" si="6"/>
        <v>4.3449600000000004</v>
      </c>
      <c r="AH35" s="12">
        <f t="shared" si="7"/>
        <v>4.3468201477863027E-3</v>
      </c>
      <c r="AI35" s="12">
        <f t="shared" si="8"/>
        <v>3.2571138264911119E-3</v>
      </c>
      <c r="AJ35" s="12">
        <f t="shared" si="9"/>
        <v>2.0918711807099747E-3</v>
      </c>
      <c r="AK35" s="12">
        <f t="shared" si="10"/>
        <v>1.0897063212951907E-3</v>
      </c>
      <c r="AL35" s="54">
        <f t="shared" si="11"/>
        <v>1085240</v>
      </c>
      <c r="AM35" s="12">
        <v>16</v>
      </c>
      <c r="AN35" s="13">
        <v>23326429</v>
      </c>
      <c r="AO35" s="13">
        <v>2332642.9</v>
      </c>
      <c r="AP35" s="13">
        <v>29464.799999999999</v>
      </c>
      <c r="AQ35" s="14">
        <v>1448320</v>
      </c>
      <c r="AR35" s="14">
        <v>696992</v>
      </c>
      <c r="AS35" s="14">
        <v>388248</v>
      </c>
      <c r="AT35" s="14">
        <v>363080</v>
      </c>
      <c r="AU35" s="15">
        <v>73.246139999999997</v>
      </c>
      <c r="AV35" s="15">
        <v>75.423330000000007</v>
      </c>
      <c r="AW35" s="15">
        <v>32.069360000000003</v>
      </c>
      <c r="AX35" s="15">
        <v>42.268300000000004</v>
      </c>
      <c r="AY35" s="15">
        <v>43.740920000000003</v>
      </c>
      <c r="AZ35" s="16"/>
      <c r="BA35" s="16"/>
      <c r="BB35" s="16"/>
      <c r="BC35" s="16"/>
      <c r="BE35" s="51">
        <f t="shared" si="12"/>
        <v>1.0000663491735842</v>
      </c>
      <c r="BF35" s="17">
        <f t="shared" si="13"/>
        <v>0</v>
      </c>
      <c r="BG35" s="17">
        <f t="shared" si="14"/>
        <v>1.2463136680129772E-5</v>
      </c>
      <c r="BH35" s="17">
        <f t="array" ref="BH35">AVERAGE(AL35:AL39/AQ35:AQ39) - AVERAGE(N35:N39/S35:S39)</f>
        <v>9.2232663351232702E-6</v>
      </c>
      <c r="BJ35" s="51">
        <f>IF( OR(ISBLANK(N35:N39),ISBLANK(AL35:AL39), ISBLANK(W35:W39),ISBLANK(AU35:AU39)), "·", bdRateExtend( N35:N39,W35:W39, AL35:AL39,AU35:AU39))</f>
        <v>4.5482045566203055E-5</v>
      </c>
      <c r="BK35" s="51">
        <f>IF( OR(ISBLANK(N35:N39),ISBLANK(AL35:AL39), ISBLANK(X35:X39),ISBLANK(AV35:AV39)), "·", bdRateExtend( N35:N39,X35:X39, AL35:AL39,AV35:AV39))</f>
        <v>4.3090433335279954E-5</v>
      </c>
      <c r="BL35" s="51">
        <f>IF( OR(ISBLANK(V35:V39),ISBLANK(AT35:AT39), ISBLANK(Y35:Y39),ISBLANK(AW35:AW39)), "·", bdRateExtend( V35:V39,Y35:Y39, AT35:AT39,AW35:AW39))</f>
        <v>0</v>
      </c>
      <c r="BM35" s="51">
        <f>IF( OR(ISBLANK(V35:V39),ISBLANK(AT35:AT39), ISBLANK(Z35:Z39),ISBLANK(AX35:AX39)), "·", bdRateExtend( V35:V39,Z35:Z39, AT35:AT39,AX35:AX39))</f>
        <v>0</v>
      </c>
      <c r="BN35" s="51">
        <f>IF( OR(ISBLANK(V35:V39),ISBLANK(AT35:AT39), ISBLANK(AA35:AA39),ISBLANK(AY35:AY39)), "·", bdRateExtend( V35:V39,AA35:AA39, AT35:AT39,AY35:AY39))</f>
        <v>0</v>
      </c>
      <c r="BP35" s="51">
        <f>IF( OR(ISBLANK(S35:S39),ISBLANK(AQ35:AQ39), ISBLANK(W35:W39),ISBLANK(AU35:AU39)), "·", bdRateExtend( S35:S39,W35:W39, AQ35:AQ39,AU35:AU39))</f>
        <v>2.9503657555940421E-5</v>
      </c>
      <c r="BQ35" s="51">
        <f>IF( OR(ISBLANK(S35:S39),ISBLANK(AQ35:AQ39), ISBLANK(X35:X39),ISBLANK(AV35:AV39)), "·", bdRateExtend( S35:S39,X35:X39, AQ35:AQ39,AV35:AV39))</f>
        <v>2.743859795306669E-5</v>
      </c>
      <c r="BR35" s="51">
        <f>IF( OR(ISBLANK(S35:S39),ISBLANK(AQ35:AQ39), ISBLANK(Y35:Y39),ISBLANK(AW35:AW39)), "·", bdRateExtend( S35:S39,Y35:Y39, AQ35:AQ39,AW35:AW39))</f>
        <v>2.6884660234482993E-5</v>
      </c>
      <c r="BS35" s="51">
        <f>IF( OR(ISBLANK(S35:S39),ISBLANK(AQ35:AQ39), ISBLANK(Z35:Z39),ISBLANK(AX35:AX39)), "·", bdRateExtend( S35:S39,Z35:Z39, AQ35:AQ39,AX35:AX39))</f>
        <v>2.5546269973864E-5</v>
      </c>
      <c r="BT35" s="51">
        <f>IF( OR(ISBLANK(S35:S39),ISBLANK(AQ35:AQ39), ISBLANK(AA35:AA39),ISBLANK(AY35:AY39)), "·", bdRateExtend( S35:S39,AA35:AA39, AQ35:AQ39,AY35:AY39))</f>
        <v>2.60539217464828E-5</v>
      </c>
    </row>
    <row r="36" spans="1:72" outlineLevel="1">
      <c r="A36" s="18"/>
      <c r="B36" s="18" t="s">
        <v>80</v>
      </c>
      <c r="C36" s="19" t="s">
        <v>231</v>
      </c>
      <c r="D36" s="18">
        <v>333190689</v>
      </c>
      <c r="E36" s="19">
        <v>11</v>
      </c>
      <c r="F36" s="19">
        <v>10</v>
      </c>
      <c r="G36" s="19">
        <v>30</v>
      </c>
      <c r="I36" s="20">
        <f t="shared" si="0"/>
        <v>5.9004719999999997</v>
      </c>
      <c r="J36" s="21">
        <f t="shared" si="1"/>
        <v>5.9029980876806557E-3</v>
      </c>
      <c r="K36" s="21">
        <f t="shared" si="2"/>
        <v>4.0450350039643512E-3</v>
      </c>
      <c r="L36" s="21">
        <f t="shared" si="3"/>
        <v>2.8800084506563147E-3</v>
      </c>
      <c r="M36" s="21">
        <f t="shared" si="4"/>
        <v>1.8579630837163039E-3</v>
      </c>
      <c r="N36" s="18">
        <f t="shared" si="5"/>
        <v>1347768</v>
      </c>
      <c r="O36" s="21">
        <v>16</v>
      </c>
      <c r="P36" s="22">
        <v>24805783</v>
      </c>
      <c r="Q36" s="22">
        <v>2480578.2999999998</v>
      </c>
      <c r="R36" s="22">
        <v>37097.699999999997</v>
      </c>
      <c r="S36" s="23">
        <v>1966824</v>
      </c>
      <c r="T36" s="23">
        <v>959592</v>
      </c>
      <c r="U36" s="23">
        <v>388176</v>
      </c>
      <c r="V36" s="23">
        <v>619056</v>
      </c>
      <c r="W36" s="24">
        <v>74.970370000000003</v>
      </c>
      <c r="X36" s="24">
        <v>77.379379999999998</v>
      </c>
      <c r="Y36" s="24">
        <v>34.296309999999998</v>
      </c>
      <c r="Z36" s="24">
        <v>43.027900000000002</v>
      </c>
      <c r="AA36" s="24">
        <v>44.891719999999999</v>
      </c>
      <c r="AB36" s="25">
        <v>937.84500000000003</v>
      </c>
      <c r="AC36" s="25">
        <v>3367.42</v>
      </c>
      <c r="AD36" s="25">
        <v>41.432000000000002</v>
      </c>
      <c r="AE36" s="25">
        <v>15.34</v>
      </c>
      <c r="AG36" s="20">
        <f t="shared" si="6"/>
        <v>5.9006879999999997</v>
      </c>
      <c r="AH36" s="21">
        <f t="shared" si="7"/>
        <v>5.903214180153756E-3</v>
      </c>
      <c r="AI36" s="21">
        <f t="shared" si="8"/>
        <v>4.0452510964374515E-3</v>
      </c>
      <c r="AJ36" s="21">
        <f t="shared" si="9"/>
        <v>2.8800084506563147E-3</v>
      </c>
      <c r="AK36" s="21">
        <f t="shared" si="10"/>
        <v>1.8579630837163039E-3</v>
      </c>
      <c r="AL36" s="18">
        <f t="shared" si="11"/>
        <v>1347840</v>
      </c>
      <c r="AM36" s="21">
        <v>16</v>
      </c>
      <c r="AN36" s="22">
        <v>24805783</v>
      </c>
      <c r="AO36" s="22">
        <v>2480578.2999999998</v>
      </c>
      <c r="AP36" s="22">
        <v>37097.699999999997</v>
      </c>
      <c r="AQ36" s="23">
        <v>1966896</v>
      </c>
      <c r="AR36" s="23">
        <v>959592</v>
      </c>
      <c r="AS36" s="23">
        <v>388248</v>
      </c>
      <c r="AT36" s="23">
        <v>619056</v>
      </c>
      <c r="AU36" s="24">
        <v>74.970370000000003</v>
      </c>
      <c r="AV36" s="24">
        <v>77.379379999999998</v>
      </c>
      <c r="AW36" s="24">
        <v>34.296309999999998</v>
      </c>
      <c r="AX36" s="24">
        <v>43.027900000000002</v>
      </c>
      <c r="AY36" s="24">
        <v>44.891719999999999</v>
      </c>
      <c r="AZ36" s="25"/>
      <c r="BA36" s="25"/>
      <c r="BB36" s="25"/>
      <c r="BC36" s="25"/>
      <c r="BE36" s="50">
        <f t="shared" si="12"/>
        <v>1.0000534216571397</v>
      </c>
      <c r="BF36" s="26">
        <f t="shared" si="13"/>
        <v>0</v>
      </c>
      <c r="BG36" s="26">
        <f t="shared" si="14"/>
        <v>1.1521672793168847E-5</v>
      </c>
      <c r="BH36" s="26"/>
      <c r="BJ36" s="50"/>
      <c r="BK36" s="50"/>
      <c r="BL36" s="50"/>
      <c r="BM36" s="50"/>
      <c r="BN36" s="50"/>
      <c r="BP36" s="50"/>
      <c r="BQ36" s="50"/>
      <c r="BR36" s="50"/>
      <c r="BS36" s="50"/>
      <c r="BT36" s="50"/>
    </row>
    <row r="37" spans="1:72" outlineLevel="1">
      <c r="A37" s="54"/>
      <c r="B37" s="54" t="s">
        <v>80</v>
      </c>
      <c r="C37" s="10" t="s">
        <v>232</v>
      </c>
      <c r="D37" s="54">
        <v>333190689</v>
      </c>
      <c r="E37" s="10">
        <v>11</v>
      </c>
      <c r="F37" s="19">
        <v>10</v>
      </c>
      <c r="G37" s="10">
        <v>30</v>
      </c>
      <c r="I37" s="11">
        <f t="shared" si="0"/>
        <v>8.5537679999999998</v>
      </c>
      <c r="J37" s="12">
        <f t="shared" si="1"/>
        <v>8.5574300066950555E-3</v>
      </c>
      <c r="K37" s="12">
        <f t="shared" si="2"/>
        <v>5.1782479431770672E-3</v>
      </c>
      <c r="L37" s="12">
        <f t="shared" si="3"/>
        <v>4.0132213898690311E-3</v>
      </c>
      <c r="M37" s="12">
        <f t="shared" si="4"/>
        <v>3.3791820635179874E-3</v>
      </c>
      <c r="N37" s="54">
        <f t="shared" si="5"/>
        <v>1725344</v>
      </c>
      <c r="O37" s="12">
        <v>16</v>
      </c>
      <c r="P37" s="13">
        <v>25326350</v>
      </c>
      <c r="Q37" s="13">
        <v>2532635</v>
      </c>
      <c r="R37" s="13">
        <v>40277.599999999999</v>
      </c>
      <c r="S37" s="14">
        <v>2851256</v>
      </c>
      <c r="T37" s="14">
        <v>1337168</v>
      </c>
      <c r="U37" s="14">
        <v>388176</v>
      </c>
      <c r="V37" s="14">
        <v>1125912</v>
      </c>
      <c r="W37" s="15">
        <v>76.280869999999993</v>
      </c>
      <c r="X37" s="15">
        <v>78.988659999999996</v>
      </c>
      <c r="Y37" s="15">
        <v>36.302599999999998</v>
      </c>
      <c r="Z37" s="15">
        <v>43.659520000000001</v>
      </c>
      <c r="AA37" s="15">
        <v>46.280670000000001</v>
      </c>
      <c r="AB37" s="16">
        <v>874.93100000000004</v>
      </c>
      <c r="AC37" s="16">
        <v>4226.8</v>
      </c>
      <c r="AD37" s="16">
        <v>47.85</v>
      </c>
      <c r="AE37" s="16">
        <v>19.602</v>
      </c>
      <c r="AG37" s="11">
        <f t="shared" si="6"/>
        <v>8.5539839999999998</v>
      </c>
      <c r="AH37" s="12">
        <f t="shared" si="7"/>
        <v>8.5576460991681549E-3</v>
      </c>
      <c r="AI37" s="12">
        <f t="shared" si="8"/>
        <v>5.1784640356501675E-3</v>
      </c>
      <c r="AJ37" s="12">
        <f t="shared" si="9"/>
        <v>4.0132213898690311E-3</v>
      </c>
      <c r="AK37" s="12">
        <f t="shared" si="10"/>
        <v>3.3791820635179874E-3</v>
      </c>
      <c r="AL37" s="54">
        <f t="shared" si="11"/>
        <v>1725416</v>
      </c>
      <c r="AM37" s="12">
        <v>16</v>
      </c>
      <c r="AN37" s="13">
        <v>25326350</v>
      </c>
      <c r="AO37" s="13">
        <v>2532635</v>
      </c>
      <c r="AP37" s="13">
        <v>40277.599999999999</v>
      </c>
      <c r="AQ37" s="14">
        <v>2851328</v>
      </c>
      <c r="AR37" s="14">
        <v>1337168</v>
      </c>
      <c r="AS37" s="14">
        <v>388248</v>
      </c>
      <c r="AT37" s="14">
        <v>1125912</v>
      </c>
      <c r="AU37" s="15">
        <v>76.280869999999993</v>
      </c>
      <c r="AV37" s="15">
        <v>78.988659999999996</v>
      </c>
      <c r="AW37" s="15">
        <v>36.302599999999998</v>
      </c>
      <c r="AX37" s="15">
        <v>43.659520000000001</v>
      </c>
      <c r="AY37" s="15">
        <v>46.280670000000001</v>
      </c>
      <c r="AZ37" s="16"/>
      <c r="BA37" s="16"/>
      <c r="BB37" s="16"/>
      <c r="BC37" s="16"/>
      <c r="BE37" s="51">
        <f t="shared" si="12"/>
        <v>1.0000417308084648</v>
      </c>
      <c r="BF37" s="17">
        <f t="shared" si="13"/>
        <v>0</v>
      </c>
      <c r="BG37" s="17">
        <f t="shared" si="14"/>
        <v>9.9713406496171331E-6</v>
      </c>
      <c r="BH37" s="17"/>
      <c r="BJ37" s="51"/>
      <c r="BK37" s="51"/>
      <c r="BL37" s="51"/>
      <c r="BM37" s="51"/>
      <c r="BN37" s="51"/>
      <c r="BP37" s="51"/>
      <c r="BQ37" s="51"/>
      <c r="BR37" s="51"/>
      <c r="BS37" s="51"/>
      <c r="BT37" s="51"/>
    </row>
    <row r="38" spans="1:72" outlineLevel="1">
      <c r="A38" s="18"/>
      <c r="B38" s="18" t="s">
        <v>80</v>
      </c>
      <c r="C38" s="19" t="s">
        <v>233</v>
      </c>
      <c r="D38" s="18">
        <v>333190689</v>
      </c>
      <c r="E38" s="19">
        <v>11</v>
      </c>
      <c r="F38" s="19">
        <v>10</v>
      </c>
      <c r="G38" s="19">
        <v>30</v>
      </c>
      <c r="I38" s="20">
        <f t="shared" si="0"/>
        <v>13.997016</v>
      </c>
      <c r="J38" s="21">
        <f t="shared" si="1"/>
        <v>1.4003008349371971E-2</v>
      </c>
      <c r="K38" s="21">
        <f t="shared" si="2"/>
        <v>7.0930193370439595E-3</v>
      </c>
      <c r="L38" s="21">
        <f t="shared" si="3"/>
        <v>5.9279927837359225E-3</v>
      </c>
      <c r="M38" s="21">
        <f t="shared" si="4"/>
        <v>6.9099890123280128E-3</v>
      </c>
      <c r="N38" s="18">
        <f t="shared" si="5"/>
        <v>2363328</v>
      </c>
      <c r="O38" s="21">
        <v>16</v>
      </c>
      <c r="P38" s="22">
        <v>25955836</v>
      </c>
      <c r="Q38" s="22">
        <v>2595583.6</v>
      </c>
      <c r="R38" s="22">
        <v>45091.9</v>
      </c>
      <c r="S38" s="23">
        <v>4665672</v>
      </c>
      <c r="T38" s="23">
        <v>1975152</v>
      </c>
      <c r="U38" s="23">
        <v>388176</v>
      </c>
      <c r="V38" s="23">
        <v>2302344</v>
      </c>
      <c r="W38" s="24">
        <v>77.441730000000007</v>
      </c>
      <c r="X38" s="24">
        <v>80.17568</v>
      </c>
      <c r="Y38" s="24">
        <v>38.170900000000003</v>
      </c>
      <c r="Z38" s="24">
        <v>44.304079999999999</v>
      </c>
      <c r="AA38" s="24">
        <v>47.388509999999997</v>
      </c>
      <c r="AB38" s="25">
        <v>871.98299999999995</v>
      </c>
      <c r="AC38" s="25">
        <v>4399.84</v>
      </c>
      <c r="AD38" s="25">
        <v>46.779000000000003</v>
      </c>
      <c r="AE38" s="25">
        <v>19.279</v>
      </c>
      <c r="AG38" s="20">
        <f t="shared" si="6"/>
        <v>13.997232</v>
      </c>
      <c r="AH38" s="21">
        <f t="shared" si="7"/>
        <v>1.4003224441845073E-2</v>
      </c>
      <c r="AI38" s="21">
        <f t="shared" si="8"/>
        <v>7.0932354295170598E-3</v>
      </c>
      <c r="AJ38" s="21">
        <f t="shared" si="9"/>
        <v>5.9279927837359225E-3</v>
      </c>
      <c r="AK38" s="21">
        <f t="shared" si="10"/>
        <v>6.9099890123280128E-3</v>
      </c>
      <c r="AL38" s="18">
        <f t="shared" si="11"/>
        <v>2363400</v>
      </c>
      <c r="AM38" s="21">
        <v>16</v>
      </c>
      <c r="AN38" s="22">
        <v>25955836</v>
      </c>
      <c r="AO38" s="22">
        <v>2595583.6</v>
      </c>
      <c r="AP38" s="22">
        <v>45091.9</v>
      </c>
      <c r="AQ38" s="23">
        <v>4665744</v>
      </c>
      <c r="AR38" s="23">
        <v>1975152</v>
      </c>
      <c r="AS38" s="23">
        <v>388248</v>
      </c>
      <c r="AT38" s="23">
        <v>2302344</v>
      </c>
      <c r="AU38" s="24">
        <v>77.441730000000007</v>
      </c>
      <c r="AV38" s="24">
        <v>80.17568</v>
      </c>
      <c r="AW38" s="24">
        <v>38.170900000000003</v>
      </c>
      <c r="AX38" s="24">
        <v>44.304079999999999</v>
      </c>
      <c r="AY38" s="24">
        <v>47.388509999999997</v>
      </c>
      <c r="AZ38" s="25"/>
      <c r="BA38" s="25"/>
      <c r="BB38" s="25"/>
      <c r="BC38" s="25"/>
      <c r="BE38" s="50">
        <f t="shared" si="12"/>
        <v>1.0000304655130392</v>
      </c>
      <c r="BF38" s="26">
        <f t="shared" si="13"/>
        <v>0</v>
      </c>
      <c r="BG38" s="26">
        <f t="shared" si="14"/>
        <v>7.6149595232832823E-6</v>
      </c>
      <c r="BH38" s="26"/>
      <c r="BJ38" s="50"/>
      <c r="BK38" s="50"/>
      <c r="BL38" s="50"/>
      <c r="BM38" s="50"/>
      <c r="BN38" s="50"/>
      <c r="BP38" s="50"/>
      <c r="BQ38" s="50"/>
      <c r="BR38" s="50"/>
      <c r="BS38" s="50"/>
      <c r="BT38" s="50"/>
    </row>
    <row r="39" spans="1:72" ht="16" outlineLevel="1" thickBot="1">
      <c r="A39" s="27"/>
      <c r="B39" s="27" t="s">
        <v>80</v>
      </c>
      <c r="C39" s="28" t="s">
        <v>234</v>
      </c>
      <c r="D39" s="27">
        <v>333190689</v>
      </c>
      <c r="E39" s="28">
        <v>11</v>
      </c>
      <c r="F39" s="19">
        <v>10</v>
      </c>
      <c r="G39" s="28">
        <v>30</v>
      </c>
      <c r="I39" s="29">
        <f t="shared" si="0"/>
        <v>28.043856000000002</v>
      </c>
      <c r="J39" s="30">
        <f t="shared" si="1"/>
        <v>2.8055862029205743E-2</v>
      </c>
      <c r="K39" s="30">
        <f t="shared" si="2"/>
        <v>1.1499456997131154E-2</v>
      </c>
      <c r="L39" s="30">
        <f t="shared" si="3"/>
        <v>9.1409997354397858E-3</v>
      </c>
      <c r="M39" s="30">
        <f t="shared" si="4"/>
        <v>1.6556405032074589E-2</v>
      </c>
      <c r="N39" s="27">
        <f t="shared" si="5"/>
        <v>3831512</v>
      </c>
      <c r="O39" s="30">
        <v>16</v>
      </c>
      <c r="P39" s="31">
        <v>25380172</v>
      </c>
      <c r="Q39" s="31">
        <v>2538017.2000000002</v>
      </c>
      <c r="R39" s="31">
        <v>17741.3</v>
      </c>
      <c r="S39" s="32">
        <v>9347952</v>
      </c>
      <c r="T39" s="32">
        <v>3045696</v>
      </c>
      <c r="U39" s="32">
        <v>785816</v>
      </c>
      <c r="V39" s="32">
        <v>5516440</v>
      </c>
      <c r="W39" s="33">
        <v>78.292199999999994</v>
      </c>
      <c r="X39" s="33">
        <v>81.885210000000001</v>
      </c>
      <c r="Y39" s="33">
        <v>40.20523</v>
      </c>
      <c r="Z39" s="33">
        <v>45.216470000000001</v>
      </c>
      <c r="AA39" s="33">
        <v>48.702120000000001</v>
      </c>
      <c r="AB39" s="34">
        <v>973.32600000000002</v>
      </c>
      <c r="AC39" s="34">
        <v>4744.7700000000004</v>
      </c>
      <c r="AD39" s="34">
        <v>43.607999999999997</v>
      </c>
      <c r="AE39" s="34">
        <v>18.372</v>
      </c>
      <c r="AG39" s="29">
        <f t="shared" si="6"/>
        <v>28.044072</v>
      </c>
      <c r="AH39" s="30">
        <f t="shared" si="7"/>
        <v>2.8056078121678846E-2</v>
      </c>
      <c r="AI39" s="30">
        <f t="shared" si="8"/>
        <v>1.1499673089604253E-2</v>
      </c>
      <c r="AJ39" s="30">
        <f t="shared" si="9"/>
        <v>9.1409997354397858E-3</v>
      </c>
      <c r="AK39" s="30">
        <f t="shared" si="10"/>
        <v>1.6556405032074589E-2</v>
      </c>
      <c r="AL39" s="27">
        <f t="shared" si="11"/>
        <v>3831584</v>
      </c>
      <c r="AM39" s="30">
        <v>16</v>
      </c>
      <c r="AN39" s="31">
        <v>25380172</v>
      </c>
      <c r="AO39" s="31">
        <v>2538017.2000000002</v>
      </c>
      <c r="AP39" s="31">
        <v>17741.3</v>
      </c>
      <c r="AQ39" s="32">
        <v>9348024</v>
      </c>
      <c r="AR39" s="32">
        <v>3045696</v>
      </c>
      <c r="AS39" s="32">
        <v>785888</v>
      </c>
      <c r="AT39" s="32">
        <v>5516440</v>
      </c>
      <c r="AU39" s="33">
        <v>78.292199999999994</v>
      </c>
      <c r="AV39" s="33">
        <v>81.885210000000001</v>
      </c>
      <c r="AW39" s="33">
        <v>40.20523</v>
      </c>
      <c r="AX39" s="33">
        <v>45.216470000000001</v>
      </c>
      <c r="AY39" s="33">
        <v>48.702120000000001</v>
      </c>
      <c r="AZ39" s="34"/>
      <c r="BA39" s="34"/>
      <c r="BB39" s="34"/>
      <c r="BC39" s="34"/>
      <c r="BE39" s="35">
        <f t="shared" si="12"/>
        <v>1.0000187915371268</v>
      </c>
      <c r="BF39" s="36">
        <f t="shared" si="13"/>
        <v>0</v>
      </c>
      <c r="BG39" s="36">
        <f t="shared" si="14"/>
        <v>4.545222029306295E-6</v>
      </c>
      <c r="BH39" s="36"/>
      <c r="BJ39" s="35"/>
      <c r="BK39" s="35"/>
      <c r="BL39" s="35"/>
      <c r="BM39" s="35"/>
      <c r="BN39" s="35"/>
      <c r="BP39" s="35"/>
      <c r="BQ39" s="35"/>
      <c r="BR39" s="35"/>
      <c r="BS39" s="35"/>
      <c r="BT39" s="35"/>
    </row>
    <row r="40" spans="1:72" ht="16">
      <c r="B40" s="47" t="s">
        <v>14</v>
      </c>
      <c r="J40" s="48">
        <f>AVERAGE(J5:J24)</f>
        <v>1.7584607677705762E-2</v>
      </c>
      <c r="K40" s="48">
        <f>AVERAGE(K5:K24)</f>
        <v>9.5061740215423469E-3</v>
      </c>
      <c r="L40" s="48">
        <f>AVERAGE(L5:L24)</f>
        <v>6.9537995636637859E-3</v>
      </c>
      <c r="M40" s="48">
        <f>AVERAGE(M5:M24)</f>
        <v>8.0784336561634147E-3</v>
      </c>
      <c r="AH40" s="48">
        <f>AVERAGE(AH5:AH24)</f>
        <v>1.7584747008961836E-2</v>
      </c>
      <c r="AI40" s="48">
        <f>AVERAGE(AI5:AI24)</f>
        <v>9.5063133527984282E-3</v>
      </c>
      <c r="AJ40" s="48">
        <f>AVERAGE(AJ5:AJ24)</f>
        <v>6.9537995636637859E-3</v>
      </c>
      <c r="AK40" s="48">
        <f>AVERAGE(AK5:AK24)</f>
        <v>8.0784336561634147E-3</v>
      </c>
      <c r="BE40" s="52">
        <f t="shared" si="12"/>
        <v>1.0000146569225186</v>
      </c>
      <c r="BH40" s="55">
        <f>AVERAGE(BH5:BH24)</f>
        <v>3.2675916513680292E-6</v>
      </c>
      <c r="BJ40" s="52">
        <f>AVERAGE(BJ5:BJ24)</f>
        <v>1.7820017034542168E-5</v>
      </c>
      <c r="BK40" s="52">
        <f>AVERAGE(BK5:BK24)</f>
        <v>1.6407576529042789E-5</v>
      </c>
      <c r="BL40" s="52">
        <f>AVERAGE(BL5:BL24)</f>
        <v>0</v>
      </c>
      <c r="BM40" s="52">
        <f>AVERAGE(BM5:BM24)</f>
        <v>0</v>
      </c>
      <c r="BN40" s="52">
        <f>AVERAGE(BN5:BN24)</f>
        <v>0</v>
      </c>
      <c r="BP40" s="52">
        <f>AVERAGE(BP5:BP24)</f>
        <v>1.2369172240178639E-5</v>
      </c>
      <c r="BQ40" s="52">
        <f>AVERAGE(BQ5:BQ24)</f>
        <v>1.1122536351493295E-5</v>
      </c>
      <c r="BR40" s="52">
        <f>AVERAGE(BR5:BR24)</f>
        <v>1.0658908636440589E-5</v>
      </c>
      <c r="BS40" s="52">
        <f>AVERAGE(BS5:BS24)</f>
        <v>9.7589211147108834E-6</v>
      </c>
      <c r="BT40" s="52">
        <f>AVERAGE(BT5:BT24)</f>
        <v>1.0115785851694259E-5</v>
      </c>
    </row>
    <row r="41" spans="1:72" ht="16">
      <c r="B41" s="47" t="s">
        <v>15</v>
      </c>
      <c r="J41" s="48">
        <f>AVERAGE(J25:J29)</f>
        <v>3.8095763495192239E-2</v>
      </c>
      <c r="K41" s="48">
        <f>AVERAGE(K25:K29)</f>
        <v>1.1360271474034544E-2</v>
      </c>
      <c r="L41" s="48">
        <f>AVERAGE(L25:L29)</f>
        <v>8.7549893509081232E-3</v>
      </c>
      <c r="M41" s="48">
        <f>AVERAGE(M25:M29)</f>
        <v>2.6735492021157693E-2</v>
      </c>
      <c r="AH41" s="48">
        <f>AVERAGE(AH25:AH29)</f>
        <v>3.8095955269219529E-2</v>
      </c>
      <c r="AI41" s="48">
        <f>AVERAGE(AI25:AI29)</f>
        <v>1.136046324806184E-2</v>
      </c>
      <c r="AJ41" s="48">
        <f>AVERAGE(AJ25:AJ29)</f>
        <v>8.7549893509081232E-3</v>
      </c>
      <c r="AK41" s="48">
        <f>AVERAGE(AK25:AK29)</f>
        <v>2.6735492021157693E-2</v>
      </c>
      <c r="BE41" s="52">
        <f t="shared" si="12"/>
        <v>1.0000168811130732</v>
      </c>
      <c r="BH41" s="55">
        <f>AVERAGE(BH25:BH29)</f>
        <v>4.7840403999410697E-6</v>
      </c>
      <c r="BJ41" s="52">
        <f>AVERAGE(BJ25:BJ29)</f>
        <v>2.3086641415925868E-5</v>
      </c>
      <c r="BK41" s="52">
        <f>AVERAGE(BK25:BK29)</f>
        <v>2.1139329469122004E-5</v>
      </c>
      <c r="BL41" s="52">
        <f>AVERAGE(BL25:BL29)</f>
        <v>0</v>
      </c>
      <c r="BM41" s="52">
        <f>AVERAGE(BM25:BM29)</f>
        <v>0</v>
      </c>
      <c r="BN41" s="52">
        <f>AVERAGE(BN25:BN29)</f>
        <v>0</v>
      </c>
      <c r="BP41" s="52">
        <f>AVERAGE(BP25:BP29)</f>
        <v>1.1421469178873878E-5</v>
      </c>
      <c r="BQ41" s="52">
        <f>AVERAGE(BQ25:BQ29)</f>
        <v>9.9648915568018026E-6</v>
      </c>
      <c r="BR41" s="52">
        <f>AVERAGE(BR25:BR29)</f>
        <v>8.7108599964302869E-6</v>
      </c>
      <c r="BS41" s="52">
        <f>AVERAGE(BS25:BS29)</f>
        <v>8.5477683822166028E-6</v>
      </c>
      <c r="BT41" s="52">
        <f>AVERAGE(BT25:BT29)</f>
        <v>8.9054754945916414E-6</v>
      </c>
    </row>
    <row r="42" spans="1:72" ht="16">
      <c r="B42" s="47" t="s">
        <v>16</v>
      </c>
      <c r="J42" s="48">
        <f>AVERAGE(J30:J39)</f>
        <v>1.0284430915770984E-2</v>
      </c>
      <c r="K42" s="48">
        <f>AVERAGE(K30:K39)</f>
        <v>5.3449598001288501E-3</v>
      </c>
      <c r="L42" s="48">
        <f>AVERAGE(L30:L39)</f>
        <v>4.1096330847319226E-3</v>
      </c>
      <c r="M42" s="48">
        <f>AVERAGE(M30:M39)</f>
        <v>4.939471115642133E-3</v>
      </c>
      <c r="AH42" s="48">
        <f>AVERAGE(AH30:AH39)</f>
        <v>1.0284634853959296E-2</v>
      </c>
      <c r="AI42" s="48">
        <f>AVERAGE(AI30:AI39)</f>
        <v>5.3451637383171617E-3</v>
      </c>
      <c r="AJ42" s="48">
        <f>AVERAGE(AJ30:AJ39)</f>
        <v>4.1096330847319226E-3</v>
      </c>
      <c r="AK42" s="48">
        <f>AVERAGE(AK30:AK39)</f>
        <v>4.939471115642133E-3</v>
      </c>
      <c r="BE42" s="52">
        <f t="shared" si="12"/>
        <v>1.0000381552333297</v>
      </c>
      <c r="BH42" s="55">
        <f>AVERAGE(BH30:BH39)</f>
        <v>9.9880311383859777E-6</v>
      </c>
      <c r="BJ42" s="52">
        <f>AVERAGE(BJ30:BJ39)</f>
        <v>5.1709309927039371E-5</v>
      </c>
      <c r="BK42" s="52">
        <f>AVERAGE(BK30:BK39)</f>
        <v>4.9371511956830538E-5</v>
      </c>
      <c r="BL42" s="52">
        <f>AVERAGE(BL30:BL39)</f>
        <v>0</v>
      </c>
      <c r="BM42" s="52">
        <f>AVERAGE(BM30:BM39)</f>
        <v>0</v>
      </c>
      <c r="BN42" s="52">
        <f>AVERAGE(BN30:BN39)</f>
        <v>0</v>
      </c>
      <c r="BP42" s="52">
        <f>AVERAGE(BP30:BP39)</f>
        <v>3.4967663499529955E-5</v>
      </c>
      <c r="BQ42" s="52">
        <f>AVERAGE(BQ30:BQ39)</f>
        <v>3.2909874361330971E-5</v>
      </c>
      <c r="BR42" s="52">
        <f>AVERAGE(BR30:BR39)</f>
        <v>3.1954438167836052E-5</v>
      </c>
      <c r="BS42" s="52">
        <f>AVERAGE(BS30:BS39)</f>
        <v>2.9972233814845595E-5</v>
      </c>
      <c r="BT42" s="52">
        <f>AVERAGE(BT30:BT39)</f>
        <v>3.0867189797945116E-5</v>
      </c>
    </row>
    <row r="43" spans="1:72" ht="16">
      <c r="B43" s="47" t="s">
        <v>17</v>
      </c>
      <c r="J43" s="48">
        <f>AVERAGE(J5:J39)</f>
        <v>1.8429008005365319E-2</v>
      </c>
      <c r="K43" s="48">
        <f>AVERAGE(K5:K39)</f>
        <v>8.5821267372088068E-3</v>
      </c>
      <c r="L43" s="48">
        <f>AVERAGE(L5:L39)</f>
        <v>6.3984933964324449E-3</v>
      </c>
      <c r="M43" s="48">
        <f>AVERAGE(M5:M39)</f>
        <v>9.8468812681565179E-3</v>
      </c>
      <c r="AH43" s="48">
        <f>AVERAGE(AH5:AH39)</f>
        <v>1.8429173287569354E-2</v>
      </c>
      <c r="AI43" s="48">
        <f>AVERAGE(AI5:AI39)</f>
        <v>8.5822920194128412E-3</v>
      </c>
      <c r="AJ43" s="48">
        <f>AVERAGE(AJ5:AJ39)</f>
        <v>6.3984933964324449E-3</v>
      </c>
      <c r="AK43" s="48">
        <f>AVERAGE(AK5:AK39)</f>
        <v>9.8468812681565179E-3</v>
      </c>
      <c r="BE43" s="52">
        <f t="shared" si="12"/>
        <v>1.0000192588864154</v>
      </c>
      <c r="BH43" s="55">
        <f>AVERAGE(BH5:BH39)</f>
        <v>5.4043527545978772E-6</v>
      </c>
      <c r="BJ43" s="52">
        <f>AVERAGE(BJ5:BJ39)</f>
        <v>2.8255047058310468E-5</v>
      </c>
      <c r="BK43" s="52">
        <f>AVERAGE(BK5:BK39)</f>
        <v>2.6501808499850605E-5</v>
      </c>
      <c r="BL43" s="52">
        <f>AVERAGE(BL5:BL39)</f>
        <v>0</v>
      </c>
      <c r="BM43" s="52">
        <f>AVERAGE(BM5:BM39)</f>
        <v>0</v>
      </c>
      <c r="BN43" s="52">
        <f>AVERAGE(BN5:BN39)</f>
        <v>0</v>
      </c>
      <c r="BP43" s="52">
        <f>AVERAGE(BP5:BP39)</f>
        <v>1.8690497876949763E-5</v>
      </c>
      <c r="BQ43" s="52">
        <f>AVERAGE(BQ5:BQ39)</f>
        <v>1.7182112240776704E-5</v>
      </c>
      <c r="BR43" s="52">
        <f>AVERAGE(BR5:BR39)</f>
        <v>1.6465052982552108E-5</v>
      </c>
      <c r="BS43" s="52">
        <f>AVERAGE(BS5:BS39)</f>
        <v>1.5361131495821617E-5</v>
      </c>
      <c r="BT43" s="52">
        <f>AVERAGE(BT5:BT39)</f>
        <v>1.5871856928179845E-5</v>
      </c>
    </row>
    <row r="44" spans="1:72" ht="16" hidden="1" outlineLevel="2">
      <c r="A44" s="47" t="s">
        <v>237</v>
      </c>
      <c r="B44" s="47" t="s">
        <v>238</v>
      </c>
      <c r="AB44" s="49">
        <f>SUM(AB5:AB24,AB25:AB29,AB30:AB39)</f>
        <v>58559.248000000007</v>
      </c>
      <c r="AC44" s="49">
        <f>SUM(AC5:AC24,AC25:AC29,AC30:AC39)</f>
        <v>130041.15</v>
      </c>
      <c r="AD44" s="49">
        <f>SUM(AD5:AD24,AD25:AD29,AD30:AD39)</f>
        <v>1500.9180000000001</v>
      </c>
      <c r="AE44" s="49">
        <f>SUM(AE5:AE24,AE25:AE29,AE30:AE39)</f>
        <v>558.59299999999985</v>
      </c>
      <c r="AZ44" s="49">
        <f>SUM(AZ5:AZ24,AZ25:AZ29,AZ30:AZ39)</f>
        <v>0</v>
      </c>
      <c r="BA44" s="49">
        <f>SUM(BA5:BA24,BA25:BA29,BA30:BA39)</f>
        <v>0</v>
      </c>
      <c r="BB44" s="49">
        <f>SUM(BB5:BB24,BB25:BB29,BB30:BB39)</f>
        <v>0</v>
      </c>
      <c r="BC44" s="49">
        <f>SUM(BC5:BC24,BC25:BC29,BC30:BC39)</f>
        <v>0</v>
      </c>
    </row>
    <row r="45" spans="1:72" ht="16" hidden="1" outlineLevel="2">
      <c r="B45" s="47" t="s">
        <v>239</v>
      </c>
      <c r="AZ45" s="55">
        <f>AZ44/AB44</f>
        <v>0</v>
      </c>
      <c r="BA45" s="55">
        <f>BA44/AC44</f>
        <v>0</v>
      </c>
      <c r="BB45" s="55">
        <f>BB44/AD44</f>
        <v>0</v>
      </c>
      <c r="BC45" s="55">
        <f>BC44/AE44</f>
        <v>0</v>
      </c>
    </row>
    <row r="46" spans="1:72" ht="16" hidden="1" outlineLevel="2">
      <c r="B46" s="47" t="s">
        <v>240</v>
      </c>
      <c r="AB46" s="49">
        <f>GEOMEAN(AB5:AB24,AB25:AB29,AB30:AB39)</f>
        <v>1523.124304011691</v>
      </c>
      <c r="AC46" s="49">
        <f>GEOMEAN(AC5:AC24,AC25:AC29,AC30:AC39)</f>
        <v>3612.7224130571367</v>
      </c>
      <c r="AD46" s="49">
        <f>GEOMEAN(AD5:AD24,AD25:AD29,AD30:AD39)</f>
        <v>42.424669954816913</v>
      </c>
      <c r="AE46" s="49">
        <f>GEOMEAN(AE5:AE24,AE25:AE29,AE30:AE39)</f>
        <v>15.647516268124022</v>
      </c>
      <c r="AZ46" s="49" t="e">
        <f>GEOMEAN(AZ5:AZ24,AZ25:AZ29,AZ30:AZ39)</f>
        <v>#NUM!</v>
      </c>
      <c r="BA46" s="49" t="e">
        <f>GEOMEAN(BA5:BA24,BA25:BA29,BA30:BA39)</f>
        <v>#NUM!</v>
      </c>
      <c r="BB46" s="49" t="e">
        <f>GEOMEAN(BB5:BB24,BB25:BB29,BB30:BB39)</f>
        <v>#NUM!</v>
      </c>
      <c r="BC46" s="49" t="e">
        <f>GEOMEAN(BC5:BC24,BC25:BC29,BC30:BC39)</f>
        <v>#NUM!</v>
      </c>
    </row>
    <row r="47" spans="1:72" ht="16" outlineLevel="2" collapsed="1">
      <c r="B47" s="47" t="s">
        <v>241</v>
      </c>
      <c r="AZ47" s="55" t="e">
        <f>AZ46/AB46</f>
        <v>#NUM!</v>
      </c>
      <c r="BA47" s="55" t="e">
        <f>BA46/AC46</f>
        <v>#NUM!</v>
      </c>
      <c r="BB47" s="55" t="e">
        <f>BB46/AD46</f>
        <v>#NUM!</v>
      </c>
      <c r="BC47" s="55" t="e">
        <f>BC46/AE46</f>
        <v>#NUM!</v>
      </c>
    </row>
    <row r="60" spans="39:73">
      <c r="AM60"/>
      <c r="AN60" s="78">
        <f>AN5-P5</f>
        <v>0</v>
      </c>
      <c r="AO60" s="78">
        <f t="shared" ref="AO60:AY60" si="33">AO5-Q5</f>
        <v>0</v>
      </c>
      <c r="AP60" s="78">
        <f t="shared" si="33"/>
        <v>0</v>
      </c>
      <c r="AQ60" s="78">
        <f t="shared" si="33"/>
        <v>8</v>
      </c>
      <c r="AR60" s="78">
        <f t="shared" si="33"/>
        <v>0</v>
      </c>
      <c r="AS60" s="78">
        <f t="shared" si="33"/>
        <v>8</v>
      </c>
      <c r="AT60" s="78">
        <f t="shared" si="33"/>
        <v>0</v>
      </c>
      <c r="AU60" s="78">
        <f t="shared" si="33"/>
        <v>0</v>
      </c>
      <c r="AV60" s="78">
        <f t="shared" si="33"/>
        <v>0</v>
      </c>
      <c r="AW60" s="78">
        <f t="shared" si="33"/>
        <v>0</v>
      </c>
      <c r="AX60" s="78">
        <f t="shared" si="33"/>
        <v>0</v>
      </c>
      <c r="AY60" s="78">
        <f t="shared" si="33"/>
        <v>0</v>
      </c>
      <c r="AZ60" s="78"/>
      <c r="BA60" s="78"/>
      <c r="BB60" s="78"/>
      <c r="BC60" s="78"/>
      <c r="BD60"/>
      <c r="BE60" s="53"/>
      <c r="BF60" s="53"/>
      <c r="BG60" s="53"/>
      <c r="BH60" s="53"/>
      <c r="BI60"/>
      <c r="BL60"/>
      <c r="BM60"/>
      <c r="BN60"/>
      <c r="BO60"/>
      <c r="BR60"/>
      <c r="BS60"/>
      <c r="BT60"/>
      <c r="BU60"/>
    </row>
    <row r="61" spans="39:73">
      <c r="AM61"/>
      <c r="AN61" s="78">
        <f t="shared" ref="AN61:AN94" si="34">AN6-P6</f>
        <v>0</v>
      </c>
      <c r="AO61" s="78">
        <f t="shared" ref="AO61:AO94" si="35">AO6-Q6</f>
        <v>0</v>
      </c>
      <c r="AP61" s="78">
        <f t="shared" ref="AP61:AP94" si="36">AP6-R6</f>
        <v>0</v>
      </c>
      <c r="AQ61" s="78">
        <f t="shared" ref="AQ61:AQ94" si="37">AQ6-S6</f>
        <v>8</v>
      </c>
      <c r="AR61" s="78">
        <f t="shared" ref="AR61:AR94" si="38">AR6-T6</f>
        <v>0</v>
      </c>
      <c r="AS61" s="78">
        <f t="shared" ref="AS61:AS94" si="39">AS6-U6</f>
        <v>8</v>
      </c>
      <c r="AT61" s="78">
        <f t="shared" ref="AT61:AT94" si="40">AT6-V6</f>
        <v>0</v>
      </c>
      <c r="AU61" s="78">
        <f t="shared" ref="AU61:AU94" si="41">AU6-W6</f>
        <v>0</v>
      </c>
      <c r="AV61" s="78">
        <f t="shared" ref="AV61:AV94" si="42">AV6-X6</f>
        <v>0</v>
      </c>
      <c r="AW61" s="78">
        <f t="shared" ref="AW61:AW94" si="43">AW6-Y6</f>
        <v>0</v>
      </c>
      <c r="AX61" s="78">
        <f t="shared" ref="AX61:AX94" si="44">AX6-Z6</f>
        <v>0</v>
      </c>
      <c r="AY61" s="78">
        <f t="shared" ref="AY61:AY94" si="45">AY6-AA6</f>
        <v>0</v>
      </c>
      <c r="AZ61" s="78"/>
      <c r="BA61" s="78"/>
      <c r="BB61" s="78"/>
      <c r="BC61" s="78"/>
      <c r="BD61"/>
      <c r="BE61" s="53"/>
      <c r="BF61" s="53"/>
      <c r="BG61" s="53"/>
      <c r="BH61" s="53"/>
      <c r="BI61"/>
      <c r="BL61"/>
      <c r="BM61"/>
      <c r="BN61"/>
      <c r="BO61"/>
      <c r="BR61"/>
      <c r="BS61"/>
      <c r="BT61"/>
      <c r="BU61"/>
    </row>
    <row r="62" spans="39:73">
      <c r="AM62"/>
      <c r="AN62" s="78">
        <f t="shared" si="34"/>
        <v>0</v>
      </c>
      <c r="AO62" s="78">
        <f t="shared" si="35"/>
        <v>0</v>
      </c>
      <c r="AP62" s="78">
        <f t="shared" si="36"/>
        <v>0</v>
      </c>
      <c r="AQ62" s="78">
        <f t="shared" si="37"/>
        <v>8</v>
      </c>
      <c r="AR62" s="78">
        <f t="shared" si="38"/>
        <v>0</v>
      </c>
      <c r="AS62" s="78">
        <f t="shared" si="39"/>
        <v>8</v>
      </c>
      <c r="AT62" s="78">
        <f t="shared" si="40"/>
        <v>0</v>
      </c>
      <c r="AU62" s="78">
        <f t="shared" si="41"/>
        <v>0</v>
      </c>
      <c r="AV62" s="78">
        <f t="shared" si="42"/>
        <v>0</v>
      </c>
      <c r="AW62" s="78">
        <f t="shared" si="43"/>
        <v>0</v>
      </c>
      <c r="AX62" s="78">
        <f t="shared" si="44"/>
        <v>0</v>
      </c>
      <c r="AY62" s="78">
        <f t="shared" si="45"/>
        <v>0</v>
      </c>
      <c r="AZ62" s="78"/>
      <c r="BA62" s="78"/>
      <c r="BB62" s="78"/>
      <c r="BC62" s="78"/>
      <c r="BD62"/>
      <c r="BE62" s="53"/>
      <c r="BF62" s="53"/>
      <c r="BG62" s="53"/>
      <c r="BH62" s="53"/>
      <c r="BI62"/>
      <c r="BL62"/>
      <c r="BM62"/>
      <c r="BN62"/>
      <c r="BO62"/>
      <c r="BR62"/>
      <c r="BS62"/>
      <c r="BT62"/>
      <c r="BU62"/>
    </row>
    <row r="63" spans="39:73">
      <c r="AM63"/>
      <c r="AN63" s="78">
        <f t="shared" si="34"/>
        <v>0</v>
      </c>
      <c r="AO63" s="78">
        <f t="shared" si="35"/>
        <v>0</v>
      </c>
      <c r="AP63" s="78">
        <f t="shared" si="36"/>
        <v>0</v>
      </c>
      <c r="AQ63" s="78">
        <f t="shared" si="37"/>
        <v>8</v>
      </c>
      <c r="AR63" s="78">
        <f t="shared" si="38"/>
        <v>0</v>
      </c>
      <c r="AS63" s="78">
        <f t="shared" si="39"/>
        <v>8</v>
      </c>
      <c r="AT63" s="78">
        <f t="shared" si="40"/>
        <v>0</v>
      </c>
      <c r="AU63" s="78">
        <f t="shared" si="41"/>
        <v>0</v>
      </c>
      <c r="AV63" s="78">
        <f t="shared" si="42"/>
        <v>0</v>
      </c>
      <c r="AW63" s="78">
        <f t="shared" si="43"/>
        <v>0</v>
      </c>
      <c r="AX63" s="78">
        <f t="shared" si="44"/>
        <v>0</v>
      </c>
      <c r="AY63" s="78">
        <f t="shared" si="45"/>
        <v>0</v>
      </c>
      <c r="AZ63" s="78"/>
      <c r="BA63" s="78"/>
      <c r="BB63" s="78"/>
      <c r="BC63" s="78"/>
      <c r="BD63"/>
      <c r="BE63" s="53"/>
      <c r="BF63" s="53"/>
      <c r="BG63" s="53"/>
      <c r="BH63" s="53"/>
      <c r="BI63"/>
      <c r="BL63"/>
      <c r="BM63"/>
      <c r="BN63"/>
      <c r="BO63"/>
      <c r="BR63"/>
      <c r="BS63"/>
      <c r="BT63"/>
      <c r="BU63"/>
    </row>
    <row r="64" spans="39:73">
      <c r="AM64"/>
      <c r="AN64" s="78">
        <f t="shared" si="34"/>
        <v>0</v>
      </c>
      <c r="AO64" s="78">
        <f t="shared" si="35"/>
        <v>0</v>
      </c>
      <c r="AP64" s="78">
        <f t="shared" si="36"/>
        <v>0</v>
      </c>
      <c r="AQ64" s="78">
        <f t="shared" si="37"/>
        <v>8</v>
      </c>
      <c r="AR64" s="78">
        <f t="shared" si="38"/>
        <v>0</v>
      </c>
      <c r="AS64" s="78">
        <f t="shared" si="39"/>
        <v>8</v>
      </c>
      <c r="AT64" s="78">
        <f t="shared" si="40"/>
        <v>0</v>
      </c>
      <c r="AU64" s="78">
        <f t="shared" si="41"/>
        <v>0</v>
      </c>
      <c r="AV64" s="78">
        <f t="shared" si="42"/>
        <v>0</v>
      </c>
      <c r="AW64" s="78">
        <f t="shared" si="43"/>
        <v>0</v>
      </c>
      <c r="AX64" s="78">
        <f t="shared" si="44"/>
        <v>0</v>
      </c>
      <c r="AY64" s="78">
        <f t="shared" si="45"/>
        <v>0</v>
      </c>
      <c r="AZ64" s="78"/>
      <c r="BA64" s="78"/>
      <c r="BB64" s="78"/>
      <c r="BC64" s="78"/>
      <c r="BD64"/>
      <c r="BE64" s="53"/>
      <c r="BF64" s="53"/>
      <c r="BG64" s="53"/>
      <c r="BH64" s="53"/>
      <c r="BI64"/>
      <c r="BL64"/>
      <c r="BM64"/>
      <c r="BN64"/>
      <c r="BO64"/>
      <c r="BR64"/>
      <c r="BS64"/>
      <c r="BT64"/>
      <c r="BU64"/>
    </row>
    <row r="65" spans="39:73">
      <c r="AM65"/>
      <c r="AN65" s="78">
        <f t="shared" si="34"/>
        <v>0</v>
      </c>
      <c r="AO65" s="78">
        <f t="shared" si="35"/>
        <v>0</v>
      </c>
      <c r="AP65" s="78">
        <f t="shared" si="36"/>
        <v>0</v>
      </c>
      <c r="AQ65" s="78">
        <f t="shared" si="37"/>
        <v>64</v>
      </c>
      <c r="AR65" s="78">
        <f t="shared" si="38"/>
        <v>0</v>
      </c>
      <c r="AS65" s="78">
        <f t="shared" si="39"/>
        <v>64</v>
      </c>
      <c r="AT65" s="78">
        <f t="shared" si="40"/>
        <v>0</v>
      </c>
      <c r="AU65" s="78">
        <f t="shared" si="41"/>
        <v>0</v>
      </c>
      <c r="AV65" s="78">
        <f t="shared" si="42"/>
        <v>0</v>
      </c>
      <c r="AW65" s="78">
        <f t="shared" si="43"/>
        <v>0</v>
      </c>
      <c r="AX65" s="78">
        <f t="shared" si="44"/>
        <v>0</v>
      </c>
      <c r="AY65" s="78">
        <f t="shared" si="45"/>
        <v>0</v>
      </c>
      <c r="AZ65" s="78"/>
      <c r="BA65" s="78"/>
      <c r="BB65" s="78"/>
      <c r="BC65" s="78"/>
      <c r="BD65"/>
      <c r="BE65" s="53"/>
      <c r="BF65" s="53"/>
      <c r="BG65" s="53"/>
      <c r="BH65" s="53"/>
      <c r="BI65"/>
      <c r="BL65"/>
      <c r="BM65"/>
      <c r="BN65"/>
      <c r="BO65"/>
      <c r="BR65"/>
      <c r="BS65"/>
      <c r="BT65"/>
      <c r="BU65"/>
    </row>
    <row r="66" spans="39:73">
      <c r="AM66"/>
      <c r="AN66" s="78">
        <f t="shared" si="34"/>
        <v>0</v>
      </c>
      <c r="AO66" s="78">
        <f t="shared" si="35"/>
        <v>0</v>
      </c>
      <c r="AP66" s="78">
        <f t="shared" si="36"/>
        <v>0</v>
      </c>
      <c r="AQ66" s="78">
        <f t="shared" si="37"/>
        <v>64</v>
      </c>
      <c r="AR66" s="78">
        <f t="shared" si="38"/>
        <v>0</v>
      </c>
      <c r="AS66" s="78">
        <f t="shared" si="39"/>
        <v>64</v>
      </c>
      <c r="AT66" s="78">
        <f t="shared" si="40"/>
        <v>0</v>
      </c>
      <c r="AU66" s="78">
        <f t="shared" si="41"/>
        <v>0</v>
      </c>
      <c r="AV66" s="78">
        <f t="shared" si="42"/>
        <v>0</v>
      </c>
      <c r="AW66" s="78">
        <f t="shared" si="43"/>
        <v>0</v>
      </c>
      <c r="AX66" s="78">
        <f t="shared" si="44"/>
        <v>0</v>
      </c>
      <c r="AY66" s="78">
        <f t="shared" si="45"/>
        <v>0</v>
      </c>
      <c r="AZ66" s="78"/>
      <c r="BA66" s="78"/>
      <c r="BB66" s="78"/>
      <c r="BC66" s="78"/>
      <c r="BD66"/>
      <c r="BE66" s="53"/>
      <c r="BF66" s="53"/>
      <c r="BG66" s="53"/>
      <c r="BH66" s="53"/>
      <c r="BI66"/>
      <c r="BL66"/>
      <c r="BM66"/>
      <c r="BN66"/>
      <c r="BO66"/>
      <c r="BR66"/>
      <c r="BS66"/>
      <c r="BT66"/>
      <c r="BU66"/>
    </row>
    <row r="67" spans="39:73">
      <c r="AM67"/>
      <c r="AN67" s="78">
        <f t="shared" si="34"/>
        <v>0</v>
      </c>
      <c r="AO67" s="78">
        <f t="shared" si="35"/>
        <v>0</v>
      </c>
      <c r="AP67" s="78">
        <f t="shared" si="36"/>
        <v>0</v>
      </c>
      <c r="AQ67" s="78">
        <f t="shared" si="37"/>
        <v>64</v>
      </c>
      <c r="AR67" s="78">
        <f t="shared" si="38"/>
        <v>0</v>
      </c>
      <c r="AS67" s="78">
        <f t="shared" si="39"/>
        <v>64</v>
      </c>
      <c r="AT67" s="78">
        <f t="shared" si="40"/>
        <v>0</v>
      </c>
      <c r="AU67" s="78">
        <f t="shared" si="41"/>
        <v>0</v>
      </c>
      <c r="AV67" s="78">
        <f t="shared" si="42"/>
        <v>0</v>
      </c>
      <c r="AW67" s="78">
        <f t="shared" si="43"/>
        <v>0</v>
      </c>
      <c r="AX67" s="78">
        <f t="shared" si="44"/>
        <v>0</v>
      </c>
      <c r="AY67" s="78">
        <f t="shared" si="45"/>
        <v>0</v>
      </c>
      <c r="AZ67" s="78"/>
      <c r="BA67" s="78"/>
      <c r="BB67" s="78"/>
      <c r="BC67" s="78"/>
      <c r="BD67"/>
      <c r="BE67" s="53"/>
      <c r="BF67" s="53"/>
      <c r="BG67" s="53"/>
      <c r="BH67" s="53"/>
      <c r="BI67"/>
      <c r="BL67"/>
      <c r="BM67"/>
      <c r="BN67"/>
      <c r="BO67"/>
      <c r="BR67"/>
      <c r="BS67"/>
      <c r="BT67"/>
      <c r="BU67"/>
    </row>
    <row r="68" spans="39:73">
      <c r="AM68"/>
      <c r="AN68" s="78">
        <f t="shared" si="34"/>
        <v>0</v>
      </c>
      <c r="AO68" s="78">
        <f t="shared" si="35"/>
        <v>0</v>
      </c>
      <c r="AP68" s="78">
        <f t="shared" si="36"/>
        <v>0</v>
      </c>
      <c r="AQ68" s="78">
        <f t="shared" si="37"/>
        <v>64</v>
      </c>
      <c r="AR68" s="78">
        <f t="shared" si="38"/>
        <v>0</v>
      </c>
      <c r="AS68" s="78">
        <f t="shared" si="39"/>
        <v>64</v>
      </c>
      <c r="AT68" s="78">
        <f t="shared" si="40"/>
        <v>0</v>
      </c>
      <c r="AU68" s="78">
        <f t="shared" si="41"/>
        <v>0</v>
      </c>
      <c r="AV68" s="78">
        <f t="shared" si="42"/>
        <v>0</v>
      </c>
      <c r="AW68" s="78">
        <f t="shared" si="43"/>
        <v>0</v>
      </c>
      <c r="AX68" s="78">
        <f t="shared" si="44"/>
        <v>0</v>
      </c>
      <c r="AY68" s="78">
        <f t="shared" si="45"/>
        <v>0</v>
      </c>
      <c r="AZ68" s="78"/>
      <c r="BA68" s="78"/>
      <c r="BB68" s="78"/>
      <c r="BC68" s="78"/>
      <c r="BD68"/>
      <c r="BE68" s="53"/>
      <c r="BF68" s="53"/>
      <c r="BG68" s="53"/>
      <c r="BH68" s="53"/>
      <c r="BI68"/>
      <c r="BL68"/>
      <c r="BM68"/>
      <c r="BN68"/>
      <c r="BO68"/>
      <c r="BR68"/>
      <c r="BS68"/>
      <c r="BT68"/>
      <c r="BU68"/>
    </row>
    <row r="69" spans="39:73">
      <c r="AM69"/>
      <c r="AN69" s="78">
        <f t="shared" si="34"/>
        <v>0</v>
      </c>
      <c r="AO69" s="78">
        <f t="shared" si="35"/>
        <v>0</v>
      </c>
      <c r="AP69" s="78">
        <f t="shared" si="36"/>
        <v>0</v>
      </c>
      <c r="AQ69" s="78">
        <f t="shared" si="37"/>
        <v>64</v>
      </c>
      <c r="AR69" s="78">
        <f t="shared" si="38"/>
        <v>0</v>
      </c>
      <c r="AS69" s="78">
        <f t="shared" si="39"/>
        <v>64</v>
      </c>
      <c r="AT69" s="78">
        <f t="shared" si="40"/>
        <v>0</v>
      </c>
      <c r="AU69" s="78">
        <f t="shared" si="41"/>
        <v>0</v>
      </c>
      <c r="AV69" s="78">
        <f t="shared" si="42"/>
        <v>0</v>
      </c>
      <c r="AW69" s="78">
        <f t="shared" si="43"/>
        <v>0</v>
      </c>
      <c r="AX69" s="78">
        <f t="shared" si="44"/>
        <v>0</v>
      </c>
      <c r="AY69" s="78">
        <f t="shared" si="45"/>
        <v>0</v>
      </c>
      <c r="AZ69" s="78"/>
      <c r="BA69" s="78"/>
      <c r="BB69" s="78"/>
      <c r="BC69" s="78"/>
      <c r="BD69"/>
      <c r="BE69" s="53"/>
      <c r="BF69" s="53"/>
      <c r="BG69" s="53"/>
      <c r="BH69" s="53"/>
      <c r="BI69"/>
      <c r="BL69"/>
      <c r="BM69"/>
      <c r="BN69"/>
      <c r="BO69"/>
      <c r="BR69"/>
      <c r="BS69"/>
      <c r="BT69"/>
      <c r="BU69"/>
    </row>
    <row r="70" spans="39:73">
      <c r="AM70"/>
      <c r="AN70" s="78">
        <f t="shared" si="34"/>
        <v>0</v>
      </c>
      <c r="AO70" s="78">
        <f t="shared" si="35"/>
        <v>0</v>
      </c>
      <c r="AP70" s="78">
        <f t="shared" si="36"/>
        <v>0</v>
      </c>
      <c r="AQ70" s="78">
        <f t="shared" si="37"/>
        <v>64</v>
      </c>
      <c r="AR70" s="78">
        <f t="shared" si="38"/>
        <v>0</v>
      </c>
      <c r="AS70" s="78">
        <f t="shared" si="39"/>
        <v>64</v>
      </c>
      <c r="AT70" s="78">
        <f t="shared" si="40"/>
        <v>0</v>
      </c>
      <c r="AU70" s="78">
        <f t="shared" si="41"/>
        <v>0</v>
      </c>
      <c r="AV70" s="78">
        <f t="shared" si="42"/>
        <v>0</v>
      </c>
      <c r="AW70" s="78">
        <f t="shared" si="43"/>
        <v>0</v>
      </c>
      <c r="AX70" s="78">
        <f t="shared" si="44"/>
        <v>0</v>
      </c>
      <c r="AY70" s="78">
        <f t="shared" si="45"/>
        <v>0</v>
      </c>
      <c r="AZ70" s="78"/>
      <c r="BA70" s="78"/>
      <c r="BB70" s="78"/>
      <c r="BC70" s="78"/>
      <c r="BD70"/>
      <c r="BE70" s="53"/>
      <c r="BF70" s="53"/>
      <c r="BG70" s="53"/>
      <c r="BH70" s="53"/>
      <c r="BI70"/>
      <c r="BL70"/>
      <c r="BM70"/>
      <c r="BN70"/>
      <c r="BO70"/>
      <c r="BR70"/>
      <c r="BS70"/>
      <c r="BT70"/>
      <c r="BU70"/>
    </row>
    <row r="71" spans="39:73">
      <c r="AM71"/>
      <c r="AN71" s="78">
        <f t="shared" si="34"/>
        <v>0</v>
      </c>
      <c r="AO71" s="78">
        <f t="shared" si="35"/>
        <v>0</v>
      </c>
      <c r="AP71" s="78">
        <f t="shared" si="36"/>
        <v>0</v>
      </c>
      <c r="AQ71" s="78">
        <f t="shared" si="37"/>
        <v>64</v>
      </c>
      <c r="AR71" s="78">
        <f t="shared" si="38"/>
        <v>0</v>
      </c>
      <c r="AS71" s="78">
        <f t="shared" si="39"/>
        <v>64</v>
      </c>
      <c r="AT71" s="78">
        <f t="shared" si="40"/>
        <v>0</v>
      </c>
      <c r="AU71" s="78">
        <f t="shared" si="41"/>
        <v>0</v>
      </c>
      <c r="AV71" s="78">
        <f t="shared" si="42"/>
        <v>0</v>
      </c>
      <c r="AW71" s="78">
        <f t="shared" si="43"/>
        <v>0</v>
      </c>
      <c r="AX71" s="78">
        <f t="shared" si="44"/>
        <v>0</v>
      </c>
      <c r="AY71" s="78">
        <f t="shared" si="45"/>
        <v>0</v>
      </c>
      <c r="AZ71" s="78"/>
      <c r="BA71" s="78"/>
      <c r="BB71" s="78"/>
      <c r="BC71" s="78"/>
      <c r="BD71"/>
      <c r="BE71" s="53"/>
      <c r="BF71" s="53"/>
      <c r="BG71" s="53"/>
      <c r="BH71" s="53"/>
      <c r="BI71"/>
      <c r="BL71"/>
      <c r="BM71"/>
      <c r="BN71"/>
      <c r="BO71"/>
      <c r="BR71"/>
      <c r="BS71"/>
      <c r="BT71"/>
      <c r="BU71"/>
    </row>
    <row r="72" spans="39:73">
      <c r="AM72"/>
      <c r="AN72" s="78">
        <f t="shared" si="34"/>
        <v>0</v>
      </c>
      <c r="AO72" s="78">
        <f t="shared" si="35"/>
        <v>0</v>
      </c>
      <c r="AP72" s="78">
        <f t="shared" si="36"/>
        <v>0</v>
      </c>
      <c r="AQ72" s="78">
        <f t="shared" si="37"/>
        <v>64</v>
      </c>
      <c r="AR72" s="78">
        <f t="shared" si="38"/>
        <v>0</v>
      </c>
      <c r="AS72" s="78">
        <f t="shared" si="39"/>
        <v>64</v>
      </c>
      <c r="AT72" s="78">
        <f t="shared" si="40"/>
        <v>0</v>
      </c>
      <c r="AU72" s="78">
        <f t="shared" si="41"/>
        <v>0</v>
      </c>
      <c r="AV72" s="78">
        <f t="shared" si="42"/>
        <v>0</v>
      </c>
      <c r="AW72" s="78">
        <f t="shared" si="43"/>
        <v>0</v>
      </c>
      <c r="AX72" s="78">
        <f t="shared" si="44"/>
        <v>0</v>
      </c>
      <c r="AY72" s="78">
        <f t="shared" si="45"/>
        <v>0</v>
      </c>
      <c r="AZ72" s="78"/>
      <c r="BA72" s="78"/>
      <c r="BB72" s="78"/>
      <c r="BC72" s="78"/>
      <c r="BD72"/>
      <c r="BE72" s="53"/>
      <c r="BF72" s="53"/>
      <c r="BG72" s="53"/>
      <c r="BH72" s="53"/>
      <c r="BI72"/>
      <c r="BL72"/>
      <c r="BM72"/>
      <c r="BN72"/>
      <c r="BO72"/>
      <c r="BR72"/>
      <c r="BS72"/>
      <c r="BT72"/>
      <c r="BU72"/>
    </row>
    <row r="73" spans="39:73">
      <c r="AM73"/>
      <c r="AN73" s="78">
        <f t="shared" si="34"/>
        <v>0</v>
      </c>
      <c r="AO73" s="78">
        <f t="shared" si="35"/>
        <v>0</v>
      </c>
      <c r="AP73" s="78">
        <f t="shared" si="36"/>
        <v>0</v>
      </c>
      <c r="AQ73" s="78">
        <f t="shared" si="37"/>
        <v>64</v>
      </c>
      <c r="AR73" s="78">
        <f t="shared" si="38"/>
        <v>0</v>
      </c>
      <c r="AS73" s="78">
        <f t="shared" si="39"/>
        <v>64</v>
      </c>
      <c r="AT73" s="78">
        <f t="shared" si="40"/>
        <v>0</v>
      </c>
      <c r="AU73" s="78">
        <f t="shared" si="41"/>
        <v>0</v>
      </c>
      <c r="AV73" s="78">
        <f t="shared" si="42"/>
        <v>0</v>
      </c>
      <c r="AW73" s="78">
        <f t="shared" si="43"/>
        <v>0</v>
      </c>
      <c r="AX73" s="78">
        <f t="shared" si="44"/>
        <v>0</v>
      </c>
      <c r="AY73" s="78">
        <f t="shared" si="45"/>
        <v>0</v>
      </c>
      <c r="AZ73" s="78"/>
      <c r="BA73" s="78"/>
      <c r="BB73" s="78"/>
      <c r="BC73" s="78"/>
      <c r="BD73"/>
      <c r="BE73" s="53"/>
      <c r="BF73" s="53"/>
      <c r="BG73" s="53"/>
      <c r="BH73" s="53"/>
      <c r="BI73"/>
      <c r="BL73"/>
      <c r="BM73"/>
      <c r="BN73"/>
      <c r="BO73"/>
      <c r="BR73"/>
      <c r="BS73"/>
      <c r="BT73"/>
      <c r="BU73"/>
    </row>
    <row r="74" spans="39:73">
      <c r="AM74"/>
      <c r="AN74" s="78">
        <f t="shared" si="34"/>
        <v>0</v>
      </c>
      <c r="AO74" s="78">
        <f t="shared" si="35"/>
        <v>0</v>
      </c>
      <c r="AP74" s="78">
        <f t="shared" si="36"/>
        <v>0</v>
      </c>
      <c r="AQ74" s="78">
        <f t="shared" si="37"/>
        <v>64</v>
      </c>
      <c r="AR74" s="78">
        <f t="shared" si="38"/>
        <v>0</v>
      </c>
      <c r="AS74" s="78">
        <f t="shared" si="39"/>
        <v>64</v>
      </c>
      <c r="AT74" s="78">
        <f t="shared" si="40"/>
        <v>0</v>
      </c>
      <c r="AU74" s="78">
        <f t="shared" si="41"/>
        <v>0</v>
      </c>
      <c r="AV74" s="78">
        <f t="shared" si="42"/>
        <v>0</v>
      </c>
      <c r="AW74" s="78">
        <f t="shared" si="43"/>
        <v>0</v>
      </c>
      <c r="AX74" s="78">
        <f t="shared" si="44"/>
        <v>0</v>
      </c>
      <c r="AY74" s="78">
        <f t="shared" si="45"/>
        <v>0</v>
      </c>
      <c r="AZ74" s="78"/>
      <c r="BA74" s="78"/>
      <c r="BB74" s="78"/>
      <c r="BC74" s="78"/>
      <c r="BD74"/>
      <c r="BE74" s="53"/>
      <c r="BF74" s="53"/>
      <c r="BG74" s="53"/>
      <c r="BH74" s="53"/>
      <c r="BI74"/>
      <c r="BL74"/>
      <c r="BM74"/>
      <c r="BN74"/>
      <c r="BO74"/>
      <c r="BR74"/>
      <c r="BS74"/>
      <c r="BT74"/>
      <c r="BU74"/>
    </row>
    <row r="75" spans="39:73">
      <c r="AM75"/>
      <c r="AN75" s="78">
        <f t="shared" si="34"/>
        <v>0</v>
      </c>
      <c r="AO75" s="78">
        <f t="shared" si="35"/>
        <v>0</v>
      </c>
      <c r="AP75" s="78">
        <f t="shared" si="36"/>
        <v>0</v>
      </c>
      <c r="AQ75" s="78">
        <f t="shared" si="37"/>
        <v>8</v>
      </c>
      <c r="AR75" s="78">
        <f t="shared" si="38"/>
        <v>0</v>
      </c>
      <c r="AS75" s="78">
        <f t="shared" si="39"/>
        <v>8</v>
      </c>
      <c r="AT75" s="78">
        <f t="shared" si="40"/>
        <v>0</v>
      </c>
      <c r="AU75" s="78">
        <f t="shared" si="41"/>
        <v>0</v>
      </c>
      <c r="AV75" s="78">
        <f t="shared" si="42"/>
        <v>0</v>
      </c>
      <c r="AW75" s="78">
        <f t="shared" si="43"/>
        <v>0</v>
      </c>
      <c r="AX75" s="78">
        <f t="shared" si="44"/>
        <v>0</v>
      </c>
      <c r="AY75" s="78">
        <f t="shared" si="45"/>
        <v>0</v>
      </c>
      <c r="AZ75" s="78"/>
      <c r="BA75" s="78"/>
      <c r="BB75" s="78"/>
      <c r="BC75" s="78"/>
      <c r="BD75"/>
      <c r="BE75" s="53"/>
      <c r="BF75" s="53"/>
      <c r="BG75" s="53"/>
      <c r="BH75" s="53"/>
      <c r="BI75"/>
      <c r="BL75"/>
      <c r="BM75"/>
      <c r="BN75"/>
      <c r="BO75"/>
      <c r="BR75"/>
      <c r="BS75"/>
      <c r="BT75"/>
      <c r="BU75"/>
    </row>
    <row r="76" spans="39:73">
      <c r="AM76"/>
      <c r="AN76" s="78">
        <f t="shared" si="34"/>
        <v>0</v>
      </c>
      <c r="AO76" s="78">
        <f t="shared" si="35"/>
        <v>0</v>
      </c>
      <c r="AP76" s="78">
        <f t="shared" si="36"/>
        <v>0</v>
      </c>
      <c r="AQ76" s="78">
        <f t="shared" si="37"/>
        <v>8</v>
      </c>
      <c r="AR76" s="78">
        <f t="shared" si="38"/>
        <v>0</v>
      </c>
      <c r="AS76" s="78">
        <f t="shared" si="39"/>
        <v>8</v>
      </c>
      <c r="AT76" s="78">
        <f t="shared" si="40"/>
        <v>0</v>
      </c>
      <c r="AU76" s="78">
        <f t="shared" si="41"/>
        <v>0</v>
      </c>
      <c r="AV76" s="78">
        <f t="shared" si="42"/>
        <v>0</v>
      </c>
      <c r="AW76" s="78">
        <f t="shared" si="43"/>
        <v>0</v>
      </c>
      <c r="AX76" s="78">
        <f t="shared" si="44"/>
        <v>0</v>
      </c>
      <c r="AY76" s="78">
        <f t="shared" si="45"/>
        <v>0</v>
      </c>
      <c r="AZ76" s="78"/>
      <c r="BA76" s="78"/>
      <c r="BB76" s="78"/>
      <c r="BC76" s="78"/>
      <c r="BD76"/>
      <c r="BE76" s="53"/>
      <c r="BF76" s="53"/>
      <c r="BG76" s="53"/>
      <c r="BH76" s="53"/>
      <c r="BI76"/>
      <c r="BL76"/>
      <c r="BM76"/>
      <c r="BN76"/>
      <c r="BO76"/>
      <c r="BR76"/>
      <c r="BS76"/>
      <c r="BT76"/>
      <c r="BU76"/>
    </row>
    <row r="77" spans="39:73">
      <c r="AM77"/>
      <c r="AN77" s="78">
        <f t="shared" si="34"/>
        <v>0</v>
      </c>
      <c r="AO77" s="78">
        <f t="shared" si="35"/>
        <v>0</v>
      </c>
      <c r="AP77" s="78">
        <f t="shared" si="36"/>
        <v>0</v>
      </c>
      <c r="AQ77" s="78">
        <f t="shared" si="37"/>
        <v>8</v>
      </c>
      <c r="AR77" s="78">
        <f t="shared" si="38"/>
        <v>0</v>
      </c>
      <c r="AS77" s="78">
        <f t="shared" si="39"/>
        <v>8</v>
      </c>
      <c r="AT77" s="78">
        <f t="shared" si="40"/>
        <v>0</v>
      </c>
      <c r="AU77" s="78">
        <f t="shared" si="41"/>
        <v>0</v>
      </c>
      <c r="AV77" s="78">
        <f t="shared" si="42"/>
        <v>0</v>
      </c>
      <c r="AW77" s="78">
        <f t="shared" si="43"/>
        <v>0</v>
      </c>
      <c r="AX77" s="78">
        <f t="shared" si="44"/>
        <v>0</v>
      </c>
      <c r="AY77" s="78">
        <f t="shared" si="45"/>
        <v>0</v>
      </c>
      <c r="AZ77" s="78"/>
      <c r="BA77" s="78"/>
      <c r="BB77" s="78"/>
      <c r="BC77" s="78"/>
      <c r="BD77"/>
      <c r="BE77" s="53"/>
      <c r="BF77" s="53"/>
      <c r="BG77" s="53"/>
      <c r="BH77" s="53"/>
      <c r="BI77"/>
      <c r="BL77"/>
      <c r="BM77"/>
      <c r="BN77"/>
      <c r="BO77"/>
      <c r="BR77"/>
      <c r="BS77"/>
      <c r="BT77"/>
      <c r="BU77"/>
    </row>
    <row r="78" spans="39:73">
      <c r="AM78"/>
      <c r="AN78" s="78">
        <f t="shared" si="34"/>
        <v>0</v>
      </c>
      <c r="AO78" s="78">
        <f t="shared" si="35"/>
        <v>0</v>
      </c>
      <c r="AP78" s="78">
        <f t="shared" si="36"/>
        <v>0</v>
      </c>
      <c r="AQ78" s="78">
        <f t="shared" si="37"/>
        <v>8</v>
      </c>
      <c r="AR78" s="78">
        <f t="shared" si="38"/>
        <v>0</v>
      </c>
      <c r="AS78" s="78">
        <f t="shared" si="39"/>
        <v>8</v>
      </c>
      <c r="AT78" s="78">
        <f t="shared" si="40"/>
        <v>0</v>
      </c>
      <c r="AU78" s="78">
        <f t="shared" si="41"/>
        <v>0</v>
      </c>
      <c r="AV78" s="78">
        <f t="shared" si="42"/>
        <v>0</v>
      </c>
      <c r="AW78" s="78">
        <f t="shared" si="43"/>
        <v>0</v>
      </c>
      <c r="AX78" s="78">
        <f t="shared" si="44"/>
        <v>0</v>
      </c>
      <c r="AY78" s="78">
        <f t="shared" si="45"/>
        <v>0</v>
      </c>
      <c r="AZ78" s="78"/>
      <c r="BA78" s="78"/>
      <c r="BB78" s="78"/>
      <c r="BC78" s="78"/>
      <c r="BD78"/>
      <c r="BE78" s="53"/>
      <c r="BF78" s="53"/>
      <c r="BG78" s="53"/>
      <c r="BH78" s="53"/>
      <c r="BI78"/>
      <c r="BL78"/>
      <c r="BM78"/>
      <c r="BN78"/>
      <c r="BO78"/>
      <c r="BR78"/>
      <c r="BS78"/>
      <c r="BT78"/>
      <c r="BU78"/>
    </row>
    <row r="79" spans="39:73">
      <c r="AM79"/>
      <c r="AN79" s="78">
        <f t="shared" si="34"/>
        <v>0</v>
      </c>
      <c r="AO79" s="78">
        <f t="shared" si="35"/>
        <v>0</v>
      </c>
      <c r="AP79" s="78">
        <f t="shared" si="36"/>
        <v>0</v>
      </c>
      <c r="AQ79" s="78">
        <f t="shared" si="37"/>
        <v>8</v>
      </c>
      <c r="AR79" s="78">
        <f t="shared" si="38"/>
        <v>0</v>
      </c>
      <c r="AS79" s="78">
        <f t="shared" si="39"/>
        <v>8</v>
      </c>
      <c r="AT79" s="78">
        <f t="shared" si="40"/>
        <v>0</v>
      </c>
      <c r="AU79" s="78">
        <f t="shared" si="41"/>
        <v>0</v>
      </c>
      <c r="AV79" s="78">
        <f t="shared" si="42"/>
        <v>0</v>
      </c>
      <c r="AW79" s="78">
        <f t="shared" si="43"/>
        <v>0</v>
      </c>
      <c r="AX79" s="78">
        <f t="shared" si="44"/>
        <v>0</v>
      </c>
      <c r="AY79" s="78">
        <f t="shared" si="45"/>
        <v>0</v>
      </c>
      <c r="AZ79" s="78"/>
      <c r="BA79" s="78"/>
      <c r="BB79" s="78"/>
      <c r="BC79" s="78"/>
      <c r="BD79"/>
      <c r="BE79" s="53"/>
      <c r="BF79" s="53"/>
      <c r="BG79" s="53"/>
      <c r="BH79" s="53"/>
      <c r="BI79"/>
      <c r="BL79"/>
      <c r="BM79"/>
      <c r="BN79"/>
      <c r="BO79"/>
      <c r="BR79"/>
      <c r="BS79"/>
      <c r="BT79"/>
      <c r="BU79"/>
    </row>
    <row r="80" spans="39:73">
      <c r="AM80"/>
      <c r="AN80" s="78">
        <f t="shared" si="34"/>
        <v>0</v>
      </c>
      <c r="AO80" s="78">
        <f t="shared" si="35"/>
        <v>0</v>
      </c>
      <c r="AP80" s="78">
        <f t="shared" si="36"/>
        <v>0</v>
      </c>
      <c r="AQ80" s="78">
        <f t="shared" si="37"/>
        <v>48</v>
      </c>
      <c r="AR80" s="78">
        <f t="shared" si="38"/>
        <v>0</v>
      </c>
      <c r="AS80" s="78">
        <f t="shared" si="39"/>
        <v>48</v>
      </c>
      <c r="AT80" s="78">
        <f t="shared" si="40"/>
        <v>0</v>
      </c>
      <c r="AU80" s="78">
        <f t="shared" si="41"/>
        <v>0</v>
      </c>
      <c r="AV80" s="78">
        <f t="shared" si="42"/>
        <v>0</v>
      </c>
      <c r="AW80" s="78">
        <f t="shared" si="43"/>
        <v>0</v>
      </c>
      <c r="AX80" s="78">
        <f t="shared" si="44"/>
        <v>0</v>
      </c>
      <c r="AY80" s="78">
        <f t="shared" si="45"/>
        <v>0</v>
      </c>
      <c r="AZ80" s="78"/>
      <c r="BA80" s="78"/>
      <c r="BB80" s="78"/>
      <c r="BC80" s="78"/>
      <c r="BD80"/>
      <c r="BE80" s="53"/>
      <c r="BF80" s="53"/>
      <c r="BG80" s="53"/>
      <c r="BH80" s="53"/>
      <c r="BI80"/>
      <c r="BL80"/>
      <c r="BM80"/>
      <c r="BN80"/>
      <c r="BO80"/>
      <c r="BR80"/>
      <c r="BS80"/>
      <c r="BT80"/>
      <c r="BU80"/>
    </row>
    <row r="81" spans="39:73">
      <c r="AM81"/>
      <c r="AN81" s="78">
        <f t="shared" si="34"/>
        <v>0</v>
      </c>
      <c r="AO81" s="78">
        <f t="shared" si="35"/>
        <v>0</v>
      </c>
      <c r="AP81" s="78">
        <f t="shared" si="36"/>
        <v>0</v>
      </c>
      <c r="AQ81" s="78">
        <f t="shared" si="37"/>
        <v>48</v>
      </c>
      <c r="AR81" s="78">
        <f t="shared" si="38"/>
        <v>0</v>
      </c>
      <c r="AS81" s="78">
        <f t="shared" si="39"/>
        <v>48</v>
      </c>
      <c r="AT81" s="78">
        <f t="shared" si="40"/>
        <v>0</v>
      </c>
      <c r="AU81" s="78">
        <f t="shared" si="41"/>
        <v>0</v>
      </c>
      <c r="AV81" s="78">
        <f t="shared" si="42"/>
        <v>0</v>
      </c>
      <c r="AW81" s="78">
        <f t="shared" si="43"/>
        <v>0</v>
      </c>
      <c r="AX81" s="78">
        <f t="shared" si="44"/>
        <v>0</v>
      </c>
      <c r="AY81" s="78">
        <f t="shared" si="45"/>
        <v>0</v>
      </c>
      <c r="AZ81" s="78"/>
      <c r="BA81" s="78"/>
      <c r="BB81" s="78"/>
      <c r="BC81" s="78"/>
      <c r="BD81"/>
      <c r="BE81" s="53"/>
      <c r="BF81" s="53"/>
      <c r="BG81" s="53"/>
      <c r="BH81" s="53"/>
      <c r="BI81"/>
      <c r="BL81"/>
      <c r="BM81"/>
      <c r="BN81"/>
      <c r="BO81"/>
      <c r="BR81"/>
      <c r="BS81"/>
      <c r="BT81"/>
      <c r="BU81"/>
    </row>
    <row r="82" spans="39:73">
      <c r="AM82"/>
      <c r="AN82" s="78">
        <f t="shared" si="34"/>
        <v>0</v>
      </c>
      <c r="AO82" s="78">
        <f t="shared" si="35"/>
        <v>0</v>
      </c>
      <c r="AP82" s="78">
        <f t="shared" si="36"/>
        <v>0</v>
      </c>
      <c r="AQ82" s="78">
        <f t="shared" si="37"/>
        <v>48</v>
      </c>
      <c r="AR82" s="78">
        <f t="shared" si="38"/>
        <v>0</v>
      </c>
      <c r="AS82" s="78">
        <f t="shared" si="39"/>
        <v>48</v>
      </c>
      <c r="AT82" s="78">
        <f t="shared" si="40"/>
        <v>0</v>
      </c>
      <c r="AU82" s="78">
        <f t="shared" si="41"/>
        <v>0</v>
      </c>
      <c r="AV82" s="78">
        <f t="shared" si="42"/>
        <v>0</v>
      </c>
      <c r="AW82" s="78">
        <f t="shared" si="43"/>
        <v>0</v>
      </c>
      <c r="AX82" s="78">
        <f t="shared" si="44"/>
        <v>0</v>
      </c>
      <c r="AY82" s="78">
        <f t="shared" si="45"/>
        <v>0</v>
      </c>
      <c r="AZ82" s="78"/>
      <c r="BA82" s="78"/>
      <c r="BB82" s="78"/>
      <c r="BC82" s="78"/>
      <c r="BD82"/>
      <c r="BE82" s="53"/>
      <c r="BF82" s="53"/>
      <c r="BG82" s="53"/>
      <c r="BH82" s="53"/>
      <c r="BI82"/>
      <c r="BL82"/>
      <c r="BM82"/>
      <c r="BN82"/>
      <c r="BO82"/>
      <c r="BR82"/>
      <c r="BS82"/>
      <c r="BT82"/>
      <c r="BU82"/>
    </row>
    <row r="83" spans="39:73">
      <c r="AM83"/>
      <c r="AN83" s="78">
        <f t="shared" si="34"/>
        <v>0</v>
      </c>
      <c r="AO83" s="78">
        <f t="shared" si="35"/>
        <v>0</v>
      </c>
      <c r="AP83" s="78">
        <f t="shared" si="36"/>
        <v>0</v>
      </c>
      <c r="AQ83" s="78">
        <f t="shared" si="37"/>
        <v>48</v>
      </c>
      <c r="AR83" s="78">
        <f t="shared" si="38"/>
        <v>0</v>
      </c>
      <c r="AS83" s="78">
        <f t="shared" si="39"/>
        <v>48</v>
      </c>
      <c r="AT83" s="78">
        <f t="shared" si="40"/>
        <v>0</v>
      </c>
      <c r="AU83" s="78">
        <f t="shared" si="41"/>
        <v>0</v>
      </c>
      <c r="AV83" s="78">
        <f t="shared" si="42"/>
        <v>0</v>
      </c>
      <c r="AW83" s="78">
        <f t="shared" si="43"/>
        <v>0</v>
      </c>
      <c r="AX83" s="78">
        <f t="shared" si="44"/>
        <v>0</v>
      </c>
      <c r="AY83" s="78">
        <f t="shared" si="45"/>
        <v>0</v>
      </c>
      <c r="AZ83" s="78"/>
      <c r="BA83" s="78"/>
      <c r="BB83" s="78"/>
      <c r="BC83" s="78"/>
      <c r="BD83"/>
      <c r="BE83" s="53"/>
      <c r="BF83" s="53"/>
      <c r="BG83" s="53"/>
      <c r="BH83" s="53"/>
      <c r="BI83"/>
      <c r="BL83"/>
      <c r="BM83"/>
      <c r="BN83"/>
      <c r="BO83"/>
      <c r="BR83"/>
      <c r="BS83"/>
      <c r="BT83"/>
      <c r="BU83"/>
    </row>
    <row r="84" spans="39:73">
      <c r="AM84"/>
      <c r="AN84" s="78">
        <f t="shared" si="34"/>
        <v>0</v>
      </c>
      <c r="AO84" s="78">
        <f t="shared" si="35"/>
        <v>0</v>
      </c>
      <c r="AP84" s="78">
        <f t="shared" si="36"/>
        <v>0</v>
      </c>
      <c r="AQ84" s="78">
        <f t="shared" si="37"/>
        <v>48</v>
      </c>
      <c r="AR84" s="78">
        <f t="shared" si="38"/>
        <v>0</v>
      </c>
      <c r="AS84" s="78">
        <f t="shared" si="39"/>
        <v>48</v>
      </c>
      <c r="AT84" s="78">
        <f t="shared" si="40"/>
        <v>0</v>
      </c>
      <c r="AU84" s="78">
        <f t="shared" si="41"/>
        <v>0</v>
      </c>
      <c r="AV84" s="78">
        <f t="shared" si="42"/>
        <v>0</v>
      </c>
      <c r="AW84" s="78">
        <f t="shared" si="43"/>
        <v>0</v>
      </c>
      <c r="AX84" s="78">
        <f t="shared" si="44"/>
        <v>0</v>
      </c>
      <c r="AY84" s="78">
        <f t="shared" si="45"/>
        <v>0</v>
      </c>
      <c r="AZ84" s="78"/>
      <c r="BA84" s="78"/>
      <c r="BB84" s="78"/>
      <c r="BC84" s="78"/>
      <c r="BD84"/>
      <c r="BE84" s="53"/>
      <c r="BF84" s="53"/>
      <c r="BG84" s="53"/>
      <c r="BH84" s="53"/>
      <c r="BI84"/>
      <c r="BL84"/>
      <c r="BM84"/>
      <c r="BN84"/>
      <c r="BO84"/>
      <c r="BR84"/>
      <c r="BS84"/>
      <c r="BT84"/>
      <c r="BU84"/>
    </row>
    <row r="85" spans="39:73">
      <c r="AM85"/>
      <c r="AN85" s="78">
        <f t="shared" si="34"/>
        <v>0</v>
      </c>
      <c r="AO85" s="78">
        <f t="shared" si="35"/>
        <v>0</v>
      </c>
      <c r="AP85" s="78">
        <f t="shared" si="36"/>
        <v>0</v>
      </c>
      <c r="AQ85" s="78">
        <f t="shared" si="37"/>
        <v>72</v>
      </c>
      <c r="AR85" s="78">
        <f t="shared" si="38"/>
        <v>0</v>
      </c>
      <c r="AS85" s="78">
        <f t="shared" si="39"/>
        <v>72</v>
      </c>
      <c r="AT85" s="78">
        <f t="shared" si="40"/>
        <v>0</v>
      </c>
      <c r="AU85" s="78">
        <f t="shared" si="41"/>
        <v>0</v>
      </c>
      <c r="AV85" s="78">
        <f t="shared" si="42"/>
        <v>0</v>
      </c>
      <c r="AW85" s="78">
        <f t="shared" si="43"/>
        <v>0</v>
      </c>
      <c r="AX85" s="78">
        <f t="shared" si="44"/>
        <v>0</v>
      </c>
      <c r="AY85" s="78">
        <f t="shared" si="45"/>
        <v>0</v>
      </c>
      <c r="AZ85" s="78"/>
      <c r="BA85" s="78"/>
      <c r="BB85" s="78"/>
      <c r="BC85" s="78"/>
      <c r="BD85"/>
      <c r="BE85" s="53"/>
      <c r="BF85" s="53"/>
      <c r="BG85" s="53"/>
      <c r="BH85" s="53"/>
      <c r="BI85"/>
      <c r="BL85"/>
      <c r="BM85"/>
      <c r="BN85"/>
      <c r="BO85"/>
      <c r="BR85"/>
      <c r="BS85"/>
      <c r="BT85"/>
      <c r="BU85"/>
    </row>
    <row r="86" spans="39:73">
      <c r="AM86"/>
      <c r="AN86" s="78">
        <f t="shared" si="34"/>
        <v>0</v>
      </c>
      <c r="AO86" s="78">
        <f t="shared" si="35"/>
        <v>0</v>
      </c>
      <c r="AP86" s="78">
        <f t="shared" si="36"/>
        <v>0</v>
      </c>
      <c r="AQ86" s="78">
        <f t="shared" si="37"/>
        <v>72</v>
      </c>
      <c r="AR86" s="78">
        <f t="shared" si="38"/>
        <v>0</v>
      </c>
      <c r="AS86" s="78">
        <f t="shared" si="39"/>
        <v>72</v>
      </c>
      <c r="AT86" s="78">
        <f t="shared" si="40"/>
        <v>0</v>
      </c>
      <c r="AU86" s="78">
        <f t="shared" si="41"/>
        <v>0</v>
      </c>
      <c r="AV86" s="78">
        <f t="shared" si="42"/>
        <v>0</v>
      </c>
      <c r="AW86" s="78">
        <f t="shared" si="43"/>
        <v>0</v>
      </c>
      <c r="AX86" s="78">
        <f t="shared" si="44"/>
        <v>0</v>
      </c>
      <c r="AY86" s="78">
        <f t="shared" si="45"/>
        <v>0</v>
      </c>
      <c r="AZ86" s="78"/>
      <c r="BA86" s="78"/>
      <c r="BB86" s="78"/>
      <c r="BC86" s="78"/>
      <c r="BD86"/>
      <c r="BE86" s="53"/>
      <c r="BF86" s="53"/>
      <c r="BG86" s="53"/>
      <c r="BH86" s="53"/>
      <c r="BI86"/>
      <c r="BL86"/>
      <c r="BM86"/>
      <c r="BN86"/>
      <c r="BO86"/>
      <c r="BR86"/>
      <c r="BS86"/>
      <c r="BT86"/>
      <c r="BU86"/>
    </row>
    <row r="87" spans="39:73">
      <c r="AM87"/>
      <c r="AN87" s="78">
        <f t="shared" si="34"/>
        <v>0</v>
      </c>
      <c r="AO87" s="78">
        <f t="shared" si="35"/>
        <v>0</v>
      </c>
      <c r="AP87" s="78">
        <f t="shared" si="36"/>
        <v>0</v>
      </c>
      <c r="AQ87" s="78">
        <f t="shared" si="37"/>
        <v>72</v>
      </c>
      <c r="AR87" s="78">
        <f t="shared" si="38"/>
        <v>0</v>
      </c>
      <c r="AS87" s="78">
        <f t="shared" si="39"/>
        <v>72</v>
      </c>
      <c r="AT87" s="78">
        <f t="shared" si="40"/>
        <v>0</v>
      </c>
      <c r="AU87" s="78">
        <f t="shared" si="41"/>
        <v>0</v>
      </c>
      <c r="AV87" s="78">
        <f t="shared" si="42"/>
        <v>0</v>
      </c>
      <c r="AW87" s="78">
        <f t="shared" si="43"/>
        <v>0</v>
      </c>
      <c r="AX87" s="78">
        <f t="shared" si="44"/>
        <v>0</v>
      </c>
      <c r="AY87" s="78">
        <f t="shared" si="45"/>
        <v>0</v>
      </c>
      <c r="AZ87" s="78"/>
      <c r="BA87" s="78"/>
      <c r="BB87" s="78"/>
      <c r="BC87" s="78"/>
      <c r="BD87"/>
      <c r="BE87" s="53"/>
      <c r="BF87" s="53"/>
      <c r="BG87" s="53"/>
      <c r="BH87" s="53"/>
      <c r="BI87"/>
      <c r="BL87"/>
      <c r="BM87"/>
      <c r="BN87"/>
      <c r="BO87"/>
      <c r="BR87"/>
      <c r="BS87"/>
      <c r="BT87"/>
      <c r="BU87"/>
    </row>
    <row r="88" spans="39:73">
      <c r="AM88"/>
      <c r="AN88" s="78">
        <f t="shared" si="34"/>
        <v>0</v>
      </c>
      <c r="AO88" s="78">
        <f t="shared" si="35"/>
        <v>0</v>
      </c>
      <c r="AP88" s="78">
        <f t="shared" si="36"/>
        <v>0</v>
      </c>
      <c r="AQ88" s="78">
        <f t="shared" si="37"/>
        <v>72</v>
      </c>
      <c r="AR88" s="78">
        <f t="shared" si="38"/>
        <v>0</v>
      </c>
      <c r="AS88" s="78">
        <f t="shared" si="39"/>
        <v>72</v>
      </c>
      <c r="AT88" s="78">
        <f t="shared" si="40"/>
        <v>0</v>
      </c>
      <c r="AU88" s="78">
        <f t="shared" si="41"/>
        <v>0</v>
      </c>
      <c r="AV88" s="78">
        <f t="shared" si="42"/>
        <v>0</v>
      </c>
      <c r="AW88" s="78">
        <f t="shared" si="43"/>
        <v>0</v>
      </c>
      <c r="AX88" s="78">
        <f t="shared" si="44"/>
        <v>0</v>
      </c>
      <c r="AY88" s="78">
        <f t="shared" si="45"/>
        <v>0</v>
      </c>
      <c r="AZ88" s="78"/>
      <c r="BA88" s="78"/>
      <c r="BB88" s="78"/>
      <c r="BC88" s="78"/>
      <c r="BD88"/>
      <c r="BE88" s="53"/>
      <c r="BF88" s="53"/>
      <c r="BG88" s="53"/>
      <c r="BH88" s="53"/>
      <c r="BI88"/>
      <c r="BL88"/>
      <c r="BM88"/>
      <c r="BN88"/>
      <c r="BO88"/>
      <c r="BR88"/>
      <c r="BS88"/>
      <c r="BT88"/>
      <c r="BU88"/>
    </row>
    <row r="89" spans="39:73">
      <c r="AM89"/>
      <c r="AN89" s="78">
        <f t="shared" si="34"/>
        <v>0</v>
      </c>
      <c r="AO89" s="78">
        <f t="shared" si="35"/>
        <v>0</v>
      </c>
      <c r="AP89" s="78">
        <f t="shared" si="36"/>
        <v>0</v>
      </c>
      <c r="AQ89" s="78">
        <f t="shared" si="37"/>
        <v>72</v>
      </c>
      <c r="AR89" s="78">
        <f t="shared" si="38"/>
        <v>0</v>
      </c>
      <c r="AS89" s="78">
        <f t="shared" si="39"/>
        <v>72</v>
      </c>
      <c r="AT89" s="78">
        <f t="shared" si="40"/>
        <v>0</v>
      </c>
      <c r="AU89" s="78">
        <f t="shared" si="41"/>
        <v>0</v>
      </c>
      <c r="AV89" s="78">
        <f t="shared" si="42"/>
        <v>0</v>
      </c>
      <c r="AW89" s="78">
        <f t="shared" si="43"/>
        <v>0</v>
      </c>
      <c r="AX89" s="78">
        <f t="shared" si="44"/>
        <v>0</v>
      </c>
      <c r="AY89" s="78">
        <f t="shared" si="45"/>
        <v>0</v>
      </c>
      <c r="AZ89" s="78"/>
      <c r="BA89" s="78"/>
      <c r="BB89" s="78"/>
      <c r="BC89" s="78"/>
      <c r="BD89"/>
      <c r="BE89" s="53"/>
      <c r="BF89" s="53"/>
      <c r="BG89" s="53"/>
      <c r="BH89" s="53"/>
      <c r="BI89"/>
      <c r="BL89"/>
      <c r="BM89"/>
      <c r="BN89"/>
      <c r="BO89"/>
      <c r="BR89"/>
      <c r="BS89"/>
      <c r="BT89"/>
      <c r="BU89"/>
    </row>
    <row r="90" spans="39:73">
      <c r="AM90"/>
      <c r="AN90" s="78">
        <f t="shared" si="34"/>
        <v>0</v>
      </c>
      <c r="AO90" s="78">
        <f t="shared" si="35"/>
        <v>0</v>
      </c>
      <c r="AP90" s="78">
        <f t="shared" si="36"/>
        <v>0</v>
      </c>
      <c r="AQ90" s="78">
        <f t="shared" si="37"/>
        <v>72</v>
      </c>
      <c r="AR90" s="78">
        <f t="shared" si="38"/>
        <v>0</v>
      </c>
      <c r="AS90" s="78">
        <f t="shared" si="39"/>
        <v>72</v>
      </c>
      <c r="AT90" s="78">
        <f t="shared" si="40"/>
        <v>0</v>
      </c>
      <c r="AU90" s="78">
        <f t="shared" si="41"/>
        <v>0</v>
      </c>
      <c r="AV90" s="78">
        <f t="shared" si="42"/>
        <v>0</v>
      </c>
      <c r="AW90" s="78">
        <f t="shared" si="43"/>
        <v>0</v>
      </c>
      <c r="AX90" s="78">
        <f t="shared" si="44"/>
        <v>0</v>
      </c>
      <c r="AY90" s="78">
        <f t="shared" si="45"/>
        <v>0</v>
      </c>
      <c r="AZ90" s="78"/>
      <c r="BA90" s="78"/>
      <c r="BB90" s="78"/>
      <c r="BC90" s="78"/>
      <c r="BD90"/>
      <c r="BE90" s="53"/>
      <c r="BF90" s="53"/>
      <c r="BG90" s="53"/>
      <c r="BH90" s="53"/>
      <c r="BI90"/>
      <c r="BL90"/>
      <c r="BM90"/>
      <c r="BN90"/>
      <c r="BO90"/>
      <c r="BR90"/>
      <c r="BS90"/>
      <c r="BT90"/>
      <c r="BU90"/>
    </row>
    <row r="91" spans="39:73">
      <c r="AM91"/>
      <c r="AN91" s="78">
        <f t="shared" si="34"/>
        <v>0</v>
      </c>
      <c r="AO91" s="78">
        <f t="shared" si="35"/>
        <v>0</v>
      </c>
      <c r="AP91" s="78">
        <f t="shared" si="36"/>
        <v>0</v>
      </c>
      <c r="AQ91" s="78">
        <f t="shared" si="37"/>
        <v>72</v>
      </c>
      <c r="AR91" s="78">
        <f t="shared" si="38"/>
        <v>0</v>
      </c>
      <c r="AS91" s="78">
        <f t="shared" si="39"/>
        <v>72</v>
      </c>
      <c r="AT91" s="78">
        <f t="shared" si="40"/>
        <v>0</v>
      </c>
      <c r="AU91" s="78">
        <f t="shared" si="41"/>
        <v>0</v>
      </c>
      <c r="AV91" s="78">
        <f t="shared" si="42"/>
        <v>0</v>
      </c>
      <c r="AW91" s="78">
        <f t="shared" si="43"/>
        <v>0</v>
      </c>
      <c r="AX91" s="78">
        <f t="shared" si="44"/>
        <v>0</v>
      </c>
      <c r="AY91" s="78">
        <f t="shared" si="45"/>
        <v>0</v>
      </c>
      <c r="AZ91" s="78"/>
      <c r="BA91" s="78"/>
      <c r="BB91" s="78"/>
      <c r="BC91" s="78"/>
      <c r="BD91"/>
      <c r="BE91" s="53"/>
      <c r="BF91" s="53"/>
      <c r="BG91" s="53"/>
      <c r="BH91" s="53"/>
      <c r="BI91"/>
      <c r="BL91"/>
      <c r="BM91"/>
      <c r="BN91"/>
      <c r="BO91"/>
      <c r="BR91"/>
      <c r="BS91"/>
      <c r="BT91"/>
      <c r="BU91"/>
    </row>
    <row r="92" spans="39:73">
      <c r="AM92"/>
      <c r="AN92" s="78">
        <f t="shared" si="34"/>
        <v>0</v>
      </c>
      <c r="AO92" s="78">
        <f t="shared" si="35"/>
        <v>0</v>
      </c>
      <c r="AP92" s="78">
        <f t="shared" si="36"/>
        <v>0</v>
      </c>
      <c r="AQ92" s="78">
        <f t="shared" si="37"/>
        <v>72</v>
      </c>
      <c r="AR92" s="78">
        <f t="shared" si="38"/>
        <v>0</v>
      </c>
      <c r="AS92" s="78">
        <f t="shared" si="39"/>
        <v>72</v>
      </c>
      <c r="AT92" s="78">
        <f t="shared" si="40"/>
        <v>0</v>
      </c>
      <c r="AU92" s="78">
        <f t="shared" si="41"/>
        <v>0</v>
      </c>
      <c r="AV92" s="78">
        <f t="shared" si="42"/>
        <v>0</v>
      </c>
      <c r="AW92" s="78">
        <f t="shared" si="43"/>
        <v>0</v>
      </c>
      <c r="AX92" s="78">
        <f t="shared" si="44"/>
        <v>0</v>
      </c>
      <c r="AY92" s="78">
        <f t="shared" si="45"/>
        <v>0</v>
      </c>
      <c r="AZ92" s="78"/>
      <c r="BA92" s="78"/>
      <c r="BB92" s="78"/>
      <c r="BC92" s="78"/>
      <c r="BD92"/>
      <c r="BE92" s="53"/>
      <c r="BF92" s="53"/>
      <c r="BG92" s="53"/>
      <c r="BH92" s="53"/>
      <c r="BI92"/>
      <c r="BL92"/>
      <c r="BM92"/>
      <c r="BN92"/>
      <c r="BO92"/>
      <c r="BR92"/>
      <c r="BS92"/>
      <c r="BT92"/>
      <c r="BU92"/>
    </row>
    <row r="93" spans="39:73">
      <c r="AM93"/>
      <c r="AN93" s="78">
        <f t="shared" si="34"/>
        <v>0</v>
      </c>
      <c r="AO93" s="78">
        <f t="shared" si="35"/>
        <v>0</v>
      </c>
      <c r="AP93" s="78">
        <f t="shared" si="36"/>
        <v>0</v>
      </c>
      <c r="AQ93" s="78">
        <f t="shared" si="37"/>
        <v>72</v>
      </c>
      <c r="AR93" s="78">
        <f t="shared" si="38"/>
        <v>0</v>
      </c>
      <c r="AS93" s="78">
        <f t="shared" si="39"/>
        <v>72</v>
      </c>
      <c r="AT93" s="78">
        <f t="shared" si="40"/>
        <v>0</v>
      </c>
      <c r="AU93" s="78">
        <f t="shared" si="41"/>
        <v>0</v>
      </c>
      <c r="AV93" s="78">
        <f t="shared" si="42"/>
        <v>0</v>
      </c>
      <c r="AW93" s="78">
        <f t="shared" si="43"/>
        <v>0</v>
      </c>
      <c r="AX93" s="78">
        <f t="shared" si="44"/>
        <v>0</v>
      </c>
      <c r="AY93" s="78">
        <f t="shared" si="45"/>
        <v>0</v>
      </c>
      <c r="AZ93" s="78"/>
      <c r="BA93" s="78"/>
      <c r="BB93" s="78"/>
      <c r="BC93" s="78"/>
      <c r="BD93"/>
      <c r="BE93" s="53"/>
      <c r="BF93" s="53"/>
      <c r="BG93" s="53"/>
      <c r="BH93" s="53"/>
      <c r="BI93"/>
      <c r="BL93"/>
      <c r="BM93"/>
      <c r="BN93"/>
      <c r="BO93"/>
      <c r="BR93"/>
      <c r="BS93"/>
      <c r="BT93"/>
      <c r="BU93"/>
    </row>
    <row r="94" spans="39:73">
      <c r="AM94"/>
      <c r="AN94" s="78">
        <f t="shared" si="34"/>
        <v>0</v>
      </c>
      <c r="AO94" s="78">
        <f t="shared" si="35"/>
        <v>0</v>
      </c>
      <c r="AP94" s="78">
        <f t="shared" si="36"/>
        <v>0</v>
      </c>
      <c r="AQ94" s="78">
        <f t="shared" si="37"/>
        <v>72</v>
      </c>
      <c r="AR94" s="78">
        <f t="shared" si="38"/>
        <v>0</v>
      </c>
      <c r="AS94" s="78">
        <f t="shared" si="39"/>
        <v>72</v>
      </c>
      <c r="AT94" s="78">
        <f t="shared" si="40"/>
        <v>0</v>
      </c>
      <c r="AU94" s="78">
        <f t="shared" si="41"/>
        <v>0</v>
      </c>
      <c r="AV94" s="78">
        <f t="shared" si="42"/>
        <v>0</v>
      </c>
      <c r="AW94" s="78">
        <f t="shared" si="43"/>
        <v>0</v>
      </c>
      <c r="AX94" s="78">
        <f t="shared" si="44"/>
        <v>0</v>
      </c>
      <c r="AY94" s="78">
        <f t="shared" si="45"/>
        <v>0</v>
      </c>
      <c r="AZ94" s="78"/>
      <c r="BA94" s="78"/>
      <c r="BB94" s="78"/>
      <c r="BC94" s="78"/>
      <c r="BD94"/>
      <c r="BE94" s="53"/>
      <c r="BF94" s="53"/>
      <c r="BG94" s="53"/>
      <c r="BH94" s="53"/>
      <c r="BI94"/>
      <c r="BL94"/>
      <c r="BM94"/>
      <c r="BN94"/>
      <c r="BO94"/>
      <c r="BR94"/>
      <c r="BS94"/>
      <c r="BT94"/>
      <c r="BU94"/>
    </row>
    <row r="95" spans="39:73">
      <c r="AM95"/>
      <c r="AN95"/>
      <c r="AR95"/>
      <c r="AS95"/>
      <c r="AT95"/>
      <c r="AU95"/>
      <c r="AW95"/>
      <c r="AX95"/>
      <c r="AZ95" s="53"/>
      <c r="BA95" s="53"/>
      <c r="BB95" s="53"/>
      <c r="BD95"/>
      <c r="BE95" s="53"/>
      <c r="BF95" s="53"/>
      <c r="BG95" s="53"/>
      <c r="BH95" s="53"/>
      <c r="BI95"/>
      <c r="BL95"/>
      <c r="BM95"/>
      <c r="BN95"/>
      <c r="BO95"/>
      <c r="BR95"/>
      <c r="BS95"/>
      <c r="BT95"/>
      <c r="BU95"/>
    </row>
  </sheetData>
  <mergeCells count="48">
    <mergeCell ref="CG2:CI2"/>
    <mergeCell ref="BY16:CI16"/>
    <mergeCell ref="BX2:BX3"/>
    <mergeCell ref="BY2:BZ2"/>
    <mergeCell ref="CA2:CC2"/>
    <mergeCell ref="CE2:CF2"/>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 ref="AZ2:BA2"/>
    <mergeCell ref="AH2:AK2"/>
    <mergeCell ref="AL2:AL3"/>
    <mergeCell ref="AM2:AM3"/>
    <mergeCell ref="AN2:AN3"/>
    <mergeCell ref="AO2:AO3"/>
    <mergeCell ref="W2:X2"/>
    <mergeCell ref="Y2:AA2"/>
    <mergeCell ref="AB2:AC2"/>
    <mergeCell ref="AD2:AE2"/>
    <mergeCell ref="AG2:AG3"/>
    <mergeCell ref="O2:O3"/>
    <mergeCell ref="P2:P3"/>
    <mergeCell ref="Q2:Q3"/>
    <mergeCell ref="R2:R3"/>
    <mergeCell ref="S2:V2"/>
    <mergeCell ref="F2:F3"/>
    <mergeCell ref="G2:G3"/>
    <mergeCell ref="I2:I3"/>
    <mergeCell ref="J2:M2"/>
    <mergeCell ref="N2:N3"/>
    <mergeCell ref="A2:A3"/>
    <mergeCell ref="B2:B3"/>
    <mergeCell ref="C2:C3"/>
    <mergeCell ref="D2:D3"/>
    <mergeCell ref="E2:E3"/>
  </mergeCells>
  <conditionalFormatting sqref="BE5 BE6 BE7 BE8 BE9 BE10 BE11 BE12 BE13 BE14 BE15 BE16 BE17 BE18 BE19 BE20 BE21 BE22 BE23 BE24 BE25 BE26 BE27 BE28 BE29 BE30 BE31 BE32 BE33 BE34 BE35 BE36 BE37 BE38 BE39 BE40 BE41 BE42 BE43">
    <cfRule type="cellIs" dxfId="21" priority="17" operator="greaterThanOrEqual">
      <formula>1.03</formula>
    </cfRule>
    <cfRule type="cellIs" dxfId="20" priority="18"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19" priority="1" operator="greaterThanOrEqual">
      <formula>0.03</formula>
    </cfRule>
    <cfRule type="cellIs" dxfId="18" priority="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17" priority="3" operator="greaterThanOrEqual">
      <formula>0.03</formula>
    </cfRule>
    <cfRule type="cellIs" dxfId="16" priority="4"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15" priority="19" operator="greaterThanOrEqual">
      <formula>0.03</formula>
    </cfRule>
    <cfRule type="cellIs" dxfId="14" priority="20"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13" priority="9" operator="greaterThanOrEqual">
      <formula>0.03</formula>
    </cfRule>
    <cfRule type="cellIs" dxfId="12"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11" priority="7" operator="greaterThanOrEqual">
      <formula>0.03</formula>
    </cfRule>
    <cfRule type="cellIs" dxfId="10" priority="8"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9" priority="21" operator="greaterThanOrEqual">
      <formula>0.03</formula>
    </cfRule>
    <cfRule type="cellIs" dxfId="8" priority="22"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7" priority="11" operator="greaterThanOrEqual">
      <formula>0.03</formula>
    </cfRule>
    <cfRule type="cellIs" dxfId="6" priority="12"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5" priority="15" operator="greaterThanOrEqual">
      <formula>0.03</formula>
    </cfRule>
    <cfRule type="cellIs" dxfId="4" priority="16"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3" priority="13" operator="greaterThanOrEqual">
      <formula>0.03</formula>
    </cfRule>
    <cfRule type="cellIs" dxfId="2" priority="14"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1" priority="5" operator="greaterThanOrEqual">
      <formula>0.03</formula>
    </cfRule>
    <cfRule type="cellIs" dxfId="0" priority="6" operator="lessThanOrEqual">
      <formula>-0.03</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Summary</vt:lpstr>
      <vt:lpstr>Graphs</vt:lpstr>
      <vt:lpstr>C2 lossyG,lossyA,intra</vt:lpstr>
      <vt:lpstr>names</vt:lpstr>
      <vt:lpstr>CW losslG,losslA,intra</vt:lpstr>
      <vt:lpstr>CW losslG,losslA,interLD</vt:lpstr>
      <vt:lpstr>C2 lossyG,lossyA,interRA</vt:lpstr>
      <vt:lpstr>Graphs!all_cols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MPEG point cloud compression common test condition reporting template N18175</dc:title>
  <cp:lastModifiedBy>Jungsun Kim</cp:lastModifiedBy>
  <dcterms:created xsi:type="dcterms:W3CDTF">2019-04-23T13:57:55Z</dcterms:created>
  <dcterms:modified xsi:type="dcterms:W3CDTF">2020-05-15T10:21:33Z</dcterms:modified>
</cp:coreProperties>
</file>