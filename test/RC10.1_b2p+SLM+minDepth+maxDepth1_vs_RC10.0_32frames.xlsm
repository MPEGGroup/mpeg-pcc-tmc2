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209" codeName="{51196F13-6AD0-C1B8-E2B4-A1F9AE17003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/Users/jkim/Works/VPCC50_rcOurs/mpeg-pcc-tmc2/test2/"/>
    </mc:Choice>
  </mc:AlternateContent>
  <xr:revisionPtr revIDLastSave="0" documentId="13_ncr:1_{6ED8101F-B6E4-8549-A42B-A631B14C9C33}" xr6:coauthVersionLast="36" xr6:coauthVersionMax="36" xr10:uidLastSave="{00000000-0000-0000-0000-000000000000}"/>
  <bookViews>
    <workbookView xWindow="200" yWindow="460" windowWidth="38840" windowHeight="21500" activeTab="4" xr2:uid="{00000000-000D-0000-FFFF-FFFF00000000}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2 lossyG,lossyA,interRA" sheetId="7" r:id="rId5"/>
    <sheet name="CW losslG,losslA,intra" sheetId="5" r:id="rId6"/>
    <sheet name="CW losslG,losslA,interLD" sheetId="6" r:id="rId7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81029"/>
</workbook>
</file>

<file path=xl/calcChain.xml><?xml version="1.0" encoding="utf-8"?>
<calcChain xmlns="http://schemas.openxmlformats.org/spreadsheetml/2006/main">
  <c r="BK5" i="3" l="1"/>
  <c r="BU6" i="7" l="1"/>
  <c r="BU7" i="7"/>
  <c r="BU8" i="7"/>
  <c r="BU9" i="7"/>
  <c r="BU10" i="7"/>
  <c r="BU11" i="7"/>
  <c r="BU12" i="7"/>
  <c r="BU13" i="7"/>
  <c r="BU14" i="7"/>
  <c r="BU15" i="7"/>
  <c r="BU16" i="7"/>
  <c r="BU17" i="7"/>
  <c r="BU18" i="7"/>
  <c r="BU19" i="7"/>
  <c r="BU20" i="7"/>
  <c r="BU21" i="7"/>
  <c r="BU22" i="7"/>
  <c r="BU23" i="7"/>
  <c r="BU24" i="7"/>
  <c r="BU25" i="7"/>
  <c r="BU26" i="7"/>
  <c r="BU27" i="7"/>
  <c r="BU28" i="7"/>
  <c r="BU29" i="7"/>
  <c r="BU5" i="7"/>
  <c r="BU6" i="3"/>
  <c r="BU7" i="3"/>
  <c r="BU8" i="3"/>
  <c r="BU9" i="3"/>
  <c r="BU10" i="3"/>
  <c r="BU11" i="3"/>
  <c r="BU12" i="3"/>
  <c r="BU13" i="3"/>
  <c r="BU14" i="3"/>
  <c r="BU15" i="3"/>
  <c r="BU16" i="3"/>
  <c r="BU17" i="3"/>
  <c r="BU18" i="3"/>
  <c r="BU19" i="3"/>
  <c r="BU20" i="3"/>
  <c r="BU21" i="3"/>
  <c r="BU22" i="3"/>
  <c r="BU23" i="3"/>
  <c r="BU24" i="3"/>
  <c r="BU25" i="3"/>
  <c r="BU26" i="3"/>
  <c r="BU27" i="3"/>
  <c r="BU28" i="3"/>
  <c r="BU29" i="3"/>
  <c r="BU5" i="3"/>
  <c r="BH6" i="6"/>
  <c r="BH7" i="6"/>
  <c r="BH8" i="6"/>
  <c r="BH9" i="6"/>
  <c r="BH5" i="6"/>
  <c r="BH6" i="5"/>
  <c r="BH7" i="5"/>
  <c r="BH8" i="5"/>
  <c r="BH9" i="5"/>
  <c r="BH5" i="5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M29" i="7"/>
  <c r="AL29" i="7"/>
  <c r="AK29" i="7"/>
  <c r="AJ29" i="7"/>
  <c r="AH29" i="7"/>
  <c r="AG29" i="7"/>
  <c r="O29" i="7"/>
  <c r="N29" i="7"/>
  <c r="K29" i="7" s="1"/>
  <c r="M29" i="7"/>
  <c r="L29" i="7"/>
  <c r="J29" i="7"/>
  <c r="I29" i="7"/>
  <c r="BE28" i="7"/>
  <c r="AM28" i="7"/>
  <c r="AL28" i="7"/>
  <c r="AK28" i="7"/>
  <c r="AJ28" i="7"/>
  <c r="AH28" i="7"/>
  <c r="AG28" i="7"/>
  <c r="O28" i="7"/>
  <c r="N28" i="7"/>
  <c r="K28" i="7" s="1"/>
  <c r="M28" i="7"/>
  <c r="L28" i="7"/>
  <c r="J28" i="7"/>
  <c r="I28" i="7"/>
  <c r="BE27" i="7"/>
  <c r="AM27" i="7"/>
  <c r="AL27" i="7"/>
  <c r="AK27" i="7"/>
  <c r="AJ27" i="7"/>
  <c r="AH27" i="7"/>
  <c r="AG27" i="7"/>
  <c r="O27" i="7"/>
  <c r="N27" i="7"/>
  <c r="K27" i="7" s="1"/>
  <c r="M27" i="7"/>
  <c r="L27" i="7"/>
  <c r="J27" i="7"/>
  <c r="I27" i="7"/>
  <c r="BE26" i="7"/>
  <c r="AM26" i="7"/>
  <c r="AL26" i="7"/>
  <c r="AK26" i="7"/>
  <c r="AJ26" i="7"/>
  <c r="AH26" i="7"/>
  <c r="AG26" i="7"/>
  <c r="O26" i="7"/>
  <c r="N26" i="7"/>
  <c r="K26" i="7" s="1"/>
  <c r="M26" i="7"/>
  <c r="L26" i="7"/>
  <c r="J26" i="7"/>
  <c r="I26" i="7"/>
  <c r="BE25" i="7"/>
  <c r="AM25" i="7"/>
  <c r="AL25" i="7"/>
  <c r="AK25" i="7"/>
  <c r="AJ25" i="7"/>
  <c r="AH25" i="7"/>
  <c r="AG25" i="7"/>
  <c r="O25" i="7"/>
  <c r="N25" i="7"/>
  <c r="M25" i="7"/>
  <c r="L25" i="7"/>
  <c r="J25" i="7"/>
  <c r="I25" i="7"/>
  <c r="BE24" i="7"/>
  <c r="AM24" i="7"/>
  <c r="AL24" i="7"/>
  <c r="AI24" i="7" s="1"/>
  <c r="AK24" i="7"/>
  <c r="AJ24" i="7"/>
  <c r="AH24" i="7"/>
  <c r="AG24" i="7"/>
  <c r="O24" i="7"/>
  <c r="N24" i="7"/>
  <c r="K24" i="7" s="1"/>
  <c r="M24" i="7"/>
  <c r="L24" i="7"/>
  <c r="J24" i="7"/>
  <c r="I24" i="7"/>
  <c r="BE23" i="7"/>
  <c r="AM23" i="7"/>
  <c r="AL23" i="7"/>
  <c r="AK23" i="7"/>
  <c r="AJ23" i="7"/>
  <c r="AI23" i="7"/>
  <c r="AH23" i="7"/>
  <c r="AG23" i="7"/>
  <c r="O23" i="7"/>
  <c r="N23" i="7"/>
  <c r="K23" i="7" s="1"/>
  <c r="M23" i="7"/>
  <c r="L23" i="7"/>
  <c r="J23" i="7"/>
  <c r="I23" i="7"/>
  <c r="BE22" i="7"/>
  <c r="AM22" i="7"/>
  <c r="AL22" i="7"/>
  <c r="AI22" i="7" s="1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AK21" i="7"/>
  <c r="AJ21" i="7"/>
  <c r="AH21" i="7"/>
  <c r="AG21" i="7"/>
  <c r="O21" i="7"/>
  <c r="N21" i="7"/>
  <c r="K21" i="7" s="1"/>
  <c r="M21" i="7"/>
  <c r="L21" i="7"/>
  <c r="J21" i="7"/>
  <c r="I21" i="7"/>
  <c r="BE20" i="7"/>
  <c r="AM20" i="7"/>
  <c r="AL20" i="7"/>
  <c r="AI20" i="7" s="1"/>
  <c r="AK20" i="7"/>
  <c r="AJ20" i="7"/>
  <c r="AH20" i="7"/>
  <c r="AG20" i="7"/>
  <c r="O20" i="7"/>
  <c r="N20" i="7"/>
  <c r="M20" i="7"/>
  <c r="L20" i="7"/>
  <c r="J20" i="7"/>
  <c r="I20" i="7"/>
  <c r="BE19" i="7"/>
  <c r="AM19" i="7"/>
  <c r="AL19" i="7"/>
  <c r="AK19" i="7"/>
  <c r="AJ19" i="7"/>
  <c r="AH19" i="7"/>
  <c r="AG19" i="7"/>
  <c r="O19" i="7"/>
  <c r="N19" i="7"/>
  <c r="K19" i="7" s="1"/>
  <c r="M19" i="7"/>
  <c r="L19" i="7"/>
  <c r="J19" i="7"/>
  <c r="I19" i="7"/>
  <c r="BE18" i="7"/>
  <c r="AM18" i="7"/>
  <c r="AL18" i="7"/>
  <c r="AI18" i="7" s="1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K17" i="7"/>
  <c r="AJ17" i="7"/>
  <c r="AH17" i="7"/>
  <c r="AG17" i="7"/>
  <c r="O17" i="7"/>
  <c r="N17" i="7"/>
  <c r="K17" i="7" s="1"/>
  <c r="M17" i="7"/>
  <c r="L17" i="7"/>
  <c r="J17" i="7"/>
  <c r="I17" i="7"/>
  <c r="BE16" i="7"/>
  <c r="AM16" i="7"/>
  <c r="AL16" i="7"/>
  <c r="AI16" i="7" s="1"/>
  <c r="AK16" i="7"/>
  <c r="AJ16" i="7"/>
  <c r="AH16" i="7"/>
  <c r="AG16" i="7"/>
  <c r="O16" i="7"/>
  <c r="N16" i="7"/>
  <c r="K16" i="7" s="1"/>
  <c r="M16" i="7"/>
  <c r="L16" i="7"/>
  <c r="J16" i="7"/>
  <c r="I16" i="7"/>
  <c r="BE15" i="7"/>
  <c r="AM15" i="7"/>
  <c r="AL15" i="7"/>
  <c r="AI15" i="7" s="1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AI14" i="7" s="1"/>
  <c r="AK14" i="7"/>
  <c r="AJ14" i="7"/>
  <c r="AH14" i="7"/>
  <c r="AG14" i="7"/>
  <c r="O14" i="7"/>
  <c r="N14" i="7"/>
  <c r="K14" i="7" s="1"/>
  <c r="M14" i="7"/>
  <c r="L14" i="7"/>
  <c r="J14" i="7"/>
  <c r="I14" i="7"/>
  <c r="BE13" i="7"/>
  <c r="AM13" i="7"/>
  <c r="AL13" i="7"/>
  <c r="AK13" i="7"/>
  <c r="AJ13" i="7"/>
  <c r="AH13" i="7"/>
  <c r="AG13" i="7"/>
  <c r="O13" i="7"/>
  <c r="N13" i="7"/>
  <c r="K13" i="7" s="1"/>
  <c r="M13" i="7"/>
  <c r="L13" i="7"/>
  <c r="J13" i="7"/>
  <c r="I13" i="7"/>
  <c r="BE12" i="7"/>
  <c r="AM12" i="7"/>
  <c r="AL12" i="7"/>
  <c r="AI12" i="7" s="1"/>
  <c r="AK12" i="7"/>
  <c r="AJ12" i="7"/>
  <c r="AH12" i="7"/>
  <c r="AG12" i="7"/>
  <c r="O12" i="7"/>
  <c r="N12" i="7"/>
  <c r="K12" i="7" s="1"/>
  <c r="M12" i="7"/>
  <c r="L12" i="7"/>
  <c r="J12" i="7"/>
  <c r="I12" i="7"/>
  <c r="BE11" i="7"/>
  <c r="AM11" i="7"/>
  <c r="AL11" i="7"/>
  <c r="AK11" i="7"/>
  <c r="AJ11" i="7"/>
  <c r="AH11" i="7"/>
  <c r="AG11" i="7"/>
  <c r="O11" i="7"/>
  <c r="N11" i="7"/>
  <c r="K11" i="7" s="1"/>
  <c r="M11" i="7"/>
  <c r="L11" i="7"/>
  <c r="J11" i="7"/>
  <c r="I11" i="7"/>
  <c r="BE10" i="7"/>
  <c r="AM10" i="7"/>
  <c r="AL10" i="7"/>
  <c r="AI10" i="7" s="1"/>
  <c r="AK10" i="7"/>
  <c r="AJ10" i="7"/>
  <c r="AH10" i="7"/>
  <c r="AG10" i="7"/>
  <c r="O10" i="7"/>
  <c r="N10" i="7"/>
  <c r="M10" i="7"/>
  <c r="L10" i="7"/>
  <c r="J10" i="7"/>
  <c r="I10" i="7"/>
  <c r="BE9" i="7"/>
  <c r="AM9" i="7"/>
  <c r="AL9" i="7"/>
  <c r="AI9" i="7" s="1"/>
  <c r="AK9" i="7"/>
  <c r="AJ9" i="7"/>
  <c r="AH9" i="7"/>
  <c r="AG9" i="7"/>
  <c r="O9" i="7"/>
  <c r="N9" i="7"/>
  <c r="K9" i="7" s="1"/>
  <c r="M9" i="7"/>
  <c r="L9" i="7"/>
  <c r="J9" i="7"/>
  <c r="I9" i="7"/>
  <c r="BE8" i="7"/>
  <c r="AM8" i="7"/>
  <c r="AL8" i="7"/>
  <c r="AI8" i="7" s="1"/>
  <c r="AK8" i="7"/>
  <c r="AJ8" i="7"/>
  <c r="AH8" i="7"/>
  <c r="AG8" i="7"/>
  <c r="O8" i="7"/>
  <c r="N8" i="7"/>
  <c r="K8" i="7" s="1"/>
  <c r="M8" i="7"/>
  <c r="L8" i="7"/>
  <c r="J8" i="7"/>
  <c r="I8" i="7"/>
  <c r="BE7" i="7"/>
  <c r="AM7" i="7"/>
  <c r="AL7" i="7"/>
  <c r="AI7" i="7" s="1"/>
  <c r="AK7" i="7"/>
  <c r="AJ7" i="7"/>
  <c r="AH7" i="7"/>
  <c r="AG7" i="7"/>
  <c r="O7" i="7"/>
  <c r="N7" i="7"/>
  <c r="K7" i="7" s="1"/>
  <c r="M7" i="7"/>
  <c r="L7" i="7"/>
  <c r="J7" i="7"/>
  <c r="I7" i="7"/>
  <c r="BE6" i="7"/>
  <c r="AM6" i="7"/>
  <c r="AL6" i="7"/>
  <c r="AI6" i="7" s="1"/>
  <c r="AK6" i="7"/>
  <c r="AJ6" i="7"/>
  <c r="AH6" i="7"/>
  <c r="AG6" i="7"/>
  <c r="O6" i="7"/>
  <c r="N6" i="7"/>
  <c r="K6" i="7" s="1"/>
  <c r="M6" i="7"/>
  <c r="L6" i="7"/>
  <c r="J6" i="7"/>
  <c r="I6" i="7"/>
  <c r="BE5" i="7"/>
  <c r="AM5" i="7"/>
  <c r="AL5" i="7"/>
  <c r="AI5" i="7" s="1"/>
  <c r="AK5" i="7"/>
  <c r="AJ5" i="7"/>
  <c r="AH5" i="7"/>
  <c r="AG5" i="7"/>
  <c r="O5" i="7"/>
  <c r="N5" i="7"/>
  <c r="M5" i="7"/>
  <c r="L5" i="7"/>
  <c r="J5" i="7"/>
  <c r="I5" i="7"/>
  <c r="AZ15" i="6"/>
  <c r="AY15" i="6"/>
  <c r="AX15" i="6"/>
  <c r="AW15" i="6"/>
  <c r="AC15" i="6"/>
  <c r="AB15" i="6"/>
  <c r="AA15" i="6"/>
  <c r="Z15" i="6"/>
  <c r="AZ13" i="6"/>
  <c r="AY13" i="6"/>
  <c r="AX13" i="6"/>
  <c r="AW13" i="6"/>
  <c r="AC13" i="6"/>
  <c r="AB13" i="6"/>
  <c r="AA13" i="6"/>
  <c r="Z13" i="6"/>
  <c r="AL9" i="6"/>
  <c r="AK9" i="6"/>
  <c r="BF9" i="6" s="1" a="1"/>
  <c r="AJ9" i="6"/>
  <c r="AJ11" i="6" s="1"/>
  <c r="AI9" i="6"/>
  <c r="AI11" i="6" s="1"/>
  <c r="AG9" i="6"/>
  <c r="AG11" i="6" s="1"/>
  <c r="AF9" i="6"/>
  <c r="AE9" i="6"/>
  <c r="O9" i="6"/>
  <c r="N9" i="6"/>
  <c r="M9" i="6"/>
  <c r="M11" i="6" s="1"/>
  <c r="L9" i="6"/>
  <c r="L11" i="6" s="1"/>
  <c r="J9" i="6"/>
  <c r="J11" i="6" s="1"/>
  <c r="I9" i="6"/>
  <c r="H9" i="6"/>
  <c r="AL8" i="6"/>
  <c r="AK8" i="6"/>
  <c r="AH8" i="6" s="1"/>
  <c r="AJ8" i="6"/>
  <c r="AI8" i="6"/>
  <c r="AG8" i="6"/>
  <c r="AF8" i="6"/>
  <c r="AE8" i="6"/>
  <c r="O8" i="6"/>
  <c r="N8" i="6"/>
  <c r="BF8" i="6" s="1" a="1"/>
  <c r="M8" i="6"/>
  <c r="L8" i="6"/>
  <c r="J8" i="6"/>
  <c r="I8" i="6"/>
  <c r="H8" i="6"/>
  <c r="AL7" i="6"/>
  <c r="AK7" i="6"/>
  <c r="BF7" i="6" s="1" a="1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BF6" i="6" a="1"/>
  <c r="AL6" i="6"/>
  <c r="AK6" i="6"/>
  <c r="AH6" i="6" s="1"/>
  <c r="AJ6" i="6"/>
  <c r="AI6" i="6"/>
  <c r="AG6" i="6"/>
  <c r="AF6" i="6"/>
  <c r="AE6" i="6"/>
  <c r="O6" i="6"/>
  <c r="N6" i="6"/>
  <c r="M6" i="6"/>
  <c r="L6" i="6"/>
  <c r="J6" i="6"/>
  <c r="I6" i="6"/>
  <c r="H6" i="6"/>
  <c r="AL5" i="6"/>
  <c r="AK5" i="6"/>
  <c r="AH5" i="6" s="1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5" i="5"/>
  <c r="AY15" i="5"/>
  <c r="AX15" i="5"/>
  <c r="AW15" i="5"/>
  <c r="AC15" i="5"/>
  <c r="AB15" i="5"/>
  <c r="AA15" i="5"/>
  <c r="Z15" i="5"/>
  <c r="AZ13" i="5"/>
  <c r="AY13" i="5"/>
  <c r="AX13" i="5"/>
  <c r="AW13" i="5"/>
  <c r="AC13" i="5"/>
  <c r="AB13" i="5"/>
  <c r="AA13" i="5"/>
  <c r="Z13" i="5"/>
  <c r="AL9" i="5"/>
  <c r="AK9" i="5"/>
  <c r="AH9" i="5" s="1"/>
  <c r="AH11" i="5" s="1"/>
  <c r="AJ9" i="5"/>
  <c r="AJ11" i="5" s="1"/>
  <c r="AI9" i="5"/>
  <c r="AI11" i="5" s="1"/>
  <c r="AG9" i="5"/>
  <c r="AG11" i="5" s="1"/>
  <c r="AF9" i="5"/>
  <c r="AE9" i="5"/>
  <c r="O9" i="5"/>
  <c r="N9" i="5"/>
  <c r="K9" i="5" s="1"/>
  <c r="K11" i="5" s="1"/>
  <c r="M9" i="5"/>
  <c r="M11" i="5" s="1"/>
  <c r="L9" i="5"/>
  <c r="L11" i="5" s="1"/>
  <c r="J9" i="5"/>
  <c r="J11" i="5" s="1"/>
  <c r="I9" i="5"/>
  <c r="H9" i="5"/>
  <c r="AL8" i="5"/>
  <c r="AK8" i="5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AL7" i="5"/>
  <c r="AK7" i="5"/>
  <c r="AH7" i="5" s="1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AL6" i="5"/>
  <c r="AK6" i="5"/>
  <c r="AH6" i="5" s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BF5" i="5" a="1"/>
  <c r="AL5" i="5"/>
  <c r="AK5" i="5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BC34" i="3" s="1"/>
  <c r="AD33" i="3"/>
  <c r="AC33" i="3"/>
  <c r="AB33" i="3"/>
  <c r="BE29" i="3"/>
  <c r="AM29" i="3"/>
  <c r="AL29" i="3"/>
  <c r="AI29" i="3" s="1"/>
  <c r="AK29" i="3"/>
  <c r="AJ29" i="3"/>
  <c r="AH29" i="3"/>
  <c r="AG29" i="3"/>
  <c r="O29" i="3"/>
  <c r="N29" i="3"/>
  <c r="M29" i="3"/>
  <c r="L29" i="3"/>
  <c r="J29" i="3"/>
  <c r="I29" i="3"/>
  <c r="BE28" i="3"/>
  <c r="AM28" i="3"/>
  <c r="AL28" i="3"/>
  <c r="AI28" i="3" s="1"/>
  <c r="AK28" i="3"/>
  <c r="AJ28" i="3"/>
  <c r="AH28" i="3"/>
  <c r="AG28" i="3"/>
  <c r="O28" i="3"/>
  <c r="N28" i="3"/>
  <c r="M28" i="3"/>
  <c r="L28" i="3"/>
  <c r="J28" i="3"/>
  <c r="I28" i="3"/>
  <c r="BE27" i="3"/>
  <c r="AM27" i="3"/>
  <c r="AL27" i="3"/>
  <c r="AI27" i="3" s="1"/>
  <c r="AK27" i="3"/>
  <c r="AJ27" i="3"/>
  <c r="AH27" i="3"/>
  <c r="AG27" i="3"/>
  <c r="O27" i="3"/>
  <c r="N27" i="3"/>
  <c r="M27" i="3"/>
  <c r="L27" i="3"/>
  <c r="J27" i="3"/>
  <c r="I27" i="3"/>
  <c r="BE26" i="3"/>
  <c r="AM26" i="3"/>
  <c r="AL26" i="3"/>
  <c r="AI26" i="3" s="1"/>
  <c r="AK26" i="3"/>
  <c r="AJ26" i="3"/>
  <c r="AH26" i="3"/>
  <c r="AG26" i="3"/>
  <c r="O26" i="3"/>
  <c r="N26" i="3"/>
  <c r="M26" i="3"/>
  <c r="L26" i="3"/>
  <c r="J26" i="3"/>
  <c r="I26" i="3"/>
  <c r="BE25" i="3"/>
  <c r="AM25" i="3"/>
  <c r="AL25" i="3"/>
  <c r="AI25" i="3" s="1"/>
  <c r="AK25" i="3"/>
  <c r="AJ25" i="3"/>
  <c r="AH25" i="3"/>
  <c r="AG25" i="3"/>
  <c r="O25" i="3"/>
  <c r="N25" i="3"/>
  <c r="M25" i="3"/>
  <c r="L25" i="3"/>
  <c r="J25" i="3"/>
  <c r="I25" i="3"/>
  <c r="BE24" i="3"/>
  <c r="AM24" i="3"/>
  <c r="AL24" i="3"/>
  <c r="AI24" i="3" s="1"/>
  <c r="AK24" i="3"/>
  <c r="AJ24" i="3"/>
  <c r="AH24" i="3"/>
  <c r="AG24" i="3"/>
  <c r="O24" i="3"/>
  <c r="N24" i="3"/>
  <c r="M24" i="3"/>
  <c r="L24" i="3"/>
  <c r="J24" i="3"/>
  <c r="I24" i="3"/>
  <c r="BE23" i="3"/>
  <c r="AM23" i="3"/>
  <c r="AL23" i="3"/>
  <c r="AI23" i="3" s="1"/>
  <c r="AK23" i="3"/>
  <c r="AJ23" i="3"/>
  <c r="AH23" i="3"/>
  <c r="AG23" i="3"/>
  <c r="O23" i="3"/>
  <c r="N23" i="3"/>
  <c r="M23" i="3"/>
  <c r="L23" i="3"/>
  <c r="J23" i="3"/>
  <c r="I23" i="3"/>
  <c r="BE22" i="3"/>
  <c r="AM22" i="3"/>
  <c r="AL22" i="3"/>
  <c r="AI22" i="3" s="1"/>
  <c r="AK22" i="3"/>
  <c r="AJ22" i="3"/>
  <c r="AH22" i="3"/>
  <c r="AG22" i="3"/>
  <c r="O22" i="3"/>
  <c r="N22" i="3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M21" i="3"/>
  <c r="L21" i="3"/>
  <c r="J21" i="3"/>
  <c r="I21" i="3"/>
  <c r="BE20" i="3"/>
  <c r="AM20" i="3"/>
  <c r="AL20" i="3"/>
  <c r="AI20" i="3" s="1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I19" i="3" s="1"/>
  <c r="AK19" i="3"/>
  <c r="AJ19" i="3"/>
  <c r="AH19" i="3"/>
  <c r="AG19" i="3"/>
  <c r="O19" i="3"/>
  <c r="N19" i="3"/>
  <c r="M19" i="3"/>
  <c r="L19" i="3"/>
  <c r="J19" i="3"/>
  <c r="I19" i="3"/>
  <c r="BE18" i="3"/>
  <c r="AM18" i="3"/>
  <c r="AL18" i="3"/>
  <c r="AI18" i="3" s="1"/>
  <c r="AK18" i="3"/>
  <c r="AJ18" i="3"/>
  <c r="AH18" i="3"/>
  <c r="AG18" i="3"/>
  <c r="O18" i="3"/>
  <c r="N18" i="3"/>
  <c r="M18" i="3"/>
  <c r="L18" i="3"/>
  <c r="J18" i="3"/>
  <c r="I18" i="3"/>
  <c r="BE17" i="3"/>
  <c r="AM17" i="3"/>
  <c r="AL17" i="3"/>
  <c r="AI17" i="3" s="1"/>
  <c r="AK17" i="3"/>
  <c r="AJ17" i="3"/>
  <c r="AH17" i="3"/>
  <c r="AG17" i="3"/>
  <c r="O17" i="3"/>
  <c r="N17" i="3"/>
  <c r="M17" i="3"/>
  <c r="L17" i="3"/>
  <c r="J17" i="3"/>
  <c r="I17" i="3"/>
  <c r="BE16" i="3"/>
  <c r="AM16" i="3"/>
  <c r="AL16" i="3"/>
  <c r="AI16" i="3" s="1"/>
  <c r="AK16" i="3"/>
  <c r="AJ16" i="3"/>
  <c r="AH16" i="3"/>
  <c r="AG16" i="3"/>
  <c r="O16" i="3"/>
  <c r="N16" i="3"/>
  <c r="M16" i="3"/>
  <c r="L16" i="3"/>
  <c r="J16" i="3"/>
  <c r="I16" i="3"/>
  <c r="BE15" i="3"/>
  <c r="AM15" i="3"/>
  <c r="AL15" i="3"/>
  <c r="AI15" i="3" s="1"/>
  <c r="AK15" i="3"/>
  <c r="AJ15" i="3"/>
  <c r="AH15" i="3"/>
  <c r="AG15" i="3"/>
  <c r="O15" i="3"/>
  <c r="N15" i="3"/>
  <c r="M15" i="3"/>
  <c r="L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M14" i="3"/>
  <c r="L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M11" i="3"/>
  <c r="L11" i="3"/>
  <c r="J11" i="3"/>
  <c r="I11" i="3"/>
  <c r="BE10" i="3"/>
  <c r="AM10" i="3"/>
  <c r="AL10" i="3"/>
  <c r="AI10" i="3" s="1"/>
  <c r="AK10" i="3"/>
  <c r="AJ10" i="3"/>
  <c r="AH10" i="3"/>
  <c r="AG10" i="3"/>
  <c r="O10" i="3"/>
  <c r="N10" i="3"/>
  <c r="M10" i="3"/>
  <c r="L10" i="3"/>
  <c r="J10" i="3"/>
  <c r="I10" i="3"/>
  <c r="BE9" i="3"/>
  <c r="AM9" i="3"/>
  <c r="AL9" i="3"/>
  <c r="AI9" i="3" s="1"/>
  <c r="AK9" i="3"/>
  <c r="AJ9" i="3"/>
  <c r="AH9" i="3"/>
  <c r="AG9" i="3"/>
  <c r="O9" i="3"/>
  <c r="N9" i="3"/>
  <c r="M9" i="3"/>
  <c r="L9" i="3"/>
  <c r="J9" i="3"/>
  <c r="I9" i="3"/>
  <c r="BE8" i="3"/>
  <c r="AM8" i="3"/>
  <c r="AL8" i="3"/>
  <c r="AI8" i="3" s="1"/>
  <c r="AK8" i="3"/>
  <c r="AJ8" i="3"/>
  <c r="AH8" i="3"/>
  <c r="AG8" i="3"/>
  <c r="O8" i="3"/>
  <c r="N8" i="3"/>
  <c r="M8" i="3"/>
  <c r="L8" i="3"/>
  <c r="J8" i="3"/>
  <c r="I8" i="3"/>
  <c r="BE7" i="3"/>
  <c r="AM7" i="3"/>
  <c r="AL7" i="3"/>
  <c r="AI7" i="3" s="1"/>
  <c r="AK7" i="3"/>
  <c r="AJ7" i="3"/>
  <c r="AH7" i="3"/>
  <c r="AG7" i="3"/>
  <c r="O7" i="3"/>
  <c r="N7" i="3"/>
  <c r="M7" i="3"/>
  <c r="L7" i="3"/>
  <c r="J7" i="3"/>
  <c r="I7" i="3"/>
  <c r="BE6" i="3"/>
  <c r="AM6" i="3"/>
  <c r="AL6" i="3"/>
  <c r="AI6" i="3" s="1"/>
  <c r="AK6" i="3"/>
  <c r="AJ6" i="3"/>
  <c r="AH6" i="3"/>
  <c r="AG6" i="3"/>
  <c r="O6" i="3"/>
  <c r="N6" i="3"/>
  <c r="M6" i="3"/>
  <c r="L6" i="3"/>
  <c r="J6" i="3"/>
  <c r="I6" i="3"/>
  <c r="BG5" i="3" a="1"/>
  <c r="BE5" i="3"/>
  <c r="AM5" i="3"/>
  <c r="AL5" i="3"/>
  <c r="AI5" i="3" s="1"/>
  <c r="AK5" i="3"/>
  <c r="AJ5" i="3"/>
  <c r="AH5" i="3"/>
  <c r="AG5" i="3"/>
  <c r="O5" i="3"/>
  <c r="N5" i="3"/>
  <c r="M5" i="3"/>
  <c r="L5" i="3"/>
  <c r="J5" i="3"/>
  <c r="I5" i="3"/>
  <c r="B1" i="2"/>
  <c r="B2" i="2" s="1"/>
  <c r="BQ20" i="3"/>
  <c r="BR20" i="3"/>
  <c r="BO25" i="7"/>
  <c r="BK20" i="3"/>
  <c r="BL25" i="3"/>
  <c r="BL25" i="7"/>
  <c r="BP25" i="7"/>
  <c r="BS15" i="3"/>
  <c r="BQ15" i="7"/>
  <c r="BM10" i="7"/>
  <c r="BS10" i="7"/>
  <c r="BQ15" i="3"/>
  <c r="BS25" i="3"/>
  <c r="BS25" i="7"/>
  <c r="BK15" i="7"/>
  <c r="BQ25" i="3"/>
  <c r="BS5" i="7"/>
  <c r="BR10" i="3"/>
  <c r="BQ25" i="7"/>
  <c r="BQ10" i="7"/>
  <c r="BP20" i="3"/>
  <c r="BP5" i="7"/>
  <c r="BO20" i="3"/>
  <c r="BR5" i="7"/>
  <c r="BO25" i="3"/>
  <c r="BO5" i="7"/>
  <c r="BQ20" i="7"/>
  <c r="BM15" i="7"/>
  <c r="BR20" i="7"/>
  <c r="BK25" i="7"/>
  <c r="BS20" i="3"/>
  <c r="BM20" i="3"/>
  <c r="BS20" i="7"/>
  <c r="BK5" i="7"/>
  <c r="BK10" i="3"/>
  <c r="BQ5" i="7"/>
  <c r="BP10" i="7"/>
  <c r="BM20" i="7"/>
  <c r="BP10" i="3"/>
  <c r="BL5" i="3"/>
  <c r="BO10" i="3"/>
  <c r="BS15" i="7"/>
  <c r="BO15" i="7"/>
  <c r="BL20" i="3"/>
  <c r="BL15" i="3"/>
  <c r="BR25" i="7"/>
  <c r="BR15" i="3"/>
  <c r="BQ10" i="3"/>
  <c r="BR15" i="7"/>
  <c r="BO20" i="7"/>
  <c r="BM10" i="3"/>
  <c r="BK15" i="3"/>
  <c r="BP15" i="3"/>
  <c r="BP25" i="3"/>
  <c r="BM5" i="7"/>
  <c r="BK20" i="7"/>
  <c r="BO10" i="7"/>
  <c r="BL10" i="7"/>
  <c r="BM5" i="3"/>
  <c r="BK25" i="3"/>
  <c r="BR25" i="3"/>
  <c r="BL5" i="7"/>
  <c r="BM15" i="3"/>
  <c r="BL10" i="3"/>
  <c r="BL15" i="7"/>
  <c r="BK10" i="7"/>
  <c r="BP15" i="7"/>
  <c r="BM25" i="7"/>
  <c r="BS10" i="3"/>
  <c r="BR10" i="7"/>
  <c r="BO15" i="3"/>
  <c r="BL20" i="7"/>
  <c r="BM25" i="3"/>
  <c r="BP20" i="7"/>
  <c r="BJ25" i="7"/>
  <c r="BR5" i="3"/>
  <c r="BS5" i="3"/>
  <c r="BQ5" i="3"/>
  <c r="BP5" i="3"/>
  <c r="BO5" i="3"/>
  <c r="BG10" i="3" l="1" a="1"/>
  <c r="BF7" i="5" a="1"/>
  <c r="BF7" i="5" s="1"/>
  <c r="BG5" i="7" a="1"/>
  <c r="BF6" i="5" a="1"/>
  <c r="BF9" i="5" a="1"/>
  <c r="BE9" i="6"/>
  <c r="BG10" i="7" a="1"/>
  <c r="BG10" i="7" s="1"/>
  <c r="BE8" i="6"/>
  <c r="BB8" i="6"/>
  <c r="K8" i="6"/>
  <c r="BC8" i="6"/>
  <c r="BC7" i="5"/>
  <c r="AK30" i="7"/>
  <c r="BF21" i="3"/>
  <c r="BF29" i="3"/>
  <c r="BE5" i="5"/>
  <c r="BF15" i="7"/>
  <c r="BF13" i="7"/>
  <c r="BF19" i="7"/>
  <c r="BF23" i="7"/>
  <c r="BF29" i="7"/>
  <c r="BF17" i="7"/>
  <c r="BF21" i="7"/>
  <c r="BF27" i="7"/>
  <c r="AZ36" i="7"/>
  <c r="C43" i="1" s="1"/>
  <c r="BF11" i="7"/>
  <c r="BF25" i="7"/>
  <c r="BE6" i="6"/>
  <c r="K9" i="6"/>
  <c r="K11" i="6" s="1"/>
  <c r="AZ14" i="5"/>
  <c r="BE8" i="5"/>
  <c r="BD8" i="5"/>
  <c r="BF13" i="3"/>
  <c r="BF17" i="3"/>
  <c r="BF23" i="3"/>
  <c r="J31" i="3"/>
  <c r="AI13" i="7"/>
  <c r="AI21" i="7"/>
  <c r="BF8" i="3"/>
  <c r="BE7" i="6"/>
  <c r="AX16" i="6"/>
  <c r="AY16" i="5"/>
  <c r="C22" i="1" s="1"/>
  <c r="AI11" i="7"/>
  <c r="AI19" i="7"/>
  <c r="AI17" i="7"/>
  <c r="AI25" i="7"/>
  <c r="BF8" i="6"/>
  <c r="BD7" i="6"/>
  <c r="BE7" i="5"/>
  <c r="BE9" i="5"/>
  <c r="AH5" i="5"/>
  <c r="BF6" i="3"/>
  <c r="AJ31" i="3"/>
  <c r="BF11" i="3"/>
  <c r="BF19" i="3"/>
  <c r="BF27" i="3"/>
  <c r="BJ31" i="7"/>
  <c r="D41" i="1" s="1"/>
  <c r="BR31" i="7"/>
  <c r="K41" i="1" s="1"/>
  <c r="BO31" i="7"/>
  <c r="H41" i="1" s="1"/>
  <c r="BS31" i="7"/>
  <c r="L41" i="1" s="1"/>
  <c r="BO32" i="7"/>
  <c r="H42" i="1" s="1"/>
  <c r="BK31" i="7"/>
  <c r="E41" i="1" s="1"/>
  <c r="BP31" i="7"/>
  <c r="I41" i="1" s="1"/>
  <c r="BS32" i="7"/>
  <c r="L42" i="1" s="1"/>
  <c r="BM31" i="7"/>
  <c r="G41" i="1" s="1"/>
  <c r="BL31" i="7"/>
  <c r="F41" i="1" s="1"/>
  <c r="BQ31" i="7"/>
  <c r="J41" i="1" s="1"/>
  <c r="BS31" i="3"/>
  <c r="L10" i="1" s="1"/>
  <c r="BP31" i="3"/>
  <c r="I10" i="1" s="1"/>
  <c r="BL31" i="3"/>
  <c r="F10" i="1" s="1"/>
  <c r="BQ31" i="3"/>
  <c r="J10" i="1" s="1"/>
  <c r="BO31" i="3"/>
  <c r="H10" i="1" s="1"/>
  <c r="BK31" i="3"/>
  <c r="E10" i="1" s="1"/>
  <c r="BM31" i="3"/>
  <c r="G10" i="1" s="1"/>
  <c r="BR31" i="3"/>
  <c r="K10" i="1" s="1"/>
  <c r="BF12" i="3"/>
  <c r="BF14" i="3"/>
  <c r="BF16" i="3"/>
  <c r="BF18" i="3"/>
  <c r="BF24" i="3"/>
  <c r="BF28" i="3"/>
  <c r="BF7" i="3"/>
  <c r="BF9" i="3"/>
  <c r="BF22" i="3"/>
  <c r="BF26" i="3"/>
  <c r="AK30" i="3"/>
  <c r="AI31" i="3"/>
  <c r="AH9" i="6"/>
  <c r="AH11" i="6" s="1"/>
  <c r="AH7" i="6"/>
  <c r="BF6" i="5"/>
  <c r="AH30" i="7"/>
  <c r="J31" i="7"/>
  <c r="AJ31" i="7"/>
  <c r="L31" i="7"/>
  <c r="AK31" i="7"/>
  <c r="AJ32" i="7"/>
  <c r="AH31" i="7"/>
  <c r="AK31" i="3"/>
  <c r="AH31" i="3"/>
  <c r="AI32" i="3"/>
  <c r="AH32" i="3"/>
  <c r="AJ32" i="3"/>
  <c r="AI12" i="6"/>
  <c r="BC6" i="6"/>
  <c r="L12" i="6"/>
  <c r="BC7" i="6"/>
  <c r="AJ12" i="6"/>
  <c r="BB6" i="6"/>
  <c r="BC8" i="5"/>
  <c r="BB9" i="5"/>
  <c r="BC6" i="5"/>
  <c r="BB7" i="5"/>
  <c r="AJ12" i="5"/>
  <c r="AG12" i="5"/>
  <c r="L12" i="5"/>
  <c r="AI12" i="5"/>
  <c r="BB5" i="5"/>
  <c r="AZ16" i="6"/>
  <c r="M12" i="6"/>
  <c r="BD5" i="6"/>
  <c r="K6" i="6"/>
  <c r="K10" i="6" s="1"/>
  <c r="BF6" i="6"/>
  <c r="BC11" i="6"/>
  <c r="D30" i="1" s="1"/>
  <c r="BC9" i="6"/>
  <c r="AW14" i="6"/>
  <c r="AW16" i="6"/>
  <c r="C32" i="1" s="1"/>
  <c r="BB7" i="6"/>
  <c r="BF7" i="6"/>
  <c r="AZ14" i="6"/>
  <c r="BD9" i="6"/>
  <c r="AX14" i="6"/>
  <c r="BC5" i="6"/>
  <c r="BF9" i="6"/>
  <c r="BF11" i="6" s="1"/>
  <c r="AY14" i="6"/>
  <c r="AY16" i="6"/>
  <c r="C33" i="1" s="1"/>
  <c r="AX16" i="5"/>
  <c r="AY14" i="5"/>
  <c r="BD11" i="5"/>
  <c r="E19" i="1" s="1"/>
  <c r="J12" i="5"/>
  <c r="BF5" i="5"/>
  <c r="AW14" i="5"/>
  <c r="AZ16" i="5"/>
  <c r="M12" i="5"/>
  <c r="BE6" i="5"/>
  <c r="BF9" i="5"/>
  <c r="BF11" i="5" s="1"/>
  <c r="AX14" i="5"/>
  <c r="AW16" i="5"/>
  <c r="C21" i="1" s="1"/>
  <c r="M31" i="7"/>
  <c r="BA34" i="7"/>
  <c r="BA36" i="7"/>
  <c r="AZ34" i="7"/>
  <c r="L32" i="7"/>
  <c r="BG5" i="7"/>
  <c r="BB34" i="7"/>
  <c r="BB36" i="7"/>
  <c r="C44" i="1" s="1"/>
  <c r="M30" i="7"/>
  <c r="BF5" i="7"/>
  <c r="BF12" i="7"/>
  <c r="BF14" i="7"/>
  <c r="BF16" i="7"/>
  <c r="BF18" i="7"/>
  <c r="BF20" i="7"/>
  <c r="BF22" i="7"/>
  <c r="BF24" i="7"/>
  <c r="BF26" i="7"/>
  <c r="BF28" i="7"/>
  <c r="BC34" i="7"/>
  <c r="BC36" i="7"/>
  <c r="M30" i="3"/>
  <c r="BK32" i="3"/>
  <c r="E11" i="1" s="1"/>
  <c r="BP30" i="3"/>
  <c r="I9" i="1" s="1"/>
  <c r="L31" i="3"/>
  <c r="BM32" i="3"/>
  <c r="G11" i="1" s="1"/>
  <c r="BR32" i="3"/>
  <c r="K11" i="1" s="1"/>
  <c r="BB36" i="3"/>
  <c r="C13" i="1" s="1"/>
  <c r="AZ34" i="3"/>
  <c r="BC36" i="3"/>
  <c r="J32" i="3"/>
  <c r="BG10" i="3"/>
  <c r="M31" i="3"/>
  <c r="BA34" i="3"/>
  <c r="AZ36" i="3"/>
  <c r="C12" i="1" s="1"/>
  <c r="L30" i="3"/>
  <c r="BG5" i="3"/>
  <c r="BB34" i="3"/>
  <c r="BA36" i="3"/>
  <c r="BL32" i="3"/>
  <c r="F11" i="1" s="1"/>
  <c r="BQ32" i="3"/>
  <c r="J11" i="1" s="1"/>
  <c r="BM32" i="7"/>
  <c r="G42" i="1" s="1"/>
  <c r="BR32" i="7"/>
  <c r="K42" i="1" s="1"/>
  <c r="BO30" i="3"/>
  <c r="H9" i="1" s="1"/>
  <c r="BS30" i="3"/>
  <c r="L9" i="1" s="1"/>
  <c r="BK30" i="7"/>
  <c r="E40" i="1" s="1"/>
  <c r="BP30" i="7"/>
  <c r="I40" i="1" s="1"/>
  <c r="BC11" i="5"/>
  <c r="C19" i="1" s="1"/>
  <c r="J30" i="3"/>
  <c r="AH30" i="3"/>
  <c r="BL30" i="3"/>
  <c r="F9" i="1" s="1"/>
  <c r="BQ30" i="3"/>
  <c r="J9" i="1" s="1"/>
  <c r="L32" i="3"/>
  <c r="AK32" i="3"/>
  <c r="BS32" i="3"/>
  <c r="L11" i="1" s="1"/>
  <c r="BD5" i="5"/>
  <c r="BC5" i="5"/>
  <c r="AH8" i="5"/>
  <c r="BF8" i="5" a="1"/>
  <c r="BF8" i="5" s="1"/>
  <c r="AI10" i="5"/>
  <c r="BD6" i="6"/>
  <c r="BB11" i="6"/>
  <c r="C30" i="1" s="1"/>
  <c r="K5" i="7"/>
  <c r="BL30" i="7"/>
  <c r="F40" i="1" s="1"/>
  <c r="BL32" i="7"/>
  <c r="F42" i="1" s="1"/>
  <c r="BQ30" i="7"/>
  <c r="J40" i="1" s="1"/>
  <c r="BQ32" i="7"/>
  <c r="J42" i="1" s="1"/>
  <c r="BF7" i="7"/>
  <c r="BF9" i="7"/>
  <c r="BG15" i="3" a="1"/>
  <c r="BG15" i="3" s="1"/>
  <c r="BG20" i="3" a="1"/>
  <c r="BG20" i="3" s="1"/>
  <c r="BG25" i="3" a="1"/>
  <c r="BG25" i="3" s="1"/>
  <c r="BG31" i="3" s="1"/>
  <c r="AI30" i="3"/>
  <c r="BM30" i="3"/>
  <c r="G9" i="1" s="1"/>
  <c r="BR30" i="3"/>
  <c r="K9" i="1" s="1"/>
  <c r="M32" i="3"/>
  <c r="BO32" i="3"/>
  <c r="H11" i="1" s="1"/>
  <c r="BD6" i="5"/>
  <c r="BD7" i="5"/>
  <c r="AJ10" i="5"/>
  <c r="J30" i="7"/>
  <c r="J32" i="7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AJ30" i="3"/>
  <c r="BP32" i="3"/>
  <c r="I11" i="1" s="1"/>
  <c r="K12" i="5"/>
  <c r="K10" i="5"/>
  <c r="BB6" i="5"/>
  <c r="BD9" i="5"/>
  <c r="BC9" i="5"/>
  <c r="L10" i="5"/>
  <c r="J12" i="6"/>
  <c r="J10" i="6"/>
  <c r="AG12" i="6"/>
  <c r="AG10" i="6"/>
  <c r="BB5" i="6"/>
  <c r="BF5" i="6" a="1"/>
  <c r="BF5" i="6" s="1"/>
  <c r="BE5" i="6"/>
  <c r="BF6" i="7"/>
  <c r="BF8" i="7"/>
  <c r="BF10" i="7"/>
  <c r="BF5" i="3"/>
  <c r="BF10" i="3"/>
  <c r="BF15" i="3"/>
  <c r="BF20" i="3"/>
  <c r="BF25" i="3"/>
  <c r="BK30" i="3"/>
  <c r="E9" i="1" s="1"/>
  <c r="BB8" i="5"/>
  <c r="BB11" i="5"/>
  <c r="D19" i="1" s="1"/>
  <c r="M10" i="5"/>
  <c r="BD8" i="6"/>
  <c r="BD11" i="6"/>
  <c r="E30" i="1" s="1"/>
  <c r="K10" i="7"/>
  <c r="BG15" i="7" a="1"/>
  <c r="BG15" i="7" s="1"/>
  <c r="BG20" i="7" a="1"/>
  <c r="BG20" i="7" s="1"/>
  <c r="BG25" i="7" a="1"/>
  <c r="BG25" i="7" s="1"/>
  <c r="BG31" i="7" s="1"/>
  <c r="AI26" i="7"/>
  <c r="AI27" i="7"/>
  <c r="AI28" i="7"/>
  <c r="AI29" i="7"/>
  <c r="BM30" i="7"/>
  <c r="G40" i="1" s="1"/>
  <c r="BR30" i="7"/>
  <c r="K40" i="1" s="1"/>
  <c r="M32" i="7"/>
  <c r="AK32" i="7"/>
  <c r="BK32" i="7"/>
  <c r="E42" i="1" s="1"/>
  <c r="BP32" i="7"/>
  <c r="I42" i="1" s="1"/>
  <c r="J10" i="5"/>
  <c r="AG10" i="5"/>
  <c r="BB9" i="6"/>
  <c r="L10" i="6"/>
  <c r="AI10" i="6"/>
  <c r="K15" i="7"/>
  <c r="K20" i="7"/>
  <c r="K25" i="7"/>
  <c r="K31" i="7" s="1"/>
  <c r="L30" i="7"/>
  <c r="AJ30" i="7"/>
  <c r="BO30" i="7"/>
  <c r="H40" i="1" s="1"/>
  <c r="BS30" i="7"/>
  <c r="L40" i="1" s="1"/>
  <c r="AH32" i="7"/>
  <c r="M10" i="6"/>
  <c r="AJ10" i="6"/>
  <c r="BJ15" i="3"/>
  <c r="BI25" i="3"/>
  <c r="BI10" i="3"/>
  <c r="BJ20" i="3"/>
  <c r="BJ10" i="3"/>
  <c r="BJ20" i="7"/>
  <c r="BJ10" i="7"/>
  <c r="BI5" i="3"/>
  <c r="BJ5" i="3"/>
  <c r="BI5" i="7"/>
  <c r="BI10" i="7"/>
  <c r="BI20" i="7"/>
  <c r="BI25" i="7"/>
  <c r="BI15" i="7"/>
  <c r="BJ25" i="3"/>
  <c r="BI15" i="3"/>
  <c r="BI20" i="3"/>
  <c r="BJ5" i="7"/>
  <c r="BJ15" i="7"/>
  <c r="AH10" i="5" l="1"/>
  <c r="AH12" i="6"/>
  <c r="BF12" i="5"/>
  <c r="BJ31" i="3"/>
  <c r="D10" i="1" s="1"/>
  <c r="AI30" i="7"/>
  <c r="BD12" i="6"/>
  <c r="E31" i="1" s="1"/>
  <c r="BG32" i="7"/>
  <c r="BG30" i="7"/>
  <c r="AH10" i="6"/>
  <c r="BI31" i="7"/>
  <c r="C41" i="1" s="1"/>
  <c r="BI31" i="3"/>
  <c r="C10" i="1" s="1"/>
  <c r="BJ32" i="3"/>
  <c r="D11" i="1" s="1"/>
  <c r="BJ30" i="3"/>
  <c r="D9" i="1" s="1"/>
  <c r="BG32" i="3"/>
  <c r="BD12" i="5"/>
  <c r="E20" i="1" s="1"/>
  <c r="BF10" i="5"/>
  <c r="AI32" i="7"/>
  <c r="BC12" i="6"/>
  <c r="D31" i="1" s="1"/>
  <c r="K12" i="6"/>
  <c r="BC12" i="5"/>
  <c r="C20" i="1" s="1"/>
  <c r="AH12" i="5"/>
  <c r="BB12" i="5"/>
  <c r="D20" i="1" s="1"/>
  <c r="BC10" i="6"/>
  <c r="D29" i="1" s="1"/>
  <c r="BG30" i="3"/>
  <c r="AI31" i="7"/>
  <c r="K31" i="3"/>
  <c r="K32" i="3"/>
  <c r="K30" i="3"/>
  <c r="BB10" i="6"/>
  <c r="C29" i="1" s="1"/>
  <c r="BD10" i="5"/>
  <c r="E18" i="1" s="1"/>
  <c r="K32" i="7"/>
  <c r="K30" i="7"/>
  <c r="BB12" i="6"/>
  <c r="C31" i="1" s="1"/>
  <c r="BI32" i="7"/>
  <c r="C42" i="1" s="1"/>
  <c r="BI30" i="7"/>
  <c r="C40" i="1" s="1"/>
  <c r="BD10" i="6"/>
  <c r="E29" i="1" s="1"/>
  <c r="BB10" i="5"/>
  <c r="D18" i="1" s="1"/>
  <c r="BF12" i="6"/>
  <c r="BF10" i="6"/>
  <c r="BI32" i="3"/>
  <c r="C11" i="1" s="1"/>
  <c r="BI30" i="3"/>
  <c r="C9" i="1" s="1"/>
  <c r="BJ32" i="7"/>
  <c r="D42" i="1" s="1"/>
  <c r="BJ30" i="7"/>
  <c r="D40" i="1" s="1"/>
  <c r="BC10" i="5"/>
  <c r="C18" i="1" s="1"/>
</calcChain>
</file>

<file path=xl/sharedStrings.xml><?xml version="1.0" encoding="utf-8"?>
<sst xmlns="http://schemas.openxmlformats.org/spreadsheetml/2006/main" count="1410" uniqueCount="554">
  <si>
    <t>Reference:</t>
  </si>
  <si>
    <t>Tested:</t>
  </si>
  <si>
    <t>reference</t>
  </si>
  <si>
    <t>tested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</si>
  <si>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</si>
  <si>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</si>
  <si>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</si>
  <si>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</si>
  <si>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</si>
  <si>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</si>
  <si>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</si>
  <si>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</si>
  <si>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</si>
  <si>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</si>
  <si>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</si>
  <si>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</si>
  <si>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</si>
  <si>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</si>
  <si>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</si>
  <si>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</si>
  <si>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</si>
  <si>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</si>
  <si>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</si>
  <si>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</si>
  <si>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</si>
  <si>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</si>
  <si>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</si>
  <si>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</si>
  <si>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</si>
  <si>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</si>
  <si>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</si>
  <si>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</si>
  <si>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</si>
  <si>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</si>
  <si>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</si>
  <si>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</si>
  <si>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</si>
  <si>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</si>
  <si>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</si>
  <si>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</si>
  <si>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</si>
  <si>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</si>
  <si>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</si>
  <si>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</si>
  <si>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</si>
  <si>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</si>
  <si>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</si>
  <si>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</si>
  <si>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</si>
  <si>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</si>
  <si>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</si>
  <si>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</si>
  <si>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</si>
  <si>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</si>
  <si>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</si>
  <si>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</si>
  <si>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</si>
  <si>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</si>
  <si>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</si>
  <si>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</si>
  <si>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</si>
  <si>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</si>
  <si>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</si>
  <si>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</si>
  <si>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</si>
  <si>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</si>
  <si>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</si>
  <si>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</si>
  <si>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</si>
  <si>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</si>
  <si>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</si>
  <si>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</si>
  <si>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</si>
  <si>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</si>
  <si>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</si>
  <si>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</si>
  <si>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</si>
  <si>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</si>
  <si>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</si>
  <si>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</si>
  <si>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</si>
  <si>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</si>
  <si>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</si>
  <si>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</si>
  <si>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</si>
  <si>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</si>
  <si>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</si>
  <si>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</si>
  <si>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</si>
  <si>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</si>
  <si>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</si>
  <si>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</si>
  <si>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</si>
  <si>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</si>
  <si>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</si>
  <si>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</si>
  <si>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</si>
  <si>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</si>
  <si>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</si>
  <si>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</si>
  <si>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</si>
  <si>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</si>
  <si>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</si>
  <si>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</si>
  <si>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</si>
  <si>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</si>
  <si>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</si>
  <si>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</si>
  <si>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</si>
  <si>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</si>
  <si>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</si>
  <si>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</si>
  <si>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</si>
  <si>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</si>
  <si>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</si>
  <si>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</si>
  <si>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</si>
  <si>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</si>
  <si>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</si>
  <si>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</si>
  <si>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</si>
  <si>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</si>
  <si>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</si>
  <si>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</si>
  <si>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</si>
  <si>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</si>
  <si>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</si>
  <si>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</si>
  <si>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</si>
  <si>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</si>
  <si>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</si>
  <si>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</si>
  <si>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</si>
  <si>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</si>
  <si>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</si>
  <si>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</si>
  <si>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</si>
  <si>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</si>
  <si>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</si>
  <si>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</si>
  <si>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</si>
  <si>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</si>
  <si>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</si>
  <si>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</si>
  <si>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</si>
  <si>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</si>
  <si>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</si>
  <si>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</si>
  <si>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</si>
  <si>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</si>
  <si>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</si>
  <si>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</si>
  <si>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</si>
  <si>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</si>
  <si>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</si>
  <si>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</si>
  <si>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</si>
  <si>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</si>
  <si>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</si>
  <si>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</si>
  <si>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</si>
  <si>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</si>
  <si>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</si>
  <si>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</si>
  <si>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</si>
  <si>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</si>
  <si>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</si>
  <si>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</si>
  <si>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</si>
  <si>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</si>
  <si>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</si>
  <si>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</si>
  <si>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</si>
  <si>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</si>
  <si>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</si>
  <si>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</si>
  <si>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</si>
  <si>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</si>
  <si>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</si>
  <si>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</si>
  <si>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</si>
  <si>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</si>
  <si>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</si>
  <si>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</si>
  <si>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</si>
  <si>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</si>
  <si>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</si>
  <si>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</si>
  <si>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</si>
  <si>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</si>
  <si>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</si>
  <si>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</si>
  <si>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</si>
  <si>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</si>
  <si>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</si>
  <si>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</si>
  <si>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</si>
  <si>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</si>
  <si>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</si>
  <si>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</si>
  <si>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</si>
  <si>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</si>
  <si>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</si>
  <si>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</si>
  <si>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</si>
  <si>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</si>
  <si>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</si>
  <si>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</si>
  <si>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</si>
  <si>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</si>
  <si>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</si>
  <si>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</si>
  <si>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</si>
  <si>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</si>
  <si>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</si>
  <si>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</si>
  <si>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</si>
  <si>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</si>
  <si>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</si>
  <si>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</si>
  <si>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</si>
  <si>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</si>
  <si>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</si>
  <si>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</si>
  <si>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</si>
  <si>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</si>
  <si>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</si>
  <si>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</si>
  <si>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</si>
  <si>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</si>
  <si>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</si>
  <si>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</si>
  <si>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</si>
  <si>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</si>
  <si>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</si>
  <si>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</si>
  <si>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</si>
  <si>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</si>
  <si>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</si>
  <si>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</si>
  <si>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</si>
  <si>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</si>
  <si>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</si>
  <si>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</si>
  <si>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</si>
  <si>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</si>
  <si>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</si>
  <si>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</si>
  <si>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</si>
  <si>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</si>
  <si>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</si>
  <si>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</si>
  <si>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</si>
  <si>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</si>
  <si>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</si>
  <si>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</si>
  <si>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</si>
  <si>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</si>
  <si>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</si>
  <si>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</si>
  <si>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</si>
  <si>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</si>
  <si>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</si>
  <si>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</si>
  <si>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</si>
  <si>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</si>
  <si>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</si>
  <si>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</si>
  <si>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</si>
  <si>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</si>
  <si>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</si>
  <si>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</si>
  <si>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</si>
  <si>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</si>
  <si>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</si>
  <si>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</si>
  <si>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</si>
  <si>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</si>
  <si>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</si>
  <si>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</si>
  <si>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</si>
  <si>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</si>
  <si>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</si>
  <si>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</si>
  <si>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</si>
  <si>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</si>
  <si>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</si>
  <si>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</si>
  <si>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</si>
  <si>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</si>
  <si>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</si>
  <si>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</si>
  <si>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</si>
  <si>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</si>
  <si>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</si>
  <si>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</si>
  <si>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</si>
  <si>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</si>
  <si>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</si>
  <si>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</si>
  <si>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</si>
  <si>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</si>
  <si>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</si>
  <si>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</si>
  <si>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</si>
  <si>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</si>
  <si>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</si>
  <si>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</si>
  <si>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</si>
  <si>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</si>
  <si>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</si>
  <si>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</si>
  <si>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</si>
  <si>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</si>
  <si>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</si>
  <si>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</si>
  <si>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</si>
  <si>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</si>
  <si>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</si>
  <si>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</si>
  <si>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</si>
  <si>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</si>
  <si>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</si>
  <si>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</si>
  <si>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</si>
  <si>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</si>
  <si>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</si>
  <si>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</si>
  <si>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</si>
  <si>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</si>
  <si>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</si>
  <si>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</si>
  <si>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</si>
  <si>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</si>
  <si>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</si>
  <si>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</si>
  <si>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</si>
  <si>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</si>
  <si>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</si>
  <si>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</si>
  <si>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</si>
  <si>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</si>
  <si>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</si>
  <si>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</si>
  <si>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</si>
  <si>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</si>
  <si>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</si>
  <si>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</si>
  <si>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</si>
  <si>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</si>
  <si>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</si>
  <si>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</si>
  <si>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</si>
  <si>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</si>
  <si>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</si>
  <si>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</si>
  <si>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</si>
  <si>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</si>
  <si>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</si>
  <si>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</si>
  <si>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</si>
  <si>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</si>
  <si>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</si>
  <si>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</si>
  <si>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</si>
  <si>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</si>
  <si>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</si>
  <si>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</si>
  <si>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</si>
  <si>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</si>
  <si>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</si>
  <si>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</si>
  <si>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</si>
  <si>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</si>
  <si>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</si>
  <si>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</si>
  <si>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</si>
  <si>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</si>
  <si>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</si>
  <si>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</si>
  <si>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</si>
  <si>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</si>
  <si>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</si>
  <si>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</si>
  <si>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</si>
  <si>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</si>
  <si>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</si>
  <si>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</si>
  <si>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</si>
  <si>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</si>
  <si>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</si>
  <si>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</si>
  <si>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</si>
  <si>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</si>
  <si>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</si>
  <si>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</si>
  <si>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</si>
  <si>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</si>
  <si>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</si>
  <si>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</si>
  <si>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</si>
  <si>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</si>
  <si>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</si>
  <si>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</si>
  <si>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</si>
  <si>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</si>
  <si>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</si>
  <si>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</si>
  <si>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</si>
  <si>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</si>
  <si>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</si>
  <si>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</si>
  <si>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</si>
  <si>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</si>
  <si>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</si>
  <si>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</si>
  <si>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</si>
  <si>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</si>
  <si>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</si>
  <si>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</si>
  <si>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</si>
  <si>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</si>
  <si>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</si>
  <si>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</si>
  <si>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</si>
  <si>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</si>
  <si>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</si>
  <si>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</si>
  <si>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</si>
  <si>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</si>
  <si>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</si>
  <si>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</si>
  <si>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</si>
  <si>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</si>
  <si>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</si>
  <si>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</si>
  <si>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</si>
  <si>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</si>
  <si>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</si>
  <si>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</si>
  <si>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</si>
  <si>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</si>
  <si>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</si>
  <si>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</si>
  <si>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</si>
  <si>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</si>
  <si>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</si>
  <si>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</si>
  <si>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</si>
  <si>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</si>
  <si>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</si>
  <si>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</si>
  <si>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</si>
  <si>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</si>
  <si>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</si>
  <si>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</si>
  <si>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</si>
  <si>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</si>
  <si>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</si>
  <si>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</si>
  <si>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</si>
  <si>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</si>
  <si>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</si>
  <si>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</si>
  <si>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</si>
  <si>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</si>
  <si>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</si>
  <si>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</si>
  <si>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</si>
  <si>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</si>
  <si>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</si>
  <si>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</si>
  <si>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</si>
  <si>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</si>
  <si>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</si>
  <si>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</si>
  <si>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</si>
  <si>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</si>
  <si>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</si>
  <si>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</si>
  <si>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</si>
  <si>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</si>
  <si>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</si>
  <si>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</si>
  <si>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</si>
  <si>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</si>
  <si>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</si>
  <si>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</si>
  <si>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</si>
  <si>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</si>
  <si>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</si>
  <si>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</si>
  <si>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</si>
  <si>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</si>
  <si>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</si>
  <si>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</si>
  <si>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</si>
  <si>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</si>
  <si>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</si>
  <si>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</si>
  <si>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</si>
  <si>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</si>
  <si>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</si>
  <si>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</si>
  <si>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</si>
  <si>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</si>
  <si>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</si>
  <si>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</si>
  <si>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</si>
  <si>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</si>
  <si>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</si>
  <si>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</si>
  <si>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</si>
  <si>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</si>
  <si>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</si>
  <si>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</si>
  <si>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</si>
  <si>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</si>
  <si>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</si>
  <si>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</si>
  <si>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</si>
  <si>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</si>
  <si>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</si>
  <si>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</si>
  <si>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</si>
  <si>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</si>
  <si>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</si>
  <si>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</si>
  <si>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</si>
  <si>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</si>
  <si>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</si>
  <si>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</si>
  <si>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</si>
  <si>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</si>
  <si>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</si>
  <si>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</si>
  <si>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</si>
  <si>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</si>
  <si>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</si>
  <si>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</si>
  <si>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</si>
  <si>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</si>
  <si>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</si>
  <si>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</si>
  <si>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</si>
  <si>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</si>
  <si>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</si>
  <si>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</si>
  <si>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</si>
  <si>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Diff</t>
  </si>
  <si>
    <t>inf</t>
  </si>
  <si>
    <t>RC8.0</t>
  </si>
  <si>
    <t>RC10.0</t>
  </si>
  <si>
    <t>RC10.1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</si>
</sst>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[&gt;1000]0;[&gt;100]0.0;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</cellXfs>
  <cellStyles count="1">
    <cellStyle name="Normal" xfId="0" builtinId="0"/>
  </cellStyles>
  <dxfs count="10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RC10.0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9.661044126900846E-2</c:v>
                </c:pt>
                <c:pt idx="1">
                  <c:v>0.14940350318079695</c:v>
                </c:pt>
                <c:pt idx="2">
                  <c:v>0.24418830042419304</c:v>
                </c:pt>
                <c:pt idx="3">
                  <c:v>0.42442426179004683</c:v>
                </c:pt>
                <c:pt idx="4">
                  <c:v>0.7690550293316375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66.371644000000003</c:v>
                </c:pt>
                <c:pt idx="1">
                  <c:v>68.215000000000003</c:v>
                </c:pt>
                <c:pt idx="2">
                  <c:v>69.662350000000004</c:v>
                </c:pt>
                <c:pt idx="3">
                  <c:v>70.744480999999993</c:v>
                </c:pt>
                <c:pt idx="4">
                  <c:v>72.154668999999998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0A-4E9C-8D2A-F3CCB41420FC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RC10.1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9.6768106155896524E-2</c:v>
                </c:pt>
                <c:pt idx="1">
                  <c:v>0.14956116806768502</c:v>
                </c:pt>
                <c:pt idx="2">
                  <c:v>0.2443459653110811</c:v>
                </c:pt>
                <c:pt idx="3">
                  <c:v>0.4245819266769349</c:v>
                </c:pt>
                <c:pt idx="4">
                  <c:v>0.76921365558978705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66.371644000000003</c:v>
                </c:pt>
                <c:pt idx="1">
                  <c:v>68.215000000000003</c:v>
                </c:pt>
                <c:pt idx="2">
                  <c:v>69.662350000000004</c:v>
                </c:pt>
                <c:pt idx="3">
                  <c:v>70.744480999999993</c:v>
                </c:pt>
                <c:pt idx="4">
                  <c:v>72.154668999999998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0A-4E9C-8D2A-F3CCB414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RC10.0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9.661044126900846E-2</c:v>
                </c:pt>
                <c:pt idx="1">
                  <c:v>0.14940350318079695</c:v>
                </c:pt>
                <c:pt idx="2">
                  <c:v>0.24418830042419304</c:v>
                </c:pt>
                <c:pt idx="3">
                  <c:v>0.42442426179004683</c:v>
                </c:pt>
                <c:pt idx="4">
                  <c:v>0.7690550293316375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68.420603</c:v>
                </c:pt>
                <c:pt idx="1">
                  <c:v>70.375452999999993</c:v>
                </c:pt>
                <c:pt idx="2">
                  <c:v>72.048124999999999</c:v>
                </c:pt>
                <c:pt idx="3">
                  <c:v>73.282552999999993</c:v>
                </c:pt>
                <c:pt idx="4">
                  <c:v>75.331331000000006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CF-4903-9C37-D411CCEB7BDA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RC10.1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9.6768106155896524E-2</c:v>
                </c:pt>
                <c:pt idx="1">
                  <c:v>0.14956116806768502</c:v>
                </c:pt>
                <c:pt idx="2">
                  <c:v>0.2443459653110811</c:v>
                </c:pt>
                <c:pt idx="3">
                  <c:v>0.4245819266769349</c:v>
                </c:pt>
                <c:pt idx="4">
                  <c:v>0.76921365558978705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68.420603</c:v>
                </c:pt>
                <c:pt idx="1">
                  <c:v>70.375452999999993</c:v>
                </c:pt>
                <c:pt idx="2">
                  <c:v>72.048124999999999</c:v>
                </c:pt>
                <c:pt idx="3">
                  <c:v>73.282552999999993</c:v>
                </c:pt>
                <c:pt idx="4">
                  <c:v>75.331331000000006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CF-4903-9C37-D411CCEB7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RC10.0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9.661044126900846E-2</c:v>
                </c:pt>
                <c:pt idx="1">
                  <c:v>0.14940350318079695</c:v>
                </c:pt>
                <c:pt idx="2">
                  <c:v>0.24418830042419304</c:v>
                </c:pt>
                <c:pt idx="3">
                  <c:v>0.42442426179004683</c:v>
                </c:pt>
                <c:pt idx="4">
                  <c:v>0.7690550293316375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32.184649999999998</c:v>
                </c:pt>
                <c:pt idx="1">
                  <c:v>34.464137999999998</c:v>
                </c:pt>
                <c:pt idx="2">
                  <c:v>36.995455999999997</c:v>
                </c:pt>
                <c:pt idx="3">
                  <c:v>39.626049999999999</c:v>
                </c:pt>
                <c:pt idx="4">
                  <c:v>42.078766000000002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8B-40DB-BAE9-63E188F7BDEE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RC10.1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9.6768106155896524E-2</c:v>
                </c:pt>
                <c:pt idx="1">
                  <c:v>0.14956116806768502</c:v>
                </c:pt>
                <c:pt idx="2">
                  <c:v>0.2443459653110811</c:v>
                </c:pt>
                <c:pt idx="3">
                  <c:v>0.4245819266769349</c:v>
                </c:pt>
                <c:pt idx="4">
                  <c:v>0.76921365558978705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32.184649999999998</c:v>
                </c:pt>
                <c:pt idx="1">
                  <c:v>34.464137999999998</c:v>
                </c:pt>
                <c:pt idx="2">
                  <c:v>36.995455999999997</c:v>
                </c:pt>
                <c:pt idx="3">
                  <c:v>39.626049999999999</c:v>
                </c:pt>
                <c:pt idx="4">
                  <c:v>42.078766000000002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8B-40DB-BAE9-63E188F7B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RC10.0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9.661044126900846E-2</c:v>
                </c:pt>
                <c:pt idx="1">
                  <c:v>0.14940350318079695</c:v>
                </c:pt>
                <c:pt idx="2">
                  <c:v>0.24418830042419304</c:v>
                </c:pt>
                <c:pt idx="3">
                  <c:v>0.42442426179004683</c:v>
                </c:pt>
                <c:pt idx="4">
                  <c:v>0.7690550293316375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44.177241000000002</c:v>
                </c:pt>
                <c:pt idx="1">
                  <c:v>45.467291000000003</c:v>
                </c:pt>
                <c:pt idx="2">
                  <c:v>46.536053000000003</c:v>
                </c:pt>
                <c:pt idx="3">
                  <c:v>47.861049999999999</c:v>
                </c:pt>
                <c:pt idx="4">
                  <c:v>49.430463000000003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3-4189-B622-871A1E3A6D5F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RC10.1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9.6768106155896524E-2</c:v>
                </c:pt>
                <c:pt idx="1">
                  <c:v>0.14956116806768502</c:v>
                </c:pt>
                <c:pt idx="2">
                  <c:v>0.2443459653110811</c:v>
                </c:pt>
                <c:pt idx="3">
                  <c:v>0.4245819266769349</c:v>
                </c:pt>
                <c:pt idx="4">
                  <c:v>0.76921365558978705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44.177241000000002</c:v>
                </c:pt>
                <c:pt idx="1">
                  <c:v>45.467291000000003</c:v>
                </c:pt>
                <c:pt idx="2">
                  <c:v>46.536053000000003</c:v>
                </c:pt>
                <c:pt idx="3">
                  <c:v>47.861049999999999</c:v>
                </c:pt>
                <c:pt idx="4">
                  <c:v>49.430463000000003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3-4189-B622-871A1E3A6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RC10.0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9.661044126900846E-2</c:v>
                </c:pt>
                <c:pt idx="1">
                  <c:v>0.14940350318079695</c:v>
                </c:pt>
                <c:pt idx="2">
                  <c:v>0.24418830042419304</c:v>
                </c:pt>
                <c:pt idx="3">
                  <c:v>0.42442426179004683</c:v>
                </c:pt>
                <c:pt idx="4">
                  <c:v>0.7690550293316375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43.846359</c:v>
                </c:pt>
                <c:pt idx="1">
                  <c:v>45.275644</c:v>
                </c:pt>
                <c:pt idx="2">
                  <c:v>46.490108999999997</c:v>
                </c:pt>
                <c:pt idx="3">
                  <c:v>47.983438</c:v>
                </c:pt>
                <c:pt idx="4">
                  <c:v>49.625230999999999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92-4E32-A536-24C5B0680239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RC10.1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9.6768106155896524E-2</c:v>
                </c:pt>
                <c:pt idx="1">
                  <c:v>0.14956116806768502</c:v>
                </c:pt>
                <c:pt idx="2">
                  <c:v>0.2443459653110811</c:v>
                </c:pt>
                <c:pt idx="3">
                  <c:v>0.4245819266769349</c:v>
                </c:pt>
                <c:pt idx="4">
                  <c:v>0.76921365558978705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43.846359</c:v>
                </c:pt>
                <c:pt idx="1">
                  <c:v>45.275644</c:v>
                </c:pt>
                <c:pt idx="2">
                  <c:v>46.490108999999997</c:v>
                </c:pt>
                <c:pt idx="3">
                  <c:v>47.983438</c:v>
                </c:pt>
                <c:pt idx="4">
                  <c:v>49.625230999999999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92-4E32-A536-24C5B0680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RC10.0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9.661044126900846E-2</c:v>
                </c:pt>
                <c:pt idx="1">
                  <c:v>0.14940350318079695</c:v>
                </c:pt>
                <c:pt idx="2">
                  <c:v>0.24418830042419304</c:v>
                </c:pt>
                <c:pt idx="3">
                  <c:v>0.42442426179004683</c:v>
                </c:pt>
                <c:pt idx="4">
                  <c:v>0.7690550293316375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8B-4A00-95A9-E37EA0CAEBFA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RC10.1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9.6768106155896524E-2</c:v>
                </c:pt>
                <c:pt idx="1">
                  <c:v>0.14956116806768502</c:v>
                </c:pt>
                <c:pt idx="2">
                  <c:v>0.2443459653110811</c:v>
                </c:pt>
                <c:pt idx="3">
                  <c:v>0.4245819266769349</c:v>
                </c:pt>
                <c:pt idx="4">
                  <c:v>0.76921365558978705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8B-4A00-95A9-E37EA0CAE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L44"/>
  <sheetViews>
    <sheetView workbookViewId="0"/>
  </sheetViews>
  <sheetFormatPr baseColWidth="10" defaultColWidth="8.83203125" defaultRowHeight="15" x14ac:dyDescent="0.2"/>
  <cols>
    <col min="2" max="2" width="16.6640625" customWidth="1"/>
    <col min="3" max="12" width="24.6640625" customWidth="1"/>
  </cols>
  <sheetData>
    <row r="1" spans="2:12" x14ac:dyDescent="0.2">
      <c r="B1" t="s">
        <v>0</v>
      </c>
      <c r="C1" s="58" t="s">
        <v>2</v>
      </c>
      <c r="D1" s="58"/>
      <c r="E1" s="58"/>
    </row>
    <row r="2" spans="2:12" x14ac:dyDescent="0.2">
      <c r="B2" t="s">
        <v>1</v>
      </c>
      <c r="C2" s="59" t="s">
        <v>3</v>
      </c>
      <c r="D2" s="59"/>
      <c r="E2" s="59"/>
    </row>
    <row r="4" spans="2:12" s="1" customFormat="1" x14ac:dyDescent="0.2">
      <c r="B4" s="1" t="s">
        <v>296</v>
      </c>
    </row>
    <row r="6" spans="2:12" x14ac:dyDescent="0.2">
      <c r="B6" s="60" t="s">
        <v>297</v>
      </c>
      <c r="C6" s="61" t="s">
        <v>298</v>
      </c>
      <c r="D6" s="61"/>
      <c r="E6" s="61"/>
      <c r="F6" s="61"/>
      <c r="G6" s="61"/>
      <c r="H6" s="61"/>
      <c r="I6" s="61"/>
      <c r="J6" s="61"/>
      <c r="K6" s="61"/>
      <c r="L6" s="61"/>
    </row>
    <row r="7" spans="2:12" x14ac:dyDescent="0.2">
      <c r="B7" s="60"/>
      <c r="C7" s="62" t="s">
        <v>237</v>
      </c>
      <c r="D7" s="62"/>
      <c r="E7" s="63" t="s">
        <v>242</v>
      </c>
      <c r="F7" s="63"/>
      <c r="G7" s="63"/>
      <c r="H7" s="62" t="s">
        <v>249</v>
      </c>
      <c r="I7" s="62"/>
      <c r="J7" s="63" t="s">
        <v>254</v>
      </c>
      <c r="K7" s="63"/>
      <c r="L7" s="63"/>
    </row>
    <row r="8" spans="2:12" ht="16" x14ac:dyDescent="0.2">
      <c r="B8" s="60"/>
      <c r="C8" s="2" t="s">
        <v>154</v>
      </c>
      <c r="D8" s="2" t="s">
        <v>157</v>
      </c>
      <c r="E8" s="3" t="s">
        <v>161</v>
      </c>
      <c r="F8" s="3" t="s">
        <v>164</v>
      </c>
      <c r="G8" s="3" t="s">
        <v>167</v>
      </c>
      <c r="H8" s="2" t="s">
        <v>154</v>
      </c>
      <c r="I8" s="2" t="s">
        <v>157</v>
      </c>
      <c r="J8" s="3" t="s">
        <v>161</v>
      </c>
      <c r="K8" s="3" t="s">
        <v>164</v>
      </c>
      <c r="L8" s="3" t="s">
        <v>167</v>
      </c>
    </row>
    <row r="9" spans="2:12" x14ac:dyDescent="0.2">
      <c r="B9" s="4" t="s">
        <v>288</v>
      </c>
      <c r="C9" s="5">
        <f>'C2 lossyG,lossyA,intra'!$BI$30:$BI$30</f>
        <v>3.0283781702283297E-3</v>
      </c>
      <c r="D9" s="5">
        <f>'C2 lossyG,lossyA,intra'!$BJ$30:$BJ$30</f>
        <v>2.8850203375940242E-3</v>
      </c>
      <c r="E9" s="5">
        <f>'C2 lossyG,lossyA,intra'!$BK$30:$BK$30</f>
        <v>0</v>
      </c>
      <c r="F9" s="5">
        <f>'C2 lossyG,lossyA,intra'!$BL$30:$BL$30</f>
        <v>0</v>
      </c>
      <c r="G9" s="5">
        <f>'C2 lossyG,lossyA,intra'!$BM$30:$BM$30</f>
        <v>0</v>
      </c>
      <c r="H9" s="5">
        <f>'C2 lossyG,lossyA,intra'!$BO$30:$BO$30</f>
        <v>1.2094117899547618E-3</v>
      </c>
      <c r="I9" s="5">
        <f>'C2 lossyG,lossyA,intra'!$BP$30:$BP$30</f>
        <v>1.1164785294207613E-3</v>
      </c>
      <c r="J9" s="5">
        <f>'C2 lossyG,lossyA,intra'!$BQ$30:$BQ$30</f>
        <v>1.1334838027787786E-3</v>
      </c>
      <c r="K9" s="5">
        <f>'C2 lossyG,lossyA,intra'!$BR$30:$BR$30</f>
        <v>1.0407885369116965E-3</v>
      </c>
      <c r="L9" s="5">
        <f>'C2 lossyG,lossyA,intra'!$BS$30:$BS$30</f>
        <v>1.0911078782303574E-3</v>
      </c>
    </row>
    <row r="10" spans="2:12" x14ac:dyDescent="0.2">
      <c r="B10" s="4" t="s">
        <v>289</v>
      </c>
      <c r="C10" s="5">
        <f>'C2 lossyG,lossyA,intra'!$BI$31:$BI$31</f>
        <v>2.8552907355554602E-3</v>
      </c>
      <c r="D10" s="5">
        <f>'C2 lossyG,lossyA,intra'!$BJ$31:$BJ$31</f>
        <v>2.7247412659574533E-3</v>
      </c>
      <c r="E10" s="5">
        <f>'C2 lossyG,lossyA,intra'!$BK$31:$BK$31</f>
        <v>0</v>
      </c>
      <c r="F10" s="5">
        <f>'C2 lossyG,lossyA,intra'!$BL$31:$BL$31</f>
        <v>0</v>
      </c>
      <c r="G10" s="5">
        <f>'C2 lossyG,lossyA,intra'!$BM$31:$BM$31</f>
        <v>0</v>
      </c>
      <c r="H10" s="5">
        <f>'C2 lossyG,lossyA,intra'!$BO$31:$BO$31</f>
        <v>6.4791879371872696E-4</v>
      </c>
      <c r="I10" s="5">
        <f>'C2 lossyG,lossyA,intra'!$BP$31:$BP$31</f>
        <v>5.9287927132056772E-4</v>
      </c>
      <c r="J10" s="5">
        <f>'C2 lossyG,lossyA,intra'!$BQ$31:$BQ$31</f>
        <v>6.1309721883384682E-4</v>
      </c>
      <c r="K10" s="5">
        <f>'C2 lossyG,lossyA,intra'!$BR$31:$BR$31</f>
        <v>4.9738526340181721E-4</v>
      </c>
      <c r="L10" s="5">
        <f>'C2 lossyG,lossyA,intra'!$BS$31:$BS$31</f>
        <v>5.25362447750366E-4</v>
      </c>
    </row>
    <row r="11" spans="2:12" x14ac:dyDescent="0.2">
      <c r="B11" s="6" t="s">
        <v>290</v>
      </c>
      <c r="C11" s="7">
        <f>'C2 lossyG,lossyA,intra'!$BI$32:$BI$32</f>
        <v>2.9937606832937556E-3</v>
      </c>
      <c r="D11" s="7">
        <f>'C2 lossyG,lossyA,intra'!$BJ$32:$BJ$32</f>
        <v>2.8529645232667098E-3</v>
      </c>
      <c r="E11" s="7">
        <f>'C2 lossyG,lossyA,intra'!$BK$32:$BK$32</f>
        <v>0</v>
      </c>
      <c r="F11" s="7">
        <f>'C2 lossyG,lossyA,intra'!$BL$32:$BL$32</f>
        <v>0</v>
      </c>
      <c r="G11" s="7">
        <f>'C2 lossyG,lossyA,intra'!$BM$32:$BM$32</f>
        <v>0</v>
      </c>
      <c r="H11" s="7">
        <f>'C2 lossyG,lossyA,intra'!$BO$32:$BO$32</f>
        <v>1.0971131907075548E-3</v>
      </c>
      <c r="I11" s="7">
        <f>'C2 lossyG,lossyA,intra'!$BP$32:$BP$32</f>
        <v>1.0117586778007226E-3</v>
      </c>
      <c r="J11" s="7">
        <f>'C2 lossyG,lossyA,intra'!$BQ$32:$BQ$32</f>
        <v>1.0294064859897923E-3</v>
      </c>
      <c r="K11" s="7">
        <f>'C2 lossyG,lossyA,intra'!$BR$32:$BR$32</f>
        <v>9.3210788220972059E-4</v>
      </c>
      <c r="L11" s="7">
        <f>'C2 lossyG,lossyA,intra'!$BS$32:$BS$32</f>
        <v>9.779587921343591E-4</v>
      </c>
    </row>
    <row r="12" spans="2:12" x14ac:dyDescent="0.2">
      <c r="B12" t="s">
        <v>299</v>
      </c>
      <c r="C12" s="64">
        <f>'C2 lossyG,lossyA,intra'!AZ36</f>
        <v>0.91025621604499118</v>
      </c>
      <c r="D12" s="64"/>
      <c r="E12" s="64"/>
      <c r="F12" s="64"/>
      <c r="G12" s="64"/>
      <c r="H12" s="64"/>
      <c r="I12" s="64"/>
      <c r="J12" s="64"/>
      <c r="K12" s="64"/>
      <c r="L12" s="64"/>
    </row>
    <row r="13" spans="2:12" x14ac:dyDescent="0.2">
      <c r="B13" s="9" t="s">
        <v>300</v>
      </c>
      <c r="C13" s="65">
        <f>'C2 lossyG,lossyA,intra'!BB36</f>
        <v>0.96598089324194436</v>
      </c>
      <c r="D13" s="65"/>
      <c r="E13" s="65"/>
      <c r="F13" s="65"/>
      <c r="G13" s="65"/>
      <c r="H13" s="65"/>
      <c r="I13" s="65"/>
      <c r="J13" s="65"/>
      <c r="K13" s="65"/>
      <c r="L13" s="65"/>
    </row>
    <row r="15" spans="2:12" x14ac:dyDescent="0.2">
      <c r="B15" s="60" t="s">
        <v>381</v>
      </c>
      <c r="C15" s="61" t="s">
        <v>382</v>
      </c>
      <c r="D15" s="61"/>
      <c r="E15" s="61"/>
    </row>
    <row r="16" spans="2:12" x14ac:dyDescent="0.2">
      <c r="B16" s="60"/>
      <c r="C16" s="62" t="s">
        <v>357</v>
      </c>
      <c r="D16" s="62"/>
      <c r="E16" s="62"/>
    </row>
    <row r="17" spans="2:5" ht="16" x14ac:dyDescent="0.2">
      <c r="B17" s="60"/>
      <c r="C17" s="2" t="s">
        <v>124</v>
      </c>
      <c r="D17" s="2" t="s">
        <v>118</v>
      </c>
      <c r="E17" s="2" t="s">
        <v>150</v>
      </c>
    </row>
    <row r="18" spans="2:5" x14ac:dyDescent="0.2">
      <c r="B18" s="4" t="s">
        <v>288</v>
      </c>
      <c r="C18" s="5">
        <f>'CW losslG,losslA,intra'!BC10</f>
        <v>1</v>
      </c>
      <c r="D18" s="5">
        <f>'CW losslG,losslA,intra'!BB10</f>
        <v>1.0000316200356807</v>
      </c>
      <c r="E18" s="5">
        <f>'CW losslG,losslA,intra'!BD10</f>
        <v>1</v>
      </c>
    </row>
    <row r="19" spans="2:5" x14ac:dyDescent="0.2">
      <c r="B19" s="4" t="s">
        <v>289</v>
      </c>
      <c r="C19" s="5">
        <f>'CW losslG,losslA,intra'!BC11</f>
        <v>1</v>
      </c>
      <c r="D19" s="5">
        <f>'CW losslG,losslA,intra'!BB11</f>
        <v>1.0000194718127524</v>
      </c>
      <c r="E19" s="5">
        <f>'CW losslG,losslA,intra'!BD11</f>
        <v>1</v>
      </c>
    </row>
    <row r="20" spans="2:5" x14ac:dyDescent="0.2">
      <c r="B20" s="6" t="s">
        <v>290</v>
      </c>
      <c r="C20" s="7">
        <f>'CW losslG,losslA,intra'!BC12</f>
        <v>1</v>
      </c>
      <c r="D20" s="7">
        <f>'CW losslG,losslA,intra'!BB12</f>
        <v>1.000028266635157</v>
      </c>
      <c r="E20" s="7">
        <f>'CW losslG,losslA,intra'!BD12</f>
        <v>1</v>
      </c>
    </row>
    <row r="21" spans="2:5" x14ac:dyDescent="0.2">
      <c r="B21" t="s">
        <v>299</v>
      </c>
      <c r="C21" s="64">
        <f>'CW losslG,losslA,intra'!AW16</f>
        <v>1.2520438438889336</v>
      </c>
      <c r="D21" s="64"/>
      <c r="E21" s="64"/>
    </row>
    <row r="22" spans="2:5" x14ac:dyDescent="0.2">
      <c r="B22" s="9" t="s">
        <v>300</v>
      </c>
      <c r="C22" s="65">
        <f>'CW losslG,losslA,intra'!AY16</f>
        <v>1.0203816590679531</v>
      </c>
      <c r="D22" s="65"/>
      <c r="E22" s="65"/>
    </row>
    <row r="24" spans="2:5" s="1" customFormat="1" x14ac:dyDescent="0.2">
      <c r="B24" s="1" t="s">
        <v>456</v>
      </c>
    </row>
    <row r="26" spans="2:5" x14ac:dyDescent="0.2">
      <c r="B26" s="60" t="s">
        <v>457</v>
      </c>
      <c r="C26" s="61" t="s">
        <v>458</v>
      </c>
      <c r="D26" s="61"/>
      <c r="E26" s="61"/>
    </row>
    <row r="27" spans="2:5" x14ac:dyDescent="0.2">
      <c r="B27" s="60"/>
      <c r="C27" s="62" t="s">
        <v>357</v>
      </c>
      <c r="D27" s="62"/>
      <c r="E27" s="62"/>
    </row>
    <row r="28" spans="2:5" ht="16" x14ac:dyDescent="0.2">
      <c r="B28" s="60"/>
      <c r="C28" s="2" t="s">
        <v>118</v>
      </c>
      <c r="D28" s="2" t="s">
        <v>124</v>
      </c>
      <c r="E28" s="2" t="s">
        <v>150</v>
      </c>
    </row>
    <row r="29" spans="2:5" x14ac:dyDescent="0.2">
      <c r="B29" s="4" t="s">
        <v>288</v>
      </c>
      <c r="C29" s="5">
        <f>'CW losslG,losslA,interLD'!BB10</f>
        <v>1.0000325916742636</v>
      </c>
      <c r="D29" s="5">
        <f>'CW losslG,losslA,interLD'!BC10</f>
        <v>1</v>
      </c>
      <c r="E29" s="5">
        <f>'CW losslG,losslA,interLD'!BD10</f>
        <v>1</v>
      </c>
    </row>
    <row r="30" spans="2:5" x14ac:dyDescent="0.2">
      <c r="B30" s="4" t="s">
        <v>289</v>
      </c>
      <c r="C30" s="5">
        <f>'CW losslG,losslA,interLD'!BB11</f>
        <v>1.0000196590061792</v>
      </c>
      <c r="D30" s="5">
        <f>'CW losslG,losslA,interLD'!BC11</f>
        <v>1</v>
      </c>
      <c r="E30" s="5">
        <f>'CW losslG,losslA,interLD'!BD11</f>
        <v>1</v>
      </c>
    </row>
    <row r="31" spans="2:5" x14ac:dyDescent="0.2">
      <c r="B31" s="6" t="s">
        <v>290</v>
      </c>
      <c r="C31" s="7">
        <f>'CW losslG,losslA,interLD'!BB12</f>
        <v>1.0000289715054496</v>
      </c>
      <c r="D31" s="7">
        <f>'CW losslG,losslA,interLD'!BC12</f>
        <v>1</v>
      </c>
      <c r="E31" s="7">
        <f>'CW losslG,losslA,interLD'!BD12</f>
        <v>1</v>
      </c>
    </row>
    <row r="32" spans="2:5" x14ac:dyDescent="0.2">
      <c r="B32" t="s">
        <v>299</v>
      </c>
      <c r="C32" s="64">
        <f>'CW losslG,losslA,interLD'!AW16</f>
        <v>1.3973042577887946</v>
      </c>
      <c r="D32" s="64"/>
      <c r="E32" s="64"/>
    </row>
    <row r="33" spans="2:12" x14ac:dyDescent="0.2">
      <c r="B33" s="9" t="s">
        <v>300</v>
      </c>
      <c r="C33" s="65">
        <f>'CW losslG,losslA,interLD'!AY16</f>
        <v>1.6139076615127825</v>
      </c>
      <c r="D33" s="65"/>
      <c r="E33" s="65"/>
    </row>
    <row r="35" spans="2:12" s="1" customFormat="1" x14ac:dyDescent="0.2">
      <c r="B35" s="1" t="s">
        <v>543</v>
      </c>
    </row>
    <row r="37" spans="2:12" x14ac:dyDescent="0.2">
      <c r="B37" s="60" t="s">
        <v>544</v>
      </c>
      <c r="C37" s="61" t="s">
        <v>545</v>
      </c>
      <c r="D37" s="61"/>
      <c r="E37" s="61"/>
      <c r="F37" s="61"/>
      <c r="G37" s="61"/>
      <c r="H37" s="61"/>
      <c r="I37" s="61"/>
      <c r="J37" s="61"/>
      <c r="K37" s="61"/>
      <c r="L37" s="61"/>
    </row>
    <row r="38" spans="2:12" x14ac:dyDescent="0.2">
      <c r="B38" s="60"/>
      <c r="C38" s="62" t="s">
        <v>237</v>
      </c>
      <c r="D38" s="62"/>
      <c r="E38" s="63" t="s">
        <v>242</v>
      </c>
      <c r="F38" s="63"/>
      <c r="G38" s="63"/>
      <c r="H38" s="62" t="s">
        <v>249</v>
      </c>
      <c r="I38" s="62"/>
      <c r="J38" s="63" t="s">
        <v>254</v>
      </c>
      <c r="K38" s="63"/>
      <c r="L38" s="63"/>
    </row>
    <row r="39" spans="2:12" ht="16" x14ac:dyDescent="0.2">
      <c r="B39" s="60"/>
      <c r="C39" s="2" t="s">
        <v>154</v>
      </c>
      <c r="D39" s="2" t="s">
        <v>157</v>
      </c>
      <c r="E39" s="3" t="s">
        <v>161</v>
      </c>
      <c r="F39" s="3" t="s">
        <v>164</v>
      </c>
      <c r="G39" s="3" t="s">
        <v>167</v>
      </c>
      <c r="H39" s="2" t="s">
        <v>154</v>
      </c>
      <c r="I39" s="2" t="s">
        <v>157</v>
      </c>
      <c r="J39" s="3" t="s">
        <v>161</v>
      </c>
      <c r="K39" s="3" t="s">
        <v>164</v>
      </c>
      <c r="L39" s="3" t="s">
        <v>167</v>
      </c>
    </row>
    <row r="40" spans="2:12" x14ac:dyDescent="0.2">
      <c r="B40" s="4" t="s">
        <v>288</v>
      </c>
      <c r="C40" s="5">
        <f>'C2 lossyG,lossyA,interRA'!$BI$30:$BI$30</f>
        <v>1.4239194300971758E-3</v>
      </c>
      <c r="D40" s="5">
        <f>'C2 lossyG,lossyA,interRA'!$BJ$30:$BJ$30</f>
        <v>1.3584048127458503E-3</v>
      </c>
      <c r="E40" s="5">
        <f>'C2 lossyG,lossyA,interRA'!$BK$30:$BK$30</f>
        <v>0</v>
      </c>
      <c r="F40" s="5">
        <f>'C2 lossyG,lossyA,interRA'!$BL$30:$BL$30</f>
        <v>0</v>
      </c>
      <c r="G40" s="5">
        <f>'C2 lossyG,lossyA,interRA'!$BM$30:$BM$30</f>
        <v>0</v>
      </c>
      <c r="H40" s="5">
        <f>'C2 lossyG,lossyA,interRA'!$BO$30:$BO$30</f>
        <v>9.0248608690302046E-4</v>
      </c>
      <c r="I40" s="5">
        <f>'C2 lossyG,lossyA,interRA'!$BP$30:$BP$30</f>
        <v>8.4402966121355227E-4</v>
      </c>
      <c r="J40" s="5">
        <f>'C2 lossyG,lossyA,interRA'!$BQ$30:$BQ$30</f>
        <v>8.1917937213810132E-4</v>
      </c>
      <c r="K40" s="5">
        <f>'C2 lossyG,lossyA,interRA'!$BR$30:$BR$30</f>
        <v>8.0739007215607783E-4</v>
      </c>
      <c r="L40" s="5">
        <f>'C2 lossyG,lossyA,interRA'!$BS$30:$BS$30</f>
        <v>8.3285361385648793E-4</v>
      </c>
    </row>
    <row r="41" spans="2:12" x14ac:dyDescent="0.2">
      <c r="B41" s="4" t="s">
        <v>289</v>
      </c>
      <c r="C41" s="5">
        <f>'C2 lossyG,lossyA,interRA'!$BI$31:$BI$31</f>
        <v>1.9043196500612147E-3</v>
      </c>
      <c r="D41" s="5">
        <f>'C2 lossyG,lossyA,interRA'!$BJ$31:$BJ$31</f>
        <v>1.8191460018497363E-3</v>
      </c>
      <c r="E41" s="5">
        <f>'C2 lossyG,lossyA,interRA'!$BK$31:$BK$31</f>
        <v>0</v>
      </c>
      <c r="F41" s="5">
        <f>'C2 lossyG,lossyA,interRA'!$BL$31:$BL$31</f>
        <v>0</v>
      </c>
      <c r="G41" s="5">
        <f>'C2 lossyG,lossyA,interRA'!$BM$31:$BM$31</f>
        <v>0</v>
      </c>
      <c r="H41" s="5">
        <f>'C2 lossyG,lossyA,interRA'!$BO$31:$BO$31</f>
        <v>8.788072334353636E-4</v>
      </c>
      <c r="I41" s="5">
        <f>'C2 lossyG,lossyA,interRA'!$BP$31:$BP$31</f>
        <v>8.0974779770315308E-4</v>
      </c>
      <c r="J41" s="5">
        <f>'C2 lossyG,lossyA,interRA'!$BQ$31:$BQ$31</f>
        <v>7.4118174723825092E-4</v>
      </c>
      <c r="K41" s="5">
        <f>'C2 lossyG,lossyA,interRA'!$BR$31:$BR$31</f>
        <v>7.0687253251744409E-4</v>
      </c>
      <c r="L41" s="5">
        <f>'C2 lossyG,lossyA,interRA'!$BS$31:$BS$31</f>
        <v>7.3683925959278085E-4</v>
      </c>
    </row>
    <row r="42" spans="2:12" x14ac:dyDescent="0.2">
      <c r="B42" s="6" t="s">
        <v>290</v>
      </c>
      <c r="C42" s="7">
        <f>'C2 lossyG,lossyA,interRA'!$BI$32:$BI$32</f>
        <v>1.5199994740899836E-3</v>
      </c>
      <c r="D42" s="7">
        <f>'C2 lossyG,lossyA,interRA'!$BJ$32:$BJ$32</f>
        <v>1.4505530505666275E-3</v>
      </c>
      <c r="E42" s="7">
        <f>'C2 lossyG,lossyA,interRA'!$BK$32:$BK$32</f>
        <v>0</v>
      </c>
      <c r="F42" s="7">
        <f>'C2 lossyG,lossyA,interRA'!$BL$32:$BL$32</f>
        <v>0</v>
      </c>
      <c r="G42" s="7">
        <f>'C2 lossyG,lossyA,interRA'!$BM$32:$BM$32</f>
        <v>0</v>
      </c>
      <c r="H42" s="7">
        <f>'C2 lossyG,lossyA,interRA'!$BO$32:$BO$32</f>
        <v>8.9775031620948904E-4</v>
      </c>
      <c r="I42" s="7">
        <f>'C2 lossyG,lossyA,interRA'!$BP$32:$BP$32</f>
        <v>8.3717328851147239E-4</v>
      </c>
      <c r="J42" s="7">
        <f>'C2 lossyG,lossyA,interRA'!$BQ$32:$BQ$32</f>
        <v>8.035798471581312E-4</v>
      </c>
      <c r="K42" s="7">
        <f>'C2 lossyG,lossyA,interRA'!$BR$32:$BR$32</f>
        <v>7.872865642283511E-4</v>
      </c>
      <c r="L42" s="7">
        <f>'C2 lossyG,lossyA,interRA'!$BS$32:$BS$32</f>
        <v>8.1365074300374649E-4</v>
      </c>
    </row>
    <row r="43" spans="2:12" x14ac:dyDescent="0.2">
      <c r="B43" t="s">
        <v>299</v>
      </c>
      <c r="C43" s="64">
        <f>'C2 lossyG,lossyA,interRA'!AZ36</f>
        <v>0.91618653681658146</v>
      </c>
      <c r="D43" s="64"/>
      <c r="E43" s="64"/>
      <c r="F43" s="64"/>
      <c r="G43" s="64"/>
      <c r="H43" s="64"/>
      <c r="I43" s="64"/>
      <c r="J43" s="64"/>
      <c r="K43" s="64"/>
      <c r="L43" s="64"/>
    </row>
    <row r="44" spans="2:12" x14ac:dyDescent="0.2">
      <c r="B44" s="9" t="s">
        <v>300</v>
      </c>
      <c r="C44" s="65">
        <f>'C2 lossyG,lossyA,interRA'!BB36</f>
        <v>0.95387575349218212</v>
      </c>
      <c r="D44" s="65"/>
      <c r="E44" s="65"/>
      <c r="F44" s="65"/>
      <c r="G44" s="65"/>
      <c r="H44" s="65"/>
      <c r="I44" s="65"/>
      <c r="J44" s="65"/>
      <c r="K44" s="65"/>
      <c r="L44" s="65"/>
    </row>
  </sheetData>
  <mergeCells count="28"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  <mergeCell ref="C21:E21"/>
    <mergeCell ref="C22:E22"/>
    <mergeCell ref="B26:B28"/>
    <mergeCell ref="C26:E26"/>
    <mergeCell ref="C27:E27"/>
    <mergeCell ref="C12:L12"/>
    <mergeCell ref="C13:L13"/>
    <mergeCell ref="B15:B17"/>
    <mergeCell ref="C15:E15"/>
    <mergeCell ref="C16:E16"/>
    <mergeCell ref="C1:E1"/>
    <mergeCell ref="C2:E2"/>
    <mergeCell ref="B6:B8"/>
    <mergeCell ref="C6:L6"/>
    <mergeCell ref="C7:D7"/>
    <mergeCell ref="E7:G7"/>
    <mergeCell ref="H7:I7"/>
    <mergeCell ref="J7:L7"/>
  </mergeCells>
  <conditionalFormatting sqref="C18 C19 C20">
    <cfRule type="cellIs" dxfId="105" priority="23" operator="greaterThanOrEqual">
      <formula>1.03</formula>
    </cfRule>
    <cfRule type="cellIs" dxfId="104" priority="24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5" operator="greaterThanOrEqual">
      <formula>0.03</formula>
    </cfRule>
    <cfRule type="cellIs" dxfId="100" priority="36" operator="lessThanOrEqual">
      <formula>-0.03</formula>
    </cfRule>
  </conditionalFormatting>
  <conditionalFormatting sqref="C9 C10 C11">
    <cfRule type="cellIs" dxfId="99" priority="1" operator="greaterThanOrEqual">
      <formula>0.03</formula>
    </cfRule>
    <cfRule type="cellIs" dxfId="98" priority="2" operator="lessThanOrEqual">
      <formula>-0.03</formula>
    </cfRule>
  </conditionalFormatting>
  <conditionalFormatting sqref="D18 D19 D20">
    <cfRule type="cellIs" dxfId="97" priority="25" operator="greaterThanOrEqual">
      <formula>1.03</formula>
    </cfRule>
    <cfRule type="cellIs" dxfId="96" priority="26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D9 D10 D11">
    <cfRule type="cellIs" dxfId="91" priority="7" operator="greaterThanOrEqual">
      <formula>0.03</formula>
    </cfRule>
    <cfRule type="cellIs" dxfId="90" priority="8" operator="lessThanOrEqual">
      <formula>-0.03</formula>
    </cfRule>
  </conditionalFormatting>
  <conditionalFormatting sqref="E18 E19 E20">
    <cfRule type="cellIs" dxfId="89" priority="21" operator="greaterThanOrEqual">
      <formula>1.03</formula>
    </cfRule>
    <cfRule type="cellIs" dxfId="88" priority="22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E9 E10 E11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F40 F41 F42">
    <cfRule type="cellIs" dxfId="81" priority="47" operator="greaterThanOrEqual">
      <formula>0.03</formula>
    </cfRule>
    <cfRule type="cellIs" dxfId="80" priority="48" operator="lessThanOrEqual">
      <formula>-0.03</formula>
    </cfRule>
  </conditionalFormatting>
  <conditionalFormatting sqref="F9 F10 F11">
    <cfRule type="cellIs" dxfId="79" priority="11" operator="greaterThanOrEqual">
      <formula>0.03</formula>
    </cfRule>
    <cfRule type="cellIs" dxfId="78" priority="12" operator="lessThanOrEqual">
      <formula>-0.03</formula>
    </cfRule>
  </conditionalFormatting>
  <conditionalFormatting sqref="G40 G41 G42">
    <cfRule type="cellIs" dxfId="77" priority="49" operator="greaterThanOrEqual">
      <formula>0.03</formula>
    </cfRule>
    <cfRule type="cellIs" dxfId="76" priority="50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H9 H10 H11">
    <cfRule type="cellIs" dxfId="71" priority="17" operator="greaterThanOrEqual">
      <formula>0.03</formula>
    </cfRule>
    <cfRule type="cellIs" dxfId="70" priority="18" operator="lessThanOrEqual">
      <formula>-0.03</formula>
    </cfRule>
  </conditionalFormatting>
  <conditionalFormatting sqref="I40 I41 I42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I9 I10 I11">
    <cfRule type="cellIs" dxfId="67" priority="15" operator="greaterThanOrEqual">
      <formula>0.03</formula>
    </cfRule>
    <cfRule type="cellIs" dxfId="66" priority="16" operator="lessThanOrEqual">
      <formula>-0.03</formula>
    </cfRule>
  </conditionalFormatting>
  <conditionalFormatting sqref="J40 J41 J42">
    <cfRule type="cellIs" dxfId="65" priority="37" operator="greaterThanOrEqual">
      <formula>0.03</formula>
    </cfRule>
    <cfRule type="cellIs" dxfId="64" priority="38" operator="lessThanOrEqual">
      <formula>-0.03</formula>
    </cfRule>
  </conditionalFormatting>
  <conditionalFormatting sqref="J9 J10 J11">
    <cfRule type="cellIs" dxfId="63" priority="5" operator="greaterThanOrEqual">
      <formula>0.03</formula>
    </cfRule>
    <cfRule type="cellIs" dxfId="62" priority="6" operator="lessThanOrEqual">
      <formula>-0.03</formula>
    </cfRule>
  </conditionalFormatting>
  <conditionalFormatting sqref="K40 K41 K42">
    <cfRule type="cellIs" dxfId="61" priority="39" operator="greaterThanOrEqual">
      <formula>0.03</formula>
    </cfRule>
    <cfRule type="cellIs" dxfId="60" priority="40" operator="lessThanOrEqual">
      <formula>-0.03</formula>
    </cfRule>
  </conditionalFormatting>
  <conditionalFormatting sqref="K9 K10 K11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L40 L41 L42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L9 L10 L11">
    <cfRule type="cellIs" dxfId="55" priority="13" operator="greaterThanOrEqual">
      <formula>0.03</formula>
    </cfRule>
    <cfRule type="cellIs" dxfId="54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39"/>
  <sheetViews>
    <sheetView workbookViewId="0"/>
  </sheetViews>
  <sheetFormatPr baseColWidth="10" defaultColWidth="8.83203125" defaultRowHeight="15" x14ac:dyDescent="0.2"/>
  <cols>
    <col min="1" max="1" width="12.6640625" customWidth="1"/>
    <col min="2" max="2" width="24.6640625" customWidth="1"/>
    <col min="4" max="4" width="24.6640625" customWidth="1"/>
    <col min="9" max="9" width="16.6640625" customWidth="1"/>
  </cols>
  <sheetData>
    <row r="1" spans="1:16" x14ac:dyDescent="0.2">
      <c r="A1" t="s">
        <v>81</v>
      </c>
      <c r="B1" s="10" t="str">
        <f>M1</f>
        <v>C2 lossyG,lossyA,intra</v>
      </c>
      <c r="C1" t="s">
        <v>82</v>
      </c>
      <c r="I1" t="s">
        <v>4</v>
      </c>
      <c r="M1" t="s">
        <v>301</v>
      </c>
      <c r="N1" t="s">
        <v>383</v>
      </c>
      <c r="O1" t="s">
        <v>459</v>
      </c>
      <c r="P1" t="s">
        <v>546</v>
      </c>
    </row>
    <row r="2" spans="1:16" x14ac:dyDescent="0.2">
      <c r="A2" t="s">
        <v>83</v>
      </c>
      <c r="B2" s="10" t="str">
        <f>HLOOKUP(B1,M1:ZZ3,3,0)</f>
        <v>8ivfbv2_loot_vox10</v>
      </c>
      <c r="C2" t="s">
        <v>84</v>
      </c>
      <c r="I2" t="s">
        <v>5</v>
      </c>
      <c r="J2" t="s">
        <v>6</v>
      </c>
      <c r="M2" t="s">
        <v>303</v>
      </c>
      <c r="N2" t="s">
        <v>385</v>
      </c>
      <c r="O2" t="s">
        <v>461</v>
      </c>
      <c r="P2" t="s">
        <v>548</v>
      </c>
    </row>
    <row r="3" spans="1:16" x14ac:dyDescent="0.2">
      <c r="I3" t="s">
        <v>7</v>
      </c>
      <c r="J3" t="s">
        <v>8</v>
      </c>
      <c r="M3" t="s">
        <v>266</v>
      </c>
      <c r="N3" t="s">
        <v>266</v>
      </c>
      <c r="O3" t="s">
        <v>266</v>
      </c>
      <c r="P3" t="s">
        <v>266</v>
      </c>
    </row>
    <row r="4" spans="1:16" x14ac:dyDescent="0.2">
      <c r="A4" t="s">
        <v>85</v>
      </c>
      <c r="B4" s="10" t="s">
        <v>69</v>
      </c>
      <c r="C4" t="s">
        <v>86</v>
      </c>
      <c r="D4" s="10" t="s">
        <v>15</v>
      </c>
      <c r="E4" t="s">
        <v>87</v>
      </c>
      <c r="I4" t="s">
        <v>9</v>
      </c>
      <c r="J4" t="s">
        <v>10</v>
      </c>
      <c r="M4" t="s">
        <v>275</v>
      </c>
      <c r="N4" t="s">
        <v>275</v>
      </c>
      <c r="O4" t="s">
        <v>275</v>
      </c>
      <c r="P4" t="s">
        <v>275</v>
      </c>
    </row>
    <row r="5" spans="1:16" x14ac:dyDescent="0.2">
      <c r="A5" t="s">
        <v>85</v>
      </c>
      <c r="B5" s="10" t="s">
        <v>69</v>
      </c>
      <c r="C5" t="s">
        <v>86</v>
      </c>
      <c r="D5" s="10" t="s">
        <v>19</v>
      </c>
      <c r="E5" t="s">
        <v>88</v>
      </c>
      <c r="I5" t="s">
        <v>11</v>
      </c>
      <c r="J5" t="s">
        <v>12</v>
      </c>
      <c r="M5" t="s">
        <v>278</v>
      </c>
      <c r="N5" t="s">
        <v>278</v>
      </c>
      <c r="O5" t="s">
        <v>278</v>
      </c>
      <c r="P5" t="s">
        <v>278</v>
      </c>
    </row>
    <row r="6" spans="1:16" x14ac:dyDescent="0.2">
      <c r="A6" t="s">
        <v>85</v>
      </c>
      <c r="B6" s="10" t="s">
        <v>69</v>
      </c>
      <c r="C6" t="s">
        <v>86</v>
      </c>
      <c r="D6" s="10" t="s">
        <v>45</v>
      </c>
      <c r="E6" t="s">
        <v>89</v>
      </c>
      <c r="I6" t="s">
        <v>13</v>
      </c>
      <c r="J6" t="s">
        <v>14</v>
      </c>
      <c r="M6" t="s">
        <v>281</v>
      </c>
      <c r="N6" t="s">
        <v>281</v>
      </c>
      <c r="O6" t="s">
        <v>281</v>
      </c>
      <c r="P6" t="s">
        <v>281</v>
      </c>
    </row>
    <row r="7" spans="1:16" x14ac:dyDescent="0.2">
      <c r="A7" t="s">
        <v>85</v>
      </c>
      <c r="B7" s="10" t="s">
        <v>69</v>
      </c>
      <c r="C7" t="s">
        <v>86</v>
      </c>
      <c r="D7" s="10" t="s">
        <v>7</v>
      </c>
      <c r="E7" t="s">
        <v>90</v>
      </c>
      <c r="I7" t="s">
        <v>15</v>
      </c>
      <c r="J7" t="s">
        <v>16</v>
      </c>
      <c r="M7" t="s">
        <v>284</v>
      </c>
      <c r="N7" t="s">
        <v>284</v>
      </c>
      <c r="O7" t="s">
        <v>284</v>
      </c>
      <c r="P7" t="s">
        <v>284</v>
      </c>
    </row>
    <row r="8" spans="1:16" x14ac:dyDescent="0.2">
      <c r="A8" t="s">
        <v>85</v>
      </c>
      <c r="B8" s="10" t="s">
        <v>69</v>
      </c>
      <c r="C8" t="s">
        <v>86</v>
      </c>
      <c r="D8" s="10" t="s">
        <v>11</v>
      </c>
      <c r="E8" t="s">
        <v>91</v>
      </c>
      <c r="I8" t="s">
        <v>17</v>
      </c>
      <c r="J8" t="s">
        <v>18</v>
      </c>
    </row>
    <row r="9" spans="1:16" x14ac:dyDescent="0.2">
      <c r="A9" t="s">
        <v>85</v>
      </c>
      <c r="B9" s="10" t="s">
        <v>69</v>
      </c>
      <c r="C9" t="s">
        <v>86</v>
      </c>
      <c r="D9" s="10" t="s">
        <v>35</v>
      </c>
      <c r="E9" t="s">
        <v>92</v>
      </c>
      <c r="I9" t="s">
        <v>19</v>
      </c>
      <c r="J9" t="s">
        <v>20</v>
      </c>
    </row>
    <row r="10" spans="1:16" x14ac:dyDescent="0.2">
      <c r="I10" t="s">
        <v>21</v>
      </c>
      <c r="J10" t="s">
        <v>22</v>
      </c>
    </row>
    <row r="11" spans="1:16" x14ac:dyDescent="0.2">
      <c r="I11" t="s">
        <v>23</v>
      </c>
      <c r="J11" t="s">
        <v>24</v>
      </c>
    </row>
    <row r="12" spans="1:16" x14ac:dyDescent="0.2">
      <c r="I12" t="s">
        <v>25</v>
      </c>
      <c r="J12" t="s">
        <v>26</v>
      </c>
    </row>
    <row r="13" spans="1:16" x14ac:dyDescent="0.2">
      <c r="I13" t="s">
        <v>27</v>
      </c>
      <c r="J13" t="s">
        <v>28</v>
      </c>
    </row>
    <row r="14" spans="1:16" x14ac:dyDescent="0.2">
      <c r="I14" t="s">
        <v>29</v>
      </c>
      <c r="J14" t="s">
        <v>30</v>
      </c>
    </row>
    <row r="15" spans="1:16" x14ac:dyDescent="0.2">
      <c r="I15" t="s">
        <v>31</v>
      </c>
      <c r="J15" t="s">
        <v>32</v>
      </c>
    </row>
    <row r="16" spans="1:16" x14ac:dyDescent="0.2">
      <c r="I16" t="s">
        <v>33</v>
      </c>
      <c r="J16" t="s">
        <v>34</v>
      </c>
    </row>
    <row r="17" spans="9:10" x14ac:dyDescent="0.2">
      <c r="I17" t="s">
        <v>35</v>
      </c>
      <c r="J17" t="s">
        <v>36</v>
      </c>
    </row>
    <row r="18" spans="9:10" x14ac:dyDescent="0.2">
      <c r="I18" t="s">
        <v>37</v>
      </c>
      <c r="J18" t="s">
        <v>38</v>
      </c>
    </row>
    <row r="19" spans="9:10" x14ac:dyDescent="0.2">
      <c r="I19" t="s">
        <v>39</v>
      </c>
      <c r="J19" t="s">
        <v>40</v>
      </c>
    </row>
    <row r="20" spans="9:10" x14ac:dyDescent="0.2">
      <c r="I20" t="s">
        <v>41</v>
      </c>
      <c r="J20" t="s">
        <v>42</v>
      </c>
    </row>
    <row r="21" spans="9:10" x14ac:dyDescent="0.2">
      <c r="I21" t="s">
        <v>43</v>
      </c>
      <c r="J21" t="s">
        <v>44</v>
      </c>
    </row>
    <row r="22" spans="9:10" x14ac:dyDescent="0.2">
      <c r="I22" t="s">
        <v>45</v>
      </c>
      <c r="J22" t="s">
        <v>46</v>
      </c>
    </row>
    <row r="23" spans="9:10" x14ac:dyDescent="0.2">
      <c r="I23" t="s">
        <v>47</v>
      </c>
      <c r="J23" t="s">
        <v>48</v>
      </c>
    </row>
    <row r="24" spans="9:10" x14ac:dyDescent="0.2">
      <c r="I24" t="s">
        <v>49</v>
      </c>
      <c r="J24" t="s">
        <v>50</v>
      </c>
    </row>
    <row r="25" spans="9:10" x14ac:dyDescent="0.2">
      <c r="I25" t="s">
        <v>51</v>
      </c>
      <c r="J25" t="s">
        <v>52</v>
      </c>
    </row>
    <row r="26" spans="9:10" x14ac:dyDescent="0.2">
      <c r="I26" t="s">
        <v>53</v>
      </c>
      <c r="J26" t="s">
        <v>54</v>
      </c>
    </row>
    <row r="27" spans="9:10" x14ac:dyDescent="0.2">
      <c r="I27" t="s">
        <v>55</v>
      </c>
      <c r="J27" t="s">
        <v>56</v>
      </c>
    </row>
    <row r="28" spans="9:10" x14ac:dyDescent="0.2">
      <c r="I28" t="s">
        <v>57</v>
      </c>
      <c r="J28" t="s">
        <v>58</v>
      </c>
    </row>
    <row r="29" spans="9:10" x14ac:dyDescent="0.2">
      <c r="I29" t="s">
        <v>59</v>
      </c>
      <c r="J29" t="s">
        <v>60</v>
      </c>
    </row>
    <row r="30" spans="9:10" x14ac:dyDescent="0.2">
      <c r="I30" t="s">
        <v>61</v>
      </c>
      <c r="J30" t="s">
        <v>62</v>
      </c>
    </row>
    <row r="31" spans="9:10" x14ac:dyDescent="0.2">
      <c r="I31" t="s">
        <v>63</v>
      </c>
      <c r="J31" t="s">
        <v>64</v>
      </c>
    </row>
    <row r="32" spans="9:10" x14ac:dyDescent="0.2">
      <c r="I32" t="s">
        <v>65</v>
      </c>
      <c r="J32" t="s">
        <v>66</v>
      </c>
    </row>
    <row r="33" spans="9:10" x14ac:dyDescent="0.2">
      <c r="I33" t="s">
        <v>67</v>
      </c>
      <c r="J33" t="s">
        <v>68</v>
      </c>
    </row>
    <row r="34" spans="9:10" x14ac:dyDescent="0.2">
      <c r="I34" t="s">
        <v>69</v>
      </c>
      <c r="J34" t="s">
        <v>70</v>
      </c>
    </row>
    <row r="35" spans="9:10" x14ac:dyDescent="0.2">
      <c r="I35" t="s">
        <v>71</v>
      </c>
      <c r="J35" t="s">
        <v>72</v>
      </c>
    </row>
    <row r="36" spans="9:10" x14ac:dyDescent="0.2">
      <c r="I36" t="s">
        <v>73</v>
      </c>
      <c r="J36" t="s">
        <v>74</v>
      </c>
    </row>
    <row r="37" spans="9:10" x14ac:dyDescent="0.2">
      <c r="I37" t="s">
        <v>75</v>
      </c>
      <c r="J37" t="s">
        <v>76</v>
      </c>
    </row>
    <row r="38" spans="9:10" x14ac:dyDescent="0.2">
      <c r="I38" t="s">
        <v>77</v>
      </c>
      <c r="J38" t="s">
        <v>78</v>
      </c>
    </row>
    <row r="39" spans="9:10" x14ac:dyDescent="0.2">
      <c r="I39" t="s">
        <v>79</v>
      </c>
      <c r="J39" t="s">
        <v>80</v>
      </c>
    </row>
  </sheetData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BU36"/>
  <sheetViews>
    <sheetView zoomScale="85" zoomScaleNormal="85" workbookViewId="0">
      <pane xSplit="2" topLeftCell="AY1" activePane="topRight" state="frozen"/>
      <selection pane="topRight" activeCell="AT27" sqref="AT27"/>
    </sheetView>
  </sheetViews>
  <sheetFormatPr baseColWidth="10" defaultColWidth="8.83203125" defaultRowHeight="15" outlineLevelRow="2" x14ac:dyDescent="0.2"/>
  <cols>
    <col min="1" max="1" width="9.1640625"/>
    <col min="2" max="2" width="24.6640625" customWidth="1"/>
    <col min="3" max="3" width="9.1640625"/>
    <col min="4" max="5" width="10.6640625" customWidth="1"/>
    <col min="6" max="7" width="9.1640625"/>
    <col min="8" max="8" width="1.6640625" customWidth="1"/>
    <col min="9" max="9" width="9.164062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18" width="9.1640625"/>
    <col min="19" max="22" width="12.6640625" customWidth="1"/>
    <col min="23" max="27" width="11.6640625" customWidth="1"/>
    <col min="28" max="31" width="9.1640625"/>
    <col min="32" max="32" width="1.6640625" customWidth="1"/>
    <col min="33" max="33" width="9.1640625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1" max="42" width="9.1640625"/>
    <col min="43" max="46" width="12.6640625" customWidth="1"/>
    <col min="47" max="51" width="11.6640625" customWidth="1"/>
    <col min="52" max="55" width="9.1640625"/>
    <col min="56" max="56" width="1.6640625" customWidth="1"/>
    <col min="57" max="59" width="9.1640625"/>
    <col min="60" max="60" width="1.6640625" customWidth="1"/>
    <col min="61" max="62" width="9.1640625"/>
    <col min="63" max="65" width="11.6640625" customWidth="1"/>
    <col min="66" max="66" width="1.6640625" customWidth="1"/>
    <col min="67" max="68" width="9.1640625"/>
    <col min="69" max="71" width="11.6640625" customWidth="1"/>
    <col min="72" max="72" width="1.6640625" customWidth="1"/>
  </cols>
  <sheetData>
    <row r="1" spans="1:73" ht="15" customHeight="1" x14ac:dyDescent="0.2">
      <c r="A1" s="70" t="s">
        <v>261</v>
      </c>
      <c r="B1" s="70"/>
      <c r="C1" s="70"/>
      <c r="D1" s="70"/>
      <c r="E1" s="70"/>
      <c r="F1" s="70"/>
      <c r="G1" s="70"/>
      <c r="I1" s="58" t="s">
        <v>552</v>
      </c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G1" s="59" t="s">
        <v>553</v>
      </c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</row>
    <row r="2" spans="1:73" ht="30" customHeight="1" thickBot="1" x14ac:dyDescent="0.25">
      <c r="A2" s="66" t="s">
        <v>93</v>
      </c>
      <c r="B2" s="67" t="s">
        <v>96</v>
      </c>
      <c r="C2" s="66" t="s">
        <v>99</v>
      </c>
      <c r="D2" s="67" t="s">
        <v>102</v>
      </c>
      <c r="E2" s="66" t="s">
        <v>105</v>
      </c>
      <c r="F2" s="67" t="s">
        <v>108</v>
      </c>
      <c r="G2" s="66" t="s">
        <v>111</v>
      </c>
      <c r="I2" s="67" t="s">
        <v>114</v>
      </c>
      <c r="J2" s="68" t="s">
        <v>117</v>
      </c>
      <c r="K2" s="68"/>
      <c r="L2" s="68"/>
      <c r="M2" s="68"/>
      <c r="N2" s="66" t="s">
        <v>130</v>
      </c>
      <c r="O2" s="67" t="s">
        <v>133</v>
      </c>
      <c r="P2" s="66" t="s">
        <v>24</v>
      </c>
      <c r="Q2" s="67" t="s">
        <v>26</v>
      </c>
      <c r="R2" s="66" t="s">
        <v>22</v>
      </c>
      <c r="S2" s="69" t="s">
        <v>142</v>
      </c>
      <c r="T2" s="69"/>
      <c r="U2" s="69"/>
      <c r="V2" s="69"/>
      <c r="W2" s="68" t="s">
        <v>153</v>
      </c>
      <c r="X2" s="68"/>
      <c r="Y2" s="69" t="s">
        <v>160</v>
      </c>
      <c r="Z2" s="69"/>
      <c r="AA2" s="69"/>
      <c r="AB2" s="68" t="s">
        <v>170</v>
      </c>
      <c r="AC2" s="68"/>
      <c r="AD2" s="69" t="s">
        <v>177</v>
      </c>
      <c r="AE2" s="69"/>
      <c r="AG2" s="66" t="s">
        <v>114</v>
      </c>
      <c r="AH2" s="69" t="s">
        <v>117</v>
      </c>
      <c r="AI2" s="69"/>
      <c r="AJ2" s="69"/>
      <c r="AK2" s="69"/>
      <c r="AL2" s="67" t="s">
        <v>192</v>
      </c>
      <c r="AM2" s="66" t="s">
        <v>133</v>
      </c>
      <c r="AN2" s="67" t="s">
        <v>24</v>
      </c>
      <c r="AO2" s="66" t="s">
        <v>26</v>
      </c>
      <c r="AP2" s="67" t="s">
        <v>22</v>
      </c>
      <c r="AQ2" s="68" t="s">
        <v>142</v>
      </c>
      <c r="AR2" s="68"/>
      <c r="AS2" s="68"/>
      <c r="AT2" s="68"/>
      <c r="AU2" s="69" t="s">
        <v>153</v>
      </c>
      <c r="AV2" s="69"/>
      <c r="AW2" s="68" t="s">
        <v>160</v>
      </c>
      <c r="AX2" s="68"/>
      <c r="AY2" s="68"/>
      <c r="AZ2" s="69" t="s">
        <v>170</v>
      </c>
      <c r="BA2" s="69"/>
      <c r="BB2" s="68" t="s">
        <v>177</v>
      </c>
      <c r="BC2" s="68"/>
      <c r="BE2" s="67" t="s">
        <v>229</v>
      </c>
      <c r="BF2" s="66" t="s">
        <v>232</v>
      </c>
      <c r="BG2" s="67" t="s">
        <v>232</v>
      </c>
      <c r="BI2" s="68" t="s">
        <v>237</v>
      </c>
      <c r="BJ2" s="68"/>
      <c r="BK2" s="69" t="s">
        <v>242</v>
      </c>
      <c r="BL2" s="69"/>
      <c r="BM2" s="69"/>
      <c r="BO2" s="68" t="s">
        <v>249</v>
      </c>
      <c r="BP2" s="68"/>
      <c r="BQ2" s="69" t="s">
        <v>254</v>
      </c>
      <c r="BR2" s="69"/>
      <c r="BS2" s="69"/>
      <c r="BU2" t="s">
        <v>549</v>
      </c>
    </row>
    <row r="3" spans="1:73" ht="17" thickBot="1" x14ac:dyDescent="0.25">
      <c r="A3" s="66"/>
      <c r="B3" s="67"/>
      <c r="C3" s="66"/>
      <c r="D3" s="67"/>
      <c r="E3" s="66"/>
      <c r="F3" s="67"/>
      <c r="G3" s="66"/>
      <c r="I3" s="67"/>
      <c r="J3" s="11" t="s">
        <v>118</v>
      </c>
      <c r="K3" s="11" t="s">
        <v>121</v>
      </c>
      <c r="L3" s="11" t="s">
        <v>124</v>
      </c>
      <c r="M3" s="11" t="s">
        <v>127</v>
      </c>
      <c r="N3" s="66"/>
      <c r="O3" s="67"/>
      <c r="P3" s="66"/>
      <c r="Q3" s="67"/>
      <c r="R3" s="66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66"/>
      <c r="AH3" s="12" t="s">
        <v>118</v>
      </c>
      <c r="AI3" s="12" t="s">
        <v>121</v>
      </c>
      <c r="AJ3" s="12" t="s">
        <v>124</v>
      </c>
      <c r="AK3" s="12" t="s">
        <v>127</v>
      </c>
      <c r="AL3" s="67"/>
      <c r="AM3" s="66"/>
      <c r="AN3" s="67"/>
      <c r="AO3" s="66"/>
      <c r="AP3" s="67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67"/>
      <c r="BF3" s="66"/>
      <c r="BG3" s="67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21" hidden="1" x14ac:dyDescent="0.2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 x14ac:dyDescent="0.2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2.2610774999999999</v>
      </c>
      <c r="J5" s="18">
        <f t="shared" ref="J5:J29" si="1">IF(ISBLANK(S5),"·",S5/D5)</f>
        <v>9.661044126900846E-2</v>
      </c>
      <c r="K5" s="18">
        <f t="shared" ref="K5:K29" si="2">IF(N5="","·",N5/D5)</f>
        <v>6.1390925560582593E-2</v>
      </c>
      <c r="L5" s="18">
        <f t="shared" ref="L5:L29" si="3">IF(T5="","·",T5/D5)</f>
        <v>3.4048885968990729E-2</v>
      </c>
      <c r="M5" s="18">
        <f t="shared" ref="M5:M29" si="4">IF(ISBLANK(V5),"·",V5/D5)</f>
        <v>3.5199967826108451E-2</v>
      </c>
      <c r="N5" s="15">
        <f t="shared" ref="N5:N29" si="5">IF(OR(ISBLANK(T5),ISBLANK(U5)),"",T5+U5)</f>
        <v>1532584</v>
      </c>
      <c r="O5" s="18">
        <f t="shared" ref="O5:O29" si="6">IF(ISBLANK(S5),"·",S5/P5)</f>
        <v>0.11072324413372238</v>
      </c>
      <c r="P5" s="19">
        <v>21782382</v>
      </c>
      <c r="Q5" s="19">
        <v>680699.4375</v>
      </c>
      <c r="R5" s="19">
        <v>13867.90625</v>
      </c>
      <c r="S5" s="20">
        <v>2411816</v>
      </c>
      <c r="T5" s="20">
        <v>850008</v>
      </c>
      <c r="U5" s="20">
        <v>682576</v>
      </c>
      <c r="V5" s="20">
        <v>878744</v>
      </c>
      <c r="W5" s="21">
        <v>66.371644000000003</v>
      </c>
      <c r="X5" s="21">
        <v>68.420603</v>
      </c>
      <c r="Y5" s="21">
        <v>32.184649999999998</v>
      </c>
      <c r="Z5" s="21">
        <v>44.177241000000002</v>
      </c>
      <c r="AA5" s="21">
        <v>43.846359</v>
      </c>
      <c r="AB5" s="22">
        <v>6103.9</v>
      </c>
      <c r="AC5" s="22">
        <v>874.529</v>
      </c>
      <c r="AD5" s="22">
        <v>8.7080000000000002</v>
      </c>
      <c r="AE5" s="22">
        <v>13.205</v>
      </c>
      <c r="AG5" s="17">
        <f t="shared" ref="AG5:AG29" si="7">IF(OR(ISBLANK(AQ5),ISBLANK(G5)),"·",AQ5*G5/F5/1000000)</f>
        <v>2.2647675</v>
      </c>
      <c r="AH5" s="18">
        <f t="shared" ref="AH5:AH29" si="8">IF(ISBLANK(AQ5),"·",AQ5/D5)</f>
        <v>9.6768106155896524E-2</v>
      </c>
      <c r="AI5" s="18">
        <f t="shared" ref="AI5:AI29" si="9">IF(AL5="","·",AL5/D5)</f>
        <v>6.154410404825026E-2</v>
      </c>
      <c r="AJ5" s="18">
        <f t="shared" ref="AJ5:AJ29" si="10">IF(AR5="","·",AR5/D5)</f>
        <v>3.4048885968990729E-2</v>
      </c>
      <c r="AK5" s="18">
        <f t="shared" ref="AK5:AK29" si="11">IF(ISBLANK(AT5),"·",AT5/D5)</f>
        <v>3.5199967826108451E-2</v>
      </c>
      <c r="AL5" s="15">
        <f t="shared" ref="AL5:AL29" si="12">IF(OR(ISBLANK(AR5),ISBLANK(AS5)),"",AR5+AS5)</f>
        <v>1536408</v>
      </c>
      <c r="AM5" s="18">
        <f t="shared" ref="AM5:AM29" si="13">IF(ISBLANK(AQ5),"·",AQ5/AN5)</f>
        <v>0.11090394062504275</v>
      </c>
      <c r="AN5" s="19">
        <v>21782382</v>
      </c>
      <c r="AO5" s="19">
        <v>680699.4375</v>
      </c>
      <c r="AP5" s="19">
        <v>13867.90625</v>
      </c>
      <c r="AQ5" s="20">
        <v>2415752</v>
      </c>
      <c r="AR5" s="20">
        <v>850008</v>
      </c>
      <c r="AS5" s="20">
        <v>686400</v>
      </c>
      <c r="AT5" s="20">
        <v>878744</v>
      </c>
      <c r="AU5" s="21">
        <v>66.371644000000003</v>
      </c>
      <c r="AV5" s="21">
        <v>68.420603</v>
      </c>
      <c r="AW5" s="21">
        <v>32.184649999999998</v>
      </c>
      <c r="AX5" s="21">
        <v>44.177241000000002</v>
      </c>
      <c r="AY5" s="21">
        <v>43.846359</v>
      </c>
      <c r="AZ5" s="22">
        <v>4386.74</v>
      </c>
      <c r="BA5" s="22">
        <v>700.875</v>
      </c>
      <c r="BB5" s="22">
        <v>7.77</v>
      </c>
      <c r="BC5" s="22">
        <v>10.946999999999999</v>
      </c>
      <c r="BE5" s="23">
        <f t="shared" ref="BE5:BE29" si="14">(AP5/AO5) - (R5/Q5)</f>
        <v>0</v>
      </c>
      <c r="BF5" s="23">
        <f t="shared" ref="BF5:BF29" si="15">(AL5/AQ5) - (N5/S5)</f>
        <v>5.476042684161575E-4</v>
      </c>
      <c r="BG5" s="23">
        <f t="array" ref="BG5">AVERAGE(AL5:AL9/AQ5:AQ9) - AVERAGE(N5:N9/S5:S9)</f>
        <v>3.6708311449490383E-4</v>
      </c>
      <c r="BI5" s="24">
        <f>IF( OR(ISBLANK(N5:N9),ISBLANK(AL5:AL9), ISBLANK(W5:W9),ISBLANK(AU5:AU9)), "·", bdRateExtend( N5:N9,W5:W9, AL5:AL9,AU5:AU9))</f>
        <v>1.7215114280870747E-3</v>
      </c>
      <c r="BJ5" s="24">
        <f>IF( OR(ISBLANK(N5:N9),ISBLANK(AL5:AL9), ISBLANK(X5:X9),ISBLANK(AV5:AV9)), "·", bdRateExtend( N5:N9,X5:X9, AL5:AL9,AV5:AV9))</f>
        <v>1.6589740876729042E-3</v>
      </c>
      <c r="BK5" s="24">
        <f>IF( OR(ISBLANK(V5:V9),ISBLANK(AT5:AT9), ISBLANK(Y5:Y9),ISBLANK(AW5:AW9)), "·", bdRateExtend( V5:V9,Y5:Y9, AT5:AT9,AW5:AW9))</f>
        <v>0</v>
      </c>
      <c r="BL5" s="24">
        <f>IF( OR(ISBLANK(V5:V9),ISBLANK(AT5:AT9), ISBLANK(Z5:Z9),ISBLANK(AX5:AX9)), "·", bdRateExtend( V5:V9,Z5:Z9, AT5:AT9,AX5:AX9))</f>
        <v>0</v>
      </c>
      <c r="BM5" s="24">
        <f>IF( OR(ISBLANK(V5:V9),ISBLANK(AT5:AT9), ISBLANK(AA5:AA9),ISBLANK(AY5:AY9)), "·", bdRateExtend( V5:V9,AA5:AA9, AT5:AT9,AY5:AY9))</f>
        <v>0</v>
      </c>
      <c r="BO5" s="24">
        <f>IF( OR(ISBLANK(S5:S9),ISBLANK(AQ5:AQ9), ISBLANK(W5:W9),ISBLANK(AU5:AU9)), "·", bdRateExtend( S5:S9,W5:W9, AQ5:AQ9,AU5:AU9))</f>
        <v>7.9923426687544818E-4</v>
      </c>
      <c r="BP5" s="24">
        <f>IF( OR(ISBLANK(S5:S9),ISBLANK(AQ5:AQ9), ISBLANK(X5:X9),ISBLANK(AV5:AV9)), "·", bdRateExtend( S5:S9,X5:X9, AQ5:AQ9,AV5:AV9))</f>
        <v>7.500655481225138E-4</v>
      </c>
      <c r="BQ5" s="24">
        <f>IF( OR(ISBLANK(S5:S9),ISBLANK(AQ5:AQ9), ISBLANK(Y5:Y9),ISBLANK(AW5:AW9)), "·", bdRateExtend( S5:S9,Y5:Y9, AQ5:AQ9,AW5:AW9))</f>
        <v>7.2139779041369145E-4</v>
      </c>
      <c r="BR5" s="24">
        <f>IF( OR(ISBLANK(S5:S9),ISBLANK(AQ5:AQ9), ISBLANK(Z5:Z9),ISBLANK(AX5:AX9)), "·", bdRateExtend( S5:S9,Z5:Z9, AQ5:AQ9,AX5:AX9))</f>
        <v>7.0576184046533541E-4</v>
      </c>
      <c r="BS5" s="24">
        <f>IF( OR(ISBLANK(S5:S9),ISBLANK(AQ5:AQ9), ISBLANK(AA5:AA9),ISBLANK(AY5:AY9)), "·", bdRateExtend( S5:S9,AA5:AA9, AQ5:AQ9,AY5:AY9))</f>
        <v>7.1315177393826978E-4</v>
      </c>
      <c r="BU5">
        <f>AQ5-S5</f>
        <v>3936</v>
      </c>
    </row>
    <row r="6" spans="1:73" outlineLevel="1" x14ac:dyDescent="0.2">
      <c r="A6" s="25"/>
      <c r="B6" s="25" t="s">
        <v>266</v>
      </c>
      <c r="C6" s="26" t="s">
        <v>269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3.4966499999999998</v>
      </c>
      <c r="J6" s="28">
        <f t="shared" si="1"/>
        <v>0.14940350318079695</v>
      </c>
      <c r="K6" s="28">
        <f t="shared" si="2"/>
        <v>7.4020139365986073E-2</v>
      </c>
      <c r="L6" s="28">
        <f t="shared" si="3"/>
        <v>4.6678099774394202E-2</v>
      </c>
      <c r="M6" s="28">
        <f t="shared" si="4"/>
        <v>7.5363815932493472E-2</v>
      </c>
      <c r="N6" s="25">
        <f t="shared" si="5"/>
        <v>1847864</v>
      </c>
      <c r="O6" s="28">
        <f t="shared" si="6"/>
        <v>0.155563189162162</v>
      </c>
      <c r="P6" s="29">
        <v>23975852</v>
      </c>
      <c r="Q6" s="29">
        <v>749245.375</v>
      </c>
      <c r="R6" s="29">
        <v>18950.78125</v>
      </c>
      <c r="S6" s="30">
        <v>3729760</v>
      </c>
      <c r="T6" s="30">
        <v>1165288</v>
      </c>
      <c r="U6" s="30">
        <v>682576</v>
      </c>
      <c r="V6" s="30">
        <v>1881408</v>
      </c>
      <c r="W6" s="31">
        <v>68.215000000000003</v>
      </c>
      <c r="X6" s="31">
        <v>70.375452999999993</v>
      </c>
      <c r="Y6" s="31">
        <v>34.464137999999998</v>
      </c>
      <c r="Z6" s="31">
        <v>45.467291000000003</v>
      </c>
      <c r="AA6" s="31">
        <v>45.275644</v>
      </c>
      <c r="AB6" s="32">
        <v>6185.92</v>
      </c>
      <c r="AC6" s="32">
        <v>923.048</v>
      </c>
      <c r="AD6" s="32">
        <v>8.7260000000000009</v>
      </c>
      <c r="AE6" s="32">
        <v>13.547000000000001</v>
      </c>
      <c r="AG6" s="27">
        <f t="shared" si="7"/>
        <v>3.50034</v>
      </c>
      <c r="AH6" s="28">
        <f t="shared" si="8"/>
        <v>0.14956116806768502</v>
      </c>
      <c r="AI6" s="28">
        <f t="shared" si="9"/>
        <v>7.4173317853653734E-2</v>
      </c>
      <c r="AJ6" s="28">
        <f t="shared" si="10"/>
        <v>4.6678099774394202E-2</v>
      </c>
      <c r="AK6" s="28">
        <f t="shared" si="11"/>
        <v>7.5363815932493472E-2</v>
      </c>
      <c r="AL6" s="25">
        <f t="shared" si="12"/>
        <v>1851688</v>
      </c>
      <c r="AM6" s="28">
        <f t="shared" si="13"/>
        <v>0.15572735433969145</v>
      </c>
      <c r="AN6" s="29">
        <v>23975852</v>
      </c>
      <c r="AO6" s="29">
        <v>749245.375</v>
      </c>
      <c r="AP6" s="29">
        <v>18950.78125</v>
      </c>
      <c r="AQ6" s="30">
        <v>3733696</v>
      </c>
      <c r="AR6" s="30">
        <v>1165288</v>
      </c>
      <c r="AS6" s="30">
        <v>686400</v>
      </c>
      <c r="AT6" s="30">
        <v>1881408</v>
      </c>
      <c r="AU6" s="31">
        <v>68.215000000000003</v>
      </c>
      <c r="AV6" s="31">
        <v>70.375452999999993</v>
      </c>
      <c r="AW6" s="31">
        <v>34.464137999999998</v>
      </c>
      <c r="AX6" s="31">
        <v>45.467291000000003</v>
      </c>
      <c r="AY6" s="31">
        <v>45.275644</v>
      </c>
      <c r="AZ6" s="32">
        <v>4473.37</v>
      </c>
      <c r="BA6" s="32">
        <v>750.13800000000003</v>
      </c>
      <c r="BB6" s="32">
        <v>8.0190000000000001</v>
      </c>
      <c r="BC6" s="32">
        <v>11.298999999999999</v>
      </c>
      <c r="BE6" s="33">
        <f t="shared" si="14"/>
        <v>0</v>
      </c>
      <c r="BF6" s="33">
        <f t="shared" si="15"/>
        <v>5.019039881783427E-4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3936</v>
      </c>
    </row>
    <row r="7" spans="1:73" outlineLevel="1" x14ac:dyDescent="0.2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5.7149999999999999</v>
      </c>
      <c r="J7" s="18">
        <f t="shared" si="1"/>
        <v>0.24418830042419304</v>
      </c>
      <c r="K7" s="18">
        <f t="shared" si="2"/>
        <v>9.1995859213748116E-2</v>
      </c>
      <c r="L7" s="18">
        <f t="shared" si="3"/>
        <v>6.4653819622156258E-2</v>
      </c>
      <c r="M7" s="18">
        <f t="shared" si="4"/>
        <v>0.1521728933281275</v>
      </c>
      <c r="N7" s="15">
        <f t="shared" si="5"/>
        <v>2296616</v>
      </c>
      <c r="O7" s="18">
        <f t="shared" si="6"/>
        <v>0.24629728834200512</v>
      </c>
      <c r="P7" s="19">
        <v>24750577</v>
      </c>
      <c r="Q7" s="19">
        <v>773455.53125</v>
      </c>
      <c r="R7" s="19">
        <v>21109.375</v>
      </c>
      <c r="S7" s="20">
        <v>6096000</v>
      </c>
      <c r="T7" s="20">
        <v>1614040</v>
      </c>
      <c r="U7" s="20">
        <v>682576</v>
      </c>
      <c r="V7" s="20">
        <v>3798896</v>
      </c>
      <c r="W7" s="21">
        <v>69.662350000000004</v>
      </c>
      <c r="X7" s="21">
        <v>72.048124999999999</v>
      </c>
      <c r="Y7" s="21">
        <v>36.995455999999997</v>
      </c>
      <c r="Z7" s="21">
        <v>46.536053000000003</v>
      </c>
      <c r="AA7" s="21">
        <v>46.490108999999997</v>
      </c>
      <c r="AB7" s="22">
        <v>5959.27</v>
      </c>
      <c r="AC7" s="22">
        <v>977.84500000000003</v>
      </c>
      <c r="AD7" s="22">
        <v>8.984</v>
      </c>
      <c r="AE7" s="22">
        <v>13.647</v>
      </c>
      <c r="AG7" s="17">
        <f t="shared" si="7"/>
        <v>5.7186899999999996</v>
      </c>
      <c r="AH7" s="18">
        <f t="shared" si="8"/>
        <v>0.2443459653110811</v>
      </c>
      <c r="AI7" s="18">
        <f t="shared" si="9"/>
        <v>9.214903770141579E-2</v>
      </c>
      <c r="AJ7" s="18">
        <f t="shared" si="10"/>
        <v>6.4653819622156258E-2</v>
      </c>
      <c r="AK7" s="18">
        <f t="shared" si="11"/>
        <v>0.1521728933281275</v>
      </c>
      <c r="AL7" s="15">
        <f t="shared" si="12"/>
        <v>2300440</v>
      </c>
      <c r="AM7" s="18">
        <f t="shared" si="13"/>
        <v>0.24645631493762751</v>
      </c>
      <c r="AN7" s="19">
        <v>24750577</v>
      </c>
      <c r="AO7" s="19">
        <v>773455.53125</v>
      </c>
      <c r="AP7" s="19">
        <v>21109.375</v>
      </c>
      <c r="AQ7" s="20">
        <v>6099936</v>
      </c>
      <c r="AR7" s="20">
        <v>1614040</v>
      </c>
      <c r="AS7" s="20">
        <v>686400</v>
      </c>
      <c r="AT7" s="20">
        <v>3798896</v>
      </c>
      <c r="AU7" s="21">
        <v>69.662350000000004</v>
      </c>
      <c r="AV7" s="21">
        <v>72.048124999999999</v>
      </c>
      <c r="AW7" s="21">
        <v>36.995455999999997</v>
      </c>
      <c r="AX7" s="21">
        <v>46.536053000000003</v>
      </c>
      <c r="AY7" s="21">
        <v>46.490108999999997</v>
      </c>
      <c r="AZ7" s="22">
        <v>4377.1400000000003</v>
      </c>
      <c r="BA7" s="22">
        <v>780.11099999999999</v>
      </c>
      <c r="BB7" s="22">
        <v>8.0820000000000007</v>
      </c>
      <c r="BC7" s="22">
        <v>11.394</v>
      </c>
      <c r="BE7" s="23">
        <f t="shared" si="14"/>
        <v>0</v>
      </c>
      <c r="BF7" s="23">
        <f t="shared" si="15"/>
        <v>3.8379838326224602E-4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3936</v>
      </c>
    </row>
    <row r="8" spans="1:73" outlineLevel="1" x14ac:dyDescent="0.2">
      <c r="A8" s="25"/>
      <c r="B8" s="25" t="s">
        <v>266</v>
      </c>
      <c r="C8" s="26" t="s">
        <v>271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9.9332550000000008</v>
      </c>
      <c r="J8" s="28">
        <f t="shared" si="1"/>
        <v>0.42442426179004683</v>
      </c>
      <c r="K8" s="28">
        <f t="shared" si="2"/>
        <v>0.12158270070097184</v>
      </c>
      <c r="L8" s="28">
        <f t="shared" si="3"/>
        <v>9.4240661109379981E-2</v>
      </c>
      <c r="M8" s="28">
        <f t="shared" si="4"/>
        <v>0.30282201320675761</v>
      </c>
      <c r="N8" s="25">
        <f t="shared" si="5"/>
        <v>3035232</v>
      </c>
      <c r="O8" s="28">
        <f t="shared" si="6"/>
        <v>0.40787977063819159</v>
      </c>
      <c r="P8" s="29">
        <v>25976949</v>
      </c>
      <c r="Q8" s="29">
        <v>811779.65625</v>
      </c>
      <c r="R8" s="29">
        <v>24681.125</v>
      </c>
      <c r="S8" s="30">
        <v>10595472</v>
      </c>
      <c r="T8" s="30">
        <v>2352656</v>
      </c>
      <c r="U8" s="30">
        <v>682576</v>
      </c>
      <c r="V8" s="30">
        <v>7559752</v>
      </c>
      <c r="W8" s="31">
        <v>70.744480999999993</v>
      </c>
      <c r="X8" s="31">
        <v>73.282552999999993</v>
      </c>
      <c r="Y8" s="31">
        <v>39.626049999999999</v>
      </c>
      <c r="Z8" s="31">
        <v>47.861049999999999</v>
      </c>
      <c r="AA8" s="31">
        <v>47.983438</v>
      </c>
      <c r="AB8" s="32">
        <v>5996.33</v>
      </c>
      <c r="AC8" s="32">
        <v>1055.53</v>
      </c>
      <c r="AD8" s="32">
        <v>9.343</v>
      </c>
      <c r="AE8" s="32">
        <v>14.255000000000001</v>
      </c>
      <c r="AG8" s="27">
        <f t="shared" si="7"/>
        <v>9.9369449999999997</v>
      </c>
      <c r="AH8" s="28">
        <f t="shared" si="8"/>
        <v>0.4245819266769349</v>
      </c>
      <c r="AI8" s="28">
        <f t="shared" si="9"/>
        <v>0.12173587918863951</v>
      </c>
      <c r="AJ8" s="28">
        <f t="shared" si="10"/>
        <v>9.4240661109379981E-2</v>
      </c>
      <c r="AK8" s="28">
        <f t="shared" si="11"/>
        <v>0.30282201320675761</v>
      </c>
      <c r="AL8" s="25">
        <f t="shared" si="12"/>
        <v>3039056</v>
      </c>
      <c r="AM8" s="28">
        <f t="shared" si="13"/>
        <v>0.40803128958677942</v>
      </c>
      <c r="AN8" s="29">
        <v>25976949</v>
      </c>
      <c r="AO8" s="29">
        <v>811779.65625</v>
      </c>
      <c r="AP8" s="29">
        <v>24681.125</v>
      </c>
      <c r="AQ8" s="30">
        <v>10599408</v>
      </c>
      <c r="AR8" s="30">
        <v>2352656</v>
      </c>
      <c r="AS8" s="30">
        <v>686400</v>
      </c>
      <c r="AT8" s="30">
        <v>7559752</v>
      </c>
      <c r="AU8" s="31">
        <v>70.744480999999993</v>
      </c>
      <c r="AV8" s="31">
        <v>73.282552999999993</v>
      </c>
      <c r="AW8" s="31">
        <v>39.626049999999999</v>
      </c>
      <c r="AX8" s="31">
        <v>47.861049999999999</v>
      </c>
      <c r="AY8" s="31">
        <v>47.983438</v>
      </c>
      <c r="AZ8" s="32">
        <v>4402.67</v>
      </c>
      <c r="BA8" s="32">
        <v>853.51499999999999</v>
      </c>
      <c r="BB8" s="32">
        <v>8.2940000000000005</v>
      </c>
      <c r="BC8" s="32">
        <v>12.028</v>
      </c>
      <c r="BE8" s="33">
        <f t="shared" si="14"/>
        <v>0</v>
      </c>
      <c r="BF8" s="33">
        <f t="shared" si="15"/>
        <v>2.5439852092018489E-4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3936</v>
      </c>
    </row>
    <row r="9" spans="1:73" ht="16" outlineLevel="1" thickBot="1" x14ac:dyDescent="0.25">
      <c r="A9" s="15"/>
      <c r="B9" s="35" t="s">
        <v>266</v>
      </c>
      <c r="C9" s="36" t="s">
        <v>272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17.999017500000001</v>
      </c>
      <c r="J9" s="38">
        <f t="shared" si="1"/>
        <v>0.7690550293316375</v>
      </c>
      <c r="K9" s="38">
        <f t="shared" si="2"/>
        <v>0.19644500129204293</v>
      </c>
      <c r="L9" s="38">
        <f t="shared" si="3"/>
        <v>0.14439604073666515</v>
      </c>
      <c r="M9" s="38">
        <f t="shared" si="4"/>
        <v>0.57259048015727709</v>
      </c>
      <c r="N9" s="35">
        <f t="shared" si="5"/>
        <v>4904120</v>
      </c>
      <c r="O9" s="38">
        <f t="shared" si="6"/>
        <v>0.76765764950229076</v>
      </c>
      <c r="P9" s="39">
        <v>25009784</v>
      </c>
      <c r="Q9" s="39">
        <v>781555.75</v>
      </c>
      <c r="R9" s="39">
        <v>7640.3125</v>
      </c>
      <c r="S9" s="40">
        <v>19198952</v>
      </c>
      <c r="T9" s="40">
        <v>3604752</v>
      </c>
      <c r="U9" s="40">
        <v>1299368</v>
      </c>
      <c r="V9" s="40">
        <v>14294344</v>
      </c>
      <c r="W9" s="41">
        <v>72.154668999999998</v>
      </c>
      <c r="X9" s="41">
        <v>75.331331000000006</v>
      </c>
      <c r="Y9" s="41">
        <v>42.078766000000002</v>
      </c>
      <c r="Z9" s="41">
        <v>49.430463000000003</v>
      </c>
      <c r="AA9" s="41">
        <v>49.625230999999999</v>
      </c>
      <c r="AB9" s="42">
        <v>6065.9</v>
      </c>
      <c r="AC9" s="42">
        <v>1221.49</v>
      </c>
      <c r="AD9" s="42">
        <v>10.423</v>
      </c>
      <c r="AE9" s="42">
        <v>16.373000000000001</v>
      </c>
      <c r="AG9" s="37">
        <f t="shared" si="7"/>
        <v>18.00273</v>
      </c>
      <c r="AH9" s="38">
        <f t="shared" si="8"/>
        <v>0.76921365558978705</v>
      </c>
      <c r="AI9" s="38">
        <f t="shared" si="9"/>
        <v>0.1965991411509721</v>
      </c>
      <c r="AJ9" s="38">
        <f t="shared" si="10"/>
        <v>0.14439604073666515</v>
      </c>
      <c r="AK9" s="38">
        <f t="shared" si="11"/>
        <v>0.57259048015727709</v>
      </c>
      <c r="AL9" s="35">
        <f t="shared" si="12"/>
        <v>4907968</v>
      </c>
      <c r="AM9" s="38">
        <f t="shared" si="13"/>
        <v>0.76781598753511826</v>
      </c>
      <c r="AN9" s="39">
        <v>25009784</v>
      </c>
      <c r="AO9" s="39">
        <v>781555.75</v>
      </c>
      <c r="AP9" s="39">
        <v>7640.3125</v>
      </c>
      <c r="AQ9" s="40">
        <v>19202912</v>
      </c>
      <c r="AR9" s="40">
        <v>3604752</v>
      </c>
      <c r="AS9" s="40">
        <v>1303216</v>
      </c>
      <c r="AT9" s="40">
        <v>14294344</v>
      </c>
      <c r="AU9" s="41">
        <v>72.154668999999998</v>
      </c>
      <c r="AV9" s="41">
        <v>75.331331000000006</v>
      </c>
      <c r="AW9" s="41">
        <v>42.078766000000002</v>
      </c>
      <c r="AX9" s="41">
        <v>49.430463000000003</v>
      </c>
      <c r="AY9" s="41">
        <v>49.625230999999999</v>
      </c>
      <c r="AZ9" s="42">
        <v>4616.42</v>
      </c>
      <c r="BA9" s="42">
        <v>1011.24</v>
      </c>
      <c r="BB9" s="42">
        <v>9.2810000000000006</v>
      </c>
      <c r="BC9" s="42">
        <v>13.425000000000001</v>
      </c>
      <c r="BE9" s="43">
        <f t="shared" si="14"/>
        <v>0</v>
      </c>
      <c r="BF9" s="43">
        <f t="shared" si="15"/>
        <v>1.4771041169808763E-4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3960</v>
      </c>
    </row>
    <row r="10" spans="1:73" x14ac:dyDescent="0.2">
      <c r="A10" s="25"/>
      <c r="B10" s="25" t="s">
        <v>275</v>
      </c>
      <c r="C10" s="26" t="s">
        <v>268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3.2820225000000001</v>
      </c>
      <c r="J10" s="28">
        <f t="shared" si="1"/>
        <v>0.15452909316436361</v>
      </c>
      <c r="K10" s="28">
        <f t="shared" si="2"/>
        <v>7.9207623606646696E-2</v>
      </c>
      <c r="L10" s="28">
        <f t="shared" si="3"/>
        <v>4.0280401640465507E-2</v>
      </c>
      <c r="M10" s="28">
        <f t="shared" si="4"/>
        <v>7.529992885830894E-2</v>
      </c>
      <c r="N10" s="25">
        <f t="shared" si="5"/>
        <v>1794432</v>
      </c>
      <c r="O10" s="28">
        <f t="shared" si="6"/>
        <v>0.17047903608712778</v>
      </c>
      <c r="P10" s="29">
        <v>20535217</v>
      </c>
      <c r="Q10" s="29">
        <v>641725.53125</v>
      </c>
      <c r="R10" s="29">
        <v>18862.125</v>
      </c>
      <c r="S10" s="30">
        <v>3500824</v>
      </c>
      <c r="T10" s="30">
        <v>912544</v>
      </c>
      <c r="U10" s="30">
        <v>881888</v>
      </c>
      <c r="V10" s="30">
        <v>1705904</v>
      </c>
      <c r="W10" s="31">
        <v>65.884490999999997</v>
      </c>
      <c r="X10" s="31">
        <v>67.865256000000002</v>
      </c>
      <c r="Y10" s="31">
        <v>32.549734000000001</v>
      </c>
      <c r="Z10" s="31">
        <v>39.246065999999999</v>
      </c>
      <c r="AA10" s="31">
        <v>32.247712</v>
      </c>
      <c r="AB10" s="32">
        <v>4322.3500000000004</v>
      </c>
      <c r="AC10" s="32">
        <v>652.10900000000004</v>
      </c>
      <c r="AD10" s="32">
        <v>7.0970000000000004</v>
      </c>
      <c r="AE10" s="32">
        <v>9.8179999999999996</v>
      </c>
      <c r="AG10" s="27">
        <f t="shared" si="7"/>
        <v>3.2911649999999999</v>
      </c>
      <c r="AH10" s="28">
        <f t="shared" si="8"/>
        <v>0.15495955402630324</v>
      </c>
      <c r="AI10" s="28">
        <f t="shared" si="9"/>
        <v>7.9633140701509078E-2</v>
      </c>
      <c r="AJ10" s="28">
        <f t="shared" si="10"/>
        <v>4.0280401640465507E-2</v>
      </c>
      <c r="AK10" s="28">
        <f t="shared" si="11"/>
        <v>7.529992885830894E-2</v>
      </c>
      <c r="AL10" s="25">
        <f t="shared" si="12"/>
        <v>1804072</v>
      </c>
      <c r="AM10" s="28">
        <f t="shared" si="13"/>
        <v>0.17095392758693517</v>
      </c>
      <c r="AN10" s="29">
        <v>20535217</v>
      </c>
      <c r="AO10" s="29">
        <v>641725.53125</v>
      </c>
      <c r="AP10" s="29">
        <v>18862.125</v>
      </c>
      <c r="AQ10" s="30">
        <v>3510576</v>
      </c>
      <c r="AR10" s="30">
        <v>912544</v>
      </c>
      <c r="AS10" s="30">
        <v>891528</v>
      </c>
      <c r="AT10" s="30">
        <v>1705904</v>
      </c>
      <c r="AU10" s="31">
        <v>65.884490999999997</v>
      </c>
      <c r="AV10" s="31">
        <v>67.865256000000002</v>
      </c>
      <c r="AW10" s="31">
        <v>32.549734000000001</v>
      </c>
      <c r="AX10" s="31">
        <v>39.246065999999999</v>
      </c>
      <c r="AY10" s="31">
        <v>32.247712</v>
      </c>
      <c r="AZ10" s="32">
        <v>4672.51</v>
      </c>
      <c r="BA10" s="32">
        <v>669.36800000000005</v>
      </c>
      <c r="BB10" s="32">
        <v>7.4649999999999999</v>
      </c>
      <c r="BC10" s="32">
        <v>10.324</v>
      </c>
      <c r="BE10" s="33">
        <f t="shared" si="14"/>
        <v>0</v>
      </c>
      <c r="BF10" s="33">
        <f t="shared" si="15"/>
        <v>1.3221125456094329E-3</v>
      </c>
      <c r="BG10" s="33">
        <f t="array" ref="BG10">AVERAGE(AL10:AL14/AQ10:AQ14) - AVERAGE(N10:N14/S10:S14)</f>
        <v>8.0367767847772109E-4</v>
      </c>
      <c r="BI10" s="34">
        <f>IF( OR(ISBLANK(N10:N14),ISBLANK(AL10:AL14), ISBLANK(W10:W14),ISBLANK(AU10:AU14)), "·", bdRateExtend( N10:N14,W10:W14, AL10:AL14,AU10:AU14))</f>
        <v>3.679881206650526E-3</v>
      </c>
      <c r="BJ10" s="34">
        <f>IF( OR(ISBLANK(N10:N14),ISBLANK(AL10:AL14), ISBLANK(X10:X14),ISBLANK(AV10:AV14)), "·", bdRateExtend( N10:N14,X10:X14, AL10:AL14,AV10:AV14))</f>
        <v>3.4787596689160871E-3</v>
      </c>
      <c r="BK10" s="34">
        <f>IF( OR(ISBLANK(V10:V14),ISBLANK(AT10:AT14), ISBLANK(Y10:Y14),ISBLANK(AW10:AW14)), "·", bdRateExtend( V10:V14,Y10:Y14, AT10:AT14,AW10:AW14))</f>
        <v>0</v>
      </c>
      <c r="BL10" s="34">
        <f>IF( OR(ISBLANK(V10:V14),ISBLANK(AT10:AT14), ISBLANK(Z10:Z14),ISBLANK(AX10:AX14)), "·", bdRateExtend( V10:V14,Z10:Z14, AT10:AT14,AX10:AX14))</f>
        <v>0</v>
      </c>
      <c r="BM10" s="34">
        <f>IF( OR(ISBLANK(V10:V14),ISBLANK(AT10:AT14), ISBLANK(AA10:AA14),ISBLANK(AY10:AY14)), "·", bdRateExtend( V10:V14,AA10:AA14, AT10:AT14,AY10:AY14))</f>
        <v>0</v>
      </c>
      <c r="BO10" s="34">
        <f>IF( OR(ISBLANK(S10:S14),ISBLANK(AQ10:AQ14), ISBLANK(W10:W14),ISBLANK(AU10:AU14)), "·", bdRateExtend( S10:S14,W10:W14, AQ10:AQ14,AU10:AU14))</f>
        <v>1.4584945660243154E-3</v>
      </c>
      <c r="BP10" s="34">
        <f>IF( OR(ISBLANK(S10:S14),ISBLANK(AQ10:AQ14), ISBLANK(X10:X14),ISBLANK(AV10:AV14)), "·", bdRateExtend( S10:S14,X10:X14, AQ10:AQ14,AV10:AV14))</f>
        <v>1.3340131038501735E-3</v>
      </c>
      <c r="BQ10" s="34">
        <f>IF( OR(ISBLANK(S10:S14),ISBLANK(AQ10:AQ14), ISBLANK(Y10:Y14),ISBLANK(AW10:AW14)), "·", bdRateExtend( S10:S14,Y10:Y14, AQ10:AQ14,AW10:AW14))</f>
        <v>1.294823875301887E-3</v>
      </c>
      <c r="BR10" s="34">
        <f>IF( OR(ISBLANK(S10:S14),ISBLANK(AQ10:AQ14), ISBLANK(Z10:Z14),ISBLANK(AX10:AX14)), "·", bdRateExtend( S10:S14,Z10:Z14, AQ10:AQ14,AX10:AX14))</f>
        <v>1.237887458035436E-3</v>
      </c>
      <c r="BS10" s="34">
        <f>IF( OR(ISBLANK(S10:S14),ISBLANK(AQ10:AQ14), ISBLANK(AA10:AA14),ISBLANK(AY10:AY14)), "·", bdRateExtend( S10:S14,AA10:AA14, AQ10:AQ14,AY10:AY14))</f>
        <v>1.3251376557938954E-3</v>
      </c>
      <c r="BU10" s="4">
        <f t="shared" si="16"/>
        <v>9752</v>
      </c>
    </row>
    <row r="11" spans="1:73" outlineLevel="1" x14ac:dyDescent="0.2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4.7383875</v>
      </c>
      <c r="J11" s="18">
        <f t="shared" si="1"/>
        <v>0.22309984877811045</v>
      </c>
      <c r="K11" s="18">
        <f t="shared" si="2"/>
        <v>9.5326423035765204E-2</v>
      </c>
      <c r="L11" s="18">
        <f t="shared" si="3"/>
        <v>5.6399201069584008E-2</v>
      </c>
      <c r="M11" s="18">
        <f t="shared" si="4"/>
        <v>0.12775188504293727</v>
      </c>
      <c r="N11" s="15">
        <f t="shared" si="5"/>
        <v>2159600</v>
      </c>
      <c r="O11" s="18">
        <f t="shared" si="6"/>
        <v>0.22635365669659574</v>
      </c>
      <c r="P11" s="19">
        <v>22329129</v>
      </c>
      <c r="Q11" s="19">
        <v>697785.28125</v>
      </c>
      <c r="R11" s="19">
        <v>24746.75</v>
      </c>
      <c r="S11" s="20">
        <v>5054280</v>
      </c>
      <c r="T11" s="20">
        <v>1277712</v>
      </c>
      <c r="U11" s="20">
        <v>881888</v>
      </c>
      <c r="V11" s="20">
        <v>2894192</v>
      </c>
      <c r="W11" s="21">
        <v>67.652303000000003</v>
      </c>
      <c r="X11" s="21">
        <v>69.728712999999999</v>
      </c>
      <c r="Y11" s="21">
        <v>34.430374999999998</v>
      </c>
      <c r="Z11" s="21">
        <v>40.117533999999999</v>
      </c>
      <c r="AA11" s="21">
        <v>34.025219</v>
      </c>
      <c r="AB11" s="22">
        <v>6159.28</v>
      </c>
      <c r="AC11" s="22">
        <v>864.721</v>
      </c>
      <c r="AD11" s="22">
        <v>8.7590000000000003</v>
      </c>
      <c r="AE11" s="22">
        <v>12.308999999999999</v>
      </c>
      <c r="AG11" s="17">
        <f t="shared" si="7"/>
        <v>4.7475300000000002</v>
      </c>
      <c r="AH11" s="18">
        <f t="shared" si="8"/>
        <v>0.22353030964005005</v>
      </c>
      <c r="AI11" s="18">
        <f t="shared" si="9"/>
        <v>9.5751940130627572E-2</v>
      </c>
      <c r="AJ11" s="18">
        <f t="shared" si="10"/>
        <v>5.6399201069584008E-2</v>
      </c>
      <c r="AK11" s="18">
        <f t="shared" si="11"/>
        <v>0.12775188504293727</v>
      </c>
      <c r="AL11" s="15">
        <f t="shared" si="12"/>
        <v>2169240</v>
      </c>
      <c r="AM11" s="18">
        <f t="shared" si="13"/>
        <v>0.22679039563074763</v>
      </c>
      <c r="AN11" s="19">
        <v>22329129</v>
      </c>
      <c r="AO11" s="19">
        <v>697785.28125</v>
      </c>
      <c r="AP11" s="19">
        <v>24746.75</v>
      </c>
      <c r="AQ11" s="20">
        <v>5064032</v>
      </c>
      <c r="AR11" s="20">
        <v>1277712</v>
      </c>
      <c r="AS11" s="20">
        <v>891528</v>
      </c>
      <c r="AT11" s="20">
        <v>2894192</v>
      </c>
      <c r="AU11" s="21">
        <v>67.652303000000003</v>
      </c>
      <c r="AV11" s="21">
        <v>69.728712999999999</v>
      </c>
      <c r="AW11" s="21">
        <v>34.430374999999998</v>
      </c>
      <c r="AX11" s="21">
        <v>40.117533999999999</v>
      </c>
      <c r="AY11" s="21">
        <v>34.025219</v>
      </c>
      <c r="AZ11" s="22">
        <v>4549.33</v>
      </c>
      <c r="BA11" s="22">
        <v>676.86</v>
      </c>
      <c r="BB11" s="22">
        <v>7.48</v>
      </c>
      <c r="BC11" s="22">
        <v>10.086</v>
      </c>
      <c r="BE11" s="23">
        <f t="shared" si="14"/>
        <v>0</v>
      </c>
      <c r="BF11" s="23">
        <f t="shared" si="15"/>
        <v>1.0807892737776936E-3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9752</v>
      </c>
    </row>
    <row r="12" spans="1:73" outlineLevel="1" x14ac:dyDescent="0.2">
      <c r="A12" s="25"/>
      <c r="B12" s="25" t="s">
        <v>275</v>
      </c>
      <c r="C12" s="26" t="s">
        <v>270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7.3394475000000003</v>
      </c>
      <c r="J12" s="28">
        <f t="shared" si="1"/>
        <v>0.34556684681547906</v>
      </c>
      <c r="K12" s="28">
        <f t="shared" si="2"/>
        <v>0.11888241378015041</v>
      </c>
      <c r="L12" s="28">
        <f t="shared" si="3"/>
        <v>7.995519181396922E-2</v>
      </c>
      <c r="M12" s="28">
        <f t="shared" si="4"/>
        <v>0.22666289233592068</v>
      </c>
      <c r="N12" s="25">
        <f t="shared" si="5"/>
        <v>2693256</v>
      </c>
      <c r="O12" s="28">
        <f t="shared" si="6"/>
        <v>0.34438755737084298</v>
      </c>
      <c r="P12" s="29">
        <v>22732366</v>
      </c>
      <c r="Q12" s="29">
        <v>710386.4375</v>
      </c>
      <c r="R12" s="29">
        <v>26400.3125</v>
      </c>
      <c r="S12" s="30">
        <v>7828744</v>
      </c>
      <c r="T12" s="30">
        <v>1811368</v>
      </c>
      <c r="U12" s="30">
        <v>881888</v>
      </c>
      <c r="V12" s="30">
        <v>5135000</v>
      </c>
      <c r="W12" s="31">
        <v>69.015468999999996</v>
      </c>
      <c r="X12" s="31">
        <v>71.358006000000003</v>
      </c>
      <c r="Y12" s="31">
        <v>36.535178000000002</v>
      </c>
      <c r="Z12" s="31">
        <v>41.058844000000001</v>
      </c>
      <c r="AA12" s="31">
        <v>35.815466000000001</v>
      </c>
      <c r="AB12" s="32">
        <v>5913.2</v>
      </c>
      <c r="AC12" s="32">
        <v>913.71500000000003</v>
      </c>
      <c r="AD12" s="32">
        <v>8.1020000000000003</v>
      </c>
      <c r="AE12" s="32">
        <v>12.532999999999999</v>
      </c>
      <c r="AG12" s="27">
        <f t="shared" si="7"/>
        <v>7.3485899999999997</v>
      </c>
      <c r="AH12" s="28">
        <f t="shared" si="8"/>
        <v>0.34599730767741865</v>
      </c>
      <c r="AI12" s="28">
        <f t="shared" si="9"/>
        <v>0.11930793087501279</v>
      </c>
      <c r="AJ12" s="28">
        <f t="shared" si="10"/>
        <v>7.995519181396922E-2</v>
      </c>
      <c r="AK12" s="28">
        <f t="shared" si="11"/>
        <v>0.22666289233592068</v>
      </c>
      <c r="AL12" s="25">
        <f t="shared" si="12"/>
        <v>2702896</v>
      </c>
      <c r="AM12" s="28">
        <f t="shared" si="13"/>
        <v>0.34481654923205091</v>
      </c>
      <c r="AN12" s="29">
        <v>22732366</v>
      </c>
      <c r="AO12" s="29">
        <v>710386.4375</v>
      </c>
      <c r="AP12" s="29">
        <v>26400.3125</v>
      </c>
      <c r="AQ12" s="30">
        <v>7838496</v>
      </c>
      <c r="AR12" s="30">
        <v>1811368</v>
      </c>
      <c r="AS12" s="30">
        <v>891528</v>
      </c>
      <c r="AT12" s="30">
        <v>5135000</v>
      </c>
      <c r="AU12" s="31">
        <v>69.015468999999996</v>
      </c>
      <c r="AV12" s="31">
        <v>71.358006000000003</v>
      </c>
      <c r="AW12" s="31">
        <v>36.535178000000002</v>
      </c>
      <c r="AX12" s="31">
        <v>41.058844000000001</v>
      </c>
      <c r="AY12" s="31">
        <v>35.815466000000001</v>
      </c>
      <c r="AZ12" s="32">
        <v>6013.31</v>
      </c>
      <c r="BA12" s="32">
        <v>921.25099999999998</v>
      </c>
      <c r="BB12" s="32">
        <v>8.61</v>
      </c>
      <c r="BC12" s="32">
        <v>12.551</v>
      </c>
      <c r="BE12" s="33">
        <f t="shared" si="14"/>
        <v>0</v>
      </c>
      <c r="BF12" s="33">
        <f t="shared" si="15"/>
        <v>8.0182507567699846E-4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9752</v>
      </c>
    </row>
    <row r="13" spans="1:73" outlineLevel="1" x14ac:dyDescent="0.2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12.7256175</v>
      </c>
      <c r="J13" s="18">
        <f t="shared" si="1"/>
        <v>0.59916656032417692</v>
      </c>
      <c r="K13" s="18">
        <f t="shared" si="2"/>
        <v>0.1604979856576903</v>
      </c>
      <c r="L13" s="18">
        <f t="shared" si="3"/>
        <v>0.12157076369150911</v>
      </c>
      <c r="M13" s="18">
        <f t="shared" si="4"/>
        <v>0.43864703396707866</v>
      </c>
      <c r="N13" s="15">
        <f t="shared" si="5"/>
        <v>3636048</v>
      </c>
      <c r="O13" s="18">
        <f t="shared" si="6"/>
        <v>0.57209679880168962</v>
      </c>
      <c r="P13" s="19">
        <v>23726740</v>
      </c>
      <c r="Q13" s="19">
        <v>741460.625</v>
      </c>
      <c r="R13" s="19">
        <v>30316</v>
      </c>
      <c r="S13" s="20">
        <v>13573992</v>
      </c>
      <c r="T13" s="20">
        <v>2754160</v>
      </c>
      <c r="U13" s="20">
        <v>881888</v>
      </c>
      <c r="V13" s="20">
        <v>9937456</v>
      </c>
      <c r="W13" s="21">
        <v>70.039349999999999</v>
      </c>
      <c r="X13" s="21">
        <v>72.581112000000005</v>
      </c>
      <c r="Y13" s="21">
        <v>38.874422000000003</v>
      </c>
      <c r="Z13" s="21">
        <v>42.237437</v>
      </c>
      <c r="AA13" s="21">
        <v>37.915225</v>
      </c>
      <c r="AB13" s="22">
        <v>5907.26</v>
      </c>
      <c r="AC13" s="22">
        <v>1056.28</v>
      </c>
      <c r="AD13" s="22">
        <v>8.3469999999999995</v>
      </c>
      <c r="AE13" s="22">
        <v>13.86</v>
      </c>
      <c r="AG13" s="17">
        <f t="shared" si="7"/>
        <v>12.73476</v>
      </c>
      <c r="AH13" s="18">
        <f t="shared" si="8"/>
        <v>0.59959702118611657</v>
      </c>
      <c r="AI13" s="18">
        <f t="shared" si="9"/>
        <v>0.16092350275255268</v>
      </c>
      <c r="AJ13" s="18">
        <f t="shared" si="10"/>
        <v>0.12157076369150911</v>
      </c>
      <c r="AK13" s="18">
        <f t="shared" si="11"/>
        <v>0.43864703396707866</v>
      </c>
      <c r="AL13" s="15">
        <f t="shared" si="12"/>
        <v>3645688</v>
      </c>
      <c r="AM13" s="18">
        <f t="shared" si="13"/>
        <v>0.57250781186121646</v>
      </c>
      <c r="AN13" s="19">
        <v>23726740</v>
      </c>
      <c r="AO13" s="19">
        <v>741460.625</v>
      </c>
      <c r="AP13" s="19">
        <v>30316</v>
      </c>
      <c r="AQ13" s="20">
        <v>13583744</v>
      </c>
      <c r="AR13" s="20">
        <v>2754160</v>
      </c>
      <c r="AS13" s="20">
        <v>891528</v>
      </c>
      <c r="AT13" s="20">
        <v>9937456</v>
      </c>
      <c r="AU13" s="21">
        <v>70.039349999999999</v>
      </c>
      <c r="AV13" s="21">
        <v>72.581112000000005</v>
      </c>
      <c r="AW13" s="21">
        <v>38.874422000000003</v>
      </c>
      <c r="AX13" s="21">
        <v>42.237437</v>
      </c>
      <c r="AY13" s="21">
        <v>37.915225</v>
      </c>
      <c r="AZ13" s="22">
        <v>4704.18</v>
      </c>
      <c r="BA13" s="22">
        <v>812.07600000000002</v>
      </c>
      <c r="BB13" s="22">
        <v>7.4119999999999999</v>
      </c>
      <c r="BC13" s="22">
        <v>11.346</v>
      </c>
      <c r="BE13" s="23">
        <f t="shared" si="14"/>
        <v>0</v>
      </c>
      <c r="BF13" s="23">
        <f t="shared" si="15"/>
        <v>5.1736429541471285E-4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9752</v>
      </c>
    </row>
    <row r="14" spans="1:73" ht="16" outlineLevel="1" thickBot="1" x14ac:dyDescent="0.25">
      <c r="A14" s="25"/>
      <c r="B14" s="45" t="s">
        <v>275</v>
      </c>
      <c r="C14" s="46" t="s">
        <v>272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22.881345</v>
      </c>
      <c r="J14" s="48">
        <f t="shared" si="1"/>
        <v>1.0773337151804856</v>
      </c>
      <c r="K14" s="48">
        <f t="shared" si="2"/>
        <v>0.26440466958222386</v>
      </c>
      <c r="L14" s="48">
        <f t="shared" si="3"/>
        <v>0.19137569544346672</v>
      </c>
      <c r="M14" s="48">
        <f t="shared" si="4"/>
        <v>0.81290750489885388</v>
      </c>
      <c r="N14" s="45">
        <f t="shared" si="5"/>
        <v>5990032</v>
      </c>
      <c r="O14" s="48">
        <f t="shared" si="6"/>
        <v>1.0851919094343676</v>
      </c>
      <c r="P14" s="49">
        <v>22490739</v>
      </c>
      <c r="Q14" s="49">
        <v>702835.59375</v>
      </c>
      <c r="R14" s="49">
        <v>8248.25</v>
      </c>
      <c r="S14" s="50">
        <v>24406768</v>
      </c>
      <c r="T14" s="50">
        <v>4335576</v>
      </c>
      <c r="U14" s="50">
        <v>1654456</v>
      </c>
      <c r="V14" s="50">
        <v>18416248</v>
      </c>
      <c r="W14" s="51">
        <v>71.406227999999999</v>
      </c>
      <c r="X14" s="51">
        <v>74.817702999999995</v>
      </c>
      <c r="Y14" s="51">
        <v>41.207158999999997</v>
      </c>
      <c r="Z14" s="51">
        <v>43.571930999999999</v>
      </c>
      <c r="AA14" s="51">
        <v>39.821863</v>
      </c>
      <c r="AB14" s="52">
        <v>5936.12</v>
      </c>
      <c r="AC14" s="52">
        <v>1188.03</v>
      </c>
      <c r="AD14" s="52">
        <v>9.1340000000000003</v>
      </c>
      <c r="AE14" s="52">
        <v>14.731</v>
      </c>
      <c r="AG14" s="47">
        <f t="shared" si="7"/>
        <v>22.890472500000001</v>
      </c>
      <c r="AH14" s="48">
        <f t="shared" si="8"/>
        <v>1.0777634697899856</v>
      </c>
      <c r="AI14" s="48">
        <f t="shared" si="9"/>
        <v>0.26482948042464666</v>
      </c>
      <c r="AJ14" s="48">
        <f t="shared" si="10"/>
        <v>0.19137569544346672</v>
      </c>
      <c r="AK14" s="48">
        <f t="shared" si="11"/>
        <v>0.81290750489885388</v>
      </c>
      <c r="AL14" s="45">
        <f t="shared" si="12"/>
        <v>5999656</v>
      </c>
      <c r="AM14" s="48">
        <f t="shared" si="13"/>
        <v>1.0856247987227099</v>
      </c>
      <c r="AN14" s="49">
        <v>22490739</v>
      </c>
      <c r="AO14" s="49">
        <v>702835.59375</v>
      </c>
      <c r="AP14" s="49">
        <v>8248.25</v>
      </c>
      <c r="AQ14" s="50">
        <v>24416504</v>
      </c>
      <c r="AR14" s="50">
        <v>4335576</v>
      </c>
      <c r="AS14" s="50">
        <v>1664080</v>
      </c>
      <c r="AT14" s="50">
        <v>18416248</v>
      </c>
      <c r="AU14" s="51">
        <v>71.406227999999999</v>
      </c>
      <c r="AV14" s="51">
        <v>74.817702999999995</v>
      </c>
      <c r="AW14" s="51">
        <v>41.207158999999997</v>
      </c>
      <c r="AX14" s="51">
        <v>43.571930999999999</v>
      </c>
      <c r="AY14" s="51">
        <v>39.821863</v>
      </c>
      <c r="AZ14" s="52">
        <v>4579.58</v>
      </c>
      <c r="BA14" s="52">
        <v>957.58299999999997</v>
      </c>
      <c r="BB14" s="52">
        <v>7.9260000000000002</v>
      </c>
      <c r="BC14" s="52">
        <v>12.427</v>
      </c>
      <c r="BE14" s="53">
        <f t="shared" si="14"/>
        <v>0</v>
      </c>
      <c r="BF14" s="53">
        <f t="shared" si="15"/>
        <v>2.9629720190960107E-4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9736</v>
      </c>
    </row>
    <row r="15" spans="1:73" x14ac:dyDescent="0.2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4.4962350000000004</v>
      </c>
      <c r="J15" s="18">
        <f t="shared" si="1"/>
        <v>0.14127559325195291</v>
      </c>
      <c r="K15" s="18">
        <f t="shared" si="2"/>
        <v>7.7989336426089087E-2</v>
      </c>
      <c r="L15" s="18">
        <f t="shared" si="3"/>
        <v>4.0845396441669513E-2</v>
      </c>
      <c r="M15" s="18">
        <f t="shared" si="4"/>
        <v>6.3271881780094907E-2</v>
      </c>
      <c r="N15" s="15">
        <f t="shared" si="5"/>
        <v>2647560</v>
      </c>
      <c r="O15" s="18">
        <f t="shared" si="6"/>
        <v>0.15577250460611999</v>
      </c>
      <c r="P15" s="19">
        <v>30788386</v>
      </c>
      <c r="Q15" s="19">
        <v>962137.0625</v>
      </c>
      <c r="R15" s="19">
        <v>30163.1875</v>
      </c>
      <c r="S15" s="20">
        <v>4795984</v>
      </c>
      <c r="T15" s="20">
        <v>1386608</v>
      </c>
      <c r="U15" s="20">
        <v>1260952</v>
      </c>
      <c r="V15" s="20">
        <v>2147936</v>
      </c>
      <c r="W15" s="21">
        <v>65.950609</v>
      </c>
      <c r="X15" s="21">
        <v>67.829724999999996</v>
      </c>
      <c r="Y15" s="21">
        <v>29.619458999999999</v>
      </c>
      <c r="Z15" s="21">
        <v>43.217388</v>
      </c>
      <c r="AA15" s="21">
        <v>43.49145</v>
      </c>
      <c r="AB15" s="22">
        <v>5485.38</v>
      </c>
      <c r="AC15" s="22">
        <v>784.64800000000002</v>
      </c>
      <c r="AD15" s="22">
        <v>10.583</v>
      </c>
      <c r="AE15" s="22">
        <v>12.127000000000001</v>
      </c>
      <c r="AG15" s="17">
        <f t="shared" si="7"/>
        <v>4.5072524999999999</v>
      </c>
      <c r="AH15" s="18">
        <f t="shared" si="8"/>
        <v>0.14162177263284678</v>
      </c>
      <c r="AI15" s="18">
        <f t="shared" si="9"/>
        <v>7.8332216616150752E-2</v>
      </c>
      <c r="AJ15" s="18">
        <f t="shared" si="10"/>
        <v>4.0845396441669513E-2</v>
      </c>
      <c r="AK15" s="18">
        <f t="shared" si="11"/>
        <v>6.3271881780094907E-2</v>
      </c>
      <c r="AL15" s="15">
        <f t="shared" si="12"/>
        <v>2659200</v>
      </c>
      <c r="AM15" s="18">
        <f t="shared" si="13"/>
        <v>0.15615420697921611</v>
      </c>
      <c r="AN15" s="19">
        <v>30788386</v>
      </c>
      <c r="AO15" s="19">
        <v>962137.0625</v>
      </c>
      <c r="AP15" s="19">
        <v>30163.1875</v>
      </c>
      <c r="AQ15" s="20">
        <v>4807736</v>
      </c>
      <c r="AR15" s="20">
        <v>1386608</v>
      </c>
      <c r="AS15" s="20">
        <v>1272592</v>
      </c>
      <c r="AT15" s="20">
        <v>2147936</v>
      </c>
      <c r="AU15" s="21">
        <v>65.950609</v>
      </c>
      <c r="AV15" s="21">
        <v>67.829724999999996</v>
      </c>
      <c r="AW15" s="21">
        <v>29.619458999999999</v>
      </c>
      <c r="AX15" s="21">
        <v>43.217388</v>
      </c>
      <c r="AY15" s="21">
        <v>43.49145</v>
      </c>
      <c r="AZ15" s="22">
        <v>5796.15</v>
      </c>
      <c r="BA15" s="22">
        <v>771.53399999999999</v>
      </c>
      <c r="BB15" s="22">
        <v>10.377000000000001</v>
      </c>
      <c r="BC15" s="22">
        <v>11.983000000000001</v>
      </c>
      <c r="BE15" s="23">
        <f t="shared" si="14"/>
        <v>0</v>
      </c>
      <c r="BF15" s="23">
        <f t="shared" si="15"/>
        <v>1.0717025006754533E-3</v>
      </c>
      <c r="BG15" s="23">
        <f t="array" ref="BG15">AVERAGE(AL15:AL19/AQ15:AQ19) - AVERAGE(N15:N19/S15:S19)</f>
        <v>6.3373836890995294E-4</v>
      </c>
      <c r="BI15" s="24">
        <f>IF( OR(ISBLANK(N15:N19),ISBLANK(AL15:AL19), ISBLANK(W15:W19),ISBLANK(AU15:AU19)), "·", bdRateExtend( N15:N19,W15:W19, AL15:AL19,AU15:AU19))</f>
        <v>3.0310751883366738E-3</v>
      </c>
      <c r="BJ15" s="24">
        <f>IF( OR(ISBLANK(N15:N19),ISBLANK(AL15:AL19), ISBLANK(X15:X19),ISBLANK(AV15:AV19)), "·", bdRateExtend( N15:N19,X15:X19, AL15:AL19,AV15:AV19))</f>
        <v>2.8936741890785989E-3</v>
      </c>
      <c r="BK15" s="24">
        <f>IF( OR(ISBLANK(V15:V19),ISBLANK(AT15:AT19), ISBLANK(Y15:Y19),ISBLANK(AW15:AW19)), "·", bdRateExtend( V15:V19,Y15:Y19, AT15:AT19,AW15:AW19))</f>
        <v>0</v>
      </c>
      <c r="BL15" s="24">
        <f>IF( OR(ISBLANK(V15:V19),ISBLANK(AT15:AT19), ISBLANK(Z15:Z19),ISBLANK(AX15:AX19)), "·", bdRateExtend( V15:V19,Z15:Z19, AT15:AT19,AX15:AX19))</f>
        <v>0</v>
      </c>
      <c r="BM15" s="24">
        <f>IF( OR(ISBLANK(V15:V19),ISBLANK(AT15:AT19), ISBLANK(AA15:AA19),ISBLANK(AY15:AY19)), "·", bdRateExtend( V15:V19,AA15:AA19, AT15:AT19,AY15:AY19))</f>
        <v>0</v>
      </c>
      <c r="BO15" s="24">
        <f>IF( OR(ISBLANK(S15:S19),ISBLANK(AQ15:AQ19), ISBLANK(W15:W19),ISBLANK(AU15:AU19)), "·", bdRateExtend( S15:S19,W15:W19, AQ15:AQ19,AU15:AU19))</f>
        <v>1.1630375680278249E-3</v>
      </c>
      <c r="BP15" s="24">
        <f>IF( OR(ISBLANK(S15:S19),ISBLANK(AQ15:AQ19), ISBLANK(X15:X19),ISBLANK(AV15:AV19)), "·", bdRateExtend( S15:S19,X15:X19, AQ15:AQ19,AV15:AV19))</f>
        <v>1.0710977400147925E-3</v>
      </c>
      <c r="BQ15" s="24">
        <f>IF( OR(ISBLANK(S15:S19),ISBLANK(AQ15:AQ19), ISBLANK(Y15:Y19),ISBLANK(AW15:AW19)), "·", bdRateExtend( S15:S19,Y15:Y19, AQ15:AQ19,AW15:AW19))</f>
        <v>1.0739560875872023E-3</v>
      </c>
      <c r="BR15" s="24">
        <f>IF( OR(ISBLANK(S15:S19),ISBLANK(AQ15:AQ19), ISBLANK(Z15:Z19),ISBLANK(AX15:AX19)), "·", bdRateExtend( S15:S19,Z15:Z19, AQ15:AQ19,AX15:AX19))</f>
        <v>8.7612540946913064E-4</v>
      </c>
      <c r="BS15" s="24">
        <f>IF( OR(ISBLANK(S15:S19),ISBLANK(AQ15:AQ19), ISBLANK(AA15:AA19),ISBLANK(AY15:AY19)), "·", bdRateExtend( S15:S19,AA15:AA19, AQ15:AQ19,AY15:AY19))</f>
        <v>8.9332122932450631E-4</v>
      </c>
      <c r="BU15" s="4">
        <f t="shared" si="16"/>
        <v>11752</v>
      </c>
    </row>
    <row r="16" spans="1:73" outlineLevel="1" x14ac:dyDescent="0.2">
      <c r="A16" s="25"/>
      <c r="B16" s="25" t="s">
        <v>278</v>
      </c>
      <c r="C16" s="26" t="s">
        <v>269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7.2069225000000001</v>
      </c>
      <c r="J16" s="28">
        <f t="shared" si="1"/>
        <v>0.22644773943273594</v>
      </c>
      <c r="K16" s="28">
        <f t="shared" si="2"/>
        <v>9.4306191656240337E-2</v>
      </c>
      <c r="L16" s="28">
        <f t="shared" si="3"/>
        <v>5.716225167182077E-2</v>
      </c>
      <c r="M16" s="28">
        <f t="shared" si="4"/>
        <v>0.13212717273072669</v>
      </c>
      <c r="N16" s="25">
        <f t="shared" si="5"/>
        <v>3201480</v>
      </c>
      <c r="O16" s="28">
        <f t="shared" si="6"/>
        <v>0.22978352705086874</v>
      </c>
      <c r="P16" s="29">
        <v>33454896</v>
      </c>
      <c r="Q16" s="29">
        <v>1045465.5</v>
      </c>
      <c r="R16" s="29">
        <v>38721.4375</v>
      </c>
      <c r="S16" s="30">
        <v>7687384</v>
      </c>
      <c r="T16" s="30">
        <v>1940528</v>
      </c>
      <c r="U16" s="30">
        <v>1260952</v>
      </c>
      <c r="V16" s="30">
        <v>4485416</v>
      </c>
      <c r="W16" s="31">
        <v>67.814684</v>
      </c>
      <c r="X16" s="31">
        <v>69.863018999999994</v>
      </c>
      <c r="Y16" s="31">
        <v>32.071891000000001</v>
      </c>
      <c r="Z16" s="31">
        <v>44.049287999999997</v>
      </c>
      <c r="AA16" s="31">
        <v>44.426468999999997</v>
      </c>
      <c r="AB16" s="32">
        <v>5351.7</v>
      </c>
      <c r="AC16" s="32">
        <v>837.90300000000002</v>
      </c>
      <c r="AD16" s="32">
        <v>10.827</v>
      </c>
      <c r="AE16" s="32">
        <v>12.522</v>
      </c>
      <c r="AG16" s="27">
        <f t="shared" si="7"/>
        <v>7.2179399999999996</v>
      </c>
      <c r="AH16" s="28">
        <f t="shared" si="8"/>
        <v>0.22679391881362984</v>
      </c>
      <c r="AI16" s="28">
        <f t="shared" si="9"/>
        <v>9.4649071846302016E-2</v>
      </c>
      <c r="AJ16" s="28">
        <f t="shared" si="10"/>
        <v>5.716225167182077E-2</v>
      </c>
      <c r="AK16" s="28">
        <f t="shared" si="11"/>
        <v>0.13212717273072669</v>
      </c>
      <c r="AL16" s="25">
        <f t="shared" si="12"/>
        <v>3213120</v>
      </c>
      <c r="AM16" s="28">
        <f t="shared" si="13"/>
        <v>0.23013480597877214</v>
      </c>
      <c r="AN16" s="29">
        <v>33454896</v>
      </c>
      <c r="AO16" s="29">
        <v>1045465.5</v>
      </c>
      <c r="AP16" s="29">
        <v>38721.4375</v>
      </c>
      <c r="AQ16" s="30">
        <v>7699136</v>
      </c>
      <c r="AR16" s="30">
        <v>1940528</v>
      </c>
      <c r="AS16" s="30">
        <v>1272592</v>
      </c>
      <c r="AT16" s="30">
        <v>4485416</v>
      </c>
      <c r="AU16" s="31">
        <v>67.814684</v>
      </c>
      <c r="AV16" s="31">
        <v>69.863018999999994</v>
      </c>
      <c r="AW16" s="31">
        <v>32.071891000000001</v>
      </c>
      <c r="AX16" s="31">
        <v>44.049287999999997</v>
      </c>
      <c r="AY16" s="31">
        <v>44.426468999999997</v>
      </c>
      <c r="AZ16" s="32">
        <v>5889.71</v>
      </c>
      <c r="BA16" s="32">
        <v>831.26499999999999</v>
      </c>
      <c r="BB16" s="32">
        <v>10.691000000000001</v>
      </c>
      <c r="BC16" s="32">
        <v>12.398999999999999</v>
      </c>
      <c r="BE16" s="33">
        <f t="shared" si="14"/>
        <v>0</v>
      </c>
      <c r="BF16" s="33">
        <f t="shared" si="15"/>
        <v>8.7617288734248566E-4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11752</v>
      </c>
    </row>
    <row r="17" spans="1:73" outlineLevel="1" x14ac:dyDescent="0.2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12.1320075</v>
      </c>
      <c r="J17" s="18">
        <f t="shared" si="1"/>
        <v>0.3811981706693805</v>
      </c>
      <c r="K17" s="18">
        <f t="shared" si="2"/>
        <v>0.11777852048847584</v>
      </c>
      <c r="L17" s="18">
        <f t="shared" si="3"/>
        <v>8.0634580504056266E-2</v>
      </c>
      <c r="M17" s="18">
        <f t="shared" si="4"/>
        <v>0.26340527513513573</v>
      </c>
      <c r="N17" s="15">
        <f t="shared" si="5"/>
        <v>3998312</v>
      </c>
      <c r="O17" s="18">
        <f t="shared" si="6"/>
        <v>0.37983839208421599</v>
      </c>
      <c r="P17" s="19">
        <v>34069247</v>
      </c>
      <c r="Q17" s="19">
        <v>1064663.96875</v>
      </c>
      <c r="R17" s="19">
        <v>40680.875</v>
      </c>
      <c r="S17" s="20">
        <v>12940808</v>
      </c>
      <c r="T17" s="20">
        <v>2737360</v>
      </c>
      <c r="U17" s="20">
        <v>1260952</v>
      </c>
      <c r="V17" s="20">
        <v>8942008</v>
      </c>
      <c r="W17" s="21">
        <v>69.259833999999998</v>
      </c>
      <c r="X17" s="21">
        <v>71.661615999999995</v>
      </c>
      <c r="Y17" s="21">
        <v>34.619777999999997</v>
      </c>
      <c r="Z17" s="21">
        <v>44.919091000000002</v>
      </c>
      <c r="AA17" s="21">
        <v>45.353890999999997</v>
      </c>
      <c r="AB17" s="22">
        <v>5918.35</v>
      </c>
      <c r="AC17" s="22">
        <v>916.56200000000001</v>
      </c>
      <c r="AD17" s="22">
        <v>11.3</v>
      </c>
      <c r="AE17" s="22">
        <v>13.132</v>
      </c>
      <c r="AG17" s="17">
        <f t="shared" si="7"/>
        <v>12.143025</v>
      </c>
      <c r="AH17" s="18">
        <f t="shared" si="8"/>
        <v>0.38154435005027437</v>
      </c>
      <c r="AI17" s="18">
        <f t="shared" si="9"/>
        <v>0.11812140067853751</v>
      </c>
      <c r="AJ17" s="18">
        <f t="shared" si="10"/>
        <v>8.0634580504056266E-2</v>
      </c>
      <c r="AK17" s="18">
        <f t="shared" si="11"/>
        <v>0.26340527513513573</v>
      </c>
      <c r="AL17" s="15">
        <f t="shared" si="12"/>
        <v>4009952</v>
      </c>
      <c r="AM17" s="18">
        <f t="shared" si="13"/>
        <v>0.38018333660265519</v>
      </c>
      <c r="AN17" s="19">
        <v>34069247</v>
      </c>
      <c r="AO17" s="19">
        <v>1064663.96875</v>
      </c>
      <c r="AP17" s="19">
        <v>40680.875</v>
      </c>
      <c r="AQ17" s="20">
        <v>12952560</v>
      </c>
      <c r="AR17" s="20">
        <v>2737360</v>
      </c>
      <c r="AS17" s="20">
        <v>1272592</v>
      </c>
      <c r="AT17" s="20">
        <v>8942008</v>
      </c>
      <c r="AU17" s="21">
        <v>69.259833999999998</v>
      </c>
      <c r="AV17" s="21">
        <v>71.661615999999995</v>
      </c>
      <c r="AW17" s="21">
        <v>34.619777999999997</v>
      </c>
      <c r="AX17" s="21">
        <v>44.919091000000002</v>
      </c>
      <c r="AY17" s="21">
        <v>45.353890999999997</v>
      </c>
      <c r="AZ17" s="22">
        <v>5613.95</v>
      </c>
      <c r="BA17" s="22">
        <v>900.053</v>
      </c>
      <c r="BB17" s="22">
        <v>10.929</v>
      </c>
      <c r="BC17" s="22">
        <v>12.894</v>
      </c>
      <c r="BE17" s="23">
        <f t="shared" si="14"/>
        <v>0</v>
      </c>
      <c r="BF17" s="23">
        <f t="shared" si="15"/>
        <v>6.1833283457796151E-4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11752</v>
      </c>
    </row>
    <row r="18" spans="1:73" outlineLevel="1" x14ac:dyDescent="0.2">
      <c r="A18" s="25"/>
      <c r="B18" s="25" t="s">
        <v>278</v>
      </c>
      <c r="C18" s="26" t="s">
        <v>271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21.938617499999999</v>
      </c>
      <c r="J18" s="28">
        <f t="shared" si="1"/>
        <v>0.68933034026027906</v>
      </c>
      <c r="K18" s="28">
        <f t="shared" si="2"/>
        <v>0.15679498692666174</v>
      </c>
      <c r="L18" s="28">
        <f t="shared" si="3"/>
        <v>0.11965104694224218</v>
      </c>
      <c r="M18" s="28">
        <f t="shared" si="4"/>
        <v>0.53252097828784839</v>
      </c>
      <c r="N18" s="25">
        <f t="shared" si="5"/>
        <v>5322832</v>
      </c>
      <c r="O18" s="28">
        <f t="shared" si="6"/>
        <v>0.65778231668182252</v>
      </c>
      <c r="P18" s="29">
        <v>35575891</v>
      </c>
      <c r="Q18" s="29">
        <v>1111746.59375</v>
      </c>
      <c r="R18" s="29">
        <v>46456.625</v>
      </c>
      <c r="S18" s="30">
        <v>23401192</v>
      </c>
      <c r="T18" s="30">
        <v>4061880</v>
      </c>
      <c r="U18" s="30">
        <v>1260952</v>
      </c>
      <c r="V18" s="30">
        <v>18077872</v>
      </c>
      <c r="W18" s="31">
        <v>70.371646999999996</v>
      </c>
      <c r="X18" s="31">
        <v>72.992165999999997</v>
      </c>
      <c r="Y18" s="31">
        <v>37.274403</v>
      </c>
      <c r="Z18" s="31">
        <v>46.214531000000001</v>
      </c>
      <c r="AA18" s="31">
        <v>46.727243999999999</v>
      </c>
      <c r="AB18" s="32">
        <v>5612.09</v>
      </c>
      <c r="AC18" s="32">
        <v>1069.68</v>
      </c>
      <c r="AD18" s="32">
        <v>11.076000000000001</v>
      </c>
      <c r="AE18" s="32">
        <v>14.119</v>
      </c>
      <c r="AG18" s="27">
        <f t="shared" si="7"/>
        <v>21.949635000000001</v>
      </c>
      <c r="AH18" s="28">
        <f t="shared" si="8"/>
        <v>0.68967651964117294</v>
      </c>
      <c r="AI18" s="28">
        <f t="shared" si="9"/>
        <v>0.15713786711672342</v>
      </c>
      <c r="AJ18" s="28">
        <f t="shared" si="10"/>
        <v>0.11965104694224218</v>
      </c>
      <c r="AK18" s="28">
        <f t="shared" si="11"/>
        <v>0.53252097828784839</v>
      </c>
      <c r="AL18" s="25">
        <f t="shared" si="12"/>
        <v>5334472</v>
      </c>
      <c r="AM18" s="28">
        <f t="shared" si="13"/>
        <v>0.65811265275126907</v>
      </c>
      <c r="AN18" s="29">
        <v>35575891</v>
      </c>
      <c r="AO18" s="29">
        <v>1111746.59375</v>
      </c>
      <c r="AP18" s="29">
        <v>46456.625</v>
      </c>
      <c r="AQ18" s="30">
        <v>23412944</v>
      </c>
      <c r="AR18" s="30">
        <v>4061880</v>
      </c>
      <c r="AS18" s="30">
        <v>1272592</v>
      </c>
      <c r="AT18" s="30">
        <v>18077872</v>
      </c>
      <c r="AU18" s="31">
        <v>70.371646999999996</v>
      </c>
      <c r="AV18" s="31">
        <v>72.992165999999997</v>
      </c>
      <c r="AW18" s="31">
        <v>37.274403</v>
      </c>
      <c r="AX18" s="31">
        <v>46.214531000000001</v>
      </c>
      <c r="AY18" s="31">
        <v>46.727243999999999</v>
      </c>
      <c r="AZ18" s="32">
        <v>5754.62</v>
      </c>
      <c r="BA18" s="32">
        <v>1066.74</v>
      </c>
      <c r="BB18" s="32">
        <v>11.3</v>
      </c>
      <c r="BC18" s="32">
        <v>14.228</v>
      </c>
      <c r="BE18" s="33">
        <f t="shared" si="14"/>
        <v>0</v>
      </c>
      <c r="BF18" s="33">
        <f t="shared" si="15"/>
        <v>3.8298864307884095E-4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11752</v>
      </c>
    </row>
    <row r="19" spans="1:73" ht="16" outlineLevel="1" thickBot="1" x14ac:dyDescent="0.25">
      <c r="A19" s="15"/>
      <c r="B19" s="35" t="s">
        <v>278</v>
      </c>
      <c r="C19" s="36" t="s">
        <v>272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39.364139999999999</v>
      </c>
      <c r="J19" s="38">
        <f t="shared" si="1"/>
        <v>1.2368553314835478</v>
      </c>
      <c r="K19" s="38">
        <f t="shared" si="2"/>
        <v>0.25348130911185252</v>
      </c>
      <c r="L19" s="38">
        <f t="shared" si="3"/>
        <v>0.1837317017892042</v>
      </c>
      <c r="M19" s="38">
        <f t="shared" si="4"/>
        <v>0.98335964732592629</v>
      </c>
      <c r="N19" s="35">
        <f t="shared" si="5"/>
        <v>8605112</v>
      </c>
      <c r="O19" s="38">
        <f t="shared" si="6"/>
        <v>1.2438786434628779</v>
      </c>
      <c r="P19" s="39">
        <v>33756039</v>
      </c>
      <c r="Q19" s="39">
        <v>1054876.21875</v>
      </c>
      <c r="R19" s="39">
        <v>12599.21875</v>
      </c>
      <c r="S19" s="40">
        <v>41988416</v>
      </c>
      <c r="T19" s="40">
        <v>6237272</v>
      </c>
      <c r="U19" s="40">
        <v>2367840</v>
      </c>
      <c r="V19" s="40">
        <v>33382816</v>
      </c>
      <c r="W19" s="41">
        <v>71.717622000000006</v>
      </c>
      <c r="X19" s="41">
        <v>75.180034000000006</v>
      </c>
      <c r="Y19" s="41">
        <v>39.396805999999998</v>
      </c>
      <c r="Z19" s="41">
        <v>47.995384000000001</v>
      </c>
      <c r="AA19" s="41">
        <v>48.573436999999998</v>
      </c>
      <c r="AB19" s="42">
        <v>7784.08</v>
      </c>
      <c r="AC19" s="42">
        <v>1626.03</v>
      </c>
      <c r="AD19" s="42">
        <v>13.483000000000001</v>
      </c>
      <c r="AE19" s="42">
        <v>19.263000000000002</v>
      </c>
      <c r="AG19" s="37">
        <f t="shared" si="7"/>
        <v>39.375142500000003</v>
      </c>
      <c r="AH19" s="38">
        <f t="shared" si="8"/>
        <v>1.2372010395514657</v>
      </c>
      <c r="AI19" s="38">
        <f t="shared" si="9"/>
        <v>0.25382371798893816</v>
      </c>
      <c r="AJ19" s="38">
        <f t="shared" si="10"/>
        <v>0.1837317017892042</v>
      </c>
      <c r="AK19" s="38">
        <f t="shared" si="11"/>
        <v>0.98335964732592629</v>
      </c>
      <c r="AL19" s="35">
        <f t="shared" si="12"/>
        <v>8616736</v>
      </c>
      <c r="AM19" s="38">
        <f t="shared" si="13"/>
        <v>1.2442263145862582</v>
      </c>
      <c r="AN19" s="39">
        <v>33756039</v>
      </c>
      <c r="AO19" s="39">
        <v>1054876.21875</v>
      </c>
      <c r="AP19" s="39">
        <v>12599.21875</v>
      </c>
      <c r="AQ19" s="40">
        <v>42000152</v>
      </c>
      <c r="AR19" s="40">
        <v>6237272</v>
      </c>
      <c r="AS19" s="40">
        <v>2379464</v>
      </c>
      <c r="AT19" s="40">
        <v>33382816</v>
      </c>
      <c r="AU19" s="41">
        <v>71.717622000000006</v>
      </c>
      <c r="AV19" s="41">
        <v>75.180034000000006</v>
      </c>
      <c r="AW19" s="41">
        <v>39.396805999999998</v>
      </c>
      <c r="AX19" s="41">
        <v>47.995384000000001</v>
      </c>
      <c r="AY19" s="41">
        <v>48.573436999999998</v>
      </c>
      <c r="AZ19" s="42">
        <v>5677.19</v>
      </c>
      <c r="BA19" s="42">
        <v>1411</v>
      </c>
      <c r="BB19" s="42">
        <v>12.827</v>
      </c>
      <c r="BC19" s="42">
        <v>17.428000000000001</v>
      </c>
      <c r="BE19" s="43">
        <f t="shared" si="14"/>
        <v>0</v>
      </c>
      <c r="BF19" s="43">
        <f t="shared" si="15"/>
        <v>2.1949497887507885E-4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11736</v>
      </c>
    </row>
    <row r="20" spans="1:73" x14ac:dyDescent="0.2">
      <c r="A20" s="25"/>
      <c r="B20" s="25" t="s">
        <v>281</v>
      </c>
      <c r="C20" s="26" t="s">
        <v>268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5.3228249999999999</v>
      </c>
      <c r="J20" s="28">
        <f t="shared" si="1"/>
        <v>0.10576360625915661</v>
      </c>
      <c r="K20" s="28">
        <f t="shared" si="2"/>
        <v>5.9190472865532848E-2</v>
      </c>
      <c r="L20" s="28">
        <f t="shared" si="3"/>
        <v>2.9533267413116005E-2</v>
      </c>
      <c r="M20" s="28">
        <f t="shared" si="4"/>
        <v>4.6557982651344504E-2</v>
      </c>
      <c r="N20" s="25">
        <f t="shared" si="5"/>
        <v>1906504</v>
      </c>
      <c r="O20" s="28">
        <f t="shared" si="6"/>
        <v>0.11241760511133593</v>
      </c>
      <c r="P20" s="29">
        <v>30303154</v>
      </c>
      <c r="Q20" s="29">
        <v>946973.5625</v>
      </c>
      <c r="R20" s="29">
        <v>26807.09375</v>
      </c>
      <c r="S20" s="30">
        <v>3406608</v>
      </c>
      <c r="T20" s="30">
        <v>951256</v>
      </c>
      <c r="U20" s="30">
        <v>955248</v>
      </c>
      <c r="V20" s="30">
        <v>1499616</v>
      </c>
      <c r="W20" s="31">
        <v>67.103863000000004</v>
      </c>
      <c r="X20" s="31">
        <v>68.766583999999995</v>
      </c>
      <c r="Y20" s="31">
        <v>30.883769000000001</v>
      </c>
      <c r="Z20" s="31">
        <v>39.547105999999999</v>
      </c>
      <c r="AA20" s="31">
        <v>38.427787000000002</v>
      </c>
      <c r="AB20" s="32">
        <v>7863.64</v>
      </c>
      <c r="AC20" s="32">
        <v>870.45600000000002</v>
      </c>
      <c r="AD20" s="32">
        <v>10.134</v>
      </c>
      <c r="AE20" s="32">
        <v>12.763</v>
      </c>
      <c r="AG20" s="27">
        <f t="shared" si="7"/>
        <v>5.3389125000000002</v>
      </c>
      <c r="AH20" s="28">
        <f t="shared" si="8"/>
        <v>0.1060832620839666</v>
      </c>
      <c r="AI20" s="28">
        <f t="shared" si="9"/>
        <v>5.9506651470803328E-2</v>
      </c>
      <c r="AJ20" s="28">
        <f t="shared" si="10"/>
        <v>2.9533267413116005E-2</v>
      </c>
      <c r="AK20" s="28">
        <f t="shared" si="11"/>
        <v>4.6557982651344504E-2</v>
      </c>
      <c r="AL20" s="25">
        <f t="shared" si="12"/>
        <v>1916688</v>
      </c>
      <c r="AM20" s="28">
        <f t="shared" si="13"/>
        <v>0.11275737172440863</v>
      </c>
      <c r="AN20" s="29">
        <v>30303154</v>
      </c>
      <c r="AO20" s="29">
        <v>946973.5625</v>
      </c>
      <c r="AP20" s="29">
        <v>26807.09375</v>
      </c>
      <c r="AQ20" s="30">
        <v>3416904</v>
      </c>
      <c r="AR20" s="30">
        <v>951256</v>
      </c>
      <c r="AS20" s="30">
        <v>965432</v>
      </c>
      <c r="AT20" s="30">
        <v>1499616</v>
      </c>
      <c r="AU20" s="31">
        <v>67.103863000000004</v>
      </c>
      <c r="AV20" s="31">
        <v>68.766583999999995</v>
      </c>
      <c r="AW20" s="31">
        <v>30.883769000000001</v>
      </c>
      <c r="AX20" s="31">
        <v>39.547105999999999</v>
      </c>
      <c r="AY20" s="31">
        <v>38.427787000000002</v>
      </c>
      <c r="AZ20" s="32">
        <v>7964.72</v>
      </c>
      <c r="BA20" s="32">
        <v>864.34900000000005</v>
      </c>
      <c r="BB20" s="32">
        <v>10.222</v>
      </c>
      <c r="BC20" s="32">
        <v>12.178000000000001</v>
      </c>
      <c r="BE20" s="33">
        <f t="shared" si="14"/>
        <v>0</v>
      </c>
      <c r="BF20" s="33">
        <f t="shared" si="15"/>
        <v>1.2941119196746564E-3</v>
      </c>
      <c r="BG20" s="33">
        <f t="array" ref="BG20">AVERAGE(AL20:AL24/AQ20:AQ24) - AVERAGE(N20:N24/S20:S24)</f>
        <v>7.9282756629467377E-4</v>
      </c>
      <c r="BI20" s="34">
        <f>IF( OR(ISBLANK(N20:N24),ISBLANK(AL20:AL24), ISBLANK(W20:W24),ISBLANK(AU20:AU24)), "·", bdRateExtend( N20:N24,W20:W24, AL20:AL24,AU20:AU24))</f>
        <v>3.6810448578390442E-3</v>
      </c>
      <c r="BJ20" s="34">
        <f>IF( OR(ISBLANK(N20:N24),ISBLANK(AL20:AL24), ISBLANK(X20:X24),ISBLANK(AV20:AV24)), "·", bdRateExtend( N20:N24,X20:X24, AL20:AL24,AV20:AV24))</f>
        <v>3.5086734047085066E-3</v>
      </c>
      <c r="BK20" s="34">
        <f>IF( OR(ISBLANK(V20:V24),ISBLANK(AT20:AT24), ISBLANK(Y20:Y24),ISBLANK(AW20:AW24)), "·", bdRateExtend( V20:V24,Y20:Y24, AT20:AT24,AW20:AW24))</f>
        <v>0</v>
      </c>
      <c r="BL20" s="34">
        <f>IF( OR(ISBLANK(V20:V24),ISBLANK(AT20:AT24), ISBLANK(Z20:Z24),ISBLANK(AX20:AX24)), "·", bdRateExtend( V20:V24,Z20:Z24, AT20:AT24,AX20:AX24))</f>
        <v>0</v>
      </c>
      <c r="BM20" s="34">
        <f>IF( OR(ISBLANK(V20:V24),ISBLANK(AT20:AT24), ISBLANK(AA20:AA24),ISBLANK(AY20:AY24)), "·", bdRateExtend( V20:V24,AA20:AA24, AT20:AT24,AY20:AY24))</f>
        <v>0</v>
      </c>
      <c r="BO20" s="34">
        <f>IF( OR(ISBLANK(S20:S24),ISBLANK(AQ20:AQ24), ISBLANK(W20:W24),ISBLANK(AU20:AU24)), "·", bdRateExtend( S20:S24,W20:W24, AQ20:AQ24,AU20:AU24))</f>
        <v>1.4168807588914589E-3</v>
      </c>
      <c r="BP20" s="34">
        <f>IF( OR(ISBLANK(S20:S24),ISBLANK(AQ20:AQ24), ISBLANK(X20:X24),ISBLANK(AV20:AV24)), "·", bdRateExtend( S20:S24,X20:X24, AQ20:AQ24,AV20:AV24))</f>
        <v>1.3107377256955655E-3</v>
      </c>
      <c r="BQ20" s="34">
        <f>IF( OR(ISBLANK(S20:S24),ISBLANK(AQ20:AQ24), ISBLANK(Y20:Y24),ISBLANK(AW20:AW24)), "·", bdRateExtend( S20:S24,Y20:Y24, AQ20:AQ24,AW20:AW24))</f>
        <v>1.4437574578123336E-3</v>
      </c>
      <c r="BR20" s="34">
        <f>IF( OR(ISBLANK(S20:S24),ISBLANK(AQ20:AQ24), ISBLANK(Z20:Z24),ISBLANK(AX20:AX24)), "·", bdRateExtend( S20:S24,Z20:Z24, AQ20:AQ24,AX20:AX24))</f>
        <v>1.3433794396768839E-3</v>
      </c>
      <c r="BS20" s="34">
        <f>IF( OR(ISBLANK(S20:S24),ISBLANK(AQ20:AQ24), ISBLANK(AA20:AA24),ISBLANK(AY20:AY24)), "·", bdRateExtend( S20:S24,AA20:AA24, AQ20:AQ24,AY20:AY24))</f>
        <v>1.432820853864758E-3</v>
      </c>
      <c r="BU20" s="4">
        <f t="shared" si="16"/>
        <v>10296</v>
      </c>
    </row>
    <row r="21" spans="1:73" outlineLevel="1" x14ac:dyDescent="0.2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8.3737124999999999</v>
      </c>
      <c r="J21" s="18">
        <f t="shared" si="1"/>
        <v>0.166384209846722</v>
      </c>
      <c r="K21" s="18">
        <f t="shared" si="2"/>
        <v>6.9988978145457861E-2</v>
      </c>
      <c r="L21" s="18">
        <f t="shared" si="3"/>
        <v>4.0331772693041022E-2</v>
      </c>
      <c r="M21" s="18">
        <f t="shared" si="4"/>
        <v>9.6380080958984857E-2</v>
      </c>
      <c r="N21" s="15">
        <f t="shared" si="5"/>
        <v>2254320</v>
      </c>
      <c r="O21" s="18">
        <f t="shared" si="6"/>
        <v>0.16968316422143917</v>
      </c>
      <c r="P21" s="19">
        <v>31583428</v>
      </c>
      <c r="Q21" s="19">
        <v>986982.125</v>
      </c>
      <c r="R21" s="19">
        <v>32403.6875</v>
      </c>
      <c r="S21" s="20">
        <v>5359176</v>
      </c>
      <c r="T21" s="20">
        <v>1299072</v>
      </c>
      <c r="U21" s="20">
        <v>955248</v>
      </c>
      <c r="V21" s="20">
        <v>3104368</v>
      </c>
      <c r="W21" s="21">
        <v>68.653569000000005</v>
      </c>
      <c r="X21" s="21">
        <v>70.726896999999994</v>
      </c>
      <c r="Y21" s="21">
        <v>32.778294000000002</v>
      </c>
      <c r="Z21" s="21">
        <v>40.710493999999997</v>
      </c>
      <c r="AA21" s="21">
        <v>39.725534000000003</v>
      </c>
      <c r="AB21" s="22">
        <v>5803.99</v>
      </c>
      <c r="AC21" s="22">
        <v>802.33</v>
      </c>
      <c r="AD21" s="22">
        <v>9.6519999999999992</v>
      </c>
      <c r="AE21" s="22">
        <v>11.468</v>
      </c>
      <c r="AG21" s="17">
        <f t="shared" si="7"/>
        <v>8.3897999999999993</v>
      </c>
      <c r="AH21" s="18">
        <f t="shared" si="8"/>
        <v>0.16670386567153198</v>
      </c>
      <c r="AI21" s="18">
        <f t="shared" si="9"/>
        <v>7.0305156750728348E-2</v>
      </c>
      <c r="AJ21" s="18">
        <f t="shared" si="10"/>
        <v>4.0331772693041022E-2</v>
      </c>
      <c r="AK21" s="18">
        <f t="shared" si="11"/>
        <v>9.6380080958984857E-2</v>
      </c>
      <c r="AL21" s="15">
        <f t="shared" si="12"/>
        <v>2264504</v>
      </c>
      <c r="AM21" s="18">
        <f t="shared" si="13"/>
        <v>0.17000915796727323</v>
      </c>
      <c r="AN21" s="19">
        <v>31583428</v>
      </c>
      <c r="AO21" s="19">
        <v>986982.125</v>
      </c>
      <c r="AP21" s="19">
        <v>32403.6875</v>
      </c>
      <c r="AQ21" s="20">
        <v>5369472</v>
      </c>
      <c r="AR21" s="20">
        <v>1299072</v>
      </c>
      <c r="AS21" s="20">
        <v>965432</v>
      </c>
      <c r="AT21" s="20">
        <v>3104368</v>
      </c>
      <c r="AU21" s="21">
        <v>68.653569000000005</v>
      </c>
      <c r="AV21" s="21">
        <v>70.726896999999994</v>
      </c>
      <c r="AW21" s="21">
        <v>32.778294000000002</v>
      </c>
      <c r="AX21" s="21">
        <v>40.710493999999997</v>
      </c>
      <c r="AY21" s="21">
        <v>39.725534000000003</v>
      </c>
      <c r="AZ21" s="22">
        <v>5704.6</v>
      </c>
      <c r="BA21" s="22">
        <v>753.77700000000004</v>
      </c>
      <c r="BB21" s="22">
        <v>9.2360000000000007</v>
      </c>
      <c r="BC21" s="22">
        <v>10.645</v>
      </c>
      <c r="BE21" s="23">
        <f t="shared" si="14"/>
        <v>0</v>
      </c>
      <c r="BF21" s="23">
        <f t="shared" si="15"/>
        <v>1.0900552230741489E-3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10296</v>
      </c>
    </row>
    <row r="22" spans="1:73" outlineLevel="1" x14ac:dyDescent="0.2">
      <c r="A22" s="25"/>
      <c r="B22" s="25" t="s">
        <v>281</v>
      </c>
      <c r="C22" s="26" t="s">
        <v>270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13.88165</v>
      </c>
      <c r="J22" s="28">
        <f t="shared" si="1"/>
        <v>0.27582596926019948</v>
      </c>
      <c r="K22" s="28">
        <f t="shared" si="2"/>
        <v>8.6562896707672296E-2</v>
      </c>
      <c r="L22" s="28">
        <f t="shared" si="3"/>
        <v>5.690569125525545E-2</v>
      </c>
      <c r="M22" s="28">
        <f t="shared" si="4"/>
        <v>0.18924792181024794</v>
      </c>
      <c r="N22" s="25">
        <f t="shared" si="5"/>
        <v>2788160</v>
      </c>
      <c r="O22" s="28">
        <f t="shared" si="6"/>
        <v>0.26942795064612779</v>
      </c>
      <c r="P22" s="29">
        <v>32974515</v>
      </c>
      <c r="Q22" s="29">
        <v>1030453.59375</v>
      </c>
      <c r="R22" s="29">
        <v>34861.53125</v>
      </c>
      <c r="S22" s="30">
        <v>8884256</v>
      </c>
      <c r="T22" s="30">
        <v>1832912</v>
      </c>
      <c r="U22" s="30">
        <v>955248</v>
      </c>
      <c r="V22" s="30">
        <v>6095608</v>
      </c>
      <c r="W22" s="31">
        <v>69.827759</v>
      </c>
      <c r="X22" s="31">
        <v>72.231250000000003</v>
      </c>
      <c r="Y22" s="31">
        <v>34.634734000000002</v>
      </c>
      <c r="Z22" s="31">
        <v>41.767144000000002</v>
      </c>
      <c r="AA22" s="31">
        <v>40.768300000000004</v>
      </c>
      <c r="AB22" s="32">
        <v>5719.59</v>
      </c>
      <c r="AC22" s="32">
        <v>800.59799999999996</v>
      </c>
      <c r="AD22" s="32">
        <v>8.9730000000000008</v>
      </c>
      <c r="AE22" s="32">
        <v>10.836</v>
      </c>
      <c r="AG22" s="27">
        <f t="shared" si="7"/>
        <v>13.8977375</v>
      </c>
      <c r="AH22" s="28">
        <f t="shared" si="8"/>
        <v>0.27614562508500951</v>
      </c>
      <c r="AI22" s="28">
        <f t="shared" si="9"/>
        <v>8.6879075312942769E-2</v>
      </c>
      <c r="AJ22" s="28">
        <f t="shared" si="10"/>
        <v>5.690569125525545E-2</v>
      </c>
      <c r="AK22" s="28">
        <f t="shared" si="11"/>
        <v>0.18924792181024794</v>
      </c>
      <c r="AL22" s="25">
        <f t="shared" si="12"/>
        <v>2798344</v>
      </c>
      <c r="AM22" s="28">
        <f t="shared" si="13"/>
        <v>0.26974019178144093</v>
      </c>
      <c r="AN22" s="29">
        <v>32974515</v>
      </c>
      <c r="AO22" s="29">
        <v>1030453.59375</v>
      </c>
      <c r="AP22" s="29">
        <v>34861.53125</v>
      </c>
      <c r="AQ22" s="30">
        <v>8894552</v>
      </c>
      <c r="AR22" s="30">
        <v>1832912</v>
      </c>
      <c r="AS22" s="30">
        <v>965432</v>
      </c>
      <c r="AT22" s="30">
        <v>6095608</v>
      </c>
      <c r="AU22" s="31">
        <v>69.827759</v>
      </c>
      <c r="AV22" s="31">
        <v>72.231250000000003</v>
      </c>
      <c r="AW22" s="31">
        <v>34.634734000000002</v>
      </c>
      <c r="AX22" s="31">
        <v>41.767144000000002</v>
      </c>
      <c r="AY22" s="31">
        <v>40.768300000000004</v>
      </c>
      <c r="AZ22" s="32">
        <v>5702.72</v>
      </c>
      <c r="BA22" s="32">
        <v>808.06600000000003</v>
      </c>
      <c r="BB22" s="32">
        <v>9.1690000000000005</v>
      </c>
      <c r="BC22" s="32">
        <v>10.978</v>
      </c>
      <c r="BE22" s="33">
        <f t="shared" si="14"/>
        <v>0</v>
      </c>
      <c r="BF22" s="33">
        <f t="shared" si="15"/>
        <v>7.8169087835278095E-4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10296</v>
      </c>
    </row>
    <row r="23" spans="1:73" outlineLevel="1" x14ac:dyDescent="0.2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24.2313875</v>
      </c>
      <c r="J23" s="18">
        <f t="shared" si="1"/>
        <v>0.48147345191003826</v>
      </c>
      <c r="K23" s="18">
        <f t="shared" si="2"/>
        <v>0.11507088110228356</v>
      </c>
      <c r="L23" s="18">
        <f t="shared" si="3"/>
        <v>8.5413675649866724E-2</v>
      </c>
      <c r="M23" s="18">
        <f t="shared" si="4"/>
        <v>0.36638742006547542</v>
      </c>
      <c r="N23" s="15">
        <f t="shared" si="5"/>
        <v>3706392</v>
      </c>
      <c r="O23" s="18">
        <f t="shared" si="6"/>
        <v>0.47082482862489416</v>
      </c>
      <c r="P23" s="19">
        <v>32938127</v>
      </c>
      <c r="Q23" s="19">
        <v>1029316.46875</v>
      </c>
      <c r="R23" s="19">
        <v>36440.34375</v>
      </c>
      <c r="S23" s="20">
        <v>15508088</v>
      </c>
      <c r="T23" s="20">
        <v>2751144</v>
      </c>
      <c r="U23" s="20">
        <v>955248</v>
      </c>
      <c r="V23" s="20">
        <v>11801208</v>
      </c>
      <c r="W23" s="21">
        <v>70.835047000000003</v>
      </c>
      <c r="X23" s="21">
        <v>73.564886999999999</v>
      </c>
      <c r="Y23" s="21">
        <v>36.275627999999998</v>
      </c>
      <c r="Z23" s="21">
        <v>42.950709000000003</v>
      </c>
      <c r="AA23" s="21">
        <v>41.865108999999997</v>
      </c>
      <c r="AB23" s="22">
        <v>7721.42</v>
      </c>
      <c r="AC23" s="22">
        <v>1155.3399999999999</v>
      </c>
      <c r="AD23" s="22">
        <v>10.798</v>
      </c>
      <c r="AE23" s="22">
        <v>14.477</v>
      </c>
      <c r="AG23" s="17">
        <f t="shared" si="7"/>
        <v>24.247475000000001</v>
      </c>
      <c r="AH23" s="18">
        <f t="shared" si="8"/>
        <v>0.48179310773484824</v>
      </c>
      <c r="AI23" s="18">
        <f t="shared" si="9"/>
        <v>0.11538705970755404</v>
      </c>
      <c r="AJ23" s="18">
        <f t="shared" si="10"/>
        <v>8.5413675649866724E-2</v>
      </c>
      <c r="AK23" s="18">
        <f t="shared" si="11"/>
        <v>0.36638742006547542</v>
      </c>
      <c r="AL23" s="15">
        <f t="shared" si="12"/>
        <v>3716576</v>
      </c>
      <c r="AM23" s="18">
        <f t="shared" si="13"/>
        <v>0.47113741470484949</v>
      </c>
      <c r="AN23" s="19">
        <v>32938127</v>
      </c>
      <c r="AO23" s="19">
        <v>1029316.46875</v>
      </c>
      <c r="AP23" s="19">
        <v>36440.34375</v>
      </c>
      <c r="AQ23" s="20">
        <v>15518384</v>
      </c>
      <c r="AR23" s="20">
        <v>2751144</v>
      </c>
      <c r="AS23" s="20">
        <v>965432</v>
      </c>
      <c r="AT23" s="20">
        <v>11801208</v>
      </c>
      <c r="AU23" s="21">
        <v>70.835047000000003</v>
      </c>
      <c r="AV23" s="21">
        <v>73.564886999999999</v>
      </c>
      <c r="AW23" s="21">
        <v>36.275627999999998</v>
      </c>
      <c r="AX23" s="21">
        <v>42.950709000000003</v>
      </c>
      <c r="AY23" s="21">
        <v>41.865108999999997</v>
      </c>
      <c r="AZ23" s="22">
        <v>7830.02</v>
      </c>
      <c r="BA23" s="22">
        <v>1139.45</v>
      </c>
      <c r="BB23" s="22">
        <v>10.821999999999999</v>
      </c>
      <c r="BC23" s="22">
        <v>14.606</v>
      </c>
      <c r="BE23" s="23">
        <f t="shared" si="14"/>
        <v>0</v>
      </c>
      <c r="BF23" s="23">
        <f t="shared" si="15"/>
        <v>4.976860504046221E-4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10296</v>
      </c>
    </row>
    <row r="24" spans="1:73" ht="16" outlineLevel="1" thickBot="1" x14ac:dyDescent="0.25">
      <c r="A24" s="45"/>
      <c r="B24" s="45" t="s">
        <v>281</v>
      </c>
      <c r="C24" s="46" t="s">
        <v>272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40.199125000000002</v>
      </c>
      <c r="J24" s="48">
        <f t="shared" si="1"/>
        <v>0.7987496166908773</v>
      </c>
      <c r="K24" s="48">
        <f t="shared" si="2"/>
        <v>0.19033827850870622</v>
      </c>
      <c r="L24" s="48">
        <f t="shared" si="3"/>
        <v>0.13225728704909892</v>
      </c>
      <c r="M24" s="48">
        <f t="shared" si="4"/>
        <v>0.60839618743989188</v>
      </c>
      <c r="N24" s="45">
        <f t="shared" si="5"/>
        <v>6130728</v>
      </c>
      <c r="O24" s="48">
        <f t="shared" si="6"/>
        <v>0.8146984837500405</v>
      </c>
      <c r="P24" s="49">
        <v>31579094</v>
      </c>
      <c r="Q24" s="49">
        <v>986846.6875</v>
      </c>
      <c r="R24" s="49">
        <v>10430.03125</v>
      </c>
      <c r="S24" s="50">
        <v>25727440</v>
      </c>
      <c r="T24" s="50">
        <v>4259960</v>
      </c>
      <c r="U24" s="50">
        <v>1870768</v>
      </c>
      <c r="V24" s="50">
        <v>19596224</v>
      </c>
      <c r="W24" s="51">
        <v>72.172228000000004</v>
      </c>
      <c r="X24" s="51">
        <v>75.996465999999998</v>
      </c>
      <c r="Y24" s="51">
        <v>37.513769000000003</v>
      </c>
      <c r="Z24" s="51">
        <v>44.073138</v>
      </c>
      <c r="AA24" s="51">
        <v>42.776294</v>
      </c>
      <c r="AB24" s="52">
        <v>5526.84</v>
      </c>
      <c r="AC24" s="52">
        <v>1074.53</v>
      </c>
      <c r="AD24" s="52">
        <v>9.7970000000000006</v>
      </c>
      <c r="AE24" s="52">
        <v>12.731999999999999</v>
      </c>
      <c r="AG24" s="47">
        <f t="shared" si="7"/>
        <v>40.215224999999997</v>
      </c>
      <c r="AH24" s="48">
        <f t="shared" si="8"/>
        <v>0.79906952088851158</v>
      </c>
      <c r="AI24" s="48">
        <f t="shared" si="9"/>
        <v>0.19065470548680097</v>
      </c>
      <c r="AJ24" s="48">
        <f t="shared" si="10"/>
        <v>0.13225728704909892</v>
      </c>
      <c r="AK24" s="48">
        <f t="shared" si="11"/>
        <v>0.60839618743989188</v>
      </c>
      <c r="AL24" s="45">
        <f t="shared" si="12"/>
        <v>6140920</v>
      </c>
      <c r="AM24" s="48">
        <f t="shared" si="13"/>
        <v>0.81502477556829211</v>
      </c>
      <c r="AN24" s="49">
        <v>31579094</v>
      </c>
      <c r="AO24" s="49">
        <v>986846.6875</v>
      </c>
      <c r="AP24" s="49">
        <v>10430.03125</v>
      </c>
      <c r="AQ24" s="50">
        <v>25737744</v>
      </c>
      <c r="AR24" s="50">
        <v>4259960</v>
      </c>
      <c r="AS24" s="50">
        <v>1880960</v>
      </c>
      <c r="AT24" s="50">
        <v>19596224</v>
      </c>
      <c r="AU24" s="51">
        <v>72.172228000000004</v>
      </c>
      <c r="AV24" s="51">
        <v>75.996465999999998</v>
      </c>
      <c r="AW24" s="51">
        <v>37.513769000000003</v>
      </c>
      <c r="AX24" s="51">
        <v>44.073138</v>
      </c>
      <c r="AY24" s="51">
        <v>42.776294</v>
      </c>
      <c r="AZ24" s="52">
        <v>5801.1</v>
      </c>
      <c r="BA24" s="52">
        <v>1048.43</v>
      </c>
      <c r="BB24" s="52">
        <v>9.5120000000000005</v>
      </c>
      <c r="BC24" s="52">
        <v>12.456</v>
      </c>
      <c r="BE24" s="53">
        <f t="shared" si="14"/>
        <v>0</v>
      </c>
      <c r="BF24" s="53">
        <f t="shared" si="15"/>
        <v>3.005937599670494E-4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10304</v>
      </c>
    </row>
    <row r="25" spans="1:73" x14ac:dyDescent="0.2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4.7289525000000001</v>
      </c>
      <c r="J25" s="18">
        <f t="shared" si="1"/>
        <v>0.19927839342665463</v>
      </c>
      <c r="K25" s="18">
        <f t="shared" si="2"/>
        <v>6.9528904559376575E-2</v>
      </c>
      <c r="L25" s="18">
        <f t="shared" si="3"/>
        <v>3.8049007427503542E-2</v>
      </c>
      <c r="M25" s="18">
        <f t="shared" si="4"/>
        <v>0.12973020978486124</v>
      </c>
      <c r="N25" s="15">
        <f t="shared" si="5"/>
        <v>1759944</v>
      </c>
      <c r="O25" s="18">
        <f t="shared" si="6"/>
        <v>0.21758178809718123</v>
      </c>
      <c r="P25" s="19">
        <v>23183080</v>
      </c>
      <c r="Q25" s="19">
        <v>724471.25</v>
      </c>
      <c r="R25" s="19">
        <v>18224.9375</v>
      </c>
      <c r="S25" s="20">
        <v>5044216</v>
      </c>
      <c r="T25" s="20">
        <v>963112</v>
      </c>
      <c r="U25" s="20">
        <v>796832</v>
      </c>
      <c r="V25" s="20">
        <v>3283784</v>
      </c>
      <c r="W25" s="21">
        <v>66.230093999999994</v>
      </c>
      <c r="X25" s="21">
        <v>68.019478000000007</v>
      </c>
      <c r="Y25" s="21">
        <v>27.515487</v>
      </c>
      <c r="Z25" s="21">
        <v>33.300831000000002</v>
      </c>
      <c r="AA25" s="21">
        <v>32.748193999999998</v>
      </c>
      <c r="AB25" s="22">
        <v>6042.39</v>
      </c>
      <c r="AC25" s="22">
        <v>1176.67</v>
      </c>
      <c r="AD25" s="22">
        <v>9.548</v>
      </c>
      <c r="AE25" s="22">
        <v>16.905999999999999</v>
      </c>
      <c r="AG25" s="17">
        <f t="shared" si="7"/>
        <v>4.7359049999999998</v>
      </c>
      <c r="AH25" s="18">
        <f t="shared" si="8"/>
        <v>0.1995713722692839</v>
      </c>
      <c r="AI25" s="18">
        <f t="shared" si="9"/>
        <v>6.9817458694565918E-2</v>
      </c>
      <c r="AJ25" s="18">
        <f t="shared" si="10"/>
        <v>3.8049007427503542E-2</v>
      </c>
      <c r="AK25" s="18">
        <f t="shared" si="11"/>
        <v>0.12973020978486124</v>
      </c>
      <c r="AL25" s="15">
        <f t="shared" si="12"/>
        <v>1767248</v>
      </c>
      <c r="AM25" s="18">
        <f t="shared" si="13"/>
        <v>0.21790167656756565</v>
      </c>
      <c r="AN25" s="19">
        <v>23183080</v>
      </c>
      <c r="AO25" s="19">
        <v>724471.25</v>
      </c>
      <c r="AP25" s="19">
        <v>18224.9375</v>
      </c>
      <c r="AQ25" s="20">
        <v>5051632</v>
      </c>
      <c r="AR25" s="20">
        <v>963112</v>
      </c>
      <c r="AS25" s="20">
        <v>804136</v>
      </c>
      <c r="AT25" s="20">
        <v>3283784</v>
      </c>
      <c r="AU25" s="21">
        <v>66.230093999999994</v>
      </c>
      <c r="AV25" s="21">
        <v>68.019478000000007</v>
      </c>
      <c r="AW25" s="21">
        <v>27.515487</v>
      </c>
      <c r="AX25" s="21">
        <v>33.300831000000002</v>
      </c>
      <c r="AY25" s="21">
        <v>32.748193999999998</v>
      </c>
      <c r="AZ25" s="22">
        <v>4405.1099999999997</v>
      </c>
      <c r="BA25" s="22">
        <v>990.25900000000001</v>
      </c>
      <c r="BB25" s="22">
        <v>8.8290000000000006</v>
      </c>
      <c r="BC25" s="22">
        <v>15.334</v>
      </c>
      <c r="BE25" s="23">
        <f t="shared" si="14"/>
        <v>0</v>
      </c>
      <c r="BF25" s="23">
        <f t="shared" si="15"/>
        <v>9.3366511086756532E-4</v>
      </c>
      <c r="BG25" s="23">
        <f t="array" ref="BG25">AVERAGE(AL25:AL29/AQ25:AQ29) - AVERAGE(N25:N29/S25:S29)</f>
        <v>4.5796625840957561E-4</v>
      </c>
      <c r="BI25" s="24">
        <f>IF( OR(ISBLANK(N25:N29),ISBLANK(AL25:AL29), ISBLANK(W25:W29),ISBLANK(AU25:AU29)), "·", bdRateExtend( N25:N29,W25:W29, AL25:AL29,AU25:AU29))</f>
        <v>2.8552907355554602E-3</v>
      </c>
      <c r="BJ25" s="24">
        <f>IF( OR(ISBLANK(N25:N29),ISBLANK(AL25:AL29), ISBLANK(X25:X29),ISBLANK(AV25:AV29)), "·", bdRateExtend( N25:N29,X25:X29, AL25:AL29,AV25:AV29))</f>
        <v>2.7247412659574533E-3</v>
      </c>
      <c r="BK25" s="24">
        <f>IF( OR(ISBLANK(V25:V29),ISBLANK(AT25:AT29), ISBLANK(Y25:Y29),ISBLANK(AW25:AW29)), "·", bdRateExtend( V25:V29,Y25:Y29, AT25:AT29,AW25:AW29))</f>
        <v>0</v>
      </c>
      <c r="BL25" s="24">
        <f>IF( OR(ISBLANK(V25:V29),ISBLANK(AT25:AT29), ISBLANK(Z25:Z29),ISBLANK(AX25:AX29)), "·", bdRateExtend( V25:V29,Z25:Z29, AT25:AT29,AX25:AX29))</f>
        <v>0</v>
      </c>
      <c r="BM25" s="24">
        <f>IF( OR(ISBLANK(V25:V29),ISBLANK(AT25:AT29), ISBLANK(AA25:AA29),ISBLANK(AY25:AY29)), "·", bdRateExtend( V25:V29,AA25:AA29, AT25:AT29,AY25:AY29))</f>
        <v>0</v>
      </c>
      <c r="BO25" s="24">
        <f>IF( OR(ISBLANK(S25:S29),ISBLANK(AQ25:AQ29), ISBLANK(W25:W29),ISBLANK(AU25:AU29)), "·", bdRateExtend( S25:S29,W25:W29, AQ25:AQ29,AU25:AU29))</f>
        <v>6.4791879371872696E-4</v>
      </c>
      <c r="BP25" s="24">
        <f>IF( OR(ISBLANK(S25:S29),ISBLANK(AQ25:AQ29), ISBLANK(X25:X29),ISBLANK(AV25:AV29)), "·", bdRateExtend( S25:S29,X25:X29, AQ25:AQ29,AV25:AV29))</f>
        <v>5.9287927132056772E-4</v>
      </c>
      <c r="BQ25" s="24">
        <f>IF( OR(ISBLANK(S25:S29),ISBLANK(AQ25:AQ29), ISBLANK(Y25:Y29),ISBLANK(AW25:AW29)), "·", bdRateExtend( S25:S29,Y25:Y29, AQ25:AQ29,AW25:AW29))</f>
        <v>6.1309721883384682E-4</v>
      </c>
      <c r="BR25" s="24">
        <f>IF( OR(ISBLANK(S25:S29),ISBLANK(AQ25:AQ29), ISBLANK(Z25:Z29),ISBLANK(AX25:AX29)), "·", bdRateExtend( S25:S29,Z25:Z29, AQ25:AQ29,AX25:AX29))</f>
        <v>4.9738526340181721E-4</v>
      </c>
      <c r="BS25" s="24">
        <f>IF( OR(ISBLANK(S25:S29),ISBLANK(AQ25:AQ29), ISBLANK(AA25:AA29),ISBLANK(AY25:AY29)), "·", bdRateExtend( S25:S29,AA25:AA29, AQ25:AQ29,AY25:AY29))</f>
        <v>5.25362447750366E-4</v>
      </c>
      <c r="BU25" s="4">
        <f t="shared" si="16"/>
        <v>7416</v>
      </c>
    </row>
    <row r="26" spans="1:73" outlineLevel="1" x14ac:dyDescent="0.2">
      <c r="A26" s="25"/>
      <c r="B26" s="25" t="s">
        <v>284</v>
      </c>
      <c r="C26" s="26" t="s">
        <v>269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8.1418424999999992</v>
      </c>
      <c r="J26" s="28">
        <f t="shared" si="1"/>
        <v>0.34309781985182919</v>
      </c>
      <c r="K26" s="28">
        <f t="shared" si="2"/>
        <v>8.411937734252703E-2</v>
      </c>
      <c r="L26" s="28">
        <f t="shared" si="3"/>
        <v>5.2639480210654004E-2</v>
      </c>
      <c r="M26" s="28">
        <f t="shared" si="4"/>
        <v>0.25895916342688535</v>
      </c>
      <c r="N26" s="25">
        <f t="shared" si="5"/>
        <v>2129264</v>
      </c>
      <c r="O26" s="28">
        <f t="shared" si="6"/>
        <v>0.34784411421417766</v>
      </c>
      <c r="P26" s="29">
        <v>24967023</v>
      </c>
      <c r="Q26" s="29">
        <v>780219.46875</v>
      </c>
      <c r="R26" s="29">
        <v>23123.8125</v>
      </c>
      <c r="S26" s="30">
        <v>8684632</v>
      </c>
      <c r="T26" s="30">
        <v>1332432</v>
      </c>
      <c r="U26" s="30">
        <v>796832</v>
      </c>
      <c r="V26" s="30">
        <v>6554880</v>
      </c>
      <c r="W26" s="31">
        <v>68.016097000000002</v>
      </c>
      <c r="X26" s="31">
        <v>69.984802999999999</v>
      </c>
      <c r="Y26" s="31">
        <v>29.931574999999999</v>
      </c>
      <c r="Z26" s="31">
        <v>34.483519000000001</v>
      </c>
      <c r="AA26" s="31">
        <v>34.063899999999997</v>
      </c>
      <c r="AB26" s="32">
        <v>4671.78</v>
      </c>
      <c r="AC26" s="32">
        <v>964.98099999999999</v>
      </c>
      <c r="AD26" s="32">
        <v>8.0939999999999994</v>
      </c>
      <c r="AE26" s="32">
        <v>14.894</v>
      </c>
      <c r="AG26" s="27">
        <f t="shared" si="7"/>
        <v>8.1487949999999998</v>
      </c>
      <c r="AH26" s="28">
        <f t="shared" si="8"/>
        <v>0.34339079869445849</v>
      </c>
      <c r="AI26" s="28">
        <f t="shared" si="9"/>
        <v>8.4407931477716386E-2</v>
      </c>
      <c r="AJ26" s="28">
        <f t="shared" si="10"/>
        <v>5.2639480210654004E-2</v>
      </c>
      <c r="AK26" s="28">
        <f t="shared" si="11"/>
        <v>0.25895916342688535</v>
      </c>
      <c r="AL26" s="25">
        <f t="shared" si="12"/>
        <v>2136568</v>
      </c>
      <c r="AM26" s="28">
        <f t="shared" si="13"/>
        <v>0.34814114602289586</v>
      </c>
      <c r="AN26" s="29">
        <v>24967023</v>
      </c>
      <c r="AO26" s="29">
        <v>780219.46875</v>
      </c>
      <c r="AP26" s="29">
        <v>23123.8125</v>
      </c>
      <c r="AQ26" s="30">
        <v>8692048</v>
      </c>
      <c r="AR26" s="30">
        <v>1332432</v>
      </c>
      <c r="AS26" s="30">
        <v>804136</v>
      </c>
      <c r="AT26" s="30">
        <v>6554880</v>
      </c>
      <c r="AU26" s="31">
        <v>68.016097000000002</v>
      </c>
      <c r="AV26" s="31">
        <v>69.984802999999999</v>
      </c>
      <c r="AW26" s="31">
        <v>29.931574999999999</v>
      </c>
      <c r="AX26" s="31">
        <v>34.483519000000001</v>
      </c>
      <c r="AY26" s="31">
        <v>34.063899999999997</v>
      </c>
      <c r="AZ26" s="32">
        <v>6162.04</v>
      </c>
      <c r="BA26" s="32">
        <v>1250.8499999999999</v>
      </c>
      <c r="BB26" s="32">
        <v>9.57</v>
      </c>
      <c r="BC26" s="32">
        <v>20.553000000000001</v>
      </c>
      <c r="BE26" s="33">
        <f t="shared" si="14"/>
        <v>0</v>
      </c>
      <c r="BF26" s="33">
        <f t="shared" si="15"/>
        <v>6.3112562382766635E-4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7416</v>
      </c>
    </row>
    <row r="27" spans="1:73" outlineLevel="1" x14ac:dyDescent="0.2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14.7221625</v>
      </c>
      <c r="J27" s="18">
        <f t="shared" si="1"/>
        <v>0.62039297090976098</v>
      </c>
      <c r="K27" s="18">
        <f t="shared" si="2"/>
        <v>0.1054180226551342</v>
      </c>
      <c r="L27" s="18">
        <f t="shared" si="3"/>
        <v>7.3938125523261164E-2</v>
      </c>
      <c r="M27" s="18">
        <f t="shared" si="4"/>
        <v>0.51495566917220992</v>
      </c>
      <c r="N27" s="15">
        <f t="shared" si="5"/>
        <v>2668384</v>
      </c>
      <c r="O27" s="18">
        <f t="shared" si="6"/>
        <v>0.62105508858028946</v>
      </c>
      <c r="P27" s="19">
        <v>25285422</v>
      </c>
      <c r="Q27" s="19">
        <v>790169.4375</v>
      </c>
      <c r="R27" s="19">
        <v>24445.3125</v>
      </c>
      <c r="S27" s="20">
        <v>15703640</v>
      </c>
      <c r="T27" s="20">
        <v>1871552</v>
      </c>
      <c r="U27" s="20">
        <v>796832</v>
      </c>
      <c r="V27" s="20">
        <v>13034768</v>
      </c>
      <c r="W27" s="21">
        <v>69.396956000000003</v>
      </c>
      <c r="X27" s="21">
        <v>71.734378000000007</v>
      </c>
      <c r="Y27" s="21">
        <v>32.426349999999999</v>
      </c>
      <c r="Z27" s="21">
        <v>35.749250000000004</v>
      </c>
      <c r="AA27" s="21">
        <v>35.410027999999997</v>
      </c>
      <c r="AB27" s="22">
        <v>4339.68</v>
      </c>
      <c r="AC27" s="22">
        <v>1061.8399999999999</v>
      </c>
      <c r="AD27" s="22">
        <v>8.327</v>
      </c>
      <c r="AE27" s="22">
        <v>15.766</v>
      </c>
      <c r="AG27" s="17">
        <f t="shared" si="7"/>
        <v>14.729115</v>
      </c>
      <c r="AH27" s="18">
        <f t="shared" si="8"/>
        <v>0.62068594975239022</v>
      </c>
      <c r="AI27" s="18">
        <f t="shared" si="9"/>
        <v>0.10570657679032354</v>
      </c>
      <c r="AJ27" s="18">
        <f t="shared" si="10"/>
        <v>7.3938125523261164E-2</v>
      </c>
      <c r="AK27" s="18">
        <f t="shared" si="11"/>
        <v>0.51495566917220992</v>
      </c>
      <c r="AL27" s="15">
        <f t="shared" si="12"/>
        <v>2675688</v>
      </c>
      <c r="AM27" s="18">
        <f t="shared" si="13"/>
        <v>0.62134838010613391</v>
      </c>
      <c r="AN27" s="19">
        <v>25285422</v>
      </c>
      <c r="AO27" s="19">
        <v>790169.4375</v>
      </c>
      <c r="AP27" s="19">
        <v>24445.3125</v>
      </c>
      <c r="AQ27" s="20">
        <v>15711056</v>
      </c>
      <c r="AR27" s="20">
        <v>1871552</v>
      </c>
      <c r="AS27" s="20">
        <v>804136</v>
      </c>
      <c r="AT27" s="20">
        <v>13034768</v>
      </c>
      <c r="AU27" s="21">
        <v>69.396956000000003</v>
      </c>
      <c r="AV27" s="21">
        <v>71.734378000000007</v>
      </c>
      <c r="AW27" s="21">
        <v>32.426349999999999</v>
      </c>
      <c r="AX27" s="21">
        <v>35.749250000000004</v>
      </c>
      <c r="AY27" s="21">
        <v>35.410027999999997</v>
      </c>
      <c r="AZ27" s="22">
        <v>4641.07</v>
      </c>
      <c r="BA27" s="22">
        <v>1059.6099999999999</v>
      </c>
      <c r="BB27" s="22">
        <v>8.4380000000000006</v>
      </c>
      <c r="BC27" s="22">
        <v>15.772</v>
      </c>
      <c r="BE27" s="23">
        <f t="shared" si="14"/>
        <v>0</v>
      </c>
      <c r="BF27" s="23">
        <f t="shared" si="15"/>
        <v>3.8468853594825214E-4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7416</v>
      </c>
    </row>
    <row r="28" spans="1:73" outlineLevel="1" x14ac:dyDescent="0.2">
      <c r="A28" s="25"/>
      <c r="B28" s="25" t="s">
        <v>284</v>
      </c>
      <c r="C28" s="26" t="s">
        <v>271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27.92154</v>
      </c>
      <c r="J28" s="28">
        <f t="shared" si="1"/>
        <v>1.176615674020425</v>
      </c>
      <c r="K28" s="28">
        <f t="shared" si="2"/>
        <v>0.14086846261327646</v>
      </c>
      <c r="L28" s="28">
        <f t="shared" si="3"/>
        <v>0.10938856548140342</v>
      </c>
      <c r="M28" s="28">
        <f t="shared" si="4"/>
        <v>1.0357279323247317</v>
      </c>
      <c r="N28" s="25">
        <f t="shared" si="5"/>
        <v>3565720</v>
      </c>
      <c r="O28" s="28">
        <f t="shared" si="6"/>
        <v>1.1334645174094817</v>
      </c>
      <c r="P28" s="29">
        <v>26276055</v>
      </c>
      <c r="Q28" s="29">
        <v>821126.71875</v>
      </c>
      <c r="R28" s="29">
        <v>27947.875</v>
      </c>
      <c r="S28" s="30">
        <v>29782976</v>
      </c>
      <c r="T28" s="30">
        <v>2768888</v>
      </c>
      <c r="U28" s="30">
        <v>796832</v>
      </c>
      <c r="V28" s="30">
        <v>26216768</v>
      </c>
      <c r="W28" s="31">
        <v>70.447755999999998</v>
      </c>
      <c r="X28" s="31">
        <v>73.009518999999997</v>
      </c>
      <c r="Y28" s="31">
        <v>34.890149999999998</v>
      </c>
      <c r="Z28" s="31">
        <v>37.567658999999999</v>
      </c>
      <c r="AA28" s="31">
        <v>37.174719000000003</v>
      </c>
      <c r="AB28" s="32">
        <v>4406.88</v>
      </c>
      <c r="AC28" s="32">
        <v>1261.53</v>
      </c>
      <c r="AD28" s="32">
        <v>8.7469999999999999</v>
      </c>
      <c r="AE28" s="32">
        <v>17.295999999999999</v>
      </c>
      <c r="AG28" s="27">
        <f t="shared" si="7"/>
        <v>27.928492500000001</v>
      </c>
      <c r="AH28" s="28">
        <f t="shared" si="8"/>
        <v>1.1769086528630543</v>
      </c>
      <c r="AI28" s="28">
        <f t="shared" si="9"/>
        <v>0.14115701674846581</v>
      </c>
      <c r="AJ28" s="28">
        <f t="shared" si="10"/>
        <v>0.10938856548140342</v>
      </c>
      <c r="AK28" s="28">
        <f t="shared" si="11"/>
        <v>1.0357279323247317</v>
      </c>
      <c r="AL28" s="25">
        <f t="shared" si="12"/>
        <v>3573024</v>
      </c>
      <c r="AM28" s="28">
        <f t="shared" si="13"/>
        <v>1.1337467515576445</v>
      </c>
      <c r="AN28" s="29">
        <v>26276055</v>
      </c>
      <c r="AO28" s="29">
        <v>821126.71875</v>
      </c>
      <c r="AP28" s="29">
        <v>27947.875</v>
      </c>
      <c r="AQ28" s="30">
        <v>29790392</v>
      </c>
      <c r="AR28" s="30">
        <v>2768888</v>
      </c>
      <c r="AS28" s="30">
        <v>804136</v>
      </c>
      <c r="AT28" s="30">
        <v>26216768</v>
      </c>
      <c r="AU28" s="31">
        <v>70.447755999999998</v>
      </c>
      <c r="AV28" s="31">
        <v>73.009518999999997</v>
      </c>
      <c r="AW28" s="31">
        <v>34.890149999999998</v>
      </c>
      <c r="AX28" s="31">
        <v>37.567658999999999</v>
      </c>
      <c r="AY28" s="31">
        <v>37.174719000000003</v>
      </c>
      <c r="AZ28" s="32">
        <v>4326.84</v>
      </c>
      <c r="BA28" s="32">
        <v>1203.22</v>
      </c>
      <c r="BB28" s="32">
        <v>8.4619999999999997</v>
      </c>
      <c r="BC28" s="32">
        <v>16.771000000000001</v>
      </c>
      <c r="BE28" s="33">
        <f t="shared" si="14"/>
        <v>0</v>
      </c>
      <c r="BF28" s="33">
        <f t="shared" si="15"/>
        <v>2.1537585184040753E-4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7416</v>
      </c>
    </row>
    <row r="29" spans="1:73" ht="16" outlineLevel="1" thickBot="1" x14ac:dyDescent="0.25">
      <c r="A29" s="35"/>
      <c r="B29" s="35" t="s">
        <v>284</v>
      </c>
      <c r="C29" s="36" t="s">
        <v>272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48.573112500000001</v>
      </c>
      <c r="J29" s="38">
        <f t="shared" si="1"/>
        <v>2.0468744024669641</v>
      </c>
      <c r="K29" s="38">
        <f t="shared" si="2"/>
        <v>0.22654154436827978</v>
      </c>
      <c r="L29" s="38">
        <f t="shared" si="3"/>
        <v>0.16700836996622367</v>
      </c>
      <c r="M29" s="38">
        <f t="shared" si="4"/>
        <v>1.8203135790162674</v>
      </c>
      <c r="N29" s="35">
        <f t="shared" si="5"/>
        <v>5734312</v>
      </c>
      <c r="O29" s="38">
        <f t="shared" si="6"/>
        <v>2.0617760986507472</v>
      </c>
      <c r="P29" s="39">
        <v>25129460</v>
      </c>
      <c r="Q29" s="39">
        <v>785295.625</v>
      </c>
      <c r="R29" s="39">
        <v>7346</v>
      </c>
      <c r="S29" s="40">
        <v>51811320</v>
      </c>
      <c r="T29" s="40">
        <v>4227384</v>
      </c>
      <c r="U29" s="40">
        <v>1506928</v>
      </c>
      <c r="V29" s="40">
        <v>46076520</v>
      </c>
      <c r="W29" s="41">
        <v>71.737684000000002</v>
      </c>
      <c r="X29" s="41">
        <v>75.125600000000006</v>
      </c>
      <c r="Y29" s="41">
        <v>36.588078000000003</v>
      </c>
      <c r="Z29" s="41">
        <v>39.676077999999997</v>
      </c>
      <c r="AA29" s="41">
        <v>39.085306000000003</v>
      </c>
      <c r="AB29" s="42">
        <v>5980.09</v>
      </c>
      <c r="AC29" s="42">
        <v>1799.76</v>
      </c>
      <c r="AD29" s="42">
        <v>10.106</v>
      </c>
      <c r="AE29" s="42">
        <v>22.233000000000001</v>
      </c>
      <c r="AG29" s="37">
        <f t="shared" si="7"/>
        <v>48.580057500000002</v>
      </c>
      <c r="AH29" s="38">
        <f t="shared" si="8"/>
        <v>2.0471670652590617</v>
      </c>
      <c r="AI29" s="38">
        <f t="shared" si="9"/>
        <v>0.22682978245293769</v>
      </c>
      <c r="AJ29" s="38">
        <f t="shared" si="10"/>
        <v>0.16700836996622367</v>
      </c>
      <c r="AK29" s="38">
        <f t="shared" si="11"/>
        <v>1.8203135790162674</v>
      </c>
      <c r="AL29" s="35">
        <f t="shared" si="12"/>
        <v>5741608</v>
      </c>
      <c r="AM29" s="38">
        <f t="shared" si="13"/>
        <v>2.0620708920923887</v>
      </c>
      <c r="AN29" s="39">
        <v>25129460</v>
      </c>
      <c r="AO29" s="39">
        <v>785295.625</v>
      </c>
      <c r="AP29" s="39">
        <v>7346</v>
      </c>
      <c r="AQ29" s="40">
        <v>51818728</v>
      </c>
      <c r="AR29" s="40">
        <v>4227384</v>
      </c>
      <c r="AS29" s="40">
        <v>1514224</v>
      </c>
      <c r="AT29" s="40">
        <v>46076520</v>
      </c>
      <c r="AU29" s="41">
        <v>71.737684000000002</v>
      </c>
      <c r="AV29" s="41">
        <v>75.125600000000006</v>
      </c>
      <c r="AW29" s="41">
        <v>36.588078000000003</v>
      </c>
      <c r="AX29" s="41">
        <v>39.676077999999997</v>
      </c>
      <c r="AY29" s="41">
        <v>39.085306000000003</v>
      </c>
      <c r="AZ29" s="42">
        <v>6086.44</v>
      </c>
      <c r="BA29" s="42">
        <v>1775.08</v>
      </c>
      <c r="BB29" s="42">
        <v>10.609</v>
      </c>
      <c r="BC29" s="42">
        <v>22.719000000000001</v>
      </c>
      <c r="BE29" s="43">
        <f t="shared" si="14"/>
        <v>0</v>
      </c>
      <c r="BF29" s="43">
        <f t="shared" si="15"/>
        <v>1.2497616956391733E-4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7408</v>
      </c>
    </row>
    <row r="30" spans="1:73" ht="16" x14ac:dyDescent="0.2">
      <c r="B30" s="55" t="s">
        <v>288</v>
      </c>
      <c r="J30" s="56">
        <f>AVERAGE(J5:J24)</f>
        <v>0.42933408146615937</v>
      </c>
      <c r="K30" s="56">
        <f>AVERAGE(K5:K24)</f>
        <v>0.12426277968673904</v>
      </c>
      <c r="L30" s="56">
        <f>AVERAGE(L5:L24)</f>
        <v>8.5003271613997594E-2</v>
      </c>
      <c r="M30" s="56">
        <f>AVERAGE(M5:M24)</f>
        <v>0.305053648186977</v>
      </c>
      <c r="AH30" s="56">
        <f>AVERAGE(AH5:AH24)</f>
        <v>0.42964757331372577</v>
      </c>
      <c r="AI30" s="56">
        <f>AVERAGE(AI5:AI24)</f>
        <v>0.12457221989013807</v>
      </c>
      <c r="AJ30" s="56">
        <f>AVERAGE(AJ5:AJ24)</f>
        <v>8.5003271613997594E-2</v>
      </c>
      <c r="AK30" s="56">
        <f>AVERAGE(AK5:AK24)</f>
        <v>0.305053648186977</v>
      </c>
      <c r="BG30" s="8">
        <f>AVERAGE(BG5:BG24)</f>
        <v>6.4933168204431291E-4</v>
      </c>
      <c r="BI30" s="5">
        <f>AVERAGE(BI5:BI24)</f>
        <v>3.0283781702283297E-3</v>
      </c>
      <c r="BJ30" s="5">
        <f>AVERAGE(BJ5:BJ24)</f>
        <v>2.8850203375940242E-3</v>
      </c>
      <c r="BK30" s="5">
        <f>AVERAGE(BK5:BK24)</f>
        <v>0</v>
      </c>
      <c r="BL30" s="5">
        <f>AVERAGE(BL5:BL24)</f>
        <v>0</v>
      </c>
      <c r="BM30" s="5">
        <f>AVERAGE(BM5:BM24)</f>
        <v>0</v>
      </c>
      <c r="BO30" s="5">
        <f>AVERAGE(BO5:BO24)</f>
        <v>1.2094117899547618E-3</v>
      </c>
      <c r="BP30" s="5">
        <f>AVERAGE(BP5:BP24)</f>
        <v>1.1164785294207613E-3</v>
      </c>
      <c r="BQ30" s="5">
        <f>AVERAGE(BQ5:BQ24)</f>
        <v>1.1334838027787786E-3</v>
      </c>
      <c r="BR30" s="5">
        <f>AVERAGE(BR5:BR24)</f>
        <v>1.0407885369116965E-3</v>
      </c>
      <c r="BS30" s="5">
        <f>AVERAGE(BS5:BS24)</f>
        <v>1.0911078782303574E-3</v>
      </c>
    </row>
    <row r="31" spans="1:73" ht="16" x14ac:dyDescent="0.2">
      <c r="B31" s="55" t="s">
        <v>289</v>
      </c>
      <c r="J31" s="56">
        <f>AVERAGE(J25:J29)</f>
        <v>0.8772518521351268</v>
      </c>
      <c r="K31" s="56">
        <f>AVERAGE(K25:K29)</f>
        <v>0.12529526230771881</v>
      </c>
      <c r="L31" s="56">
        <f>AVERAGE(L25:L29)</f>
        <v>8.820470972180916E-2</v>
      </c>
      <c r="M31" s="56">
        <f>AVERAGE(M25:M29)</f>
        <v>0.75193731074499115</v>
      </c>
      <c r="AH31" s="56">
        <f>AVERAGE(AH25:AH29)</f>
        <v>0.87754476776764956</v>
      </c>
      <c r="AI31" s="56">
        <f>AVERAGE(AI25:AI29)</f>
        <v>0.12558375323280185</v>
      </c>
      <c r="AJ31" s="56">
        <f>AVERAGE(AJ25:AJ29)</f>
        <v>8.820470972180916E-2</v>
      </c>
      <c r="AK31" s="56">
        <f>AVERAGE(AK25:AK29)</f>
        <v>0.75193731074499115</v>
      </c>
      <c r="BG31" s="8">
        <f>AVERAGE(BG25:BG29)</f>
        <v>4.5796625840957561E-4</v>
      </c>
      <c r="BI31" s="5">
        <f>AVERAGE(BI25:BI29)</f>
        <v>2.8552907355554602E-3</v>
      </c>
      <c r="BJ31" s="5">
        <f>AVERAGE(BJ25:BJ29)</f>
        <v>2.7247412659574533E-3</v>
      </c>
      <c r="BK31" s="5">
        <f>AVERAGE(BK25:BK29)</f>
        <v>0</v>
      </c>
      <c r="BL31" s="5">
        <f>AVERAGE(BL25:BL29)</f>
        <v>0</v>
      </c>
      <c r="BM31" s="5">
        <f>AVERAGE(BM25:BM29)</f>
        <v>0</v>
      </c>
      <c r="BO31" s="5">
        <f>AVERAGE(BO25:BO29)</f>
        <v>6.4791879371872696E-4</v>
      </c>
      <c r="BP31" s="5">
        <f>AVERAGE(BP25:BP29)</f>
        <v>5.9287927132056772E-4</v>
      </c>
      <c r="BQ31" s="5">
        <f>AVERAGE(BQ25:BQ29)</f>
        <v>6.1309721883384682E-4</v>
      </c>
      <c r="BR31" s="5">
        <f>AVERAGE(BR25:BR29)</f>
        <v>4.9738526340181721E-4</v>
      </c>
      <c r="BS31" s="5">
        <f>AVERAGE(BS25:BS29)</f>
        <v>5.25362447750366E-4</v>
      </c>
    </row>
    <row r="32" spans="1:73" ht="16" x14ac:dyDescent="0.2">
      <c r="B32" s="55" t="s">
        <v>290</v>
      </c>
      <c r="J32" s="56">
        <f>AVERAGE(J5:J29)</f>
        <v>0.51891763559995285</v>
      </c>
      <c r="K32" s="56">
        <f>AVERAGE(K5:K29)</f>
        <v>0.124469276210935</v>
      </c>
      <c r="L32" s="56">
        <f>AVERAGE(L5:L29)</f>
        <v>8.5643559235559913E-2</v>
      </c>
      <c r="M32" s="56">
        <f>AVERAGE(M5:M29)</f>
        <v>0.39443038069857977</v>
      </c>
      <c r="AH32" s="56">
        <f>AVERAGE(AH5:AH29)</f>
        <v>0.51922701220451062</v>
      </c>
      <c r="AI32" s="56">
        <f>AVERAGE(AI5:AI29)</f>
        <v>0.12477452655867083</v>
      </c>
      <c r="AJ32" s="56">
        <f>AVERAGE(AJ5:AJ29)</f>
        <v>8.5643559235559913E-2</v>
      </c>
      <c r="AK32" s="56">
        <f>AVERAGE(AK5:AK29)</f>
        <v>0.39443038069857977</v>
      </c>
      <c r="BG32" s="8">
        <f>AVERAGE(BG5:BG29)</f>
        <v>6.1105859731736543E-4</v>
      </c>
      <c r="BI32" s="5">
        <f>AVERAGE(BI5:BI29)</f>
        <v>2.9937606832937556E-3</v>
      </c>
      <c r="BJ32" s="5">
        <f>AVERAGE(BJ5:BJ29)</f>
        <v>2.8529645232667098E-3</v>
      </c>
      <c r="BK32" s="5">
        <f>AVERAGE(BK5:BK29)</f>
        <v>0</v>
      </c>
      <c r="BL32" s="5">
        <f>AVERAGE(BL5:BL29)</f>
        <v>0</v>
      </c>
      <c r="BM32" s="5">
        <f>AVERAGE(BM5:BM29)</f>
        <v>0</v>
      </c>
      <c r="BO32" s="5">
        <f>AVERAGE(BO5:BO29)</f>
        <v>1.0971131907075548E-3</v>
      </c>
      <c r="BP32" s="5">
        <f>AVERAGE(BP5:BP29)</f>
        <v>1.0117586778007226E-3</v>
      </c>
      <c r="BQ32" s="5">
        <f>AVERAGE(BQ5:BQ29)</f>
        <v>1.0294064859897923E-3</v>
      </c>
      <c r="BR32" s="5">
        <f>AVERAGE(BR5:BR29)</f>
        <v>9.3210788220972059E-4</v>
      </c>
      <c r="BS32" s="5">
        <f>AVERAGE(BS5:BS29)</f>
        <v>9.779587921343591E-4</v>
      </c>
    </row>
    <row r="33" spans="1:55" ht="16" hidden="1" outlineLevel="2" x14ac:dyDescent="0.2">
      <c r="A33" s="55" t="s">
        <v>291</v>
      </c>
      <c r="B33" s="55" t="s">
        <v>292</v>
      </c>
      <c r="AB33" s="57">
        <f>SUM(AB5:AB24,AB25:AB29)</f>
        <v>146777.43</v>
      </c>
      <c r="AC33" s="57">
        <f>SUM(AC5:AC24,AC25:AC29)</f>
        <v>25930.154999999999</v>
      </c>
      <c r="AD33" s="57">
        <f>SUM(AD5:AD24,AD25:AD29)</f>
        <v>239.06799999999998</v>
      </c>
      <c r="AE33" s="57">
        <f>SUM(AE5:AE24,AE25:AE29)</f>
        <v>354.81200000000001</v>
      </c>
      <c r="AZ33" s="57">
        <f>SUM(AZ5:AZ24,AZ25:AZ29)</f>
        <v>134131.53</v>
      </c>
      <c r="BA33" s="57">
        <f>SUM(BA5:BA24,BA25:BA29)</f>
        <v>24006.700000000004</v>
      </c>
      <c r="BB33" s="57">
        <f>SUM(BB5:BB24,BB25:BB29)</f>
        <v>231.33200000000002</v>
      </c>
      <c r="BC33" s="57">
        <f>SUM(BC5:BC24,BC25:BC29)</f>
        <v>336.77100000000002</v>
      </c>
    </row>
    <row r="34" spans="1:55" ht="16" hidden="1" outlineLevel="2" x14ac:dyDescent="0.2">
      <c r="B34" s="55" t="s">
        <v>293</v>
      </c>
      <c r="AZ34" s="8">
        <f>AZ33/AB33</f>
        <v>0.91384302068785372</v>
      </c>
      <c r="BA34" s="8">
        <f>BA33/AC33</f>
        <v>0.92582169292856153</v>
      </c>
      <c r="BB34" s="8">
        <f>BB33/AD33</f>
        <v>0.96764100590626956</v>
      </c>
      <c r="BC34" s="8">
        <f>BC33/AE33</f>
        <v>0.94915335445249882</v>
      </c>
    </row>
    <row r="35" spans="1:55" ht="16" hidden="1" outlineLevel="2" x14ac:dyDescent="0.2">
      <c r="B35" s="55" t="s">
        <v>294</v>
      </c>
      <c r="AB35" s="57">
        <f>GEOMEAN(AB5:AB24,AB25:AB29)</f>
        <v>5802.8613363787463</v>
      </c>
      <c r="AC35" s="57">
        <f>GEOMEAN(AC5:AC24,AC25:AC29)</f>
        <v>1010.8755904503093</v>
      </c>
      <c r="AD35" s="57">
        <f>GEOMEAN(AD5:AD24,AD25:AD29)</f>
        <v>9.4764441765705332</v>
      </c>
      <c r="AE35" s="57">
        <f>GEOMEAN(AE5:AE24,AE25:AE29)</f>
        <v>13.969984954228561</v>
      </c>
      <c r="AZ35" s="57">
        <f>GEOMEAN(AZ5:AZ24,AZ25:AZ29)</f>
        <v>5282.0906022858981</v>
      </c>
      <c r="BA35" s="57">
        <f>GEOMEAN(BA5:BA24,BA25:BA29)</f>
        <v>932.87129655736192</v>
      </c>
      <c r="BB35" s="57">
        <f>GEOMEAN(BB5:BB24,BB25:BB29)</f>
        <v>9.1540640104410258</v>
      </c>
      <c r="BC35" s="57">
        <f>GEOMEAN(BC5:BC24,BC25:BC29)</f>
        <v>13.170219214616866</v>
      </c>
    </row>
    <row r="36" spans="1:55" ht="16" outlineLevel="2" collapsed="1" x14ac:dyDescent="0.2">
      <c r="B36" s="55" t="s">
        <v>295</v>
      </c>
      <c r="AZ36" s="8">
        <f>AZ35/AB35</f>
        <v>0.91025621604499118</v>
      </c>
      <c r="BA36" s="8">
        <f>BA35/AC35</f>
        <v>0.92283492189360383</v>
      </c>
      <c r="BB36" s="8">
        <f>BB35/AD35</f>
        <v>0.96598089324194436</v>
      </c>
      <c r="BC36" s="8">
        <f>BC35/AE35</f>
        <v>0.94275113808410971</v>
      </c>
    </row>
  </sheetData>
  <mergeCells count="41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I5 BI6 BI7 BI8 BI9 BI10 BI11 BI12 BI13 BI14 BI15 BI16 BI17 BI18 BI19 BI20 BI21 BI22 BI23 BI24 BI25 BI26 BI27 BI28 BI29 BI30 BI31 BI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11" operator="greaterThanOrEqual">
      <formula>0.03</formula>
    </cfRule>
    <cfRule type="cellIs" dxfId="48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5" operator="greaterThanOrEqual">
      <formula>0.03</formula>
    </cfRule>
    <cfRule type="cellIs" dxfId="36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7" operator="greaterThanOrEqual">
      <formula>0.03</formula>
    </cfRule>
    <cfRule type="cellIs" dxfId="32" priority="8" operator="lessThanOrEqual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X274"/>
  <sheetViews>
    <sheetView workbookViewId="0"/>
  </sheetViews>
  <sheetFormatPr baseColWidth="10" defaultColWidth="8.83203125" defaultRowHeight="15" x14ac:dyDescent="0.2"/>
  <sheetData>
    <row r="1" spans="1:2" x14ac:dyDescent="0.2">
      <c r="A1" t="s">
        <v>95</v>
      </c>
      <c r="B1">
        <v>1</v>
      </c>
    </row>
    <row r="2" spans="1:2" x14ac:dyDescent="0.2">
      <c r="A2" t="s">
        <v>98</v>
      </c>
      <c r="B2">
        <v>2</v>
      </c>
    </row>
    <row r="3" spans="1:2" x14ac:dyDescent="0.2">
      <c r="A3" t="s">
        <v>101</v>
      </c>
      <c r="B3">
        <v>3</v>
      </c>
    </row>
    <row r="4" spans="1:2" x14ac:dyDescent="0.2">
      <c r="A4" t="s">
        <v>104</v>
      </c>
      <c r="B4">
        <v>4</v>
      </c>
    </row>
    <row r="5" spans="1:2" x14ac:dyDescent="0.2">
      <c r="A5" t="s">
        <v>107</v>
      </c>
      <c r="B5">
        <v>5</v>
      </c>
    </row>
    <row r="6" spans="1:2" x14ac:dyDescent="0.2">
      <c r="A6" t="s">
        <v>110</v>
      </c>
      <c r="B6">
        <v>6</v>
      </c>
    </row>
    <row r="7" spans="1:2" x14ac:dyDescent="0.2">
      <c r="A7" t="s">
        <v>113</v>
      </c>
      <c r="B7">
        <v>7</v>
      </c>
    </row>
    <row r="8" spans="1:2" x14ac:dyDescent="0.2">
      <c r="A8" t="s">
        <v>116</v>
      </c>
      <c r="B8">
        <v>9</v>
      </c>
    </row>
    <row r="9" spans="1:2" x14ac:dyDescent="0.2">
      <c r="A9" t="s">
        <v>120</v>
      </c>
      <c r="B9">
        <v>10</v>
      </c>
    </row>
    <row r="10" spans="1:2" x14ac:dyDescent="0.2">
      <c r="A10" t="s">
        <v>123</v>
      </c>
      <c r="B10">
        <v>11</v>
      </c>
    </row>
    <row r="11" spans="1:2" x14ac:dyDescent="0.2">
      <c r="A11" t="s">
        <v>126</v>
      </c>
      <c r="B11">
        <v>12</v>
      </c>
    </row>
    <row r="12" spans="1:2" x14ac:dyDescent="0.2">
      <c r="A12" t="s">
        <v>129</v>
      </c>
      <c r="B12">
        <v>13</v>
      </c>
    </row>
    <row r="13" spans="1:2" x14ac:dyDescent="0.2">
      <c r="A13" t="s">
        <v>132</v>
      </c>
      <c r="B13">
        <v>14</v>
      </c>
    </row>
    <row r="14" spans="1:2" x14ac:dyDescent="0.2">
      <c r="A14" t="s">
        <v>135</v>
      </c>
      <c r="B14">
        <v>15</v>
      </c>
    </row>
    <row r="15" spans="1:2" x14ac:dyDescent="0.2">
      <c r="A15" t="s">
        <v>137</v>
      </c>
      <c r="B15">
        <v>16</v>
      </c>
    </row>
    <row r="16" spans="1:2" x14ac:dyDescent="0.2">
      <c r="A16" t="s">
        <v>139</v>
      </c>
      <c r="B16">
        <v>17</v>
      </c>
    </row>
    <row r="17" spans="1:2" x14ac:dyDescent="0.2">
      <c r="A17" t="s">
        <v>141</v>
      </c>
      <c r="B17">
        <v>18</v>
      </c>
    </row>
    <row r="18" spans="1:2" x14ac:dyDescent="0.2">
      <c r="A18" t="s">
        <v>144</v>
      </c>
      <c r="B18">
        <v>19</v>
      </c>
    </row>
    <row r="19" spans="1:2" x14ac:dyDescent="0.2">
      <c r="A19" t="s">
        <v>146</v>
      </c>
      <c r="B19">
        <v>20</v>
      </c>
    </row>
    <row r="20" spans="1:2" x14ac:dyDescent="0.2">
      <c r="A20" t="s">
        <v>149</v>
      </c>
      <c r="B20">
        <v>21</v>
      </c>
    </row>
    <row r="21" spans="1:2" x14ac:dyDescent="0.2">
      <c r="A21" t="s">
        <v>152</v>
      </c>
      <c r="B21">
        <v>22</v>
      </c>
    </row>
    <row r="22" spans="1:2" x14ac:dyDescent="0.2">
      <c r="A22" t="s">
        <v>156</v>
      </c>
      <c r="B22">
        <v>23</v>
      </c>
    </row>
    <row r="23" spans="1:2" x14ac:dyDescent="0.2">
      <c r="A23" t="s">
        <v>159</v>
      </c>
      <c r="B23">
        <v>24</v>
      </c>
    </row>
    <row r="24" spans="1:2" x14ac:dyDescent="0.2">
      <c r="A24" t="s">
        <v>163</v>
      </c>
      <c r="B24">
        <v>25</v>
      </c>
    </row>
    <row r="25" spans="1:2" x14ac:dyDescent="0.2">
      <c r="A25" t="s">
        <v>166</v>
      </c>
      <c r="B25">
        <v>26</v>
      </c>
    </row>
    <row r="26" spans="1:2" x14ac:dyDescent="0.2">
      <c r="A26" t="s">
        <v>169</v>
      </c>
      <c r="B26">
        <v>27</v>
      </c>
    </row>
    <row r="27" spans="1:2" x14ac:dyDescent="0.2">
      <c r="A27" t="s">
        <v>173</v>
      </c>
      <c r="B27">
        <v>28</v>
      </c>
    </row>
    <row r="28" spans="1:2" x14ac:dyDescent="0.2">
      <c r="A28" t="s">
        <v>176</v>
      </c>
      <c r="B28">
        <v>29</v>
      </c>
    </row>
    <row r="29" spans="1:2" x14ac:dyDescent="0.2">
      <c r="A29" t="s">
        <v>179</v>
      </c>
      <c r="B29">
        <v>30</v>
      </c>
    </row>
    <row r="30" spans="1:2" x14ac:dyDescent="0.2">
      <c r="A30" t="s">
        <v>181</v>
      </c>
      <c r="B30">
        <v>31</v>
      </c>
    </row>
    <row r="31" spans="1:2" x14ac:dyDescent="0.2">
      <c r="A31" t="s">
        <v>183</v>
      </c>
      <c r="B31">
        <v>33</v>
      </c>
    </row>
    <row r="32" spans="1:2" x14ac:dyDescent="0.2">
      <c r="A32" t="s">
        <v>185</v>
      </c>
      <c r="B32">
        <v>34</v>
      </c>
    </row>
    <row r="33" spans="1:2" x14ac:dyDescent="0.2">
      <c r="A33" t="s">
        <v>187</v>
      </c>
      <c r="B33">
        <v>35</v>
      </c>
    </row>
    <row r="34" spans="1:2" x14ac:dyDescent="0.2">
      <c r="A34" t="s">
        <v>189</v>
      </c>
      <c r="B34">
        <v>36</v>
      </c>
    </row>
    <row r="35" spans="1:2" x14ac:dyDescent="0.2">
      <c r="A35" t="s">
        <v>191</v>
      </c>
      <c r="B35">
        <v>37</v>
      </c>
    </row>
    <row r="36" spans="1:2" x14ac:dyDescent="0.2">
      <c r="A36" t="s">
        <v>194</v>
      </c>
      <c r="B36">
        <v>38</v>
      </c>
    </row>
    <row r="37" spans="1:2" x14ac:dyDescent="0.2">
      <c r="A37" t="s">
        <v>196</v>
      </c>
      <c r="B37">
        <v>39</v>
      </c>
    </row>
    <row r="38" spans="1:2" x14ac:dyDescent="0.2">
      <c r="A38" t="s">
        <v>198</v>
      </c>
      <c r="B38">
        <v>40</v>
      </c>
    </row>
    <row r="39" spans="1:2" x14ac:dyDescent="0.2">
      <c r="A39" t="s">
        <v>200</v>
      </c>
      <c r="B39">
        <v>41</v>
      </c>
    </row>
    <row r="40" spans="1:2" x14ac:dyDescent="0.2">
      <c r="A40" t="s">
        <v>202</v>
      </c>
      <c r="B40">
        <v>42</v>
      </c>
    </row>
    <row r="41" spans="1:2" x14ac:dyDescent="0.2">
      <c r="A41" t="s">
        <v>204</v>
      </c>
      <c r="B41">
        <v>43</v>
      </c>
    </row>
    <row r="42" spans="1:2" x14ac:dyDescent="0.2">
      <c r="A42" t="s">
        <v>206</v>
      </c>
      <c r="B42">
        <v>44</v>
      </c>
    </row>
    <row r="43" spans="1:2" x14ac:dyDescent="0.2">
      <c r="A43" t="s">
        <v>208</v>
      </c>
      <c r="B43">
        <v>45</v>
      </c>
    </row>
    <row r="44" spans="1:2" x14ac:dyDescent="0.2">
      <c r="A44" t="s">
        <v>210</v>
      </c>
      <c r="B44">
        <v>46</v>
      </c>
    </row>
    <row r="45" spans="1:2" x14ac:dyDescent="0.2">
      <c r="A45" t="s">
        <v>212</v>
      </c>
      <c r="B45">
        <v>47</v>
      </c>
    </row>
    <row r="46" spans="1:2" x14ac:dyDescent="0.2">
      <c r="A46" t="s">
        <v>214</v>
      </c>
      <c r="B46">
        <v>48</v>
      </c>
    </row>
    <row r="47" spans="1:2" x14ac:dyDescent="0.2">
      <c r="A47" t="s">
        <v>216</v>
      </c>
      <c r="B47">
        <v>49</v>
      </c>
    </row>
    <row r="48" spans="1:2" x14ac:dyDescent="0.2">
      <c r="A48" t="s">
        <v>218</v>
      </c>
      <c r="B48">
        <v>50</v>
      </c>
    </row>
    <row r="49" spans="1:2" x14ac:dyDescent="0.2">
      <c r="A49" t="s">
        <v>220</v>
      </c>
      <c r="B49">
        <v>51</v>
      </c>
    </row>
    <row r="50" spans="1:2" x14ac:dyDescent="0.2">
      <c r="A50" t="s">
        <v>222</v>
      </c>
      <c r="B50">
        <v>52</v>
      </c>
    </row>
    <row r="51" spans="1:2" x14ac:dyDescent="0.2">
      <c r="A51" t="s">
        <v>224</v>
      </c>
      <c r="B51">
        <v>53</v>
      </c>
    </row>
    <row r="52" spans="1:2" x14ac:dyDescent="0.2">
      <c r="A52" t="s">
        <v>226</v>
      </c>
      <c r="B52">
        <v>54</v>
      </c>
    </row>
    <row r="53" spans="1:2" x14ac:dyDescent="0.2">
      <c r="A53" t="s">
        <v>228</v>
      </c>
      <c r="B53">
        <v>55</v>
      </c>
    </row>
    <row r="54" spans="1:2" x14ac:dyDescent="0.2">
      <c r="A54" t="s">
        <v>231</v>
      </c>
      <c r="B54">
        <v>57</v>
      </c>
    </row>
    <row r="55" spans="1:2" x14ac:dyDescent="0.2">
      <c r="A55" t="s">
        <v>234</v>
      </c>
      <c r="B55">
        <v>58</v>
      </c>
    </row>
    <row r="56" spans="1:2" x14ac:dyDescent="0.2">
      <c r="A56" t="s">
        <v>236</v>
      </c>
      <c r="B56">
        <v>59</v>
      </c>
    </row>
    <row r="57" spans="1:2" x14ac:dyDescent="0.2">
      <c r="A57" t="s">
        <v>239</v>
      </c>
      <c r="B57">
        <v>61</v>
      </c>
    </row>
    <row r="58" spans="1:2" x14ac:dyDescent="0.2">
      <c r="A58" t="s">
        <v>241</v>
      </c>
      <c r="B58">
        <v>62</v>
      </c>
    </row>
    <row r="59" spans="1:2" x14ac:dyDescent="0.2">
      <c r="A59" t="s">
        <v>244</v>
      </c>
      <c r="B59">
        <v>63</v>
      </c>
    </row>
    <row r="60" spans="1:2" x14ac:dyDescent="0.2">
      <c r="A60" t="s">
        <v>246</v>
      </c>
      <c r="B60">
        <v>64</v>
      </c>
    </row>
    <row r="61" spans="1:2" x14ac:dyDescent="0.2">
      <c r="A61" t="s">
        <v>248</v>
      </c>
      <c r="B61">
        <v>65</v>
      </c>
    </row>
    <row r="62" spans="1:2" x14ac:dyDescent="0.2">
      <c r="A62" t="s">
        <v>251</v>
      </c>
      <c r="B62">
        <v>67</v>
      </c>
    </row>
    <row r="63" spans="1:2" x14ac:dyDescent="0.2">
      <c r="A63" t="s">
        <v>253</v>
      </c>
      <c r="B63">
        <v>68</v>
      </c>
    </row>
    <row r="64" spans="1:2" x14ac:dyDescent="0.2">
      <c r="A64" t="s">
        <v>256</v>
      </c>
      <c r="B64">
        <v>69</v>
      </c>
    </row>
    <row r="65" spans="1:24" x14ac:dyDescent="0.2">
      <c r="A65" t="s">
        <v>258</v>
      </c>
      <c r="B65">
        <v>70</v>
      </c>
    </row>
    <row r="66" spans="1:24" x14ac:dyDescent="0.2">
      <c r="A66" t="s">
        <v>260</v>
      </c>
      <c r="B66">
        <v>71</v>
      </c>
    </row>
    <row r="67" spans="1:24" x14ac:dyDescent="0.2">
      <c r="A67" t="s">
        <v>262</v>
      </c>
      <c r="B67" t="s">
        <v>263</v>
      </c>
    </row>
    <row r="68" spans="1:24" x14ac:dyDescent="0.2">
      <c r="A68" t="s">
        <v>264</v>
      </c>
      <c r="B68" t="s">
        <v>265</v>
      </c>
    </row>
    <row r="69" spans="1:24" x14ac:dyDescent="0.2">
      <c r="A69" t="s">
        <v>273</v>
      </c>
      <c r="B69" t="s">
        <v>274</v>
      </c>
    </row>
    <row r="70" spans="1:24" x14ac:dyDescent="0.2">
      <c r="A70" t="s">
        <v>276</v>
      </c>
      <c r="B70" t="s">
        <v>277</v>
      </c>
    </row>
    <row r="71" spans="1:24" x14ac:dyDescent="0.2">
      <c r="A71" t="s">
        <v>279</v>
      </c>
      <c r="B71" t="s">
        <v>280</v>
      </c>
    </row>
    <row r="72" spans="1:24" x14ac:dyDescent="0.2">
      <c r="A72" t="s">
        <v>282</v>
      </c>
      <c r="B72" t="s">
        <v>283</v>
      </c>
    </row>
    <row r="73" spans="1:24" x14ac:dyDescent="0.2">
      <c r="A73" t="s">
        <v>286</v>
      </c>
      <c r="B73" t="s">
        <v>287</v>
      </c>
    </row>
    <row r="74" spans="1:24" x14ac:dyDescent="0.2">
      <c r="A74" t="s">
        <v>302</v>
      </c>
      <c r="B74" t="s">
        <v>61</v>
      </c>
      <c r="C74" t="s">
        <v>45</v>
      </c>
      <c r="D74" t="s">
        <v>65</v>
      </c>
      <c r="E74" t="s">
        <v>47</v>
      </c>
      <c r="F74" t="s">
        <v>67</v>
      </c>
      <c r="G74" t="s">
        <v>71</v>
      </c>
      <c r="H74" t="s">
        <v>21</v>
      </c>
      <c r="I74" t="s">
        <v>39</v>
      </c>
      <c r="J74" t="s">
        <v>51</v>
      </c>
      <c r="K74" t="s">
        <v>49</v>
      </c>
      <c r="L74" t="s">
        <v>25</v>
      </c>
      <c r="M74" t="s">
        <v>41</v>
      </c>
      <c r="N74" t="s">
        <v>69</v>
      </c>
      <c r="O74" t="s">
        <v>63</v>
      </c>
      <c r="P74" t="s">
        <v>7</v>
      </c>
      <c r="Q74" t="s">
        <v>19</v>
      </c>
      <c r="R74" t="s">
        <v>11</v>
      </c>
      <c r="S74" t="s">
        <v>73</v>
      </c>
      <c r="T74" t="s">
        <v>59</v>
      </c>
      <c r="U74" t="s">
        <v>75</v>
      </c>
      <c r="V74" t="s">
        <v>23</v>
      </c>
      <c r="W74" t="s">
        <v>15</v>
      </c>
      <c r="X74" t="s">
        <v>55</v>
      </c>
    </row>
    <row r="75" spans="1:24" x14ac:dyDescent="0.2">
      <c r="A75" t="s">
        <v>304</v>
      </c>
      <c r="B75">
        <v>1</v>
      </c>
    </row>
    <row r="76" spans="1:24" x14ac:dyDescent="0.2">
      <c r="A76" t="s">
        <v>305</v>
      </c>
      <c r="B76">
        <v>2</v>
      </c>
    </row>
    <row r="77" spans="1:24" x14ac:dyDescent="0.2">
      <c r="A77" t="s">
        <v>306</v>
      </c>
      <c r="B77">
        <v>3</v>
      </c>
    </row>
    <row r="78" spans="1:24" x14ac:dyDescent="0.2">
      <c r="A78" t="s">
        <v>307</v>
      </c>
      <c r="B78">
        <v>4</v>
      </c>
    </row>
    <row r="79" spans="1:24" x14ac:dyDescent="0.2">
      <c r="A79" t="s">
        <v>308</v>
      </c>
      <c r="B79">
        <v>5</v>
      </c>
    </row>
    <row r="80" spans="1:24" x14ac:dyDescent="0.2">
      <c r="A80" t="s">
        <v>309</v>
      </c>
      <c r="B80">
        <v>6</v>
      </c>
    </row>
    <row r="81" spans="1:2" x14ac:dyDescent="0.2">
      <c r="A81" t="s">
        <v>312</v>
      </c>
      <c r="B81">
        <v>8</v>
      </c>
    </row>
    <row r="82" spans="1:2" x14ac:dyDescent="0.2">
      <c r="A82" t="s">
        <v>313</v>
      </c>
      <c r="B82">
        <v>9</v>
      </c>
    </row>
    <row r="83" spans="1:2" x14ac:dyDescent="0.2">
      <c r="A83" t="s">
        <v>314</v>
      </c>
      <c r="B83">
        <v>10</v>
      </c>
    </row>
    <row r="84" spans="1:2" x14ac:dyDescent="0.2">
      <c r="A84" t="s">
        <v>315</v>
      </c>
      <c r="B84">
        <v>11</v>
      </c>
    </row>
    <row r="85" spans="1:2" x14ac:dyDescent="0.2">
      <c r="A85" t="s">
        <v>316</v>
      </c>
      <c r="B85">
        <v>12</v>
      </c>
    </row>
    <row r="86" spans="1:2" x14ac:dyDescent="0.2">
      <c r="A86" t="s">
        <v>317</v>
      </c>
      <c r="B86">
        <v>13</v>
      </c>
    </row>
    <row r="87" spans="1:2" x14ac:dyDescent="0.2">
      <c r="A87" t="s">
        <v>318</v>
      </c>
      <c r="B87">
        <v>14</v>
      </c>
    </row>
    <row r="88" spans="1:2" x14ac:dyDescent="0.2">
      <c r="A88" t="s">
        <v>319</v>
      </c>
      <c r="B88">
        <v>15</v>
      </c>
    </row>
    <row r="89" spans="1:2" x14ac:dyDescent="0.2">
      <c r="A89" t="s">
        <v>320</v>
      </c>
      <c r="B89">
        <v>16</v>
      </c>
    </row>
    <row r="90" spans="1:2" x14ac:dyDescent="0.2">
      <c r="A90" t="s">
        <v>321</v>
      </c>
      <c r="B90">
        <v>17</v>
      </c>
    </row>
    <row r="91" spans="1:2" x14ac:dyDescent="0.2">
      <c r="A91" t="s">
        <v>322</v>
      </c>
      <c r="B91">
        <v>18</v>
      </c>
    </row>
    <row r="92" spans="1:2" x14ac:dyDescent="0.2">
      <c r="A92" t="s">
        <v>323</v>
      </c>
      <c r="B92">
        <v>19</v>
      </c>
    </row>
    <row r="93" spans="1:2" x14ac:dyDescent="0.2">
      <c r="A93" t="s">
        <v>324</v>
      </c>
      <c r="B93">
        <v>20</v>
      </c>
    </row>
    <row r="94" spans="1:2" x14ac:dyDescent="0.2">
      <c r="A94" t="s">
        <v>325</v>
      </c>
      <c r="B94">
        <v>21</v>
      </c>
    </row>
    <row r="95" spans="1:2" x14ac:dyDescent="0.2">
      <c r="A95" t="s">
        <v>326</v>
      </c>
      <c r="B95">
        <v>22</v>
      </c>
    </row>
    <row r="96" spans="1:2" x14ac:dyDescent="0.2">
      <c r="A96" t="s">
        <v>327</v>
      </c>
      <c r="B96">
        <v>23</v>
      </c>
    </row>
    <row r="97" spans="1:2" x14ac:dyDescent="0.2">
      <c r="A97" t="s">
        <v>328</v>
      </c>
      <c r="B97">
        <v>24</v>
      </c>
    </row>
    <row r="98" spans="1:2" x14ac:dyDescent="0.2">
      <c r="A98" t="s">
        <v>329</v>
      </c>
      <c r="B98">
        <v>25</v>
      </c>
    </row>
    <row r="99" spans="1:2" x14ac:dyDescent="0.2">
      <c r="A99" t="s">
        <v>330</v>
      </c>
      <c r="B99">
        <v>26</v>
      </c>
    </row>
    <row r="100" spans="1:2" x14ac:dyDescent="0.2">
      <c r="A100" t="s">
        <v>331</v>
      </c>
      <c r="B100">
        <v>27</v>
      </c>
    </row>
    <row r="101" spans="1:2" x14ac:dyDescent="0.2">
      <c r="A101" t="s">
        <v>332</v>
      </c>
      <c r="B101">
        <v>28</v>
      </c>
    </row>
    <row r="102" spans="1:2" x14ac:dyDescent="0.2">
      <c r="A102" t="s">
        <v>333</v>
      </c>
      <c r="B102">
        <v>29</v>
      </c>
    </row>
    <row r="103" spans="1:2" x14ac:dyDescent="0.2">
      <c r="A103" t="s">
        <v>335</v>
      </c>
      <c r="B103">
        <v>31</v>
      </c>
    </row>
    <row r="104" spans="1:2" x14ac:dyDescent="0.2">
      <c r="A104" t="s">
        <v>336</v>
      </c>
      <c r="B104">
        <v>32</v>
      </c>
    </row>
    <row r="105" spans="1:2" x14ac:dyDescent="0.2">
      <c r="A105" t="s">
        <v>337</v>
      </c>
      <c r="B105">
        <v>33</v>
      </c>
    </row>
    <row r="106" spans="1:2" x14ac:dyDescent="0.2">
      <c r="A106" t="s">
        <v>338</v>
      </c>
      <c r="B106">
        <v>34</v>
      </c>
    </row>
    <row r="107" spans="1:2" x14ac:dyDescent="0.2">
      <c r="A107" t="s">
        <v>339</v>
      </c>
      <c r="B107">
        <v>35</v>
      </c>
    </row>
    <row r="108" spans="1:2" x14ac:dyDescent="0.2">
      <c r="A108" t="s">
        <v>340</v>
      </c>
      <c r="B108">
        <v>36</v>
      </c>
    </row>
    <row r="109" spans="1:2" x14ac:dyDescent="0.2">
      <c r="A109" t="s">
        <v>341</v>
      </c>
      <c r="B109">
        <v>37</v>
      </c>
    </row>
    <row r="110" spans="1:2" x14ac:dyDescent="0.2">
      <c r="A110" t="s">
        <v>342</v>
      </c>
      <c r="B110">
        <v>38</v>
      </c>
    </row>
    <row r="111" spans="1:2" x14ac:dyDescent="0.2">
      <c r="A111" t="s">
        <v>343</v>
      </c>
      <c r="B111">
        <v>39</v>
      </c>
    </row>
    <row r="112" spans="1:2" x14ac:dyDescent="0.2">
      <c r="A112" t="s">
        <v>344</v>
      </c>
      <c r="B112">
        <v>40</v>
      </c>
    </row>
    <row r="113" spans="1:2" x14ac:dyDescent="0.2">
      <c r="A113" t="s">
        <v>345</v>
      </c>
      <c r="B113">
        <v>41</v>
      </c>
    </row>
    <row r="114" spans="1:2" x14ac:dyDescent="0.2">
      <c r="A114" t="s">
        <v>346</v>
      </c>
      <c r="B114">
        <v>42</v>
      </c>
    </row>
    <row r="115" spans="1:2" x14ac:dyDescent="0.2">
      <c r="A115" t="s">
        <v>347</v>
      </c>
      <c r="B115">
        <v>43</v>
      </c>
    </row>
    <row r="116" spans="1:2" x14ac:dyDescent="0.2">
      <c r="A116" t="s">
        <v>348</v>
      </c>
      <c r="B116">
        <v>44</v>
      </c>
    </row>
    <row r="117" spans="1:2" x14ac:dyDescent="0.2">
      <c r="A117" t="s">
        <v>349</v>
      </c>
      <c r="B117">
        <v>45</v>
      </c>
    </row>
    <row r="118" spans="1:2" x14ac:dyDescent="0.2">
      <c r="A118" t="s">
        <v>350</v>
      </c>
      <c r="B118">
        <v>46</v>
      </c>
    </row>
    <row r="119" spans="1:2" x14ac:dyDescent="0.2">
      <c r="A119" t="s">
        <v>351</v>
      </c>
      <c r="B119">
        <v>47</v>
      </c>
    </row>
    <row r="120" spans="1:2" x14ac:dyDescent="0.2">
      <c r="A120" t="s">
        <v>352</v>
      </c>
      <c r="B120">
        <v>48</v>
      </c>
    </row>
    <row r="121" spans="1:2" x14ac:dyDescent="0.2">
      <c r="A121" t="s">
        <v>353</v>
      </c>
      <c r="B121">
        <v>49</v>
      </c>
    </row>
    <row r="122" spans="1:2" x14ac:dyDescent="0.2">
      <c r="A122" t="s">
        <v>354</v>
      </c>
      <c r="B122">
        <v>50</v>
      </c>
    </row>
    <row r="123" spans="1:2" x14ac:dyDescent="0.2">
      <c r="A123" t="s">
        <v>355</v>
      </c>
      <c r="B123">
        <v>51</v>
      </c>
    </row>
    <row r="124" spans="1:2" x14ac:dyDescent="0.2">
      <c r="A124" t="s">
        <v>356</v>
      </c>
      <c r="B124">
        <v>52</v>
      </c>
    </row>
    <row r="125" spans="1:2" x14ac:dyDescent="0.2">
      <c r="A125" t="s">
        <v>359</v>
      </c>
      <c r="B125">
        <v>54</v>
      </c>
    </row>
    <row r="126" spans="1:2" x14ac:dyDescent="0.2">
      <c r="A126" t="s">
        <v>361</v>
      </c>
      <c r="B126">
        <v>55</v>
      </c>
    </row>
    <row r="127" spans="1:2" x14ac:dyDescent="0.2">
      <c r="A127" t="s">
        <v>363</v>
      </c>
      <c r="B127">
        <v>56</v>
      </c>
    </row>
    <row r="128" spans="1:2" x14ac:dyDescent="0.2">
      <c r="A128" t="s">
        <v>364</v>
      </c>
      <c r="B128">
        <v>57</v>
      </c>
    </row>
    <row r="129" spans="1:23" x14ac:dyDescent="0.2">
      <c r="A129" t="s">
        <v>365</v>
      </c>
      <c r="B129">
        <v>58</v>
      </c>
    </row>
    <row r="130" spans="1:23" x14ac:dyDescent="0.2">
      <c r="A130" t="s">
        <v>367</v>
      </c>
      <c r="B130" t="s">
        <v>368</v>
      </c>
    </row>
    <row r="131" spans="1:23" x14ac:dyDescent="0.2">
      <c r="A131" t="s">
        <v>369</v>
      </c>
      <c r="B131" t="s">
        <v>370</v>
      </c>
    </row>
    <row r="132" spans="1:23" x14ac:dyDescent="0.2">
      <c r="A132" t="s">
        <v>371</v>
      </c>
      <c r="B132" t="s">
        <v>372</v>
      </c>
    </row>
    <row r="133" spans="1:23" x14ac:dyDescent="0.2">
      <c r="A133" t="s">
        <v>373</v>
      </c>
      <c r="B133" t="s">
        <v>374</v>
      </c>
    </row>
    <row r="134" spans="1:23" x14ac:dyDescent="0.2">
      <c r="A134" t="s">
        <v>375</v>
      </c>
      <c r="B134" t="s">
        <v>376</v>
      </c>
    </row>
    <row r="135" spans="1:23" x14ac:dyDescent="0.2">
      <c r="A135" t="s">
        <v>377</v>
      </c>
      <c r="B135" t="s">
        <v>378</v>
      </c>
    </row>
    <row r="136" spans="1:23" x14ac:dyDescent="0.2">
      <c r="A136" t="s">
        <v>379</v>
      </c>
      <c r="B136" t="s">
        <v>380</v>
      </c>
    </row>
    <row r="137" spans="1:23" x14ac:dyDescent="0.2">
      <c r="A137" t="s">
        <v>384</v>
      </c>
      <c r="B137" t="s">
        <v>73</v>
      </c>
      <c r="C137" t="s">
        <v>11</v>
      </c>
      <c r="D137" t="s">
        <v>45</v>
      </c>
      <c r="E137" t="s">
        <v>61</v>
      </c>
      <c r="F137" t="s">
        <v>69</v>
      </c>
      <c r="G137" t="s">
        <v>71</v>
      </c>
      <c r="H137" t="s">
        <v>49</v>
      </c>
      <c r="I137" t="s">
        <v>67</v>
      </c>
      <c r="J137" t="s">
        <v>47</v>
      </c>
      <c r="K137" t="s">
        <v>59</v>
      </c>
      <c r="L137" t="s">
        <v>65</v>
      </c>
      <c r="M137" t="s">
        <v>19</v>
      </c>
      <c r="N137" t="s">
        <v>79</v>
      </c>
      <c r="O137" t="s">
        <v>41</v>
      </c>
      <c r="P137" t="s">
        <v>51</v>
      </c>
      <c r="Q137" t="s">
        <v>75</v>
      </c>
      <c r="R137" t="s">
        <v>39</v>
      </c>
      <c r="S137" t="s">
        <v>15</v>
      </c>
      <c r="T137" t="s">
        <v>23</v>
      </c>
      <c r="U137" t="s">
        <v>63</v>
      </c>
      <c r="V137" t="s">
        <v>7</v>
      </c>
      <c r="W137" t="s">
        <v>55</v>
      </c>
    </row>
    <row r="138" spans="1:23" x14ac:dyDescent="0.2">
      <c r="A138" t="s">
        <v>386</v>
      </c>
      <c r="B138">
        <v>1</v>
      </c>
    </row>
    <row r="139" spans="1:23" x14ac:dyDescent="0.2">
      <c r="A139" t="s">
        <v>387</v>
      </c>
      <c r="B139">
        <v>2</v>
      </c>
    </row>
    <row r="140" spans="1:23" x14ac:dyDescent="0.2">
      <c r="A140" t="s">
        <v>388</v>
      </c>
      <c r="B140">
        <v>3</v>
      </c>
    </row>
    <row r="141" spans="1:23" x14ac:dyDescent="0.2">
      <c r="A141" t="s">
        <v>389</v>
      </c>
      <c r="B141">
        <v>4</v>
      </c>
    </row>
    <row r="142" spans="1:23" x14ac:dyDescent="0.2">
      <c r="A142" t="s">
        <v>390</v>
      </c>
      <c r="B142">
        <v>5</v>
      </c>
    </row>
    <row r="143" spans="1:23" x14ac:dyDescent="0.2">
      <c r="A143" t="s">
        <v>391</v>
      </c>
      <c r="B143">
        <v>6</v>
      </c>
    </row>
    <row r="144" spans="1:23" x14ac:dyDescent="0.2">
      <c r="A144" t="s">
        <v>392</v>
      </c>
      <c r="B144">
        <v>8</v>
      </c>
    </row>
    <row r="145" spans="1:2" x14ac:dyDescent="0.2">
      <c r="A145" t="s">
        <v>393</v>
      </c>
      <c r="B145">
        <v>9</v>
      </c>
    </row>
    <row r="146" spans="1:2" x14ac:dyDescent="0.2">
      <c r="A146" t="s">
        <v>394</v>
      </c>
      <c r="B146">
        <v>10</v>
      </c>
    </row>
    <row r="147" spans="1:2" x14ac:dyDescent="0.2">
      <c r="A147" t="s">
        <v>395</v>
      </c>
      <c r="B147">
        <v>11</v>
      </c>
    </row>
    <row r="148" spans="1:2" x14ac:dyDescent="0.2">
      <c r="A148" t="s">
        <v>396</v>
      </c>
      <c r="B148">
        <v>12</v>
      </c>
    </row>
    <row r="149" spans="1:2" x14ac:dyDescent="0.2">
      <c r="A149" t="s">
        <v>397</v>
      </c>
      <c r="B149">
        <v>13</v>
      </c>
    </row>
    <row r="150" spans="1:2" x14ac:dyDescent="0.2">
      <c r="A150" t="s">
        <v>398</v>
      </c>
      <c r="B150">
        <v>14</v>
      </c>
    </row>
    <row r="151" spans="1:2" x14ac:dyDescent="0.2">
      <c r="A151" t="s">
        <v>399</v>
      </c>
      <c r="B151">
        <v>15</v>
      </c>
    </row>
    <row r="152" spans="1:2" x14ac:dyDescent="0.2">
      <c r="A152" t="s">
        <v>400</v>
      </c>
      <c r="B152">
        <v>16</v>
      </c>
    </row>
    <row r="153" spans="1:2" x14ac:dyDescent="0.2">
      <c r="A153" t="s">
        <v>401</v>
      </c>
      <c r="B153">
        <v>17</v>
      </c>
    </row>
    <row r="154" spans="1:2" x14ac:dyDescent="0.2">
      <c r="A154" t="s">
        <v>402</v>
      </c>
      <c r="B154">
        <v>18</v>
      </c>
    </row>
    <row r="155" spans="1:2" x14ac:dyDescent="0.2">
      <c r="A155" t="s">
        <v>403</v>
      </c>
      <c r="B155">
        <v>19</v>
      </c>
    </row>
    <row r="156" spans="1:2" x14ac:dyDescent="0.2">
      <c r="A156" t="s">
        <v>404</v>
      </c>
      <c r="B156">
        <v>20</v>
      </c>
    </row>
    <row r="157" spans="1:2" x14ac:dyDescent="0.2">
      <c r="A157" t="s">
        <v>405</v>
      </c>
      <c r="B157">
        <v>21</v>
      </c>
    </row>
    <row r="158" spans="1:2" x14ac:dyDescent="0.2">
      <c r="A158" t="s">
        <v>406</v>
      </c>
      <c r="B158">
        <v>22</v>
      </c>
    </row>
    <row r="159" spans="1:2" x14ac:dyDescent="0.2">
      <c r="A159" t="s">
        <v>407</v>
      </c>
      <c r="B159">
        <v>23</v>
      </c>
    </row>
    <row r="160" spans="1:2" x14ac:dyDescent="0.2">
      <c r="A160" t="s">
        <v>408</v>
      </c>
      <c r="B160">
        <v>24</v>
      </c>
    </row>
    <row r="161" spans="1:2" x14ac:dyDescent="0.2">
      <c r="A161" t="s">
        <v>409</v>
      </c>
      <c r="B161">
        <v>25</v>
      </c>
    </row>
    <row r="162" spans="1:2" x14ac:dyDescent="0.2">
      <c r="A162" t="s">
        <v>410</v>
      </c>
      <c r="B162">
        <v>26</v>
      </c>
    </row>
    <row r="163" spans="1:2" x14ac:dyDescent="0.2">
      <c r="A163" t="s">
        <v>411</v>
      </c>
      <c r="B163">
        <v>27</v>
      </c>
    </row>
    <row r="164" spans="1:2" x14ac:dyDescent="0.2">
      <c r="A164" t="s">
        <v>412</v>
      </c>
      <c r="B164">
        <v>28</v>
      </c>
    </row>
    <row r="165" spans="1:2" x14ac:dyDescent="0.2">
      <c r="A165" t="s">
        <v>413</v>
      </c>
      <c r="B165">
        <v>29</v>
      </c>
    </row>
    <row r="166" spans="1:2" x14ac:dyDescent="0.2">
      <c r="A166" t="s">
        <v>414</v>
      </c>
      <c r="B166">
        <v>31</v>
      </c>
    </row>
    <row r="167" spans="1:2" x14ac:dyDescent="0.2">
      <c r="A167" t="s">
        <v>415</v>
      </c>
      <c r="B167">
        <v>32</v>
      </c>
    </row>
    <row r="168" spans="1:2" x14ac:dyDescent="0.2">
      <c r="A168" t="s">
        <v>416</v>
      </c>
      <c r="B168">
        <v>33</v>
      </c>
    </row>
    <row r="169" spans="1:2" x14ac:dyDescent="0.2">
      <c r="A169" t="s">
        <v>417</v>
      </c>
      <c r="B169">
        <v>34</v>
      </c>
    </row>
    <row r="170" spans="1:2" x14ac:dyDescent="0.2">
      <c r="A170" t="s">
        <v>418</v>
      </c>
      <c r="B170">
        <v>35</v>
      </c>
    </row>
    <row r="171" spans="1:2" x14ac:dyDescent="0.2">
      <c r="A171" t="s">
        <v>419</v>
      </c>
      <c r="B171">
        <v>36</v>
      </c>
    </row>
    <row r="172" spans="1:2" x14ac:dyDescent="0.2">
      <c r="A172" t="s">
        <v>420</v>
      </c>
      <c r="B172">
        <v>37</v>
      </c>
    </row>
    <row r="173" spans="1:2" x14ac:dyDescent="0.2">
      <c r="A173" t="s">
        <v>421</v>
      </c>
      <c r="B173">
        <v>38</v>
      </c>
    </row>
    <row r="174" spans="1:2" x14ac:dyDescent="0.2">
      <c r="A174" t="s">
        <v>422</v>
      </c>
      <c r="B174">
        <v>39</v>
      </c>
    </row>
    <row r="175" spans="1:2" x14ac:dyDescent="0.2">
      <c r="A175" t="s">
        <v>423</v>
      </c>
      <c r="B175">
        <v>40</v>
      </c>
    </row>
    <row r="176" spans="1:2" x14ac:dyDescent="0.2">
      <c r="A176" t="s">
        <v>424</v>
      </c>
      <c r="B176">
        <v>41</v>
      </c>
    </row>
    <row r="177" spans="1:2" x14ac:dyDescent="0.2">
      <c r="A177" t="s">
        <v>425</v>
      </c>
      <c r="B177">
        <v>42</v>
      </c>
    </row>
    <row r="178" spans="1:2" x14ac:dyDescent="0.2">
      <c r="A178" t="s">
        <v>426</v>
      </c>
      <c r="B178">
        <v>43</v>
      </c>
    </row>
    <row r="179" spans="1:2" x14ac:dyDescent="0.2">
      <c r="A179" t="s">
        <v>427</v>
      </c>
      <c r="B179">
        <v>44</v>
      </c>
    </row>
    <row r="180" spans="1:2" x14ac:dyDescent="0.2">
      <c r="A180" t="s">
        <v>428</v>
      </c>
      <c r="B180">
        <v>45</v>
      </c>
    </row>
    <row r="181" spans="1:2" x14ac:dyDescent="0.2">
      <c r="A181" t="s">
        <v>429</v>
      </c>
      <c r="B181">
        <v>46</v>
      </c>
    </row>
    <row r="182" spans="1:2" x14ac:dyDescent="0.2">
      <c r="A182" t="s">
        <v>430</v>
      </c>
      <c r="B182">
        <v>47</v>
      </c>
    </row>
    <row r="183" spans="1:2" x14ac:dyDescent="0.2">
      <c r="A183" t="s">
        <v>431</v>
      </c>
      <c r="B183">
        <v>48</v>
      </c>
    </row>
    <row r="184" spans="1:2" x14ac:dyDescent="0.2">
      <c r="A184" t="s">
        <v>432</v>
      </c>
      <c r="B184">
        <v>49</v>
      </c>
    </row>
    <row r="185" spans="1:2" x14ac:dyDescent="0.2">
      <c r="A185" t="s">
        <v>433</v>
      </c>
      <c r="B185">
        <v>50</v>
      </c>
    </row>
    <row r="186" spans="1:2" x14ac:dyDescent="0.2">
      <c r="A186" t="s">
        <v>434</v>
      </c>
      <c r="B186">
        <v>51</v>
      </c>
    </row>
    <row r="187" spans="1:2" x14ac:dyDescent="0.2">
      <c r="A187" t="s">
        <v>435</v>
      </c>
      <c r="B187">
        <v>52</v>
      </c>
    </row>
    <row r="188" spans="1:2" x14ac:dyDescent="0.2">
      <c r="A188" t="s">
        <v>436</v>
      </c>
      <c r="B188">
        <v>54</v>
      </c>
    </row>
    <row r="189" spans="1:2" x14ac:dyDescent="0.2">
      <c r="A189" t="s">
        <v>437</v>
      </c>
      <c r="B189">
        <v>55</v>
      </c>
    </row>
    <row r="190" spans="1:2" x14ac:dyDescent="0.2">
      <c r="A190" t="s">
        <v>438</v>
      </c>
      <c r="B190">
        <v>56</v>
      </c>
    </row>
    <row r="191" spans="1:2" x14ac:dyDescent="0.2">
      <c r="A191" t="s">
        <v>439</v>
      </c>
      <c r="B191">
        <v>57</v>
      </c>
    </row>
    <row r="192" spans="1:2" x14ac:dyDescent="0.2">
      <c r="A192" t="s">
        <v>440</v>
      </c>
      <c r="B192">
        <v>58</v>
      </c>
    </row>
    <row r="193" spans="1:23" x14ac:dyDescent="0.2">
      <c r="A193" t="s">
        <v>442</v>
      </c>
      <c r="B193" t="s">
        <v>443</v>
      </c>
    </row>
    <row r="194" spans="1:23" x14ac:dyDescent="0.2">
      <c r="A194" t="s">
        <v>444</v>
      </c>
      <c r="B194" t="s">
        <v>445</v>
      </c>
    </row>
    <row r="195" spans="1:23" x14ac:dyDescent="0.2">
      <c r="A195" t="s">
        <v>446</v>
      </c>
      <c r="B195" t="s">
        <v>447</v>
      </c>
    </row>
    <row r="196" spans="1:23" x14ac:dyDescent="0.2">
      <c r="A196" t="s">
        <v>448</v>
      </c>
      <c r="B196" t="s">
        <v>449</v>
      </c>
    </row>
    <row r="197" spans="1:23" x14ac:dyDescent="0.2">
      <c r="A197" t="s">
        <v>450</v>
      </c>
      <c r="B197" t="s">
        <v>451</v>
      </c>
    </row>
    <row r="198" spans="1:23" x14ac:dyDescent="0.2">
      <c r="A198" t="s">
        <v>452</v>
      </c>
      <c r="B198" t="s">
        <v>453</v>
      </c>
    </row>
    <row r="199" spans="1:23" x14ac:dyDescent="0.2">
      <c r="A199" t="s">
        <v>454</v>
      </c>
      <c r="B199" t="s">
        <v>455</v>
      </c>
    </row>
    <row r="200" spans="1:23" x14ac:dyDescent="0.2">
      <c r="A200" t="s">
        <v>460</v>
      </c>
      <c r="B200" t="s">
        <v>19</v>
      </c>
      <c r="C200" t="s">
        <v>45</v>
      </c>
      <c r="D200" t="s">
        <v>61</v>
      </c>
      <c r="E200" t="s">
        <v>67</v>
      </c>
      <c r="F200" t="s">
        <v>79</v>
      </c>
      <c r="G200" t="s">
        <v>41</v>
      </c>
      <c r="H200" t="s">
        <v>65</v>
      </c>
      <c r="I200" t="s">
        <v>11</v>
      </c>
      <c r="J200" t="s">
        <v>73</v>
      </c>
      <c r="K200" t="s">
        <v>69</v>
      </c>
      <c r="L200" t="s">
        <v>49</v>
      </c>
      <c r="M200" t="s">
        <v>71</v>
      </c>
      <c r="N200" t="s">
        <v>59</v>
      </c>
      <c r="O200" t="s">
        <v>47</v>
      </c>
      <c r="P200" t="s">
        <v>23</v>
      </c>
      <c r="Q200" t="s">
        <v>39</v>
      </c>
      <c r="R200" t="s">
        <v>55</v>
      </c>
      <c r="S200" t="s">
        <v>75</v>
      </c>
      <c r="T200" t="s">
        <v>63</v>
      </c>
      <c r="U200" t="s">
        <v>7</v>
      </c>
      <c r="V200" t="s">
        <v>15</v>
      </c>
      <c r="W200" t="s">
        <v>51</v>
      </c>
    </row>
    <row r="201" spans="1:23" x14ac:dyDescent="0.2">
      <c r="A201" t="s">
        <v>462</v>
      </c>
      <c r="B201">
        <v>1</v>
      </c>
    </row>
    <row r="202" spans="1:23" x14ac:dyDescent="0.2">
      <c r="A202" t="s">
        <v>463</v>
      </c>
      <c r="B202">
        <v>2</v>
      </c>
    </row>
    <row r="203" spans="1:23" x14ac:dyDescent="0.2">
      <c r="A203" t="s">
        <v>464</v>
      </c>
      <c r="B203">
        <v>3</v>
      </c>
    </row>
    <row r="204" spans="1:23" x14ac:dyDescent="0.2">
      <c r="A204" t="s">
        <v>465</v>
      </c>
      <c r="B204">
        <v>4</v>
      </c>
    </row>
    <row r="205" spans="1:23" x14ac:dyDescent="0.2">
      <c r="A205" t="s">
        <v>466</v>
      </c>
      <c r="B205">
        <v>5</v>
      </c>
    </row>
    <row r="206" spans="1:23" x14ac:dyDescent="0.2">
      <c r="A206" t="s">
        <v>467</v>
      </c>
      <c r="B206">
        <v>6</v>
      </c>
    </row>
    <row r="207" spans="1:23" x14ac:dyDescent="0.2">
      <c r="A207" t="s">
        <v>468</v>
      </c>
      <c r="B207">
        <v>7</v>
      </c>
    </row>
    <row r="208" spans="1:23" x14ac:dyDescent="0.2">
      <c r="A208" t="s">
        <v>469</v>
      </c>
      <c r="B208">
        <v>9</v>
      </c>
    </row>
    <row r="209" spans="1:2" x14ac:dyDescent="0.2">
      <c r="A209" t="s">
        <v>470</v>
      </c>
      <c r="B209">
        <v>10</v>
      </c>
    </row>
    <row r="210" spans="1:2" x14ac:dyDescent="0.2">
      <c r="A210" t="s">
        <v>471</v>
      </c>
      <c r="B210">
        <v>11</v>
      </c>
    </row>
    <row r="211" spans="1:2" x14ac:dyDescent="0.2">
      <c r="A211" t="s">
        <v>472</v>
      </c>
      <c r="B211">
        <v>12</v>
      </c>
    </row>
    <row r="212" spans="1:2" x14ac:dyDescent="0.2">
      <c r="A212" t="s">
        <v>473</v>
      </c>
      <c r="B212">
        <v>13</v>
      </c>
    </row>
    <row r="213" spans="1:2" x14ac:dyDescent="0.2">
      <c r="A213" t="s">
        <v>474</v>
      </c>
      <c r="B213">
        <v>14</v>
      </c>
    </row>
    <row r="214" spans="1:2" x14ac:dyDescent="0.2">
      <c r="A214" t="s">
        <v>475</v>
      </c>
      <c r="B214">
        <v>15</v>
      </c>
    </row>
    <row r="215" spans="1:2" x14ac:dyDescent="0.2">
      <c r="A215" t="s">
        <v>476</v>
      </c>
      <c r="B215">
        <v>16</v>
      </c>
    </row>
    <row r="216" spans="1:2" x14ac:dyDescent="0.2">
      <c r="A216" t="s">
        <v>477</v>
      </c>
      <c r="B216">
        <v>17</v>
      </c>
    </row>
    <row r="217" spans="1:2" x14ac:dyDescent="0.2">
      <c r="A217" t="s">
        <v>478</v>
      </c>
      <c r="B217">
        <v>18</v>
      </c>
    </row>
    <row r="218" spans="1:2" x14ac:dyDescent="0.2">
      <c r="A218" t="s">
        <v>479</v>
      </c>
      <c r="B218">
        <v>19</v>
      </c>
    </row>
    <row r="219" spans="1:2" x14ac:dyDescent="0.2">
      <c r="A219" t="s">
        <v>480</v>
      </c>
      <c r="B219">
        <v>20</v>
      </c>
    </row>
    <row r="220" spans="1:2" x14ac:dyDescent="0.2">
      <c r="A220" t="s">
        <v>481</v>
      </c>
      <c r="B220">
        <v>21</v>
      </c>
    </row>
    <row r="221" spans="1:2" x14ac:dyDescent="0.2">
      <c r="A221" t="s">
        <v>482</v>
      </c>
      <c r="B221">
        <v>22</v>
      </c>
    </row>
    <row r="222" spans="1:2" x14ac:dyDescent="0.2">
      <c r="A222" t="s">
        <v>483</v>
      </c>
      <c r="B222">
        <v>23</v>
      </c>
    </row>
    <row r="223" spans="1:2" x14ac:dyDescent="0.2">
      <c r="A223" t="s">
        <v>484</v>
      </c>
      <c r="B223">
        <v>24</v>
      </c>
    </row>
    <row r="224" spans="1:2" x14ac:dyDescent="0.2">
      <c r="A224" t="s">
        <v>485</v>
      </c>
      <c r="B224">
        <v>25</v>
      </c>
    </row>
    <row r="225" spans="1:2" x14ac:dyDescent="0.2">
      <c r="A225" t="s">
        <v>486</v>
      </c>
      <c r="B225">
        <v>26</v>
      </c>
    </row>
    <row r="226" spans="1:2" x14ac:dyDescent="0.2">
      <c r="A226" t="s">
        <v>487</v>
      </c>
      <c r="B226">
        <v>27</v>
      </c>
    </row>
    <row r="227" spans="1:2" x14ac:dyDescent="0.2">
      <c r="A227" t="s">
        <v>488</v>
      </c>
      <c r="B227">
        <v>28</v>
      </c>
    </row>
    <row r="228" spans="1:2" x14ac:dyDescent="0.2">
      <c r="A228" t="s">
        <v>489</v>
      </c>
      <c r="B228">
        <v>29</v>
      </c>
    </row>
    <row r="229" spans="1:2" x14ac:dyDescent="0.2">
      <c r="A229" t="s">
        <v>490</v>
      </c>
      <c r="B229">
        <v>30</v>
      </c>
    </row>
    <row r="230" spans="1:2" x14ac:dyDescent="0.2">
      <c r="A230" t="s">
        <v>491</v>
      </c>
      <c r="B230">
        <v>31</v>
      </c>
    </row>
    <row r="231" spans="1:2" x14ac:dyDescent="0.2">
      <c r="A231" t="s">
        <v>492</v>
      </c>
      <c r="B231">
        <v>33</v>
      </c>
    </row>
    <row r="232" spans="1:2" x14ac:dyDescent="0.2">
      <c r="A232" t="s">
        <v>493</v>
      </c>
      <c r="B232">
        <v>34</v>
      </c>
    </row>
    <row r="233" spans="1:2" x14ac:dyDescent="0.2">
      <c r="A233" t="s">
        <v>494</v>
      </c>
      <c r="B233">
        <v>35</v>
      </c>
    </row>
    <row r="234" spans="1:2" x14ac:dyDescent="0.2">
      <c r="A234" t="s">
        <v>495</v>
      </c>
      <c r="B234">
        <v>36</v>
      </c>
    </row>
    <row r="235" spans="1:2" x14ac:dyDescent="0.2">
      <c r="A235" t="s">
        <v>496</v>
      </c>
      <c r="B235">
        <v>37</v>
      </c>
    </row>
    <row r="236" spans="1:2" x14ac:dyDescent="0.2">
      <c r="A236" t="s">
        <v>497</v>
      </c>
      <c r="B236">
        <v>38</v>
      </c>
    </row>
    <row r="237" spans="1:2" x14ac:dyDescent="0.2">
      <c r="A237" t="s">
        <v>498</v>
      </c>
      <c r="B237">
        <v>39</v>
      </c>
    </row>
    <row r="238" spans="1:2" x14ac:dyDescent="0.2">
      <c r="A238" t="s">
        <v>499</v>
      </c>
      <c r="B238">
        <v>40</v>
      </c>
    </row>
    <row r="239" spans="1:2" x14ac:dyDescent="0.2">
      <c r="A239" t="s">
        <v>500</v>
      </c>
      <c r="B239">
        <v>41</v>
      </c>
    </row>
    <row r="240" spans="1:2" x14ac:dyDescent="0.2">
      <c r="A240" t="s">
        <v>501</v>
      </c>
      <c r="B240">
        <v>42</v>
      </c>
    </row>
    <row r="241" spans="1:2" x14ac:dyDescent="0.2">
      <c r="A241" t="s">
        <v>502</v>
      </c>
      <c r="B241">
        <v>43</v>
      </c>
    </row>
    <row r="242" spans="1:2" x14ac:dyDescent="0.2">
      <c r="A242" t="s">
        <v>503</v>
      </c>
      <c r="B242">
        <v>44</v>
      </c>
    </row>
    <row r="243" spans="1:2" x14ac:dyDescent="0.2">
      <c r="A243" t="s">
        <v>504</v>
      </c>
      <c r="B243">
        <v>45</v>
      </c>
    </row>
    <row r="244" spans="1:2" x14ac:dyDescent="0.2">
      <c r="A244" t="s">
        <v>505</v>
      </c>
      <c r="B244">
        <v>46</v>
      </c>
    </row>
    <row r="245" spans="1:2" x14ac:dyDescent="0.2">
      <c r="A245" t="s">
        <v>506</v>
      </c>
      <c r="B245">
        <v>47</v>
      </c>
    </row>
    <row r="246" spans="1:2" x14ac:dyDescent="0.2">
      <c r="A246" t="s">
        <v>507</v>
      </c>
      <c r="B246">
        <v>48</v>
      </c>
    </row>
    <row r="247" spans="1:2" x14ac:dyDescent="0.2">
      <c r="A247" t="s">
        <v>508</v>
      </c>
      <c r="B247">
        <v>49</v>
      </c>
    </row>
    <row r="248" spans="1:2" x14ac:dyDescent="0.2">
      <c r="A248" t="s">
        <v>509</v>
      </c>
      <c r="B248">
        <v>50</v>
      </c>
    </row>
    <row r="249" spans="1:2" x14ac:dyDescent="0.2">
      <c r="A249" t="s">
        <v>510</v>
      </c>
      <c r="B249">
        <v>51</v>
      </c>
    </row>
    <row r="250" spans="1:2" x14ac:dyDescent="0.2">
      <c r="A250" t="s">
        <v>511</v>
      </c>
      <c r="B250">
        <v>52</v>
      </c>
    </row>
    <row r="251" spans="1:2" x14ac:dyDescent="0.2">
      <c r="A251" t="s">
        <v>512</v>
      </c>
      <c r="B251">
        <v>53</v>
      </c>
    </row>
    <row r="252" spans="1:2" x14ac:dyDescent="0.2">
      <c r="A252" t="s">
        <v>513</v>
      </c>
      <c r="B252">
        <v>54</v>
      </c>
    </row>
    <row r="253" spans="1:2" x14ac:dyDescent="0.2">
      <c r="A253" t="s">
        <v>514</v>
      </c>
      <c r="B253">
        <v>55</v>
      </c>
    </row>
    <row r="254" spans="1:2" x14ac:dyDescent="0.2">
      <c r="A254" t="s">
        <v>515</v>
      </c>
      <c r="B254">
        <v>57</v>
      </c>
    </row>
    <row r="255" spans="1:2" x14ac:dyDescent="0.2">
      <c r="A255" t="s">
        <v>516</v>
      </c>
      <c r="B255">
        <v>58</v>
      </c>
    </row>
    <row r="256" spans="1:2" x14ac:dyDescent="0.2">
      <c r="A256" t="s">
        <v>517</v>
      </c>
      <c r="B256">
        <v>59</v>
      </c>
    </row>
    <row r="257" spans="1:2" x14ac:dyDescent="0.2">
      <c r="A257" t="s">
        <v>518</v>
      </c>
      <c r="B257">
        <v>61</v>
      </c>
    </row>
    <row r="258" spans="1:2" x14ac:dyDescent="0.2">
      <c r="A258" t="s">
        <v>519</v>
      </c>
      <c r="B258">
        <v>62</v>
      </c>
    </row>
    <row r="259" spans="1:2" x14ac:dyDescent="0.2">
      <c r="A259" t="s">
        <v>520</v>
      </c>
      <c r="B259">
        <v>63</v>
      </c>
    </row>
    <row r="260" spans="1:2" x14ac:dyDescent="0.2">
      <c r="A260" t="s">
        <v>521</v>
      </c>
      <c r="B260">
        <v>64</v>
      </c>
    </row>
    <row r="261" spans="1:2" x14ac:dyDescent="0.2">
      <c r="A261" t="s">
        <v>522</v>
      </c>
      <c r="B261">
        <v>65</v>
      </c>
    </row>
    <row r="262" spans="1:2" x14ac:dyDescent="0.2">
      <c r="A262" t="s">
        <v>523</v>
      </c>
      <c r="B262">
        <v>67</v>
      </c>
    </row>
    <row r="263" spans="1:2" x14ac:dyDescent="0.2">
      <c r="A263" t="s">
        <v>524</v>
      </c>
      <c r="B263">
        <v>68</v>
      </c>
    </row>
    <row r="264" spans="1:2" x14ac:dyDescent="0.2">
      <c r="A264" t="s">
        <v>525</v>
      </c>
      <c r="B264">
        <v>69</v>
      </c>
    </row>
    <row r="265" spans="1:2" x14ac:dyDescent="0.2">
      <c r="A265" t="s">
        <v>526</v>
      </c>
      <c r="B265">
        <v>70</v>
      </c>
    </row>
    <row r="266" spans="1:2" x14ac:dyDescent="0.2">
      <c r="A266" t="s">
        <v>527</v>
      </c>
      <c r="B266">
        <v>71</v>
      </c>
    </row>
    <row r="267" spans="1:2" x14ac:dyDescent="0.2">
      <c r="A267" t="s">
        <v>529</v>
      </c>
      <c r="B267" t="s">
        <v>530</v>
      </c>
    </row>
    <row r="268" spans="1:2" x14ac:dyDescent="0.2">
      <c r="A268" t="s">
        <v>531</v>
      </c>
      <c r="B268" t="s">
        <v>532</v>
      </c>
    </row>
    <row r="269" spans="1:2" x14ac:dyDescent="0.2">
      <c r="A269" t="s">
        <v>533</v>
      </c>
      <c r="B269" t="s">
        <v>534</v>
      </c>
    </row>
    <row r="270" spans="1:2" x14ac:dyDescent="0.2">
      <c r="A270" t="s">
        <v>535</v>
      </c>
      <c r="B270" t="s">
        <v>536</v>
      </c>
    </row>
    <row r="271" spans="1:2" x14ac:dyDescent="0.2">
      <c r="A271" t="s">
        <v>537</v>
      </c>
      <c r="B271" t="s">
        <v>538</v>
      </c>
    </row>
    <row r="272" spans="1:2" x14ac:dyDescent="0.2">
      <c r="A272" t="s">
        <v>539</v>
      </c>
      <c r="B272" t="s">
        <v>540</v>
      </c>
    </row>
    <row r="273" spans="1:24" x14ac:dyDescent="0.2">
      <c r="A273" t="s">
        <v>541</v>
      </c>
      <c r="B273" t="s">
        <v>542</v>
      </c>
    </row>
    <row r="274" spans="1:24" x14ac:dyDescent="0.2">
      <c r="A274" t="s">
        <v>547</v>
      </c>
      <c r="B274" t="s">
        <v>65</v>
      </c>
      <c r="C274" t="s">
        <v>45</v>
      </c>
      <c r="D274" t="s">
        <v>21</v>
      </c>
      <c r="E274" t="s">
        <v>67</v>
      </c>
      <c r="F274" t="s">
        <v>71</v>
      </c>
      <c r="G274" t="s">
        <v>47</v>
      </c>
      <c r="H274" t="s">
        <v>61</v>
      </c>
      <c r="I274" t="s">
        <v>19</v>
      </c>
      <c r="J274" t="s">
        <v>39</v>
      </c>
      <c r="K274" t="s">
        <v>63</v>
      </c>
      <c r="L274" t="s">
        <v>7</v>
      </c>
      <c r="M274" t="s">
        <v>25</v>
      </c>
      <c r="N274" t="s">
        <v>41</v>
      </c>
      <c r="O274" t="s">
        <v>69</v>
      </c>
      <c r="P274" t="s">
        <v>51</v>
      </c>
      <c r="Q274" t="s">
        <v>49</v>
      </c>
      <c r="R274" t="s">
        <v>59</v>
      </c>
      <c r="S274" t="s">
        <v>11</v>
      </c>
      <c r="T274" t="s">
        <v>73</v>
      </c>
      <c r="U274" t="s">
        <v>15</v>
      </c>
      <c r="V274" t="s">
        <v>23</v>
      </c>
      <c r="W274" t="s">
        <v>55</v>
      </c>
      <c r="X274" t="s">
        <v>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BU36"/>
  <sheetViews>
    <sheetView tabSelected="1" zoomScale="85" zoomScaleNormal="85" workbookViewId="0">
      <pane xSplit="2" topLeftCell="AT1" activePane="topRight" state="frozen"/>
      <selection pane="topRight" activeCell="S46" sqref="S46"/>
    </sheetView>
  </sheetViews>
  <sheetFormatPr baseColWidth="10" defaultColWidth="8.83203125" defaultRowHeight="15" outlineLevelRow="2" x14ac:dyDescent="0.2"/>
  <cols>
    <col min="1" max="1" width="9.1640625"/>
    <col min="2" max="2" width="24.6640625" customWidth="1"/>
    <col min="3" max="3" width="9.1640625"/>
    <col min="4" max="5" width="10.6640625" customWidth="1"/>
    <col min="6" max="7" width="9.1640625"/>
    <col min="8" max="8" width="1.6640625" customWidth="1"/>
    <col min="9" max="9" width="9.164062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18" width="9.1640625"/>
    <col min="19" max="22" width="12.6640625" customWidth="1"/>
    <col min="23" max="27" width="11.6640625" customWidth="1"/>
    <col min="28" max="31" width="9.1640625"/>
    <col min="32" max="32" width="1.6640625" customWidth="1"/>
    <col min="33" max="33" width="9.1640625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1" max="42" width="9.1640625"/>
    <col min="43" max="46" width="12.6640625" customWidth="1"/>
    <col min="47" max="51" width="11.6640625" customWidth="1"/>
    <col min="52" max="55" width="9.1640625"/>
    <col min="56" max="56" width="1.6640625" customWidth="1"/>
    <col min="57" max="59" width="9.1640625"/>
    <col min="60" max="60" width="1.6640625" customWidth="1"/>
    <col min="61" max="62" width="9.1640625"/>
    <col min="63" max="65" width="11.6640625" customWidth="1"/>
    <col min="66" max="66" width="1.6640625" customWidth="1"/>
    <col min="67" max="68" width="9.1640625"/>
    <col min="69" max="71" width="11.6640625" customWidth="1"/>
    <col min="72" max="72" width="1.6640625" customWidth="1"/>
  </cols>
  <sheetData>
    <row r="1" spans="1:73" ht="15" customHeight="1" x14ac:dyDescent="0.2">
      <c r="A1" s="70" t="s">
        <v>528</v>
      </c>
      <c r="B1" s="70"/>
      <c r="C1" s="70"/>
      <c r="D1" s="70"/>
      <c r="E1" s="70"/>
      <c r="F1" s="70"/>
      <c r="G1" s="70"/>
      <c r="I1" s="58" t="s">
        <v>552</v>
      </c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G1" s="59" t="s">
        <v>553</v>
      </c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</row>
    <row r="2" spans="1:73" ht="30" customHeight="1" thickBot="1" x14ac:dyDescent="0.25">
      <c r="A2" s="66" t="s">
        <v>93</v>
      </c>
      <c r="B2" s="67" t="s">
        <v>96</v>
      </c>
      <c r="C2" s="66" t="s">
        <v>99</v>
      </c>
      <c r="D2" s="67" t="s">
        <v>102</v>
      </c>
      <c r="E2" s="66" t="s">
        <v>105</v>
      </c>
      <c r="F2" s="67" t="s">
        <v>108</v>
      </c>
      <c r="G2" s="66" t="s">
        <v>111</v>
      </c>
      <c r="I2" s="67" t="s">
        <v>114</v>
      </c>
      <c r="J2" s="68" t="s">
        <v>117</v>
      </c>
      <c r="K2" s="68"/>
      <c r="L2" s="68"/>
      <c r="M2" s="68"/>
      <c r="N2" s="66" t="s">
        <v>130</v>
      </c>
      <c r="O2" s="67" t="s">
        <v>133</v>
      </c>
      <c r="P2" s="66" t="s">
        <v>24</v>
      </c>
      <c r="Q2" s="67" t="s">
        <v>26</v>
      </c>
      <c r="R2" s="66" t="s">
        <v>22</v>
      </c>
      <c r="S2" s="69" t="s">
        <v>142</v>
      </c>
      <c r="T2" s="69"/>
      <c r="U2" s="69"/>
      <c r="V2" s="69"/>
      <c r="W2" s="68" t="s">
        <v>153</v>
      </c>
      <c r="X2" s="68"/>
      <c r="Y2" s="69" t="s">
        <v>160</v>
      </c>
      <c r="Z2" s="69"/>
      <c r="AA2" s="69"/>
      <c r="AB2" s="68" t="s">
        <v>170</v>
      </c>
      <c r="AC2" s="68"/>
      <c r="AD2" s="69" t="s">
        <v>177</v>
      </c>
      <c r="AE2" s="69"/>
      <c r="AG2" s="66" t="s">
        <v>114</v>
      </c>
      <c r="AH2" s="69" t="s">
        <v>117</v>
      </c>
      <c r="AI2" s="69"/>
      <c r="AJ2" s="69"/>
      <c r="AK2" s="69"/>
      <c r="AL2" s="67" t="s">
        <v>192</v>
      </c>
      <c r="AM2" s="66" t="s">
        <v>133</v>
      </c>
      <c r="AN2" s="67" t="s">
        <v>24</v>
      </c>
      <c r="AO2" s="66" t="s">
        <v>26</v>
      </c>
      <c r="AP2" s="67" t="s">
        <v>22</v>
      </c>
      <c r="AQ2" s="68" t="s">
        <v>142</v>
      </c>
      <c r="AR2" s="68"/>
      <c r="AS2" s="68"/>
      <c r="AT2" s="68"/>
      <c r="AU2" s="69" t="s">
        <v>153</v>
      </c>
      <c r="AV2" s="69"/>
      <c r="AW2" s="68" t="s">
        <v>160</v>
      </c>
      <c r="AX2" s="68"/>
      <c r="AY2" s="68"/>
      <c r="AZ2" s="69" t="s">
        <v>170</v>
      </c>
      <c r="BA2" s="69"/>
      <c r="BB2" s="68" t="s">
        <v>177</v>
      </c>
      <c r="BC2" s="68"/>
      <c r="BE2" s="67" t="s">
        <v>229</v>
      </c>
      <c r="BF2" s="66" t="s">
        <v>232</v>
      </c>
      <c r="BG2" s="67" t="s">
        <v>232</v>
      </c>
      <c r="BI2" s="68" t="s">
        <v>237</v>
      </c>
      <c r="BJ2" s="68"/>
      <c r="BK2" s="69" t="s">
        <v>242</v>
      </c>
      <c r="BL2" s="69"/>
      <c r="BM2" s="69"/>
      <c r="BO2" s="68" t="s">
        <v>249</v>
      </c>
      <c r="BP2" s="68"/>
      <c r="BQ2" s="69" t="s">
        <v>254</v>
      </c>
      <c r="BR2" s="69"/>
      <c r="BS2" s="69"/>
      <c r="BU2" t="s">
        <v>549</v>
      </c>
    </row>
    <row r="3" spans="1:73" ht="17" thickBot="1" x14ac:dyDescent="0.25">
      <c r="A3" s="66"/>
      <c r="B3" s="67"/>
      <c r="C3" s="66"/>
      <c r="D3" s="67"/>
      <c r="E3" s="66"/>
      <c r="F3" s="67"/>
      <c r="G3" s="66"/>
      <c r="I3" s="67"/>
      <c r="J3" s="11" t="s">
        <v>118</v>
      </c>
      <c r="K3" s="11" t="s">
        <v>121</v>
      </c>
      <c r="L3" s="11" t="s">
        <v>124</v>
      </c>
      <c r="M3" s="11" t="s">
        <v>127</v>
      </c>
      <c r="N3" s="66"/>
      <c r="O3" s="67"/>
      <c r="P3" s="66"/>
      <c r="Q3" s="67"/>
      <c r="R3" s="66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66"/>
      <c r="AH3" s="12" t="s">
        <v>118</v>
      </c>
      <c r="AI3" s="12" t="s">
        <v>121</v>
      </c>
      <c r="AJ3" s="12" t="s">
        <v>124</v>
      </c>
      <c r="AK3" s="12" t="s">
        <v>127</v>
      </c>
      <c r="AL3" s="67"/>
      <c r="AM3" s="66"/>
      <c r="AN3" s="67"/>
      <c r="AO3" s="66"/>
      <c r="AP3" s="67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67"/>
      <c r="BF3" s="66"/>
      <c r="BG3" s="67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21" hidden="1" x14ac:dyDescent="0.2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 x14ac:dyDescent="0.2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1.27773</v>
      </c>
      <c r="J5" s="18">
        <f t="shared" ref="J5:J29" si="1">IF(ISBLANK(S5),"·",S5/D5)</f>
        <v>5.4594351198775884E-2</v>
      </c>
      <c r="K5" s="18">
        <f t="shared" ref="K5:K29" si="2">IF(N5="","·",N5/D5)</f>
        <v>4.5170349179255324E-2</v>
      </c>
      <c r="L5" s="18">
        <f t="shared" ref="L5:L29" si="3">IF(T5="","·",T5/D5)</f>
        <v>2.7171235964129795E-2</v>
      </c>
      <c r="M5" s="18">
        <f t="shared" ref="M5:M29" si="4">IF(ISBLANK(V5),"·",V5/D5)</f>
        <v>9.4044541372031408E-3</v>
      </c>
      <c r="N5" s="15">
        <f t="shared" ref="N5:N29" si="5">IF(OR(ISBLANK(T5),ISBLANK(U5)),"",T5+U5)</f>
        <v>1127648</v>
      </c>
      <c r="O5" s="18">
        <f t="shared" ref="O5:O29" si="6">IF(ISBLANK(S5),"·",S5/P5)</f>
        <v>5.8874688215070727E-2</v>
      </c>
      <c r="P5" s="19">
        <v>23149371</v>
      </c>
      <c r="Q5" s="19">
        <v>723417.84375</v>
      </c>
      <c r="R5" s="19">
        <v>16196.65625</v>
      </c>
      <c r="S5" s="20">
        <v>1362912</v>
      </c>
      <c r="T5" s="20">
        <v>678312</v>
      </c>
      <c r="U5" s="20">
        <v>449336</v>
      </c>
      <c r="V5" s="20">
        <v>234776</v>
      </c>
      <c r="W5" s="21">
        <v>66.711594000000005</v>
      </c>
      <c r="X5" s="21">
        <v>68.487756000000005</v>
      </c>
      <c r="Y5" s="21">
        <v>31.515053000000002</v>
      </c>
      <c r="Z5" s="21">
        <v>43.823515999999998</v>
      </c>
      <c r="AA5" s="21">
        <v>43.391697000000001</v>
      </c>
      <c r="AB5" s="22">
        <v>6196.57</v>
      </c>
      <c r="AC5" s="22">
        <v>2672.79</v>
      </c>
      <c r="AD5" s="22">
        <v>9.1579999999999995</v>
      </c>
      <c r="AE5" s="22">
        <v>13.272</v>
      </c>
      <c r="AG5" s="17">
        <f t="shared" ref="AG5:AG29" si="7">IF(OR(ISBLANK(AQ5),ISBLANK(G5)),"·",AQ5*G5/F5/1000000)</f>
        <v>1.2789600000000001</v>
      </c>
      <c r="AH5" s="18">
        <f t="shared" ref="AH5:AH29" si="8">IF(ISBLANK(AQ5),"·",AQ5/D5)</f>
        <v>5.4646906161071908E-2</v>
      </c>
      <c r="AI5" s="18">
        <f t="shared" ref="AI5:AI29" si="9">IF(AL5="","·",AL5/D5)</f>
        <v>4.5218417742330951E-2</v>
      </c>
      <c r="AJ5" s="18">
        <f t="shared" ref="AJ5:AJ29" si="10">IF(AR5="","·",AR5/D5)</f>
        <v>2.7171235964129795E-2</v>
      </c>
      <c r="AK5" s="18">
        <f t="shared" ref="AK5:AK29" si="11">IF(ISBLANK(AT5),"·",AT5/D5)</f>
        <v>9.4044541372031408E-3</v>
      </c>
      <c r="AL5" s="15">
        <f t="shared" ref="AL5:AL29" si="12">IF(OR(ISBLANK(AR5),ISBLANK(AS5)),"",AR5+AS5)</f>
        <v>1128848</v>
      </c>
      <c r="AM5" s="18">
        <f t="shared" ref="AM5:AM29" si="13">IF(ISBLANK(AQ5),"·",AQ5/AN5)</f>
        <v>5.8931363621067719E-2</v>
      </c>
      <c r="AN5" s="19">
        <v>23149371</v>
      </c>
      <c r="AO5" s="19">
        <v>723417.84375</v>
      </c>
      <c r="AP5" s="19">
        <v>16196.65625</v>
      </c>
      <c r="AQ5" s="20">
        <v>1364224</v>
      </c>
      <c r="AR5" s="20">
        <v>678312</v>
      </c>
      <c r="AS5" s="20">
        <v>450536</v>
      </c>
      <c r="AT5" s="20">
        <v>234776</v>
      </c>
      <c r="AU5" s="21">
        <v>66.711594000000005</v>
      </c>
      <c r="AV5" s="21">
        <v>68.487756000000005</v>
      </c>
      <c r="AW5" s="21">
        <v>31.515053000000002</v>
      </c>
      <c r="AX5" s="21">
        <v>43.823515999999998</v>
      </c>
      <c r="AY5" s="21">
        <v>43.391697000000001</v>
      </c>
      <c r="AZ5" s="22">
        <v>5959.34</v>
      </c>
      <c r="BA5" s="22">
        <v>2596.1799999999998</v>
      </c>
      <c r="BB5" s="22">
        <v>8.8239999999999998</v>
      </c>
      <c r="BC5" s="22">
        <v>13.287000000000001</v>
      </c>
      <c r="BE5" s="23">
        <f t="shared" ref="BE5:BE29" si="14">(AP5/AO5) - (R5/Q5)</f>
        <v>0</v>
      </c>
      <c r="BF5" s="23">
        <f t="shared" ref="BF5:BF29" si="15">(AL5/AQ5) - (N5/S5)</f>
        <v>8.3912642200645315E-5</v>
      </c>
      <c r="BG5" s="23">
        <f t="array" ref="BG5">AVERAGE(AL5:AL9/AQ5:AQ9) - AVERAGE(N5:N9/S5:S9)</f>
        <v>9.982137354791476E-5</v>
      </c>
      <c r="BI5" s="24">
        <f>IF( OR(ISBLANK(N5:N9),ISBLANK(AL5:AL9), ISBLANK(W5:W9),ISBLANK(AU5:AU9)), "·", bdRateExtend( N5:N9,W5:W9, AL5:AL9,AU5:AU9))</f>
        <v>7.27135476079388E-4</v>
      </c>
      <c r="BJ5" s="24">
        <f>IF( OR(ISBLANK(N5:N9),ISBLANK(AL5:AL9), ISBLANK(X5:X9),ISBLANK(AV5:AV9)), "·", bdRateExtend( N5:N9,X5:X9, AL5:AL9,AV5:AV9))</f>
        <v>7.0653760270134036E-4</v>
      </c>
      <c r="BK5" s="24">
        <f>IF( OR(ISBLANK(V5:V9),ISBLANK(AT5:AT9), ISBLANK(Y5:Y9),ISBLANK(AW5:AW9)), "·", bdRateExtend( V5:V9,Y5:Y9, AT5:AT9,AW5:AW9))</f>
        <v>0</v>
      </c>
      <c r="BL5" s="24">
        <f>IF( OR(ISBLANK(V5:V9),ISBLANK(AT5:AT9), ISBLANK(Z5:Z9),ISBLANK(AX5:AX9)), "·", bdRateExtend( V5:V9,Z5:Z9, AT5:AT9,AX5:AX9))</f>
        <v>0</v>
      </c>
      <c r="BM5" s="24">
        <f>IF( OR(ISBLANK(V5:V9),ISBLANK(AT5:AT9), ISBLANK(AA5:AA9),ISBLANK(AY5:AY9)), "·", bdRateExtend( V5:V9,AA5:AA9, AT5:AT9,AY5:AY9))</f>
        <v>0</v>
      </c>
      <c r="BO5" s="24">
        <f>IF( OR(ISBLANK(S5:S9),ISBLANK(AQ5:AQ9), ISBLANK(W5:W9),ISBLANK(AU5:AU9)), "·", bdRateExtend( S5:S9,W5:W9, AQ5:AQ9,AU5:AU9))</f>
        <v>5.6839455870250077E-4</v>
      </c>
      <c r="BP5" s="24">
        <f>IF( OR(ISBLANK(S5:S9),ISBLANK(AQ5:AQ9), ISBLANK(X5:X9),ISBLANK(AV5:AV9)), "·", bdRateExtend( S5:S9,X5:X9, AQ5:AQ9,AV5:AV9))</f>
        <v>5.4621701622004082E-4</v>
      </c>
      <c r="BQ5" s="24">
        <f>IF( OR(ISBLANK(S5:S9),ISBLANK(AQ5:AQ9), ISBLANK(Y5:Y9),ISBLANK(AW5:AW9)), "·", bdRateExtend( S5:S9,Y5:Y9, AQ5:AQ9,AW5:AW9))</f>
        <v>5.2219008458709304E-4</v>
      </c>
      <c r="BR5" s="24">
        <f>IF( OR(ISBLANK(S5:S9),ISBLANK(AQ5:AQ9), ISBLANK(Z5:Z9),ISBLANK(AX5:AX9)), "·", bdRateExtend( S5:S9,Z5:Z9, AQ5:AQ9,AX5:AX9))</f>
        <v>5.1839411681720016E-4</v>
      </c>
      <c r="BS5" s="24">
        <f>IF( OR(ISBLANK(S5:S9),ISBLANK(AQ5:AQ9), ISBLANK(AA5:AA9),ISBLANK(AY5:AY9)), "·", bdRateExtend( S5:S9,AA5:AA9, AQ5:AQ9,AY5:AY9))</f>
        <v>5.1669050083891221E-4</v>
      </c>
      <c r="BU5">
        <f>AQ5-S5</f>
        <v>1312</v>
      </c>
    </row>
    <row r="6" spans="1:73" outlineLevel="1" x14ac:dyDescent="0.2">
      <c r="A6" s="25"/>
      <c r="B6" s="25" t="s">
        <v>266</v>
      </c>
      <c r="C6" s="26" t="s">
        <v>269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1.658925</v>
      </c>
      <c r="J6" s="28">
        <f t="shared" si="1"/>
        <v>7.0881903111321864E-2</v>
      </c>
      <c r="K6" s="28">
        <f t="shared" si="2"/>
        <v>5.4366826666884575E-2</v>
      </c>
      <c r="L6" s="28">
        <f t="shared" si="3"/>
        <v>3.636771345175905E-2</v>
      </c>
      <c r="M6" s="28">
        <f t="shared" si="4"/>
        <v>1.6495528562119867E-2</v>
      </c>
      <c r="N6" s="25">
        <f t="shared" si="5"/>
        <v>1357232</v>
      </c>
      <c r="O6" s="28">
        <f t="shared" si="6"/>
        <v>7.162060893626486E-2</v>
      </c>
      <c r="P6" s="29">
        <v>24706855</v>
      </c>
      <c r="Q6" s="29">
        <v>772089.21875</v>
      </c>
      <c r="R6" s="29">
        <v>19854.03125</v>
      </c>
      <c r="S6" s="30">
        <v>1769520</v>
      </c>
      <c r="T6" s="30">
        <v>907896</v>
      </c>
      <c r="U6" s="30">
        <v>449336</v>
      </c>
      <c r="V6" s="30">
        <v>411800</v>
      </c>
      <c r="W6" s="31">
        <v>68.448059000000001</v>
      </c>
      <c r="X6" s="31">
        <v>70.453165999999996</v>
      </c>
      <c r="Y6" s="31">
        <v>33.619093999999997</v>
      </c>
      <c r="Z6" s="31">
        <v>45.078906000000003</v>
      </c>
      <c r="AA6" s="31">
        <v>44.797125000000001</v>
      </c>
      <c r="AB6" s="32">
        <v>4246.63</v>
      </c>
      <c r="AC6" s="32">
        <v>2194.56</v>
      </c>
      <c r="AD6" s="32">
        <v>7.9630000000000001</v>
      </c>
      <c r="AE6" s="32">
        <v>11.016</v>
      </c>
      <c r="AG6" s="27">
        <f t="shared" si="7"/>
        <v>1.660155</v>
      </c>
      <c r="AH6" s="28">
        <f t="shared" si="8"/>
        <v>7.0934458073617881E-2</v>
      </c>
      <c r="AI6" s="28">
        <f t="shared" si="9"/>
        <v>5.4414895229960208E-2</v>
      </c>
      <c r="AJ6" s="28">
        <f t="shared" si="10"/>
        <v>3.636771345175905E-2</v>
      </c>
      <c r="AK6" s="28">
        <f t="shared" si="11"/>
        <v>1.6495528562119867E-2</v>
      </c>
      <c r="AL6" s="25">
        <f t="shared" si="12"/>
        <v>1358432</v>
      </c>
      <c r="AM6" s="28">
        <f t="shared" si="13"/>
        <v>7.1673711607568025E-2</v>
      </c>
      <c r="AN6" s="29">
        <v>24706855</v>
      </c>
      <c r="AO6" s="29">
        <v>772089.21875</v>
      </c>
      <c r="AP6" s="29">
        <v>19854.03125</v>
      </c>
      <c r="AQ6" s="30">
        <v>1770832</v>
      </c>
      <c r="AR6" s="30">
        <v>907896</v>
      </c>
      <c r="AS6" s="30">
        <v>450536</v>
      </c>
      <c r="AT6" s="30">
        <v>411800</v>
      </c>
      <c r="AU6" s="31">
        <v>68.448059000000001</v>
      </c>
      <c r="AV6" s="31">
        <v>70.453165999999996</v>
      </c>
      <c r="AW6" s="31">
        <v>33.619093999999997</v>
      </c>
      <c r="AX6" s="31">
        <v>45.078906000000003</v>
      </c>
      <c r="AY6" s="31">
        <v>44.797125000000001</v>
      </c>
      <c r="AZ6" s="32">
        <v>4393.6099999999997</v>
      </c>
      <c r="BA6" s="32">
        <v>2192.1799999999998</v>
      </c>
      <c r="BB6" s="32">
        <v>8.0299999999999994</v>
      </c>
      <c r="BC6" s="32">
        <v>10.938000000000001</v>
      </c>
      <c r="BE6" s="33">
        <f t="shared" si="14"/>
        <v>0</v>
      </c>
      <c r="BF6" s="33">
        <f t="shared" si="15"/>
        <v>1.0937709897318459E-4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1312</v>
      </c>
    </row>
    <row r="7" spans="1:73" outlineLevel="1" x14ac:dyDescent="0.2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2.3008350000000002</v>
      </c>
      <c r="J7" s="18">
        <f t="shared" si="1"/>
        <v>9.8309184288101176E-2</v>
      </c>
      <c r="K7" s="18">
        <f t="shared" si="2"/>
        <v>6.6586816771970869E-2</v>
      </c>
      <c r="L7" s="18">
        <f t="shared" si="3"/>
        <v>4.8587703556845344E-2</v>
      </c>
      <c r="M7" s="18">
        <f t="shared" si="4"/>
        <v>3.1702819633812884E-2</v>
      </c>
      <c r="N7" s="15">
        <f t="shared" si="5"/>
        <v>1662296</v>
      </c>
      <c r="O7" s="18">
        <f t="shared" si="6"/>
        <v>9.852540521097225E-2</v>
      </c>
      <c r="P7" s="19">
        <v>24909555</v>
      </c>
      <c r="Q7" s="19">
        <v>778423.59375</v>
      </c>
      <c r="R7" s="19">
        <v>21225.1875</v>
      </c>
      <c r="S7" s="20">
        <v>2454224</v>
      </c>
      <c r="T7" s="20">
        <v>1212960</v>
      </c>
      <c r="U7" s="20">
        <v>449336</v>
      </c>
      <c r="V7" s="20">
        <v>791440</v>
      </c>
      <c r="W7" s="21">
        <v>69.775828000000004</v>
      </c>
      <c r="X7" s="21">
        <v>72.120508999999998</v>
      </c>
      <c r="Y7" s="21">
        <v>36.071587000000001</v>
      </c>
      <c r="Z7" s="21">
        <v>46.496994000000001</v>
      </c>
      <c r="AA7" s="21">
        <v>46.188419000000003</v>
      </c>
      <c r="AB7" s="22">
        <v>4546.96</v>
      </c>
      <c r="AC7" s="22">
        <v>2314.2199999999998</v>
      </c>
      <c r="AD7" s="22">
        <v>8.0340000000000007</v>
      </c>
      <c r="AE7" s="22">
        <v>11.349</v>
      </c>
      <c r="AG7" s="17">
        <f t="shared" si="7"/>
        <v>2.3020649999999998</v>
      </c>
      <c r="AH7" s="18">
        <f t="shared" si="8"/>
        <v>9.8361739250397193E-2</v>
      </c>
      <c r="AI7" s="18">
        <f t="shared" si="9"/>
        <v>6.6634885335046495E-2</v>
      </c>
      <c r="AJ7" s="18">
        <f t="shared" si="10"/>
        <v>4.8587703556845344E-2</v>
      </c>
      <c r="AK7" s="18">
        <f t="shared" si="11"/>
        <v>3.1702819633812884E-2</v>
      </c>
      <c r="AL7" s="15">
        <f t="shared" si="12"/>
        <v>1663496</v>
      </c>
      <c r="AM7" s="18">
        <f t="shared" si="13"/>
        <v>9.8578075762493556E-2</v>
      </c>
      <c r="AN7" s="19">
        <v>24909555</v>
      </c>
      <c r="AO7" s="19">
        <v>778423.59375</v>
      </c>
      <c r="AP7" s="19">
        <v>21225.1875</v>
      </c>
      <c r="AQ7" s="20">
        <v>2455536</v>
      </c>
      <c r="AR7" s="20">
        <v>1212960</v>
      </c>
      <c r="AS7" s="20">
        <v>450536</v>
      </c>
      <c r="AT7" s="20">
        <v>791440</v>
      </c>
      <c r="AU7" s="21">
        <v>69.775828000000004</v>
      </c>
      <c r="AV7" s="21">
        <v>72.120508999999998</v>
      </c>
      <c r="AW7" s="21">
        <v>36.071587000000001</v>
      </c>
      <c r="AX7" s="21">
        <v>46.496994000000001</v>
      </c>
      <c r="AY7" s="21">
        <v>46.188419000000003</v>
      </c>
      <c r="AZ7" s="22">
        <v>4582.0200000000004</v>
      </c>
      <c r="BA7" s="22">
        <v>2354.5500000000002</v>
      </c>
      <c r="BB7" s="22">
        <v>8.0250000000000004</v>
      </c>
      <c r="BC7" s="22">
        <v>11.443</v>
      </c>
      <c r="BE7" s="23">
        <f t="shared" si="14"/>
        <v>0</v>
      </c>
      <c r="BF7" s="23">
        <f t="shared" si="15"/>
        <v>1.267974182583842E-4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1312</v>
      </c>
    </row>
    <row r="8" spans="1:73" outlineLevel="1" x14ac:dyDescent="0.2">
      <c r="A8" s="25"/>
      <c r="B8" s="25" t="s">
        <v>266</v>
      </c>
      <c r="C8" s="26" t="s">
        <v>271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3.7803450000000001</v>
      </c>
      <c r="J8" s="28">
        <f t="shared" si="1"/>
        <v>0.16152511296012179</v>
      </c>
      <c r="K8" s="28">
        <f t="shared" si="2"/>
        <v>9.2422067139685357E-2</v>
      </c>
      <c r="L8" s="28">
        <f t="shared" si="3"/>
        <v>7.4422953924559831E-2</v>
      </c>
      <c r="M8" s="28">
        <f t="shared" si="4"/>
        <v>6.9083497938119021E-2</v>
      </c>
      <c r="N8" s="25">
        <f t="shared" si="5"/>
        <v>2307256</v>
      </c>
      <c r="O8" s="28">
        <f t="shared" si="6"/>
        <v>0.15487011301106698</v>
      </c>
      <c r="P8" s="29">
        <v>26037096</v>
      </c>
      <c r="Q8" s="29">
        <v>813659.25</v>
      </c>
      <c r="R8" s="29">
        <v>24861.75</v>
      </c>
      <c r="S8" s="30">
        <v>4032368</v>
      </c>
      <c r="T8" s="30">
        <v>1857920</v>
      </c>
      <c r="U8" s="30">
        <v>449336</v>
      </c>
      <c r="V8" s="30">
        <v>1724624</v>
      </c>
      <c r="W8" s="31">
        <v>70.784678</v>
      </c>
      <c r="X8" s="31">
        <v>73.318777999999995</v>
      </c>
      <c r="Y8" s="31">
        <v>38.565663000000001</v>
      </c>
      <c r="Z8" s="31">
        <v>47.762841000000002</v>
      </c>
      <c r="AA8" s="31">
        <v>47.704047000000003</v>
      </c>
      <c r="AB8" s="32">
        <v>5941.03</v>
      </c>
      <c r="AC8" s="32">
        <v>3214.36</v>
      </c>
      <c r="AD8" s="32">
        <v>9.5449999999999999</v>
      </c>
      <c r="AE8" s="32">
        <v>14.773999999999999</v>
      </c>
      <c r="AG8" s="27">
        <f t="shared" si="7"/>
        <v>3.7815750000000001</v>
      </c>
      <c r="AH8" s="28">
        <f t="shared" si="8"/>
        <v>0.16157766792241782</v>
      </c>
      <c r="AI8" s="28">
        <f t="shared" si="9"/>
        <v>9.2470135702760983E-2</v>
      </c>
      <c r="AJ8" s="28">
        <f t="shared" si="10"/>
        <v>7.4422953924559831E-2</v>
      </c>
      <c r="AK8" s="28">
        <f t="shared" si="11"/>
        <v>6.9083497938119021E-2</v>
      </c>
      <c r="AL8" s="25">
        <f t="shared" si="12"/>
        <v>2308456</v>
      </c>
      <c r="AM8" s="28">
        <f t="shared" si="13"/>
        <v>0.15492050265513482</v>
      </c>
      <c r="AN8" s="29">
        <v>26037096</v>
      </c>
      <c r="AO8" s="29">
        <v>813659.25</v>
      </c>
      <c r="AP8" s="29">
        <v>24861.75</v>
      </c>
      <c r="AQ8" s="30">
        <v>4033680</v>
      </c>
      <c r="AR8" s="30">
        <v>1857920</v>
      </c>
      <c r="AS8" s="30">
        <v>450536</v>
      </c>
      <c r="AT8" s="30">
        <v>1724624</v>
      </c>
      <c r="AU8" s="31">
        <v>70.784678</v>
      </c>
      <c r="AV8" s="31">
        <v>73.318777999999995</v>
      </c>
      <c r="AW8" s="31">
        <v>38.565663000000001</v>
      </c>
      <c r="AX8" s="31">
        <v>47.762841000000002</v>
      </c>
      <c r="AY8" s="31">
        <v>47.704047000000003</v>
      </c>
      <c r="AZ8" s="32">
        <v>4536.93</v>
      </c>
      <c r="BA8" s="32">
        <v>2551.8200000000002</v>
      </c>
      <c r="BB8" s="32">
        <v>8.11</v>
      </c>
      <c r="BC8" s="32">
        <v>11.904999999999999</v>
      </c>
      <c r="BE8" s="33">
        <f t="shared" si="14"/>
        <v>0</v>
      </c>
      <c r="BF8" s="33">
        <f t="shared" si="15"/>
        <v>1.1138581617087251E-4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1312</v>
      </c>
    </row>
    <row r="9" spans="1:73" ht="16" outlineLevel="1" thickBot="1" x14ac:dyDescent="0.25">
      <c r="A9" s="15"/>
      <c r="B9" s="35" t="s">
        <v>266</v>
      </c>
      <c r="C9" s="36" t="s">
        <v>272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7.8755474999999997</v>
      </c>
      <c r="J9" s="38">
        <f t="shared" si="1"/>
        <v>0.33650333489676337</v>
      </c>
      <c r="K9" s="38">
        <f t="shared" si="2"/>
        <v>0.15767001420145638</v>
      </c>
      <c r="L9" s="38">
        <f t="shared" si="3"/>
        <v>0.12032298389130319</v>
      </c>
      <c r="M9" s="38">
        <f t="shared" si="4"/>
        <v>0.17881377281298955</v>
      </c>
      <c r="N9" s="35">
        <f t="shared" si="5"/>
        <v>3936128</v>
      </c>
      <c r="O9" s="38">
        <f t="shared" si="6"/>
        <v>0.33528115481321308</v>
      </c>
      <c r="P9" s="39">
        <v>25055342</v>
      </c>
      <c r="Q9" s="39">
        <v>782979.4375</v>
      </c>
      <c r="R9" s="39">
        <v>7605.5</v>
      </c>
      <c r="S9" s="40">
        <v>8400584</v>
      </c>
      <c r="T9" s="40">
        <v>3003784</v>
      </c>
      <c r="U9" s="40">
        <v>932344</v>
      </c>
      <c r="V9" s="40">
        <v>4463968</v>
      </c>
      <c r="W9" s="41">
        <v>72.134146999999999</v>
      </c>
      <c r="X9" s="41">
        <v>75.252987000000005</v>
      </c>
      <c r="Y9" s="41">
        <v>41.113503000000001</v>
      </c>
      <c r="Z9" s="41">
        <v>49.389791000000002</v>
      </c>
      <c r="AA9" s="41">
        <v>49.465527999999999</v>
      </c>
      <c r="AB9" s="42">
        <v>6096.94</v>
      </c>
      <c r="AC9" s="42">
        <v>3621.73</v>
      </c>
      <c r="AD9" s="42">
        <v>10.46</v>
      </c>
      <c r="AE9" s="42">
        <v>16.428999999999998</v>
      </c>
      <c r="AG9" s="37">
        <f t="shared" si="7"/>
        <v>7.8767474999999996</v>
      </c>
      <c r="AH9" s="38">
        <f t="shared" si="8"/>
        <v>0.33655460803071069</v>
      </c>
      <c r="AI9" s="38">
        <f t="shared" si="9"/>
        <v>0.15771680093618334</v>
      </c>
      <c r="AJ9" s="38">
        <f t="shared" si="10"/>
        <v>0.12032298389130319</v>
      </c>
      <c r="AK9" s="38">
        <f t="shared" si="11"/>
        <v>0.17881377281298955</v>
      </c>
      <c r="AL9" s="35">
        <f t="shared" si="12"/>
        <v>3937296</v>
      </c>
      <c r="AM9" s="38">
        <f t="shared" si="13"/>
        <v>0.3353322417231423</v>
      </c>
      <c r="AN9" s="39">
        <v>25055342</v>
      </c>
      <c r="AO9" s="39">
        <v>782979.4375</v>
      </c>
      <c r="AP9" s="39">
        <v>7605.5</v>
      </c>
      <c r="AQ9" s="40">
        <v>8401864</v>
      </c>
      <c r="AR9" s="40">
        <v>3003784</v>
      </c>
      <c r="AS9" s="40">
        <v>933512</v>
      </c>
      <c r="AT9" s="40">
        <v>4463968</v>
      </c>
      <c r="AU9" s="41">
        <v>72.134146999999999</v>
      </c>
      <c r="AV9" s="41">
        <v>75.252987000000005</v>
      </c>
      <c r="AW9" s="41">
        <v>41.113503000000001</v>
      </c>
      <c r="AX9" s="41">
        <v>49.389791000000002</v>
      </c>
      <c r="AY9" s="41">
        <v>49.465527999999999</v>
      </c>
      <c r="AZ9" s="42">
        <v>4571.57</v>
      </c>
      <c r="BA9" s="42">
        <v>2873.38</v>
      </c>
      <c r="BB9" s="42">
        <v>8.9499999999999993</v>
      </c>
      <c r="BC9" s="42">
        <v>13.016999999999999</v>
      </c>
      <c r="BE9" s="43">
        <f t="shared" si="14"/>
        <v>0</v>
      </c>
      <c r="BF9" s="43">
        <f t="shared" si="15"/>
        <v>6.7633892136098606E-5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1280</v>
      </c>
    </row>
    <row r="10" spans="1:73" x14ac:dyDescent="0.2">
      <c r="A10" s="25"/>
      <c r="B10" s="25" t="s">
        <v>275</v>
      </c>
      <c r="C10" s="26" t="s">
        <v>268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2.1213375000000001</v>
      </c>
      <c r="J10" s="28">
        <f t="shared" si="1"/>
        <v>9.9879985640122265E-2</v>
      </c>
      <c r="K10" s="28">
        <f t="shared" si="2"/>
        <v>7.1566325336333961E-2</v>
      </c>
      <c r="L10" s="28">
        <f t="shared" si="3"/>
        <v>3.9549430365473717E-2</v>
      </c>
      <c r="M10" s="28">
        <f t="shared" si="4"/>
        <v>2.8292119604380335E-2</v>
      </c>
      <c r="N10" s="25">
        <f t="shared" si="5"/>
        <v>1621320</v>
      </c>
      <c r="O10" s="28">
        <f t="shared" si="6"/>
        <v>0.1070881715455243</v>
      </c>
      <c r="P10" s="29">
        <v>21129878</v>
      </c>
      <c r="Q10" s="29">
        <v>660308.6875</v>
      </c>
      <c r="R10" s="29">
        <v>19743.5625</v>
      </c>
      <c r="S10" s="30">
        <v>2262760</v>
      </c>
      <c r="T10" s="30">
        <v>895984</v>
      </c>
      <c r="U10" s="30">
        <v>725336</v>
      </c>
      <c r="V10" s="30">
        <v>640952</v>
      </c>
      <c r="W10" s="31">
        <v>65.982078000000001</v>
      </c>
      <c r="X10" s="31">
        <v>67.811513000000005</v>
      </c>
      <c r="Y10" s="31">
        <v>30.894309</v>
      </c>
      <c r="Z10" s="31">
        <v>38.404890999999999</v>
      </c>
      <c r="AA10" s="31">
        <v>29.973603000000001</v>
      </c>
      <c r="AB10" s="32">
        <v>4659.2700000000004</v>
      </c>
      <c r="AC10" s="32">
        <v>2862.19</v>
      </c>
      <c r="AD10" s="32">
        <v>7.6849999999999996</v>
      </c>
      <c r="AE10" s="32">
        <v>13.906000000000001</v>
      </c>
      <c r="AG10" s="27">
        <f t="shared" si="7"/>
        <v>2.1272850000000001</v>
      </c>
      <c r="AH10" s="28">
        <f t="shared" si="8"/>
        <v>0.10016001473242589</v>
      </c>
      <c r="AI10" s="28">
        <f t="shared" si="9"/>
        <v>7.1841410661560343E-2</v>
      </c>
      <c r="AJ10" s="28">
        <f t="shared" si="10"/>
        <v>3.9549430365473717E-2</v>
      </c>
      <c r="AK10" s="28">
        <f t="shared" si="11"/>
        <v>2.8292119604380335E-2</v>
      </c>
      <c r="AL10" s="25">
        <f t="shared" si="12"/>
        <v>1627552</v>
      </c>
      <c r="AM10" s="28">
        <f t="shared" si="13"/>
        <v>0.10738840990941831</v>
      </c>
      <c r="AN10" s="29">
        <v>21129878</v>
      </c>
      <c r="AO10" s="29">
        <v>660308.6875</v>
      </c>
      <c r="AP10" s="29">
        <v>19743.5625</v>
      </c>
      <c r="AQ10" s="30">
        <v>2269104</v>
      </c>
      <c r="AR10" s="30">
        <v>895984</v>
      </c>
      <c r="AS10" s="30">
        <v>731568</v>
      </c>
      <c r="AT10" s="30">
        <v>640952</v>
      </c>
      <c r="AU10" s="31">
        <v>65.982078000000001</v>
      </c>
      <c r="AV10" s="31">
        <v>67.811513000000005</v>
      </c>
      <c r="AW10" s="31">
        <v>30.894309</v>
      </c>
      <c r="AX10" s="31">
        <v>38.404890999999999</v>
      </c>
      <c r="AY10" s="31">
        <v>29.973603000000001</v>
      </c>
      <c r="AZ10" s="32">
        <v>4670.84</v>
      </c>
      <c r="BA10" s="32">
        <v>2750.97</v>
      </c>
      <c r="BB10" s="32">
        <v>7.38</v>
      </c>
      <c r="BC10" s="32">
        <v>13.491</v>
      </c>
      <c r="BE10" s="33">
        <f t="shared" si="14"/>
        <v>0</v>
      </c>
      <c r="BF10" s="33">
        <f t="shared" si="15"/>
        <v>7.4319066918981935E-4</v>
      </c>
      <c r="BG10" s="33">
        <f t="array" ref="BG10">AVERAGE(AL10:AL14/AQ10:AQ14) - AVERAGE(N10:N14/S10:S14)</f>
        <v>5.5502663010220665E-4</v>
      </c>
      <c r="BI10" s="34">
        <f>IF( OR(ISBLANK(N10:N14),ISBLANK(AL10:AL14), ISBLANK(W10:W14),ISBLANK(AU10:AU14)), "·", bdRateExtend( N10:N14,W10:W14, AL10:AL14,AU10:AU14))</f>
        <v>2.594279530000021E-3</v>
      </c>
      <c r="BJ10" s="34">
        <f>IF( OR(ISBLANK(N10:N14),ISBLANK(AL10:AL14), ISBLANK(X10:X14),ISBLANK(AV10:AV14)), "·", bdRateExtend( N10:N14,X10:X14, AL10:AL14,AV10:AV14))</f>
        <v>2.4651790164980092E-3</v>
      </c>
      <c r="BK10" s="34">
        <f>IF( OR(ISBLANK(V10:V14),ISBLANK(AT10:AT14), ISBLANK(Y10:Y14),ISBLANK(AW10:AW14)), "·", bdRateExtend( V10:V14,Y10:Y14, AT10:AT14,AW10:AW14))</f>
        <v>0</v>
      </c>
      <c r="BL10" s="34">
        <f>IF( OR(ISBLANK(V10:V14),ISBLANK(AT10:AT14), ISBLANK(Z10:Z14),ISBLANK(AX10:AX14)), "·", bdRateExtend( V10:V14,Z10:Z14, AT10:AT14,AX10:AX14))</f>
        <v>0</v>
      </c>
      <c r="BM10" s="34">
        <f>IF( OR(ISBLANK(V10:V14),ISBLANK(AT10:AT14), ISBLANK(AA10:AA14),ISBLANK(AY10:AY14)), "·", bdRateExtend( V10:V14,AA10:AA14, AT10:AT14,AY10:AY14))</f>
        <v>0</v>
      </c>
      <c r="BO10" s="34">
        <f>IF( OR(ISBLANK(S10:S14),ISBLANK(AQ10:AQ14), ISBLANK(W10:W14),ISBLANK(AU10:AU14)), "·", bdRateExtend( S10:S14,W10:W14, AQ10:AQ14,AU10:AU14))</f>
        <v>1.5699678883580592E-3</v>
      </c>
      <c r="BP10" s="34">
        <f>IF( OR(ISBLANK(S10:S14),ISBLANK(AQ10:AQ14), ISBLANK(X10:X14),ISBLANK(AV10:AV14)), "·", bdRateExtend( S10:S14,X10:X14, AQ10:AQ14,AV10:AV14))</f>
        <v>1.4614625092146394E-3</v>
      </c>
      <c r="BQ10" s="34">
        <f>IF( OR(ISBLANK(S10:S14),ISBLANK(AQ10:AQ14), ISBLANK(Y10:Y14),ISBLANK(AW10:AW14)), "·", bdRateExtend( S10:S14,Y10:Y14, AQ10:AQ14,AW10:AW14))</f>
        <v>1.404459718608031E-3</v>
      </c>
      <c r="BR10" s="34">
        <f>IF( OR(ISBLANK(S10:S14),ISBLANK(AQ10:AQ14), ISBLANK(Z10:Z14),ISBLANK(AX10:AX14)), "·", bdRateExtend( S10:S14,Z10:Z14, AQ10:AQ14,AX10:AX14))</f>
        <v>1.4299328687503721E-3</v>
      </c>
      <c r="BS10" s="34">
        <f>IF( OR(ISBLANK(S10:S14),ISBLANK(AQ10:AQ14), ISBLANK(AA10:AA14),ISBLANK(AY10:AY14)), "·", bdRateExtend( S10:S14,AA10:AA14, AQ10:AQ14,AY10:AY14))</f>
        <v>1.4733254627938841E-3</v>
      </c>
      <c r="BU10" s="4">
        <f t="shared" si="16"/>
        <v>6344</v>
      </c>
    </row>
    <row r="11" spans="1:73" outlineLevel="1" x14ac:dyDescent="0.2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2.9061525000000001</v>
      </c>
      <c r="J11" s="18">
        <f t="shared" si="1"/>
        <v>0.13683181953272661</v>
      </c>
      <c r="K11" s="18">
        <f t="shared" si="2"/>
        <v>8.6627511737143087E-2</v>
      </c>
      <c r="L11" s="18">
        <f t="shared" si="3"/>
        <v>5.4610616766282837E-2</v>
      </c>
      <c r="M11" s="18">
        <f t="shared" si="4"/>
        <v>5.0182767096175557E-2</v>
      </c>
      <c r="N11" s="15">
        <f t="shared" si="5"/>
        <v>1962528</v>
      </c>
      <c r="O11" s="18">
        <f t="shared" si="6"/>
        <v>0.13786970111158731</v>
      </c>
      <c r="P11" s="19">
        <v>22484244</v>
      </c>
      <c r="Q11" s="19">
        <v>702632.625</v>
      </c>
      <c r="R11" s="19">
        <v>24989.5</v>
      </c>
      <c r="S11" s="20">
        <v>3099896</v>
      </c>
      <c r="T11" s="20">
        <v>1237192</v>
      </c>
      <c r="U11" s="20">
        <v>725336</v>
      </c>
      <c r="V11" s="20">
        <v>1136880</v>
      </c>
      <c r="W11" s="21">
        <v>67.688494000000006</v>
      </c>
      <c r="X11" s="21">
        <v>69.722633999999999</v>
      </c>
      <c r="Y11" s="21">
        <v>32.773665999999999</v>
      </c>
      <c r="Z11" s="21">
        <v>39.535618999999997</v>
      </c>
      <c r="AA11" s="21">
        <v>32.218108999999998</v>
      </c>
      <c r="AB11" s="22">
        <v>6124.13</v>
      </c>
      <c r="AC11" s="22">
        <v>3771.05</v>
      </c>
      <c r="AD11" s="22">
        <v>8.6509999999999998</v>
      </c>
      <c r="AE11" s="22">
        <v>17.422999999999998</v>
      </c>
      <c r="AG11" s="17">
        <f t="shared" si="7"/>
        <v>2.9121000000000001</v>
      </c>
      <c r="AH11" s="18">
        <f t="shared" si="8"/>
        <v>0.13711184862503023</v>
      </c>
      <c r="AI11" s="18">
        <f t="shared" si="9"/>
        <v>8.6902597062369469E-2</v>
      </c>
      <c r="AJ11" s="18">
        <f t="shared" si="10"/>
        <v>5.4610616766282837E-2</v>
      </c>
      <c r="AK11" s="18">
        <f t="shared" si="11"/>
        <v>5.0182767096175557E-2</v>
      </c>
      <c r="AL11" s="15">
        <f t="shared" si="12"/>
        <v>1968760</v>
      </c>
      <c r="AM11" s="18">
        <f t="shared" si="13"/>
        <v>0.13815185424958029</v>
      </c>
      <c r="AN11" s="19">
        <v>22484244</v>
      </c>
      <c r="AO11" s="19">
        <v>702632.625</v>
      </c>
      <c r="AP11" s="19">
        <v>24989.5</v>
      </c>
      <c r="AQ11" s="20">
        <v>3106240</v>
      </c>
      <c r="AR11" s="20">
        <v>1237192</v>
      </c>
      <c r="AS11" s="20">
        <v>731568</v>
      </c>
      <c r="AT11" s="20">
        <v>1136880</v>
      </c>
      <c r="AU11" s="21">
        <v>67.688494000000006</v>
      </c>
      <c r="AV11" s="21">
        <v>69.722633999999999</v>
      </c>
      <c r="AW11" s="21">
        <v>32.773665999999999</v>
      </c>
      <c r="AX11" s="21">
        <v>39.535618999999997</v>
      </c>
      <c r="AY11" s="21">
        <v>32.218108999999998</v>
      </c>
      <c r="AZ11" s="22">
        <v>4727.58</v>
      </c>
      <c r="BA11" s="22">
        <v>2917.98</v>
      </c>
      <c r="BB11" s="22">
        <v>7.4740000000000002</v>
      </c>
      <c r="BC11" s="22">
        <v>13.686999999999999</v>
      </c>
      <c r="BE11" s="23">
        <f t="shared" si="14"/>
        <v>0</v>
      </c>
      <c r="BF11" s="23">
        <f t="shared" si="15"/>
        <v>7.132889496161976E-4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6344</v>
      </c>
    </row>
    <row r="12" spans="1:73" outlineLevel="1" x14ac:dyDescent="0.2">
      <c r="A12" s="25"/>
      <c r="B12" s="25" t="s">
        <v>275</v>
      </c>
      <c r="C12" s="26" t="s">
        <v>270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4.1543625000000004</v>
      </c>
      <c r="J12" s="28">
        <f t="shared" si="1"/>
        <v>0.19560191004206659</v>
      </c>
      <c r="K12" s="28">
        <f t="shared" si="2"/>
        <v>0.10887163857496091</v>
      </c>
      <c r="L12" s="28">
        <f t="shared" si="3"/>
        <v>7.6854743604100662E-2</v>
      </c>
      <c r="M12" s="28">
        <f t="shared" si="4"/>
        <v>8.6708730767697723E-2</v>
      </c>
      <c r="N12" s="25">
        <f t="shared" si="5"/>
        <v>2466464</v>
      </c>
      <c r="O12" s="28">
        <f t="shared" si="6"/>
        <v>0.19433652770393656</v>
      </c>
      <c r="P12" s="29">
        <v>22802301</v>
      </c>
      <c r="Q12" s="29">
        <v>712571.90625</v>
      </c>
      <c r="R12" s="29">
        <v>26548.75</v>
      </c>
      <c r="S12" s="30">
        <v>4431320</v>
      </c>
      <c r="T12" s="30">
        <v>1741128</v>
      </c>
      <c r="U12" s="30">
        <v>725336</v>
      </c>
      <c r="V12" s="30">
        <v>1964368</v>
      </c>
      <c r="W12" s="31">
        <v>69.053853000000004</v>
      </c>
      <c r="X12" s="31">
        <v>71.385394000000005</v>
      </c>
      <c r="Y12" s="31">
        <v>34.849631000000002</v>
      </c>
      <c r="Z12" s="31">
        <v>40.495874999999998</v>
      </c>
      <c r="AA12" s="31">
        <v>34.163775000000001</v>
      </c>
      <c r="AB12" s="32">
        <v>4712.88</v>
      </c>
      <c r="AC12" s="32">
        <v>3153.36</v>
      </c>
      <c r="AD12" s="32">
        <v>7.7629999999999999</v>
      </c>
      <c r="AE12" s="32">
        <v>14.113</v>
      </c>
      <c r="AG12" s="27">
        <f t="shared" si="7"/>
        <v>4.16031</v>
      </c>
      <c r="AH12" s="28">
        <f t="shared" si="8"/>
        <v>0.19588193913437021</v>
      </c>
      <c r="AI12" s="28">
        <f t="shared" si="9"/>
        <v>0.10914672390018729</v>
      </c>
      <c r="AJ12" s="28">
        <f t="shared" si="10"/>
        <v>7.6854743604100662E-2</v>
      </c>
      <c r="AK12" s="28">
        <f t="shared" si="11"/>
        <v>8.6708730767697723E-2</v>
      </c>
      <c r="AL12" s="25">
        <f t="shared" si="12"/>
        <v>2472696</v>
      </c>
      <c r="AM12" s="28">
        <f t="shared" si="13"/>
        <v>0.19461474523996503</v>
      </c>
      <c r="AN12" s="29">
        <v>22802301</v>
      </c>
      <c r="AO12" s="29">
        <v>712571.90625</v>
      </c>
      <c r="AP12" s="29">
        <v>26548.75</v>
      </c>
      <c r="AQ12" s="30">
        <v>4437664</v>
      </c>
      <c r="AR12" s="30">
        <v>1741128</v>
      </c>
      <c r="AS12" s="30">
        <v>731568</v>
      </c>
      <c r="AT12" s="30">
        <v>1964368</v>
      </c>
      <c r="AU12" s="31">
        <v>69.053853000000004</v>
      </c>
      <c r="AV12" s="31">
        <v>71.385394000000005</v>
      </c>
      <c r="AW12" s="31">
        <v>34.849631000000002</v>
      </c>
      <c r="AX12" s="31">
        <v>40.495874999999998</v>
      </c>
      <c r="AY12" s="31">
        <v>34.163775000000001</v>
      </c>
      <c r="AZ12" s="32">
        <v>6210.29</v>
      </c>
      <c r="BA12" s="32">
        <v>3999.84</v>
      </c>
      <c r="BB12" s="32">
        <v>8.6489999999999991</v>
      </c>
      <c r="BC12" s="32">
        <v>17.105</v>
      </c>
      <c r="BE12" s="33">
        <f t="shared" si="14"/>
        <v>0</v>
      </c>
      <c r="BF12" s="33">
        <f t="shared" si="15"/>
        <v>6.0864050823572491E-4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6344</v>
      </c>
    </row>
    <row r="13" spans="1:73" outlineLevel="1" x14ac:dyDescent="0.2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6.791175</v>
      </c>
      <c r="J13" s="18">
        <f t="shared" si="1"/>
        <v>0.31975226076923513</v>
      </c>
      <c r="K13" s="18">
        <f t="shared" si="2"/>
        <v>0.14895711454209526</v>
      </c>
      <c r="L13" s="18">
        <f t="shared" si="3"/>
        <v>0.11694021957123503</v>
      </c>
      <c r="M13" s="18">
        <f t="shared" si="4"/>
        <v>0.17077360552773191</v>
      </c>
      <c r="N13" s="15">
        <f t="shared" si="5"/>
        <v>3374592</v>
      </c>
      <c r="O13" s="18">
        <f t="shared" si="6"/>
        <v>0.30482462249342729</v>
      </c>
      <c r="P13" s="19">
        <v>23764222</v>
      </c>
      <c r="Q13" s="19">
        <v>742631.9375</v>
      </c>
      <c r="R13" s="19">
        <v>30343.0625</v>
      </c>
      <c r="S13" s="20">
        <v>7243920</v>
      </c>
      <c r="T13" s="20">
        <v>2649256</v>
      </c>
      <c r="U13" s="20">
        <v>725336</v>
      </c>
      <c r="V13" s="20">
        <v>3868840</v>
      </c>
      <c r="W13" s="21">
        <v>70.025913000000003</v>
      </c>
      <c r="X13" s="21">
        <v>72.557416000000003</v>
      </c>
      <c r="Y13" s="21">
        <v>37.088272000000003</v>
      </c>
      <c r="Z13" s="21">
        <v>41.603496999999997</v>
      </c>
      <c r="AA13" s="21">
        <v>36.188844000000003</v>
      </c>
      <c r="AB13" s="22">
        <v>6161.29</v>
      </c>
      <c r="AC13" s="22">
        <v>4313.5</v>
      </c>
      <c r="AD13" s="22">
        <v>8.827</v>
      </c>
      <c r="AE13" s="22">
        <v>17.710999999999999</v>
      </c>
      <c r="AG13" s="17">
        <f t="shared" si="7"/>
        <v>6.7971225000000004</v>
      </c>
      <c r="AH13" s="18">
        <f t="shared" si="8"/>
        <v>0.32003228986153875</v>
      </c>
      <c r="AI13" s="18">
        <f t="shared" si="9"/>
        <v>0.14923219986732164</v>
      </c>
      <c r="AJ13" s="18">
        <f t="shared" si="10"/>
        <v>0.11694021957123503</v>
      </c>
      <c r="AK13" s="18">
        <f t="shared" si="11"/>
        <v>0.17077360552773191</v>
      </c>
      <c r="AL13" s="15">
        <f t="shared" si="12"/>
        <v>3380824</v>
      </c>
      <c r="AM13" s="18">
        <f t="shared" si="13"/>
        <v>0.30509157842406959</v>
      </c>
      <c r="AN13" s="19">
        <v>23764222</v>
      </c>
      <c r="AO13" s="19">
        <v>742631.9375</v>
      </c>
      <c r="AP13" s="19">
        <v>30343.0625</v>
      </c>
      <c r="AQ13" s="20">
        <v>7250264</v>
      </c>
      <c r="AR13" s="20">
        <v>2649256</v>
      </c>
      <c r="AS13" s="20">
        <v>731568</v>
      </c>
      <c r="AT13" s="20">
        <v>3868840</v>
      </c>
      <c r="AU13" s="21">
        <v>70.025913000000003</v>
      </c>
      <c r="AV13" s="21">
        <v>72.557416000000003</v>
      </c>
      <c r="AW13" s="21">
        <v>37.088272000000003</v>
      </c>
      <c r="AX13" s="21">
        <v>41.603496999999997</v>
      </c>
      <c r="AY13" s="21">
        <v>36.188844000000003</v>
      </c>
      <c r="AZ13" s="22">
        <v>4717.03</v>
      </c>
      <c r="BA13" s="22">
        <v>3387.76</v>
      </c>
      <c r="BB13" s="22">
        <v>7.9779999999999998</v>
      </c>
      <c r="BC13" s="22">
        <v>14.477</v>
      </c>
      <c r="BE13" s="23">
        <f t="shared" si="14"/>
        <v>0</v>
      </c>
      <c r="BF13" s="23">
        <f t="shared" si="15"/>
        <v>4.5193350288680323E-4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6344</v>
      </c>
    </row>
    <row r="14" spans="1:73" ht="16" outlineLevel="1" thickBot="1" x14ac:dyDescent="0.25">
      <c r="A14" s="25"/>
      <c r="B14" s="45" t="s">
        <v>275</v>
      </c>
      <c r="C14" s="46" t="s">
        <v>272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13.5877575</v>
      </c>
      <c r="J14" s="48">
        <f t="shared" si="1"/>
        <v>0.63975912554294811</v>
      </c>
      <c r="K14" s="48">
        <f t="shared" si="2"/>
        <v>0.25010694206862838</v>
      </c>
      <c r="L14" s="48">
        <f t="shared" si="3"/>
        <v>0.18730944702243751</v>
      </c>
      <c r="M14" s="48">
        <f t="shared" si="4"/>
        <v>0.38963064277491172</v>
      </c>
      <c r="N14" s="45">
        <f t="shared" si="5"/>
        <v>5666120</v>
      </c>
      <c r="O14" s="48">
        <f t="shared" si="6"/>
        <v>0.6442754088263406</v>
      </c>
      <c r="P14" s="49">
        <v>22495982</v>
      </c>
      <c r="Q14" s="49">
        <v>702999.4375</v>
      </c>
      <c r="R14" s="49">
        <v>8246.78125</v>
      </c>
      <c r="S14" s="50">
        <v>14493608</v>
      </c>
      <c r="T14" s="50">
        <v>4243456</v>
      </c>
      <c r="U14" s="50">
        <v>1422664</v>
      </c>
      <c r="V14" s="50">
        <v>8827000</v>
      </c>
      <c r="W14" s="51">
        <v>71.393872000000002</v>
      </c>
      <c r="X14" s="51">
        <v>74.798930999999996</v>
      </c>
      <c r="Y14" s="51">
        <v>39.652940999999998</v>
      </c>
      <c r="Z14" s="51">
        <v>42.971468999999999</v>
      </c>
      <c r="AA14" s="51">
        <v>38.538587999999997</v>
      </c>
      <c r="AB14" s="52">
        <v>4554.1400000000003</v>
      </c>
      <c r="AC14" s="52">
        <v>3795.34</v>
      </c>
      <c r="AD14" s="52">
        <v>8.2609999999999992</v>
      </c>
      <c r="AE14" s="52">
        <v>16.419</v>
      </c>
      <c r="AG14" s="47">
        <f t="shared" si="7"/>
        <v>13.59369</v>
      </c>
      <c r="AH14" s="48">
        <f t="shared" si="8"/>
        <v>0.6400384483828121</v>
      </c>
      <c r="AI14" s="48">
        <f t="shared" si="9"/>
        <v>0.2503813211414152</v>
      </c>
      <c r="AJ14" s="48">
        <f t="shared" si="10"/>
        <v>0.18730944702243751</v>
      </c>
      <c r="AK14" s="48">
        <f t="shared" si="11"/>
        <v>0.38963064277491172</v>
      </c>
      <c r="AL14" s="45">
        <f t="shared" si="12"/>
        <v>5672336</v>
      </c>
      <c r="AM14" s="48">
        <f t="shared" si="13"/>
        <v>0.64455670350376348</v>
      </c>
      <c r="AN14" s="49">
        <v>22495982</v>
      </c>
      <c r="AO14" s="49">
        <v>702999.4375</v>
      </c>
      <c r="AP14" s="49">
        <v>8246.78125</v>
      </c>
      <c r="AQ14" s="50">
        <v>14499936</v>
      </c>
      <c r="AR14" s="50">
        <v>4243456</v>
      </c>
      <c r="AS14" s="50">
        <v>1428880</v>
      </c>
      <c r="AT14" s="50">
        <v>8827000</v>
      </c>
      <c r="AU14" s="51">
        <v>71.393872000000002</v>
      </c>
      <c r="AV14" s="51">
        <v>74.798930999999996</v>
      </c>
      <c r="AW14" s="51">
        <v>39.652940999999998</v>
      </c>
      <c r="AX14" s="51">
        <v>42.971468999999999</v>
      </c>
      <c r="AY14" s="51">
        <v>38.538587999999997</v>
      </c>
      <c r="AZ14" s="52">
        <v>6434.67</v>
      </c>
      <c r="BA14" s="52">
        <v>4748.97</v>
      </c>
      <c r="BB14" s="52">
        <v>9.4510000000000005</v>
      </c>
      <c r="BC14" s="52">
        <v>19.373999999999999</v>
      </c>
      <c r="BE14" s="53">
        <f t="shared" si="14"/>
        <v>0</v>
      </c>
      <c r="BF14" s="53">
        <f t="shared" si="15"/>
        <v>2.5807952058265471E-4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6328</v>
      </c>
    </row>
    <row r="15" spans="1:73" x14ac:dyDescent="0.2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2.0129250000000001</v>
      </c>
      <c r="J15" s="18">
        <f t="shared" si="1"/>
        <v>6.3247844818317384E-2</v>
      </c>
      <c r="K15" s="18">
        <f t="shared" si="2"/>
        <v>5.026010879435254E-2</v>
      </c>
      <c r="L15" s="18">
        <f t="shared" si="3"/>
        <v>2.6626355267826838E-2</v>
      </c>
      <c r="M15" s="18">
        <f t="shared" si="4"/>
        <v>1.2973360978195942E-2</v>
      </c>
      <c r="N15" s="15">
        <f t="shared" si="5"/>
        <v>1706216</v>
      </c>
      <c r="O15" s="18">
        <f t="shared" si="6"/>
        <v>6.6425344019657093E-2</v>
      </c>
      <c r="P15" s="19">
        <v>32323807</v>
      </c>
      <c r="Q15" s="19">
        <v>1010118.96875</v>
      </c>
      <c r="R15" s="19">
        <v>34003.84375</v>
      </c>
      <c r="S15" s="20">
        <v>2147120</v>
      </c>
      <c r="T15" s="20">
        <v>903904</v>
      </c>
      <c r="U15" s="20">
        <v>802312</v>
      </c>
      <c r="V15" s="20">
        <v>440416</v>
      </c>
      <c r="W15" s="21">
        <v>66.333524999999995</v>
      </c>
      <c r="X15" s="21">
        <v>67.928118999999995</v>
      </c>
      <c r="Y15" s="21">
        <v>28.899272</v>
      </c>
      <c r="Z15" s="21">
        <v>43.030391000000002</v>
      </c>
      <c r="AA15" s="21">
        <v>43.274675000000002</v>
      </c>
      <c r="AB15" s="22">
        <v>7677.84</v>
      </c>
      <c r="AC15" s="22">
        <v>3005.29</v>
      </c>
      <c r="AD15" s="22">
        <v>12.627000000000001</v>
      </c>
      <c r="AE15" s="22">
        <v>16.239000000000001</v>
      </c>
      <c r="AG15" s="17">
        <f t="shared" si="7"/>
        <v>2.0154225000000001</v>
      </c>
      <c r="AH15" s="18">
        <f t="shared" si="8"/>
        <v>6.3326318428826356E-2</v>
      </c>
      <c r="AI15" s="18">
        <f t="shared" si="9"/>
        <v>5.0335283214029289E-2</v>
      </c>
      <c r="AJ15" s="18">
        <f t="shared" si="10"/>
        <v>2.6626355267826838E-2</v>
      </c>
      <c r="AK15" s="18">
        <f t="shared" si="11"/>
        <v>1.2973360978195942E-2</v>
      </c>
      <c r="AL15" s="15">
        <f t="shared" si="12"/>
        <v>1708768</v>
      </c>
      <c r="AM15" s="18">
        <f t="shared" si="13"/>
        <v>6.6507760054377252E-2</v>
      </c>
      <c r="AN15" s="19">
        <v>32323807</v>
      </c>
      <c r="AO15" s="19">
        <v>1010118.96875</v>
      </c>
      <c r="AP15" s="19">
        <v>34003.84375</v>
      </c>
      <c r="AQ15" s="20">
        <v>2149784</v>
      </c>
      <c r="AR15" s="20">
        <v>903904</v>
      </c>
      <c r="AS15" s="20">
        <v>804864</v>
      </c>
      <c r="AT15" s="20">
        <v>440416</v>
      </c>
      <c r="AU15" s="21">
        <v>66.333524999999995</v>
      </c>
      <c r="AV15" s="21">
        <v>67.928118999999995</v>
      </c>
      <c r="AW15" s="21">
        <v>28.899272</v>
      </c>
      <c r="AX15" s="21">
        <v>43.030391000000002</v>
      </c>
      <c r="AY15" s="21">
        <v>43.274675000000002</v>
      </c>
      <c r="AZ15" s="22">
        <v>5819.07</v>
      </c>
      <c r="BA15" s="22">
        <v>2334.6</v>
      </c>
      <c r="BB15" s="22">
        <v>10.416</v>
      </c>
      <c r="BC15" s="22">
        <v>12.641</v>
      </c>
      <c r="BE15" s="23">
        <f t="shared" si="14"/>
        <v>0</v>
      </c>
      <c r="BF15" s="23">
        <f t="shared" si="15"/>
        <v>2.0236619154778701E-4</v>
      </c>
      <c r="BG15" s="23">
        <f t="array" ref="BG15">AVERAGE(AL15:AL19/AQ15:AQ19) - AVERAGE(N15:N19/S15:S19)</f>
        <v>1.9193102380965499E-4</v>
      </c>
      <c r="BI15" s="24">
        <f>IF( OR(ISBLANK(N15:N19),ISBLANK(AL15:AL19), ISBLANK(W15:W19),ISBLANK(AU15:AU19)), "·", bdRateExtend( N15:N19,W15:W19, AL15:AL19,AU15:AU19))</f>
        <v>1.0534166617204299E-3</v>
      </c>
      <c r="BJ15" s="24">
        <f>IF( OR(ISBLANK(N15:N19),ISBLANK(AL15:AL19), ISBLANK(X15:X19),ISBLANK(AV15:AV19)), "·", bdRateExtend( N15:N19,X15:X19, AL15:AL19,AV15:AV19))</f>
        <v>1.0145019342386874E-3</v>
      </c>
      <c r="BK15" s="24">
        <f>IF( OR(ISBLANK(V15:V19),ISBLANK(AT15:AT19), ISBLANK(Y15:Y19),ISBLANK(AW15:AW19)), "·", bdRateExtend( V15:V19,Y15:Y19, AT15:AT19,AW15:AW19))</f>
        <v>0</v>
      </c>
      <c r="BL15" s="24">
        <f>IF( OR(ISBLANK(V15:V19),ISBLANK(AT15:AT19), ISBLANK(Z15:Z19),ISBLANK(AX15:AX19)), "·", bdRateExtend( V15:V19,Z15:Z19, AT15:AT19,AX15:AX19))</f>
        <v>0</v>
      </c>
      <c r="BM15" s="24">
        <f>IF( OR(ISBLANK(V15:V19),ISBLANK(AT15:AT19), ISBLANK(AA15:AA19),ISBLANK(AY15:AY19)), "·", bdRateExtend( V15:V19,AA15:AA19, AT15:AT19,AY15:AY19))</f>
        <v>0</v>
      </c>
      <c r="BO15" s="24">
        <f>IF( OR(ISBLANK(S15:S19),ISBLANK(AQ15:AQ19), ISBLANK(W15:W19),ISBLANK(AU15:AU19)), "·", bdRateExtend( S15:S19,W15:W19, AQ15:AQ19,AU15:AU19))</f>
        <v>7.0359198233549414E-4</v>
      </c>
      <c r="BP15" s="24">
        <f>IF( OR(ISBLANK(S15:S19),ISBLANK(AQ15:AQ19), ISBLANK(X15:X19),ISBLANK(AV15:AV19)), "·", bdRateExtend( S15:S19,X15:X19, AQ15:AQ19,AV15:AV19))</f>
        <v>6.656940312244064E-4</v>
      </c>
      <c r="BQ15" s="24">
        <f>IF( OR(ISBLANK(S15:S19),ISBLANK(AQ15:AQ19), ISBLANK(Y15:Y19),ISBLANK(AW15:AW19)), "·", bdRateExtend( S15:S19,Y15:Y19, AQ15:AQ19,AW15:AW19))</f>
        <v>6.5147018938116474E-4</v>
      </c>
      <c r="BR15" s="24">
        <f>IF( OR(ISBLANK(S15:S19),ISBLANK(AQ15:AQ19), ISBLANK(Z15:Z19),ISBLANK(AX15:AX19)), "·", bdRateExtend( S15:S19,Z15:Z19, AQ15:AQ19,AX15:AX19))</f>
        <v>5.6026584908819288E-4</v>
      </c>
      <c r="BS15" s="24">
        <f>IF( OR(ISBLANK(S15:S19),ISBLANK(AQ15:AQ19), ISBLANK(AA15:AA19),ISBLANK(AY15:AY19)), "·", bdRateExtend( S15:S19,AA15:AA19, AQ15:AQ19,AY15:AY19))</f>
        <v>5.7248763916772916E-4</v>
      </c>
      <c r="BU15" s="4">
        <f t="shared" si="16"/>
        <v>2664</v>
      </c>
    </row>
    <row r="16" spans="1:73" outlineLevel="1" x14ac:dyDescent="0.2">
      <c r="A16" s="25"/>
      <c r="B16" s="25" t="s">
        <v>278</v>
      </c>
      <c r="C16" s="26" t="s">
        <v>269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2.6818050000000002</v>
      </c>
      <c r="J16" s="28">
        <f t="shared" si="1"/>
        <v>8.4264633045437687E-2</v>
      </c>
      <c r="K16" s="28">
        <f t="shared" si="2"/>
        <v>5.9402166590402337E-2</v>
      </c>
      <c r="L16" s="28">
        <f t="shared" si="3"/>
        <v>3.5768413063876632E-2</v>
      </c>
      <c r="M16" s="28">
        <f t="shared" si="4"/>
        <v>2.484809140926645E-2</v>
      </c>
      <c r="N16" s="25">
        <f t="shared" si="5"/>
        <v>2016568</v>
      </c>
      <c r="O16" s="28">
        <f t="shared" si="6"/>
        <v>8.4101977063492733E-2</v>
      </c>
      <c r="P16" s="29">
        <v>34013374</v>
      </c>
      <c r="Q16" s="29">
        <v>1062917.9375</v>
      </c>
      <c r="R16" s="29">
        <v>40000.3125</v>
      </c>
      <c r="S16" s="30">
        <v>2860592</v>
      </c>
      <c r="T16" s="30">
        <v>1214256</v>
      </c>
      <c r="U16" s="30">
        <v>802312</v>
      </c>
      <c r="V16" s="30">
        <v>843536</v>
      </c>
      <c r="W16" s="31">
        <v>68.051368999999994</v>
      </c>
      <c r="X16" s="31">
        <v>70.062349999999995</v>
      </c>
      <c r="Y16" s="31">
        <v>31.302444000000001</v>
      </c>
      <c r="Z16" s="31">
        <v>43.868552999999999</v>
      </c>
      <c r="AA16" s="31">
        <v>44.220883999999998</v>
      </c>
      <c r="AB16" s="32">
        <v>5944.85</v>
      </c>
      <c r="AC16" s="32">
        <v>2526.48</v>
      </c>
      <c r="AD16" s="32">
        <v>10.923999999999999</v>
      </c>
      <c r="AE16" s="32">
        <v>13.054</v>
      </c>
      <c r="AG16" s="27">
        <f t="shared" si="7"/>
        <v>2.6843024999999998</v>
      </c>
      <c r="AH16" s="28">
        <f t="shared" si="8"/>
        <v>8.4343106655946659E-2</v>
      </c>
      <c r="AI16" s="28">
        <f t="shared" si="9"/>
        <v>5.9477341010079086E-2</v>
      </c>
      <c r="AJ16" s="28">
        <f t="shared" si="10"/>
        <v>3.5768413063876632E-2</v>
      </c>
      <c r="AK16" s="28">
        <f t="shared" si="11"/>
        <v>2.484809140926645E-2</v>
      </c>
      <c r="AL16" s="25">
        <f t="shared" si="12"/>
        <v>2019120</v>
      </c>
      <c r="AM16" s="28">
        <f t="shared" si="13"/>
        <v>8.4180299196427846E-2</v>
      </c>
      <c r="AN16" s="29">
        <v>34013374</v>
      </c>
      <c r="AO16" s="29">
        <v>1062917.9375</v>
      </c>
      <c r="AP16" s="29">
        <v>40000.3125</v>
      </c>
      <c r="AQ16" s="30">
        <v>2863256</v>
      </c>
      <c r="AR16" s="30">
        <v>1214256</v>
      </c>
      <c r="AS16" s="30">
        <v>804864</v>
      </c>
      <c r="AT16" s="30">
        <v>843536</v>
      </c>
      <c r="AU16" s="31">
        <v>68.051368999999994</v>
      </c>
      <c r="AV16" s="31">
        <v>70.062349999999995</v>
      </c>
      <c r="AW16" s="31">
        <v>31.302444000000001</v>
      </c>
      <c r="AX16" s="31">
        <v>43.868552999999999</v>
      </c>
      <c r="AY16" s="31">
        <v>44.220883999999998</v>
      </c>
      <c r="AZ16" s="32">
        <v>6092.48</v>
      </c>
      <c r="BA16" s="32">
        <v>2559.75</v>
      </c>
      <c r="BB16" s="32">
        <v>11.436999999999999</v>
      </c>
      <c r="BC16" s="32">
        <v>13.416</v>
      </c>
      <c r="BE16" s="33">
        <f t="shared" si="14"/>
        <v>0</v>
      </c>
      <c r="BF16" s="33">
        <f t="shared" si="15"/>
        <v>2.3540301508073735E-4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2664</v>
      </c>
    </row>
    <row r="17" spans="1:73" outlineLevel="1" x14ac:dyDescent="0.2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3.8652449999999998</v>
      </c>
      <c r="J17" s="18">
        <f t="shared" si="1"/>
        <v>0.12144934160228384</v>
      </c>
      <c r="K17" s="18">
        <f t="shared" si="2"/>
        <v>7.0660655305313888E-2</v>
      </c>
      <c r="L17" s="18">
        <f t="shared" si="3"/>
        <v>4.7026901778788197E-2</v>
      </c>
      <c r="M17" s="18">
        <f t="shared" si="4"/>
        <v>5.0774311251201035E-2</v>
      </c>
      <c r="N17" s="15">
        <f t="shared" si="5"/>
        <v>2398768</v>
      </c>
      <c r="O17" s="18">
        <f t="shared" si="6"/>
        <v>0.12047499359481451</v>
      </c>
      <c r="P17" s="19">
        <v>34222272</v>
      </c>
      <c r="Q17" s="19">
        <v>1069446</v>
      </c>
      <c r="R17" s="19">
        <v>41384.1875</v>
      </c>
      <c r="S17" s="20">
        <v>4122928</v>
      </c>
      <c r="T17" s="20">
        <v>1596456</v>
      </c>
      <c r="U17" s="20">
        <v>802312</v>
      </c>
      <c r="V17" s="20">
        <v>1723672</v>
      </c>
      <c r="W17" s="21">
        <v>69.429022000000003</v>
      </c>
      <c r="X17" s="21">
        <v>71.841999999999999</v>
      </c>
      <c r="Y17" s="21">
        <v>33.803230999999997</v>
      </c>
      <c r="Z17" s="21">
        <v>44.949658999999997</v>
      </c>
      <c r="AA17" s="21">
        <v>45.351916000000003</v>
      </c>
      <c r="AB17" s="22">
        <v>8083.18</v>
      </c>
      <c r="AC17" s="22">
        <v>3483.97</v>
      </c>
      <c r="AD17" s="22">
        <v>12.411</v>
      </c>
      <c r="AE17" s="22">
        <v>16.518000000000001</v>
      </c>
      <c r="AG17" s="17">
        <f t="shared" si="7"/>
        <v>3.8677424999999999</v>
      </c>
      <c r="AH17" s="18">
        <f t="shared" si="8"/>
        <v>0.12152781521279279</v>
      </c>
      <c r="AI17" s="18">
        <f t="shared" si="9"/>
        <v>7.0735829724990651E-2</v>
      </c>
      <c r="AJ17" s="18">
        <f t="shared" si="10"/>
        <v>4.7026901778788197E-2</v>
      </c>
      <c r="AK17" s="18">
        <f t="shared" si="11"/>
        <v>5.0774311251201035E-2</v>
      </c>
      <c r="AL17" s="15">
        <f t="shared" si="12"/>
        <v>2401320</v>
      </c>
      <c r="AM17" s="18">
        <f t="shared" si="13"/>
        <v>0.12055283763743097</v>
      </c>
      <c r="AN17" s="19">
        <v>34222272</v>
      </c>
      <c r="AO17" s="19">
        <v>1069446</v>
      </c>
      <c r="AP17" s="19">
        <v>41384.1875</v>
      </c>
      <c r="AQ17" s="20">
        <v>4125592</v>
      </c>
      <c r="AR17" s="20">
        <v>1596456</v>
      </c>
      <c r="AS17" s="20">
        <v>804864</v>
      </c>
      <c r="AT17" s="20">
        <v>1723672</v>
      </c>
      <c r="AU17" s="21">
        <v>69.429022000000003</v>
      </c>
      <c r="AV17" s="21">
        <v>71.841999999999999</v>
      </c>
      <c r="AW17" s="21">
        <v>33.803230999999997</v>
      </c>
      <c r="AX17" s="21">
        <v>44.949658999999997</v>
      </c>
      <c r="AY17" s="21">
        <v>45.351916000000003</v>
      </c>
      <c r="AZ17" s="22">
        <v>5875.23</v>
      </c>
      <c r="BA17" s="22">
        <v>2753.48</v>
      </c>
      <c r="BB17" s="22">
        <v>11.352</v>
      </c>
      <c r="BC17" s="22">
        <v>13.387</v>
      </c>
      <c r="BE17" s="23">
        <f t="shared" si="14"/>
        <v>0</v>
      </c>
      <c r="BF17" s="23">
        <f t="shared" si="15"/>
        <v>2.4288719504905742E-4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2664</v>
      </c>
    </row>
    <row r="18" spans="1:73" outlineLevel="1" x14ac:dyDescent="0.2">
      <c r="A18" s="25"/>
      <c r="B18" s="25" t="s">
        <v>278</v>
      </c>
      <c r="C18" s="26" t="s">
        <v>271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6.9445874999999999</v>
      </c>
      <c r="J18" s="28">
        <f t="shared" si="1"/>
        <v>0.21820494679495098</v>
      </c>
      <c r="K18" s="28">
        <f t="shared" si="2"/>
        <v>9.9585603957238006E-2</v>
      </c>
      <c r="L18" s="28">
        <f t="shared" si="3"/>
        <v>7.5951850430712314E-2</v>
      </c>
      <c r="M18" s="28">
        <f t="shared" si="4"/>
        <v>0.11860496779194407</v>
      </c>
      <c r="N18" s="25">
        <f t="shared" si="5"/>
        <v>3380704</v>
      </c>
      <c r="O18" s="28">
        <f t="shared" si="6"/>
        <v>0.20797378655894064</v>
      </c>
      <c r="P18" s="29">
        <v>35617758</v>
      </c>
      <c r="Q18" s="29">
        <v>1113054.9375</v>
      </c>
      <c r="R18" s="29">
        <v>46717.21875</v>
      </c>
      <c r="S18" s="30">
        <v>7407560</v>
      </c>
      <c r="T18" s="30">
        <v>2578392</v>
      </c>
      <c r="U18" s="30">
        <v>802312</v>
      </c>
      <c r="V18" s="30">
        <v>4026368</v>
      </c>
      <c r="W18" s="31">
        <v>70.480380999999994</v>
      </c>
      <c r="X18" s="31">
        <v>73.115453000000002</v>
      </c>
      <c r="Y18" s="31">
        <v>36.281162999999999</v>
      </c>
      <c r="Z18" s="31">
        <v>46.151246999999998</v>
      </c>
      <c r="AA18" s="31">
        <v>46.618597000000001</v>
      </c>
      <c r="AB18" s="32">
        <v>8200.15</v>
      </c>
      <c r="AC18" s="32">
        <v>3814.04</v>
      </c>
      <c r="AD18" s="32">
        <v>12.895</v>
      </c>
      <c r="AE18" s="32">
        <v>17.402999999999999</v>
      </c>
      <c r="AG18" s="27">
        <f t="shared" si="7"/>
        <v>6.9470850000000004</v>
      </c>
      <c r="AH18" s="28">
        <f t="shared" si="8"/>
        <v>0.21828342040545995</v>
      </c>
      <c r="AI18" s="28">
        <f t="shared" si="9"/>
        <v>9.9660778376914755E-2</v>
      </c>
      <c r="AJ18" s="28">
        <f t="shared" si="10"/>
        <v>7.5951850430712314E-2</v>
      </c>
      <c r="AK18" s="28">
        <f t="shared" si="11"/>
        <v>0.11860496779194407</v>
      </c>
      <c r="AL18" s="25">
        <f t="shared" si="12"/>
        <v>3383256</v>
      </c>
      <c r="AM18" s="28">
        <f t="shared" si="13"/>
        <v>0.20804858071077917</v>
      </c>
      <c r="AN18" s="29">
        <v>35617758</v>
      </c>
      <c r="AO18" s="29">
        <v>1113054.9375</v>
      </c>
      <c r="AP18" s="29">
        <v>46717.21875</v>
      </c>
      <c r="AQ18" s="30">
        <v>7410224</v>
      </c>
      <c r="AR18" s="30">
        <v>2578392</v>
      </c>
      <c r="AS18" s="30">
        <v>804864</v>
      </c>
      <c r="AT18" s="30">
        <v>4026368</v>
      </c>
      <c r="AU18" s="31">
        <v>70.480380999999994</v>
      </c>
      <c r="AV18" s="31">
        <v>73.115453000000002</v>
      </c>
      <c r="AW18" s="31">
        <v>36.281162999999999</v>
      </c>
      <c r="AX18" s="31">
        <v>46.151246999999998</v>
      </c>
      <c r="AY18" s="31">
        <v>46.618597000000001</v>
      </c>
      <c r="AZ18" s="32">
        <v>6178.11</v>
      </c>
      <c r="BA18" s="32">
        <v>2987.68</v>
      </c>
      <c r="BB18" s="32">
        <v>11.2</v>
      </c>
      <c r="BC18" s="32">
        <v>13.958</v>
      </c>
      <c r="BE18" s="33">
        <f t="shared" si="14"/>
        <v>0</v>
      </c>
      <c r="BF18" s="33">
        <f t="shared" si="15"/>
        <v>1.8031690528569344E-4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2664</v>
      </c>
    </row>
    <row r="19" spans="1:73" ht="16" outlineLevel="1" thickBot="1" x14ac:dyDescent="0.25">
      <c r="A19" s="15"/>
      <c r="B19" s="35" t="s">
        <v>278</v>
      </c>
      <c r="C19" s="36" t="s">
        <v>272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15.423697499999999</v>
      </c>
      <c r="J19" s="38">
        <f t="shared" si="1"/>
        <v>0.48462591800721333</v>
      </c>
      <c r="K19" s="38">
        <f t="shared" si="2"/>
        <v>0.17260777292894916</v>
      </c>
      <c r="L19" s="38">
        <f t="shared" si="3"/>
        <v>0.12336028006359662</v>
      </c>
      <c r="M19" s="38">
        <f t="shared" si="4"/>
        <v>0.31200377003249524</v>
      </c>
      <c r="N19" s="35">
        <f t="shared" si="5"/>
        <v>5859640</v>
      </c>
      <c r="O19" s="38">
        <f t="shared" si="6"/>
        <v>0.48839581023127987</v>
      </c>
      <c r="P19" s="39">
        <v>33685678</v>
      </c>
      <c r="Q19" s="39">
        <v>1052677.4375</v>
      </c>
      <c r="R19" s="39">
        <v>12625.5625</v>
      </c>
      <c r="S19" s="40">
        <v>16451944</v>
      </c>
      <c r="T19" s="40">
        <v>4187800</v>
      </c>
      <c r="U19" s="40">
        <v>1671840</v>
      </c>
      <c r="V19" s="40">
        <v>10591816</v>
      </c>
      <c r="W19" s="41">
        <v>71.745272</v>
      </c>
      <c r="X19" s="41">
        <v>75.257766000000004</v>
      </c>
      <c r="Y19" s="41">
        <v>38.793334000000002</v>
      </c>
      <c r="Z19" s="41">
        <v>48.008890999999998</v>
      </c>
      <c r="AA19" s="41">
        <v>48.491866000000002</v>
      </c>
      <c r="AB19" s="42">
        <v>7803.98</v>
      </c>
      <c r="AC19" s="42">
        <v>4455.47</v>
      </c>
      <c r="AD19" s="42">
        <v>14.271000000000001</v>
      </c>
      <c r="AE19" s="42">
        <v>20.504999999999999</v>
      </c>
      <c r="AG19" s="37">
        <f t="shared" si="7"/>
        <v>15.426225000000001</v>
      </c>
      <c r="AH19" s="38">
        <f t="shared" si="8"/>
        <v>0.48470533424367435</v>
      </c>
      <c r="AI19" s="38">
        <f t="shared" si="9"/>
        <v>0.17268388997457798</v>
      </c>
      <c r="AJ19" s="38">
        <f t="shared" si="10"/>
        <v>0.12336028006359662</v>
      </c>
      <c r="AK19" s="38">
        <f t="shared" si="11"/>
        <v>0.31200377003249524</v>
      </c>
      <c r="AL19" s="35">
        <f t="shared" si="12"/>
        <v>5862224</v>
      </c>
      <c r="AM19" s="38">
        <f t="shared" si="13"/>
        <v>0.4884758442445481</v>
      </c>
      <c r="AN19" s="39">
        <v>33685678</v>
      </c>
      <c r="AO19" s="39">
        <v>1052677.4375</v>
      </c>
      <c r="AP19" s="39">
        <v>12625.5625</v>
      </c>
      <c r="AQ19" s="40">
        <v>16454640</v>
      </c>
      <c r="AR19" s="40">
        <v>4187800</v>
      </c>
      <c r="AS19" s="40">
        <v>1674424</v>
      </c>
      <c r="AT19" s="40">
        <v>10591816</v>
      </c>
      <c r="AU19" s="41">
        <v>71.745272</v>
      </c>
      <c r="AV19" s="41">
        <v>75.257766000000004</v>
      </c>
      <c r="AW19" s="41">
        <v>38.793334000000002</v>
      </c>
      <c r="AX19" s="41">
        <v>48.008890999999998</v>
      </c>
      <c r="AY19" s="41">
        <v>48.491866000000002</v>
      </c>
      <c r="AZ19" s="42">
        <v>7714.51</v>
      </c>
      <c r="BA19" s="42">
        <v>4476.53</v>
      </c>
      <c r="BB19" s="42">
        <v>13.814</v>
      </c>
      <c r="BC19" s="42">
        <v>19.927</v>
      </c>
      <c r="BE19" s="43">
        <f t="shared" si="14"/>
        <v>0</v>
      </c>
      <c r="BF19" s="43">
        <f t="shared" si="15"/>
        <v>9.8681812084444598E-5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2696</v>
      </c>
    </row>
    <row r="20" spans="1:73" x14ac:dyDescent="0.2">
      <c r="A20" s="25"/>
      <c r="B20" s="25" t="s">
        <v>281</v>
      </c>
      <c r="C20" s="26" t="s">
        <v>268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2.3232124999999999</v>
      </c>
      <c r="J20" s="28">
        <f t="shared" si="1"/>
        <v>4.6161827996665468E-2</v>
      </c>
      <c r="K20" s="28">
        <f t="shared" si="2"/>
        <v>3.4107301344507297E-2</v>
      </c>
      <c r="L20" s="28">
        <f t="shared" si="3"/>
        <v>1.95921451225026E-2</v>
      </c>
      <c r="M20" s="28">
        <f t="shared" si="4"/>
        <v>1.2039375909878915E-2</v>
      </c>
      <c r="N20" s="25">
        <f t="shared" si="5"/>
        <v>1098584</v>
      </c>
      <c r="O20" s="28">
        <f t="shared" si="6"/>
        <v>4.8358530719698943E-2</v>
      </c>
      <c r="P20" s="29">
        <v>30746509</v>
      </c>
      <c r="Q20" s="29">
        <v>960828.40625</v>
      </c>
      <c r="R20" s="29">
        <v>27897.34375</v>
      </c>
      <c r="S20" s="30">
        <v>1486856</v>
      </c>
      <c r="T20" s="30">
        <v>631056</v>
      </c>
      <c r="U20" s="30">
        <v>467528</v>
      </c>
      <c r="V20" s="30">
        <v>387784</v>
      </c>
      <c r="W20" s="31">
        <v>67.104578000000004</v>
      </c>
      <c r="X20" s="31">
        <v>68.763822000000005</v>
      </c>
      <c r="Y20" s="31">
        <v>29.990528000000001</v>
      </c>
      <c r="Z20" s="31">
        <v>39.266781000000002</v>
      </c>
      <c r="AA20" s="31">
        <v>37.903238000000002</v>
      </c>
      <c r="AB20" s="32">
        <v>8060.07</v>
      </c>
      <c r="AC20" s="32">
        <v>2422.89</v>
      </c>
      <c r="AD20" s="32">
        <v>10.695</v>
      </c>
      <c r="AE20" s="32">
        <v>12.904999999999999</v>
      </c>
      <c r="AG20" s="27">
        <f t="shared" si="7"/>
        <v>2.3266249999999999</v>
      </c>
      <c r="AH20" s="28">
        <f t="shared" si="8"/>
        <v>4.6229633777685769E-2</v>
      </c>
      <c r="AI20" s="28">
        <f t="shared" si="9"/>
        <v>3.4171629905988092E-2</v>
      </c>
      <c r="AJ20" s="28">
        <f t="shared" si="10"/>
        <v>1.95921451225026E-2</v>
      </c>
      <c r="AK20" s="28">
        <f t="shared" si="11"/>
        <v>1.2039375909878915E-2</v>
      </c>
      <c r="AL20" s="25">
        <f t="shared" si="12"/>
        <v>1100656</v>
      </c>
      <c r="AM20" s="28">
        <f t="shared" si="13"/>
        <v>4.842956317414767E-2</v>
      </c>
      <c r="AN20" s="29">
        <v>30746509</v>
      </c>
      <c r="AO20" s="29">
        <v>960828.40625</v>
      </c>
      <c r="AP20" s="29">
        <v>27897.34375</v>
      </c>
      <c r="AQ20" s="30">
        <v>1489040</v>
      </c>
      <c r="AR20" s="30">
        <v>631056</v>
      </c>
      <c r="AS20" s="30">
        <v>469600</v>
      </c>
      <c r="AT20" s="30">
        <v>387784</v>
      </c>
      <c r="AU20" s="31">
        <v>67.104578000000004</v>
      </c>
      <c r="AV20" s="31">
        <v>68.763822000000005</v>
      </c>
      <c r="AW20" s="31">
        <v>29.990528000000001</v>
      </c>
      <c r="AX20" s="31">
        <v>39.266781000000002</v>
      </c>
      <c r="AY20" s="31">
        <v>37.903238000000002</v>
      </c>
      <c r="AZ20" s="32">
        <v>8250.3799999999992</v>
      </c>
      <c r="BA20" s="32">
        <v>2421.4499999999998</v>
      </c>
      <c r="BB20" s="32">
        <v>10.525</v>
      </c>
      <c r="BC20" s="32">
        <v>12.582000000000001</v>
      </c>
      <c r="BE20" s="33">
        <f t="shared" si="14"/>
        <v>0</v>
      </c>
      <c r="BF20" s="33">
        <f t="shared" si="15"/>
        <v>3.077966809549304E-4</v>
      </c>
      <c r="BG20" s="33">
        <f t="array" ref="BG20">AVERAGE(AL20:AL24/AQ20:AQ24) - AVERAGE(N20:N24/S20:S24)</f>
        <v>2.5989952012234196E-4</v>
      </c>
      <c r="BI20" s="34">
        <f>IF( OR(ISBLANK(N20:N24),ISBLANK(AL20:AL24), ISBLANK(W20:W24),ISBLANK(AU20:AU24)), "·", bdRateExtend( N20:N24,W20:W24, AL20:AL24,AU20:AU24))</f>
        <v>1.3208460525888643E-3</v>
      </c>
      <c r="BJ20" s="34">
        <f>IF( OR(ISBLANK(N20:N24),ISBLANK(AL20:AL24), ISBLANK(X20:X24),ISBLANK(AV20:AV24)), "·", bdRateExtend( N20:N24,X20:X24, AL20:AL24,AV20:AV24))</f>
        <v>1.2474006975453644E-3</v>
      </c>
      <c r="BK20" s="34">
        <f>IF( OR(ISBLANK(V20:V24),ISBLANK(AT20:AT24), ISBLANK(Y20:Y24),ISBLANK(AW20:AW24)), "·", bdRateExtend( V20:V24,Y20:Y24, AT20:AT24,AW20:AW24))</f>
        <v>0</v>
      </c>
      <c r="BL20" s="34">
        <f>IF( OR(ISBLANK(V20:V24),ISBLANK(AT20:AT24), ISBLANK(Z20:Z24),ISBLANK(AX20:AX24)), "·", bdRateExtend( V20:V24,Z20:Z24, AT20:AT24,AX20:AX24))</f>
        <v>0</v>
      </c>
      <c r="BM20" s="34">
        <f>IF( OR(ISBLANK(V20:V24),ISBLANK(AT20:AT24), ISBLANK(AA20:AA24),ISBLANK(AY20:AY24)), "·", bdRateExtend( V20:V24,AA20:AA24, AT20:AT24,AY20:AY24))</f>
        <v>0</v>
      </c>
      <c r="BO20" s="34">
        <f>IF( OR(ISBLANK(S20:S24),ISBLANK(AQ20:AQ24), ISBLANK(W20:W24),ISBLANK(AU20:AU24)), "·", bdRateExtend( S20:S24,W20:W24, AQ20:AQ24,AU20:AU24))</f>
        <v>7.6798991821602769E-4</v>
      </c>
      <c r="BP20" s="34">
        <f>IF( OR(ISBLANK(S20:S24),ISBLANK(AQ20:AQ24), ISBLANK(X20:X24),ISBLANK(AV20:AV24)), "·", bdRateExtend( S20:S24,X20:X24, AQ20:AQ24,AV20:AV24))</f>
        <v>7.0274508819512249E-4</v>
      </c>
      <c r="BQ20" s="34">
        <f>IF( OR(ISBLANK(S20:S24),ISBLANK(AQ20:AQ24), ISBLANK(Y20:Y24),ISBLANK(AW20:AW24)), "·", bdRateExtend( S20:S24,Y20:Y24, AQ20:AQ24,AW20:AW24))</f>
        <v>6.9859749597611653E-4</v>
      </c>
      <c r="BR20" s="34">
        <f>IF( OR(ISBLANK(S20:S24),ISBLANK(AQ20:AQ24), ISBLANK(Z20:Z24),ISBLANK(AX20:AX24)), "·", bdRateExtend( S20:S24,Z20:Z24, AQ20:AQ24,AX20:AX24))</f>
        <v>7.2096745396854622E-4</v>
      </c>
      <c r="BS20" s="34">
        <f>IF( OR(ISBLANK(S20:S24),ISBLANK(AQ20:AQ24), ISBLANK(AA20:AA24),ISBLANK(AY20:AY24)), "·", bdRateExtend( S20:S24,AA20:AA24, AQ20:AQ24,AY20:AY24))</f>
        <v>7.6891085262542624E-4</v>
      </c>
      <c r="BU20" s="4">
        <f t="shared" si="16"/>
        <v>2184</v>
      </c>
    </row>
    <row r="21" spans="1:73" outlineLevel="1" x14ac:dyDescent="0.2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3.2121</v>
      </c>
      <c r="J21" s="18">
        <f t="shared" si="1"/>
        <v>6.3823867901919934E-2</v>
      </c>
      <c r="K21" s="18">
        <f t="shared" si="2"/>
        <v>4.0102276203433859E-2</v>
      </c>
      <c r="L21" s="18">
        <f t="shared" si="3"/>
        <v>2.5587119981429166E-2</v>
      </c>
      <c r="M21" s="18">
        <f t="shared" si="4"/>
        <v>2.370644095620681E-2</v>
      </c>
      <c r="N21" s="15">
        <f t="shared" si="5"/>
        <v>1291680</v>
      </c>
      <c r="O21" s="18">
        <f t="shared" si="6"/>
        <v>6.4950375177778769E-2</v>
      </c>
      <c r="P21" s="19">
        <v>31650995</v>
      </c>
      <c r="Q21" s="19">
        <v>989093.59375</v>
      </c>
      <c r="R21" s="19">
        <v>32759.5625</v>
      </c>
      <c r="S21" s="20">
        <v>2055744</v>
      </c>
      <c r="T21" s="20">
        <v>824152</v>
      </c>
      <c r="U21" s="20">
        <v>467528</v>
      </c>
      <c r="V21" s="20">
        <v>763576</v>
      </c>
      <c r="W21" s="21">
        <v>68.748880999999997</v>
      </c>
      <c r="X21" s="21">
        <v>70.841509000000002</v>
      </c>
      <c r="Y21" s="21">
        <v>31.526053000000001</v>
      </c>
      <c r="Z21" s="21">
        <v>40.445506000000002</v>
      </c>
      <c r="AA21" s="21">
        <v>39.265072000000004</v>
      </c>
      <c r="AB21" s="22">
        <v>6279.87</v>
      </c>
      <c r="AC21" s="22">
        <v>2121.9</v>
      </c>
      <c r="AD21" s="22">
        <v>9.5129999999999999</v>
      </c>
      <c r="AE21" s="22">
        <v>11.257</v>
      </c>
      <c r="AG21" s="17">
        <f t="shared" si="7"/>
        <v>3.2155125</v>
      </c>
      <c r="AH21" s="18">
        <f t="shared" si="8"/>
        <v>6.3891673682940228E-2</v>
      </c>
      <c r="AI21" s="18">
        <f t="shared" si="9"/>
        <v>4.0166604764914654E-2</v>
      </c>
      <c r="AJ21" s="18">
        <f t="shared" si="10"/>
        <v>2.5587119981429166E-2</v>
      </c>
      <c r="AK21" s="18">
        <f t="shared" si="11"/>
        <v>2.370644095620681E-2</v>
      </c>
      <c r="AL21" s="15">
        <f t="shared" si="12"/>
        <v>1293752</v>
      </c>
      <c r="AM21" s="18">
        <f t="shared" si="13"/>
        <v>6.5019377747840154E-2</v>
      </c>
      <c r="AN21" s="19">
        <v>31650995</v>
      </c>
      <c r="AO21" s="19">
        <v>989093.59375</v>
      </c>
      <c r="AP21" s="19">
        <v>32759.5625</v>
      </c>
      <c r="AQ21" s="20">
        <v>2057928</v>
      </c>
      <c r="AR21" s="20">
        <v>824152</v>
      </c>
      <c r="AS21" s="20">
        <v>469600</v>
      </c>
      <c r="AT21" s="20">
        <v>763576</v>
      </c>
      <c r="AU21" s="21">
        <v>68.748880999999997</v>
      </c>
      <c r="AV21" s="21">
        <v>70.841509000000002</v>
      </c>
      <c r="AW21" s="21">
        <v>31.526053000000001</v>
      </c>
      <c r="AX21" s="21">
        <v>40.445506000000002</v>
      </c>
      <c r="AY21" s="21">
        <v>39.265072000000004</v>
      </c>
      <c r="AZ21" s="22">
        <v>8061.93</v>
      </c>
      <c r="BA21" s="22">
        <v>2577.64</v>
      </c>
      <c r="BB21" s="22">
        <v>10.785</v>
      </c>
      <c r="BC21" s="22">
        <v>13.045</v>
      </c>
      <c r="BE21" s="23">
        <f t="shared" si="14"/>
        <v>0</v>
      </c>
      <c r="BF21" s="23">
        <f t="shared" si="15"/>
        <v>3.4001833816144078E-4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2184</v>
      </c>
    </row>
    <row r="22" spans="1:73" outlineLevel="1" x14ac:dyDescent="0.2">
      <c r="A22" s="25"/>
      <c r="B22" s="25" t="s">
        <v>281</v>
      </c>
      <c r="C22" s="26" t="s">
        <v>270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5.2567374999999998</v>
      </c>
      <c r="J22" s="28">
        <f t="shared" si="1"/>
        <v>0.10445045913734592</v>
      </c>
      <c r="K22" s="28">
        <f t="shared" si="2"/>
        <v>4.7126011300404662E-2</v>
      </c>
      <c r="L22" s="28">
        <f t="shared" si="3"/>
        <v>3.2610855078399968E-2</v>
      </c>
      <c r="M22" s="28">
        <f t="shared" si="4"/>
        <v>5.7309297094661996E-2</v>
      </c>
      <c r="N22" s="25">
        <f t="shared" si="5"/>
        <v>1517912</v>
      </c>
      <c r="O22" s="28">
        <f t="shared" si="6"/>
        <v>0.10307731077117749</v>
      </c>
      <c r="P22" s="29">
        <v>32638725</v>
      </c>
      <c r="Q22" s="29">
        <v>1019960.15625</v>
      </c>
      <c r="R22" s="29">
        <v>34460.15625</v>
      </c>
      <c r="S22" s="30">
        <v>3364312</v>
      </c>
      <c r="T22" s="30">
        <v>1050384</v>
      </c>
      <c r="U22" s="30">
        <v>467528</v>
      </c>
      <c r="V22" s="30">
        <v>1845912</v>
      </c>
      <c r="W22" s="31">
        <v>69.974113000000003</v>
      </c>
      <c r="X22" s="31">
        <v>72.414703000000003</v>
      </c>
      <c r="Y22" s="31">
        <v>33.529249999999998</v>
      </c>
      <c r="Z22" s="31">
        <v>41.575628000000002</v>
      </c>
      <c r="AA22" s="31">
        <v>40.509050000000002</v>
      </c>
      <c r="AB22" s="32">
        <v>5639.09</v>
      </c>
      <c r="AC22" s="32">
        <v>2164.19</v>
      </c>
      <c r="AD22" s="32">
        <v>9.0869999999999997</v>
      </c>
      <c r="AE22" s="32">
        <v>11.074</v>
      </c>
      <c r="AG22" s="27">
        <f t="shared" si="7"/>
        <v>5.2601500000000003</v>
      </c>
      <c r="AH22" s="28">
        <f t="shared" si="8"/>
        <v>0.10451826491836622</v>
      </c>
      <c r="AI22" s="28">
        <f t="shared" si="9"/>
        <v>4.7190339861885464E-2</v>
      </c>
      <c r="AJ22" s="28">
        <f t="shared" si="10"/>
        <v>3.2610855078399968E-2</v>
      </c>
      <c r="AK22" s="28">
        <f t="shared" si="11"/>
        <v>5.7309297094661996E-2</v>
      </c>
      <c r="AL22" s="25">
        <f t="shared" si="12"/>
        <v>1519984</v>
      </c>
      <c r="AM22" s="28">
        <f t="shared" si="13"/>
        <v>0.10314422514972628</v>
      </c>
      <c r="AN22" s="29">
        <v>32638725</v>
      </c>
      <c r="AO22" s="29">
        <v>1019960.15625</v>
      </c>
      <c r="AP22" s="29">
        <v>34460.15625</v>
      </c>
      <c r="AQ22" s="30">
        <v>3366496</v>
      </c>
      <c r="AR22" s="30">
        <v>1050384</v>
      </c>
      <c r="AS22" s="30">
        <v>469600</v>
      </c>
      <c r="AT22" s="30">
        <v>1845912</v>
      </c>
      <c r="AU22" s="31">
        <v>69.974113000000003</v>
      </c>
      <c r="AV22" s="31">
        <v>72.414703000000003</v>
      </c>
      <c r="AW22" s="31">
        <v>33.529249999999998</v>
      </c>
      <c r="AX22" s="31">
        <v>41.575628000000002</v>
      </c>
      <c r="AY22" s="31">
        <v>40.509050000000002</v>
      </c>
      <c r="AZ22" s="32">
        <v>5956.35</v>
      </c>
      <c r="BA22" s="32">
        <v>2122.98</v>
      </c>
      <c r="BB22" s="32">
        <v>8.8870000000000005</v>
      </c>
      <c r="BC22" s="32">
        <v>10.835000000000001</v>
      </c>
      <c r="BE22" s="33">
        <f t="shared" si="14"/>
        <v>0</v>
      </c>
      <c r="BF22" s="33">
        <f t="shared" si="15"/>
        <v>3.2277530367780249E-4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2184</v>
      </c>
    </row>
    <row r="23" spans="1:73" outlineLevel="1" x14ac:dyDescent="0.2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9.8003625000000003</v>
      </c>
      <c r="J23" s="18">
        <f t="shared" si="1"/>
        <v>0.19473149702404338</v>
      </c>
      <c r="K23" s="18">
        <f t="shared" si="2"/>
        <v>6.7322944249956454E-2</v>
      </c>
      <c r="L23" s="18">
        <f t="shared" si="3"/>
        <v>5.2807788027951753E-2</v>
      </c>
      <c r="M23" s="18">
        <f t="shared" si="4"/>
        <v>0.12739340203180768</v>
      </c>
      <c r="N23" s="15">
        <f t="shared" si="5"/>
        <v>2168448</v>
      </c>
      <c r="O23" s="18">
        <f t="shared" si="6"/>
        <v>0.19008780295145858</v>
      </c>
      <c r="P23" s="19">
        <v>32996499</v>
      </c>
      <c r="Q23" s="19">
        <v>1031140.59375</v>
      </c>
      <c r="R23" s="19">
        <v>36623.59375</v>
      </c>
      <c r="S23" s="20">
        <v>6272232</v>
      </c>
      <c r="T23" s="20">
        <v>1700920</v>
      </c>
      <c r="U23" s="20">
        <v>467528</v>
      </c>
      <c r="V23" s="20">
        <v>4103296</v>
      </c>
      <c r="W23" s="21">
        <v>70.902777999999998</v>
      </c>
      <c r="X23" s="21">
        <v>73.636581000000007</v>
      </c>
      <c r="Y23" s="21">
        <v>35.444974999999999</v>
      </c>
      <c r="Z23" s="21">
        <v>42.725518999999998</v>
      </c>
      <c r="AA23" s="21">
        <v>41.560178000000001</v>
      </c>
      <c r="AB23" s="22">
        <v>8183.09</v>
      </c>
      <c r="AC23" s="22">
        <v>3008.35</v>
      </c>
      <c r="AD23" s="22">
        <v>10.669</v>
      </c>
      <c r="AE23" s="22">
        <v>14.548999999999999</v>
      </c>
      <c r="AG23" s="17">
        <f t="shared" si="7"/>
        <v>9.8037749999999999</v>
      </c>
      <c r="AH23" s="18">
        <f t="shared" si="8"/>
        <v>0.19479930280506369</v>
      </c>
      <c r="AI23" s="18">
        <f t="shared" si="9"/>
        <v>6.7387272811437249E-2</v>
      </c>
      <c r="AJ23" s="18">
        <f t="shared" si="10"/>
        <v>5.2807788027951753E-2</v>
      </c>
      <c r="AK23" s="18">
        <f t="shared" si="11"/>
        <v>0.12739340203180768</v>
      </c>
      <c r="AL23" s="15">
        <f t="shared" si="12"/>
        <v>2170520</v>
      </c>
      <c r="AM23" s="18">
        <f t="shared" si="13"/>
        <v>0.19015399179167464</v>
      </c>
      <c r="AN23" s="19">
        <v>32996499</v>
      </c>
      <c r="AO23" s="19">
        <v>1031140.59375</v>
      </c>
      <c r="AP23" s="19">
        <v>36623.59375</v>
      </c>
      <c r="AQ23" s="20">
        <v>6274416</v>
      </c>
      <c r="AR23" s="20">
        <v>1700920</v>
      </c>
      <c r="AS23" s="20">
        <v>469600</v>
      </c>
      <c r="AT23" s="20">
        <v>4103296</v>
      </c>
      <c r="AU23" s="21">
        <v>70.902777999999998</v>
      </c>
      <c r="AV23" s="21">
        <v>73.636581000000007</v>
      </c>
      <c r="AW23" s="21">
        <v>35.444974999999999</v>
      </c>
      <c r="AX23" s="21">
        <v>42.725518999999998</v>
      </c>
      <c r="AY23" s="21">
        <v>41.560178000000001</v>
      </c>
      <c r="AZ23" s="22">
        <v>6068.51</v>
      </c>
      <c r="BA23" s="22">
        <v>2386.39</v>
      </c>
      <c r="BB23" s="22">
        <v>9.5570000000000004</v>
      </c>
      <c r="BC23" s="22">
        <v>11.58</v>
      </c>
      <c r="BE23" s="23">
        <f t="shared" si="14"/>
        <v>0</v>
      </c>
      <c r="BF23" s="23">
        <f t="shared" si="15"/>
        <v>2.0989098554552443E-4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2184</v>
      </c>
    </row>
    <row r="24" spans="1:73" ht="16" outlineLevel="1" thickBot="1" x14ac:dyDescent="0.25">
      <c r="A24" s="45"/>
      <c r="B24" s="45" t="s">
        <v>281</v>
      </c>
      <c r="C24" s="46" t="s">
        <v>272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18.168624999999999</v>
      </c>
      <c r="J24" s="48">
        <f t="shared" si="1"/>
        <v>0.36100741631939232</v>
      </c>
      <c r="K24" s="48">
        <f t="shared" si="2"/>
        <v>0.11549386002198161</v>
      </c>
      <c r="L24" s="48">
        <f t="shared" si="3"/>
        <v>8.4312638919965682E-2</v>
      </c>
      <c r="M24" s="48">
        <f t="shared" si="4"/>
        <v>0.24549840555513142</v>
      </c>
      <c r="N24" s="45">
        <f t="shared" si="5"/>
        <v>3720016</v>
      </c>
      <c r="O24" s="48">
        <f t="shared" si="6"/>
        <v>0.36875530180567978</v>
      </c>
      <c r="P24" s="49">
        <v>31532889</v>
      </c>
      <c r="Q24" s="49">
        <v>985402.78125</v>
      </c>
      <c r="R24" s="49">
        <v>10339.09375</v>
      </c>
      <c r="S24" s="50">
        <v>11627920</v>
      </c>
      <c r="T24" s="50">
        <v>2715680</v>
      </c>
      <c r="U24" s="50">
        <v>1004336</v>
      </c>
      <c r="V24" s="50">
        <v>7907416</v>
      </c>
      <c r="W24" s="51">
        <v>72.234330999999997</v>
      </c>
      <c r="X24" s="51">
        <v>76.134383999999997</v>
      </c>
      <c r="Y24" s="51">
        <v>37.166030999999997</v>
      </c>
      <c r="Z24" s="51">
        <v>43.855933999999998</v>
      </c>
      <c r="AA24" s="51">
        <v>42.536441000000003</v>
      </c>
      <c r="AB24" s="52">
        <v>8269.9500000000007</v>
      </c>
      <c r="AC24" s="52">
        <v>3400.51</v>
      </c>
      <c r="AD24" s="52">
        <v>11.286</v>
      </c>
      <c r="AE24" s="52">
        <v>15.353</v>
      </c>
      <c r="AG24" s="47">
        <f t="shared" si="7"/>
        <v>18.172062499999999</v>
      </c>
      <c r="AH24" s="48">
        <f t="shared" si="8"/>
        <v>0.3610757188460611</v>
      </c>
      <c r="AI24" s="48">
        <f t="shared" si="9"/>
        <v>0.11555868532911091</v>
      </c>
      <c r="AJ24" s="48">
        <f t="shared" si="10"/>
        <v>8.4312638919965682E-2</v>
      </c>
      <c r="AK24" s="48">
        <f t="shared" si="11"/>
        <v>0.24549840555513142</v>
      </c>
      <c r="AL24" s="45">
        <f t="shared" si="12"/>
        <v>3722104</v>
      </c>
      <c r="AM24" s="48">
        <f t="shared" si="13"/>
        <v>0.36882507023064076</v>
      </c>
      <c r="AN24" s="49">
        <v>31532889</v>
      </c>
      <c r="AO24" s="49">
        <v>985402.78125</v>
      </c>
      <c r="AP24" s="49">
        <v>10339.09375</v>
      </c>
      <c r="AQ24" s="50">
        <v>11630120</v>
      </c>
      <c r="AR24" s="50">
        <v>2715680</v>
      </c>
      <c r="AS24" s="50">
        <v>1006424</v>
      </c>
      <c r="AT24" s="50">
        <v>7907416</v>
      </c>
      <c r="AU24" s="51">
        <v>72.234330999999997</v>
      </c>
      <c r="AV24" s="51">
        <v>76.134383999999997</v>
      </c>
      <c r="AW24" s="51">
        <v>37.166030999999997</v>
      </c>
      <c r="AX24" s="51">
        <v>43.855933999999998</v>
      </c>
      <c r="AY24" s="51">
        <v>42.536441000000003</v>
      </c>
      <c r="AZ24" s="52">
        <v>8258.7199999999993</v>
      </c>
      <c r="BA24" s="52">
        <v>3683.76</v>
      </c>
      <c r="BB24" s="52">
        <v>11.076000000000001</v>
      </c>
      <c r="BC24" s="52">
        <v>15.420999999999999</v>
      </c>
      <c r="BE24" s="53">
        <f t="shared" si="14"/>
        <v>0</v>
      </c>
      <c r="BF24" s="53">
        <f t="shared" si="15"/>
        <v>1.1901629227256683E-4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2200</v>
      </c>
    </row>
    <row r="25" spans="1:73" x14ac:dyDescent="0.2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2.3196150000000002</v>
      </c>
      <c r="J25" s="18">
        <f t="shared" si="1"/>
        <v>9.7748740459619649E-2</v>
      </c>
      <c r="K25" s="18">
        <f t="shared" si="2"/>
        <v>6.1883642204250182E-2</v>
      </c>
      <c r="L25" s="18">
        <f t="shared" si="3"/>
        <v>3.6478868387393247E-2</v>
      </c>
      <c r="M25" s="18">
        <f t="shared" si="4"/>
        <v>3.5845819172952646E-2</v>
      </c>
      <c r="N25" s="15">
        <f t="shared" si="5"/>
        <v>1566424</v>
      </c>
      <c r="O25" s="18">
        <f t="shared" si="6"/>
        <v>0.10581142249978383</v>
      </c>
      <c r="P25" s="19">
        <v>23383638</v>
      </c>
      <c r="Q25" s="19">
        <v>730738.6875</v>
      </c>
      <c r="R25" s="19">
        <v>18884.53125</v>
      </c>
      <c r="S25" s="20">
        <v>2474256</v>
      </c>
      <c r="T25" s="20">
        <v>923368</v>
      </c>
      <c r="U25" s="20">
        <v>643056</v>
      </c>
      <c r="V25" s="20">
        <v>907344</v>
      </c>
      <c r="W25" s="21">
        <v>66.264322000000007</v>
      </c>
      <c r="X25" s="21">
        <v>68.003972000000005</v>
      </c>
      <c r="Y25" s="21">
        <v>25.874806</v>
      </c>
      <c r="Z25" s="21">
        <v>32.388821999999998</v>
      </c>
      <c r="AA25" s="21">
        <v>31.586831</v>
      </c>
      <c r="AB25" s="22">
        <v>4954.25</v>
      </c>
      <c r="AC25" s="22">
        <v>3008.03</v>
      </c>
      <c r="AD25" s="22">
        <v>8.5570000000000004</v>
      </c>
      <c r="AE25" s="22">
        <v>14.84</v>
      </c>
      <c r="AG25" s="17">
        <f t="shared" si="7"/>
        <v>2.3238449999999999</v>
      </c>
      <c r="AH25" s="18">
        <f t="shared" si="8"/>
        <v>9.7926992959342318E-2</v>
      </c>
      <c r="AI25" s="18">
        <f t="shared" si="9"/>
        <v>6.2057469996532923E-2</v>
      </c>
      <c r="AJ25" s="18">
        <f t="shared" si="10"/>
        <v>3.6478868387393247E-2</v>
      </c>
      <c r="AK25" s="18">
        <f t="shared" si="11"/>
        <v>3.5845819172952646E-2</v>
      </c>
      <c r="AL25" s="15">
        <f t="shared" si="12"/>
        <v>1570824</v>
      </c>
      <c r="AM25" s="18">
        <f t="shared" si="13"/>
        <v>0.10600437793298031</v>
      </c>
      <c r="AN25" s="19">
        <v>23383638</v>
      </c>
      <c r="AO25" s="19">
        <v>730738.6875</v>
      </c>
      <c r="AP25" s="19">
        <v>18884.53125</v>
      </c>
      <c r="AQ25" s="20">
        <v>2478768</v>
      </c>
      <c r="AR25" s="20">
        <v>923368</v>
      </c>
      <c r="AS25" s="20">
        <v>647456</v>
      </c>
      <c r="AT25" s="20">
        <v>907344</v>
      </c>
      <c r="AU25" s="21">
        <v>66.264322000000007</v>
      </c>
      <c r="AV25" s="21">
        <v>68.003972000000005</v>
      </c>
      <c r="AW25" s="21">
        <v>25.874806</v>
      </c>
      <c r="AX25" s="21">
        <v>32.388821999999998</v>
      </c>
      <c r="AY25" s="21">
        <v>31.586831</v>
      </c>
      <c r="AZ25" s="22">
        <v>4495.38</v>
      </c>
      <c r="BA25" s="22">
        <v>2939.54</v>
      </c>
      <c r="BB25" s="22">
        <v>8.5220000000000002</v>
      </c>
      <c r="BC25" s="22">
        <v>14.247999999999999</v>
      </c>
      <c r="BE25" s="23">
        <f t="shared" si="14"/>
        <v>0</v>
      </c>
      <c r="BF25" s="23">
        <f t="shared" si="15"/>
        <v>6.2268953781308145E-4</v>
      </c>
      <c r="BG25" s="23">
        <f t="array" ref="BG25">AVERAGE(AL25:AL29/AQ25:AQ29) - AVERAGE(N25:N29/S25:S29)</f>
        <v>3.9467419683281157E-4</v>
      </c>
      <c r="BI25" s="24">
        <f>IF( OR(ISBLANK(N25:N29),ISBLANK(AL25:AL29), ISBLANK(W25:W29),ISBLANK(AU25:AU29)), "·", bdRateExtend( N25:N29,W25:W29, AL25:AL29,AU25:AU29))</f>
        <v>1.9043196500612147E-3</v>
      </c>
      <c r="BJ25" s="24">
        <f>IF( OR(ISBLANK(N25:N29),ISBLANK(AL25:AL29), ISBLANK(X25:X29),ISBLANK(AV25:AV29)), "·", bdRateExtend( N25:N29,X25:X29, AL25:AL29,AV25:AV29))</f>
        <v>1.8191460018497363E-3</v>
      </c>
      <c r="BK25" s="24">
        <f>IF( OR(ISBLANK(V25:V29),ISBLANK(AT25:AT29), ISBLANK(Y25:Y29),ISBLANK(AW25:AW29)), "·", bdRateExtend( V25:V29,Y25:Y29, AT25:AT29,AW25:AW29))</f>
        <v>0</v>
      </c>
      <c r="BL25" s="24">
        <f>IF( OR(ISBLANK(V25:V29),ISBLANK(AT25:AT29), ISBLANK(Z25:Z29),ISBLANK(AX25:AX29)), "·", bdRateExtend( V25:V29,Z25:Z29, AT25:AT29,AX25:AX29))</f>
        <v>0</v>
      </c>
      <c r="BM25" s="24">
        <f>IF( OR(ISBLANK(V25:V29),ISBLANK(AT25:AT29), ISBLANK(AA25:AA29),ISBLANK(AY25:AY29)), "·", bdRateExtend( V25:V29,AA25:AA29, AT25:AT29,AY25:AY29))</f>
        <v>0</v>
      </c>
      <c r="BO25" s="24">
        <f>IF( OR(ISBLANK(S25:S29),ISBLANK(AQ25:AQ29), ISBLANK(W25:W29),ISBLANK(AU25:AU29)), "·", bdRateExtend( S25:S29,W25:W29, AQ25:AQ29,AU25:AU29))</f>
        <v>8.788072334353636E-4</v>
      </c>
      <c r="BP25" s="24">
        <f>IF( OR(ISBLANK(S25:S29),ISBLANK(AQ25:AQ29), ISBLANK(X25:X29),ISBLANK(AV25:AV29)), "·", bdRateExtend( S25:S29,X25:X29, AQ25:AQ29,AV25:AV29))</f>
        <v>8.0974779770315308E-4</v>
      </c>
      <c r="BQ25" s="24">
        <f>IF( OR(ISBLANK(S25:S29),ISBLANK(AQ25:AQ29), ISBLANK(Y25:Y29),ISBLANK(AW25:AW29)), "·", bdRateExtend( S25:S29,Y25:Y29, AQ25:AQ29,AW25:AW29))</f>
        <v>7.4118174723825092E-4</v>
      </c>
      <c r="BR25" s="24">
        <f>IF( OR(ISBLANK(S25:S29),ISBLANK(AQ25:AQ29), ISBLANK(Z25:Z29),ISBLANK(AX25:AX29)), "·", bdRateExtend( S25:S29,Z25:Z29, AQ25:AQ29,AX25:AX29))</f>
        <v>7.0687253251744409E-4</v>
      </c>
      <c r="BS25" s="24">
        <f>IF( OR(ISBLANK(S25:S29),ISBLANK(AQ25:AQ29), ISBLANK(AA25:AA29),ISBLANK(AY25:AY29)), "·", bdRateExtend( S25:S29,AA25:AA29, AQ25:AQ29,AY25:AY29))</f>
        <v>7.3683925959278085E-4</v>
      </c>
      <c r="BU25" s="4">
        <f t="shared" si="16"/>
        <v>4512</v>
      </c>
    </row>
    <row r="26" spans="1:73" outlineLevel="1" x14ac:dyDescent="0.2">
      <c r="A26" s="25"/>
      <c r="B26" s="25" t="s">
        <v>284</v>
      </c>
      <c r="C26" s="26" t="s">
        <v>269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3.5648624999999998</v>
      </c>
      <c r="J26" s="28">
        <f t="shared" si="1"/>
        <v>0.15022355834340217</v>
      </c>
      <c r="K26" s="28">
        <f t="shared" si="2"/>
        <v>7.5592650055261432E-2</v>
      </c>
      <c r="L26" s="28">
        <f t="shared" si="3"/>
        <v>5.0187876238404504E-2</v>
      </c>
      <c r="M26" s="28">
        <f t="shared" si="4"/>
        <v>7.4611629205723923E-2</v>
      </c>
      <c r="N26" s="25">
        <f t="shared" si="5"/>
        <v>1913432</v>
      </c>
      <c r="O26" s="28">
        <f t="shared" si="6"/>
        <v>0.15177358222766046</v>
      </c>
      <c r="P26" s="29">
        <v>25053899</v>
      </c>
      <c r="Q26" s="29">
        <v>782934.34375</v>
      </c>
      <c r="R26" s="29">
        <v>23525.6875</v>
      </c>
      <c r="S26" s="30">
        <v>3802520</v>
      </c>
      <c r="T26" s="30">
        <v>1270376</v>
      </c>
      <c r="U26" s="30">
        <v>643056</v>
      </c>
      <c r="V26" s="30">
        <v>1888600</v>
      </c>
      <c r="W26" s="31">
        <v>68.051480999999995</v>
      </c>
      <c r="X26" s="31">
        <v>70.021966000000006</v>
      </c>
      <c r="Y26" s="31">
        <v>27.944265999999999</v>
      </c>
      <c r="Z26" s="31">
        <v>33.678434000000003</v>
      </c>
      <c r="AA26" s="31">
        <v>33.061833999999998</v>
      </c>
      <c r="AB26" s="32">
        <v>6076.69</v>
      </c>
      <c r="AC26" s="32">
        <v>3887.94</v>
      </c>
      <c r="AD26" s="32">
        <v>9.4890000000000008</v>
      </c>
      <c r="AE26" s="32">
        <v>17.573</v>
      </c>
      <c r="AG26" s="27">
        <f t="shared" si="7"/>
        <v>3.5690925</v>
      </c>
      <c r="AH26" s="28">
        <f t="shared" si="8"/>
        <v>0.15040181084312484</v>
      </c>
      <c r="AI26" s="28">
        <f t="shared" si="9"/>
        <v>7.5766477847544172E-2</v>
      </c>
      <c r="AJ26" s="28">
        <f t="shared" si="10"/>
        <v>5.0187876238404504E-2</v>
      </c>
      <c r="AK26" s="28">
        <f t="shared" si="11"/>
        <v>7.4611629205723923E-2</v>
      </c>
      <c r="AL26" s="25">
        <f t="shared" si="12"/>
        <v>1917832</v>
      </c>
      <c r="AM26" s="28">
        <f t="shared" si="13"/>
        <v>0.15195367395709547</v>
      </c>
      <c r="AN26" s="29">
        <v>25053899</v>
      </c>
      <c r="AO26" s="29">
        <v>782934.34375</v>
      </c>
      <c r="AP26" s="29">
        <v>23525.6875</v>
      </c>
      <c r="AQ26" s="30">
        <v>3807032</v>
      </c>
      <c r="AR26" s="30">
        <v>1270376</v>
      </c>
      <c r="AS26" s="30">
        <v>647456</v>
      </c>
      <c r="AT26" s="30">
        <v>1888600</v>
      </c>
      <c r="AU26" s="31">
        <v>68.051480999999995</v>
      </c>
      <c r="AV26" s="31">
        <v>70.021966000000006</v>
      </c>
      <c r="AW26" s="31">
        <v>27.944265999999999</v>
      </c>
      <c r="AX26" s="31">
        <v>33.678434000000003</v>
      </c>
      <c r="AY26" s="31">
        <v>33.061833999999998</v>
      </c>
      <c r="AZ26" s="32">
        <v>4722.3599999999997</v>
      </c>
      <c r="BA26" s="32">
        <v>3019.81</v>
      </c>
      <c r="BB26" s="32">
        <v>8.3550000000000004</v>
      </c>
      <c r="BC26" s="32">
        <v>14.098000000000001</v>
      </c>
      <c r="BE26" s="33">
        <f t="shared" si="14"/>
        <v>0</v>
      </c>
      <c r="BF26" s="33">
        <f t="shared" si="15"/>
        <v>5.5937458093735515E-4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4512</v>
      </c>
    </row>
    <row r="27" spans="1:73" outlineLevel="1" x14ac:dyDescent="0.2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6.0547649999999997</v>
      </c>
      <c r="J27" s="18">
        <f t="shared" si="1"/>
        <v>0.2551482261189848</v>
      </c>
      <c r="K27" s="18">
        <f t="shared" si="2"/>
        <v>9.5560406580045651E-2</v>
      </c>
      <c r="L27" s="18">
        <f t="shared" si="3"/>
        <v>7.0155632763188716E-2</v>
      </c>
      <c r="M27" s="18">
        <f t="shared" si="4"/>
        <v>0.15956854045652236</v>
      </c>
      <c r="N27" s="15">
        <f t="shared" si="5"/>
        <v>2418864</v>
      </c>
      <c r="O27" s="18">
        <f t="shared" si="6"/>
        <v>0.25556475401023454</v>
      </c>
      <c r="P27" s="19">
        <v>25271153</v>
      </c>
      <c r="Q27" s="19">
        <v>789723.53125</v>
      </c>
      <c r="R27" s="19">
        <v>24522.03125</v>
      </c>
      <c r="S27" s="20">
        <v>6458416</v>
      </c>
      <c r="T27" s="20">
        <v>1775808</v>
      </c>
      <c r="U27" s="20">
        <v>643056</v>
      </c>
      <c r="V27" s="20">
        <v>4039064</v>
      </c>
      <c r="W27" s="21">
        <v>69.408649999999994</v>
      </c>
      <c r="X27" s="21">
        <v>71.749909000000002</v>
      </c>
      <c r="Y27" s="21">
        <v>30.282250000000001</v>
      </c>
      <c r="Z27" s="21">
        <v>34.965425000000003</v>
      </c>
      <c r="AA27" s="21">
        <v>34.444766000000001</v>
      </c>
      <c r="AB27" s="22">
        <v>6232.74</v>
      </c>
      <c r="AC27" s="22">
        <v>4209.63</v>
      </c>
      <c r="AD27" s="22">
        <v>9.4870000000000001</v>
      </c>
      <c r="AE27" s="22">
        <v>17.542000000000002</v>
      </c>
      <c r="AG27" s="17">
        <f t="shared" si="7"/>
        <v>6.0589950000000004</v>
      </c>
      <c r="AH27" s="18">
        <f t="shared" si="8"/>
        <v>0.2553264786187075</v>
      </c>
      <c r="AI27" s="18">
        <f t="shared" si="9"/>
        <v>9.5734234372328392E-2</v>
      </c>
      <c r="AJ27" s="18">
        <f t="shared" si="10"/>
        <v>7.0155632763188716E-2</v>
      </c>
      <c r="AK27" s="18">
        <f t="shared" si="11"/>
        <v>0.15956854045652236</v>
      </c>
      <c r="AL27" s="15">
        <f t="shared" si="12"/>
        <v>2423264</v>
      </c>
      <c r="AM27" s="18">
        <f t="shared" si="13"/>
        <v>0.25574329750605362</v>
      </c>
      <c r="AN27" s="19">
        <v>25271153</v>
      </c>
      <c r="AO27" s="19">
        <v>789723.53125</v>
      </c>
      <c r="AP27" s="19">
        <v>24522.03125</v>
      </c>
      <c r="AQ27" s="20">
        <v>6462928</v>
      </c>
      <c r="AR27" s="20">
        <v>1775808</v>
      </c>
      <c r="AS27" s="20">
        <v>647456</v>
      </c>
      <c r="AT27" s="20">
        <v>4039064</v>
      </c>
      <c r="AU27" s="21">
        <v>69.408649999999994</v>
      </c>
      <c r="AV27" s="21">
        <v>71.749909000000002</v>
      </c>
      <c r="AW27" s="21">
        <v>30.282250000000001</v>
      </c>
      <c r="AX27" s="21">
        <v>34.965425000000003</v>
      </c>
      <c r="AY27" s="21">
        <v>34.444766000000001</v>
      </c>
      <c r="AZ27" s="22">
        <v>4766.3</v>
      </c>
      <c r="BA27" s="22">
        <v>3285.34</v>
      </c>
      <c r="BB27" s="22">
        <v>8.4390000000000001</v>
      </c>
      <c r="BC27" s="22">
        <v>15.066000000000001</v>
      </c>
      <c r="BE27" s="23">
        <f t="shared" si="14"/>
        <v>0</v>
      </c>
      <c r="BF27" s="23">
        <f t="shared" si="15"/>
        <v>4.1933396320154026E-4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4512</v>
      </c>
    </row>
    <row r="28" spans="1:73" outlineLevel="1" x14ac:dyDescent="0.2">
      <c r="A28" s="25"/>
      <c r="B28" s="25" t="s">
        <v>284</v>
      </c>
      <c r="C28" s="26" t="s">
        <v>271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12.166252500000001</v>
      </c>
      <c r="J28" s="28">
        <f t="shared" si="1"/>
        <v>0.51268674240712298</v>
      </c>
      <c r="K28" s="28">
        <f t="shared" si="2"/>
        <v>0.13003646274981029</v>
      </c>
      <c r="L28" s="28">
        <f t="shared" si="3"/>
        <v>0.10463168893295335</v>
      </c>
      <c r="M28" s="28">
        <f t="shared" si="4"/>
        <v>0.38263100057489591</v>
      </c>
      <c r="N28" s="25">
        <f t="shared" si="5"/>
        <v>3291536</v>
      </c>
      <c r="O28" s="28">
        <f t="shared" si="6"/>
        <v>0.49302855836817661</v>
      </c>
      <c r="P28" s="29">
        <v>26321672</v>
      </c>
      <c r="Q28" s="29">
        <v>822552.25</v>
      </c>
      <c r="R28" s="29">
        <v>28175.15625</v>
      </c>
      <c r="S28" s="30">
        <v>12977336</v>
      </c>
      <c r="T28" s="30">
        <v>2648480</v>
      </c>
      <c r="U28" s="30">
        <v>643056</v>
      </c>
      <c r="V28" s="30">
        <v>9685312</v>
      </c>
      <c r="W28" s="31">
        <v>70.435834</v>
      </c>
      <c r="X28" s="31">
        <v>72.986834000000002</v>
      </c>
      <c r="Y28" s="31">
        <v>32.817137000000002</v>
      </c>
      <c r="Z28" s="31">
        <v>36.503044000000003</v>
      </c>
      <c r="AA28" s="31">
        <v>36.003416000000001</v>
      </c>
      <c r="AB28" s="32">
        <v>6223.84</v>
      </c>
      <c r="AC28" s="32">
        <v>4505.82</v>
      </c>
      <c r="AD28" s="32">
        <v>9.6069999999999993</v>
      </c>
      <c r="AE28" s="32">
        <v>19.794</v>
      </c>
      <c r="AG28" s="27">
        <f t="shared" si="7"/>
        <v>12.1704825</v>
      </c>
      <c r="AH28" s="28">
        <f t="shared" si="8"/>
        <v>0.51286499490684567</v>
      </c>
      <c r="AI28" s="28">
        <f t="shared" si="9"/>
        <v>0.13021029054209304</v>
      </c>
      <c r="AJ28" s="28">
        <f t="shared" si="10"/>
        <v>0.10463168893295335</v>
      </c>
      <c r="AK28" s="28">
        <f t="shared" si="11"/>
        <v>0.38263100057489591</v>
      </c>
      <c r="AL28" s="25">
        <f t="shared" si="12"/>
        <v>3295936</v>
      </c>
      <c r="AM28" s="28">
        <f t="shared" si="13"/>
        <v>0.49319997605015364</v>
      </c>
      <c r="AN28" s="29">
        <v>26321672</v>
      </c>
      <c r="AO28" s="29">
        <v>822552.25</v>
      </c>
      <c r="AP28" s="29">
        <v>28175.15625</v>
      </c>
      <c r="AQ28" s="30">
        <v>12981848</v>
      </c>
      <c r="AR28" s="30">
        <v>2648480</v>
      </c>
      <c r="AS28" s="30">
        <v>647456</v>
      </c>
      <c r="AT28" s="30">
        <v>9685312</v>
      </c>
      <c r="AU28" s="31">
        <v>70.435834</v>
      </c>
      <c r="AV28" s="31">
        <v>72.986834000000002</v>
      </c>
      <c r="AW28" s="31">
        <v>32.817137000000002</v>
      </c>
      <c r="AX28" s="31">
        <v>36.503044000000003</v>
      </c>
      <c r="AY28" s="31">
        <v>36.003416000000001</v>
      </c>
      <c r="AZ28" s="32">
        <v>4586.74</v>
      </c>
      <c r="BA28" s="32">
        <v>3533.2</v>
      </c>
      <c r="BB28" s="32">
        <v>8.6829999999999998</v>
      </c>
      <c r="BC28" s="32">
        <v>15.81</v>
      </c>
      <c r="BE28" s="33">
        <f t="shared" si="14"/>
        <v>0</v>
      </c>
      <c r="BF28" s="33">
        <f t="shared" si="15"/>
        <v>2.5078006334738889E-4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4512</v>
      </c>
    </row>
    <row r="29" spans="1:73" ht="16" outlineLevel="1" thickBot="1" x14ac:dyDescent="0.25">
      <c r="A29" s="35"/>
      <c r="B29" s="35" t="s">
        <v>284</v>
      </c>
      <c r="C29" s="36" t="s">
        <v>272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27.781132499999998</v>
      </c>
      <c r="J29" s="38">
        <f t="shared" si="1"/>
        <v>1.1706988920216519</v>
      </c>
      <c r="K29" s="38">
        <f t="shared" si="2"/>
        <v>0.21307305097168155</v>
      </c>
      <c r="L29" s="38">
        <f t="shared" si="3"/>
        <v>0.16274073964041666</v>
      </c>
      <c r="M29" s="38">
        <f t="shared" si="4"/>
        <v>0.95760656196755367</v>
      </c>
      <c r="N29" s="35">
        <f t="shared" si="5"/>
        <v>5393392</v>
      </c>
      <c r="O29" s="38">
        <f t="shared" si="6"/>
        <v>1.1790254386490524</v>
      </c>
      <c r="P29" s="39">
        <v>25133646</v>
      </c>
      <c r="Q29" s="39">
        <v>785426.4375</v>
      </c>
      <c r="R29" s="39">
        <v>7352.15625</v>
      </c>
      <c r="S29" s="40">
        <v>29633208</v>
      </c>
      <c r="T29" s="40">
        <v>4119360</v>
      </c>
      <c r="U29" s="40">
        <v>1274032</v>
      </c>
      <c r="V29" s="40">
        <v>24239328</v>
      </c>
      <c r="W29" s="41">
        <v>71.719977999999998</v>
      </c>
      <c r="X29" s="41">
        <v>75.093906000000004</v>
      </c>
      <c r="Y29" s="41">
        <v>35.554506000000003</v>
      </c>
      <c r="Z29" s="41">
        <v>38.555461999999999</v>
      </c>
      <c r="AA29" s="41">
        <v>38.019063000000003</v>
      </c>
      <c r="AB29" s="42">
        <v>4507.2</v>
      </c>
      <c r="AC29" s="42">
        <v>4122.55</v>
      </c>
      <c r="AD29" s="42">
        <v>9.1820000000000004</v>
      </c>
      <c r="AE29" s="42">
        <v>17.849</v>
      </c>
      <c r="AG29" s="37">
        <f t="shared" si="7"/>
        <v>27.785377499999999</v>
      </c>
      <c r="AH29" s="38">
        <f t="shared" si="8"/>
        <v>1.1708777766224374</v>
      </c>
      <c r="AI29" s="38">
        <f t="shared" si="9"/>
        <v>0.21324751086502713</v>
      </c>
      <c r="AJ29" s="38">
        <f t="shared" si="10"/>
        <v>0.16274073964041666</v>
      </c>
      <c r="AK29" s="38">
        <f t="shared" si="11"/>
        <v>0.95760656196755367</v>
      </c>
      <c r="AL29" s="35">
        <f t="shared" si="12"/>
        <v>5397808</v>
      </c>
      <c r="AM29" s="38">
        <f t="shared" si="13"/>
        <v>1.1792055955590366</v>
      </c>
      <c r="AN29" s="39">
        <v>25133646</v>
      </c>
      <c r="AO29" s="39">
        <v>785426.4375</v>
      </c>
      <c r="AP29" s="39">
        <v>7352.15625</v>
      </c>
      <c r="AQ29" s="40">
        <v>29637736</v>
      </c>
      <c r="AR29" s="40">
        <v>4119360</v>
      </c>
      <c r="AS29" s="40">
        <v>1278448</v>
      </c>
      <c r="AT29" s="40">
        <v>24239328</v>
      </c>
      <c r="AU29" s="41">
        <v>71.719977999999998</v>
      </c>
      <c r="AV29" s="41">
        <v>75.093906000000004</v>
      </c>
      <c r="AW29" s="41">
        <v>35.554506000000003</v>
      </c>
      <c r="AX29" s="41">
        <v>38.555461999999999</v>
      </c>
      <c r="AY29" s="41">
        <v>38.019063000000003</v>
      </c>
      <c r="AZ29" s="42">
        <v>4644.54</v>
      </c>
      <c r="BA29" s="42">
        <v>4146.71</v>
      </c>
      <c r="BB29" s="42">
        <v>9.31</v>
      </c>
      <c r="BC29" s="42">
        <v>17.942</v>
      </c>
      <c r="BE29" s="43">
        <f t="shared" si="14"/>
        <v>0</v>
      </c>
      <c r="BF29" s="43">
        <f t="shared" si="15"/>
        <v>1.2119283886485865E-4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4528</v>
      </c>
    </row>
    <row r="30" spans="1:73" ht="16" x14ac:dyDescent="0.2">
      <c r="B30" s="55" t="s">
        <v>288</v>
      </c>
      <c r="J30" s="56">
        <f>AVERAGE(J5:J24)</f>
        <v>0.19278033703148761</v>
      </c>
      <c r="K30" s="56">
        <f>AVERAGE(K5:K24)</f>
        <v>9.1950715345747711E-2</v>
      </c>
      <c r="L30" s="56">
        <f>AVERAGE(L5:L24)</f>
        <v>6.5289069792658833E-2</v>
      </c>
      <c r="M30" s="56">
        <f>AVERAGE(M5:M24)</f>
        <v>0.10081196809329655</v>
      </c>
      <c r="AH30" s="56">
        <f>AVERAGE(AH5:AH24)</f>
        <v>0.19290002545756049</v>
      </c>
      <c r="AI30" s="56">
        <f>AVERAGE(AI5:AI24)</f>
        <v>9.2066352127653212E-2</v>
      </c>
      <c r="AJ30" s="56">
        <f>AVERAGE(AJ5:AJ24)</f>
        <v>6.5289069792658833E-2</v>
      </c>
      <c r="AK30" s="56">
        <f>AVERAGE(AK5:AK24)</f>
        <v>0.10081196809329655</v>
      </c>
      <c r="BG30" s="8">
        <f>AVERAGE(BG5:BG24)</f>
        <v>2.7666963689552959E-4</v>
      </c>
      <c r="BI30" s="5">
        <f>AVERAGE(BI5:BI24)</f>
        <v>1.4239194300971758E-3</v>
      </c>
      <c r="BJ30" s="5">
        <f>AVERAGE(BJ5:BJ24)</f>
        <v>1.3584048127458503E-3</v>
      </c>
      <c r="BK30" s="5">
        <f>AVERAGE(BK5:BK24)</f>
        <v>0</v>
      </c>
      <c r="BL30" s="5">
        <f>AVERAGE(BL5:BL24)</f>
        <v>0</v>
      </c>
      <c r="BM30" s="5">
        <f>AVERAGE(BM5:BM24)</f>
        <v>0</v>
      </c>
      <c r="BO30" s="5">
        <f>AVERAGE(BO5:BO24)</f>
        <v>9.0248608690302046E-4</v>
      </c>
      <c r="BP30" s="5">
        <f>AVERAGE(BP5:BP24)</f>
        <v>8.4402966121355227E-4</v>
      </c>
      <c r="BQ30" s="5">
        <f>AVERAGE(BQ5:BQ24)</f>
        <v>8.1917937213810132E-4</v>
      </c>
      <c r="BR30" s="5">
        <f>AVERAGE(BR5:BR24)</f>
        <v>8.0739007215607783E-4</v>
      </c>
      <c r="BS30" s="5">
        <f>AVERAGE(BS5:BS24)</f>
        <v>8.3285361385648793E-4</v>
      </c>
    </row>
    <row r="31" spans="1:73" ht="16" x14ac:dyDescent="0.2">
      <c r="B31" s="55" t="s">
        <v>289</v>
      </c>
      <c r="J31" s="56">
        <f>AVERAGE(J25:J29)</f>
        <v>0.43730123187015629</v>
      </c>
      <c r="K31" s="56">
        <f>AVERAGE(K25:K29)</f>
        <v>0.11522924251220981</v>
      </c>
      <c r="L31" s="56">
        <f>AVERAGE(L25:L29)</f>
        <v>8.4838961192471293E-2</v>
      </c>
      <c r="M31" s="56">
        <f>AVERAGE(M25:M29)</f>
        <v>0.32205271027552973</v>
      </c>
      <c r="AH31" s="56">
        <f>AVERAGE(AH25:AH29)</f>
        <v>0.43747961079009157</v>
      </c>
      <c r="AI31" s="56">
        <f>AVERAGE(AI25:AI29)</f>
        <v>0.11540319672470514</v>
      </c>
      <c r="AJ31" s="56">
        <f>AVERAGE(AJ25:AJ29)</f>
        <v>8.4838961192471293E-2</v>
      </c>
      <c r="AK31" s="56">
        <f>AVERAGE(AK25:AK29)</f>
        <v>0.32205271027552973</v>
      </c>
      <c r="BG31" s="8">
        <f>AVERAGE(BG25:BG29)</f>
        <v>3.9467419683281157E-4</v>
      </c>
      <c r="BI31" s="5">
        <f>AVERAGE(BI25:BI29)</f>
        <v>1.9043196500612147E-3</v>
      </c>
      <c r="BJ31" s="5">
        <f>AVERAGE(BJ25:BJ29)</f>
        <v>1.8191460018497363E-3</v>
      </c>
      <c r="BK31" s="5">
        <f>AVERAGE(BK25:BK29)</f>
        <v>0</v>
      </c>
      <c r="BL31" s="5">
        <f>AVERAGE(BL25:BL29)</f>
        <v>0</v>
      </c>
      <c r="BM31" s="5">
        <f>AVERAGE(BM25:BM29)</f>
        <v>0</v>
      </c>
      <c r="BO31" s="5">
        <f>AVERAGE(BO25:BO29)</f>
        <v>8.788072334353636E-4</v>
      </c>
      <c r="BP31" s="5">
        <f>AVERAGE(BP25:BP29)</f>
        <v>8.0974779770315308E-4</v>
      </c>
      <c r="BQ31" s="5">
        <f>AVERAGE(BQ25:BQ29)</f>
        <v>7.4118174723825092E-4</v>
      </c>
      <c r="BR31" s="5">
        <f>AVERAGE(BR25:BR29)</f>
        <v>7.0687253251744409E-4</v>
      </c>
      <c r="BS31" s="5">
        <f>AVERAGE(BS25:BS29)</f>
        <v>7.3683925959278085E-4</v>
      </c>
    </row>
    <row r="32" spans="1:73" ht="16" x14ac:dyDescent="0.2">
      <c r="B32" s="55" t="s">
        <v>290</v>
      </c>
      <c r="J32" s="56">
        <f>AVERAGE(J5:J29)</f>
        <v>0.24168451599922136</v>
      </c>
      <c r="K32" s="56">
        <f>AVERAGE(K5:K29)</f>
        <v>9.660642077904015E-2</v>
      </c>
      <c r="L32" s="56">
        <f>AVERAGE(L5:L29)</f>
        <v>6.9199048072621325E-2</v>
      </c>
      <c r="M32" s="56">
        <f>AVERAGE(M5:M29)</f>
        <v>0.14506011652974318</v>
      </c>
      <c r="AH32" s="56">
        <f>AVERAGE(AH5:AH29)</f>
        <v>0.24181594252406668</v>
      </c>
      <c r="AI32" s="56">
        <f>AVERAGE(AI5:AI29)</f>
        <v>9.6733721047063584E-2</v>
      </c>
      <c r="AJ32" s="56">
        <f>AVERAGE(AJ5:AJ29)</f>
        <v>6.9199048072621325E-2</v>
      </c>
      <c r="AK32" s="56">
        <f>AVERAGE(AK5:AK29)</f>
        <v>0.14506011652974318</v>
      </c>
      <c r="BG32" s="8">
        <f>AVERAGE(BG5:BG29)</f>
        <v>3.0027054888298599E-4</v>
      </c>
      <c r="BI32" s="5">
        <f>AVERAGE(BI5:BI29)</f>
        <v>1.5199994740899836E-3</v>
      </c>
      <c r="BJ32" s="5">
        <f>AVERAGE(BJ5:BJ29)</f>
        <v>1.4505530505666275E-3</v>
      </c>
      <c r="BK32" s="5">
        <f>AVERAGE(BK5:BK29)</f>
        <v>0</v>
      </c>
      <c r="BL32" s="5">
        <f>AVERAGE(BL5:BL29)</f>
        <v>0</v>
      </c>
      <c r="BM32" s="5">
        <f>AVERAGE(BM5:BM29)</f>
        <v>0</v>
      </c>
      <c r="BO32" s="5">
        <f>AVERAGE(BO5:BO29)</f>
        <v>8.9775031620948904E-4</v>
      </c>
      <c r="BP32" s="5">
        <f>AVERAGE(BP5:BP29)</f>
        <v>8.3717328851147239E-4</v>
      </c>
      <c r="BQ32" s="5">
        <f>AVERAGE(BQ5:BQ29)</f>
        <v>8.035798471581312E-4</v>
      </c>
      <c r="BR32" s="5">
        <f>AVERAGE(BR5:BR29)</f>
        <v>7.872865642283511E-4</v>
      </c>
      <c r="BS32" s="5">
        <f>AVERAGE(BS5:BS29)</f>
        <v>8.1365074300374649E-4</v>
      </c>
    </row>
    <row r="33" spans="1:55" ht="16" hidden="1" outlineLevel="2" x14ac:dyDescent="0.2">
      <c r="A33" s="55" t="s">
        <v>291</v>
      </c>
      <c r="B33" s="55" t="s">
        <v>292</v>
      </c>
      <c r="AB33" s="57">
        <f>SUM(AB5:AB24,AB25:AB29)</f>
        <v>155376.62999999998</v>
      </c>
      <c r="AC33" s="57">
        <f>SUM(AC5:AC24,AC25:AC29)</f>
        <v>82050.160000000018</v>
      </c>
      <c r="AD33" s="57">
        <f>SUM(AD5:AD24,AD25:AD29)</f>
        <v>247.047</v>
      </c>
      <c r="AE33" s="57">
        <f>SUM(AE5:AE24,AE25:AE29)</f>
        <v>382.8669999999999</v>
      </c>
      <c r="AZ33" s="57">
        <f>SUM(AZ5:AZ24,AZ25:AZ29)</f>
        <v>142294.49</v>
      </c>
      <c r="BA33" s="57">
        <f>SUM(BA5:BA24,BA25:BA29)</f>
        <v>75602.490000000005</v>
      </c>
      <c r="BB33" s="57">
        <f>SUM(BB5:BB24,BB25:BB29)</f>
        <v>235.22899999999993</v>
      </c>
      <c r="BC33" s="57">
        <f>SUM(BC5:BC24,BC25:BC29)</f>
        <v>352.67999999999995</v>
      </c>
    </row>
    <row r="34" spans="1:55" ht="16" hidden="1" outlineLevel="2" x14ac:dyDescent="0.2">
      <c r="B34" s="55" t="s">
        <v>293</v>
      </c>
      <c r="AZ34" s="8">
        <f>AZ33/AB33</f>
        <v>0.91580368296055858</v>
      </c>
      <c r="BA34" s="8">
        <f>BA33/AC33</f>
        <v>0.92141794726542869</v>
      </c>
      <c r="BB34" s="8">
        <f>BB33/AD33</f>
        <v>0.95216294875064234</v>
      </c>
      <c r="BC34" s="8">
        <f>BC33/AE33</f>
        <v>0.92115538816351383</v>
      </c>
    </row>
    <row r="35" spans="1:55" ht="16" hidden="1" outlineLevel="2" x14ac:dyDescent="0.2">
      <c r="B35" s="55" t="s">
        <v>294</v>
      </c>
      <c r="AB35" s="57">
        <f>GEOMEAN(AB5:AB24,AB25:AB29)</f>
        <v>6077.9484959623551</v>
      </c>
      <c r="AC35" s="57">
        <f>GEOMEAN(AC5:AC24,AC25:AC29)</f>
        <v>3195.9235568928161</v>
      </c>
      <c r="AD35" s="57">
        <f>GEOMEAN(AD5:AD24,AD25:AD29)</f>
        <v>9.7452685187907697</v>
      </c>
      <c r="AE35" s="57">
        <f>GEOMEAN(AE5:AE24,AE25:AE29)</f>
        <v>15.084570344215354</v>
      </c>
      <c r="AZ35" s="57">
        <f>GEOMEAN(AZ5:AZ24,AZ25:AZ29)</f>
        <v>5568.5345834652999</v>
      </c>
      <c r="BA35" s="57">
        <f>GEOMEAN(BA5:BA24,BA25:BA29)</f>
        <v>2949.8613345507119</v>
      </c>
      <c r="BB35" s="57">
        <f>GEOMEAN(BB5:BB24,BB25:BB29)</f>
        <v>9.2957753513451866</v>
      </c>
      <c r="BC35" s="57">
        <f>GEOMEAN(BC5:BC24,BC25:BC29)</f>
        <v>13.9244190881764</v>
      </c>
    </row>
    <row r="36" spans="1:55" ht="16" outlineLevel="2" collapsed="1" x14ac:dyDescent="0.2">
      <c r="B36" s="55" t="s">
        <v>295</v>
      </c>
      <c r="AZ36" s="8">
        <f>AZ35/AB35</f>
        <v>0.91618653681658146</v>
      </c>
      <c r="BA36" s="8">
        <f>BA35/AC35</f>
        <v>0.92300747562894336</v>
      </c>
      <c r="BB36" s="8">
        <f>BB35/AD35</f>
        <v>0.95387575349218212</v>
      </c>
      <c r="BC36" s="8">
        <f>BC35/AE35</f>
        <v>0.9230902021359958</v>
      </c>
    </row>
  </sheetData>
  <mergeCells count="41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I5 BI6 BI7 BI8 BI9 BI10 BI11 BI12 BI13 BI14 BI15 BI16 BI17 BI18 BI19 BI20 BI21 BI22 BI23 BI24 BI25 BI26 BI27 BI28 BI29 BI30 BI31 BI32">
    <cfRule type="cellIs" dxfId="31" priority="17" operator="greaterThanOrEqual">
      <formula>0.03</formula>
    </cfRule>
    <cfRule type="cellIs" dxfId="30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29" priority="15" operator="greaterThanOrEqual">
      <formula>0.03</formula>
    </cfRule>
    <cfRule type="cellIs" dxfId="28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27" priority="11" operator="greaterThanOrEqual">
      <formula>0.03</formula>
    </cfRule>
    <cfRule type="cellIs" dxfId="26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25" priority="5" operator="greaterThanOrEqual">
      <formula>0.03</formula>
    </cfRule>
    <cfRule type="cellIs" dxfId="24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23" priority="7" operator="greaterThanOrEqual">
      <formula>0.03</formula>
    </cfRule>
    <cfRule type="cellIs" dxfId="22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21" priority="1" operator="greaterThanOrEqual">
      <formula>0.03</formula>
    </cfRule>
    <cfRule type="cellIs" dxfId="20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19" priority="13" operator="greaterThanOrEqual">
      <formula>0.03</formula>
    </cfRule>
    <cfRule type="cellIs" dxfId="18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17" priority="19" operator="greaterThanOrEqual">
      <formula>0.03</formula>
    </cfRule>
    <cfRule type="cellIs" dxfId="16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15" priority="9" operator="greaterThanOrEqual">
      <formula>0.03</formula>
    </cfRule>
    <cfRule type="cellIs" dxfId="14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3" priority="3" operator="greaterThanOrEqual">
      <formula>0.03</formula>
    </cfRule>
    <cfRule type="cellIs" dxfId="12" priority="4" operator="lessThanOrEqual">
      <formula>-0.03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H38"/>
  <sheetViews>
    <sheetView zoomScale="85" zoomScaleNormal="85" workbookViewId="0">
      <pane xSplit="2" topLeftCell="H1" activePane="topRight" state="frozen"/>
      <selection pane="topRight" activeCell="P5" sqref="P5:AC9"/>
    </sheetView>
  </sheetViews>
  <sheetFormatPr baseColWidth="10" defaultColWidth="8.83203125" defaultRowHeight="15" outlineLevelRow="2" x14ac:dyDescent="0.2"/>
  <cols>
    <col min="1" max="1" width="9.1640625"/>
    <col min="2" max="2" width="24.6640625" customWidth="1"/>
    <col min="3" max="4" width="10.6640625" customWidth="1"/>
    <col min="5" max="6" width="9.1640625"/>
    <col min="7" max="7" width="1.6640625" customWidth="1"/>
    <col min="8" max="9" width="9.164062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26" max="29" width="9.1640625"/>
    <col min="30" max="30" width="1.6640625" customWidth="1"/>
    <col min="31" max="32" width="9.1640625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49" max="52" width="9.1640625"/>
    <col min="53" max="53" width="1.6640625" customWidth="1"/>
    <col min="54" max="58" width="9.1640625"/>
    <col min="59" max="59" width="1.6640625" customWidth="1"/>
  </cols>
  <sheetData>
    <row r="1" spans="1:60" ht="15" customHeight="1" x14ac:dyDescent="0.2">
      <c r="A1" s="70" t="s">
        <v>366</v>
      </c>
      <c r="B1" s="70"/>
      <c r="C1" s="70"/>
      <c r="D1" s="70"/>
      <c r="E1" s="70"/>
      <c r="F1" s="70"/>
      <c r="H1" s="58" t="s">
        <v>552</v>
      </c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9" t="s">
        <v>553</v>
      </c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</row>
    <row r="2" spans="1:60" ht="30" customHeight="1" thickBot="1" x14ac:dyDescent="0.25">
      <c r="A2" s="66" t="s">
        <v>93</v>
      </c>
      <c r="B2" s="67" t="s">
        <v>96</v>
      </c>
      <c r="C2" s="66" t="s">
        <v>102</v>
      </c>
      <c r="D2" s="67" t="s">
        <v>105</v>
      </c>
      <c r="E2" s="66" t="s">
        <v>108</v>
      </c>
      <c r="F2" s="67" t="s">
        <v>111</v>
      </c>
      <c r="H2" s="66" t="s">
        <v>310</v>
      </c>
      <c r="I2" s="67" t="s">
        <v>114</v>
      </c>
      <c r="J2" s="68" t="s">
        <v>117</v>
      </c>
      <c r="K2" s="68"/>
      <c r="L2" s="68"/>
      <c r="M2" s="68"/>
      <c r="N2" s="66" t="s">
        <v>130</v>
      </c>
      <c r="O2" s="67" t="s">
        <v>133</v>
      </c>
      <c r="P2" s="66" t="s">
        <v>24</v>
      </c>
      <c r="Q2" s="69" t="s">
        <v>142</v>
      </c>
      <c r="R2" s="69"/>
      <c r="S2" s="69"/>
      <c r="T2" s="69"/>
      <c r="U2" s="68" t="s">
        <v>153</v>
      </c>
      <c r="V2" s="68"/>
      <c r="W2" s="69" t="s">
        <v>160</v>
      </c>
      <c r="X2" s="69"/>
      <c r="Y2" s="69"/>
      <c r="Z2" s="68" t="s">
        <v>170</v>
      </c>
      <c r="AA2" s="68"/>
      <c r="AB2" s="69" t="s">
        <v>177</v>
      </c>
      <c r="AC2" s="69"/>
      <c r="AE2" s="66" t="s">
        <v>310</v>
      </c>
      <c r="AF2" s="67" t="s">
        <v>114</v>
      </c>
      <c r="AG2" s="68" t="s">
        <v>117</v>
      </c>
      <c r="AH2" s="68"/>
      <c r="AI2" s="68"/>
      <c r="AJ2" s="68"/>
      <c r="AK2" s="66" t="s">
        <v>192</v>
      </c>
      <c r="AL2" s="67" t="s">
        <v>133</v>
      </c>
      <c r="AM2" s="66" t="s">
        <v>24</v>
      </c>
      <c r="AN2" s="69" t="s">
        <v>142</v>
      </c>
      <c r="AO2" s="69"/>
      <c r="AP2" s="69"/>
      <c r="AQ2" s="69"/>
      <c r="AR2" s="68" t="s">
        <v>153</v>
      </c>
      <c r="AS2" s="68"/>
      <c r="AT2" s="69" t="s">
        <v>160</v>
      </c>
      <c r="AU2" s="69"/>
      <c r="AV2" s="69"/>
      <c r="AW2" s="68" t="s">
        <v>170</v>
      </c>
      <c r="AX2" s="68"/>
      <c r="AY2" s="69" t="s">
        <v>177</v>
      </c>
      <c r="AZ2" s="69"/>
      <c r="BB2" s="68" t="s">
        <v>357</v>
      </c>
      <c r="BC2" s="68"/>
      <c r="BD2" s="68"/>
      <c r="BE2" s="67" t="s">
        <v>232</v>
      </c>
      <c r="BF2" s="66" t="s">
        <v>232</v>
      </c>
      <c r="BH2" t="s">
        <v>549</v>
      </c>
    </row>
    <row r="3" spans="1:60" ht="17" thickBot="1" x14ac:dyDescent="0.25">
      <c r="A3" s="66"/>
      <c r="B3" s="67"/>
      <c r="C3" s="66"/>
      <c r="D3" s="67"/>
      <c r="E3" s="66"/>
      <c r="F3" s="67"/>
      <c r="H3" s="66"/>
      <c r="I3" s="67"/>
      <c r="J3" s="11" t="s">
        <v>118</v>
      </c>
      <c r="K3" s="11" t="s">
        <v>121</v>
      </c>
      <c r="L3" s="11" t="s">
        <v>124</v>
      </c>
      <c r="M3" s="11" t="s">
        <v>127</v>
      </c>
      <c r="N3" s="66"/>
      <c r="O3" s="67"/>
      <c r="P3" s="66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66"/>
      <c r="AF3" s="67"/>
      <c r="AG3" s="11" t="s">
        <v>118</v>
      </c>
      <c r="AH3" s="11" t="s">
        <v>121</v>
      </c>
      <c r="AI3" s="11" t="s">
        <v>124</v>
      </c>
      <c r="AJ3" s="11" t="s">
        <v>127</v>
      </c>
      <c r="AK3" s="66"/>
      <c r="AL3" s="67"/>
      <c r="AM3" s="66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67"/>
      <c r="BF3" s="66"/>
    </row>
    <row r="4" spans="1:60" ht="121" hidden="1" x14ac:dyDescent="0.2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 x14ac:dyDescent="0.2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0.29835320708045127</v>
      </c>
      <c r="I5" s="17">
        <f>IF(OR(ISBLANK(Q5),ISBLANK(F5)),"·",Q5*F5/E5/1000000)</f>
        <v>209.4803775</v>
      </c>
      <c r="J5" s="18">
        <f>IF(ISBLANK(Q5),"·",Q5/C5)</f>
        <v>8.9505962124135383</v>
      </c>
      <c r="K5" s="18">
        <f>IF(N5="","·",N5/C5)</f>
        <v>1.3608905598589605</v>
      </c>
      <c r="L5" s="18">
        <f>IF(R5="","·",R5/C5)</f>
        <v>1.2802039517085591</v>
      </c>
      <c r="M5" s="18">
        <f>IF(ISBLANK(T5),"·",T5/C5)</f>
        <v>7.5896034267437704</v>
      </c>
      <c r="N5" s="15">
        <f>IF(OR(ISBLANK(R5),ISBLANK(S5)),"",R5+S5)</f>
        <v>33973736</v>
      </c>
      <c r="O5" s="18">
        <f>IF(ISBLANK(Q5),"·",Q5/P5)</f>
        <v>8.9505962124135383</v>
      </c>
      <c r="P5" s="19">
        <v>24964341</v>
      </c>
      <c r="Q5" s="20">
        <v>223445736</v>
      </c>
      <c r="R5" s="20">
        <v>31959448</v>
      </c>
      <c r="S5" s="20">
        <v>2014288</v>
      </c>
      <c r="T5" s="20">
        <v>189469448</v>
      </c>
      <c r="U5" s="21" t="s">
        <v>550</v>
      </c>
      <c r="V5" s="21" t="s">
        <v>550</v>
      </c>
      <c r="W5" s="21" t="s">
        <v>550</v>
      </c>
      <c r="X5" s="21" t="s">
        <v>550</v>
      </c>
      <c r="Y5" s="21" t="s">
        <v>550</v>
      </c>
      <c r="Z5" s="22">
        <v>3673.33</v>
      </c>
      <c r="AA5" s="22">
        <v>4498.7700000000004</v>
      </c>
      <c r="AB5" s="22">
        <v>2.2669999999999999</v>
      </c>
      <c r="AC5" s="22">
        <v>16.093</v>
      </c>
      <c r="AE5" s="23">
        <f>IF(ISBLANK(AN5),"·",AN5/(C5*D5*3))</f>
        <v>0.29835860144141862</v>
      </c>
      <c r="AF5" s="17">
        <f>IF(OR(ISBLANK(AN5),ISBLANK(F5)),"·",AN5*F5/E5/1000000)</f>
        <v>209.48416499999999</v>
      </c>
      <c r="AG5" s="18">
        <f>IF(ISBLANK(AN5),"·",AN5/C5)</f>
        <v>8.9507580432425602</v>
      </c>
      <c r="AH5" s="18">
        <f>IF(AK5="","·",AK5/C5)</f>
        <v>1.3610479042887613</v>
      </c>
      <c r="AI5" s="18">
        <f>IF(AO5="","·",AO5/C5)</f>
        <v>1.2802039517085591</v>
      </c>
      <c r="AJ5" s="18">
        <f>IF(ISBLANK(AQ5),"·",AQ5/C5)</f>
        <v>7.5896034267437704</v>
      </c>
      <c r="AK5" s="15">
        <f>IF(OR(ISBLANK(AO5),ISBLANK(AP5)),"",AO5+AP5)</f>
        <v>33977664</v>
      </c>
      <c r="AL5" s="18">
        <f>IF(ISBLANK(AN5),"·",AN5/AM5)</f>
        <v>8.9507580432425602</v>
      </c>
      <c r="AM5" s="19">
        <v>24964341</v>
      </c>
      <c r="AN5" s="20">
        <v>223449776</v>
      </c>
      <c r="AO5" s="20">
        <v>31959448</v>
      </c>
      <c r="AP5" s="20">
        <v>2018216</v>
      </c>
      <c r="AQ5" s="20">
        <v>189469448</v>
      </c>
      <c r="AR5" s="21" t="s">
        <v>550</v>
      </c>
      <c r="AS5" s="21" t="s">
        <v>550</v>
      </c>
      <c r="AT5" s="21" t="s">
        <v>550</v>
      </c>
      <c r="AU5" s="21" t="s">
        <v>550</v>
      </c>
      <c r="AV5" s="21" t="s">
        <v>550</v>
      </c>
      <c r="AW5" s="22">
        <v>4362.87</v>
      </c>
      <c r="AX5" s="22">
        <v>4648.34</v>
      </c>
      <c r="AY5" s="22">
        <v>2.4060000000000001</v>
      </c>
      <c r="AZ5" s="22">
        <v>16.420000000000002</v>
      </c>
      <c r="BB5" s="24">
        <f t="shared" ref="BB5:BB12" si="0">AG5/J5</f>
        <v>1.0000180804524281</v>
      </c>
      <c r="BC5" s="24">
        <f t="shared" ref="BC5:BD12" si="1">AI5/L5</f>
        <v>1</v>
      </c>
      <c r="BD5" s="24">
        <f t="shared" si="1"/>
        <v>1</v>
      </c>
      <c r="BE5" s="23">
        <f>(AK5/AN5) - (N5/Q5)</f>
        <v>1.4829907381275209E-5</v>
      </c>
      <c r="BF5" s="23">
        <f t="array" ref="BF5">AVERAGE(AK5:AK5/AN5:AN5) - AVERAGE(N5:N5/Q5:Q5)</f>
        <v>1.4829907381275209E-5</v>
      </c>
      <c r="BH5">
        <f>AN5-Q5</f>
        <v>4040</v>
      </c>
    </row>
    <row r="6" spans="1:60" collapsed="1" x14ac:dyDescent="0.2">
      <c r="A6" s="25"/>
      <c r="B6" s="25" t="s">
        <v>275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0.42807045639077312</v>
      </c>
      <c r="I6" s="27">
        <f>IF(OR(ISBLANK(Q6),ISBLANK(F6)),"·",Q6*F6/E6/1000000)</f>
        <v>272.751915</v>
      </c>
      <c r="J6" s="28">
        <f>IF(ISBLANK(Q6),"·",Q6/C6)</f>
        <v>12.842113691723194</v>
      </c>
      <c r="K6" s="28">
        <f>IF(N6="","·",N6/C6)</f>
        <v>1.6696171392282664</v>
      </c>
      <c r="L6" s="28">
        <f>IF(R6="","·",R6/C6)</f>
        <v>1.5291403508547354</v>
      </c>
      <c r="M6" s="28">
        <f>IF(ISBLANK(T6),"·",T6/C6)</f>
        <v>11.172383905230809</v>
      </c>
      <c r="N6" s="25">
        <f>IF(OR(ISBLANK(R6),ISBLANK(S6)),"",R6+S6)</f>
        <v>37824824</v>
      </c>
      <c r="O6" s="28">
        <f>IF(ISBLANK(Q6),"·",Q6/P6)</f>
        <v>12.842113691723194</v>
      </c>
      <c r="P6" s="29">
        <v>22654789</v>
      </c>
      <c r="Q6" s="30">
        <v>290935376</v>
      </c>
      <c r="R6" s="30">
        <v>34642352</v>
      </c>
      <c r="S6" s="30">
        <v>3182472</v>
      </c>
      <c r="T6" s="30">
        <v>253108000</v>
      </c>
      <c r="U6" s="31" t="s">
        <v>550</v>
      </c>
      <c r="V6" s="31" t="s">
        <v>550</v>
      </c>
      <c r="W6" s="31" t="s">
        <v>550</v>
      </c>
      <c r="X6" s="31" t="s">
        <v>550</v>
      </c>
      <c r="Y6" s="31" t="s">
        <v>550</v>
      </c>
      <c r="Z6" s="32">
        <v>3489.27</v>
      </c>
      <c r="AA6" s="32">
        <v>4927.67</v>
      </c>
      <c r="AB6" s="32">
        <v>2.2400000000000002</v>
      </c>
      <c r="AC6" s="32">
        <v>17.852</v>
      </c>
      <c r="AE6" s="33">
        <f>IF(ISBLANK(AN6),"·",AN6/(C6*D6*3))</f>
        <v>0.428084958107533</v>
      </c>
      <c r="AF6" s="27">
        <f>IF(OR(ISBLANK(AN6),ISBLANK(F6)),"·",AN6*F6/E6/1000000)</f>
        <v>272.76115499999997</v>
      </c>
      <c r="AG6" s="28">
        <f>IF(ISBLANK(AN6),"·",AN6/C6)</f>
        <v>12.84254874322599</v>
      </c>
      <c r="AH6" s="28">
        <f>IF(AK6="","·",AK6/C6)</f>
        <v>1.6700472469639862</v>
      </c>
      <c r="AI6" s="28">
        <f>IF(AO6="","·",AO6/C6)</f>
        <v>1.5291403508547354</v>
      </c>
      <c r="AJ6" s="28">
        <f>IF(ISBLANK(AQ6),"·",AQ6/C6)</f>
        <v>11.172383905230809</v>
      </c>
      <c r="AK6" s="25">
        <f>IF(OR(ISBLANK(AO6),ISBLANK(AP6)),"",AO6+AP6)</f>
        <v>37834568</v>
      </c>
      <c r="AL6" s="28">
        <f>IF(ISBLANK(AN6),"·",AN6/AM6)</f>
        <v>12.84254874322599</v>
      </c>
      <c r="AM6" s="29">
        <v>22654789</v>
      </c>
      <c r="AN6" s="30">
        <v>290945232</v>
      </c>
      <c r="AO6" s="30">
        <v>34642352</v>
      </c>
      <c r="AP6" s="30">
        <v>3192216</v>
      </c>
      <c r="AQ6" s="30">
        <v>253108000</v>
      </c>
      <c r="AR6" s="31" t="s">
        <v>550</v>
      </c>
      <c r="AS6" s="31" t="s">
        <v>550</v>
      </c>
      <c r="AT6" s="31" t="s">
        <v>550</v>
      </c>
      <c r="AU6" s="31" t="s">
        <v>550</v>
      </c>
      <c r="AV6" s="31" t="s">
        <v>550</v>
      </c>
      <c r="AW6" s="32">
        <v>4917.3999999999996</v>
      </c>
      <c r="AX6" s="32">
        <v>4807.8999999999996</v>
      </c>
      <c r="AY6" s="32">
        <v>2.2570000000000001</v>
      </c>
      <c r="AZ6" s="32">
        <v>19.527999999999999</v>
      </c>
      <c r="BB6" s="34">
        <f t="shared" si="0"/>
        <v>1.0000338769390491</v>
      </c>
      <c r="BC6" s="34">
        <f t="shared" si="1"/>
        <v>1</v>
      </c>
      <c r="BD6" s="34">
        <f t="shared" si="1"/>
        <v>1</v>
      </c>
      <c r="BE6" s="33">
        <f>(AK6/AN6) - (N6/Q6)</f>
        <v>2.9086610853296113E-5</v>
      </c>
      <c r="BF6" s="33">
        <f t="array" ref="BF6">AVERAGE(AK6:AK6/AN6:AN6) - AVERAGE(N6:N6/Q6:Q6)</f>
        <v>2.9086610853296113E-5</v>
      </c>
      <c r="BH6" s="4">
        <f t="shared" ref="BH6:BH9" si="2">AN6-Q6</f>
        <v>9856</v>
      </c>
    </row>
    <row r="7" spans="1:60" collapsed="1" x14ac:dyDescent="0.2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0.3351020177556559</v>
      </c>
      <c r="I7" s="17">
        <f>IF(OR(ISBLANK(Q7),ISBLANK(F7)),"·",Q7*F7/E7/1000000)</f>
        <v>319.94855999999999</v>
      </c>
      <c r="J7" s="18">
        <f>IF(ISBLANK(Q7),"·",Q7/C7)</f>
        <v>10.053060532669678</v>
      </c>
      <c r="K7" s="18">
        <f>IF(N7="","·",N7/C7)</f>
        <v>1.5205979971908568</v>
      </c>
      <c r="L7" s="18">
        <f>IF(R7="","·",R7/C7)</f>
        <v>1.4073520935928594</v>
      </c>
      <c r="M7" s="18">
        <f>IF(ISBLANK(T7),"·",T7/C7)</f>
        <v>8.5323873610591434</v>
      </c>
      <c r="N7" s="15">
        <f>IF(OR(ISBLANK(R7),ISBLANK(S7)),"",R7+S7)</f>
        <v>51620832</v>
      </c>
      <c r="O7" s="18">
        <f>IF(ISBLANK(Q7),"·",Q7/P7)</f>
        <v>10.053060532669678</v>
      </c>
      <c r="P7" s="19">
        <v>33947718</v>
      </c>
      <c r="Q7" s="20">
        <v>341278464</v>
      </c>
      <c r="R7" s="20">
        <v>47776392</v>
      </c>
      <c r="S7" s="20">
        <v>3844440</v>
      </c>
      <c r="T7" s="20">
        <v>289655080</v>
      </c>
      <c r="U7" s="21" t="s">
        <v>550</v>
      </c>
      <c r="V7" s="21" t="s">
        <v>550</v>
      </c>
      <c r="W7" s="21" t="s">
        <v>550</v>
      </c>
      <c r="X7" s="21" t="s">
        <v>550</v>
      </c>
      <c r="Y7" s="21" t="s">
        <v>550</v>
      </c>
      <c r="Z7" s="22">
        <v>5455.31</v>
      </c>
      <c r="AA7" s="22">
        <v>5949.23</v>
      </c>
      <c r="AB7" s="22">
        <v>3.177</v>
      </c>
      <c r="AC7" s="22">
        <v>19.972999999999999</v>
      </c>
      <c r="AE7" s="23">
        <f>IF(ISBLANK(AN7),"·",AN7/(C7*D7*3))</f>
        <v>0.33511363562051505</v>
      </c>
      <c r="AF7" s="17">
        <f>IF(OR(ISBLANK(AN7),ISBLANK(F7)),"·",AN7*F7/E7/1000000)</f>
        <v>319.9596525</v>
      </c>
      <c r="AG7" s="18">
        <f>IF(ISBLANK(AN7),"·",AN7/C7)</f>
        <v>10.053409068615451</v>
      </c>
      <c r="AH7" s="18">
        <f>IF(AK7="","·",AK7/C7)</f>
        <v>1.5209432339457987</v>
      </c>
      <c r="AI7" s="18">
        <f>IF(AO7="","·",AO7/C7)</f>
        <v>1.4073520935928594</v>
      </c>
      <c r="AJ7" s="18">
        <f>IF(ISBLANK(AQ7),"·",AQ7/C7)</f>
        <v>8.5323873610591434</v>
      </c>
      <c r="AK7" s="15">
        <f>IF(OR(ISBLANK(AO7),ISBLANK(AP7)),"",AO7+AP7)</f>
        <v>51632552</v>
      </c>
      <c r="AL7" s="18">
        <f>IF(ISBLANK(AN7),"·",AN7/AM7)</f>
        <v>10.053409068615451</v>
      </c>
      <c r="AM7" s="19">
        <v>33947718</v>
      </c>
      <c r="AN7" s="20">
        <v>341290296</v>
      </c>
      <c r="AO7" s="20">
        <v>47776392</v>
      </c>
      <c r="AP7" s="20">
        <v>3856160</v>
      </c>
      <c r="AQ7" s="20">
        <v>289655080</v>
      </c>
      <c r="AR7" s="21" t="s">
        <v>550</v>
      </c>
      <c r="AS7" s="21" t="s">
        <v>550</v>
      </c>
      <c r="AT7" s="21" t="s">
        <v>550</v>
      </c>
      <c r="AU7" s="21" t="s">
        <v>550</v>
      </c>
      <c r="AV7" s="21" t="s">
        <v>550</v>
      </c>
      <c r="AW7" s="22">
        <v>6331.3</v>
      </c>
      <c r="AX7" s="22">
        <v>6017.17</v>
      </c>
      <c r="AY7" s="22">
        <v>3.2280000000000002</v>
      </c>
      <c r="AZ7" s="22">
        <v>20.323</v>
      </c>
      <c r="BB7" s="24">
        <f t="shared" si="0"/>
        <v>1.0000346696356439</v>
      </c>
      <c r="BC7" s="24">
        <f t="shared" si="1"/>
        <v>1</v>
      </c>
      <c r="BD7" s="24">
        <f t="shared" si="1"/>
        <v>1</v>
      </c>
      <c r="BE7" s="23">
        <f>(AK7/AN7) - (N7/Q7)</f>
        <v>2.909641639187166E-5</v>
      </c>
      <c r="BF7" s="23">
        <f t="array" ref="BF7">AVERAGE(AK7:AK7/AN7:AN7) - AVERAGE(N7:N7/Q7:Q7)</f>
        <v>2.909641639187166E-5</v>
      </c>
      <c r="BH7" s="4">
        <f t="shared" si="2"/>
        <v>11832</v>
      </c>
    </row>
    <row r="8" spans="1:60" ht="16" collapsed="1" thickBot="1" x14ac:dyDescent="0.25">
      <c r="A8" s="45"/>
      <c r="B8" s="45" t="s">
        <v>281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0.25952723122906601</v>
      </c>
      <c r="I8" s="47">
        <f>IF(OR(ISBLANK(Q8),ISBLANK(F8)),"·",Q8*F8/E8/1000000)</f>
        <v>391.84122500000001</v>
      </c>
      <c r="J8" s="48">
        <f>IF(ISBLANK(Q8),"·",Q8/C8)</f>
        <v>7.7858169368719796</v>
      </c>
      <c r="K8" s="48">
        <f>IF(N8="","·",N8/C8)</f>
        <v>1.0106764610834091</v>
      </c>
      <c r="L8" s="48">
        <f>IF(R8="","·",R8/C8)</f>
        <v>0.8599635829555764</v>
      </c>
      <c r="M8" s="48">
        <f>IF(ISBLANK(T8),"·",T8/C8)</f>
        <v>6.7750612448576346</v>
      </c>
      <c r="N8" s="45">
        <f>IF(OR(ISBLANK(R8),ISBLANK(S8)),"",R8+S8)</f>
        <v>32553528</v>
      </c>
      <c r="O8" s="48">
        <f>IF(ISBLANK(Q8),"·",Q8/P8)</f>
        <v>7.7858169368719796</v>
      </c>
      <c r="P8" s="49">
        <v>32209643</v>
      </c>
      <c r="Q8" s="50">
        <v>250778384</v>
      </c>
      <c r="R8" s="50">
        <v>27699120</v>
      </c>
      <c r="S8" s="50">
        <v>4854408</v>
      </c>
      <c r="T8" s="50">
        <v>218222304</v>
      </c>
      <c r="U8" s="51" t="s">
        <v>550</v>
      </c>
      <c r="V8" s="51" t="s">
        <v>550</v>
      </c>
      <c r="W8" s="51" t="s">
        <v>550</v>
      </c>
      <c r="X8" s="51" t="s">
        <v>550</v>
      </c>
      <c r="Y8" s="51" t="s">
        <v>550</v>
      </c>
      <c r="Z8" s="52">
        <v>4876.21</v>
      </c>
      <c r="AA8" s="52">
        <v>4561.32</v>
      </c>
      <c r="AB8" s="52">
        <v>2.645</v>
      </c>
      <c r="AC8" s="52">
        <v>16.747</v>
      </c>
      <c r="AE8" s="53">
        <f>IF(ISBLANK(AN8),"·",AN8/(C8*D8*3))</f>
        <v>0.25953748902670754</v>
      </c>
      <c r="AF8" s="47">
        <f>IF(OR(ISBLANK(AN8),ISBLANK(F8)),"·",AN8*F8/E8/1000000)</f>
        <v>391.85671250000001</v>
      </c>
      <c r="AG8" s="48">
        <f>IF(ISBLANK(AN8),"·",AN8/C8)</f>
        <v>7.7861246708012253</v>
      </c>
      <c r="AH8" s="48">
        <f>IF(AK8="","·",AK8/C8)</f>
        <v>1.0109807177931156</v>
      </c>
      <c r="AI8" s="48">
        <f>IF(AO8="","·",AO8/C8)</f>
        <v>0.8599635829555764</v>
      </c>
      <c r="AJ8" s="48">
        <f>IF(ISBLANK(AQ8),"·",AQ8/C8)</f>
        <v>6.7750612448576346</v>
      </c>
      <c r="AK8" s="45">
        <f>IF(OR(ISBLANK(AO8),ISBLANK(AP8)),"",AO8+AP8)</f>
        <v>32563328</v>
      </c>
      <c r="AL8" s="48">
        <f>IF(ISBLANK(AN8),"·",AN8/AM8)</f>
        <v>7.7861246708012253</v>
      </c>
      <c r="AM8" s="49">
        <v>32209643</v>
      </c>
      <c r="AN8" s="50">
        <v>250788296</v>
      </c>
      <c r="AO8" s="50">
        <v>27699120</v>
      </c>
      <c r="AP8" s="50">
        <v>4864208</v>
      </c>
      <c r="AQ8" s="50">
        <v>218222304</v>
      </c>
      <c r="AR8" s="51" t="s">
        <v>550</v>
      </c>
      <c r="AS8" s="51" t="s">
        <v>550</v>
      </c>
      <c r="AT8" s="51" t="s">
        <v>550</v>
      </c>
      <c r="AU8" s="51" t="s">
        <v>550</v>
      </c>
      <c r="AV8" s="51" t="s">
        <v>550</v>
      </c>
      <c r="AW8" s="52">
        <v>6323.9</v>
      </c>
      <c r="AX8" s="52">
        <v>4552.2299999999996</v>
      </c>
      <c r="AY8" s="52">
        <v>2.72</v>
      </c>
      <c r="AZ8" s="52">
        <v>16.939</v>
      </c>
      <c r="BB8" s="54">
        <f t="shared" si="0"/>
        <v>1.0000395249376837</v>
      </c>
      <c r="BC8" s="54">
        <f t="shared" si="1"/>
        <v>1</v>
      </c>
      <c r="BD8" s="54">
        <f t="shared" si="1"/>
        <v>1</v>
      </c>
      <c r="BE8" s="53">
        <f>(AK8/AN8) - (N8/Q8)</f>
        <v>3.3946256544653552E-5</v>
      </c>
      <c r="BF8" s="53">
        <f t="array" ref="BF8">AVERAGE(AK8:AK8/AN8:AN8) - AVERAGE(N8:N8/Q8:Q8)</f>
        <v>3.3946256544653552E-5</v>
      </c>
      <c r="BH8" s="4">
        <f t="shared" si="2"/>
        <v>9912</v>
      </c>
    </row>
    <row r="9" spans="1:60" ht="16" collapsed="1" thickBot="1" x14ac:dyDescent="0.25">
      <c r="A9" s="35" t="s">
        <v>285</v>
      </c>
      <c r="B9" s="35" t="s">
        <v>284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0.50370767306426689</v>
      </c>
      <c r="I9" s="37">
        <f>IF(OR(ISBLANK(Q9),ISBLANK(F9)),"·",Q9*F9/E9/1000000)</f>
        <v>358.59527250000002</v>
      </c>
      <c r="J9" s="38">
        <f>IF(ISBLANK(Q9),"·",Q9/C9)</f>
        <v>15.111230191928007</v>
      </c>
      <c r="K9" s="38">
        <f>IF(N9="","·",N9/C9)</f>
        <v>1.5161139943698758</v>
      </c>
      <c r="L9" s="38">
        <f>IF(R9="","·",R9/C9)</f>
        <v>1.4159727513873828</v>
      </c>
      <c r="M9" s="38">
        <f>IF(ISBLANK(T9),"·",T9/C9)</f>
        <v>13.595015377438607</v>
      </c>
      <c r="N9" s="35">
        <f>IF(OR(ISBLANK(R9),ISBLANK(S9)),"",R9+S9)</f>
        <v>38376496</v>
      </c>
      <c r="O9" s="38">
        <f>IF(ISBLANK(Q9),"·",Q9/P9)</f>
        <v>15.111230191928007</v>
      </c>
      <c r="P9" s="39">
        <v>25312408</v>
      </c>
      <c r="Q9" s="40">
        <v>382501624</v>
      </c>
      <c r="R9" s="40">
        <v>35841680</v>
      </c>
      <c r="S9" s="40">
        <v>2534816</v>
      </c>
      <c r="T9" s="40">
        <v>344122576</v>
      </c>
      <c r="U9" s="41" t="s">
        <v>550</v>
      </c>
      <c r="V9" s="41" t="s">
        <v>550</v>
      </c>
      <c r="W9" s="41" t="s">
        <v>550</v>
      </c>
      <c r="X9" s="41" t="s">
        <v>550</v>
      </c>
      <c r="Y9" s="41" t="s">
        <v>550</v>
      </c>
      <c r="Z9" s="42">
        <v>3978.25</v>
      </c>
      <c r="AA9" s="42">
        <v>5111.16</v>
      </c>
      <c r="AB9" s="42">
        <v>2.395</v>
      </c>
      <c r="AC9" s="42">
        <v>21.059000000000001</v>
      </c>
      <c r="AE9" s="43">
        <f>IF(ISBLANK(AN9),"·",AN9/(C9*D9*3))</f>
        <v>0.50371748116575865</v>
      </c>
      <c r="AF9" s="37">
        <f>IF(OR(ISBLANK(AN9),ISBLANK(F9)),"·",AN9*F9/E9/1000000)</f>
        <v>358.60225500000001</v>
      </c>
      <c r="AG9" s="38">
        <f>IF(ISBLANK(AN9),"·",AN9/C9)</f>
        <v>15.111524434972761</v>
      </c>
      <c r="AH9" s="38">
        <f>IF(AK9="","·",AK9/C9)</f>
        <v>1.5164038127071908</v>
      </c>
      <c r="AI9" s="38">
        <f>IF(AO9="","·",AO9/C9)</f>
        <v>1.4159727513873828</v>
      </c>
      <c r="AJ9" s="38">
        <f>IF(ISBLANK(AQ9),"·",AQ9/C9)</f>
        <v>13.595015377438607</v>
      </c>
      <c r="AK9" s="35">
        <f>IF(OR(ISBLANK(AO9),ISBLANK(AP9)),"",AO9+AP9)</f>
        <v>38383832</v>
      </c>
      <c r="AL9" s="38">
        <f>IF(ISBLANK(AN9),"·",AN9/AM9)</f>
        <v>15.111524434972761</v>
      </c>
      <c r="AM9" s="39">
        <v>25312408</v>
      </c>
      <c r="AN9" s="40">
        <v>382509072</v>
      </c>
      <c r="AO9" s="40">
        <v>35841680</v>
      </c>
      <c r="AP9" s="40">
        <v>2542152</v>
      </c>
      <c r="AQ9" s="40">
        <v>344122576</v>
      </c>
      <c r="AR9" s="41" t="s">
        <v>550</v>
      </c>
      <c r="AS9" s="41" t="s">
        <v>550</v>
      </c>
      <c r="AT9" s="41" t="s">
        <v>550</v>
      </c>
      <c r="AU9" s="41" t="s">
        <v>550</v>
      </c>
      <c r="AV9" s="41" t="s">
        <v>550</v>
      </c>
      <c r="AW9" s="42">
        <v>4858.4799999999996</v>
      </c>
      <c r="AX9" s="42">
        <v>5208.3599999999997</v>
      </c>
      <c r="AY9" s="42">
        <v>2.371</v>
      </c>
      <c r="AZ9" s="42">
        <v>19.861999999999998</v>
      </c>
      <c r="BB9" s="44">
        <f t="shared" si="0"/>
        <v>1.0000194718127524</v>
      </c>
      <c r="BC9" s="44">
        <f t="shared" si="1"/>
        <v>1</v>
      </c>
      <c r="BD9" s="44">
        <f t="shared" si="1"/>
        <v>1</v>
      </c>
      <c r="BE9" s="43">
        <f>(AK9/AN9) - (N9/Q9)</f>
        <v>1.72250556603748E-5</v>
      </c>
      <c r="BF9" s="43">
        <f t="array" ref="BF9">AVERAGE(AK9:AK9/AN9:AN9) - AVERAGE(N9:N9/Q9:Q9)</f>
        <v>1.72250556603748E-5</v>
      </c>
      <c r="BH9" s="4">
        <f t="shared" si="2"/>
        <v>7448</v>
      </c>
    </row>
    <row r="10" spans="1:60" ht="16" x14ac:dyDescent="0.2">
      <c r="B10" s="55" t="s">
        <v>288</v>
      </c>
      <c r="J10" s="56">
        <f>AVERAGE(J5:J8)</f>
        <v>9.9078968434195982</v>
      </c>
      <c r="K10" s="56">
        <f>AVERAGE(K5:K8)</f>
        <v>1.3904455393403732</v>
      </c>
      <c r="L10" s="56">
        <f>AVERAGE(L5:L8)</f>
        <v>1.2691649947779327</v>
      </c>
      <c r="M10" s="56">
        <f>AVERAGE(M5:M8)</f>
        <v>8.517358984472839</v>
      </c>
      <c r="AG10" s="56">
        <f>AVERAGE(AG5:AG8)</f>
        <v>9.9082101314713071</v>
      </c>
      <c r="AH10" s="56">
        <f>AVERAGE(AH5:AH8)</f>
        <v>1.3907547757479155</v>
      </c>
      <c r="AI10" s="56">
        <f>AVERAGE(AI5:AI8)</f>
        <v>1.2691649947779327</v>
      </c>
      <c r="AJ10" s="56">
        <f>AVERAGE(AJ5:AJ8)</f>
        <v>8.517358984472839</v>
      </c>
      <c r="BB10" s="5">
        <f t="shared" si="0"/>
        <v>1.0000316200356807</v>
      </c>
      <c r="BC10" s="5">
        <f t="shared" si="1"/>
        <v>1</v>
      </c>
      <c r="BD10" s="5">
        <f t="shared" si="1"/>
        <v>1</v>
      </c>
      <c r="BF10" s="8">
        <f>AVERAGE(BF5:BF8)</f>
        <v>2.6739797792774134E-5</v>
      </c>
    </row>
    <row r="11" spans="1:60" ht="16" x14ac:dyDescent="0.2">
      <c r="B11" s="55" t="s">
        <v>289</v>
      </c>
      <c r="J11" s="56">
        <f>AVERAGE(J9:J9)</f>
        <v>15.111230191928007</v>
      </c>
      <c r="K11" s="56">
        <f>AVERAGE(K9:K9)</f>
        <v>1.5161139943698758</v>
      </c>
      <c r="L11" s="56">
        <f>AVERAGE(L9:L9)</f>
        <v>1.4159727513873828</v>
      </c>
      <c r="M11" s="56">
        <f>AVERAGE(M9:M9)</f>
        <v>13.595015377438607</v>
      </c>
      <c r="AG11" s="56">
        <f>AVERAGE(AG9:AG9)</f>
        <v>15.111524434972761</v>
      </c>
      <c r="AH11" s="56">
        <f>AVERAGE(AH9:AH9)</f>
        <v>1.5164038127071908</v>
      </c>
      <c r="AI11" s="56">
        <f>AVERAGE(AI9:AI9)</f>
        <v>1.4159727513873828</v>
      </c>
      <c r="AJ11" s="56">
        <f>AVERAGE(AJ9:AJ9)</f>
        <v>13.595015377438607</v>
      </c>
      <c r="BB11" s="5">
        <f t="shared" si="0"/>
        <v>1.0000194718127524</v>
      </c>
      <c r="BC11" s="5">
        <f t="shared" si="1"/>
        <v>1</v>
      </c>
      <c r="BD11" s="5">
        <f t="shared" si="1"/>
        <v>1</v>
      </c>
      <c r="BF11" s="8">
        <f>AVERAGE(BF9:BF9)</f>
        <v>1.72250556603748E-5</v>
      </c>
    </row>
    <row r="12" spans="1:60" ht="16" x14ac:dyDescent="0.2">
      <c r="B12" s="55" t="s">
        <v>290</v>
      </c>
      <c r="J12" s="56">
        <f>AVERAGE(J5:J9)</f>
        <v>10.948563513121281</v>
      </c>
      <c r="K12" s="56">
        <f>AVERAGE(K5:K9)</f>
        <v>1.4155792303462738</v>
      </c>
      <c r="L12" s="56">
        <f>AVERAGE(L5:L9)</f>
        <v>1.2985265460998225</v>
      </c>
      <c r="M12" s="56">
        <f>AVERAGE(M5:M9)</f>
        <v>9.5328902630659922</v>
      </c>
      <c r="AG12" s="56">
        <f>AVERAGE(AG5:AG9)</f>
        <v>10.948872992171598</v>
      </c>
      <c r="AH12" s="56">
        <f>AVERAGE(AH5:AH9)</f>
        <v>1.4158845831397706</v>
      </c>
      <c r="AI12" s="56">
        <f>AVERAGE(AI5:AI9)</f>
        <v>1.2985265460998225</v>
      </c>
      <c r="AJ12" s="56">
        <f>AVERAGE(AJ5:AJ9)</f>
        <v>9.5328902630659922</v>
      </c>
      <c r="BB12" s="5">
        <f t="shared" si="0"/>
        <v>1.000028266635157</v>
      </c>
      <c r="BC12" s="5">
        <f t="shared" si="1"/>
        <v>1</v>
      </c>
      <c r="BD12" s="5">
        <f t="shared" si="1"/>
        <v>1</v>
      </c>
      <c r="BF12" s="8">
        <f>AVERAGE(BF5:BF9)</f>
        <v>2.4836849366294268E-5</v>
      </c>
    </row>
    <row r="13" spans="1:60" ht="16" hidden="1" outlineLevel="2" x14ac:dyDescent="0.2">
      <c r="A13" s="55" t="s">
        <v>291</v>
      </c>
      <c r="B13" s="55" t="s">
        <v>292</v>
      </c>
      <c r="Z13" s="57">
        <f>SUM(Z5:Z8,Z9:Z9)</f>
        <v>21472.37</v>
      </c>
      <c r="AA13" s="57">
        <f>SUM(AA5:AA8,AA9:AA9)</f>
        <v>25048.149999999998</v>
      </c>
      <c r="AB13" s="57">
        <f>SUM(AB5:AB8,AB9:AB9)</f>
        <v>12.723999999999998</v>
      </c>
      <c r="AC13" s="57">
        <f>SUM(AC5:AC8,AC9:AC9)</f>
        <v>91.72399999999999</v>
      </c>
      <c r="AW13" s="57">
        <f>SUM(AW5:AW8,AW9:AW9)</f>
        <v>26793.95</v>
      </c>
      <c r="AX13" s="57">
        <f>SUM(AX5:AX8,AX9:AX9)</f>
        <v>25234</v>
      </c>
      <c r="AY13" s="57">
        <f>SUM(AY5:AY8,AY9:AY9)</f>
        <v>12.982000000000001</v>
      </c>
      <c r="AZ13" s="57">
        <f>SUM(AZ5:AZ8,AZ9:AZ9)</f>
        <v>93.072000000000003</v>
      </c>
    </row>
    <row r="14" spans="1:60" ht="16" hidden="1" outlineLevel="2" x14ac:dyDescent="0.2">
      <c r="B14" s="55" t="s">
        <v>293</v>
      </c>
      <c r="AW14" s="8">
        <f>AW13/Z13</f>
        <v>1.2478338441448245</v>
      </c>
      <c r="AX14" s="8">
        <f>AX13/AA13</f>
        <v>1.007419709639235</v>
      </c>
      <c r="AY14" s="8">
        <f>AY13/AB13</f>
        <v>1.0202766425652312</v>
      </c>
      <c r="AZ14" s="8">
        <f>AZ13/AC13</f>
        <v>1.0146962627011471</v>
      </c>
    </row>
    <row r="15" spans="1:60" ht="16" hidden="1" outlineLevel="2" x14ac:dyDescent="0.2">
      <c r="B15" s="55" t="s">
        <v>294</v>
      </c>
      <c r="Z15" s="57">
        <f>GEOMEAN(Z5:Z8,Z9:Z9)</f>
        <v>4231.337683968577</v>
      </c>
      <c r="AA15" s="57">
        <f>GEOMEAN(AA5:AA8,AA9:AA9)</f>
        <v>4983.8072399740395</v>
      </c>
      <c r="AB15" s="57">
        <f>GEOMEAN(AB5:AB8,AB9:AB9)</f>
        <v>2.5228393104830604</v>
      </c>
      <c r="AC15" s="57">
        <f>GEOMEAN(AC5:AC8,AC9:AC9)</f>
        <v>18.248551237070259</v>
      </c>
      <c r="AW15" s="57">
        <f>GEOMEAN(AW5:AW8,AW9:AW9)</f>
        <v>5297.8202986281149</v>
      </c>
      <c r="AX15" s="57">
        <f>GEOMEAN(AX5:AX8,AX9:AX9)</f>
        <v>5020.1206775283854</v>
      </c>
      <c r="AY15" s="57">
        <f>GEOMEAN(AY5:AY8,AY9:AY9)</f>
        <v>2.5742589611925561</v>
      </c>
      <c r="AZ15" s="57">
        <f>GEOMEAN(AZ5:AZ8,AZ9:AZ9)</f>
        <v>18.543251830789622</v>
      </c>
    </row>
    <row r="16" spans="1:60" ht="16" outlineLevel="2" collapsed="1" x14ac:dyDescent="0.2">
      <c r="B16" s="55" t="s">
        <v>295</v>
      </c>
      <c r="AW16" s="8">
        <f>AW15/Z15</f>
        <v>1.2520438438889336</v>
      </c>
      <c r="AX16" s="8">
        <f>AX15/AA15</f>
        <v>1.007286284522219</v>
      </c>
      <c r="AY16" s="8">
        <f>AY15/AB15</f>
        <v>1.0203816590679531</v>
      </c>
      <c r="AZ16" s="8">
        <f>AZ15/AC15</f>
        <v>1.0161492597352444</v>
      </c>
    </row>
    <row r="23" spans="41:41" x14ac:dyDescent="0.2">
      <c r="AO23" s="4"/>
    </row>
    <row r="24" spans="41:41" x14ac:dyDescent="0.2">
      <c r="AO24" s="4"/>
    </row>
    <row r="25" spans="41:41" x14ac:dyDescent="0.2">
      <c r="AO25" s="4"/>
    </row>
    <row r="26" spans="41:41" x14ac:dyDescent="0.2">
      <c r="AO26" s="4"/>
    </row>
    <row r="34" spans="3:3" x14ac:dyDescent="0.2">
      <c r="C34" s="4"/>
    </row>
    <row r="35" spans="3:3" x14ac:dyDescent="0.2">
      <c r="C35" s="4"/>
    </row>
    <row r="36" spans="3:3" x14ac:dyDescent="0.2">
      <c r="C36" s="4"/>
    </row>
    <row r="37" spans="3:3" x14ac:dyDescent="0.2">
      <c r="C37" s="4"/>
    </row>
    <row r="38" spans="3:3" x14ac:dyDescent="0.2">
      <c r="C38" s="4"/>
    </row>
  </sheetData>
  <mergeCells count="34">
    <mergeCell ref="H1:AD1"/>
    <mergeCell ref="BF2:BF3"/>
    <mergeCell ref="A1:F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0 BB11 BB12">
    <cfRule type="cellIs" dxfId="11" priority="3" operator="greaterThanOrEqual">
      <formula>1.03</formula>
    </cfRule>
    <cfRule type="cellIs" dxfId="10" priority="4" operator="lessThanOrEqual">
      <formula>0.97</formula>
    </cfRule>
  </conditionalFormatting>
  <conditionalFormatting sqref="BC10 BC11 BC12">
    <cfRule type="cellIs" dxfId="9" priority="5" operator="greaterThanOrEqual">
      <formula>1.03</formula>
    </cfRule>
    <cfRule type="cellIs" dxfId="8" priority="6" operator="lessThanOrEqual">
      <formula>0.97</formula>
    </cfRule>
  </conditionalFormatting>
  <conditionalFormatting sqref="BD10 BD11 BD12">
    <cfRule type="cellIs" dxfId="7" priority="1" operator="greaterThanOrEqual">
      <formula>1.03</formula>
    </cfRule>
    <cfRule type="cellIs" dxfId="6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BH16"/>
  <sheetViews>
    <sheetView zoomScale="85" zoomScaleNormal="85" workbookViewId="0">
      <pane xSplit="2" topLeftCell="V1" activePane="topRight" state="frozen"/>
      <selection pane="topRight" activeCell="AO21" sqref="AO21"/>
    </sheetView>
  </sheetViews>
  <sheetFormatPr baseColWidth="10" defaultColWidth="8.83203125" defaultRowHeight="15" outlineLevelRow="2" x14ac:dyDescent="0.2"/>
  <cols>
    <col min="1" max="1" width="9.1640625"/>
    <col min="2" max="2" width="24.6640625" customWidth="1"/>
    <col min="3" max="4" width="10.6640625" customWidth="1"/>
    <col min="5" max="6" width="9.1640625"/>
    <col min="7" max="7" width="1.6640625" customWidth="1"/>
    <col min="8" max="9" width="9.164062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26" max="29" width="9.1640625"/>
    <col min="30" max="30" width="1.6640625" customWidth="1"/>
    <col min="31" max="32" width="9.1640625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49" max="52" width="9.1640625"/>
    <col min="53" max="53" width="1.6640625" customWidth="1"/>
    <col min="54" max="58" width="9.1640625"/>
    <col min="59" max="59" width="1.6640625" customWidth="1"/>
  </cols>
  <sheetData>
    <row r="1" spans="1:60" ht="15" customHeight="1" x14ac:dyDescent="0.2">
      <c r="A1" s="70" t="s">
        <v>441</v>
      </c>
      <c r="B1" s="70"/>
      <c r="C1" s="70"/>
      <c r="D1" s="70"/>
      <c r="E1" s="70"/>
      <c r="F1" s="70"/>
      <c r="H1" s="58" t="s">
        <v>552</v>
      </c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9" t="s">
        <v>551</v>
      </c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</row>
    <row r="2" spans="1:60" ht="30" customHeight="1" thickBot="1" x14ac:dyDescent="0.25">
      <c r="A2" s="66" t="s">
        <v>93</v>
      </c>
      <c r="B2" s="67" t="s">
        <v>96</v>
      </c>
      <c r="C2" s="66" t="s">
        <v>102</v>
      </c>
      <c r="D2" s="67" t="s">
        <v>105</v>
      </c>
      <c r="E2" s="66" t="s">
        <v>108</v>
      </c>
      <c r="F2" s="67" t="s">
        <v>111</v>
      </c>
      <c r="H2" s="66" t="s">
        <v>310</v>
      </c>
      <c r="I2" s="67" t="s">
        <v>114</v>
      </c>
      <c r="J2" s="68" t="s">
        <v>117</v>
      </c>
      <c r="K2" s="68"/>
      <c r="L2" s="68"/>
      <c r="M2" s="68"/>
      <c r="N2" s="66" t="s">
        <v>130</v>
      </c>
      <c r="O2" s="67" t="s">
        <v>133</v>
      </c>
      <c r="P2" s="66" t="s">
        <v>24</v>
      </c>
      <c r="Q2" s="69" t="s">
        <v>142</v>
      </c>
      <c r="R2" s="69"/>
      <c r="S2" s="69"/>
      <c r="T2" s="69"/>
      <c r="U2" s="68" t="s">
        <v>153</v>
      </c>
      <c r="V2" s="68"/>
      <c r="W2" s="69" t="s">
        <v>160</v>
      </c>
      <c r="X2" s="69"/>
      <c r="Y2" s="69"/>
      <c r="Z2" s="68" t="s">
        <v>170</v>
      </c>
      <c r="AA2" s="68"/>
      <c r="AB2" s="69" t="s">
        <v>177</v>
      </c>
      <c r="AC2" s="69"/>
      <c r="AE2" s="66" t="s">
        <v>310</v>
      </c>
      <c r="AF2" s="67" t="s">
        <v>114</v>
      </c>
      <c r="AG2" s="68" t="s">
        <v>117</v>
      </c>
      <c r="AH2" s="68"/>
      <c r="AI2" s="68"/>
      <c r="AJ2" s="68"/>
      <c r="AK2" s="66" t="s">
        <v>192</v>
      </c>
      <c r="AL2" s="67" t="s">
        <v>133</v>
      </c>
      <c r="AM2" s="66" t="s">
        <v>24</v>
      </c>
      <c r="AN2" s="69" t="s">
        <v>142</v>
      </c>
      <c r="AO2" s="69"/>
      <c r="AP2" s="69"/>
      <c r="AQ2" s="69"/>
      <c r="AR2" s="68" t="s">
        <v>153</v>
      </c>
      <c r="AS2" s="68"/>
      <c r="AT2" s="69" t="s">
        <v>160</v>
      </c>
      <c r="AU2" s="69"/>
      <c r="AV2" s="69"/>
      <c r="AW2" s="68" t="s">
        <v>170</v>
      </c>
      <c r="AX2" s="68"/>
      <c r="AY2" s="69" t="s">
        <v>177</v>
      </c>
      <c r="AZ2" s="69"/>
      <c r="BB2" s="68" t="s">
        <v>357</v>
      </c>
      <c r="BC2" s="68"/>
      <c r="BD2" s="68"/>
      <c r="BE2" s="67" t="s">
        <v>232</v>
      </c>
      <c r="BF2" s="66" t="s">
        <v>232</v>
      </c>
      <c r="BH2" t="s">
        <v>549</v>
      </c>
    </row>
    <row r="3" spans="1:60" ht="17" thickBot="1" x14ac:dyDescent="0.25">
      <c r="A3" s="66"/>
      <c r="B3" s="67"/>
      <c r="C3" s="66"/>
      <c r="D3" s="67"/>
      <c r="E3" s="66"/>
      <c r="F3" s="67"/>
      <c r="H3" s="66"/>
      <c r="I3" s="67"/>
      <c r="J3" s="11" t="s">
        <v>118</v>
      </c>
      <c r="K3" s="11" t="s">
        <v>121</v>
      </c>
      <c r="L3" s="11" t="s">
        <v>124</v>
      </c>
      <c r="M3" s="11" t="s">
        <v>127</v>
      </c>
      <c r="N3" s="66"/>
      <c r="O3" s="67"/>
      <c r="P3" s="66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66"/>
      <c r="AF3" s="67"/>
      <c r="AG3" s="11" t="s">
        <v>118</v>
      </c>
      <c r="AH3" s="11" t="s">
        <v>121</v>
      </c>
      <c r="AI3" s="11" t="s">
        <v>124</v>
      </c>
      <c r="AJ3" s="11" t="s">
        <v>127</v>
      </c>
      <c r="AK3" s="66"/>
      <c r="AL3" s="67"/>
      <c r="AM3" s="66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67"/>
      <c r="BF3" s="66"/>
    </row>
    <row r="4" spans="1:60" ht="121" hidden="1" x14ac:dyDescent="0.2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 x14ac:dyDescent="0.2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0.29356954118409667</v>
      </c>
      <c r="I5" s="17">
        <f>IF(OR(ISBLANK(Q5),ISBLANK(F5)),"·",Q5*F5/E5/1000000)</f>
        <v>206.12165999999999</v>
      </c>
      <c r="J5" s="18">
        <f>IF(ISBLANK(Q5),"·",Q5/C5)</f>
        <v>8.8070862355229007</v>
      </c>
      <c r="K5" s="18">
        <f>IF(N5="","·",N5/C5)</f>
        <v>1.3562711709473925</v>
      </c>
      <c r="L5" s="18">
        <f>IF(R5="","·",R5/C5)</f>
        <v>1.2740569438624476</v>
      </c>
      <c r="M5" s="18">
        <f>IF(ISBLANK(T5),"·",T5/C5)</f>
        <v>7.4507128387647006</v>
      </c>
      <c r="N5" s="15">
        <f>IF(OR(ISBLANK(R5),ISBLANK(S5)),"",R5+S5)</f>
        <v>33858416</v>
      </c>
      <c r="O5" s="18">
        <f>IF(ISBLANK(Q5),"·",Q5/P5)</f>
        <v>8.8070862355229007</v>
      </c>
      <c r="P5" s="19">
        <v>24964341</v>
      </c>
      <c r="Q5" s="20">
        <v>219863104</v>
      </c>
      <c r="R5" s="20">
        <v>31805992</v>
      </c>
      <c r="S5" s="20">
        <v>2052424</v>
      </c>
      <c r="T5" s="20">
        <v>186002136</v>
      </c>
      <c r="U5" s="21" t="s">
        <v>550</v>
      </c>
      <c r="V5" s="21" t="s">
        <v>550</v>
      </c>
      <c r="W5" s="21" t="s">
        <v>550</v>
      </c>
      <c r="X5" s="21" t="s">
        <v>550</v>
      </c>
      <c r="Y5" s="21" t="s">
        <v>550</v>
      </c>
      <c r="Z5" s="22">
        <v>3181.37</v>
      </c>
      <c r="AA5" s="22">
        <v>5739.18</v>
      </c>
      <c r="AB5" s="22">
        <v>2.4220000000000002</v>
      </c>
      <c r="AC5" s="22">
        <v>15.904999999999999</v>
      </c>
      <c r="AE5" s="23">
        <f>IF(ISBLANK(AN5),"·",AN5/(C5*D5*3))</f>
        <v>0.29357491418125825</v>
      </c>
      <c r="AF5" s="17">
        <f>IF(OR(ISBLANK(AN5),ISBLANK(F5)),"·",AN5*F5/E5/1000000)</f>
        <v>206.12543249999999</v>
      </c>
      <c r="AG5" s="18">
        <f>IF(ISBLANK(AN5),"·",AN5/C5)</f>
        <v>8.8072474254377475</v>
      </c>
      <c r="AH5" s="18">
        <f>IF(AK5="","·",AK5/C5)</f>
        <v>1.3564278744630192</v>
      </c>
      <c r="AI5" s="18">
        <f>IF(AO5="","·",AO5/C5)</f>
        <v>1.2740569438624476</v>
      </c>
      <c r="AJ5" s="18">
        <f>IF(ISBLANK(AQ5),"·",AQ5/C5)</f>
        <v>7.4507128387647006</v>
      </c>
      <c r="AK5" s="15">
        <f>IF(OR(ISBLANK(AO5),ISBLANK(AP5)),"",AO5+AP5)</f>
        <v>33862328</v>
      </c>
      <c r="AL5" s="18">
        <f>IF(ISBLANK(AN5),"·",AN5/AM5)</f>
        <v>8.8072474254377475</v>
      </c>
      <c r="AM5" s="19">
        <v>24964341</v>
      </c>
      <c r="AN5" s="20">
        <v>219867128</v>
      </c>
      <c r="AO5" s="20">
        <v>31805992</v>
      </c>
      <c r="AP5" s="20">
        <v>2056336</v>
      </c>
      <c r="AQ5" s="20">
        <v>186002136</v>
      </c>
      <c r="AR5" s="21" t="s">
        <v>550</v>
      </c>
      <c r="AS5" s="21" t="s">
        <v>550</v>
      </c>
      <c r="AT5" s="21" t="s">
        <v>550</v>
      </c>
      <c r="AU5" s="21" t="s">
        <v>550</v>
      </c>
      <c r="AV5" s="21" t="s">
        <v>550</v>
      </c>
      <c r="AW5" s="22">
        <v>4400.49</v>
      </c>
      <c r="AX5" s="22">
        <v>7057.69</v>
      </c>
      <c r="AY5" s="22">
        <v>3.8530000000000002</v>
      </c>
      <c r="AZ5" s="22">
        <v>21.445</v>
      </c>
      <c r="BB5" s="24">
        <f t="shared" ref="BB5:BB12" si="0">AG5/J5</f>
        <v>1.0000183022977789</v>
      </c>
      <c r="BC5" s="24">
        <f t="shared" ref="BC5:BD12" si="1">AI5/L5</f>
        <v>1</v>
      </c>
      <c r="BD5" s="24">
        <f t="shared" si="1"/>
        <v>1</v>
      </c>
      <c r="BE5" s="23">
        <f>(AK5/AN5) - (N5/Q5)</f>
        <v>1.4974103759834989E-5</v>
      </c>
      <c r="BF5" s="23">
        <f t="array" ref="BF5">AVERAGE(AK5:AK5/AN5:AN5) - AVERAGE(N5:N5/Q5:Q5)</f>
        <v>1.4974103759834989E-5</v>
      </c>
      <c r="BH5">
        <f>AN5-Q5</f>
        <v>4024</v>
      </c>
    </row>
    <row r="6" spans="1:60" collapsed="1" x14ac:dyDescent="0.2">
      <c r="A6" s="25"/>
      <c r="B6" s="25" t="s">
        <v>275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0.423203576662459</v>
      </c>
      <c r="I6" s="27">
        <f>IF(OR(ISBLANK(Q6),ISBLANK(F6)),"·",Q6*F6/E6/1000000)</f>
        <v>269.65090500000002</v>
      </c>
      <c r="J6" s="28">
        <f>IF(ISBLANK(Q6),"·",Q6/C6)</f>
        <v>12.69610729987377</v>
      </c>
      <c r="K6" s="28">
        <f>IF(N6="","·",N6/C6)</f>
        <v>1.6738705445457911</v>
      </c>
      <c r="L6" s="28">
        <f>IF(R6="","·",R6/C6)</f>
        <v>1.5262694346877386</v>
      </c>
      <c r="M6" s="28">
        <f>IF(ISBLANK(T6),"·",T6/C6)</f>
        <v>11.022124108063862</v>
      </c>
      <c r="N6" s="25">
        <f>IF(OR(ISBLANK(R6),ISBLANK(S6)),"",R6+S6)</f>
        <v>37921184</v>
      </c>
      <c r="O6" s="28">
        <f>IF(ISBLANK(Q6),"·",Q6/P6)</f>
        <v>12.69610729987377</v>
      </c>
      <c r="P6" s="29">
        <v>22654789</v>
      </c>
      <c r="Q6" s="30">
        <v>287627632</v>
      </c>
      <c r="R6" s="30">
        <v>34577312</v>
      </c>
      <c r="S6" s="30">
        <v>3343872</v>
      </c>
      <c r="T6" s="30">
        <v>249703896</v>
      </c>
      <c r="U6" s="31" t="s">
        <v>550</v>
      </c>
      <c r="V6" s="31" t="s">
        <v>550</v>
      </c>
      <c r="W6" s="31" t="s">
        <v>550</v>
      </c>
      <c r="X6" s="31" t="s">
        <v>550</v>
      </c>
      <c r="Y6" s="31" t="s">
        <v>550</v>
      </c>
      <c r="Z6" s="32">
        <v>2894.87</v>
      </c>
      <c r="AA6" s="32">
        <v>6971.85</v>
      </c>
      <c r="AB6" s="32">
        <v>2.3090000000000002</v>
      </c>
      <c r="AC6" s="32">
        <v>19.425999999999998</v>
      </c>
      <c r="AE6" s="33">
        <f>IF(ISBLANK(AN6),"·",AN6/(C6*D6*3))</f>
        <v>0.42321806660834493</v>
      </c>
      <c r="AF6" s="27">
        <f>IF(OR(ISBLANK(AN6),ISBLANK(F6)),"·",AN6*F6/E6/1000000)</f>
        <v>269.66013750000002</v>
      </c>
      <c r="AG6" s="28">
        <f>IF(ISBLANK(AN6),"·",AN6/C6)</f>
        <v>12.696541998250348</v>
      </c>
      <c r="AH6" s="28">
        <f>IF(AK6="","·",AK6/C6)</f>
        <v>1.6743002991552911</v>
      </c>
      <c r="AI6" s="28">
        <f>IF(AO6="","·",AO6/C6)</f>
        <v>1.5262694346877386</v>
      </c>
      <c r="AJ6" s="28">
        <f>IF(ISBLANK(AQ6),"·",AQ6/C6)</f>
        <v>11.022124108063862</v>
      </c>
      <c r="AK6" s="25">
        <f>IF(OR(ISBLANK(AO6),ISBLANK(AP6)),"",AO6+AP6)</f>
        <v>37930920</v>
      </c>
      <c r="AL6" s="28">
        <f>IF(ISBLANK(AN6),"·",AN6/AM6)</f>
        <v>12.696541998250348</v>
      </c>
      <c r="AM6" s="29">
        <v>22654789</v>
      </c>
      <c r="AN6" s="30">
        <v>287637480</v>
      </c>
      <c r="AO6" s="30">
        <v>34577312</v>
      </c>
      <c r="AP6" s="30">
        <v>3353608</v>
      </c>
      <c r="AQ6" s="30">
        <v>249703896</v>
      </c>
      <c r="AR6" s="31" t="s">
        <v>550</v>
      </c>
      <c r="AS6" s="31" t="s">
        <v>550</v>
      </c>
      <c r="AT6" s="31" t="s">
        <v>550</v>
      </c>
      <c r="AU6" s="31" t="s">
        <v>550</v>
      </c>
      <c r="AV6" s="31" t="s">
        <v>550</v>
      </c>
      <c r="AW6" s="32">
        <v>4086.36</v>
      </c>
      <c r="AX6" s="32">
        <v>8503.5300000000007</v>
      </c>
      <c r="AY6" s="32">
        <v>3.5710000000000002</v>
      </c>
      <c r="AZ6" s="32">
        <v>22.192</v>
      </c>
      <c r="BB6" s="34">
        <f t="shared" si="0"/>
        <v>1.0000342387131986</v>
      </c>
      <c r="BC6" s="34">
        <f t="shared" si="1"/>
        <v>1</v>
      </c>
      <c r="BD6" s="34">
        <f t="shared" si="1"/>
        <v>1</v>
      </c>
      <c r="BE6" s="33">
        <f>(AK6/AN6) - (N6/Q6)</f>
        <v>2.9334242035772284E-5</v>
      </c>
      <c r="BF6" s="33">
        <f t="array" ref="BF6">AVERAGE(AK6:AK6/AN6:AN6) - AVERAGE(N6:N6/Q6:Q6)</f>
        <v>2.9334242035772284E-5</v>
      </c>
      <c r="BH6" s="4">
        <f t="shared" ref="BH6:BH9" si="2">AN6-Q6</f>
        <v>9848</v>
      </c>
    </row>
    <row r="7" spans="1:60" collapsed="1" x14ac:dyDescent="0.2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0.3221005900897374</v>
      </c>
      <c r="I7" s="17">
        <f>IF(OR(ISBLANK(Q7),ISBLANK(F7)),"·",Q7*F7/E7/1000000)</f>
        <v>307.53506249999998</v>
      </c>
      <c r="J7" s="18">
        <f>IF(ISBLANK(Q7),"·",Q7/C7)</f>
        <v>9.6630177026921213</v>
      </c>
      <c r="K7" s="18">
        <f>IF(N7="","·",N7/C7)</f>
        <v>1.4801482679925644</v>
      </c>
      <c r="L7" s="18">
        <f>IF(R7="","·",R7/C7)</f>
        <v>1.3663865123423025</v>
      </c>
      <c r="M7" s="18">
        <f>IF(ISBLANK(T7),"·",T7/C7)</f>
        <v>8.1827942602798807</v>
      </c>
      <c r="N7" s="15">
        <f>IF(OR(ISBLANK(R7),ISBLANK(S7)),"",R7+S7)</f>
        <v>50247656</v>
      </c>
      <c r="O7" s="18">
        <f>IF(ISBLANK(Q7),"·",Q7/P7)</f>
        <v>9.6630177026921213</v>
      </c>
      <c r="P7" s="19">
        <v>33947718</v>
      </c>
      <c r="Q7" s="20">
        <v>328037400</v>
      </c>
      <c r="R7" s="20">
        <v>46385704</v>
      </c>
      <c r="S7" s="20">
        <v>3861952</v>
      </c>
      <c r="T7" s="20">
        <v>277787192</v>
      </c>
      <c r="U7" s="21" t="s">
        <v>550</v>
      </c>
      <c r="V7" s="21" t="s">
        <v>550</v>
      </c>
      <c r="W7" s="21" t="s">
        <v>550</v>
      </c>
      <c r="X7" s="21" t="s">
        <v>550</v>
      </c>
      <c r="Y7" s="21" t="s">
        <v>550</v>
      </c>
      <c r="Z7" s="22">
        <v>4273.79</v>
      </c>
      <c r="AA7" s="22">
        <v>7902.32</v>
      </c>
      <c r="AB7" s="22">
        <v>3.3730000000000002</v>
      </c>
      <c r="AC7" s="22">
        <v>20.25</v>
      </c>
      <c r="AE7" s="23">
        <f>IF(ISBLANK(AN7),"·",AN7/(C7*D7*3))</f>
        <v>0.32211221580981281</v>
      </c>
      <c r="AF7" s="17">
        <f>IF(OR(ISBLANK(AN7),ISBLANK(F7)),"·",AN7*F7/E7/1000000)</f>
        <v>307.54616249999998</v>
      </c>
      <c r="AG7" s="18">
        <f>IF(ISBLANK(AN7),"·",AN7/C7)</f>
        <v>9.6633664742943832</v>
      </c>
      <c r="AH7" s="18">
        <f>IF(AK7="","·",AK7/C7)</f>
        <v>1.4804937404039942</v>
      </c>
      <c r="AI7" s="18">
        <f>IF(AO7="","·",AO7/C7)</f>
        <v>1.3663865123423025</v>
      </c>
      <c r="AJ7" s="18">
        <f>IF(ISBLANK(AQ7),"·",AQ7/C7)</f>
        <v>8.1827942602798807</v>
      </c>
      <c r="AK7" s="15">
        <f>IF(OR(ISBLANK(AO7),ISBLANK(AP7)),"",AO7+AP7)</f>
        <v>50259384</v>
      </c>
      <c r="AL7" s="18">
        <f>IF(ISBLANK(AN7),"·",AN7/AM7)</f>
        <v>9.6633664742943832</v>
      </c>
      <c r="AM7" s="19">
        <v>33947718</v>
      </c>
      <c r="AN7" s="20">
        <v>328049240</v>
      </c>
      <c r="AO7" s="20">
        <v>46385704</v>
      </c>
      <c r="AP7" s="20">
        <v>3873680</v>
      </c>
      <c r="AQ7" s="20">
        <v>277787192</v>
      </c>
      <c r="AR7" s="21" t="s">
        <v>550</v>
      </c>
      <c r="AS7" s="21" t="s">
        <v>550</v>
      </c>
      <c r="AT7" s="21" t="s">
        <v>550</v>
      </c>
      <c r="AU7" s="21" t="s">
        <v>550</v>
      </c>
      <c r="AV7" s="21" t="s">
        <v>550</v>
      </c>
      <c r="AW7" s="22">
        <v>5634.39</v>
      </c>
      <c r="AX7" s="22">
        <v>9553.2199999999993</v>
      </c>
      <c r="AY7" s="22">
        <v>5.319</v>
      </c>
      <c r="AZ7" s="22">
        <v>29.004000000000001</v>
      </c>
      <c r="BB7" s="24">
        <f t="shared" si="0"/>
        <v>1.0000360934454424</v>
      </c>
      <c r="BC7" s="24">
        <f t="shared" si="1"/>
        <v>1</v>
      </c>
      <c r="BD7" s="24">
        <f t="shared" si="1"/>
        <v>1</v>
      </c>
      <c r="BE7" s="23">
        <f>(AK7/AN7) - (N7/Q7)</f>
        <v>3.0222258614431841E-5</v>
      </c>
      <c r="BF7" s="23">
        <f t="array" ref="BF7">AVERAGE(AK7:AK7/AN7:AN7) - AVERAGE(N7:N7/Q7:Q7)</f>
        <v>3.0222258614431841E-5</v>
      </c>
      <c r="BH7" s="4">
        <f t="shared" si="2"/>
        <v>11840</v>
      </c>
    </row>
    <row r="8" spans="1:60" ht="16" collapsed="1" thickBot="1" x14ac:dyDescent="0.25">
      <c r="A8" s="45"/>
      <c r="B8" s="45" t="s">
        <v>281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0.24176567661222861</v>
      </c>
      <c r="I8" s="47">
        <f>IF(OR(ISBLANK(Q8),ISBLANK(F8)),"·",Q8*F8/E8/1000000)</f>
        <v>365.02435000000003</v>
      </c>
      <c r="J8" s="48">
        <f>IF(ISBLANK(Q8),"·",Q8/C8)</f>
        <v>7.2529702983668587</v>
      </c>
      <c r="K8" s="48">
        <f>IF(N8="","·",N8/C8)</f>
        <v>0.8959639819665185</v>
      </c>
      <c r="L8" s="48">
        <f>IF(R8="","·",R8/C8)</f>
        <v>0.79506699282571991</v>
      </c>
      <c r="M8" s="48">
        <f>IF(ISBLANK(T8),"·",T8/C8)</f>
        <v>6.3569270854694047</v>
      </c>
      <c r="N8" s="45">
        <f>IF(OR(ISBLANK(R8),ISBLANK(S8)),"",R8+S8)</f>
        <v>28858680</v>
      </c>
      <c r="O8" s="48">
        <f>IF(ISBLANK(Q8),"·",Q8/P8)</f>
        <v>7.2529702983668587</v>
      </c>
      <c r="P8" s="49">
        <v>32209643</v>
      </c>
      <c r="Q8" s="50">
        <v>233615584</v>
      </c>
      <c r="R8" s="50">
        <v>25608824</v>
      </c>
      <c r="S8" s="50">
        <v>3249856</v>
      </c>
      <c r="T8" s="50">
        <v>204754352</v>
      </c>
      <c r="U8" s="51" t="s">
        <v>550</v>
      </c>
      <c r="V8" s="51" t="s">
        <v>550</v>
      </c>
      <c r="W8" s="51" t="s">
        <v>550</v>
      </c>
      <c r="X8" s="51" t="s">
        <v>550</v>
      </c>
      <c r="Y8" s="51" t="s">
        <v>550</v>
      </c>
      <c r="Z8" s="52">
        <v>3974.92</v>
      </c>
      <c r="AA8" s="52">
        <v>5172.21</v>
      </c>
      <c r="AB8" s="52">
        <v>2.6709999999999998</v>
      </c>
      <c r="AC8" s="52">
        <v>15.44</v>
      </c>
      <c r="AE8" s="53">
        <f>IF(ISBLANK(AN8),"·",AN8/(C8*D8*3))</f>
        <v>0.241775926130776</v>
      </c>
      <c r="AF8" s="47">
        <f>IF(OR(ISBLANK(AN8),ISBLANK(F8)),"·",AN8*F8/E8/1000000)</f>
        <v>365.03982500000001</v>
      </c>
      <c r="AG8" s="48">
        <f>IF(ISBLANK(AN8),"·",AN8/C8)</f>
        <v>7.2532777839232807</v>
      </c>
      <c r="AH8" s="48">
        <f>IF(AK8="","·",AK8/C8)</f>
        <v>0.89626799030340076</v>
      </c>
      <c r="AI8" s="48">
        <f>IF(AO8="","·",AO8/C8)</f>
        <v>0.79506699282571991</v>
      </c>
      <c r="AJ8" s="48">
        <f>IF(ISBLANK(AQ8),"·",AQ8/C8)</f>
        <v>6.3569270854694047</v>
      </c>
      <c r="AK8" s="45">
        <f>IF(OR(ISBLANK(AO8),ISBLANK(AP8)),"",AO8+AP8)</f>
        <v>28868472</v>
      </c>
      <c r="AL8" s="48">
        <f>IF(ISBLANK(AN8),"·",AN8/AM8)</f>
        <v>7.2532777839232807</v>
      </c>
      <c r="AM8" s="49">
        <v>32209643</v>
      </c>
      <c r="AN8" s="50">
        <v>233625488</v>
      </c>
      <c r="AO8" s="50">
        <v>25608824</v>
      </c>
      <c r="AP8" s="50">
        <v>3259648</v>
      </c>
      <c r="AQ8" s="50">
        <v>204754352</v>
      </c>
      <c r="AR8" s="51" t="s">
        <v>550</v>
      </c>
      <c r="AS8" s="51" t="s">
        <v>550</v>
      </c>
      <c r="AT8" s="51" t="s">
        <v>550</v>
      </c>
      <c r="AU8" s="51" t="s">
        <v>550</v>
      </c>
      <c r="AV8" s="51" t="s">
        <v>550</v>
      </c>
      <c r="AW8" s="52">
        <v>5632.68</v>
      </c>
      <c r="AX8" s="52">
        <v>6366.49</v>
      </c>
      <c r="AY8" s="52">
        <v>3.698</v>
      </c>
      <c r="AZ8" s="52">
        <v>20.198</v>
      </c>
      <c r="BB8" s="54">
        <f t="shared" si="0"/>
        <v>1.0000423944320427</v>
      </c>
      <c r="BC8" s="54">
        <f t="shared" si="1"/>
        <v>1</v>
      </c>
      <c r="BD8" s="54">
        <f t="shared" si="1"/>
        <v>1</v>
      </c>
      <c r="BE8" s="53">
        <f>(AK8/AN8) - (N8/Q8)</f>
        <v>3.6676446244165994E-5</v>
      </c>
      <c r="BF8" s="53">
        <f t="array" ref="BF8">AVERAGE(AK8:AK8/AN8:AN8) - AVERAGE(N8:N8/Q8:Q8)</f>
        <v>3.6676446244165994E-5</v>
      </c>
      <c r="BH8" s="4">
        <f t="shared" si="2"/>
        <v>9904</v>
      </c>
    </row>
    <row r="9" spans="1:60" ht="16" collapsed="1" thickBot="1" x14ac:dyDescent="0.25">
      <c r="A9" s="35" t="s">
        <v>285</v>
      </c>
      <c r="B9" s="35" t="s">
        <v>284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0.49783958391736838</v>
      </c>
      <c r="I9" s="37">
        <f>IF(OR(ISBLANK(Q9),ISBLANK(F9)),"·",Q9*F9/E9/1000000)</f>
        <v>354.41771249999999</v>
      </c>
      <c r="J9" s="38">
        <f>IF(ISBLANK(Q9),"·",Q9/C9)</f>
        <v>14.935187517521051</v>
      </c>
      <c r="K9" s="38">
        <f>IF(N9="","·",N9/C9)</f>
        <v>1.5211278200003728</v>
      </c>
      <c r="L9" s="38">
        <f>IF(R9="","·",R9/C9)</f>
        <v>1.4141346014966256</v>
      </c>
      <c r="M9" s="38">
        <f>IF(ISBLANK(T9),"·",T9/C9)</f>
        <v>13.413958877401154</v>
      </c>
      <c r="N9" s="35">
        <f>IF(OR(ISBLANK(R9),ISBLANK(S9)),"",R9+S9)</f>
        <v>38503408</v>
      </c>
      <c r="O9" s="38">
        <f>IF(ISBLANK(Q9),"·",Q9/P9)</f>
        <v>14.935187517521051</v>
      </c>
      <c r="P9" s="39">
        <v>25312408</v>
      </c>
      <c r="Q9" s="40">
        <v>378045560</v>
      </c>
      <c r="R9" s="40">
        <v>35795152</v>
      </c>
      <c r="S9" s="40">
        <v>2708256</v>
      </c>
      <c r="T9" s="40">
        <v>339539600</v>
      </c>
      <c r="U9" s="41" t="s">
        <v>550</v>
      </c>
      <c r="V9" s="41" t="s">
        <v>550</v>
      </c>
      <c r="W9" s="41" t="s">
        <v>550</v>
      </c>
      <c r="X9" s="41" t="s">
        <v>550</v>
      </c>
      <c r="Y9" s="41" t="s">
        <v>550</v>
      </c>
      <c r="Z9" s="42">
        <v>3051.12</v>
      </c>
      <c r="AA9" s="42">
        <v>7664.12</v>
      </c>
      <c r="AB9" s="42">
        <v>2.4980000000000002</v>
      </c>
      <c r="AC9" s="42">
        <v>20.675999999999998</v>
      </c>
      <c r="AE9" s="43">
        <f>IF(ISBLANK(AN9),"·",AN9/(C9*D9*3))</f>
        <v>0.49784937094882475</v>
      </c>
      <c r="AF9" s="37">
        <f>IF(OR(ISBLANK(AN9),ISBLANK(F9)),"·",AN9*F9/E9/1000000)</f>
        <v>354.42468000000002</v>
      </c>
      <c r="AG9" s="38">
        <f>IF(ISBLANK(AN9),"·",AN9/C9)</f>
        <v>14.935481128464744</v>
      </c>
      <c r="AH9" s="38">
        <f>IF(AK9="","·",AK9/C9)</f>
        <v>1.5214170062366252</v>
      </c>
      <c r="AI9" s="38">
        <f>IF(AO9="","·",AO9/C9)</f>
        <v>1.4141346014966256</v>
      </c>
      <c r="AJ9" s="38">
        <f>IF(ISBLANK(AQ9),"·",AQ9/C9)</f>
        <v>13.413958877401154</v>
      </c>
      <c r="AK9" s="35">
        <f>IF(OR(ISBLANK(AO9),ISBLANK(AP9)),"",AO9+AP9)</f>
        <v>38510728</v>
      </c>
      <c r="AL9" s="38">
        <f>IF(ISBLANK(AN9),"·",AN9/AM9)</f>
        <v>14.935481128464744</v>
      </c>
      <c r="AM9" s="39">
        <v>25312408</v>
      </c>
      <c r="AN9" s="40">
        <v>378052992</v>
      </c>
      <c r="AO9" s="40">
        <v>35795152</v>
      </c>
      <c r="AP9" s="40">
        <v>2715576</v>
      </c>
      <c r="AQ9" s="40">
        <v>339539600</v>
      </c>
      <c r="AR9" s="41" t="s">
        <v>550</v>
      </c>
      <c r="AS9" s="41" t="s">
        <v>550</v>
      </c>
      <c r="AT9" s="41" t="s">
        <v>550</v>
      </c>
      <c r="AU9" s="41" t="s">
        <v>550</v>
      </c>
      <c r="AV9" s="41" t="s">
        <v>550</v>
      </c>
      <c r="AW9" s="42">
        <v>4455.53</v>
      </c>
      <c r="AX9" s="42">
        <v>9384.8799999999992</v>
      </c>
      <c r="AY9" s="42">
        <v>5.0919999999999996</v>
      </c>
      <c r="AZ9" s="42">
        <v>27.434999999999999</v>
      </c>
      <c r="BB9" s="44">
        <f t="shared" si="0"/>
        <v>1.0000196590061792</v>
      </c>
      <c r="BC9" s="44">
        <f t="shared" si="1"/>
        <v>1</v>
      </c>
      <c r="BD9" s="44">
        <f t="shared" si="1"/>
        <v>1</v>
      </c>
      <c r="BE9" s="43">
        <f>(AK9/AN9) - (N9/Q9)</f>
        <v>1.7360162207671892E-5</v>
      </c>
      <c r="BF9" s="43">
        <f t="array" ref="BF9">AVERAGE(AK9:AK9/AN9:AN9) - AVERAGE(N9:N9/Q9:Q9)</f>
        <v>1.7360162207671892E-5</v>
      </c>
      <c r="BH9" s="4">
        <f t="shared" si="2"/>
        <v>7432</v>
      </c>
    </row>
    <row r="10" spans="1:60" ht="16" x14ac:dyDescent="0.2">
      <c r="B10" s="55" t="s">
        <v>288</v>
      </c>
      <c r="J10" s="56">
        <f>AVERAGE(J5:J8)</f>
        <v>9.6047953841139133</v>
      </c>
      <c r="K10" s="56">
        <f>AVERAGE(K5:K8)</f>
        <v>1.3515634913630667</v>
      </c>
      <c r="L10" s="56">
        <f>AVERAGE(L5:L8)</f>
        <v>1.240444970929552</v>
      </c>
      <c r="M10" s="56">
        <f>AVERAGE(M5:M8)</f>
        <v>8.2531395731444626</v>
      </c>
      <c r="AG10" s="56">
        <f>AVERAGE(AG5:AG8)</f>
        <v>9.6051084204764408</v>
      </c>
      <c r="AH10" s="56">
        <f>AVERAGE(AH5:AH8)</f>
        <v>1.3518724760814262</v>
      </c>
      <c r="AI10" s="56">
        <f>AVERAGE(AI5:AI8)</f>
        <v>1.240444970929552</v>
      </c>
      <c r="AJ10" s="56">
        <f>AVERAGE(AJ5:AJ8)</f>
        <v>8.2531395731444626</v>
      </c>
      <c r="BB10" s="5">
        <f t="shared" si="0"/>
        <v>1.0000325916742636</v>
      </c>
      <c r="BC10" s="5">
        <f t="shared" si="1"/>
        <v>1</v>
      </c>
      <c r="BD10" s="5">
        <f t="shared" si="1"/>
        <v>1</v>
      </c>
      <c r="BF10" s="8">
        <f>AVERAGE(BF5:BF8)</f>
        <v>2.7801762663551277E-5</v>
      </c>
    </row>
    <row r="11" spans="1:60" ht="16" x14ac:dyDescent="0.2">
      <c r="B11" s="55" t="s">
        <v>289</v>
      </c>
      <c r="J11" s="56">
        <f>AVERAGE(J9:J9)</f>
        <v>14.935187517521051</v>
      </c>
      <c r="K11" s="56">
        <f>AVERAGE(K9:K9)</f>
        <v>1.5211278200003728</v>
      </c>
      <c r="L11" s="56">
        <f>AVERAGE(L9:L9)</f>
        <v>1.4141346014966256</v>
      </c>
      <c r="M11" s="56">
        <f>AVERAGE(M9:M9)</f>
        <v>13.413958877401154</v>
      </c>
      <c r="AG11" s="56">
        <f>AVERAGE(AG9:AG9)</f>
        <v>14.935481128464744</v>
      </c>
      <c r="AH11" s="56">
        <f>AVERAGE(AH9:AH9)</f>
        <v>1.5214170062366252</v>
      </c>
      <c r="AI11" s="56">
        <f>AVERAGE(AI9:AI9)</f>
        <v>1.4141346014966256</v>
      </c>
      <c r="AJ11" s="56">
        <f>AVERAGE(AJ9:AJ9)</f>
        <v>13.413958877401154</v>
      </c>
      <c r="BB11" s="5">
        <f t="shared" si="0"/>
        <v>1.0000196590061792</v>
      </c>
      <c r="BC11" s="5">
        <f t="shared" si="1"/>
        <v>1</v>
      </c>
      <c r="BD11" s="5">
        <f t="shared" si="1"/>
        <v>1</v>
      </c>
      <c r="BF11" s="8">
        <f>AVERAGE(BF9:BF9)</f>
        <v>1.7360162207671892E-5</v>
      </c>
    </row>
    <row r="12" spans="1:60" ht="16" x14ac:dyDescent="0.2">
      <c r="B12" s="55" t="s">
        <v>290</v>
      </c>
      <c r="J12" s="56">
        <f>AVERAGE(J5:J9)</f>
        <v>10.67087381079534</v>
      </c>
      <c r="K12" s="56">
        <f>AVERAGE(K5:K9)</f>
        <v>1.385476357090528</v>
      </c>
      <c r="L12" s="56">
        <f>AVERAGE(L5:L9)</f>
        <v>1.2751828970429666</v>
      </c>
      <c r="M12" s="56">
        <f>AVERAGE(M5:M9)</f>
        <v>9.2853034339958018</v>
      </c>
      <c r="AG12" s="56">
        <f>AVERAGE(AG5:AG9)</f>
        <v>10.671182962074102</v>
      </c>
      <c r="AH12" s="56">
        <f>AVERAGE(AH5:AH9)</f>
        <v>1.385781382112466</v>
      </c>
      <c r="AI12" s="56">
        <f>AVERAGE(AI5:AI9)</f>
        <v>1.2751828970429666</v>
      </c>
      <c r="AJ12" s="56">
        <f>AVERAGE(AJ5:AJ9)</f>
        <v>9.2853034339958018</v>
      </c>
      <c r="BB12" s="5">
        <f t="shared" si="0"/>
        <v>1.0000289715054496</v>
      </c>
      <c r="BC12" s="5">
        <f t="shared" si="1"/>
        <v>1</v>
      </c>
      <c r="BD12" s="5">
        <f t="shared" si="1"/>
        <v>1</v>
      </c>
      <c r="BF12" s="8">
        <f>AVERAGE(BF5:BF9)</f>
        <v>2.5713442572375401E-5</v>
      </c>
    </row>
    <row r="13" spans="1:60" ht="16" hidden="1" outlineLevel="2" x14ac:dyDescent="0.2">
      <c r="A13" s="55" t="s">
        <v>291</v>
      </c>
      <c r="B13" s="55" t="s">
        <v>292</v>
      </c>
      <c r="Z13" s="57">
        <f>SUM(Z5:Z8,Z9:Z9)</f>
        <v>17376.07</v>
      </c>
      <c r="AA13" s="57">
        <f>SUM(AA5:AA8,AA9:AA9)</f>
        <v>33449.68</v>
      </c>
      <c r="AB13" s="57">
        <f>SUM(AB5:AB8,AB9:AB9)</f>
        <v>13.273</v>
      </c>
      <c r="AC13" s="57">
        <f>SUM(AC5:AC8,AC9:AC9)</f>
        <v>91.697000000000003</v>
      </c>
      <c r="AW13" s="57">
        <f>SUM(AW5:AW8,AW9:AW9)</f>
        <v>24209.45</v>
      </c>
      <c r="AX13" s="57">
        <f>SUM(AX5:AX8,AX9:AX9)</f>
        <v>40865.81</v>
      </c>
      <c r="AY13" s="57">
        <f>SUM(AY5:AY8,AY9:AY9)</f>
        <v>21.532999999999998</v>
      </c>
      <c r="AZ13" s="57">
        <f>SUM(AZ5:AZ8,AZ9:AZ9)</f>
        <v>120.274</v>
      </c>
    </row>
    <row r="14" spans="1:60" ht="16" hidden="1" outlineLevel="2" x14ac:dyDescent="0.2">
      <c r="B14" s="55" t="s">
        <v>293</v>
      </c>
      <c r="AW14" s="8">
        <f>AW13/Z13</f>
        <v>1.3932638392916235</v>
      </c>
      <c r="AX14" s="8">
        <f>AX13/AA13</f>
        <v>1.2217100432649879</v>
      </c>
      <c r="AY14" s="8">
        <f>AY13/AB13</f>
        <v>1.622315979808634</v>
      </c>
      <c r="AZ14" s="8">
        <f>AZ13/AC13</f>
        <v>1.311645964426317</v>
      </c>
    </row>
    <row r="15" spans="1:60" ht="16" hidden="1" outlineLevel="2" x14ac:dyDescent="0.2">
      <c r="B15" s="55" t="s">
        <v>294</v>
      </c>
      <c r="Z15" s="57">
        <f>GEOMEAN(Z5:Z8,Z9:Z9)</f>
        <v>3433.7511773184356</v>
      </c>
      <c r="AA15" s="57">
        <f>GEOMEAN(AA5:AA8,AA9:AA9)</f>
        <v>6601.1285108293368</v>
      </c>
      <c r="AB15" s="57">
        <f>GEOMEAN(AB5:AB8,AB9:AB9)</f>
        <v>2.630123532142</v>
      </c>
      <c r="AC15" s="57">
        <f>GEOMEAN(AC5:AC8,AC9:AC9)</f>
        <v>18.200829484813468</v>
      </c>
      <c r="AW15" s="57">
        <f>GEOMEAN(AW5:AW8,AW9:AW9)</f>
        <v>4797.9951402543365</v>
      </c>
      <c r="AX15" s="57">
        <f>GEOMEAN(AX5:AX8,AX9:AX9)</f>
        <v>8071.3852760092595</v>
      </c>
      <c r="AY15" s="57">
        <f>GEOMEAN(AY5:AY8,AY9:AY9)</f>
        <v>4.2447765192490348</v>
      </c>
      <c r="AZ15" s="57">
        <f>GEOMEAN(AZ5:AZ8,AZ9:AZ9)</f>
        <v>23.807771443880732</v>
      </c>
    </row>
    <row r="16" spans="1:60" ht="16" outlineLevel="2" collapsed="1" x14ac:dyDescent="0.2">
      <c r="B16" s="55" t="s">
        <v>295</v>
      </c>
      <c r="AW16" s="8">
        <f>AW15/Z15</f>
        <v>1.3973042577887946</v>
      </c>
      <c r="AX16" s="8">
        <f>AX15/AA15</f>
        <v>1.2227280930477153</v>
      </c>
      <c r="AY16" s="8">
        <f>AY15/AB15</f>
        <v>1.6139076615127825</v>
      </c>
      <c r="AZ16" s="8">
        <f>AZ15/AC15</f>
        <v>1.3080596938587674</v>
      </c>
    </row>
  </sheetData>
  <mergeCells count="34">
    <mergeCell ref="H1:AD1"/>
    <mergeCell ref="BF2:BF3"/>
    <mergeCell ref="A1:F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0 BB11 BB12">
    <cfRule type="cellIs" dxfId="5" priority="3" operator="greaterThanOrEqual">
      <formula>1.03</formula>
    </cfRule>
    <cfRule type="cellIs" dxfId="4" priority="4" operator="lessThanOrEqual">
      <formula>0.97</formula>
    </cfRule>
  </conditionalFormatting>
  <conditionalFormatting sqref="BC10 BC11 BC12">
    <cfRule type="cellIs" dxfId="3" priority="5" operator="greaterThanOrEqual">
      <formula>1.03</formula>
    </cfRule>
    <cfRule type="cellIs" dxfId="2" priority="6" operator="lessThanOrEqual">
      <formula>0.97</formula>
    </cfRule>
  </conditionalFormatting>
  <conditionalFormatting sqref="BD10 BD11 BD12">
    <cfRule type="cellIs" dxfId="1" priority="1" operator="greaterThanOrEqual">
      <formula>1.03</formula>
    </cfRule>
    <cfRule type="cellIs" dxfId="0" priority="2" operator="lessThanOrEqual">
      <formula>0.97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names</vt:lpstr>
      <vt:lpstr>C2 lossyG,lossyA,interRA</vt:lpstr>
      <vt:lpstr>CW losslG,losslA,intra</vt:lpstr>
      <vt:lpstr>CW losslG,losslA,interLD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/>
  <cp:lastModifiedBy>Jungsun Kim</cp:lastModifiedBy>
  <dcterms:created xsi:type="dcterms:W3CDTF">2018-08-31T19:13:00Z</dcterms:created>
  <dcterms:modified xsi:type="dcterms:W3CDTF">2019-02-05T01:14:49Z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2018-08-31T19:13:00Z</vt:filetime>
  </property>
</Properties>
</file>