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209" codeName="{51196F13-6AD0-C1B8-E2B4-A1F9AE17003E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/Users/jkim/Works/VPCC50_rcOurs/mpeg-pcc-tmc2/test2/"/>
    </mc:Choice>
  </mc:AlternateContent>
  <xr:revisionPtr revIDLastSave="0" documentId="13_ncr:1_{9D63BEDE-FCA1-BC46-9CD5-07E67D2D76C6}" xr6:coauthVersionLast="36" xr6:coauthVersionMax="36" xr10:uidLastSave="{00000000-0000-0000-0000-000000000000}"/>
  <bookViews>
    <workbookView xWindow="220" yWindow="460" windowWidth="38840" windowHeight="21500" activeTab="6" xr2:uid="{00000000-000D-0000-FFFF-FFFF00000000}"/>
  </bookViews>
  <sheets>
    <sheet name="Summary" sheetId="1" r:id="rId1"/>
    <sheet name="Graphs" sheetId="2" r:id="rId2"/>
    <sheet name="C2 lossyG,lossyA,intra" sheetId="3" r:id="rId3"/>
    <sheet name="names" sheetId="4" state="hidden" r:id="rId4"/>
    <sheet name="C2 lossyG,lossyA,interRA" sheetId="7" r:id="rId5"/>
    <sheet name="CW losslG,losslA,intra" sheetId="5" r:id="rId6"/>
    <sheet name="CW losslG,losslA,interLD" sheetId="6" r:id="rId7"/>
  </sheets>
  <functionGroups builtInGroupCount="19"/>
  <definedNames>
    <definedName name="all_cols" localSheetId="1">Graphs!$I$2:$I$39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81029"/>
</workbook>
</file>

<file path=xl/calcChain.xml><?xml version="1.0" encoding="utf-8"?>
<calcChain xmlns="http://schemas.openxmlformats.org/spreadsheetml/2006/main">
  <c r="BU6" i="7" l="1"/>
  <c r="BU7" i="7"/>
  <c r="BU8" i="7"/>
  <c r="BU9" i="7"/>
  <c r="BU10" i="7"/>
  <c r="BU11" i="7"/>
  <c r="BU12" i="7"/>
  <c r="BU13" i="7"/>
  <c r="BU14" i="7"/>
  <c r="BU15" i="7"/>
  <c r="BU16" i="7"/>
  <c r="BU17" i="7"/>
  <c r="BU18" i="7"/>
  <c r="BU19" i="7"/>
  <c r="BU20" i="7"/>
  <c r="BU21" i="7"/>
  <c r="BU22" i="7"/>
  <c r="BU23" i="7"/>
  <c r="BU24" i="7"/>
  <c r="BU25" i="7"/>
  <c r="BU26" i="7"/>
  <c r="BU27" i="7"/>
  <c r="BU28" i="7"/>
  <c r="BU29" i="7"/>
  <c r="BU5" i="7"/>
  <c r="BU6" i="3"/>
  <c r="BU7" i="3"/>
  <c r="BU8" i="3"/>
  <c r="BU9" i="3"/>
  <c r="BU10" i="3"/>
  <c r="BU11" i="3"/>
  <c r="BU12" i="3"/>
  <c r="BU13" i="3"/>
  <c r="BU14" i="3"/>
  <c r="BU15" i="3"/>
  <c r="BU16" i="3"/>
  <c r="BU17" i="3"/>
  <c r="BU18" i="3"/>
  <c r="BU19" i="3"/>
  <c r="BU20" i="3"/>
  <c r="BU21" i="3"/>
  <c r="BU22" i="3"/>
  <c r="BU23" i="3"/>
  <c r="BU24" i="3"/>
  <c r="BU25" i="3"/>
  <c r="BU26" i="3"/>
  <c r="BU27" i="3"/>
  <c r="BU28" i="3"/>
  <c r="BU29" i="3"/>
  <c r="BU5" i="3"/>
  <c r="BH6" i="6"/>
  <c r="BH7" i="6"/>
  <c r="BH8" i="6"/>
  <c r="BH9" i="6"/>
  <c r="BH5" i="6"/>
  <c r="BH6" i="5"/>
  <c r="BH7" i="5"/>
  <c r="BH8" i="5"/>
  <c r="BH9" i="5"/>
  <c r="BH5" i="5"/>
  <c r="BC35" i="7" l="1"/>
  <c r="BB35" i="7"/>
  <c r="BA35" i="7"/>
  <c r="AZ35" i="7"/>
  <c r="AE35" i="7"/>
  <c r="AD35" i="7"/>
  <c r="AC35" i="7"/>
  <c r="AB35" i="7"/>
  <c r="BC33" i="7"/>
  <c r="BB33" i="7"/>
  <c r="BA33" i="7"/>
  <c r="AZ33" i="7"/>
  <c r="AE33" i="7"/>
  <c r="AD33" i="7"/>
  <c r="AC33" i="7"/>
  <c r="AB33" i="7"/>
  <c r="BE29" i="7"/>
  <c r="AM29" i="7"/>
  <c r="AL29" i="7"/>
  <c r="AK29" i="7"/>
  <c r="AJ29" i="7"/>
  <c r="AH29" i="7"/>
  <c r="AG29" i="7"/>
  <c r="O29" i="7"/>
  <c r="N29" i="7"/>
  <c r="K29" i="7" s="1"/>
  <c r="M29" i="7"/>
  <c r="L29" i="7"/>
  <c r="J29" i="7"/>
  <c r="I29" i="7"/>
  <c r="BE28" i="7"/>
  <c r="AM28" i="7"/>
  <c r="AL28" i="7"/>
  <c r="AK28" i="7"/>
  <c r="AJ28" i="7"/>
  <c r="AH28" i="7"/>
  <c r="AG28" i="7"/>
  <c r="O28" i="7"/>
  <c r="N28" i="7"/>
  <c r="K28" i="7" s="1"/>
  <c r="M28" i="7"/>
  <c r="L28" i="7"/>
  <c r="J28" i="7"/>
  <c r="I28" i="7"/>
  <c r="BE27" i="7"/>
  <c r="AM27" i="7"/>
  <c r="AL27" i="7"/>
  <c r="AK27" i="7"/>
  <c r="AJ27" i="7"/>
  <c r="AH27" i="7"/>
  <c r="AG27" i="7"/>
  <c r="O27" i="7"/>
  <c r="N27" i="7"/>
  <c r="K27" i="7" s="1"/>
  <c r="M27" i="7"/>
  <c r="L27" i="7"/>
  <c r="J27" i="7"/>
  <c r="I27" i="7"/>
  <c r="BE26" i="7"/>
  <c r="AM26" i="7"/>
  <c r="AL26" i="7"/>
  <c r="AK26" i="7"/>
  <c r="AJ26" i="7"/>
  <c r="AH26" i="7"/>
  <c r="AG26" i="7"/>
  <c r="O26" i="7"/>
  <c r="N26" i="7"/>
  <c r="K26" i="7" s="1"/>
  <c r="M26" i="7"/>
  <c r="L26" i="7"/>
  <c r="J26" i="7"/>
  <c r="I26" i="7"/>
  <c r="BE25" i="7"/>
  <c r="AM25" i="7"/>
  <c r="AL25" i="7"/>
  <c r="AK25" i="7"/>
  <c r="AJ25" i="7"/>
  <c r="AH25" i="7"/>
  <c r="AG25" i="7"/>
  <c r="O25" i="7"/>
  <c r="N25" i="7"/>
  <c r="M25" i="7"/>
  <c r="L25" i="7"/>
  <c r="J25" i="7"/>
  <c r="I25" i="7"/>
  <c r="BE24" i="7"/>
  <c r="AM24" i="7"/>
  <c r="AL24" i="7"/>
  <c r="AI24" i="7" s="1"/>
  <c r="AK24" i="7"/>
  <c r="AJ24" i="7"/>
  <c r="AH24" i="7"/>
  <c r="AG24" i="7"/>
  <c r="O24" i="7"/>
  <c r="N24" i="7"/>
  <c r="K24" i="7" s="1"/>
  <c r="M24" i="7"/>
  <c r="L24" i="7"/>
  <c r="J24" i="7"/>
  <c r="I24" i="7"/>
  <c r="BE23" i="7"/>
  <c r="AM23" i="7"/>
  <c r="AL23" i="7"/>
  <c r="AK23" i="7"/>
  <c r="AJ23" i="7"/>
  <c r="AI23" i="7"/>
  <c r="AH23" i="7"/>
  <c r="AG23" i="7"/>
  <c r="O23" i="7"/>
  <c r="N23" i="7"/>
  <c r="K23" i="7" s="1"/>
  <c r="M23" i="7"/>
  <c r="L23" i="7"/>
  <c r="J23" i="7"/>
  <c r="I23" i="7"/>
  <c r="BE22" i="7"/>
  <c r="AM22" i="7"/>
  <c r="AL22" i="7"/>
  <c r="AI22" i="7" s="1"/>
  <c r="AK22" i="7"/>
  <c r="AJ22" i="7"/>
  <c r="AH22" i="7"/>
  <c r="AG22" i="7"/>
  <c r="O22" i="7"/>
  <c r="N22" i="7"/>
  <c r="K22" i="7" s="1"/>
  <c r="M22" i="7"/>
  <c r="L22" i="7"/>
  <c r="J22" i="7"/>
  <c r="I22" i="7"/>
  <c r="BE21" i="7"/>
  <c r="AM21" i="7"/>
  <c r="AL21" i="7"/>
  <c r="AK21" i="7"/>
  <c r="AJ21" i="7"/>
  <c r="AH21" i="7"/>
  <c r="AG21" i="7"/>
  <c r="O21" i="7"/>
  <c r="N21" i="7"/>
  <c r="K21" i="7" s="1"/>
  <c r="M21" i="7"/>
  <c r="L21" i="7"/>
  <c r="J21" i="7"/>
  <c r="I21" i="7"/>
  <c r="BE20" i="7"/>
  <c r="AM20" i="7"/>
  <c r="AL20" i="7"/>
  <c r="AI20" i="7" s="1"/>
  <c r="AK20" i="7"/>
  <c r="AJ20" i="7"/>
  <c r="AH20" i="7"/>
  <c r="AG20" i="7"/>
  <c r="O20" i="7"/>
  <c r="N20" i="7"/>
  <c r="M20" i="7"/>
  <c r="L20" i="7"/>
  <c r="J20" i="7"/>
  <c r="I20" i="7"/>
  <c r="BE19" i="7"/>
  <c r="AM19" i="7"/>
  <c r="AL19" i="7"/>
  <c r="AK19" i="7"/>
  <c r="AJ19" i="7"/>
  <c r="AH19" i="7"/>
  <c r="AG19" i="7"/>
  <c r="O19" i="7"/>
  <c r="N19" i="7"/>
  <c r="K19" i="7" s="1"/>
  <c r="M19" i="7"/>
  <c r="L19" i="7"/>
  <c r="J19" i="7"/>
  <c r="I19" i="7"/>
  <c r="BE18" i="7"/>
  <c r="AM18" i="7"/>
  <c r="AL18" i="7"/>
  <c r="AI18" i="7" s="1"/>
  <c r="AK18" i="7"/>
  <c r="AJ18" i="7"/>
  <c r="AH18" i="7"/>
  <c r="AG18" i="7"/>
  <c r="O18" i="7"/>
  <c r="N18" i="7"/>
  <c r="K18" i="7" s="1"/>
  <c r="M18" i="7"/>
  <c r="L18" i="7"/>
  <c r="J18" i="7"/>
  <c r="I18" i="7"/>
  <c r="BE17" i="7"/>
  <c r="AM17" i="7"/>
  <c r="AL17" i="7"/>
  <c r="AK17" i="7"/>
  <c r="AJ17" i="7"/>
  <c r="AH17" i="7"/>
  <c r="AG17" i="7"/>
  <c r="O17" i="7"/>
  <c r="N17" i="7"/>
  <c r="K17" i="7" s="1"/>
  <c r="M17" i="7"/>
  <c r="L17" i="7"/>
  <c r="J17" i="7"/>
  <c r="I17" i="7"/>
  <c r="BE16" i="7"/>
  <c r="AM16" i="7"/>
  <c r="AL16" i="7"/>
  <c r="AI16" i="7" s="1"/>
  <c r="AK16" i="7"/>
  <c r="AJ16" i="7"/>
  <c r="AH16" i="7"/>
  <c r="AG16" i="7"/>
  <c r="O16" i="7"/>
  <c r="N16" i="7"/>
  <c r="K16" i="7" s="1"/>
  <c r="M16" i="7"/>
  <c r="L16" i="7"/>
  <c r="J16" i="7"/>
  <c r="I16" i="7"/>
  <c r="BE15" i="7"/>
  <c r="AM15" i="7"/>
  <c r="AL15" i="7"/>
  <c r="AI15" i="7" s="1"/>
  <c r="AK15" i="7"/>
  <c r="AJ15" i="7"/>
  <c r="AH15" i="7"/>
  <c r="AG15" i="7"/>
  <c r="O15" i="7"/>
  <c r="N15" i="7"/>
  <c r="M15" i="7"/>
  <c r="L15" i="7"/>
  <c r="J15" i="7"/>
  <c r="I15" i="7"/>
  <c r="BE14" i="7"/>
  <c r="AM14" i="7"/>
  <c r="AL14" i="7"/>
  <c r="AI14" i="7" s="1"/>
  <c r="AK14" i="7"/>
  <c r="AJ14" i="7"/>
  <c r="AH14" i="7"/>
  <c r="AG14" i="7"/>
  <c r="O14" i="7"/>
  <c r="N14" i="7"/>
  <c r="K14" i="7" s="1"/>
  <c r="M14" i="7"/>
  <c r="L14" i="7"/>
  <c r="J14" i="7"/>
  <c r="I14" i="7"/>
  <c r="BE13" i="7"/>
  <c r="AM13" i="7"/>
  <c r="AL13" i="7"/>
  <c r="AK13" i="7"/>
  <c r="AJ13" i="7"/>
  <c r="AH13" i="7"/>
  <c r="AG13" i="7"/>
  <c r="O13" i="7"/>
  <c r="N13" i="7"/>
  <c r="K13" i="7" s="1"/>
  <c r="M13" i="7"/>
  <c r="L13" i="7"/>
  <c r="J13" i="7"/>
  <c r="I13" i="7"/>
  <c r="BE12" i="7"/>
  <c r="AM12" i="7"/>
  <c r="AL12" i="7"/>
  <c r="AI12" i="7" s="1"/>
  <c r="AK12" i="7"/>
  <c r="AJ12" i="7"/>
  <c r="AH12" i="7"/>
  <c r="AG12" i="7"/>
  <c r="O12" i="7"/>
  <c r="N12" i="7"/>
  <c r="K12" i="7" s="1"/>
  <c r="M12" i="7"/>
  <c r="L12" i="7"/>
  <c r="J12" i="7"/>
  <c r="I12" i="7"/>
  <c r="BE11" i="7"/>
  <c r="AM11" i="7"/>
  <c r="AL11" i="7"/>
  <c r="AK11" i="7"/>
  <c r="AJ11" i="7"/>
  <c r="AH11" i="7"/>
  <c r="AG11" i="7"/>
  <c r="O11" i="7"/>
  <c r="N11" i="7"/>
  <c r="K11" i="7" s="1"/>
  <c r="M11" i="7"/>
  <c r="L11" i="7"/>
  <c r="J11" i="7"/>
  <c r="I11" i="7"/>
  <c r="BE10" i="7"/>
  <c r="AM10" i="7"/>
  <c r="AL10" i="7"/>
  <c r="AI10" i="7" s="1"/>
  <c r="AK10" i="7"/>
  <c r="AJ10" i="7"/>
  <c r="AH10" i="7"/>
  <c r="AG10" i="7"/>
  <c r="O10" i="7"/>
  <c r="N10" i="7"/>
  <c r="M10" i="7"/>
  <c r="L10" i="7"/>
  <c r="J10" i="7"/>
  <c r="I10" i="7"/>
  <c r="BE9" i="7"/>
  <c r="AM9" i="7"/>
  <c r="AL9" i="7"/>
  <c r="AI9" i="7" s="1"/>
  <c r="AK9" i="7"/>
  <c r="AJ9" i="7"/>
  <c r="AH9" i="7"/>
  <c r="AG9" i="7"/>
  <c r="O9" i="7"/>
  <c r="N9" i="7"/>
  <c r="K9" i="7" s="1"/>
  <c r="M9" i="7"/>
  <c r="L9" i="7"/>
  <c r="J9" i="7"/>
  <c r="I9" i="7"/>
  <c r="BE8" i="7"/>
  <c r="AM8" i="7"/>
  <c r="AL8" i="7"/>
  <c r="AI8" i="7" s="1"/>
  <c r="AK8" i="7"/>
  <c r="AJ8" i="7"/>
  <c r="AH8" i="7"/>
  <c r="AG8" i="7"/>
  <c r="O8" i="7"/>
  <c r="N8" i="7"/>
  <c r="K8" i="7" s="1"/>
  <c r="M8" i="7"/>
  <c r="L8" i="7"/>
  <c r="J8" i="7"/>
  <c r="I8" i="7"/>
  <c r="BE7" i="7"/>
  <c r="AM7" i="7"/>
  <c r="AL7" i="7"/>
  <c r="AI7" i="7" s="1"/>
  <c r="AK7" i="7"/>
  <c r="AJ7" i="7"/>
  <c r="AH7" i="7"/>
  <c r="AG7" i="7"/>
  <c r="O7" i="7"/>
  <c r="N7" i="7"/>
  <c r="K7" i="7" s="1"/>
  <c r="M7" i="7"/>
  <c r="L7" i="7"/>
  <c r="J7" i="7"/>
  <c r="I7" i="7"/>
  <c r="BE6" i="7"/>
  <c r="AM6" i="7"/>
  <c r="AL6" i="7"/>
  <c r="AI6" i="7" s="1"/>
  <c r="AK6" i="7"/>
  <c r="AJ6" i="7"/>
  <c r="AH6" i="7"/>
  <c r="AG6" i="7"/>
  <c r="O6" i="7"/>
  <c r="N6" i="7"/>
  <c r="K6" i="7" s="1"/>
  <c r="M6" i="7"/>
  <c r="L6" i="7"/>
  <c r="J6" i="7"/>
  <c r="I6" i="7"/>
  <c r="BE5" i="7"/>
  <c r="AM5" i="7"/>
  <c r="AL5" i="7"/>
  <c r="AI5" i="7" s="1"/>
  <c r="AK5" i="7"/>
  <c r="AJ5" i="7"/>
  <c r="AH5" i="7"/>
  <c r="AG5" i="7"/>
  <c r="O5" i="7"/>
  <c r="N5" i="7"/>
  <c r="M5" i="7"/>
  <c r="L5" i="7"/>
  <c r="J5" i="7"/>
  <c r="I5" i="7"/>
  <c r="AZ15" i="6"/>
  <c r="AY15" i="6"/>
  <c r="AX15" i="6"/>
  <c r="AW15" i="6"/>
  <c r="AC15" i="6"/>
  <c r="AB15" i="6"/>
  <c r="AA15" i="6"/>
  <c r="Z15" i="6"/>
  <c r="AZ13" i="6"/>
  <c r="AY13" i="6"/>
  <c r="AX13" i="6"/>
  <c r="AW13" i="6"/>
  <c r="AC13" i="6"/>
  <c r="AB13" i="6"/>
  <c r="AA13" i="6"/>
  <c r="Z13" i="6"/>
  <c r="AL9" i="6"/>
  <c r="AK9" i="6"/>
  <c r="BF9" i="6" s="1" a="1"/>
  <c r="AJ9" i="6"/>
  <c r="AJ11" i="6" s="1"/>
  <c r="AI9" i="6"/>
  <c r="AI11" i="6" s="1"/>
  <c r="AG9" i="6"/>
  <c r="AG11" i="6" s="1"/>
  <c r="AF9" i="6"/>
  <c r="AE9" i="6"/>
  <c r="O9" i="6"/>
  <c r="N9" i="6"/>
  <c r="M9" i="6"/>
  <c r="M11" i="6" s="1"/>
  <c r="L9" i="6"/>
  <c r="L11" i="6" s="1"/>
  <c r="J9" i="6"/>
  <c r="J11" i="6" s="1"/>
  <c r="I9" i="6"/>
  <c r="H9" i="6"/>
  <c r="AL8" i="6"/>
  <c r="AK8" i="6"/>
  <c r="AH8" i="6" s="1"/>
  <c r="AJ8" i="6"/>
  <c r="AI8" i="6"/>
  <c r="AG8" i="6"/>
  <c r="AF8" i="6"/>
  <c r="AE8" i="6"/>
  <c r="O8" i="6"/>
  <c r="N8" i="6"/>
  <c r="BF8" i="6" s="1" a="1"/>
  <c r="M8" i="6"/>
  <c r="L8" i="6"/>
  <c r="J8" i="6"/>
  <c r="I8" i="6"/>
  <c r="H8" i="6"/>
  <c r="AL7" i="6"/>
  <c r="AK7" i="6"/>
  <c r="BF7" i="6" s="1" a="1"/>
  <c r="AJ7" i="6"/>
  <c r="AI7" i="6"/>
  <c r="AG7" i="6"/>
  <c r="AF7" i="6"/>
  <c r="AE7" i="6"/>
  <c r="O7" i="6"/>
  <c r="N7" i="6"/>
  <c r="K7" i="6" s="1"/>
  <c r="M7" i="6"/>
  <c r="L7" i="6"/>
  <c r="J7" i="6"/>
  <c r="I7" i="6"/>
  <c r="H7" i="6"/>
  <c r="BF6" i="6" a="1"/>
  <c r="AL6" i="6"/>
  <c r="AK6" i="6"/>
  <c r="AH6" i="6" s="1"/>
  <c r="AJ6" i="6"/>
  <c r="AI6" i="6"/>
  <c r="AG6" i="6"/>
  <c r="AF6" i="6"/>
  <c r="AE6" i="6"/>
  <c r="O6" i="6"/>
  <c r="N6" i="6"/>
  <c r="M6" i="6"/>
  <c r="L6" i="6"/>
  <c r="J6" i="6"/>
  <c r="I6" i="6"/>
  <c r="H6" i="6"/>
  <c r="AL5" i="6"/>
  <c r="AK5" i="6"/>
  <c r="AH5" i="6" s="1"/>
  <c r="AJ5" i="6"/>
  <c r="AI5" i="6"/>
  <c r="AG5" i="6"/>
  <c r="AF5" i="6"/>
  <c r="AE5" i="6"/>
  <c r="O5" i="6"/>
  <c r="N5" i="6"/>
  <c r="K5" i="6" s="1"/>
  <c r="M5" i="6"/>
  <c r="L5" i="6"/>
  <c r="J5" i="6"/>
  <c r="I5" i="6"/>
  <c r="H5" i="6"/>
  <c r="AZ15" i="5"/>
  <c r="AY15" i="5"/>
  <c r="AX15" i="5"/>
  <c r="AW15" i="5"/>
  <c r="AC15" i="5"/>
  <c r="AB15" i="5"/>
  <c r="AA15" i="5"/>
  <c r="Z15" i="5"/>
  <c r="AZ13" i="5"/>
  <c r="AY13" i="5"/>
  <c r="AX13" i="5"/>
  <c r="AW13" i="5"/>
  <c r="AC13" i="5"/>
  <c r="AB13" i="5"/>
  <c r="AA13" i="5"/>
  <c r="Z13" i="5"/>
  <c r="AL9" i="5"/>
  <c r="AK9" i="5"/>
  <c r="AH9" i="5" s="1"/>
  <c r="AH11" i="5" s="1"/>
  <c r="AJ9" i="5"/>
  <c r="AJ11" i="5" s="1"/>
  <c r="AI9" i="5"/>
  <c r="AI11" i="5" s="1"/>
  <c r="AG9" i="5"/>
  <c r="AG11" i="5" s="1"/>
  <c r="AF9" i="5"/>
  <c r="AE9" i="5"/>
  <c r="O9" i="5"/>
  <c r="N9" i="5"/>
  <c r="K9" i="5" s="1"/>
  <c r="K11" i="5" s="1"/>
  <c r="M9" i="5"/>
  <c r="M11" i="5" s="1"/>
  <c r="L9" i="5"/>
  <c r="L11" i="5" s="1"/>
  <c r="J9" i="5"/>
  <c r="J11" i="5" s="1"/>
  <c r="I9" i="5"/>
  <c r="H9" i="5"/>
  <c r="AL8" i="5"/>
  <c r="AK8" i="5"/>
  <c r="AJ8" i="5"/>
  <c r="AI8" i="5"/>
  <c r="AG8" i="5"/>
  <c r="AF8" i="5"/>
  <c r="AE8" i="5"/>
  <c r="O8" i="5"/>
  <c r="N8" i="5"/>
  <c r="K8" i="5" s="1"/>
  <c r="M8" i="5"/>
  <c r="L8" i="5"/>
  <c r="J8" i="5"/>
  <c r="I8" i="5"/>
  <c r="H8" i="5"/>
  <c r="AL7" i="5"/>
  <c r="AK7" i="5"/>
  <c r="AH7" i="5" s="1"/>
  <c r="AJ7" i="5"/>
  <c r="AI7" i="5"/>
  <c r="AG7" i="5"/>
  <c r="AF7" i="5"/>
  <c r="AE7" i="5"/>
  <c r="O7" i="5"/>
  <c r="N7" i="5"/>
  <c r="K7" i="5" s="1"/>
  <c r="M7" i="5"/>
  <c r="L7" i="5"/>
  <c r="J7" i="5"/>
  <c r="I7" i="5"/>
  <c r="H7" i="5"/>
  <c r="AL6" i="5"/>
  <c r="AK6" i="5"/>
  <c r="AH6" i="5" s="1"/>
  <c r="AJ6" i="5"/>
  <c r="AI6" i="5"/>
  <c r="AG6" i="5"/>
  <c r="AF6" i="5"/>
  <c r="AE6" i="5"/>
  <c r="O6" i="5"/>
  <c r="N6" i="5"/>
  <c r="K6" i="5" s="1"/>
  <c r="M6" i="5"/>
  <c r="L6" i="5"/>
  <c r="J6" i="5"/>
  <c r="I6" i="5"/>
  <c r="H6" i="5"/>
  <c r="BF5" i="5" a="1"/>
  <c r="AL5" i="5"/>
  <c r="AK5" i="5"/>
  <c r="AJ5" i="5"/>
  <c r="AI5" i="5"/>
  <c r="AG5" i="5"/>
  <c r="AF5" i="5"/>
  <c r="AE5" i="5"/>
  <c r="O5" i="5"/>
  <c r="N5" i="5"/>
  <c r="K5" i="5" s="1"/>
  <c r="M5" i="5"/>
  <c r="L5" i="5"/>
  <c r="J5" i="5"/>
  <c r="I5" i="5"/>
  <c r="H5" i="5"/>
  <c r="BC35" i="3"/>
  <c r="BB35" i="3"/>
  <c r="BA35" i="3"/>
  <c r="AZ35" i="3"/>
  <c r="AE35" i="3"/>
  <c r="AD35" i="3"/>
  <c r="AC35" i="3"/>
  <c r="AB35" i="3"/>
  <c r="BC33" i="3"/>
  <c r="BB33" i="3"/>
  <c r="BA33" i="3"/>
  <c r="AZ33" i="3"/>
  <c r="AE33" i="3"/>
  <c r="BC34" i="3" s="1"/>
  <c r="AD33" i="3"/>
  <c r="AC33" i="3"/>
  <c r="AB33" i="3"/>
  <c r="BE29" i="3"/>
  <c r="AM29" i="3"/>
  <c r="AL29" i="3"/>
  <c r="AI29" i="3" s="1"/>
  <c r="AK29" i="3"/>
  <c r="AJ29" i="3"/>
  <c r="AH29" i="3"/>
  <c r="AG29" i="3"/>
  <c r="O29" i="3"/>
  <c r="N29" i="3"/>
  <c r="M29" i="3"/>
  <c r="L29" i="3"/>
  <c r="J29" i="3"/>
  <c r="I29" i="3"/>
  <c r="BE28" i="3"/>
  <c r="AM28" i="3"/>
  <c r="AL28" i="3"/>
  <c r="AI28" i="3" s="1"/>
  <c r="AK28" i="3"/>
  <c r="AJ28" i="3"/>
  <c r="AH28" i="3"/>
  <c r="AG28" i="3"/>
  <c r="O28" i="3"/>
  <c r="N28" i="3"/>
  <c r="M28" i="3"/>
  <c r="L28" i="3"/>
  <c r="J28" i="3"/>
  <c r="I28" i="3"/>
  <c r="BE27" i="3"/>
  <c r="AM27" i="3"/>
  <c r="AL27" i="3"/>
  <c r="AI27" i="3" s="1"/>
  <c r="AK27" i="3"/>
  <c r="AJ27" i="3"/>
  <c r="AH27" i="3"/>
  <c r="AG27" i="3"/>
  <c r="O27" i="3"/>
  <c r="N27" i="3"/>
  <c r="M27" i="3"/>
  <c r="L27" i="3"/>
  <c r="J27" i="3"/>
  <c r="I27" i="3"/>
  <c r="BE26" i="3"/>
  <c r="AM26" i="3"/>
  <c r="AL26" i="3"/>
  <c r="AI26" i="3" s="1"/>
  <c r="AK26" i="3"/>
  <c r="AJ26" i="3"/>
  <c r="AH26" i="3"/>
  <c r="AG26" i="3"/>
  <c r="O26" i="3"/>
  <c r="N26" i="3"/>
  <c r="M26" i="3"/>
  <c r="L26" i="3"/>
  <c r="J26" i="3"/>
  <c r="I26" i="3"/>
  <c r="BE25" i="3"/>
  <c r="AM25" i="3"/>
  <c r="AL25" i="3"/>
  <c r="AI25" i="3" s="1"/>
  <c r="AK25" i="3"/>
  <c r="AJ25" i="3"/>
  <c r="AH25" i="3"/>
  <c r="AG25" i="3"/>
  <c r="O25" i="3"/>
  <c r="N25" i="3"/>
  <c r="M25" i="3"/>
  <c r="L25" i="3"/>
  <c r="J25" i="3"/>
  <c r="I25" i="3"/>
  <c r="BE24" i="3"/>
  <c r="AM24" i="3"/>
  <c r="AL24" i="3"/>
  <c r="AI24" i="3" s="1"/>
  <c r="AK24" i="3"/>
  <c r="AJ24" i="3"/>
  <c r="AH24" i="3"/>
  <c r="AG24" i="3"/>
  <c r="O24" i="3"/>
  <c r="N24" i="3"/>
  <c r="M24" i="3"/>
  <c r="L24" i="3"/>
  <c r="J24" i="3"/>
  <c r="I24" i="3"/>
  <c r="BE23" i="3"/>
  <c r="AM23" i="3"/>
  <c r="AL23" i="3"/>
  <c r="AI23" i="3" s="1"/>
  <c r="AK23" i="3"/>
  <c r="AJ23" i="3"/>
  <c r="AH23" i="3"/>
  <c r="AG23" i="3"/>
  <c r="O23" i="3"/>
  <c r="N23" i="3"/>
  <c r="M23" i="3"/>
  <c r="L23" i="3"/>
  <c r="J23" i="3"/>
  <c r="I23" i="3"/>
  <c r="BE22" i="3"/>
  <c r="AM22" i="3"/>
  <c r="AL22" i="3"/>
  <c r="AI22" i="3" s="1"/>
  <c r="AK22" i="3"/>
  <c r="AJ22" i="3"/>
  <c r="AH22" i="3"/>
  <c r="AG22" i="3"/>
  <c r="O22" i="3"/>
  <c r="N22" i="3"/>
  <c r="M22" i="3"/>
  <c r="L22" i="3"/>
  <c r="J22" i="3"/>
  <c r="I22" i="3"/>
  <c r="BE21" i="3"/>
  <c r="AM21" i="3"/>
  <c r="AL21" i="3"/>
  <c r="AI21" i="3" s="1"/>
  <c r="AK21" i="3"/>
  <c r="AJ21" i="3"/>
  <c r="AH21" i="3"/>
  <c r="AG21" i="3"/>
  <c r="O21" i="3"/>
  <c r="N21" i="3"/>
  <c r="M21" i="3"/>
  <c r="L21" i="3"/>
  <c r="J21" i="3"/>
  <c r="I21" i="3"/>
  <c r="BE20" i="3"/>
  <c r="AM20" i="3"/>
  <c r="AL20" i="3"/>
  <c r="AI20" i="3" s="1"/>
  <c r="AK20" i="3"/>
  <c r="AJ20" i="3"/>
  <c r="AH20" i="3"/>
  <c r="AG20" i="3"/>
  <c r="O20" i="3"/>
  <c r="N20" i="3"/>
  <c r="M20" i="3"/>
  <c r="L20" i="3"/>
  <c r="J20" i="3"/>
  <c r="I20" i="3"/>
  <c r="BE19" i="3"/>
  <c r="AM19" i="3"/>
  <c r="AL19" i="3"/>
  <c r="AI19" i="3" s="1"/>
  <c r="AK19" i="3"/>
  <c r="AJ19" i="3"/>
  <c r="AH19" i="3"/>
  <c r="AG19" i="3"/>
  <c r="O19" i="3"/>
  <c r="N19" i="3"/>
  <c r="M19" i="3"/>
  <c r="L19" i="3"/>
  <c r="J19" i="3"/>
  <c r="I19" i="3"/>
  <c r="BE18" i="3"/>
  <c r="AM18" i="3"/>
  <c r="AL18" i="3"/>
  <c r="AI18" i="3" s="1"/>
  <c r="AK18" i="3"/>
  <c r="AJ18" i="3"/>
  <c r="AH18" i="3"/>
  <c r="AG18" i="3"/>
  <c r="O18" i="3"/>
  <c r="N18" i="3"/>
  <c r="M18" i="3"/>
  <c r="L18" i="3"/>
  <c r="J18" i="3"/>
  <c r="I18" i="3"/>
  <c r="BE17" i="3"/>
  <c r="AM17" i="3"/>
  <c r="AL17" i="3"/>
  <c r="AI17" i="3" s="1"/>
  <c r="AK17" i="3"/>
  <c r="AJ17" i="3"/>
  <c r="AH17" i="3"/>
  <c r="AG17" i="3"/>
  <c r="O17" i="3"/>
  <c r="N17" i="3"/>
  <c r="M17" i="3"/>
  <c r="L17" i="3"/>
  <c r="J17" i="3"/>
  <c r="I17" i="3"/>
  <c r="BE16" i="3"/>
  <c r="AM16" i="3"/>
  <c r="AL16" i="3"/>
  <c r="AI16" i="3" s="1"/>
  <c r="AK16" i="3"/>
  <c r="AJ16" i="3"/>
  <c r="AH16" i="3"/>
  <c r="AG16" i="3"/>
  <c r="O16" i="3"/>
  <c r="N16" i="3"/>
  <c r="M16" i="3"/>
  <c r="L16" i="3"/>
  <c r="J16" i="3"/>
  <c r="I16" i="3"/>
  <c r="BE15" i="3"/>
  <c r="AM15" i="3"/>
  <c r="AL15" i="3"/>
  <c r="AI15" i="3" s="1"/>
  <c r="AK15" i="3"/>
  <c r="AJ15" i="3"/>
  <c r="AH15" i="3"/>
  <c r="AG15" i="3"/>
  <c r="O15" i="3"/>
  <c r="N15" i="3"/>
  <c r="M15" i="3"/>
  <c r="L15" i="3"/>
  <c r="J15" i="3"/>
  <c r="I15" i="3"/>
  <c r="BE14" i="3"/>
  <c r="AM14" i="3"/>
  <c r="AL14" i="3"/>
  <c r="AI14" i="3" s="1"/>
  <c r="AK14" i="3"/>
  <c r="AJ14" i="3"/>
  <c r="AH14" i="3"/>
  <c r="AG14" i="3"/>
  <c r="O14" i="3"/>
  <c r="N14" i="3"/>
  <c r="M14" i="3"/>
  <c r="L14" i="3"/>
  <c r="J14" i="3"/>
  <c r="I14" i="3"/>
  <c r="BE13" i="3"/>
  <c r="AM13" i="3"/>
  <c r="AL13" i="3"/>
  <c r="AI13" i="3" s="1"/>
  <c r="AK13" i="3"/>
  <c r="AJ13" i="3"/>
  <c r="AH13" i="3"/>
  <c r="AG13" i="3"/>
  <c r="O13" i="3"/>
  <c r="N13" i="3"/>
  <c r="M13" i="3"/>
  <c r="L13" i="3"/>
  <c r="J13" i="3"/>
  <c r="I13" i="3"/>
  <c r="BE12" i="3"/>
  <c r="AM12" i="3"/>
  <c r="AL12" i="3"/>
  <c r="AI12" i="3" s="1"/>
  <c r="AK12" i="3"/>
  <c r="AJ12" i="3"/>
  <c r="AH12" i="3"/>
  <c r="AG12" i="3"/>
  <c r="O12" i="3"/>
  <c r="N12" i="3"/>
  <c r="M12" i="3"/>
  <c r="L12" i="3"/>
  <c r="J12" i="3"/>
  <c r="I12" i="3"/>
  <c r="BE11" i="3"/>
  <c r="AM11" i="3"/>
  <c r="AL11" i="3"/>
  <c r="AI11" i="3" s="1"/>
  <c r="AK11" i="3"/>
  <c r="AJ11" i="3"/>
  <c r="AH11" i="3"/>
  <c r="AG11" i="3"/>
  <c r="O11" i="3"/>
  <c r="N11" i="3"/>
  <c r="M11" i="3"/>
  <c r="L11" i="3"/>
  <c r="J11" i="3"/>
  <c r="I11" i="3"/>
  <c r="BE10" i="3"/>
  <c r="AM10" i="3"/>
  <c r="AL10" i="3"/>
  <c r="AI10" i="3" s="1"/>
  <c r="AK10" i="3"/>
  <c r="AJ10" i="3"/>
  <c r="AH10" i="3"/>
  <c r="AG10" i="3"/>
  <c r="O10" i="3"/>
  <c r="N10" i="3"/>
  <c r="M10" i="3"/>
  <c r="L10" i="3"/>
  <c r="J10" i="3"/>
  <c r="I10" i="3"/>
  <c r="BE9" i="3"/>
  <c r="AM9" i="3"/>
  <c r="AL9" i="3"/>
  <c r="AI9" i="3" s="1"/>
  <c r="AK9" i="3"/>
  <c r="AJ9" i="3"/>
  <c r="AH9" i="3"/>
  <c r="AG9" i="3"/>
  <c r="O9" i="3"/>
  <c r="N9" i="3"/>
  <c r="M9" i="3"/>
  <c r="L9" i="3"/>
  <c r="J9" i="3"/>
  <c r="I9" i="3"/>
  <c r="BE8" i="3"/>
  <c r="AM8" i="3"/>
  <c r="AL8" i="3"/>
  <c r="AI8" i="3" s="1"/>
  <c r="AK8" i="3"/>
  <c r="AJ8" i="3"/>
  <c r="AH8" i="3"/>
  <c r="AG8" i="3"/>
  <c r="O8" i="3"/>
  <c r="N8" i="3"/>
  <c r="M8" i="3"/>
  <c r="L8" i="3"/>
  <c r="J8" i="3"/>
  <c r="I8" i="3"/>
  <c r="BE7" i="3"/>
  <c r="AM7" i="3"/>
  <c r="AL7" i="3"/>
  <c r="AI7" i="3" s="1"/>
  <c r="AK7" i="3"/>
  <c r="AJ7" i="3"/>
  <c r="AH7" i="3"/>
  <c r="AG7" i="3"/>
  <c r="O7" i="3"/>
  <c r="N7" i="3"/>
  <c r="M7" i="3"/>
  <c r="L7" i="3"/>
  <c r="J7" i="3"/>
  <c r="I7" i="3"/>
  <c r="BE6" i="3"/>
  <c r="AM6" i="3"/>
  <c r="AL6" i="3"/>
  <c r="AI6" i="3" s="1"/>
  <c r="AK6" i="3"/>
  <c r="AJ6" i="3"/>
  <c r="AH6" i="3"/>
  <c r="AG6" i="3"/>
  <c r="O6" i="3"/>
  <c r="N6" i="3"/>
  <c r="M6" i="3"/>
  <c r="L6" i="3"/>
  <c r="J6" i="3"/>
  <c r="I6" i="3"/>
  <c r="BG5" i="3" a="1"/>
  <c r="BE5" i="3"/>
  <c r="AM5" i="3"/>
  <c r="AL5" i="3"/>
  <c r="AI5" i="3" s="1"/>
  <c r="AK5" i="3"/>
  <c r="AJ5" i="3"/>
  <c r="AH5" i="3"/>
  <c r="AG5" i="3"/>
  <c r="O5" i="3"/>
  <c r="N5" i="3"/>
  <c r="M5" i="3"/>
  <c r="L5" i="3"/>
  <c r="J5" i="3"/>
  <c r="I5" i="3"/>
  <c r="B1" i="2"/>
  <c r="B2" i="2" s="1"/>
  <c r="BK10" i="7"/>
  <c r="BR20" i="7"/>
  <c r="BK25" i="7"/>
  <c r="BP15" i="7"/>
  <c r="BS20" i="3"/>
  <c r="BP20" i="7"/>
  <c r="BS15" i="3"/>
  <c r="BQ15" i="7"/>
  <c r="BM10" i="7"/>
  <c r="BM25" i="7"/>
  <c r="BL20" i="3"/>
  <c r="BM5" i="7"/>
  <c r="BK25" i="3"/>
  <c r="BM10" i="3"/>
  <c r="BK15" i="3"/>
  <c r="BP15" i="3"/>
  <c r="BM25" i="3"/>
  <c r="BO20" i="3"/>
  <c r="BL5" i="7"/>
  <c r="BL15" i="7"/>
  <c r="BM15" i="3"/>
  <c r="BQ25" i="3"/>
  <c r="BO15" i="3"/>
  <c r="BP10" i="3"/>
  <c r="BO10" i="3"/>
  <c r="BO15" i="7"/>
  <c r="BR5" i="7"/>
  <c r="BP5" i="3"/>
  <c r="BL25" i="7"/>
  <c r="BP25" i="3"/>
  <c r="BM20" i="7"/>
  <c r="BQ5" i="7"/>
  <c r="BL10" i="3"/>
  <c r="BS25" i="3"/>
  <c r="BQ10" i="7"/>
  <c r="BP20" i="3"/>
  <c r="BP5" i="7"/>
  <c r="BS10" i="3"/>
  <c r="BR10" i="7"/>
  <c r="BK5" i="7"/>
  <c r="BL15" i="3"/>
  <c r="BS25" i="7"/>
  <c r="BK5" i="3"/>
  <c r="BS5" i="7"/>
  <c r="BS5" i="3"/>
  <c r="BQ20" i="3"/>
  <c r="BR20" i="3"/>
  <c r="BO25" i="7"/>
  <c r="BK20" i="3"/>
  <c r="BL25" i="3"/>
  <c r="BR10" i="3"/>
  <c r="BR25" i="7"/>
  <c r="BR15" i="3"/>
  <c r="BQ10" i="3"/>
  <c r="BQ5" i="3"/>
  <c r="BS10" i="7"/>
  <c r="BO25" i="3"/>
  <c r="BM20" i="3"/>
  <c r="BO5" i="7"/>
  <c r="BO5" i="3"/>
  <c r="BK10" i="3"/>
  <c r="BL5" i="3"/>
  <c r="BS15" i="7"/>
  <c r="BK20" i="7"/>
  <c r="BR25" i="3"/>
  <c r="BM5" i="3"/>
  <c r="BP25" i="7"/>
  <c r="BL20" i="7"/>
  <c r="BQ20" i="7"/>
  <c r="BQ15" i="3"/>
  <c r="BO10" i="7"/>
  <c r="BL10" i="7"/>
  <c r="BM15" i="7"/>
  <c r="BS20" i="7"/>
  <c r="BR5" i="3"/>
  <c r="BR15" i="7"/>
  <c r="BP10" i="7"/>
  <c r="BQ25" i="7"/>
  <c r="BK15" i="7"/>
  <c r="BO20" i="7"/>
  <c r="BJ25" i="7"/>
  <c r="BG10" i="3" l="1" a="1"/>
  <c r="BF7" i="5" a="1"/>
  <c r="BF7" i="5" s="1"/>
  <c r="BG5" i="7" a="1"/>
  <c r="BF6" i="5" a="1"/>
  <c r="BF9" i="5" a="1"/>
  <c r="BE9" i="6"/>
  <c r="BG10" i="7" a="1"/>
  <c r="BG10" i="7" s="1"/>
  <c r="BE8" i="6"/>
  <c r="BB8" i="6"/>
  <c r="K8" i="6"/>
  <c r="BC8" i="6"/>
  <c r="BC7" i="5"/>
  <c r="AK30" i="7"/>
  <c r="BF21" i="3"/>
  <c r="BF29" i="3"/>
  <c r="BE5" i="5"/>
  <c r="BF15" i="7"/>
  <c r="BF13" i="7"/>
  <c r="BF19" i="7"/>
  <c r="BF23" i="7"/>
  <c r="BF29" i="7"/>
  <c r="BF17" i="7"/>
  <c r="BF21" i="7"/>
  <c r="BF27" i="7"/>
  <c r="AZ36" i="7"/>
  <c r="C43" i="1" s="1"/>
  <c r="BF11" i="7"/>
  <c r="BF25" i="7"/>
  <c r="BE6" i="6"/>
  <c r="K9" i="6"/>
  <c r="K11" i="6" s="1"/>
  <c r="AZ14" i="5"/>
  <c r="BE8" i="5"/>
  <c r="BD8" i="5"/>
  <c r="BF13" i="3"/>
  <c r="BF17" i="3"/>
  <c r="BF23" i="3"/>
  <c r="J31" i="3"/>
  <c r="AI13" i="7"/>
  <c r="AI21" i="7"/>
  <c r="BF8" i="3"/>
  <c r="BE7" i="6"/>
  <c r="AX16" i="6"/>
  <c r="AY16" i="5"/>
  <c r="C22" i="1" s="1"/>
  <c r="AI11" i="7"/>
  <c r="AI19" i="7"/>
  <c r="AI17" i="7"/>
  <c r="AI25" i="7"/>
  <c r="BF8" i="6"/>
  <c r="BD7" i="6"/>
  <c r="BE7" i="5"/>
  <c r="BE9" i="5"/>
  <c r="AH5" i="5"/>
  <c r="BF6" i="3"/>
  <c r="AJ31" i="3"/>
  <c r="BF11" i="3"/>
  <c r="BF19" i="3"/>
  <c r="BF27" i="3"/>
  <c r="BJ31" i="7"/>
  <c r="D41" i="1" s="1"/>
  <c r="BR31" i="7"/>
  <c r="K41" i="1" s="1"/>
  <c r="BO31" i="7"/>
  <c r="H41" i="1" s="1"/>
  <c r="BS31" i="7"/>
  <c r="L41" i="1" s="1"/>
  <c r="BO32" i="7"/>
  <c r="H42" i="1" s="1"/>
  <c r="BK31" i="7"/>
  <c r="E41" i="1" s="1"/>
  <c r="BP31" i="7"/>
  <c r="I41" i="1" s="1"/>
  <c r="BS32" i="7"/>
  <c r="L42" i="1" s="1"/>
  <c r="BM31" i="7"/>
  <c r="G41" i="1" s="1"/>
  <c r="BL31" i="7"/>
  <c r="F41" i="1" s="1"/>
  <c r="BQ31" i="7"/>
  <c r="J41" i="1" s="1"/>
  <c r="BS31" i="3"/>
  <c r="L10" i="1" s="1"/>
  <c r="BP31" i="3"/>
  <c r="I10" i="1" s="1"/>
  <c r="BL31" i="3"/>
  <c r="F10" i="1" s="1"/>
  <c r="BQ31" i="3"/>
  <c r="J10" i="1" s="1"/>
  <c r="BO31" i="3"/>
  <c r="H10" i="1" s="1"/>
  <c r="BK31" i="3"/>
  <c r="E10" i="1" s="1"/>
  <c r="BM31" i="3"/>
  <c r="G10" i="1" s="1"/>
  <c r="BR31" i="3"/>
  <c r="K10" i="1" s="1"/>
  <c r="BF12" i="3"/>
  <c r="BF14" i="3"/>
  <c r="BF16" i="3"/>
  <c r="BF18" i="3"/>
  <c r="BF24" i="3"/>
  <c r="BF28" i="3"/>
  <c r="BF7" i="3"/>
  <c r="BF9" i="3"/>
  <c r="BF22" i="3"/>
  <c r="BF26" i="3"/>
  <c r="AK30" i="3"/>
  <c r="AI31" i="3"/>
  <c r="AH9" i="6"/>
  <c r="AH11" i="6" s="1"/>
  <c r="AH7" i="6"/>
  <c r="BF6" i="5"/>
  <c r="AH30" i="7"/>
  <c r="J31" i="7"/>
  <c r="AJ31" i="7"/>
  <c r="L31" i="7"/>
  <c r="AK31" i="7"/>
  <c r="AJ32" i="7"/>
  <c r="AH31" i="7"/>
  <c r="AK31" i="3"/>
  <c r="AH31" i="3"/>
  <c r="AI32" i="3"/>
  <c r="AH32" i="3"/>
  <c r="AJ32" i="3"/>
  <c r="AI12" i="6"/>
  <c r="BC6" i="6"/>
  <c r="L12" i="6"/>
  <c r="BC7" i="6"/>
  <c r="AJ12" i="6"/>
  <c r="BB6" i="6"/>
  <c r="BC8" i="5"/>
  <c r="BB9" i="5"/>
  <c r="BC6" i="5"/>
  <c r="BB7" i="5"/>
  <c r="AJ12" i="5"/>
  <c r="AG12" i="5"/>
  <c r="L12" i="5"/>
  <c r="AI12" i="5"/>
  <c r="BB5" i="5"/>
  <c r="AZ16" i="6"/>
  <c r="M12" i="6"/>
  <c r="BD5" i="6"/>
  <c r="K6" i="6"/>
  <c r="BF6" i="6"/>
  <c r="BC11" i="6"/>
  <c r="D30" i="1" s="1"/>
  <c r="BC9" i="6"/>
  <c r="AW14" i="6"/>
  <c r="AW16" i="6"/>
  <c r="C32" i="1" s="1"/>
  <c r="BB7" i="6"/>
  <c r="BF7" i="6"/>
  <c r="AZ14" i="6"/>
  <c r="BD9" i="6"/>
  <c r="AX14" i="6"/>
  <c r="BC5" i="6"/>
  <c r="BF9" i="6"/>
  <c r="BF11" i="6" s="1"/>
  <c r="AY14" i="6"/>
  <c r="AY16" i="6"/>
  <c r="C33" i="1" s="1"/>
  <c r="AX16" i="5"/>
  <c r="AY14" i="5"/>
  <c r="BD11" i="5"/>
  <c r="E19" i="1" s="1"/>
  <c r="J12" i="5"/>
  <c r="BF5" i="5"/>
  <c r="AW14" i="5"/>
  <c r="AZ16" i="5"/>
  <c r="M12" i="5"/>
  <c r="BE6" i="5"/>
  <c r="BF9" i="5"/>
  <c r="BF11" i="5" s="1"/>
  <c r="AX14" i="5"/>
  <c r="AW16" i="5"/>
  <c r="C21" i="1" s="1"/>
  <c r="M31" i="7"/>
  <c r="BA34" i="7"/>
  <c r="BA36" i="7"/>
  <c r="AZ34" i="7"/>
  <c r="L32" i="7"/>
  <c r="BG5" i="7"/>
  <c r="BB34" i="7"/>
  <c r="BB36" i="7"/>
  <c r="C44" i="1" s="1"/>
  <c r="M30" i="7"/>
  <c r="BF5" i="7"/>
  <c r="BF12" i="7"/>
  <c r="BF14" i="7"/>
  <c r="BF16" i="7"/>
  <c r="BF18" i="7"/>
  <c r="BF20" i="7"/>
  <c r="BF22" i="7"/>
  <c r="BF24" i="7"/>
  <c r="BF26" i="7"/>
  <c r="BF28" i="7"/>
  <c r="BC34" i="7"/>
  <c r="BC36" i="7"/>
  <c r="M30" i="3"/>
  <c r="BK32" i="3"/>
  <c r="E11" i="1" s="1"/>
  <c r="BP30" i="3"/>
  <c r="I9" i="1" s="1"/>
  <c r="L31" i="3"/>
  <c r="BM32" i="3"/>
  <c r="G11" i="1" s="1"/>
  <c r="BR32" i="3"/>
  <c r="K11" i="1" s="1"/>
  <c r="BB36" i="3"/>
  <c r="C13" i="1" s="1"/>
  <c r="AZ34" i="3"/>
  <c r="BC36" i="3"/>
  <c r="J32" i="3"/>
  <c r="BG10" i="3"/>
  <c r="M31" i="3"/>
  <c r="BA34" i="3"/>
  <c r="AZ36" i="3"/>
  <c r="C12" i="1" s="1"/>
  <c r="L30" i="3"/>
  <c r="BG5" i="3"/>
  <c r="BB34" i="3"/>
  <c r="BA36" i="3"/>
  <c r="BL32" i="3"/>
  <c r="F11" i="1" s="1"/>
  <c r="BQ32" i="3"/>
  <c r="J11" i="1" s="1"/>
  <c r="BM32" i="7"/>
  <c r="G42" i="1" s="1"/>
  <c r="BR32" i="7"/>
  <c r="K42" i="1" s="1"/>
  <c r="BO30" i="3"/>
  <c r="H9" i="1" s="1"/>
  <c r="BS30" i="3"/>
  <c r="L9" i="1" s="1"/>
  <c r="BK30" i="7"/>
  <c r="E40" i="1" s="1"/>
  <c r="BP30" i="7"/>
  <c r="I40" i="1" s="1"/>
  <c r="BC11" i="5"/>
  <c r="C19" i="1" s="1"/>
  <c r="J30" i="3"/>
  <c r="AH30" i="3"/>
  <c r="BL30" i="3"/>
  <c r="F9" i="1" s="1"/>
  <c r="BQ30" i="3"/>
  <c r="J9" i="1" s="1"/>
  <c r="L32" i="3"/>
  <c r="AK32" i="3"/>
  <c r="BS32" i="3"/>
  <c r="L11" i="1" s="1"/>
  <c r="BD5" i="5"/>
  <c r="BC5" i="5"/>
  <c r="AH8" i="5"/>
  <c r="BF8" i="5" a="1"/>
  <c r="BF8" i="5" s="1"/>
  <c r="AI10" i="5"/>
  <c r="BD6" i="6"/>
  <c r="BB11" i="6"/>
  <c r="C30" i="1" s="1"/>
  <c r="K5" i="7"/>
  <c r="BL30" i="7"/>
  <c r="F40" i="1" s="1"/>
  <c r="BL32" i="7"/>
  <c r="F42" i="1" s="1"/>
  <c r="BQ30" i="7"/>
  <c r="J40" i="1" s="1"/>
  <c r="BQ32" i="7"/>
  <c r="J42" i="1" s="1"/>
  <c r="BF7" i="7"/>
  <c r="BF9" i="7"/>
  <c r="BG15" i="3" a="1"/>
  <c r="BG15" i="3" s="1"/>
  <c r="BG20" i="3" a="1"/>
  <c r="BG20" i="3" s="1"/>
  <c r="BG25" i="3" a="1"/>
  <c r="BG25" i="3" s="1"/>
  <c r="BG31" i="3" s="1"/>
  <c r="AI30" i="3"/>
  <c r="BM30" i="3"/>
  <c r="G9" i="1" s="1"/>
  <c r="BR30" i="3"/>
  <c r="K9" i="1" s="1"/>
  <c r="M32" i="3"/>
  <c r="BO32" i="3"/>
  <c r="H11" i="1" s="1"/>
  <c r="BD6" i="5"/>
  <c r="BD7" i="5"/>
  <c r="AJ10" i="5"/>
  <c r="J30" i="7"/>
  <c r="J32" i="7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AJ30" i="3"/>
  <c r="BP32" i="3"/>
  <c r="I11" i="1" s="1"/>
  <c r="K12" i="5"/>
  <c r="K10" i="5"/>
  <c r="BB6" i="5"/>
  <c r="BD9" i="5"/>
  <c r="BC9" i="5"/>
  <c r="L10" i="5"/>
  <c r="J12" i="6"/>
  <c r="J10" i="6"/>
  <c r="AG12" i="6"/>
  <c r="AG10" i="6"/>
  <c r="BB5" i="6"/>
  <c r="BF5" i="6" a="1"/>
  <c r="BF5" i="6" s="1"/>
  <c r="BE5" i="6"/>
  <c r="BF6" i="7"/>
  <c r="BF8" i="7"/>
  <c r="BF10" i="7"/>
  <c r="BF5" i="3"/>
  <c r="BF10" i="3"/>
  <c r="BF15" i="3"/>
  <c r="BF20" i="3"/>
  <c r="BF25" i="3"/>
  <c r="BK30" i="3"/>
  <c r="E9" i="1" s="1"/>
  <c r="BB8" i="5"/>
  <c r="BB11" i="5"/>
  <c r="D19" i="1" s="1"/>
  <c r="M10" i="5"/>
  <c r="BD8" i="6"/>
  <c r="BD11" i="6"/>
  <c r="E30" i="1" s="1"/>
  <c r="K10" i="7"/>
  <c r="BG15" i="7" a="1"/>
  <c r="BG15" i="7" s="1"/>
  <c r="BG20" i="7" a="1"/>
  <c r="BG20" i="7" s="1"/>
  <c r="BG25" i="7" a="1"/>
  <c r="BG25" i="7" s="1"/>
  <c r="BG31" i="7" s="1"/>
  <c r="AI26" i="7"/>
  <c r="AI27" i="7"/>
  <c r="AI28" i="7"/>
  <c r="AI29" i="7"/>
  <c r="BM30" i="7"/>
  <c r="G40" i="1" s="1"/>
  <c r="BR30" i="7"/>
  <c r="K40" i="1" s="1"/>
  <c r="M32" i="7"/>
  <c r="AK32" i="7"/>
  <c r="BK32" i="7"/>
  <c r="E42" i="1" s="1"/>
  <c r="BP32" i="7"/>
  <c r="I42" i="1" s="1"/>
  <c r="J10" i="5"/>
  <c r="AG10" i="5"/>
  <c r="BB9" i="6"/>
  <c r="L10" i="6"/>
  <c r="AI10" i="6"/>
  <c r="K15" i="7"/>
  <c r="K20" i="7"/>
  <c r="K25" i="7"/>
  <c r="K31" i="7" s="1"/>
  <c r="L30" i="7"/>
  <c r="AJ30" i="7"/>
  <c r="BO30" i="7"/>
  <c r="H40" i="1" s="1"/>
  <c r="BS30" i="7"/>
  <c r="L40" i="1" s="1"/>
  <c r="AH32" i="7"/>
  <c r="M10" i="6"/>
  <c r="AJ10" i="6"/>
  <c r="BJ15" i="3"/>
  <c r="BI25" i="3"/>
  <c r="BI25" i="7"/>
  <c r="BJ15" i="7"/>
  <c r="BI20" i="3"/>
  <c r="BI10" i="3"/>
  <c r="BJ20" i="7"/>
  <c r="BJ5" i="3"/>
  <c r="BJ5" i="7"/>
  <c r="BJ25" i="3"/>
  <c r="BJ20" i="3"/>
  <c r="BI5" i="3"/>
  <c r="BI5" i="7"/>
  <c r="BI10" i="7"/>
  <c r="BI15" i="3"/>
  <c r="BI15" i="7"/>
  <c r="BJ10" i="3"/>
  <c r="BJ10" i="7"/>
  <c r="BI20" i="7"/>
  <c r="K10" i="6" l="1"/>
  <c r="AH10" i="5"/>
  <c r="AH12" i="6"/>
  <c r="BF12" i="5"/>
  <c r="BJ31" i="3"/>
  <c r="D10" i="1" s="1"/>
  <c r="AI30" i="7"/>
  <c r="BD12" i="6"/>
  <c r="E31" i="1" s="1"/>
  <c r="BG32" i="7"/>
  <c r="BG30" i="7"/>
  <c r="AH10" i="6"/>
  <c r="BI31" i="7"/>
  <c r="C41" i="1" s="1"/>
  <c r="BI31" i="3"/>
  <c r="C10" i="1" s="1"/>
  <c r="BJ32" i="3"/>
  <c r="D11" i="1" s="1"/>
  <c r="BJ30" i="3"/>
  <c r="D9" i="1" s="1"/>
  <c r="BG32" i="3"/>
  <c r="BD12" i="5"/>
  <c r="E20" i="1" s="1"/>
  <c r="BF10" i="5"/>
  <c r="AI32" i="7"/>
  <c r="BC12" i="6"/>
  <c r="D31" i="1" s="1"/>
  <c r="K12" i="6"/>
  <c r="BC12" i="5"/>
  <c r="C20" i="1" s="1"/>
  <c r="AH12" i="5"/>
  <c r="BB12" i="5"/>
  <c r="D20" i="1" s="1"/>
  <c r="BC10" i="6"/>
  <c r="D29" i="1" s="1"/>
  <c r="BG30" i="3"/>
  <c r="AI31" i="7"/>
  <c r="K31" i="3"/>
  <c r="K32" i="3"/>
  <c r="K30" i="3"/>
  <c r="BB10" i="6"/>
  <c r="C29" i="1" s="1"/>
  <c r="BD10" i="5"/>
  <c r="E18" i="1" s="1"/>
  <c r="K32" i="7"/>
  <c r="K30" i="7"/>
  <c r="BB12" i="6"/>
  <c r="C31" i="1" s="1"/>
  <c r="BI32" i="7"/>
  <c r="C42" i="1" s="1"/>
  <c r="BI30" i="7"/>
  <c r="C40" i="1" s="1"/>
  <c r="BD10" i="6"/>
  <c r="E29" i="1" s="1"/>
  <c r="BB10" i="5"/>
  <c r="D18" i="1" s="1"/>
  <c r="BF12" i="6"/>
  <c r="BF10" i="6"/>
  <c r="BI32" i="3"/>
  <c r="C11" i="1" s="1"/>
  <c r="BI30" i="3"/>
  <c r="C9" i="1" s="1"/>
  <c r="BJ32" i="7"/>
  <c r="D42" i="1" s="1"/>
  <c r="BJ30" i="7"/>
  <c r="D40" i="1" s="1"/>
  <c r="BC10" i="5"/>
  <c r="C18" i="1" s="1"/>
</calcChain>
</file>

<file path=xl/sharedStrings.xml><?xml version="1.0" encoding="utf-8"?>
<sst xmlns="http://schemas.openxmlformats.org/spreadsheetml/2006/main" count="1410" uniqueCount="553">
  <si>
    <t>Reference:</t>
  </si>
  <si>
    <t>Tested:</t>
  </si>
  <si>
    <t>reference</t>
  </si>
  <si>
    <t>tested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</si>
  <si>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</si>
  <si>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</si>
  <si>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</si>
  <si>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</si>
  <si>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</si>
  <si>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</si>
  <si>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</si>
  <si>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</si>
  <si>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</si>
  <si>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</si>
  <si>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</si>
  <si>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</si>
  <si>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</si>
  <si>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</si>
  <si>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</si>
  <si>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</si>
  <si>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</si>
  <si>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</si>
  <si>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</si>
  <si>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</si>
  <si>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</si>
  <si>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</si>
  <si>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</si>
  <si>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</si>
  <si>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</si>
  <si>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</si>
  <si>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</si>
  <si>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</si>
  <si>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</si>
  <si>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</si>
  <si>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</si>
  <si>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</si>
  <si>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</si>
  <si>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</si>
  <si>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</si>
  <si>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</si>
  <si>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</si>
  <si>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</si>
  <si>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</si>
  <si>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</si>
  <si>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</si>
  <si>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</si>
  <si>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</si>
  <si>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</si>
  <si>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</si>
  <si>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</si>
  <si>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</si>
  <si>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</si>
  <si>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</si>
  <si>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</si>
  <si>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</si>
  <si>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</si>
  <si>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</si>
  <si>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</si>
  <si>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</si>
  <si>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</si>
  <si>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</si>
  <si>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</si>
  <si>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</si>
  <si>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</si>
  <si>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</si>
  <si>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</si>
  <si>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</si>
  <si>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</si>
  <si>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</si>
  <si>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</si>
  <si>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</si>
  <si>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</si>
  <si>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</si>
  <si>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</si>
  <si>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</si>
  <si>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</si>
  <si>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</si>
  <si>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</si>
  <si>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</si>
  <si>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</si>
  <si>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</si>
  <si>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</si>
  <si>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</si>
  <si>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</si>
  <si>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</si>
  <si>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</si>
  <si>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</si>
  <si>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</si>
  <si>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</si>
  <si>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</si>
  <si>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</si>
  <si>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</si>
  <si>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</si>
  <si>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</si>
  <si>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class</t>
  </si>
  <si>
    <t>col.C2 lossyG,lossyA,intra.class</t>
  </si>
  <si>
    <t>Sequence</t>
  </si>
  <si>
    <t>sequence</t>
  </si>
  <si>
    <t>col.C2 lossyG,lossyA,intra.sequence</t>
  </si>
  <si>
    <t>Variant</t>
  </si>
  <si>
    <t>variant</t>
  </si>
  <si>
    <t>col.C2 lossyG,lossyA,intra.variant</t>
  </si>
  <si>
    <t>№ input points</t>
  </si>
  <si>
    <t>src.numpoints</t>
  </si>
  <si>
    <t>col.C2 lossyG,lossyA,intra.src.numpoints</t>
  </si>
  <si>
    <t>Geometry precision [bits]</t>
  </si>
  <si>
    <t>src.geometry-precision</t>
  </si>
  <si>
    <t>col.C2 lossyG,lossyA,intra.src.geometry-precision</t>
  </si>
  <si>
    <t>№ frames</t>
  </si>
  <si>
    <t>src.framecount</t>
  </si>
  <si>
    <t>col.C2 lossyG,lossyA,intra.src.framecount</t>
  </si>
  <si>
    <t>Frame rate [fps]</t>
  </si>
  <si>
    <t>src.framerate</t>
  </si>
  <si>
    <t>col.C2 lossyG,lossyA,intra.src.framerate</t>
  </si>
  <si>
    <t>Rate [Mbps]</t>
  </si>
  <si>
    <t>A.eqn.bitrate</t>
  </si>
  <si>
    <t>col.C2 lossyG,lossyA,intra.A.eqn.bitrate</t>
  </si>
  <si>
    <t>Bits per input point [bpip]</t>
  </si>
  <si>
    <t>Total</t>
  </si>
  <si>
    <t>A.eqn.bpp</t>
  </si>
  <si>
    <t>col.C2 lossyG,lossyA,intra.A.eqn.bpp</t>
  </si>
  <si>
    <t>Tot.Geom</t>
  </si>
  <si>
    <t>A.eqn.bpp.geometry+occ+patch</t>
  </si>
  <si>
    <t>col.C2 lossyG,lossyA,intra.A.eqn.bpp.geometry+occ+patch</t>
  </si>
  <si>
    <t>Geometry</t>
  </si>
  <si>
    <t>A.eqn.bpp.geometry</t>
  </si>
  <si>
    <t>col.C2 lossyG,lossyA,intra.A.eqn.bpp.geometry</t>
  </si>
  <si>
    <t xml:space="preserve">Colour </t>
  </si>
  <si>
    <t>A.eqn.bpp.colour</t>
  </si>
  <si>
    <t>col.C2 lossyG,lossyA,intra.A.eqn.bpp.colour</t>
  </si>
  <si>
    <t>A.eqn.bits.totalgeometry Bitstream [bits]</t>
  </si>
  <si>
    <t>A.eqn.bits.totalgeometry</t>
  </si>
  <si>
    <t>col.C2 lossyG,lossyA,intra.A.eqn.bits.totalgeometry</t>
  </si>
  <si>
    <t>Total Bits per output point [bpop]</t>
  </si>
  <si>
    <t>A.eqn.bpop</t>
  </si>
  <si>
    <t>col.C2 lossyG,lossyA,intra.A.eqn.bpop</t>
  </si>
  <si>
    <t>A.dec.numpoints</t>
  </si>
  <si>
    <t>col.C2 lossyG,lossyA,intra.A.dec.numpoints</t>
  </si>
  <si>
    <t>A.dec.numpoints.mean</t>
  </si>
  <si>
    <t>col.C2 lossyG,lossyA,intra.A.dec.numpoints.mean</t>
  </si>
  <si>
    <t>A.dec.numduppoints.mean</t>
  </si>
  <si>
    <t>col.C2 lossyG,lossyA,intra.A.dec.numduppoints.mean</t>
  </si>
  <si>
    <t>Bitstream [bits]</t>
  </si>
  <si>
    <t>A.enc.ext.bits</t>
  </si>
  <si>
    <t>col.C2 lossyG,lossyA,intra.A.enc.ext.bits</t>
  </si>
  <si>
    <t>A.enc.bits.geometry</t>
  </si>
  <si>
    <t>col.C2 lossyG,lossyA,intra.A.enc.bits.geometry</t>
  </si>
  <si>
    <t>Occ+Patch</t>
  </si>
  <si>
    <t>A.enc.bits.occ+patch</t>
  </si>
  <si>
    <t>col.C2 lossyG,lossyA,intra.A.enc.bits.occ+patch</t>
  </si>
  <si>
    <t>Colour</t>
  </si>
  <si>
    <t>A.enc.bits.colour</t>
  </si>
  <si>
    <t>col.C2 lossyG,lossyA,intra.A.enc.bits.colour</t>
  </si>
  <si>
    <t>Geometry PSNR [dB]</t>
  </si>
  <si>
    <t>D1</t>
  </si>
  <si>
    <t>A.dec.d1-psnr</t>
  </si>
  <si>
    <t>col.C2 lossyG,lossyA,intra.A.dec.d1-psnr</t>
  </si>
  <si>
    <t>D2</t>
  </si>
  <si>
    <t>A.dec.d2-psnr</t>
  </si>
  <si>
    <t>col.C2 lossyG,lossyA,intra.A.dec.d2-psnr</t>
  </si>
  <si>
    <t>End-to-end PSNR [dB]</t>
  </si>
  <si>
    <t>Luma</t>
  </si>
  <si>
    <t>A.dec.y-psnr</t>
  </si>
  <si>
    <t>col.C2 lossyG,lossyA,intra.A.dec.y-psnr</t>
  </si>
  <si>
    <t>Chroma Cb</t>
  </si>
  <si>
    <t>A.dec.cb-psnr</t>
  </si>
  <si>
    <t>col.C2 lossyG,lossyA,intra.A.dec.cb-psnr</t>
  </si>
  <si>
    <t>Chroma Cr</t>
  </si>
  <si>
    <t>A.dec.cr-psnr</t>
  </si>
  <si>
    <t>col.C2 lossyG,lossyA,intra.A.dec.cr-psnr</t>
  </si>
  <si>
    <t>Encoder runtime [s]</t>
  </si>
  <si>
    <t>Self</t>
  </si>
  <si>
    <t>A.enc.utime.self</t>
  </si>
  <si>
    <t>col.C2 lossyG,lossyA,intra.A.enc.utime.self</t>
  </si>
  <si>
    <t>Child</t>
  </si>
  <si>
    <t>A.enc.utime.children</t>
  </si>
  <si>
    <t>col.C2 lossyG,lossyA,intra.A.enc.utime.children</t>
  </si>
  <si>
    <t>Decoder runtime [s]</t>
  </si>
  <si>
    <t>A.dec.utime.self</t>
  </si>
  <si>
    <t>col.C2 lossyG,lossyA,intra.A.dec.utime.self</t>
  </si>
  <si>
    <t>A.dec.utime.children</t>
  </si>
  <si>
    <t>col.C2 lossyG,lossyA,intra.A.dec.utime.children</t>
  </si>
  <si>
    <t>B.eqn.bitrate</t>
  </si>
  <si>
    <t>col.C2 lossyG,lossyA,intra.B.eqn.bitrate</t>
  </si>
  <si>
    <t>B.eqn.bpp</t>
  </si>
  <si>
    <t>col.C2 lossyG,lossyA,intra.B.eqn.bpp</t>
  </si>
  <si>
    <t>B.eqn.bpp.geometry+occ+patch</t>
  </si>
  <si>
    <t>col.C2 lossyG,lossyA,intra.B.eqn.bpp.geometry+occ+patch</t>
  </si>
  <si>
    <t>B.eqn.bpp.geometry</t>
  </si>
  <si>
    <t>col.C2 lossyG,lossyA,intra.B.eqn.bpp.geometry</t>
  </si>
  <si>
    <t>B.eqn.bpp.colour</t>
  </si>
  <si>
    <t>col.C2 lossyG,lossyA,intra.B.eqn.bpp.colour</t>
  </si>
  <si>
    <t>B.eqn.bits.totalgeometry Bitstream [bits]</t>
  </si>
  <si>
    <t>B.eqn.bits.totalgeometry</t>
  </si>
  <si>
    <t>col.C2 lossyG,lossyA,intra.B.eqn.bits.totalgeometry</t>
  </si>
  <si>
    <t>B.eqn.bpop</t>
  </si>
  <si>
    <t>col.C2 lossyG,lossyA,intra.B.eqn.bpop</t>
  </si>
  <si>
    <t>B.dec.numpoints</t>
  </si>
  <si>
    <t>col.C2 lossyG,lossyA,intra.B.dec.numpoints</t>
  </si>
  <si>
    <t>B.dec.numpoints.mean</t>
  </si>
  <si>
    <t>col.C2 lossyG,lossyA,intra.B.dec.numpoints.mean</t>
  </si>
  <si>
    <t>B.dec.numduppoints.mean</t>
  </si>
  <si>
    <t>col.C2 lossyG,lossyA,intra.B.dec.numduppoints.mean</t>
  </si>
  <si>
    <t>B.enc.ext.bits</t>
  </si>
  <si>
    <t>col.C2 lossyG,lossyA,intra.B.enc.ext.bits</t>
  </si>
  <si>
    <t>B.enc.bits.geometry</t>
  </si>
  <si>
    <t>col.C2 lossyG,lossyA,intra.B.enc.bits.geometry</t>
  </si>
  <si>
    <t>B.enc.bits.occ+patch</t>
  </si>
  <si>
    <t>col.C2 lossyG,lossyA,intra.B.enc.bits.occ+patch</t>
  </si>
  <si>
    <t>B.enc.bits.colour</t>
  </si>
  <si>
    <t>col.C2 lossyG,lossyA,intra.B.enc.bits.colour</t>
  </si>
  <si>
    <t>B.dec.d1-psnr</t>
  </si>
  <si>
    <t>col.C2 lossyG,lossyA,intra.B.dec.d1-psnr</t>
  </si>
  <si>
    <t>B.dec.d2-psnr</t>
  </si>
  <si>
    <t>col.C2 lossyG,lossyA,intra.B.dec.d2-psnr</t>
  </si>
  <si>
    <t>B.dec.y-psnr</t>
  </si>
  <si>
    <t>col.C2 lossyG,lossyA,intra.B.dec.y-psnr</t>
  </si>
  <si>
    <t>B.dec.cb-psnr</t>
  </si>
  <si>
    <t>col.C2 lossyG,lossyA,intra.B.dec.cb-psnr</t>
  </si>
  <si>
    <t>B.dec.cr-psnr</t>
  </si>
  <si>
    <t>col.C2 lossyG,lossyA,intra.B.dec.cr-psnr</t>
  </si>
  <si>
    <t>B.enc.utime.self</t>
  </si>
  <si>
    <t>col.C2 lossyG,lossyA,intra.B.enc.utime.self</t>
  </si>
  <si>
    <t>B.enc.utime.children</t>
  </si>
  <si>
    <t>col.C2 lossyG,lossyA,intra.B.enc.utime.children</t>
  </si>
  <si>
    <t>B.dec.utime.self</t>
  </si>
  <si>
    <t>col.C2 lossyG,lossyA,intra.B.dec.utime.self</t>
  </si>
  <si>
    <t>B.dec.utime.children</t>
  </si>
  <si>
    <t>col.C2 lossyG,lossyA,intra.B.dec.utime.children</t>
  </si>
  <si>
    <t>Shift in duppoint ratio [pp]</t>
  </si>
  <si>
    <t>eqn.ab.delta-duppoints_ratio</t>
  </si>
  <si>
    <t>col.C2 lossyG,lossyA,intra.eqn.ab.delta-duppoints_ratio</t>
  </si>
  <si>
    <t>Shift in G:T bits ratio [pp]</t>
  </si>
  <si>
    <t>eqn.ab.delta-geom_texture_bits_ratio</t>
  </si>
  <si>
    <t>col.C2 lossyG,lossyA,intra.eqn.ab.delta-geom_texture_bits_ratio</t>
  </si>
  <si>
    <t>eqn.ab.summary-delta-geom_texture_bits_ratio</t>
  </si>
  <si>
    <t>col.C2 lossyG,lossyA,intra.eqn.ab.summary-delta-geom_texture_bits_ratio</t>
  </si>
  <si>
    <t>Geom. BD‑TotGeomRate [%]</t>
  </si>
  <si>
    <t>eqn.ab.bdrate-d1-geomrate</t>
  </si>
  <si>
    <t>col.C2 lossyG,lossyA,intra.eqn.ab.bdrate-d1-geomrate</t>
  </si>
  <si>
    <t>eqn.ab.bdrate-d2-geomrate</t>
  </si>
  <si>
    <t>col.C2 lossyG,lossyA,intra.eqn.ab.bdrate-d2-geomrate</t>
  </si>
  <si>
    <t>End-to-End BD‑AttrRate [%]</t>
  </si>
  <si>
    <t>eqn.ab.bdrate-y-attrrate</t>
  </si>
  <si>
    <t>col.C2 lossyG,lossyA,intra.eqn.ab.bdrate-y-attrrate</t>
  </si>
  <si>
    <t>eqn.ab.bdrate-cb-attrrate</t>
  </si>
  <si>
    <t>col.C2 lossyG,lossyA,intra.eqn.ab.bdrate-cb-attrrate</t>
  </si>
  <si>
    <t>eqn.ab.bdrate-cr-attrrate</t>
  </si>
  <si>
    <t>col.C2 lossyG,lossyA,intra.eqn.ab.bdrate-cr-attrrate</t>
  </si>
  <si>
    <t>Geom. BD‑TotalRate [%]</t>
  </si>
  <si>
    <t>eqn.ab.bdrate-d1</t>
  </si>
  <si>
    <t>col.C2 lossyG,lossyA,intra.eqn.ab.bdrate-d1</t>
  </si>
  <si>
    <t>eqn.ab.bdrate-d2</t>
  </si>
  <si>
    <t>col.C2 lossyG,lossyA,intra.eqn.ab.bdrate-d2</t>
  </si>
  <si>
    <t>End-to-End BD‑TotalRate [%]</t>
  </si>
  <si>
    <t>eqn.ab.bdrate-y</t>
  </si>
  <si>
    <t>col.C2 lossyG,lossyA,intra.eqn.ab.bdrate-y</t>
  </si>
  <si>
    <t>eqn.ab.bdrate-cb</t>
  </si>
  <si>
    <t>col.C2 lossyG,lossyA,intra.eqn.ab.bdrate-cb</t>
  </si>
  <si>
    <t>eqn.ab.bdrate-cr</t>
  </si>
  <si>
    <t>col.C2 lossyG,lossyA,intra.eqn.ab.bdrate-cr</t>
  </si>
  <si>
    <t>C2_ai — lossy geometry, lossy attributes [all intra]</t>
  </si>
  <si>
    <t>name.A.C2 lossyG,lossyA,intra</t>
  </si>
  <si>
    <t>'C2 lossyG,lossyA,intra'!$I$1</t>
  </si>
  <si>
    <t>name.B.C2 lossyG,lossyA,intra</t>
  </si>
  <si>
    <t>'C2 lossyG,lossyA,intra'!$AG$1</t>
  </si>
  <si>
    <t>8ivfbv2_loot_vox10</t>
  </si>
  <si>
    <t>cat2-A</t>
  </si>
  <si>
    <t>r01</t>
  </si>
  <si>
    <t>r02</t>
  </si>
  <si>
    <t>r03</t>
  </si>
  <si>
    <t>r04</t>
  </si>
  <si>
    <t>r05</t>
  </si>
  <si>
    <t>range.C2 lossyG,lossyA,intra.8ivfbv2_loot_vox10</t>
  </si>
  <si>
    <t>'C2 lossyG,lossyA,intra'!$A$5:$BS$9</t>
  </si>
  <si>
    <t>8ivfbv2_redandblack_vox10</t>
  </si>
  <si>
    <t>range.C2 lossyG,lossyA,intra.8ivfbv2_redandblack_vox10</t>
  </si>
  <si>
    <t>'C2 lossyG,lossyA,intra'!$A$10:$BS$14</t>
  </si>
  <si>
    <t>8ivfbv2_soldier_vox10</t>
  </si>
  <si>
    <t>range.C2 lossyG,lossyA,intra.8ivfbv2_soldier_vox10</t>
  </si>
  <si>
    <t>'C2 lossyG,lossyA,intra'!$A$15:$BS$19</t>
  </si>
  <si>
    <t>queen</t>
  </si>
  <si>
    <t>range.C2 lossyG,lossyA,intra.queen</t>
  </si>
  <si>
    <t>'C2 lossyG,lossyA,intra'!$A$20:$BS$24</t>
  </si>
  <si>
    <t>8ivfbv2_longdress_vox10</t>
  </si>
  <si>
    <t>cat2-B</t>
  </si>
  <si>
    <t>range.C2 lossyG,lossyA,intra.8ivfbv2_longdress_vox10</t>
  </si>
  <si>
    <t>'C2 lossyG,lossyA,intra'!$A$25:$BS$29</t>
  </si>
  <si>
    <t>Cat2-A average</t>
  </si>
  <si>
    <t>Cat2-B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</si>
  <si>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</si>
  <si>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</si>
  <si>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</si>
  <si>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</si>
  <si>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</si>
  <si>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</si>
  <si>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All Intra</t>
  </si>
  <si>
    <t>C2_ai</t>
  </si>
  <si>
    <t>lossy geometry, lossy attributes [all intra]</t>
  </si>
  <si>
    <t>Avg. Enc Time [%]</t>
  </si>
  <si>
    <t>Avg. Dec Time [%]</t>
  </si>
  <si>
    <t>C2 lossyG,lossyA,intra</t>
  </si>
  <si>
    <t>cols.C2 lossyG,lossyA,intra</t>
  </si>
  <si>
    <t>names!$B$74:$X$74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</si>
  <si>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</si>
  <si>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</si>
  <si>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</si>
  <si>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</si>
  <si>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</si>
  <si>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</si>
  <si>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Comp. ratio [%]</t>
  </si>
  <si>
    <t>A.eqn.compratio</t>
  </si>
  <si>
    <t>col.CW losslG,losslA,intra.A.eqn.compratio</t>
  </si>
  <si>
    <t>col.CW losslG,losslA,intra.A.eqn.bitrate</t>
  </si>
  <si>
    <t>col.CW losslG,losslA,intra.A.eqn.bpp</t>
  </si>
  <si>
    <t>col.CW losslG,losslA,intra.A.eqn.bpp.geometry+occ+patch</t>
  </si>
  <si>
    <t>col.CW losslG,losslA,intra.A.eqn.bpp.geometry</t>
  </si>
  <si>
    <t>col.CW losslG,losslA,intra.A.eqn.bpp.colour</t>
  </si>
  <si>
    <t>col.CW losslG,losslA,intra.A.eqn.bits.totalgeometry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</si>
  <si>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</si>
  <si>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</si>
  <si>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</si>
  <si>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</si>
  <si>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losslG,losslA,intra.A.enc.bits.occ+patch</t>
  </si>
  <si>
    <t>col.CW losslG,losslA,intra.A.enc.bits.colour</t>
  </si>
  <si>
    <t>col.CW losslG,losslA,intra.A.dec.d1-psnr</t>
  </si>
  <si>
    <t>col.CW losslG,losslA,intra.A.dec.d2-psnr</t>
  </si>
  <si>
    <t>col.CW losslG,losslA,intra.A.dec.y-psnr</t>
  </si>
  <si>
    <t>col.CW losslG,losslA,intra.A.dec.cb-psnr</t>
  </si>
  <si>
    <t>col.CW losslG,losslA,intra.A.dec.cr-psnr</t>
  </si>
  <si>
    <t>col.CW losslG,losslA,intra.A.enc.utime.self</t>
  </si>
  <si>
    <t>col.CW losslG,losslA,intra.A.enc.utime.children</t>
  </si>
  <si>
    <t>col.CW losslG,losslA,intra.A.dec.utime.self</t>
  </si>
  <si>
    <t>col.CW losslG,losslA,intra.A.dec.utime.children</t>
  </si>
  <si>
    <t>B.eqn.compratio</t>
  </si>
  <si>
    <t>col.CW losslG,losslA,intra.B.eqn.compratio</t>
  </si>
  <si>
    <t>col.CW losslG,losslA,intra.B.eqn.bitrate</t>
  </si>
  <si>
    <t>col.CW losslG,losslA,intra.B.eqn.bpp</t>
  </si>
  <si>
    <t>col.CW losslG,losslA,intra.B.eqn.bpp.geometry+occ+patch</t>
  </si>
  <si>
    <t>col.CW losslG,losslA,intra.B.eqn.bpp.geometry</t>
  </si>
  <si>
    <t>col.CW losslG,losslA,intra.B.eqn.bpp.colour</t>
  </si>
  <si>
    <t>col.CW losslG,losslA,intra.B.eqn.bits.totalgeometry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</si>
  <si>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</si>
  <si>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</si>
  <si>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</si>
  <si>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</si>
  <si>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losslG,losslA,intra.B.enc.bits.occ+patch</t>
  </si>
  <si>
    <t>col.CW losslG,losslA,intra.B.enc.bits.colour</t>
  </si>
  <si>
    <t>col.CW losslG,losslA,intra.B.dec.d1-psnr</t>
  </si>
  <si>
    <t>col.CW losslG,losslA,intra.B.dec.d2-psnr</t>
  </si>
  <si>
    <t>col.CW losslG,losslA,intra.B.dec.y-psnr</t>
  </si>
  <si>
    <t>col.CW losslG,losslA,intra.B.dec.cb-psnr</t>
  </si>
  <si>
    <t>col.CW losslG,losslA,intra.B.dec.cr-psnr</t>
  </si>
  <si>
    <t>col.CW losslG,losslA,intra.B.enc.utime.self</t>
  </si>
  <si>
    <t>col.CW losslG,losslA,intra.B.enc.utime.children</t>
  </si>
  <si>
    <t>col.CW losslG,losslA,intra.B.dec.utime.self</t>
  </si>
  <si>
    <t>col.CW losslG,losslA,intra.B.dec.utime.children</t>
  </si>
  <si>
    <t>bpip ratio [%]</t>
  </si>
  <si>
    <t>eqn.ab.ratio-bpp</t>
  </si>
  <si>
    <t>col.CW losslG,losslA,intra.eqn.ab.ratio-bpp</t>
  </si>
  <si>
    <t>eqn.ab.ratio-bpp-geometry</t>
  </si>
  <si>
    <t>col.CW losslG,losslA,intra.eqn.ab.ratio-bpp-geometry</t>
  </si>
  <si>
    <t>eqn.ab.ratio-bpp-colour</t>
  </si>
  <si>
    <t>col.CW losslG,losslA,intra.eqn.ab.ratio-bpp-colour</t>
  </si>
  <si>
    <t>col.CW losslG,losslA,intra.eqn.ab.delta-geom_texture_bits_ratio</t>
  </si>
  <si>
    <t>col.CW losslG,losslA,intra.eqn.ab.summary-delta-geom_texture_bits_ratio</t>
  </si>
  <si>
    <t>CW_ai — lossless geometry, lossless attributes [all intra]</t>
  </si>
  <si>
    <t>name.A.CW losslG,losslA,intra</t>
  </si>
  <si>
    <t>'CW losslG,losslA,intra'!$H$1</t>
  </si>
  <si>
    <t>name.B.CW losslG,losslA,intra</t>
  </si>
  <si>
    <t>'CW losslG,losslA,intra'!$AE$1</t>
  </si>
  <si>
    <t>range.CW losslG,losslA,intra.8ivfbv2_loot_vox10</t>
  </si>
  <si>
    <t>'CW losslG,losslA,intra'!$A$5:$BF$5</t>
  </si>
  <si>
    <t>range.CW losslG,losslA,intra.8ivfbv2_redandblack_vox10</t>
  </si>
  <si>
    <t>'CW losslG,losslA,intra'!$A$6:$BF$6</t>
  </si>
  <si>
    <t>range.CW losslG,losslA,intra.8ivfbv2_soldier_vox10</t>
  </si>
  <si>
    <t>'CW losslG,losslA,intra'!$A$7:$BF$7</t>
  </si>
  <si>
    <t>range.CW losslG,losslA,intra.queen</t>
  </si>
  <si>
    <t>'CW losslG,losslA,intra'!$A$8:$BF$8</t>
  </si>
  <si>
    <t>range.CW losslG,losslA,intra.8ivfbv2_longdress_vox10</t>
  </si>
  <si>
    <t>'CW losslG,losslA,intra'!$A$9:$BF$9</t>
  </si>
  <si>
    <t>CW_ai</t>
  </si>
  <si>
    <t>lossless geometry, lossless attributes [all intra]</t>
  </si>
  <si>
    <t>CW losslG,losslA,intra</t>
  </si>
  <si>
    <t>cols.CW losslG,losslA,intra</t>
  </si>
  <si>
    <t>names!$B$137:$W$137</t>
  </si>
  <si>
    <t>col.CW losslG,losslA,interLD.class</t>
  </si>
  <si>
    <t>col.CW losslG,losslA,interLD.sequence</t>
  </si>
  <si>
    <t>col.CW losslG,losslA,interLD.src.numpoints</t>
  </si>
  <si>
    <t>col.CW losslG,losslA,interLD.src.geometry-precision</t>
  </si>
  <si>
    <t>col.CW losslG,losslA,interLD.src.framecount</t>
  </si>
  <si>
    <t>col.CW losslG,losslA,interLD.src.framerate</t>
  </si>
  <si>
    <t>col.CW losslG,losslA,interLD.A.eqn.compratio</t>
  </si>
  <si>
    <t>col.CW losslG,losslA,interLD.A.eqn.bitrate</t>
  </si>
  <si>
    <t>col.CW losslG,losslA,interLD.A.eqn.bpp</t>
  </si>
  <si>
    <t>col.CW losslG,losslA,interLD.A.eqn.bpp.geometry+occ+patch</t>
  </si>
  <si>
    <t>col.CW losslG,losslA,interLD.A.eqn.bpp.geometry</t>
  </si>
  <si>
    <t>col.CW losslG,losslA,interLD.A.eqn.bpp.colour</t>
  </si>
  <si>
    <t>col.CW losslG,losslA,interLD.A.eqn.bits.totalgeometry</t>
  </si>
  <si>
    <t>col.CW losslG,losslA,interLD.A.eqn.bpop</t>
  </si>
  <si>
    <t>col.CW losslG,losslA,interLD.A.dec.numpoints</t>
  </si>
  <si>
    <t>col.CW losslG,losslA,interLD.A.enc.ext.bits</t>
  </si>
  <si>
    <t>col.CW losslG,losslA,interLD.A.enc.bits.geometry</t>
  </si>
  <si>
    <t>col.CW losslG,losslA,interLD.A.enc.bits.occ+patch</t>
  </si>
  <si>
    <t>col.CW losslG,losslA,interLD.A.enc.bits.colour</t>
  </si>
  <si>
    <t>col.CW losslG,losslA,interLD.A.dec.d1-psnr</t>
  </si>
  <si>
    <t>col.CW losslG,losslA,interLD.A.dec.d2-psnr</t>
  </si>
  <si>
    <t>col.CW losslG,losslA,interLD.A.dec.y-psnr</t>
  </si>
  <si>
    <t>col.CW losslG,losslA,interLD.A.dec.cb-psnr</t>
  </si>
  <si>
    <t>col.CW losslG,losslA,interLD.A.dec.cr-psnr</t>
  </si>
  <si>
    <t>col.CW losslG,losslA,interLD.A.enc.utime.self</t>
  </si>
  <si>
    <t>col.CW losslG,losslA,interLD.A.enc.utime.children</t>
  </si>
  <si>
    <t>col.CW losslG,losslA,interLD.A.dec.utime.self</t>
  </si>
  <si>
    <t>col.CW losslG,losslA,interLD.A.dec.utime.children</t>
  </si>
  <si>
    <t>col.CW losslG,losslA,interLD.B.eqn.compratio</t>
  </si>
  <si>
    <t>col.CW losslG,losslA,interLD.B.eqn.bitrate</t>
  </si>
  <si>
    <t>col.CW losslG,losslA,interLD.B.eqn.bpp</t>
  </si>
  <si>
    <t>col.CW losslG,losslA,interLD.B.eqn.bpp.geometry+occ+patch</t>
  </si>
  <si>
    <t>col.CW losslG,losslA,interLD.B.eqn.bpp.geometry</t>
  </si>
  <si>
    <t>col.CW losslG,losslA,interLD.B.eqn.bpp.colour</t>
  </si>
  <si>
    <t>col.CW losslG,losslA,interLD.B.eqn.bits.totalgeometry</t>
  </si>
  <si>
    <t>col.CW losslG,losslA,interLD.B.eqn.bpop</t>
  </si>
  <si>
    <t>col.CW losslG,losslA,interLD.B.dec.numpoints</t>
  </si>
  <si>
    <t>col.CW losslG,losslA,interLD.B.enc.ext.bits</t>
  </si>
  <si>
    <t>col.CW losslG,losslA,interLD.B.enc.bits.geometry</t>
  </si>
  <si>
    <t>col.CW losslG,losslA,interLD.B.enc.bits.occ+patch</t>
  </si>
  <si>
    <t>col.CW losslG,losslA,interLD.B.enc.bits.colour</t>
  </si>
  <si>
    <t>col.CW losslG,losslA,interLD.B.dec.d1-psnr</t>
  </si>
  <si>
    <t>col.CW losslG,losslA,interLD.B.dec.d2-psnr</t>
  </si>
  <si>
    <t>col.CW losslG,losslA,interLD.B.dec.y-psnr</t>
  </si>
  <si>
    <t>col.CW losslG,losslA,interLD.B.dec.cb-psnr</t>
  </si>
  <si>
    <t>col.CW losslG,losslA,interLD.B.dec.cr-psnr</t>
  </si>
  <si>
    <t>col.CW losslG,losslA,interLD.B.enc.utime.self</t>
  </si>
  <si>
    <t>col.CW losslG,losslA,interLD.B.enc.utime.children</t>
  </si>
  <si>
    <t>col.CW losslG,losslA,interLD.B.dec.utime.self</t>
  </si>
  <si>
    <t>col.CW losslG,losslA,interLD.B.dec.utime.children</t>
  </si>
  <si>
    <t>col.CW losslG,losslA,interLD.eqn.ab.ratio-bpp</t>
  </si>
  <si>
    <t>col.CW losslG,losslA,interLD.eqn.ab.ratio-bpp-geometry</t>
  </si>
  <si>
    <t>col.CW losslG,losslA,interLD.eqn.ab.ratio-bpp-colour</t>
  </si>
  <si>
    <t>col.CW losslG,losslA,interLD.eqn.ab.delta-geom_texture_bits_ratio</t>
  </si>
  <si>
    <t>col.CW losslG,losslA,interLD.eqn.ab.summary-delta-geom_texture_bits_ratio</t>
  </si>
  <si>
    <t>CW_ld — lossless geometry, lossless attributes [inter, low delay]</t>
  </si>
  <si>
    <t>name.A.CW losslG,losslA,interLD</t>
  </si>
  <si>
    <t>'CW losslG,losslA,interLD'!$H$1</t>
  </si>
  <si>
    <t>name.B.CW losslG,losslA,interLD</t>
  </si>
  <si>
    <t>'CW losslG,losslA,interLD'!$AE$1</t>
  </si>
  <si>
    <t>range.CW losslG,losslA,interLD.8ivfbv2_loot_vox10</t>
  </si>
  <si>
    <t>'CW losslG,losslA,interLD'!$A$5:$BF$5</t>
  </si>
  <si>
    <t>range.CW losslG,losslA,interLD.8ivfbv2_redandblack_vox10</t>
  </si>
  <si>
    <t>'CW losslG,losslA,interLD'!$A$6:$BF$6</t>
  </si>
  <si>
    <t>range.CW losslG,losslA,interLD.8ivfbv2_soldier_vox10</t>
  </si>
  <si>
    <t>'CW losslG,losslA,interLD'!$A$7:$BF$7</t>
  </si>
  <si>
    <t>range.CW losslG,losslA,interLD.queen</t>
  </si>
  <si>
    <t>'CW losslG,losslA,interLD'!$A$8:$BF$8</t>
  </si>
  <si>
    <t>range.CW losslG,losslA,interLD.8ivfbv2_longdress_vox10</t>
  </si>
  <si>
    <t>'CW losslG,losslA,interLD'!$A$9:$BF$9</t>
  </si>
  <si>
    <t>Inter, Low Delay</t>
  </si>
  <si>
    <t>CW_ld</t>
  </si>
  <si>
    <t>lossless geometry, lossless attributes [inter, low delay]</t>
  </si>
  <si>
    <t>CW losslG,losslA,interLD</t>
  </si>
  <si>
    <t>cols.CW losslG,losslA,interLD</t>
  </si>
  <si>
    <t>names!$B$200:$W$200</t>
  </si>
  <si>
    <t>col.C2 lossyG,lossyA,interRA.class</t>
  </si>
  <si>
    <t>col.C2 lossyG,lossyA,interRA.sequence</t>
  </si>
  <si>
    <t>col.C2 lossyG,lossyA,interRA.variant</t>
  </si>
  <si>
    <t>col.C2 lossyG,lossyA,interRA.src.numpoints</t>
  </si>
  <si>
    <t>col.C2 lossyG,lossyA,interRA.src.geometry-precision</t>
  </si>
  <si>
    <t>col.C2 lossyG,lossyA,interRA.src.framecount</t>
  </si>
  <si>
    <t>col.C2 lossyG,lossyA,interRA.src.framerate</t>
  </si>
  <si>
    <t>col.C2 lossyG,lossyA,interRA.A.eqn.bitrate</t>
  </si>
  <si>
    <t>col.C2 lossyG,lossyA,interRA.A.eqn.bpp</t>
  </si>
  <si>
    <t>col.C2 lossyG,lossyA,interRA.A.eqn.bpp.geometry+occ+patch</t>
  </si>
  <si>
    <t>col.C2 lossyG,lossyA,interRA.A.eqn.bpp.geometry</t>
  </si>
  <si>
    <t>col.C2 lossyG,lossyA,interRA.A.eqn.bpp.colour</t>
  </si>
  <si>
    <t>col.C2 lossyG,lossyA,interRA.A.eqn.bits.totalgeometry</t>
  </si>
  <si>
    <t>col.C2 lossyG,lossyA,interRA.A.eqn.bpop</t>
  </si>
  <si>
    <t>col.C2 lossyG,lossyA,interRA.A.dec.numpoints</t>
  </si>
  <si>
    <t>col.C2 lossyG,lossyA,interRA.A.dec.numpoints.mean</t>
  </si>
  <si>
    <t>col.C2 lossyG,lossyA,interRA.A.dec.numduppoints.mean</t>
  </si>
  <si>
    <t>col.C2 lossyG,lossyA,interRA.A.enc.ext.bits</t>
  </si>
  <si>
    <t>col.C2 lossyG,lossyA,interRA.A.enc.bits.geometry</t>
  </si>
  <si>
    <t>col.C2 lossyG,lossyA,interRA.A.enc.bits.occ+patch</t>
  </si>
  <si>
    <t>col.C2 lossyG,lossyA,interRA.A.enc.bits.colour</t>
  </si>
  <si>
    <t>col.C2 lossyG,lossyA,interRA.A.dec.d1-psnr</t>
  </si>
  <si>
    <t>col.C2 lossyG,lossyA,interRA.A.dec.d2-psnr</t>
  </si>
  <si>
    <t>col.C2 lossyG,lossyA,interRA.A.dec.y-psnr</t>
  </si>
  <si>
    <t>col.C2 lossyG,lossyA,interRA.A.dec.cb-psnr</t>
  </si>
  <si>
    <t>col.C2 lossyG,lossyA,interRA.A.dec.cr-psnr</t>
  </si>
  <si>
    <t>col.C2 lossyG,lossyA,interRA.A.enc.utime.self</t>
  </si>
  <si>
    <t>col.C2 lossyG,lossyA,interRA.A.enc.utime.children</t>
  </si>
  <si>
    <t>col.C2 lossyG,lossyA,interRA.A.dec.utime.self</t>
  </si>
  <si>
    <t>col.C2 lossyG,lossyA,interRA.A.dec.utime.children</t>
  </si>
  <si>
    <t>col.C2 lossyG,lossyA,interRA.B.eqn.bitrate</t>
  </si>
  <si>
    <t>col.C2 lossyG,lossyA,interRA.B.eqn.bpp</t>
  </si>
  <si>
    <t>col.C2 lossyG,lossyA,interRA.B.eqn.bpp.geometry+occ+patch</t>
  </si>
  <si>
    <t>col.C2 lossyG,lossyA,interRA.B.eqn.bpp.geometry</t>
  </si>
  <si>
    <t>col.C2 lossyG,lossyA,interRA.B.eqn.bpp.colour</t>
  </si>
  <si>
    <t>col.C2 lossyG,lossyA,interRA.B.eqn.bits.totalgeometry</t>
  </si>
  <si>
    <t>col.C2 lossyG,lossyA,interRA.B.eqn.bpop</t>
  </si>
  <si>
    <t>col.C2 lossyG,lossyA,interRA.B.dec.numpoints</t>
  </si>
  <si>
    <t>col.C2 lossyG,lossyA,interRA.B.dec.numpoints.mean</t>
  </si>
  <si>
    <t>col.C2 lossyG,lossyA,interRA.B.dec.numduppoints.mean</t>
  </si>
  <si>
    <t>col.C2 lossyG,lossyA,interRA.B.enc.ext.bits</t>
  </si>
  <si>
    <t>col.C2 lossyG,lossyA,interRA.B.enc.bits.geometry</t>
  </si>
  <si>
    <t>col.C2 lossyG,lossyA,interRA.B.enc.bits.occ+patch</t>
  </si>
  <si>
    <t>col.C2 lossyG,lossyA,interRA.B.enc.bits.colour</t>
  </si>
  <si>
    <t>col.C2 lossyG,lossyA,interRA.B.dec.d1-psnr</t>
  </si>
  <si>
    <t>col.C2 lossyG,lossyA,interRA.B.dec.d2-psnr</t>
  </si>
  <si>
    <t>col.C2 lossyG,lossyA,interRA.B.dec.y-psnr</t>
  </si>
  <si>
    <t>col.C2 lossyG,lossyA,interRA.B.dec.cb-psnr</t>
  </si>
  <si>
    <t>col.C2 lossyG,lossyA,interRA.B.dec.cr-psnr</t>
  </si>
  <si>
    <t>col.C2 lossyG,lossyA,interRA.B.enc.utime.self</t>
  </si>
  <si>
    <t>col.C2 lossyG,lossyA,interRA.B.enc.utime.children</t>
  </si>
  <si>
    <t>col.C2 lossyG,lossyA,interRA.B.dec.utime.self</t>
  </si>
  <si>
    <t>col.C2 lossyG,lossyA,interRA.B.dec.utime.children</t>
  </si>
  <si>
    <t>col.C2 lossyG,lossyA,interRA.eqn.ab.delta-duppoints_ratio</t>
  </si>
  <si>
    <t>col.C2 lossyG,lossyA,interRA.eqn.ab.delta-geom_texture_bits_ratio</t>
  </si>
  <si>
    <t>col.C2 lossyG,lossyA,interRA.eqn.ab.summary-delta-geom_texture_bits_ratio</t>
  </si>
  <si>
    <t>col.C2 lossyG,lossyA,interRA.eqn.ab.bdrate-d1-geomrate</t>
  </si>
  <si>
    <t>col.C2 lossyG,lossyA,interRA.eqn.ab.bdrate-d2-geomrate</t>
  </si>
  <si>
    <t>col.C2 lossyG,lossyA,interRA.eqn.ab.bdrate-y-attrrate</t>
  </si>
  <si>
    <t>col.C2 lossyG,lossyA,interRA.eqn.ab.bdrate-cb-attrrate</t>
  </si>
  <si>
    <t>col.C2 lossyG,lossyA,interRA.eqn.ab.bdrate-cr-attrrate</t>
  </si>
  <si>
    <t>col.C2 lossyG,lossyA,interRA.eqn.ab.bdrate-d1</t>
  </si>
  <si>
    <t>col.C2 lossyG,lossyA,interRA.eqn.ab.bdrate-d2</t>
  </si>
  <si>
    <t>col.C2 lossyG,lossyA,interRA.eqn.ab.bdrate-y</t>
  </si>
  <si>
    <t>col.C2 lossyG,lossyA,interRA.eqn.ab.bdrate-cb</t>
  </si>
  <si>
    <t>col.C2 lossyG,lossyA,interRA.eqn.ab.bdrate-cr</t>
  </si>
  <si>
    <t>C2_ra — lossy geometry, lossy attributes [inter, random access]</t>
  </si>
  <si>
    <t>name.A.C2 lossyG,lossyA,interRA</t>
  </si>
  <si>
    <t>'C2 lossyG,lossyA,interRA'!$I$1</t>
  </si>
  <si>
    <t>name.B.C2 lossyG,lossyA,interRA</t>
  </si>
  <si>
    <t>'C2 lossyG,lossyA,interRA'!$AG$1</t>
  </si>
  <si>
    <t>range.C2 lossyG,lossyA,interRA.8ivfbv2_loot_vox10</t>
  </si>
  <si>
    <t>'C2 lossyG,lossyA,interRA'!$A$5:$BS$9</t>
  </si>
  <si>
    <t>range.C2 lossyG,lossyA,interRA.8ivfbv2_redandblack_vox10</t>
  </si>
  <si>
    <t>'C2 lossyG,lossyA,interRA'!$A$10:$BS$14</t>
  </si>
  <si>
    <t>range.C2 lossyG,lossyA,interRA.8ivfbv2_soldier_vox10</t>
  </si>
  <si>
    <t>'C2 lossyG,lossyA,interRA'!$A$15:$BS$19</t>
  </si>
  <si>
    <t>range.C2 lossyG,lossyA,interRA.queen</t>
  </si>
  <si>
    <t>'C2 lossyG,lossyA,interRA'!$A$20:$BS$24</t>
  </si>
  <si>
    <t>range.C2 lossyG,lossyA,interRA.8ivfbv2_longdress_vox10</t>
  </si>
  <si>
    <t>'C2 lossyG,lossyA,interRA'!$A$25:$BS$29</t>
  </si>
  <si>
    <t>Inter, Random Access</t>
  </si>
  <si>
    <t>C2_ra</t>
  </si>
  <si>
    <t>lossy geometry, lossy attributes [inter, random access]</t>
  </si>
  <si>
    <t>C2 lossyG,lossyA,interRA</t>
  </si>
  <si>
    <t>cols.C2 lossyG,lossyA,interRA</t>
  </si>
  <si>
    <t>names!$B$274:$X$274</t>
  </si>
  <si>
    <t>Diff</t>
  </si>
  <si>
    <t>inf</t>
  </si>
  <si>
    <t>RC9.0</t>
  </si>
  <si>
    <t>RC10.0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</si>
</sst>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00"/>
    <numFmt numFmtId="166" formatCode="[&gt;1000]0;[&gt;100]0.0;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</fills>
  <borders count="5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0" fillId="0" borderId="0" xfId="0"/>
    <xf numFmtId="164" fontId="0" fillId="0" borderId="0" xfId="0" applyNumberFormat="1" applyAlignment="1">
      <alignment horizontal="center"/>
    </xf>
    <xf numFmtId="0" fontId="1" fillId="0" borderId="4" xfId="0" applyFont="1" applyBorder="1"/>
    <xf numFmtId="164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0" fontId="0" fillId="6" borderId="0" xfId="0" applyFill="1"/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8" borderId="0" xfId="0" applyFill="1"/>
    <xf numFmtId="0" fontId="0" fillId="8" borderId="0" xfId="0" applyFill="1" applyAlignment="1">
      <alignment horizontal="center"/>
    </xf>
    <xf numFmtId="165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2" fontId="0" fillId="9" borderId="0" xfId="0" applyNumberFormat="1" applyFill="1" applyAlignment="1">
      <alignment horizontal="center"/>
    </xf>
    <xf numFmtId="166" fontId="0" fillId="9" borderId="0" xfId="0" applyNumberFormat="1" applyFill="1" applyAlignment="1">
      <alignment horizontal="center"/>
    </xf>
    <xf numFmtId="9" fontId="0" fillId="8" borderId="0" xfId="0" applyNumberFormat="1" applyFill="1" applyAlignment="1">
      <alignment horizontal="center"/>
    </xf>
    <xf numFmtId="164" fontId="0" fillId="8" borderId="0" xfId="0" applyNumberFormat="1" applyFill="1" applyAlignment="1">
      <alignment horizontal="center"/>
    </xf>
    <xf numFmtId="0" fontId="0" fillId="10" borderId="0" xfId="0" applyFill="1"/>
    <xf numFmtId="0" fontId="0" fillId="10" borderId="0" xfId="0" applyFill="1" applyAlignment="1">
      <alignment horizontal="center"/>
    </xf>
    <xf numFmtId="165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2" fontId="0" fillId="11" borderId="0" xfId="0" applyNumberFormat="1" applyFill="1" applyAlignment="1">
      <alignment horizontal="center"/>
    </xf>
    <xf numFmtId="166" fontId="0" fillId="11" borderId="0" xfId="0" applyNumberFormat="1" applyFill="1" applyAlignment="1">
      <alignment horizontal="center"/>
    </xf>
    <xf numFmtId="9" fontId="0" fillId="10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165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66" fontId="0" fillId="9" borderId="3" xfId="0" applyNumberFormat="1" applyFill="1" applyBorder="1" applyAlignment="1">
      <alignment horizontal="center"/>
    </xf>
    <xf numFmtId="9" fontId="0" fillId="8" borderId="3" xfId="0" applyNumberFormat="1" applyFill="1" applyBorder="1" applyAlignment="1">
      <alignment horizontal="center"/>
    </xf>
    <xf numFmtId="164" fontId="0" fillId="8" borderId="3" xfId="0" applyNumberFormat="1" applyFill="1" applyBorder="1" applyAlignment="1">
      <alignment horizontal="center"/>
    </xf>
    <xf numFmtId="0" fontId="0" fillId="10" borderId="3" xfId="0" applyFill="1" applyBorder="1"/>
    <xf numFmtId="0" fontId="0" fillId="10" borderId="3" xfId="0" applyFill="1" applyBorder="1" applyAlignment="1">
      <alignment horizontal="center"/>
    </xf>
    <xf numFmtId="165" fontId="0" fillId="10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166" fontId="0" fillId="11" borderId="3" xfId="0" applyNumberFormat="1" applyFill="1" applyBorder="1" applyAlignment="1">
      <alignment horizontal="center"/>
    </xf>
    <xf numFmtId="9" fontId="0" fillId="10" borderId="3" xfId="0" applyNumberFormat="1" applyFill="1" applyBorder="1" applyAlignment="1">
      <alignment horizontal="center"/>
    </xf>
    <xf numFmtId="164" fontId="0" fillId="10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7" borderId="0" xfId="0" applyFont="1" applyFill="1" applyAlignment="1">
      <alignment horizontal="left" vertical="top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wrapText="1"/>
    </xf>
  </cellXfs>
  <cellStyles count="1">
    <cellStyle name="Normal" xfId="0" builtinId="0"/>
  </cellStyles>
  <dxfs count="106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RC9.0</c:v>
                </c:pt>
              </c:strCache>
            </c:strRef>
          </c:tx>
          <c:xVal>
            <c:numRef>
              <c:f>Graphs!graph_a_x_range_A</c:f>
              <c:numCache>
                <c:formatCode>0.00</c:formatCode>
                <c:ptCount val="5"/>
                <c:pt idx="0">
                  <c:v>9.6433869413977316E-2</c:v>
                </c:pt>
                <c:pt idx="1">
                  <c:v>0.14932082525230689</c:v>
                </c:pt>
                <c:pt idx="2">
                  <c:v>0.24429821720509265</c:v>
                </c:pt>
                <c:pt idx="3">
                  <c:v>0.42455949468083293</c:v>
                </c:pt>
                <c:pt idx="4">
                  <c:v>0.77104987469927611</c:v>
                </c:pt>
              </c:numCache>
            </c:numRef>
          </c:xVal>
          <c:yVal>
            <c:numRef>
              <c:f>Graphs!graph_a_y_range_A</c:f>
              <c:numCache>
                <c:formatCode>0.00</c:formatCode>
                <c:ptCount val="5"/>
                <c:pt idx="0">
                  <c:v>66.372247000000002</c:v>
                </c:pt>
                <c:pt idx="1">
                  <c:v>68.256456</c:v>
                </c:pt>
                <c:pt idx="2">
                  <c:v>69.668394000000006</c:v>
                </c:pt>
                <c:pt idx="3">
                  <c:v>70.747600000000006</c:v>
                </c:pt>
                <c:pt idx="4">
                  <c:v>72.149621999999994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0A-4E9C-8D2A-F3CCB41420FC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RC10.0</c:v>
                </c:pt>
              </c:strCache>
            </c:strRef>
          </c:tx>
          <c:xVal>
            <c:numRef>
              <c:f>Graphs!graph_a_x_range_B</c:f>
              <c:numCache>
                <c:formatCode>0.00</c:formatCode>
                <c:ptCount val="5"/>
                <c:pt idx="0">
                  <c:v>9.661044126900846E-2</c:v>
                </c:pt>
                <c:pt idx="1">
                  <c:v>0.14940350318079695</c:v>
                </c:pt>
                <c:pt idx="2">
                  <c:v>0.24418830042419304</c:v>
                </c:pt>
                <c:pt idx="3">
                  <c:v>0.42442426179004683</c:v>
                </c:pt>
                <c:pt idx="4">
                  <c:v>0.7690550293316375</c:v>
                </c:pt>
              </c:numCache>
            </c:numRef>
          </c:xVal>
          <c:yVal>
            <c:numRef>
              <c:f>Graphs!graph_a_y_range_B</c:f>
              <c:numCache>
                <c:formatCode>0.00</c:formatCode>
                <c:ptCount val="5"/>
                <c:pt idx="0">
                  <c:v>66.371644000000003</c:v>
                </c:pt>
                <c:pt idx="1">
                  <c:v>68.215000000000003</c:v>
                </c:pt>
                <c:pt idx="2">
                  <c:v>69.662350000000004</c:v>
                </c:pt>
                <c:pt idx="3">
                  <c:v>70.744480999999993</c:v>
                </c:pt>
                <c:pt idx="4">
                  <c:v>72.154668999999998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D0A-4E9C-8D2A-F3CCB4142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1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RC9.0</c:v>
                </c:pt>
              </c:strCache>
            </c:strRef>
          </c:tx>
          <c:xVal>
            <c:numRef>
              <c:f>Graphs!graph_b_x_range_A</c:f>
              <c:numCache>
                <c:formatCode>0.00</c:formatCode>
                <c:ptCount val="5"/>
                <c:pt idx="0">
                  <c:v>9.6433869413977316E-2</c:v>
                </c:pt>
                <c:pt idx="1">
                  <c:v>0.14932082525230689</c:v>
                </c:pt>
                <c:pt idx="2">
                  <c:v>0.24429821720509265</c:v>
                </c:pt>
                <c:pt idx="3">
                  <c:v>0.42455949468083293</c:v>
                </c:pt>
                <c:pt idx="4">
                  <c:v>0.77104987469927611</c:v>
                </c:pt>
              </c:numCache>
            </c:numRef>
          </c:xVal>
          <c:yVal>
            <c:numRef>
              <c:f>Graphs!graph_b_y_range_A</c:f>
              <c:numCache>
                <c:formatCode>0.00</c:formatCode>
                <c:ptCount val="5"/>
                <c:pt idx="0">
                  <c:v>68.418744000000004</c:v>
                </c:pt>
                <c:pt idx="1">
                  <c:v>70.369106000000002</c:v>
                </c:pt>
                <c:pt idx="2">
                  <c:v>72.053578000000002</c:v>
                </c:pt>
                <c:pt idx="3">
                  <c:v>73.283812999999995</c:v>
                </c:pt>
                <c:pt idx="4">
                  <c:v>75.331956000000005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CF-4903-9C37-D411CCEB7BDA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RC10.0</c:v>
                </c:pt>
              </c:strCache>
            </c:strRef>
          </c:tx>
          <c:xVal>
            <c:numRef>
              <c:f>Graphs!graph_b_x_range_B</c:f>
              <c:numCache>
                <c:formatCode>0.00</c:formatCode>
                <c:ptCount val="5"/>
                <c:pt idx="0">
                  <c:v>9.661044126900846E-2</c:v>
                </c:pt>
                <c:pt idx="1">
                  <c:v>0.14940350318079695</c:v>
                </c:pt>
                <c:pt idx="2">
                  <c:v>0.24418830042419304</c:v>
                </c:pt>
                <c:pt idx="3">
                  <c:v>0.42442426179004683</c:v>
                </c:pt>
                <c:pt idx="4">
                  <c:v>0.7690550293316375</c:v>
                </c:pt>
              </c:numCache>
            </c:numRef>
          </c:xVal>
          <c:yVal>
            <c:numRef>
              <c:f>Graphs!graph_b_y_range_B</c:f>
              <c:numCache>
                <c:formatCode>0.00</c:formatCode>
                <c:ptCount val="5"/>
                <c:pt idx="0">
                  <c:v>68.420603</c:v>
                </c:pt>
                <c:pt idx="1">
                  <c:v>70.375452999999993</c:v>
                </c:pt>
                <c:pt idx="2">
                  <c:v>72.048124999999999</c:v>
                </c:pt>
                <c:pt idx="3">
                  <c:v>73.282552999999993</c:v>
                </c:pt>
                <c:pt idx="4">
                  <c:v>75.331331000000006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CF-4903-9C37-D411CCEB7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2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RC9.0</c:v>
                </c:pt>
              </c:strCache>
            </c:strRef>
          </c:tx>
          <c:xVal>
            <c:numRef>
              <c:f>Graphs!graph_c_x_range_A</c:f>
              <c:numCache>
                <c:formatCode>0.00</c:formatCode>
                <c:ptCount val="5"/>
                <c:pt idx="0">
                  <c:v>9.6433869413977316E-2</c:v>
                </c:pt>
                <c:pt idx="1">
                  <c:v>0.14932082525230689</c:v>
                </c:pt>
                <c:pt idx="2">
                  <c:v>0.24429821720509265</c:v>
                </c:pt>
                <c:pt idx="3">
                  <c:v>0.42455949468083293</c:v>
                </c:pt>
                <c:pt idx="4">
                  <c:v>0.77104987469927611</c:v>
                </c:pt>
              </c:numCache>
            </c:numRef>
          </c:xVal>
          <c:yVal>
            <c:numRef>
              <c:f>Graphs!graph_c_y_range_A</c:f>
              <c:numCache>
                <c:formatCode>0.00</c:formatCode>
                <c:ptCount val="5"/>
                <c:pt idx="0">
                  <c:v>32.187612999999999</c:v>
                </c:pt>
                <c:pt idx="1">
                  <c:v>34.461103000000001</c:v>
                </c:pt>
                <c:pt idx="2">
                  <c:v>37.003118999999998</c:v>
                </c:pt>
                <c:pt idx="3">
                  <c:v>39.620372000000003</c:v>
                </c:pt>
                <c:pt idx="4">
                  <c:v>42.073022000000002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8B-40DB-BAE9-63E188F7BDEE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RC10.0</c:v>
                </c:pt>
              </c:strCache>
            </c:strRef>
          </c:tx>
          <c:xVal>
            <c:numRef>
              <c:f>Graphs!graph_c_x_range_B</c:f>
              <c:numCache>
                <c:formatCode>0.00</c:formatCode>
                <c:ptCount val="5"/>
                <c:pt idx="0">
                  <c:v>9.661044126900846E-2</c:v>
                </c:pt>
                <c:pt idx="1">
                  <c:v>0.14940350318079695</c:v>
                </c:pt>
                <c:pt idx="2">
                  <c:v>0.24418830042419304</c:v>
                </c:pt>
                <c:pt idx="3">
                  <c:v>0.42442426179004683</c:v>
                </c:pt>
                <c:pt idx="4">
                  <c:v>0.7690550293316375</c:v>
                </c:pt>
              </c:numCache>
            </c:numRef>
          </c:xVal>
          <c:yVal>
            <c:numRef>
              <c:f>Graphs!graph_c_y_range_B</c:f>
              <c:numCache>
                <c:formatCode>0.00</c:formatCode>
                <c:ptCount val="5"/>
                <c:pt idx="0">
                  <c:v>32.184649999999998</c:v>
                </c:pt>
                <c:pt idx="1">
                  <c:v>34.464137999999998</c:v>
                </c:pt>
                <c:pt idx="2">
                  <c:v>36.995455999999997</c:v>
                </c:pt>
                <c:pt idx="3">
                  <c:v>39.626049999999999</c:v>
                </c:pt>
                <c:pt idx="4">
                  <c:v>42.078766000000002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8B-40DB-BAE9-63E188F7B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3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RC9.0</c:v>
                </c:pt>
              </c:strCache>
            </c:strRef>
          </c:tx>
          <c:xVal>
            <c:numRef>
              <c:f>Graphs!graph_d_x_range_A</c:f>
              <c:numCache>
                <c:formatCode>0.00</c:formatCode>
                <c:ptCount val="5"/>
                <c:pt idx="0">
                  <c:v>9.6433869413977316E-2</c:v>
                </c:pt>
                <c:pt idx="1">
                  <c:v>0.14932082525230689</c:v>
                </c:pt>
                <c:pt idx="2">
                  <c:v>0.24429821720509265</c:v>
                </c:pt>
                <c:pt idx="3">
                  <c:v>0.42455949468083293</c:v>
                </c:pt>
                <c:pt idx="4">
                  <c:v>0.77104987469927611</c:v>
                </c:pt>
              </c:numCache>
            </c:numRef>
          </c:xVal>
          <c:yVal>
            <c:numRef>
              <c:f>Graphs!graph_d_y_range_A</c:f>
              <c:numCache>
                <c:formatCode>0.00</c:formatCode>
                <c:ptCount val="5"/>
                <c:pt idx="0">
                  <c:v>44.167453000000002</c:v>
                </c:pt>
                <c:pt idx="1">
                  <c:v>45.486815999999997</c:v>
                </c:pt>
                <c:pt idx="2">
                  <c:v>46.525703</c:v>
                </c:pt>
                <c:pt idx="3">
                  <c:v>47.876378000000003</c:v>
                </c:pt>
                <c:pt idx="4">
                  <c:v>49.432253000000003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A3-4189-B622-871A1E3A6D5F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RC10.0</c:v>
                </c:pt>
              </c:strCache>
            </c:strRef>
          </c:tx>
          <c:xVal>
            <c:numRef>
              <c:f>Graphs!graph_d_x_range_B</c:f>
              <c:numCache>
                <c:formatCode>0.00</c:formatCode>
                <c:ptCount val="5"/>
                <c:pt idx="0">
                  <c:v>9.661044126900846E-2</c:v>
                </c:pt>
                <c:pt idx="1">
                  <c:v>0.14940350318079695</c:v>
                </c:pt>
                <c:pt idx="2">
                  <c:v>0.24418830042419304</c:v>
                </c:pt>
                <c:pt idx="3">
                  <c:v>0.42442426179004683</c:v>
                </c:pt>
                <c:pt idx="4">
                  <c:v>0.7690550293316375</c:v>
                </c:pt>
              </c:numCache>
            </c:numRef>
          </c:xVal>
          <c:yVal>
            <c:numRef>
              <c:f>Graphs!graph_d_y_range_B</c:f>
              <c:numCache>
                <c:formatCode>0.00</c:formatCode>
                <c:ptCount val="5"/>
                <c:pt idx="0">
                  <c:v>44.177241000000002</c:v>
                </c:pt>
                <c:pt idx="1">
                  <c:v>45.467291000000003</c:v>
                </c:pt>
                <c:pt idx="2">
                  <c:v>46.536053000000003</c:v>
                </c:pt>
                <c:pt idx="3">
                  <c:v>47.861049999999999</c:v>
                </c:pt>
                <c:pt idx="4">
                  <c:v>49.430463000000003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A3-4189-B622-871A1E3A6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4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RC9.0</c:v>
                </c:pt>
              </c:strCache>
            </c:strRef>
          </c:tx>
          <c:xVal>
            <c:numRef>
              <c:f>Graphs!graph_e_x_range_A</c:f>
              <c:numCache>
                <c:formatCode>0.00</c:formatCode>
                <c:ptCount val="5"/>
                <c:pt idx="0">
                  <c:v>9.6433869413977316E-2</c:v>
                </c:pt>
                <c:pt idx="1">
                  <c:v>0.14932082525230689</c:v>
                </c:pt>
                <c:pt idx="2">
                  <c:v>0.24429821720509265</c:v>
                </c:pt>
                <c:pt idx="3">
                  <c:v>0.42455949468083293</c:v>
                </c:pt>
                <c:pt idx="4">
                  <c:v>0.77104987469927611</c:v>
                </c:pt>
              </c:numCache>
            </c:numRef>
          </c:xVal>
          <c:yVal>
            <c:numRef>
              <c:f>Graphs!graph_e_y_range_A</c:f>
              <c:numCache>
                <c:formatCode>0.00</c:formatCode>
                <c:ptCount val="5"/>
                <c:pt idx="0">
                  <c:v>43.813352999999999</c:v>
                </c:pt>
                <c:pt idx="1">
                  <c:v>45.258665999999998</c:v>
                </c:pt>
                <c:pt idx="2">
                  <c:v>46.481278000000003</c:v>
                </c:pt>
                <c:pt idx="3">
                  <c:v>47.959193999999997</c:v>
                </c:pt>
                <c:pt idx="4">
                  <c:v>49.616202999999999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92-4E32-A536-24C5B0680239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RC10.0</c:v>
                </c:pt>
              </c:strCache>
            </c:strRef>
          </c:tx>
          <c:xVal>
            <c:numRef>
              <c:f>Graphs!graph_e_x_range_B</c:f>
              <c:numCache>
                <c:formatCode>0.00</c:formatCode>
                <c:ptCount val="5"/>
                <c:pt idx="0">
                  <c:v>9.661044126900846E-2</c:v>
                </c:pt>
                <c:pt idx="1">
                  <c:v>0.14940350318079695</c:v>
                </c:pt>
                <c:pt idx="2">
                  <c:v>0.24418830042419304</c:v>
                </c:pt>
                <c:pt idx="3">
                  <c:v>0.42442426179004683</c:v>
                </c:pt>
                <c:pt idx="4">
                  <c:v>0.7690550293316375</c:v>
                </c:pt>
              </c:numCache>
            </c:numRef>
          </c:xVal>
          <c:yVal>
            <c:numRef>
              <c:f>Graphs!graph_e_y_range_B</c:f>
              <c:numCache>
                <c:formatCode>0.00</c:formatCode>
                <c:ptCount val="5"/>
                <c:pt idx="0">
                  <c:v>43.846359</c:v>
                </c:pt>
                <c:pt idx="1">
                  <c:v>45.275644</c:v>
                </c:pt>
                <c:pt idx="2">
                  <c:v>46.490108999999997</c:v>
                </c:pt>
                <c:pt idx="3">
                  <c:v>47.983438</c:v>
                </c:pt>
                <c:pt idx="4">
                  <c:v>49.625230999999999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92-4E32-A536-24C5B0680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5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RC9.0</c:v>
                </c:pt>
              </c:strCache>
            </c:strRef>
          </c:tx>
          <c:xVal>
            <c:numRef>
              <c:f>Graphs!graph_f_x_range_A</c:f>
              <c:numCache>
                <c:formatCode>0.00</c:formatCode>
                <c:ptCount val="5"/>
                <c:pt idx="0">
                  <c:v>9.6433869413977316E-2</c:v>
                </c:pt>
                <c:pt idx="1">
                  <c:v>0.14932082525230689</c:v>
                </c:pt>
                <c:pt idx="2">
                  <c:v>0.24429821720509265</c:v>
                </c:pt>
                <c:pt idx="3">
                  <c:v>0.42455949468083293</c:v>
                </c:pt>
                <c:pt idx="4">
                  <c:v>0.77104987469927611</c:v>
                </c:pt>
              </c:numCache>
            </c:numRef>
          </c:xVal>
          <c:yVal>
            <c:numRef>
              <c:f>Graphs!graph_f_y_range_A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8B-4A00-95A9-E37EA0CAEBFA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RC10.0</c:v>
                </c:pt>
              </c:strCache>
            </c:strRef>
          </c:tx>
          <c:xVal>
            <c:numRef>
              <c:f>Graphs!graph_f_x_range_B</c:f>
              <c:numCache>
                <c:formatCode>0.00</c:formatCode>
                <c:ptCount val="5"/>
                <c:pt idx="0">
                  <c:v>9.661044126900846E-2</c:v>
                </c:pt>
                <c:pt idx="1">
                  <c:v>0.14940350318079695</c:v>
                </c:pt>
                <c:pt idx="2">
                  <c:v>0.24418830042419304</c:v>
                </c:pt>
                <c:pt idx="3">
                  <c:v>0.42442426179004683</c:v>
                </c:pt>
                <c:pt idx="4">
                  <c:v>0.7690550293316375</c:v>
                </c:pt>
              </c:numCache>
            </c:numRef>
          </c:xVal>
          <c:yVal>
            <c:numRef>
              <c:f>Graphs!graph_f_y_range_B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8B-4A00-95A9-E37EA0CAEB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06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L44"/>
  <sheetViews>
    <sheetView workbookViewId="0"/>
  </sheetViews>
  <sheetFormatPr baseColWidth="10" defaultColWidth="8.83203125" defaultRowHeight="15" x14ac:dyDescent="0.2"/>
  <cols>
    <col min="2" max="2" width="16.6640625" customWidth="1"/>
    <col min="3" max="12" width="24.6640625" customWidth="1"/>
  </cols>
  <sheetData>
    <row r="1" spans="2:12" x14ac:dyDescent="0.2">
      <c r="B1" t="s">
        <v>0</v>
      </c>
      <c r="C1" s="64" t="s">
        <v>2</v>
      </c>
      <c r="D1" s="64"/>
      <c r="E1" s="64"/>
    </row>
    <row r="2" spans="2:12" x14ac:dyDescent="0.2">
      <c r="B2" t="s">
        <v>1</v>
      </c>
      <c r="C2" s="65" t="s">
        <v>3</v>
      </c>
      <c r="D2" s="65"/>
      <c r="E2" s="65"/>
    </row>
    <row r="4" spans="2:12" s="1" customFormat="1" x14ac:dyDescent="0.2">
      <c r="B4" s="1" t="s">
        <v>296</v>
      </c>
    </row>
    <row r="6" spans="2:12" x14ac:dyDescent="0.2">
      <c r="B6" s="60" t="s">
        <v>297</v>
      </c>
      <c r="C6" s="61" t="s">
        <v>298</v>
      </c>
      <c r="D6" s="61"/>
      <c r="E6" s="61"/>
      <c r="F6" s="61"/>
      <c r="G6" s="61"/>
      <c r="H6" s="61"/>
      <c r="I6" s="61"/>
      <c r="J6" s="61"/>
      <c r="K6" s="61"/>
      <c r="L6" s="61"/>
    </row>
    <row r="7" spans="2:12" x14ac:dyDescent="0.2">
      <c r="B7" s="60"/>
      <c r="C7" s="62" t="s">
        <v>237</v>
      </c>
      <c r="D7" s="62"/>
      <c r="E7" s="63" t="s">
        <v>242</v>
      </c>
      <c r="F7" s="63"/>
      <c r="G7" s="63"/>
      <c r="H7" s="62" t="s">
        <v>249</v>
      </c>
      <c r="I7" s="62"/>
      <c r="J7" s="63" t="s">
        <v>254</v>
      </c>
      <c r="K7" s="63"/>
      <c r="L7" s="63"/>
    </row>
    <row r="8" spans="2:12" ht="16" x14ac:dyDescent="0.2">
      <c r="B8" s="60"/>
      <c r="C8" s="2" t="s">
        <v>154</v>
      </c>
      <c r="D8" s="2" t="s">
        <v>157</v>
      </c>
      <c r="E8" s="3" t="s">
        <v>161</v>
      </c>
      <c r="F8" s="3" t="s">
        <v>164</v>
      </c>
      <c r="G8" s="3" t="s">
        <v>167</v>
      </c>
      <c r="H8" s="2" t="s">
        <v>154</v>
      </c>
      <c r="I8" s="2" t="s">
        <v>157</v>
      </c>
      <c r="J8" s="3" t="s">
        <v>161</v>
      </c>
      <c r="K8" s="3" t="s">
        <v>164</v>
      </c>
      <c r="L8" s="3" t="s">
        <v>167</v>
      </c>
    </row>
    <row r="9" spans="2:12" x14ac:dyDescent="0.2">
      <c r="B9" s="4" t="s">
        <v>288</v>
      </c>
      <c r="C9" s="5">
        <f>'C2 lossyG,lossyA,intra'!$BI$30:$BI$30</f>
        <v>4.0754900517242509E-4</v>
      </c>
      <c r="D9" s="5">
        <f>'C2 lossyG,lossyA,intra'!$BJ$30:$BJ$30</f>
        <v>-1.7250678012352971E-3</v>
      </c>
      <c r="E9" s="5">
        <f>'C2 lossyG,lossyA,intra'!$BK$30:$BK$30</f>
        <v>8.0738070278280061E-5</v>
      </c>
      <c r="F9" s="5">
        <f>'C2 lossyG,lossyA,intra'!$BL$30:$BL$30</f>
        <v>1.3298074357399881E-3</v>
      </c>
      <c r="G9" s="5">
        <f>'C2 lossyG,lossyA,intra'!$BM$30:$BM$30</f>
        <v>-3.4175859895499427E-3</v>
      </c>
      <c r="H9" s="5">
        <f>'C2 lossyG,lossyA,intra'!$BO$30:$BO$30</f>
        <v>2.0003511631873638E-3</v>
      </c>
      <c r="I9" s="5">
        <f>'C2 lossyG,lossyA,intra'!$BP$30:$BP$30</f>
        <v>-1.4686788150311547E-3</v>
      </c>
      <c r="J9" s="5">
        <f>'C2 lossyG,lossyA,intra'!$BQ$30:$BQ$30</f>
        <v>-1.6370643235036342E-5</v>
      </c>
      <c r="K9" s="5">
        <f>'C2 lossyG,lossyA,intra'!$BR$30:$BR$30</f>
        <v>5.748069229724595E-4</v>
      </c>
      <c r="L9" s="5">
        <f>'C2 lossyG,lossyA,intra'!$BS$30:$BS$30</f>
        <v>-2.7225842933357725E-3</v>
      </c>
    </row>
    <row r="10" spans="2:12" x14ac:dyDescent="0.2">
      <c r="B10" s="4" t="s">
        <v>289</v>
      </c>
      <c r="C10" s="5">
        <f>'C2 lossyG,lossyA,intra'!$BI$31:$BI$31</f>
        <v>5.5571608315367893E-3</v>
      </c>
      <c r="D10" s="5">
        <f>'C2 lossyG,lossyA,intra'!$BJ$31:$BJ$31</f>
        <v>4.254057670135758E-3</v>
      </c>
      <c r="E10" s="5">
        <f>'C2 lossyG,lossyA,intra'!$BK$31:$BK$31</f>
        <v>2.3115720064845746E-3</v>
      </c>
      <c r="F10" s="5">
        <f>'C2 lossyG,lossyA,intra'!$BL$31:$BL$31</f>
        <v>3.2834322365449253E-5</v>
      </c>
      <c r="G10" s="5">
        <f>'C2 lossyG,lossyA,intra'!$BM$31:$BM$31</f>
        <v>1.5884991807071369E-3</v>
      </c>
      <c r="H10" s="5">
        <f>'C2 lossyG,lossyA,intra'!$BO$31:$BO$31</f>
        <v>5.2826379624768549E-3</v>
      </c>
      <c r="I10" s="5">
        <f>'C2 lossyG,lossyA,intra'!$BP$31:$BP$31</f>
        <v>3.5712898015340944E-3</v>
      </c>
      <c r="J10" s="5">
        <f>'C2 lossyG,lossyA,intra'!$BQ$31:$BQ$31</f>
        <v>2.8213736105975329E-3</v>
      </c>
      <c r="K10" s="5">
        <f>'C2 lossyG,lossyA,intra'!$BR$31:$BR$31</f>
        <v>6.3075188633066048E-4</v>
      </c>
      <c r="L10" s="5">
        <f>'C2 lossyG,lossyA,intra'!$BS$31:$BS$31</f>
        <v>1.9453442855814629E-3</v>
      </c>
    </row>
    <row r="11" spans="2:12" x14ac:dyDescent="0.2">
      <c r="B11" s="6" t="s">
        <v>290</v>
      </c>
      <c r="C11" s="7">
        <f>'C2 lossyG,lossyA,intra'!$BI$32:$BI$32</f>
        <v>1.437471370445298E-3</v>
      </c>
      <c r="D11" s="7">
        <f>'C2 lossyG,lossyA,intra'!$BJ$32:$BJ$32</f>
        <v>-5.2924270696108611E-4</v>
      </c>
      <c r="E11" s="7">
        <f>'C2 lossyG,lossyA,intra'!$BK$32:$BK$32</f>
        <v>5.2690485751953902E-4</v>
      </c>
      <c r="F11" s="7">
        <f>'C2 lossyG,lossyA,intra'!$BL$32:$BL$32</f>
        <v>1.0704128130650803E-3</v>
      </c>
      <c r="G11" s="7">
        <f>'C2 lossyG,lossyA,intra'!$BM$32:$BM$32</f>
        <v>-2.416368955498527E-3</v>
      </c>
      <c r="H11" s="7">
        <f>'C2 lossyG,lossyA,intra'!$BO$32:$BO$32</f>
        <v>2.6568085230452621E-3</v>
      </c>
      <c r="I11" s="7">
        <f>'C2 lossyG,lossyA,intra'!$BP$32:$BP$32</f>
        <v>-4.6068509171810491E-4</v>
      </c>
      <c r="J11" s="7">
        <f>'C2 lossyG,lossyA,intra'!$BQ$32:$BQ$32</f>
        <v>5.511782075314775E-4</v>
      </c>
      <c r="K11" s="7">
        <f>'C2 lossyG,lossyA,intra'!$BR$32:$BR$32</f>
        <v>5.8599591564409967E-4</v>
      </c>
      <c r="L11" s="7">
        <f>'C2 lossyG,lossyA,intra'!$BS$32:$BS$32</f>
        <v>-1.7889985775523254E-3</v>
      </c>
    </row>
    <row r="12" spans="2:12" x14ac:dyDescent="0.2">
      <c r="B12" t="s">
        <v>299</v>
      </c>
      <c r="C12" s="58">
        <f>'C2 lossyG,lossyA,intra'!AZ36</f>
        <v>0.93596277615448031</v>
      </c>
      <c r="D12" s="58"/>
      <c r="E12" s="58"/>
      <c r="F12" s="58"/>
      <c r="G12" s="58"/>
      <c r="H12" s="58"/>
      <c r="I12" s="58"/>
      <c r="J12" s="58"/>
      <c r="K12" s="58"/>
      <c r="L12" s="58"/>
    </row>
    <row r="13" spans="2:12" x14ac:dyDescent="0.2">
      <c r="B13" s="9" t="s">
        <v>300</v>
      </c>
      <c r="C13" s="59">
        <f>'C2 lossyG,lossyA,intra'!BB36</f>
        <v>0.96335881256372724</v>
      </c>
      <c r="D13" s="59"/>
      <c r="E13" s="59"/>
      <c r="F13" s="59"/>
      <c r="G13" s="59"/>
      <c r="H13" s="59"/>
      <c r="I13" s="59"/>
      <c r="J13" s="59"/>
      <c r="K13" s="59"/>
      <c r="L13" s="59"/>
    </row>
    <row r="15" spans="2:12" x14ac:dyDescent="0.2">
      <c r="B15" s="60" t="s">
        <v>381</v>
      </c>
      <c r="C15" s="61" t="s">
        <v>382</v>
      </c>
      <c r="D15" s="61"/>
      <c r="E15" s="61"/>
    </row>
    <row r="16" spans="2:12" x14ac:dyDescent="0.2">
      <c r="B16" s="60"/>
      <c r="C16" s="62" t="s">
        <v>357</v>
      </c>
      <c r="D16" s="62"/>
      <c r="E16" s="62"/>
    </row>
    <row r="17" spans="2:5" ht="16" x14ac:dyDescent="0.2">
      <c r="B17" s="60"/>
      <c r="C17" s="2" t="s">
        <v>124</v>
      </c>
      <c r="D17" s="2" t="s">
        <v>118</v>
      </c>
      <c r="E17" s="2" t="s">
        <v>150</v>
      </c>
    </row>
    <row r="18" spans="2:5" x14ac:dyDescent="0.2">
      <c r="B18" s="4" t="s">
        <v>288</v>
      </c>
      <c r="C18" s="5">
        <f>'CW losslG,losslA,intra'!BC10</f>
        <v>0.99049003939646829</v>
      </c>
      <c r="D18" s="5">
        <f>'CW losslG,losslA,intra'!BB10</f>
        <v>0.99873052268483598</v>
      </c>
      <c r="E18" s="5">
        <f>'CW losslG,losslA,intra'!BD10</f>
        <v>1.0000188006158262</v>
      </c>
    </row>
    <row r="19" spans="2:5" x14ac:dyDescent="0.2">
      <c r="B19" s="4" t="s">
        <v>289</v>
      </c>
      <c r="C19" s="5">
        <f>'CW losslG,losslA,intra'!BC11</f>
        <v>1.002832421126898</v>
      </c>
      <c r="D19" s="5">
        <f>'CW losslG,losslA,intra'!BB11</f>
        <v>1.0009908642189214</v>
      </c>
      <c r="E19" s="5">
        <f>'CW losslG,losslA,intra'!BD11</f>
        <v>1.0007814482310091</v>
      </c>
    </row>
    <row r="20" spans="2:5" x14ac:dyDescent="0.2">
      <c r="B20" s="6" t="s">
        <v>290</v>
      </c>
      <c r="C20" s="7">
        <f>'CW losslG,losslA,intra'!BC12</f>
        <v>0.99315580557192618</v>
      </c>
      <c r="D20" s="7">
        <f>'CW losslG,losslA,intra'!BB12</f>
        <v>0.99935344765703782</v>
      </c>
      <c r="E20" s="7">
        <f>'CW losslG,losslA,intra'!BD12</f>
        <v>1.0002362070269162</v>
      </c>
    </row>
    <row r="21" spans="2:5" x14ac:dyDescent="0.2">
      <c r="B21" t="s">
        <v>299</v>
      </c>
      <c r="C21" s="58">
        <f>'CW losslG,losslA,intra'!AW16</f>
        <v>1.2520438438889336</v>
      </c>
      <c r="D21" s="58"/>
      <c r="E21" s="58"/>
    </row>
    <row r="22" spans="2:5" x14ac:dyDescent="0.2">
      <c r="B22" s="9" t="s">
        <v>300</v>
      </c>
      <c r="C22" s="59">
        <f>'CW losslG,losslA,intra'!AY16</f>
        <v>1.0203816590679531</v>
      </c>
      <c r="D22" s="59"/>
      <c r="E22" s="59"/>
    </row>
    <row r="24" spans="2:5" s="1" customFormat="1" x14ac:dyDescent="0.2">
      <c r="B24" s="1" t="s">
        <v>456</v>
      </c>
    </row>
    <row r="26" spans="2:5" x14ac:dyDescent="0.2">
      <c r="B26" s="60" t="s">
        <v>457</v>
      </c>
      <c r="C26" s="61" t="s">
        <v>458</v>
      </c>
      <c r="D26" s="61"/>
      <c r="E26" s="61"/>
    </row>
    <row r="27" spans="2:5" x14ac:dyDescent="0.2">
      <c r="B27" s="60"/>
      <c r="C27" s="62" t="s">
        <v>357</v>
      </c>
      <c r="D27" s="62"/>
      <c r="E27" s="62"/>
    </row>
    <row r="28" spans="2:5" ht="16" x14ac:dyDescent="0.2">
      <c r="B28" s="60"/>
      <c r="C28" s="2" t="s">
        <v>118</v>
      </c>
      <c r="D28" s="2" t="s">
        <v>124</v>
      </c>
      <c r="E28" s="2" t="s">
        <v>150</v>
      </c>
    </row>
    <row r="29" spans="2:5" x14ac:dyDescent="0.2">
      <c r="B29" s="4" t="s">
        <v>288</v>
      </c>
      <c r="C29" s="5">
        <f>'CW losslG,losslA,interLD'!BB10</f>
        <v>0.99808672582776448</v>
      </c>
      <c r="D29" s="5">
        <f>'CW losslG,losslA,interLD'!BC10</f>
        <v>0.98631894384095931</v>
      </c>
      <c r="E29" s="5">
        <f>'CW losslG,losslA,interLD'!BD10</f>
        <v>0.99991772969558723</v>
      </c>
    </row>
    <row r="30" spans="2:5" x14ac:dyDescent="0.2">
      <c r="B30" s="4" t="s">
        <v>289</v>
      </c>
      <c r="C30" s="5">
        <f>'CW losslG,losslA,interLD'!BB11</f>
        <v>1.0011046838638196</v>
      </c>
      <c r="D30" s="5">
        <f>'CW losslG,losslA,interLD'!BC11</f>
        <v>1.0029696405363107</v>
      </c>
      <c r="E30" s="5">
        <f>'CW losslG,losslA,interLD'!BD11</f>
        <v>1.0008709479948092</v>
      </c>
    </row>
    <row r="31" spans="2:5" x14ac:dyDescent="0.2">
      <c r="B31" s="6" t="s">
        <v>290</v>
      </c>
      <c r="C31" s="7">
        <f>'CW losslG,losslA,interLD'!BB12</f>
        <v>0.99892969038737534</v>
      </c>
      <c r="D31" s="7">
        <f>'CW losslG,losslA,interLD'!BC12</f>
        <v>0.98996406794733349</v>
      </c>
      <c r="E31" s="7">
        <f>'CW losslG,losslA,interLD'!BD12</f>
        <v>1.0001929553701296</v>
      </c>
    </row>
    <row r="32" spans="2:5" x14ac:dyDescent="0.2">
      <c r="B32" t="s">
        <v>299</v>
      </c>
      <c r="C32" s="58">
        <f>'CW losslG,losslA,interLD'!AW16</f>
        <v>1.3973042577887946</v>
      </c>
      <c r="D32" s="58"/>
      <c r="E32" s="58"/>
    </row>
    <row r="33" spans="2:12" x14ac:dyDescent="0.2">
      <c r="B33" s="9" t="s">
        <v>300</v>
      </c>
      <c r="C33" s="59">
        <f>'CW losslG,losslA,interLD'!AY16</f>
        <v>1.6139076615127825</v>
      </c>
      <c r="D33" s="59"/>
      <c r="E33" s="59"/>
    </row>
    <row r="35" spans="2:12" s="1" customFormat="1" x14ac:dyDescent="0.2">
      <c r="B35" s="1" t="s">
        <v>543</v>
      </c>
    </row>
    <row r="37" spans="2:12" x14ac:dyDescent="0.2">
      <c r="B37" s="60" t="s">
        <v>544</v>
      </c>
      <c r="C37" s="61" t="s">
        <v>545</v>
      </c>
      <c r="D37" s="61"/>
      <c r="E37" s="61"/>
      <c r="F37" s="61"/>
      <c r="G37" s="61"/>
      <c r="H37" s="61"/>
      <c r="I37" s="61"/>
      <c r="J37" s="61"/>
      <c r="K37" s="61"/>
      <c r="L37" s="61"/>
    </row>
    <row r="38" spans="2:12" x14ac:dyDescent="0.2">
      <c r="B38" s="60"/>
      <c r="C38" s="62" t="s">
        <v>237</v>
      </c>
      <c r="D38" s="62"/>
      <c r="E38" s="63" t="s">
        <v>242</v>
      </c>
      <c r="F38" s="63"/>
      <c r="G38" s="63"/>
      <c r="H38" s="62" t="s">
        <v>249</v>
      </c>
      <c r="I38" s="62"/>
      <c r="J38" s="63" t="s">
        <v>254</v>
      </c>
      <c r="K38" s="63"/>
      <c r="L38" s="63"/>
    </row>
    <row r="39" spans="2:12" ht="16" x14ac:dyDescent="0.2">
      <c r="B39" s="60"/>
      <c r="C39" s="2" t="s">
        <v>154</v>
      </c>
      <c r="D39" s="2" t="s">
        <v>157</v>
      </c>
      <c r="E39" s="3" t="s">
        <v>161</v>
      </c>
      <c r="F39" s="3" t="s">
        <v>164</v>
      </c>
      <c r="G39" s="3" t="s">
        <v>167</v>
      </c>
      <c r="H39" s="2" t="s">
        <v>154</v>
      </c>
      <c r="I39" s="2" t="s">
        <v>157</v>
      </c>
      <c r="J39" s="3" t="s">
        <v>161</v>
      </c>
      <c r="K39" s="3" t="s">
        <v>164</v>
      </c>
      <c r="L39" s="3" t="s">
        <v>167</v>
      </c>
    </row>
    <row r="40" spans="2:12" x14ac:dyDescent="0.2">
      <c r="B40" s="4" t="s">
        <v>288</v>
      </c>
      <c r="C40" s="5">
        <f>'C2 lossyG,lossyA,interRA'!$BI$30:$BI$30</f>
        <v>-2.5508981530978053E-2</v>
      </c>
      <c r="D40" s="5">
        <f>'C2 lossyG,lossyA,interRA'!$BJ$30:$BJ$30</f>
        <v>-2.7093461552265385E-2</v>
      </c>
      <c r="E40" s="5">
        <f>'C2 lossyG,lossyA,interRA'!$BK$30:$BK$30</f>
        <v>-1.933613615341459E-2</v>
      </c>
      <c r="F40" s="5">
        <f>'C2 lossyG,lossyA,interRA'!$BL$30:$BL$30</f>
        <v>-1.6266396828029855E-2</v>
      </c>
      <c r="G40" s="5">
        <f>'C2 lossyG,lossyA,interRA'!$BM$30:$BM$30</f>
        <v>-2.5234516116773464E-2</v>
      </c>
      <c r="H40" s="5">
        <f>'C2 lossyG,lossyA,interRA'!$BO$30:$BO$30</f>
        <v>-1.8683976497816168E-2</v>
      </c>
      <c r="I40" s="5">
        <f>'C2 lossyG,lossyA,interRA'!$BP$30:$BP$30</f>
        <v>-2.0450431792396667E-2</v>
      </c>
      <c r="J40" s="5">
        <f>'C2 lossyG,lossyA,interRA'!$BQ$30:$BQ$30</f>
        <v>-2.3674069393119862E-2</v>
      </c>
      <c r="K40" s="5">
        <f>'C2 lossyG,lossyA,interRA'!$BR$30:$BR$30</f>
        <v>-2.2157597027166104E-2</v>
      </c>
      <c r="L40" s="5">
        <f>'C2 lossyG,lossyA,interRA'!$BS$30:$BS$30</f>
        <v>-2.7919124372227794E-2</v>
      </c>
    </row>
    <row r="41" spans="2:12" x14ac:dyDescent="0.2">
      <c r="B41" s="4" t="s">
        <v>289</v>
      </c>
      <c r="C41" s="5">
        <f>'C2 lossyG,lossyA,interRA'!$BI$31:$BI$31</f>
        <v>4.1610798382860636E-3</v>
      </c>
      <c r="D41" s="5">
        <f>'C2 lossyG,lossyA,interRA'!$BJ$31:$BJ$31</f>
        <v>2.3880169549366226E-3</v>
      </c>
      <c r="E41" s="5">
        <f>'C2 lossyG,lossyA,interRA'!$BK$31:$BK$31</f>
        <v>1.217329810815504E-2</v>
      </c>
      <c r="F41" s="5">
        <f>'C2 lossyG,lossyA,interRA'!$BL$31:$BL$31</f>
        <v>8.2397995943341851E-3</v>
      </c>
      <c r="G41" s="5">
        <f>'C2 lossyG,lossyA,interRA'!$BM$31:$BM$31</f>
        <v>1.0676523243140057E-2</v>
      </c>
      <c r="H41" s="5">
        <f>'C2 lossyG,lossyA,interRA'!$BO$31:$BO$31</f>
        <v>8.657688946946962E-3</v>
      </c>
      <c r="I41" s="5">
        <f>'C2 lossyG,lossyA,interRA'!$BP$31:$BP$31</f>
        <v>5.1863269490333153E-3</v>
      </c>
      <c r="J41" s="5">
        <f>'C2 lossyG,lossyA,interRA'!$BQ$31:$BQ$31</f>
        <v>8.6208087038142089E-3</v>
      </c>
      <c r="K41" s="5">
        <f>'C2 lossyG,lossyA,interRA'!$BR$31:$BR$31</f>
        <v>5.6881534494064301E-3</v>
      </c>
      <c r="L41" s="5">
        <f>'C2 lossyG,lossyA,interRA'!$BS$31:$BS$31</f>
        <v>7.4282828683993607E-3</v>
      </c>
    </row>
    <row r="42" spans="2:12" x14ac:dyDescent="0.2">
      <c r="B42" s="6" t="s">
        <v>290</v>
      </c>
      <c r="C42" s="7">
        <f>'C2 lossyG,lossyA,interRA'!$BI$32:$BI$32</f>
        <v>-1.9574969257125228E-2</v>
      </c>
      <c r="D42" s="7">
        <f>'C2 lossyG,lossyA,interRA'!$BJ$32:$BJ$32</f>
        <v>-2.1197165850824984E-2</v>
      </c>
      <c r="E42" s="7">
        <f>'C2 lossyG,lossyA,interRA'!$BK$32:$BK$32</f>
        <v>-1.3034249301100665E-2</v>
      </c>
      <c r="F42" s="7">
        <f>'C2 lossyG,lossyA,interRA'!$BL$32:$BL$32</f>
        <v>-1.1365157543557047E-2</v>
      </c>
      <c r="G42" s="7">
        <f>'C2 lossyG,lossyA,interRA'!$BM$32:$BM$32</f>
        <v>-1.805230824479076E-2</v>
      </c>
      <c r="H42" s="7">
        <f>'C2 lossyG,lossyA,interRA'!$BO$32:$BO$32</f>
        <v>-1.3215643408863543E-2</v>
      </c>
      <c r="I42" s="7">
        <f>'C2 lossyG,lossyA,interRA'!$BP$32:$BP$32</f>
        <v>-1.5323080044110671E-2</v>
      </c>
      <c r="J42" s="7">
        <f>'C2 lossyG,lossyA,interRA'!$BQ$32:$BQ$32</f>
        <v>-1.7215093773733047E-2</v>
      </c>
      <c r="K42" s="7">
        <f>'C2 lossyG,lossyA,interRA'!$BR$32:$BR$32</f>
        <v>-1.6588446931851596E-2</v>
      </c>
      <c r="L42" s="7">
        <f>'C2 lossyG,lossyA,interRA'!$BS$32:$BS$32</f>
        <v>-2.0849642924102362E-2</v>
      </c>
    </row>
    <row r="43" spans="2:12" x14ac:dyDescent="0.2">
      <c r="B43" t="s">
        <v>299</v>
      </c>
      <c r="C43" s="58">
        <f>'C2 lossyG,lossyA,interRA'!AZ36</f>
        <v>1.0563328459355934</v>
      </c>
      <c r="D43" s="58"/>
      <c r="E43" s="58"/>
      <c r="F43" s="58"/>
      <c r="G43" s="58"/>
      <c r="H43" s="58"/>
      <c r="I43" s="58"/>
      <c r="J43" s="58"/>
      <c r="K43" s="58"/>
      <c r="L43" s="58"/>
    </row>
    <row r="44" spans="2:12" x14ac:dyDescent="0.2">
      <c r="B44" s="9" t="s">
        <v>300</v>
      </c>
      <c r="C44" s="59">
        <f>'C2 lossyG,lossyA,interRA'!BB36</f>
        <v>1.0189560217901321</v>
      </c>
      <c r="D44" s="59"/>
      <c r="E44" s="59"/>
      <c r="F44" s="59"/>
      <c r="G44" s="59"/>
      <c r="H44" s="59"/>
      <c r="I44" s="59"/>
      <c r="J44" s="59"/>
      <c r="K44" s="59"/>
      <c r="L44" s="59"/>
    </row>
  </sheetData>
  <mergeCells count="28">
    <mergeCell ref="C1:E1"/>
    <mergeCell ref="C2:E2"/>
    <mergeCell ref="B6:B8"/>
    <mergeCell ref="C6:L6"/>
    <mergeCell ref="C7:D7"/>
    <mergeCell ref="E7:G7"/>
    <mergeCell ref="H7:I7"/>
    <mergeCell ref="J7:L7"/>
    <mergeCell ref="C12:L12"/>
    <mergeCell ref="C13:L13"/>
    <mergeCell ref="B15:B17"/>
    <mergeCell ref="C15:E15"/>
    <mergeCell ref="C16:E16"/>
    <mergeCell ref="C21:E21"/>
    <mergeCell ref="C22:E22"/>
    <mergeCell ref="B26:B28"/>
    <mergeCell ref="C26:E26"/>
    <mergeCell ref="C27:E27"/>
    <mergeCell ref="C43:L43"/>
    <mergeCell ref="C44:L44"/>
    <mergeCell ref="C32:E32"/>
    <mergeCell ref="C33:E33"/>
    <mergeCell ref="B37:B39"/>
    <mergeCell ref="C37:L37"/>
    <mergeCell ref="C38:D38"/>
    <mergeCell ref="E38:G38"/>
    <mergeCell ref="H38:I38"/>
    <mergeCell ref="J38:L38"/>
  </mergeCells>
  <conditionalFormatting sqref="C18 C19 C20">
    <cfRule type="cellIs" dxfId="105" priority="23" operator="greaterThanOrEqual">
      <formula>1.03</formula>
    </cfRule>
    <cfRule type="cellIs" dxfId="104" priority="24" operator="lessThanOrEqual">
      <formula>0.97</formula>
    </cfRule>
  </conditionalFormatting>
  <conditionalFormatting sqref="C29 C30 C31">
    <cfRule type="cellIs" dxfId="103" priority="29" operator="greaterThanOrEqual">
      <formula>1.03</formula>
    </cfRule>
    <cfRule type="cellIs" dxfId="102" priority="30" operator="lessThanOrEqual">
      <formula>0.97</formula>
    </cfRule>
  </conditionalFormatting>
  <conditionalFormatting sqref="C40 C41 C42">
    <cfRule type="cellIs" dxfId="101" priority="35" operator="greaterThanOrEqual">
      <formula>0.03</formula>
    </cfRule>
    <cfRule type="cellIs" dxfId="100" priority="36" operator="lessThanOrEqual">
      <formula>-0.03</formula>
    </cfRule>
  </conditionalFormatting>
  <conditionalFormatting sqref="C9 C10 C11">
    <cfRule type="cellIs" dxfId="99" priority="1" operator="greaterThanOrEqual">
      <formula>0.03</formula>
    </cfRule>
    <cfRule type="cellIs" dxfId="98" priority="2" operator="lessThanOrEqual">
      <formula>-0.03</formula>
    </cfRule>
  </conditionalFormatting>
  <conditionalFormatting sqref="D18 D19 D20">
    <cfRule type="cellIs" dxfId="97" priority="25" operator="greaterThanOrEqual">
      <formula>1.03</formula>
    </cfRule>
    <cfRule type="cellIs" dxfId="96" priority="26" operator="lessThanOrEqual">
      <formula>0.97</formula>
    </cfRule>
  </conditionalFormatting>
  <conditionalFormatting sqref="D29 D30 D31">
    <cfRule type="cellIs" dxfId="95" priority="31" operator="greaterThanOrEqual">
      <formula>1.03</formula>
    </cfRule>
    <cfRule type="cellIs" dxfId="94" priority="32" operator="lessThanOrEqual">
      <formula>0.97</formula>
    </cfRule>
  </conditionalFormatting>
  <conditionalFormatting sqref="D40 D41 D42">
    <cfRule type="cellIs" dxfId="93" priority="33" operator="greaterThanOrEqual">
      <formula>0.03</formula>
    </cfRule>
    <cfRule type="cellIs" dxfId="92" priority="34" operator="lessThanOrEqual">
      <formula>-0.03</formula>
    </cfRule>
  </conditionalFormatting>
  <conditionalFormatting sqref="D9 D10 D11">
    <cfRule type="cellIs" dxfId="91" priority="7" operator="greaterThanOrEqual">
      <formula>0.03</formula>
    </cfRule>
    <cfRule type="cellIs" dxfId="90" priority="8" operator="lessThanOrEqual">
      <formula>-0.03</formula>
    </cfRule>
  </conditionalFormatting>
  <conditionalFormatting sqref="E18 E19 E20">
    <cfRule type="cellIs" dxfId="89" priority="21" operator="greaterThanOrEqual">
      <formula>1.03</formula>
    </cfRule>
    <cfRule type="cellIs" dxfId="88" priority="22" operator="lessThanOrEqual">
      <formula>0.97</formula>
    </cfRule>
  </conditionalFormatting>
  <conditionalFormatting sqref="E29 E30 E31">
    <cfRule type="cellIs" dxfId="87" priority="27" operator="greaterThanOrEqual">
      <formula>1.03</formula>
    </cfRule>
    <cfRule type="cellIs" dxfId="86" priority="28" operator="lessThanOrEqual">
      <formula>0.97</formula>
    </cfRule>
  </conditionalFormatting>
  <conditionalFormatting sqref="E40 E41 E42">
    <cfRule type="cellIs" dxfId="85" priority="43" operator="greaterThanOrEqual">
      <formula>0.03</formula>
    </cfRule>
    <cfRule type="cellIs" dxfId="84" priority="44" operator="lessThanOrEqual">
      <formula>-0.03</formula>
    </cfRule>
  </conditionalFormatting>
  <conditionalFormatting sqref="E9 E10 E11">
    <cfRule type="cellIs" dxfId="83" priority="19" operator="greaterThanOrEqual">
      <formula>0.03</formula>
    </cfRule>
    <cfRule type="cellIs" dxfId="82" priority="20" operator="lessThanOrEqual">
      <formula>-0.03</formula>
    </cfRule>
  </conditionalFormatting>
  <conditionalFormatting sqref="F40 F41 F42">
    <cfRule type="cellIs" dxfId="81" priority="47" operator="greaterThanOrEqual">
      <formula>0.03</formula>
    </cfRule>
    <cfRule type="cellIs" dxfId="80" priority="48" operator="lessThanOrEqual">
      <formula>-0.03</formula>
    </cfRule>
  </conditionalFormatting>
  <conditionalFormatting sqref="F9 F10 F11">
    <cfRule type="cellIs" dxfId="79" priority="11" operator="greaterThanOrEqual">
      <formula>0.03</formula>
    </cfRule>
    <cfRule type="cellIs" dxfId="78" priority="12" operator="lessThanOrEqual">
      <formula>-0.03</formula>
    </cfRule>
  </conditionalFormatting>
  <conditionalFormatting sqref="G40 G41 G42">
    <cfRule type="cellIs" dxfId="77" priority="49" operator="greaterThanOrEqual">
      <formula>0.03</formula>
    </cfRule>
    <cfRule type="cellIs" dxfId="76" priority="50" operator="lessThanOrEqual">
      <formula>-0.03</formula>
    </cfRule>
  </conditionalFormatting>
  <conditionalFormatting sqref="G9 G10 G11">
    <cfRule type="cellIs" dxfId="75" priority="9" operator="greaterThanOrEqual">
      <formula>0.03</formula>
    </cfRule>
    <cfRule type="cellIs" dxfId="74" priority="10" operator="lessThanOrEqual">
      <formula>-0.03</formula>
    </cfRule>
  </conditionalFormatting>
  <conditionalFormatting sqref="H40 H41 H42">
    <cfRule type="cellIs" dxfId="73" priority="41" operator="greaterThanOrEqual">
      <formula>0.03</formula>
    </cfRule>
    <cfRule type="cellIs" dxfId="72" priority="42" operator="lessThanOrEqual">
      <formula>-0.03</formula>
    </cfRule>
  </conditionalFormatting>
  <conditionalFormatting sqref="H9 H10 H11">
    <cfRule type="cellIs" dxfId="71" priority="17" operator="greaterThanOrEqual">
      <formula>0.03</formula>
    </cfRule>
    <cfRule type="cellIs" dxfId="70" priority="18" operator="lessThanOrEqual">
      <formula>-0.03</formula>
    </cfRule>
  </conditionalFormatting>
  <conditionalFormatting sqref="I40 I41 I42">
    <cfRule type="cellIs" dxfId="69" priority="51" operator="greaterThanOrEqual">
      <formula>0.03</formula>
    </cfRule>
    <cfRule type="cellIs" dxfId="68" priority="52" operator="lessThanOrEqual">
      <formula>-0.03</formula>
    </cfRule>
  </conditionalFormatting>
  <conditionalFormatting sqref="I9 I10 I11">
    <cfRule type="cellIs" dxfId="67" priority="15" operator="greaterThanOrEqual">
      <formula>0.03</formula>
    </cfRule>
    <cfRule type="cellIs" dxfId="66" priority="16" operator="lessThanOrEqual">
      <formula>-0.03</formula>
    </cfRule>
  </conditionalFormatting>
  <conditionalFormatting sqref="J40 J41 J42">
    <cfRule type="cellIs" dxfId="65" priority="37" operator="greaterThanOrEqual">
      <formula>0.03</formula>
    </cfRule>
    <cfRule type="cellIs" dxfId="64" priority="38" operator="lessThanOrEqual">
      <formula>-0.03</formula>
    </cfRule>
  </conditionalFormatting>
  <conditionalFormatting sqref="J9 J10 J11">
    <cfRule type="cellIs" dxfId="63" priority="5" operator="greaterThanOrEqual">
      <formula>0.03</formula>
    </cfRule>
    <cfRule type="cellIs" dxfId="62" priority="6" operator="lessThanOrEqual">
      <formula>-0.03</formula>
    </cfRule>
  </conditionalFormatting>
  <conditionalFormatting sqref="K40 K41 K42">
    <cfRule type="cellIs" dxfId="61" priority="39" operator="greaterThanOrEqual">
      <formula>0.03</formula>
    </cfRule>
    <cfRule type="cellIs" dxfId="60" priority="40" operator="lessThanOrEqual">
      <formula>-0.03</formula>
    </cfRule>
  </conditionalFormatting>
  <conditionalFormatting sqref="K9 K10 K11">
    <cfRule type="cellIs" dxfId="59" priority="3" operator="greaterThanOrEqual">
      <formula>0.03</formula>
    </cfRule>
    <cfRule type="cellIs" dxfId="58" priority="4" operator="lessThanOrEqual">
      <formula>-0.03</formula>
    </cfRule>
  </conditionalFormatting>
  <conditionalFormatting sqref="L40 L41 L42">
    <cfRule type="cellIs" dxfId="57" priority="45" operator="greaterThanOrEqual">
      <formula>0.03</formula>
    </cfRule>
    <cfRule type="cellIs" dxfId="56" priority="46" operator="lessThanOrEqual">
      <formula>-0.03</formula>
    </cfRule>
  </conditionalFormatting>
  <conditionalFormatting sqref="L9 L10 L11">
    <cfRule type="cellIs" dxfId="55" priority="13" operator="greaterThanOrEqual">
      <formula>0.03</formula>
    </cfRule>
    <cfRule type="cellIs" dxfId="54" priority="14" operator="lessThanOrEqual">
      <formula>-0.03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39"/>
  <sheetViews>
    <sheetView workbookViewId="0"/>
  </sheetViews>
  <sheetFormatPr baseColWidth="10" defaultColWidth="8.83203125" defaultRowHeight="15" x14ac:dyDescent="0.2"/>
  <cols>
    <col min="1" max="1" width="12.6640625" customWidth="1"/>
    <col min="2" max="2" width="24.6640625" customWidth="1"/>
    <col min="4" max="4" width="24.6640625" customWidth="1"/>
    <col min="9" max="9" width="16.6640625" customWidth="1"/>
  </cols>
  <sheetData>
    <row r="1" spans="1:16" x14ac:dyDescent="0.2">
      <c r="A1" t="s">
        <v>81</v>
      </c>
      <c r="B1" s="10" t="str">
        <f>M1</f>
        <v>C2 lossyG,lossyA,intra</v>
      </c>
      <c r="C1" t="s">
        <v>82</v>
      </c>
      <c r="I1" t="s">
        <v>4</v>
      </c>
      <c r="M1" t="s">
        <v>301</v>
      </c>
      <c r="N1" t="s">
        <v>383</v>
      </c>
      <c r="O1" t="s">
        <v>459</v>
      </c>
      <c r="P1" t="s">
        <v>546</v>
      </c>
    </row>
    <row r="2" spans="1:16" x14ac:dyDescent="0.2">
      <c r="A2" t="s">
        <v>83</v>
      </c>
      <c r="B2" s="10" t="str">
        <f>HLOOKUP(B1,M1:ZZ3,3,0)</f>
        <v>8ivfbv2_loot_vox10</v>
      </c>
      <c r="C2" t="s">
        <v>84</v>
      </c>
      <c r="I2" t="s">
        <v>5</v>
      </c>
      <c r="J2" t="s">
        <v>6</v>
      </c>
      <c r="M2" t="s">
        <v>303</v>
      </c>
      <c r="N2" t="s">
        <v>385</v>
      </c>
      <c r="O2" t="s">
        <v>461</v>
      </c>
      <c r="P2" t="s">
        <v>548</v>
      </c>
    </row>
    <row r="3" spans="1:16" x14ac:dyDescent="0.2">
      <c r="I3" t="s">
        <v>7</v>
      </c>
      <c r="J3" t="s">
        <v>8</v>
      </c>
      <c r="M3" t="s">
        <v>266</v>
      </c>
      <c r="N3" t="s">
        <v>266</v>
      </c>
      <c r="O3" t="s">
        <v>266</v>
      </c>
      <c r="P3" t="s">
        <v>266</v>
      </c>
    </row>
    <row r="4" spans="1:16" x14ac:dyDescent="0.2">
      <c r="A4" t="s">
        <v>85</v>
      </c>
      <c r="B4" s="10" t="s">
        <v>69</v>
      </c>
      <c r="C4" t="s">
        <v>86</v>
      </c>
      <c r="D4" s="10" t="s">
        <v>15</v>
      </c>
      <c r="E4" t="s">
        <v>87</v>
      </c>
      <c r="I4" t="s">
        <v>9</v>
      </c>
      <c r="J4" t="s">
        <v>10</v>
      </c>
      <c r="M4" t="s">
        <v>275</v>
      </c>
      <c r="N4" t="s">
        <v>275</v>
      </c>
      <c r="O4" t="s">
        <v>275</v>
      </c>
      <c r="P4" t="s">
        <v>275</v>
      </c>
    </row>
    <row r="5" spans="1:16" x14ac:dyDescent="0.2">
      <c r="A5" t="s">
        <v>85</v>
      </c>
      <c r="B5" s="10" t="s">
        <v>69</v>
      </c>
      <c r="C5" t="s">
        <v>86</v>
      </c>
      <c r="D5" s="10" t="s">
        <v>19</v>
      </c>
      <c r="E5" t="s">
        <v>88</v>
      </c>
      <c r="I5" t="s">
        <v>11</v>
      </c>
      <c r="J5" t="s">
        <v>12</v>
      </c>
      <c r="M5" t="s">
        <v>278</v>
      </c>
      <c r="N5" t="s">
        <v>278</v>
      </c>
      <c r="O5" t="s">
        <v>278</v>
      </c>
      <c r="P5" t="s">
        <v>278</v>
      </c>
    </row>
    <row r="6" spans="1:16" x14ac:dyDescent="0.2">
      <c r="A6" t="s">
        <v>85</v>
      </c>
      <c r="B6" s="10" t="s">
        <v>69</v>
      </c>
      <c r="C6" t="s">
        <v>86</v>
      </c>
      <c r="D6" s="10" t="s">
        <v>45</v>
      </c>
      <c r="E6" t="s">
        <v>89</v>
      </c>
      <c r="I6" t="s">
        <v>13</v>
      </c>
      <c r="J6" t="s">
        <v>14</v>
      </c>
      <c r="M6" t="s">
        <v>281</v>
      </c>
      <c r="N6" t="s">
        <v>281</v>
      </c>
      <c r="O6" t="s">
        <v>281</v>
      </c>
      <c r="P6" t="s">
        <v>281</v>
      </c>
    </row>
    <row r="7" spans="1:16" x14ac:dyDescent="0.2">
      <c r="A7" t="s">
        <v>85</v>
      </c>
      <c r="B7" s="10" t="s">
        <v>69</v>
      </c>
      <c r="C7" t="s">
        <v>86</v>
      </c>
      <c r="D7" s="10" t="s">
        <v>7</v>
      </c>
      <c r="E7" t="s">
        <v>90</v>
      </c>
      <c r="I7" t="s">
        <v>15</v>
      </c>
      <c r="J7" t="s">
        <v>16</v>
      </c>
      <c r="M7" t="s">
        <v>284</v>
      </c>
      <c r="N7" t="s">
        <v>284</v>
      </c>
      <c r="O7" t="s">
        <v>284</v>
      </c>
      <c r="P7" t="s">
        <v>284</v>
      </c>
    </row>
    <row r="8" spans="1:16" x14ac:dyDescent="0.2">
      <c r="A8" t="s">
        <v>85</v>
      </c>
      <c r="B8" s="10" t="s">
        <v>69</v>
      </c>
      <c r="C8" t="s">
        <v>86</v>
      </c>
      <c r="D8" s="10" t="s">
        <v>11</v>
      </c>
      <c r="E8" t="s">
        <v>91</v>
      </c>
      <c r="I8" t="s">
        <v>17</v>
      </c>
      <c r="J8" t="s">
        <v>18</v>
      </c>
    </row>
    <row r="9" spans="1:16" x14ac:dyDescent="0.2">
      <c r="A9" t="s">
        <v>85</v>
      </c>
      <c r="B9" s="10" t="s">
        <v>69</v>
      </c>
      <c r="C9" t="s">
        <v>86</v>
      </c>
      <c r="D9" s="10" t="s">
        <v>35</v>
      </c>
      <c r="E9" t="s">
        <v>92</v>
      </c>
      <c r="I9" t="s">
        <v>19</v>
      </c>
      <c r="J9" t="s">
        <v>20</v>
      </c>
    </row>
    <row r="10" spans="1:16" x14ac:dyDescent="0.2">
      <c r="I10" t="s">
        <v>21</v>
      </c>
      <c r="J10" t="s">
        <v>22</v>
      </c>
    </row>
    <row r="11" spans="1:16" x14ac:dyDescent="0.2">
      <c r="I11" t="s">
        <v>23</v>
      </c>
      <c r="J11" t="s">
        <v>24</v>
      </c>
    </row>
    <row r="12" spans="1:16" x14ac:dyDescent="0.2">
      <c r="I12" t="s">
        <v>25</v>
      </c>
      <c r="J12" t="s">
        <v>26</v>
      </c>
    </row>
    <row r="13" spans="1:16" x14ac:dyDescent="0.2">
      <c r="I13" t="s">
        <v>27</v>
      </c>
      <c r="J13" t="s">
        <v>28</v>
      </c>
    </row>
    <row r="14" spans="1:16" x14ac:dyDescent="0.2">
      <c r="I14" t="s">
        <v>29</v>
      </c>
      <c r="J14" t="s">
        <v>30</v>
      </c>
    </row>
    <row r="15" spans="1:16" x14ac:dyDescent="0.2">
      <c r="I15" t="s">
        <v>31</v>
      </c>
      <c r="J15" t="s">
        <v>32</v>
      </c>
    </row>
    <row r="16" spans="1:16" x14ac:dyDescent="0.2">
      <c r="I16" t="s">
        <v>33</v>
      </c>
      <c r="J16" t="s">
        <v>34</v>
      </c>
    </row>
    <row r="17" spans="9:10" x14ac:dyDescent="0.2">
      <c r="I17" t="s">
        <v>35</v>
      </c>
      <c r="J17" t="s">
        <v>36</v>
      </c>
    </row>
    <row r="18" spans="9:10" x14ac:dyDescent="0.2">
      <c r="I18" t="s">
        <v>37</v>
      </c>
      <c r="J18" t="s">
        <v>38</v>
      </c>
    </row>
    <row r="19" spans="9:10" x14ac:dyDescent="0.2">
      <c r="I19" t="s">
        <v>39</v>
      </c>
      <c r="J19" t="s">
        <v>40</v>
      </c>
    </row>
    <row r="20" spans="9:10" x14ac:dyDescent="0.2">
      <c r="I20" t="s">
        <v>41</v>
      </c>
      <c r="J20" t="s">
        <v>42</v>
      </c>
    </row>
    <row r="21" spans="9:10" x14ac:dyDescent="0.2">
      <c r="I21" t="s">
        <v>43</v>
      </c>
      <c r="J21" t="s">
        <v>44</v>
      </c>
    </row>
    <row r="22" spans="9:10" x14ac:dyDescent="0.2">
      <c r="I22" t="s">
        <v>45</v>
      </c>
      <c r="J22" t="s">
        <v>46</v>
      </c>
    </row>
    <row r="23" spans="9:10" x14ac:dyDescent="0.2">
      <c r="I23" t="s">
        <v>47</v>
      </c>
      <c r="J23" t="s">
        <v>48</v>
      </c>
    </row>
    <row r="24" spans="9:10" x14ac:dyDescent="0.2">
      <c r="I24" t="s">
        <v>49</v>
      </c>
      <c r="J24" t="s">
        <v>50</v>
      </c>
    </row>
    <row r="25" spans="9:10" x14ac:dyDescent="0.2">
      <c r="I25" t="s">
        <v>51</v>
      </c>
      <c r="J25" t="s">
        <v>52</v>
      </c>
    </row>
    <row r="26" spans="9:10" x14ac:dyDescent="0.2">
      <c r="I26" t="s">
        <v>53</v>
      </c>
      <c r="J26" t="s">
        <v>54</v>
      </c>
    </row>
    <row r="27" spans="9:10" x14ac:dyDescent="0.2">
      <c r="I27" t="s">
        <v>55</v>
      </c>
      <c r="J27" t="s">
        <v>56</v>
      </c>
    </row>
    <row r="28" spans="9:10" x14ac:dyDescent="0.2">
      <c r="I28" t="s">
        <v>57</v>
      </c>
      <c r="J28" t="s">
        <v>58</v>
      </c>
    </row>
    <row r="29" spans="9:10" x14ac:dyDescent="0.2">
      <c r="I29" t="s">
        <v>59</v>
      </c>
      <c r="J29" t="s">
        <v>60</v>
      </c>
    </row>
    <row r="30" spans="9:10" x14ac:dyDescent="0.2">
      <c r="I30" t="s">
        <v>61</v>
      </c>
      <c r="J30" t="s">
        <v>62</v>
      </c>
    </row>
    <row r="31" spans="9:10" x14ac:dyDescent="0.2">
      <c r="I31" t="s">
        <v>63</v>
      </c>
      <c r="J31" t="s">
        <v>64</v>
      </c>
    </row>
    <row r="32" spans="9:10" x14ac:dyDescent="0.2">
      <c r="I32" t="s">
        <v>65</v>
      </c>
      <c r="J32" t="s">
        <v>66</v>
      </c>
    </row>
    <row r="33" spans="9:10" x14ac:dyDescent="0.2">
      <c r="I33" t="s">
        <v>67</v>
      </c>
      <c r="J33" t="s">
        <v>68</v>
      </c>
    </row>
    <row r="34" spans="9:10" x14ac:dyDescent="0.2">
      <c r="I34" t="s">
        <v>69</v>
      </c>
      <c r="J34" t="s">
        <v>70</v>
      </c>
    </row>
    <row r="35" spans="9:10" x14ac:dyDescent="0.2">
      <c r="I35" t="s">
        <v>71</v>
      </c>
      <c r="J35" t="s">
        <v>72</v>
      </c>
    </row>
    <row r="36" spans="9:10" x14ac:dyDescent="0.2">
      <c r="I36" t="s">
        <v>73</v>
      </c>
      <c r="J36" t="s">
        <v>74</v>
      </c>
    </row>
    <row r="37" spans="9:10" x14ac:dyDescent="0.2">
      <c r="I37" t="s">
        <v>75</v>
      </c>
      <c r="J37" t="s">
        <v>76</v>
      </c>
    </row>
    <row r="38" spans="9:10" x14ac:dyDescent="0.2">
      <c r="I38" t="s">
        <v>77</v>
      </c>
      <c r="J38" t="s">
        <v>78</v>
      </c>
    </row>
    <row r="39" spans="9:10" x14ac:dyDescent="0.2">
      <c r="I39" t="s">
        <v>79</v>
      </c>
      <c r="J39" t="s">
        <v>80</v>
      </c>
    </row>
  </sheetData>
  <conditionalFormatting sqref="B2">
    <cfRule type="expression" dxfId="53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52" priority="2">
      <formula>ISNA(MATCH(B4,filter_cols,0))</formula>
    </cfRule>
  </conditionalFormatting>
  <dataValidations count="3">
    <dataValidation type="list" allowBlank="1" showInputMessage="1" showErrorMessage="1" sqref="B1" xr:uid="{00000000-0002-0000-0100-000000000000}">
      <formula1>OFFSET(1:1,0,COLUMN(M1)-1,1,COUNTA(M1:ZZ1))</formula1>
    </dataValidation>
    <dataValidation type="list" allowBlank="1" showInputMessage="1" showErrorMessage="1" sqref="B2" xr:uid="{00000000-0002-0000-0100-000001000000}">
      <formula1>OFFSET(M:M,2,MATCH(B1,M1:ZZ1,0)-1,COUNTA(INDEX(M:ZZ,,MATCH(B1,M1:ZZ1,0)))-2)</formula1>
    </dataValidation>
    <dataValidation type="list" allowBlank="1" showInputMessage="1" showErrorMessage="1" sqref="B4:B9 D4:D9" xr:uid="{00000000-0002-0000-0100-000002000000}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/>
  </sheetPr>
  <dimension ref="A1:BU36"/>
  <sheetViews>
    <sheetView zoomScale="85" zoomScaleNormal="85" workbookViewId="0">
      <pane xSplit="2" topLeftCell="J1" activePane="topRight" state="frozen"/>
      <selection pane="topRight" activeCell="P5" sqref="P5:AE29"/>
    </sheetView>
  </sheetViews>
  <sheetFormatPr baseColWidth="10" defaultColWidth="8.83203125" defaultRowHeight="15" outlineLevelRow="2" x14ac:dyDescent="0.2"/>
  <cols>
    <col min="1" max="1" width="9.1640625"/>
    <col min="2" max="2" width="24.6640625" customWidth="1"/>
    <col min="3" max="3" width="9.1640625"/>
    <col min="4" max="5" width="10.6640625" customWidth="1"/>
    <col min="6" max="7" width="9.1640625"/>
    <col min="8" max="8" width="1.6640625" customWidth="1"/>
    <col min="9" max="9" width="9.1640625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18" width="9.1640625"/>
    <col min="19" max="22" width="12.6640625" customWidth="1"/>
    <col min="23" max="27" width="11.6640625" customWidth="1"/>
    <col min="28" max="31" width="9.1640625"/>
    <col min="32" max="32" width="1.6640625" customWidth="1"/>
    <col min="33" max="33" width="9.1640625"/>
    <col min="34" max="37" width="10.6640625" customWidth="1"/>
    <col min="38" max="38" width="24.6640625" hidden="1" customWidth="1"/>
    <col min="39" max="39" width="12.6640625" customWidth="1"/>
    <col min="40" max="40" width="10.6640625" customWidth="1"/>
    <col min="41" max="42" width="9.1640625"/>
    <col min="43" max="46" width="12.6640625" customWidth="1"/>
    <col min="47" max="51" width="11.6640625" customWidth="1"/>
    <col min="52" max="55" width="9.1640625"/>
    <col min="56" max="56" width="1.6640625" customWidth="1"/>
    <col min="57" max="59" width="9.1640625"/>
    <col min="60" max="60" width="1.6640625" customWidth="1"/>
    <col min="61" max="62" width="9.1640625"/>
    <col min="63" max="65" width="11.6640625" customWidth="1"/>
    <col min="66" max="66" width="1.6640625" customWidth="1"/>
    <col min="67" max="68" width="9.1640625"/>
    <col min="69" max="71" width="11.6640625" customWidth="1"/>
    <col min="72" max="72" width="1.6640625" customWidth="1"/>
  </cols>
  <sheetData>
    <row r="1" spans="1:73" ht="15" customHeight="1" x14ac:dyDescent="0.2">
      <c r="A1" s="68" t="s">
        <v>261</v>
      </c>
      <c r="B1" s="68"/>
      <c r="C1" s="68"/>
      <c r="D1" s="68"/>
      <c r="E1" s="68"/>
      <c r="F1" s="68"/>
      <c r="G1" s="68"/>
      <c r="I1" s="64" t="s">
        <v>551</v>
      </c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G1" s="65" t="s">
        <v>552</v>
      </c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5"/>
      <c r="BA1" s="65"/>
      <c r="BB1" s="65"/>
      <c r="BC1" s="65"/>
    </row>
    <row r="2" spans="1:73" ht="30" customHeight="1" thickBot="1" x14ac:dyDescent="0.25">
      <c r="A2" s="70" t="s">
        <v>93</v>
      </c>
      <c r="B2" s="69" t="s">
        <v>96</v>
      </c>
      <c r="C2" s="70" t="s">
        <v>99</v>
      </c>
      <c r="D2" s="69" t="s">
        <v>102</v>
      </c>
      <c r="E2" s="70" t="s">
        <v>105</v>
      </c>
      <c r="F2" s="69" t="s">
        <v>108</v>
      </c>
      <c r="G2" s="70" t="s">
        <v>111</v>
      </c>
      <c r="I2" s="69" t="s">
        <v>114</v>
      </c>
      <c r="J2" s="67" t="s">
        <v>117</v>
      </c>
      <c r="K2" s="67"/>
      <c r="L2" s="67"/>
      <c r="M2" s="67"/>
      <c r="N2" s="70" t="s">
        <v>130</v>
      </c>
      <c r="O2" s="69" t="s">
        <v>133</v>
      </c>
      <c r="P2" s="70" t="s">
        <v>24</v>
      </c>
      <c r="Q2" s="69" t="s">
        <v>26</v>
      </c>
      <c r="R2" s="70" t="s">
        <v>22</v>
      </c>
      <c r="S2" s="66" t="s">
        <v>142</v>
      </c>
      <c r="T2" s="66"/>
      <c r="U2" s="66"/>
      <c r="V2" s="66"/>
      <c r="W2" s="67" t="s">
        <v>153</v>
      </c>
      <c r="X2" s="67"/>
      <c r="Y2" s="66" t="s">
        <v>160</v>
      </c>
      <c r="Z2" s="66"/>
      <c r="AA2" s="66"/>
      <c r="AB2" s="67" t="s">
        <v>170</v>
      </c>
      <c r="AC2" s="67"/>
      <c r="AD2" s="66" t="s">
        <v>177</v>
      </c>
      <c r="AE2" s="66"/>
      <c r="AG2" s="70" t="s">
        <v>114</v>
      </c>
      <c r="AH2" s="66" t="s">
        <v>117</v>
      </c>
      <c r="AI2" s="66"/>
      <c r="AJ2" s="66"/>
      <c r="AK2" s="66"/>
      <c r="AL2" s="69" t="s">
        <v>192</v>
      </c>
      <c r="AM2" s="70" t="s">
        <v>133</v>
      </c>
      <c r="AN2" s="69" t="s">
        <v>24</v>
      </c>
      <c r="AO2" s="70" t="s">
        <v>26</v>
      </c>
      <c r="AP2" s="69" t="s">
        <v>22</v>
      </c>
      <c r="AQ2" s="67" t="s">
        <v>142</v>
      </c>
      <c r="AR2" s="67"/>
      <c r="AS2" s="67"/>
      <c r="AT2" s="67"/>
      <c r="AU2" s="66" t="s">
        <v>153</v>
      </c>
      <c r="AV2" s="66"/>
      <c r="AW2" s="67" t="s">
        <v>160</v>
      </c>
      <c r="AX2" s="67"/>
      <c r="AY2" s="67"/>
      <c r="AZ2" s="66" t="s">
        <v>170</v>
      </c>
      <c r="BA2" s="66"/>
      <c r="BB2" s="67" t="s">
        <v>177</v>
      </c>
      <c r="BC2" s="67"/>
      <c r="BE2" s="69" t="s">
        <v>229</v>
      </c>
      <c r="BF2" s="70" t="s">
        <v>232</v>
      </c>
      <c r="BG2" s="69" t="s">
        <v>232</v>
      </c>
      <c r="BI2" s="67" t="s">
        <v>237</v>
      </c>
      <c r="BJ2" s="67"/>
      <c r="BK2" s="66" t="s">
        <v>242</v>
      </c>
      <c r="BL2" s="66"/>
      <c r="BM2" s="66"/>
      <c r="BO2" s="67" t="s">
        <v>249</v>
      </c>
      <c r="BP2" s="67"/>
      <c r="BQ2" s="66" t="s">
        <v>254</v>
      </c>
      <c r="BR2" s="66"/>
      <c r="BS2" s="66"/>
      <c r="BU2" t="s">
        <v>549</v>
      </c>
    </row>
    <row r="3" spans="1:73" ht="17" thickBot="1" x14ac:dyDescent="0.25">
      <c r="A3" s="70"/>
      <c r="B3" s="69"/>
      <c r="C3" s="70"/>
      <c r="D3" s="69"/>
      <c r="E3" s="70"/>
      <c r="F3" s="69"/>
      <c r="G3" s="70"/>
      <c r="I3" s="69"/>
      <c r="J3" s="11" t="s">
        <v>118</v>
      </c>
      <c r="K3" s="11" t="s">
        <v>121</v>
      </c>
      <c r="L3" s="11" t="s">
        <v>124</v>
      </c>
      <c r="M3" s="11" t="s">
        <v>127</v>
      </c>
      <c r="N3" s="70"/>
      <c r="O3" s="69"/>
      <c r="P3" s="70"/>
      <c r="Q3" s="69"/>
      <c r="R3" s="70"/>
      <c r="S3" s="12" t="s">
        <v>118</v>
      </c>
      <c r="T3" s="12" t="s">
        <v>124</v>
      </c>
      <c r="U3" s="12" t="s">
        <v>147</v>
      </c>
      <c r="V3" s="12" t="s">
        <v>150</v>
      </c>
      <c r="W3" s="11" t="s">
        <v>154</v>
      </c>
      <c r="X3" s="11" t="s">
        <v>157</v>
      </c>
      <c r="Y3" s="12" t="s">
        <v>161</v>
      </c>
      <c r="Z3" s="12" t="s">
        <v>164</v>
      </c>
      <c r="AA3" s="12" t="s">
        <v>167</v>
      </c>
      <c r="AB3" s="11" t="s">
        <v>171</v>
      </c>
      <c r="AC3" s="11" t="s">
        <v>174</v>
      </c>
      <c r="AD3" s="12" t="s">
        <v>171</v>
      </c>
      <c r="AE3" s="12" t="s">
        <v>174</v>
      </c>
      <c r="AG3" s="70"/>
      <c r="AH3" s="12" t="s">
        <v>118</v>
      </c>
      <c r="AI3" s="12" t="s">
        <v>121</v>
      </c>
      <c r="AJ3" s="12" t="s">
        <v>124</v>
      </c>
      <c r="AK3" s="12" t="s">
        <v>127</v>
      </c>
      <c r="AL3" s="69"/>
      <c r="AM3" s="70"/>
      <c r="AN3" s="69"/>
      <c r="AO3" s="70"/>
      <c r="AP3" s="69"/>
      <c r="AQ3" s="11" t="s">
        <v>118</v>
      </c>
      <c r="AR3" s="11" t="s">
        <v>124</v>
      </c>
      <c r="AS3" s="11" t="s">
        <v>147</v>
      </c>
      <c r="AT3" s="11" t="s">
        <v>150</v>
      </c>
      <c r="AU3" s="12" t="s">
        <v>154</v>
      </c>
      <c r="AV3" s="12" t="s">
        <v>157</v>
      </c>
      <c r="AW3" s="11" t="s">
        <v>161</v>
      </c>
      <c r="AX3" s="11" t="s">
        <v>164</v>
      </c>
      <c r="AY3" s="11" t="s">
        <v>167</v>
      </c>
      <c r="AZ3" s="12" t="s">
        <v>171</v>
      </c>
      <c r="BA3" s="12" t="s">
        <v>174</v>
      </c>
      <c r="BB3" s="11" t="s">
        <v>171</v>
      </c>
      <c r="BC3" s="11" t="s">
        <v>174</v>
      </c>
      <c r="BE3" s="69"/>
      <c r="BF3" s="70"/>
      <c r="BG3" s="69"/>
      <c r="BI3" s="11" t="s">
        <v>154</v>
      </c>
      <c r="BJ3" s="11" t="s">
        <v>157</v>
      </c>
      <c r="BK3" s="12" t="s">
        <v>161</v>
      </c>
      <c r="BL3" s="12" t="s">
        <v>164</v>
      </c>
      <c r="BM3" s="12" t="s">
        <v>167</v>
      </c>
      <c r="BO3" s="11" t="s">
        <v>154</v>
      </c>
      <c r="BP3" s="11" t="s">
        <v>157</v>
      </c>
      <c r="BQ3" s="12" t="s">
        <v>161</v>
      </c>
      <c r="BR3" s="12" t="s">
        <v>164</v>
      </c>
      <c r="BS3" s="12" t="s">
        <v>167</v>
      </c>
    </row>
    <row r="4" spans="1:73" ht="123" hidden="1" x14ac:dyDescent="0.2">
      <c r="A4" s="13" t="s">
        <v>94</v>
      </c>
      <c r="B4" s="14" t="s">
        <v>97</v>
      </c>
      <c r="C4" s="13" t="s">
        <v>100</v>
      </c>
      <c r="D4" s="14" t="s">
        <v>103</v>
      </c>
      <c r="E4" s="13" t="s">
        <v>106</v>
      </c>
      <c r="F4" s="14" t="s">
        <v>109</v>
      </c>
      <c r="G4" s="13" t="s">
        <v>112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138</v>
      </c>
      <c r="R4" s="13" t="s">
        <v>140</v>
      </c>
      <c r="S4" s="14" t="s">
        <v>143</v>
      </c>
      <c r="T4" s="14" t="s">
        <v>145</v>
      </c>
      <c r="U4" s="14" t="s">
        <v>148</v>
      </c>
      <c r="V4" s="14" t="s">
        <v>151</v>
      </c>
      <c r="W4" s="13" t="s">
        <v>155</v>
      </c>
      <c r="X4" s="13" t="s">
        <v>158</v>
      </c>
      <c r="Y4" s="14" t="s">
        <v>162</v>
      </c>
      <c r="Z4" s="14" t="s">
        <v>165</v>
      </c>
      <c r="AA4" s="14" t="s">
        <v>168</v>
      </c>
      <c r="AB4" s="13" t="s">
        <v>172</v>
      </c>
      <c r="AC4" s="13" t="s">
        <v>175</v>
      </c>
      <c r="AD4" s="14" t="s">
        <v>178</v>
      </c>
      <c r="AE4" s="14" t="s">
        <v>180</v>
      </c>
      <c r="AG4" s="13" t="s">
        <v>182</v>
      </c>
      <c r="AH4" s="14" t="s">
        <v>184</v>
      </c>
      <c r="AI4" s="14" t="s">
        <v>186</v>
      </c>
      <c r="AJ4" s="14" t="s">
        <v>188</v>
      </c>
      <c r="AK4" s="14" t="s">
        <v>190</v>
      </c>
      <c r="AL4" s="14" t="s">
        <v>193</v>
      </c>
      <c r="AM4" s="13" t="s">
        <v>195</v>
      </c>
      <c r="AN4" s="14" t="s">
        <v>197</v>
      </c>
      <c r="AO4" s="13" t="s">
        <v>199</v>
      </c>
      <c r="AP4" s="14" t="s">
        <v>201</v>
      </c>
      <c r="AQ4" s="13" t="s">
        <v>203</v>
      </c>
      <c r="AR4" s="13" t="s">
        <v>205</v>
      </c>
      <c r="AS4" s="13" t="s">
        <v>207</v>
      </c>
      <c r="AT4" s="13" t="s">
        <v>209</v>
      </c>
      <c r="AU4" s="14" t="s">
        <v>211</v>
      </c>
      <c r="AV4" s="14" t="s">
        <v>213</v>
      </c>
      <c r="AW4" s="13" t="s">
        <v>215</v>
      </c>
      <c r="AX4" s="13" t="s">
        <v>217</v>
      </c>
      <c r="AY4" s="13" t="s">
        <v>219</v>
      </c>
      <c r="AZ4" s="14" t="s">
        <v>221</v>
      </c>
      <c r="BA4" s="14" t="s">
        <v>223</v>
      </c>
      <c r="BB4" s="13" t="s">
        <v>225</v>
      </c>
      <c r="BC4" s="13" t="s">
        <v>227</v>
      </c>
      <c r="BE4" s="14" t="s">
        <v>230</v>
      </c>
      <c r="BF4" s="13" t="s">
        <v>233</v>
      </c>
      <c r="BG4" s="14" t="s">
        <v>235</v>
      </c>
      <c r="BI4" s="13" t="s">
        <v>238</v>
      </c>
      <c r="BJ4" s="13" t="s">
        <v>240</v>
      </c>
      <c r="BK4" s="14" t="s">
        <v>243</v>
      </c>
      <c r="BL4" s="14" t="s">
        <v>245</v>
      </c>
      <c r="BM4" s="14" t="s">
        <v>247</v>
      </c>
      <c r="BO4" s="13" t="s">
        <v>250</v>
      </c>
      <c r="BP4" s="13" t="s">
        <v>252</v>
      </c>
      <c r="BQ4" s="14" t="s">
        <v>255</v>
      </c>
      <c r="BR4" s="14" t="s">
        <v>257</v>
      </c>
      <c r="BS4" s="14" t="s">
        <v>259</v>
      </c>
    </row>
    <row r="5" spans="1:73" x14ac:dyDescent="0.2">
      <c r="A5" s="15" t="s">
        <v>267</v>
      </c>
      <c r="B5" s="15" t="s">
        <v>266</v>
      </c>
      <c r="C5" s="16" t="s">
        <v>268</v>
      </c>
      <c r="D5" s="15">
        <v>24964341</v>
      </c>
      <c r="E5" s="16">
        <v>10</v>
      </c>
      <c r="F5" s="16">
        <v>32</v>
      </c>
      <c r="G5" s="16">
        <v>30</v>
      </c>
      <c r="I5" s="17">
        <f t="shared" ref="I5:I29" si="0">IF(OR(ISBLANK(S5),ISBLANK(G5)),"·",S5*G5/F5/1000000)</f>
        <v>2.256945</v>
      </c>
      <c r="J5" s="18">
        <f t="shared" ref="J5:J29" si="1">IF(ISBLANK(S5),"·",S5/D5)</f>
        <v>9.6433869413977316E-2</v>
      </c>
      <c r="K5" s="18">
        <f t="shared" ref="K5:K29" si="2">IF(N5="","·",N5/D5)</f>
        <v>6.116692605665016E-2</v>
      </c>
      <c r="L5" s="18">
        <f t="shared" ref="L5:L29" si="3">IF(T5="","·",T5/D5)</f>
        <v>3.3512761262153884E-2</v>
      </c>
      <c r="M5" s="18">
        <f t="shared" ref="M5:M29" si="4">IF(ISBLANK(V5),"·",V5/D5)</f>
        <v>3.5247715932096906E-2</v>
      </c>
      <c r="N5" s="15">
        <f t="shared" ref="N5:N29" si="5">IF(OR(ISBLANK(T5),ISBLANK(U5)),"",T5+U5)</f>
        <v>1526992</v>
      </c>
      <c r="O5" s="18">
        <f t="shared" ref="O5:O29" si="6">IF(ISBLANK(S5),"·",S5/P5)</f>
        <v>0.11061422532622679</v>
      </c>
      <c r="P5" s="19">
        <v>21764000</v>
      </c>
      <c r="Q5" s="19">
        <v>680125</v>
      </c>
      <c r="R5" s="19">
        <v>13890.21875</v>
      </c>
      <c r="S5" s="20">
        <v>2407408</v>
      </c>
      <c r="T5" s="20">
        <v>836624</v>
      </c>
      <c r="U5" s="20">
        <v>690368</v>
      </c>
      <c r="V5" s="20">
        <v>879936</v>
      </c>
      <c r="W5" s="21">
        <v>66.372247000000002</v>
      </c>
      <c r="X5" s="21">
        <v>68.418744000000004</v>
      </c>
      <c r="Y5" s="21">
        <v>32.187612999999999</v>
      </c>
      <c r="Z5" s="21">
        <v>44.167453000000002</v>
      </c>
      <c r="AA5" s="21">
        <v>43.813352999999999</v>
      </c>
      <c r="AB5" s="22">
        <v>4301.41</v>
      </c>
      <c r="AC5" s="22">
        <v>717.23400000000004</v>
      </c>
      <c r="AD5" s="22">
        <v>7.8280000000000003</v>
      </c>
      <c r="AE5" s="22">
        <v>10.989000000000001</v>
      </c>
      <c r="AG5" s="17">
        <f t="shared" ref="AG5:AG29" si="7">IF(OR(ISBLANK(AQ5),ISBLANK(G5)),"·",AQ5*G5/F5/1000000)</f>
        <v>2.2610774999999999</v>
      </c>
      <c r="AH5" s="18">
        <f t="shared" ref="AH5:AH29" si="8">IF(ISBLANK(AQ5),"·",AQ5/D5)</f>
        <v>9.661044126900846E-2</v>
      </c>
      <c r="AI5" s="18">
        <f t="shared" ref="AI5:AI29" si="9">IF(AL5="","·",AL5/D5)</f>
        <v>6.1390925560582593E-2</v>
      </c>
      <c r="AJ5" s="18">
        <f t="shared" ref="AJ5:AJ29" si="10">IF(AR5="","·",AR5/D5)</f>
        <v>3.4048885968990729E-2</v>
      </c>
      <c r="AK5" s="18">
        <f t="shared" ref="AK5:AK29" si="11">IF(ISBLANK(AT5),"·",AT5/D5)</f>
        <v>3.5199967826108451E-2</v>
      </c>
      <c r="AL5" s="15">
        <f t="shared" ref="AL5:AL29" si="12">IF(OR(ISBLANK(AR5),ISBLANK(AS5)),"",AR5+AS5)</f>
        <v>1532584</v>
      </c>
      <c r="AM5" s="18">
        <f t="shared" ref="AM5:AM29" si="13">IF(ISBLANK(AQ5),"·",AQ5/AN5)</f>
        <v>0.11072324413372238</v>
      </c>
      <c r="AN5" s="19">
        <v>21782382</v>
      </c>
      <c r="AO5" s="19">
        <v>680699.4375</v>
      </c>
      <c r="AP5" s="19">
        <v>13867.90625</v>
      </c>
      <c r="AQ5" s="20">
        <v>2411816</v>
      </c>
      <c r="AR5" s="20">
        <v>850008</v>
      </c>
      <c r="AS5" s="20">
        <v>682576</v>
      </c>
      <c r="AT5" s="20">
        <v>878744</v>
      </c>
      <c r="AU5" s="21">
        <v>66.371644000000003</v>
      </c>
      <c r="AV5" s="21">
        <v>68.420603</v>
      </c>
      <c r="AW5" s="21">
        <v>32.184649999999998</v>
      </c>
      <c r="AX5" s="21">
        <v>44.177241000000002</v>
      </c>
      <c r="AY5" s="21">
        <v>43.846359</v>
      </c>
      <c r="AZ5" s="22">
        <v>6103.9</v>
      </c>
      <c r="BA5" s="22">
        <v>874.529</v>
      </c>
      <c r="BB5" s="22">
        <v>8.7080000000000002</v>
      </c>
      <c r="BC5" s="22">
        <v>13.205</v>
      </c>
      <c r="BE5" s="23">
        <f t="shared" ref="BE5:BE29" si="14">(AP5/AO5) - (R5/Q5)</f>
        <v>-5.0013643380853595E-5</v>
      </c>
      <c r="BF5" s="23">
        <f t="shared" ref="BF5:BF29" si="15">(AL5/AQ5) - (N5/S5)</f>
        <v>1.1593151567317328E-3</v>
      </c>
      <c r="BG5" s="23">
        <f t="array" ref="BG5">AVERAGE(AL5:AL9/AQ5:AQ9) - AVERAGE(N5:N9/S5:S9)</f>
        <v>4.8479955576830047E-5</v>
      </c>
      <c r="BI5" s="24">
        <f>IF( OR(ISBLANK(N5:N9),ISBLANK(AL5:AL9), ISBLANK(W5:W9),ISBLANK(AU5:AU9)), "·", bdRateExtend( N5:N9,W5:W9, AL5:AL9,AU5:AU9))</f>
        <v>1.5610026361740914E-3</v>
      </c>
      <c r="BJ5" s="24">
        <f>IF( OR(ISBLANK(N5:N9),ISBLANK(AL5:AL9), ISBLANK(X5:X9),ISBLANK(AV5:AV9)), "·", bdRateExtend( N5:N9,X5:X9, AL5:AL9,AV5:AV9))</f>
        <v>-8.5427988740405247E-4</v>
      </c>
      <c r="BK5" s="24">
        <f>IF( OR(ISBLANK(V5:V9),ISBLANK(AT5:AT9), ISBLANK(Y5:Y9),ISBLANK(AW5:AW9)), "·", bdRateExtend( V5:V9,Y5:Y9, AT5:AT9,AW5:AW9))</f>
        <v>-3.7527240364443326E-4</v>
      </c>
      <c r="BL5" s="24">
        <f>IF( OR(ISBLANK(V5:V9),ISBLANK(AT5:AT9), ISBLANK(Z5:Z9),ISBLANK(AX5:AX9)), "·", bdRateExtend( V5:V9,Z5:Z9, AT5:AT9,AX5:AX9))</f>
        <v>4.0148232960073305E-3</v>
      </c>
      <c r="BM5" s="24">
        <f>IF( OR(ISBLANK(V5:V9),ISBLANK(AT5:AT9), ISBLANK(AA5:AA9),ISBLANK(AY5:AY9)), "·", bdRateExtend( V5:V9,AA5:AA9, AT5:AT9,AY5:AY9))</f>
        <v>-8.8158708035104283E-3</v>
      </c>
      <c r="BO5" s="24">
        <f>IF( OR(ISBLANK(S5:S9),ISBLANK(AQ5:AQ9), ISBLANK(W5:W9),ISBLANK(AU5:AU9)), "·", bdRateExtend( S5:S9,W5:W9, AQ5:AQ9,AU5:AU9))</f>
        <v>4.9023379483370544E-3</v>
      </c>
      <c r="BP5" s="24">
        <f>IF( OR(ISBLANK(S5:S9),ISBLANK(AQ5:AQ9), ISBLANK(X5:X9),ISBLANK(AV5:AV9)), "·", bdRateExtend( S5:S9,X5:X9, AQ5:AQ9,AV5:AV9))</f>
        <v>-1.7929432988672556E-4</v>
      </c>
      <c r="BQ5" s="24">
        <f>IF( OR(ISBLANK(S5:S9),ISBLANK(AQ5:AQ9), ISBLANK(Y5:Y9),ISBLANK(AW5:AW9)), "·", bdRateExtend( S5:S9,Y5:Y9, AQ5:AQ9,AW5:AW9))</f>
        <v>-3.8757194304728237E-4</v>
      </c>
      <c r="BR5" s="24">
        <f>IF( OR(ISBLANK(S5:S9),ISBLANK(AQ5:AQ9), ISBLANK(Z5:Z9),ISBLANK(AX5:AX9)), "·", bdRateExtend( S5:S9,Z5:Z9, AQ5:AQ9,AX5:AX9))</f>
        <v>2.9266589044514291E-3</v>
      </c>
      <c r="BS5" s="24">
        <f>IF( OR(ISBLANK(S5:S9),ISBLANK(AQ5:AQ9), ISBLANK(AA5:AA9),ISBLANK(AY5:AY9)), "·", bdRateExtend( S5:S9,AA5:AA9, AQ5:AQ9,AY5:AY9))</f>
        <v>-6.5185521388133605E-3</v>
      </c>
      <c r="BU5">
        <f>AQ5-S5</f>
        <v>4408</v>
      </c>
    </row>
    <row r="6" spans="1:73" outlineLevel="1" x14ac:dyDescent="0.2">
      <c r="A6" s="25"/>
      <c r="B6" s="25" t="s">
        <v>266</v>
      </c>
      <c r="C6" s="26" t="s">
        <v>269</v>
      </c>
      <c r="D6" s="25">
        <v>24964341</v>
      </c>
      <c r="E6" s="26">
        <v>10</v>
      </c>
      <c r="F6" s="26">
        <v>32</v>
      </c>
      <c r="G6" s="26">
        <v>30</v>
      </c>
      <c r="I6" s="27">
        <f t="shared" si="0"/>
        <v>3.4947149999999998</v>
      </c>
      <c r="J6" s="28">
        <f t="shared" si="1"/>
        <v>0.14932082525230689</v>
      </c>
      <c r="K6" s="28">
        <f t="shared" si="2"/>
        <v>7.4037764505780465E-2</v>
      </c>
      <c r="L6" s="28">
        <f t="shared" si="3"/>
        <v>4.6383599711284189E-2</v>
      </c>
      <c r="M6" s="28">
        <f t="shared" si="4"/>
        <v>7.5263833321296159E-2</v>
      </c>
      <c r="N6" s="25">
        <f t="shared" si="5"/>
        <v>1848304</v>
      </c>
      <c r="O6" s="28">
        <f t="shared" si="6"/>
        <v>0.15443724700448924</v>
      </c>
      <c r="P6" s="29">
        <v>24137286</v>
      </c>
      <c r="Q6" s="29">
        <v>754290.1875</v>
      </c>
      <c r="R6" s="29">
        <v>19180.0625</v>
      </c>
      <c r="S6" s="30">
        <v>3727696</v>
      </c>
      <c r="T6" s="30">
        <v>1157936</v>
      </c>
      <c r="U6" s="30">
        <v>690368</v>
      </c>
      <c r="V6" s="30">
        <v>1878912</v>
      </c>
      <c r="W6" s="31">
        <v>68.256456</v>
      </c>
      <c r="X6" s="31">
        <v>70.369106000000002</v>
      </c>
      <c r="Y6" s="31">
        <v>34.461103000000001</v>
      </c>
      <c r="Z6" s="31">
        <v>45.486815999999997</v>
      </c>
      <c r="AA6" s="31">
        <v>45.258665999999998</v>
      </c>
      <c r="AB6" s="32">
        <v>6103.7</v>
      </c>
      <c r="AC6" s="32">
        <v>929.096</v>
      </c>
      <c r="AD6" s="32">
        <v>9.4169999999999998</v>
      </c>
      <c r="AE6" s="32">
        <v>14.086</v>
      </c>
      <c r="AG6" s="27">
        <f t="shared" si="7"/>
        <v>3.4966499999999998</v>
      </c>
      <c r="AH6" s="28">
        <f t="shared" si="8"/>
        <v>0.14940350318079695</v>
      </c>
      <c r="AI6" s="28">
        <f t="shared" si="9"/>
        <v>7.4020139365986073E-2</v>
      </c>
      <c r="AJ6" s="28">
        <f t="shared" si="10"/>
        <v>4.6678099774394202E-2</v>
      </c>
      <c r="AK6" s="28">
        <f t="shared" si="11"/>
        <v>7.5363815932493472E-2</v>
      </c>
      <c r="AL6" s="25">
        <f t="shared" si="12"/>
        <v>1847864</v>
      </c>
      <c r="AM6" s="28">
        <f t="shared" si="13"/>
        <v>0.155563189162162</v>
      </c>
      <c r="AN6" s="29">
        <v>23975852</v>
      </c>
      <c r="AO6" s="29">
        <v>749245.375</v>
      </c>
      <c r="AP6" s="29">
        <v>18950.78125</v>
      </c>
      <c r="AQ6" s="30">
        <v>3729760</v>
      </c>
      <c r="AR6" s="30">
        <v>1165288</v>
      </c>
      <c r="AS6" s="30">
        <v>682576</v>
      </c>
      <c r="AT6" s="30">
        <v>1881408</v>
      </c>
      <c r="AU6" s="31">
        <v>68.215000000000003</v>
      </c>
      <c r="AV6" s="31">
        <v>70.375452999999993</v>
      </c>
      <c r="AW6" s="31">
        <v>34.464137999999998</v>
      </c>
      <c r="AX6" s="31">
        <v>45.467291000000003</v>
      </c>
      <c r="AY6" s="31">
        <v>45.275644</v>
      </c>
      <c r="AZ6" s="32">
        <v>6185.92</v>
      </c>
      <c r="BA6" s="32">
        <v>923.048</v>
      </c>
      <c r="BB6" s="32">
        <v>8.7260000000000009</v>
      </c>
      <c r="BC6" s="32">
        <v>13.547000000000001</v>
      </c>
      <c r="BE6" s="33">
        <f t="shared" si="14"/>
        <v>-1.3480489967893083E-4</v>
      </c>
      <c r="BF6" s="33">
        <f t="shared" si="15"/>
        <v>-3.9235591367658973E-4</v>
      </c>
      <c r="BG6" s="33"/>
      <c r="BI6" s="34"/>
      <c r="BJ6" s="34"/>
      <c r="BK6" s="34"/>
      <c r="BL6" s="34"/>
      <c r="BM6" s="34"/>
      <c r="BO6" s="34"/>
      <c r="BP6" s="34"/>
      <c r="BQ6" s="34"/>
      <c r="BR6" s="34"/>
      <c r="BS6" s="34"/>
      <c r="BU6" s="4">
        <f t="shared" ref="BU6:BU29" si="16">AQ6-S6</f>
        <v>2064</v>
      </c>
    </row>
    <row r="7" spans="1:73" outlineLevel="1" x14ac:dyDescent="0.2">
      <c r="A7" s="15"/>
      <c r="B7" s="15" t="s">
        <v>266</v>
      </c>
      <c r="C7" s="16" t="s">
        <v>270</v>
      </c>
      <c r="D7" s="15">
        <v>24964341</v>
      </c>
      <c r="E7" s="16">
        <v>10</v>
      </c>
      <c r="F7" s="16">
        <v>32</v>
      </c>
      <c r="G7" s="16">
        <v>30</v>
      </c>
      <c r="I7" s="17">
        <f t="shared" si="0"/>
        <v>5.7175725000000002</v>
      </c>
      <c r="J7" s="18">
        <f t="shared" si="1"/>
        <v>0.24429821720509265</v>
      </c>
      <c r="K7" s="18">
        <f t="shared" si="2"/>
        <v>9.1839155698121566E-2</v>
      </c>
      <c r="L7" s="18">
        <f t="shared" si="3"/>
        <v>6.4184990903625297E-2</v>
      </c>
      <c r="M7" s="18">
        <f t="shared" si="4"/>
        <v>0.15243983408174083</v>
      </c>
      <c r="N7" s="15">
        <f t="shared" si="5"/>
        <v>2292704</v>
      </c>
      <c r="O7" s="18">
        <f t="shared" si="6"/>
        <v>0.24629995416261971</v>
      </c>
      <c r="P7" s="19">
        <v>24761450</v>
      </c>
      <c r="Q7" s="19">
        <v>773795.3125</v>
      </c>
      <c r="R7" s="19">
        <v>21257.5</v>
      </c>
      <c r="S7" s="20">
        <v>6098744</v>
      </c>
      <c r="T7" s="20">
        <v>1602336</v>
      </c>
      <c r="U7" s="20">
        <v>690368</v>
      </c>
      <c r="V7" s="20">
        <v>3805560</v>
      </c>
      <c r="W7" s="21">
        <v>69.668394000000006</v>
      </c>
      <c r="X7" s="21">
        <v>72.053578000000002</v>
      </c>
      <c r="Y7" s="21">
        <v>37.003118999999998</v>
      </c>
      <c r="Z7" s="21">
        <v>46.525703</v>
      </c>
      <c r="AA7" s="21">
        <v>46.481278000000003</v>
      </c>
      <c r="AB7" s="22">
        <v>6013.52</v>
      </c>
      <c r="AC7" s="22">
        <v>1030.26</v>
      </c>
      <c r="AD7" s="22">
        <v>9.5009999999999994</v>
      </c>
      <c r="AE7" s="22">
        <v>14.771000000000001</v>
      </c>
      <c r="AG7" s="17">
        <f t="shared" si="7"/>
        <v>5.7149999999999999</v>
      </c>
      <c r="AH7" s="18">
        <f t="shared" si="8"/>
        <v>0.24418830042419304</v>
      </c>
      <c r="AI7" s="18">
        <f t="shared" si="9"/>
        <v>9.1995859213748116E-2</v>
      </c>
      <c r="AJ7" s="18">
        <f t="shared" si="10"/>
        <v>6.4653819622156258E-2</v>
      </c>
      <c r="AK7" s="18">
        <f t="shared" si="11"/>
        <v>0.1521728933281275</v>
      </c>
      <c r="AL7" s="15">
        <f t="shared" si="12"/>
        <v>2296616</v>
      </c>
      <c r="AM7" s="18">
        <f t="shared" si="13"/>
        <v>0.24629728834200512</v>
      </c>
      <c r="AN7" s="19">
        <v>24750577</v>
      </c>
      <c r="AO7" s="19">
        <v>773455.53125</v>
      </c>
      <c r="AP7" s="19">
        <v>21109.375</v>
      </c>
      <c r="AQ7" s="20">
        <v>6096000</v>
      </c>
      <c r="AR7" s="20">
        <v>1614040</v>
      </c>
      <c r="AS7" s="20">
        <v>682576</v>
      </c>
      <c r="AT7" s="20">
        <v>3798896</v>
      </c>
      <c r="AU7" s="21">
        <v>69.662350000000004</v>
      </c>
      <c r="AV7" s="21">
        <v>72.048124999999999</v>
      </c>
      <c r="AW7" s="21">
        <v>36.995455999999997</v>
      </c>
      <c r="AX7" s="21">
        <v>46.536053000000003</v>
      </c>
      <c r="AY7" s="21">
        <v>46.490108999999997</v>
      </c>
      <c r="AZ7" s="22">
        <v>5959.27</v>
      </c>
      <c r="BA7" s="22">
        <v>977.84500000000003</v>
      </c>
      <c r="BB7" s="22">
        <v>8.984</v>
      </c>
      <c r="BC7" s="22">
        <v>13.647</v>
      </c>
      <c r="BE7" s="23">
        <f t="shared" si="14"/>
        <v>-1.7944227409738903E-4</v>
      </c>
      <c r="BF7" s="23">
        <f t="shared" si="15"/>
        <v>8.1095035193740062E-4</v>
      </c>
      <c r="BG7" s="23"/>
      <c r="BI7" s="24"/>
      <c r="BJ7" s="24"/>
      <c r="BK7" s="24"/>
      <c r="BL7" s="24"/>
      <c r="BM7" s="24"/>
      <c r="BO7" s="24"/>
      <c r="BP7" s="24"/>
      <c r="BQ7" s="24"/>
      <c r="BR7" s="24"/>
      <c r="BS7" s="24"/>
      <c r="BU7" s="4">
        <f t="shared" si="16"/>
        <v>-2744</v>
      </c>
    </row>
    <row r="8" spans="1:73" outlineLevel="1" x14ac:dyDescent="0.2">
      <c r="A8" s="25"/>
      <c r="B8" s="25" t="s">
        <v>266</v>
      </c>
      <c r="C8" s="26" t="s">
        <v>271</v>
      </c>
      <c r="D8" s="25">
        <v>24964341</v>
      </c>
      <c r="E8" s="26">
        <v>10</v>
      </c>
      <c r="F8" s="26">
        <v>32</v>
      </c>
      <c r="G8" s="26">
        <v>30</v>
      </c>
      <c r="I8" s="27">
        <f t="shared" si="0"/>
        <v>9.93642</v>
      </c>
      <c r="J8" s="28">
        <f t="shared" si="1"/>
        <v>0.42455949468083293</v>
      </c>
      <c r="K8" s="28">
        <f t="shared" si="2"/>
        <v>0.12192078292793709</v>
      </c>
      <c r="L8" s="28">
        <f t="shared" si="3"/>
        <v>9.426661813344081E-2</v>
      </c>
      <c r="M8" s="28">
        <f t="shared" si="4"/>
        <v>0.30261948432766561</v>
      </c>
      <c r="N8" s="25">
        <f t="shared" si="5"/>
        <v>3043672</v>
      </c>
      <c r="O8" s="28">
        <f t="shared" si="6"/>
        <v>0.40822483739619608</v>
      </c>
      <c r="P8" s="29">
        <v>25963261</v>
      </c>
      <c r="Q8" s="29">
        <v>811351.90625</v>
      </c>
      <c r="R8" s="29">
        <v>24836.3125</v>
      </c>
      <c r="S8" s="30">
        <v>10598848</v>
      </c>
      <c r="T8" s="30">
        <v>2353304</v>
      </c>
      <c r="U8" s="30">
        <v>690368</v>
      </c>
      <c r="V8" s="30">
        <v>7554696</v>
      </c>
      <c r="W8" s="31">
        <v>70.747600000000006</v>
      </c>
      <c r="X8" s="31">
        <v>73.283812999999995</v>
      </c>
      <c r="Y8" s="31">
        <v>39.620372000000003</v>
      </c>
      <c r="Z8" s="31">
        <v>47.876378000000003</v>
      </c>
      <c r="AA8" s="31">
        <v>47.959193999999997</v>
      </c>
      <c r="AB8" s="32">
        <v>5831.71</v>
      </c>
      <c r="AC8" s="32">
        <v>1063</v>
      </c>
      <c r="AD8" s="32">
        <v>9.3219999999999992</v>
      </c>
      <c r="AE8" s="32">
        <v>15.135</v>
      </c>
      <c r="AG8" s="27">
        <f t="shared" si="7"/>
        <v>9.9332550000000008</v>
      </c>
      <c r="AH8" s="28">
        <f t="shared" si="8"/>
        <v>0.42442426179004683</v>
      </c>
      <c r="AI8" s="28">
        <f t="shared" si="9"/>
        <v>0.12158270070097184</v>
      </c>
      <c r="AJ8" s="28">
        <f t="shared" si="10"/>
        <v>9.4240661109379981E-2</v>
      </c>
      <c r="AK8" s="28">
        <f t="shared" si="11"/>
        <v>0.30282201320675761</v>
      </c>
      <c r="AL8" s="25">
        <f t="shared" si="12"/>
        <v>3035232</v>
      </c>
      <c r="AM8" s="28">
        <f t="shared" si="13"/>
        <v>0.40787977063819159</v>
      </c>
      <c r="AN8" s="29">
        <v>25976949</v>
      </c>
      <c r="AO8" s="29">
        <v>811779.65625</v>
      </c>
      <c r="AP8" s="29">
        <v>24681.125</v>
      </c>
      <c r="AQ8" s="30">
        <v>10595472</v>
      </c>
      <c r="AR8" s="30">
        <v>2352656</v>
      </c>
      <c r="AS8" s="30">
        <v>682576</v>
      </c>
      <c r="AT8" s="30">
        <v>7559752</v>
      </c>
      <c r="AU8" s="31">
        <v>70.744480999999993</v>
      </c>
      <c r="AV8" s="31">
        <v>73.282552999999993</v>
      </c>
      <c r="AW8" s="31">
        <v>39.626049999999999</v>
      </c>
      <c r="AX8" s="31">
        <v>47.861049999999999</v>
      </c>
      <c r="AY8" s="31">
        <v>47.983438</v>
      </c>
      <c r="AZ8" s="32">
        <v>5996.33</v>
      </c>
      <c r="BA8" s="32">
        <v>1055.53</v>
      </c>
      <c r="BB8" s="32">
        <v>9.343</v>
      </c>
      <c r="BC8" s="32">
        <v>14.255000000000001</v>
      </c>
      <c r="BE8" s="33">
        <f t="shared" si="14"/>
        <v>-2.0729931346307254E-4</v>
      </c>
      <c r="BF8" s="33">
        <f t="shared" si="15"/>
        <v>-7.0506663779212886E-4</v>
      </c>
      <c r="BG8" s="33"/>
      <c r="BI8" s="34"/>
      <c r="BJ8" s="34"/>
      <c r="BK8" s="34"/>
      <c r="BL8" s="34"/>
      <c r="BM8" s="34"/>
      <c r="BO8" s="34"/>
      <c r="BP8" s="34"/>
      <c r="BQ8" s="34"/>
      <c r="BR8" s="34"/>
      <c r="BS8" s="34"/>
      <c r="BU8" s="4">
        <f t="shared" si="16"/>
        <v>-3376</v>
      </c>
    </row>
    <row r="9" spans="1:73" ht="16" outlineLevel="1" thickBot="1" x14ac:dyDescent="0.25">
      <c r="A9" s="15"/>
      <c r="B9" s="35" t="s">
        <v>266</v>
      </c>
      <c r="C9" s="36" t="s">
        <v>272</v>
      </c>
      <c r="D9" s="35">
        <v>24964341</v>
      </c>
      <c r="E9" s="36">
        <v>10</v>
      </c>
      <c r="F9" s="36">
        <v>32</v>
      </c>
      <c r="G9" s="36">
        <v>30</v>
      </c>
      <c r="I9" s="37">
        <f t="shared" si="0"/>
        <v>18.045705000000002</v>
      </c>
      <c r="J9" s="38">
        <f t="shared" si="1"/>
        <v>0.77104987469927611</v>
      </c>
      <c r="K9" s="38">
        <f t="shared" si="2"/>
        <v>0.19744066146188277</v>
      </c>
      <c r="L9" s="38">
        <f t="shared" si="3"/>
        <v>0.14507893478942624</v>
      </c>
      <c r="M9" s="38">
        <f t="shared" si="4"/>
        <v>0.57358998581216303</v>
      </c>
      <c r="N9" s="35">
        <f t="shared" si="5"/>
        <v>4928976</v>
      </c>
      <c r="O9" s="38">
        <f t="shared" si="6"/>
        <v>0.76998248086279475</v>
      </c>
      <c r="P9" s="39">
        <v>24998948</v>
      </c>
      <c r="Q9" s="39">
        <v>781217.125</v>
      </c>
      <c r="R9" s="39">
        <v>7639.8125</v>
      </c>
      <c r="S9" s="40">
        <v>19248752</v>
      </c>
      <c r="T9" s="40">
        <v>3621800</v>
      </c>
      <c r="U9" s="40">
        <v>1307176</v>
      </c>
      <c r="V9" s="40">
        <v>14319296</v>
      </c>
      <c r="W9" s="41">
        <v>72.149621999999994</v>
      </c>
      <c r="X9" s="41">
        <v>75.331956000000005</v>
      </c>
      <c r="Y9" s="41">
        <v>42.073022000000002</v>
      </c>
      <c r="Z9" s="41">
        <v>49.432253000000003</v>
      </c>
      <c r="AA9" s="41">
        <v>49.616202999999999</v>
      </c>
      <c r="AB9" s="42">
        <v>6086.9</v>
      </c>
      <c r="AC9" s="42">
        <v>1227.3599999999999</v>
      </c>
      <c r="AD9" s="42">
        <v>10.210000000000001</v>
      </c>
      <c r="AE9" s="42">
        <v>16.108000000000001</v>
      </c>
      <c r="AG9" s="37">
        <f t="shared" si="7"/>
        <v>17.999017500000001</v>
      </c>
      <c r="AH9" s="38">
        <f t="shared" si="8"/>
        <v>0.7690550293316375</v>
      </c>
      <c r="AI9" s="38">
        <f t="shared" si="9"/>
        <v>0.19644500129204293</v>
      </c>
      <c r="AJ9" s="38">
        <f t="shared" si="10"/>
        <v>0.14439604073666515</v>
      </c>
      <c r="AK9" s="38">
        <f t="shared" si="11"/>
        <v>0.57259048015727709</v>
      </c>
      <c r="AL9" s="35">
        <f t="shared" si="12"/>
        <v>4904120</v>
      </c>
      <c r="AM9" s="38">
        <f t="shared" si="13"/>
        <v>0.76765764950229076</v>
      </c>
      <c r="AN9" s="39">
        <v>25009784</v>
      </c>
      <c r="AO9" s="39">
        <v>781555.75</v>
      </c>
      <c r="AP9" s="39">
        <v>7640.3125</v>
      </c>
      <c r="AQ9" s="40">
        <v>19198952</v>
      </c>
      <c r="AR9" s="40">
        <v>3604752</v>
      </c>
      <c r="AS9" s="40">
        <v>1299368</v>
      </c>
      <c r="AT9" s="40">
        <v>14294344</v>
      </c>
      <c r="AU9" s="41">
        <v>72.154668999999998</v>
      </c>
      <c r="AV9" s="41">
        <v>75.331331000000006</v>
      </c>
      <c r="AW9" s="41">
        <v>42.078766000000002</v>
      </c>
      <c r="AX9" s="41">
        <v>49.430463000000003</v>
      </c>
      <c r="AY9" s="41">
        <v>49.625230999999999</v>
      </c>
      <c r="AZ9" s="42">
        <v>6065.9</v>
      </c>
      <c r="BA9" s="42">
        <v>1221.49</v>
      </c>
      <c r="BB9" s="42">
        <v>10.423</v>
      </c>
      <c r="BC9" s="42">
        <v>16.373000000000001</v>
      </c>
      <c r="BE9" s="43">
        <f t="shared" si="14"/>
        <v>-3.5973629259195006E-6</v>
      </c>
      <c r="BF9" s="43">
        <f t="shared" si="15"/>
        <v>-6.3044317931659766E-4</v>
      </c>
      <c r="BG9" s="43"/>
      <c r="BI9" s="44"/>
      <c r="BJ9" s="44"/>
      <c r="BK9" s="44"/>
      <c r="BL9" s="44"/>
      <c r="BM9" s="44"/>
      <c r="BO9" s="44"/>
      <c r="BP9" s="44"/>
      <c r="BQ9" s="44"/>
      <c r="BR9" s="44"/>
      <c r="BS9" s="44"/>
      <c r="BU9" s="4">
        <f t="shared" si="16"/>
        <v>-49800</v>
      </c>
    </row>
    <row r="10" spans="1:73" x14ac:dyDescent="0.2">
      <c r="A10" s="25"/>
      <c r="B10" s="25" t="s">
        <v>275</v>
      </c>
      <c r="C10" s="26" t="s">
        <v>268</v>
      </c>
      <c r="D10" s="25">
        <v>22654789</v>
      </c>
      <c r="E10" s="26">
        <v>10</v>
      </c>
      <c r="F10" s="26">
        <v>32</v>
      </c>
      <c r="G10" s="26">
        <v>30</v>
      </c>
      <c r="I10" s="27">
        <f t="shared" si="0"/>
        <v>3.2811224999999999</v>
      </c>
      <c r="J10" s="28">
        <f t="shared" si="1"/>
        <v>0.15448671801798727</v>
      </c>
      <c r="K10" s="28">
        <f t="shared" si="2"/>
        <v>7.9165601586490164E-2</v>
      </c>
      <c r="L10" s="28">
        <f t="shared" si="3"/>
        <v>3.9382048537287197E-2</v>
      </c>
      <c r="M10" s="28">
        <f t="shared" si="4"/>
        <v>7.529992885830894E-2</v>
      </c>
      <c r="N10" s="25">
        <f t="shared" si="5"/>
        <v>1793480</v>
      </c>
      <c r="O10" s="28">
        <f t="shared" si="6"/>
        <v>0.1696666183178811</v>
      </c>
      <c r="P10" s="29">
        <v>20627888</v>
      </c>
      <c r="Q10" s="29">
        <v>644621.5</v>
      </c>
      <c r="R10" s="29">
        <v>18898.25</v>
      </c>
      <c r="S10" s="30">
        <v>3499864</v>
      </c>
      <c r="T10" s="30">
        <v>892192</v>
      </c>
      <c r="U10" s="30">
        <v>901288</v>
      </c>
      <c r="V10" s="30">
        <v>1705904</v>
      </c>
      <c r="W10" s="31">
        <v>65.903077999999994</v>
      </c>
      <c r="X10" s="31">
        <v>67.881922000000003</v>
      </c>
      <c r="Y10" s="31">
        <v>32.554406</v>
      </c>
      <c r="Z10" s="31">
        <v>39.263072000000001</v>
      </c>
      <c r="AA10" s="31">
        <v>32.234397000000001</v>
      </c>
      <c r="AB10" s="32">
        <v>6173.85</v>
      </c>
      <c r="AC10" s="32">
        <v>859.14400000000001</v>
      </c>
      <c r="AD10" s="32">
        <v>8.5519999999999996</v>
      </c>
      <c r="AE10" s="32">
        <v>12.912000000000001</v>
      </c>
      <c r="AG10" s="27">
        <f t="shared" si="7"/>
        <v>3.2820225000000001</v>
      </c>
      <c r="AH10" s="28">
        <f t="shared" si="8"/>
        <v>0.15452909316436361</v>
      </c>
      <c r="AI10" s="28">
        <f t="shared" si="9"/>
        <v>7.9207623606646696E-2</v>
      </c>
      <c r="AJ10" s="28">
        <f t="shared" si="10"/>
        <v>4.0280401640465507E-2</v>
      </c>
      <c r="AK10" s="28">
        <f t="shared" si="11"/>
        <v>7.529992885830894E-2</v>
      </c>
      <c r="AL10" s="25">
        <f t="shared" si="12"/>
        <v>1794432</v>
      </c>
      <c r="AM10" s="28">
        <f t="shared" si="13"/>
        <v>0.17047903608712778</v>
      </c>
      <c r="AN10" s="29">
        <v>20535217</v>
      </c>
      <c r="AO10" s="29">
        <v>641725.53125</v>
      </c>
      <c r="AP10" s="29">
        <v>18862.125</v>
      </c>
      <c r="AQ10" s="30">
        <v>3500824</v>
      </c>
      <c r="AR10" s="30">
        <v>912544</v>
      </c>
      <c r="AS10" s="30">
        <v>881888</v>
      </c>
      <c r="AT10" s="30">
        <v>1705904</v>
      </c>
      <c r="AU10" s="31">
        <v>65.884490999999997</v>
      </c>
      <c r="AV10" s="31">
        <v>67.865256000000002</v>
      </c>
      <c r="AW10" s="31">
        <v>32.549734000000001</v>
      </c>
      <c r="AX10" s="31">
        <v>39.246065999999999</v>
      </c>
      <c r="AY10" s="31">
        <v>32.247712</v>
      </c>
      <c r="AZ10" s="32">
        <v>4322.3500000000004</v>
      </c>
      <c r="BA10" s="32">
        <v>652.10900000000004</v>
      </c>
      <c r="BB10" s="32">
        <v>7.0970000000000004</v>
      </c>
      <c r="BC10" s="32">
        <v>9.8179999999999996</v>
      </c>
      <c r="BE10" s="33">
        <f t="shared" si="14"/>
        <v>7.6006923577801033E-5</v>
      </c>
      <c r="BF10" s="33">
        <f t="shared" si="15"/>
        <v>1.3141333056543303E-4</v>
      </c>
      <c r="BG10" s="33">
        <f t="array" ref="BG10">AVERAGE(AL10:AL14/AQ10:AQ14) - AVERAGE(N10:N14/S10:S14)</f>
        <v>-2.7305425264007033E-4</v>
      </c>
      <c r="BI10" s="34">
        <f>IF( OR(ISBLANK(N10:N14),ISBLANK(AL10:AL14), ISBLANK(W10:W14),ISBLANK(AU10:AU14)), "·", bdRateExtend( N10:N14,W10:W14, AL10:AL14,AU10:AU14))</f>
        <v>-7.2489076750481551E-4</v>
      </c>
      <c r="BJ10" s="34">
        <f>IF( OR(ISBLANK(N10:N14),ISBLANK(AL10:AL14), ISBLANK(X10:X14),ISBLANK(AV10:AV14)), "·", bdRateExtend( N10:N14,X10:X14, AL10:AL14,AV10:AV14))</f>
        <v>-2.7957925325675648E-3</v>
      </c>
      <c r="BK10" s="34">
        <f>IF( OR(ISBLANK(V10:V14),ISBLANK(AT10:AT14), ISBLANK(Y10:Y14),ISBLANK(AW10:AW14)), "·", bdRateExtend( V10:V14,Y10:Y14, AT10:AT14,AW10:AW14))</f>
        <v>2.7726897300706099E-4</v>
      </c>
      <c r="BL10" s="34">
        <f>IF( OR(ISBLANK(V10:V14),ISBLANK(AT10:AT14), ISBLANK(Z10:Z14),ISBLANK(AX10:AX14)), "·", bdRateExtend( V10:V14,Z10:Z14, AT10:AT14,AX10:AX14))</f>
        <v>-5.1906925557954064E-4</v>
      </c>
      <c r="BM10" s="34">
        <f>IF( OR(ISBLANK(V10:V14),ISBLANK(AT10:AT14), ISBLANK(AA10:AA14),ISBLANK(AY10:AY14)), "·", bdRateExtend( V10:V14,AA10:AA14, AT10:AT14,AY10:AY14))</f>
        <v>1.7202912925000646E-3</v>
      </c>
      <c r="BO10" s="34">
        <f>IF( OR(ISBLANK(S10:S14),ISBLANK(AQ10:AQ14), ISBLANK(W10:W14),ISBLANK(AU10:AU14)), "·", bdRateExtend( S10:S14,W10:W14, AQ10:AQ14,AU10:AU14))</f>
        <v>4.5036306603996046E-4</v>
      </c>
      <c r="BP10" s="34">
        <f>IF( OR(ISBLANK(S10:S14),ISBLANK(AQ10:AQ14), ISBLANK(X10:X14),ISBLANK(AV10:AV14)), "·", bdRateExtend( S10:S14,X10:X14, AQ10:AQ14,AV10:AV14))</f>
        <v>-2.7278455374557531E-3</v>
      </c>
      <c r="BQ10" s="34">
        <f>IF( OR(ISBLANK(S10:S14),ISBLANK(AQ10:AQ14), ISBLANK(Y10:Y14),ISBLANK(AW10:AW14)), "·", bdRateExtend( S10:S14,Y10:Y14, AQ10:AQ14,AW10:AW14))</f>
        <v>-6.2606262693720716E-5</v>
      </c>
      <c r="BR10" s="34">
        <f>IF( OR(ISBLANK(S10:S14),ISBLANK(AQ10:AQ14), ISBLANK(Z10:Z14),ISBLANK(AX10:AX14)), "·", bdRateExtend( S10:S14,Z10:Z14, AQ10:AQ14,AX10:AX14))</f>
        <v>-1.0278167659532045E-3</v>
      </c>
      <c r="BS10" s="34">
        <f>IF( OR(ISBLANK(S10:S14),ISBLANK(AQ10:AQ14), ISBLANK(AA10:AA14),ISBLANK(AY10:AY14)), "·", bdRateExtend( S10:S14,AA10:AA14, AQ10:AQ14,AY10:AY14))</f>
        <v>1.0874822086106573E-3</v>
      </c>
      <c r="BU10" s="4">
        <f t="shared" si="16"/>
        <v>960</v>
      </c>
    </row>
    <row r="11" spans="1:73" outlineLevel="1" x14ac:dyDescent="0.2">
      <c r="A11" s="15"/>
      <c r="B11" s="15" t="s">
        <v>275</v>
      </c>
      <c r="C11" s="16" t="s">
        <v>269</v>
      </c>
      <c r="D11" s="15">
        <v>22654789</v>
      </c>
      <c r="E11" s="16">
        <v>10</v>
      </c>
      <c r="F11" s="16">
        <v>32</v>
      </c>
      <c r="G11" s="16">
        <v>30</v>
      </c>
      <c r="I11" s="17">
        <f t="shared" si="0"/>
        <v>4.7378850000000003</v>
      </c>
      <c r="J11" s="18">
        <f t="shared" si="1"/>
        <v>0.22307618932138365</v>
      </c>
      <c r="K11" s="18">
        <f t="shared" si="2"/>
        <v>9.5375860706537585E-2</v>
      </c>
      <c r="L11" s="18">
        <f t="shared" si="3"/>
        <v>5.5592307657334618E-2</v>
      </c>
      <c r="M11" s="18">
        <f t="shared" si="4"/>
        <v>0.1276791410416579</v>
      </c>
      <c r="N11" s="15">
        <f t="shared" si="5"/>
        <v>2160720</v>
      </c>
      <c r="O11" s="18">
        <f t="shared" si="6"/>
        <v>0.22611379773422854</v>
      </c>
      <c r="P11" s="19">
        <v>22350445</v>
      </c>
      <c r="Q11" s="19">
        <v>698451.40625</v>
      </c>
      <c r="R11" s="19">
        <v>24752.78125</v>
      </c>
      <c r="S11" s="20">
        <v>5053744</v>
      </c>
      <c r="T11" s="20">
        <v>1259432</v>
      </c>
      <c r="U11" s="20">
        <v>901288</v>
      </c>
      <c r="V11" s="20">
        <v>2892544</v>
      </c>
      <c r="W11" s="21">
        <v>67.649506000000002</v>
      </c>
      <c r="X11" s="21">
        <v>69.713063000000005</v>
      </c>
      <c r="Y11" s="21">
        <v>34.421824999999998</v>
      </c>
      <c r="Z11" s="21">
        <v>40.121952999999998</v>
      </c>
      <c r="AA11" s="21">
        <v>34.034609000000003</v>
      </c>
      <c r="AB11" s="22">
        <v>6055.31</v>
      </c>
      <c r="AC11" s="22">
        <v>866.08500000000004</v>
      </c>
      <c r="AD11" s="22">
        <v>8.4019999999999992</v>
      </c>
      <c r="AE11" s="22">
        <v>12.957000000000001</v>
      </c>
      <c r="AG11" s="17">
        <f t="shared" si="7"/>
        <v>4.7383875</v>
      </c>
      <c r="AH11" s="18">
        <f t="shared" si="8"/>
        <v>0.22309984877811045</v>
      </c>
      <c r="AI11" s="18">
        <f t="shared" si="9"/>
        <v>9.5326423035765204E-2</v>
      </c>
      <c r="AJ11" s="18">
        <f t="shared" si="10"/>
        <v>5.6399201069584008E-2</v>
      </c>
      <c r="AK11" s="18">
        <f t="shared" si="11"/>
        <v>0.12775188504293727</v>
      </c>
      <c r="AL11" s="15">
        <f t="shared" si="12"/>
        <v>2159600</v>
      </c>
      <c r="AM11" s="18">
        <f t="shared" si="13"/>
        <v>0.22635365669659574</v>
      </c>
      <c r="AN11" s="19">
        <v>22329129</v>
      </c>
      <c r="AO11" s="19">
        <v>697785.28125</v>
      </c>
      <c r="AP11" s="19">
        <v>24746.75</v>
      </c>
      <c r="AQ11" s="20">
        <v>5054280</v>
      </c>
      <c r="AR11" s="20">
        <v>1277712</v>
      </c>
      <c r="AS11" s="20">
        <v>881888</v>
      </c>
      <c r="AT11" s="20">
        <v>2894192</v>
      </c>
      <c r="AU11" s="21">
        <v>67.652303000000003</v>
      </c>
      <c r="AV11" s="21">
        <v>69.728712999999999</v>
      </c>
      <c r="AW11" s="21">
        <v>34.430374999999998</v>
      </c>
      <c r="AX11" s="21">
        <v>40.117533999999999</v>
      </c>
      <c r="AY11" s="21">
        <v>34.025219</v>
      </c>
      <c r="AZ11" s="22">
        <v>6159.28</v>
      </c>
      <c r="BA11" s="22">
        <v>864.721</v>
      </c>
      <c r="BB11" s="22">
        <v>8.7590000000000003</v>
      </c>
      <c r="BC11" s="22">
        <v>12.308999999999999</v>
      </c>
      <c r="BE11" s="23">
        <f t="shared" si="14"/>
        <v>2.5188119415875398E-5</v>
      </c>
      <c r="BF11" s="23">
        <f t="shared" si="15"/>
        <v>-2.6693533506294553E-4</v>
      </c>
      <c r="BG11" s="23"/>
      <c r="BI11" s="24"/>
      <c r="BJ11" s="24"/>
      <c r="BK11" s="24"/>
      <c r="BL11" s="24"/>
      <c r="BM11" s="24"/>
      <c r="BO11" s="24"/>
      <c r="BP11" s="24"/>
      <c r="BQ11" s="24"/>
      <c r="BR11" s="24"/>
      <c r="BS11" s="24"/>
      <c r="BU11" s="4">
        <f t="shared" si="16"/>
        <v>536</v>
      </c>
    </row>
    <row r="12" spans="1:73" outlineLevel="1" x14ac:dyDescent="0.2">
      <c r="A12" s="25"/>
      <c r="B12" s="25" t="s">
        <v>275</v>
      </c>
      <c r="C12" s="26" t="s">
        <v>270</v>
      </c>
      <c r="D12" s="25">
        <v>22654789</v>
      </c>
      <c r="E12" s="26">
        <v>10</v>
      </c>
      <c r="F12" s="26">
        <v>32</v>
      </c>
      <c r="G12" s="26">
        <v>30</v>
      </c>
      <c r="I12" s="27">
        <f t="shared" si="0"/>
        <v>7.3448624999999996</v>
      </c>
      <c r="J12" s="28">
        <f t="shared" si="1"/>
        <v>0.34582180394617668</v>
      </c>
      <c r="K12" s="28">
        <f t="shared" si="2"/>
        <v>0.11896222030582584</v>
      </c>
      <c r="L12" s="28">
        <f t="shared" si="3"/>
        <v>7.917866725662287E-2</v>
      </c>
      <c r="M12" s="28">
        <f t="shared" si="4"/>
        <v>0.22683839606716266</v>
      </c>
      <c r="N12" s="25">
        <f t="shared" si="5"/>
        <v>2695064</v>
      </c>
      <c r="O12" s="28">
        <f t="shared" si="6"/>
        <v>0.34362983321286911</v>
      </c>
      <c r="P12" s="29">
        <v>22799301</v>
      </c>
      <c r="Q12" s="29">
        <v>712478.15625</v>
      </c>
      <c r="R12" s="29">
        <v>26661.90625</v>
      </c>
      <c r="S12" s="30">
        <v>7834520</v>
      </c>
      <c r="T12" s="30">
        <v>1793776</v>
      </c>
      <c r="U12" s="30">
        <v>901288</v>
      </c>
      <c r="V12" s="30">
        <v>5138976</v>
      </c>
      <c r="W12" s="31">
        <v>69.030156000000005</v>
      </c>
      <c r="X12" s="31">
        <v>71.352169000000004</v>
      </c>
      <c r="Y12" s="31">
        <v>36.541072</v>
      </c>
      <c r="Z12" s="31">
        <v>41.051772</v>
      </c>
      <c r="AA12" s="31">
        <v>35.821230999999997</v>
      </c>
      <c r="AB12" s="32">
        <v>6087.99</v>
      </c>
      <c r="AC12" s="32">
        <v>918.68299999999999</v>
      </c>
      <c r="AD12" s="32">
        <v>8.7940000000000005</v>
      </c>
      <c r="AE12" s="32">
        <v>13.208</v>
      </c>
      <c r="AG12" s="27">
        <f t="shared" si="7"/>
        <v>7.3394475000000003</v>
      </c>
      <c r="AH12" s="28">
        <f t="shared" si="8"/>
        <v>0.34556684681547906</v>
      </c>
      <c r="AI12" s="28">
        <f t="shared" si="9"/>
        <v>0.11888241378015041</v>
      </c>
      <c r="AJ12" s="28">
        <f t="shared" si="10"/>
        <v>7.995519181396922E-2</v>
      </c>
      <c r="AK12" s="28">
        <f t="shared" si="11"/>
        <v>0.22666289233592068</v>
      </c>
      <c r="AL12" s="25">
        <f t="shared" si="12"/>
        <v>2693256</v>
      </c>
      <c r="AM12" s="28">
        <f t="shared" si="13"/>
        <v>0.34438755737084298</v>
      </c>
      <c r="AN12" s="29">
        <v>22732366</v>
      </c>
      <c r="AO12" s="29">
        <v>710386.4375</v>
      </c>
      <c r="AP12" s="29">
        <v>26400.3125</v>
      </c>
      <c r="AQ12" s="30">
        <v>7828744</v>
      </c>
      <c r="AR12" s="30">
        <v>1811368</v>
      </c>
      <c r="AS12" s="30">
        <v>881888</v>
      </c>
      <c r="AT12" s="30">
        <v>5135000</v>
      </c>
      <c r="AU12" s="31">
        <v>69.015468999999996</v>
      </c>
      <c r="AV12" s="31">
        <v>71.358006000000003</v>
      </c>
      <c r="AW12" s="31">
        <v>36.535178000000002</v>
      </c>
      <c r="AX12" s="31">
        <v>41.058844000000001</v>
      </c>
      <c r="AY12" s="31">
        <v>35.815466000000001</v>
      </c>
      <c r="AZ12" s="32">
        <v>5913.2</v>
      </c>
      <c r="BA12" s="32">
        <v>913.71500000000003</v>
      </c>
      <c r="BB12" s="32">
        <v>8.1020000000000003</v>
      </c>
      <c r="BC12" s="32">
        <v>12.532999999999999</v>
      </c>
      <c r="BE12" s="33">
        <f t="shared" si="14"/>
        <v>-2.5805500533480213E-4</v>
      </c>
      <c r="BF12" s="33">
        <f t="shared" si="15"/>
        <v>2.2856281763738995E-5</v>
      </c>
      <c r="BG12" s="33"/>
      <c r="BI12" s="34"/>
      <c r="BJ12" s="34"/>
      <c r="BK12" s="34"/>
      <c r="BL12" s="34"/>
      <c r="BM12" s="34"/>
      <c r="BO12" s="34"/>
      <c r="BP12" s="34"/>
      <c r="BQ12" s="34"/>
      <c r="BR12" s="34"/>
      <c r="BS12" s="34"/>
      <c r="BU12" s="4">
        <f t="shared" si="16"/>
        <v>-5776</v>
      </c>
    </row>
    <row r="13" spans="1:73" outlineLevel="1" x14ac:dyDescent="0.2">
      <c r="A13" s="15"/>
      <c r="B13" s="15" t="s">
        <v>275</v>
      </c>
      <c r="C13" s="16" t="s">
        <v>271</v>
      </c>
      <c r="D13" s="15">
        <v>22654789</v>
      </c>
      <c r="E13" s="16">
        <v>10</v>
      </c>
      <c r="F13" s="16">
        <v>32</v>
      </c>
      <c r="G13" s="16">
        <v>30</v>
      </c>
      <c r="I13" s="17">
        <f t="shared" si="0"/>
        <v>12.7209675</v>
      </c>
      <c r="J13" s="18">
        <f t="shared" si="1"/>
        <v>0.5989476220678992</v>
      </c>
      <c r="K13" s="18">
        <f t="shared" si="2"/>
        <v>0.1606886738163838</v>
      </c>
      <c r="L13" s="18">
        <f t="shared" si="3"/>
        <v>0.12090512076718084</v>
      </c>
      <c r="M13" s="18">
        <f t="shared" si="4"/>
        <v>0.4382377606783272</v>
      </c>
      <c r="N13" s="15">
        <f t="shared" si="5"/>
        <v>3640368</v>
      </c>
      <c r="O13" s="18">
        <f t="shared" si="6"/>
        <v>0.57198131135880381</v>
      </c>
      <c r="P13" s="19">
        <v>23722859</v>
      </c>
      <c r="Q13" s="19">
        <v>741339.34375</v>
      </c>
      <c r="R13" s="19">
        <v>30376.21875</v>
      </c>
      <c r="S13" s="20">
        <v>13569032</v>
      </c>
      <c r="T13" s="20">
        <v>2739080</v>
      </c>
      <c r="U13" s="20">
        <v>901288</v>
      </c>
      <c r="V13" s="20">
        <v>9928184</v>
      </c>
      <c r="W13" s="21">
        <v>70.032518999999994</v>
      </c>
      <c r="X13" s="21">
        <v>72.569333999999998</v>
      </c>
      <c r="Y13" s="21">
        <v>38.875318999999998</v>
      </c>
      <c r="Z13" s="21">
        <v>42.230486999999997</v>
      </c>
      <c r="AA13" s="21">
        <v>37.921353000000003</v>
      </c>
      <c r="AB13" s="22">
        <v>5970.37</v>
      </c>
      <c r="AC13" s="22">
        <v>1013.37</v>
      </c>
      <c r="AD13" s="22">
        <v>8.7370000000000001</v>
      </c>
      <c r="AE13" s="22">
        <v>13.760999999999999</v>
      </c>
      <c r="AG13" s="17">
        <f t="shared" si="7"/>
        <v>12.7256175</v>
      </c>
      <c r="AH13" s="18">
        <f t="shared" si="8"/>
        <v>0.59916656032417692</v>
      </c>
      <c r="AI13" s="18">
        <f t="shared" si="9"/>
        <v>0.1604979856576903</v>
      </c>
      <c r="AJ13" s="18">
        <f t="shared" si="10"/>
        <v>0.12157076369150911</v>
      </c>
      <c r="AK13" s="18">
        <f t="shared" si="11"/>
        <v>0.43864703396707866</v>
      </c>
      <c r="AL13" s="15">
        <f t="shared" si="12"/>
        <v>3636048</v>
      </c>
      <c r="AM13" s="18">
        <f t="shared" si="13"/>
        <v>0.57209679880168962</v>
      </c>
      <c r="AN13" s="19">
        <v>23726740</v>
      </c>
      <c r="AO13" s="19">
        <v>741460.625</v>
      </c>
      <c r="AP13" s="19">
        <v>30316</v>
      </c>
      <c r="AQ13" s="20">
        <v>13573992</v>
      </c>
      <c r="AR13" s="20">
        <v>2754160</v>
      </c>
      <c r="AS13" s="20">
        <v>881888</v>
      </c>
      <c r="AT13" s="20">
        <v>9937456</v>
      </c>
      <c r="AU13" s="21">
        <v>70.039349999999999</v>
      </c>
      <c r="AV13" s="21">
        <v>72.581112000000005</v>
      </c>
      <c r="AW13" s="21">
        <v>38.874422000000003</v>
      </c>
      <c r="AX13" s="21">
        <v>42.237437</v>
      </c>
      <c r="AY13" s="21">
        <v>37.915225</v>
      </c>
      <c r="AZ13" s="22">
        <v>5907.26</v>
      </c>
      <c r="BA13" s="22">
        <v>1056.28</v>
      </c>
      <c r="BB13" s="22">
        <v>8.3469999999999995</v>
      </c>
      <c r="BC13" s="22">
        <v>13.86</v>
      </c>
      <c r="BE13" s="23">
        <f t="shared" si="14"/>
        <v>-8.7918657720266469E-5</v>
      </c>
      <c r="BF13" s="23">
        <f t="shared" si="15"/>
        <v>-4.1628827329059925E-4</v>
      </c>
      <c r="BG13" s="23"/>
      <c r="BI13" s="24"/>
      <c r="BJ13" s="24"/>
      <c r="BK13" s="24"/>
      <c r="BL13" s="24"/>
      <c r="BM13" s="24"/>
      <c r="BO13" s="24"/>
      <c r="BP13" s="24"/>
      <c r="BQ13" s="24"/>
      <c r="BR13" s="24"/>
      <c r="BS13" s="24"/>
      <c r="BU13" s="4">
        <f t="shared" si="16"/>
        <v>4960</v>
      </c>
    </row>
    <row r="14" spans="1:73" ht="16" outlineLevel="1" thickBot="1" x14ac:dyDescent="0.25">
      <c r="A14" s="25"/>
      <c r="B14" s="45" t="s">
        <v>275</v>
      </c>
      <c r="C14" s="46" t="s">
        <v>272</v>
      </c>
      <c r="D14" s="45">
        <v>22654789</v>
      </c>
      <c r="E14" s="46">
        <v>10</v>
      </c>
      <c r="F14" s="46">
        <v>32</v>
      </c>
      <c r="G14" s="46">
        <v>30</v>
      </c>
      <c r="I14" s="47">
        <f t="shared" si="0"/>
        <v>22.901857499999998</v>
      </c>
      <c r="J14" s="48">
        <f t="shared" si="1"/>
        <v>1.0782995153916464</v>
      </c>
      <c r="K14" s="48">
        <f t="shared" si="2"/>
        <v>0.26554350164108792</v>
      </c>
      <c r="L14" s="48">
        <f t="shared" si="3"/>
        <v>0.19165819641930895</v>
      </c>
      <c r="M14" s="48">
        <f t="shared" si="4"/>
        <v>0.81273482617737025</v>
      </c>
      <c r="N14" s="45">
        <f t="shared" si="5"/>
        <v>6015832</v>
      </c>
      <c r="O14" s="48">
        <f t="shared" si="6"/>
        <v>1.0855384061903377</v>
      </c>
      <c r="P14" s="49">
        <v>22503716</v>
      </c>
      <c r="Q14" s="49">
        <v>703241.125</v>
      </c>
      <c r="R14" s="49">
        <v>8268.15625</v>
      </c>
      <c r="S14" s="50">
        <v>24428648</v>
      </c>
      <c r="T14" s="50">
        <v>4341976</v>
      </c>
      <c r="U14" s="50">
        <v>1673856</v>
      </c>
      <c r="V14" s="50">
        <v>18412336</v>
      </c>
      <c r="W14" s="51">
        <v>71.412609000000003</v>
      </c>
      <c r="X14" s="51">
        <v>74.811031</v>
      </c>
      <c r="Y14" s="51">
        <v>41.208571999999997</v>
      </c>
      <c r="Z14" s="51">
        <v>43.571083999999999</v>
      </c>
      <c r="AA14" s="51">
        <v>39.819944</v>
      </c>
      <c r="AB14" s="52">
        <v>6071.85</v>
      </c>
      <c r="AC14" s="52">
        <v>1196.02</v>
      </c>
      <c r="AD14" s="52">
        <v>9.4120000000000008</v>
      </c>
      <c r="AE14" s="52">
        <v>15.502000000000001</v>
      </c>
      <c r="AG14" s="47">
        <f t="shared" si="7"/>
        <v>22.881345</v>
      </c>
      <c r="AH14" s="48">
        <f t="shared" si="8"/>
        <v>1.0773337151804856</v>
      </c>
      <c r="AI14" s="48">
        <f t="shared" si="9"/>
        <v>0.26440466958222386</v>
      </c>
      <c r="AJ14" s="48">
        <f t="shared" si="10"/>
        <v>0.19137569544346672</v>
      </c>
      <c r="AK14" s="48">
        <f t="shared" si="11"/>
        <v>0.81290750489885388</v>
      </c>
      <c r="AL14" s="45">
        <f t="shared" si="12"/>
        <v>5990032</v>
      </c>
      <c r="AM14" s="48">
        <f t="shared" si="13"/>
        <v>1.0851919094343676</v>
      </c>
      <c r="AN14" s="49">
        <v>22490739</v>
      </c>
      <c r="AO14" s="49">
        <v>702835.59375</v>
      </c>
      <c r="AP14" s="49">
        <v>8248.25</v>
      </c>
      <c r="AQ14" s="50">
        <v>24406768</v>
      </c>
      <c r="AR14" s="50">
        <v>4335576</v>
      </c>
      <c r="AS14" s="50">
        <v>1654456</v>
      </c>
      <c r="AT14" s="50">
        <v>18416248</v>
      </c>
      <c r="AU14" s="51">
        <v>71.406227999999999</v>
      </c>
      <c r="AV14" s="51">
        <v>74.817702999999995</v>
      </c>
      <c r="AW14" s="51">
        <v>41.207158999999997</v>
      </c>
      <c r="AX14" s="51">
        <v>43.571930999999999</v>
      </c>
      <c r="AY14" s="51">
        <v>39.821863</v>
      </c>
      <c r="AZ14" s="52">
        <v>5936.12</v>
      </c>
      <c r="BA14" s="52">
        <v>1188.03</v>
      </c>
      <c r="BB14" s="52">
        <v>9.1340000000000003</v>
      </c>
      <c r="BC14" s="52">
        <v>14.731</v>
      </c>
      <c r="BE14" s="53">
        <f t="shared" si="14"/>
        <v>-2.1538938168910379E-5</v>
      </c>
      <c r="BF14" s="53">
        <f t="shared" si="15"/>
        <v>-8.3631726717575683E-4</v>
      </c>
      <c r="BG14" s="53"/>
      <c r="BI14" s="54"/>
      <c r="BJ14" s="54"/>
      <c r="BK14" s="54"/>
      <c r="BL14" s="54"/>
      <c r="BM14" s="54"/>
      <c r="BO14" s="54"/>
      <c r="BP14" s="54"/>
      <c r="BQ14" s="54"/>
      <c r="BR14" s="54"/>
      <c r="BS14" s="54"/>
      <c r="BU14" s="4">
        <f t="shared" si="16"/>
        <v>-21880</v>
      </c>
    </row>
    <row r="15" spans="1:73" x14ac:dyDescent="0.2">
      <c r="A15" s="15"/>
      <c r="B15" s="15" t="s">
        <v>278</v>
      </c>
      <c r="C15" s="16" t="s">
        <v>268</v>
      </c>
      <c r="D15" s="15">
        <v>33947718</v>
      </c>
      <c r="E15" s="16">
        <v>10</v>
      </c>
      <c r="F15" s="16">
        <v>32</v>
      </c>
      <c r="G15" s="16">
        <v>30</v>
      </c>
      <c r="I15" s="17">
        <f t="shared" si="0"/>
        <v>4.4902049999999996</v>
      </c>
      <c r="J15" s="18">
        <f t="shared" si="1"/>
        <v>0.14108612543558893</v>
      </c>
      <c r="K15" s="18">
        <f t="shared" si="2"/>
        <v>7.7795391136452827E-2</v>
      </c>
      <c r="L15" s="18">
        <f t="shared" si="3"/>
        <v>4.0048406199203142E-2</v>
      </c>
      <c r="M15" s="18">
        <f t="shared" si="4"/>
        <v>6.3276594909855211E-2</v>
      </c>
      <c r="N15" s="15">
        <f t="shared" si="5"/>
        <v>2640976</v>
      </c>
      <c r="O15" s="18">
        <f t="shared" si="6"/>
        <v>0.15497790953750137</v>
      </c>
      <c r="P15" s="19">
        <v>30904740</v>
      </c>
      <c r="Q15" s="19">
        <v>965773.125</v>
      </c>
      <c r="R15" s="19">
        <v>30604.59375</v>
      </c>
      <c r="S15" s="20">
        <v>4789552</v>
      </c>
      <c r="T15" s="20">
        <v>1359552</v>
      </c>
      <c r="U15" s="20">
        <v>1281424</v>
      </c>
      <c r="V15" s="20">
        <v>2148096</v>
      </c>
      <c r="W15" s="21">
        <v>65.969628</v>
      </c>
      <c r="X15" s="21">
        <v>67.824433999999997</v>
      </c>
      <c r="Y15" s="21">
        <v>29.620009</v>
      </c>
      <c r="Z15" s="21">
        <v>43.221052999999998</v>
      </c>
      <c r="AA15" s="21">
        <v>43.495936999999998</v>
      </c>
      <c r="AB15" s="22">
        <v>5578.22</v>
      </c>
      <c r="AC15" s="22">
        <v>765.74599999999998</v>
      </c>
      <c r="AD15" s="22">
        <v>10.236000000000001</v>
      </c>
      <c r="AE15" s="22">
        <v>11.872</v>
      </c>
      <c r="AG15" s="17">
        <f t="shared" si="7"/>
        <v>4.4962350000000004</v>
      </c>
      <c r="AH15" s="18">
        <f t="shared" si="8"/>
        <v>0.14127559325195291</v>
      </c>
      <c r="AI15" s="18">
        <f t="shared" si="9"/>
        <v>7.7989336426089087E-2</v>
      </c>
      <c r="AJ15" s="18">
        <f t="shared" si="10"/>
        <v>4.0845396441669513E-2</v>
      </c>
      <c r="AK15" s="18">
        <f t="shared" si="11"/>
        <v>6.3271881780094907E-2</v>
      </c>
      <c r="AL15" s="15">
        <f t="shared" si="12"/>
        <v>2647560</v>
      </c>
      <c r="AM15" s="18">
        <f t="shared" si="13"/>
        <v>0.15577250460611999</v>
      </c>
      <c r="AN15" s="19">
        <v>30788386</v>
      </c>
      <c r="AO15" s="19">
        <v>962137.0625</v>
      </c>
      <c r="AP15" s="19">
        <v>30163.1875</v>
      </c>
      <c r="AQ15" s="20">
        <v>4795984</v>
      </c>
      <c r="AR15" s="20">
        <v>1386608</v>
      </c>
      <c r="AS15" s="20">
        <v>1260952</v>
      </c>
      <c r="AT15" s="20">
        <v>2147936</v>
      </c>
      <c r="AU15" s="21">
        <v>65.950609</v>
      </c>
      <c r="AV15" s="21">
        <v>67.829724999999996</v>
      </c>
      <c r="AW15" s="21">
        <v>29.619458999999999</v>
      </c>
      <c r="AX15" s="21">
        <v>43.217388</v>
      </c>
      <c r="AY15" s="21">
        <v>43.49145</v>
      </c>
      <c r="AZ15" s="22">
        <v>5485.38</v>
      </c>
      <c r="BA15" s="22">
        <v>784.64800000000002</v>
      </c>
      <c r="BB15" s="22">
        <v>10.583</v>
      </c>
      <c r="BC15" s="22">
        <v>12.127000000000001</v>
      </c>
      <c r="BE15" s="23">
        <f t="shared" si="14"/>
        <v>-3.390185146785879E-4</v>
      </c>
      <c r="BF15" s="23">
        <f t="shared" si="15"/>
        <v>6.3331577707093079E-4</v>
      </c>
      <c r="BG15" s="23">
        <f t="array" ref="BG15">AVERAGE(AL15:AL19/AQ15:AQ19) - AVERAGE(N15:N19/S15:S19)</f>
        <v>-8.2988747152179521E-5</v>
      </c>
      <c r="BI15" s="24">
        <f>IF( OR(ISBLANK(N15:N19),ISBLANK(AL15:AL19), ISBLANK(W15:W19),ISBLANK(AU15:AU19)), "·", bdRateExtend( N15:N19,W15:W19, AL15:AL19,AU15:AU19))</f>
        <v>2.2092887780855719E-4</v>
      </c>
      <c r="BJ15" s="24">
        <f>IF( OR(ISBLANK(N15:N19),ISBLANK(AL15:AL19), ISBLANK(X15:X19),ISBLANK(AV15:AV19)), "·", bdRateExtend( N15:N19,X15:X19, AL15:AL19,AV15:AV19))</f>
        <v>-2.1195568413243659E-3</v>
      </c>
      <c r="BK15" s="24">
        <f>IF( OR(ISBLANK(V15:V19),ISBLANK(AT15:AT19), ISBLANK(Y15:Y19),ISBLANK(AW15:AW19)), "·", bdRateExtend( V15:V19,Y15:Y19, AT15:AT19,AW15:AW19))</f>
        <v>1.1718513528435892E-6</v>
      </c>
      <c r="BL15" s="24">
        <f>IF( OR(ISBLANK(V15:V19),ISBLANK(AT15:AT19), ISBLANK(Z15:Z19),ISBLANK(AX15:AX19)), "·", bdRateExtend( V15:V19,Z15:Z19, AT15:AT19,AX15:AX19))</f>
        <v>4.9932813957558331E-3</v>
      </c>
      <c r="BM15" s="24">
        <f>IF( OR(ISBLANK(V15:V19),ISBLANK(AT15:AT19), ISBLANK(AA15:AA19),ISBLANK(AY15:AY19)), "·", bdRateExtend( V15:V19,AA15:AA19, AT15:AT19,AY15:AY19))</f>
        <v>-2.8029302471325179E-3</v>
      </c>
      <c r="BO15" s="24">
        <f>IF( OR(ISBLANK(S15:S19),ISBLANK(AQ15:AQ19), ISBLANK(W15:W19),ISBLANK(AU15:AU19)), "·", bdRateExtend( S15:S19,W15:W19, AQ15:AQ19,AU15:AU19))</f>
        <v>1.5360082417117393E-3</v>
      </c>
      <c r="BP15" s="24">
        <f>IF( OR(ISBLANK(S15:S19),ISBLANK(AQ15:AQ19), ISBLANK(X15:X19),ISBLANK(AV15:AV19)), "·", bdRateExtend( S15:S19,X15:X19, AQ15:AQ19,AV15:AV19))</f>
        <v>-1.6470049250760788E-3</v>
      </c>
      <c r="BQ15" s="24">
        <f>IF( OR(ISBLANK(S15:S19),ISBLANK(AQ15:AQ19), ISBLANK(Y15:Y19),ISBLANK(AW15:AW19)), "·", bdRateExtend( S15:S19,Y15:Y19, AQ15:AQ19,AW15:AW19))</f>
        <v>3.5376146487742233E-6</v>
      </c>
      <c r="BR15" s="24">
        <f>IF( OR(ISBLANK(S15:S19),ISBLANK(AQ15:AQ19), ISBLANK(Z15:Z19),ISBLANK(AX15:AX19)), "·", bdRateExtend( S15:S19,Z15:Z19, AQ15:AQ19,AX15:AX19))</f>
        <v>3.080280277618419E-3</v>
      </c>
      <c r="BS15" s="24">
        <f>IF( OR(ISBLANK(S15:S19),ISBLANK(AQ15:AQ19), ISBLANK(AA15:AA19),ISBLANK(AY15:AY19)), "·", bdRateExtend( S15:S19,AA15:AA19, AQ15:AQ19,AY15:AY19))</f>
        <v>-2.8166381269731922E-3</v>
      </c>
      <c r="BU15" s="4">
        <f t="shared" si="16"/>
        <v>6432</v>
      </c>
    </row>
    <row r="16" spans="1:73" outlineLevel="1" x14ac:dyDescent="0.2">
      <c r="A16" s="25"/>
      <c r="B16" s="25" t="s">
        <v>278</v>
      </c>
      <c r="C16" s="26" t="s">
        <v>269</v>
      </c>
      <c r="D16" s="25">
        <v>33947718</v>
      </c>
      <c r="E16" s="26">
        <v>10</v>
      </c>
      <c r="F16" s="26">
        <v>32</v>
      </c>
      <c r="G16" s="26">
        <v>30</v>
      </c>
      <c r="I16" s="27">
        <f t="shared" si="0"/>
        <v>7.2013049999999996</v>
      </c>
      <c r="J16" s="28">
        <f t="shared" si="1"/>
        <v>0.22627123272321278</v>
      </c>
      <c r="K16" s="28">
        <f t="shared" si="2"/>
        <v>9.4235259053347856E-2</v>
      </c>
      <c r="L16" s="28">
        <f t="shared" si="3"/>
        <v>5.6488274116098171E-2</v>
      </c>
      <c r="M16" s="28">
        <f t="shared" si="4"/>
        <v>0.13202183428058403</v>
      </c>
      <c r="N16" s="25">
        <f t="shared" si="5"/>
        <v>3199072</v>
      </c>
      <c r="O16" s="28">
        <f t="shared" si="6"/>
        <v>0.22923443039434338</v>
      </c>
      <c r="P16" s="29">
        <v>33508893</v>
      </c>
      <c r="Q16" s="29">
        <v>1047152.90625</v>
      </c>
      <c r="R16" s="29">
        <v>38737.96875</v>
      </c>
      <c r="S16" s="30">
        <v>7681392</v>
      </c>
      <c r="T16" s="30">
        <v>1917648</v>
      </c>
      <c r="U16" s="30">
        <v>1281424</v>
      </c>
      <c r="V16" s="30">
        <v>4481840</v>
      </c>
      <c r="W16" s="31">
        <v>67.827230999999998</v>
      </c>
      <c r="X16" s="31">
        <v>69.865883999999994</v>
      </c>
      <c r="Y16" s="31">
        <v>32.071334</v>
      </c>
      <c r="Z16" s="31">
        <v>44.087175000000002</v>
      </c>
      <c r="AA16" s="31">
        <v>44.434497</v>
      </c>
      <c r="AB16" s="32">
        <v>5704.04</v>
      </c>
      <c r="AC16" s="32">
        <v>823.10199999999998</v>
      </c>
      <c r="AD16" s="32">
        <v>10.573</v>
      </c>
      <c r="AE16" s="32">
        <v>12.186</v>
      </c>
      <c r="AG16" s="27">
        <f t="shared" si="7"/>
        <v>7.2069225000000001</v>
      </c>
      <c r="AH16" s="28">
        <f t="shared" si="8"/>
        <v>0.22644773943273594</v>
      </c>
      <c r="AI16" s="28">
        <f t="shared" si="9"/>
        <v>9.4306191656240337E-2</v>
      </c>
      <c r="AJ16" s="28">
        <f t="shared" si="10"/>
        <v>5.716225167182077E-2</v>
      </c>
      <c r="AK16" s="28">
        <f t="shared" si="11"/>
        <v>0.13212717273072669</v>
      </c>
      <c r="AL16" s="25">
        <f t="shared" si="12"/>
        <v>3201480</v>
      </c>
      <c r="AM16" s="28">
        <f t="shared" si="13"/>
        <v>0.22978352705086874</v>
      </c>
      <c r="AN16" s="29">
        <v>33454896</v>
      </c>
      <c r="AO16" s="29">
        <v>1045465.5</v>
      </c>
      <c r="AP16" s="29">
        <v>38721.4375</v>
      </c>
      <c r="AQ16" s="30">
        <v>7687384</v>
      </c>
      <c r="AR16" s="30">
        <v>1940528</v>
      </c>
      <c r="AS16" s="30">
        <v>1260952</v>
      </c>
      <c r="AT16" s="30">
        <v>4485416</v>
      </c>
      <c r="AU16" s="31">
        <v>67.814684</v>
      </c>
      <c r="AV16" s="31">
        <v>69.863018999999994</v>
      </c>
      <c r="AW16" s="31">
        <v>32.071891000000001</v>
      </c>
      <c r="AX16" s="31">
        <v>44.049287999999997</v>
      </c>
      <c r="AY16" s="31">
        <v>44.426468999999997</v>
      </c>
      <c r="AZ16" s="32">
        <v>5351.7</v>
      </c>
      <c r="BA16" s="32">
        <v>837.90300000000002</v>
      </c>
      <c r="BB16" s="32">
        <v>10.827</v>
      </c>
      <c r="BC16" s="32">
        <v>12.522</v>
      </c>
      <c r="BE16" s="33">
        <f t="shared" si="14"/>
        <v>4.3896238368673623E-5</v>
      </c>
      <c r="BF16" s="33">
        <f t="shared" si="15"/>
        <v>-1.1381027110402009E-5</v>
      </c>
      <c r="BG16" s="33"/>
      <c r="BI16" s="34"/>
      <c r="BJ16" s="34"/>
      <c r="BK16" s="34"/>
      <c r="BL16" s="34"/>
      <c r="BM16" s="34"/>
      <c r="BO16" s="34"/>
      <c r="BP16" s="34"/>
      <c r="BQ16" s="34"/>
      <c r="BR16" s="34"/>
      <c r="BS16" s="34"/>
      <c r="BU16" s="4">
        <f t="shared" si="16"/>
        <v>5992</v>
      </c>
    </row>
    <row r="17" spans="1:73" outlineLevel="1" x14ac:dyDescent="0.2">
      <c r="A17" s="15"/>
      <c r="B17" s="15" t="s">
        <v>278</v>
      </c>
      <c r="C17" s="16" t="s">
        <v>270</v>
      </c>
      <c r="D17" s="15">
        <v>33947718</v>
      </c>
      <c r="E17" s="16">
        <v>10</v>
      </c>
      <c r="F17" s="16">
        <v>32</v>
      </c>
      <c r="G17" s="16">
        <v>30</v>
      </c>
      <c r="I17" s="17">
        <f t="shared" si="0"/>
        <v>12.12444</v>
      </c>
      <c r="J17" s="18">
        <f t="shared" si="1"/>
        <v>0.38096039327297349</v>
      </c>
      <c r="K17" s="18">
        <f t="shared" si="2"/>
        <v>0.11759140923699202</v>
      </c>
      <c r="L17" s="18">
        <f t="shared" si="3"/>
        <v>7.9844424299742325E-2</v>
      </c>
      <c r="M17" s="18">
        <f t="shared" si="4"/>
        <v>0.26335484464670056</v>
      </c>
      <c r="N17" s="15">
        <f t="shared" si="5"/>
        <v>3991960</v>
      </c>
      <c r="O17" s="18">
        <f t="shared" si="6"/>
        <v>0.37947397372465402</v>
      </c>
      <c r="P17" s="19">
        <v>34080693</v>
      </c>
      <c r="Q17" s="19">
        <v>1065021.65625</v>
      </c>
      <c r="R17" s="19">
        <v>41025.71875</v>
      </c>
      <c r="S17" s="20">
        <v>12932736</v>
      </c>
      <c r="T17" s="20">
        <v>2710536</v>
      </c>
      <c r="U17" s="20">
        <v>1281424</v>
      </c>
      <c r="V17" s="20">
        <v>8940296</v>
      </c>
      <c r="W17" s="21">
        <v>69.264027999999996</v>
      </c>
      <c r="X17" s="21">
        <v>71.666833999999994</v>
      </c>
      <c r="Y17" s="21">
        <v>34.622343999999998</v>
      </c>
      <c r="Z17" s="21">
        <v>44.900359000000002</v>
      </c>
      <c r="AA17" s="21">
        <v>45.336596999999998</v>
      </c>
      <c r="AB17" s="22">
        <v>7958.81</v>
      </c>
      <c r="AC17" s="22">
        <v>1153.02</v>
      </c>
      <c r="AD17" s="22">
        <v>13.013</v>
      </c>
      <c r="AE17" s="22">
        <v>15.760999999999999</v>
      </c>
      <c r="AG17" s="17">
        <f t="shared" si="7"/>
        <v>12.1320075</v>
      </c>
      <c r="AH17" s="18">
        <f t="shared" si="8"/>
        <v>0.3811981706693805</v>
      </c>
      <c r="AI17" s="18">
        <f t="shared" si="9"/>
        <v>0.11777852048847584</v>
      </c>
      <c r="AJ17" s="18">
        <f t="shared" si="10"/>
        <v>8.0634580504056266E-2</v>
      </c>
      <c r="AK17" s="18">
        <f t="shared" si="11"/>
        <v>0.26340527513513573</v>
      </c>
      <c r="AL17" s="15">
        <f t="shared" si="12"/>
        <v>3998312</v>
      </c>
      <c r="AM17" s="18">
        <f t="shared" si="13"/>
        <v>0.37983839208421599</v>
      </c>
      <c r="AN17" s="19">
        <v>34069247</v>
      </c>
      <c r="AO17" s="19">
        <v>1064663.96875</v>
      </c>
      <c r="AP17" s="19">
        <v>40680.875</v>
      </c>
      <c r="AQ17" s="20">
        <v>12940808</v>
      </c>
      <c r="AR17" s="20">
        <v>2737360</v>
      </c>
      <c r="AS17" s="20">
        <v>1260952</v>
      </c>
      <c r="AT17" s="20">
        <v>8942008</v>
      </c>
      <c r="AU17" s="21">
        <v>69.259833999999998</v>
      </c>
      <c r="AV17" s="21">
        <v>71.661615999999995</v>
      </c>
      <c r="AW17" s="21">
        <v>34.619777999999997</v>
      </c>
      <c r="AX17" s="21">
        <v>44.919091000000002</v>
      </c>
      <c r="AY17" s="21">
        <v>45.353890999999997</v>
      </c>
      <c r="AZ17" s="22">
        <v>5918.35</v>
      </c>
      <c r="BA17" s="22">
        <v>916.56200000000001</v>
      </c>
      <c r="BB17" s="22">
        <v>11.3</v>
      </c>
      <c r="BC17" s="22">
        <v>13.132</v>
      </c>
      <c r="BE17" s="23">
        <f t="shared" si="14"/>
        <v>-3.1095751614679257E-4</v>
      </c>
      <c r="BF17" s="23">
        <f t="shared" si="15"/>
        <v>2.9831275092639942E-4</v>
      </c>
      <c r="BG17" s="23"/>
      <c r="BI17" s="24"/>
      <c r="BJ17" s="24"/>
      <c r="BK17" s="24"/>
      <c r="BL17" s="24"/>
      <c r="BM17" s="24"/>
      <c r="BO17" s="24"/>
      <c r="BP17" s="24"/>
      <c r="BQ17" s="24"/>
      <c r="BR17" s="24"/>
      <c r="BS17" s="24"/>
      <c r="BU17" s="4">
        <f t="shared" si="16"/>
        <v>8072</v>
      </c>
    </row>
    <row r="18" spans="1:73" outlineLevel="1" x14ac:dyDescent="0.2">
      <c r="A18" s="25"/>
      <c r="B18" s="25" t="s">
        <v>278</v>
      </c>
      <c r="C18" s="26" t="s">
        <v>271</v>
      </c>
      <c r="D18" s="25">
        <v>33947718</v>
      </c>
      <c r="E18" s="26">
        <v>10</v>
      </c>
      <c r="F18" s="26">
        <v>32</v>
      </c>
      <c r="G18" s="26">
        <v>30</v>
      </c>
      <c r="I18" s="27">
        <f t="shared" si="0"/>
        <v>21.952852499999999</v>
      </c>
      <c r="J18" s="28">
        <f t="shared" si="1"/>
        <v>0.68977761627453138</v>
      </c>
      <c r="K18" s="28">
        <f t="shared" si="2"/>
        <v>0.15714399418541181</v>
      </c>
      <c r="L18" s="28">
        <f t="shared" si="3"/>
        <v>0.11939700924816213</v>
      </c>
      <c r="M18" s="28">
        <f t="shared" si="4"/>
        <v>0.53261948269983861</v>
      </c>
      <c r="N18" s="25">
        <f t="shared" si="5"/>
        <v>5334680</v>
      </c>
      <c r="O18" s="28">
        <f t="shared" si="6"/>
        <v>0.65809439596484665</v>
      </c>
      <c r="P18" s="29">
        <v>35582093</v>
      </c>
      <c r="Q18" s="29">
        <v>1111940.40625</v>
      </c>
      <c r="R18" s="29">
        <v>46642.40625</v>
      </c>
      <c r="S18" s="30">
        <v>23416376</v>
      </c>
      <c r="T18" s="30">
        <v>4053256</v>
      </c>
      <c r="U18" s="30">
        <v>1281424</v>
      </c>
      <c r="V18" s="30">
        <v>18081216</v>
      </c>
      <c r="W18" s="31">
        <v>70.361975000000001</v>
      </c>
      <c r="X18" s="31">
        <v>72.977984000000006</v>
      </c>
      <c r="Y18" s="31">
        <v>37.272241000000001</v>
      </c>
      <c r="Z18" s="31">
        <v>46.219759000000003</v>
      </c>
      <c r="AA18" s="31">
        <v>46.713481000000002</v>
      </c>
      <c r="AB18" s="32">
        <v>7853.71</v>
      </c>
      <c r="AC18" s="32">
        <v>1333.02</v>
      </c>
      <c r="AD18" s="32">
        <v>13.038</v>
      </c>
      <c r="AE18" s="32">
        <v>17.402999999999999</v>
      </c>
      <c r="AG18" s="27">
        <f t="shared" si="7"/>
        <v>21.938617499999999</v>
      </c>
      <c r="AH18" s="28">
        <f t="shared" si="8"/>
        <v>0.68933034026027906</v>
      </c>
      <c r="AI18" s="28">
        <f t="shared" si="9"/>
        <v>0.15679498692666174</v>
      </c>
      <c r="AJ18" s="28">
        <f t="shared" si="10"/>
        <v>0.11965104694224218</v>
      </c>
      <c r="AK18" s="28">
        <f t="shared" si="11"/>
        <v>0.53252097828784839</v>
      </c>
      <c r="AL18" s="25">
        <f t="shared" si="12"/>
        <v>5322832</v>
      </c>
      <c r="AM18" s="28">
        <f t="shared" si="13"/>
        <v>0.65778231668182252</v>
      </c>
      <c r="AN18" s="29">
        <v>35575891</v>
      </c>
      <c r="AO18" s="29">
        <v>1111746.59375</v>
      </c>
      <c r="AP18" s="29">
        <v>46456.625</v>
      </c>
      <c r="AQ18" s="30">
        <v>23401192</v>
      </c>
      <c r="AR18" s="30">
        <v>4061880</v>
      </c>
      <c r="AS18" s="30">
        <v>1260952</v>
      </c>
      <c r="AT18" s="30">
        <v>18077872</v>
      </c>
      <c r="AU18" s="31">
        <v>70.371646999999996</v>
      </c>
      <c r="AV18" s="31">
        <v>72.992165999999997</v>
      </c>
      <c r="AW18" s="31">
        <v>37.274403</v>
      </c>
      <c r="AX18" s="31">
        <v>46.214531000000001</v>
      </c>
      <c r="AY18" s="31">
        <v>46.727243999999999</v>
      </c>
      <c r="AZ18" s="32">
        <v>5612.09</v>
      </c>
      <c r="BA18" s="32">
        <v>1069.68</v>
      </c>
      <c r="BB18" s="32">
        <v>11.076000000000001</v>
      </c>
      <c r="BC18" s="32">
        <v>14.119</v>
      </c>
      <c r="BE18" s="33">
        <f t="shared" si="14"/>
        <v>-1.5979488994681545E-4</v>
      </c>
      <c r="BF18" s="33">
        <f t="shared" si="15"/>
        <v>-3.5847773337874256E-4</v>
      </c>
      <c r="BG18" s="33"/>
      <c r="BI18" s="34"/>
      <c r="BJ18" s="34"/>
      <c r="BK18" s="34"/>
      <c r="BL18" s="34"/>
      <c r="BM18" s="34"/>
      <c r="BO18" s="34"/>
      <c r="BP18" s="34"/>
      <c r="BQ18" s="34"/>
      <c r="BR18" s="34"/>
      <c r="BS18" s="34"/>
      <c r="BU18" s="4">
        <f t="shared" si="16"/>
        <v>-15184</v>
      </c>
    </row>
    <row r="19" spans="1:73" ht="16" outlineLevel="1" thickBot="1" x14ac:dyDescent="0.25">
      <c r="A19" s="15"/>
      <c r="B19" s="35" t="s">
        <v>278</v>
      </c>
      <c r="C19" s="36" t="s">
        <v>272</v>
      </c>
      <c r="D19" s="35">
        <v>33947718</v>
      </c>
      <c r="E19" s="36">
        <v>10</v>
      </c>
      <c r="F19" s="36">
        <v>32</v>
      </c>
      <c r="G19" s="36">
        <v>30</v>
      </c>
      <c r="I19" s="37">
        <f t="shared" si="0"/>
        <v>39.458280000000002</v>
      </c>
      <c r="J19" s="38">
        <f t="shared" si="1"/>
        <v>1.2398132917211107</v>
      </c>
      <c r="K19" s="38">
        <f t="shared" si="2"/>
        <v>0.25529845629093539</v>
      </c>
      <c r="L19" s="38">
        <f t="shared" si="3"/>
        <v>0.18498350905353933</v>
      </c>
      <c r="M19" s="38">
        <f t="shared" si="4"/>
        <v>0.98450069604089441</v>
      </c>
      <c r="N19" s="35">
        <f t="shared" si="5"/>
        <v>8666800</v>
      </c>
      <c r="O19" s="38">
        <f t="shared" si="6"/>
        <v>1.2452468947254622</v>
      </c>
      <c r="P19" s="39">
        <v>33799588</v>
      </c>
      <c r="Q19" s="39">
        <v>1056237.125</v>
      </c>
      <c r="R19" s="39">
        <v>12656.25</v>
      </c>
      <c r="S19" s="40">
        <v>42088832</v>
      </c>
      <c r="T19" s="40">
        <v>6279768</v>
      </c>
      <c r="U19" s="40">
        <v>2387032</v>
      </c>
      <c r="V19" s="40">
        <v>33421552</v>
      </c>
      <c r="W19" s="41">
        <v>71.729691000000003</v>
      </c>
      <c r="X19" s="41">
        <v>75.157955999999999</v>
      </c>
      <c r="Y19" s="41">
        <v>39.391978000000002</v>
      </c>
      <c r="Z19" s="41">
        <v>47.989038000000001</v>
      </c>
      <c r="AA19" s="41">
        <v>48.575083999999997</v>
      </c>
      <c r="AB19" s="42">
        <v>5859.99</v>
      </c>
      <c r="AC19" s="42">
        <v>1383.28</v>
      </c>
      <c r="AD19" s="42">
        <v>11.718999999999999</v>
      </c>
      <c r="AE19" s="42">
        <v>15.954000000000001</v>
      </c>
      <c r="AG19" s="37">
        <f t="shared" si="7"/>
        <v>39.364139999999999</v>
      </c>
      <c r="AH19" s="38">
        <f t="shared" si="8"/>
        <v>1.2368553314835478</v>
      </c>
      <c r="AI19" s="38">
        <f t="shared" si="9"/>
        <v>0.25348130911185252</v>
      </c>
      <c r="AJ19" s="38">
        <f t="shared" si="10"/>
        <v>0.1837317017892042</v>
      </c>
      <c r="AK19" s="38">
        <f t="shared" si="11"/>
        <v>0.98335964732592629</v>
      </c>
      <c r="AL19" s="35">
        <f t="shared" si="12"/>
        <v>8605112</v>
      </c>
      <c r="AM19" s="38">
        <f t="shared" si="13"/>
        <v>1.2438786434628779</v>
      </c>
      <c r="AN19" s="39">
        <v>33756039</v>
      </c>
      <c r="AO19" s="39">
        <v>1054876.21875</v>
      </c>
      <c r="AP19" s="39">
        <v>12599.21875</v>
      </c>
      <c r="AQ19" s="40">
        <v>41988416</v>
      </c>
      <c r="AR19" s="40">
        <v>6237272</v>
      </c>
      <c r="AS19" s="40">
        <v>2367840</v>
      </c>
      <c r="AT19" s="40">
        <v>33382816</v>
      </c>
      <c r="AU19" s="41">
        <v>71.717622000000006</v>
      </c>
      <c r="AV19" s="41">
        <v>75.180034000000006</v>
      </c>
      <c r="AW19" s="41">
        <v>39.396805999999998</v>
      </c>
      <c r="AX19" s="41">
        <v>47.995384000000001</v>
      </c>
      <c r="AY19" s="41">
        <v>48.573436999999998</v>
      </c>
      <c r="AZ19" s="42">
        <v>7784.08</v>
      </c>
      <c r="BA19" s="42">
        <v>1626.03</v>
      </c>
      <c r="BB19" s="42">
        <v>13.483000000000001</v>
      </c>
      <c r="BC19" s="42">
        <v>19.263000000000002</v>
      </c>
      <c r="BE19" s="43">
        <f t="shared" si="14"/>
        <v>-3.8605794314599054E-5</v>
      </c>
      <c r="BF19" s="43">
        <f t="shared" si="15"/>
        <v>-9.7671350326869466E-4</v>
      </c>
      <c r="BG19" s="43"/>
      <c r="BI19" s="44"/>
      <c r="BJ19" s="44"/>
      <c r="BK19" s="44"/>
      <c r="BL19" s="44"/>
      <c r="BM19" s="44"/>
      <c r="BO19" s="44"/>
      <c r="BP19" s="44"/>
      <c r="BQ19" s="44"/>
      <c r="BR19" s="44"/>
      <c r="BS19" s="44"/>
      <c r="BU19" s="4">
        <f t="shared" si="16"/>
        <v>-100416</v>
      </c>
    </row>
    <row r="20" spans="1:73" x14ac:dyDescent="0.2">
      <c r="A20" s="25"/>
      <c r="B20" s="25" t="s">
        <v>281</v>
      </c>
      <c r="C20" s="26" t="s">
        <v>268</v>
      </c>
      <c r="D20" s="25">
        <v>32209643</v>
      </c>
      <c r="E20" s="26">
        <v>10</v>
      </c>
      <c r="F20" s="26">
        <v>32</v>
      </c>
      <c r="G20" s="26">
        <v>50</v>
      </c>
      <c r="I20" s="27">
        <f t="shared" si="0"/>
        <v>5.3106499999999999</v>
      </c>
      <c r="J20" s="28">
        <f t="shared" si="1"/>
        <v>0.10552169112833694</v>
      </c>
      <c r="K20" s="28">
        <f t="shared" si="2"/>
        <v>5.9048155237237492E-2</v>
      </c>
      <c r="L20" s="28">
        <f t="shared" si="3"/>
        <v>2.8755612100388694E-2</v>
      </c>
      <c r="M20" s="28">
        <f t="shared" si="4"/>
        <v>4.6458633521644435E-2</v>
      </c>
      <c r="N20" s="25">
        <f t="shared" si="5"/>
        <v>1901920</v>
      </c>
      <c r="O20" s="28">
        <f t="shared" si="6"/>
        <v>0.11188951893658974</v>
      </c>
      <c r="P20" s="29">
        <v>30376536</v>
      </c>
      <c r="Q20" s="29">
        <v>949266.75</v>
      </c>
      <c r="R20" s="29">
        <v>26821.40625</v>
      </c>
      <c r="S20" s="30">
        <v>3398816</v>
      </c>
      <c r="T20" s="30">
        <v>926208</v>
      </c>
      <c r="U20" s="30">
        <v>975712</v>
      </c>
      <c r="V20" s="30">
        <v>1496416</v>
      </c>
      <c r="W20" s="31">
        <v>67.108824999999996</v>
      </c>
      <c r="X20" s="31">
        <v>68.764990999999995</v>
      </c>
      <c r="Y20" s="31">
        <v>30.895028</v>
      </c>
      <c r="Z20" s="31">
        <v>39.555709</v>
      </c>
      <c r="AA20" s="31">
        <v>38.424359000000003</v>
      </c>
      <c r="AB20" s="32">
        <v>7899.63</v>
      </c>
      <c r="AC20" s="32">
        <v>871.74800000000005</v>
      </c>
      <c r="AD20" s="32">
        <v>10.314</v>
      </c>
      <c r="AE20" s="32">
        <v>11.875999999999999</v>
      </c>
      <c r="AG20" s="27">
        <f t="shared" si="7"/>
        <v>5.3228249999999999</v>
      </c>
      <c r="AH20" s="28">
        <f t="shared" si="8"/>
        <v>0.10576360625915661</v>
      </c>
      <c r="AI20" s="28">
        <f t="shared" si="9"/>
        <v>5.9190472865532848E-2</v>
      </c>
      <c r="AJ20" s="28">
        <f t="shared" si="10"/>
        <v>2.9533267413116005E-2</v>
      </c>
      <c r="AK20" s="28">
        <f t="shared" si="11"/>
        <v>4.6557982651344504E-2</v>
      </c>
      <c r="AL20" s="25">
        <f t="shared" si="12"/>
        <v>1906504</v>
      </c>
      <c r="AM20" s="28">
        <f t="shared" si="13"/>
        <v>0.11241760511133593</v>
      </c>
      <c r="AN20" s="29">
        <v>30303154</v>
      </c>
      <c r="AO20" s="29">
        <v>946973.5625</v>
      </c>
      <c r="AP20" s="29">
        <v>26807.09375</v>
      </c>
      <c r="AQ20" s="30">
        <v>3406608</v>
      </c>
      <c r="AR20" s="30">
        <v>951256</v>
      </c>
      <c r="AS20" s="30">
        <v>955248</v>
      </c>
      <c r="AT20" s="30">
        <v>1499616</v>
      </c>
      <c r="AU20" s="31">
        <v>67.103863000000004</v>
      </c>
      <c r="AV20" s="31">
        <v>68.766583999999995</v>
      </c>
      <c r="AW20" s="31">
        <v>30.883769000000001</v>
      </c>
      <c r="AX20" s="31">
        <v>39.547105999999999</v>
      </c>
      <c r="AY20" s="31">
        <v>38.427787000000002</v>
      </c>
      <c r="AZ20" s="32">
        <v>7863.64</v>
      </c>
      <c r="BA20" s="32">
        <v>870.45600000000002</v>
      </c>
      <c r="BB20" s="32">
        <v>10.134</v>
      </c>
      <c r="BC20" s="32">
        <v>12.763</v>
      </c>
      <c r="BE20" s="33">
        <f t="shared" si="14"/>
        <v>5.3307939081020245E-5</v>
      </c>
      <c r="BF20" s="33">
        <f t="shared" si="15"/>
        <v>6.5674850217467551E-5</v>
      </c>
      <c r="BG20" s="33">
        <f t="array" ref="BG20">AVERAGE(AL20:AL24/AQ20:AQ24) - AVERAGE(N20:N24/S20:S24)</f>
        <v>-5.3830321674164239E-5</v>
      </c>
      <c r="BI20" s="34">
        <f>IF( OR(ISBLANK(N20:N24),ISBLANK(AL20:AL24), ISBLANK(W20:W24),ISBLANK(AU20:AU24)), "·", bdRateExtend( N20:N24,W20:W24, AL20:AL24,AU20:AU24))</f>
        <v>5.7315527421186729E-4</v>
      </c>
      <c r="BJ20" s="34">
        <f>IF( OR(ISBLANK(N20:N24),ISBLANK(AL20:AL24), ISBLANK(X20:X24),ISBLANK(AV20:AV24)), "·", bdRateExtend( N20:N24,X20:X24, AL20:AL24,AV20:AV24))</f>
        <v>-1.1306419436452053E-3</v>
      </c>
      <c r="BK20" s="34">
        <f>IF( OR(ISBLANK(V20:V24),ISBLANK(AT20:AT24), ISBLANK(Y20:Y24),ISBLANK(AW20:AW24)), "·", bdRateExtend( V20:V24,Y20:Y24, AT20:AT24,AW20:AW24))</f>
        <v>4.1978386039764892E-4</v>
      </c>
      <c r="BL20" s="34">
        <f>IF( OR(ISBLANK(V20:V24),ISBLANK(AT20:AT24), ISBLANK(Z20:Z24),ISBLANK(AX20:AX24)), "·", bdRateExtend( V20:V24,Z20:Z24, AT20:AT24,AX20:AX24))</f>
        <v>-3.1698056932236707E-3</v>
      </c>
      <c r="BM20" s="34">
        <f>IF( OR(ISBLANK(V20:V24),ISBLANK(AT20:AT24), ISBLANK(AA20:AA24),ISBLANK(AY20:AY24)), "·", bdRateExtend( V20:V24,AA20:AA24, AT20:AT24,AY20:AY24))</f>
        <v>-3.7718342000568894E-3</v>
      </c>
      <c r="BO20" s="34">
        <f>IF( OR(ISBLANK(S20:S24),ISBLANK(AQ20:AQ24), ISBLANK(W20:W24),ISBLANK(AU20:AU24)), "·", bdRateExtend( S20:S24,W20:W24, AQ20:AQ24,AU20:AU24))</f>
        <v>1.1126953966607012E-3</v>
      </c>
      <c r="BP20" s="34">
        <f>IF( OR(ISBLANK(S20:S24),ISBLANK(AQ20:AQ24), ISBLANK(X20:X24),ISBLANK(AV20:AV24)), "·", bdRateExtend( S20:S24,X20:X24, AQ20:AQ24,AV20:AV24))</f>
        <v>-1.3205704677060615E-3</v>
      </c>
      <c r="BQ20" s="34">
        <f>IF( OR(ISBLANK(S20:S24),ISBLANK(AQ20:AQ24), ISBLANK(Y20:Y24),ISBLANK(AW20:AW24)), "·", bdRateExtend( S20:S24,Y20:Y24, AQ20:AQ24,AW20:AW24))</f>
        <v>3.811580181520835E-4</v>
      </c>
      <c r="BR20" s="34">
        <f>IF( OR(ISBLANK(S20:S24),ISBLANK(AQ20:AQ24), ISBLANK(Z20:Z24),ISBLANK(AX20:AX24)), "·", bdRateExtend( S20:S24,Z20:Z24, AQ20:AQ24,AX20:AX24))</f>
        <v>-2.6798947242268056E-3</v>
      </c>
      <c r="BS20" s="34">
        <f>IF( OR(ISBLANK(S20:S24),ISBLANK(AQ20:AQ24), ISBLANK(AA20:AA24),ISBLANK(AY20:AY24)), "·", bdRateExtend( S20:S24,AA20:AA24, AQ20:AQ24,AY20:AY24))</f>
        <v>-2.6426291161671944E-3</v>
      </c>
      <c r="BU20" s="4">
        <f t="shared" si="16"/>
        <v>7792</v>
      </c>
    </row>
    <row r="21" spans="1:73" outlineLevel="1" x14ac:dyDescent="0.2">
      <c r="A21" s="15"/>
      <c r="B21" s="15" t="s">
        <v>281</v>
      </c>
      <c r="C21" s="16" t="s">
        <v>269</v>
      </c>
      <c r="D21" s="15">
        <v>32209643</v>
      </c>
      <c r="E21" s="16">
        <v>10</v>
      </c>
      <c r="F21" s="16">
        <v>32</v>
      </c>
      <c r="G21" s="16">
        <v>50</v>
      </c>
      <c r="I21" s="17">
        <f t="shared" si="0"/>
        <v>8.3692375000000006</v>
      </c>
      <c r="J21" s="18">
        <f t="shared" si="1"/>
        <v>0.16629529237564042</v>
      </c>
      <c r="K21" s="18">
        <f t="shared" si="2"/>
        <v>6.993036215893482E-2</v>
      </c>
      <c r="L21" s="18">
        <f t="shared" si="3"/>
        <v>3.9637819022086025E-2</v>
      </c>
      <c r="M21" s="18">
        <f t="shared" si="4"/>
        <v>9.6350027847250594E-2</v>
      </c>
      <c r="N21" s="15">
        <f t="shared" si="5"/>
        <v>2252432</v>
      </c>
      <c r="O21" s="18">
        <f t="shared" si="6"/>
        <v>0.16981012143157573</v>
      </c>
      <c r="P21" s="19">
        <v>31542949</v>
      </c>
      <c r="Q21" s="19">
        <v>985717.15625</v>
      </c>
      <c r="R21" s="19">
        <v>32280.0625</v>
      </c>
      <c r="S21" s="20">
        <v>5356312</v>
      </c>
      <c r="T21" s="20">
        <v>1276720</v>
      </c>
      <c r="U21" s="20">
        <v>975712</v>
      </c>
      <c r="V21" s="20">
        <v>3103400</v>
      </c>
      <c r="W21" s="21">
        <v>68.660206000000002</v>
      </c>
      <c r="X21" s="21">
        <v>70.722278000000003</v>
      </c>
      <c r="Y21" s="21">
        <v>32.781596999999998</v>
      </c>
      <c r="Z21" s="21">
        <v>40.707213000000003</v>
      </c>
      <c r="AA21" s="21">
        <v>39.711821999999998</v>
      </c>
      <c r="AB21" s="22">
        <v>7464.16</v>
      </c>
      <c r="AC21" s="22">
        <v>925.12900000000002</v>
      </c>
      <c r="AD21" s="22">
        <v>10.286</v>
      </c>
      <c r="AE21" s="22">
        <v>12.676</v>
      </c>
      <c r="AG21" s="17">
        <f t="shared" si="7"/>
        <v>8.3737124999999999</v>
      </c>
      <c r="AH21" s="18">
        <f t="shared" si="8"/>
        <v>0.166384209846722</v>
      </c>
      <c r="AI21" s="18">
        <f t="shared" si="9"/>
        <v>6.9988978145457861E-2</v>
      </c>
      <c r="AJ21" s="18">
        <f t="shared" si="10"/>
        <v>4.0331772693041022E-2</v>
      </c>
      <c r="AK21" s="18">
        <f t="shared" si="11"/>
        <v>9.6380080958984857E-2</v>
      </c>
      <c r="AL21" s="15">
        <f t="shared" si="12"/>
        <v>2254320</v>
      </c>
      <c r="AM21" s="18">
        <f t="shared" si="13"/>
        <v>0.16968316422143917</v>
      </c>
      <c r="AN21" s="19">
        <v>31583428</v>
      </c>
      <c r="AO21" s="19">
        <v>986982.125</v>
      </c>
      <c r="AP21" s="19">
        <v>32403.6875</v>
      </c>
      <c r="AQ21" s="20">
        <v>5359176</v>
      </c>
      <c r="AR21" s="20">
        <v>1299072</v>
      </c>
      <c r="AS21" s="20">
        <v>955248</v>
      </c>
      <c r="AT21" s="20">
        <v>3104368</v>
      </c>
      <c r="AU21" s="21">
        <v>68.653569000000005</v>
      </c>
      <c r="AV21" s="21">
        <v>70.726896999999994</v>
      </c>
      <c r="AW21" s="21">
        <v>32.778294000000002</v>
      </c>
      <c r="AX21" s="21">
        <v>40.710493999999997</v>
      </c>
      <c r="AY21" s="21">
        <v>39.725534000000003</v>
      </c>
      <c r="AZ21" s="22">
        <v>5803.99</v>
      </c>
      <c r="BA21" s="22">
        <v>802.33</v>
      </c>
      <c r="BB21" s="22">
        <v>9.6519999999999992</v>
      </c>
      <c r="BC21" s="22">
        <v>11.468</v>
      </c>
      <c r="BE21" s="23">
        <f t="shared" si="14"/>
        <v>8.3284247724677019E-5</v>
      </c>
      <c r="BF21" s="23">
        <f t="shared" si="15"/>
        <v>1.2756308639344516E-4</v>
      </c>
      <c r="BG21" s="23"/>
      <c r="BI21" s="24"/>
      <c r="BJ21" s="24"/>
      <c r="BK21" s="24"/>
      <c r="BL21" s="24"/>
      <c r="BM21" s="24"/>
      <c r="BO21" s="24"/>
      <c r="BP21" s="24"/>
      <c r="BQ21" s="24"/>
      <c r="BR21" s="24"/>
      <c r="BS21" s="24"/>
      <c r="BU21" s="4">
        <f t="shared" si="16"/>
        <v>2864</v>
      </c>
    </row>
    <row r="22" spans="1:73" outlineLevel="1" x14ac:dyDescent="0.2">
      <c r="A22" s="25"/>
      <c r="B22" s="25" t="s">
        <v>281</v>
      </c>
      <c r="C22" s="26" t="s">
        <v>270</v>
      </c>
      <c r="D22" s="25">
        <v>32209643</v>
      </c>
      <c r="E22" s="26">
        <v>10</v>
      </c>
      <c r="F22" s="26">
        <v>32</v>
      </c>
      <c r="G22" s="26">
        <v>50</v>
      </c>
      <c r="I22" s="27">
        <f t="shared" si="0"/>
        <v>13.8918125</v>
      </c>
      <c r="J22" s="28">
        <f t="shared" si="1"/>
        <v>0.27602789636631492</v>
      </c>
      <c r="K22" s="28">
        <f t="shared" si="2"/>
        <v>8.6538307798071534E-2</v>
      </c>
      <c r="L22" s="28">
        <f t="shared" si="3"/>
        <v>5.6245764661222726E-2</v>
      </c>
      <c r="M22" s="28">
        <f t="shared" si="4"/>
        <v>0.18947468619878835</v>
      </c>
      <c r="N22" s="25">
        <f t="shared" si="5"/>
        <v>2787368</v>
      </c>
      <c r="O22" s="28">
        <f t="shared" si="6"/>
        <v>0.26923608384197395</v>
      </c>
      <c r="P22" s="29">
        <v>33022171</v>
      </c>
      <c r="Q22" s="29">
        <v>1031942.84375</v>
      </c>
      <c r="R22" s="29">
        <v>34952.15625</v>
      </c>
      <c r="S22" s="30">
        <v>8890760</v>
      </c>
      <c r="T22" s="30">
        <v>1811656</v>
      </c>
      <c r="U22" s="30">
        <v>975712</v>
      </c>
      <c r="V22" s="30">
        <v>6102912</v>
      </c>
      <c r="W22" s="31">
        <v>69.826172</v>
      </c>
      <c r="X22" s="31">
        <v>72.227346999999995</v>
      </c>
      <c r="Y22" s="31">
        <v>34.626269000000001</v>
      </c>
      <c r="Z22" s="31">
        <v>41.750996999999998</v>
      </c>
      <c r="AA22" s="31">
        <v>40.764924999999998</v>
      </c>
      <c r="AB22" s="32">
        <v>5310.33</v>
      </c>
      <c r="AC22" s="32">
        <v>835.95</v>
      </c>
      <c r="AD22" s="32">
        <v>9.44</v>
      </c>
      <c r="AE22" s="32">
        <v>11.459</v>
      </c>
      <c r="AG22" s="27">
        <f t="shared" si="7"/>
        <v>13.88165</v>
      </c>
      <c r="AH22" s="28">
        <f t="shared" si="8"/>
        <v>0.27582596926019948</v>
      </c>
      <c r="AI22" s="28">
        <f t="shared" si="9"/>
        <v>8.6562896707672296E-2</v>
      </c>
      <c r="AJ22" s="28">
        <f t="shared" si="10"/>
        <v>5.690569125525545E-2</v>
      </c>
      <c r="AK22" s="28">
        <f t="shared" si="11"/>
        <v>0.18924792181024794</v>
      </c>
      <c r="AL22" s="25">
        <f t="shared" si="12"/>
        <v>2788160</v>
      </c>
      <c r="AM22" s="28">
        <f t="shared" si="13"/>
        <v>0.26942795064612779</v>
      </c>
      <c r="AN22" s="29">
        <v>32974515</v>
      </c>
      <c r="AO22" s="29">
        <v>1030453.59375</v>
      </c>
      <c r="AP22" s="29">
        <v>34861.53125</v>
      </c>
      <c r="AQ22" s="30">
        <v>8884256</v>
      </c>
      <c r="AR22" s="30">
        <v>1832912</v>
      </c>
      <c r="AS22" s="30">
        <v>955248</v>
      </c>
      <c r="AT22" s="30">
        <v>6095608</v>
      </c>
      <c r="AU22" s="31">
        <v>69.827759</v>
      </c>
      <c r="AV22" s="31">
        <v>72.231250000000003</v>
      </c>
      <c r="AW22" s="31">
        <v>34.634734000000002</v>
      </c>
      <c r="AX22" s="31">
        <v>41.767144000000002</v>
      </c>
      <c r="AY22" s="31">
        <v>40.768300000000004</v>
      </c>
      <c r="AZ22" s="32">
        <v>5719.59</v>
      </c>
      <c r="BA22" s="32">
        <v>800.59799999999996</v>
      </c>
      <c r="BB22" s="32">
        <v>8.9730000000000008</v>
      </c>
      <c r="BC22" s="32">
        <v>10.836</v>
      </c>
      <c r="BE22" s="33">
        <f t="shared" si="14"/>
        <v>-3.8996165260381244E-5</v>
      </c>
      <c r="BF22" s="33">
        <f t="shared" si="15"/>
        <v>3.186634803847288E-4</v>
      </c>
      <c r="BG22" s="33"/>
      <c r="BI22" s="34"/>
      <c r="BJ22" s="34"/>
      <c r="BK22" s="34"/>
      <c r="BL22" s="34"/>
      <c r="BM22" s="34"/>
      <c r="BO22" s="34"/>
      <c r="BP22" s="34"/>
      <c r="BQ22" s="34"/>
      <c r="BR22" s="34"/>
      <c r="BS22" s="34"/>
      <c r="BU22" s="4">
        <f t="shared" si="16"/>
        <v>-6504</v>
      </c>
    </row>
    <row r="23" spans="1:73" outlineLevel="1" x14ac:dyDescent="0.2">
      <c r="A23" s="15"/>
      <c r="B23" s="15" t="s">
        <v>281</v>
      </c>
      <c r="C23" s="16" t="s">
        <v>271</v>
      </c>
      <c r="D23" s="15">
        <v>32209643</v>
      </c>
      <c r="E23" s="16">
        <v>10</v>
      </c>
      <c r="F23" s="16">
        <v>32</v>
      </c>
      <c r="G23" s="16">
        <v>50</v>
      </c>
      <c r="I23" s="17">
        <f t="shared" si="0"/>
        <v>24.250187499999999</v>
      </c>
      <c r="J23" s="18">
        <f t="shared" si="1"/>
        <v>0.48184700463771052</v>
      </c>
      <c r="K23" s="18">
        <f t="shared" si="2"/>
        <v>0.11520624429149991</v>
      </c>
      <c r="L23" s="18">
        <f t="shared" si="3"/>
        <v>8.4913701154651106E-2</v>
      </c>
      <c r="M23" s="18">
        <f t="shared" si="4"/>
        <v>0.36662585797675562</v>
      </c>
      <c r="N23" s="15">
        <f t="shared" si="5"/>
        <v>3710752</v>
      </c>
      <c r="O23" s="18">
        <f t="shared" si="6"/>
        <v>0.47123902020813363</v>
      </c>
      <c r="P23" s="19">
        <v>32934709</v>
      </c>
      <c r="Q23" s="19">
        <v>1029209.65625</v>
      </c>
      <c r="R23" s="19">
        <v>36478.8125</v>
      </c>
      <c r="S23" s="20">
        <v>15520120</v>
      </c>
      <c r="T23" s="20">
        <v>2735040</v>
      </c>
      <c r="U23" s="20">
        <v>975712</v>
      </c>
      <c r="V23" s="20">
        <v>11808888</v>
      </c>
      <c r="W23" s="21">
        <v>70.835519000000005</v>
      </c>
      <c r="X23" s="21">
        <v>73.560028000000003</v>
      </c>
      <c r="Y23" s="21">
        <v>36.277366000000001</v>
      </c>
      <c r="Z23" s="21">
        <v>42.947412</v>
      </c>
      <c r="AA23" s="21">
        <v>41.863928000000001</v>
      </c>
      <c r="AB23" s="22">
        <v>7764.43</v>
      </c>
      <c r="AC23" s="22">
        <v>1144.48</v>
      </c>
      <c r="AD23" s="22">
        <v>10.638999999999999</v>
      </c>
      <c r="AE23" s="22">
        <v>14.262</v>
      </c>
      <c r="AG23" s="17">
        <f t="shared" si="7"/>
        <v>24.2313875</v>
      </c>
      <c r="AH23" s="18">
        <f t="shared" si="8"/>
        <v>0.48147345191003826</v>
      </c>
      <c r="AI23" s="18">
        <f t="shared" si="9"/>
        <v>0.11507088110228356</v>
      </c>
      <c r="AJ23" s="18">
        <f t="shared" si="10"/>
        <v>8.5413675649866724E-2</v>
      </c>
      <c r="AK23" s="18">
        <f t="shared" si="11"/>
        <v>0.36638742006547542</v>
      </c>
      <c r="AL23" s="15">
        <f t="shared" si="12"/>
        <v>3706392</v>
      </c>
      <c r="AM23" s="18">
        <f t="shared" si="13"/>
        <v>0.47082482862489416</v>
      </c>
      <c r="AN23" s="19">
        <v>32938127</v>
      </c>
      <c r="AO23" s="19">
        <v>1029316.46875</v>
      </c>
      <c r="AP23" s="19">
        <v>36440.34375</v>
      </c>
      <c r="AQ23" s="20">
        <v>15508088</v>
      </c>
      <c r="AR23" s="20">
        <v>2751144</v>
      </c>
      <c r="AS23" s="20">
        <v>955248</v>
      </c>
      <c r="AT23" s="20">
        <v>11801208</v>
      </c>
      <c r="AU23" s="21">
        <v>70.835047000000003</v>
      </c>
      <c r="AV23" s="21">
        <v>73.564886999999999</v>
      </c>
      <c r="AW23" s="21">
        <v>36.275627999999998</v>
      </c>
      <c r="AX23" s="21">
        <v>42.950709000000003</v>
      </c>
      <c r="AY23" s="21">
        <v>41.865108999999997</v>
      </c>
      <c r="AZ23" s="22">
        <v>7721.42</v>
      </c>
      <c r="BA23" s="22">
        <v>1155.3399999999999</v>
      </c>
      <c r="BB23" s="22">
        <v>10.798</v>
      </c>
      <c r="BC23" s="22">
        <v>14.477</v>
      </c>
      <c r="BE23" s="23">
        <f t="shared" si="14"/>
        <v>-4.105108798632684E-5</v>
      </c>
      <c r="BF23" s="23">
        <f t="shared" si="15"/>
        <v>-9.5642548821106566E-5</v>
      </c>
      <c r="BG23" s="23"/>
      <c r="BI23" s="24"/>
      <c r="BJ23" s="24"/>
      <c r="BK23" s="24"/>
      <c r="BL23" s="24"/>
      <c r="BM23" s="24"/>
      <c r="BO23" s="24"/>
      <c r="BP23" s="24"/>
      <c r="BQ23" s="24"/>
      <c r="BR23" s="24"/>
      <c r="BS23" s="24"/>
      <c r="BU23" s="4">
        <f t="shared" si="16"/>
        <v>-12032</v>
      </c>
    </row>
    <row r="24" spans="1:73" ht="16" outlineLevel="1" thickBot="1" x14ac:dyDescent="0.25">
      <c r="A24" s="45"/>
      <c r="B24" s="45" t="s">
        <v>281</v>
      </c>
      <c r="C24" s="46" t="s">
        <v>272</v>
      </c>
      <c r="D24" s="45">
        <v>32209643</v>
      </c>
      <c r="E24" s="46">
        <v>10</v>
      </c>
      <c r="F24" s="46">
        <v>32</v>
      </c>
      <c r="G24" s="46">
        <v>50</v>
      </c>
      <c r="I24" s="47">
        <f t="shared" si="0"/>
        <v>40.234837499999998</v>
      </c>
      <c r="J24" s="48">
        <f t="shared" si="1"/>
        <v>0.79945921784976004</v>
      </c>
      <c r="K24" s="48">
        <f t="shared" si="2"/>
        <v>0.19105533085231649</v>
      </c>
      <c r="L24" s="48">
        <f t="shared" si="3"/>
        <v>0.13233900170827723</v>
      </c>
      <c r="M24" s="48">
        <f t="shared" si="4"/>
        <v>0.60838898462798863</v>
      </c>
      <c r="N24" s="45">
        <f t="shared" si="5"/>
        <v>6153824</v>
      </c>
      <c r="O24" s="48">
        <f t="shared" si="6"/>
        <v>0.8150250531073715</v>
      </c>
      <c r="P24" s="49">
        <v>31594484</v>
      </c>
      <c r="Q24" s="49">
        <v>987327.625</v>
      </c>
      <c r="R24" s="49">
        <v>10438.0625</v>
      </c>
      <c r="S24" s="50">
        <v>25750296</v>
      </c>
      <c r="T24" s="50">
        <v>4262592</v>
      </c>
      <c r="U24" s="50">
        <v>1891232</v>
      </c>
      <c r="V24" s="50">
        <v>19595992</v>
      </c>
      <c r="W24" s="51">
        <v>72.179900000000004</v>
      </c>
      <c r="X24" s="51">
        <v>75.990559000000005</v>
      </c>
      <c r="Y24" s="51">
        <v>37.525030999999998</v>
      </c>
      <c r="Z24" s="51">
        <v>44.067205999999999</v>
      </c>
      <c r="AA24" s="51">
        <v>42.773586999999999</v>
      </c>
      <c r="AB24" s="52">
        <v>7838.98</v>
      </c>
      <c r="AC24" s="52">
        <v>1312.48</v>
      </c>
      <c r="AD24" s="52">
        <v>11.116</v>
      </c>
      <c r="AE24" s="52">
        <v>15.121</v>
      </c>
      <c r="AG24" s="47">
        <f t="shared" si="7"/>
        <v>40.199125000000002</v>
      </c>
      <c r="AH24" s="48">
        <f t="shared" si="8"/>
        <v>0.7987496166908773</v>
      </c>
      <c r="AI24" s="48">
        <f t="shared" si="9"/>
        <v>0.19033827850870622</v>
      </c>
      <c r="AJ24" s="48">
        <f t="shared" si="10"/>
        <v>0.13225728704909892</v>
      </c>
      <c r="AK24" s="48">
        <f t="shared" si="11"/>
        <v>0.60839618743989188</v>
      </c>
      <c r="AL24" s="45">
        <f t="shared" si="12"/>
        <v>6130728</v>
      </c>
      <c r="AM24" s="48">
        <f t="shared" si="13"/>
        <v>0.8146984837500405</v>
      </c>
      <c r="AN24" s="49">
        <v>31579094</v>
      </c>
      <c r="AO24" s="49">
        <v>986846.6875</v>
      </c>
      <c r="AP24" s="49">
        <v>10430.03125</v>
      </c>
      <c r="AQ24" s="50">
        <v>25727440</v>
      </c>
      <c r="AR24" s="50">
        <v>4259960</v>
      </c>
      <c r="AS24" s="50">
        <v>1870768</v>
      </c>
      <c r="AT24" s="50">
        <v>19596224</v>
      </c>
      <c r="AU24" s="51">
        <v>72.172228000000004</v>
      </c>
      <c r="AV24" s="51">
        <v>75.996465999999998</v>
      </c>
      <c r="AW24" s="51">
        <v>37.513769000000003</v>
      </c>
      <c r="AX24" s="51">
        <v>44.073138</v>
      </c>
      <c r="AY24" s="51">
        <v>42.776294</v>
      </c>
      <c r="AZ24" s="52">
        <v>5526.84</v>
      </c>
      <c r="BA24" s="52">
        <v>1074.53</v>
      </c>
      <c r="BB24" s="52">
        <v>9.7970000000000006</v>
      </c>
      <c r="BC24" s="52">
        <v>12.731999999999999</v>
      </c>
      <c r="BE24" s="53">
        <f t="shared" si="14"/>
        <v>-2.9860380667632441E-6</v>
      </c>
      <c r="BF24" s="53">
        <f t="shared" si="15"/>
        <v>-6.8541047654541165E-4</v>
      </c>
      <c r="BG24" s="53"/>
      <c r="BI24" s="54"/>
      <c r="BJ24" s="54"/>
      <c r="BK24" s="54"/>
      <c r="BL24" s="54"/>
      <c r="BM24" s="54"/>
      <c r="BO24" s="54"/>
      <c r="BP24" s="54"/>
      <c r="BQ24" s="54"/>
      <c r="BR24" s="54"/>
      <c r="BS24" s="54"/>
      <c r="BU24" s="4">
        <f t="shared" si="16"/>
        <v>-22856</v>
      </c>
    </row>
    <row r="25" spans="1:73" x14ac:dyDescent="0.2">
      <c r="A25" s="15" t="s">
        <v>285</v>
      </c>
      <c r="B25" s="15" t="s">
        <v>284</v>
      </c>
      <c r="C25" s="16" t="s">
        <v>268</v>
      </c>
      <c r="D25" s="15">
        <v>25312408</v>
      </c>
      <c r="E25" s="16">
        <v>10</v>
      </c>
      <c r="F25" s="16">
        <v>32</v>
      </c>
      <c r="G25" s="16">
        <v>30</v>
      </c>
      <c r="I25" s="17">
        <f t="shared" si="0"/>
        <v>4.7139974999999996</v>
      </c>
      <c r="J25" s="18">
        <f t="shared" si="1"/>
        <v>0.19864818866699682</v>
      </c>
      <c r="K25" s="18">
        <f t="shared" si="2"/>
        <v>6.9112349958960845E-2</v>
      </c>
      <c r="L25" s="18">
        <f t="shared" si="3"/>
        <v>3.7330308519047256E-2</v>
      </c>
      <c r="M25" s="18">
        <f t="shared" si="4"/>
        <v>0.12951687567615061</v>
      </c>
      <c r="N25" s="15">
        <f t="shared" si="5"/>
        <v>1749400</v>
      </c>
      <c r="O25" s="18">
        <f t="shared" si="6"/>
        <v>0.21870829433754896</v>
      </c>
      <c r="P25" s="19">
        <v>22990733</v>
      </c>
      <c r="Q25" s="19">
        <v>718460.40625</v>
      </c>
      <c r="R25" s="19">
        <v>17744.96875</v>
      </c>
      <c r="S25" s="20">
        <v>5028264</v>
      </c>
      <c r="T25" s="20">
        <v>944920</v>
      </c>
      <c r="U25" s="20">
        <v>804480</v>
      </c>
      <c r="V25" s="20">
        <v>3278384</v>
      </c>
      <c r="W25" s="21">
        <v>66.204752999999997</v>
      </c>
      <c r="X25" s="21">
        <v>68.064625000000007</v>
      </c>
      <c r="Y25" s="21">
        <v>27.514437000000001</v>
      </c>
      <c r="Z25" s="21">
        <v>33.294175000000003</v>
      </c>
      <c r="AA25" s="21">
        <v>32.746397000000002</v>
      </c>
      <c r="AB25" s="22">
        <v>5908.22</v>
      </c>
      <c r="AC25" s="22">
        <v>1166.06</v>
      </c>
      <c r="AD25" s="22">
        <v>9.2439999999999998</v>
      </c>
      <c r="AE25" s="22">
        <v>17.329000000000001</v>
      </c>
      <c r="AG25" s="17">
        <f t="shared" si="7"/>
        <v>4.7289525000000001</v>
      </c>
      <c r="AH25" s="18">
        <f t="shared" si="8"/>
        <v>0.19927839342665463</v>
      </c>
      <c r="AI25" s="18">
        <f t="shared" si="9"/>
        <v>6.9528904559376575E-2</v>
      </c>
      <c r="AJ25" s="18">
        <f t="shared" si="10"/>
        <v>3.8049007427503542E-2</v>
      </c>
      <c r="AK25" s="18">
        <f t="shared" si="11"/>
        <v>0.12973020978486124</v>
      </c>
      <c r="AL25" s="15">
        <f t="shared" si="12"/>
        <v>1759944</v>
      </c>
      <c r="AM25" s="18">
        <f t="shared" si="13"/>
        <v>0.21758178809718123</v>
      </c>
      <c r="AN25" s="19">
        <v>23183080</v>
      </c>
      <c r="AO25" s="19">
        <v>724471.25</v>
      </c>
      <c r="AP25" s="19">
        <v>18224.9375</v>
      </c>
      <c r="AQ25" s="20">
        <v>5044216</v>
      </c>
      <c r="AR25" s="20">
        <v>963112</v>
      </c>
      <c r="AS25" s="20">
        <v>796832</v>
      </c>
      <c r="AT25" s="20">
        <v>3283784</v>
      </c>
      <c r="AU25" s="21">
        <v>66.230093999999994</v>
      </c>
      <c r="AV25" s="21">
        <v>68.019478000000007</v>
      </c>
      <c r="AW25" s="21">
        <v>27.515487</v>
      </c>
      <c r="AX25" s="21">
        <v>33.300831000000002</v>
      </c>
      <c r="AY25" s="21">
        <v>32.748193999999998</v>
      </c>
      <c r="AZ25" s="22">
        <v>6042.39</v>
      </c>
      <c r="BA25" s="22">
        <v>1176.67</v>
      </c>
      <c r="BB25" s="22">
        <v>9.548</v>
      </c>
      <c r="BC25" s="22">
        <v>16.905999999999999</v>
      </c>
      <c r="BE25" s="23">
        <f t="shared" si="14"/>
        <v>4.575879348379143E-4</v>
      </c>
      <c r="BF25" s="23">
        <f t="shared" si="15"/>
        <v>9.9006204123630592E-4</v>
      </c>
      <c r="BG25" s="23">
        <f t="array" ref="BG25">AVERAGE(AL25:AL29/AQ25:AQ29) - AVERAGE(N25:N29/S25:S29)</f>
        <v>4.1505388090740114E-4</v>
      </c>
      <c r="BI25" s="24">
        <f>IF( OR(ISBLANK(N25:N29),ISBLANK(AL25:AL29), ISBLANK(W25:W29),ISBLANK(AU25:AU29)), "·", bdRateExtend( N25:N29,W25:W29, AL25:AL29,AU25:AU29))</f>
        <v>5.5571608315367893E-3</v>
      </c>
      <c r="BJ25" s="24">
        <f>IF( OR(ISBLANK(N25:N29),ISBLANK(AL25:AL29), ISBLANK(X25:X29),ISBLANK(AV25:AV29)), "·", bdRateExtend( N25:N29,X25:X29, AL25:AL29,AV25:AV29))</f>
        <v>4.254057670135758E-3</v>
      </c>
      <c r="BK25" s="24">
        <f>IF( OR(ISBLANK(V25:V29),ISBLANK(AT25:AT29), ISBLANK(Y25:Y29),ISBLANK(AW25:AW29)), "·", bdRateExtend( V25:V29,Y25:Y29, AT25:AT29,AW25:AW29))</f>
        <v>2.3115720064845746E-3</v>
      </c>
      <c r="BL25" s="24">
        <f>IF( OR(ISBLANK(V25:V29),ISBLANK(AT25:AT29), ISBLANK(Z25:Z29),ISBLANK(AX25:AX29)), "·", bdRateExtend( V25:V29,Z25:Z29, AT25:AT29,AX25:AX29))</f>
        <v>3.2834322365449253E-5</v>
      </c>
      <c r="BM25" s="24">
        <f>IF( OR(ISBLANK(V25:V29),ISBLANK(AT25:AT29), ISBLANK(AA25:AA29),ISBLANK(AY25:AY29)), "·", bdRateExtend( V25:V29,AA25:AA29, AT25:AT29,AY25:AY29))</f>
        <v>1.5884991807071369E-3</v>
      </c>
      <c r="BO25" s="24">
        <f>IF( OR(ISBLANK(S25:S29),ISBLANK(AQ25:AQ29), ISBLANK(W25:W29),ISBLANK(AU25:AU29)), "·", bdRateExtend( S25:S29,W25:W29, AQ25:AQ29,AU25:AU29))</f>
        <v>5.2826379624768549E-3</v>
      </c>
      <c r="BP25" s="24">
        <f>IF( OR(ISBLANK(S25:S29),ISBLANK(AQ25:AQ29), ISBLANK(X25:X29),ISBLANK(AV25:AV29)), "·", bdRateExtend( S25:S29,X25:X29, AQ25:AQ29,AV25:AV29))</f>
        <v>3.5712898015340944E-3</v>
      </c>
      <c r="BQ25" s="24">
        <f>IF( OR(ISBLANK(S25:S29),ISBLANK(AQ25:AQ29), ISBLANK(Y25:Y29),ISBLANK(AW25:AW29)), "·", bdRateExtend( S25:S29,Y25:Y29, AQ25:AQ29,AW25:AW29))</f>
        <v>2.8213736105975329E-3</v>
      </c>
      <c r="BR25" s="24">
        <f>IF( OR(ISBLANK(S25:S29),ISBLANK(AQ25:AQ29), ISBLANK(Z25:Z29),ISBLANK(AX25:AX29)), "·", bdRateExtend( S25:S29,Z25:Z29, AQ25:AQ29,AX25:AX29))</f>
        <v>6.3075188633066048E-4</v>
      </c>
      <c r="BS25" s="24">
        <f>IF( OR(ISBLANK(S25:S29),ISBLANK(AQ25:AQ29), ISBLANK(AA25:AA29),ISBLANK(AY25:AY29)), "·", bdRateExtend( S25:S29,AA25:AA29, AQ25:AQ29,AY25:AY29))</f>
        <v>1.9453442855814629E-3</v>
      </c>
      <c r="BU25" s="4">
        <f t="shared" si="16"/>
        <v>15952</v>
      </c>
    </row>
    <row r="26" spans="1:73" outlineLevel="1" x14ac:dyDescent="0.2">
      <c r="A26" s="25"/>
      <c r="B26" s="25" t="s">
        <v>284</v>
      </c>
      <c r="C26" s="26" t="s">
        <v>269</v>
      </c>
      <c r="D26" s="25">
        <v>25312408</v>
      </c>
      <c r="E26" s="26">
        <v>10</v>
      </c>
      <c r="F26" s="26">
        <v>32</v>
      </c>
      <c r="G26" s="26">
        <v>30</v>
      </c>
      <c r="I26" s="27">
        <f t="shared" si="0"/>
        <v>8.1273824999999995</v>
      </c>
      <c r="J26" s="28">
        <f t="shared" si="1"/>
        <v>0.34248847442724534</v>
      </c>
      <c r="K26" s="28">
        <f t="shared" si="2"/>
        <v>8.3663948526746246E-2</v>
      </c>
      <c r="L26" s="28">
        <f t="shared" si="3"/>
        <v>5.1881907086832671E-2</v>
      </c>
      <c r="M26" s="28">
        <f t="shared" si="4"/>
        <v>0.25880556286861367</v>
      </c>
      <c r="N26" s="25">
        <f t="shared" si="5"/>
        <v>2117736</v>
      </c>
      <c r="O26" s="28">
        <f t="shared" si="6"/>
        <v>0.34555883642779578</v>
      </c>
      <c r="P26" s="29">
        <v>25087502</v>
      </c>
      <c r="Q26" s="29">
        <v>783984.4375</v>
      </c>
      <c r="R26" s="29">
        <v>23409.0625</v>
      </c>
      <c r="S26" s="30">
        <v>8669208</v>
      </c>
      <c r="T26" s="30">
        <v>1313256</v>
      </c>
      <c r="U26" s="30">
        <v>804480</v>
      </c>
      <c r="V26" s="30">
        <v>6550992</v>
      </c>
      <c r="W26" s="31">
        <v>68.038596999999996</v>
      </c>
      <c r="X26" s="31">
        <v>69.991293999999996</v>
      </c>
      <c r="Y26" s="31">
        <v>29.936230999999999</v>
      </c>
      <c r="Z26" s="31">
        <v>34.482334000000002</v>
      </c>
      <c r="AA26" s="31">
        <v>34.073253000000001</v>
      </c>
      <c r="AB26" s="32">
        <v>6289.76</v>
      </c>
      <c r="AC26" s="32">
        <v>1242.21</v>
      </c>
      <c r="AD26" s="32">
        <v>9.1240000000000006</v>
      </c>
      <c r="AE26" s="32">
        <v>18.093</v>
      </c>
      <c r="AG26" s="27">
        <f t="shared" si="7"/>
        <v>8.1418424999999992</v>
      </c>
      <c r="AH26" s="28">
        <f t="shared" si="8"/>
        <v>0.34309781985182919</v>
      </c>
      <c r="AI26" s="28">
        <f t="shared" si="9"/>
        <v>8.411937734252703E-2</v>
      </c>
      <c r="AJ26" s="28">
        <f t="shared" si="10"/>
        <v>5.2639480210654004E-2</v>
      </c>
      <c r="AK26" s="28">
        <f t="shared" si="11"/>
        <v>0.25895916342688535</v>
      </c>
      <c r="AL26" s="25">
        <f t="shared" si="12"/>
        <v>2129264</v>
      </c>
      <c r="AM26" s="28">
        <f t="shared" si="13"/>
        <v>0.34784411421417766</v>
      </c>
      <c r="AN26" s="29">
        <v>24967023</v>
      </c>
      <c r="AO26" s="29">
        <v>780219.46875</v>
      </c>
      <c r="AP26" s="29">
        <v>23123.8125</v>
      </c>
      <c r="AQ26" s="30">
        <v>8684632</v>
      </c>
      <c r="AR26" s="30">
        <v>1332432</v>
      </c>
      <c r="AS26" s="30">
        <v>796832</v>
      </c>
      <c r="AT26" s="30">
        <v>6554880</v>
      </c>
      <c r="AU26" s="31">
        <v>68.016097000000002</v>
      </c>
      <c r="AV26" s="31">
        <v>69.984802999999999</v>
      </c>
      <c r="AW26" s="31">
        <v>29.931574999999999</v>
      </c>
      <c r="AX26" s="31">
        <v>34.483519000000001</v>
      </c>
      <c r="AY26" s="31">
        <v>34.063899999999997</v>
      </c>
      <c r="AZ26" s="32">
        <v>4671.78</v>
      </c>
      <c r="BA26" s="32">
        <v>964.98099999999999</v>
      </c>
      <c r="BB26" s="32">
        <v>8.0939999999999994</v>
      </c>
      <c r="BC26" s="32">
        <v>14.894</v>
      </c>
      <c r="BE26" s="33">
        <f t="shared" si="14"/>
        <v>-2.2151646194624314E-4</v>
      </c>
      <c r="BF26" s="33">
        <f t="shared" si="15"/>
        <v>8.9355385121278608E-4</v>
      </c>
      <c r="BG26" s="33"/>
      <c r="BI26" s="34"/>
      <c r="BJ26" s="34"/>
      <c r="BK26" s="34"/>
      <c r="BL26" s="34"/>
      <c r="BM26" s="34"/>
      <c r="BO26" s="34"/>
      <c r="BP26" s="34"/>
      <c r="BQ26" s="34"/>
      <c r="BR26" s="34"/>
      <c r="BS26" s="34"/>
      <c r="BU26" s="4">
        <f t="shared" si="16"/>
        <v>15424</v>
      </c>
    </row>
    <row r="27" spans="1:73" outlineLevel="1" x14ac:dyDescent="0.2">
      <c r="A27" s="15"/>
      <c r="B27" s="15" t="s">
        <v>284</v>
      </c>
      <c r="C27" s="16" t="s">
        <v>270</v>
      </c>
      <c r="D27" s="15">
        <v>25312408</v>
      </c>
      <c r="E27" s="16">
        <v>10</v>
      </c>
      <c r="F27" s="16">
        <v>32</v>
      </c>
      <c r="G27" s="16">
        <v>30</v>
      </c>
      <c r="I27" s="17">
        <f t="shared" si="0"/>
        <v>14.680612500000001</v>
      </c>
      <c r="J27" s="18">
        <f t="shared" si="1"/>
        <v>0.61864205096567659</v>
      </c>
      <c r="K27" s="18">
        <f t="shared" si="2"/>
        <v>0.10506056950409459</v>
      </c>
      <c r="L27" s="18">
        <f t="shared" si="3"/>
        <v>7.3278528064181017E-2</v>
      </c>
      <c r="M27" s="18">
        <f t="shared" si="4"/>
        <v>0.51356251842969658</v>
      </c>
      <c r="N27" s="15">
        <f t="shared" si="5"/>
        <v>2659336</v>
      </c>
      <c r="O27" s="18">
        <f t="shared" si="6"/>
        <v>0.61802862251935198</v>
      </c>
      <c r="P27" s="19">
        <v>25337532</v>
      </c>
      <c r="Q27" s="19">
        <v>791797.875</v>
      </c>
      <c r="R27" s="19">
        <v>24601.4375</v>
      </c>
      <c r="S27" s="20">
        <v>15659320</v>
      </c>
      <c r="T27" s="20">
        <v>1854856</v>
      </c>
      <c r="U27" s="20">
        <v>804480</v>
      </c>
      <c r="V27" s="20">
        <v>12999504</v>
      </c>
      <c r="W27" s="21">
        <v>69.398893999999999</v>
      </c>
      <c r="X27" s="21">
        <v>71.726594000000006</v>
      </c>
      <c r="Y27" s="21">
        <v>32.424261999999999</v>
      </c>
      <c r="Z27" s="21">
        <v>35.744199999999999</v>
      </c>
      <c r="AA27" s="21">
        <v>35.403716000000003</v>
      </c>
      <c r="AB27" s="22">
        <v>6077.22</v>
      </c>
      <c r="AC27" s="22">
        <v>1323.51</v>
      </c>
      <c r="AD27" s="22">
        <v>9.4930000000000003</v>
      </c>
      <c r="AE27" s="22">
        <v>19.085999999999999</v>
      </c>
      <c r="AG27" s="17">
        <f t="shared" si="7"/>
        <v>14.7221625</v>
      </c>
      <c r="AH27" s="18">
        <f t="shared" si="8"/>
        <v>0.62039297090976098</v>
      </c>
      <c r="AI27" s="18">
        <f t="shared" si="9"/>
        <v>0.1054180226551342</v>
      </c>
      <c r="AJ27" s="18">
        <f t="shared" si="10"/>
        <v>7.3938125523261164E-2</v>
      </c>
      <c r="AK27" s="18">
        <f t="shared" si="11"/>
        <v>0.51495566917220992</v>
      </c>
      <c r="AL27" s="15">
        <f t="shared" si="12"/>
        <v>2668384</v>
      </c>
      <c r="AM27" s="18">
        <f t="shared" si="13"/>
        <v>0.62105508858028946</v>
      </c>
      <c r="AN27" s="19">
        <v>25285422</v>
      </c>
      <c r="AO27" s="19">
        <v>790169.4375</v>
      </c>
      <c r="AP27" s="19">
        <v>24445.3125</v>
      </c>
      <c r="AQ27" s="20">
        <v>15703640</v>
      </c>
      <c r="AR27" s="20">
        <v>1871552</v>
      </c>
      <c r="AS27" s="20">
        <v>796832</v>
      </c>
      <c r="AT27" s="20">
        <v>13034768</v>
      </c>
      <c r="AU27" s="21">
        <v>69.396956000000003</v>
      </c>
      <c r="AV27" s="21">
        <v>71.734378000000007</v>
      </c>
      <c r="AW27" s="21">
        <v>32.426349999999999</v>
      </c>
      <c r="AX27" s="21">
        <v>35.749250000000004</v>
      </c>
      <c r="AY27" s="21">
        <v>35.410027999999997</v>
      </c>
      <c r="AZ27" s="22">
        <v>4339.68</v>
      </c>
      <c r="BA27" s="22">
        <v>1061.8399999999999</v>
      </c>
      <c r="BB27" s="22">
        <v>8.327</v>
      </c>
      <c r="BC27" s="22">
        <v>15.766</v>
      </c>
      <c r="BE27" s="23">
        <f t="shared" si="14"/>
        <v>-1.335522118451303E-4</v>
      </c>
      <c r="BF27" s="23">
        <f t="shared" si="15"/>
        <v>9.6880640149787922E-5</v>
      </c>
      <c r="BG27" s="23"/>
      <c r="BI27" s="24"/>
      <c r="BJ27" s="24"/>
      <c r="BK27" s="24"/>
      <c r="BL27" s="24"/>
      <c r="BM27" s="24"/>
      <c r="BO27" s="24"/>
      <c r="BP27" s="24"/>
      <c r="BQ27" s="24"/>
      <c r="BR27" s="24"/>
      <c r="BS27" s="24"/>
      <c r="BU27" s="4">
        <f t="shared" si="16"/>
        <v>44320</v>
      </c>
    </row>
    <row r="28" spans="1:73" outlineLevel="1" x14ac:dyDescent="0.2">
      <c r="A28" s="25"/>
      <c r="B28" s="25" t="s">
        <v>284</v>
      </c>
      <c r="C28" s="26" t="s">
        <v>271</v>
      </c>
      <c r="D28" s="25">
        <v>25312408</v>
      </c>
      <c r="E28" s="26">
        <v>10</v>
      </c>
      <c r="F28" s="26">
        <v>32</v>
      </c>
      <c r="G28" s="26">
        <v>30</v>
      </c>
      <c r="I28" s="27">
        <f t="shared" si="0"/>
        <v>27.887370000000001</v>
      </c>
      <c r="J28" s="28">
        <f t="shared" si="1"/>
        <v>1.175175747799261</v>
      </c>
      <c r="K28" s="28">
        <f t="shared" si="2"/>
        <v>0.1405840171349956</v>
      </c>
      <c r="L28" s="28">
        <f t="shared" si="3"/>
        <v>0.10880197569508203</v>
      </c>
      <c r="M28" s="28">
        <f t="shared" si="4"/>
        <v>1.0345727676323802</v>
      </c>
      <c r="N28" s="25">
        <f t="shared" si="5"/>
        <v>3558520</v>
      </c>
      <c r="O28" s="28">
        <f t="shared" si="6"/>
        <v>1.1311191180454292</v>
      </c>
      <c r="P28" s="29">
        <v>26298316</v>
      </c>
      <c r="Q28" s="29">
        <v>821822.375</v>
      </c>
      <c r="R28" s="29">
        <v>28110.9375</v>
      </c>
      <c r="S28" s="30">
        <v>29746528</v>
      </c>
      <c r="T28" s="30">
        <v>2754040</v>
      </c>
      <c r="U28" s="30">
        <v>804480</v>
      </c>
      <c r="V28" s="30">
        <v>26187528</v>
      </c>
      <c r="W28" s="31">
        <v>70.452944000000002</v>
      </c>
      <c r="X28" s="31">
        <v>73.014055999999997</v>
      </c>
      <c r="Y28" s="31">
        <v>34.897219</v>
      </c>
      <c r="Z28" s="31">
        <v>37.564228</v>
      </c>
      <c r="AA28" s="31">
        <v>37.173074999999997</v>
      </c>
      <c r="AB28" s="32">
        <v>4495.5</v>
      </c>
      <c r="AC28" s="32">
        <v>1213.23</v>
      </c>
      <c r="AD28" s="32">
        <v>8.4719999999999995</v>
      </c>
      <c r="AE28" s="32">
        <v>16.617999999999999</v>
      </c>
      <c r="AG28" s="27">
        <f t="shared" si="7"/>
        <v>27.92154</v>
      </c>
      <c r="AH28" s="28">
        <f t="shared" si="8"/>
        <v>1.176615674020425</v>
      </c>
      <c r="AI28" s="28">
        <f t="shared" si="9"/>
        <v>0.14086846261327646</v>
      </c>
      <c r="AJ28" s="28">
        <f t="shared" si="10"/>
        <v>0.10938856548140342</v>
      </c>
      <c r="AK28" s="28">
        <f t="shared" si="11"/>
        <v>1.0357279323247317</v>
      </c>
      <c r="AL28" s="25">
        <f t="shared" si="12"/>
        <v>3565720</v>
      </c>
      <c r="AM28" s="28">
        <f t="shared" si="13"/>
        <v>1.1334645174094817</v>
      </c>
      <c r="AN28" s="29">
        <v>26276055</v>
      </c>
      <c r="AO28" s="29">
        <v>821126.71875</v>
      </c>
      <c r="AP28" s="29">
        <v>27947.875</v>
      </c>
      <c r="AQ28" s="30">
        <v>29782976</v>
      </c>
      <c r="AR28" s="30">
        <v>2768888</v>
      </c>
      <c r="AS28" s="30">
        <v>796832</v>
      </c>
      <c r="AT28" s="30">
        <v>26216768</v>
      </c>
      <c r="AU28" s="31">
        <v>70.447755999999998</v>
      </c>
      <c r="AV28" s="31">
        <v>73.009518999999997</v>
      </c>
      <c r="AW28" s="31">
        <v>34.890149999999998</v>
      </c>
      <c r="AX28" s="31">
        <v>37.567658999999999</v>
      </c>
      <c r="AY28" s="31">
        <v>37.174719000000003</v>
      </c>
      <c r="AZ28" s="32">
        <v>4406.88</v>
      </c>
      <c r="BA28" s="32">
        <v>1261.53</v>
      </c>
      <c r="BB28" s="32">
        <v>8.7469999999999999</v>
      </c>
      <c r="BC28" s="32">
        <v>17.295999999999999</v>
      </c>
      <c r="BE28" s="33">
        <f t="shared" si="14"/>
        <v>-1.6960494509691421E-4</v>
      </c>
      <c r="BF28" s="33">
        <f t="shared" si="15"/>
        <v>9.5349631229563192E-5</v>
      </c>
      <c r="BG28" s="33"/>
      <c r="BI28" s="34"/>
      <c r="BJ28" s="34"/>
      <c r="BK28" s="34"/>
      <c r="BL28" s="34"/>
      <c r="BM28" s="34"/>
      <c r="BO28" s="34"/>
      <c r="BP28" s="34"/>
      <c r="BQ28" s="34"/>
      <c r="BR28" s="34"/>
      <c r="BS28" s="34"/>
      <c r="BU28" s="4">
        <f t="shared" si="16"/>
        <v>36448</v>
      </c>
    </row>
    <row r="29" spans="1:73" ht="16" outlineLevel="1" thickBot="1" x14ac:dyDescent="0.25">
      <c r="A29" s="35"/>
      <c r="B29" s="35" t="s">
        <v>284</v>
      </c>
      <c r="C29" s="36" t="s">
        <v>272</v>
      </c>
      <c r="D29" s="35">
        <v>25312408</v>
      </c>
      <c r="E29" s="36">
        <v>10</v>
      </c>
      <c r="F29" s="36">
        <v>32</v>
      </c>
      <c r="G29" s="36">
        <v>30</v>
      </c>
      <c r="I29" s="37">
        <f t="shared" si="0"/>
        <v>48.51858</v>
      </c>
      <c r="J29" s="38">
        <f t="shared" si="1"/>
        <v>2.0445763990529864</v>
      </c>
      <c r="K29" s="38">
        <f t="shared" si="2"/>
        <v>0.22628838789260983</v>
      </c>
      <c r="L29" s="38">
        <f t="shared" si="3"/>
        <v>0.16674415172195392</v>
      </c>
      <c r="M29" s="38">
        <f t="shared" si="4"/>
        <v>1.8182690481284909</v>
      </c>
      <c r="N29" s="35">
        <f t="shared" si="5"/>
        <v>5727904</v>
      </c>
      <c r="O29" s="38">
        <f t="shared" si="6"/>
        <v>2.0587613058395049</v>
      </c>
      <c r="P29" s="39">
        <v>25138005</v>
      </c>
      <c r="Q29" s="39">
        <v>785562.65625</v>
      </c>
      <c r="R29" s="39">
        <v>7379.21875</v>
      </c>
      <c r="S29" s="40">
        <v>51753152</v>
      </c>
      <c r="T29" s="40">
        <v>4220696</v>
      </c>
      <c r="U29" s="40">
        <v>1507208</v>
      </c>
      <c r="V29" s="40">
        <v>46024768</v>
      </c>
      <c r="W29" s="41">
        <v>71.746288000000007</v>
      </c>
      <c r="X29" s="41">
        <v>75.121509000000003</v>
      </c>
      <c r="Y29" s="41">
        <v>36.592488000000003</v>
      </c>
      <c r="Z29" s="41">
        <v>39.675978000000001</v>
      </c>
      <c r="AA29" s="41">
        <v>39.083103000000001</v>
      </c>
      <c r="AB29" s="42">
        <v>6186.24</v>
      </c>
      <c r="AC29" s="42">
        <v>1771.31</v>
      </c>
      <c r="AD29" s="42">
        <v>11.07</v>
      </c>
      <c r="AE29" s="42">
        <v>22.620999999999999</v>
      </c>
      <c r="AG29" s="37">
        <f t="shared" si="7"/>
        <v>48.573112500000001</v>
      </c>
      <c r="AH29" s="38">
        <f t="shared" si="8"/>
        <v>2.0468744024669641</v>
      </c>
      <c r="AI29" s="38">
        <f t="shared" si="9"/>
        <v>0.22654154436827978</v>
      </c>
      <c r="AJ29" s="38">
        <f t="shared" si="10"/>
        <v>0.16700836996622367</v>
      </c>
      <c r="AK29" s="38">
        <f t="shared" si="11"/>
        <v>1.8203135790162674</v>
      </c>
      <c r="AL29" s="35">
        <f t="shared" si="12"/>
        <v>5734312</v>
      </c>
      <c r="AM29" s="38">
        <f t="shared" si="13"/>
        <v>2.0617760986507472</v>
      </c>
      <c r="AN29" s="39">
        <v>25129460</v>
      </c>
      <c r="AO29" s="39">
        <v>785295.625</v>
      </c>
      <c r="AP29" s="39">
        <v>7346</v>
      </c>
      <c r="AQ29" s="40">
        <v>51811320</v>
      </c>
      <c r="AR29" s="40">
        <v>4227384</v>
      </c>
      <c r="AS29" s="40">
        <v>1506928</v>
      </c>
      <c r="AT29" s="40">
        <v>46076520</v>
      </c>
      <c r="AU29" s="41">
        <v>71.737684000000002</v>
      </c>
      <c r="AV29" s="41">
        <v>75.125600000000006</v>
      </c>
      <c r="AW29" s="41">
        <v>36.588078000000003</v>
      </c>
      <c r="AX29" s="41">
        <v>39.676077999999997</v>
      </c>
      <c r="AY29" s="41">
        <v>39.085306000000003</v>
      </c>
      <c r="AZ29" s="42">
        <v>5980.09</v>
      </c>
      <c r="BA29" s="42">
        <v>1799.76</v>
      </c>
      <c r="BB29" s="42">
        <v>10.106</v>
      </c>
      <c r="BC29" s="42">
        <v>22.233000000000001</v>
      </c>
      <c r="BE29" s="43">
        <f t="shared" si="14"/>
        <v>-3.9106775536635469E-5</v>
      </c>
      <c r="BF29" s="43">
        <f t="shared" si="15"/>
        <v>-5.7675929139577864E-7</v>
      </c>
      <c r="BG29" s="43"/>
      <c r="BI29" s="44"/>
      <c r="BJ29" s="44"/>
      <c r="BK29" s="44"/>
      <c r="BL29" s="44"/>
      <c r="BM29" s="44"/>
      <c r="BO29" s="44"/>
      <c r="BP29" s="44"/>
      <c r="BQ29" s="44"/>
      <c r="BR29" s="44"/>
      <c r="BS29" s="44"/>
      <c r="BU29" s="4">
        <f t="shared" si="16"/>
        <v>58168</v>
      </c>
    </row>
    <row r="30" spans="1:73" ht="16" x14ac:dyDescent="0.2">
      <c r="B30" s="55" t="s">
        <v>288</v>
      </c>
      <c r="J30" s="56">
        <f>AVERAGE(J5:J24)</f>
        <v>0.42966769458908793</v>
      </c>
      <c r="K30" s="56">
        <f>AVERAGE(K5:K24)</f>
        <v>0.12449920294739487</v>
      </c>
      <c r="L30" s="56">
        <f>AVERAGE(L5:L24)</f>
        <v>8.4639838350051788E-2</v>
      </c>
      <c r="M30" s="56">
        <f>AVERAGE(M5:M24)</f>
        <v>0.30515112745240452</v>
      </c>
      <c r="AH30" s="56">
        <f>AVERAGE(AH5:AH24)</f>
        <v>0.42933408146615937</v>
      </c>
      <c r="AI30" s="56">
        <f>AVERAGE(AI5:AI24)</f>
        <v>0.12426277968673904</v>
      </c>
      <c r="AJ30" s="56">
        <f>AVERAGE(AJ5:AJ24)</f>
        <v>8.5003271613997594E-2</v>
      </c>
      <c r="AK30" s="56">
        <f>AVERAGE(AK5:AK24)</f>
        <v>0.305053648186977</v>
      </c>
      <c r="BG30" s="8">
        <f>AVERAGE(BG5:BG24)</f>
        <v>-9.034834147239601E-5</v>
      </c>
      <c r="BI30" s="5">
        <f>AVERAGE(BI5:BI24)</f>
        <v>4.0754900517242509E-4</v>
      </c>
      <c r="BJ30" s="5">
        <f>AVERAGE(BJ5:BJ24)</f>
        <v>-1.7250678012352971E-3</v>
      </c>
      <c r="BK30" s="5">
        <f>AVERAGE(BK5:BK24)</f>
        <v>8.0738070278280061E-5</v>
      </c>
      <c r="BL30" s="5">
        <f>AVERAGE(BL5:BL24)</f>
        <v>1.3298074357399881E-3</v>
      </c>
      <c r="BM30" s="5">
        <f>AVERAGE(BM5:BM24)</f>
        <v>-3.4175859895499427E-3</v>
      </c>
      <c r="BO30" s="5">
        <f>AVERAGE(BO5:BO24)</f>
        <v>2.0003511631873638E-3</v>
      </c>
      <c r="BP30" s="5">
        <f>AVERAGE(BP5:BP24)</f>
        <v>-1.4686788150311547E-3</v>
      </c>
      <c r="BQ30" s="5">
        <f>AVERAGE(BQ5:BQ24)</f>
        <v>-1.6370643235036342E-5</v>
      </c>
      <c r="BR30" s="5">
        <f>AVERAGE(BR5:BR24)</f>
        <v>5.748069229724595E-4</v>
      </c>
      <c r="BS30" s="5">
        <f>AVERAGE(BS5:BS24)</f>
        <v>-2.7225842933357725E-3</v>
      </c>
    </row>
    <row r="31" spans="1:73" ht="16" x14ac:dyDescent="0.2">
      <c r="B31" s="55" t="s">
        <v>289</v>
      </c>
      <c r="J31" s="56">
        <f>AVERAGE(J25:J29)</f>
        <v>0.87590617218243327</v>
      </c>
      <c r="K31" s="56">
        <f>AVERAGE(K25:K29)</f>
        <v>0.12494185460348142</v>
      </c>
      <c r="L31" s="56">
        <f>AVERAGE(L25:L29)</f>
        <v>8.7607374217419376E-2</v>
      </c>
      <c r="M31" s="56">
        <f>AVERAGE(M25:M29)</f>
        <v>0.75094535454706635</v>
      </c>
      <c r="AH31" s="56">
        <f>AVERAGE(AH25:AH29)</f>
        <v>0.8772518521351268</v>
      </c>
      <c r="AI31" s="56">
        <f>AVERAGE(AI25:AI29)</f>
        <v>0.12529526230771881</v>
      </c>
      <c r="AJ31" s="56">
        <f>AVERAGE(AJ25:AJ29)</f>
        <v>8.820470972180916E-2</v>
      </c>
      <c r="AK31" s="56">
        <f>AVERAGE(AK25:AK29)</f>
        <v>0.75193731074499115</v>
      </c>
      <c r="BG31" s="8">
        <f>AVERAGE(BG25:BG29)</f>
        <v>4.1505388090740114E-4</v>
      </c>
      <c r="BI31" s="5">
        <f>AVERAGE(BI25:BI29)</f>
        <v>5.5571608315367893E-3</v>
      </c>
      <c r="BJ31" s="5">
        <f>AVERAGE(BJ25:BJ29)</f>
        <v>4.254057670135758E-3</v>
      </c>
      <c r="BK31" s="5">
        <f>AVERAGE(BK25:BK29)</f>
        <v>2.3115720064845746E-3</v>
      </c>
      <c r="BL31" s="5">
        <f>AVERAGE(BL25:BL29)</f>
        <v>3.2834322365449253E-5</v>
      </c>
      <c r="BM31" s="5">
        <f>AVERAGE(BM25:BM29)</f>
        <v>1.5884991807071369E-3</v>
      </c>
      <c r="BO31" s="5">
        <f>AVERAGE(BO25:BO29)</f>
        <v>5.2826379624768549E-3</v>
      </c>
      <c r="BP31" s="5">
        <f>AVERAGE(BP25:BP29)</f>
        <v>3.5712898015340944E-3</v>
      </c>
      <c r="BQ31" s="5">
        <f>AVERAGE(BQ25:BQ29)</f>
        <v>2.8213736105975329E-3</v>
      </c>
      <c r="BR31" s="5">
        <f>AVERAGE(BR25:BR29)</f>
        <v>6.3075188633066048E-4</v>
      </c>
      <c r="BS31" s="5">
        <f>AVERAGE(BS25:BS29)</f>
        <v>1.9453442855814629E-3</v>
      </c>
    </row>
    <row r="32" spans="1:73" ht="16" x14ac:dyDescent="0.2">
      <c r="B32" s="55" t="s">
        <v>290</v>
      </c>
      <c r="J32" s="56">
        <f>AVERAGE(J5:J29)</f>
        <v>0.518915390107757</v>
      </c>
      <c r="K32" s="56">
        <f>AVERAGE(K5:K29)</f>
        <v>0.12458773327861218</v>
      </c>
      <c r="L32" s="56">
        <f>AVERAGE(L5:L29)</f>
        <v>8.5233345523525295E-2</v>
      </c>
      <c r="M32" s="56">
        <f>AVERAGE(M5:M29)</f>
        <v>0.3943099728713369</v>
      </c>
      <c r="AH32" s="56">
        <f>AVERAGE(AH5:AH29)</f>
        <v>0.51891763559995285</v>
      </c>
      <c r="AI32" s="56">
        <f>AVERAGE(AI5:AI29)</f>
        <v>0.124469276210935</v>
      </c>
      <c r="AJ32" s="56">
        <f>AVERAGE(AJ5:AJ29)</f>
        <v>8.5643559235559913E-2</v>
      </c>
      <c r="AK32" s="56">
        <f>AVERAGE(AK5:AK29)</f>
        <v>0.39443038069857977</v>
      </c>
      <c r="BG32" s="8">
        <f>AVERAGE(BG5:BG29)</f>
        <v>1.073210300356342E-5</v>
      </c>
      <c r="BI32" s="5">
        <f>AVERAGE(BI5:BI29)</f>
        <v>1.437471370445298E-3</v>
      </c>
      <c r="BJ32" s="5">
        <f>AVERAGE(BJ5:BJ29)</f>
        <v>-5.2924270696108611E-4</v>
      </c>
      <c r="BK32" s="5">
        <f>AVERAGE(BK5:BK29)</f>
        <v>5.2690485751953902E-4</v>
      </c>
      <c r="BL32" s="5">
        <f>AVERAGE(BL5:BL29)</f>
        <v>1.0704128130650803E-3</v>
      </c>
      <c r="BM32" s="5">
        <f>AVERAGE(BM5:BM29)</f>
        <v>-2.416368955498527E-3</v>
      </c>
      <c r="BO32" s="5">
        <f>AVERAGE(BO5:BO29)</f>
        <v>2.6568085230452621E-3</v>
      </c>
      <c r="BP32" s="5">
        <f>AVERAGE(BP5:BP29)</f>
        <v>-4.6068509171810491E-4</v>
      </c>
      <c r="BQ32" s="5">
        <f>AVERAGE(BQ5:BQ29)</f>
        <v>5.511782075314775E-4</v>
      </c>
      <c r="BR32" s="5">
        <f>AVERAGE(BR5:BR29)</f>
        <v>5.8599591564409967E-4</v>
      </c>
      <c r="BS32" s="5">
        <f>AVERAGE(BS5:BS29)</f>
        <v>-1.7889985775523254E-3</v>
      </c>
    </row>
    <row r="33" spans="1:55" ht="16" hidden="1" outlineLevel="2" x14ac:dyDescent="0.2">
      <c r="A33" s="55" t="s">
        <v>291</v>
      </c>
      <c r="B33" s="55" t="s">
        <v>292</v>
      </c>
      <c r="AB33" s="57">
        <f>SUM(AB5:AB24,AB25:AB29)</f>
        <v>156885.85</v>
      </c>
      <c r="AC33" s="57">
        <f>SUM(AC5:AC24,AC25:AC29)</f>
        <v>27084.527000000002</v>
      </c>
      <c r="AD33" s="57">
        <f>SUM(AD5:AD24,AD25:AD29)</f>
        <v>247.95200000000003</v>
      </c>
      <c r="AE33" s="57">
        <f>SUM(AE5:AE24,AE25:AE29)</f>
        <v>371.74599999999998</v>
      </c>
      <c r="AZ33" s="57">
        <f>SUM(AZ5:AZ24,AZ25:AZ29)</f>
        <v>146777.43</v>
      </c>
      <c r="BA33" s="57">
        <f>SUM(BA5:BA24,BA25:BA29)</f>
        <v>25930.154999999999</v>
      </c>
      <c r="BB33" s="57">
        <f>SUM(BB5:BB24,BB25:BB29)</f>
        <v>239.06799999999998</v>
      </c>
      <c r="BC33" s="57">
        <f>SUM(BC5:BC24,BC25:BC29)</f>
        <v>354.81200000000001</v>
      </c>
    </row>
    <row r="34" spans="1:55" ht="16" hidden="1" outlineLevel="2" x14ac:dyDescent="0.2">
      <c r="B34" s="55" t="s">
        <v>293</v>
      </c>
      <c r="AZ34" s="8">
        <f>AZ33/AB33</f>
        <v>0.9355683128848139</v>
      </c>
      <c r="BA34" s="8">
        <f>BA33/AC33</f>
        <v>0.95737891232141503</v>
      </c>
      <c r="BB34" s="8">
        <f>BB33/AD33</f>
        <v>0.96417048460992438</v>
      </c>
      <c r="BC34" s="8">
        <f>BC33/AE33</f>
        <v>0.95444739149849633</v>
      </c>
    </row>
    <row r="35" spans="1:55" ht="16" hidden="1" outlineLevel="2" x14ac:dyDescent="0.2">
      <c r="B35" s="55" t="s">
        <v>294</v>
      </c>
      <c r="AB35" s="57">
        <f>GEOMEAN(AB5:AB24,AB25:AB29)</f>
        <v>6199.8847435156822</v>
      </c>
      <c r="AC35" s="57">
        <f>GEOMEAN(AC5:AC24,AC25:AC29)</f>
        <v>1058.5660944167514</v>
      </c>
      <c r="AD35" s="57">
        <f>GEOMEAN(AD5:AD24,AD25:AD29)</f>
        <v>9.8368791077453874</v>
      </c>
      <c r="AE35" s="57">
        <f>GEOMEAN(AE5:AE24,AE25:AE29)</f>
        <v>14.646929456846214</v>
      </c>
      <c r="AZ35" s="57">
        <f>GEOMEAN(AZ5:AZ24,AZ25:AZ29)</f>
        <v>5802.8613363787463</v>
      </c>
      <c r="BA35" s="57">
        <f>GEOMEAN(BA5:BA24,BA25:BA29)</f>
        <v>1010.8755904503093</v>
      </c>
      <c r="BB35" s="57">
        <f>GEOMEAN(BB5:BB24,BB25:BB29)</f>
        <v>9.4764441765705332</v>
      </c>
      <c r="BC35" s="57">
        <f>GEOMEAN(BC5:BC24,BC25:BC29)</f>
        <v>13.969984954228561</v>
      </c>
    </row>
    <row r="36" spans="1:55" ht="16" outlineLevel="2" collapsed="1" x14ac:dyDescent="0.2">
      <c r="B36" s="55" t="s">
        <v>295</v>
      </c>
      <c r="AZ36" s="8">
        <f>AZ35/AB35</f>
        <v>0.93596277615448031</v>
      </c>
      <c r="BA36" s="8">
        <f>BA35/AC35</f>
        <v>0.95494801484954173</v>
      </c>
      <c r="BB36" s="8">
        <f>BB35/AD35</f>
        <v>0.96335881256372724</v>
      </c>
      <c r="BC36" s="8">
        <f>BC35/AE35</f>
        <v>0.95378249723861142</v>
      </c>
    </row>
  </sheetData>
  <mergeCells count="41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Q2:Q3"/>
    <mergeCell ref="R2:R3"/>
    <mergeCell ref="S2:V2"/>
    <mergeCell ref="W2:X2"/>
    <mergeCell ref="Y2:AA2"/>
    <mergeCell ref="AB2:AC2"/>
    <mergeCell ref="AD2:AE2"/>
    <mergeCell ref="AG2:AG3"/>
    <mergeCell ref="AH2:AK2"/>
    <mergeCell ref="AL2:AL3"/>
    <mergeCell ref="AM2:AM3"/>
    <mergeCell ref="AN2:AN3"/>
    <mergeCell ref="AO2:AO3"/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</mergeCells>
  <conditionalFormatting sqref="BI5 BI6 BI7 BI8 BI9 BI10 BI11 BI12 BI13 BI14 BI15 BI16 BI17 BI18 BI19 BI20 BI21 BI22 BI23 BI24 BI25 BI26 BI27 BI28 BI29 BI30 BI31 BI32">
    <cfRule type="cellIs" dxfId="51" priority="13" operator="greaterThanOrEqual">
      <formula>0.03</formula>
    </cfRule>
    <cfRule type="cellIs" dxfId="50" priority="14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49" priority="11" operator="greaterThanOrEqual">
      <formula>0.03</formula>
    </cfRule>
    <cfRule type="cellIs" dxfId="48" priority="12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47" priority="17" operator="greaterThanOrEqual">
      <formula>0.03</formula>
    </cfRule>
    <cfRule type="cellIs" dxfId="46" priority="18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45" priority="9" operator="greaterThanOrEqual">
      <formula>0.03</formula>
    </cfRule>
    <cfRule type="cellIs" dxfId="44" priority="10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43" priority="5" operator="greaterThanOrEqual">
      <formula>0.03</formula>
    </cfRule>
    <cfRule type="cellIs" dxfId="42" priority="6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41" priority="3" operator="greaterThanOrEqual">
      <formula>0.03</formula>
    </cfRule>
    <cfRule type="cellIs" dxfId="40" priority="4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39" priority="19" operator="greaterThanOrEqual">
      <formula>0.03</formula>
    </cfRule>
    <cfRule type="cellIs" dxfId="38" priority="20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37" priority="15" operator="greaterThanOrEqual">
      <formula>0.03</formula>
    </cfRule>
    <cfRule type="cellIs" dxfId="36" priority="16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5" priority="1" operator="greaterThanOrEqual">
      <formula>0.03</formula>
    </cfRule>
    <cfRule type="cellIs" dxfId="34" priority="2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33" priority="7" operator="greaterThanOrEqual">
      <formula>0.03</formula>
    </cfRule>
    <cfRule type="cellIs" dxfId="32" priority="8" operator="lessThanOrEqual">
      <formula>-0.03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X274"/>
  <sheetViews>
    <sheetView workbookViewId="0"/>
  </sheetViews>
  <sheetFormatPr baseColWidth="10" defaultColWidth="8.83203125" defaultRowHeight="15" x14ac:dyDescent="0.2"/>
  <sheetData>
    <row r="1" spans="1:2" x14ac:dyDescent="0.2">
      <c r="A1" t="s">
        <v>95</v>
      </c>
      <c r="B1">
        <v>1</v>
      </c>
    </row>
    <row r="2" spans="1:2" x14ac:dyDescent="0.2">
      <c r="A2" t="s">
        <v>98</v>
      </c>
      <c r="B2">
        <v>2</v>
      </c>
    </row>
    <row r="3" spans="1:2" x14ac:dyDescent="0.2">
      <c r="A3" t="s">
        <v>101</v>
      </c>
      <c r="B3">
        <v>3</v>
      </c>
    </row>
    <row r="4" spans="1:2" x14ac:dyDescent="0.2">
      <c r="A4" t="s">
        <v>104</v>
      </c>
      <c r="B4">
        <v>4</v>
      </c>
    </row>
    <row r="5" spans="1:2" x14ac:dyDescent="0.2">
      <c r="A5" t="s">
        <v>107</v>
      </c>
      <c r="B5">
        <v>5</v>
      </c>
    </row>
    <row r="6" spans="1:2" x14ac:dyDescent="0.2">
      <c r="A6" t="s">
        <v>110</v>
      </c>
      <c r="B6">
        <v>6</v>
      </c>
    </row>
    <row r="7" spans="1:2" x14ac:dyDescent="0.2">
      <c r="A7" t="s">
        <v>113</v>
      </c>
      <c r="B7">
        <v>7</v>
      </c>
    </row>
    <row r="8" spans="1:2" x14ac:dyDescent="0.2">
      <c r="A8" t="s">
        <v>116</v>
      </c>
      <c r="B8">
        <v>9</v>
      </c>
    </row>
    <row r="9" spans="1:2" x14ac:dyDescent="0.2">
      <c r="A9" t="s">
        <v>120</v>
      </c>
      <c r="B9">
        <v>10</v>
      </c>
    </row>
    <row r="10" spans="1:2" x14ac:dyDescent="0.2">
      <c r="A10" t="s">
        <v>123</v>
      </c>
      <c r="B10">
        <v>11</v>
      </c>
    </row>
    <row r="11" spans="1:2" x14ac:dyDescent="0.2">
      <c r="A11" t="s">
        <v>126</v>
      </c>
      <c r="B11">
        <v>12</v>
      </c>
    </row>
    <row r="12" spans="1:2" x14ac:dyDescent="0.2">
      <c r="A12" t="s">
        <v>129</v>
      </c>
      <c r="B12">
        <v>13</v>
      </c>
    </row>
    <row r="13" spans="1:2" x14ac:dyDescent="0.2">
      <c r="A13" t="s">
        <v>132</v>
      </c>
      <c r="B13">
        <v>14</v>
      </c>
    </row>
    <row r="14" spans="1:2" x14ac:dyDescent="0.2">
      <c r="A14" t="s">
        <v>135</v>
      </c>
      <c r="B14">
        <v>15</v>
      </c>
    </row>
    <row r="15" spans="1:2" x14ac:dyDescent="0.2">
      <c r="A15" t="s">
        <v>137</v>
      </c>
      <c r="B15">
        <v>16</v>
      </c>
    </row>
    <row r="16" spans="1:2" x14ac:dyDescent="0.2">
      <c r="A16" t="s">
        <v>139</v>
      </c>
      <c r="B16">
        <v>17</v>
      </c>
    </row>
    <row r="17" spans="1:2" x14ac:dyDescent="0.2">
      <c r="A17" t="s">
        <v>141</v>
      </c>
      <c r="B17">
        <v>18</v>
      </c>
    </row>
    <row r="18" spans="1:2" x14ac:dyDescent="0.2">
      <c r="A18" t="s">
        <v>144</v>
      </c>
      <c r="B18">
        <v>19</v>
      </c>
    </row>
    <row r="19" spans="1:2" x14ac:dyDescent="0.2">
      <c r="A19" t="s">
        <v>146</v>
      </c>
      <c r="B19">
        <v>20</v>
      </c>
    </row>
    <row r="20" spans="1:2" x14ac:dyDescent="0.2">
      <c r="A20" t="s">
        <v>149</v>
      </c>
      <c r="B20">
        <v>21</v>
      </c>
    </row>
    <row r="21" spans="1:2" x14ac:dyDescent="0.2">
      <c r="A21" t="s">
        <v>152</v>
      </c>
      <c r="B21">
        <v>22</v>
      </c>
    </row>
    <row r="22" spans="1:2" x14ac:dyDescent="0.2">
      <c r="A22" t="s">
        <v>156</v>
      </c>
      <c r="B22">
        <v>23</v>
      </c>
    </row>
    <row r="23" spans="1:2" x14ac:dyDescent="0.2">
      <c r="A23" t="s">
        <v>159</v>
      </c>
      <c r="B23">
        <v>24</v>
      </c>
    </row>
    <row r="24" spans="1:2" x14ac:dyDescent="0.2">
      <c r="A24" t="s">
        <v>163</v>
      </c>
      <c r="B24">
        <v>25</v>
      </c>
    </row>
    <row r="25" spans="1:2" x14ac:dyDescent="0.2">
      <c r="A25" t="s">
        <v>166</v>
      </c>
      <c r="B25">
        <v>26</v>
      </c>
    </row>
    <row r="26" spans="1:2" x14ac:dyDescent="0.2">
      <c r="A26" t="s">
        <v>169</v>
      </c>
      <c r="B26">
        <v>27</v>
      </c>
    </row>
    <row r="27" spans="1:2" x14ac:dyDescent="0.2">
      <c r="A27" t="s">
        <v>173</v>
      </c>
      <c r="B27">
        <v>28</v>
      </c>
    </row>
    <row r="28" spans="1:2" x14ac:dyDescent="0.2">
      <c r="A28" t="s">
        <v>176</v>
      </c>
      <c r="B28">
        <v>29</v>
      </c>
    </row>
    <row r="29" spans="1:2" x14ac:dyDescent="0.2">
      <c r="A29" t="s">
        <v>179</v>
      </c>
      <c r="B29">
        <v>30</v>
      </c>
    </row>
    <row r="30" spans="1:2" x14ac:dyDescent="0.2">
      <c r="A30" t="s">
        <v>181</v>
      </c>
      <c r="B30">
        <v>31</v>
      </c>
    </row>
    <row r="31" spans="1:2" x14ac:dyDescent="0.2">
      <c r="A31" t="s">
        <v>183</v>
      </c>
      <c r="B31">
        <v>33</v>
      </c>
    </row>
    <row r="32" spans="1:2" x14ac:dyDescent="0.2">
      <c r="A32" t="s">
        <v>185</v>
      </c>
      <c r="B32">
        <v>34</v>
      </c>
    </row>
    <row r="33" spans="1:2" x14ac:dyDescent="0.2">
      <c r="A33" t="s">
        <v>187</v>
      </c>
      <c r="B33">
        <v>35</v>
      </c>
    </row>
    <row r="34" spans="1:2" x14ac:dyDescent="0.2">
      <c r="A34" t="s">
        <v>189</v>
      </c>
      <c r="B34">
        <v>36</v>
      </c>
    </row>
    <row r="35" spans="1:2" x14ac:dyDescent="0.2">
      <c r="A35" t="s">
        <v>191</v>
      </c>
      <c r="B35">
        <v>37</v>
      </c>
    </row>
    <row r="36" spans="1:2" x14ac:dyDescent="0.2">
      <c r="A36" t="s">
        <v>194</v>
      </c>
      <c r="B36">
        <v>38</v>
      </c>
    </row>
    <row r="37" spans="1:2" x14ac:dyDescent="0.2">
      <c r="A37" t="s">
        <v>196</v>
      </c>
      <c r="B37">
        <v>39</v>
      </c>
    </row>
    <row r="38" spans="1:2" x14ac:dyDescent="0.2">
      <c r="A38" t="s">
        <v>198</v>
      </c>
      <c r="B38">
        <v>40</v>
      </c>
    </row>
    <row r="39" spans="1:2" x14ac:dyDescent="0.2">
      <c r="A39" t="s">
        <v>200</v>
      </c>
      <c r="B39">
        <v>41</v>
      </c>
    </row>
    <row r="40" spans="1:2" x14ac:dyDescent="0.2">
      <c r="A40" t="s">
        <v>202</v>
      </c>
      <c r="B40">
        <v>42</v>
      </c>
    </row>
    <row r="41" spans="1:2" x14ac:dyDescent="0.2">
      <c r="A41" t="s">
        <v>204</v>
      </c>
      <c r="B41">
        <v>43</v>
      </c>
    </row>
    <row r="42" spans="1:2" x14ac:dyDescent="0.2">
      <c r="A42" t="s">
        <v>206</v>
      </c>
      <c r="B42">
        <v>44</v>
      </c>
    </row>
    <row r="43" spans="1:2" x14ac:dyDescent="0.2">
      <c r="A43" t="s">
        <v>208</v>
      </c>
      <c r="B43">
        <v>45</v>
      </c>
    </row>
    <row r="44" spans="1:2" x14ac:dyDescent="0.2">
      <c r="A44" t="s">
        <v>210</v>
      </c>
      <c r="B44">
        <v>46</v>
      </c>
    </row>
    <row r="45" spans="1:2" x14ac:dyDescent="0.2">
      <c r="A45" t="s">
        <v>212</v>
      </c>
      <c r="B45">
        <v>47</v>
      </c>
    </row>
    <row r="46" spans="1:2" x14ac:dyDescent="0.2">
      <c r="A46" t="s">
        <v>214</v>
      </c>
      <c r="B46">
        <v>48</v>
      </c>
    </row>
    <row r="47" spans="1:2" x14ac:dyDescent="0.2">
      <c r="A47" t="s">
        <v>216</v>
      </c>
      <c r="B47">
        <v>49</v>
      </c>
    </row>
    <row r="48" spans="1:2" x14ac:dyDescent="0.2">
      <c r="A48" t="s">
        <v>218</v>
      </c>
      <c r="B48">
        <v>50</v>
      </c>
    </row>
    <row r="49" spans="1:2" x14ac:dyDescent="0.2">
      <c r="A49" t="s">
        <v>220</v>
      </c>
      <c r="B49">
        <v>51</v>
      </c>
    </row>
    <row r="50" spans="1:2" x14ac:dyDescent="0.2">
      <c r="A50" t="s">
        <v>222</v>
      </c>
      <c r="B50">
        <v>52</v>
      </c>
    </row>
    <row r="51" spans="1:2" x14ac:dyDescent="0.2">
      <c r="A51" t="s">
        <v>224</v>
      </c>
      <c r="B51">
        <v>53</v>
      </c>
    </row>
    <row r="52" spans="1:2" x14ac:dyDescent="0.2">
      <c r="A52" t="s">
        <v>226</v>
      </c>
      <c r="B52">
        <v>54</v>
      </c>
    </row>
    <row r="53" spans="1:2" x14ac:dyDescent="0.2">
      <c r="A53" t="s">
        <v>228</v>
      </c>
      <c r="B53">
        <v>55</v>
      </c>
    </row>
    <row r="54" spans="1:2" x14ac:dyDescent="0.2">
      <c r="A54" t="s">
        <v>231</v>
      </c>
      <c r="B54">
        <v>57</v>
      </c>
    </row>
    <row r="55" spans="1:2" x14ac:dyDescent="0.2">
      <c r="A55" t="s">
        <v>234</v>
      </c>
      <c r="B55">
        <v>58</v>
      </c>
    </row>
    <row r="56" spans="1:2" x14ac:dyDescent="0.2">
      <c r="A56" t="s">
        <v>236</v>
      </c>
      <c r="B56">
        <v>59</v>
      </c>
    </row>
    <row r="57" spans="1:2" x14ac:dyDescent="0.2">
      <c r="A57" t="s">
        <v>239</v>
      </c>
      <c r="B57">
        <v>61</v>
      </c>
    </row>
    <row r="58" spans="1:2" x14ac:dyDescent="0.2">
      <c r="A58" t="s">
        <v>241</v>
      </c>
      <c r="B58">
        <v>62</v>
      </c>
    </row>
    <row r="59" spans="1:2" x14ac:dyDescent="0.2">
      <c r="A59" t="s">
        <v>244</v>
      </c>
      <c r="B59">
        <v>63</v>
      </c>
    </row>
    <row r="60" spans="1:2" x14ac:dyDescent="0.2">
      <c r="A60" t="s">
        <v>246</v>
      </c>
      <c r="B60">
        <v>64</v>
      </c>
    </row>
    <row r="61" spans="1:2" x14ac:dyDescent="0.2">
      <c r="A61" t="s">
        <v>248</v>
      </c>
      <c r="B61">
        <v>65</v>
      </c>
    </row>
    <row r="62" spans="1:2" x14ac:dyDescent="0.2">
      <c r="A62" t="s">
        <v>251</v>
      </c>
      <c r="B62">
        <v>67</v>
      </c>
    </row>
    <row r="63" spans="1:2" x14ac:dyDescent="0.2">
      <c r="A63" t="s">
        <v>253</v>
      </c>
      <c r="B63">
        <v>68</v>
      </c>
    </row>
    <row r="64" spans="1:2" x14ac:dyDescent="0.2">
      <c r="A64" t="s">
        <v>256</v>
      </c>
      <c r="B64">
        <v>69</v>
      </c>
    </row>
    <row r="65" spans="1:24" x14ac:dyDescent="0.2">
      <c r="A65" t="s">
        <v>258</v>
      </c>
      <c r="B65">
        <v>70</v>
      </c>
    </row>
    <row r="66" spans="1:24" x14ac:dyDescent="0.2">
      <c r="A66" t="s">
        <v>260</v>
      </c>
      <c r="B66">
        <v>71</v>
      </c>
    </row>
    <row r="67" spans="1:24" x14ac:dyDescent="0.2">
      <c r="A67" t="s">
        <v>262</v>
      </c>
      <c r="B67" t="s">
        <v>263</v>
      </c>
    </row>
    <row r="68" spans="1:24" x14ac:dyDescent="0.2">
      <c r="A68" t="s">
        <v>264</v>
      </c>
      <c r="B68" t="s">
        <v>265</v>
      </c>
    </row>
    <row r="69" spans="1:24" x14ac:dyDescent="0.2">
      <c r="A69" t="s">
        <v>273</v>
      </c>
      <c r="B69" t="s">
        <v>274</v>
      </c>
    </row>
    <row r="70" spans="1:24" x14ac:dyDescent="0.2">
      <c r="A70" t="s">
        <v>276</v>
      </c>
      <c r="B70" t="s">
        <v>277</v>
      </c>
    </row>
    <row r="71" spans="1:24" x14ac:dyDescent="0.2">
      <c r="A71" t="s">
        <v>279</v>
      </c>
      <c r="B71" t="s">
        <v>280</v>
      </c>
    </row>
    <row r="72" spans="1:24" x14ac:dyDescent="0.2">
      <c r="A72" t="s">
        <v>282</v>
      </c>
      <c r="B72" t="s">
        <v>283</v>
      </c>
    </row>
    <row r="73" spans="1:24" x14ac:dyDescent="0.2">
      <c r="A73" t="s">
        <v>286</v>
      </c>
      <c r="B73" t="s">
        <v>287</v>
      </c>
    </row>
    <row r="74" spans="1:24" x14ac:dyDescent="0.2">
      <c r="A74" t="s">
        <v>302</v>
      </c>
      <c r="B74" t="s">
        <v>61</v>
      </c>
      <c r="C74" t="s">
        <v>45</v>
      </c>
      <c r="D74" t="s">
        <v>65</v>
      </c>
      <c r="E74" t="s">
        <v>47</v>
      </c>
      <c r="F74" t="s">
        <v>67</v>
      </c>
      <c r="G74" t="s">
        <v>71</v>
      </c>
      <c r="H74" t="s">
        <v>21</v>
      </c>
      <c r="I74" t="s">
        <v>39</v>
      </c>
      <c r="J74" t="s">
        <v>51</v>
      </c>
      <c r="K74" t="s">
        <v>49</v>
      </c>
      <c r="L74" t="s">
        <v>25</v>
      </c>
      <c r="M74" t="s">
        <v>41</v>
      </c>
      <c r="N74" t="s">
        <v>69</v>
      </c>
      <c r="O74" t="s">
        <v>63</v>
      </c>
      <c r="P74" t="s">
        <v>7</v>
      </c>
      <c r="Q74" t="s">
        <v>19</v>
      </c>
      <c r="R74" t="s">
        <v>11</v>
      </c>
      <c r="S74" t="s">
        <v>73</v>
      </c>
      <c r="T74" t="s">
        <v>59</v>
      </c>
      <c r="U74" t="s">
        <v>75</v>
      </c>
      <c r="V74" t="s">
        <v>23</v>
      </c>
      <c r="W74" t="s">
        <v>15</v>
      </c>
      <c r="X74" t="s">
        <v>55</v>
      </c>
    </row>
    <row r="75" spans="1:24" x14ac:dyDescent="0.2">
      <c r="A75" t="s">
        <v>304</v>
      </c>
      <c r="B75">
        <v>1</v>
      </c>
    </row>
    <row r="76" spans="1:24" x14ac:dyDescent="0.2">
      <c r="A76" t="s">
        <v>305</v>
      </c>
      <c r="B76">
        <v>2</v>
      </c>
    </row>
    <row r="77" spans="1:24" x14ac:dyDescent="0.2">
      <c r="A77" t="s">
        <v>306</v>
      </c>
      <c r="B77">
        <v>3</v>
      </c>
    </row>
    <row r="78" spans="1:24" x14ac:dyDescent="0.2">
      <c r="A78" t="s">
        <v>307</v>
      </c>
      <c r="B78">
        <v>4</v>
      </c>
    </row>
    <row r="79" spans="1:24" x14ac:dyDescent="0.2">
      <c r="A79" t="s">
        <v>308</v>
      </c>
      <c r="B79">
        <v>5</v>
      </c>
    </row>
    <row r="80" spans="1:24" x14ac:dyDescent="0.2">
      <c r="A80" t="s">
        <v>309</v>
      </c>
      <c r="B80">
        <v>6</v>
      </c>
    </row>
    <row r="81" spans="1:2" x14ac:dyDescent="0.2">
      <c r="A81" t="s">
        <v>312</v>
      </c>
      <c r="B81">
        <v>8</v>
      </c>
    </row>
    <row r="82" spans="1:2" x14ac:dyDescent="0.2">
      <c r="A82" t="s">
        <v>313</v>
      </c>
      <c r="B82">
        <v>9</v>
      </c>
    </row>
    <row r="83" spans="1:2" x14ac:dyDescent="0.2">
      <c r="A83" t="s">
        <v>314</v>
      </c>
      <c r="B83">
        <v>10</v>
      </c>
    </row>
    <row r="84" spans="1:2" x14ac:dyDescent="0.2">
      <c r="A84" t="s">
        <v>315</v>
      </c>
      <c r="B84">
        <v>11</v>
      </c>
    </row>
    <row r="85" spans="1:2" x14ac:dyDescent="0.2">
      <c r="A85" t="s">
        <v>316</v>
      </c>
      <c r="B85">
        <v>12</v>
      </c>
    </row>
    <row r="86" spans="1:2" x14ac:dyDescent="0.2">
      <c r="A86" t="s">
        <v>317</v>
      </c>
      <c r="B86">
        <v>13</v>
      </c>
    </row>
    <row r="87" spans="1:2" x14ac:dyDescent="0.2">
      <c r="A87" t="s">
        <v>318</v>
      </c>
      <c r="B87">
        <v>14</v>
      </c>
    </row>
    <row r="88" spans="1:2" x14ac:dyDescent="0.2">
      <c r="A88" t="s">
        <v>319</v>
      </c>
      <c r="B88">
        <v>15</v>
      </c>
    </row>
    <row r="89" spans="1:2" x14ac:dyDescent="0.2">
      <c r="A89" t="s">
        <v>320</v>
      </c>
      <c r="B89">
        <v>16</v>
      </c>
    </row>
    <row r="90" spans="1:2" x14ac:dyDescent="0.2">
      <c r="A90" t="s">
        <v>321</v>
      </c>
      <c r="B90">
        <v>17</v>
      </c>
    </row>
    <row r="91" spans="1:2" x14ac:dyDescent="0.2">
      <c r="A91" t="s">
        <v>322</v>
      </c>
      <c r="B91">
        <v>18</v>
      </c>
    </row>
    <row r="92" spans="1:2" x14ac:dyDescent="0.2">
      <c r="A92" t="s">
        <v>323</v>
      </c>
      <c r="B92">
        <v>19</v>
      </c>
    </row>
    <row r="93" spans="1:2" x14ac:dyDescent="0.2">
      <c r="A93" t="s">
        <v>324</v>
      </c>
      <c r="B93">
        <v>20</v>
      </c>
    </row>
    <row r="94" spans="1:2" x14ac:dyDescent="0.2">
      <c r="A94" t="s">
        <v>325</v>
      </c>
      <c r="B94">
        <v>21</v>
      </c>
    </row>
    <row r="95" spans="1:2" x14ac:dyDescent="0.2">
      <c r="A95" t="s">
        <v>326</v>
      </c>
      <c r="B95">
        <v>22</v>
      </c>
    </row>
    <row r="96" spans="1:2" x14ac:dyDescent="0.2">
      <c r="A96" t="s">
        <v>327</v>
      </c>
      <c r="B96">
        <v>23</v>
      </c>
    </row>
    <row r="97" spans="1:2" x14ac:dyDescent="0.2">
      <c r="A97" t="s">
        <v>328</v>
      </c>
      <c r="B97">
        <v>24</v>
      </c>
    </row>
    <row r="98" spans="1:2" x14ac:dyDescent="0.2">
      <c r="A98" t="s">
        <v>329</v>
      </c>
      <c r="B98">
        <v>25</v>
      </c>
    </row>
    <row r="99" spans="1:2" x14ac:dyDescent="0.2">
      <c r="A99" t="s">
        <v>330</v>
      </c>
      <c r="B99">
        <v>26</v>
      </c>
    </row>
    <row r="100" spans="1:2" x14ac:dyDescent="0.2">
      <c r="A100" t="s">
        <v>331</v>
      </c>
      <c r="B100">
        <v>27</v>
      </c>
    </row>
    <row r="101" spans="1:2" x14ac:dyDescent="0.2">
      <c r="A101" t="s">
        <v>332</v>
      </c>
      <c r="B101">
        <v>28</v>
      </c>
    </row>
    <row r="102" spans="1:2" x14ac:dyDescent="0.2">
      <c r="A102" t="s">
        <v>333</v>
      </c>
      <c r="B102">
        <v>29</v>
      </c>
    </row>
    <row r="103" spans="1:2" x14ac:dyDescent="0.2">
      <c r="A103" t="s">
        <v>335</v>
      </c>
      <c r="B103">
        <v>31</v>
      </c>
    </row>
    <row r="104" spans="1:2" x14ac:dyDescent="0.2">
      <c r="A104" t="s">
        <v>336</v>
      </c>
      <c r="B104">
        <v>32</v>
      </c>
    </row>
    <row r="105" spans="1:2" x14ac:dyDescent="0.2">
      <c r="A105" t="s">
        <v>337</v>
      </c>
      <c r="B105">
        <v>33</v>
      </c>
    </row>
    <row r="106" spans="1:2" x14ac:dyDescent="0.2">
      <c r="A106" t="s">
        <v>338</v>
      </c>
      <c r="B106">
        <v>34</v>
      </c>
    </row>
    <row r="107" spans="1:2" x14ac:dyDescent="0.2">
      <c r="A107" t="s">
        <v>339</v>
      </c>
      <c r="B107">
        <v>35</v>
      </c>
    </row>
    <row r="108" spans="1:2" x14ac:dyDescent="0.2">
      <c r="A108" t="s">
        <v>340</v>
      </c>
      <c r="B108">
        <v>36</v>
      </c>
    </row>
    <row r="109" spans="1:2" x14ac:dyDescent="0.2">
      <c r="A109" t="s">
        <v>341</v>
      </c>
      <c r="B109">
        <v>37</v>
      </c>
    </row>
    <row r="110" spans="1:2" x14ac:dyDescent="0.2">
      <c r="A110" t="s">
        <v>342</v>
      </c>
      <c r="B110">
        <v>38</v>
      </c>
    </row>
    <row r="111" spans="1:2" x14ac:dyDescent="0.2">
      <c r="A111" t="s">
        <v>343</v>
      </c>
      <c r="B111">
        <v>39</v>
      </c>
    </row>
    <row r="112" spans="1:2" x14ac:dyDescent="0.2">
      <c r="A112" t="s">
        <v>344</v>
      </c>
      <c r="B112">
        <v>40</v>
      </c>
    </row>
    <row r="113" spans="1:2" x14ac:dyDescent="0.2">
      <c r="A113" t="s">
        <v>345</v>
      </c>
      <c r="B113">
        <v>41</v>
      </c>
    </row>
    <row r="114" spans="1:2" x14ac:dyDescent="0.2">
      <c r="A114" t="s">
        <v>346</v>
      </c>
      <c r="B114">
        <v>42</v>
      </c>
    </row>
    <row r="115" spans="1:2" x14ac:dyDescent="0.2">
      <c r="A115" t="s">
        <v>347</v>
      </c>
      <c r="B115">
        <v>43</v>
      </c>
    </row>
    <row r="116" spans="1:2" x14ac:dyDescent="0.2">
      <c r="A116" t="s">
        <v>348</v>
      </c>
      <c r="B116">
        <v>44</v>
      </c>
    </row>
    <row r="117" spans="1:2" x14ac:dyDescent="0.2">
      <c r="A117" t="s">
        <v>349</v>
      </c>
      <c r="B117">
        <v>45</v>
      </c>
    </row>
    <row r="118" spans="1:2" x14ac:dyDescent="0.2">
      <c r="A118" t="s">
        <v>350</v>
      </c>
      <c r="B118">
        <v>46</v>
      </c>
    </row>
    <row r="119" spans="1:2" x14ac:dyDescent="0.2">
      <c r="A119" t="s">
        <v>351</v>
      </c>
      <c r="B119">
        <v>47</v>
      </c>
    </row>
    <row r="120" spans="1:2" x14ac:dyDescent="0.2">
      <c r="A120" t="s">
        <v>352</v>
      </c>
      <c r="B120">
        <v>48</v>
      </c>
    </row>
    <row r="121" spans="1:2" x14ac:dyDescent="0.2">
      <c r="A121" t="s">
        <v>353</v>
      </c>
      <c r="B121">
        <v>49</v>
      </c>
    </row>
    <row r="122" spans="1:2" x14ac:dyDescent="0.2">
      <c r="A122" t="s">
        <v>354</v>
      </c>
      <c r="B122">
        <v>50</v>
      </c>
    </row>
    <row r="123" spans="1:2" x14ac:dyDescent="0.2">
      <c r="A123" t="s">
        <v>355</v>
      </c>
      <c r="B123">
        <v>51</v>
      </c>
    </row>
    <row r="124" spans="1:2" x14ac:dyDescent="0.2">
      <c r="A124" t="s">
        <v>356</v>
      </c>
      <c r="B124">
        <v>52</v>
      </c>
    </row>
    <row r="125" spans="1:2" x14ac:dyDescent="0.2">
      <c r="A125" t="s">
        <v>359</v>
      </c>
      <c r="B125">
        <v>54</v>
      </c>
    </row>
    <row r="126" spans="1:2" x14ac:dyDescent="0.2">
      <c r="A126" t="s">
        <v>361</v>
      </c>
      <c r="B126">
        <v>55</v>
      </c>
    </row>
    <row r="127" spans="1:2" x14ac:dyDescent="0.2">
      <c r="A127" t="s">
        <v>363</v>
      </c>
      <c r="B127">
        <v>56</v>
      </c>
    </row>
    <row r="128" spans="1:2" x14ac:dyDescent="0.2">
      <c r="A128" t="s">
        <v>364</v>
      </c>
      <c r="B128">
        <v>57</v>
      </c>
    </row>
    <row r="129" spans="1:23" x14ac:dyDescent="0.2">
      <c r="A129" t="s">
        <v>365</v>
      </c>
      <c r="B129">
        <v>58</v>
      </c>
    </row>
    <row r="130" spans="1:23" x14ac:dyDescent="0.2">
      <c r="A130" t="s">
        <v>367</v>
      </c>
      <c r="B130" t="s">
        <v>368</v>
      </c>
    </row>
    <row r="131" spans="1:23" x14ac:dyDescent="0.2">
      <c r="A131" t="s">
        <v>369</v>
      </c>
      <c r="B131" t="s">
        <v>370</v>
      </c>
    </row>
    <row r="132" spans="1:23" x14ac:dyDescent="0.2">
      <c r="A132" t="s">
        <v>371</v>
      </c>
      <c r="B132" t="s">
        <v>372</v>
      </c>
    </row>
    <row r="133" spans="1:23" x14ac:dyDescent="0.2">
      <c r="A133" t="s">
        <v>373</v>
      </c>
      <c r="B133" t="s">
        <v>374</v>
      </c>
    </row>
    <row r="134" spans="1:23" x14ac:dyDescent="0.2">
      <c r="A134" t="s">
        <v>375</v>
      </c>
      <c r="B134" t="s">
        <v>376</v>
      </c>
    </row>
    <row r="135" spans="1:23" x14ac:dyDescent="0.2">
      <c r="A135" t="s">
        <v>377</v>
      </c>
      <c r="B135" t="s">
        <v>378</v>
      </c>
    </row>
    <row r="136" spans="1:23" x14ac:dyDescent="0.2">
      <c r="A136" t="s">
        <v>379</v>
      </c>
      <c r="B136" t="s">
        <v>380</v>
      </c>
    </row>
    <row r="137" spans="1:23" x14ac:dyDescent="0.2">
      <c r="A137" t="s">
        <v>384</v>
      </c>
      <c r="B137" t="s">
        <v>73</v>
      </c>
      <c r="C137" t="s">
        <v>11</v>
      </c>
      <c r="D137" t="s">
        <v>45</v>
      </c>
      <c r="E137" t="s">
        <v>61</v>
      </c>
      <c r="F137" t="s">
        <v>69</v>
      </c>
      <c r="G137" t="s">
        <v>71</v>
      </c>
      <c r="H137" t="s">
        <v>49</v>
      </c>
      <c r="I137" t="s">
        <v>67</v>
      </c>
      <c r="J137" t="s">
        <v>47</v>
      </c>
      <c r="K137" t="s">
        <v>59</v>
      </c>
      <c r="L137" t="s">
        <v>65</v>
      </c>
      <c r="M137" t="s">
        <v>19</v>
      </c>
      <c r="N137" t="s">
        <v>79</v>
      </c>
      <c r="O137" t="s">
        <v>41</v>
      </c>
      <c r="P137" t="s">
        <v>51</v>
      </c>
      <c r="Q137" t="s">
        <v>75</v>
      </c>
      <c r="R137" t="s">
        <v>39</v>
      </c>
      <c r="S137" t="s">
        <v>15</v>
      </c>
      <c r="T137" t="s">
        <v>23</v>
      </c>
      <c r="U137" t="s">
        <v>63</v>
      </c>
      <c r="V137" t="s">
        <v>7</v>
      </c>
      <c r="W137" t="s">
        <v>55</v>
      </c>
    </row>
    <row r="138" spans="1:23" x14ac:dyDescent="0.2">
      <c r="A138" t="s">
        <v>386</v>
      </c>
      <c r="B138">
        <v>1</v>
      </c>
    </row>
    <row r="139" spans="1:23" x14ac:dyDescent="0.2">
      <c r="A139" t="s">
        <v>387</v>
      </c>
      <c r="B139">
        <v>2</v>
      </c>
    </row>
    <row r="140" spans="1:23" x14ac:dyDescent="0.2">
      <c r="A140" t="s">
        <v>388</v>
      </c>
      <c r="B140">
        <v>3</v>
      </c>
    </row>
    <row r="141" spans="1:23" x14ac:dyDescent="0.2">
      <c r="A141" t="s">
        <v>389</v>
      </c>
      <c r="B141">
        <v>4</v>
      </c>
    </row>
    <row r="142" spans="1:23" x14ac:dyDescent="0.2">
      <c r="A142" t="s">
        <v>390</v>
      </c>
      <c r="B142">
        <v>5</v>
      </c>
    </row>
    <row r="143" spans="1:23" x14ac:dyDescent="0.2">
      <c r="A143" t="s">
        <v>391</v>
      </c>
      <c r="B143">
        <v>6</v>
      </c>
    </row>
    <row r="144" spans="1:23" x14ac:dyDescent="0.2">
      <c r="A144" t="s">
        <v>392</v>
      </c>
      <c r="B144">
        <v>8</v>
      </c>
    </row>
    <row r="145" spans="1:2" x14ac:dyDescent="0.2">
      <c r="A145" t="s">
        <v>393</v>
      </c>
      <c r="B145">
        <v>9</v>
      </c>
    </row>
    <row r="146" spans="1:2" x14ac:dyDescent="0.2">
      <c r="A146" t="s">
        <v>394</v>
      </c>
      <c r="B146">
        <v>10</v>
      </c>
    </row>
    <row r="147" spans="1:2" x14ac:dyDescent="0.2">
      <c r="A147" t="s">
        <v>395</v>
      </c>
      <c r="B147">
        <v>11</v>
      </c>
    </row>
    <row r="148" spans="1:2" x14ac:dyDescent="0.2">
      <c r="A148" t="s">
        <v>396</v>
      </c>
      <c r="B148">
        <v>12</v>
      </c>
    </row>
    <row r="149" spans="1:2" x14ac:dyDescent="0.2">
      <c r="A149" t="s">
        <v>397</v>
      </c>
      <c r="B149">
        <v>13</v>
      </c>
    </row>
    <row r="150" spans="1:2" x14ac:dyDescent="0.2">
      <c r="A150" t="s">
        <v>398</v>
      </c>
      <c r="B150">
        <v>14</v>
      </c>
    </row>
    <row r="151" spans="1:2" x14ac:dyDescent="0.2">
      <c r="A151" t="s">
        <v>399</v>
      </c>
      <c r="B151">
        <v>15</v>
      </c>
    </row>
    <row r="152" spans="1:2" x14ac:dyDescent="0.2">
      <c r="A152" t="s">
        <v>400</v>
      </c>
      <c r="B152">
        <v>16</v>
      </c>
    </row>
    <row r="153" spans="1:2" x14ac:dyDescent="0.2">
      <c r="A153" t="s">
        <v>401</v>
      </c>
      <c r="B153">
        <v>17</v>
      </c>
    </row>
    <row r="154" spans="1:2" x14ac:dyDescent="0.2">
      <c r="A154" t="s">
        <v>402</v>
      </c>
      <c r="B154">
        <v>18</v>
      </c>
    </row>
    <row r="155" spans="1:2" x14ac:dyDescent="0.2">
      <c r="A155" t="s">
        <v>403</v>
      </c>
      <c r="B155">
        <v>19</v>
      </c>
    </row>
    <row r="156" spans="1:2" x14ac:dyDescent="0.2">
      <c r="A156" t="s">
        <v>404</v>
      </c>
      <c r="B156">
        <v>20</v>
      </c>
    </row>
    <row r="157" spans="1:2" x14ac:dyDescent="0.2">
      <c r="A157" t="s">
        <v>405</v>
      </c>
      <c r="B157">
        <v>21</v>
      </c>
    </row>
    <row r="158" spans="1:2" x14ac:dyDescent="0.2">
      <c r="A158" t="s">
        <v>406</v>
      </c>
      <c r="B158">
        <v>22</v>
      </c>
    </row>
    <row r="159" spans="1:2" x14ac:dyDescent="0.2">
      <c r="A159" t="s">
        <v>407</v>
      </c>
      <c r="B159">
        <v>23</v>
      </c>
    </row>
    <row r="160" spans="1:2" x14ac:dyDescent="0.2">
      <c r="A160" t="s">
        <v>408</v>
      </c>
      <c r="B160">
        <v>24</v>
      </c>
    </row>
    <row r="161" spans="1:2" x14ac:dyDescent="0.2">
      <c r="A161" t="s">
        <v>409</v>
      </c>
      <c r="B161">
        <v>25</v>
      </c>
    </row>
    <row r="162" spans="1:2" x14ac:dyDescent="0.2">
      <c r="A162" t="s">
        <v>410</v>
      </c>
      <c r="B162">
        <v>26</v>
      </c>
    </row>
    <row r="163" spans="1:2" x14ac:dyDescent="0.2">
      <c r="A163" t="s">
        <v>411</v>
      </c>
      <c r="B163">
        <v>27</v>
      </c>
    </row>
    <row r="164" spans="1:2" x14ac:dyDescent="0.2">
      <c r="A164" t="s">
        <v>412</v>
      </c>
      <c r="B164">
        <v>28</v>
      </c>
    </row>
    <row r="165" spans="1:2" x14ac:dyDescent="0.2">
      <c r="A165" t="s">
        <v>413</v>
      </c>
      <c r="B165">
        <v>29</v>
      </c>
    </row>
    <row r="166" spans="1:2" x14ac:dyDescent="0.2">
      <c r="A166" t="s">
        <v>414</v>
      </c>
      <c r="B166">
        <v>31</v>
      </c>
    </row>
    <row r="167" spans="1:2" x14ac:dyDescent="0.2">
      <c r="A167" t="s">
        <v>415</v>
      </c>
      <c r="B167">
        <v>32</v>
      </c>
    </row>
    <row r="168" spans="1:2" x14ac:dyDescent="0.2">
      <c r="A168" t="s">
        <v>416</v>
      </c>
      <c r="B168">
        <v>33</v>
      </c>
    </row>
    <row r="169" spans="1:2" x14ac:dyDescent="0.2">
      <c r="A169" t="s">
        <v>417</v>
      </c>
      <c r="B169">
        <v>34</v>
      </c>
    </row>
    <row r="170" spans="1:2" x14ac:dyDescent="0.2">
      <c r="A170" t="s">
        <v>418</v>
      </c>
      <c r="B170">
        <v>35</v>
      </c>
    </row>
    <row r="171" spans="1:2" x14ac:dyDescent="0.2">
      <c r="A171" t="s">
        <v>419</v>
      </c>
      <c r="B171">
        <v>36</v>
      </c>
    </row>
    <row r="172" spans="1:2" x14ac:dyDescent="0.2">
      <c r="A172" t="s">
        <v>420</v>
      </c>
      <c r="B172">
        <v>37</v>
      </c>
    </row>
    <row r="173" spans="1:2" x14ac:dyDescent="0.2">
      <c r="A173" t="s">
        <v>421</v>
      </c>
      <c r="B173">
        <v>38</v>
      </c>
    </row>
    <row r="174" spans="1:2" x14ac:dyDescent="0.2">
      <c r="A174" t="s">
        <v>422</v>
      </c>
      <c r="B174">
        <v>39</v>
      </c>
    </row>
    <row r="175" spans="1:2" x14ac:dyDescent="0.2">
      <c r="A175" t="s">
        <v>423</v>
      </c>
      <c r="B175">
        <v>40</v>
      </c>
    </row>
    <row r="176" spans="1:2" x14ac:dyDescent="0.2">
      <c r="A176" t="s">
        <v>424</v>
      </c>
      <c r="B176">
        <v>41</v>
      </c>
    </row>
    <row r="177" spans="1:2" x14ac:dyDescent="0.2">
      <c r="A177" t="s">
        <v>425</v>
      </c>
      <c r="B177">
        <v>42</v>
      </c>
    </row>
    <row r="178" spans="1:2" x14ac:dyDescent="0.2">
      <c r="A178" t="s">
        <v>426</v>
      </c>
      <c r="B178">
        <v>43</v>
      </c>
    </row>
    <row r="179" spans="1:2" x14ac:dyDescent="0.2">
      <c r="A179" t="s">
        <v>427</v>
      </c>
      <c r="B179">
        <v>44</v>
      </c>
    </row>
    <row r="180" spans="1:2" x14ac:dyDescent="0.2">
      <c r="A180" t="s">
        <v>428</v>
      </c>
      <c r="B180">
        <v>45</v>
      </c>
    </row>
    <row r="181" spans="1:2" x14ac:dyDescent="0.2">
      <c r="A181" t="s">
        <v>429</v>
      </c>
      <c r="B181">
        <v>46</v>
      </c>
    </row>
    <row r="182" spans="1:2" x14ac:dyDescent="0.2">
      <c r="A182" t="s">
        <v>430</v>
      </c>
      <c r="B182">
        <v>47</v>
      </c>
    </row>
    <row r="183" spans="1:2" x14ac:dyDescent="0.2">
      <c r="A183" t="s">
        <v>431</v>
      </c>
      <c r="B183">
        <v>48</v>
      </c>
    </row>
    <row r="184" spans="1:2" x14ac:dyDescent="0.2">
      <c r="A184" t="s">
        <v>432</v>
      </c>
      <c r="B184">
        <v>49</v>
      </c>
    </row>
    <row r="185" spans="1:2" x14ac:dyDescent="0.2">
      <c r="A185" t="s">
        <v>433</v>
      </c>
      <c r="B185">
        <v>50</v>
      </c>
    </row>
    <row r="186" spans="1:2" x14ac:dyDescent="0.2">
      <c r="A186" t="s">
        <v>434</v>
      </c>
      <c r="B186">
        <v>51</v>
      </c>
    </row>
    <row r="187" spans="1:2" x14ac:dyDescent="0.2">
      <c r="A187" t="s">
        <v>435</v>
      </c>
      <c r="B187">
        <v>52</v>
      </c>
    </row>
    <row r="188" spans="1:2" x14ac:dyDescent="0.2">
      <c r="A188" t="s">
        <v>436</v>
      </c>
      <c r="B188">
        <v>54</v>
      </c>
    </row>
    <row r="189" spans="1:2" x14ac:dyDescent="0.2">
      <c r="A189" t="s">
        <v>437</v>
      </c>
      <c r="B189">
        <v>55</v>
      </c>
    </row>
    <row r="190" spans="1:2" x14ac:dyDescent="0.2">
      <c r="A190" t="s">
        <v>438</v>
      </c>
      <c r="B190">
        <v>56</v>
      </c>
    </row>
    <row r="191" spans="1:2" x14ac:dyDescent="0.2">
      <c r="A191" t="s">
        <v>439</v>
      </c>
      <c r="B191">
        <v>57</v>
      </c>
    </row>
    <row r="192" spans="1:2" x14ac:dyDescent="0.2">
      <c r="A192" t="s">
        <v>440</v>
      </c>
      <c r="B192">
        <v>58</v>
      </c>
    </row>
    <row r="193" spans="1:23" x14ac:dyDescent="0.2">
      <c r="A193" t="s">
        <v>442</v>
      </c>
      <c r="B193" t="s">
        <v>443</v>
      </c>
    </row>
    <row r="194" spans="1:23" x14ac:dyDescent="0.2">
      <c r="A194" t="s">
        <v>444</v>
      </c>
      <c r="B194" t="s">
        <v>445</v>
      </c>
    </row>
    <row r="195" spans="1:23" x14ac:dyDescent="0.2">
      <c r="A195" t="s">
        <v>446</v>
      </c>
      <c r="B195" t="s">
        <v>447</v>
      </c>
    </row>
    <row r="196" spans="1:23" x14ac:dyDescent="0.2">
      <c r="A196" t="s">
        <v>448</v>
      </c>
      <c r="B196" t="s">
        <v>449</v>
      </c>
    </row>
    <row r="197" spans="1:23" x14ac:dyDescent="0.2">
      <c r="A197" t="s">
        <v>450</v>
      </c>
      <c r="B197" t="s">
        <v>451</v>
      </c>
    </row>
    <row r="198" spans="1:23" x14ac:dyDescent="0.2">
      <c r="A198" t="s">
        <v>452</v>
      </c>
      <c r="B198" t="s">
        <v>453</v>
      </c>
    </row>
    <row r="199" spans="1:23" x14ac:dyDescent="0.2">
      <c r="A199" t="s">
        <v>454</v>
      </c>
      <c r="B199" t="s">
        <v>455</v>
      </c>
    </row>
    <row r="200" spans="1:23" x14ac:dyDescent="0.2">
      <c r="A200" t="s">
        <v>460</v>
      </c>
      <c r="B200" t="s">
        <v>19</v>
      </c>
      <c r="C200" t="s">
        <v>45</v>
      </c>
      <c r="D200" t="s">
        <v>61</v>
      </c>
      <c r="E200" t="s">
        <v>67</v>
      </c>
      <c r="F200" t="s">
        <v>79</v>
      </c>
      <c r="G200" t="s">
        <v>41</v>
      </c>
      <c r="H200" t="s">
        <v>65</v>
      </c>
      <c r="I200" t="s">
        <v>11</v>
      </c>
      <c r="J200" t="s">
        <v>73</v>
      </c>
      <c r="K200" t="s">
        <v>69</v>
      </c>
      <c r="L200" t="s">
        <v>49</v>
      </c>
      <c r="M200" t="s">
        <v>71</v>
      </c>
      <c r="N200" t="s">
        <v>59</v>
      </c>
      <c r="O200" t="s">
        <v>47</v>
      </c>
      <c r="P200" t="s">
        <v>23</v>
      </c>
      <c r="Q200" t="s">
        <v>39</v>
      </c>
      <c r="R200" t="s">
        <v>55</v>
      </c>
      <c r="S200" t="s">
        <v>75</v>
      </c>
      <c r="T200" t="s">
        <v>63</v>
      </c>
      <c r="U200" t="s">
        <v>7</v>
      </c>
      <c r="V200" t="s">
        <v>15</v>
      </c>
      <c r="W200" t="s">
        <v>51</v>
      </c>
    </row>
    <row r="201" spans="1:23" x14ac:dyDescent="0.2">
      <c r="A201" t="s">
        <v>462</v>
      </c>
      <c r="B201">
        <v>1</v>
      </c>
    </row>
    <row r="202" spans="1:23" x14ac:dyDescent="0.2">
      <c r="A202" t="s">
        <v>463</v>
      </c>
      <c r="B202">
        <v>2</v>
      </c>
    </row>
    <row r="203" spans="1:23" x14ac:dyDescent="0.2">
      <c r="A203" t="s">
        <v>464</v>
      </c>
      <c r="B203">
        <v>3</v>
      </c>
    </row>
    <row r="204" spans="1:23" x14ac:dyDescent="0.2">
      <c r="A204" t="s">
        <v>465</v>
      </c>
      <c r="B204">
        <v>4</v>
      </c>
    </row>
    <row r="205" spans="1:23" x14ac:dyDescent="0.2">
      <c r="A205" t="s">
        <v>466</v>
      </c>
      <c r="B205">
        <v>5</v>
      </c>
    </row>
    <row r="206" spans="1:23" x14ac:dyDescent="0.2">
      <c r="A206" t="s">
        <v>467</v>
      </c>
      <c r="B206">
        <v>6</v>
      </c>
    </row>
    <row r="207" spans="1:23" x14ac:dyDescent="0.2">
      <c r="A207" t="s">
        <v>468</v>
      </c>
      <c r="B207">
        <v>7</v>
      </c>
    </row>
    <row r="208" spans="1:23" x14ac:dyDescent="0.2">
      <c r="A208" t="s">
        <v>469</v>
      </c>
      <c r="B208">
        <v>9</v>
      </c>
    </row>
    <row r="209" spans="1:2" x14ac:dyDescent="0.2">
      <c r="A209" t="s">
        <v>470</v>
      </c>
      <c r="B209">
        <v>10</v>
      </c>
    </row>
    <row r="210" spans="1:2" x14ac:dyDescent="0.2">
      <c r="A210" t="s">
        <v>471</v>
      </c>
      <c r="B210">
        <v>11</v>
      </c>
    </row>
    <row r="211" spans="1:2" x14ac:dyDescent="0.2">
      <c r="A211" t="s">
        <v>472</v>
      </c>
      <c r="B211">
        <v>12</v>
      </c>
    </row>
    <row r="212" spans="1:2" x14ac:dyDescent="0.2">
      <c r="A212" t="s">
        <v>473</v>
      </c>
      <c r="B212">
        <v>13</v>
      </c>
    </row>
    <row r="213" spans="1:2" x14ac:dyDescent="0.2">
      <c r="A213" t="s">
        <v>474</v>
      </c>
      <c r="B213">
        <v>14</v>
      </c>
    </row>
    <row r="214" spans="1:2" x14ac:dyDescent="0.2">
      <c r="A214" t="s">
        <v>475</v>
      </c>
      <c r="B214">
        <v>15</v>
      </c>
    </row>
    <row r="215" spans="1:2" x14ac:dyDescent="0.2">
      <c r="A215" t="s">
        <v>476</v>
      </c>
      <c r="B215">
        <v>16</v>
      </c>
    </row>
    <row r="216" spans="1:2" x14ac:dyDescent="0.2">
      <c r="A216" t="s">
        <v>477</v>
      </c>
      <c r="B216">
        <v>17</v>
      </c>
    </row>
    <row r="217" spans="1:2" x14ac:dyDescent="0.2">
      <c r="A217" t="s">
        <v>478</v>
      </c>
      <c r="B217">
        <v>18</v>
      </c>
    </row>
    <row r="218" spans="1:2" x14ac:dyDescent="0.2">
      <c r="A218" t="s">
        <v>479</v>
      </c>
      <c r="B218">
        <v>19</v>
      </c>
    </row>
    <row r="219" spans="1:2" x14ac:dyDescent="0.2">
      <c r="A219" t="s">
        <v>480</v>
      </c>
      <c r="B219">
        <v>20</v>
      </c>
    </row>
    <row r="220" spans="1:2" x14ac:dyDescent="0.2">
      <c r="A220" t="s">
        <v>481</v>
      </c>
      <c r="B220">
        <v>21</v>
      </c>
    </row>
    <row r="221" spans="1:2" x14ac:dyDescent="0.2">
      <c r="A221" t="s">
        <v>482</v>
      </c>
      <c r="B221">
        <v>22</v>
      </c>
    </row>
    <row r="222" spans="1:2" x14ac:dyDescent="0.2">
      <c r="A222" t="s">
        <v>483</v>
      </c>
      <c r="B222">
        <v>23</v>
      </c>
    </row>
    <row r="223" spans="1:2" x14ac:dyDescent="0.2">
      <c r="A223" t="s">
        <v>484</v>
      </c>
      <c r="B223">
        <v>24</v>
      </c>
    </row>
    <row r="224" spans="1:2" x14ac:dyDescent="0.2">
      <c r="A224" t="s">
        <v>485</v>
      </c>
      <c r="B224">
        <v>25</v>
      </c>
    </row>
    <row r="225" spans="1:2" x14ac:dyDescent="0.2">
      <c r="A225" t="s">
        <v>486</v>
      </c>
      <c r="B225">
        <v>26</v>
      </c>
    </row>
    <row r="226" spans="1:2" x14ac:dyDescent="0.2">
      <c r="A226" t="s">
        <v>487</v>
      </c>
      <c r="B226">
        <v>27</v>
      </c>
    </row>
    <row r="227" spans="1:2" x14ac:dyDescent="0.2">
      <c r="A227" t="s">
        <v>488</v>
      </c>
      <c r="B227">
        <v>28</v>
      </c>
    </row>
    <row r="228" spans="1:2" x14ac:dyDescent="0.2">
      <c r="A228" t="s">
        <v>489</v>
      </c>
      <c r="B228">
        <v>29</v>
      </c>
    </row>
    <row r="229" spans="1:2" x14ac:dyDescent="0.2">
      <c r="A229" t="s">
        <v>490</v>
      </c>
      <c r="B229">
        <v>30</v>
      </c>
    </row>
    <row r="230" spans="1:2" x14ac:dyDescent="0.2">
      <c r="A230" t="s">
        <v>491</v>
      </c>
      <c r="B230">
        <v>31</v>
      </c>
    </row>
    <row r="231" spans="1:2" x14ac:dyDescent="0.2">
      <c r="A231" t="s">
        <v>492</v>
      </c>
      <c r="B231">
        <v>33</v>
      </c>
    </row>
    <row r="232" spans="1:2" x14ac:dyDescent="0.2">
      <c r="A232" t="s">
        <v>493</v>
      </c>
      <c r="B232">
        <v>34</v>
      </c>
    </row>
    <row r="233" spans="1:2" x14ac:dyDescent="0.2">
      <c r="A233" t="s">
        <v>494</v>
      </c>
      <c r="B233">
        <v>35</v>
      </c>
    </row>
    <row r="234" spans="1:2" x14ac:dyDescent="0.2">
      <c r="A234" t="s">
        <v>495</v>
      </c>
      <c r="B234">
        <v>36</v>
      </c>
    </row>
    <row r="235" spans="1:2" x14ac:dyDescent="0.2">
      <c r="A235" t="s">
        <v>496</v>
      </c>
      <c r="B235">
        <v>37</v>
      </c>
    </row>
    <row r="236" spans="1:2" x14ac:dyDescent="0.2">
      <c r="A236" t="s">
        <v>497</v>
      </c>
      <c r="B236">
        <v>38</v>
      </c>
    </row>
    <row r="237" spans="1:2" x14ac:dyDescent="0.2">
      <c r="A237" t="s">
        <v>498</v>
      </c>
      <c r="B237">
        <v>39</v>
      </c>
    </row>
    <row r="238" spans="1:2" x14ac:dyDescent="0.2">
      <c r="A238" t="s">
        <v>499</v>
      </c>
      <c r="B238">
        <v>40</v>
      </c>
    </row>
    <row r="239" spans="1:2" x14ac:dyDescent="0.2">
      <c r="A239" t="s">
        <v>500</v>
      </c>
      <c r="B239">
        <v>41</v>
      </c>
    </row>
    <row r="240" spans="1:2" x14ac:dyDescent="0.2">
      <c r="A240" t="s">
        <v>501</v>
      </c>
      <c r="B240">
        <v>42</v>
      </c>
    </row>
    <row r="241" spans="1:2" x14ac:dyDescent="0.2">
      <c r="A241" t="s">
        <v>502</v>
      </c>
      <c r="B241">
        <v>43</v>
      </c>
    </row>
    <row r="242" spans="1:2" x14ac:dyDescent="0.2">
      <c r="A242" t="s">
        <v>503</v>
      </c>
      <c r="B242">
        <v>44</v>
      </c>
    </row>
    <row r="243" spans="1:2" x14ac:dyDescent="0.2">
      <c r="A243" t="s">
        <v>504</v>
      </c>
      <c r="B243">
        <v>45</v>
      </c>
    </row>
    <row r="244" spans="1:2" x14ac:dyDescent="0.2">
      <c r="A244" t="s">
        <v>505</v>
      </c>
      <c r="B244">
        <v>46</v>
      </c>
    </row>
    <row r="245" spans="1:2" x14ac:dyDescent="0.2">
      <c r="A245" t="s">
        <v>506</v>
      </c>
      <c r="B245">
        <v>47</v>
      </c>
    </row>
    <row r="246" spans="1:2" x14ac:dyDescent="0.2">
      <c r="A246" t="s">
        <v>507</v>
      </c>
      <c r="B246">
        <v>48</v>
      </c>
    </row>
    <row r="247" spans="1:2" x14ac:dyDescent="0.2">
      <c r="A247" t="s">
        <v>508</v>
      </c>
      <c r="B247">
        <v>49</v>
      </c>
    </row>
    <row r="248" spans="1:2" x14ac:dyDescent="0.2">
      <c r="A248" t="s">
        <v>509</v>
      </c>
      <c r="B248">
        <v>50</v>
      </c>
    </row>
    <row r="249" spans="1:2" x14ac:dyDescent="0.2">
      <c r="A249" t="s">
        <v>510</v>
      </c>
      <c r="B249">
        <v>51</v>
      </c>
    </row>
    <row r="250" spans="1:2" x14ac:dyDescent="0.2">
      <c r="A250" t="s">
        <v>511</v>
      </c>
      <c r="B250">
        <v>52</v>
      </c>
    </row>
    <row r="251" spans="1:2" x14ac:dyDescent="0.2">
      <c r="A251" t="s">
        <v>512</v>
      </c>
      <c r="B251">
        <v>53</v>
      </c>
    </row>
    <row r="252" spans="1:2" x14ac:dyDescent="0.2">
      <c r="A252" t="s">
        <v>513</v>
      </c>
      <c r="B252">
        <v>54</v>
      </c>
    </row>
    <row r="253" spans="1:2" x14ac:dyDescent="0.2">
      <c r="A253" t="s">
        <v>514</v>
      </c>
      <c r="B253">
        <v>55</v>
      </c>
    </row>
    <row r="254" spans="1:2" x14ac:dyDescent="0.2">
      <c r="A254" t="s">
        <v>515</v>
      </c>
      <c r="B254">
        <v>57</v>
      </c>
    </row>
    <row r="255" spans="1:2" x14ac:dyDescent="0.2">
      <c r="A255" t="s">
        <v>516</v>
      </c>
      <c r="B255">
        <v>58</v>
      </c>
    </row>
    <row r="256" spans="1:2" x14ac:dyDescent="0.2">
      <c r="A256" t="s">
        <v>517</v>
      </c>
      <c r="B256">
        <v>59</v>
      </c>
    </row>
    <row r="257" spans="1:2" x14ac:dyDescent="0.2">
      <c r="A257" t="s">
        <v>518</v>
      </c>
      <c r="B257">
        <v>61</v>
      </c>
    </row>
    <row r="258" spans="1:2" x14ac:dyDescent="0.2">
      <c r="A258" t="s">
        <v>519</v>
      </c>
      <c r="B258">
        <v>62</v>
      </c>
    </row>
    <row r="259" spans="1:2" x14ac:dyDescent="0.2">
      <c r="A259" t="s">
        <v>520</v>
      </c>
      <c r="B259">
        <v>63</v>
      </c>
    </row>
    <row r="260" spans="1:2" x14ac:dyDescent="0.2">
      <c r="A260" t="s">
        <v>521</v>
      </c>
      <c r="B260">
        <v>64</v>
      </c>
    </row>
    <row r="261" spans="1:2" x14ac:dyDescent="0.2">
      <c r="A261" t="s">
        <v>522</v>
      </c>
      <c r="B261">
        <v>65</v>
      </c>
    </row>
    <row r="262" spans="1:2" x14ac:dyDescent="0.2">
      <c r="A262" t="s">
        <v>523</v>
      </c>
      <c r="B262">
        <v>67</v>
      </c>
    </row>
    <row r="263" spans="1:2" x14ac:dyDescent="0.2">
      <c r="A263" t="s">
        <v>524</v>
      </c>
      <c r="B263">
        <v>68</v>
      </c>
    </row>
    <row r="264" spans="1:2" x14ac:dyDescent="0.2">
      <c r="A264" t="s">
        <v>525</v>
      </c>
      <c r="B264">
        <v>69</v>
      </c>
    </row>
    <row r="265" spans="1:2" x14ac:dyDescent="0.2">
      <c r="A265" t="s">
        <v>526</v>
      </c>
      <c r="B265">
        <v>70</v>
      </c>
    </row>
    <row r="266" spans="1:2" x14ac:dyDescent="0.2">
      <c r="A266" t="s">
        <v>527</v>
      </c>
      <c r="B266">
        <v>71</v>
      </c>
    </row>
    <row r="267" spans="1:2" x14ac:dyDescent="0.2">
      <c r="A267" t="s">
        <v>529</v>
      </c>
      <c r="B267" t="s">
        <v>530</v>
      </c>
    </row>
    <row r="268" spans="1:2" x14ac:dyDescent="0.2">
      <c r="A268" t="s">
        <v>531</v>
      </c>
      <c r="B268" t="s">
        <v>532</v>
      </c>
    </row>
    <row r="269" spans="1:2" x14ac:dyDescent="0.2">
      <c r="A269" t="s">
        <v>533</v>
      </c>
      <c r="B269" t="s">
        <v>534</v>
      </c>
    </row>
    <row r="270" spans="1:2" x14ac:dyDescent="0.2">
      <c r="A270" t="s">
        <v>535</v>
      </c>
      <c r="B270" t="s">
        <v>536</v>
      </c>
    </row>
    <row r="271" spans="1:2" x14ac:dyDescent="0.2">
      <c r="A271" t="s">
        <v>537</v>
      </c>
      <c r="B271" t="s">
        <v>538</v>
      </c>
    </row>
    <row r="272" spans="1:2" x14ac:dyDescent="0.2">
      <c r="A272" t="s">
        <v>539</v>
      </c>
      <c r="B272" t="s">
        <v>540</v>
      </c>
    </row>
    <row r="273" spans="1:24" x14ac:dyDescent="0.2">
      <c r="A273" t="s">
        <v>541</v>
      </c>
      <c r="B273" t="s">
        <v>542</v>
      </c>
    </row>
    <row r="274" spans="1:24" x14ac:dyDescent="0.2">
      <c r="A274" t="s">
        <v>547</v>
      </c>
      <c r="B274" t="s">
        <v>65</v>
      </c>
      <c r="C274" t="s">
        <v>45</v>
      </c>
      <c r="D274" t="s">
        <v>21</v>
      </c>
      <c r="E274" t="s">
        <v>67</v>
      </c>
      <c r="F274" t="s">
        <v>71</v>
      </c>
      <c r="G274" t="s">
        <v>47</v>
      </c>
      <c r="H274" t="s">
        <v>61</v>
      </c>
      <c r="I274" t="s">
        <v>19</v>
      </c>
      <c r="J274" t="s">
        <v>39</v>
      </c>
      <c r="K274" t="s">
        <v>63</v>
      </c>
      <c r="L274" t="s">
        <v>7</v>
      </c>
      <c r="M274" t="s">
        <v>25</v>
      </c>
      <c r="N274" t="s">
        <v>41</v>
      </c>
      <c r="O274" t="s">
        <v>69</v>
      </c>
      <c r="P274" t="s">
        <v>51</v>
      </c>
      <c r="Q274" t="s">
        <v>49</v>
      </c>
      <c r="R274" t="s">
        <v>59</v>
      </c>
      <c r="S274" t="s">
        <v>11</v>
      </c>
      <c r="T274" t="s">
        <v>73</v>
      </c>
      <c r="U274" t="s">
        <v>15</v>
      </c>
      <c r="V274" t="s">
        <v>23</v>
      </c>
      <c r="W274" t="s">
        <v>55</v>
      </c>
      <c r="X274" t="s">
        <v>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outlinePr summaryBelow="0"/>
  </sheetPr>
  <dimension ref="A1:BU36"/>
  <sheetViews>
    <sheetView zoomScale="85" zoomScaleNormal="85" workbookViewId="0">
      <pane xSplit="2" topLeftCell="I1" activePane="topRight" state="frozen"/>
      <selection pane="topRight" activeCell="P5" sqref="P5:AE29"/>
    </sheetView>
  </sheetViews>
  <sheetFormatPr baseColWidth="10" defaultColWidth="8.83203125" defaultRowHeight="15" outlineLevelRow="2" x14ac:dyDescent="0.2"/>
  <cols>
    <col min="1" max="1" width="9.1640625"/>
    <col min="2" max="2" width="24.6640625" customWidth="1"/>
    <col min="3" max="3" width="9.1640625"/>
    <col min="4" max="5" width="10.6640625" customWidth="1"/>
    <col min="6" max="7" width="9.1640625"/>
    <col min="8" max="8" width="1.6640625" customWidth="1"/>
    <col min="9" max="9" width="9.1640625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18" width="9.1640625"/>
    <col min="19" max="22" width="12.6640625" customWidth="1"/>
    <col min="23" max="27" width="11.6640625" customWidth="1"/>
    <col min="28" max="31" width="9.1640625"/>
    <col min="32" max="32" width="1.6640625" customWidth="1"/>
    <col min="33" max="33" width="9.1640625"/>
    <col min="34" max="37" width="10.6640625" customWidth="1"/>
    <col min="38" max="38" width="24.6640625" hidden="1" customWidth="1"/>
    <col min="39" max="39" width="12.6640625" customWidth="1"/>
    <col min="40" max="40" width="10.6640625" customWidth="1"/>
    <col min="41" max="42" width="9.1640625"/>
    <col min="43" max="46" width="12.6640625" customWidth="1"/>
    <col min="47" max="51" width="11.6640625" customWidth="1"/>
    <col min="52" max="55" width="9.1640625"/>
    <col min="56" max="56" width="1.6640625" customWidth="1"/>
    <col min="57" max="59" width="9.1640625"/>
    <col min="60" max="60" width="1.6640625" customWidth="1"/>
    <col min="61" max="62" width="9.1640625"/>
    <col min="63" max="65" width="11.6640625" customWidth="1"/>
    <col min="66" max="66" width="1.6640625" customWidth="1"/>
    <col min="67" max="68" width="9.1640625"/>
    <col min="69" max="71" width="11.6640625" customWidth="1"/>
    <col min="72" max="72" width="1.6640625" customWidth="1"/>
  </cols>
  <sheetData>
    <row r="1" spans="1:73" ht="15" customHeight="1" x14ac:dyDescent="0.2">
      <c r="A1" s="68" t="s">
        <v>528</v>
      </c>
      <c r="B1" s="68"/>
      <c r="C1" s="68"/>
      <c r="D1" s="68"/>
      <c r="E1" s="68"/>
      <c r="F1" s="68"/>
      <c r="G1" s="68"/>
      <c r="I1" s="64" t="s">
        <v>551</v>
      </c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G1" s="65" t="s">
        <v>552</v>
      </c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5"/>
      <c r="BA1" s="65"/>
      <c r="BB1" s="65"/>
      <c r="BC1" s="65"/>
    </row>
    <row r="2" spans="1:73" ht="30" customHeight="1" thickBot="1" x14ac:dyDescent="0.25">
      <c r="A2" s="70" t="s">
        <v>93</v>
      </c>
      <c r="B2" s="69" t="s">
        <v>96</v>
      </c>
      <c r="C2" s="70" t="s">
        <v>99</v>
      </c>
      <c r="D2" s="69" t="s">
        <v>102</v>
      </c>
      <c r="E2" s="70" t="s">
        <v>105</v>
      </c>
      <c r="F2" s="69" t="s">
        <v>108</v>
      </c>
      <c r="G2" s="70" t="s">
        <v>111</v>
      </c>
      <c r="I2" s="69" t="s">
        <v>114</v>
      </c>
      <c r="J2" s="67" t="s">
        <v>117</v>
      </c>
      <c r="K2" s="67"/>
      <c r="L2" s="67"/>
      <c r="M2" s="67"/>
      <c r="N2" s="70" t="s">
        <v>130</v>
      </c>
      <c r="O2" s="69" t="s">
        <v>133</v>
      </c>
      <c r="P2" s="70" t="s">
        <v>24</v>
      </c>
      <c r="Q2" s="69" t="s">
        <v>26</v>
      </c>
      <c r="R2" s="70" t="s">
        <v>22</v>
      </c>
      <c r="S2" s="66" t="s">
        <v>142</v>
      </c>
      <c r="T2" s="66"/>
      <c r="U2" s="66"/>
      <c r="V2" s="66"/>
      <c r="W2" s="67" t="s">
        <v>153</v>
      </c>
      <c r="X2" s="67"/>
      <c r="Y2" s="66" t="s">
        <v>160</v>
      </c>
      <c r="Z2" s="66"/>
      <c r="AA2" s="66"/>
      <c r="AB2" s="67" t="s">
        <v>170</v>
      </c>
      <c r="AC2" s="67"/>
      <c r="AD2" s="66" t="s">
        <v>177</v>
      </c>
      <c r="AE2" s="66"/>
      <c r="AG2" s="70" t="s">
        <v>114</v>
      </c>
      <c r="AH2" s="66" t="s">
        <v>117</v>
      </c>
      <c r="AI2" s="66"/>
      <c r="AJ2" s="66"/>
      <c r="AK2" s="66"/>
      <c r="AL2" s="69" t="s">
        <v>192</v>
      </c>
      <c r="AM2" s="70" t="s">
        <v>133</v>
      </c>
      <c r="AN2" s="69" t="s">
        <v>24</v>
      </c>
      <c r="AO2" s="70" t="s">
        <v>26</v>
      </c>
      <c r="AP2" s="69" t="s">
        <v>22</v>
      </c>
      <c r="AQ2" s="67" t="s">
        <v>142</v>
      </c>
      <c r="AR2" s="67"/>
      <c r="AS2" s="67"/>
      <c r="AT2" s="67"/>
      <c r="AU2" s="66" t="s">
        <v>153</v>
      </c>
      <c r="AV2" s="66"/>
      <c r="AW2" s="67" t="s">
        <v>160</v>
      </c>
      <c r="AX2" s="67"/>
      <c r="AY2" s="67"/>
      <c r="AZ2" s="66" t="s">
        <v>170</v>
      </c>
      <c r="BA2" s="66"/>
      <c r="BB2" s="67" t="s">
        <v>177</v>
      </c>
      <c r="BC2" s="67"/>
      <c r="BE2" s="69" t="s">
        <v>229</v>
      </c>
      <c r="BF2" s="70" t="s">
        <v>232</v>
      </c>
      <c r="BG2" s="69" t="s">
        <v>232</v>
      </c>
      <c r="BI2" s="67" t="s">
        <v>237</v>
      </c>
      <c r="BJ2" s="67"/>
      <c r="BK2" s="66" t="s">
        <v>242</v>
      </c>
      <c r="BL2" s="66"/>
      <c r="BM2" s="66"/>
      <c r="BO2" s="67" t="s">
        <v>249</v>
      </c>
      <c r="BP2" s="67"/>
      <c r="BQ2" s="66" t="s">
        <v>254</v>
      </c>
      <c r="BR2" s="66"/>
      <c r="BS2" s="66"/>
      <c r="BU2" t="s">
        <v>549</v>
      </c>
    </row>
    <row r="3" spans="1:73" ht="17" thickBot="1" x14ac:dyDescent="0.25">
      <c r="A3" s="70"/>
      <c r="B3" s="69"/>
      <c r="C3" s="70"/>
      <c r="D3" s="69"/>
      <c r="E3" s="70"/>
      <c r="F3" s="69"/>
      <c r="G3" s="70"/>
      <c r="I3" s="69"/>
      <c r="J3" s="11" t="s">
        <v>118</v>
      </c>
      <c r="K3" s="11" t="s">
        <v>121</v>
      </c>
      <c r="L3" s="11" t="s">
        <v>124</v>
      </c>
      <c r="M3" s="11" t="s">
        <v>127</v>
      </c>
      <c r="N3" s="70"/>
      <c r="O3" s="69"/>
      <c r="P3" s="70"/>
      <c r="Q3" s="69"/>
      <c r="R3" s="70"/>
      <c r="S3" s="12" t="s">
        <v>118</v>
      </c>
      <c r="T3" s="12" t="s">
        <v>124</v>
      </c>
      <c r="U3" s="12" t="s">
        <v>147</v>
      </c>
      <c r="V3" s="12" t="s">
        <v>150</v>
      </c>
      <c r="W3" s="11" t="s">
        <v>154</v>
      </c>
      <c r="X3" s="11" t="s">
        <v>157</v>
      </c>
      <c r="Y3" s="12" t="s">
        <v>161</v>
      </c>
      <c r="Z3" s="12" t="s">
        <v>164</v>
      </c>
      <c r="AA3" s="12" t="s">
        <v>167</v>
      </c>
      <c r="AB3" s="11" t="s">
        <v>171</v>
      </c>
      <c r="AC3" s="11" t="s">
        <v>174</v>
      </c>
      <c r="AD3" s="12" t="s">
        <v>171</v>
      </c>
      <c r="AE3" s="12" t="s">
        <v>174</v>
      </c>
      <c r="AG3" s="70"/>
      <c r="AH3" s="12" t="s">
        <v>118</v>
      </c>
      <c r="AI3" s="12" t="s">
        <v>121</v>
      </c>
      <c r="AJ3" s="12" t="s">
        <v>124</v>
      </c>
      <c r="AK3" s="12" t="s">
        <v>127</v>
      </c>
      <c r="AL3" s="69"/>
      <c r="AM3" s="70"/>
      <c r="AN3" s="69"/>
      <c r="AO3" s="70"/>
      <c r="AP3" s="69"/>
      <c r="AQ3" s="11" t="s">
        <v>118</v>
      </c>
      <c r="AR3" s="11" t="s">
        <v>124</v>
      </c>
      <c r="AS3" s="11" t="s">
        <v>147</v>
      </c>
      <c r="AT3" s="11" t="s">
        <v>150</v>
      </c>
      <c r="AU3" s="12" t="s">
        <v>154</v>
      </c>
      <c r="AV3" s="12" t="s">
        <v>157</v>
      </c>
      <c r="AW3" s="11" t="s">
        <v>161</v>
      </c>
      <c r="AX3" s="11" t="s">
        <v>164</v>
      </c>
      <c r="AY3" s="11" t="s">
        <v>167</v>
      </c>
      <c r="AZ3" s="12" t="s">
        <v>171</v>
      </c>
      <c r="BA3" s="12" t="s">
        <v>174</v>
      </c>
      <c r="BB3" s="11" t="s">
        <v>171</v>
      </c>
      <c r="BC3" s="11" t="s">
        <v>174</v>
      </c>
      <c r="BE3" s="69"/>
      <c r="BF3" s="70"/>
      <c r="BG3" s="69"/>
      <c r="BI3" s="11" t="s">
        <v>154</v>
      </c>
      <c r="BJ3" s="11" t="s">
        <v>157</v>
      </c>
      <c r="BK3" s="12" t="s">
        <v>161</v>
      </c>
      <c r="BL3" s="12" t="s">
        <v>164</v>
      </c>
      <c r="BM3" s="12" t="s">
        <v>167</v>
      </c>
      <c r="BO3" s="11" t="s">
        <v>154</v>
      </c>
      <c r="BP3" s="11" t="s">
        <v>157</v>
      </c>
      <c r="BQ3" s="12" t="s">
        <v>161</v>
      </c>
      <c r="BR3" s="12" t="s">
        <v>164</v>
      </c>
      <c r="BS3" s="12" t="s">
        <v>167</v>
      </c>
    </row>
    <row r="4" spans="1:73" ht="123" hidden="1" x14ac:dyDescent="0.2">
      <c r="A4" s="13" t="s">
        <v>94</v>
      </c>
      <c r="B4" s="14" t="s">
        <v>97</v>
      </c>
      <c r="C4" s="13" t="s">
        <v>100</v>
      </c>
      <c r="D4" s="14" t="s">
        <v>103</v>
      </c>
      <c r="E4" s="13" t="s">
        <v>106</v>
      </c>
      <c r="F4" s="14" t="s">
        <v>109</v>
      </c>
      <c r="G4" s="13" t="s">
        <v>112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138</v>
      </c>
      <c r="R4" s="13" t="s">
        <v>140</v>
      </c>
      <c r="S4" s="14" t="s">
        <v>143</v>
      </c>
      <c r="T4" s="14" t="s">
        <v>145</v>
      </c>
      <c r="U4" s="14" t="s">
        <v>148</v>
      </c>
      <c r="V4" s="14" t="s">
        <v>151</v>
      </c>
      <c r="W4" s="13" t="s">
        <v>155</v>
      </c>
      <c r="X4" s="13" t="s">
        <v>158</v>
      </c>
      <c r="Y4" s="14" t="s">
        <v>162</v>
      </c>
      <c r="Z4" s="14" t="s">
        <v>165</v>
      </c>
      <c r="AA4" s="14" t="s">
        <v>168</v>
      </c>
      <c r="AB4" s="13" t="s">
        <v>172</v>
      </c>
      <c r="AC4" s="13" t="s">
        <v>175</v>
      </c>
      <c r="AD4" s="14" t="s">
        <v>178</v>
      </c>
      <c r="AE4" s="14" t="s">
        <v>180</v>
      </c>
      <c r="AG4" s="13" t="s">
        <v>182</v>
      </c>
      <c r="AH4" s="14" t="s">
        <v>184</v>
      </c>
      <c r="AI4" s="14" t="s">
        <v>186</v>
      </c>
      <c r="AJ4" s="14" t="s">
        <v>188</v>
      </c>
      <c r="AK4" s="14" t="s">
        <v>190</v>
      </c>
      <c r="AL4" s="14" t="s">
        <v>193</v>
      </c>
      <c r="AM4" s="13" t="s">
        <v>195</v>
      </c>
      <c r="AN4" s="14" t="s">
        <v>197</v>
      </c>
      <c r="AO4" s="13" t="s">
        <v>199</v>
      </c>
      <c r="AP4" s="14" t="s">
        <v>201</v>
      </c>
      <c r="AQ4" s="13" t="s">
        <v>203</v>
      </c>
      <c r="AR4" s="13" t="s">
        <v>205</v>
      </c>
      <c r="AS4" s="13" t="s">
        <v>207</v>
      </c>
      <c r="AT4" s="13" t="s">
        <v>209</v>
      </c>
      <c r="AU4" s="14" t="s">
        <v>211</v>
      </c>
      <c r="AV4" s="14" t="s">
        <v>213</v>
      </c>
      <c r="AW4" s="13" t="s">
        <v>215</v>
      </c>
      <c r="AX4" s="13" t="s">
        <v>217</v>
      </c>
      <c r="AY4" s="13" t="s">
        <v>219</v>
      </c>
      <c r="AZ4" s="14" t="s">
        <v>221</v>
      </c>
      <c r="BA4" s="14" t="s">
        <v>223</v>
      </c>
      <c r="BB4" s="13" t="s">
        <v>225</v>
      </c>
      <c r="BC4" s="13" t="s">
        <v>227</v>
      </c>
      <c r="BE4" s="14" t="s">
        <v>230</v>
      </c>
      <c r="BF4" s="13" t="s">
        <v>233</v>
      </c>
      <c r="BG4" s="14" t="s">
        <v>235</v>
      </c>
      <c r="BI4" s="13" t="s">
        <v>238</v>
      </c>
      <c r="BJ4" s="13" t="s">
        <v>240</v>
      </c>
      <c r="BK4" s="14" t="s">
        <v>243</v>
      </c>
      <c r="BL4" s="14" t="s">
        <v>245</v>
      </c>
      <c r="BM4" s="14" t="s">
        <v>247</v>
      </c>
      <c r="BO4" s="13" t="s">
        <v>250</v>
      </c>
      <c r="BP4" s="13" t="s">
        <v>252</v>
      </c>
      <c r="BQ4" s="14" t="s">
        <v>255</v>
      </c>
      <c r="BR4" s="14" t="s">
        <v>257</v>
      </c>
      <c r="BS4" s="14" t="s">
        <v>259</v>
      </c>
    </row>
    <row r="5" spans="1:73" x14ac:dyDescent="0.2">
      <c r="A5" s="15" t="s">
        <v>267</v>
      </c>
      <c r="B5" s="15" t="s">
        <v>266</v>
      </c>
      <c r="C5" s="16" t="s">
        <v>268</v>
      </c>
      <c r="D5" s="15">
        <v>24964341</v>
      </c>
      <c r="E5" s="16">
        <v>10</v>
      </c>
      <c r="F5" s="16">
        <v>32</v>
      </c>
      <c r="G5" s="16">
        <v>30</v>
      </c>
      <c r="I5" s="17">
        <f t="shared" ref="I5:I29" si="0">IF(OR(ISBLANK(S5),ISBLANK(G5)),"·",S5*G5/F5/1000000)</f>
        <v>1.2883199999999999</v>
      </c>
      <c r="J5" s="18">
        <f t="shared" ref="J5:J29" si="1">IF(ISBLANK(S5),"·",S5/D5)</f>
        <v>5.5046836605861134E-2</v>
      </c>
      <c r="K5" s="18">
        <f t="shared" ref="K5:K29" si="2">IF(N5="","·",N5/D5)</f>
        <v>4.5632768756042871E-2</v>
      </c>
      <c r="L5" s="18">
        <f t="shared" ref="L5:L29" si="3">IF(T5="","·",T5/D5)</f>
        <v>2.7466376941414156E-2</v>
      </c>
      <c r="M5" s="18">
        <f t="shared" ref="M5:M29" si="4">IF(ISBLANK(V5),"·",V5/D5)</f>
        <v>9.3948404245880156E-3</v>
      </c>
      <c r="N5" s="15">
        <f t="shared" ref="N5:N29" si="5">IF(OR(ISBLANK(T5),ISBLANK(U5)),"",T5+U5)</f>
        <v>1139192</v>
      </c>
      <c r="O5" s="18">
        <f t="shared" ref="O5:O29" si="6">IF(ISBLANK(S5),"·",S5/P5)</f>
        <v>5.8853516027425355E-2</v>
      </c>
      <c r="P5" s="19">
        <v>23349633</v>
      </c>
      <c r="Q5" s="19">
        <v>729676.03125</v>
      </c>
      <c r="R5" s="19">
        <v>16544.21875</v>
      </c>
      <c r="S5" s="20">
        <v>1374208</v>
      </c>
      <c r="T5" s="20">
        <v>685680</v>
      </c>
      <c r="U5" s="20">
        <v>453512</v>
      </c>
      <c r="V5" s="20">
        <v>234536</v>
      </c>
      <c r="W5" s="21">
        <v>66.724784</v>
      </c>
      <c r="X5" s="21">
        <v>68.433678</v>
      </c>
      <c r="Y5" s="21">
        <v>31.537962</v>
      </c>
      <c r="Z5" s="21">
        <v>43.685780999999999</v>
      </c>
      <c r="AA5" s="21">
        <v>43.243681000000002</v>
      </c>
      <c r="AB5" s="22">
        <v>4307.3100000000004</v>
      </c>
      <c r="AC5" s="22">
        <v>2023</v>
      </c>
      <c r="AD5" s="22">
        <v>7.8250000000000002</v>
      </c>
      <c r="AE5" s="22">
        <v>10.734</v>
      </c>
      <c r="AG5" s="17">
        <f t="shared" ref="AG5:AG29" si="7">IF(OR(ISBLANK(AQ5),ISBLANK(G5)),"·",AQ5*G5/F5/1000000)</f>
        <v>1.27773</v>
      </c>
      <c r="AH5" s="18">
        <f t="shared" ref="AH5:AH29" si="8">IF(ISBLANK(AQ5),"·",AQ5/D5)</f>
        <v>5.4594351198775884E-2</v>
      </c>
      <c r="AI5" s="18">
        <f t="shared" ref="AI5:AI29" si="9">IF(AL5="","·",AL5/D5)</f>
        <v>4.5170349179255324E-2</v>
      </c>
      <c r="AJ5" s="18">
        <f t="shared" ref="AJ5:AJ29" si="10">IF(AR5="","·",AR5/D5)</f>
        <v>2.7171235964129795E-2</v>
      </c>
      <c r="AK5" s="18">
        <f t="shared" ref="AK5:AK29" si="11">IF(ISBLANK(AT5),"·",AT5/D5)</f>
        <v>9.4044541372031408E-3</v>
      </c>
      <c r="AL5" s="15">
        <f t="shared" ref="AL5:AL29" si="12">IF(OR(ISBLANK(AR5),ISBLANK(AS5)),"",AR5+AS5)</f>
        <v>1127648</v>
      </c>
      <c r="AM5" s="18">
        <f t="shared" ref="AM5:AM29" si="13">IF(ISBLANK(AQ5),"·",AQ5/AN5)</f>
        <v>5.8874688215070727E-2</v>
      </c>
      <c r="AN5" s="19">
        <v>23149371</v>
      </c>
      <c r="AO5" s="19">
        <v>723417.84375</v>
      </c>
      <c r="AP5" s="19">
        <v>16196.65625</v>
      </c>
      <c r="AQ5" s="20">
        <v>1362912</v>
      </c>
      <c r="AR5" s="20">
        <v>678312</v>
      </c>
      <c r="AS5" s="20">
        <v>449336</v>
      </c>
      <c r="AT5" s="20">
        <v>234776</v>
      </c>
      <c r="AU5" s="21">
        <v>66.711594000000005</v>
      </c>
      <c r="AV5" s="21">
        <v>68.487756000000005</v>
      </c>
      <c r="AW5" s="21">
        <v>31.515053000000002</v>
      </c>
      <c r="AX5" s="21">
        <v>43.823515999999998</v>
      </c>
      <c r="AY5" s="21">
        <v>43.391697000000001</v>
      </c>
      <c r="AZ5" s="22">
        <v>6196.57</v>
      </c>
      <c r="BA5" s="22">
        <v>2672.79</v>
      </c>
      <c r="BB5" s="22">
        <v>9.1579999999999995</v>
      </c>
      <c r="BC5" s="22">
        <v>13.272</v>
      </c>
      <c r="BE5" s="23">
        <f t="shared" ref="BE5:BE29" si="14">(AP5/AO5) - (R5/Q5)</f>
        <v>-2.8430078934503153E-4</v>
      </c>
      <c r="BF5" s="23">
        <f t="shared" ref="BF5:BF29" si="15">(AL5/AQ5) - (N5/S5)</f>
        <v>-1.5993939969983773E-3</v>
      </c>
      <c r="BG5" s="23">
        <f t="array" ref="BG5">AVERAGE(AL5:AL9/AQ5:AQ9) - AVERAGE(N5:N9/S5:S9)</f>
        <v>-2.2600485736389286E-3</v>
      </c>
      <c r="BI5" s="24">
        <f>IF( OR(ISBLANK(N5:N9),ISBLANK(AL5:AL9), ISBLANK(W5:W9),ISBLANK(AU5:AU9)), "·", bdRateExtend( N5:N9,W5:W9, AL5:AL9,AU5:AU9))</f>
        <v>-1.5185812824414002E-2</v>
      </c>
      <c r="BJ5" s="24">
        <f>IF( OR(ISBLANK(N5:N9),ISBLANK(AL5:AL9), ISBLANK(X5:X9),ISBLANK(AV5:AV9)), "·", bdRateExtend( N5:N9,X5:X9, AL5:AL9,AV5:AV9))</f>
        <v>-1.7401485538001471E-2</v>
      </c>
      <c r="BK5" s="24">
        <f>IF( OR(ISBLANK(V5:V9),ISBLANK(AT5:AT9), ISBLANK(Y5:Y9),ISBLANK(AW5:AW9)), "·", bdRateExtend( V5:V9,Y5:Y9, AT5:AT9,AW5:AW9))</f>
        <v>-5.0932709662687703E-3</v>
      </c>
      <c r="BL5" s="24">
        <f>IF( OR(ISBLANK(V5:V9),ISBLANK(AT5:AT9), ISBLANK(Z5:Z9),ISBLANK(AX5:AX9)), "·", bdRateExtend( V5:V9,Z5:Z9, AT5:AT9,AX5:AX9))</f>
        <v>-1.2626977594944022E-2</v>
      </c>
      <c r="BM5" s="24">
        <f>IF( OR(ISBLANK(V5:V9),ISBLANK(AT5:AT9), ISBLANK(AA5:AA9),ISBLANK(AY5:AY9)), "·", bdRateExtend( V5:V9,AA5:AA9, AT5:AT9,AY5:AY9))</f>
        <v>-1.1665039417456557E-2</v>
      </c>
      <c r="BO5" s="24">
        <f>IF( OR(ISBLANK(S5:S9),ISBLANK(AQ5:AQ9), ISBLANK(W5:W9),ISBLANK(AU5:AU9)), "·", bdRateExtend( S5:S9,W5:W9, AQ5:AQ9,AU5:AU9))</f>
        <v>-1.249262243909699E-2</v>
      </c>
      <c r="BP5" s="24">
        <f>IF( OR(ISBLANK(S5:S9),ISBLANK(AQ5:AQ9), ISBLANK(X5:X9),ISBLANK(AV5:AV9)), "·", bdRateExtend( S5:S9,X5:X9, AQ5:AQ9,AV5:AV9))</f>
        <v>-1.5251907688341393E-2</v>
      </c>
      <c r="BQ5" s="24">
        <f>IF( OR(ISBLANK(S5:S9),ISBLANK(AQ5:AQ9), ISBLANK(Y5:Y9),ISBLANK(AW5:AW9)), "·", bdRateExtend( S5:S9,Y5:Y9, AQ5:AQ9,AW5:AW9))</f>
        <v>-1.1078847346245868E-2</v>
      </c>
      <c r="BR5" s="24">
        <f>IF( OR(ISBLANK(S5:S9),ISBLANK(AQ5:AQ9), ISBLANK(Z5:Z9),ISBLANK(AX5:AX9)), "·", bdRateExtend( S5:S9,Z5:Z9, AQ5:AQ9,AX5:AX9))</f>
        <v>-1.7389101952080432E-2</v>
      </c>
      <c r="BS5" s="24">
        <f>IF( OR(ISBLANK(S5:S9),ISBLANK(AQ5:AQ9), ISBLANK(AA5:AA9),ISBLANK(AY5:AY9)), "·", bdRateExtend( S5:S9,AA5:AA9, AQ5:AQ9,AY5:AY9))</f>
        <v>-1.5427311065616345E-2</v>
      </c>
      <c r="BU5">
        <f>AQ5-S5</f>
        <v>-11296</v>
      </c>
    </row>
    <row r="6" spans="1:73" outlineLevel="1" x14ac:dyDescent="0.2">
      <c r="A6" s="25"/>
      <c r="B6" s="25" t="s">
        <v>266</v>
      </c>
      <c r="C6" s="26" t="s">
        <v>269</v>
      </c>
      <c r="D6" s="25">
        <v>24964341</v>
      </c>
      <c r="E6" s="26">
        <v>10</v>
      </c>
      <c r="F6" s="26">
        <v>32</v>
      </c>
      <c r="G6" s="26">
        <v>30</v>
      </c>
      <c r="I6" s="27">
        <f t="shared" si="0"/>
        <v>1.6803675</v>
      </c>
      <c r="J6" s="28">
        <f t="shared" si="1"/>
        <v>7.1798089923543348E-2</v>
      </c>
      <c r="K6" s="28">
        <f t="shared" si="2"/>
        <v>5.5147460131232784E-2</v>
      </c>
      <c r="L6" s="28">
        <f t="shared" si="3"/>
        <v>3.6981068316604068E-2</v>
      </c>
      <c r="M6" s="28">
        <f t="shared" si="4"/>
        <v>1.6631402367080307E-2</v>
      </c>
      <c r="N6" s="25">
        <f t="shared" si="5"/>
        <v>1376720</v>
      </c>
      <c r="O6" s="28">
        <f t="shared" si="6"/>
        <v>7.2473204425284404E-2</v>
      </c>
      <c r="P6" s="29">
        <v>24731789</v>
      </c>
      <c r="Q6" s="29">
        <v>772868.40625</v>
      </c>
      <c r="R6" s="29">
        <v>20180.96875</v>
      </c>
      <c r="S6" s="30">
        <v>1792392</v>
      </c>
      <c r="T6" s="30">
        <v>923208</v>
      </c>
      <c r="U6" s="30">
        <v>453512</v>
      </c>
      <c r="V6" s="30">
        <v>415192</v>
      </c>
      <c r="W6" s="31">
        <v>68.456211999999994</v>
      </c>
      <c r="X6" s="31">
        <v>70.450034000000002</v>
      </c>
      <c r="Y6" s="31">
        <v>33.623669</v>
      </c>
      <c r="Z6" s="31">
        <v>45.125580999999997</v>
      </c>
      <c r="AA6" s="31">
        <v>44.841918999999997</v>
      </c>
      <c r="AB6" s="32">
        <v>6055.22</v>
      </c>
      <c r="AC6" s="32">
        <v>2813.88</v>
      </c>
      <c r="AD6" s="32">
        <v>8.9719999999999995</v>
      </c>
      <c r="AE6" s="32">
        <v>13.704000000000001</v>
      </c>
      <c r="AG6" s="27">
        <f t="shared" si="7"/>
        <v>1.658925</v>
      </c>
      <c r="AH6" s="28">
        <f t="shared" si="8"/>
        <v>7.0881903111321864E-2</v>
      </c>
      <c r="AI6" s="28">
        <f t="shared" si="9"/>
        <v>5.4366826666884575E-2</v>
      </c>
      <c r="AJ6" s="28">
        <f t="shared" si="10"/>
        <v>3.636771345175905E-2</v>
      </c>
      <c r="AK6" s="28">
        <f t="shared" si="11"/>
        <v>1.6495528562119867E-2</v>
      </c>
      <c r="AL6" s="25">
        <f t="shared" si="12"/>
        <v>1357232</v>
      </c>
      <c r="AM6" s="28">
        <f t="shared" si="13"/>
        <v>7.162060893626486E-2</v>
      </c>
      <c r="AN6" s="29">
        <v>24706855</v>
      </c>
      <c r="AO6" s="29">
        <v>772089.21875</v>
      </c>
      <c r="AP6" s="29">
        <v>19854.03125</v>
      </c>
      <c r="AQ6" s="30">
        <v>1769520</v>
      </c>
      <c r="AR6" s="30">
        <v>907896</v>
      </c>
      <c r="AS6" s="30">
        <v>449336</v>
      </c>
      <c r="AT6" s="30">
        <v>411800</v>
      </c>
      <c r="AU6" s="31">
        <v>68.448059000000001</v>
      </c>
      <c r="AV6" s="31">
        <v>70.453165999999996</v>
      </c>
      <c r="AW6" s="31">
        <v>33.619093999999997</v>
      </c>
      <c r="AX6" s="31">
        <v>45.078906000000003</v>
      </c>
      <c r="AY6" s="31">
        <v>44.797125000000001</v>
      </c>
      <c r="AZ6" s="32">
        <v>4246.63</v>
      </c>
      <c r="BA6" s="32">
        <v>2194.56</v>
      </c>
      <c r="BB6" s="32">
        <v>7.9630000000000001</v>
      </c>
      <c r="BC6" s="32">
        <v>11.016</v>
      </c>
      <c r="BE6" s="33">
        <f t="shared" si="14"/>
        <v>-3.9709339416640899E-4</v>
      </c>
      <c r="BF6" s="33">
        <f t="shared" si="15"/>
        <v>-1.0851670150963111E-3</v>
      </c>
      <c r="BG6" s="33"/>
      <c r="BI6" s="34"/>
      <c r="BJ6" s="34"/>
      <c r="BK6" s="34"/>
      <c r="BL6" s="34"/>
      <c r="BM6" s="34"/>
      <c r="BO6" s="34"/>
      <c r="BP6" s="34"/>
      <c r="BQ6" s="34"/>
      <c r="BR6" s="34"/>
      <c r="BS6" s="34"/>
      <c r="BU6" s="4">
        <f t="shared" ref="BU6:BU29" si="16">AQ6-S6</f>
        <v>-22872</v>
      </c>
    </row>
    <row r="7" spans="1:73" outlineLevel="1" x14ac:dyDescent="0.2">
      <c r="A7" s="15"/>
      <c r="B7" s="15" t="s">
        <v>266</v>
      </c>
      <c r="C7" s="16" t="s">
        <v>270</v>
      </c>
      <c r="D7" s="15">
        <v>24964341</v>
      </c>
      <c r="E7" s="16">
        <v>10</v>
      </c>
      <c r="F7" s="16">
        <v>32</v>
      </c>
      <c r="G7" s="16">
        <v>30</v>
      </c>
      <c r="I7" s="17">
        <f t="shared" si="0"/>
        <v>2.3170424999999999</v>
      </c>
      <c r="J7" s="18">
        <f t="shared" si="1"/>
        <v>9.9001692053477391E-2</v>
      </c>
      <c r="K7" s="18">
        <f t="shared" si="2"/>
        <v>6.7238306030189224E-2</v>
      </c>
      <c r="L7" s="18">
        <f t="shared" si="3"/>
        <v>4.9071914215560508E-2</v>
      </c>
      <c r="M7" s="18">
        <f t="shared" si="4"/>
        <v>3.1744158598057924E-2</v>
      </c>
      <c r="N7" s="15">
        <f t="shared" si="5"/>
        <v>1678560</v>
      </c>
      <c r="O7" s="18">
        <f t="shared" si="6"/>
        <v>9.9186677209071011E-2</v>
      </c>
      <c r="P7" s="19">
        <v>24917782</v>
      </c>
      <c r="Q7" s="19">
        <v>778680.6875</v>
      </c>
      <c r="R7" s="19">
        <v>21312.59375</v>
      </c>
      <c r="S7" s="20">
        <v>2471512</v>
      </c>
      <c r="T7" s="20">
        <v>1225048</v>
      </c>
      <c r="U7" s="20">
        <v>453512</v>
      </c>
      <c r="V7" s="20">
        <v>792472</v>
      </c>
      <c r="W7" s="21">
        <v>69.764097000000007</v>
      </c>
      <c r="X7" s="21">
        <v>72.103230999999994</v>
      </c>
      <c r="Y7" s="21">
        <v>36.057453000000002</v>
      </c>
      <c r="Z7" s="21">
        <v>46.529249999999998</v>
      </c>
      <c r="AA7" s="21">
        <v>46.177300000000002</v>
      </c>
      <c r="AB7" s="22">
        <v>6015.42</v>
      </c>
      <c r="AC7" s="22">
        <v>3038.42</v>
      </c>
      <c r="AD7" s="22">
        <v>9.5310000000000006</v>
      </c>
      <c r="AE7" s="22">
        <v>14.456</v>
      </c>
      <c r="AG7" s="17">
        <f t="shared" si="7"/>
        <v>2.3008350000000002</v>
      </c>
      <c r="AH7" s="18">
        <f t="shared" si="8"/>
        <v>9.8309184288101176E-2</v>
      </c>
      <c r="AI7" s="18">
        <f t="shared" si="9"/>
        <v>6.6586816771970869E-2</v>
      </c>
      <c r="AJ7" s="18">
        <f t="shared" si="10"/>
        <v>4.8587703556845344E-2</v>
      </c>
      <c r="AK7" s="18">
        <f t="shared" si="11"/>
        <v>3.1702819633812884E-2</v>
      </c>
      <c r="AL7" s="15">
        <f t="shared" si="12"/>
        <v>1662296</v>
      </c>
      <c r="AM7" s="18">
        <f t="shared" si="13"/>
        <v>9.852540521097225E-2</v>
      </c>
      <c r="AN7" s="19">
        <v>24909555</v>
      </c>
      <c r="AO7" s="19">
        <v>778423.59375</v>
      </c>
      <c r="AP7" s="19">
        <v>21225.1875</v>
      </c>
      <c r="AQ7" s="20">
        <v>2454224</v>
      </c>
      <c r="AR7" s="20">
        <v>1212960</v>
      </c>
      <c r="AS7" s="20">
        <v>449336</v>
      </c>
      <c r="AT7" s="20">
        <v>791440</v>
      </c>
      <c r="AU7" s="21">
        <v>69.775828000000004</v>
      </c>
      <c r="AV7" s="21">
        <v>72.120508999999998</v>
      </c>
      <c r="AW7" s="21">
        <v>36.071587000000001</v>
      </c>
      <c r="AX7" s="21">
        <v>46.496994000000001</v>
      </c>
      <c r="AY7" s="21">
        <v>46.188419000000003</v>
      </c>
      <c r="AZ7" s="22">
        <v>4546.96</v>
      </c>
      <c r="BA7" s="22">
        <v>2314.2199999999998</v>
      </c>
      <c r="BB7" s="22">
        <v>8.0340000000000007</v>
      </c>
      <c r="BC7" s="22">
        <v>11.349</v>
      </c>
      <c r="BE7" s="23">
        <f t="shared" si="14"/>
        <v>-1.0324656214267744E-4</v>
      </c>
      <c r="BF7" s="23">
        <f t="shared" si="15"/>
        <v>-1.8427929112074803E-3</v>
      </c>
      <c r="BG7" s="23"/>
      <c r="BI7" s="24"/>
      <c r="BJ7" s="24"/>
      <c r="BK7" s="24"/>
      <c r="BL7" s="24"/>
      <c r="BM7" s="24"/>
      <c r="BO7" s="24"/>
      <c r="BP7" s="24"/>
      <c r="BQ7" s="24"/>
      <c r="BR7" s="24"/>
      <c r="BS7" s="24"/>
      <c r="BU7" s="4">
        <f t="shared" si="16"/>
        <v>-17288</v>
      </c>
    </row>
    <row r="8" spans="1:73" outlineLevel="1" x14ac:dyDescent="0.2">
      <c r="A8" s="25"/>
      <c r="B8" s="25" t="s">
        <v>266</v>
      </c>
      <c r="C8" s="26" t="s">
        <v>271</v>
      </c>
      <c r="D8" s="25">
        <v>24964341</v>
      </c>
      <c r="E8" s="26">
        <v>10</v>
      </c>
      <c r="F8" s="26">
        <v>32</v>
      </c>
      <c r="G8" s="26">
        <v>30</v>
      </c>
      <c r="I8" s="27">
        <f t="shared" si="0"/>
        <v>3.8210924999999998</v>
      </c>
      <c r="J8" s="28">
        <f t="shared" si="1"/>
        <v>0.16326615631472108</v>
      </c>
      <c r="K8" s="28">
        <f t="shared" si="2"/>
        <v>9.3941674647049569E-2</v>
      </c>
      <c r="L8" s="28">
        <f t="shared" si="3"/>
        <v>7.5775282832420854E-2</v>
      </c>
      <c r="M8" s="28">
        <f t="shared" si="4"/>
        <v>6.9305254242441244E-2</v>
      </c>
      <c r="N8" s="25">
        <f t="shared" si="5"/>
        <v>2345192</v>
      </c>
      <c r="O8" s="28">
        <f t="shared" si="6"/>
        <v>0.15645326255540243</v>
      </c>
      <c r="P8" s="29">
        <v>26051435</v>
      </c>
      <c r="Q8" s="29">
        <v>814107.34375</v>
      </c>
      <c r="R8" s="29">
        <v>25021.125</v>
      </c>
      <c r="S8" s="30">
        <v>4075832</v>
      </c>
      <c r="T8" s="30">
        <v>1891680</v>
      </c>
      <c r="U8" s="30">
        <v>453512</v>
      </c>
      <c r="V8" s="30">
        <v>1730160</v>
      </c>
      <c r="W8" s="31">
        <v>70.767750000000007</v>
      </c>
      <c r="X8" s="31">
        <v>73.299706</v>
      </c>
      <c r="Y8" s="31">
        <v>38.554293999999999</v>
      </c>
      <c r="Z8" s="31">
        <v>47.702959</v>
      </c>
      <c r="AA8" s="31">
        <v>47.645952999999999</v>
      </c>
      <c r="AB8" s="32">
        <v>4311.83</v>
      </c>
      <c r="AC8" s="32">
        <v>2531.36</v>
      </c>
      <c r="AD8" s="32">
        <v>8.1539999999999999</v>
      </c>
      <c r="AE8" s="32">
        <v>11.589</v>
      </c>
      <c r="AG8" s="27">
        <f t="shared" si="7"/>
        <v>3.7803450000000001</v>
      </c>
      <c r="AH8" s="28">
        <f t="shared" si="8"/>
        <v>0.16152511296012179</v>
      </c>
      <c r="AI8" s="28">
        <f t="shared" si="9"/>
        <v>9.2422067139685357E-2</v>
      </c>
      <c r="AJ8" s="28">
        <f t="shared" si="10"/>
        <v>7.4422953924559831E-2</v>
      </c>
      <c r="AK8" s="28">
        <f t="shared" si="11"/>
        <v>6.9083497938119021E-2</v>
      </c>
      <c r="AL8" s="25">
        <f t="shared" si="12"/>
        <v>2307256</v>
      </c>
      <c r="AM8" s="28">
        <f t="shared" si="13"/>
        <v>0.15487011301106698</v>
      </c>
      <c r="AN8" s="29">
        <v>26037096</v>
      </c>
      <c r="AO8" s="29">
        <v>813659.25</v>
      </c>
      <c r="AP8" s="29">
        <v>24861.75</v>
      </c>
      <c r="AQ8" s="30">
        <v>4032368</v>
      </c>
      <c r="AR8" s="30">
        <v>1857920</v>
      </c>
      <c r="AS8" s="30">
        <v>449336</v>
      </c>
      <c r="AT8" s="30">
        <v>1724624</v>
      </c>
      <c r="AU8" s="31">
        <v>70.784678</v>
      </c>
      <c r="AV8" s="31">
        <v>73.318777999999995</v>
      </c>
      <c r="AW8" s="31">
        <v>38.565663000000001</v>
      </c>
      <c r="AX8" s="31">
        <v>47.762841000000002</v>
      </c>
      <c r="AY8" s="31">
        <v>47.704047000000003</v>
      </c>
      <c r="AZ8" s="32">
        <v>5941.03</v>
      </c>
      <c r="BA8" s="32">
        <v>3214.36</v>
      </c>
      <c r="BB8" s="32">
        <v>9.5449999999999999</v>
      </c>
      <c r="BC8" s="32">
        <v>14.773999999999999</v>
      </c>
      <c r="BE8" s="33">
        <f t="shared" si="14"/>
        <v>-1.7894848992399542E-4</v>
      </c>
      <c r="BF8" s="33">
        <f t="shared" si="15"/>
        <v>-3.2058729341404302E-3</v>
      </c>
      <c r="BG8" s="33"/>
      <c r="BI8" s="34"/>
      <c r="BJ8" s="34"/>
      <c r="BK8" s="34"/>
      <c r="BL8" s="34"/>
      <c r="BM8" s="34"/>
      <c r="BO8" s="34"/>
      <c r="BP8" s="34"/>
      <c r="BQ8" s="34"/>
      <c r="BR8" s="34"/>
      <c r="BS8" s="34"/>
      <c r="BU8" s="4">
        <f t="shared" si="16"/>
        <v>-43464</v>
      </c>
    </row>
    <row r="9" spans="1:73" ht="16" outlineLevel="1" thickBot="1" x14ac:dyDescent="0.25">
      <c r="A9" s="15"/>
      <c r="B9" s="35" t="s">
        <v>266</v>
      </c>
      <c r="C9" s="36" t="s">
        <v>272</v>
      </c>
      <c r="D9" s="35">
        <v>24964341</v>
      </c>
      <c r="E9" s="36">
        <v>10</v>
      </c>
      <c r="F9" s="36">
        <v>32</v>
      </c>
      <c r="G9" s="36">
        <v>30</v>
      </c>
      <c r="I9" s="37">
        <f t="shared" si="0"/>
        <v>7.9570949999999998</v>
      </c>
      <c r="J9" s="38">
        <f t="shared" si="1"/>
        <v>0.33998766480557208</v>
      </c>
      <c r="K9" s="38">
        <f t="shared" si="2"/>
        <v>0.16051535267844644</v>
      </c>
      <c r="L9" s="38">
        <f t="shared" si="3"/>
        <v>0.12300264605422591</v>
      </c>
      <c r="M9" s="38">
        <f t="shared" si="4"/>
        <v>0.17945308470189539</v>
      </c>
      <c r="N9" s="35">
        <f t="shared" si="5"/>
        <v>4007160</v>
      </c>
      <c r="O9" s="38">
        <f t="shared" si="6"/>
        <v>0.33820117307748171</v>
      </c>
      <c r="P9" s="39">
        <v>25096211</v>
      </c>
      <c r="Q9" s="39">
        <v>784256.59375</v>
      </c>
      <c r="R9" s="39">
        <v>7639.375</v>
      </c>
      <c r="S9" s="40">
        <v>8487568</v>
      </c>
      <c r="T9" s="40">
        <v>3070680</v>
      </c>
      <c r="U9" s="40">
        <v>936480</v>
      </c>
      <c r="V9" s="40">
        <v>4479928</v>
      </c>
      <c r="W9" s="41">
        <v>72.139640999999997</v>
      </c>
      <c r="X9" s="41">
        <v>75.228609000000006</v>
      </c>
      <c r="Y9" s="41">
        <v>41.114741000000002</v>
      </c>
      <c r="Z9" s="41">
        <v>49.358356000000001</v>
      </c>
      <c r="AA9" s="41">
        <v>49.501553000000001</v>
      </c>
      <c r="AB9" s="42">
        <v>6046.68</v>
      </c>
      <c r="AC9" s="42">
        <v>3685.99</v>
      </c>
      <c r="AD9" s="42">
        <v>10.116</v>
      </c>
      <c r="AE9" s="42">
        <v>16.721</v>
      </c>
      <c r="AG9" s="37">
        <f t="shared" si="7"/>
        <v>7.8755474999999997</v>
      </c>
      <c r="AH9" s="38">
        <f t="shared" si="8"/>
        <v>0.33650333489676337</v>
      </c>
      <c r="AI9" s="38">
        <f t="shared" si="9"/>
        <v>0.15767001420145638</v>
      </c>
      <c r="AJ9" s="38">
        <f t="shared" si="10"/>
        <v>0.12032298389130319</v>
      </c>
      <c r="AK9" s="38">
        <f t="shared" si="11"/>
        <v>0.17881377281298955</v>
      </c>
      <c r="AL9" s="35">
        <f t="shared" si="12"/>
        <v>3936128</v>
      </c>
      <c r="AM9" s="38">
        <f t="shared" si="13"/>
        <v>0.33528115481321308</v>
      </c>
      <c r="AN9" s="39">
        <v>25055342</v>
      </c>
      <c r="AO9" s="39">
        <v>782979.4375</v>
      </c>
      <c r="AP9" s="39">
        <v>7605.5</v>
      </c>
      <c r="AQ9" s="40">
        <v>8400584</v>
      </c>
      <c r="AR9" s="40">
        <v>3003784</v>
      </c>
      <c r="AS9" s="40">
        <v>932344</v>
      </c>
      <c r="AT9" s="40">
        <v>4463968</v>
      </c>
      <c r="AU9" s="41">
        <v>72.134146999999999</v>
      </c>
      <c r="AV9" s="41">
        <v>75.252987000000005</v>
      </c>
      <c r="AW9" s="41">
        <v>41.113503000000001</v>
      </c>
      <c r="AX9" s="41">
        <v>49.389791000000002</v>
      </c>
      <c r="AY9" s="41">
        <v>49.465527999999999</v>
      </c>
      <c r="AZ9" s="42">
        <v>6096.94</v>
      </c>
      <c r="BA9" s="42">
        <v>3621.73</v>
      </c>
      <c r="BB9" s="42">
        <v>10.46</v>
      </c>
      <c r="BC9" s="42">
        <v>16.428999999999998</v>
      </c>
      <c r="BE9" s="43">
        <f t="shared" si="14"/>
        <v>-2.7375345329526748E-5</v>
      </c>
      <c r="BF9" s="43">
        <f t="shared" si="15"/>
        <v>-3.5670160107516558E-3</v>
      </c>
      <c r="BG9" s="43"/>
      <c r="BI9" s="44"/>
      <c r="BJ9" s="44"/>
      <c r="BK9" s="44"/>
      <c r="BL9" s="44"/>
      <c r="BM9" s="44"/>
      <c r="BO9" s="44"/>
      <c r="BP9" s="44"/>
      <c r="BQ9" s="44"/>
      <c r="BR9" s="44"/>
      <c r="BS9" s="44"/>
      <c r="BU9" s="4">
        <f t="shared" si="16"/>
        <v>-86984</v>
      </c>
    </row>
    <row r="10" spans="1:73" x14ac:dyDescent="0.2">
      <c r="A10" s="25"/>
      <c r="B10" s="25" t="s">
        <v>275</v>
      </c>
      <c r="C10" s="26" t="s">
        <v>268</v>
      </c>
      <c r="D10" s="25">
        <v>22654789</v>
      </c>
      <c r="E10" s="26">
        <v>10</v>
      </c>
      <c r="F10" s="26">
        <v>32</v>
      </c>
      <c r="G10" s="26">
        <v>30</v>
      </c>
      <c r="I10" s="27">
        <f t="shared" si="0"/>
        <v>2.1292949999999999</v>
      </c>
      <c r="J10" s="28">
        <f t="shared" si="1"/>
        <v>0.10025465255933304</v>
      </c>
      <c r="K10" s="28">
        <f t="shared" si="2"/>
        <v>7.2044105111727152E-2</v>
      </c>
      <c r="L10" s="28">
        <f t="shared" si="3"/>
        <v>3.9283173195742413E-2</v>
      </c>
      <c r="M10" s="28">
        <f t="shared" si="4"/>
        <v>2.8189359874417723E-2</v>
      </c>
      <c r="N10" s="25">
        <f t="shared" si="5"/>
        <v>1632144</v>
      </c>
      <c r="O10" s="28">
        <f t="shared" si="6"/>
        <v>0.1087767088662399</v>
      </c>
      <c r="P10" s="29">
        <v>20879911</v>
      </c>
      <c r="Q10" s="29">
        <v>652497.21875</v>
      </c>
      <c r="R10" s="29">
        <v>19393.90625</v>
      </c>
      <c r="S10" s="30">
        <v>2271248</v>
      </c>
      <c r="T10" s="30">
        <v>889952</v>
      </c>
      <c r="U10" s="30">
        <v>742192</v>
      </c>
      <c r="V10" s="30">
        <v>638624</v>
      </c>
      <c r="W10" s="31">
        <v>65.949196999999998</v>
      </c>
      <c r="X10" s="31">
        <v>67.854293999999996</v>
      </c>
      <c r="Y10" s="31">
        <v>30.891646999999999</v>
      </c>
      <c r="Z10" s="31">
        <v>38.413215999999998</v>
      </c>
      <c r="AA10" s="31">
        <v>29.993186999999999</v>
      </c>
      <c r="AB10" s="32">
        <v>4589.41</v>
      </c>
      <c r="AC10" s="32">
        <v>2814.02</v>
      </c>
      <c r="AD10" s="32">
        <v>7.5030000000000001</v>
      </c>
      <c r="AE10" s="32">
        <v>13.467000000000001</v>
      </c>
      <c r="AG10" s="27">
        <f t="shared" si="7"/>
        <v>2.1213375000000001</v>
      </c>
      <c r="AH10" s="28">
        <f t="shared" si="8"/>
        <v>9.9879985640122265E-2</v>
      </c>
      <c r="AI10" s="28">
        <f t="shared" si="9"/>
        <v>7.1566325336333961E-2</v>
      </c>
      <c r="AJ10" s="28">
        <f t="shared" si="10"/>
        <v>3.9549430365473717E-2</v>
      </c>
      <c r="AK10" s="28">
        <f t="shared" si="11"/>
        <v>2.8292119604380335E-2</v>
      </c>
      <c r="AL10" s="25">
        <f t="shared" si="12"/>
        <v>1621320</v>
      </c>
      <c r="AM10" s="28">
        <f t="shared" si="13"/>
        <v>0.1070881715455243</v>
      </c>
      <c r="AN10" s="29">
        <v>21129878</v>
      </c>
      <c r="AO10" s="29">
        <v>660308.6875</v>
      </c>
      <c r="AP10" s="29">
        <v>19743.5625</v>
      </c>
      <c r="AQ10" s="30">
        <v>2262760</v>
      </c>
      <c r="AR10" s="30">
        <v>895984</v>
      </c>
      <c r="AS10" s="30">
        <v>725336</v>
      </c>
      <c r="AT10" s="30">
        <v>640952</v>
      </c>
      <c r="AU10" s="31">
        <v>65.982078000000001</v>
      </c>
      <c r="AV10" s="31">
        <v>67.811513000000005</v>
      </c>
      <c r="AW10" s="31">
        <v>30.894309</v>
      </c>
      <c r="AX10" s="31">
        <v>38.404890999999999</v>
      </c>
      <c r="AY10" s="31">
        <v>29.973603000000001</v>
      </c>
      <c r="AZ10" s="32">
        <v>4659.2700000000004</v>
      </c>
      <c r="BA10" s="32">
        <v>2862.19</v>
      </c>
      <c r="BB10" s="32">
        <v>7.6849999999999996</v>
      </c>
      <c r="BC10" s="32">
        <v>13.906000000000001</v>
      </c>
      <c r="BE10" s="33">
        <f t="shared" si="14"/>
        <v>1.779155445754653E-4</v>
      </c>
      <c r="BF10" s="33">
        <f t="shared" si="15"/>
        <v>-2.0879055099056743E-3</v>
      </c>
      <c r="BG10" s="33">
        <f t="array" ref="BG10">AVERAGE(AL10:AL14/AQ10:AQ14) - AVERAGE(N10:N14/S10:S14)</f>
        <v>-3.1915272567706321E-3</v>
      </c>
      <c r="BI10" s="34">
        <f>IF( OR(ISBLANK(N10:N14),ISBLANK(AL10:AL14), ISBLANK(W10:W14),ISBLANK(AU10:AU14)), "·", bdRateExtend( N10:N14,W10:W14, AL10:AL14,AU10:AU14))</f>
        <v>-1.5238215324706594E-2</v>
      </c>
      <c r="BJ10" s="34">
        <f>IF( OR(ISBLANK(N10:N14),ISBLANK(AL10:AL14), ISBLANK(X10:X14),ISBLANK(AV10:AV14)), "·", bdRateExtend( N10:N14,X10:X14, AL10:AL14,AV10:AV14))</f>
        <v>-1.5145471609900762E-2</v>
      </c>
      <c r="BK10" s="34">
        <f>IF( OR(ISBLANK(V10:V14),ISBLANK(AT10:AT14), ISBLANK(Y10:Y14),ISBLANK(AW10:AW14)), "·", bdRateExtend( V10:V14,Y10:Y14, AT10:AT14,AW10:AW14))</f>
        <v>-1.8627065663332498E-3</v>
      </c>
      <c r="BL10" s="34">
        <f>IF( OR(ISBLANK(V10:V14),ISBLANK(AT10:AT14), ISBLANK(Z10:Z14),ISBLANK(AX10:AX14)), "·", bdRateExtend( V10:V14,Z10:Z14, AT10:AT14,AX10:AX14))</f>
        <v>6.8932679153459464E-3</v>
      </c>
      <c r="BM10" s="34">
        <f>IF( OR(ISBLANK(V10:V14),ISBLANK(AT10:AT14), ISBLANK(AA10:AA14),ISBLANK(AY10:AY14)), "·", bdRateExtend( V10:V14,AA10:AA14, AT10:AT14,AY10:AY14))</f>
        <v>-6.3044395942912779E-4</v>
      </c>
      <c r="BO10" s="34">
        <f>IF( OR(ISBLANK(S10:S14),ISBLANK(AQ10:AQ14), ISBLANK(W10:W14),ISBLANK(AU10:AU14)), "·", bdRateExtend( S10:S14,W10:W14, AQ10:AQ14,AU10:AU14))</f>
        <v>-1.0864737089725351E-2</v>
      </c>
      <c r="BP10" s="34">
        <f>IF( OR(ISBLANK(S10:S14),ISBLANK(AQ10:AQ14), ISBLANK(X10:X14),ISBLANK(AV10:AV14)), "·", bdRateExtend( S10:S14,X10:X14, AQ10:AQ14,AV10:AV14))</f>
        <v>-9.7107258345098257E-3</v>
      </c>
      <c r="BQ10" s="34">
        <f>IF( OR(ISBLANK(S10:S14),ISBLANK(AQ10:AQ14), ISBLANK(Y10:Y14),ISBLANK(AW10:AW14)), "·", bdRateExtend( S10:S14,Y10:Y14, AQ10:AQ14,AW10:AW14))</f>
        <v>-8.2960187643662531E-3</v>
      </c>
      <c r="BR10" s="34">
        <f>IF( OR(ISBLANK(S10:S14),ISBLANK(AQ10:AQ14), ISBLANK(Z10:Z14),ISBLANK(AX10:AX14)), "·", bdRateExtend( S10:S14,Z10:Z14, AQ10:AQ14,AX10:AX14))</f>
        <v>-2.1870727833929182E-3</v>
      </c>
      <c r="BS10" s="34">
        <f>IF( OR(ISBLANK(S10:S14),ISBLANK(AQ10:AQ14), ISBLANK(AA10:AA14),ISBLANK(AY10:AY14)), "·", bdRateExtend( S10:S14,AA10:AA14, AQ10:AQ14,AY10:AY14))</f>
        <v>-7.6717469334189881E-3</v>
      </c>
      <c r="BU10" s="4">
        <f t="shared" si="16"/>
        <v>-8488</v>
      </c>
    </row>
    <row r="11" spans="1:73" outlineLevel="1" x14ac:dyDescent="0.2">
      <c r="A11" s="15"/>
      <c r="B11" s="15" t="s">
        <v>275</v>
      </c>
      <c r="C11" s="16" t="s">
        <v>269</v>
      </c>
      <c r="D11" s="15">
        <v>22654789</v>
      </c>
      <c r="E11" s="16">
        <v>10</v>
      </c>
      <c r="F11" s="16">
        <v>32</v>
      </c>
      <c r="G11" s="16">
        <v>30</v>
      </c>
      <c r="I11" s="17">
        <f t="shared" si="0"/>
        <v>2.9324849999999998</v>
      </c>
      <c r="J11" s="18">
        <f t="shared" si="1"/>
        <v>0.13807164569045424</v>
      </c>
      <c r="K11" s="18">
        <f t="shared" si="2"/>
        <v>8.7603199482458219E-2</v>
      </c>
      <c r="L11" s="18">
        <f t="shared" si="3"/>
        <v>5.4842267566473472E-2</v>
      </c>
      <c r="M11" s="18">
        <f t="shared" si="4"/>
        <v>5.0447258634807854E-2</v>
      </c>
      <c r="N11" s="15">
        <f t="shared" si="5"/>
        <v>1984632</v>
      </c>
      <c r="O11" s="18">
        <f t="shared" si="6"/>
        <v>0.13941039175188996</v>
      </c>
      <c r="P11" s="19">
        <v>22437237</v>
      </c>
      <c r="Q11" s="19">
        <v>701163.65625</v>
      </c>
      <c r="R11" s="19">
        <v>24852.75</v>
      </c>
      <c r="S11" s="20">
        <v>3127984</v>
      </c>
      <c r="T11" s="20">
        <v>1242440</v>
      </c>
      <c r="U11" s="20">
        <v>742192</v>
      </c>
      <c r="V11" s="20">
        <v>1142872</v>
      </c>
      <c r="W11" s="21">
        <v>67.676962000000003</v>
      </c>
      <c r="X11" s="21">
        <v>69.730159</v>
      </c>
      <c r="Y11" s="21">
        <v>32.766475</v>
      </c>
      <c r="Z11" s="21">
        <v>39.539762000000003</v>
      </c>
      <c r="AA11" s="21">
        <v>32.232481</v>
      </c>
      <c r="AB11" s="22">
        <v>6336.2</v>
      </c>
      <c r="AC11" s="22">
        <v>3765.97</v>
      </c>
      <c r="AD11" s="22">
        <v>8.6359999999999992</v>
      </c>
      <c r="AE11" s="22">
        <v>17.154</v>
      </c>
      <c r="AG11" s="17">
        <f t="shared" si="7"/>
        <v>2.9061525000000001</v>
      </c>
      <c r="AH11" s="18">
        <f t="shared" si="8"/>
        <v>0.13683181953272661</v>
      </c>
      <c r="AI11" s="18">
        <f t="shared" si="9"/>
        <v>8.6627511737143087E-2</v>
      </c>
      <c r="AJ11" s="18">
        <f t="shared" si="10"/>
        <v>5.4610616766282837E-2</v>
      </c>
      <c r="AK11" s="18">
        <f t="shared" si="11"/>
        <v>5.0182767096175557E-2</v>
      </c>
      <c r="AL11" s="15">
        <f t="shared" si="12"/>
        <v>1962528</v>
      </c>
      <c r="AM11" s="18">
        <f t="shared" si="13"/>
        <v>0.13786970111158731</v>
      </c>
      <c r="AN11" s="19">
        <v>22484244</v>
      </c>
      <c r="AO11" s="19">
        <v>702632.625</v>
      </c>
      <c r="AP11" s="19">
        <v>24989.5</v>
      </c>
      <c r="AQ11" s="20">
        <v>3099896</v>
      </c>
      <c r="AR11" s="20">
        <v>1237192</v>
      </c>
      <c r="AS11" s="20">
        <v>725336</v>
      </c>
      <c r="AT11" s="20">
        <v>1136880</v>
      </c>
      <c r="AU11" s="21">
        <v>67.688494000000006</v>
      </c>
      <c r="AV11" s="21">
        <v>69.722633999999999</v>
      </c>
      <c r="AW11" s="21">
        <v>32.773665999999999</v>
      </c>
      <c r="AX11" s="21">
        <v>39.535618999999997</v>
      </c>
      <c r="AY11" s="21">
        <v>32.218108999999998</v>
      </c>
      <c r="AZ11" s="22">
        <v>6124.13</v>
      </c>
      <c r="BA11" s="22">
        <v>3771.05</v>
      </c>
      <c r="BB11" s="22">
        <v>8.6509999999999998</v>
      </c>
      <c r="BC11" s="22">
        <v>17.422999999999998</v>
      </c>
      <c r="BE11" s="23">
        <f t="shared" si="14"/>
        <v>1.2052157960673604E-4</v>
      </c>
      <c r="BF11" s="23">
        <f t="shared" si="15"/>
        <v>-1.381603487483174E-3</v>
      </c>
      <c r="BG11" s="23"/>
      <c r="BI11" s="24"/>
      <c r="BJ11" s="24"/>
      <c r="BK11" s="24"/>
      <c r="BL11" s="24"/>
      <c r="BM11" s="24"/>
      <c r="BO11" s="24"/>
      <c r="BP11" s="24"/>
      <c r="BQ11" s="24"/>
      <c r="BR11" s="24"/>
      <c r="BS11" s="24"/>
      <c r="BU11" s="4">
        <f t="shared" si="16"/>
        <v>-28088</v>
      </c>
    </row>
    <row r="12" spans="1:73" outlineLevel="1" x14ac:dyDescent="0.2">
      <c r="A12" s="25"/>
      <c r="B12" s="25" t="s">
        <v>275</v>
      </c>
      <c r="C12" s="26" t="s">
        <v>270</v>
      </c>
      <c r="D12" s="25">
        <v>22654789</v>
      </c>
      <c r="E12" s="26">
        <v>10</v>
      </c>
      <c r="F12" s="26">
        <v>32</v>
      </c>
      <c r="G12" s="26">
        <v>30</v>
      </c>
      <c r="I12" s="27">
        <f t="shared" si="0"/>
        <v>4.188345</v>
      </c>
      <c r="J12" s="28">
        <f t="shared" si="1"/>
        <v>0.19720192494399308</v>
      </c>
      <c r="K12" s="28">
        <f t="shared" si="2"/>
        <v>0.11060231017821441</v>
      </c>
      <c r="L12" s="28">
        <f t="shared" si="3"/>
        <v>7.7841378262229671E-2</v>
      </c>
      <c r="M12" s="28">
        <f t="shared" si="4"/>
        <v>8.6578427192590499E-2</v>
      </c>
      <c r="N12" s="25">
        <f t="shared" si="5"/>
        <v>2505672</v>
      </c>
      <c r="O12" s="28">
        <f t="shared" si="6"/>
        <v>0.19575156986645104</v>
      </c>
      <c r="P12" s="29">
        <v>22822642</v>
      </c>
      <c r="Q12" s="29">
        <v>713207.5625</v>
      </c>
      <c r="R12" s="29">
        <v>26622.59375</v>
      </c>
      <c r="S12" s="30">
        <v>4467568</v>
      </c>
      <c r="T12" s="30">
        <v>1763480</v>
      </c>
      <c r="U12" s="30">
        <v>742192</v>
      </c>
      <c r="V12" s="30">
        <v>1961416</v>
      </c>
      <c r="W12" s="31">
        <v>69.036018999999996</v>
      </c>
      <c r="X12" s="31">
        <v>71.350246999999996</v>
      </c>
      <c r="Y12" s="31">
        <v>34.825930999999997</v>
      </c>
      <c r="Z12" s="31">
        <v>40.534044000000002</v>
      </c>
      <c r="AA12" s="31">
        <v>34.139724999999999</v>
      </c>
      <c r="AB12" s="32">
        <v>6179.62</v>
      </c>
      <c r="AC12" s="32">
        <v>4012.96</v>
      </c>
      <c r="AD12" s="32">
        <v>8.7349999999999994</v>
      </c>
      <c r="AE12" s="32">
        <v>17.202000000000002</v>
      </c>
      <c r="AG12" s="27">
        <f t="shared" si="7"/>
        <v>4.1543625000000004</v>
      </c>
      <c r="AH12" s="28">
        <f t="shared" si="8"/>
        <v>0.19560191004206659</v>
      </c>
      <c r="AI12" s="28">
        <f t="shared" si="9"/>
        <v>0.10887163857496091</v>
      </c>
      <c r="AJ12" s="28">
        <f t="shared" si="10"/>
        <v>7.6854743604100662E-2</v>
      </c>
      <c r="AK12" s="28">
        <f t="shared" si="11"/>
        <v>8.6708730767697723E-2</v>
      </c>
      <c r="AL12" s="25">
        <f t="shared" si="12"/>
        <v>2466464</v>
      </c>
      <c r="AM12" s="28">
        <f t="shared" si="13"/>
        <v>0.19433652770393656</v>
      </c>
      <c r="AN12" s="29">
        <v>22802301</v>
      </c>
      <c r="AO12" s="29">
        <v>712571.90625</v>
      </c>
      <c r="AP12" s="29">
        <v>26548.75</v>
      </c>
      <c r="AQ12" s="30">
        <v>4431320</v>
      </c>
      <c r="AR12" s="30">
        <v>1741128</v>
      </c>
      <c r="AS12" s="30">
        <v>725336</v>
      </c>
      <c r="AT12" s="30">
        <v>1964368</v>
      </c>
      <c r="AU12" s="31">
        <v>69.053853000000004</v>
      </c>
      <c r="AV12" s="31">
        <v>71.385394000000005</v>
      </c>
      <c r="AW12" s="31">
        <v>34.849631000000002</v>
      </c>
      <c r="AX12" s="31">
        <v>40.495874999999998</v>
      </c>
      <c r="AY12" s="31">
        <v>34.163775000000001</v>
      </c>
      <c r="AZ12" s="32">
        <v>4712.88</v>
      </c>
      <c r="BA12" s="32">
        <v>3153.36</v>
      </c>
      <c r="BB12" s="32">
        <v>7.7629999999999999</v>
      </c>
      <c r="BC12" s="32">
        <v>14.113</v>
      </c>
      <c r="BE12" s="33">
        <f t="shared" si="14"/>
        <v>-7.0331133224077469E-5</v>
      </c>
      <c r="BF12" s="33">
        <f t="shared" si="15"/>
        <v>-4.2601331336806769E-3</v>
      </c>
      <c r="BG12" s="33"/>
      <c r="BI12" s="34"/>
      <c r="BJ12" s="34"/>
      <c r="BK12" s="34"/>
      <c r="BL12" s="34"/>
      <c r="BM12" s="34"/>
      <c r="BO12" s="34"/>
      <c r="BP12" s="34"/>
      <c r="BQ12" s="34"/>
      <c r="BR12" s="34"/>
      <c r="BS12" s="34"/>
      <c r="BU12" s="4">
        <f t="shared" si="16"/>
        <v>-36248</v>
      </c>
    </row>
    <row r="13" spans="1:73" outlineLevel="1" x14ac:dyDescent="0.2">
      <c r="A13" s="15"/>
      <c r="B13" s="15" t="s">
        <v>275</v>
      </c>
      <c r="C13" s="16" t="s">
        <v>271</v>
      </c>
      <c r="D13" s="15">
        <v>22654789</v>
      </c>
      <c r="E13" s="16">
        <v>10</v>
      </c>
      <c r="F13" s="16">
        <v>32</v>
      </c>
      <c r="G13" s="16">
        <v>30</v>
      </c>
      <c r="I13" s="17">
        <f t="shared" si="0"/>
        <v>6.831645</v>
      </c>
      <c r="J13" s="18">
        <f t="shared" si="1"/>
        <v>0.32165772985129104</v>
      </c>
      <c r="K13" s="18">
        <f t="shared" si="2"/>
        <v>0.15128033194217788</v>
      </c>
      <c r="L13" s="18">
        <f t="shared" si="3"/>
        <v>0.11851940002619314</v>
      </c>
      <c r="M13" s="18">
        <f t="shared" si="4"/>
        <v>0.17035621033592499</v>
      </c>
      <c r="N13" s="15">
        <f t="shared" si="5"/>
        <v>3427224</v>
      </c>
      <c r="O13" s="18">
        <f t="shared" si="6"/>
        <v>0.30657736609594827</v>
      </c>
      <c r="P13" s="19">
        <v>23769165</v>
      </c>
      <c r="Q13" s="19">
        <v>742786.40625</v>
      </c>
      <c r="R13" s="19">
        <v>30633.59375</v>
      </c>
      <c r="S13" s="20">
        <v>7287088</v>
      </c>
      <c r="T13" s="20">
        <v>2685032</v>
      </c>
      <c r="U13" s="20">
        <v>742192</v>
      </c>
      <c r="V13" s="20">
        <v>3859384</v>
      </c>
      <c r="W13" s="21">
        <v>70.012952999999996</v>
      </c>
      <c r="X13" s="21">
        <v>72.539574999999999</v>
      </c>
      <c r="Y13" s="21">
        <v>37.087330999999999</v>
      </c>
      <c r="Z13" s="21">
        <v>41.608587999999997</v>
      </c>
      <c r="AA13" s="21">
        <v>36.184266000000001</v>
      </c>
      <c r="AB13" s="22">
        <v>4731.8100000000004</v>
      </c>
      <c r="AC13" s="22">
        <v>3435.88</v>
      </c>
      <c r="AD13" s="22">
        <v>8.1809999999999992</v>
      </c>
      <c r="AE13" s="22">
        <v>14.635999999999999</v>
      </c>
      <c r="AG13" s="17">
        <f t="shared" si="7"/>
        <v>6.791175</v>
      </c>
      <c r="AH13" s="18">
        <f t="shared" si="8"/>
        <v>0.31975226076923513</v>
      </c>
      <c r="AI13" s="18">
        <f t="shared" si="9"/>
        <v>0.14895711454209526</v>
      </c>
      <c r="AJ13" s="18">
        <f t="shared" si="10"/>
        <v>0.11694021957123503</v>
      </c>
      <c r="AK13" s="18">
        <f t="shared" si="11"/>
        <v>0.17077360552773191</v>
      </c>
      <c r="AL13" s="15">
        <f t="shared" si="12"/>
        <v>3374592</v>
      </c>
      <c r="AM13" s="18">
        <f t="shared" si="13"/>
        <v>0.30482462249342729</v>
      </c>
      <c r="AN13" s="19">
        <v>23764222</v>
      </c>
      <c r="AO13" s="19">
        <v>742631.9375</v>
      </c>
      <c r="AP13" s="19">
        <v>30343.0625</v>
      </c>
      <c r="AQ13" s="20">
        <v>7243920</v>
      </c>
      <c r="AR13" s="20">
        <v>2649256</v>
      </c>
      <c r="AS13" s="20">
        <v>725336</v>
      </c>
      <c r="AT13" s="20">
        <v>3868840</v>
      </c>
      <c r="AU13" s="21">
        <v>70.025913000000003</v>
      </c>
      <c r="AV13" s="21">
        <v>72.557416000000003</v>
      </c>
      <c r="AW13" s="21">
        <v>37.088272000000003</v>
      </c>
      <c r="AX13" s="21">
        <v>41.603496999999997</v>
      </c>
      <c r="AY13" s="21">
        <v>36.188844000000003</v>
      </c>
      <c r="AZ13" s="22">
        <v>6161.29</v>
      </c>
      <c r="BA13" s="22">
        <v>4313.5</v>
      </c>
      <c r="BB13" s="22">
        <v>8.827</v>
      </c>
      <c r="BC13" s="22">
        <v>17.710999999999999</v>
      </c>
      <c r="BE13" s="23">
        <f t="shared" si="14"/>
        <v>-3.8264006611594958E-4</v>
      </c>
      <c r="BF13" s="23">
        <f t="shared" si="15"/>
        <v>-4.4629784182875221E-3</v>
      </c>
      <c r="BG13" s="23"/>
      <c r="BI13" s="24"/>
      <c r="BJ13" s="24"/>
      <c r="BK13" s="24"/>
      <c r="BL13" s="24"/>
      <c r="BM13" s="24"/>
      <c r="BO13" s="24"/>
      <c r="BP13" s="24"/>
      <c r="BQ13" s="24"/>
      <c r="BR13" s="24"/>
      <c r="BS13" s="24"/>
      <c r="BU13" s="4">
        <f t="shared" si="16"/>
        <v>-43168</v>
      </c>
    </row>
    <row r="14" spans="1:73" ht="16" outlineLevel="1" thickBot="1" x14ac:dyDescent="0.25">
      <c r="A14" s="25"/>
      <c r="B14" s="45" t="s">
        <v>275</v>
      </c>
      <c r="C14" s="46" t="s">
        <v>272</v>
      </c>
      <c r="D14" s="45">
        <v>22654789</v>
      </c>
      <c r="E14" s="46">
        <v>10</v>
      </c>
      <c r="F14" s="46">
        <v>32</v>
      </c>
      <c r="G14" s="46">
        <v>30</v>
      </c>
      <c r="I14" s="47">
        <f t="shared" si="0"/>
        <v>13.673415</v>
      </c>
      <c r="J14" s="48">
        <f t="shared" si="1"/>
        <v>0.64379218009931583</v>
      </c>
      <c r="K14" s="48">
        <f t="shared" si="2"/>
        <v>0.25410750901277429</v>
      </c>
      <c r="L14" s="48">
        <f t="shared" si="3"/>
        <v>0.19056809577877773</v>
      </c>
      <c r="M14" s="48">
        <f t="shared" si="4"/>
        <v>0.38966348351335339</v>
      </c>
      <c r="N14" s="45">
        <f t="shared" si="5"/>
        <v>5756752</v>
      </c>
      <c r="O14" s="48">
        <f t="shared" si="6"/>
        <v>0.64775911617531123</v>
      </c>
      <c r="P14" s="49">
        <v>22516049</v>
      </c>
      <c r="Q14" s="49">
        <v>703626.53125</v>
      </c>
      <c r="R14" s="49">
        <v>8247.125</v>
      </c>
      <c r="S14" s="50">
        <v>14584976</v>
      </c>
      <c r="T14" s="50">
        <v>4317280</v>
      </c>
      <c r="U14" s="50">
        <v>1439472</v>
      </c>
      <c r="V14" s="50">
        <v>8827744</v>
      </c>
      <c r="W14" s="51">
        <v>71.405311999999995</v>
      </c>
      <c r="X14" s="51">
        <v>74.790583999999996</v>
      </c>
      <c r="Y14" s="51">
        <v>39.658566</v>
      </c>
      <c r="Z14" s="51">
        <v>42.980369000000003</v>
      </c>
      <c r="AA14" s="51">
        <v>38.534286999999999</v>
      </c>
      <c r="AB14" s="52">
        <v>4766.01</v>
      </c>
      <c r="AC14" s="52">
        <v>3842.21</v>
      </c>
      <c r="AD14" s="52">
        <v>8.593</v>
      </c>
      <c r="AE14" s="52">
        <v>16.122</v>
      </c>
      <c r="AG14" s="47">
        <f t="shared" si="7"/>
        <v>13.5877575</v>
      </c>
      <c r="AH14" s="48">
        <f t="shared" si="8"/>
        <v>0.63975912554294811</v>
      </c>
      <c r="AI14" s="48">
        <f t="shared" si="9"/>
        <v>0.25010694206862838</v>
      </c>
      <c r="AJ14" s="48">
        <f t="shared" si="10"/>
        <v>0.18730944702243751</v>
      </c>
      <c r="AK14" s="48">
        <f t="shared" si="11"/>
        <v>0.38963064277491172</v>
      </c>
      <c r="AL14" s="45">
        <f t="shared" si="12"/>
        <v>5666120</v>
      </c>
      <c r="AM14" s="48">
        <f t="shared" si="13"/>
        <v>0.6442754088263406</v>
      </c>
      <c r="AN14" s="49">
        <v>22495982</v>
      </c>
      <c r="AO14" s="49">
        <v>702999.4375</v>
      </c>
      <c r="AP14" s="49">
        <v>8246.78125</v>
      </c>
      <c r="AQ14" s="50">
        <v>14493608</v>
      </c>
      <c r="AR14" s="50">
        <v>4243456</v>
      </c>
      <c r="AS14" s="50">
        <v>1422664</v>
      </c>
      <c r="AT14" s="50">
        <v>8827000</v>
      </c>
      <c r="AU14" s="51">
        <v>71.393872000000002</v>
      </c>
      <c r="AV14" s="51">
        <v>74.798930999999996</v>
      </c>
      <c r="AW14" s="51">
        <v>39.652940999999998</v>
      </c>
      <c r="AX14" s="51">
        <v>42.971468999999999</v>
      </c>
      <c r="AY14" s="51">
        <v>38.538587999999997</v>
      </c>
      <c r="AZ14" s="52">
        <v>4554.1400000000003</v>
      </c>
      <c r="BA14" s="52">
        <v>3795.34</v>
      </c>
      <c r="BB14" s="52">
        <v>8.2609999999999992</v>
      </c>
      <c r="BC14" s="52">
        <v>16.419</v>
      </c>
      <c r="BE14" s="53">
        <f t="shared" si="14"/>
        <v>9.9663566851173474E-6</v>
      </c>
      <c r="BF14" s="53">
        <f t="shared" si="15"/>
        <v>-3.7650157344961133E-3</v>
      </c>
      <c r="BG14" s="53"/>
      <c r="BI14" s="54"/>
      <c r="BJ14" s="54"/>
      <c r="BK14" s="54"/>
      <c r="BL14" s="54"/>
      <c r="BM14" s="54"/>
      <c r="BO14" s="54"/>
      <c r="BP14" s="54"/>
      <c r="BQ14" s="54"/>
      <c r="BR14" s="54"/>
      <c r="BS14" s="54"/>
      <c r="BU14" s="4">
        <f t="shared" si="16"/>
        <v>-91368</v>
      </c>
    </row>
    <row r="15" spans="1:73" x14ac:dyDescent="0.2">
      <c r="A15" s="15"/>
      <c r="B15" s="15" t="s">
        <v>278</v>
      </c>
      <c r="C15" s="16" t="s">
        <v>268</v>
      </c>
      <c r="D15" s="15">
        <v>33947718</v>
      </c>
      <c r="E15" s="16">
        <v>10</v>
      </c>
      <c r="F15" s="16">
        <v>32</v>
      </c>
      <c r="G15" s="16">
        <v>30</v>
      </c>
      <c r="I15" s="17">
        <f t="shared" si="0"/>
        <v>2.0873550000000001</v>
      </c>
      <c r="J15" s="18">
        <f t="shared" si="1"/>
        <v>6.5586499805377202E-2</v>
      </c>
      <c r="K15" s="18">
        <f t="shared" si="2"/>
        <v>5.2090452736764221E-2</v>
      </c>
      <c r="L15" s="18">
        <f t="shared" si="3"/>
        <v>2.7924115547324858E-2</v>
      </c>
      <c r="M15" s="18">
        <f t="shared" si="4"/>
        <v>1.3481907679332083E-2</v>
      </c>
      <c r="N15" s="15">
        <f t="shared" si="5"/>
        <v>1768352</v>
      </c>
      <c r="O15" s="18">
        <f t="shared" si="6"/>
        <v>6.7637991391232319E-2</v>
      </c>
      <c r="P15" s="19">
        <v>32918068</v>
      </c>
      <c r="Q15" s="19">
        <v>1028689.625</v>
      </c>
      <c r="R15" s="19">
        <v>34873.375</v>
      </c>
      <c r="S15" s="20">
        <v>2226512</v>
      </c>
      <c r="T15" s="20">
        <v>947960</v>
      </c>
      <c r="U15" s="20">
        <v>820392</v>
      </c>
      <c r="V15" s="20">
        <v>457680</v>
      </c>
      <c r="W15" s="21">
        <v>66.365893999999997</v>
      </c>
      <c r="X15" s="21">
        <v>67.929571999999993</v>
      </c>
      <c r="Y15" s="21">
        <v>28.816877999999999</v>
      </c>
      <c r="Z15" s="21">
        <v>42.802222</v>
      </c>
      <c r="AA15" s="21">
        <v>42.977193999999997</v>
      </c>
      <c r="AB15" s="22">
        <v>5944.85</v>
      </c>
      <c r="AC15" s="22">
        <v>2450.36</v>
      </c>
      <c r="AD15" s="22">
        <v>10.922000000000001</v>
      </c>
      <c r="AE15" s="22">
        <v>13.321999999999999</v>
      </c>
      <c r="AG15" s="17">
        <f t="shared" si="7"/>
        <v>2.0129250000000001</v>
      </c>
      <c r="AH15" s="18">
        <f t="shared" si="8"/>
        <v>6.3247844818317384E-2</v>
      </c>
      <c r="AI15" s="18">
        <f t="shared" si="9"/>
        <v>5.026010879435254E-2</v>
      </c>
      <c r="AJ15" s="18">
        <f t="shared" si="10"/>
        <v>2.6626355267826838E-2</v>
      </c>
      <c r="AK15" s="18">
        <f t="shared" si="11"/>
        <v>1.2973360978195942E-2</v>
      </c>
      <c r="AL15" s="15">
        <f t="shared" si="12"/>
        <v>1706216</v>
      </c>
      <c r="AM15" s="18">
        <f t="shared" si="13"/>
        <v>6.6425344019657093E-2</v>
      </c>
      <c r="AN15" s="19">
        <v>32323807</v>
      </c>
      <c r="AO15" s="19">
        <v>1010118.96875</v>
      </c>
      <c r="AP15" s="19">
        <v>34003.84375</v>
      </c>
      <c r="AQ15" s="20">
        <v>2147120</v>
      </c>
      <c r="AR15" s="20">
        <v>903904</v>
      </c>
      <c r="AS15" s="20">
        <v>802312</v>
      </c>
      <c r="AT15" s="20">
        <v>440416</v>
      </c>
      <c r="AU15" s="21">
        <v>66.333524999999995</v>
      </c>
      <c r="AV15" s="21">
        <v>67.928118999999995</v>
      </c>
      <c r="AW15" s="21">
        <v>28.899272</v>
      </c>
      <c r="AX15" s="21">
        <v>43.030391000000002</v>
      </c>
      <c r="AY15" s="21">
        <v>43.274675000000002</v>
      </c>
      <c r="AZ15" s="22">
        <v>7677.84</v>
      </c>
      <c r="BA15" s="22">
        <v>3005.29</v>
      </c>
      <c r="BB15" s="22">
        <v>12.627000000000001</v>
      </c>
      <c r="BC15" s="22">
        <v>16.239000000000001</v>
      </c>
      <c r="BE15" s="23">
        <f t="shared" si="14"/>
        <v>-2.3756768035566866E-4</v>
      </c>
      <c r="BF15" s="23">
        <f t="shared" si="15"/>
        <v>4.2807540857270343E-4</v>
      </c>
      <c r="BG15" s="23">
        <f t="array" ref="BG15">AVERAGE(AL15:AL19/AQ15:AQ19) - AVERAGE(N15:N19/S15:S19)</f>
        <v>-2.8121107909859777E-3</v>
      </c>
      <c r="BI15" s="24">
        <f>IF( OR(ISBLANK(N15:N19),ISBLANK(AL15:AL19), ISBLANK(W15:W19),ISBLANK(AU15:AU19)), "·", bdRateExtend( N15:N19,W15:W19, AL15:AL19,AU15:AU19))</f>
        <v>-4.53125861059962E-2</v>
      </c>
      <c r="BJ15" s="24">
        <f>IF( OR(ISBLANK(N15:N19),ISBLANK(AL15:AL19), ISBLANK(X15:X19),ISBLANK(AV15:AV19)), "·", bdRateExtend( N15:N19,X15:X19, AL15:AL19,AV15:AV19))</f>
        <v>-4.8108200786560307E-2</v>
      </c>
      <c r="BK15" s="24">
        <f>IF( OR(ISBLANK(V15:V19),ISBLANK(AT15:AT19), ISBLANK(Y15:Y19),ISBLANK(AW15:AW19)), "·", bdRateExtend( V15:V19,Y15:Y19, AT15:AT19,AW15:AW19))</f>
        <v>-4.9660269287730707E-2</v>
      </c>
      <c r="BL15" s="24">
        <f>IF( OR(ISBLANK(V15:V19),ISBLANK(AT15:AT19), ISBLANK(Z15:Z19),ISBLANK(AX15:AX19)), "·", bdRateExtend( V15:V19,Z15:Z19, AT15:AT19,AX15:AX19))</f>
        <v>-5.8513749696969763E-2</v>
      </c>
      <c r="BM15" s="24">
        <f>IF( OR(ISBLANK(V15:V19),ISBLANK(AT15:AT19), ISBLANK(AA15:AA19),ISBLANK(AY15:AY19)), "·", bdRateExtend( V15:V19,AA15:AA19, AT15:AT19,AY15:AY19))</f>
        <v>-7.5206156537942714E-2</v>
      </c>
      <c r="BO15" s="24">
        <f>IF( OR(ISBLANK(S15:S19),ISBLANK(AQ15:AQ19), ISBLANK(W15:W19),ISBLANK(AU15:AU19)), "·", bdRateExtend( S15:S19,W15:W19, AQ15:AQ19,AU15:AU19))</f>
        <v>-4.1961497965470662E-2</v>
      </c>
      <c r="BP15" s="24">
        <f>IF( OR(ISBLANK(S15:S19),ISBLANK(AQ15:AQ19), ISBLANK(X15:X19),ISBLANK(AV15:AV19)), "·", bdRateExtend( S15:S19,X15:X19, AQ15:AQ19,AV15:AV19))</f>
        <v>-4.5853291437197408E-2</v>
      </c>
      <c r="BQ15" s="24">
        <f>IF( OR(ISBLANK(S15:S19),ISBLANK(AQ15:AQ19), ISBLANK(Y15:Y19),ISBLANK(AW15:AW19)), "·", bdRateExtend( S15:S19,Y15:Y19, AQ15:AQ19,AW15:AW19))</f>
        <v>-4.8107082657978695E-2</v>
      </c>
      <c r="BR15" s="24">
        <f>IF( OR(ISBLANK(S15:S19),ISBLANK(AQ15:AQ19), ISBLANK(Z15:Z19),ISBLANK(AX15:AX19)), "·", bdRateExtend( S15:S19,Z15:Z19, AQ15:AQ19,AX15:AX19))</f>
        <v>-5.3641222675052558E-2</v>
      </c>
      <c r="BS15" s="24">
        <f>IF( OR(ISBLANK(S15:S19),ISBLANK(AQ15:AQ19), ISBLANK(AA15:AA19),ISBLANK(AY15:AY19)), "·", bdRateExtend( S15:S19,AA15:AA19, AQ15:AQ19,AY15:AY19))</f>
        <v>-6.4300665281221914E-2</v>
      </c>
      <c r="BU15" s="4">
        <f t="shared" si="16"/>
        <v>-79392</v>
      </c>
    </row>
    <row r="16" spans="1:73" outlineLevel="1" x14ac:dyDescent="0.2">
      <c r="A16" s="25"/>
      <c r="B16" s="25" t="s">
        <v>278</v>
      </c>
      <c r="C16" s="26" t="s">
        <v>269</v>
      </c>
      <c r="D16" s="25">
        <v>33947718</v>
      </c>
      <c r="E16" s="26">
        <v>10</v>
      </c>
      <c r="F16" s="26">
        <v>32</v>
      </c>
      <c r="G16" s="26">
        <v>30</v>
      </c>
      <c r="I16" s="27">
        <f t="shared" si="0"/>
        <v>2.7861674999999999</v>
      </c>
      <c r="J16" s="28">
        <f t="shared" si="1"/>
        <v>8.7543793076164944E-2</v>
      </c>
      <c r="K16" s="28">
        <f t="shared" si="2"/>
        <v>6.1816231653626909E-2</v>
      </c>
      <c r="L16" s="28">
        <f t="shared" si="3"/>
        <v>3.7649894464187546E-2</v>
      </c>
      <c r="M16" s="28">
        <f t="shared" si="4"/>
        <v>2.571342203325714E-2</v>
      </c>
      <c r="N16" s="25">
        <f t="shared" si="5"/>
        <v>2098520</v>
      </c>
      <c r="O16" s="28">
        <f t="shared" si="6"/>
        <v>8.679581343242368E-2</v>
      </c>
      <c r="P16" s="29">
        <v>34240269</v>
      </c>
      <c r="Q16" s="29">
        <v>1070008.40625</v>
      </c>
      <c r="R16" s="29">
        <v>40445.6875</v>
      </c>
      <c r="S16" s="30">
        <v>2971912</v>
      </c>
      <c r="T16" s="30">
        <v>1278128</v>
      </c>
      <c r="U16" s="30">
        <v>820392</v>
      </c>
      <c r="V16" s="30">
        <v>872912</v>
      </c>
      <c r="W16" s="31">
        <v>68.035809</v>
      </c>
      <c r="X16" s="31">
        <v>70.025380999999996</v>
      </c>
      <c r="Y16" s="31">
        <v>31.218097</v>
      </c>
      <c r="Z16" s="31">
        <v>43.821769000000003</v>
      </c>
      <c r="AA16" s="31">
        <v>44.141916000000002</v>
      </c>
      <c r="AB16" s="32">
        <v>5659.68</v>
      </c>
      <c r="AC16" s="32">
        <v>2577.7800000000002</v>
      </c>
      <c r="AD16" s="32">
        <v>11.02</v>
      </c>
      <c r="AE16" s="32">
        <v>13.255000000000001</v>
      </c>
      <c r="AG16" s="27">
        <f t="shared" si="7"/>
        <v>2.6818050000000002</v>
      </c>
      <c r="AH16" s="28">
        <f t="shared" si="8"/>
        <v>8.4264633045437687E-2</v>
      </c>
      <c r="AI16" s="28">
        <f t="shared" si="9"/>
        <v>5.9402166590402337E-2</v>
      </c>
      <c r="AJ16" s="28">
        <f t="shared" si="10"/>
        <v>3.5768413063876632E-2</v>
      </c>
      <c r="AK16" s="28">
        <f t="shared" si="11"/>
        <v>2.484809140926645E-2</v>
      </c>
      <c r="AL16" s="25">
        <f t="shared" si="12"/>
        <v>2016568</v>
      </c>
      <c r="AM16" s="28">
        <f t="shared" si="13"/>
        <v>8.4101977063492733E-2</v>
      </c>
      <c r="AN16" s="29">
        <v>34013374</v>
      </c>
      <c r="AO16" s="29">
        <v>1062917.9375</v>
      </c>
      <c r="AP16" s="29">
        <v>40000.3125</v>
      </c>
      <c r="AQ16" s="30">
        <v>2860592</v>
      </c>
      <c r="AR16" s="30">
        <v>1214256</v>
      </c>
      <c r="AS16" s="30">
        <v>802312</v>
      </c>
      <c r="AT16" s="30">
        <v>843536</v>
      </c>
      <c r="AU16" s="31">
        <v>68.051368999999994</v>
      </c>
      <c r="AV16" s="31">
        <v>70.062349999999995</v>
      </c>
      <c r="AW16" s="31">
        <v>31.302444000000001</v>
      </c>
      <c r="AX16" s="31">
        <v>43.868552999999999</v>
      </c>
      <c r="AY16" s="31">
        <v>44.220883999999998</v>
      </c>
      <c r="AZ16" s="32">
        <v>5944.85</v>
      </c>
      <c r="BA16" s="32">
        <v>2526.48</v>
      </c>
      <c r="BB16" s="32">
        <v>10.923999999999999</v>
      </c>
      <c r="BC16" s="32">
        <v>13.054</v>
      </c>
      <c r="BE16" s="33">
        <f t="shared" si="14"/>
        <v>-1.6686091317113377E-4</v>
      </c>
      <c r="BF16" s="33">
        <f t="shared" si="15"/>
        <v>-1.1700253397993743E-3</v>
      </c>
      <c r="BG16" s="33"/>
      <c r="BI16" s="34"/>
      <c r="BJ16" s="34"/>
      <c r="BK16" s="34"/>
      <c r="BL16" s="34"/>
      <c r="BM16" s="34"/>
      <c r="BO16" s="34"/>
      <c r="BP16" s="34"/>
      <c r="BQ16" s="34"/>
      <c r="BR16" s="34"/>
      <c r="BS16" s="34"/>
      <c r="BU16" s="4">
        <f t="shared" si="16"/>
        <v>-111320</v>
      </c>
    </row>
    <row r="17" spans="1:73" outlineLevel="1" x14ac:dyDescent="0.2">
      <c r="A17" s="15"/>
      <c r="B17" s="15" t="s">
        <v>278</v>
      </c>
      <c r="C17" s="16" t="s">
        <v>270</v>
      </c>
      <c r="D17" s="15">
        <v>33947718</v>
      </c>
      <c r="E17" s="16">
        <v>10</v>
      </c>
      <c r="F17" s="16">
        <v>32</v>
      </c>
      <c r="G17" s="16">
        <v>30</v>
      </c>
      <c r="I17" s="17">
        <f t="shared" si="0"/>
        <v>4.0171275</v>
      </c>
      <c r="J17" s="18">
        <f t="shared" si="1"/>
        <v>0.12622162114107346</v>
      </c>
      <c r="K17" s="18">
        <f t="shared" si="2"/>
        <v>7.3928268168128419E-2</v>
      </c>
      <c r="L17" s="18">
        <f t="shared" si="3"/>
        <v>4.9761930978689056E-2</v>
      </c>
      <c r="M17" s="18">
        <f t="shared" si="4"/>
        <v>5.227921358366415E-2</v>
      </c>
      <c r="N17" s="15">
        <f t="shared" si="5"/>
        <v>2509696</v>
      </c>
      <c r="O17" s="18">
        <f t="shared" si="6"/>
        <v>0.12485514328849583</v>
      </c>
      <c r="P17" s="19">
        <v>34319259</v>
      </c>
      <c r="Q17" s="19">
        <v>1072476.84375</v>
      </c>
      <c r="R17" s="19">
        <v>41652.03125</v>
      </c>
      <c r="S17" s="20">
        <v>4284936</v>
      </c>
      <c r="T17" s="20">
        <v>1689304</v>
      </c>
      <c r="U17" s="20">
        <v>820392</v>
      </c>
      <c r="V17" s="20">
        <v>1774760</v>
      </c>
      <c r="W17" s="21">
        <v>69.422893999999999</v>
      </c>
      <c r="X17" s="21">
        <v>71.808352999999997</v>
      </c>
      <c r="Y17" s="21">
        <v>33.727468999999999</v>
      </c>
      <c r="Z17" s="21">
        <v>44.922347000000002</v>
      </c>
      <c r="AA17" s="21">
        <v>45.297696999999999</v>
      </c>
      <c r="AB17" s="22">
        <v>5847.14</v>
      </c>
      <c r="AC17" s="22">
        <v>2820.89</v>
      </c>
      <c r="AD17" s="22">
        <v>11.231999999999999</v>
      </c>
      <c r="AE17" s="22">
        <v>13.757999999999999</v>
      </c>
      <c r="AG17" s="17">
        <f t="shared" si="7"/>
        <v>3.8652449999999998</v>
      </c>
      <c r="AH17" s="18">
        <f t="shared" si="8"/>
        <v>0.12144934160228384</v>
      </c>
      <c r="AI17" s="18">
        <f t="shared" si="9"/>
        <v>7.0660655305313888E-2</v>
      </c>
      <c r="AJ17" s="18">
        <f t="shared" si="10"/>
        <v>4.7026901778788197E-2</v>
      </c>
      <c r="AK17" s="18">
        <f t="shared" si="11"/>
        <v>5.0774311251201035E-2</v>
      </c>
      <c r="AL17" s="15">
        <f t="shared" si="12"/>
        <v>2398768</v>
      </c>
      <c r="AM17" s="18">
        <f t="shared" si="13"/>
        <v>0.12047499359481451</v>
      </c>
      <c r="AN17" s="19">
        <v>34222272</v>
      </c>
      <c r="AO17" s="19">
        <v>1069446</v>
      </c>
      <c r="AP17" s="19">
        <v>41384.1875</v>
      </c>
      <c r="AQ17" s="20">
        <v>4122928</v>
      </c>
      <c r="AR17" s="20">
        <v>1596456</v>
      </c>
      <c r="AS17" s="20">
        <v>802312</v>
      </c>
      <c r="AT17" s="20">
        <v>1723672</v>
      </c>
      <c r="AU17" s="21">
        <v>69.429022000000003</v>
      </c>
      <c r="AV17" s="21">
        <v>71.841999999999999</v>
      </c>
      <c r="AW17" s="21">
        <v>33.803230999999997</v>
      </c>
      <c r="AX17" s="21">
        <v>44.949658999999997</v>
      </c>
      <c r="AY17" s="21">
        <v>45.351916000000003</v>
      </c>
      <c r="AZ17" s="22">
        <v>8083.18</v>
      </c>
      <c r="BA17" s="22">
        <v>3483.97</v>
      </c>
      <c r="BB17" s="22">
        <v>12.411</v>
      </c>
      <c r="BC17" s="22">
        <v>16.518000000000001</v>
      </c>
      <c r="BE17" s="23">
        <f t="shared" si="14"/>
        <v>-1.4038499394253279E-4</v>
      </c>
      <c r="BF17" s="23">
        <f t="shared" si="15"/>
        <v>-3.8903358720060455E-3</v>
      </c>
      <c r="BG17" s="23"/>
      <c r="BI17" s="24"/>
      <c r="BJ17" s="24"/>
      <c r="BK17" s="24"/>
      <c r="BL17" s="24"/>
      <c r="BM17" s="24"/>
      <c r="BO17" s="24"/>
      <c r="BP17" s="24"/>
      <c r="BQ17" s="24"/>
      <c r="BR17" s="24"/>
      <c r="BS17" s="24"/>
      <c r="BU17" s="4">
        <f t="shared" si="16"/>
        <v>-162008</v>
      </c>
    </row>
    <row r="18" spans="1:73" outlineLevel="1" x14ac:dyDescent="0.2">
      <c r="A18" s="25"/>
      <c r="B18" s="25" t="s">
        <v>278</v>
      </c>
      <c r="C18" s="26" t="s">
        <v>271</v>
      </c>
      <c r="D18" s="25">
        <v>33947718</v>
      </c>
      <c r="E18" s="26">
        <v>10</v>
      </c>
      <c r="F18" s="26">
        <v>32</v>
      </c>
      <c r="G18" s="26">
        <v>30</v>
      </c>
      <c r="I18" s="27">
        <f t="shared" si="0"/>
        <v>7.2107999999999999</v>
      </c>
      <c r="J18" s="28">
        <f t="shared" si="1"/>
        <v>0.22656957383703966</v>
      </c>
      <c r="K18" s="28">
        <f t="shared" si="2"/>
        <v>0.10451176718270136</v>
      </c>
      <c r="L18" s="28">
        <f t="shared" si="3"/>
        <v>8.0345429993261996E-2</v>
      </c>
      <c r="M18" s="28">
        <f t="shared" si="4"/>
        <v>0.1220436672650574</v>
      </c>
      <c r="N18" s="25">
        <f t="shared" si="5"/>
        <v>3547936</v>
      </c>
      <c r="O18" s="28">
        <f t="shared" si="6"/>
        <v>0.21545059828527371</v>
      </c>
      <c r="P18" s="29">
        <v>35699692</v>
      </c>
      <c r="Q18" s="29">
        <v>1115615.375</v>
      </c>
      <c r="R18" s="29">
        <v>47077.96875</v>
      </c>
      <c r="S18" s="30">
        <v>7691520</v>
      </c>
      <c r="T18" s="30">
        <v>2727544</v>
      </c>
      <c r="U18" s="30">
        <v>820392</v>
      </c>
      <c r="V18" s="30">
        <v>4143104</v>
      </c>
      <c r="W18" s="31">
        <v>70.456969000000001</v>
      </c>
      <c r="X18" s="31">
        <v>73.083236999999997</v>
      </c>
      <c r="Y18" s="31">
        <v>36.237693999999998</v>
      </c>
      <c r="Z18" s="31">
        <v>46.117975000000001</v>
      </c>
      <c r="AA18" s="31">
        <v>46.551265999999998</v>
      </c>
      <c r="AB18" s="32">
        <v>7675.35</v>
      </c>
      <c r="AC18" s="32">
        <v>3913.36</v>
      </c>
      <c r="AD18" s="32">
        <v>13.154999999999999</v>
      </c>
      <c r="AE18" s="32">
        <v>18.37</v>
      </c>
      <c r="AG18" s="27">
        <f t="shared" si="7"/>
        <v>6.9445874999999999</v>
      </c>
      <c r="AH18" s="28">
        <f t="shared" si="8"/>
        <v>0.21820494679495098</v>
      </c>
      <c r="AI18" s="28">
        <f t="shared" si="9"/>
        <v>9.9585603957238006E-2</v>
      </c>
      <c r="AJ18" s="28">
        <f t="shared" si="10"/>
        <v>7.5951850430712314E-2</v>
      </c>
      <c r="AK18" s="28">
        <f t="shared" si="11"/>
        <v>0.11860496779194407</v>
      </c>
      <c r="AL18" s="25">
        <f t="shared" si="12"/>
        <v>3380704</v>
      </c>
      <c r="AM18" s="28">
        <f t="shared" si="13"/>
        <v>0.20797378655894064</v>
      </c>
      <c r="AN18" s="29">
        <v>35617758</v>
      </c>
      <c r="AO18" s="29">
        <v>1113054.9375</v>
      </c>
      <c r="AP18" s="29">
        <v>46717.21875</v>
      </c>
      <c r="AQ18" s="30">
        <v>7407560</v>
      </c>
      <c r="AR18" s="30">
        <v>2578392</v>
      </c>
      <c r="AS18" s="30">
        <v>802312</v>
      </c>
      <c r="AT18" s="30">
        <v>4026368</v>
      </c>
      <c r="AU18" s="31">
        <v>70.480380999999994</v>
      </c>
      <c r="AV18" s="31">
        <v>73.115453000000002</v>
      </c>
      <c r="AW18" s="31">
        <v>36.281162999999999</v>
      </c>
      <c r="AX18" s="31">
        <v>46.151246999999998</v>
      </c>
      <c r="AY18" s="31">
        <v>46.618597000000001</v>
      </c>
      <c r="AZ18" s="32">
        <v>8200.15</v>
      </c>
      <c r="BA18" s="32">
        <v>3814.04</v>
      </c>
      <c r="BB18" s="32">
        <v>12.895</v>
      </c>
      <c r="BC18" s="32">
        <v>17.402999999999999</v>
      </c>
      <c r="BE18" s="33">
        <f t="shared" si="14"/>
        <v>-2.2703446545913053E-4</v>
      </c>
      <c r="BF18" s="33">
        <f t="shared" si="15"/>
        <v>-4.8932765050442306E-3</v>
      </c>
      <c r="BG18" s="33"/>
      <c r="BI18" s="34"/>
      <c r="BJ18" s="34"/>
      <c r="BK18" s="34"/>
      <c r="BL18" s="34"/>
      <c r="BM18" s="34"/>
      <c r="BO18" s="34"/>
      <c r="BP18" s="34"/>
      <c r="BQ18" s="34"/>
      <c r="BR18" s="34"/>
      <c r="BS18" s="34"/>
      <c r="BU18" s="4">
        <f t="shared" si="16"/>
        <v>-283960</v>
      </c>
    </row>
    <row r="19" spans="1:73" ht="16" outlineLevel="1" thickBot="1" x14ac:dyDescent="0.25">
      <c r="A19" s="15"/>
      <c r="B19" s="35" t="s">
        <v>278</v>
      </c>
      <c r="C19" s="36" t="s">
        <v>272</v>
      </c>
      <c r="D19" s="35">
        <v>33947718</v>
      </c>
      <c r="E19" s="36">
        <v>10</v>
      </c>
      <c r="F19" s="36">
        <v>32</v>
      </c>
      <c r="G19" s="36">
        <v>30</v>
      </c>
      <c r="I19" s="37">
        <f t="shared" si="0"/>
        <v>15.94998</v>
      </c>
      <c r="J19" s="38">
        <f t="shared" si="1"/>
        <v>0.50116216942770642</v>
      </c>
      <c r="K19" s="38">
        <f t="shared" si="2"/>
        <v>0.18077020670432103</v>
      </c>
      <c r="L19" s="38">
        <f t="shared" si="3"/>
        <v>0.13103914672556194</v>
      </c>
      <c r="M19" s="38">
        <f t="shared" si="4"/>
        <v>0.32037782333410453</v>
      </c>
      <c r="N19" s="35">
        <f t="shared" si="5"/>
        <v>6136736</v>
      </c>
      <c r="O19" s="38">
        <f t="shared" si="6"/>
        <v>0.5043143085956282</v>
      </c>
      <c r="P19" s="39">
        <v>33735533</v>
      </c>
      <c r="Q19" s="39">
        <v>1054235.40625</v>
      </c>
      <c r="R19" s="39">
        <v>12673</v>
      </c>
      <c r="S19" s="40">
        <v>17013312</v>
      </c>
      <c r="T19" s="40">
        <v>4448480</v>
      </c>
      <c r="U19" s="40">
        <v>1688256</v>
      </c>
      <c r="V19" s="40">
        <v>10876096</v>
      </c>
      <c r="W19" s="41">
        <v>71.734933999999996</v>
      </c>
      <c r="X19" s="41">
        <v>75.206344000000001</v>
      </c>
      <c r="Y19" s="41">
        <v>38.761566000000002</v>
      </c>
      <c r="Z19" s="41">
        <v>47.956684000000003</v>
      </c>
      <c r="AA19" s="41">
        <v>48.417900000000003</v>
      </c>
      <c r="AB19" s="42">
        <v>5967.7</v>
      </c>
      <c r="AC19" s="42">
        <v>3801.94</v>
      </c>
      <c r="AD19" s="42">
        <v>12.903</v>
      </c>
      <c r="AE19" s="42">
        <v>17.163</v>
      </c>
      <c r="AG19" s="37">
        <f t="shared" si="7"/>
        <v>15.423697499999999</v>
      </c>
      <c r="AH19" s="38">
        <f t="shared" si="8"/>
        <v>0.48462591800721333</v>
      </c>
      <c r="AI19" s="38">
        <f t="shared" si="9"/>
        <v>0.17260777292894916</v>
      </c>
      <c r="AJ19" s="38">
        <f t="shared" si="10"/>
        <v>0.12336028006359662</v>
      </c>
      <c r="AK19" s="38">
        <f t="shared" si="11"/>
        <v>0.31200377003249524</v>
      </c>
      <c r="AL19" s="35">
        <f t="shared" si="12"/>
        <v>5859640</v>
      </c>
      <c r="AM19" s="38">
        <f t="shared" si="13"/>
        <v>0.48839581023127987</v>
      </c>
      <c r="AN19" s="39">
        <v>33685678</v>
      </c>
      <c r="AO19" s="39">
        <v>1052677.4375</v>
      </c>
      <c r="AP19" s="39">
        <v>12625.5625</v>
      </c>
      <c r="AQ19" s="40">
        <v>16451944</v>
      </c>
      <c r="AR19" s="40">
        <v>4187800</v>
      </c>
      <c r="AS19" s="40">
        <v>1671840</v>
      </c>
      <c r="AT19" s="40">
        <v>10591816</v>
      </c>
      <c r="AU19" s="41">
        <v>71.745272</v>
      </c>
      <c r="AV19" s="41">
        <v>75.257766000000004</v>
      </c>
      <c r="AW19" s="41">
        <v>38.793334000000002</v>
      </c>
      <c r="AX19" s="41">
        <v>48.008890999999998</v>
      </c>
      <c r="AY19" s="41">
        <v>48.491866000000002</v>
      </c>
      <c r="AZ19" s="42">
        <v>7803.98</v>
      </c>
      <c r="BA19" s="42">
        <v>4455.47</v>
      </c>
      <c r="BB19" s="42">
        <v>14.271000000000001</v>
      </c>
      <c r="BC19" s="42">
        <v>20.504999999999999</v>
      </c>
      <c r="BE19" s="43">
        <f t="shared" si="14"/>
        <v>-2.7272460835468804E-5</v>
      </c>
      <c r="BF19" s="43">
        <f t="shared" si="15"/>
        <v>-4.5349916466525531E-3</v>
      </c>
      <c r="BG19" s="43"/>
      <c r="BI19" s="44"/>
      <c r="BJ19" s="44"/>
      <c r="BK19" s="44"/>
      <c r="BL19" s="44"/>
      <c r="BM19" s="44"/>
      <c r="BO19" s="44"/>
      <c r="BP19" s="44"/>
      <c r="BQ19" s="44"/>
      <c r="BR19" s="44"/>
      <c r="BS19" s="44"/>
      <c r="BU19" s="4">
        <f t="shared" si="16"/>
        <v>-561368</v>
      </c>
    </row>
    <row r="20" spans="1:73" x14ac:dyDescent="0.2">
      <c r="A20" s="25"/>
      <c r="B20" s="25" t="s">
        <v>281</v>
      </c>
      <c r="C20" s="26" t="s">
        <v>268</v>
      </c>
      <c r="D20" s="25">
        <v>32209643</v>
      </c>
      <c r="E20" s="26">
        <v>10</v>
      </c>
      <c r="F20" s="26">
        <v>32</v>
      </c>
      <c r="G20" s="26">
        <v>50</v>
      </c>
      <c r="I20" s="27">
        <f t="shared" si="0"/>
        <v>2.3457750000000002</v>
      </c>
      <c r="J20" s="28">
        <f t="shared" si="1"/>
        <v>4.6610140944437044E-2</v>
      </c>
      <c r="K20" s="28">
        <f t="shared" si="2"/>
        <v>3.4578464592109885E-2</v>
      </c>
      <c r="L20" s="28">
        <f t="shared" si="3"/>
        <v>1.9799288057927248E-2</v>
      </c>
      <c r="M20" s="28">
        <f t="shared" si="4"/>
        <v>1.2016773982872148E-2</v>
      </c>
      <c r="N20" s="25">
        <f t="shared" si="5"/>
        <v>1113760</v>
      </c>
      <c r="O20" s="28">
        <f t="shared" si="6"/>
        <v>4.8806079758963054E-2</v>
      </c>
      <c r="P20" s="29">
        <v>30760430</v>
      </c>
      <c r="Q20" s="29">
        <v>961263.4375</v>
      </c>
      <c r="R20" s="29">
        <v>27933</v>
      </c>
      <c r="S20" s="30">
        <v>1501296</v>
      </c>
      <c r="T20" s="30">
        <v>637728</v>
      </c>
      <c r="U20" s="30">
        <v>476032</v>
      </c>
      <c r="V20" s="30">
        <v>387056</v>
      </c>
      <c r="W20" s="31">
        <v>67.152118999999999</v>
      </c>
      <c r="X20" s="31">
        <v>68.815347000000003</v>
      </c>
      <c r="Y20" s="31">
        <v>29.935497000000002</v>
      </c>
      <c r="Z20" s="31">
        <v>39.260711999999998</v>
      </c>
      <c r="AA20" s="31">
        <v>37.983584</v>
      </c>
      <c r="AB20" s="32">
        <v>8219.76</v>
      </c>
      <c r="AC20" s="32">
        <v>2489.25</v>
      </c>
      <c r="AD20" s="32">
        <v>10.667999999999999</v>
      </c>
      <c r="AE20" s="32">
        <v>13.662000000000001</v>
      </c>
      <c r="AG20" s="27">
        <f t="shared" si="7"/>
        <v>2.3232124999999999</v>
      </c>
      <c r="AH20" s="28">
        <f t="shared" si="8"/>
        <v>4.6161827996665468E-2</v>
      </c>
      <c r="AI20" s="28">
        <f t="shared" si="9"/>
        <v>3.4107301344507297E-2</v>
      </c>
      <c r="AJ20" s="28">
        <f t="shared" si="10"/>
        <v>1.95921451225026E-2</v>
      </c>
      <c r="AK20" s="28">
        <f t="shared" si="11"/>
        <v>1.2039375909878915E-2</v>
      </c>
      <c r="AL20" s="25">
        <f t="shared" si="12"/>
        <v>1098584</v>
      </c>
      <c r="AM20" s="28">
        <f t="shared" si="13"/>
        <v>4.8358530719698943E-2</v>
      </c>
      <c r="AN20" s="29">
        <v>30746509</v>
      </c>
      <c r="AO20" s="29">
        <v>960828.40625</v>
      </c>
      <c r="AP20" s="29">
        <v>27897.34375</v>
      </c>
      <c r="AQ20" s="30">
        <v>1486856</v>
      </c>
      <c r="AR20" s="30">
        <v>631056</v>
      </c>
      <c r="AS20" s="30">
        <v>467528</v>
      </c>
      <c r="AT20" s="30">
        <v>387784</v>
      </c>
      <c r="AU20" s="31">
        <v>67.104578000000004</v>
      </c>
      <c r="AV20" s="31">
        <v>68.763822000000005</v>
      </c>
      <c r="AW20" s="31">
        <v>29.990528000000001</v>
      </c>
      <c r="AX20" s="31">
        <v>39.266781000000002</v>
      </c>
      <c r="AY20" s="31">
        <v>37.903238000000002</v>
      </c>
      <c r="AZ20" s="32">
        <v>8060.07</v>
      </c>
      <c r="BA20" s="32">
        <v>2422.89</v>
      </c>
      <c r="BB20" s="32">
        <v>10.695</v>
      </c>
      <c r="BC20" s="32">
        <v>12.904999999999999</v>
      </c>
      <c r="BE20" s="33">
        <f t="shared" si="14"/>
        <v>-2.3953119066531109E-5</v>
      </c>
      <c r="BF20" s="33">
        <f t="shared" si="15"/>
        <v>-3.0019446190074905E-3</v>
      </c>
      <c r="BG20" s="33">
        <f t="array" ref="BG20">AVERAGE(AL20:AL24/AQ20:AQ24) - AVERAGE(N20:N24/S20:S24)</f>
        <v>-6.6706063063764476E-3</v>
      </c>
      <c r="BI20" s="34">
        <f>IF( OR(ISBLANK(N20:N24),ISBLANK(AL20:AL24), ISBLANK(W20:W24),ISBLANK(AU20:AU24)), "·", bdRateExtend( N20:N24,W20:W24, AL20:AL24,AU20:AU24))</f>
        <v>-2.6299311868795416E-2</v>
      </c>
      <c r="BJ20" s="34">
        <f>IF( OR(ISBLANK(N20:N24),ISBLANK(AL20:AL24), ISBLANK(X20:X24),ISBLANK(AV20:AV24)), "·", bdRateExtend( N20:N24,X20:X24, AL20:AL24,AV20:AV24))</f>
        <v>-2.7718688274599002E-2</v>
      </c>
      <c r="BK20" s="34">
        <f>IF( OR(ISBLANK(V20:V24),ISBLANK(AT20:AT24), ISBLANK(Y20:Y24),ISBLANK(AW20:AW24)), "·", bdRateExtend( V20:V24,Y20:Y24, AT20:AT24,AW20:AW24))</f>
        <v>-2.0728297793325634E-2</v>
      </c>
      <c r="BL20" s="34">
        <f>IF( OR(ISBLANK(V20:V24),ISBLANK(AT20:AT24), ISBLANK(Z20:Z24),ISBLANK(AX20:AX24)), "·", bdRateExtend( V20:V24,Z20:Z24, AT20:AT24,AX20:AX24))</f>
        <v>-8.1812793555158247E-4</v>
      </c>
      <c r="BM20" s="34">
        <f>IF( OR(ISBLANK(V20:V24),ISBLANK(AT20:AT24), ISBLANK(AA20:AA24),ISBLANK(AY20:AY24)), "·", bdRateExtend( V20:V24,AA20:AA24, AT20:AT24,AY20:AY24))</f>
        <v>-1.3436424552265458E-2</v>
      </c>
      <c r="BO20" s="34">
        <f>IF( OR(ISBLANK(S20:S24),ISBLANK(AQ20:AQ24), ISBLANK(W20:W24),ISBLANK(AU20:AU24)), "·", bdRateExtend( S20:S24,W20:W24, AQ20:AQ24,AU20:AU24))</f>
        <v>-9.4170484969716695E-3</v>
      </c>
      <c r="BP20" s="34">
        <f>IF( OR(ISBLANK(S20:S24),ISBLANK(AQ20:AQ24), ISBLANK(X20:X24),ISBLANK(AV20:AV24)), "·", bdRateExtend( S20:S24,X20:X24, AQ20:AQ24,AV20:AV24))</f>
        <v>-1.0985802209538043E-2</v>
      </c>
      <c r="BQ20" s="34">
        <f>IF( OR(ISBLANK(S20:S24),ISBLANK(AQ20:AQ24), ISBLANK(Y20:Y24),ISBLANK(AW20:AW24)), "·", bdRateExtend( S20:S24,Y20:Y24, AQ20:AQ24,AW20:AW24))</f>
        <v>-2.7214328803888632E-2</v>
      </c>
      <c r="BR20" s="34">
        <f>IF( OR(ISBLANK(S20:S24),ISBLANK(AQ20:AQ24), ISBLANK(Z20:Z24),ISBLANK(AX20:AX24)), "·", bdRateExtend( S20:S24,Z20:Z24, AQ20:AQ24,AX20:AX24))</f>
        <v>-1.5412990698138507E-2</v>
      </c>
      <c r="BS20" s="34">
        <f>IF( OR(ISBLANK(S20:S24),ISBLANK(AQ20:AQ24), ISBLANK(AA20:AA24),ISBLANK(AY20:AY24)), "·", bdRateExtend( S20:S24,AA20:AA24, AQ20:AQ24,AY20:AY24))</f>
        <v>-2.4276774208653928E-2</v>
      </c>
      <c r="BU20" s="4">
        <f t="shared" si="16"/>
        <v>-14440</v>
      </c>
    </row>
    <row r="21" spans="1:73" outlineLevel="1" x14ac:dyDescent="0.2">
      <c r="A21" s="15"/>
      <c r="B21" s="15" t="s">
        <v>281</v>
      </c>
      <c r="C21" s="16" t="s">
        <v>269</v>
      </c>
      <c r="D21" s="15">
        <v>32209643</v>
      </c>
      <c r="E21" s="16">
        <v>10</v>
      </c>
      <c r="F21" s="16">
        <v>32</v>
      </c>
      <c r="G21" s="16">
        <v>50</v>
      </c>
      <c r="I21" s="17">
        <f t="shared" si="0"/>
        <v>3.2674500000000002</v>
      </c>
      <c r="J21" s="18">
        <f t="shared" si="1"/>
        <v>6.4923662767699716E-2</v>
      </c>
      <c r="K21" s="18">
        <f t="shared" si="2"/>
        <v>4.1085087468991817E-2</v>
      </c>
      <c r="L21" s="18">
        <f t="shared" si="3"/>
        <v>2.630591093480918E-2</v>
      </c>
      <c r="M21" s="18">
        <f t="shared" si="4"/>
        <v>2.3823672929252894E-2</v>
      </c>
      <c r="N21" s="15">
        <f t="shared" si="5"/>
        <v>1323336</v>
      </c>
      <c r="O21" s="18">
        <f t="shared" si="6"/>
        <v>6.5862550891346988E-2</v>
      </c>
      <c r="P21" s="19">
        <v>31750486</v>
      </c>
      <c r="Q21" s="19">
        <v>992202.6875</v>
      </c>
      <c r="R21" s="19">
        <v>32268.8125</v>
      </c>
      <c r="S21" s="20">
        <v>2091168</v>
      </c>
      <c r="T21" s="20">
        <v>847304</v>
      </c>
      <c r="U21" s="20">
        <v>476032</v>
      </c>
      <c r="V21" s="20">
        <v>767352</v>
      </c>
      <c r="W21" s="21">
        <v>68.755590999999995</v>
      </c>
      <c r="X21" s="21">
        <v>70.840683999999996</v>
      </c>
      <c r="Y21" s="21">
        <v>31.470534000000001</v>
      </c>
      <c r="Z21" s="21">
        <v>40.457538</v>
      </c>
      <c r="AA21" s="21">
        <v>39.248868999999999</v>
      </c>
      <c r="AB21" s="22">
        <v>5767.86</v>
      </c>
      <c r="AC21" s="22">
        <v>2062.7199999999998</v>
      </c>
      <c r="AD21" s="22">
        <v>9.0749999999999993</v>
      </c>
      <c r="AE21" s="22">
        <v>11.04</v>
      </c>
      <c r="AG21" s="17">
        <f t="shared" si="7"/>
        <v>3.2121</v>
      </c>
      <c r="AH21" s="18">
        <f t="shared" si="8"/>
        <v>6.3823867901919934E-2</v>
      </c>
      <c r="AI21" s="18">
        <f t="shared" si="9"/>
        <v>4.0102276203433859E-2</v>
      </c>
      <c r="AJ21" s="18">
        <f t="shared" si="10"/>
        <v>2.5587119981429166E-2</v>
      </c>
      <c r="AK21" s="18">
        <f t="shared" si="11"/>
        <v>2.370644095620681E-2</v>
      </c>
      <c r="AL21" s="15">
        <f t="shared" si="12"/>
        <v>1291680</v>
      </c>
      <c r="AM21" s="18">
        <f t="shared" si="13"/>
        <v>6.4950375177778769E-2</v>
      </c>
      <c r="AN21" s="19">
        <v>31650995</v>
      </c>
      <c r="AO21" s="19">
        <v>989093.59375</v>
      </c>
      <c r="AP21" s="19">
        <v>32759.5625</v>
      </c>
      <c r="AQ21" s="20">
        <v>2055744</v>
      </c>
      <c r="AR21" s="20">
        <v>824152</v>
      </c>
      <c r="AS21" s="20">
        <v>467528</v>
      </c>
      <c r="AT21" s="20">
        <v>763576</v>
      </c>
      <c r="AU21" s="21">
        <v>68.748880999999997</v>
      </c>
      <c r="AV21" s="21">
        <v>70.841509000000002</v>
      </c>
      <c r="AW21" s="21">
        <v>31.526053000000001</v>
      </c>
      <c r="AX21" s="21">
        <v>40.445506000000002</v>
      </c>
      <c r="AY21" s="21">
        <v>39.265072000000004</v>
      </c>
      <c r="AZ21" s="22">
        <v>6279.87</v>
      </c>
      <c r="BA21" s="22">
        <v>2121.9</v>
      </c>
      <c r="BB21" s="22">
        <v>9.5129999999999999</v>
      </c>
      <c r="BC21" s="22">
        <v>11.257</v>
      </c>
      <c r="BE21" s="23">
        <f t="shared" si="14"/>
        <v>5.9839149069262215E-4</v>
      </c>
      <c r="BF21" s="23">
        <f t="shared" si="15"/>
        <v>-4.4942037425186321E-3</v>
      </c>
      <c r="BG21" s="23"/>
      <c r="BI21" s="24"/>
      <c r="BJ21" s="24"/>
      <c r="BK21" s="24"/>
      <c r="BL21" s="24"/>
      <c r="BM21" s="24"/>
      <c r="BO21" s="24"/>
      <c r="BP21" s="24"/>
      <c r="BQ21" s="24"/>
      <c r="BR21" s="24"/>
      <c r="BS21" s="24"/>
      <c r="BU21" s="4">
        <f t="shared" si="16"/>
        <v>-35424</v>
      </c>
    </row>
    <row r="22" spans="1:73" outlineLevel="1" x14ac:dyDescent="0.2">
      <c r="A22" s="25"/>
      <c r="B22" s="25" t="s">
        <v>281</v>
      </c>
      <c r="C22" s="26" t="s">
        <v>270</v>
      </c>
      <c r="D22" s="25">
        <v>32209643</v>
      </c>
      <c r="E22" s="26">
        <v>10</v>
      </c>
      <c r="F22" s="26">
        <v>32</v>
      </c>
      <c r="G22" s="26">
        <v>50</v>
      </c>
      <c r="I22" s="27">
        <f t="shared" si="0"/>
        <v>5.3358749999999997</v>
      </c>
      <c r="J22" s="28">
        <f t="shared" si="1"/>
        <v>0.1060229074876738</v>
      </c>
      <c r="K22" s="28">
        <f t="shared" si="2"/>
        <v>4.8954532032534477E-2</v>
      </c>
      <c r="L22" s="28">
        <f t="shared" si="3"/>
        <v>3.4175355498351843E-2</v>
      </c>
      <c r="M22" s="28">
        <f t="shared" si="4"/>
        <v>5.7053473085684307E-2</v>
      </c>
      <c r="N22" s="25">
        <f t="shared" si="5"/>
        <v>1576808</v>
      </c>
      <c r="O22" s="28">
        <f t="shared" si="6"/>
        <v>0.10467026411697337</v>
      </c>
      <c r="P22" s="29">
        <v>32625885</v>
      </c>
      <c r="Q22" s="29">
        <v>1019558.90625</v>
      </c>
      <c r="R22" s="29">
        <v>34416.375</v>
      </c>
      <c r="S22" s="30">
        <v>3414960</v>
      </c>
      <c r="T22" s="30">
        <v>1100776</v>
      </c>
      <c r="U22" s="30">
        <v>476032</v>
      </c>
      <c r="V22" s="30">
        <v>1837672</v>
      </c>
      <c r="W22" s="31">
        <v>69.986822000000004</v>
      </c>
      <c r="X22" s="31">
        <v>72.427774999999997</v>
      </c>
      <c r="Y22" s="31">
        <v>33.468203000000003</v>
      </c>
      <c r="Z22" s="31">
        <v>41.587243999999998</v>
      </c>
      <c r="AA22" s="31">
        <v>40.476762999999998</v>
      </c>
      <c r="AB22" s="32">
        <v>5973.69</v>
      </c>
      <c r="AC22" s="32">
        <v>2226.85</v>
      </c>
      <c r="AD22" s="32">
        <v>9.202</v>
      </c>
      <c r="AE22" s="32">
        <v>11.065</v>
      </c>
      <c r="AG22" s="27">
        <f t="shared" si="7"/>
        <v>5.2567374999999998</v>
      </c>
      <c r="AH22" s="28">
        <f t="shared" si="8"/>
        <v>0.10445045913734592</v>
      </c>
      <c r="AI22" s="28">
        <f t="shared" si="9"/>
        <v>4.7126011300404662E-2</v>
      </c>
      <c r="AJ22" s="28">
        <f t="shared" si="10"/>
        <v>3.2610855078399968E-2</v>
      </c>
      <c r="AK22" s="28">
        <f t="shared" si="11"/>
        <v>5.7309297094661996E-2</v>
      </c>
      <c r="AL22" s="25">
        <f t="shared" si="12"/>
        <v>1517912</v>
      </c>
      <c r="AM22" s="28">
        <f t="shared" si="13"/>
        <v>0.10307731077117749</v>
      </c>
      <c r="AN22" s="29">
        <v>32638725</v>
      </c>
      <c r="AO22" s="29">
        <v>1019960.15625</v>
      </c>
      <c r="AP22" s="29">
        <v>34460.15625</v>
      </c>
      <c r="AQ22" s="30">
        <v>3364312</v>
      </c>
      <c r="AR22" s="30">
        <v>1050384</v>
      </c>
      <c r="AS22" s="30">
        <v>467528</v>
      </c>
      <c r="AT22" s="30">
        <v>1845912</v>
      </c>
      <c r="AU22" s="31">
        <v>69.974113000000003</v>
      </c>
      <c r="AV22" s="31">
        <v>72.414703000000003</v>
      </c>
      <c r="AW22" s="31">
        <v>33.529249999999998</v>
      </c>
      <c r="AX22" s="31">
        <v>41.575628000000002</v>
      </c>
      <c r="AY22" s="31">
        <v>40.509050000000002</v>
      </c>
      <c r="AZ22" s="32">
        <v>5639.09</v>
      </c>
      <c r="BA22" s="32">
        <v>2164.19</v>
      </c>
      <c r="BB22" s="32">
        <v>9.0869999999999997</v>
      </c>
      <c r="BC22" s="32">
        <v>11.074</v>
      </c>
      <c r="BE22" s="33">
        <f t="shared" si="14"/>
        <v>2.9644881638285492E-5</v>
      </c>
      <c r="BF22" s="33">
        <f t="shared" si="15"/>
        <v>-1.0554914139293714E-2</v>
      </c>
      <c r="BG22" s="33"/>
      <c r="BI22" s="34"/>
      <c r="BJ22" s="34"/>
      <c r="BK22" s="34"/>
      <c r="BL22" s="34"/>
      <c r="BM22" s="34"/>
      <c r="BO22" s="34"/>
      <c r="BP22" s="34"/>
      <c r="BQ22" s="34"/>
      <c r="BR22" s="34"/>
      <c r="BS22" s="34"/>
      <c r="BU22" s="4">
        <f t="shared" si="16"/>
        <v>-50648</v>
      </c>
    </row>
    <row r="23" spans="1:73" outlineLevel="1" x14ac:dyDescent="0.2">
      <c r="A23" s="15"/>
      <c r="B23" s="15" t="s">
        <v>281</v>
      </c>
      <c r="C23" s="16" t="s">
        <v>271</v>
      </c>
      <c r="D23" s="15">
        <v>32209643</v>
      </c>
      <c r="E23" s="16">
        <v>10</v>
      </c>
      <c r="F23" s="16">
        <v>32</v>
      </c>
      <c r="G23" s="16">
        <v>50</v>
      </c>
      <c r="I23" s="17">
        <f t="shared" si="0"/>
        <v>9.9231250000000006</v>
      </c>
      <c r="J23" s="18">
        <f t="shared" si="1"/>
        <v>0.1971707665310044</v>
      </c>
      <c r="K23" s="18">
        <f t="shared" si="2"/>
        <v>6.9778109617669462E-2</v>
      </c>
      <c r="L23" s="18">
        <f t="shared" si="3"/>
        <v>5.4998933083486828E-2</v>
      </c>
      <c r="M23" s="18">
        <f t="shared" si="4"/>
        <v>0.12737775454387992</v>
      </c>
      <c r="N23" s="15">
        <f t="shared" si="5"/>
        <v>2247528</v>
      </c>
      <c r="O23" s="18">
        <f t="shared" si="6"/>
        <v>0.1925570987222914</v>
      </c>
      <c r="P23" s="19">
        <v>32981386</v>
      </c>
      <c r="Q23" s="19">
        <v>1030668.3125</v>
      </c>
      <c r="R23" s="19">
        <v>36522.5625</v>
      </c>
      <c r="S23" s="20">
        <v>6350800</v>
      </c>
      <c r="T23" s="20">
        <v>1771496</v>
      </c>
      <c r="U23" s="20">
        <v>476032</v>
      </c>
      <c r="V23" s="20">
        <v>4102792</v>
      </c>
      <c r="W23" s="21">
        <v>70.917291000000006</v>
      </c>
      <c r="X23" s="21">
        <v>73.648009000000002</v>
      </c>
      <c r="Y23" s="21">
        <v>35.405078000000003</v>
      </c>
      <c r="Z23" s="21">
        <v>42.699559000000001</v>
      </c>
      <c r="AA23" s="21">
        <v>41.517200000000003</v>
      </c>
      <c r="AB23" s="22">
        <v>8130.56</v>
      </c>
      <c r="AC23" s="22">
        <v>3104.24</v>
      </c>
      <c r="AD23" s="22">
        <v>10.677</v>
      </c>
      <c r="AE23" s="22">
        <v>14.162000000000001</v>
      </c>
      <c r="AG23" s="17">
        <f t="shared" si="7"/>
        <v>9.8003625000000003</v>
      </c>
      <c r="AH23" s="18">
        <f t="shared" si="8"/>
        <v>0.19473149702404338</v>
      </c>
      <c r="AI23" s="18">
        <f t="shared" si="9"/>
        <v>6.7322944249956454E-2</v>
      </c>
      <c r="AJ23" s="18">
        <f t="shared" si="10"/>
        <v>5.2807788027951753E-2</v>
      </c>
      <c r="AK23" s="18">
        <f t="shared" si="11"/>
        <v>0.12739340203180768</v>
      </c>
      <c r="AL23" s="15">
        <f t="shared" si="12"/>
        <v>2168448</v>
      </c>
      <c r="AM23" s="18">
        <f t="shared" si="13"/>
        <v>0.19008780295145858</v>
      </c>
      <c r="AN23" s="19">
        <v>32996499</v>
      </c>
      <c r="AO23" s="19">
        <v>1031140.59375</v>
      </c>
      <c r="AP23" s="19">
        <v>36623.59375</v>
      </c>
      <c r="AQ23" s="20">
        <v>6272232</v>
      </c>
      <c r="AR23" s="20">
        <v>1700920</v>
      </c>
      <c r="AS23" s="20">
        <v>467528</v>
      </c>
      <c r="AT23" s="20">
        <v>4103296</v>
      </c>
      <c r="AU23" s="21">
        <v>70.902777999999998</v>
      </c>
      <c r="AV23" s="21">
        <v>73.636581000000007</v>
      </c>
      <c r="AW23" s="21">
        <v>35.444974999999999</v>
      </c>
      <c r="AX23" s="21">
        <v>42.725518999999998</v>
      </c>
      <c r="AY23" s="21">
        <v>41.560178000000001</v>
      </c>
      <c r="AZ23" s="22">
        <v>8183.09</v>
      </c>
      <c r="BA23" s="22">
        <v>3008.35</v>
      </c>
      <c r="BB23" s="22">
        <v>10.669</v>
      </c>
      <c r="BC23" s="22">
        <v>14.548999999999999</v>
      </c>
      <c r="BE23" s="23">
        <f t="shared" si="14"/>
        <v>8.1749844492481905E-5</v>
      </c>
      <c r="BF23" s="23">
        <f t="shared" si="15"/>
        <v>-8.174926200379462E-3</v>
      </c>
      <c r="BG23" s="23"/>
      <c r="BI23" s="24"/>
      <c r="BJ23" s="24"/>
      <c r="BK23" s="24"/>
      <c r="BL23" s="24"/>
      <c r="BM23" s="24"/>
      <c r="BO23" s="24"/>
      <c r="BP23" s="24"/>
      <c r="BQ23" s="24"/>
      <c r="BR23" s="24"/>
      <c r="BS23" s="24"/>
      <c r="BU23" s="4">
        <f t="shared" si="16"/>
        <v>-78568</v>
      </c>
    </row>
    <row r="24" spans="1:73" ht="16" outlineLevel="1" thickBot="1" x14ac:dyDescent="0.25">
      <c r="A24" s="45"/>
      <c r="B24" s="45" t="s">
        <v>281</v>
      </c>
      <c r="C24" s="46" t="s">
        <v>272</v>
      </c>
      <c r="D24" s="45">
        <v>32209643</v>
      </c>
      <c r="E24" s="46">
        <v>10</v>
      </c>
      <c r="F24" s="46">
        <v>32</v>
      </c>
      <c r="G24" s="46">
        <v>50</v>
      </c>
      <c r="I24" s="47">
        <f t="shared" si="0"/>
        <v>18.390875000000001</v>
      </c>
      <c r="J24" s="48">
        <f t="shared" si="1"/>
        <v>0.36542348513456047</v>
      </c>
      <c r="K24" s="48">
        <f t="shared" si="2"/>
        <v>0.11951104208140401</v>
      </c>
      <c r="L24" s="48">
        <f t="shared" si="3"/>
        <v>8.8065552294385882E-2</v>
      </c>
      <c r="M24" s="48">
        <f t="shared" si="4"/>
        <v>0.24589754068370145</v>
      </c>
      <c r="N24" s="45">
        <f t="shared" si="5"/>
        <v>3849408</v>
      </c>
      <c r="O24" s="48">
        <f t="shared" si="6"/>
        <v>0.37357846518595972</v>
      </c>
      <c r="P24" s="49">
        <v>31506527</v>
      </c>
      <c r="Q24" s="49">
        <v>984578.96875</v>
      </c>
      <c r="R24" s="49">
        <v>10275.65625</v>
      </c>
      <c r="S24" s="50">
        <v>11770160</v>
      </c>
      <c r="T24" s="50">
        <v>2836560</v>
      </c>
      <c r="U24" s="50">
        <v>1012848</v>
      </c>
      <c r="V24" s="50">
        <v>7920272</v>
      </c>
      <c r="W24" s="51">
        <v>72.228328000000005</v>
      </c>
      <c r="X24" s="51">
        <v>76.141862000000003</v>
      </c>
      <c r="Y24" s="51">
        <v>37.151193999999997</v>
      </c>
      <c r="Z24" s="51">
        <v>43.861224999999997</v>
      </c>
      <c r="AA24" s="51">
        <v>42.545731000000004</v>
      </c>
      <c r="AB24" s="52">
        <v>8092.48</v>
      </c>
      <c r="AC24" s="52">
        <v>3422.53</v>
      </c>
      <c r="AD24" s="52">
        <v>10.840999999999999</v>
      </c>
      <c r="AE24" s="52">
        <v>15.733000000000001</v>
      </c>
      <c r="AG24" s="47">
        <f t="shared" si="7"/>
        <v>18.168624999999999</v>
      </c>
      <c r="AH24" s="48">
        <f t="shared" si="8"/>
        <v>0.36100741631939232</v>
      </c>
      <c r="AI24" s="48">
        <f t="shared" si="9"/>
        <v>0.11549386002198161</v>
      </c>
      <c r="AJ24" s="48">
        <f t="shared" si="10"/>
        <v>8.4312638919965682E-2</v>
      </c>
      <c r="AK24" s="48">
        <f t="shared" si="11"/>
        <v>0.24549840555513142</v>
      </c>
      <c r="AL24" s="45">
        <f t="shared" si="12"/>
        <v>3720016</v>
      </c>
      <c r="AM24" s="48">
        <f t="shared" si="13"/>
        <v>0.36875530180567978</v>
      </c>
      <c r="AN24" s="49">
        <v>31532889</v>
      </c>
      <c r="AO24" s="49">
        <v>985402.78125</v>
      </c>
      <c r="AP24" s="49">
        <v>10339.09375</v>
      </c>
      <c r="AQ24" s="50">
        <v>11627920</v>
      </c>
      <c r="AR24" s="50">
        <v>2715680</v>
      </c>
      <c r="AS24" s="50">
        <v>1004336</v>
      </c>
      <c r="AT24" s="50">
        <v>7907416</v>
      </c>
      <c r="AU24" s="51">
        <v>72.234330999999997</v>
      </c>
      <c r="AV24" s="51">
        <v>76.134383999999997</v>
      </c>
      <c r="AW24" s="51">
        <v>37.166030999999997</v>
      </c>
      <c r="AX24" s="51">
        <v>43.855933999999998</v>
      </c>
      <c r="AY24" s="51">
        <v>42.536441000000003</v>
      </c>
      <c r="AZ24" s="52">
        <v>8269.9500000000007</v>
      </c>
      <c r="BA24" s="52">
        <v>3400.51</v>
      </c>
      <c r="BB24" s="52">
        <v>11.286</v>
      </c>
      <c r="BC24" s="52">
        <v>15.353</v>
      </c>
      <c r="BE24" s="53">
        <f t="shared" si="14"/>
        <v>5.5652064334272069E-5</v>
      </c>
      <c r="BF24" s="53">
        <f t="shared" si="15"/>
        <v>-7.1270428306831057E-3</v>
      </c>
      <c r="BG24" s="53"/>
      <c r="BI24" s="54"/>
      <c r="BJ24" s="54"/>
      <c r="BK24" s="54"/>
      <c r="BL24" s="54"/>
      <c r="BM24" s="54"/>
      <c r="BO24" s="54"/>
      <c r="BP24" s="54"/>
      <c r="BQ24" s="54"/>
      <c r="BR24" s="54"/>
      <c r="BS24" s="54"/>
      <c r="BU24" s="4">
        <f t="shared" si="16"/>
        <v>-142240</v>
      </c>
    </row>
    <row r="25" spans="1:73" x14ac:dyDescent="0.2">
      <c r="A25" s="15" t="s">
        <v>285</v>
      </c>
      <c r="B25" s="15" t="s">
        <v>284</v>
      </c>
      <c r="C25" s="16" t="s">
        <v>268</v>
      </c>
      <c r="D25" s="15">
        <v>25312408</v>
      </c>
      <c r="E25" s="16">
        <v>10</v>
      </c>
      <c r="F25" s="16">
        <v>32</v>
      </c>
      <c r="G25" s="16">
        <v>30</v>
      </c>
      <c r="I25" s="17">
        <f t="shared" si="0"/>
        <v>2.3046674999999999</v>
      </c>
      <c r="J25" s="18">
        <f t="shared" si="1"/>
        <v>9.7118851750493271E-2</v>
      </c>
      <c r="K25" s="18">
        <f t="shared" si="2"/>
        <v>6.1466139452240179E-2</v>
      </c>
      <c r="L25" s="18">
        <f t="shared" si="3"/>
        <v>3.5911557683488665E-2</v>
      </c>
      <c r="M25" s="18">
        <f t="shared" si="4"/>
        <v>3.5633749266367705E-2</v>
      </c>
      <c r="N25" s="15">
        <f t="shared" si="5"/>
        <v>1555856</v>
      </c>
      <c r="O25" s="18">
        <f t="shared" si="6"/>
        <v>0.10485741287062476</v>
      </c>
      <c r="P25" s="19">
        <v>23444332</v>
      </c>
      <c r="Q25" s="19">
        <v>732635.375</v>
      </c>
      <c r="R25" s="19">
        <v>18826.84375</v>
      </c>
      <c r="S25" s="20">
        <v>2458312</v>
      </c>
      <c r="T25" s="20">
        <v>909008</v>
      </c>
      <c r="U25" s="20">
        <v>646848</v>
      </c>
      <c r="V25" s="20">
        <v>901976</v>
      </c>
      <c r="W25" s="21">
        <v>66.296750000000003</v>
      </c>
      <c r="X25" s="21">
        <v>68.033671999999996</v>
      </c>
      <c r="Y25" s="21">
        <v>25.898527999999999</v>
      </c>
      <c r="Z25" s="21">
        <v>32.401308999999998</v>
      </c>
      <c r="AA25" s="21">
        <v>31.585756</v>
      </c>
      <c r="AB25" s="22">
        <v>4668.4399999999996</v>
      </c>
      <c r="AC25" s="22">
        <v>2833.7</v>
      </c>
      <c r="AD25" s="22">
        <v>8.3689999999999998</v>
      </c>
      <c r="AE25" s="22">
        <v>13.544</v>
      </c>
      <c r="AG25" s="17">
        <f t="shared" si="7"/>
        <v>2.3196150000000002</v>
      </c>
      <c r="AH25" s="18">
        <f t="shared" si="8"/>
        <v>9.7748740459619649E-2</v>
      </c>
      <c r="AI25" s="18">
        <f t="shared" si="9"/>
        <v>6.1883642204250182E-2</v>
      </c>
      <c r="AJ25" s="18">
        <f t="shared" si="10"/>
        <v>3.6478868387393247E-2</v>
      </c>
      <c r="AK25" s="18">
        <f t="shared" si="11"/>
        <v>3.5845819172952646E-2</v>
      </c>
      <c r="AL25" s="15">
        <f t="shared" si="12"/>
        <v>1566424</v>
      </c>
      <c r="AM25" s="18">
        <f t="shared" si="13"/>
        <v>0.10581142249978383</v>
      </c>
      <c r="AN25" s="19">
        <v>23383638</v>
      </c>
      <c r="AO25" s="19">
        <v>730738.6875</v>
      </c>
      <c r="AP25" s="19">
        <v>18884.53125</v>
      </c>
      <c r="AQ25" s="20">
        <v>2474256</v>
      </c>
      <c r="AR25" s="20">
        <v>923368</v>
      </c>
      <c r="AS25" s="20">
        <v>643056</v>
      </c>
      <c r="AT25" s="20">
        <v>907344</v>
      </c>
      <c r="AU25" s="21">
        <v>66.264322000000007</v>
      </c>
      <c r="AV25" s="21">
        <v>68.003972000000005</v>
      </c>
      <c r="AW25" s="21">
        <v>25.874806</v>
      </c>
      <c r="AX25" s="21">
        <v>32.388821999999998</v>
      </c>
      <c r="AY25" s="21">
        <v>31.586831</v>
      </c>
      <c r="AZ25" s="22">
        <v>4954.25</v>
      </c>
      <c r="BA25" s="22">
        <v>3008.03</v>
      </c>
      <c r="BB25" s="22">
        <v>8.5570000000000004</v>
      </c>
      <c r="BC25" s="22">
        <v>14.84</v>
      </c>
      <c r="BE25" s="23">
        <f t="shared" si="14"/>
        <v>1.4564370215203876E-4</v>
      </c>
      <c r="BF25" s="23">
        <f t="shared" si="15"/>
        <v>1.9282769587625204E-4</v>
      </c>
      <c r="BG25" s="23">
        <f t="array" ref="BG25">AVERAGE(AL25:AL29/AQ25:AQ29) - AVERAGE(N25:N29/S25:S29)</f>
        <v>-9.2250309750657733E-4</v>
      </c>
      <c r="BI25" s="24">
        <f>IF( OR(ISBLANK(N25:N29),ISBLANK(AL25:AL29), ISBLANK(W25:W29),ISBLANK(AU25:AU29)), "·", bdRateExtend( N25:N29,W25:W29, AL25:AL29,AU25:AU29))</f>
        <v>4.1610798382860636E-3</v>
      </c>
      <c r="BJ25" s="24">
        <f>IF( OR(ISBLANK(N25:N29),ISBLANK(AL25:AL29), ISBLANK(X25:X29),ISBLANK(AV25:AV29)), "·", bdRateExtend( N25:N29,X25:X29, AL25:AL29,AV25:AV29))</f>
        <v>2.3880169549366226E-3</v>
      </c>
      <c r="BK25" s="24">
        <f>IF( OR(ISBLANK(V25:V29),ISBLANK(AT25:AT29), ISBLANK(Y25:Y29),ISBLANK(AW25:AW29)), "·", bdRateExtend( V25:V29,Y25:Y29, AT25:AT29,AW25:AW29))</f>
        <v>1.217329810815504E-2</v>
      </c>
      <c r="BL25" s="24">
        <f>IF( OR(ISBLANK(V25:V29),ISBLANK(AT25:AT29), ISBLANK(Z25:Z29),ISBLANK(AX25:AX29)), "·", bdRateExtend( V25:V29,Z25:Z29, AT25:AT29,AX25:AX29))</f>
        <v>8.2397995943341851E-3</v>
      </c>
      <c r="BM25" s="24">
        <f>IF( OR(ISBLANK(V25:V29),ISBLANK(AT25:AT29), ISBLANK(AA25:AA29),ISBLANK(AY25:AY29)), "·", bdRateExtend( V25:V29,AA25:AA29, AT25:AT29,AY25:AY29))</f>
        <v>1.0676523243140057E-2</v>
      </c>
      <c r="BO25" s="24">
        <f>IF( OR(ISBLANK(S25:S29),ISBLANK(AQ25:AQ29), ISBLANK(W25:W29),ISBLANK(AU25:AU29)), "·", bdRateExtend( S25:S29,W25:W29, AQ25:AQ29,AU25:AU29))</f>
        <v>8.657688946946962E-3</v>
      </c>
      <c r="BP25" s="24">
        <f>IF( OR(ISBLANK(S25:S29),ISBLANK(AQ25:AQ29), ISBLANK(X25:X29),ISBLANK(AV25:AV29)), "·", bdRateExtend( S25:S29,X25:X29, AQ25:AQ29,AV25:AV29))</f>
        <v>5.1863269490333153E-3</v>
      </c>
      <c r="BQ25" s="24">
        <f>IF( OR(ISBLANK(S25:S29),ISBLANK(AQ25:AQ29), ISBLANK(Y25:Y29),ISBLANK(AW25:AW29)), "·", bdRateExtend( S25:S29,Y25:Y29, AQ25:AQ29,AW25:AW29))</f>
        <v>8.6208087038142089E-3</v>
      </c>
      <c r="BR25" s="24">
        <f>IF( OR(ISBLANK(S25:S29),ISBLANK(AQ25:AQ29), ISBLANK(Z25:Z29),ISBLANK(AX25:AX29)), "·", bdRateExtend( S25:S29,Z25:Z29, AQ25:AQ29,AX25:AX29))</f>
        <v>5.6881534494064301E-3</v>
      </c>
      <c r="BS25" s="24">
        <f>IF( OR(ISBLANK(S25:S29),ISBLANK(AQ25:AQ29), ISBLANK(AA25:AA29),ISBLANK(AY25:AY29)), "·", bdRateExtend( S25:S29,AA25:AA29, AQ25:AQ29,AY25:AY29))</f>
        <v>7.4282828683993607E-3</v>
      </c>
      <c r="BU25" s="4">
        <f t="shared" si="16"/>
        <v>15944</v>
      </c>
    </row>
    <row r="26" spans="1:73" outlineLevel="1" x14ac:dyDescent="0.2">
      <c r="A26" s="25"/>
      <c r="B26" s="25" t="s">
        <v>284</v>
      </c>
      <c r="C26" s="26" t="s">
        <v>269</v>
      </c>
      <c r="D26" s="25">
        <v>25312408</v>
      </c>
      <c r="E26" s="26">
        <v>10</v>
      </c>
      <c r="F26" s="26">
        <v>32</v>
      </c>
      <c r="G26" s="26">
        <v>30</v>
      </c>
      <c r="I26" s="27">
        <f t="shared" si="0"/>
        <v>3.53457</v>
      </c>
      <c r="J26" s="28">
        <f t="shared" si="1"/>
        <v>0.148947030246984</v>
      </c>
      <c r="K26" s="28">
        <f t="shared" si="2"/>
        <v>7.5284816837655269E-2</v>
      </c>
      <c r="L26" s="28">
        <f t="shared" si="3"/>
        <v>4.9730235068903755E-2</v>
      </c>
      <c r="M26" s="28">
        <f t="shared" si="4"/>
        <v>7.3643250377443348E-2</v>
      </c>
      <c r="N26" s="25">
        <f t="shared" si="5"/>
        <v>1905640</v>
      </c>
      <c r="O26" s="28">
        <f t="shared" si="6"/>
        <v>0.15017269903406841</v>
      </c>
      <c r="P26" s="29">
        <v>25105815</v>
      </c>
      <c r="Q26" s="29">
        <v>784556.71875</v>
      </c>
      <c r="R26" s="29">
        <v>23475</v>
      </c>
      <c r="S26" s="30">
        <v>3770208</v>
      </c>
      <c r="T26" s="30">
        <v>1258792</v>
      </c>
      <c r="U26" s="30">
        <v>646848</v>
      </c>
      <c r="V26" s="30">
        <v>1864088</v>
      </c>
      <c r="W26" s="31">
        <v>68.068686999999997</v>
      </c>
      <c r="X26" s="31">
        <v>70.023927999999998</v>
      </c>
      <c r="Y26" s="31">
        <v>27.968019000000002</v>
      </c>
      <c r="Z26" s="31">
        <v>33.694819000000003</v>
      </c>
      <c r="AA26" s="31">
        <v>33.083119000000003</v>
      </c>
      <c r="AB26" s="32">
        <v>6093.45</v>
      </c>
      <c r="AC26" s="32">
        <v>3702.46</v>
      </c>
      <c r="AD26" s="32">
        <v>9.6010000000000009</v>
      </c>
      <c r="AE26" s="32">
        <v>16.442</v>
      </c>
      <c r="AG26" s="27">
        <f t="shared" si="7"/>
        <v>3.5648624999999998</v>
      </c>
      <c r="AH26" s="28">
        <f t="shared" si="8"/>
        <v>0.15022355834340217</v>
      </c>
      <c r="AI26" s="28">
        <f t="shared" si="9"/>
        <v>7.5592650055261432E-2</v>
      </c>
      <c r="AJ26" s="28">
        <f t="shared" si="10"/>
        <v>5.0187876238404504E-2</v>
      </c>
      <c r="AK26" s="28">
        <f t="shared" si="11"/>
        <v>7.4611629205723923E-2</v>
      </c>
      <c r="AL26" s="25">
        <f t="shared" si="12"/>
        <v>1913432</v>
      </c>
      <c r="AM26" s="28">
        <f t="shared" si="13"/>
        <v>0.15177358222766046</v>
      </c>
      <c r="AN26" s="29">
        <v>25053899</v>
      </c>
      <c r="AO26" s="29">
        <v>782934.34375</v>
      </c>
      <c r="AP26" s="29">
        <v>23525.6875</v>
      </c>
      <c r="AQ26" s="30">
        <v>3802520</v>
      </c>
      <c r="AR26" s="30">
        <v>1270376</v>
      </c>
      <c r="AS26" s="30">
        <v>643056</v>
      </c>
      <c r="AT26" s="30">
        <v>1888600</v>
      </c>
      <c r="AU26" s="31">
        <v>68.051480999999995</v>
      </c>
      <c r="AV26" s="31">
        <v>70.021966000000006</v>
      </c>
      <c r="AW26" s="31">
        <v>27.944265999999999</v>
      </c>
      <c r="AX26" s="31">
        <v>33.678434000000003</v>
      </c>
      <c r="AY26" s="31">
        <v>33.061833999999998</v>
      </c>
      <c r="AZ26" s="32">
        <v>6076.69</v>
      </c>
      <c r="BA26" s="32">
        <v>3887.94</v>
      </c>
      <c r="BB26" s="32">
        <v>9.4890000000000008</v>
      </c>
      <c r="BC26" s="32">
        <v>17.573</v>
      </c>
      <c r="BE26" s="33">
        <f t="shared" si="14"/>
        <v>1.2674263034290548E-4</v>
      </c>
      <c r="BF26" s="33">
        <f t="shared" si="15"/>
        <v>-2.2458792316628617E-3</v>
      </c>
      <c r="BG26" s="33"/>
      <c r="BI26" s="34"/>
      <c r="BJ26" s="34"/>
      <c r="BK26" s="34"/>
      <c r="BL26" s="34"/>
      <c r="BM26" s="34"/>
      <c r="BO26" s="34"/>
      <c r="BP26" s="34"/>
      <c r="BQ26" s="34"/>
      <c r="BR26" s="34"/>
      <c r="BS26" s="34"/>
      <c r="BU26" s="4">
        <f t="shared" si="16"/>
        <v>32312</v>
      </c>
    </row>
    <row r="27" spans="1:73" outlineLevel="1" x14ac:dyDescent="0.2">
      <c r="A27" s="15"/>
      <c r="B27" s="15" t="s">
        <v>284</v>
      </c>
      <c r="C27" s="16" t="s">
        <v>270</v>
      </c>
      <c r="D27" s="15">
        <v>25312408</v>
      </c>
      <c r="E27" s="16">
        <v>10</v>
      </c>
      <c r="F27" s="16">
        <v>32</v>
      </c>
      <c r="G27" s="16">
        <v>30</v>
      </c>
      <c r="I27" s="17">
        <f t="shared" si="0"/>
        <v>6.0147449999999996</v>
      </c>
      <c r="J27" s="18">
        <f t="shared" si="1"/>
        <v>0.25346178048331081</v>
      </c>
      <c r="K27" s="18">
        <f t="shared" si="2"/>
        <v>9.5349916926117814E-2</v>
      </c>
      <c r="L27" s="18">
        <f t="shared" si="3"/>
        <v>6.9795335157366301E-2</v>
      </c>
      <c r="M27" s="18">
        <f t="shared" si="4"/>
        <v>0.15809290052530758</v>
      </c>
      <c r="N27" s="15">
        <f t="shared" si="5"/>
        <v>2413536</v>
      </c>
      <c r="O27" s="18">
        <f t="shared" si="6"/>
        <v>0.25366185464962793</v>
      </c>
      <c r="P27" s="19">
        <v>25292443</v>
      </c>
      <c r="Q27" s="19">
        <v>790388.84375</v>
      </c>
      <c r="R27" s="19">
        <v>24524.78125</v>
      </c>
      <c r="S27" s="20">
        <v>6415728</v>
      </c>
      <c r="T27" s="20">
        <v>1766688</v>
      </c>
      <c r="U27" s="20">
        <v>646848</v>
      </c>
      <c r="V27" s="20">
        <v>4001712</v>
      </c>
      <c r="W27" s="21">
        <v>69.417490999999998</v>
      </c>
      <c r="X27" s="21">
        <v>71.759243999999995</v>
      </c>
      <c r="Y27" s="21">
        <v>30.300266000000001</v>
      </c>
      <c r="Z27" s="21">
        <v>34.952365999999998</v>
      </c>
      <c r="AA27" s="21">
        <v>34.458461999999997</v>
      </c>
      <c r="AB27" s="22">
        <v>6012.99</v>
      </c>
      <c r="AC27" s="22">
        <v>4089.3</v>
      </c>
      <c r="AD27" s="22">
        <v>10.109</v>
      </c>
      <c r="AE27" s="22">
        <v>17.5</v>
      </c>
      <c r="AG27" s="17">
        <f t="shared" si="7"/>
        <v>6.0547649999999997</v>
      </c>
      <c r="AH27" s="18">
        <f t="shared" si="8"/>
        <v>0.2551482261189848</v>
      </c>
      <c r="AI27" s="18">
        <f t="shared" si="9"/>
        <v>9.5560406580045651E-2</v>
      </c>
      <c r="AJ27" s="18">
        <f t="shared" si="10"/>
        <v>7.0155632763188716E-2</v>
      </c>
      <c r="AK27" s="18">
        <f t="shared" si="11"/>
        <v>0.15956854045652236</v>
      </c>
      <c r="AL27" s="15">
        <f t="shared" si="12"/>
        <v>2418864</v>
      </c>
      <c r="AM27" s="18">
        <f t="shared" si="13"/>
        <v>0.25556475401023454</v>
      </c>
      <c r="AN27" s="19">
        <v>25271153</v>
      </c>
      <c r="AO27" s="19">
        <v>789723.53125</v>
      </c>
      <c r="AP27" s="19">
        <v>24522.03125</v>
      </c>
      <c r="AQ27" s="20">
        <v>6458416</v>
      </c>
      <c r="AR27" s="20">
        <v>1775808</v>
      </c>
      <c r="AS27" s="20">
        <v>643056</v>
      </c>
      <c r="AT27" s="20">
        <v>4039064</v>
      </c>
      <c r="AU27" s="21">
        <v>69.408649999999994</v>
      </c>
      <c r="AV27" s="21">
        <v>71.749909000000002</v>
      </c>
      <c r="AW27" s="21">
        <v>30.282250000000001</v>
      </c>
      <c r="AX27" s="21">
        <v>34.965425000000003</v>
      </c>
      <c r="AY27" s="21">
        <v>34.444766000000001</v>
      </c>
      <c r="AZ27" s="22">
        <v>6232.74</v>
      </c>
      <c r="BA27" s="22">
        <v>4209.63</v>
      </c>
      <c r="BB27" s="22">
        <v>9.4870000000000001</v>
      </c>
      <c r="BC27" s="22">
        <v>17.542000000000002</v>
      </c>
      <c r="BE27" s="23">
        <f t="shared" si="14"/>
        <v>2.2658332189003788E-5</v>
      </c>
      <c r="BF27" s="23">
        <f t="shared" si="15"/>
        <v>-1.6615251430773248E-3</v>
      </c>
      <c r="BG27" s="23"/>
      <c r="BI27" s="24"/>
      <c r="BJ27" s="24"/>
      <c r="BK27" s="24"/>
      <c r="BL27" s="24"/>
      <c r="BM27" s="24"/>
      <c r="BO27" s="24"/>
      <c r="BP27" s="24"/>
      <c r="BQ27" s="24"/>
      <c r="BR27" s="24"/>
      <c r="BS27" s="24"/>
      <c r="BU27" s="4">
        <f t="shared" si="16"/>
        <v>42688</v>
      </c>
    </row>
    <row r="28" spans="1:73" outlineLevel="1" x14ac:dyDescent="0.2">
      <c r="A28" s="25"/>
      <c r="B28" s="25" t="s">
        <v>284</v>
      </c>
      <c r="C28" s="26" t="s">
        <v>271</v>
      </c>
      <c r="D28" s="25">
        <v>25312408</v>
      </c>
      <c r="E28" s="26">
        <v>10</v>
      </c>
      <c r="F28" s="26">
        <v>32</v>
      </c>
      <c r="G28" s="26">
        <v>30</v>
      </c>
      <c r="I28" s="27">
        <f t="shared" si="0"/>
        <v>12.1217475</v>
      </c>
      <c r="J28" s="28">
        <f t="shared" si="1"/>
        <v>0.51081129855365792</v>
      </c>
      <c r="K28" s="28">
        <f t="shared" si="2"/>
        <v>0.12991541539627521</v>
      </c>
      <c r="L28" s="28">
        <f t="shared" si="3"/>
        <v>0.1043608336275237</v>
      </c>
      <c r="M28" s="28">
        <f t="shared" si="4"/>
        <v>0.38087692012549734</v>
      </c>
      <c r="N28" s="25">
        <f t="shared" si="5"/>
        <v>3288472</v>
      </c>
      <c r="O28" s="28">
        <f t="shared" si="6"/>
        <v>0.49135565958369842</v>
      </c>
      <c r="P28" s="29">
        <v>26314674</v>
      </c>
      <c r="Q28" s="29">
        <v>822333.5625</v>
      </c>
      <c r="R28" s="29">
        <v>28184.28125</v>
      </c>
      <c r="S28" s="30">
        <v>12929864</v>
      </c>
      <c r="T28" s="30">
        <v>2641624</v>
      </c>
      <c r="U28" s="30">
        <v>646848</v>
      </c>
      <c r="V28" s="30">
        <v>9640912</v>
      </c>
      <c r="W28" s="31">
        <v>70.428855999999996</v>
      </c>
      <c r="X28" s="31">
        <v>72.974494000000007</v>
      </c>
      <c r="Y28" s="31">
        <v>32.818340999999997</v>
      </c>
      <c r="Z28" s="31">
        <v>36.499918999999998</v>
      </c>
      <c r="AA28" s="31">
        <v>35.997343999999998</v>
      </c>
      <c r="AB28" s="32">
        <v>4616.99</v>
      </c>
      <c r="AC28" s="32">
        <v>3430.07</v>
      </c>
      <c r="AD28" s="32">
        <v>8.4870000000000001</v>
      </c>
      <c r="AE28" s="32">
        <v>14.958</v>
      </c>
      <c r="AG28" s="27">
        <f t="shared" si="7"/>
        <v>12.166252500000001</v>
      </c>
      <c r="AH28" s="28">
        <f t="shared" si="8"/>
        <v>0.51268674240712298</v>
      </c>
      <c r="AI28" s="28">
        <f t="shared" si="9"/>
        <v>0.13003646274981029</v>
      </c>
      <c r="AJ28" s="28">
        <f t="shared" si="10"/>
        <v>0.10463168893295335</v>
      </c>
      <c r="AK28" s="28">
        <f t="shared" si="11"/>
        <v>0.38263100057489591</v>
      </c>
      <c r="AL28" s="25">
        <f t="shared" si="12"/>
        <v>3291536</v>
      </c>
      <c r="AM28" s="28">
        <f t="shared" si="13"/>
        <v>0.49302855836817661</v>
      </c>
      <c r="AN28" s="29">
        <v>26321672</v>
      </c>
      <c r="AO28" s="29">
        <v>822552.25</v>
      </c>
      <c r="AP28" s="29">
        <v>28175.15625</v>
      </c>
      <c r="AQ28" s="30">
        <v>12977336</v>
      </c>
      <c r="AR28" s="30">
        <v>2648480</v>
      </c>
      <c r="AS28" s="30">
        <v>643056</v>
      </c>
      <c r="AT28" s="30">
        <v>9685312</v>
      </c>
      <c r="AU28" s="31">
        <v>70.435834</v>
      </c>
      <c r="AV28" s="31">
        <v>72.986834000000002</v>
      </c>
      <c r="AW28" s="31">
        <v>32.817137000000002</v>
      </c>
      <c r="AX28" s="31">
        <v>36.503044000000003</v>
      </c>
      <c r="AY28" s="31">
        <v>36.003416000000001</v>
      </c>
      <c r="AZ28" s="32">
        <v>6223.84</v>
      </c>
      <c r="BA28" s="32">
        <v>4505.82</v>
      </c>
      <c r="BB28" s="32">
        <v>9.6069999999999993</v>
      </c>
      <c r="BC28" s="32">
        <v>19.794</v>
      </c>
      <c r="BE28" s="33">
        <f t="shared" si="14"/>
        <v>-2.0205639840419065E-5</v>
      </c>
      <c r="BF28" s="33">
        <f t="shared" si="15"/>
        <v>-6.9425851713555975E-4</v>
      </c>
      <c r="BG28" s="33"/>
      <c r="BI28" s="34"/>
      <c r="BJ28" s="34"/>
      <c r="BK28" s="34"/>
      <c r="BL28" s="34"/>
      <c r="BM28" s="34"/>
      <c r="BO28" s="34"/>
      <c r="BP28" s="34"/>
      <c r="BQ28" s="34"/>
      <c r="BR28" s="34"/>
      <c r="BS28" s="34"/>
      <c r="BU28" s="4">
        <f t="shared" si="16"/>
        <v>47472</v>
      </c>
    </row>
    <row r="29" spans="1:73" ht="16" outlineLevel="1" thickBot="1" x14ac:dyDescent="0.25">
      <c r="A29" s="35"/>
      <c r="B29" s="35" t="s">
        <v>284</v>
      </c>
      <c r="C29" s="36" t="s">
        <v>272</v>
      </c>
      <c r="D29" s="35">
        <v>25312408</v>
      </c>
      <c r="E29" s="36">
        <v>10</v>
      </c>
      <c r="F29" s="36">
        <v>32</v>
      </c>
      <c r="G29" s="36">
        <v>30</v>
      </c>
      <c r="I29" s="37">
        <f t="shared" si="0"/>
        <v>27.732089999999999</v>
      </c>
      <c r="J29" s="38">
        <f t="shared" si="1"/>
        <v>1.168632237596676</v>
      </c>
      <c r="K29" s="38">
        <f t="shared" si="2"/>
        <v>0.21293493688944964</v>
      </c>
      <c r="L29" s="38">
        <f t="shared" si="3"/>
        <v>0.16260641816456181</v>
      </c>
      <c r="M29" s="38">
        <f t="shared" si="4"/>
        <v>0.95567833767534094</v>
      </c>
      <c r="N29" s="35">
        <f t="shared" si="5"/>
        <v>5389896</v>
      </c>
      <c r="O29" s="38">
        <f t="shared" si="6"/>
        <v>1.1768760489067498</v>
      </c>
      <c r="P29" s="39">
        <v>25135099</v>
      </c>
      <c r="Q29" s="39">
        <v>785471.84375</v>
      </c>
      <c r="R29" s="39">
        <v>7375.5</v>
      </c>
      <c r="S29" s="40">
        <v>29580896</v>
      </c>
      <c r="T29" s="40">
        <v>4115960</v>
      </c>
      <c r="U29" s="40">
        <v>1273936</v>
      </c>
      <c r="V29" s="40">
        <v>24190520</v>
      </c>
      <c r="W29" s="41">
        <v>71.725769</v>
      </c>
      <c r="X29" s="41">
        <v>75.094937999999999</v>
      </c>
      <c r="Y29" s="41">
        <v>35.557583999999999</v>
      </c>
      <c r="Z29" s="41">
        <v>38.558484</v>
      </c>
      <c r="AA29" s="41">
        <v>38.015749999999997</v>
      </c>
      <c r="AB29" s="42">
        <v>4537.4399999999996</v>
      </c>
      <c r="AC29" s="42">
        <v>4066.05</v>
      </c>
      <c r="AD29" s="42">
        <v>9.1579999999999995</v>
      </c>
      <c r="AE29" s="42">
        <v>17.09</v>
      </c>
      <c r="AG29" s="37">
        <f t="shared" si="7"/>
        <v>27.781132499999998</v>
      </c>
      <c r="AH29" s="38">
        <f t="shared" si="8"/>
        <v>1.1706988920216519</v>
      </c>
      <c r="AI29" s="38">
        <f t="shared" si="9"/>
        <v>0.21307305097168155</v>
      </c>
      <c r="AJ29" s="38">
        <f t="shared" si="10"/>
        <v>0.16274073964041666</v>
      </c>
      <c r="AK29" s="38">
        <f t="shared" si="11"/>
        <v>0.95760656196755367</v>
      </c>
      <c r="AL29" s="35">
        <f t="shared" si="12"/>
        <v>5393392</v>
      </c>
      <c r="AM29" s="38">
        <f t="shared" si="13"/>
        <v>1.1790254386490524</v>
      </c>
      <c r="AN29" s="39">
        <v>25133646</v>
      </c>
      <c r="AO29" s="39">
        <v>785426.4375</v>
      </c>
      <c r="AP29" s="39">
        <v>7352.15625</v>
      </c>
      <c r="AQ29" s="40">
        <v>29633208</v>
      </c>
      <c r="AR29" s="40">
        <v>4119360</v>
      </c>
      <c r="AS29" s="40">
        <v>1274032</v>
      </c>
      <c r="AT29" s="40">
        <v>24239328</v>
      </c>
      <c r="AU29" s="41">
        <v>71.719977999999998</v>
      </c>
      <c r="AV29" s="41">
        <v>75.093906000000004</v>
      </c>
      <c r="AW29" s="41">
        <v>35.554506000000003</v>
      </c>
      <c r="AX29" s="41">
        <v>38.555461999999999</v>
      </c>
      <c r="AY29" s="41">
        <v>38.019063000000003</v>
      </c>
      <c r="AZ29" s="42">
        <v>4507.2</v>
      </c>
      <c r="BA29" s="42">
        <v>4122.55</v>
      </c>
      <c r="BB29" s="42">
        <v>9.1820000000000004</v>
      </c>
      <c r="BC29" s="42">
        <v>17.849</v>
      </c>
      <c r="BE29" s="43">
        <f t="shared" si="14"/>
        <v>-2.9178276765778194E-5</v>
      </c>
      <c r="BF29" s="43">
        <f t="shared" si="15"/>
        <v>-2.0368029153317035E-4</v>
      </c>
      <c r="BG29" s="43"/>
      <c r="BI29" s="44"/>
      <c r="BJ29" s="44"/>
      <c r="BK29" s="44"/>
      <c r="BL29" s="44"/>
      <c r="BM29" s="44"/>
      <c r="BO29" s="44"/>
      <c r="BP29" s="44"/>
      <c r="BQ29" s="44"/>
      <c r="BR29" s="44"/>
      <c r="BS29" s="44"/>
      <c r="BU29" s="4">
        <f t="shared" si="16"/>
        <v>52312</v>
      </c>
    </row>
    <row r="30" spans="1:73" ht="16" x14ac:dyDescent="0.2">
      <c r="B30" s="55" t="s">
        <v>288</v>
      </c>
      <c r="J30" s="56">
        <f>AVERAGE(J5:J24)</f>
        <v>0.19586565965001496</v>
      </c>
      <c r="K30" s="56">
        <f>AVERAGE(K5:K24)</f>
        <v>9.4256859010428226E-2</v>
      </c>
      <c r="L30" s="56">
        <f>AVERAGE(L5:L24)</f>
        <v>6.7170858038381423E-2</v>
      </c>
      <c r="M30" s="56">
        <f>AVERAGE(M5:M24)</f>
        <v>0.10159143645029815</v>
      </c>
      <c r="AH30" s="56">
        <f>AVERAGE(AH5:AH24)</f>
        <v>0.19278033703148761</v>
      </c>
      <c r="AI30" s="56">
        <f>AVERAGE(AI5:AI24)</f>
        <v>9.1950715345747711E-2</v>
      </c>
      <c r="AJ30" s="56">
        <f>AVERAGE(AJ5:AJ24)</f>
        <v>6.5289069792658833E-2</v>
      </c>
      <c r="AK30" s="56">
        <f>AVERAGE(AK5:AK24)</f>
        <v>0.10081196809329655</v>
      </c>
      <c r="BG30" s="8">
        <f>AVERAGE(BG5:BG24)</f>
        <v>-3.7335732319429965E-3</v>
      </c>
      <c r="BI30" s="5">
        <f>AVERAGE(BI5:BI24)</f>
        <v>-2.5508981530978053E-2</v>
      </c>
      <c r="BJ30" s="5">
        <f>AVERAGE(BJ5:BJ24)</f>
        <v>-2.7093461552265385E-2</v>
      </c>
      <c r="BK30" s="5">
        <f>AVERAGE(BK5:BK24)</f>
        <v>-1.933613615341459E-2</v>
      </c>
      <c r="BL30" s="5">
        <f>AVERAGE(BL5:BL24)</f>
        <v>-1.6266396828029855E-2</v>
      </c>
      <c r="BM30" s="5">
        <f>AVERAGE(BM5:BM24)</f>
        <v>-2.5234516116773464E-2</v>
      </c>
      <c r="BO30" s="5">
        <f>AVERAGE(BO5:BO24)</f>
        <v>-1.8683976497816168E-2</v>
      </c>
      <c r="BP30" s="5">
        <f>AVERAGE(BP5:BP24)</f>
        <v>-2.0450431792396667E-2</v>
      </c>
      <c r="BQ30" s="5">
        <f>AVERAGE(BQ5:BQ24)</f>
        <v>-2.3674069393119862E-2</v>
      </c>
      <c r="BR30" s="5">
        <f>AVERAGE(BR5:BR24)</f>
        <v>-2.2157597027166104E-2</v>
      </c>
      <c r="BS30" s="5">
        <f>AVERAGE(BS5:BS24)</f>
        <v>-2.7919124372227794E-2</v>
      </c>
    </row>
    <row r="31" spans="1:73" ht="16" x14ac:dyDescent="0.2">
      <c r="B31" s="55" t="s">
        <v>289</v>
      </c>
      <c r="J31" s="56">
        <f>AVERAGE(J25:J29)</f>
        <v>0.43579423972622439</v>
      </c>
      <c r="K31" s="56">
        <f>AVERAGE(K25:K29)</f>
        <v>0.11499024510034764</v>
      </c>
      <c r="L31" s="56">
        <f>AVERAGE(L25:L29)</f>
        <v>8.4480875940368835E-2</v>
      </c>
      <c r="M31" s="56">
        <f>AVERAGE(M25:M29)</f>
        <v>0.32078503159399141</v>
      </c>
      <c r="AH31" s="56">
        <f>AVERAGE(AH25:AH29)</f>
        <v>0.43730123187015629</v>
      </c>
      <c r="AI31" s="56">
        <f>AVERAGE(AI25:AI29)</f>
        <v>0.11522924251220981</v>
      </c>
      <c r="AJ31" s="56">
        <f>AVERAGE(AJ25:AJ29)</f>
        <v>8.4838961192471293E-2</v>
      </c>
      <c r="AK31" s="56">
        <f>AVERAGE(AK25:AK29)</f>
        <v>0.32205271027552973</v>
      </c>
      <c r="BG31" s="8">
        <f>AVERAGE(BG25:BG29)</f>
        <v>-9.2250309750657733E-4</v>
      </c>
      <c r="BI31" s="5">
        <f>AVERAGE(BI25:BI29)</f>
        <v>4.1610798382860636E-3</v>
      </c>
      <c r="BJ31" s="5">
        <f>AVERAGE(BJ25:BJ29)</f>
        <v>2.3880169549366226E-3</v>
      </c>
      <c r="BK31" s="5">
        <f>AVERAGE(BK25:BK29)</f>
        <v>1.217329810815504E-2</v>
      </c>
      <c r="BL31" s="5">
        <f>AVERAGE(BL25:BL29)</f>
        <v>8.2397995943341851E-3</v>
      </c>
      <c r="BM31" s="5">
        <f>AVERAGE(BM25:BM29)</f>
        <v>1.0676523243140057E-2</v>
      </c>
      <c r="BO31" s="5">
        <f>AVERAGE(BO25:BO29)</f>
        <v>8.657688946946962E-3</v>
      </c>
      <c r="BP31" s="5">
        <f>AVERAGE(BP25:BP29)</f>
        <v>5.1863269490333153E-3</v>
      </c>
      <c r="BQ31" s="5">
        <f>AVERAGE(BQ25:BQ29)</f>
        <v>8.6208087038142089E-3</v>
      </c>
      <c r="BR31" s="5">
        <f>AVERAGE(BR25:BR29)</f>
        <v>5.6881534494064301E-3</v>
      </c>
      <c r="BS31" s="5">
        <f>AVERAGE(BS25:BS29)</f>
        <v>7.4282828683993607E-3</v>
      </c>
    </row>
    <row r="32" spans="1:73" ht="16" x14ac:dyDescent="0.2">
      <c r="B32" s="55" t="s">
        <v>290</v>
      </c>
      <c r="J32" s="56">
        <f>AVERAGE(J5:J29)</f>
        <v>0.24385137566525683</v>
      </c>
      <c r="K32" s="56">
        <f>AVERAGE(K5:K29)</f>
        <v>9.8403536228412122E-2</v>
      </c>
      <c r="L32" s="56">
        <f>AVERAGE(L5:L29)</f>
        <v>7.0632861618778908E-2</v>
      </c>
      <c r="M32" s="56">
        <f>AVERAGE(M5:M29)</f>
        <v>0.14543015547903682</v>
      </c>
      <c r="AH32" s="56">
        <f>AVERAGE(AH5:AH29)</f>
        <v>0.24168451599922136</v>
      </c>
      <c r="AI32" s="56">
        <f>AVERAGE(AI5:AI29)</f>
        <v>9.660642077904015E-2</v>
      </c>
      <c r="AJ32" s="56">
        <f>AVERAGE(AJ5:AJ29)</f>
        <v>6.9199048072621325E-2</v>
      </c>
      <c r="AK32" s="56">
        <f>AVERAGE(AK5:AK29)</f>
        <v>0.14506011652974318</v>
      </c>
      <c r="BG32" s="8">
        <f>AVERAGE(BG5:BG29)</f>
        <v>-3.1713592050557128E-3</v>
      </c>
      <c r="BI32" s="5">
        <f>AVERAGE(BI5:BI29)</f>
        <v>-1.9574969257125228E-2</v>
      </c>
      <c r="BJ32" s="5">
        <f>AVERAGE(BJ5:BJ29)</f>
        <v>-2.1197165850824984E-2</v>
      </c>
      <c r="BK32" s="5">
        <f>AVERAGE(BK5:BK29)</f>
        <v>-1.3034249301100665E-2</v>
      </c>
      <c r="BL32" s="5">
        <f>AVERAGE(BL5:BL29)</f>
        <v>-1.1365157543557047E-2</v>
      </c>
      <c r="BM32" s="5">
        <f>AVERAGE(BM5:BM29)</f>
        <v>-1.805230824479076E-2</v>
      </c>
      <c r="BO32" s="5">
        <f>AVERAGE(BO5:BO29)</f>
        <v>-1.3215643408863543E-2</v>
      </c>
      <c r="BP32" s="5">
        <f>AVERAGE(BP5:BP29)</f>
        <v>-1.5323080044110671E-2</v>
      </c>
      <c r="BQ32" s="5">
        <f>AVERAGE(BQ5:BQ29)</f>
        <v>-1.7215093773733047E-2</v>
      </c>
      <c r="BR32" s="5">
        <f>AVERAGE(BR5:BR29)</f>
        <v>-1.6588446931851596E-2</v>
      </c>
      <c r="BS32" s="5">
        <f>AVERAGE(BS5:BS29)</f>
        <v>-2.0849642924102362E-2</v>
      </c>
    </row>
    <row r="33" spans="1:55" ht="16" hidden="1" outlineLevel="2" x14ac:dyDescent="0.2">
      <c r="A33" s="55" t="s">
        <v>291</v>
      </c>
      <c r="B33" s="55" t="s">
        <v>292</v>
      </c>
      <c r="AB33" s="57">
        <f>SUM(AB5:AB24,AB25:AB29)</f>
        <v>146547.88999999998</v>
      </c>
      <c r="AC33" s="57">
        <f>SUM(AC5:AC24,AC25:AC29)</f>
        <v>78955.19</v>
      </c>
      <c r="AD33" s="57">
        <f>SUM(AD5:AD24,AD25:AD29)</f>
        <v>241.66499999999996</v>
      </c>
      <c r="AE33" s="57">
        <f>SUM(AE5:AE24,AE25:AE29)</f>
        <v>366.84900000000005</v>
      </c>
      <c r="AZ33" s="57">
        <f>SUM(AZ5:AZ24,AZ25:AZ29)</f>
        <v>155376.62999999998</v>
      </c>
      <c r="BA33" s="57">
        <f>SUM(BA5:BA24,BA25:BA29)</f>
        <v>82050.160000000018</v>
      </c>
      <c r="BB33" s="57">
        <f>SUM(BB5:BB24,BB25:BB29)</f>
        <v>247.047</v>
      </c>
      <c r="BC33" s="57">
        <f>SUM(BC5:BC24,BC25:BC29)</f>
        <v>382.8669999999999</v>
      </c>
    </row>
    <row r="34" spans="1:55" ht="16" hidden="1" outlineLevel="2" x14ac:dyDescent="0.2">
      <c r="B34" s="55" t="s">
        <v>293</v>
      </c>
      <c r="AZ34" s="8">
        <f>AZ33/AB33</f>
        <v>1.0602447432030579</v>
      </c>
      <c r="BA34" s="8">
        <f>BA33/AC33</f>
        <v>1.0391990697508298</v>
      </c>
      <c r="BB34" s="8">
        <f>BB33/AD33</f>
        <v>1.0222704984172306</v>
      </c>
      <c r="BC34" s="8">
        <f>BC33/AE33</f>
        <v>1.0436637417575074</v>
      </c>
    </row>
    <row r="35" spans="1:55" ht="16" hidden="1" outlineLevel="2" x14ac:dyDescent="0.2">
      <c r="B35" s="55" t="s">
        <v>294</v>
      </c>
      <c r="AB35" s="57">
        <f>GEOMEAN(AB5:AB24,AB25:AB29)</f>
        <v>5753.8194702060218</v>
      </c>
      <c r="AC35" s="57">
        <f>GEOMEAN(AC5:AC24,AC25:AC29)</f>
        <v>3088.0287753997959</v>
      </c>
      <c r="AD35" s="57">
        <f>GEOMEAN(AD5:AD24,AD25:AD29)</f>
        <v>9.5639736263298136</v>
      </c>
      <c r="AE35" s="57">
        <f>GEOMEAN(AE5:AE24,AE25:AE29)</f>
        <v>14.507687463395627</v>
      </c>
      <c r="AZ35" s="57">
        <f>GEOMEAN(AZ5:AZ24,AZ25:AZ29)</f>
        <v>6077.9484959623551</v>
      </c>
      <c r="BA35" s="57">
        <f>GEOMEAN(BA5:BA24,BA25:BA29)</f>
        <v>3195.9235568928161</v>
      </c>
      <c r="BB35" s="57">
        <f>GEOMEAN(BB5:BB24,BB25:BB29)</f>
        <v>9.7452685187907697</v>
      </c>
      <c r="BC35" s="57">
        <f>GEOMEAN(BC5:BC24,BC25:BC29)</f>
        <v>15.084570344215354</v>
      </c>
    </row>
    <row r="36" spans="1:55" ht="16" outlineLevel="2" collapsed="1" x14ac:dyDescent="0.2">
      <c r="B36" s="55" t="s">
        <v>295</v>
      </c>
      <c r="AZ36" s="8">
        <f>AZ35/AB35</f>
        <v>1.0563328459355934</v>
      </c>
      <c r="BA36" s="8">
        <f>BA35/AC35</f>
        <v>1.0349396943294518</v>
      </c>
      <c r="BB36" s="8">
        <f>BB35/AD35</f>
        <v>1.0189560217901321</v>
      </c>
      <c r="BC36" s="8">
        <f>BC35/AE35</f>
        <v>1.0397639446173115</v>
      </c>
    </row>
  </sheetData>
  <mergeCells count="41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Q2:Q3"/>
    <mergeCell ref="R2:R3"/>
    <mergeCell ref="S2:V2"/>
    <mergeCell ref="W2:X2"/>
    <mergeCell ref="Y2:AA2"/>
    <mergeCell ref="AB2:AC2"/>
    <mergeCell ref="AD2:AE2"/>
    <mergeCell ref="AG2:AG3"/>
    <mergeCell ref="AH2:AK2"/>
    <mergeCell ref="AL2:AL3"/>
    <mergeCell ref="AM2:AM3"/>
    <mergeCell ref="AN2:AN3"/>
    <mergeCell ref="AO2:AO3"/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</mergeCells>
  <conditionalFormatting sqref="BI5 BI6 BI7 BI8 BI9 BI10 BI11 BI12 BI13 BI14 BI15 BI16 BI17 BI18 BI19 BI20 BI21 BI22 BI23 BI24 BI25 BI26 BI27 BI28 BI29 BI30 BI31 BI32">
    <cfRule type="cellIs" dxfId="31" priority="17" operator="greaterThanOrEqual">
      <formula>0.03</formula>
    </cfRule>
    <cfRule type="cellIs" dxfId="30" priority="18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29" priority="15" operator="greaterThanOrEqual">
      <formula>0.03</formula>
    </cfRule>
    <cfRule type="cellIs" dxfId="28" priority="16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27" priority="11" operator="greaterThanOrEqual">
      <formula>0.03</formula>
    </cfRule>
    <cfRule type="cellIs" dxfId="26" priority="12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25" priority="5" operator="greaterThanOrEqual">
      <formula>0.03</formula>
    </cfRule>
    <cfRule type="cellIs" dxfId="24" priority="6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23" priority="7" operator="greaterThanOrEqual">
      <formula>0.03</formula>
    </cfRule>
    <cfRule type="cellIs" dxfId="22" priority="8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21" priority="1" operator="greaterThanOrEqual">
      <formula>0.03</formula>
    </cfRule>
    <cfRule type="cellIs" dxfId="20" priority="2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19" priority="13" operator="greaterThanOrEqual">
      <formula>0.03</formula>
    </cfRule>
    <cfRule type="cellIs" dxfId="18" priority="14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17" priority="19" operator="greaterThanOrEqual">
      <formula>0.03</formula>
    </cfRule>
    <cfRule type="cellIs" dxfId="16" priority="20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15" priority="9" operator="greaterThanOrEqual">
      <formula>0.03</formula>
    </cfRule>
    <cfRule type="cellIs" dxfId="14" priority="10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13" priority="3" operator="greaterThanOrEqual">
      <formula>0.03</formula>
    </cfRule>
    <cfRule type="cellIs" dxfId="12" priority="4" operator="lessThanOrEqual">
      <formula>-0.03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A1:BH38"/>
  <sheetViews>
    <sheetView zoomScale="85" zoomScaleNormal="85" workbookViewId="0">
      <pane xSplit="2" topLeftCell="H1" activePane="topRight" state="frozen"/>
      <selection pane="topRight" activeCell="P5" sqref="P5:AC9"/>
    </sheetView>
  </sheetViews>
  <sheetFormatPr baseColWidth="10" defaultColWidth="8.83203125" defaultRowHeight="15" outlineLevelRow="2" x14ac:dyDescent="0.2"/>
  <cols>
    <col min="1" max="1" width="9.1640625"/>
    <col min="2" max="2" width="24.6640625" customWidth="1"/>
    <col min="3" max="4" width="10.6640625" customWidth="1"/>
    <col min="5" max="6" width="9.1640625"/>
    <col min="7" max="7" width="1.6640625" customWidth="1"/>
    <col min="8" max="9" width="9.1640625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20" width="12.6640625" customWidth="1"/>
    <col min="21" max="25" width="11.6640625" customWidth="1"/>
    <col min="26" max="29" width="9.1640625"/>
    <col min="30" max="30" width="1.6640625" customWidth="1"/>
    <col min="31" max="32" width="9.1640625"/>
    <col min="33" max="36" width="10.6640625" customWidth="1"/>
    <col min="37" max="37" width="24.6640625" hidden="1" customWidth="1"/>
    <col min="38" max="38" width="12.6640625" customWidth="1"/>
    <col min="39" max="39" width="10.6640625" customWidth="1"/>
    <col min="40" max="43" width="12.6640625" customWidth="1"/>
    <col min="44" max="48" width="11.6640625" customWidth="1"/>
    <col min="49" max="52" width="9.1640625"/>
    <col min="53" max="53" width="1.6640625" customWidth="1"/>
    <col min="54" max="58" width="9.1640625"/>
    <col min="59" max="59" width="1.6640625" customWidth="1"/>
  </cols>
  <sheetData>
    <row r="1" spans="1:60" ht="15" customHeight="1" x14ac:dyDescent="0.2">
      <c r="A1" s="68" t="s">
        <v>366</v>
      </c>
      <c r="B1" s="68"/>
      <c r="C1" s="68"/>
      <c r="D1" s="68"/>
      <c r="E1" s="68"/>
      <c r="F1" s="68"/>
      <c r="H1" s="64" t="s">
        <v>551</v>
      </c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5" t="s">
        <v>552</v>
      </c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5"/>
    </row>
    <row r="2" spans="1:60" ht="30" customHeight="1" thickBot="1" x14ac:dyDescent="0.25">
      <c r="A2" s="70" t="s">
        <v>93</v>
      </c>
      <c r="B2" s="69" t="s">
        <v>96</v>
      </c>
      <c r="C2" s="70" t="s">
        <v>102</v>
      </c>
      <c r="D2" s="69" t="s">
        <v>105</v>
      </c>
      <c r="E2" s="70" t="s">
        <v>108</v>
      </c>
      <c r="F2" s="69" t="s">
        <v>111</v>
      </c>
      <c r="H2" s="70" t="s">
        <v>310</v>
      </c>
      <c r="I2" s="69" t="s">
        <v>114</v>
      </c>
      <c r="J2" s="67" t="s">
        <v>117</v>
      </c>
      <c r="K2" s="67"/>
      <c r="L2" s="67"/>
      <c r="M2" s="67"/>
      <c r="N2" s="70" t="s">
        <v>130</v>
      </c>
      <c r="O2" s="69" t="s">
        <v>133</v>
      </c>
      <c r="P2" s="70" t="s">
        <v>24</v>
      </c>
      <c r="Q2" s="66" t="s">
        <v>142</v>
      </c>
      <c r="R2" s="66"/>
      <c r="S2" s="66"/>
      <c r="T2" s="66"/>
      <c r="U2" s="67" t="s">
        <v>153</v>
      </c>
      <c r="V2" s="67"/>
      <c r="W2" s="66" t="s">
        <v>160</v>
      </c>
      <c r="X2" s="66"/>
      <c r="Y2" s="66"/>
      <c r="Z2" s="67" t="s">
        <v>170</v>
      </c>
      <c r="AA2" s="67"/>
      <c r="AB2" s="66" t="s">
        <v>177</v>
      </c>
      <c r="AC2" s="66"/>
      <c r="AE2" s="70" t="s">
        <v>310</v>
      </c>
      <c r="AF2" s="69" t="s">
        <v>114</v>
      </c>
      <c r="AG2" s="67" t="s">
        <v>117</v>
      </c>
      <c r="AH2" s="67"/>
      <c r="AI2" s="67"/>
      <c r="AJ2" s="67"/>
      <c r="AK2" s="70" t="s">
        <v>192</v>
      </c>
      <c r="AL2" s="69" t="s">
        <v>133</v>
      </c>
      <c r="AM2" s="70" t="s">
        <v>24</v>
      </c>
      <c r="AN2" s="66" t="s">
        <v>142</v>
      </c>
      <c r="AO2" s="66"/>
      <c r="AP2" s="66"/>
      <c r="AQ2" s="66"/>
      <c r="AR2" s="67" t="s">
        <v>153</v>
      </c>
      <c r="AS2" s="67"/>
      <c r="AT2" s="66" t="s">
        <v>160</v>
      </c>
      <c r="AU2" s="66"/>
      <c r="AV2" s="66"/>
      <c r="AW2" s="67" t="s">
        <v>170</v>
      </c>
      <c r="AX2" s="67"/>
      <c r="AY2" s="66" t="s">
        <v>177</v>
      </c>
      <c r="AZ2" s="66"/>
      <c r="BB2" s="67" t="s">
        <v>357</v>
      </c>
      <c r="BC2" s="67"/>
      <c r="BD2" s="67"/>
      <c r="BE2" s="69" t="s">
        <v>232</v>
      </c>
      <c r="BF2" s="70" t="s">
        <v>232</v>
      </c>
      <c r="BH2" t="s">
        <v>549</v>
      </c>
    </row>
    <row r="3" spans="1:60" ht="17" thickBot="1" x14ac:dyDescent="0.25">
      <c r="A3" s="70"/>
      <c r="B3" s="69"/>
      <c r="C3" s="70"/>
      <c r="D3" s="69"/>
      <c r="E3" s="70"/>
      <c r="F3" s="69"/>
      <c r="H3" s="70"/>
      <c r="I3" s="69"/>
      <c r="J3" s="11" t="s">
        <v>118</v>
      </c>
      <c r="K3" s="11" t="s">
        <v>121</v>
      </c>
      <c r="L3" s="11" t="s">
        <v>124</v>
      </c>
      <c r="M3" s="11" t="s">
        <v>127</v>
      </c>
      <c r="N3" s="70"/>
      <c r="O3" s="69"/>
      <c r="P3" s="70"/>
      <c r="Q3" s="12" t="s">
        <v>118</v>
      </c>
      <c r="R3" s="12" t="s">
        <v>124</v>
      </c>
      <c r="S3" s="12" t="s">
        <v>147</v>
      </c>
      <c r="T3" s="12" t="s">
        <v>150</v>
      </c>
      <c r="U3" s="11" t="s">
        <v>154</v>
      </c>
      <c r="V3" s="11" t="s">
        <v>157</v>
      </c>
      <c r="W3" s="12" t="s">
        <v>161</v>
      </c>
      <c r="X3" s="12" t="s">
        <v>164</v>
      </c>
      <c r="Y3" s="12" t="s">
        <v>167</v>
      </c>
      <c r="Z3" s="11" t="s">
        <v>171</v>
      </c>
      <c r="AA3" s="11" t="s">
        <v>174</v>
      </c>
      <c r="AB3" s="12" t="s">
        <v>171</v>
      </c>
      <c r="AC3" s="12" t="s">
        <v>174</v>
      </c>
      <c r="AE3" s="70"/>
      <c r="AF3" s="69"/>
      <c r="AG3" s="11" t="s">
        <v>118</v>
      </c>
      <c r="AH3" s="11" t="s">
        <v>121</v>
      </c>
      <c r="AI3" s="11" t="s">
        <v>124</v>
      </c>
      <c r="AJ3" s="11" t="s">
        <v>127</v>
      </c>
      <c r="AK3" s="70"/>
      <c r="AL3" s="69"/>
      <c r="AM3" s="70"/>
      <c r="AN3" s="12" t="s">
        <v>118</v>
      </c>
      <c r="AO3" s="12" t="s">
        <v>124</v>
      </c>
      <c r="AP3" s="12" t="s">
        <v>147</v>
      </c>
      <c r="AQ3" s="12" t="s">
        <v>150</v>
      </c>
      <c r="AR3" s="11" t="s">
        <v>154</v>
      </c>
      <c r="AS3" s="11" t="s">
        <v>157</v>
      </c>
      <c r="AT3" s="12" t="s">
        <v>161</v>
      </c>
      <c r="AU3" s="12" t="s">
        <v>164</v>
      </c>
      <c r="AV3" s="12" t="s">
        <v>167</v>
      </c>
      <c r="AW3" s="11" t="s">
        <v>171</v>
      </c>
      <c r="AX3" s="11" t="s">
        <v>174</v>
      </c>
      <c r="AY3" s="12" t="s">
        <v>171</v>
      </c>
      <c r="AZ3" s="12" t="s">
        <v>174</v>
      </c>
      <c r="BB3" s="11" t="s">
        <v>118</v>
      </c>
      <c r="BC3" s="11" t="s">
        <v>124</v>
      </c>
      <c r="BD3" s="11" t="s">
        <v>150</v>
      </c>
      <c r="BE3" s="69"/>
      <c r="BF3" s="70"/>
    </row>
    <row r="4" spans="1:60" ht="123" hidden="1" x14ac:dyDescent="0.2">
      <c r="A4" s="13" t="s">
        <v>94</v>
      </c>
      <c r="B4" s="14" t="s">
        <v>97</v>
      </c>
      <c r="C4" s="13" t="s">
        <v>103</v>
      </c>
      <c r="D4" s="14" t="s">
        <v>106</v>
      </c>
      <c r="E4" s="13" t="s">
        <v>109</v>
      </c>
      <c r="F4" s="14" t="s">
        <v>112</v>
      </c>
      <c r="H4" s="13" t="s">
        <v>311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143</v>
      </c>
      <c r="R4" s="14" t="s">
        <v>145</v>
      </c>
      <c r="S4" s="14" t="s">
        <v>148</v>
      </c>
      <c r="T4" s="14" t="s">
        <v>151</v>
      </c>
      <c r="U4" s="13" t="s">
        <v>155</v>
      </c>
      <c r="V4" s="13" t="s">
        <v>158</v>
      </c>
      <c r="W4" s="14" t="s">
        <v>162</v>
      </c>
      <c r="X4" s="14" t="s">
        <v>165</v>
      </c>
      <c r="Y4" s="14" t="s">
        <v>168</v>
      </c>
      <c r="Z4" s="13" t="s">
        <v>172</v>
      </c>
      <c r="AA4" s="13" t="s">
        <v>175</v>
      </c>
      <c r="AB4" s="14" t="s">
        <v>178</v>
      </c>
      <c r="AC4" s="14" t="s">
        <v>180</v>
      </c>
      <c r="AE4" s="13" t="s">
        <v>334</v>
      </c>
      <c r="AF4" s="14" t="s">
        <v>182</v>
      </c>
      <c r="AG4" s="13" t="s">
        <v>184</v>
      </c>
      <c r="AH4" s="13" t="s">
        <v>186</v>
      </c>
      <c r="AI4" s="13" t="s">
        <v>188</v>
      </c>
      <c r="AJ4" s="13" t="s">
        <v>190</v>
      </c>
      <c r="AK4" s="13" t="s">
        <v>193</v>
      </c>
      <c r="AL4" s="14" t="s">
        <v>195</v>
      </c>
      <c r="AM4" s="13" t="s">
        <v>197</v>
      </c>
      <c r="AN4" s="14" t="s">
        <v>203</v>
      </c>
      <c r="AO4" s="14" t="s">
        <v>205</v>
      </c>
      <c r="AP4" s="14" t="s">
        <v>207</v>
      </c>
      <c r="AQ4" s="14" t="s">
        <v>209</v>
      </c>
      <c r="AR4" s="13" t="s">
        <v>211</v>
      </c>
      <c r="AS4" s="13" t="s">
        <v>213</v>
      </c>
      <c r="AT4" s="14" t="s">
        <v>215</v>
      </c>
      <c r="AU4" s="14" t="s">
        <v>217</v>
      </c>
      <c r="AV4" s="14" t="s">
        <v>219</v>
      </c>
      <c r="AW4" s="13" t="s">
        <v>221</v>
      </c>
      <c r="AX4" s="13" t="s">
        <v>223</v>
      </c>
      <c r="AY4" s="14" t="s">
        <v>225</v>
      </c>
      <c r="AZ4" s="14" t="s">
        <v>227</v>
      </c>
      <c r="BB4" s="13" t="s">
        <v>358</v>
      </c>
      <c r="BC4" s="13" t="s">
        <v>360</v>
      </c>
      <c r="BD4" s="13" t="s">
        <v>362</v>
      </c>
      <c r="BE4" s="14" t="s">
        <v>233</v>
      </c>
      <c r="BF4" s="13" t="s">
        <v>235</v>
      </c>
    </row>
    <row r="5" spans="1:60" collapsed="1" x14ac:dyDescent="0.2">
      <c r="A5" s="15" t="s">
        <v>267</v>
      </c>
      <c r="B5" s="15" t="s">
        <v>266</v>
      </c>
      <c r="C5" s="15">
        <v>24964341</v>
      </c>
      <c r="D5" s="16">
        <v>10</v>
      </c>
      <c r="E5" s="16">
        <v>32</v>
      </c>
      <c r="F5" s="16">
        <v>30</v>
      </c>
      <c r="H5" s="23">
        <f>IF(ISBLANK(Q5),"·",Q5/(C5*D5*3))</f>
        <v>0.29844432371223684</v>
      </c>
      <c r="I5" s="17">
        <f>IF(OR(ISBLANK(Q5),ISBLANK(F5)),"·",Q5*F5/E5/1000000)</f>
        <v>209.5443525</v>
      </c>
      <c r="J5" s="18">
        <f>IF(ISBLANK(Q5),"·",Q5/C5)</f>
        <v>8.9533297113671058</v>
      </c>
      <c r="K5" s="18">
        <f>IF(N5="","·",N5/C5)</f>
        <v>1.363624379269615</v>
      </c>
      <c r="L5" s="18">
        <f>IF(R5="","·",R5/C5)</f>
        <v>1.2826182754033042</v>
      </c>
      <c r="M5" s="18">
        <f>IF(ISBLANK(T5),"·",T5/C5)</f>
        <v>7.5896034267437704</v>
      </c>
      <c r="N5" s="15">
        <f>IF(OR(ISBLANK(R5),ISBLANK(S5)),"",R5+S5)</f>
        <v>34041984</v>
      </c>
      <c r="O5" s="18">
        <f>IF(ISBLANK(Q5),"·",Q5/P5)</f>
        <v>8.9533297113671058</v>
      </c>
      <c r="P5" s="19">
        <v>24964341</v>
      </c>
      <c r="Q5" s="20">
        <v>223513976</v>
      </c>
      <c r="R5" s="20">
        <v>32019720</v>
      </c>
      <c r="S5" s="20">
        <v>2022264</v>
      </c>
      <c r="T5" s="20">
        <v>189469448</v>
      </c>
      <c r="U5" s="21" t="s">
        <v>550</v>
      </c>
      <c r="V5" s="21" t="s">
        <v>550</v>
      </c>
      <c r="W5" s="21" t="s">
        <v>550</v>
      </c>
      <c r="X5" s="21" t="s">
        <v>550</v>
      </c>
      <c r="Y5" s="21" t="s">
        <v>550</v>
      </c>
      <c r="Z5" s="22">
        <v>3673.33</v>
      </c>
      <c r="AA5" s="22">
        <v>4498.7700000000004</v>
      </c>
      <c r="AB5" s="22">
        <v>2.2669999999999999</v>
      </c>
      <c r="AC5" s="22">
        <v>16.093</v>
      </c>
      <c r="AE5" s="23">
        <f>IF(ISBLANK(AN5),"·",AN5/(C5*D5*3))</f>
        <v>0.29835320708045127</v>
      </c>
      <c r="AF5" s="17">
        <f>IF(OR(ISBLANK(AN5),ISBLANK(F5)),"·",AN5*F5/E5/1000000)</f>
        <v>209.4803775</v>
      </c>
      <c r="AG5" s="18">
        <f>IF(ISBLANK(AN5),"·",AN5/C5)</f>
        <v>8.9505962124135383</v>
      </c>
      <c r="AH5" s="18">
        <f>IF(AK5="","·",AK5/C5)</f>
        <v>1.3608905598589605</v>
      </c>
      <c r="AI5" s="18">
        <f>IF(AO5="","·",AO5/C5)</f>
        <v>1.2802039517085591</v>
      </c>
      <c r="AJ5" s="18">
        <f>IF(ISBLANK(AQ5),"·",AQ5/C5)</f>
        <v>7.5896034267437704</v>
      </c>
      <c r="AK5" s="15">
        <f>IF(OR(ISBLANK(AO5),ISBLANK(AP5)),"",AO5+AP5)</f>
        <v>33973736</v>
      </c>
      <c r="AL5" s="18">
        <f>IF(ISBLANK(AN5),"·",AN5/AM5)</f>
        <v>8.9505962124135383</v>
      </c>
      <c r="AM5" s="19">
        <v>24964341</v>
      </c>
      <c r="AN5" s="20">
        <v>223445736</v>
      </c>
      <c r="AO5" s="20">
        <v>31959448</v>
      </c>
      <c r="AP5" s="20">
        <v>2014288</v>
      </c>
      <c r="AQ5" s="20">
        <v>189469448</v>
      </c>
      <c r="AR5" s="21" t="s">
        <v>550</v>
      </c>
      <c r="AS5" s="21" t="s">
        <v>550</v>
      </c>
      <c r="AT5" s="21" t="s">
        <v>550</v>
      </c>
      <c r="AU5" s="21" t="s">
        <v>550</v>
      </c>
      <c r="AV5" s="21" t="s">
        <v>550</v>
      </c>
      <c r="AW5" s="22">
        <v>4362.87</v>
      </c>
      <c r="AX5" s="22">
        <v>4648.34</v>
      </c>
      <c r="AY5" s="22">
        <v>2.4060000000000001</v>
      </c>
      <c r="AZ5" s="22">
        <v>16.420000000000002</v>
      </c>
      <c r="BB5" s="24">
        <f t="shared" ref="BB5:BB12" si="0">AG5/J5</f>
        <v>0.99969469470669703</v>
      </c>
      <c r="BC5" s="24">
        <f t="shared" ref="BC5:BD12" si="1">AI5/L5</f>
        <v>0.99811765999202995</v>
      </c>
      <c r="BD5" s="24">
        <f t="shared" si="1"/>
        <v>1</v>
      </c>
      <c r="BE5" s="23">
        <f>(AK5/AN5) - (N5/Q5)</f>
        <v>-2.5892103884345152E-4</v>
      </c>
      <c r="BF5" s="23">
        <f t="array" ref="BF5">AVERAGE(AK5:AK5/AN5:AN5) - AVERAGE(N5:N5/Q5:Q5)</f>
        <v>-2.5892103884345152E-4</v>
      </c>
      <c r="BH5">
        <f>AN5-Q5</f>
        <v>-68240</v>
      </c>
    </row>
    <row r="6" spans="1:60" collapsed="1" x14ac:dyDescent="0.2">
      <c r="A6" s="25"/>
      <c r="B6" s="25" t="s">
        <v>275</v>
      </c>
      <c r="C6" s="25">
        <v>22654789</v>
      </c>
      <c r="D6" s="26">
        <v>10</v>
      </c>
      <c r="E6" s="26">
        <v>32</v>
      </c>
      <c r="F6" s="26">
        <v>30</v>
      </c>
      <c r="H6" s="33">
        <f>IF(ISBLANK(Q6),"·",Q6/(C6*D6*3))</f>
        <v>0.42805032819624439</v>
      </c>
      <c r="I6" s="27">
        <f>IF(OR(ISBLANK(Q6),ISBLANK(F6)),"·",Q6*F6/E6/1000000)</f>
        <v>272.73908999999998</v>
      </c>
      <c r="J6" s="28">
        <f>IF(ISBLANK(Q6),"·",Q6/C6)</f>
        <v>12.84150984588733</v>
      </c>
      <c r="K6" s="28">
        <f>IF(N6="","·",N6/C6)</f>
        <v>1.6690136465186236</v>
      </c>
      <c r="L6" s="28">
        <f>IF(R6="","·",R6/C6)</f>
        <v>1.5276713457803557</v>
      </c>
      <c r="M6" s="28">
        <f>IF(ISBLANK(T6),"·",T6/C6)</f>
        <v>11.172383905230809</v>
      </c>
      <c r="N6" s="25">
        <f>IF(OR(ISBLANK(R6),ISBLANK(S6)),"",R6+S6)</f>
        <v>37811152</v>
      </c>
      <c r="O6" s="28">
        <f>IF(ISBLANK(Q6),"·",Q6/P6)</f>
        <v>12.84150984588733</v>
      </c>
      <c r="P6" s="29">
        <v>22654789</v>
      </c>
      <c r="Q6" s="30">
        <v>290921696</v>
      </c>
      <c r="R6" s="30">
        <v>34609072</v>
      </c>
      <c r="S6" s="30">
        <v>3202080</v>
      </c>
      <c r="T6" s="30">
        <v>253108000</v>
      </c>
      <c r="U6" s="31" t="s">
        <v>550</v>
      </c>
      <c r="V6" s="31" t="s">
        <v>550</v>
      </c>
      <c r="W6" s="31" t="s">
        <v>550</v>
      </c>
      <c r="X6" s="31" t="s">
        <v>550</v>
      </c>
      <c r="Y6" s="31" t="s">
        <v>550</v>
      </c>
      <c r="Z6" s="32">
        <v>3489.27</v>
      </c>
      <c r="AA6" s="32">
        <v>4927.67</v>
      </c>
      <c r="AB6" s="32">
        <v>2.2400000000000002</v>
      </c>
      <c r="AC6" s="32">
        <v>17.852</v>
      </c>
      <c r="AE6" s="33">
        <f>IF(ISBLANK(AN6),"·",AN6/(C6*D6*3))</f>
        <v>0.42807045639077312</v>
      </c>
      <c r="AF6" s="27">
        <f>IF(OR(ISBLANK(AN6),ISBLANK(F6)),"·",AN6*F6/E6/1000000)</f>
        <v>272.751915</v>
      </c>
      <c r="AG6" s="28">
        <f>IF(ISBLANK(AN6),"·",AN6/C6)</f>
        <v>12.842113691723194</v>
      </c>
      <c r="AH6" s="28">
        <f>IF(AK6="","·",AK6/C6)</f>
        <v>1.6696171392282664</v>
      </c>
      <c r="AI6" s="28">
        <f>IF(AO6="","·",AO6/C6)</f>
        <v>1.5291403508547354</v>
      </c>
      <c r="AJ6" s="28">
        <f>IF(ISBLANK(AQ6),"·",AQ6/C6)</f>
        <v>11.172383905230809</v>
      </c>
      <c r="AK6" s="25">
        <f>IF(OR(ISBLANK(AO6),ISBLANK(AP6)),"",AO6+AP6)</f>
        <v>37824824</v>
      </c>
      <c r="AL6" s="28">
        <f>IF(ISBLANK(AN6),"·",AN6/AM6)</f>
        <v>12.842113691723194</v>
      </c>
      <c r="AM6" s="29">
        <v>22654789</v>
      </c>
      <c r="AN6" s="30">
        <v>290935376</v>
      </c>
      <c r="AO6" s="30">
        <v>34642352</v>
      </c>
      <c r="AP6" s="30">
        <v>3182472</v>
      </c>
      <c r="AQ6" s="30">
        <v>253108000</v>
      </c>
      <c r="AR6" s="31" t="s">
        <v>550</v>
      </c>
      <c r="AS6" s="31" t="s">
        <v>550</v>
      </c>
      <c r="AT6" s="31" t="s">
        <v>550</v>
      </c>
      <c r="AU6" s="31" t="s">
        <v>550</v>
      </c>
      <c r="AV6" s="31" t="s">
        <v>550</v>
      </c>
      <c r="AW6" s="32">
        <v>4917.3999999999996</v>
      </c>
      <c r="AX6" s="32">
        <v>4807.8999999999996</v>
      </c>
      <c r="AY6" s="32">
        <v>2.2570000000000001</v>
      </c>
      <c r="AZ6" s="32">
        <v>19.527999999999999</v>
      </c>
      <c r="BB6" s="34">
        <f t="shared" si="0"/>
        <v>1.0000470229624951</v>
      </c>
      <c r="BC6" s="34">
        <f t="shared" si="1"/>
        <v>1.0009615975834314</v>
      </c>
      <c r="BD6" s="34">
        <f t="shared" si="1"/>
        <v>1</v>
      </c>
      <c r="BE6" s="33">
        <f>(AK6/AN6) - (N6/Q6)</f>
        <v>4.0881957296290405E-5</v>
      </c>
      <c r="BF6" s="33">
        <f t="array" ref="BF6">AVERAGE(AK6:AK6/AN6:AN6) - AVERAGE(N6:N6/Q6:Q6)</f>
        <v>4.0881957296290405E-5</v>
      </c>
      <c r="BH6" s="4">
        <f t="shared" ref="BH6:BH9" si="2">AN6-Q6</f>
        <v>13680</v>
      </c>
    </row>
    <row r="7" spans="1:60" collapsed="1" x14ac:dyDescent="0.2">
      <c r="A7" s="15"/>
      <c r="B7" s="15" t="s">
        <v>278</v>
      </c>
      <c r="C7" s="15">
        <v>33947718</v>
      </c>
      <c r="D7" s="16">
        <v>10</v>
      </c>
      <c r="E7" s="16">
        <v>32</v>
      </c>
      <c r="F7" s="16">
        <v>30</v>
      </c>
      <c r="H7" s="23">
        <f>IF(ISBLANK(Q7),"·",Q7/(C7*D7*3))</f>
        <v>0.33558345610545409</v>
      </c>
      <c r="I7" s="17">
        <f>IF(OR(ISBLANK(Q7),ISBLANK(F7)),"·",Q7*F7/E7/1000000)</f>
        <v>320.40822750000001</v>
      </c>
      <c r="J7" s="18">
        <f>IF(ISBLANK(Q7),"·",Q7/C7)</f>
        <v>10.067503683163622</v>
      </c>
      <c r="K7" s="18">
        <f>IF(N7="","·",N7/C7)</f>
        <v>1.5356818976757141</v>
      </c>
      <c r="L7" s="18">
        <f>IF(R7="","·",R7/C7)</f>
        <v>1.4219578470635346</v>
      </c>
      <c r="M7" s="18">
        <f>IF(ISBLANK(T7),"·",T7/C7)</f>
        <v>8.5317468467247188</v>
      </c>
      <c r="N7" s="15">
        <f>IF(OR(ISBLANK(R7),ISBLANK(S7)),"",R7+S7)</f>
        <v>52132896</v>
      </c>
      <c r="O7" s="18">
        <f>IF(ISBLANK(Q7),"·",Q7/P7)</f>
        <v>10.067503683163622</v>
      </c>
      <c r="P7" s="19">
        <v>33947718</v>
      </c>
      <c r="Q7" s="20">
        <v>341768776</v>
      </c>
      <c r="R7" s="20">
        <v>48272224</v>
      </c>
      <c r="S7" s="20">
        <v>3860672</v>
      </c>
      <c r="T7" s="20">
        <v>289633336</v>
      </c>
      <c r="U7" s="21" t="s">
        <v>550</v>
      </c>
      <c r="V7" s="21" t="s">
        <v>550</v>
      </c>
      <c r="W7" s="21" t="s">
        <v>550</v>
      </c>
      <c r="X7" s="21" t="s">
        <v>550</v>
      </c>
      <c r="Y7" s="21" t="s">
        <v>550</v>
      </c>
      <c r="Z7" s="22">
        <v>5455.31</v>
      </c>
      <c r="AA7" s="22">
        <v>5949.23</v>
      </c>
      <c r="AB7" s="22">
        <v>3.177</v>
      </c>
      <c r="AC7" s="22">
        <v>19.972999999999999</v>
      </c>
      <c r="AE7" s="23">
        <f>IF(ISBLANK(AN7),"·",AN7/(C7*D7*3))</f>
        <v>0.3351020177556559</v>
      </c>
      <c r="AF7" s="17">
        <f>IF(OR(ISBLANK(AN7),ISBLANK(F7)),"·",AN7*F7/E7/1000000)</f>
        <v>319.94855999999999</v>
      </c>
      <c r="AG7" s="18">
        <f>IF(ISBLANK(AN7),"·",AN7/C7)</f>
        <v>10.053060532669678</v>
      </c>
      <c r="AH7" s="18">
        <f>IF(AK7="","·",AK7/C7)</f>
        <v>1.5205979971908568</v>
      </c>
      <c r="AI7" s="18">
        <f>IF(AO7="","·",AO7/C7)</f>
        <v>1.4073520935928594</v>
      </c>
      <c r="AJ7" s="18">
        <f>IF(ISBLANK(AQ7),"·",AQ7/C7)</f>
        <v>8.5323873610591434</v>
      </c>
      <c r="AK7" s="15">
        <f>IF(OR(ISBLANK(AO7),ISBLANK(AP7)),"",AO7+AP7)</f>
        <v>51620832</v>
      </c>
      <c r="AL7" s="18">
        <f>IF(ISBLANK(AN7),"·",AN7/AM7)</f>
        <v>10.053060532669678</v>
      </c>
      <c r="AM7" s="19">
        <v>33947718</v>
      </c>
      <c r="AN7" s="20">
        <v>341278464</v>
      </c>
      <c r="AO7" s="20">
        <v>47776392</v>
      </c>
      <c r="AP7" s="20">
        <v>3844440</v>
      </c>
      <c r="AQ7" s="20">
        <v>289655080</v>
      </c>
      <c r="AR7" s="21" t="s">
        <v>550</v>
      </c>
      <c r="AS7" s="21" t="s">
        <v>550</v>
      </c>
      <c r="AT7" s="21" t="s">
        <v>550</v>
      </c>
      <c r="AU7" s="21" t="s">
        <v>550</v>
      </c>
      <c r="AV7" s="21" t="s">
        <v>550</v>
      </c>
      <c r="AW7" s="22">
        <v>6331.3</v>
      </c>
      <c r="AX7" s="22">
        <v>6017.17</v>
      </c>
      <c r="AY7" s="22">
        <v>3.2280000000000002</v>
      </c>
      <c r="AZ7" s="22">
        <v>20.323</v>
      </c>
      <c r="BB7" s="24">
        <f t="shared" si="0"/>
        <v>0.99856536923665606</v>
      </c>
      <c r="BC7" s="24">
        <f t="shared" si="1"/>
        <v>0.98972842021946195</v>
      </c>
      <c r="BD7" s="24">
        <f t="shared" si="1"/>
        <v>1.0000750742310962</v>
      </c>
      <c r="BE7" s="23">
        <f>(AK7/AN7) - (N7/Q7)</f>
        <v>-1.2812778705432459E-3</v>
      </c>
      <c r="BF7" s="23">
        <f t="array" ref="BF7">AVERAGE(AK7:AK7/AN7:AN7) - AVERAGE(N7:N7/Q7:Q7)</f>
        <v>-1.2812778705432459E-3</v>
      </c>
      <c r="BH7" s="4">
        <f t="shared" si="2"/>
        <v>-490312</v>
      </c>
    </row>
    <row r="8" spans="1:60" ht="16" collapsed="1" thickBot="1" x14ac:dyDescent="0.25">
      <c r="A8" s="45"/>
      <c r="B8" s="45" t="s">
        <v>281</v>
      </c>
      <c r="C8" s="45">
        <v>32209643</v>
      </c>
      <c r="D8" s="46">
        <v>10</v>
      </c>
      <c r="E8" s="46">
        <v>32</v>
      </c>
      <c r="F8" s="46">
        <v>50</v>
      </c>
      <c r="H8" s="53">
        <f>IF(ISBLANK(Q8),"·",Q8/(C8*D8*3))</f>
        <v>0.26065398282537106</v>
      </c>
      <c r="I8" s="47">
        <f>IF(OR(ISBLANK(Q8),ISBLANK(F8)),"·",Q8*F8/E8/1000000)</f>
        <v>393.54242499999998</v>
      </c>
      <c r="J8" s="48">
        <f>IF(ISBLANK(Q8),"·",Q8/C8)</f>
        <v>7.819619484761132</v>
      </c>
      <c r="K8" s="48">
        <f>IF(N8="","·",N8/C8)</f>
        <v>1.0444792573453856</v>
      </c>
      <c r="L8" s="48">
        <f>IF(R8="","·",R8/C8)</f>
        <v>0.89315488532424903</v>
      </c>
      <c r="M8" s="48">
        <f>IF(ISBLANK(T8),"·",T8/C8)</f>
        <v>6.7750612448576346</v>
      </c>
      <c r="N8" s="45">
        <f>IF(OR(ISBLANK(R8),ISBLANK(S8)),"",R8+S8)</f>
        <v>33642304</v>
      </c>
      <c r="O8" s="48">
        <f>IF(ISBLANK(Q8),"·",Q8/P8)</f>
        <v>7.819619484761132</v>
      </c>
      <c r="P8" s="49">
        <v>32209643</v>
      </c>
      <c r="Q8" s="50">
        <v>251867152</v>
      </c>
      <c r="R8" s="50">
        <v>28768200</v>
      </c>
      <c r="S8" s="50">
        <v>4874104</v>
      </c>
      <c r="T8" s="50">
        <v>218222304</v>
      </c>
      <c r="U8" s="51" t="s">
        <v>550</v>
      </c>
      <c r="V8" s="51" t="s">
        <v>550</v>
      </c>
      <c r="W8" s="51" t="s">
        <v>550</v>
      </c>
      <c r="X8" s="51" t="s">
        <v>550</v>
      </c>
      <c r="Y8" s="51" t="s">
        <v>550</v>
      </c>
      <c r="Z8" s="52">
        <v>4876.21</v>
      </c>
      <c r="AA8" s="52">
        <v>4561.32</v>
      </c>
      <c r="AB8" s="52">
        <v>2.645</v>
      </c>
      <c r="AC8" s="52">
        <v>16.747</v>
      </c>
      <c r="AE8" s="53">
        <f>IF(ISBLANK(AN8),"·",AN8/(C8*D8*3))</f>
        <v>0.25952723122906601</v>
      </c>
      <c r="AF8" s="47">
        <f>IF(OR(ISBLANK(AN8),ISBLANK(F8)),"·",AN8*F8/E8/1000000)</f>
        <v>391.84122500000001</v>
      </c>
      <c r="AG8" s="48">
        <f>IF(ISBLANK(AN8),"·",AN8/C8)</f>
        <v>7.7858169368719796</v>
      </c>
      <c r="AH8" s="48">
        <f>IF(AK8="","·",AK8/C8)</f>
        <v>1.0106764610834091</v>
      </c>
      <c r="AI8" s="48">
        <f>IF(AO8="","·",AO8/C8)</f>
        <v>0.8599635829555764</v>
      </c>
      <c r="AJ8" s="48">
        <f>IF(ISBLANK(AQ8),"·",AQ8/C8)</f>
        <v>6.7750612448576346</v>
      </c>
      <c r="AK8" s="45">
        <f>IF(OR(ISBLANK(AO8),ISBLANK(AP8)),"",AO8+AP8)</f>
        <v>32553528</v>
      </c>
      <c r="AL8" s="48">
        <f>IF(ISBLANK(AN8),"·",AN8/AM8)</f>
        <v>7.7858169368719796</v>
      </c>
      <c r="AM8" s="49">
        <v>32209643</v>
      </c>
      <c r="AN8" s="50">
        <v>250778384</v>
      </c>
      <c r="AO8" s="50">
        <v>27699120</v>
      </c>
      <c r="AP8" s="50">
        <v>4854408</v>
      </c>
      <c r="AQ8" s="50">
        <v>218222304</v>
      </c>
      <c r="AR8" s="51" t="s">
        <v>550</v>
      </c>
      <c r="AS8" s="51" t="s">
        <v>550</v>
      </c>
      <c r="AT8" s="51" t="s">
        <v>550</v>
      </c>
      <c r="AU8" s="51" t="s">
        <v>550</v>
      </c>
      <c r="AV8" s="51" t="s">
        <v>550</v>
      </c>
      <c r="AW8" s="52">
        <v>6323.9</v>
      </c>
      <c r="AX8" s="52">
        <v>4552.2299999999996</v>
      </c>
      <c r="AY8" s="52">
        <v>2.72</v>
      </c>
      <c r="AZ8" s="52">
        <v>16.939</v>
      </c>
      <c r="BB8" s="54">
        <f t="shared" si="0"/>
        <v>0.99567721320007618</v>
      </c>
      <c r="BC8" s="54">
        <f t="shared" si="1"/>
        <v>0.96283813377270733</v>
      </c>
      <c r="BD8" s="54">
        <f t="shared" si="1"/>
        <v>1</v>
      </c>
      <c r="BE8" s="53">
        <f>(AK8/AN8) - (N8/Q8)</f>
        <v>-3.7616778499927339E-3</v>
      </c>
      <c r="BF8" s="53">
        <f t="array" ref="BF8">AVERAGE(AK8:AK8/AN8:AN8) - AVERAGE(N8:N8/Q8:Q8)</f>
        <v>-3.7616778499927339E-3</v>
      </c>
      <c r="BH8" s="4">
        <f t="shared" si="2"/>
        <v>-1088768</v>
      </c>
    </row>
    <row r="9" spans="1:60" ht="16" collapsed="1" thickBot="1" x14ac:dyDescent="0.25">
      <c r="A9" s="35" t="s">
        <v>285</v>
      </c>
      <c r="B9" s="35" t="s">
        <v>284</v>
      </c>
      <c r="C9" s="35">
        <v>25312408</v>
      </c>
      <c r="D9" s="36">
        <v>10</v>
      </c>
      <c r="E9" s="36">
        <v>32</v>
      </c>
      <c r="F9" s="36">
        <v>30</v>
      </c>
      <c r="H9" s="43">
        <f>IF(ISBLANK(Q9),"·",Q9/(C9*D9*3))</f>
        <v>0.50320906121087594</v>
      </c>
      <c r="I9" s="37">
        <f>IF(OR(ISBLANK(Q9),ISBLANK(F9)),"·",Q9*F9/E9/1000000)</f>
        <v>358.24030499999998</v>
      </c>
      <c r="J9" s="38">
        <f>IF(ISBLANK(Q9),"·",Q9/C9)</f>
        <v>15.096271836326279</v>
      </c>
      <c r="K9" s="38">
        <f>IF(N9="","·",N9/C9)</f>
        <v>1.5117714600681216</v>
      </c>
      <c r="L9" s="38">
        <f>IF(R9="","·",R9/C9)</f>
        <v>1.4119734479627541</v>
      </c>
      <c r="M9" s="38">
        <f>IF(ISBLANK(T9),"·",T9/C9)</f>
        <v>13.584399872189165</v>
      </c>
      <c r="N9" s="35">
        <f>IF(OR(ISBLANK(R9),ISBLANK(S9)),"",R9+S9)</f>
        <v>38266576</v>
      </c>
      <c r="O9" s="38">
        <f>IF(ISBLANK(Q9),"·",Q9/P9)</f>
        <v>15.096271836326279</v>
      </c>
      <c r="P9" s="39">
        <v>25312408</v>
      </c>
      <c r="Q9" s="40">
        <v>382122992</v>
      </c>
      <c r="R9" s="40">
        <v>35740448</v>
      </c>
      <c r="S9" s="40">
        <v>2526128</v>
      </c>
      <c r="T9" s="40">
        <v>343853872</v>
      </c>
      <c r="U9" s="41" t="s">
        <v>550</v>
      </c>
      <c r="V9" s="41" t="s">
        <v>550</v>
      </c>
      <c r="W9" s="41" t="s">
        <v>550</v>
      </c>
      <c r="X9" s="41" t="s">
        <v>550</v>
      </c>
      <c r="Y9" s="41" t="s">
        <v>550</v>
      </c>
      <c r="Z9" s="42">
        <v>3978.25</v>
      </c>
      <c r="AA9" s="42">
        <v>5111.16</v>
      </c>
      <c r="AB9" s="42">
        <v>2.395</v>
      </c>
      <c r="AC9" s="42">
        <v>21.059000000000001</v>
      </c>
      <c r="AE9" s="43">
        <f>IF(ISBLANK(AN9),"·",AN9/(C9*D9*3))</f>
        <v>0.50370767306426689</v>
      </c>
      <c r="AF9" s="37">
        <f>IF(OR(ISBLANK(AN9),ISBLANK(F9)),"·",AN9*F9/E9/1000000)</f>
        <v>358.59527250000002</v>
      </c>
      <c r="AG9" s="38">
        <f>IF(ISBLANK(AN9),"·",AN9/C9)</f>
        <v>15.111230191928007</v>
      </c>
      <c r="AH9" s="38">
        <f>IF(AK9="","·",AK9/C9)</f>
        <v>1.5161139943698758</v>
      </c>
      <c r="AI9" s="38">
        <f>IF(AO9="","·",AO9/C9)</f>
        <v>1.4159727513873828</v>
      </c>
      <c r="AJ9" s="38">
        <f>IF(ISBLANK(AQ9),"·",AQ9/C9)</f>
        <v>13.595015377438607</v>
      </c>
      <c r="AK9" s="35">
        <f>IF(OR(ISBLANK(AO9),ISBLANK(AP9)),"",AO9+AP9)</f>
        <v>38376496</v>
      </c>
      <c r="AL9" s="38">
        <f>IF(ISBLANK(AN9),"·",AN9/AM9)</f>
        <v>15.111230191928007</v>
      </c>
      <c r="AM9" s="39">
        <v>25312408</v>
      </c>
      <c r="AN9" s="40">
        <v>382501624</v>
      </c>
      <c r="AO9" s="40">
        <v>35841680</v>
      </c>
      <c r="AP9" s="40">
        <v>2534816</v>
      </c>
      <c r="AQ9" s="40">
        <v>344122576</v>
      </c>
      <c r="AR9" s="41" t="s">
        <v>550</v>
      </c>
      <c r="AS9" s="41" t="s">
        <v>550</v>
      </c>
      <c r="AT9" s="41" t="s">
        <v>550</v>
      </c>
      <c r="AU9" s="41" t="s">
        <v>550</v>
      </c>
      <c r="AV9" s="41" t="s">
        <v>550</v>
      </c>
      <c r="AW9" s="42">
        <v>4858.4799999999996</v>
      </c>
      <c r="AX9" s="42">
        <v>5208.3599999999997</v>
      </c>
      <c r="AY9" s="42">
        <v>2.371</v>
      </c>
      <c r="AZ9" s="42">
        <v>19.861999999999998</v>
      </c>
      <c r="BB9" s="44">
        <f t="shared" si="0"/>
        <v>1.0009908642189214</v>
      </c>
      <c r="BC9" s="44">
        <f t="shared" si="1"/>
        <v>1.002832421126898</v>
      </c>
      <c r="BD9" s="44">
        <f t="shared" si="1"/>
        <v>1.0007814482310091</v>
      </c>
      <c r="BE9" s="43">
        <f>(AK9/AN9) - (N9/Q9)</f>
        <v>1.8824238785705716E-4</v>
      </c>
      <c r="BF9" s="43">
        <f t="array" ref="BF9">AVERAGE(AK9:AK9/AN9:AN9) - AVERAGE(N9:N9/Q9:Q9)</f>
        <v>1.8824238785705716E-4</v>
      </c>
      <c r="BH9" s="4">
        <f t="shared" si="2"/>
        <v>378632</v>
      </c>
    </row>
    <row r="10" spans="1:60" ht="16" x14ac:dyDescent="0.2">
      <c r="B10" s="55" t="s">
        <v>288</v>
      </c>
      <c r="J10" s="56">
        <f>AVERAGE(J5:J8)</f>
        <v>9.9204906812947975</v>
      </c>
      <c r="K10" s="56">
        <f>AVERAGE(K5:K8)</f>
        <v>1.4031997952023347</v>
      </c>
      <c r="L10" s="56">
        <f>AVERAGE(L5:L8)</f>
        <v>1.2813505883928609</v>
      </c>
      <c r="M10" s="56">
        <f>AVERAGE(M5:M8)</f>
        <v>8.5171988558892338</v>
      </c>
      <c r="AG10" s="56">
        <f>AVERAGE(AG5:AG8)</f>
        <v>9.9078968434195982</v>
      </c>
      <c r="AH10" s="56">
        <f>AVERAGE(AH5:AH8)</f>
        <v>1.3904455393403732</v>
      </c>
      <c r="AI10" s="56">
        <f>AVERAGE(AI5:AI8)</f>
        <v>1.2691649947779327</v>
      </c>
      <c r="AJ10" s="56">
        <f>AVERAGE(AJ5:AJ8)</f>
        <v>8.517358984472839</v>
      </c>
      <c r="BB10" s="5">
        <f t="shared" si="0"/>
        <v>0.99873052268483598</v>
      </c>
      <c r="BC10" s="5">
        <f t="shared" si="1"/>
        <v>0.99049003939646829</v>
      </c>
      <c r="BD10" s="5">
        <f t="shared" si="1"/>
        <v>1.0000188006158262</v>
      </c>
      <c r="BF10" s="8">
        <f>AVERAGE(BF5:BF8)</f>
        <v>-1.3152487005207852E-3</v>
      </c>
    </row>
    <row r="11" spans="1:60" ht="16" x14ac:dyDescent="0.2">
      <c r="B11" s="55" t="s">
        <v>289</v>
      </c>
      <c r="J11" s="56">
        <f>AVERAGE(J9:J9)</f>
        <v>15.096271836326279</v>
      </c>
      <c r="K11" s="56">
        <f>AVERAGE(K9:K9)</f>
        <v>1.5117714600681216</v>
      </c>
      <c r="L11" s="56">
        <f>AVERAGE(L9:L9)</f>
        <v>1.4119734479627541</v>
      </c>
      <c r="M11" s="56">
        <f>AVERAGE(M9:M9)</f>
        <v>13.584399872189165</v>
      </c>
      <c r="AG11" s="56">
        <f>AVERAGE(AG9:AG9)</f>
        <v>15.111230191928007</v>
      </c>
      <c r="AH11" s="56">
        <f>AVERAGE(AH9:AH9)</f>
        <v>1.5161139943698758</v>
      </c>
      <c r="AI11" s="56">
        <f>AVERAGE(AI9:AI9)</f>
        <v>1.4159727513873828</v>
      </c>
      <c r="AJ11" s="56">
        <f>AVERAGE(AJ9:AJ9)</f>
        <v>13.595015377438607</v>
      </c>
      <c r="BB11" s="5">
        <f t="shared" si="0"/>
        <v>1.0009908642189214</v>
      </c>
      <c r="BC11" s="5">
        <f t="shared" si="1"/>
        <v>1.002832421126898</v>
      </c>
      <c r="BD11" s="5">
        <f t="shared" si="1"/>
        <v>1.0007814482310091</v>
      </c>
      <c r="BF11" s="8">
        <f>AVERAGE(BF9:BF9)</f>
        <v>1.8824238785705716E-4</v>
      </c>
    </row>
    <row r="12" spans="1:60" ht="16" x14ac:dyDescent="0.2">
      <c r="B12" s="55" t="s">
        <v>290</v>
      </c>
      <c r="J12" s="56">
        <f>AVERAGE(J5:J9)</f>
        <v>10.955646912301095</v>
      </c>
      <c r="K12" s="56">
        <f>AVERAGE(K5:K9)</f>
        <v>1.4249141281754922</v>
      </c>
      <c r="L12" s="56">
        <f>AVERAGE(L5:L9)</f>
        <v>1.3074751603068395</v>
      </c>
      <c r="M12" s="56">
        <f>AVERAGE(M5:M9)</f>
        <v>9.5306390591492196</v>
      </c>
      <c r="AG12" s="56">
        <f>AVERAGE(AG5:AG9)</f>
        <v>10.948563513121281</v>
      </c>
      <c r="AH12" s="56">
        <f>AVERAGE(AH5:AH9)</f>
        <v>1.4155792303462738</v>
      </c>
      <c r="AI12" s="56">
        <f>AVERAGE(AI5:AI9)</f>
        <v>1.2985265460998225</v>
      </c>
      <c r="AJ12" s="56">
        <f>AVERAGE(AJ5:AJ9)</f>
        <v>9.5328902630659922</v>
      </c>
      <c r="BB12" s="5">
        <f t="shared" si="0"/>
        <v>0.99935344765703782</v>
      </c>
      <c r="BC12" s="5">
        <f t="shared" si="1"/>
        <v>0.99315580557192618</v>
      </c>
      <c r="BD12" s="5">
        <f t="shared" si="1"/>
        <v>1.0002362070269162</v>
      </c>
      <c r="BF12" s="8">
        <f>AVERAGE(BF5:BF9)</f>
        <v>-1.0145504828452168E-3</v>
      </c>
    </row>
    <row r="13" spans="1:60" ht="16" hidden="1" outlineLevel="2" x14ac:dyDescent="0.2">
      <c r="A13" s="55" t="s">
        <v>291</v>
      </c>
      <c r="B13" s="55" t="s">
        <v>292</v>
      </c>
      <c r="Z13" s="57">
        <f>SUM(Z5:Z8,Z9:Z9)</f>
        <v>21472.37</v>
      </c>
      <c r="AA13" s="57">
        <f>SUM(AA5:AA8,AA9:AA9)</f>
        <v>25048.149999999998</v>
      </c>
      <c r="AB13" s="57">
        <f>SUM(AB5:AB8,AB9:AB9)</f>
        <v>12.723999999999998</v>
      </c>
      <c r="AC13" s="57">
        <f>SUM(AC5:AC8,AC9:AC9)</f>
        <v>91.72399999999999</v>
      </c>
      <c r="AW13" s="57">
        <f>SUM(AW5:AW8,AW9:AW9)</f>
        <v>26793.95</v>
      </c>
      <c r="AX13" s="57">
        <f>SUM(AX5:AX8,AX9:AX9)</f>
        <v>25234</v>
      </c>
      <c r="AY13" s="57">
        <f>SUM(AY5:AY8,AY9:AY9)</f>
        <v>12.982000000000001</v>
      </c>
      <c r="AZ13" s="57">
        <f>SUM(AZ5:AZ8,AZ9:AZ9)</f>
        <v>93.072000000000003</v>
      </c>
    </row>
    <row r="14" spans="1:60" ht="16" hidden="1" outlineLevel="2" x14ac:dyDescent="0.2">
      <c r="B14" s="55" t="s">
        <v>293</v>
      </c>
      <c r="AW14" s="8">
        <f>AW13/Z13</f>
        <v>1.2478338441448245</v>
      </c>
      <c r="AX14" s="8">
        <f>AX13/AA13</f>
        <v>1.007419709639235</v>
      </c>
      <c r="AY14" s="8">
        <f>AY13/AB13</f>
        <v>1.0202766425652312</v>
      </c>
      <c r="AZ14" s="8">
        <f>AZ13/AC13</f>
        <v>1.0146962627011471</v>
      </c>
    </row>
    <row r="15" spans="1:60" ht="16" hidden="1" outlineLevel="2" x14ac:dyDescent="0.2">
      <c r="B15" s="55" t="s">
        <v>294</v>
      </c>
      <c r="Z15" s="57">
        <f>GEOMEAN(Z5:Z8,Z9:Z9)</f>
        <v>4231.337683968577</v>
      </c>
      <c r="AA15" s="57">
        <f>GEOMEAN(AA5:AA8,AA9:AA9)</f>
        <v>4983.8072399740395</v>
      </c>
      <c r="AB15" s="57">
        <f>GEOMEAN(AB5:AB8,AB9:AB9)</f>
        <v>2.5228393104830604</v>
      </c>
      <c r="AC15" s="57">
        <f>GEOMEAN(AC5:AC8,AC9:AC9)</f>
        <v>18.248551237070259</v>
      </c>
      <c r="AW15" s="57">
        <f>GEOMEAN(AW5:AW8,AW9:AW9)</f>
        <v>5297.8202986281149</v>
      </c>
      <c r="AX15" s="57">
        <f>GEOMEAN(AX5:AX8,AX9:AX9)</f>
        <v>5020.1206775283854</v>
      </c>
      <c r="AY15" s="57">
        <f>GEOMEAN(AY5:AY8,AY9:AY9)</f>
        <v>2.5742589611925561</v>
      </c>
      <c r="AZ15" s="57">
        <f>GEOMEAN(AZ5:AZ8,AZ9:AZ9)</f>
        <v>18.543251830789622</v>
      </c>
    </row>
    <row r="16" spans="1:60" ht="16" outlineLevel="2" collapsed="1" x14ac:dyDescent="0.2">
      <c r="B16" s="55" t="s">
        <v>295</v>
      </c>
      <c r="AW16" s="8">
        <f>AW15/Z15</f>
        <v>1.2520438438889336</v>
      </c>
      <c r="AX16" s="8">
        <f>AX15/AA15</f>
        <v>1.007286284522219</v>
      </c>
      <c r="AY16" s="8">
        <f>AY15/AB15</f>
        <v>1.0203816590679531</v>
      </c>
      <c r="AZ16" s="8">
        <f>AZ15/AC15</f>
        <v>1.0161492597352444</v>
      </c>
    </row>
    <row r="23" spans="41:41" x14ac:dyDescent="0.2">
      <c r="AO23" s="4"/>
    </row>
    <row r="24" spans="41:41" x14ac:dyDescent="0.2">
      <c r="AO24" s="4"/>
    </row>
    <row r="25" spans="41:41" x14ac:dyDescent="0.2">
      <c r="AO25" s="4"/>
    </row>
    <row r="26" spans="41:41" x14ac:dyDescent="0.2">
      <c r="AO26" s="4"/>
    </row>
    <row r="34" spans="3:3" x14ac:dyDescent="0.2">
      <c r="C34" s="4"/>
    </row>
    <row r="35" spans="3:3" x14ac:dyDescent="0.2">
      <c r="C35" s="4"/>
    </row>
    <row r="36" spans="3:3" x14ac:dyDescent="0.2">
      <c r="C36" s="4"/>
    </row>
    <row r="37" spans="3:3" x14ac:dyDescent="0.2">
      <c r="C37" s="4"/>
    </row>
    <row r="38" spans="3:3" x14ac:dyDescent="0.2">
      <c r="C38" s="4"/>
    </row>
  </sheetData>
  <mergeCells count="34">
    <mergeCell ref="A2:A3"/>
    <mergeCell ref="B2:B3"/>
    <mergeCell ref="C2:C3"/>
    <mergeCell ref="D2:D3"/>
    <mergeCell ref="E2:E3"/>
    <mergeCell ref="F2:F3"/>
    <mergeCell ref="H2:H3"/>
    <mergeCell ref="I2:I3"/>
    <mergeCell ref="J2:M2"/>
    <mergeCell ref="N2:N3"/>
    <mergeCell ref="AE2:AE3"/>
    <mergeCell ref="AF2:AF3"/>
    <mergeCell ref="AG2:AJ2"/>
    <mergeCell ref="O2:O3"/>
    <mergeCell ref="P2:P3"/>
    <mergeCell ref="Q2:T2"/>
    <mergeCell ref="U2:V2"/>
    <mergeCell ref="W2:Y2"/>
    <mergeCell ref="H1:AD1"/>
    <mergeCell ref="BF2:BF3"/>
    <mergeCell ref="A1:F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</mergeCells>
  <conditionalFormatting sqref="BB10 BB11 BB12">
    <cfRule type="cellIs" dxfId="11" priority="3" operator="greaterThanOrEqual">
      <formula>1.03</formula>
    </cfRule>
    <cfRule type="cellIs" dxfId="10" priority="4" operator="lessThanOrEqual">
      <formula>0.97</formula>
    </cfRule>
  </conditionalFormatting>
  <conditionalFormatting sqref="BC10 BC11 BC12">
    <cfRule type="cellIs" dxfId="9" priority="5" operator="greaterThanOrEqual">
      <formula>1.03</formula>
    </cfRule>
    <cfRule type="cellIs" dxfId="8" priority="6" operator="lessThanOrEqual">
      <formula>0.97</formula>
    </cfRule>
  </conditionalFormatting>
  <conditionalFormatting sqref="BD10 BD11 BD12">
    <cfRule type="cellIs" dxfId="7" priority="1" operator="greaterThanOrEqual">
      <formula>1.03</formula>
    </cfRule>
    <cfRule type="cellIs" dxfId="6" priority="2" operator="lessThanOrEqual">
      <formula>0.97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BH16"/>
  <sheetViews>
    <sheetView tabSelected="1" zoomScale="85" zoomScaleNormal="85" workbookViewId="0">
      <pane xSplit="2" topLeftCell="V1" activePane="topRight" state="frozen"/>
      <selection pane="topRight" activeCell="AN28" sqref="AN28"/>
    </sheetView>
  </sheetViews>
  <sheetFormatPr baseColWidth="10" defaultColWidth="8.83203125" defaultRowHeight="15" outlineLevelRow="2" x14ac:dyDescent="0.2"/>
  <cols>
    <col min="1" max="1" width="9.1640625"/>
    <col min="2" max="2" width="24.6640625" customWidth="1"/>
    <col min="3" max="4" width="10.6640625" customWidth="1"/>
    <col min="5" max="6" width="9.1640625"/>
    <col min="7" max="7" width="1.6640625" customWidth="1"/>
    <col min="8" max="9" width="9.1640625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20" width="12.6640625" customWidth="1"/>
    <col min="21" max="25" width="11.6640625" customWidth="1"/>
    <col min="26" max="29" width="9.1640625"/>
    <col min="30" max="30" width="1.6640625" customWidth="1"/>
    <col min="31" max="32" width="9.1640625"/>
    <col min="33" max="36" width="10.6640625" customWidth="1"/>
    <col min="37" max="37" width="24.6640625" hidden="1" customWidth="1"/>
    <col min="38" max="38" width="12.6640625" customWidth="1"/>
    <col min="39" max="39" width="10.6640625" customWidth="1"/>
    <col min="40" max="43" width="12.6640625" customWidth="1"/>
    <col min="44" max="48" width="11.6640625" customWidth="1"/>
    <col min="49" max="52" width="9.1640625"/>
    <col min="53" max="53" width="1.6640625" customWidth="1"/>
    <col min="54" max="58" width="9.1640625"/>
    <col min="59" max="59" width="1.6640625" customWidth="1"/>
  </cols>
  <sheetData>
    <row r="1" spans="1:60" ht="15" customHeight="1" x14ac:dyDescent="0.2">
      <c r="A1" s="68" t="s">
        <v>441</v>
      </c>
      <c r="B1" s="68"/>
      <c r="C1" s="68"/>
      <c r="D1" s="68"/>
      <c r="E1" s="68"/>
      <c r="F1" s="68"/>
      <c r="H1" s="64" t="s">
        <v>551</v>
      </c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5" t="s">
        <v>552</v>
      </c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5"/>
    </row>
    <row r="2" spans="1:60" ht="30" customHeight="1" thickBot="1" x14ac:dyDescent="0.25">
      <c r="A2" s="70" t="s">
        <v>93</v>
      </c>
      <c r="B2" s="69" t="s">
        <v>96</v>
      </c>
      <c r="C2" s="70" t="s">
        <v>102</v>
      </c>
      <c r="D2" s="69" t="s">
        <v>105</v>
      </c>
      <c r="E2" s="70" t="s">
        <v>108</v>
      </c>
      <c r="F2" s="69" t="s">
        <v>111</v>
      </c>
      <c r="H2" s="70" t="s">
        <v>310</v>
      </c>
      <c r="I2" s="69" t="s">
        <v>114</v>
      </c>
      <c r="J2" s="67" t="s">
        <v>117</v>
      </c>
      <c r="K2" s="67"/>
      <c r="L2" s="67"/>
      <c r="M2" s="67"/>
      <c r="N2" s="70" t="s">
        <v>130</v>
      </c>
      <c r="O2" s="69" t="s">
        <v>133</v>
      </c>
      <c r="P2" s="70" t="s">
        <v>24</v>
      </c>
      <c r="Q2" s="66" t="s">
        <v>142</v>
      </c>
      <c r="R2" s="66"/>
      <c r="S2" s="66"/>
      <c r="T2" s="66"/>
      <c r="U2" s="67" t="s">
        <v>153</v>
      </c>
      <c r="V2" s="67"/>
      <c r="W2" s="66" t="s">
        <v>160</v>
      </c>
      <c r="X2" s="66"/>
      <c r="Y2" s="66"/>
      <c r="Z2" s="67" t="s">
        <v>170</v>
      </c>
      <c r="AA2" s="67"/>
      <c r="AB2" s="66" t="s">
        <v>177</v>
      </c>
      <c r="AC2" s="66"/>
      <c r="AE2" s="70" t="s">
        <v>310</v>
      </c>
      <c r="AF2" s="69" t="s">
        <v>114</v>
      </c>
      <c r="AG2" s="67" t="s">
        <v>117</v>
      </c>
      <c r="AH2" s="67"/>
      <c r="AI2" s="67"/>
      <c r="AJ2" s="67"/>
      <c r="AK2" s="70" t="s">
        <v>192</v>
      </c>
      <c r="AL2" s="69" t="s">
        <v>133</v>
      </c>
      <c r="AM2" s="70" t="s">
        <v>24</v>
      </c>
      <c r="AN2" s="66" t="s">
        <v>142</v>
      </c>
      <c r="AO2" s="66"/>
      <c r="AP2" s="66"/>
      <c r="AQ2" s="66"/>
      <c r="AR2" s="67" t="s">
        <v>153</v>
      </c>
      <c r="AS2" s="67"/>
      <c r="AT2" s="66" t="s">
        <v>160</v>
      </c>
      <c r="AU2" s="66"/>
      <c r="AV2" s="66"/>
      <c r="AW2" s="67" t="s">
        <v>170</v>
      </c>
      <c r="AX2" s="67"/>
      <c r="AY2" s="66" t="s">
        <v>177</v>
      </c>
      <c r="AZ2" s="66"/>
      <c r="BB2" s="67" t="s">
        <v>357</v>
      </c>
      <c r="BC2" s="67"/>
      <c r="BD2" s="67"/>
      <c r="BE2" s="69" t="s">
        <v>232</v>
      </c>
      <c r="BF2" s="70" t="s">
        <v>232</v>
      </c>
      <c r="BH2" t="s">
        <v>549</v>
      </c>
    </row>
    <row r="3" spans="1:60" ht="17" thickBot="1" x14ac:dyDescent="0.25">
      <c r="A3" s="70"/>
      <c r="B3" s="69"/>
      <c r="C3" s="70"/>
      <c r="D3" s="69"/>
      <c r="E3" s="70"/>
      <c r="F3" s="69"/>
      <c r="H3" s="70"/>
      <c r="I3" s="69"/>
      <c r="J3" s="11" t="s">
        <v>118</v>
      </c>
      <c r="K3" s="11" t="s">
        <v>121</v>
      </c>
      <c r="L3" s="11" t="s">
        <v>124</v>
      </c>
      <c r="M3" s="11" t="s">
        <v>127</v>
      </c>
      <c r="N3" s="70"/>
      <c r="O3" s="69"/>
      <c r="P3" s="70"/>
      <c r="Q3" s="12" t="s">
        <v>118</v>
      </c>
      <c r="R3" s="12" t="s">
        <v>124</v>
      </c>
      <c r="S3" s="12" t="s">
        <v>147</v>
      </c>
      <c r="T3" s="12" t="s">
        <v>150</v>
      </c>
      <c r="U3" s="11" t="s">
        <v>154</v>
      </c>
      <c r="V3" s="11" t="s">
        <v>157</v>
      </c>
      <c r="W3" s="12" t="s">
        <v>161</v>
      </c>
      <c r="X3" s="12" t="s">
        <v>164</v>
      </c>
      <c r="Y3" s="12" t="s">
        <v>167</v>
      </c>
      <c r="Z3" s="11" t="s">
        <v>171</v>
      </c>
      <c r="AA3" s="11" t="s">
        <v>174</v>
      </c>
      <c r="AB3" s="12" t="s">
        <v>171</v>
      </c>
      <c r="AC3" s="12" t="s">
        <v>174</v>
      </c>
      <c r="AE3" s="70"/>
      <c r="AF3" s="69"/>
      <c r="AG3" s="11" t="s">
        <v>118</v>
      </c>
      <c r="AH3" s="11" t="s">
        <v>121</v>
      </c>
      <c r="AI3" s="11" t="s">
        <v>124</v>
      </c>
      <c r="AJ3" s="11" t="s">
        <v>127</v>
      </c>
      <c r="AK3" s="70"/>
      <c r="AL3" s="69"/>
      <c r="AM3" s="70"/>
      <c r="AN3" s="12" t="s">
        <v>118</v>
      </c>
      <c r="AO3" s="12" t="s">
        <v>124</v>
      </c>
      <c r="AP3" s="12" t="s">
        <v>147</v>
      </c>
      <c r="AQ3" s="12" t="s">
        <v>150</v>
      </c>
      <c r="AR3" s="11" t="s">
        <v>154</v>
      </c>
      <c r="AS3" s="11" t="s">
        <v>157</v>
      </c>
      <c r="AT3" s="12" t="s">
        <v>161</v>
      </c>
      <c r="AU3" s="12" t="s">
        <v>164</v>
      </c>
      <c r="AV3" s="12" t="s">
        <v>167</v>
      </c>
      <c r="AW3" s="11" t="s">
        <v>171</v>
      </c>
      <c r="AX3" s="11" t="s">
        <v>174</v>
      </c>
      <c r="AY3" s="12" t="s">
        <v>171</v>
      </c>
      <c r="AZ3" s="12" t="s">
        <v>174</v>
      </c>
      <c r="BB3" s="11" t="s">
        <v>118</v>
      </c>
      <c r="BC3" s="11" t="s">
        <v>124</v>
      </c>
      <c r="BD3" s="11" t="s">
        <v>150</v>
      </c>
      <c r="BE3" s="69"/>
      <c r="BF3" s="70"/>
    </row>
    <row r="4" spans="1:60" ht="123" hidden="1" x14ac:dyDescent="0.2">
      <c r="A4" s="13" t="s">
        <v>94</v>
      </c>
      <c r="B4" s="14" t="s">
        <v>97</v>
      </c>
      <c r="C4" s="13" t="s">
        <v>103</v>
      </c>
      <c r="D4" s="14" t="s">
        <v>106</v>
      </c>
      <c r="E4" s="13" t="s">
        <v>109</v>
      </c>
      <c r="F4" s="14" t="s">
        <v>112</v>
      </c>
      <c r="H4" s="13" t="s">
        <v>311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143</v>
      </c>
      <c r="R4" s="14" t="s">
        <v>145</v>
      </c>
      <c r="S4" s="14" t="s">
        <v>148</v>
      </c>
      <c r="T4" s="14" t="s">
        <v>151</v>
      </c>
      <c r="U4" s="13" t="s">
        <v>155</v>
      </c>
      <c r="V4" s="13" t="s">
        <v>158</v>
      </c>
      <c r="W4" s="14" t="s">
        <v>162</v>
      </c>
      <c r="X4" s="14" t="s">
        <v>165</v>
      </c>
      <c r="Y4" s="14" t="s">
        <v>168</v>
      </c>
      <c r="Z4" s="13" t="s">
        <v>172</v>
      </c>
      <c r="AA4" s="13" t="s">
        <v>175</v>
      </c>
      <c r="AB4" s="14" t="s">
        <v>178</v>
      </c>
      <c r="AC4" s="14" t="s">
        <v>180</v>
      </c>
      <c r="AE4" s="13" t="s">
        <v>334</v>
      </c>
      <c r="AF4" s="14" t="s">
        <v>182</v>
      </c>
      <c r="AG4" s="13" t="s">
        <v>184</v>
      </c>
      <c r="AH4" s="13" t="s">
        <v>186</v>
      </c>
      <c r="AI4" s="13" t="s">
        <v>188</v>
      </c>
      <c r="AJ4" s="13" t="s">
        <v>190</v>
      </c>
      <c r="AK4" s="13" t="s">
        <v>193</v>
      </c>
      <c r="AL4" s="14" t="s">
        <v>195</v>
      </c>
      <c r="AM4" s="13" t="s">
        <v>197</v>
      </c>
      <c r="AN4" s="14" t="s">
        <v>203</v>
      </c>
      <c r="AO4" s="14" t="s">
        <v>205</v>
      </c>
      <c r="AP4" s="14" t="s">
        <v>207</v>
      </c>
      <c r="AQ4" s="14" t="s">
        <v>209</v>
      </c>
      <c r="AR4" s="13" t="s">
        <v>211</v>
      </c>
      <c r="AS4" s="13" t="s">
        <v>213</v>
      </c>
      <c r="AT4" s="14" t="s">
        <v>215</v>
      </c>
      <c r="AU4" s="14" t="s">
        <v>217</v>
      </c>
      <c r="AV4" s="14" t="s">
        <v>219</v>
      </c>
      <c r="AW4" s="13" t="s">
        <v>221</v>
      </c>
      <c r="AX4" s="13" t="s">
        <v>223</v>
      </c>
      <c r="AY4" s="14" t="s">
        <v>225</v>
      </c>
      <c r="AZ4" s="14" t="s">
        <v>227</v>
      </c>
      <c r="BB4" s="13" t="s">
        <v>358</v>
      </c>
      <c r="BC4" s="13" t="s">
        <v>360</v>
      </c>
      <c r="BD4" s="13" t="s">
        <v>362</v>
      </c>
      <c r="BE4" s="14" t="s">
        <v>233</v>
      </c>
      <c r="BF4" s="13" t="s">
        <v>235</v>
      </c>
    </row>
    <row r="5" spans="1:60" collapsed="1" x14ac:dyDescent="0.2">
      <c r="A5" s="15" t="s">
        <v>267</v>
      </c>
      <c r="B5" s="15" t="s">
        <v>266</v>
      </c>
      <c r="C5" s="15">
        <v>24964341</v>
      </c>
      <c r="D5" s="16">
        <v>10</v>
      </c>
      <c r="E5" s="16">
        <v>32</v>
      </c>
      <c r="F5" s="16">
        <v>30</v>
      </c>
      <c r="H5" s="23">
        <f>IF(ISBLANK(Q5),"·",Q5/(C5*D5*3))</f>
        <v>0.29368060092860721</v>
      </c>
      <c r="I5" s="17">
        <f>IF(OR(ISBLANK(Q5),ISBLANK(F5)),"·",Q5*F5/E5/1000000)</f>
        <v>206.19963749999999</v>
      </c>
      <c r="J5" s="18">
        <f>IF(ISBLANK(Q5),"·",Q5/C5)</f>
        <v>8.8104180278582156</v>
      </c>
      <c r="K5" s="18">
        <f>IF(N5="","·",N5/C5)</f>
        <v>1.3596032837397951</v>
      </c>
      <c r="L5" s="18">
        <f>IF(R5="","·",R5/C5)</f>
        <v>1.2770682791105923</v>
      </c>
      <c r="M5" s="18">
        <f>IF(ISBLANK(T5),"·",T5/C5)</f>
        <v>7.4507128387647006</v>
      </c>
      <c r="N5" s="15">
        <f>IF(OR(ISBLANK(R5),ISBLANK(S5)),"",R5+S5)</f>
        <v>33941600</v>
      </c>
      <c r="O5" s="18">
        <f>IF(ISBLANK(Q5),"·",Q5/P5)</f>
        <v>8.8104180278582156</v>
      </c>
      <c r="P5" s="19">
        <v>24964341</v>
      </c>
      <c r="Q5" s="20">
        <v>219946280</v>
      </c>
      <c r="R5" s="20">
        <v>31881168</v>
      </c>
      <c r="S5" s="20">
        <v>2060432</v>
      </c>
      <c r="T5" s="20">
        <v>186002136</v>
      </c>
      <c r="U5" s="21" t="s">
        <v>550</v>
      </c>
      <c r="V5" s="21" t="s">
        <v>550</v>
      </c>
      <c r="W5" s="21" t="s">
        <v>550</v>
      </c>
      <c r="X5" s="21" t="s">
        <v>550</v>
      </c>
      <c r="Y5" s="21" t="s">
        <v>550</v>
      </c>
      <c r="Z5" s="22">
        <v>3181.37</v>
      </c>
      <c r="AA5" s="22">
        <v>5739.18</v>
      </c>
      <c r="AB5" s="22">
        <v>2.4220000000000002</v>
      </c>
      <c r="AC5" s="22">
        <v>15.904999999999999</v>
      </c>
      <c r="AE5" s="23">
        <f>IF(ISBLANK(AN5),"·",AN5/(C5*D5*3))</f>
        <v>0.29356954118409667</v>
      </c>
      <c r="AF5" s="17">
        <f>IF(OR(ISBLANK(AN5),ISBLANK(F5)),"·",AN5*F5/E5/1000000)</f>
        <v>206.12165999999999</v>
      </c>
      <c r="AG5" s="18">
        <f>IF(ISBLANK(AN5),"·",AN5/C5)</f>
        <v>8.8070862355229007</v>
      </c>
      <c r="AH5" s="18">
        <f>IF(AK5="","·",AK5/C5)</f>
        <v>1.3562711709473925</v>
      </c>
      <c r="AI5" s="18">
        <f>IF(AO5="","·",AO5/C5)</f>
        <v>1.2740569438624476</v>
      </c>
      <c r="AJ5" s="18">
        <f>IF(ISBLANK(AQ5),"·",AQ5/C5)</f>
        <v>7.4507128387647006</v>
      </c>
      <c r="AK5" s="15">
        <f>IF(OR(ISBLANK(AO5),ISBLANK(AP5)),"",AO5+AP5)</f>
        <v>33858416</v>
      </c>
      <c r="AL5" s="18">
        <f>IF(ISBLANK(AN5),"·",AN5/AM5)</f>
        <v>8.8070862355229007</v>
      </c>
      <c r="AM5" s="19">
        <v>24964341</v>
      </c>
      <c r="AN5" s="20">
        <v>219863104</v>
      </c>
      <c r="AO5" s="20">
        <v>31805992</v>
      </c>
      <c r="AP5" s="20">
        <v>2052424</v>
      </c>
      <c r="AQ5" s="20">
        <v>186002136</v>
      </c>
      <c r="AR5" s="21" t="s">
        <v>550</v>
      </c>
      <c r="AS5" s="21" t="s">
        <v>550</v>
      </c>
      <c r="AT5" s="21" t="s">
        <v>550</v>
      </c>
      <c r="AU5" s="21" t="s">
        <v>550</v>
      </c>
      <c r="AV5" s="21" t="s">
        <v>550</v>
      </c>
      <c r="AW5" s="22">
        <v>4400.49</v>
      </c>
      <c r="AX5" s="22">
        <v>7057.69</v>
      </c>
      <c r="AY5" s="22">
        <v>3.8530000000000002</v>
      </c>
      <c r="AZ5" s="22">
        <v>21.445</v>
      </c>
      <c r="BB5" s="24">
        <f t="shared" ref="BB5:BB12" si="0">AG5/J5</f>
        <v>0.99962183493169343</v>
      </c>
      <c r="BC5" s="24">
        <f t="shared" ref="BC5:BD12" si="1">AI5/L5</f>
        <v>0.99764199354302185</v>
      </c>
      <c r="BD5" s="24">
        <f t="shared" si="1"/>
        <v>1</v>
      </c>
      <c r="BE5" s="23">
        <f>(AK5/AN5) - (N5/Q5)</f>
        <v>-3.1996488377405985E-4</v>
      </c>
      <c r="BF5" s="23">
        <f t="array" ref="BF5">AVERAGE(AK5:AK5/AN5:AN5) - AVERAGE(N5:N5/Q5:Q5)</f>
        <v>-3.1996488377405985E-4</v>
      </c>
      <c r="BH5">
        <f>AN5-Q5</f>
        <v>-83176</v>
      </c>
    </row>
    <row r="6" spans="1:60" collapsed="1" x14ac:dyDescent="0.2">
      <c r="A6" s="25"/>
      <c r="B6" s="25" t="s">
        <v>275</v>
      </c>
      <c r="C6" s="25">
        <v>22654789</v>
      </c>
      <c r="D6" s="26">
        <v>10</v>
      </c>
      <c r="E6" s="26">
        <v>32</v>
      </c>
      <c r="F6" s="26">
        <v>30</v>
      </c>
      <c r="H6" s="33">
        <f>IF(ISBLANK(Q6),"·",Q6/(C6*D6*3))</f>
        <v>0.42324808233702815</v>
      </c>
      <c r="I6" s="27">
        <f>IF(OR(ISBLANK(Q6),ISBLANK(F6)),"·",Q6*F6/E6/1000000)</f>
        <v>269.67926249999999</v>
      </c>
      <c r="J6" s="28">
        <f>IF(ISBLANK(Q6),"·",Q6/C6)</f>
        <v>12.697442470110845</v>
      </c>
      <c r="K6" s="28">
        <f>IF(N6="","·",N6/C6)</f>
        <v>1.6752060679090854</v>
      </c>
      <c r="L6" s="28">
        <f>IF(R6="","·",R6/C6)</f>
        <v>1.5267408581911754</v>
      </c>
      <c r="M6" s="28">
        <f>IF(ISBLANK(T6),"·",T6/C6)</f>
        <v>11.022124108063862</v>
      </c>
      <c r="N6" s="25">
        <f>IF(OR(ISBLANK(R6),ISBLANK(S6)),"",R6+S6)</f>
        <v>37951440</v>
      </c>
      <c r="O6" s="28">
        <f>IF(ISBLANK(Q6),"·",Q6/P6)</f>
        <v>12.697442470110845</v>
      </c>
      <c r="P6" s="29">
        <v>22654789</v>
      </c>
      <c r="Q6" s="30">
        <v>287657880</v>
      </c>
      <c r="R6" s="30">
        <v>34587992</v>
      </c>
      <c r="S6" s="30">
        <v>3363448</v>
      </c>
      <c r="T6" s="30">
        <v>249703896</v>
      </c>
      <c r="U6" s="31" t="s">
        <v>550</v>
      </c>
      <c r="V6" s="31" t="s">
        <v>550</v>
      </c>
      <c r="W6" s="31" t="s">
        <v>550</v>
      </c>
      <c r="X6" s="31" t="s">
        <v>550</v>
      </c>
      <c r="Y6" s="31" t="s">
        <v>550</v>
      </c>
      <c r="Z6" s="32">
        <v>2894.87</v>
      </c>
      <c r="AA6" s="32">
        <v>6971.85</v>
      </c>
      <c r="AB6" s="32">
        <v>2.3090000000000002</v>
      </c>
      <c r="AC6" s="32">
        <v>19.425999999999998</v>
      </c>
      <c r="AE6" s="33">
        <f>IF(ISBLANK(AN6),"·",AN6/(C6*D6*3))</f>
        <v>0.423203576662459</v>
      </c>
      <c r="AF6" s="27">
        <f>IF(OR(ISBLANK(AN6),ISBLANK(F6)),"·",AN6*F6/E6/1000000)</f>
        <v>269.65090500000002</v>
      </c>
      <c r="AG6" s="28">
        <f>IF(ISBLANK(AN6),"·",AN6/C6)</f>
        <v>12.69610729987377</v>
      </c>
      <c r="AH6" s="28">
        <f>IF(AK6="","·",AK6/C6)</f>
        <v>1.6738705445457911</v>
      </c>
      <c r="AI6" s="28">
        <f>IF(AO6="","·",AO6/C6)</f>
        <v>1.5262694346877386</v>
      </c>
      <c r="AJ6" s="28">
        <f>IF(ISBLANK(AQ6),"·",AQ6/C6)</f>
        <v>11.022124108063862</v>
      </c>
      <c r="AK6" s="25">
        <f>IF(OR(ISBLANK(AO6),ISBLANK(AP6)),"",AO6+AP6)</f>
        <v>37921184</v>
      </c>
      <c r="AL6" s="28">
        <f>IF(ISBLANK(AN6),"·",AN6/AM6)</f>
        <v>12.69610729987377</v>
      </c>
      <c r="AM6" s="29">
        <v>22654789</v>
      </c>
      <c r="AN6" s="30">
        <v>287627632</v>
      </c>
      <c r="AO6" s="30">
        <v>34577312</v>
      </c>
      <c r="AP6" s="30">
        <v>3343872</v>
      </c>
      <c r="AQ6" s="30">
        <v>249703896</v>
      </c>
      <c r="AR6" s="31" t="s">
        <v>550</v>
      </c>
      <c r="AS6" s="31" t="s">
        <v>550</v>
      </c>
      <c r="AT6" s="31" t="s">
        <v>550</v>
      </c>
      <c r="AU6" s="31" t="s">
        <v>550</v>
      </c>
      <c r="AV6" s="31" t="s">
        <v>550</v>
      </c>
      <c r="AW6" s="32">
        <v>4086.36</v>
      </c>
      <c r="AX6" s="32">
        <v>8503.5300000000007</v>
      </c>
      <c r="AY6" s="32">
        <v>3.5710000000000002</v>
      </c>
      <c r="AZ6" s="32">
        <v>22.192</v>
      </c>
      <c r="BB6" s="34">
        <f t="shared" si="0"/>
        <v>0.99989484730958866</v>
      </c>
      <c r="BC6" s="34">
        <f t="shared" si="1"/>
        <v>0.99969122231784946</v>
      </c>
      <c r="BD6" s="34">
        <f t="shared" si="1"/>
        <v>1</v>
      </c>
      <c r="BE6" s="33">
        <f>(AK6/AN6) - (N6/Q6)</f>
        <v>-9.1317040008948025E-5</v>
      </c>
      <c r="BF6" s="33">
        <f t="array" ref="BF6">AVERAGE(AK6:AK6/AN6:AN6) - AVERAGE(N6:N6/Q6:Q6)</f>
        <v>-9.1317040008948025E-5</v>
      </c>
      <c r="BH6" s="4">
        <f t="shared" ref="BH6:BH9" si="2">AN6-Q6</f>
        <v>-30248</v>
      </c>
    </row>
    <row r="7" spans="1:60" collapsed="1" x14ac:dyDescent="0.2">
      <c r="A7" s="15"/>
      <c r="B7" s="15" t="s">
        <v>278</v>
      </c>
      <c r="C7" s="15">
        <v>33947718</v>
      </c>
      <c r="D7" s="16">
        <v>10</v>
      </c>
      <c r="E7" s="16">
        <v>32</v>
      </c>
      <c r="F7" s="16">
        <v>30</v>
      </c>
      <c r="H7" s="23">
        <f>IF(ISBLANK(Q7),"·",Q7/(C7*D7*3))</f>
        <v>0.32314724267082301</v>
      </c>
      <c r="I7" s="17">
        <f>IF(OR(ISBLANK(Q7),ISBLANK(F7)),"·",Q7*F7/E7/1000000)</f>
        <v>308.53438499999999</v>
      </c>
      <c r="J7" s="18">
        <f>IF(ISBLANK(Q7),"·",Q7/C7)</f>
        <v>9.6944172801246911</v>
      </c>
      <c r="K7" s="18">
        <f>IF(N7="","·",N7/C7)</f>
        <v>1.5088319044007612</v>
      </c>
      <c r="L7" s="18">
        <f>IF(R7="","·",R7/C7)</f>
        <v>1.3947574325909036</v>
      </c>
      <c r="M7" s="18">
        <f>IF(ISBLANK(T7),"·",T7/C7)</f>
        <v>8.1855104369607403</v>
      </c>
      <c r="N7" s="15">
        <f>IF(OR(ISBLANK(R7),ISBLANK(S7)),"",R7+S7)</f>
        <v>51221400</v>
      </c>
      <c r="O7" s="18">
        <f>IF(ISBLANK(Q7),"·",Q7/P7)</f>
        <v>9.6944172801246911</v>
      </c>
      <c r="P7" s="19">
        <v>33947718</v>
      </c>
      <c r="Q7" s="20">
        <v>329103344</v>
      </c>
      <c r="R7" s="20">
        <v>47348832</v>
      </c>
      <c r="S7" s="20">
        <v>3872568</v>
      </c>
      <c r="T7" s="20">
        <v>277879400</v>
      </c>
      <c r="U7" s="21" t="s">
        <v>550</v>
      </c>
      <c r="V7" s="21" t="s">
        <v>550</v>
      </c>
      <c r="W7" s="21" t="s">
        <v>550</v>
      </c>
      <c r="X7" s="21" t="s">
        <v>550</v>
      </c>
      <c r="Y7" s="21" t="s">
        <v>550</v>
      </c>
      <c r="Z7" s="22">
        <v>4273.79</v>
      </c>
      <c r="AA7" s="22">
        <v>7902.32</v>
      </c>
      <c r="AB7" s="22">
        <v>3.3730000000000002</v>
      </c>
      <c r="AC7" s="22">
        <v>20.25</v>
      </c>
      <c r="AE7" s="23">
        <f>IF(ISBLANK(AN7),"·",AN7/(C7*D7*3))</f>
        <v>0.3221005900897374</v>
      </c>
      <c r="AF7" s="17">
        <f>IF(OR(ISBLANK(AN7),ISBLANK(F7)),"·",AN7*F7/E7/1000000)</f>
        <v>307.53506249999998</v>
      </c>
      <c r="AG7" s="18">
        <f>IF(ISBLANK(AN7),"·",AN7/C7)</f>
        <v>9.6630177026921213</v>
      </c>
      <c r="AH7" s="18">
        <f>IF(AK7="","·",AK7/C7)</f>
        <v>1.4801482679925644</v>
      </c>
      <c r="AI7" s="18">
        <f>IF(AO7="","·",AO7/C7)</f>
        <v>1.3663865123423025</v>
      </c>
      <c r="AJ7" s="18">
        <f>IF(ISBLANK(AQ7),"·",AQ7/C7)</f>
        <v>8.1827942602798807</v>
      </c>
      <c r="AK7" s="15">
        <f>IF(OR(ISBLANK(AO7),ISBLANK(AP7)),"",AO7+AP7)</f>
        <v>50247656</v>
      </c>
      <c r="AL7" s="18">
        <f>IF(ISBLANK(AN7),"·",AN7/AM7)</f>
        <v>9.6630177026921213</v>
      </c>
      <c r="AM7" s="19">
        <v>33947718</v>
      </c>
      <c r="AN7" s="20">
        <v>328037400</v>
      </c>
      <c r="AO7" s="20">
        <v>46385704</v>
      </c>
      <c r="AP7" s="20">
        <v>3861952</v>
      </c>
      <c r="AQ7" s="20">
        <v>277787192</v>
      </c>
      <c r="AR7" s="21" t="s">
        <v>550</v>
      </c>
      <c r="AS7" s="21" t="s">
        <v>550</v>
      </c>
      <c r="AT7" s="21" t="s">
        <v>550</v>
      </c>
      <c r="AU7" s="21" t="s">
        <v>550</v>
      </c>
      <c r="AV7" s="21" t="s">
        <v>550</v>
      </c>
      <c r="AW7" s="22">
        <v>5634.39</v>
      </c>
      <c r="AX7" s="22">
        <v>9553.2199999999993</v>
      </c>
      <c r="AY7" s="22">
        <v>5.319</v>
      </c>
      <c r="AZ7" s="22">
        <v>29.004000000000001</v>
      </c>
      <c r="BB7" s="24">
        <f t="shared" si="0"/>
        <v>0.99676106603158665</v>
      </c>
      <c r="BC7" s="24">
        <f t="shared" si="1"/>
        <v>0.97965888577779492</v>
      </c>
      <c r="BD7" s="24">
        <f t="shared" si="1"/>
        <v>0.99966817259573759</v>
      </c>
      <c r="BE7" s="23">
        <f>(AK7/AN7) - (N7/Q7)</f>
        <v>-2.4626498918425554E-3</v>
      </c>
      <c r="BF7" s="23">
        <f t="array" ref="BF7">AVERAGE(AK7:AK7/AN7:AN7) - AVERAGE(N7:N7/Q7:Q7)</f>
        <v>-2.4626498918425554E-3</v>
      </c>
      <c r="BH7" s="4">
        <f t="shared" si="2"/>
        <v>-1065944</v>
      </c>
    </row>
    <row r="8" spans="1:60" ht="16" collapsed="1" thickBot="1" x14ac:dyDescent="0.25">
      <c r="A8" s="45"/>
      <c r="B8" s="45" t="s">
        <v>281</v>
      </c>
      <c r="C8" s="45">
        <v>32209643</v>
      </c>
      <c r="D8" s="46">
        <v>10</v>
      </c>
      <c r="E8" s="46">
        <v>32</v>
      </c>
      <c r="F8" s="46">
        <v>50</v>
      </c>
      <c r="H8" s="53">
        <f>IF(ISBLANK(Q8),"·",Q8/(C8*D8*3))</f>
        <v>0.24301836978861682</v>
      </c>
      <c r="I8" s="47">
        <f>IF(OR(ISBLANK(Q8),ISBLANK(F8)),"·",Q8*F8/E8/1000000)</f>
        <v>366.91570000000002</v>
      </c>
      <c r="J8" s="48">
        <f>IF(ISBLANK(Q8),"·",Q8/C8)</f>
        <v>7.2905510936585047</v>
      </c>
      <c r="K8" s="48">
        <f>IF(N8="","·",N8/C8)</f>
        <v>0.93354502563098885</v>
      </c>
      <c r="L8" s="48">
        <f>IF(R8="","·",R8/C8)</f>
        <v>0.83203728771535901</v>
      </c>
      <c r="M8" s="48">
        <f>IF(ISBLANK(T8),"·",T8/C8)</f>
        <v>6.3569270854694047</v>
      </c>
      <c r="N8" s="45">
        <f>IF(OR(ISBLANK(R8),ISBLANK(S8)),"",R8+S8)</f>
        <v>30069152</v>
      </c>
      <c r="O8" s="48">
        <f>IF(ISBLANK(Q8),"·",Q8/P8)</f>
        <v>7.2905510936585047</v>
      </c>
      <c r="P8" s="49">
        <v>32209643</v>
      </c>
      <c r="Q8" s="50">
        <v>234826048</v>
      </c>
      <c r="R8" s="50">
        <v>26799624</v>
      </c>
      <c r="S8" s="50">
        <v>3269528</v>
      </c>
      <c r="T8" s="50">
        <v>204754352</v>
      </c>
      <c r="U8" s="51" t="s">
        <v>550</v>
      </c>
      <c r="V8" s="51" t="s">
        <v>550</v>
      </c>
      <c r="W8" s="51" t="s">
        <v>550</v>
      </c>
      <c r="X8" s="51" t="s">
        <v>550</v>
      </c>
      <c r="Y8" s="51" t="s">
        <v>550</v>
      </c>
      <c r="Z8" s="52">
        <v>3974.92</v>
      </c>
      <c r="AA8" s="52">
        <v>5172.21</v>
      </c>
      <c r="AB8" s="52">
        <v>2.6709999999999998</v>
      </c>
      <c r="AC8" s="52">
        <v>15.44</v>
      </c>
      <c r="AE8" s="53">
        <f>IF(ISBLANK(AN8),"·",AN8/(C8*D8*3))</f>
        <v>0.24176567661222861</v>
      </c>
      <c r="AF8" s="47">
        <f>IF(OR(ISBLANK(AN8),ISBLANK(F8)),"·",AN8*F8/E8/1000000)</f>
        <v>365.02435000000003</v>
      </c>
      <c r="AG8" s="48">
        <f>IF(ISBLANK(AN8),"·",AN8/C8)</f>
        <v>7.2529702983668587</v>
      </c>
      <c r="AH8" s="48">
        <f>IF(AK8="","·",AK8/C8)</f>
        <v>0.8959639819665185</v>
      </c>
      <c r="AI8" s="48">
        <f>IF(AO8="","·",AO8/C8)</f>
        <v>0.79506699282571991</v>
      </c>
      <c r="AJ8" s="48">
        <f>IF(ISBLANK(AQ8),"·",AQ8/C8)</f>
        <v>6.3569270854694047</v>
      </c>
      <c r="AK8" s="45">
        <f>IF(OR(ISBLANK(AO8),ISBLANK(AP8)),"",AO8+AP8)</f>
        <v>28858680</v>
      </c>
      <c r="AL8" s="48">
        <f>IF(ISBLANK(AN8),"·",AN8/AM8)</f>
        <v>7.2529702983668587</v>
      </c>
      <c r="AM8" s="49">
        <v>32209643</v>
      </c>
      <c r="AN8" s="50">
        <v>233615584</v>
      </c>
      <c r="AO8" s="50">
        <v>25608824</v>
      </c>
      <c r="AP8" s="50">
        <v>3249856</v>
      </c>
      <c r="AQ8" s="50">
        <v>204754352</v>
      </c>
      <c r="AR8" s="51" t="s">
        <v>550</v>
      </c>
      <c r="AS8" s="51" t="s">
        <v>550</v>
      </c>
      <c r="AT8" s="51" t="s">
        <v>550</v>
      </c>
      <c r="AU8" s="51" t="s">
        <v>550</v>
      </c>
      <c r="AV8" s="51" t="s">
        <v>550</v>
      </c>
      <c r="AW8" s="52">
        <v>5632.68</v>
      </c>
      <c r="AX8" s="52">
        <v>6366.49</v>
      </c>
      <c r="AY8" s="52">
        <v>3.698</v>
      </c>
      <c r="AZ8" s="52">
        <v>20.198</v>
      </c>
      <c r="BB8" s="54">
        <f t="shared" si="0"/>
        <v>0.99484527372363729</v>
      </c>
      <c r="BC8" s="54">
        <f t="shared" si="1"/>
        <v>0.95556654078430359</v>
      </c>
      <c r="BD8" s="54">
        <f t="shared" si="1"/>
        <v>1</v>
      </c>
      <c r="BE8" s="53">
        <f>(AK8/AN8) - (N8/Q8)</f>
        <v>-4.5179937656798508E-3</v>
      </c>
      <c r="BF8" s="53">
        <f t="array" ref="BF8">AVERAGE(AK8:AK8/AN8:AN8) - AVERAGE(N8:N8/Q8:Q8)</f>
        <v>-4.5179937656798508E-3</v>
      </c>
      <c r="BH8" s="4">
        <f t="shared" si="2"/>
        <v>-1210464</v>
      </c>
    </row>
    <row r="9" spans="1:60" ht="16" collapsed="1" thickBot="1" x14ac:dyDescent="0.25">
      <c r="A9" s="35" t="s">
        <v>285</v>
      </c>
      <c r="B9" s="35" t="s">
        <v>284</v>
      </c>
      <c r="C9" s="35">
        <v>25312408</v>
      </c>
      <c r="D9" s="36">
        <v>10</v>
      </c>
      <c r="E9" s="36">
        <v>32</v>
      </c>
      <c r="F9" s="36">
        <v>30</v>
      </c>
      <c r="H9" s="43">
        <f>IF(ISBLANK(Q9),"·",Q9/(C9*D9*3))</f>
        <v>0.49729023541866635</v>
      </c>
      <c r="I9" s="37">
        <f>IF(OR(ISBLANK(Q9),ISBLANK(F9)),"·",Q9*F9/E9/1000000)</f>
        <v>354.02662500000002</v>
      </c>
      <c r="J9" s="38">
        <f>IF(ISBLANK(Q9),"·",Q9/C9)</f>
        <v>14.91870706255999</v>
      </c>
      <c r="K9" s="38">
        <f>IF(N9="","·",N9/C9)</f>
        <v>1.5163203753668952</v>
      </c>
      <c r="L9" s="38">
        <f>IF(R9="","·",R9/C9)</f>
        <v>1.4099475640563315</v>
      </c>
      <c r="M9" s="38">
        <f>IF(ISBLANK(T9),"·",T9/C9)</f>
        <v>13.402286183124103</v>
      </c>
      <c r="N9" s="35">
        <f>IF(OR(ISBLANK(R9),ISBLANK(S9)),"",R9+S9)</f>
        <v>38381720</v>
      </c>
      <c r="O9" s="38">
        <f>IF(ISBLANK(Q9),"·",Q9/P9)</f>
        <v>14.91870706255999</v>
      </c>
      <c r="P9" s="39">
        <v>25312408</v>
      </c>
      <c r="Q9" s="40">
        <v>377628400</v>
      </c>
      <c r="R9" s="40">
        <v>35689168</v>
      </c>
      <c r="S9" s="40">
        <v>2692552</v>
      </c>
      <c r="T9" s="40">
        <v>339244136</v>
      </c>
      <c r="U9" s="41" t="s">
        <v>550</v>
      </c>
      <c r="V9" s="41" t="s">
        <v>550</v>
      </c>
      <c r="W9" s="41" t="s">
        <v>550</v>
      </c>
      <c r="X9" s="41" t="s">
        <v>550</v>
      </c>
      <c r="Y9" s="41" t="s">
        <v>550</v>
      </c>
      <c r="Z9" s="42">
        <v>3051.12</v>
      </c>
      <c r="AA9" s="42">
        <v>7664.12</v>
      </c>
      <c r="AB9" s="42">
        <v>2.4980000000000002</v>
      </c>
      <c r="AC9" s="42">
        <v>20.675999999999998</v>
      </c>
      <c r="AE9" s="43">
        <f>IF(ISBLANK(AN9),"·",AN9/(C9*D9*3))</f>
        <v>0.49783958391736838</v>
      </c>
      <c r="AF9" s="37">
        <f>IF(OR(ISBLANK(AN9),ISBLANK(F9)),"·",AN9*F9/E9/1000000)</f>
        <v>354.41771249999999</v>
      </c>
      <c r="AG9" s="38">
        <f>IF(ISBLANK(AN9),"·",AN9/C9)</f>
        <v>14.935187517521051</v>
      </c>
      <c r="AH9" s="38">
        <f>IF(AK9="","·",AK9/C9)</f>
        <v>1.5211278200003728</v>
      </c>
      <c r="AI9" s="38">
        <f>IF(AO9="","·",AO9/C9)</f>
        <v>1.4141346014966256</v>
      </c>
      <c r="AJ9" s="38">
        <f>IF(ISBLANK(AQ9),"·",AQ9/C9)</f>
        <v>13.413958877401154</v>
      </c>
      <c r="AK9" s="35">
        <f>IF(OR(ISBLANK(AO9),ISBLANK(AP9)),"",AO9+AP9)</f>
        <v>38503408</v>
      </c>
      <c r="AL9" s="38">
        <f>IF(ISBLANK(AN9),"·",AN9/AM9)</f>
        <v>14.935187517521051</v>
      </c>
      <c r="AM9" s="39">
        <v>25312408</v>
      </c>
      <c r="AN9" s="40">
        <v>378045560</v>
      </c>
      <c r="AO9" s="40">
        <v>35795152</v>
      </c>
      <c r="AP9" s="40">
        <v>2708256</v>
      </c>
      <c r="AQ9" s="40">
        <v>339539600</v>
      </c>
      <c r="AR9" s="41" t="s">
        <v>550</v>
      </c>
      <c r="AS9" s="41" t="s">
        <v>550</v>
      </c>
      <c r="AT9" s="41" t="s">
        <v>550</v>
      </c>
      <c r="AU9" s="41" t="s">
        <v>550</v>
      </c>
      <c r="AV9" s="41" t="s">
        <v>550</v>
      </c>
      <c r="AW9" s="42">
        <v>4455.53</v>
      </c>
      <c r="AX9" s="42">
        <v>9384.8799999999992</v>
      </c>
      <c r="AY9" s="42">
        <v>5.0919999999999996</v>
      </c>
      <c r="AZ9" s="42">
        <v>27.434999999999999</v>
      </c>
      <c r="BB9" s="44">
        <f t="shared" si="0"/>
        <v>1.0011046838638196</v>
      </c>
      <c r="BC9" s="44">
        <f t="shared" si="1"/>
        <v>1.0029696405363107</v>
      </c>
      <c r="BD9" s="44">
        <f t="shared" si="1"/>
        <v>1.0008709479948092</v>
      </c>
      <c r="BE9" s="43">
        <f>(AK9/AN9) - (N9/Q9)</f>
        <v>2.0973221653590446E-4</v>
      </c>
      <c r="BF9" s="43">
        <f t="array" ref="BF9">AVERAGE(AK9:AK9/AN9:AN9) - AVERAGE(N9:N9/Q9:Q9)</f>
        <v>2.0973221653590446E-4</v>
      </c>
      <c r="BH9" s="4">
        <f t="shared" si="2"/>
        <v>417160</v>
      </c>
    </row>
    <row r="10" spans="1:60" ht="16" x14ac:dyDescent="0.2">
      <c r="B10" s="55" t="s">
        <v>288</v>
      </c>
      <c r="J10" s="56">
        <f>AVERAGE(J5:J8)</f>
        <v>9.6232072179380648</v>
      </c>
      <c r="K10" s="56">
        <f>AVERAGE(K5:K8)</f>
        <v>1.3692965704201576</v>
      </c>
      <c r="L10" s="56">
        <f>AVERAGE(L5:L8)</f>
        <v>1.2576509644020075</v>
      </c>
      <c r="M10" s="56">
        <f>AVERAGE(M5:M8)</f>
        <v>8.2538186173146766</v>
      </c>
      <c r="AG10" s="56">
        <f>AVERAGE(AG5:AG8)</f>
        <v>9.6047953841139133</v>
      </c>
      <c r="AH10" s="56">
        <f>AVERAGE(AH5:AH8)</f>
        <v>1.3515634913630667</v>
      </c>
      <c r="AI10" s="56">
        <f>AVERAGE(AI5:AI8)</f>
        <v>1.240444970929552</v>
      </c>
      <c r="AJ10" s="56">
        <f>AVERAGE(AJ5:AJ8)</f>
        <v>8.2531395731444626</v>
      </c>
      <c r="BB10" s="5">
        <f t="shared" si="0"/>
        <v>0.99808672582776448</v>
      </c>
      <c r="BC10" s="5">
        <f t="shared" si="1"/>
        <v>0.98631894384095931</v>
      </c>
      <c r="BD10" s="5">
        <f t="shared" si="1"/>
        <v>0.99991772969558723</v>
      </c>
      <c r="BF10" s="8">
        <f>AVERAGE(BF5:BF8)</f>
        <v>-1.8479813953263535E-3</v>
      </c>
    </row>
    <row r="11" spans="1:60" ht="16" x14ac:dyDescent="0.2">
      <c r="B11" s="55" t="s">
        <v>289</v>
      </c>
      <c r="J11" s="56">
        <f>AVERAGE(J9:J9)</f>
        <v>14.91870706255999</v>
      </c>
      <c r="K11" s="56">
        <f>AVERAGE(K9:K9)</f>
        <v>1.5163203753668952</v>
      </c>
      <c r="L11" s="56">
        <f>AVERAGE(L9:L9)</f>
        <v>1.4099475640563315</v>
      </c>
      <c r="M11" s="56">
        <f>AVERAGE(M9:M9)</f>
        <v>13.402286183124103</v>
      </c>
      <c r="AG11" s="56">
        <f>AVERAGE(AG9:AG9)</f>
        <v>14.935187517521051</v>
      </c>
      <c r="AH11" s="56">
        <f>AVERAGE(AH9:AH9)</f>
        <v>1.5211278200003728</v>
      </c>
      <c r="AI11" s="56">
        <f>AVERAGE(AI9:AI9)</f>
        <v>1.4141346014966256</v>
      </c>
      <c r="AJ11" s="56">
        <f>AVERAGE(AJ9:AJ9)</f>
        <v>13.413958877401154</v>
      </c>
      <c r="BB11" s="5">
        <f t="shared" si="0"/>
        <v>1.0011046838638196</v>
      </c>
      <c r="BC11" s="5">
        <f t="shared" si="1"/>
        <v>1.0029696405363107</v>
      </c>
      <c r="BD11" s="5">
        <f t="shared" si="1"/>
        <v>1.0008709479948092</v>
      </c>
      <c r="BF11" s="8">
        <f>AVERAGE(BF9:BF9)</f>
        <v>2.0973221653590446E-4</v>
      </c>
    </row>
    <row r="12" spans="1:60" ht="16" x14ac:dyDescent="0.2">
      <c r="B12" s="55" t="s">
        <v>290</v>
      </c>
      <c r="J12" s="56">
        <f>AVERAGE(J5:J9)</f>
        <v>10.682307186862449</v>
      </c>
      <c r="K12" s="56">
        <f>AVERAGE(K5:K9)</f>
        <v>1.3987013314095051</v>
      </c>
      <c r="L12" s="56">
        <f>AVERAGE(L5:L9)</f>
        <v>1.2881102843328722</v>
      </c>
      <c r="M12" s="56">
        <f>AVERAGE(M5:M9)</f>
        <v>9.2835121304765629</v>
      </c>
      <c r="AG12" s="56">
        <f>AVERAGE(AG5:AG9)</f>
        <v>10.67087381079534</v>
      </c>
      <c r="AH12" s="56">
        <f>AVERAGE(AH5:AH9)</f>
        <v>1.385476357090528</v>
      </c>
      <c r="AI12" s="56">
        <f>AVERAGE(AI5:AI9)</f>
        <v>1.2751828970429666</v>
      </c>
      <c r="AJ12" s="56">
        <f>AVERAGE(AJ5:AJ9)</f>
        <v>9.2853034339958018</v>
      </c>
      <c r="BB12" s="5">
        <f t="shared" si="0"/>
        <v>0.99892969038737534</v>
      </c>
      <c r="BC12" s="5">
        <f t="shared" si="1"/>
        <v>0.98996406794733349</v>
      </c>
      <c r="BD12" s="5">
        <f t="shared" si="1"/>
        <v>1.0001929553701296</v>
      </c>
      <c r="BF12" s="8">
        <f>AVERAGE(BF5:BF9)</f>
        <v>-1.436438672953902E-3</v>
      </c>
    </row>
    <row r="13" spans="1:60" ht="16" hidden="1" outlineLevel="2" x14ac:dyDescent="0.2">
      <c r="A13" s="55" t="s">
        <v>291</v>
      </c>
      <c r="B13" s="55" t="s">
        <v>292</v>
      </c>
      <c r="Z13" s="57">
        <f>SUM(Z5:Z8,Z9:Z9)</f>
        <v>17376.07</v>
      </c>
      <c r="AA13" s="57">
        <f>SUM(AA5:AA8,AA9:AA9)</f>
        <v>33449.68</v>
      </c>
      <c r="AB13" s="57">
        <f>SUM(AB5:AB8,AB9:AB9)</f>
        <v>13.273</v>
      </c>
      <c r="AC13" s="57">
        <f>SUM(AC5:AC8,AC9:AC9)</f>
        <v>91.697000000000003</v>
      </c>
      <c r="AW13" s="57">
        <f>SUM(AW5:AW8,AW9:AW9)</f>
        <v>24209.45</v>
      </c>
      <c r="AX13" s="57">
        <f>SUM(AX5:AX8,AX9:AX9)</f>
        <v>40865.81</v>
      </c>
      <c r="AY13" s="57">
        <f>SUM(AY5:AY8,AY9:AY9)</f>
        <v>21.532999999999998</v>
      </c>
      <c r="AZ13" s="57">
        <f>SUM(AZ5:AZ8,AZ9:AZ9)</f>
        <v>120.274</v>
      </c>
    </row>
    <row r="14" spans="1:60" ht="16" hidden="1" outlineLevel="2" x14ac:dyDescent="0.2">
      <c r="B14" s="55" t="s">
        <v>293</v>
      </c>
      <c r="AW14" s="8">
        <f>AW13/Z13</f>
        <v>1.3932638392916235</v>
      </c>
      <c r="AX14" s="8">
        <f>AX13/AA13</f>
        <v>1.2217100432649879</v>
      </c>
      <c r="AY14" s="8">
        <f>AY13/AB13</f>
        <v>1.622315979808634</v>
      </c>
      <c r="AZ14" s="8">
        <f>AZ13/AC13</f>
        <v>1.311645964426317</v>
      </c>
    </row>
    <row r="15" spans="1:60" ht="16" hidden="1" outlineLevel="2" x14ac:dyDescent="0.2">
      <c r="B15" s="55" t="s">
        <v>294</v>
      </c>
      <c r="Z15" s="57">
        <f>GEOMEAN(Z5:Z8,Z9:Z9)</f>
        <v>3433.7511773184356</v>
      </c>
      <c r="AA15" s="57">
        <f>GEOMEAN(AA5:AA8,AA9:AA9)</f>
        <v>6601.1285108293368</v>
      </c>
      <c r="AB15" s="57">
        <f>GEOMEAN(AB5:AB8,AB9:AB9)</f>
        <v>2.630123532142</v>
      </c>
      <c r="AC15" s="57">
        <f>GEOMEAN(AC5:AC8,AC9:AC9)</f>
        <v>18.200829484813468</v>
      </c>
      <c r="AW15" s="57">
        <f>GEOMEAN(AW5:AW8,AW9:AW9)</f>
        <v>4797.9951402543365</v>
      </c>
      <c r="AX15" s="57">
        <f>GEOMEAN(AX5:AX8,AX9:AX9)</f>
        <v>8071.3852760092595</v>
      </c>
      <c r="AY15" s="57">
        <f>GEOMEAN(AY5:AY8,AY9:AY9)</f>
        <v>4.2447765192490348</v>
      </c>
      <c r="AZ15" s="57">
        <f>GEOMEAN(AZ5:AZ8,AZ9:AZ9)</f>
        <v>23.807771443880732</v>
      </c>
    </row>
    <row r="16" spans="1:60" ht="16" outlineLevel="2" collapsed="1" x14ac:dyDescent="0.2">
      <c r="B16" s="55" t="s">
        <v>295</v>
      </c>
      <c r="AW16" s="8">
        <f>AW15/Z15</f>
        <v>1.3973042577887946</v>
      </c>
      <c r="AX16" s="8">
        <f>AX15/AA15</f>
        <v>1.2227280930477153</v>
      </c>
      <c r="AY16" s="8">
        <f>AY15/AB15</f>
        <v>1.6139076615127825</v>
      </c>
      <c r="AZ16" s="8">
        <f>AZ15/AC15</f>
        <v>1.3080596938587674</v>
      </c>
    </row>
  </sheetData>
  <mergeCells count="34">
    <mergeCell ref="A2:A3"/>
    <mergeCell ref="B2:B3"/>
    <mergeCell ref="C2:C3"/>
    <mergeCell ref="D2:D3"/>
    <mergeCell ref="E2:E3"/>
    <mergeCell ref="F2:F3"/>
    <mergeCell ref="H2:H3"/>
    <mergeCell ref="I2:I3"/>
    <mergeCell ref="J2:M2"/>
    <mergeCell ref="N2:N3"/>
    <mergeCell ref="AE2:AE3"/>
    <mergeCell ref="AF2:AF3"/>
    <mergeCell ref="AG2:AJ2"/>
    <mergeCell ref="O2:O3"/>
    <mergeCell ref="P2:P3"/>
    <mergeCell ref="Q2:T2"/>
    <mergeCell ref="U2:V2"/>
    <mergeCell ref="W2:Y2"/>
    <mergeCell ref="H1:AD1"/>
    <mergeCell ref="BF2:BF3"/>
    <mergeCell ref="A1:F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</mergeCells>
  <conditionalFormatting sqref="BB10 BB11 BB12">
    <cfRule type="cellIs" dxfId="5" priority="3" operator="greaterThanOrEqual">
      <formula>1.03</formula>
    </cfRule>
    <cfRule type="cellIs" dxfId="4" priority="4" operator="lessThanOrEqual">
      <formula>0.97</formula>
    </cfRule>
  </conditionalFormatting>
  <conditionalFormatting sqref="BC10 BC11 BC12">
    <cfRule type="cellIs" dxfId="3" priority="5" operator="greaterThanOrEqual">
      <formula>1.03</formula>
    </cfRule>
    <cfRule type="cellIs" dxfId="2" priority="6" operator="lessThanOrEqual">
      <formula>0.97</formula>
    </cfRule>
  </conditionalFormatting>
  <conditionalFormatting sqref="BD10 BD11 BD12">
    <cfRule type="cellIs" dxfId="1" priority="1" operator="greaterThanOrEqual">
      <formula>1.03</formula>
    </cfRule>
    <cfRule type="cellIs" dxfId="0" priority="2" operator="lessThanOrEqual">
      <formula>0.97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Summary</vt:lpstr>
      <vt:lpstr>Graphs</vt:lpstr>
      <vt:lpstr>C2 lossyG,lossyA,intra</vt:lpstr>
      <vt:lpstr>names</vt:lpstr>
      <vt:lpstr>C2 lossyG,lossyA,interRA</vt:lpstr>
      <vt:lpstr>CW losslG,losslA,intra</vt:lpstr>
      <vt:lpstr>CW losslG,losslA,interLD</vt:lpstr>
      <vt:lpstr>Graphs!all_cols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N17523</dc:title>
  <dc:creator/>
  <cp:lastModifiedBy>Jungsun Kim</cp:lastModifiedBy>
  <dcterms:created xsi:type="dcterms:W3CDTF">2018-08-31T19:13:00Z</dcterms:created>
  <dcterms:modified xsi:type="dcterms:W3CDTF">2019-02-05T00:43:54Z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&lt;dflynn@blackberry.com&gt;</vt:lpwstr>
  </property>
  <property fmtid="{D5CDD505-2E9C-101B-9397-08002B2CF9AE}" pid="3" name="Generated on">
    <vt:filetime>2018-08-31T19:13:00Z</vt:filetime>
  </property>
</Properties>
</file>