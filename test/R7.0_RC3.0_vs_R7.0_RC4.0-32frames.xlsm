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1" defaultThemeVersion="124226"/>
  <mc:AlternateContent xmlns:mc="http://schemas.openxmlformats.org/markup-compatibility/2006">
    <mc:Choice Requires="x15">
      <x15ac:absPath xmlns:x15ac="http://schemas.microsoft.com/office/spreadsheetml/2010/11/ac" url="C:\Users\r.joshi\Desktop\Esmeail-encoder\"/>
    </mc:Choice>
  </mc:AlternateContent>
  <bookViews>
    <workbookView xWindow="240" yWindow="12" windowWidth="16092" windowHeight="9660"/>
  </bookViews>
  <sheets>
    <sheet name="Summary" sheetId="1" r:id="rId1"/>
    <sheet name="Graphs" sheetId="2" r:id="rId2"/>
    <sheet name="C2 lossyG,lossyA,intra" sheetId="3" r:id="rId3"/>
    <sheet name="names" sheetId="4" state="hidden" r:id="rId4"/>
    <sheet name="CW losslG,losslA,intra" sheetId="5" state="hidden" r:id="rId5"/>
    <sheet name="CW losslG,losslA,interLD" sheetId="6" state="hidden" r:id="rId6"/>
    <sheet name="C2 lossyG,lossyA,interRA" sheetId="7" r:id="rId7"/>
  </sheets>
  <functionGroups builtInGroupCount="18"/>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62913"/>
</workbook>
</file>

<file path=xl/calcChain.xml><?xml version="1.0" encoding="utf-8"?>
<calcChain xmlns="http://schemas.openxmlformats.org/spreadsheetml/2006/main">
  <c r="AG5" i="3" l="1"/>
  <c r="AH5" i="3"/>
  <c r="AJ5" i="3"/>
  <c r="AK5" i="3"/>
  <c r="AL5" i="3"/>
  <c r="AI5" i="3" s="1"/>
  <c r="AM5" i="3"/>
  <c r="AG6" i="3"/>
  <c r="AH6" i="3"/>
  <c r="AJ6" i="3"/>
  <c r="AK6" i="3"/>
  <c r="AL6" i="3"/>
  <c r="AI6" i="3" s="1"/>
  <c r="AM6" i="3"/>
  <c r="AG7" i="3"/>
  <c r="AH7" i="3"/>
  <c r="AJ7" i="3"/>
  <c r="AK7" i="3"/>
  <c r="AL7" i="3"/>
  <c r="AI7" i="3" s="1"/>
  <c r="AM7" i="3"/>
  <c r="AG8" i="3"/>
  <c r="AH8" i="3"/>
  <c r="AI8" i="3"/>
  <c r="AJ8" i="3"/>
  <c r="AK8" i="3"/>
  <c r="AL8" i="3"/>
  <c r="AM8" i="3"/>
  <c r="AG9" i="3"/>
  <c r="AH9" i="3"/>
  <c r="AJ9" i="3"/>
  <c r="AK9" i="3"/>
  <c r="AL9" i="3"/>
  <c r="AI9" i="3" s="1"/>
  <c r="AM9" i="3"/>
  <c r="AG10" i="3"/>
  <c r="AH10" i="3"/>
  <c r="AI10" i="3"/>
  <c r="AJ10" i="3"/>
  <c r="AK10" i="3"/>
  <c r="AL10" i="3"/>
  <c r="AM10" i="3"/>
  <c r="AG11" i="3"/>
  <c r="AH11" i="3"/>
  <c r="AJ11" i="3"/>
  <c r="AK11" i="3"/>
  <c r="AL11" i="3"/>
  <c r="AI11" i="3" s="1"/>
  <c r="AM11" i="3"/>
  <c r="AG12" i="3"/>
  <c r="AH12" i="3"/>
  <c r="AI12" i="3"/>
  <c r="AJ12" i="3"/>
  <c r="AK12" i="3"/>
  <c r="AL12" i="3"/>
  <c r="AM12" i="3"/>
  <c r="AG13" i="3"/>
  <c r="AH13" i="3"/>
  <c r="AJ13" i="3"/>
  <c r="AK13" i="3"/>
  <c r="AL13" i="3"/>
  <c r="AI13" i="3" s="1"/>
  <c r="AM13" i="3"/>
  <c r="AG14" i="3"/>
  <c r="AH14" i="3"/>
  <c r="AI14" i="3"/>
  <c r="AJ14" i="3"/>
  <c r="AK14" i="3"/>
  <c r="AL14" i="3"/>
  <c r="AM14" i="3"/>
  <c r="AG15" i="3"/>
  <c r="AH15" i="3"/>
  <c r="AJ15" i="3"/>
  <c r="AK15" i="3"/>
  <c r="AL15" i="3"/>
  <c r="AI15" i="3" s="1"/>
  <c r="AM15" i="3"/>
  <c r="AG16" i="3"/>
  <c r="AH16" i="3"/>
  <c r="AI16" i="3"/>
  <c r="AJ16" i="3"/>
  <c r="AK16" i="3"/>
  <c r="AL16" i="3"/>
  <c r="AM16" i="3"/>
  <c r="AG17" i="3"/>
  <c r="AH17" i="3"/>
  <c r="AJ17" i="3"/>
  <c r="AK17" i="3"/>
  <c r="AL17" i="3"/>
  <c r="AI17" i="3" s="1"/>
  <c r="AM17" i="3"/>
  <c r="AG18" i="3"/>
  <c r="AH18" i="3"/>
  <c r="AI18" i="3"/>
  <c r="AJ18" i="3"/>
  <c r="AK18" i="3"/>
  <c r="AL18" i="3"/>
  <c r="AM18" i="3"/>
  <c r="AG19" i="3"/>
  <c r="AH19" i="3"/>
  <c r="AJ19" i="3"/>
  <c r="AK19" i="3"/>
  <c r="AL19" i="3"/>
  <c r="AI19" i="3" s="1"/>
  <c r="AM19" i="3"/>
  <c r="AG20" i="3"/>
  <c r="AH20" i="3"/>
  <c r="AI20" i="3"/>
  <c r="AJ20" i="3"/>
  <c r="AK20" i="3"/>
  <c r="AL20" i="3"/>
  <c r="AM20" i="3"/>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l="1"/>
  <c r="BB46" i="7"/>
  <c r="BA46" i="7"/>
  <c r="AZ46" i="7"/>
  <c r="AE46" i="7"/>
  <c r="AD46" i="7"/>
  <c r="AC46" i="7"/>
  <c r="AB46" i="7"/>
  <c r="BC44" i="7"/>
  <c r="BB44" i="7"/>
  <c r="BA44" i="7"/>
  <c r="AZ44" i="7"/>
  <c r="AE44" i="7"/>
  <c r="AD44" i="7"/>
  <c r="BB45" i="7" s="1"/>
  <c r="AC44" i="7"/>
  <c r="AB44" i="7"/>
  <c r="BF39" i="7"/>
  <c r="AM39" i="7"/>
  <c r="AL39" i="7"/>
  <c r="AK39" i="7"/>
  <c r="AJ39" i="7"/>
  <c r="AH39" i="7"/>
  <c r="AG39" i="7"/>
  <c r="O39" i="7"/>
  <c r="N39" i="7"/>
  <c r="K39" i="7" s="1"/>
  <c r="M39" i="7"/>
  <c r="L39" i="7"/>
  <c r="J39" i="7"/>
  <c r="I39" i="7"/>
  <c r="BF38" i="7"/>
  <c r="AM38" i="7"/>
  <c r="AL38" i="7"/>
  <c r="AI38" i="7" s="1"/>
  <c r="AK38" i="7"/>
  <c r="AJ38" i="7"/>
  <c r="AH38" i="7"/>
  <c r="AG38" i="7"/>
  <c r="O38" i="7"/>
  <c r="N38" i="7"/>
  <c r="M38" i="7"/>
  <c r="L38" i="7"/>
  <c r="K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H30" i="7" a="1"/>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I24" i="7" s="1"/>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K22" i="7" s="1"/>
  <c r="M22" i="7"/>
  <c r="L22" i="7"/>
  <c r="J22" i="7"/>
  <c r="I22" i="7"/>
  <c r="BF21" i="7"/>
  <c r="AM21" i="7"/>
  <c r="AL21" i="7"/>
  <c r="AK21" i="7"/>
  <c r="AJ21" i="7"/>
  <c r="AH21" i="7"/>
  <c r="AG21" i="7"/>
  <c r="O21" i="7"/>
  <c r="N21" i="7"/>
  <c r="K21" i="7" s="1"/>
  <c r="M21" i="7"/>
  <c r="L21" i="7"/>
  <c r="J21" i="7"/>
  <c r="I21" i="7"/>
  <c r="BF20" i="7"/>
  <c r="AM20" i="7"/>
  <c r="AL20" i="7"/>
  <c r="AK20" i="7"/>
  <c r="AJ20" i="7"/>
  <c r="AH20" i="7"/>
  <c r="AG20" i="7"/>
  <c r="O20" i="7"/>
  <c r="N20" i="7"/>
  <c r="K20" i="7" s="1"/>
  <c r="M20" i="7"/>
  <c r="L20" i="7"/>
  <c r="J20" i="7"/>
  <c r="I20" i="7"/>
  <c r="BF19" i="7"/>
  <c r="AM19" i="7"/>
  <c r="AL19" i="7"/>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H15" i="7" a="1"/>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H10" i="7" a="1"/>
  <c r="BF10" i="7"/>
  <c r="AM10" i="7"/>
  <c r="AL10" i="7"/>
  <c r="AI10" i="7" s="1"/>
  <c r="AK10" i="7"/>
  <c r="AJ10" i="7"/>
  <c r="AH10" i="7"/>
  <c r="AG10" i="7"/>
  <c r="O10" i="7"/>
  <c r="N10" i="7"/>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AZ18" i="6"/>
  <c r="AY18" i="6"/>
  <c r="AX18" i="6"/>
  <c r="AW18" i="6"/>
  <c r="AC18" i="6"/>
  <c r="AB18" i="6"/>
  <c r="AA18" i="6"/>
  <c r="Z18" i="6"/>
  <c r="AZ16" i="6"/>
  <c r="AY16" i="6"/>
  <c r="AX16" i="6"/>
  <c r="AW16" i="6"/>
  <c r="AC16" i="6"/>
  <c r="AZ17" i="6" s="1"/>
  <c r="AB16" i="6"/>
  <c r="AA16" i="6"/>
  <c r="Z16" i="6"/>
  <c r="AL11" i="6"/>
  <c r="AK11" i="6"/>
  <c r="BG11" i="6" s="1" a="1"/>
  <c r="BG11" i="6" s="1"/>
  <c r="AJ11" i="6"/>
  <c r="BE11" i="6" s="1"/>
  <c r="AI11" i="6"/>
  <c r="AG11" i="6"/>
  <c r="AF11" i="6"/>
  <c r="AE11" i="6"/>
  <c r="O11" i="6"/>
  <c r="N11" i="6"/>
  <c r="K11" i="6" s="1"/>
  <c r="M11" i="6"/>
  <c r="L11" i="6"/>
  <c r="J11" i="6"/>
  <c r="I11" i="6"/>
  <c r="H11" i="6"/>
  <c r="AL10" i="6"/>
  <c r="AK10" i="6"/>
  <c r="AJ10" i="6"/>
  <c r="AI10" i="6"/>
  <c r="AH10" i="6"/>
  <c r="AG10" i="6"/>
  <c r="AF10" i="6"/>
  <c r="AE10" i="6"/>
  <c r="O10" i="6"/>
  <c r="N10" i="6"/>
  <c r="M10" i="6"/>
  <c r="L10" i="6"/>
  <c r="K10" i="6"/>
  <c r="J10" i="6"/>
  <c r="I10" i="6"/>
  <c r="H10" i="6"/>
  <c r="BG9" i="6" a="1"/>
  <c r="BG9" i="6" s="1"/>
  <c r="BG13" i="6" s="1"/>
  <c r="AL9" i="6"/>
  <c r="AK9" i="6"/>
  <c r="AJ9" i="6"/>
  <c r="AI9" i="6"/>
  <c r="AI13" i="6" s="1"/>
  <c r="AH9" i="6"/>
  <c r="AH13" i="6" s="1"/>
  <c r="AG9" i="6"/>
  <c r="AG13" i="6" s="1"/>
  <c r="AF9" i="6"/>
  <c r="AE9" i="6"/>
  <c r="O9" i="6"/>
  <c r="N9" i="6"/>
  <c r="BF9" i="6" s="1"/>
  <c r="M9" i="6"/>
  <c r="M13" i="6" s="1"/>
  <c r="L9" i="6"/>
  <c r="L13" i="6" s="1"/>
  <c r="BD13" i="6" s="1"/>
  <c r="J9" i="6"/>
  <c r="J13" i="6" s="1"/>
  <c r="I9" i="6"/>
  <c r="H9" i="6"/>
  <c r="AL8" i="6"/>
  <c r="AK8" i="6"/>
  <c r="AJ8" i="6"/>
  <c r="AI8" i="6"/>
  <c r="AG8" i="6"/>
  <c r="BB8" i="6" s="1"/>
  <c r="AF8" i="6"/>
  <c r="AE8" i="6"/>
  <c r="O8" i="6"/>
  <c r="N8" i="6"/>
  <c r="K8" i="6" s="1"/>
  <c r="M8" i="6"/>
  <c r="BE8" i="6" s="1"/>
  <c r="L8" i="6"/>
  <c r="J8" i="6"/>
  <c r="I8" i="6"/>
  <c r="H8" i="6"/>
  <c r="AL7" i="6"/>
  <c r="AK7" i="6"/>
  <c r="AJ7" i="6"/>
  <c r="AI7" i="6"/>
  <c r="AH7" i="6"/>
  <c r="AG7" i="6"/>
  <c r="AF7" i="6"/>
  <c r="AE7" i="6"/>
  <c r="O7" i="6"/>
  <c r="N7" i="6"/>
  <c r="M7" i="6"/>
  <c r="L7" i="6"/>
  <c r="K7" i="6"/>
  <c r="J7" i="6"/>
  <c r="I7" i="6"/>
  <c r="H7" i="6"/>
  <c r="AL6" i="6"/>
  <c r="AK6" i="6"/>
  <c r="AH6" i="6" s="1"/>
  <c r="AJ6" i="6"/>
  <c r="BE6" i="6" s="1"/>
  <c r="AI6" i="6"/>
  <c r="BD6" i="6" s="1"/>
  <c r="AG6" i="6"/>
  <c r="AF6" i="6"/>
  <c r="AE6" i="6"/>
  <c r="O6" i="6"/>
  <c r="N6" i="6"/>
  <c r="K6" i="6" s="1"/>
  <c r="M6" i="6"/>
  <c r="L6" i="6"/>
  <c r="J6" i="6"/>
  <c r="J12" i="6" s="1"/>
  <c r="I6" i="6"/>
  <c r="H6" i="6"/>
  <c r="BG5" i="6"/>
  <c r="BF5" i="6"/>
  <c r="AL5" i="6"/>
  <c r="AK5" i="6"/>
  <c r="BG5" i="6" s="1" a="1"/>
  <c r="AJ5" i="6"/>
  <c r="AJ12" i="6" s="1"/>
  <c r="AI5" i="6"/>
  <c r="AH5" i="6"/>
  <c r="AG5" i="6"/>
  <c r="AF5" i="6"/>
  <c r="AE5" i="6"/>
  <c r="O5" i="6"/>
  <c r="N5" i="6"/>
  <c r="M5" i="6"/>
  <c r="L5" i="6"/>
  <c r="K5" i="6"/>
  <c r="J5" i="6"/>
  <c r="I5" i="6"/>
  <c r="H5" i="6"/>
  <c r="AZ18" i="5"/>
  <c r="AY18" i="5"/>
  <c r="AX18" i="5"/>
  <c r="AW18" i="5"/>
  <c r="AC18" i="5"/>
  <c r="AZ19" i="5" s="1"/>
  <c r="AB18" i="5"/>
  <c r="AA18" i="5"/>
  <c r="Z18" i="5"/>
  <c r="AZ16" i="5"/>
  <c r="AY16" i="5"/>
  <c r="AX16" i="5"/>
  <c r="AW16" i="5"/>
  <c r="AC16" i="5"/>
  <c r="AB16" i="5"/>
  <c r="AA16" i="5"/>
  <c r="AX17" i="5" s="1"/>
  <c r="Z16" i="5"/>
  <c r="BG11" i="5" a="1"/>
  <c r="AL11" i="5"/>
  <c r="AK11" i="5"/>
  <c r="AJ11" i="5"/>
  <c r="AI11" i="5"/>
  <c r="AH11" i="5"/>
  <c r="AG11" i="5"/>
  <c r="AF11" i="5"/>
  <c r="AE11" i="5"/>
  <c r="O11" i="5"/>
  <c r="N11" i="5"/>
  <c r="K11" i="5" s="1"/>
  <c r="K14" i="5" s="1"/>
  <c r="M11" i="5"/>
  <c r="L11" i="5"/>
  <c r="J11" i="5"/>
  <c r="I11" i="5"/>
  <c r="H11" i="5"/>
  <c r="BG10" i="5" a="1"/>
  <c r="AL10" i="5"/>
  <c r="AK10" i="5"/>
  <c r="AJ10" i="5"/>
  <c r="AI10" i="5"/>
  <c r="AG10" i="5"/>
  <c r="AF10" i="5"/>
  <c r="AE10" i="5"/>
  <c r="O10" i="5"/>
  <c r="N10" i="5"/>
  <c r="K10" i="5" s="1"/>
  <c r="M10" i="5"/>
  <c r="M14" i="5" s="1"/>
  <c r="L10" i="5"/>
  <c r="J10" i="5"/>
  <c r="I10" i="5"/>
  <c r="H10" i="5"/>
  <c r="AL9" i="5"/>
  <c r="AK9" i="5"/>
  <c r="AJ9" i="5"/>
  <c r="AI9" i="5"/>
  <c r="AI13" i="5" s="1"/>
  <c r="AG9" i="5"/>
  <c r="AF9" i="5"/>
  <c r="AE9" i="5"/>
  <c r="O9" i="5"/>
  <c r="N9" i="5"/>
  <c r="K9" i="5" s="1"/>
  <c r="K13" i="5" s="1"/>
  <c r="M9" i="5"/>
  <c r="M13" i="5" s="1"/>
  <c r="L9" i="5"/>
  <c r="L13" i="5" s="1"/>
  <c r="J9" i="5"/>
  <c r="J13" i="5" s="1"/>
  <c r="I9" i="5"/>
  <c r="H9" i="5"/>
  <c r="BF8" i="5"/>
  <c r="BB8" i="5"/>
  <c r="AL8" i="5"/>
  <c r="AK8" i="5"/>
  <c r="BG8" i="5" s="1" a="1"/>
  <c r="AJ8" i="5"/>
  <c r="AI8" i="5"/>
  <c r="AH8" i="5"/>
  <c r="AG8" i="5"/>
  <c r="AF8" i="5"/>
  <c r="AE8" i="5"/>
  <c r="O8" i="5"/>
  <c r="N8" i="5"/>
  <c r="M8" i="5"/>
  <c r="L8" i="5"/>
  <c r="K8" i="5"/>
  <c r="J8" i="5"/>
  <c r="I8" i="5"/>
  <c r="H8" i="5"/>
  <c r="AL7" i="5"/>
  <c r="AK7" i="5"/>
  <c r="AJ7" i="5"/>
  <c r="AI7" i="5"/>
  <c r="AH7" i="5"/>
  <c r="AG7" i="5"/>
  <c r="AF7" i="5"/>
  <c r="AE7" i="5"/>
  <c r="O7" i="5"/>
  <c r="N7" i="5"/>
  <c r="M7" i="5"/>
  <c r="L7" i="5"/>
  <c r="K7" i="5"/>
  <c r="J7" i="5"/>
  <c r="I7" i="5"/>
  <c r="H7" i="5"/>
  <c r="BG6" i="5" a="1"/>
  <c r="AL6" i="5"/>
  <c r="AK6" i="5"/>
  <c r="AJ6" i="5"/>
  <c r="AI6" i="5"/>
  <c r="AH6" i="5"/>
  <c r="AG6" i="5"/>
  <c r="AF6" i="5"/>
  <c r="AE6" i="5"/>
  <c r="O6" i="5"/>
  <c r="N6" i="5"/>
  <c r="K6" i="5" s="1"/>
  <c r="M6" i="5"/>
  <c r="L6" i="5"/>
  <c r="J6" i="5"/>
  <c r="I6" i="5"/>
  <c r="H6" i="5"/>
  <c r="AL5" i="5"/>
  <c r="AK5" i="5"/>
  <c r="AJ5" i="5"/>
  <c r="AI5" i="5"/>
  <c r="AG5" i="5"/>
  <c r="AF5" i="5"/>
  <c r="AE5" i="5"/>
  <c r="O5" i="5"/>
  <c r="N5" i="5"/>
  <c r="K5" i="5" s="1"/>
  <c r="M5" i="5"/>
  <c r="L5" i="5"/>
  <c r="J5" i="5"/>
  <c r="I5" i="5"/>
  <c r="H5" i="5"/>
  <c r="BC46" i="3"/>
  <c r="BB46" i="3"/>
  <c r="BA46" i="3"/>
  <c r="AZ46" i="3"/>
  <c r="AE46" i="3"/>
  <c r="AD46" i="3"/>
  <c r="AC46" i="3"/>
  <c r="AB46" i="3"/>
  <c r="BC44" i="3"/>
  <c r="BB44" i="3"/>
  <c r="BA44" i="3"/>
  <c r="AZ44" i="3"/>
  <c r="AE44" i="3"/>
  <c r="AD44" i="3"/>
  <c r="AC44" i="3"/>
  <c r="AB44" i="3"/>
  <c r="BF39" i="3"/>
  <c r="AM39" i="3"/>
  <c r="AL39" i="3"/>
  <c r="AI39" i="3" s="1"/>
  <c r="AK39" i="3"/>
  <c r="AJ39" i="3"/>
  <c r="AH39" i="3"/>
  <c r="AG39" i="3"/>
  <c r="O39" i="3"/>
  <c r="N39" i="3"/>
  <c r="K39" i="3" s="1"/>
  <c r="M39" i="3"/>
  <c r="L39" i="3"/>
  <c r="J39" i="3"/>
  <c r="I39" i="3"/>
  <c r="BF38" i="3"/>
  <c r="AM38" i="3"/>
  <c r="AL38" i="3"/>
  <c r="AK38" i="3"/>
  <c r="AJ38" i="3"/>
  <c r="AI38" i="3"/>
  <c r="AH38" i="3"/>
  <c r="AG38" i="3"/>
  <c r="O38" i="3"/>
  <c r="N38" i="3"/>
  <c r="K38" i="3" s="1"/>
  <c r="M38" i="3"/>
  <c r="L38" i="3"/>
  <c r="J38" i="3"/>
  <c r="I38" i="3"/>
  <c r="BF37" i="3"/>
  <c r="AM37" i="3"/>
  <c r="AL37" i="3"/>
  <c r="AI37" i="3" s="1"/>
  <c r="AK37" i="3"/>
  <c r="AJ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M26" i="3"/>
  <c r="AL26" i="3"/>
  <c r="AI26" i="3" s="1"/>
  <c r="AK26" i="3"/>
  <c r="AJ26" i="3"/>
  <c r="AH26" i="3"/>
  <c r="AG26" i="3"/>
  <c r="O26" i="3"/>
  <c r="N26" i="3"/>
  <c r="K26" i="3" s="1"/>
  <c r="M26" i="3"/>
  <c r="L26" i="3"/>
  <c r="J26" i="3"/>
  <c r="I26" i="3"/>
  <c r="BF25" i="3"/>
  <c r="AM25" i="3"/>
  <c r="AL25" i="3"/>
  <c r="AI25" i="3" s="1"/>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I21" i="3" s="1"/>
  <c r="AK21" i="3"/>
  <c r="AJ21" i="3"/>
  <c r="AH21" i="3"/>
  <c r="AG21" i="3"/>
  <c r="O21" i="3"/>
  <c r="N21" i="3"/>
  <c r="K21" i="3" s="1"/>
  <c r="M21" i="3"/>
  <c r="L21" i="3"/>
  <c r="J21" i="3"/>
  <c r="I21" i="3"/>
  <c r="BF20" i="3"/>
  <c r="O20" i="3"/>
  <c r="N20" i="3"/>
  <c r="K20" i="3" s="1"/>
  <c r="M20" i="3"/>
  <c r="L20" i="3"/>
  <c r="J20" i="3"/>
  <c r="I20" i="3"/>
  <c r="BF19" i="3"/>
  <c r="O19" i="3"/>
  <c r="N19" i="3"/>
  <c r="K19" i="3" s="1"/>
  <c r="M19" i="3"/>
  <c r="L19" i="3"/>
  <c r="J19" i="3"/>
  <c r="I19" i="3"/>
  <c r="BF18" i="3"/>
  <c r="O18" i="3"/>
  <c r="N18" i="3"/>
  <c r="K18" i="3" s="1"/>
  <c r="M18" i="3"/>
  <c r="L18" i="3"/>
  <c r="J18" i="3"/>
  <c r="I18" i="3"/>
  <c r="BF17" i="3"/>
  <c r="O17" i="3"/>
  <c r="N17" i="3"/>
  <c r="K17" i="3" s="1"/>
  <c r="M17" i="3"/>
  <c r="L17" i="3"/>
  <c r="J17" i="3"/>
  <c r="I17" i="3"/>
  <c r="BF16" i="3"/>
  <c r="O16" i="3"/>
  <c r="N16" i="3"/>
  <c r="M16" i="3"/>
  <c r="L16" i="3"/>
  <c r="J16" i="3"/>
  <c r="I16" i="3"/>
  <c r="BF15" i="3"/>
  <c r="O15" i="3"/>
  <c r="N15" i="3"/>
  <c r="K15" i="3" s="1"/>
  <c r="M15" i="3"/>
  <c r="L15" i="3"/>
  <c r="J15" i="3"/>
  <c r="I15" i="3"/>
  <c r="BF14" i="3"/>
  <c r="O14" i="3"/>
  <c r="N14" i="3"/>
  <c r="K14" i="3" s="1"/>
  <c r="M14" i="3"/>
  <c r="L14" i="3"/>
  <c r="J14" i="3"/>
  <c r="I14" i="3"/>
  <c r="BF13" i="3"/>
  <c r="O13" i="3"/>
  <c r="N13" i="3"/>
  <c r="K13" i="3" s="1"/>
  <c r="M13" i="3"/>
  <c r="L13" i="3"/>
  <c r="J13" i="3"/>
  <c r="I13" i="3"/>
  <c r="BF12" i="3"/>
  <c r="O12" i="3"/>
  <c r="N12" i="3"/>
  <c r="K12" i="3" s="1"/>
  <c r="M12" i="3"/>
  <c r="L12" i="3"/>
  <c r="J12" i="3"/>
  <c r="I12" i="3"/>
  <c r="BF11" i="3"/>
  <c r="O11" i="3"/>
  <c r="N11" i="3"/>
  <c r="K11" i="3" s="1"/>
  <c r="M11" i="3"/>
  <c r="L11" i="3"/>
  <c r="J11" i="3"/>
  <c r="I11" i="3"/>
  <c r="BF10" i="3"/>
  <c r="O10" i="3"/>
  <c r="N10" i="3"/>
  <c r="K10" i="3" s="1"/>
  <c r="M10" i="3"/>
  <c r="L10" i="3"/>
  <c r="J10" i="3"/>
  <c r="I10" i="3"/>
  <c r="BF9" i="3"/>
  <c r="O9" i="3"/>
  <c r="N9" i="3"/>
  <c r="K9" i="3" s="1"/>
  <c r="M9" i="3"/>
  <c r="L9" i="3"/>
  <c r="J9" i="3"/>
  <c r="I9" i="3"/>
  <c r="BF8" i="3"/>
  <c r="O8" i="3"/>
  <c r="N8" i="3"/>
  <c r="K8" i="3" s="1"/>
  <c r="M8" i="3"/>
  <c r="L8" i="3"/>
  <c r="J8" i="3"/>
  <c r="I8" i="3"/>
  <c r="BF7" i="3"/>
  <c r="O7" i="3"/>
  <c r="N7" i="3"/>
  <c r="K7" i="3" s="1"/>
  <c r="M7" i="3"/>
  <c r="L7" i="3"/>
  <c r="J7" i="3"/>
  <c r="I7" i="3"/>
  <c r="BF6" i="3"/>
  <c r="O6" i="3"/>
  <c r="N6" i="3"/>
  <c r="K6" i="3" s="1"/>
  <c r="M6" i="3"/>
  <c r="L6" i="3"/>
  <c r="J6" i="3"/>
  <c r="I6" i="3"/>
  <c r="BH5" i="3" a="1"/>
  <c r="BF5" i="3"/>
  <c r="O5" i="3"/>
  <c r="N5" i="3"/>
  <c r="K5" i="3" s="1"/>
  <c r="M5" i="3"/>
  <c r="L5" i="3"/>
  <c r="J5" i="3"/>
  <c r="I5" i="3"/>
  <c r="B1" i="2"/>
  <c r="B2" i="2" s="1"/>
  <c r="BM25" i="7"/>
  <c r="BL10" i="3"/>
  <c r="BR5" i="7"/>
  <c r="BM35" i="3"/>
  <c r="BM10" i="3"/>
  <c r="BP10" i="7"/>
  <c r="BR10" i="3"/>
  <c r="BQ5" i="7"/>
  <c r="BT35" i="3"/>
  <c r="BR35" i="7"/>
  <c r="BT20" i="3"/>
  <c r="BT35" i="7"/>
  <c r="BK10" i="7"/>
  <c r="BK25" i="3"/>
  <c r="BN30" i="7"/>
  <c r="BL15" i="3"/>
  <c r="BQ15" i="7"/>
  <c r="BT15" i="7"/>
  <c r="BM25" i="3"/>
  <c r="BN15" i="7"/>
  <c r="BN25" i="3"/>
  <c r="BQ15" i="3"/>
  <c r="BP15" i="7"/>
  <c r="BR10" i="7"/>
  <c r="BJ25" i="7"/>
  <c r="BM5" i="3"/>
  <c r="BL35" i="3"/>
  <c r="BL30" i="3"/>
  <c r="BL25" i="7"/>
  <c r="BQ35" i="7"/>
  <c r="BM15" i="7"/>
  <c r="BM35" i="7"/>
  <c r="BP20" i="3"/>
  <c r="BL15" i="7"/>
  <c r="BN10" i="7"/>
  <c r="BN10" i="3"/>
  <c r="BT20" i="7"/>
  <c r="BT15" i="3"/>
  <c r="BN35" i="7"/>
  <c r="BS20" i="7"/>
  <c r="BP20" i="7"/>
  <c r="BS35" i="3"/>
  <c r="BR15" i="3"/>
  <c r="BT30" i="3"/>
  <c r="BR35" i="3"/>
  <c r="BT5" i="3"/>
  <c r="BS20" i="3"/>
  <c r="BN20" i="7"/>
  <c r="BP25" i="7"/>
  <c r="BR25" i="3"/>
  <c r="BT5" i="7"/>
  <c r="BR5" i="3"/>
  <c r="BQ10" i="7"/>
  <c r="BN35" i="3"/>
  <c r="BN15" i="3"/>
  <c r="BR25" i="7"/>
  <c r="BM20" i="3"/>
  <c r="BP25" i="3"/>
  <c r="BP30" i="7"/>
  <c r="BL35" i="7"/>
  <c r="BS25" i="3"/>
  <c r="BS30" i="7"/>
  <c r="BN30" i="3"/>
  <c r="BN5" i="3"/>
  <c r="BQ30" i="7"/>
  <c r="BM5" i="7"/>
  <c r="BN20" i="3"/>
  <c r="BS5" i="3"/>
  <c r="BS5" i="7"/>
  <c r="BL25" i="3"/>
  <c r="BP35" i="3"/>
  <c r="BQ20" i="7"/>
  <c r="BT10" i="3"/>
  <c r="BN25" i="7"/>
  <c r="BT30" i="7"/>
  <c r="BM10" i="7"/>
  <c r="BP10" i="3"/>
  <c r="BM15" i="3"/>
  <c r="BS10" i="7"/>
  <c r="BR15" i="7"/>
  <c r="BR20" i="3"/>
  <c r="BQ5" i="3"/>
  <c r="BQ30" i="3"/>
  <c r="BL10" i="7"/>
  <c r="BS35" i="7"/>
  <c r="BR30" i="3"/>
  <c r="BL20" i="7"/>
  <c r="BT25" i="3"/>
  <c r="BP30" i="3"/>
  <c r="BT10" i="7"/>
  <c r="BS15" i="3"/>
  <c r="BM30" i="7"/>
  <c r="BS10" i="3"/>
  <c r="BQ10" i="3"/>
  <c r="BP5" i="7"/>
  <c r="BJ15" i="3"/>
  <c r="BR30" i="7"/>
  <c r="BP15" i="3"/>
  <c r="BM30" i="3"/>
  <c r="BN5" i="7"/>
  <c r="BS25" i="7"/>
  <c r="BP35" i="7"/>
  <c r="BL20" i="3"/>
  <c r="BS15" i="7"/>
  <c r="BS30" i="3"/>
  <c r="BQ25" i="3"/>
  <c r="BM20" i="7"/>
  <c r="BP5" i="3"/>
  <c r="BR20" i="7"/>
  <c r="BQ35" i="3"/>
  <c r="BL5" i="7"/>
  <c r="BQ25" i="7"/>
  <c r="BT25" i="7"/>
  <c r="BL30" i="7"/>
  <c r="BQ20" i="3"/>
  <c r="BL5" i="3"/>
  <c r="BG32" i="7" l="1"/>
  <c r="BG19" i="7"/>
  <c r="BG34" i="3"/>
  <c r="BG39" i="7"/>
  <c r="BG12" i="7"/>
  <c r="BG27" i="7"/>
  <c r="BG20" i="3"/>
  <c r="BE28" i="7"/>
  <c r="AK41" i="7"/>
  <c r="BG7" i="7"/>
  <c r="BG21" i="7"/>
  <c r="BG24" i="7"/>
  <c r="BG16" i="3"/>
  <c r="BB47" i="3"/>
  <c r="C14" i="1" s="1"/>
  <c r="BE18" i="3"/>
  <c r="AI34" i="3"/>
  <c r="AI32" i="7"/>
  <c r="BE6" i="7"/>
  <c r="AI7" i="7"/>
  <c r="BE7" i="7" s="1"/>
  <c r="AI12" i="7"/>
  <c r="BE12" i="7" s="1"/>
  <c r="AI27" i="7"/>
  <c r="AI21" i="7"/>
  <c r="BE21" i="7" s="1"/>
  <c r="BG25" i="3"/>
  <c r="BQ41" i="7"/>
  <c r="I44" i="1" s="1"/>
  <c r="BM41" i="7"/>
  <c r="F44" i="1" s="1"/>
  <c r="BR41" i="7"/>
  <c r="J44" i="1" s="1"/>
  <c r="BQ42" i="7"/>
  <c r="I45" i="1" s="1"/>
  <c r="BL41" i="7"/>
  <c r="E44" i="1" s="1"/>
  <c r="BJ41" i="7"/>
  <c r="C44" i="1" s="1"/>
  <c r="BN41" i="7"/>
  <c r="G44" i="1" s="1"/>
  <c r="BS41" i="7"/>
  <c r="K44" i="1" s="1"/>
  <c r="BP41" i="7"/>
  <c r="H44" i="1" s="1"/>
  <c r="BT41" i="7"/>
  <c r="L44" i="1" s="1"/>
  <c r="BG16" i="7"/>
  <c r="AI19" i="7"/>
  <c r="BG22" i="7"/>
  <c r="BG8" i="7"/>
  <c r="BE14" i="7"/>
  <c r="BE36" i="7"/>
  <c r="AI39" i="7"/>
  <c r="BE39" i="7" s="1"/>
  <c r="BG30" i="3"/>
  <c r="BE13" i="3"/>
  <c r="BE21" i="3"/>
  <c r="BG21" i="3"/>
  <c r="BG10" i="3"/>
  <c r="BG13" i="3"/>
  <c r="K16" i="3"/>
  <c r="K40" i="3" s="1"/>
  <c r="L41" i="3"/>
  <c r="BK41" i="3"/>
  <c r="D10" i="1" s="1"/>
  <c r="BM41" i="3"/>
  <c r="F10" i="1" s="1"/>
  <c r="BR41" i="3"/>
  <c r="J10" i="1" s="1"/>
  <c r="BM42" i="3"/>
  <c r="F11" i="1" s="1"/>
  <c r="BR42" i="3"/>
  <c r="J11" i="1" s="1"/>
  <c r="BS41" i="3"/>
  <c r="K10" i="1" s="1"/>
  <c r="BP41" i="3"/>
  <c r="H10" i="1" s="1"/>
  <c r="BT41" i="3"/>
  <c r="L10" i="1" s="1"/>
  <c r="BN41" i="3"/>
  <c r="G10" i="1" s="1"/>
  <c r="BN40" i="3"/>
  <c r="G9" i="1" s="1"/>
  <c r="BL41" i="3"/>
  <c r="E10" i="1" s="1"/>
  <c r="BQ41" i="3"/>
  <c r="I10" i="1" s="1"/>
  <c r="BL42" i="3"/>
  <c r="E11" i="1" s="1"/>
  <c r="BQ42" i="3"/>
  <c r="I11" i="1" s="1"/>
  <c r="BE9" i="3"/>
  <c r="BG19" i="3"/>
  <c r="BE6" i="3"/>
  <c r="BE10" i="3"/>
  <c r="BE14" i="3"/>
  <c r="BE17" i="3"/>
  <c r="BG24" i="3"/>
  <c r="BS40" i="7"/>
  <c r="K43" i="1" s="1"/>
  <c r="BP40" i="3"/>
  <c r="H9" i="1" s="1"/>
  <c r="BA45" i="7"/>
  <c r="AZ47" i="7"/>
  <c r="C47" i="1" s="1"/>
  <c r="BH10" i="7"/>
  <c r="BE22" i="7"/>
  <c r="K16" i="7"/>
  <c r="BE16" i="7" s="1"/>
  <c r="K30" i="7"/>
  <c r="BH30" i="7"/>
  <c r="BC45" i="7"/>
  <c r="BB47" i="7"/>
  <c r="C48" i="1" s="1"/>
  <c r="K8" i="7"/>
  <c r="K10" i="7"/>
  <c r="BE10" i="7" s="1"/>
  <c r="BH15" i="7"/>
  <c r="L41" i="7"/>
  <c r="AZ45" i="7"/>
  <c r="BC47" i="7"/>
  <c r="BE36" i="3"/>
  <c r="BE12" i="3"/>
  <c r="BE24" i="3"/>
  <c r="BG27" i="3"/>
  <c r="BG39" i="3"/>
  <c r="BC47" i="3"/>
  <c r="BH5" i="3"/>
  <c r="M40" i="3"/>
  <c r="BG5" i="3"/>
  <c r="BG9" i="3"/>
  <c r="BE22" i="3"/>
  <c r="AZ45" i="3"/>
  <c r="AZ47" i="3"/>
  <c r="C13" i="1" s="1"/>
  <c r="BG6" i="3"/>
  <c r="BG14" i="3"/>
  <c r="BG18" i="3"/>
  <c r="BE28" i="3"/>
  <c r="BN42" i="3"/>
  <c r="G11" i="1" s="1"/>
  <c r="BS42" i="3"/>
  <c r="K11" i="1" s="1"/>
  <c r="BG37" i="3"/>
  <c r="BA45" i="3"/>
  <c r="BA47" i="3"/>
  <c r="BD7" i="6"/>
  <c r="L15" i="6"/>
  <c r="AY17" i="6"/>
  <c r="J15" i="6"/>
  <c r="BB5" i="6"/>
  <c r="BF7" i="6"/>
  <c r="BD8" i="6"/>
  <c r="K9" i="6"/>
  <c r="K13" i="6" s="1"/>
  <c r="AY19" i="6"/>
  <c r="C36" i="1" s="1"/>
  <c r="AX17" i="6"/>
  <c r="AW19" i="6"/>
  <c r="C35" i="1" s="1"/>
  <c r="BB13" i="6"/>
  <c r="E32" i="1" s="1"/>
  <c r="BC7" i="6"/>
  <c r="AW17" i="6"/>
  <c r="BE7" i="5"/>
  <c r="BD5" i="5"/>
  <c r="BD6" i="5"/>
  <c r="BG6" i="5"/>
  <c r="BC8" i="5"/>
  <c r="BF11" i="5"/>
  <c r="AY17" i="5"/>
  <c r="BD13" i="5"/>
  <c r="BG11" i="5"/>
  <c r="AY19" i="5"/>
  <c r="C24" i="1" s="1"/>
  <c r="BB11" i="5"/>
  <c r="AW17" i="5"/>
  <c r="BG8" i="5"/>
  <c r="J14" i="5"/>
  <c r="BD10" i="5"/>
  <c r="BG10" i="5"/>
  <c r="BG14" i="5" s="1"/>
  <c r="AW19" i="5"/>
  <c r="C23" i="1" s="1"/>
  <c r="M14" i="6"/>
  <c r="BB11" i="6"/>
  <c r="BD10" i="6"/>
  <c r="BE11" i="5"/>
  <c r="L14" i="5"/>
  <c r="AK42" i="7"/>
  <c r="J42" i="7"/>
  <c r="BE34" i="7"/>
  <c r="K14" i="6"/>
  <c r="BC6" i="6"/>
  <c r="BB9" i="6"/>
  <c r="L14" i="6"/>
  <c r="BB7" i="6"/>
  <c r="BD9" i="5"/>
  <c r="M15" i="5"/>
  <c r="BE6" i="5"/>
  <c r="BB5" i="5"/>
  <c r="BD7" i="5"/>
  <c r="BE19" i="7"/>
  <c r="AH41" i="7"/>
  <c r="BE27" i="7"/>
  <c r="L42" i="7"/>
  <c r="M42" i="7"/>
  <c r="AH42" i="7"/>
  <c r="AH43" i="7"/>
  <c r="AJ43" i="7"/>
  <c r="BE26" i="7"/>
  <c r="AJ42" i="7"/>
  <c r="L42" i="3"/>
  <c r="BE37" i="3"/>
  <c r="AJ42" i="3"/>
  <c r="M42" i="3"/>
  <c r="AH42" i="3"/>
  <c r="BE32" i="3"/>
  <c r="AK42" i="3"/>
  <c r="BE8"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BE11" i="3"/>
  <c r="BE26" i="3"/>
  <c r="BE29" i="3"/>
  <c r="BH35" i="3" a="1"/>
  <c r="BH35" i="3" s="1"/>
  <c r="AI35" i="3"/>
  <c r="BE35" i="3" s="1"/>
  <c r="BG35" i="3"/>
  <c r="AH5" i="5"/>
  <c r="BF5" i="5"/>
  <c r="AG13" i="5"/>
  <c r="BB13" i="5" s="1"/>
  <c r="E20" i="1" s="1"/>
  <c r="BB9" i="5"/>
  <c r="K12" i="6"/>
  <c r="AH12" i="6"/>
  <c r="BC12" i="6" s="1"/>
  <c r="C31" i="1" s="1"/>
  <c r="BC5" i="6"/>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G22" i="3"/>
  <c r="AJ41" i="3"/>
  <c r="BH30" i="3" a="1"/>
  <c r="BH30" i="3" s="1"/>
  <c r="BT42" i="3"/>
  <c r="L11" i="1" s="1"/>
  <c r="BG31" i="3"/>
  <c r="BG38" i="3"/>
  <c r="L43" i="3"/>
  <c r="BB45" i="3"/>
  <c r="J15" i="5"/>
  <c r="J12" i="5"/>
  <c r="BB7" i="5"/>
  <c r="AG12" i="5"/>
  <c r="BG7" i="5" a="1"/>
  <c r="BG7" i="5" s="1"/>
  <c r="BF7" i="5"/>
  <c r="BE8" i="5"/>
  <c r="BC11" i="5"/>
  <c r="BE9" i="6"/>
  <c r="AJ13" i="6"/>
  <c r="BE13" i="6" s="1"/>
  <c r="D32" i="1" s="1"/>
  <c r="BE10" i="6"/>
  <c r="AJ14" i="6"/>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45" i="3"/>
  <c r="BC7" i="5"/>
  <c r="AI14" i="5"/>
  <c r="BD14" i="5" s="1"/>
  <c r="BD11" i="5"/>
  <c r="AI15" i="5"/>
  <c r="M12" i="5"/>
  <c r="AG15" i="5"/>
  <c r="BF11" i="6"/>
  <c r="AH11" i="6"/>
  <c r="BE12" i="6"/>
  <c r="D31" i="1" s="1"/>
  <c r="BR43" i="7"/>
  <c r="J46" i="1" s="1"/>
  <c r="BP43" i="3"/>
  <c r="H12" i="1" s="1"/>
  <c r="BH10" i="3" a="1"/>
  <c r="BH10" i="3" s="1"/>
  <c r="BE20" i="3"/>
  <c r="BH20" i="3" a="1"/>
  <c r="BH20" i="3" s="1"/>
  <c r="BG23" i="3"/>
  <c r="AH41" i="3"/>
  <c r="AI27" i="3"/>
  <c r="BE27" i="3" s="1"/>
  <c r="BG29" i="3"/>
  <c r="J42" i="3"/>
  <c r="AK40" i="3"/>
  <c r="L12" i="5"/>
  <c r="L15" i="5"/>
  <c r="AJ15" i="5"/>
  <c r="BE15" i="5" s="1"/>
  <c r="D22" i="1" s="1"/>
  <c r="BE5" i="5"/>
  <c r="AJ12" i="5"/>
  <c r="BE12" i="5" s="1"/>
  <c r="D19" i="1" s="1"/>
  <c r="BG5" i="5" a="1"/>
  <c r="BG5" i="5" s="1"/>
  <c r="BC6" i="5"/>
  <c r="AH9" i="5"/>
  <c r="BG9" i="5" a="1"/>
  <c r="BG9" i="5" s="1"/>
  <c r="BG13" i="5" s="1"/>
  <c r="BF9" i="5"/>
  <c r="BG15" i="6"/>
  <c r="BG12" i="6"/>
  <c r="AJ41" i="7"/>
  <c r="BE8" i="7"/>
  <c r="K35" i="7"/>
  <c r="BH35" i="7" a="1"/>
  <c r="BH35" i="7" s="1"/>
  <c r="J43" i="3"/>
  <c r="J40" i="3"/>
  <c r="BL43" i="3"/>
  <c r="E12" i="1" s="1"/>
  <c r="BL40" i="3"/>
  <c r="E9" i="1" s="1"/>
  <c r="BQ43" i="3"/>
  <c r="I12" i="1" s="1"/>
  <c r="BQ40" i="3"/>
  <c r="I9" i="1" s="1"/>
  <c r="BH15" i="3" a="1"/>
  <c r="BH15" i="3" s="1"/>
  <c r="BE19" i="3"/>
  <c r="K41" i="3"/>
  <c r="BE25" i="3"/>
  <c r="BG28" i="3"/>
  <c r="BG33" i="3"/>
  <c r="BE34" i="3"/>
  <c r="AJ14" i="5"/>
  <c r="BE14" i="5" s="1"/>
  <c r="D21" i="1" s="1"/>
  <c r="BE10" i="5"/>
  <c r="AZ17" i="5"/>
  <c r="BB6" i="6"/>
  <c r="AH8" i="6"/>
  <c r="BC8" i="6" s="1"/>
  <c r="BG8" i="6" a="1"/>
  <c r="BG8" i="6" s="1"/>
  <c r="AX19" i="6"/>
  <c r="J43" i="7"/>
  <c r="BG9" i="7"/>
  <c r="AI9" i="7"/>
  <c r="BE9" i="7" s="1"/>
  <c r="BE11" i="7"/>
  <c r="K13" i="7"/>
  <c r="BE13" i="7" s="1"/>
  <c r="BG13" i="7"/>
  <c r="AI20" i="7"/>
  <c r="BE20" i="7" s="1"/>
  <c r="BH20" i="7" a="1"/>
  <c r="BH20" i="7" s="1"/>
  <c r="AJ40" i="7"/>
  <c r="BE35" i="7"/>
  <c r="AH43" i="3"/>
  <c r="AH40" i="3"/>
  <c r="BG15" i="3"/>
  <c r="BG17" i="3"/>
  <c r="J41" i="3"/>
  <c r="BH25" i="3" a="1"/>
  <c r="BH25" i="3" s="1"/>
  <c r="BH41" i="3" s="1"/>
  <c r="BG32" i="3"/>
  <c r="BE39" i="3"/>
  <c r="AX19" i="5"/>
  <c r="BE7" i="6"/>
  <c r="BF8" i="6"/>
  <c r="K5" i="7"/>
  <c r="BE5" i="7" s="1"/>
  <c r="BG5" i="7"/>
  <c r="J40" i="7"/>
  <c r="BG20" i="7"/>
  <c r="BE23" i="7"/>
  <c r="K25" i="7"/>
  <c r="K41" i="7" s="1"/>
  <c r="BG25" i="7"/>
  <c r="AI41" i="7"/>
  <c r="BG36" i="3"/>
  <c r="K15" i="5"/>
  <c r="AG14" i="5"/>
  <c r="BB14" i="5" s="1"/>
  <c r="E21" i="1" s="1"/>
  <c r="BB10" i="5"/>
  <c r="BF10" i="5"/>
  <c r="M15" i="6"/>
  <c r="M12" i="6"/>
  <c r="AJ15" i="6"/>
  <c r="BF6" i="6"/>
  <c r="BC13" i="6"/>
  <c r="C32" i="1" s="1"/>
  <c r="BC10" i="6"/>
  <c r="AZ19" i="6"/>
  <c r="L43" i="7"/>
  <c r="AK43" i="7"/>
  <c r="AK40" i="7"/>
  <c r="BN40" i="7"/>
  <c r="G43" i="1" s="1"/>
  <c r="BS43" i="7"/>
  <c r="K46" i="1" s="1"/>
  <c r="BG14" i="7"/>
  <c r="BE18" i="7"/>
  <c r="J41" i="7"/>
  <c r="BG28" i="7"/>
  <c r="BE30" i="7"/>
  <c r="BG36" i="7"/>
  <c r="AI12" i="5"/>
  <c r="BB6" i="5"/>
  <c r="BF6" i="5"/>
  <c r="BD8" i="5"/>
  <c r="BE9" i="5"/>
  <c r="AJ13" i="5"/>
  <c r="BE13" i="5" s="1"/>
  <c r="D20" i="1" s="1"/>
  <c r="AH10" i="5"/>
  <c r="K12" i="5"/>
  <c r="BE5" i="6"/>
  <c r="AG15" i="6"/>
  <c r="BG6" i="6" a="1"/>
  <c r="BG6" i="6" s="1"/>
  <c r="AI14" i="6"/>
  <c r="BD14" i="6" s="1"/>
  <c r="BD11" i="6"/>
  <c r="AG12" i="6"/>
  <c r="BB12" i="6" s="1"/>
  <c r="E31" i="1" s="1"/>
  <c r="AH40" i="7"/>
  <c r="K15" i="7"/>
  <c r="BE15" i="7" s="1"/>
  <c r="BE24" i="7"/>
  <c r="BN42" i="7"/>
  <c r="G45" i="1" s="1"/>
  <c r="BE32" i="7"/>
  <c r="BG34" i="7"/>
  <c r="BE38" i="7"/>
  <c r="L40" i="7"/>
  <c r="BN43" i="7"/>
  <c r="G46" i="1" s="1"/>
  <c r="L12" i="6"/>
  <c r="AI12" i="6"/>
  <c r="BD12" i="6" s="1"/>
  <c r="BG7" i="6" a="1"/>
  <c r="BG7" i="6" s="1"/>
  <c r="J14" i="6"/>
  <c r="AG14" i="6"/>
  <c r="BB10" i="6"/>
  <c r="BF10" i="6"/>
  <c r="M43" i="7"/>
  <c r="M40" i="7"/>
  <c r="BH5" i="7" a="1"/>
  <c r="BH5" i="7" s="1"/>
  <c r="BG18" i="7"/>
  <c r="BG23" i="7"/>
  <c r="M41" i="7"/>
  <c r="BH25" i="7" a="1"/>
  <c r="BH25" i="7" s="1"/>
  <c r="BH41" i="7" s="1"/>
  <c r="BG38" i="7"/>
  <c r="BD5" i="6"/>
  <c r="BD9" i="6"/>
  <c r="BG10" i="6" a="1"/>
  <c r="BG10" i="6" s="1"/>
  <c r="BG14" i="6" s="1"/>
  <c r="AI15" i="6"/>
  <c r="BD15" i="6" s="1"/>
  <c r="BP43" i="7"/>
  <c r="H46" i="1" s="1"/>
  <c r="BP40" i="7"/>
  <c r="H43" i="1" s="1"/>
  <c r="BT43" i="7"/>
  <c r="L46" i="1" s="1"/>
  <c r="BT40" i="7"/>
  <c r="L43" i="1" s="1"/>
  <c r="BG6" i="7"/>
  <c r="BG10" i="7"/>
  <c r="BG11" i="7"/>
  <c r="BG15" i="7"/>
  <c r="BG26" i="7"/>
  <c r="BG30" i="7"/>
  <c r="BG31" i="7"/>
  <c r="BG35" i="7"/>
  <c r="BK30" i="7"/>
  <c r="BK5" i="7"/>
  <c r="BK10" i="3"/>
  <c r="BJ5" i="3"/>
  <c r="BJ35" i="7"/>
  <c r="BJ30" i="3"/>
  <c r="BK5" i="3"/>
  <c r="BK15" i="3"/>
  <c r="BJ20" i="7"/>
  <c r="BK30" i="3"/>
  <c r="BK35" i="7"/>
  <c r="BJ10" i="3"/>
  <c r="BK20" i="3"/>
  <c r="BJ15" i="7"/>
  <c r="BJ35" i="3"/>
  <c r="BK35" i="3"/>
  <c r="BK15" i="7"/>
  <c r="BJ25" i="3"/>
  <c r="BK20" i="7"/>
  <c r="BJ20" i="3"/>
  <c r="BJ10" i="7"/>
  <c r="BJ5" i="7"/>
  <c r="BK25" i="7"/>
  <c r="BJ30" i="7"/>
  <c r="K42" i="7" l="1"/>
  <c r="BK41" i="7"/>
  <c r="D44" i="1" s="1"/>
  <c r="BK42" i="7"/>
  <c r="D45" i="1" s="1"/>
  <c r="BJ42" i="7"/>
  <c r="C45" i="1" s="1"/>
  <c r="BH42" i="7"/>
  <c r="BE16" i="3"/>
  <c r="BH43" i="3"/>
  <c r="BH40" i="3"/>
  <c r="BJ41" i="3"/>
  <c r="C10" i="1" s="1"/>
  <c r="BH42" i="3"/>
  <c r="BJ43" i="3"/>
  <c r="C12" i="1" s="1"/>
  <c r="BJ40" i="3"/>
  <c r="C9" i="1" s="1"/>
  <c r="BB15" i="6"/>
  <c r="E34" i="1" s="1"/>
  <c r="BE14" i="6"/>
  <c r="D33" i="1" s="1"/>
  <c r="BC9" i="6"/>
  <c r="K15" i="6"/>
  <c r="BE15" i="6"/>
  <c r="D34" i="1" s="1"/>
  <c r="BD15" i="5"/>
  <c r="BE41" i="7"/>
  <c r="AI42" i="3"/>
  <c r="BE42" i="3" s="1"/>
  <c r="AI43" i="3"/>
  <c r="AI41" i="3"/>
  <c r="BJ42" i="3"/>
  <c r="C11" i="1" s="1"/>
  <c r="BE25" i="7"/>
  <c r="BK43" i="7"/>
  <c r="D46" i="1" s="1"/>
  <c r="BK40" i="7"/>
  <c r="D43" i="1" s="1"/>
  <c r="AH13" i="5"/>
  <c r="BC13" i="5" s="1"/>
  <c r="C20" i="1" s="1"/>
  <c r="BC9" i="5"/>
  <c r="BC11" i="6"/>
  <c r="AH14" i="6"/>
  <c r="BC14" i="6" s="1"/>
  <c r="C33" i="1" s="1"/>
  <c r="BE30" i="3"/>
  <c r="AH15" i="6"/>
  <c r="BC15" i="6" s="1"/>
  <c r="C34" i="1" s="1"/>
  <c r="K43" i="3"/>
  <c r="BH40" i="7"/>
  <c r="BH43" i="7"/>
  <c r="K40" i="7"/>
  <c r="K43" i="7"/>
  <c r="BK43" i="3"/>
  <c r="D12" i="1" s="1"/>
  <c r="BK40" i="3"/>
  <c r="D9" i="1" s="1"/>
  <c r="AI42" i="7"/>
  <c r="BB12" i="5"/>
  <c r="E19" i="1" s="1"/>
  <c r="BB14" i="6"/>
  <c r="E33" i="1" s="1"/>
  <c r="AH14" i="5"/>
  <c r="BC14" i="5" s="1"/>
  <c r="C21" i="1" s="1"/>
  <c r="BC10" i="5"/>
  <c r="AI40" i="7"/>
  <c r="AI40" i="3"/>
  <c r="BE40" i="3" s="1"/>
  <c r="BG12" i="5"/>
  <c r="BG15" i="5"/>
  <c r="BB15" i="5"/>
  <c r="E22" i="1" s="1"/>
  <c r="BK42" i="3"/>
  <c r="D11" i="1" s="1"/>
  <c r="BJ43" i="7"/>
  <c r="C46" i="1" s="1"/>
  <c r="BJ40" i="7"/>
  <c r="C43" i="1" s="1"/>
  <c r="AH15" i="5"/>
  <c r="BC15" i="5" s="1"/>
  <c r="C22" i="1" s="1"/>
  <c r="AH12" i="5"/>
  <c r="BC12" i="5" s="1"/>
  <c r="C19" i="1" s="1"/>
  <c r="BC5" i="5"/>
  <c r="BD12" i="5"/>
  <c r="AI43" i="7"/>
  <c r="BE41" i="3"/>
  <c r="BE43" i="7" l="1"/>
  <c r="BE42" i="7"/>
  <c r="BE40" i="7"/>
  <c r="BE43" i="3"/>
</calcChain>
</file>

<file path=xl/sharedStrings.xml><?xml version="1.0" encoding="utf-8"?>
<sst xmlns="http://schemas.openxmlformats.org/spreadsheetml/2006/main" count="1510" uniqueCount="587">
  <si>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</si>
  <si>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</si>
  <si>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</si>
  <si>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</si>
  <si>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</si>
  <si>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</si>
  <si>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</si>
  <si>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</si>
  <si>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</si>
  <si>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</si>
  <si>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</si>
  <si>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</si>
  <si>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</si>
  <si>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</si>
  <si>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</si>
  <si>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</si>
  <si>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</si>
  <si>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</si>
  <si>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</si>
  <si>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</si>
  <si>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</si>
  <si>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</si>
  <si>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</si>
  <si>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</si>
  <si>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</si>
  <si>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</si>
  <si>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</si>
  <si>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</si>
  <si>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</si>
  <si>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</si>
  <si>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</si>
  <si>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</si>
  <si>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</si>
  <si>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</si>
  <si>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</si>
  <si>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</si>
  <si>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</si>
  <si>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</si>
  <si>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</si>
  <si>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</si>
  <si>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</si>
  <si>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</si>
  <si>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</si>
  <si>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</si>
  <si>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</si>
  <si>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</si>
  <si>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</si>
  <si>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</si>
  <si>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</si>
  <si>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</si>
  <si>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</si>
  <si>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</si>
  <si>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</si>
  <si>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</si>
  <si>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</si>
  <si>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</si>
  <si>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</si>
  <si>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</si>
  <si>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</si>
  <si>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</si>
  <si>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</si>
  <si>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</si>
  <si>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</si>
  <si>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</si>
  <si>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</si>
  <si>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</si>
  <si>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</si>
  <si>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</si>
  <si>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</si>
  <si>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</si>
  <si>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</si>
  <si>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</si>
  <si>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</si>
  <si>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</si>
  <si>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</si>
  <si>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</si>
  <si>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</si>
  <si>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</si>
  <si>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</si>
  <si>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</si>
  <si>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</si>
  <si>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</si>
  <si>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</si>
  <si>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</si>
  <si>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</si>
  <si>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</si>
  <si>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</si>
  <si>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</si>
  <si>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</si>
  <si>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</si>
  <si>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</si>
  <si>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</si>
  <si>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</si>
  <si>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</si>
  <si>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</si>
  <si>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</si>
  <si>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</si>
  <si>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</si>
  <si>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</si>
  <si>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</si>
  <si>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</si>
  <si>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</si>
  <si>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</si>
  <si>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</si>
  <si>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</si>
  <si>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</si>
  <si>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</si>
  <si>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</si>
  <si>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</si>
  <si>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</si>
  <si>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</si>
  <si>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</si>
  <si>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</si>
  <si>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</si>
  <si>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</si>
  <si>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</si>
  <si>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</si>
  <si>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</si>
  <si>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</si>
  <si>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</si>
  <si>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</si>
  <si>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</si>
  <si>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</si>
  <si>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</si>
  <si>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</si>
  <si>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</si>
  <si>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</si>
  <si>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</si>
  <si>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</si>
  <si>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</si>
  <si>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</si>
  <si>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</si>
  <si>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</si>
  <si>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</si>
  <si>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</si>
  <si>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</si>
  <si>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</si>
  <si>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</si>
  <si>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</si>
  <si>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</si>
  <si>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</si>
  <si>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</si>
  <si>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</si>
  <si>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</si>
  <si>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</si>
  <si>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</si>
  <si>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</si>
  <si>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</si>
  <si>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</si>
  <si>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</si>
  <si>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</si>
  <si>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</si>
  <si>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</si>
  <si>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</si>
  <si>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</si>
  <si>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</si>
  <si>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</si>
  <si>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</si>
  <si>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</si>
  <si>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</si>
  <si>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</si>
  <si>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</si>
  <si>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</si>
  <si>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</si>
  <si>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</si>
  <si>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</si>
  <si>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</si>
  <si>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</si>
  <si>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</si>
  <si>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</si>
  <si>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</si>
  <si>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</si>
  <si>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</si>
  <si>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</si>
  <si>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</si>
  <si>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</si>
  <si>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</si>
  <si>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</si>
  <si>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</si>
  <si>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</si>
  <si>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</si>
  <si>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</si>
  <si>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</si>
  <si>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</si>
  <si>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</si>
  <si>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</si>
  <si>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</si>
  <si>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</si>
  <si>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</si>
  <si>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</si>
  <si>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</si>
  <si>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</si>
  <si>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</si>
  <si>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</si>
  <si>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</si>
  <si>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</si>
  <si>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</si>
  <si>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</si>
  <si>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</si>
  <si>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</si>
  <si>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</si>
  <si>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</si>
  <si>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</si>
  <si>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</si>
  <si>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</si>
  <si>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</si>
  <si>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</si>
  <si>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</si>
  <si>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</si>
  <si>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</si>
  <si>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</si>
  <si>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</si>
  <si>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</si>
  <si>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</si>
  <si>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</si>
  <si>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</si>
  <si>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</si>
  <si>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</si>
  <si>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</si>
  <si>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</si>
  <si>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</si>
  <si>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</si>
  <si>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</si>
  <si>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</si>
  <si>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</si>
  <si>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</si>
  <si>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</si>
  <si>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</si>
  <si>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</si>
  <si>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</si>
  <si>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</si>
  <si>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</si>
  <si>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</si>
  <si>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</si>
  <si>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</si>
  <si>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</si>
  <si>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</si>
  <si>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</si>
  <si>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</si>
  <si>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</si>
  <si>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</si>
  <si>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</si>
  <si>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</si>
  <si>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</si>
  <si>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</si>
  <si>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</si>
  <si>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</si>
  <si>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</si>
  <si>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</si>
  <si>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</si>
  <si>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</si>
  <si>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</si>
  <si>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</si>
  <si>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</si>
  <si>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</si>
  <si>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</si>
  <si>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</si>
  <si>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</si>
  <si>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</si>
  <si>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</si>
  <si>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</si>
  <si>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</si>
  <si>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</si>
  <si>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</si>
  <si>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</si>
  <si>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</si>
  <si>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</si>
  <si>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</si>
  <si>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</si>
  <si>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</si>
  <si>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</si>
  <si>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</si>
  <si>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</si>
  <si>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</si>
  <si>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</si>
  <si>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</si>
  <si>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</si>
  <si>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</si>
  <si>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</si>
  <si>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</si>
  <si>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</si>
  <si>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</si>
  <si>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</si>
  <si>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</si>
  <si>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</si>
  <si>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</si>
  <si>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</si>
  <si>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</si>
  <si>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</si>
  <si>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</si>
  <si>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</si>
  <si>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</si>
  <si>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</si>
  <si>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</si>
  <si>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</si>
  <si>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</si>
  <si>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</si>
  <si>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</si>
  <si>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</si>
  <si>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</si>
  <si>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</si>
  <si>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</si>
  <si>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</si>
  <si>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</si>
  <si>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</si>
  <si>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</si>
  <si>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</si>
  <si>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</si>
  <si>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</si>
  <si>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</si>
  <si>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</si>
  <si>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</si>
  <si>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</si>
  <si>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</si>
  <si>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</si>
  <si>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</si>
  <si>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</si>
  <si>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</si>
  <si>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</si>
  <si>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</si>
  <si>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</si>
  <si>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</si>
  <si>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</si>
  <si>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</si>
  <si>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</si>
  <si>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</si>
  <si>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</si>
  <si>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</si>
  <si>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</si>
  <si>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</si>
  <si>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</si>
  <si>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</si>
  <si>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</si>
  <si>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</si>
  <si>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</si>
  <si>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</si>
  <si>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</si>
  <si>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</si>
  <si>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</si>
  <si>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</si>
  <si>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</si>
  <si>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</si>
  <si>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</si>
  <si>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</si>
  <si>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</si>
  <si>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B.eqn.compratio</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</si>
  <si>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</si>
  <si>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</si>
  <si>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</si>
  <si>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</si>
  <si>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</si>
  <si>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</si>
  <si>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</si>
  <si>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</si>
  <si>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</si>
  <si>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</si>
  <si>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</si>
  <si>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</si>
  <si>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</si>
  <si>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</si>
  <si>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</si>
  <si>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</si>
  <si>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</si>
  <si>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</si>
  <si>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</si>
  <si>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</si>
  <si>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</si>
  <si>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</si>
  <si>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</si>
  <si>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eqn.ab.ratio-bpp</t>
  </si>
  <si>
    <t>col.CW losslG,losslA,intra.eqn.ab.ratio-bpp</t>
  </si>
  <si>
    <t>col.CW losslG,losslA,intra.eqn.ab.ratio-bpp-geometry-total</t>
  </si>
  <si>
    <t>eqn.ab.ratio-bpp-geometry</t>
  </si>
  <si>
    <t>col.CW losslG,losslA,intra.eqn.ab.ratio-bpp-geometry</t>
  </si>
  <si>
    <t>eqn.ab.ratio-bpp-colour</t>
  </si>
  <si>
    <t>col.CW losslG,losslA,intra.eqn.ab.ratio-bpp-colour</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</si>
  <si>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</si>
  <si>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</si>
  <si>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</si>
  <si>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</si>
  <si>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</si>
  <si>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</si>
  <si>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</si>
  <si>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</si>
  <si>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</si>
  <si>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</si>
  <si>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</si>
  <si>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</si>
  <si>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</si>
  <si>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</si>
  <si>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</si>
  <si>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</si>
  <si>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</si>
  <si>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</si>
  <si>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</si>
  <si>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</si>
  <si>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</si>
  <si>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</si>
  <si>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</si>
  <si>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</si>
  <si>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</si>
  <si>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</si>
  <si>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</si>
  <si>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</si>
  <si>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</si>
  <si>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</si>
  <si>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</si>
  <si>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</si>
  <si>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</si>
  <si>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</si>
  <si>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</si>
  <si>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</si>
  <si>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</si>
  <si>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</si>
  <si>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</si>
  <si>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</si>
  <si>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</si>
  <si>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</si>
  <si>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</si>
  <si>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</si>
  <si>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</si>
  <si>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</si>
  <si>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</si>
  <si>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</si>
  <si>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</si>
  <si>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</si>
  <si>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</si>
  <si>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</si>
  <si>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</si>
  <si>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</si>
  <si>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</si>
  <si>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</si>
  <si>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</si>
  <si>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</si>
  <si>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</si>
  <si>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</si>
  <si>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</si>
  <si>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</si>
  <si>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</si>
  <si>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</si>
  <si>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</si>
  <si>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</si>
  <si>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</si>
  <si>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</si>
  <si>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</si>
  <si>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</si>
  <si>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</si>
  <si>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</si>
  <si>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</si>
  <si>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</si>
  <si>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</si>
  <si>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</si>
  <si>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</si>
  <si>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</si>
  <si>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</si>
  <si>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</si>
  <si>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</si>
  <si>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</si>
  <si>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CW_ld — lossless geometry, lossless attributes [inter, low delay]</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</si>
  <si>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</si>
  <si>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</si>
  <si>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</si>
  <si>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</si>
  <si>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</si>
  <si>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</si>
  <si>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</si>
  <si>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</si>
  <si>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</si>
  <si>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</si>
  <si>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</si>
  <si>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</si>
  <si>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</si>
  <si>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</si>
  <si>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</si>
  <si>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</si>
  <si>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</si>
  <si>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</si>
  <si>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</si>
  <si>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</si>
  <si>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</si>
  <si>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</si>
  <si>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</si>
  <si>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</si>
  <si>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</si>
  <si>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</si>
  <si>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</si>
  <si>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</si>
  <si>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</si>
  <si>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</si>
  <si>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</si>
  <si>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</si>
  <si>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</si>
  <si>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</si>
  <si>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</si>
  <si>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</si>
  <si>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</si>
  <si>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</si>
  <si>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</si>
  <si>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</si>
  <si>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</si>
  <si>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</si>
  <si>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</si>
  <si>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</si>
  <si>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</si>
  <si>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</si>
  <si>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</si>
  <si>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</si>
  <si>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</si>
  <si>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</si>
  <si>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</si>
  <si>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</si>
  <si>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</si>
  <si>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</si>
  <si>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</si>
  <si>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</si>
  <si>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</si>
  <si>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</si>
  <si>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</si>
  <si>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</si>
  <si>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</si>
  <si>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</si>
  <si>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</si>
  <si>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</si>
  <si>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</si>
  <si>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</si>
  <si>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</si>
  <si>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</si>
  <si>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</si>
  <si>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</si>
  <si>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</si>
  <si>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</si>
  <si>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</si>
  <si>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</si>
  <si>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</si>
  <si>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</si>
  <si>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</si>
  <si>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</si>
  <si>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</si>
  <si>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</si>
  <si>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</si>
  <si>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</si>
  <si>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</si>
  <si>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</si>
  <si>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</si>
  <si>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</si>
  <si>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</si>
  <si>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</si>
  <si>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</si>
  <si>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</si>
  <si>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</si>
  <si>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</si>
  <si>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</si>
  <si>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</si>
  <si>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</si>
  <si>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</si>
  <si>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</si>
  <si>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</si>
  <si>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</si>
  <si>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</si>
  <si>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</si>
  <si>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</si>
  <si>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</si>
  <si>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</si>
  <si>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</si>
  <si>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</si>
  <si>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</si>
  <si>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</si>
  <si>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</si>
  <si>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</si>
  <si>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</si>
  <si>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</si>
  <si>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</si>
  <si>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</si>
  <si>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</si>
  <si>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</si>
  <si>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inf</t>
  </si>
  <si>
    <t>Δ
№ output points</t>
  </si>
  <si>
    <t>Δ
Mean output points</t>
  </si>
  <si>
    <t>Δ
Mean duplicate points</t>
  </si>
  <si>
    <t>Δ
Bitstream [bits]</t>
  </si>
  <si>
    <t>Δ
Geometry PSNR [dB]</t>
  </si>
  <si>
    <t>Δ
End-to-end PSNR [dB]</t>
  </si>
  <si>
    <t>Δ Bitstream [bits]</t>
  </si>
  <si>
    <t>reference - R7.0 RC 3.0</t>
  </si>
  <si>
    <t>tested - R7.0 RC 4.0</t>
  </si>
  <si>
    <t>R7.0 RC3.0</t>
  </si>
  <si>
    <t>R7.0 RC4.0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</si>
</sst>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 - R7.0 RC 3.0</c:v>
                </c:pt>
              </c:strCache>
            </c:strRef>
          </c:tx>
          <c:xVal>
            <c:numRef>
              <c:f>Graphs!graph_a_x_range_A</c:f>
              <c:numCache>
                <c:formatCode>0.00</c:formatCode>
                <c:ptCount val="5"/>
                <c:pt idx="0">
                  <c:v>3.3921023591209555E-2</c:v>
                </c:pt>
                <c:pt idx="1">
                  <c:v>4.6592537732119584E-2</c:v>
                </c:pt>
                <c:pt idx="2">
                  <c:v>6.4495193364006678E-2</c:v>
                </c:pt>
                <c:pt idx="3">
                  <c:v>9.3863483117779881E-2</c:v>
                </c:pt>
                <c:pt idx="4">
                  <c:v>0.14376954713124612</c:v>
                </c:pt>
              </c:numCache>
            </c:numRef>
          </c:xVal>
          <c:yVal>
            <c:numRef>
              <c:f>Graphs!graph_a_y_range_A</c:f>
              <c:numCache>
                <c:formatCode>0.00</c:formatCode>
                <c:ptCount val="5"/>
                <c:pt idx="0">
                  <c:v>66.332715625000006</c:v>
                </c:pt>
                <c:pt idx="1">
                  <c:v>68.236621874999997</c:v>
                </c:pt>
                <c:pt idx="2">
                  <c:v>69.675028124999997</c:v>
                </c:pt>
                <c:pt idx="3">
                  <c:v>70.771603124999999</c:v>
                </c:pt>
                <c:pt idx="4">
                  <c:v>72.030068749999998</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tested - R7.0 RC 4.0</c:v>
                </c:pt>
              </c:strCache>
            </c:strRef>
          </c:tx>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66.354737499999999</c:v>
                </c:pt>
                <c:pt idx="1">
                  <c:v>68.256434374999998</c:v>
                </c:pt>
                <c:pt idx="2">
                  <c:v>69.684690625000002</c:v>
                </c:pt>
                <c:pt idx="3">
                  <c:v>70.825725000000006</c:v>
                </c:pt>
                <c:pt idx="4">
                  <c:v>71.947396874999995</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 - R7.0 RC 3.0</c:v>
                </c:pt>
              </c:strCache>
            </c:strRef>
          </c:tx>
          <c:xVal>
            <c:numRef>
              <c:f>Graphs!graph_b_x_range_A</c:f>
              <c:numCache>
                <c:formatCode>0.00</c:formatCode>
                <c:ptCount val="5"/>
                <c:pt idx="0">
                  <c:v>3.3921023591209555E-2</c:v>
                </c:pt>
                <c:pt idx="1">
                  <c:v>4.6592537732119584E-2</c:v>
                </c:pt>
                <c:pt idx="2">
                  <c:v>6.4495193364006678E-2</c:v>
                </c:pt>
                <c:pt idx="3">
                  <c:v>9.3863483117779881E-2</c:v>
                </c:pt>
                <c:pt idx="4">
                  <c:v>0.14376954713124612</c:v>
                </c:pt>
              </c:numCache>
            </c:numRef>
          </c:xVal>
          <c:yVal>
            <c:numRef>
              <c:f>Graphs!graph_b_y_range_A</c:f>
              <c:numCache>
                <c:formatCode>0.00</c:formatCode>
                <c:ptCount val="5"/>
                <c:pt idx="0">
                  <c:v>68.421768749999998</c:v>
                </c:pt>
                <c:pt idx="1">
                  <c:v>70.381965625000007</c:v>
                </c:pt>
                <c:pt idx="2">
                  <c:v>72.069987499999996</c:v>
                </c:pt>
                <c:pt idx="3">
                  <c:v>73.323878124999993</c:v>
                </c:pt>
                <c:pt idx="4">
                  <c:v>75.292543749999993</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tested - R7.0 RC 4.0</c:v>
                </c:pt>
              </c:strCache>
            </c:strRef>
          </c:tx>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68.471134375000005</c:v>
                </c:pt>
                <c:pt idx="1">
                  <c:v>70.426474999999996</c:v>
                </c:pt>
                <c:pt idx="2">
                  <c:v>72.115756250000004</c:v>
                </c:pt>
                <c:pt idx="3">
                  <c:v>73.390937500000007</c:v>
                </c:pt>
                <c:pt idx="4">
                  <c:v>75.319828125000001</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 - R7.0 RC 3.0</c:v>
                </c:pt>
              </c:strCache>
            </c:strRef>
          </c:tx>
          <c:xVal>
            <c:numRef>
              <c:f>Graphs!graph_c_x_range_A</c:f>
              <c:numCache>
                <c:formatCode>0.00</c:formatCode>
                <c:ptCount val="5"/>
                <c:pt idx="0">
                  <c:v>3.5464344923024402E-2</c:v>
                </c:pt>
                <c:pt idx="1">
                  <c:v>7.6096701290853219E-2</c:v>
                </c:pt>
                <c:pt idx="2">
                  <c:v>0.15366718472560523</c:v>
                </c:pt>
                <c:pt idx="3">
                  <c:v>0.30527767586574789</c:v>
                </c:pt>
                <c:pt idx="4">
                  <c:v>0.58226956601818569</c:v>
                </c:pt>
              </c:numCache>
            </c:numRef>
          </c:xVal>
          <c:yVal>
            <c:numRef>
              <c:f>Graphs!graph_c_y_range_A</c:f>
              <c:numCache>
                <c:formatCode>0.00</c:formatCode>
                <c:ptCount val="5"/>
                <c:pt idx="0">
                  <c:v>32.160259375000003</c:v>
                </c:pt>
                <c:pt idx="1">
                  <c:v>34.447521875</c:v>
                </c:pt>
                <c:pt idx="2">
                  <c:v>36.982671875000001</c:v>
                </c:pt>
                <c:pt idx="3">
                  <c:v>39.609809374999998</c:v>
                </c:pt>
                <c:pt idx="4">
                  <c:v>42.033321874999999</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tested - R7.0 RC 4.0</c:v>
                </c:pt>
              </c:strCache>
            </c:strRef>
          </c:tx>
          <c:xVal>
            <c:numRef>
              <c:f>Graphs!graph_c_x_range_B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Graphs!graph_c_y_range_B</c:f>
              <c:numCache>
                <c:formatCode>0.00</c:formatCode>
                <c:ptCount val="5"/>
                <c:pt idx="0">
                  <c:v>32.137684374999999</c:v>
                </c:pt>
                <c:pt idx="1">
                  <c:v>34.399299999999997</c:v>
                </c:pt>
                <c:pt idx="2">
                  <c:v>36.932850000000002</c:v>
                </c:pt>
                <c:pt idx="3">
                  <c:v>39.553746875000002</c:v>
                </c:pt>
                <c:pt idx="4">
                  <c:v>42.01755</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 - R7.0 RC 3.0</c:v>
                </c:pt>
              </c:strCache>
            </c:strRef>
          </c:tx>
          <c:xVal>
            <c:numRef>
              <c:f>Graphs!graph_d_x_range_A</c:f>
              <c:numCache>
                <c:formatCode>0.00</c:formatCode>
                <c:ptCount val="5"/>
                <c:pt idx="0">
                  <c:v>3.5464344923024402E-2</c:v>
                </c:pt>
                <c:pt idx="1">
                  <c:v>7.6096701290853219E-2</c:v>
                </c:pt>
                <c:pt idx="2">
                  <c:v>0.15366718472560523</c:v>
                </c:pt>
                <c:pt idx="3">
                  <c:v>0.30527767586574789</c:v>
                </c:pt>
                <c:pt idx="4">
                  <c:v>0.58226956601818569</c:v>
                </c:pt>
              </c:numCache>
            </c:numRef>
          </c:xVal>
          <c:yVal>
            <c:numRef>
              <c:f>Graphs!graph_d_y_range_A</c:f>
              <c:numCache>
                <c:formatCode>0.00</c:formatCode>
                <c:ptCount val="5"/>
                <c:pt idx="0">
                  <c:v>44.153634375000003</c:v>
                </c:pt>
                <c:pt idx="1">
                  <c:v>45.458003124999998</c:v>
                </c:pt>
                <c:pt idx="2">
                  <c:v>46.565084374999998</c:v>
                </c:pt>
                <c:pt idx="3">
                  <c:v>47.886146875000001</c:v>
                </c:pt>
                <c:pt idx="4">
                  <c:v>49.423381249999998</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tested - R7.0 RC 4.0</c:v>
                </c:pt>
              </c:strCache>
            </c:strRef>
          </c:tx>
          <c:xVal>
            <c:numRef>
              <c:f>Graphs!graph_d_x_range_B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Graphs!graph_d_y_range_B</c:f>
              <c:numCache>
                <c:formatCode>0.00</c:formatCode>
                <c:ptCount val="5"/>
                <c:pt idx="0">
                  <c:v>44.149306250000002</c:v>
                </c:pt>
                <c:pt idx="1">
                  <c:v>45.437112499999998</c:v>
                </c:pt>
                <c:pt idx="2">
                  <c:v>46.544937500000003</c:v>
                </c:pt>
                <c:pt idx="3">
                  <c:v>47.884250000000002</c:v>
                </c:pt>
                <c:pt idx="4">
                  <c:v>49.411421875000002</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 - R7.0 RC 3.0</c:v>
                </c:pt>
              </c:strCache>
            </c:strRef>
          </c:tx>
          <c:xVal>
            <c:numRef>
              <c:f>Graphs!graph_e_x_range_A</c:f>
              <c:numCache>
                <c:formatCode>0.00</c:formatCode>
                <c:ptCount val="5"/>
                <c:pt idx="0">
                  <c:v>3.5464344923024402E-2</c:v>
                </c:pt>
                <c:pt idx="1">
                  <c:v>7.6096701290853219E-2</c:v>
                </c:pt>
                <c:pt idx="2">
                  <c:v>0.15366718472560523</c:v>
                </c:pt>
                <c:pt idx="3">
                  <c:v>0.30527767586574789</c:v>
                </c:pt>
                <c:pt idx="4">
                  <c:v>0.58226956601818569</c:v>
                </c:pt>
              </c:numCache>
            </c:numRef>
          </c:xVal>
          <c:yVal>
            <c:numRef>
              <c:f>Graphs!graph_e_y_range_A</c:f>
              <c:numCache>
                <c:formatCode>0.00</c:formatCode>
                <c:ptCount val="5"/>
                <c:pt idx="0">
                  <c:v>43.744034374999998</c:v>
                </c:pt>
                <c:pt idx="1">
                  <c:v>45.1736875</c:v>
                </c:pt>
                <c:pt idx="2">
                  <c:v>46.435556249999998</c:v>
                </c:pt>
                <c:pt idx="3">
                  <c:v>47.961171874999998</c:v>
                </c:pt>
                <c:pt idx="4">
                  <c:v>49.554978124999998</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tested - R7.0 RC 4.0</c:v>
                </c:pt>
              </c:strCache>
            </c:strRef>
          </c:tx>
          <c:xVal>
            <c:numRef>
              <c:f>Graphs!graph_e_x_range_B</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Graphs!graph_e_y_range_B</c:f>
              <c:numCache>
                <c:formatCode>0.00</c:formatCode>
                <c:ptCount val="5"/>
                <c:pt idx="0">
                  <c:v>43.778965624999998</c:v>
                </c:pt>
                <c:pt idx="1">
                  <c:v>45.212931249999997</c:v>
                </c:pt>
                <c:pt idx="2">
                  <c:v>46.445749999999997</c:v>
                </c:pt>
                <c:pt idx="3">
                  <c:v>47.908200000000001</c:v>
                </c:pt>
                <c:pt idx="4">
                  <c:v>49.523899999999998</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 - R7.0 RC 3.0</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tested - R7.0 RC 4.0</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48"/>
  <sheetViews>
    <sheetView tabSelected="1" workbookViewId="0">
      <selection activeCell="C2" sqref="C2:E2"/>
    </sheetView>
  </sheetViews>
  <sheetFormatPr defaultRowHeight="14.4" x14ac:dyDescent="0.3"/>
  <cols>
    <col min="2" max="2" width="16.6640625" customWidth="1"/>
    <col min="3" max="12" width="24.6640625" customWidth="1"/>
  </cols>
  <sheetData>
    <row r="1" spans="2:12" x14ac:dyDescent="0.3">
      <c r="B1" t="s">
        <v>0</v>
      </c>
      <c r="C1" s="66" t="s">
        <v>585</v>
      </c>
      <c r="D1" s="66"/>
      <c r="E1" s="66"/>
    </row>
    <row r="2" spans="2:12" x14ac:dyDescent="0.3">
      <c r="B2" t="s">
        <v>1</v>
      </c>
      <c r="C2" s="67" t="s">
        <v>586</v>
      </c>
      <c r="D2" s="67"/>
      <c r="E2" s="67"/>
    </row>
    <row r="4" spans="2:12" s="1" customFormat="1" x14ac:dyDescent="0.3">
      <c r="B4" s="1" t="s">
        <v>307</v>
      </c>
    </row>
    <row r="6" spans="2:12" x14ac:dyDescent="0.3">
      <c r="B6" s="62" t="s">
        <v>308</v>
      </c>
      <c r="C6" s="63" t="s">
        <v>309</v>
      </c>
      <c r="D6" s="63"/>
      <c r="E6" s="63"/>
      <c r="F6" s="63"/>
      <c r="G6" s="63"/>
      <c r="H6" s="63"/>
      <c r="I6" s="63"/>
      <c r="J6" s="63"/>
      <c r="K6" s="63"/>
      <c r="L6" s="63"/>
    </row>
    <row r="7" spans="2:12" x14ac:dyDescent="0.3">
      <c r="B7" s="62"/>
      <c r="C7" s="64" t="s">
        <v>240</v>
      </c>
      <c r="D7" s="64"/>
      <c r="E7" s="65" t="s">
        <v>245</v>
      </c>
      <c r="F7" s="65"/>
      <c r="G7" s="65"/>
      <c r="H7" s="64" t="s">
        <v>252</v>
      </c>
      <c r="I7" s="64"/>
      <c r="J7" s="65" t="s">
        <v>257</v>
      </c>
      <c r="K7" s="65"/>
      <c r="L7" s="65"/>
    </row>
    <row r="8" spans="2:12" x14ac:dyDescent="0.3">
      <c r="B8" s="62"/>
      <c r="C8" s="2" t="s">
        <v>154</v>
      </c>
      <c r="D8" s="2" t="s">
        <v>157</v>
      </c>
      <c r="E8" s="3" t="s">
        <v>161</v>
      </c>
      <c r="F8" s="3" t="s">
        <v>164</v>
      </c>
      <c r="G8" s="3" t="s">
        <v>167</v>
      </c>
      <c r="H8" s="2" t="s">
        <v>154</v>
      </c>
      <c r="I8" s="2" t="s">
        <v>157</v>
      </c>
      <c r="J8" s="3" t="s">
        <v>161</v>
      </c>
      <c r="K8" s="3" t="s">
        <v>164</v>
      </c>
      <c r="L8" s="3" t="s">
        <v>167</v>
      </c>
    </row>
    <row r="9" spans="2:12" x14ac:dyDescent="0.3">
      <c r="B9" s="4" t="s">
        <v>298</v>
      </c>
      <c r="C9" s="5">
        <f>'C2 lossyG,lossyA,intra'!$BJ$40:$BJ$40</f>
        <v>4.9512882580731721E-3</v>
      </c>
      <c r="D9" s="5">
        <f>'C2 lossyG,lossyA,intra'!$BK$40:$BK$40</f>
        <v>5.7375322073233703E-3</v>
      </c>
      <c r="E9" s="5">
        <f>'C2 lossyG,lossyA,intra'!$BL$40:$BL$40</f>
        <v>1.4264627747499814E-2</v>
      </c>
      <c r="F9" s="5">
        <f>'C2 lossyG,lossyA,intra'!$BM$40:$BM$40</f>
        <v>1.6833109634692062E-2</v>
      </c>
      <c r="G9" s="5">
        <f>'C2 lossyG,lossyA,intra'!$BN$40:$BN$40</f>
        <v>2.9775375222417216E-2</v>
      </c>
      <c r="H9" s="5">
        <f>'C2 lossyG,lossyA,intra'!$BP$40:$BP$40</f>
        <v>1.004712026157234E-3</v>
      </c>
      <c r="I9" s="5">
        <f>'C2 lossyG,lossyA,intra'!$BQ$40:$BQ$40</f>
        <v>-3.9112413256506273E-4</v>
      </c>
      <c r="J9" s="5">
        <f>'C2 lossyG,lossyA,intra'!$BR$40:$BR$40</f>
        <v>1.2000895684723123E-2</v>
      </c>
      <c r="K9" s="5">
        <f>'C2 lossyG,lossyA,intra'!$BS$40:$BS$40</f>
        <v>1.5179679575928112E-2</v>
      </c>
      <c r="L9" s="5">
        <f>'C2 lossyG,lossyA,intra'!$BT$40:$BT$40</f>
        <v>2.513097155797292E-2</v>
      </c>
    </row>
    <row r="10" spans="2:12" x14ac:dyDescent="0.3">
      <c r="B10" s="4" t="s">
        <v>299</v>
      </c>
      <c r="C10" s="5">
        <f>'C2 lossyG,lossyA,intra'!$BJ$41:$BJ$41</f>
        <v>-1.6359273677264419E-2</v>
      </c>
      <c r="D10" s="5">
        <f>'C2 lossyG,lossyA,intra'!$BK$41:$BK$41</f>
        <v>-1.75506257067094E-2</v>
      </c>
      <c r="E10" s="5">
        <f>'C2 lossyG,lossyA,intra'!$BL$41:$BL$41</f>
        <v>2.6869430411888828E-3</v>
      </c>
      <c r="F10" s="5">
        <f>'C2 lossyG,lossyA,intra'!$BM$41:$BM$41</f>
        <v>2.7969934805906371E-2</v>
      </c>
      <c r="G10" s="5">
        <f>'C2 lossyG,lossyA,intra'!$BN$41:$BN$41</f>
        <v>4.384341754862664E-2</v>
      </c>
      <c r="H10" s="5">
        <f>'C2 lossyG,lossyA,intra'!$BP$41:$BP$41</f>
        <v>4.5081818785241978E-3</v>
      </c>
      <c r="I10" s="5">
        <f>'C2 lossyG,lossyA,intra'!$BQ$41:$BQ$41</f>
        <v>-3.3690966363513208E-3</v>
      </c>
      <c r="J10" s="5">
        <f>'C2 lossyG,lossyA,intra'!$BR$41:$BR$41</f>
        <v>-3.4267292546835693E-3</v>
      </c>
      <c r="K10" s="5">
        <f>'C2 lossyG,lossyA,intra'!$BS$41:$BS$41</f>
        <v>2.1708032858206883E-2</v>
      </c>
      <c r="L10" s="5">
        <f>'C2 lossyG,lossyA,intra'!$BT$41:$BT$41</f>
        <v>3.5369808379874357E-2</v>
      </c>
    </row>
    <row r="11" spans="2:12" x14ac:dyDescent="0.3">
      <c r="B11" s="4" t="s">
        <v>300</v>
      </c>
      <c r="C11" s="5">
        <f>'C2 lossyG,lossyA,intra'!$BJ$42:$BJ$42</f>
        <v>6.2452143149510642E-3</v>
      </c>
      <c r="D11" s="5">
        <f>'C2 lossyG,lossyA,intra'!$BK$42:$BK$42</f>
        <v>1.5106334493411033E-3</v>
      </c>
      <c r="E11" s="5">
        <f>'C2 lossyG,lossyA,intra'!$BL$42:$BL$42</f>
        <v>8.2624180641178713E-3</v>
      </c>
      <c r="F11" s="5">
        <f>'C2 lossyG,lossyA,intra'!$BM$42:$BM$42</f>
        <v>-9.4855951340777622E-4</v>
      </c>
      <c r="G11" s="5">
        <f>'C2 lossyG,lossyA,intra'!$BN$42:$BN$42</f>
        <v>1.6255100094186514E-2</v>
      </c>
      <c r="H11" s="5">
        <f>'C2 lossyG,lossyA,intra'!$BP$42:$BP$42</f>
        <v>-1.9149199333230449E-3</v>
      </c>
      <c r="I11" s="5">
        <f>'C2 lossyG,lossyA,intra'!$BQ$42:$BQ$42</f>
        <v>-1.2966973348355004E-2</v>
      </c>
      <c r="J11" s="5">
        <f>'C2 lossyG,lossyA,intra'!$BR$42:$BR$42</f>
        <v>8.7162669312108587E-3</v>
      </c>
      <c r="K11" s="5">
        <f>'C2 lossyG,lossyA,intra'!$BS$42:$BS$42</f>
        <v>4.4588651994736939E-3</v>
      </c>
      <c r="L11" s="5">
        <f>'C2 lossyG,lossyA,intra'!$BT$42:$BT$42</f>
        <v>1.5889386367192948E-2</v>
      </c>
    </row>
    <row r="12" spans="2:12" x14ac:dyDescent="0.3">
      <c r="B12" s="6" t="s">
        <v>301</v>
      </c>
      <c r="C12" s="7">
        <f>'C2 lossyG,lossyA,intra'!$BJ$43:$BJ$43</f>
        <v>2.2766154264186283E-3</v>
      </c>
      <c r="D12" s="7">
        <f>'C2 lossyG,lossyA,intra'!$BK$43:$BK$43</f>
        <v>1.2029671458951841E-3</v>
      </c>
      <c r="E12" s="7">
        <f>'C2 lossyG,lossyA,intra'!$BL$43:$BL$43</f>
        <v>1.0895755737060555E-2</v>
      </c>
      <c r="F12" s="7">
        <f>'C2 lossyG,lossyA,intra'!$BM$43:$BM$43</f>
        <v>1.3343607759694152E-2</v>
      </c>
      <c r="G12" s="7">
        <f>'C2 lossyG,lossyA,intra'!$BN$43:$BN$43</f>
        <v>2.7922159803809792E-2</v>
      </c>
      <c r="H12" s="7">
        <f>'C2 lossyG,lossyA,intra'!$BP$43:$BP$43</f>
        <v>6.710271595010063E-4</v>
      </c>
      <c r="I12" s="7">
        <f>'C2 lossyG,lossyA,intra'!$BQ$43:$BQ$43</f>
        <v>-4.4096485519030826E-3</v>
      </c>
      <c r="J12" s="7">
        <f>'C2 lossyG,lossyA,intra'!$BR$43:$BR$43</f>
        <v>8.8584839066615205E-3</v>
      </c>
      <c r="K12" s="7">
        <f>'C2 lossyG,lossyA,intra'!$BS$43:$BS$43</f>
        <v>1.3049211651552388E-2</v>
      </c>
      <c r="L12" s="7">
        <f>'C2 lossyG,lossyA,intra'!$BT$43:$BT$43</f>
        <v>2.3953209620878848E-2</v>
      </c>
    </row>
    <row r="13" spans="2:12" x14ac:dyDescent="0.3">
      <c r="B13" t="s">
        <v>310</v>
      </c>
      <c r="C13" s="60">
        <f>'C2 lossyG,lossyA,intra'!AZ47</f>
        <v>0.45170546571946552</v>
      </c>
      <c r="D13" s="60"/>
      <c r="E13" s="60"/>
      <c r="F13" s="60"/>
      <c r="G13" s="60"/>
      <c r="H13" s="60"/>
      <c r="I13" s="60"/>
      <c r="J13" s="60"/>
      <c r="K13" s="60"/>
      <c r="L13" s="60"/>
    </row>
    <row r="14" spans="2:12" x14ac:dyDescent="0.3">
      <c r="B14" s="9" t="s">
        <v>311</v>
      </c>
      <c r="C14" s="61">
        <f>'C2 lossyG,lossyA,intra'!BB47</f>
        <v>0.75665537167403807</v>
      </c>
      <c r="D14" s="61"/>
      <c r="E14" s="61"/>
      <c r="F14" s="61"/>
      <c r="G14" s="61"/>
      <c r="H14" s="61"/>
      <c r="I14" s="61"/>
      <c r="J14" s="61"/>
      <c r="K14" s="61"/>
      <c r="L14" s="61"/>
    </row>
    <row r="16" spans="2:12" x14ac:dyDescent="0.3">
      <c r="B16" s="62" t="s">
        <v>397</v>
      </c>
      <c r="C16" s="63" t="s">
        <v>398</v>
      </c>
      <c r="D16" s="63"/>
      <c r="E16" s="63"/>
    </row>
    <row r="17" spans="2:5" x14ac:dyDescent="0.3">
      <c r="B17" s="62"/>
      <c r="C17" s="64" t="s">
        <v>368</v>
      </c>
      <c r="D17" s="64"/>
      <c r="E17" s="64"/>
    </row>
    <row r="18" spans="2:5" x14ac:dyDescent="0.3">
      <c r="B18" s="62"/>
      <c r="C18" s="2" t="s">
        <v>121</v>
      </c>
      <c r="D18" s="2" t="s">
        <v>150</v>
      </c>
      <c r="E18" s="2" t="s">
        <v>118</v>
      </c>
    </row>
    <row r="19" spans="2:5" x14ac:dyDescent="0.3">
      <c r="B19" s="4" t="s">
        <v>298</v>
      </c>
      <c r="C19" s="5" t="e">
        <f>'CW losslG,losslA,intra'!BC12</f>
        <v>#DIV/0!</v>
      </c>
      <c r="D19" s="5" t="e">
        <f>'CW losslG,losslA,intra'!BE12</f>
        <v>#DIV/0!</v>
      </c>
      <c r="E19" s="5" t="e">
        <f>'CW losslG,losslA,intra'!BB12</f>
        <v>#DIV/0!</v>
      </c>
    </row>
    <row r="20" spans="2:5" x14ac:dyDescent="0.3">
      <c r="B20" s="4" t="s">
        <v>299</v>
      </c>
      <c r="C20" s="5" t="e">
        <f>'CW losslG,losslA,intra'!BC13</f>
        <v>#DIV/0!</v>
      </c>
      <c r="D20" s="5" t="e">
        <f>'CW losslG,losslA,intra'!BE13</f>
        <v>#DIV/0!</v>
      </c>
      <c r="E20" s="5" t="e">
        <f>'CW losslG,losslA,intra'!BB13</f>
        <v>#DIV/0!</v>
      </c>
    </row>
    <row r="21" spans="2:5" x14ac:dyDescent="0.3">
      <c r="B21" s="4" t="s">
        <v>300</v>
      </c>
      <c r="C21" s="5" t="e">
        <f>'CW losslG,losslA,intra'!BC14</f>
        <v>#DIV/0!</v>
      </c>
      <c r="D21" s="5" t="e">
        <f>'CW losslG,losslA,intra'!BE14</f>
        <v>#DIV/0!</v>
      </c>
      <c r="E21" s="5" t="e">
        <f>'CW losslG,losslA,intra'!BB14</f>
        <v>#DIV/0!</v>
      </c>
    </row>
    <row r="22" spans="2:5" x14ac:dyDescent="0.3">
      <c r="B22" s="6" t="s">
        <v>301</v>
      </c>
      <c r="C22" s="7" t="e">
        <f>'CW losslG,losslA,intra'!BC15</f>
        <v>#DIV/0!</v>
      </c>
      <c r="D22" s="7" t="e">
        <f>'CW losslG,losslA,intra'!BE15</f>
        <v>#DIV/0!</v>
      </c>
      <c r="E22" s="7" t="e">
        <f>'CW losslG,losslA,intra'!BB15</f>
        <v>#DIV/0!</v>
      </c>
    </row>
    <row r="23" spans="2:5" x14ac:dyDescent="0.3">
      <c r="B23" t="s">
        <v>310</v>
      </c>
      <c r="C23" s="60" t="e">
        <f>'CW losslG,losslA,intra'!AW19</f>
        <v>#NUM!</v>
      </c>
      <c r="D23" s="60"/>
      <c r="E23" s="60"/>
    </row>
    <row r="24" spans="2:5" x14ac:dyDescent="0.3">
      <c r="B24" s="9" t="s">
        <v>311</v>
      </c>
      <c r="C24" s="61" t="e">
        <f>'CW losslG,losslA,intra'!AY19</f>
        <v>#NUM!</v>
      </c>
      <c r="D24" s="61"/>
      <c r="E24" s="61"/>
    </row>
    <row r="26" spans="2:5" s="1" customFormat="1" x14ac:dyDescent="0.3">
      <c r="B26" s="1" t="s">
        <v>477</v>
      </c>
    </row>
    <row r="28" spans="2:5" x14ac:dyDescent="0.3">
      <c r="B28" s="62" t="s">
        <v>478</v>
      </c>
      <c r="C28" s="63" t="s">
        <v>479</v>
      </c>
      <c r="D28" s="63"/>
      <c r="E28" s="63"/>
    </row>
    <row r="29" spans="2:5" x14ac:dyDescent="0.3">
      <c r="B29" s="62"/>
      <c r="C29" s="64" t="s">
        <v>368</v>
      </c>
      <c r="D29" s="64"/>
      <c r="E29" s="64"/>
    </row>
    <row r="30" spans="2:5" x14ac:dyDescent="0.3">
      <c r="B30" s="62"/>
      <c r="C30" s="2" t="s">
        <v>121</v>
      </c>
      <c r="D30" s="2" t="s">
        <v>150</v>
      </c>
      <c r="E30" s="2" t="s">
        <v>118</v>
      </c>
    </row>
    <row r="31" spans="2:5" x14ac:dyDescent="0.3">
      <c r="B31" s="4" t="s">
        <v>298</v>
      </c>
      <c r="C31" s="5" t="e">
        <f>'CW losslG,losslA,interLD'!BC12</f>
        <v>#DIV/0!</v>
      </c>
      <c r="D31" s="5" t="e">
        <f>'CW losslG,losslA,interLD'!BE12</f>
        <v>#DIV/0!</v>
      </c>
      <c r="E31" s="5" t="e">
        <f>'CW losslG,losslA,interLD'!BB12</f>
        <v>#DIV/0!</v>
      </c>
    </row>
    <row r="32" spans="2:5" x14ac:dyDescent="0.3">
      <c r="B32" s="4" t="s">
        <v>299</v>
      </c>
      <c r="C32" s="5" t="e">
        <f>'CW losslG,losslA,interLD'!BC13</f>
        <v>#DIV/0!</v>
      </c>
      <c r="D32" s="5" t="e">
        <f>'CW losslG,losslA,interLD'!BE13</f>
        <v>#DIV/0!</v>
      </c>
      <c r="E32" s="5" t="e">
        <f>'CW losslG,losslA,interLD'!BB13</f>
        <v>#DIV/0!</v>
      </c>
    </row>
    <row r="33" spans="2:12" x14ac:dyDescent="0.3">
      <c r="B33" s="4" t="s">
        <v>300</v>
      </c>
      <c r="C33" s="5" t="e">
        <f>'CW losslG,losslA,interLD'!BC14</f>
        <v>#DIV/0!</v>
      </c>
      <c r="D33" s="5" t="e">
        <f>'CW losslG,losslA,interLD'!BE14</f>
        <v>#DIV/0!</v>
      </c>
      <c r="E33" s="5" t="e">
        <f>'CW losslG,losslA,interLD'!BB14</f>
        <v>#DIV/0!</v>
      </c>
    </row>
    <row r="34" spans="2:12" x14ac:dyDescent="0.3">
      <c r="B34" s="6" t="s">
        <v>301</v>
      </c>
      <c r="C34" s="7" t="e">
        <f>'CW losslG,losslA,interLD'!BC15</f>
        <v>#DIV/0!</v>
      </c>
      <c r="D34" s="7" t="e">
        <f>'CW losslG,losslA,interLD'!BE15</f>
        <v>#DIV/0!</v>
      </c>
      <c r="E34" s="7" t="e">
        <f>'CW losslG,losslA,interLD'!BB15</f>
        <v>#DIV/0!</v>
      </c>
    </row>
    <row r="35" spans="2:12" x14ac:dyDescent="0.3">
      <c r="B35" t="s">
        <v>310</v>
      </c>
      <c r="C35" s="60" t="e">
        <f>'CW losslG,losslA,interLD'!AW19</f>
        <v>#NUM!</v>
      </c>
      <c r="D35" s="60"/>
      <c r="E35" s="60"/>
    </row>
    <row r="36" spans="2:12" x14ac:dyDescent="0.3">
      <c r="B36" s="9" t="s">
        <v>311</v>
      </c>
      <c r="C36" s="61" t="e">
        <f>'CW losslG,losslA,interLD'!AY19</f>
        <v>#NUM!</v>
      </c>
      <c r="D36" s="61"/>
      <c r="E36" s="61"/>
    </row>
    <row r="38" spans="2:12" s="1" customFormat="1" x14ac:dyDescent="0.3">
      <c r="B38" s="1" t="s">
        <v>569</v>
      </c>
    </row>
    <row r="40" spans="2:12" x14ac:dyDescent="0.3">
      <c r="B40" s="62" t="s">
        <v>570</v>
      </c>
      <c r="C40" s="63" t="s">
        <v>571</v>
      </c>
      <c r="D40" s="63"/>
      <c r="E40" s="63"/>
      <c r="F40" s="63"/>
      <c r="G40" s="63"/>
      <c r="H40" s="63"/>
      <c r="I40" s="63"/>
      <c r="J40" s="63"/>
      <c r="K40" s="63"/>
      <c r="L40" s="63"/>
    </row>
    <row r="41" spans="2:12" x14ac:dyDescent="0.3">
      <c r="B41" s="62"/>
      <c r="C41" s="64" t="s">
        <v>240</v>
      </c>
      <c r="D41" s="64"/>
      <c r="E41" s="65" t="s">
        <v>245</v>
      </c>
      <c r="F41" s="65"/>
      <c r="G41" s="65"/>
      <c r="H41" s="64" t="s">
        <v>252</v>
      </c>
      <c r="I41" s="64"/>
      <c r="J41" s="65" t="s">
        <v>257</v>
      </c>
      <c r="K41" s="65"/>
      <c r="L41" s="65"/>
    </row>
    <row r="42" spans="2:12" x14ac:dyDescent="0.3">
      <c r="B42" s="62"/>
      <c r="C42" s="2" t="s">
        <v>154</v>
      </c>
      <c r="D42" s="2" t="s">
        <v>157</v>
      </c>
      <c r="E42" s="3" t="s">
        <v>161</v>
      </c>
      <c r="F42" s="3" t="s">
        <v>164</v>
      </c>
      <c r="G42" s="3" t="s">
        <v>167</v>
      </c>
      <c r="H42" s="2" t="s">
        <v>154</v>
      </c>
      <c r="I42" s="2" t="s">
        <v>157</v>
      </c>
      <c r="J42" s="3" t="s">
        <v>161</v>
      </c>
      <c r="K42" s="3" t="s">
        <v>164</v>
      </c>
      <c r="L42" s="3" t="s">
        <v>167</v>
      </c>
    </row>
    <row r="43" spans="2:12" x14ac:dyDescent="0.3">
      <c r="B43" s="4" t="s">
        <v>298</v>
      </c>
      <c r="C43" s="5">
        <f>'C2 lossyG,lossyA,interRA'!$BJ$40:$BJ$40</f>
        <v>-3.856329393506383E-2</v>
      </c>
      <c r="D43" s="5">
        <f>'C2 lossyG,lossyA,interRA'!$BK$40:$BK$40</f>
        <v>-3.5938865366270389E-2</v>
      </c>
      <c r="E43" s="5">
        <f>'C2 lossyG,lossyA,interRA'!$BL$40:$BL$40</f>
        <v>-4.4192543833624059E-2</v>
      </c>
      <c r="F43" s="5">
        <f>'C2 lossyG,lossyA,interRA'!$BM$40:$BM$40</f>
        <v>-3.0550885077940432E-2</v>
      </c>
      <c r="G43" s="5">
        <f>'C2 lossyG,lossyA,interRA'!$BN$40:$BN$40</f>
        <v>-3.8227759004403672E-2</v>
      </c>
      <c r="H43" s="5">
        <f>'C2 lossyG,lossyA,interRA'!$BP$40:$BP$40</f>
        <v>-4.8104409403664589E-2</v>
      </c>
      <c r="I43" s="5">
        <f>'C2 lossyG,lossyA,interRA'!$BQ$40:$BQ$40</f>
        <v>-4.8396325701079185E-2</v>
      </c>
      <c r="J43" s="5">
        <f>'C2 lossyG,lossyA,interRA'!$BR$40:$BR$40</f>
        <v>-3.1425205103307069E-2</v>
      </c>
      <c r="K43" s="5">
        <f>'C2 lossyG,lossyA,interRA'!$BS$40:$BS$40</f>
        <v>-2.0313158795034203E-2</v>
      </c>
      <c r="L43" s="5">
        <f>'C2 lossyG,lossyA,interRA'!$BT$40:$BT$40</f>
        <v>-2.547158140771244E-2</v>
      </c>
    </row>
    <row r="44" spans="2:12" x14ac:dyDescent="0.3">
      <c r="B44" s="4" t="s">
        <v>299</v>
      </c>
      <c r="C44" s="5">
        <f>'C2 lossyG,lossyA,interRA'!$BJ$41:$BJ$41</f>
        <v>-2.7546590046095054E-2</v>
      </c>
      <c r="D44" s="5">
        <f>'C2 lossyG,lossyA,interRA'!$BK$41:$BK$41</f>
        <v>-2.6662764888080615E-2</v>
      </c>
      <c r="E44" s="5">
        <f>'C2 lossyG,lossyA,interRA'!$BL$41:$BL$41</f>
        <v>-1.4752299925687606E-2</v>
      </c>
      <c r="F44" s="5">
        <f>'C2 lossyG,lossyA,interRA'!$BM$41:$BM$41</f>
        <v>1.0136509138181538E-2</v>
      </c>
      <c r="G44" s="5">
        <f>'C2 lossyG,lossyA,interRA'!$BN$41:$BN$41</f>
        <v>2.1517825902350518E-2</v>
      </c>
      <c r="H44" s="5">
        <f>'C2 lossyG,lossyA,interRA'!$BP$41:$BP$41</f>
        <v>-2.6173161035121351E-2</v>
      </c>
      <c r="I44" s="5">
        <f>'C2 lossyG,lossyA,interRA'!$BQ$41:$BQ$41</f>
        <v>-3.4061483395320225E-2</v>
      </c>
      <c r="J44" s="5">
        <f>'C2 lossyG,lossyA,interRA'!$BR$41:$BR$41</f>
        <v>-1.6076271677097353E-2</v>
      </c>
      <c r="K44" s="5">
        <f>'C2 lossyG,lossyA,interRA'!$BS$41:$BS$41</f>
        <v>4.2842163026282076E-3</v>
      </c>
      <c r="L44" s="5">
        <f>'C2 lossyG,lossyA,interRA'!$BT$41:$BT$41</f>
        <v>1.3277001085313378E-2</v>
      </c>
    </row>
    <row r="45" spans="2:12" x14ac:dyDescent="0.3">
      <c r="B45" s="4" t="s">
        <v>300</v>
      </c>
      <c r="C45" s="5">
        <f>'C2 lossyG,lossyA,interRA'!$BJ$42:$BJ$42</f>
        <v>6.3246362992296912E-3</v>
      </c>
      <c r="D45" s="5">
        <f>'C2 lossyG,lossyA,interRA'!$BK$42:$BK$42</f>
        <v>2.1174194911863786E-3</v>
      </c>
      <c r="E45" s="5">
        <f>'C2 lossyG,lossyA,interRA'!$BL$42:$BL$42</f>
        <v>8.8009454868100412E-3</v>
      </c>
      <c r="F45" s="5">
        <f>'C2 lossyG,lossyA,interRA'!$BM$42:$BM$42</f>
        <v>2.4285832800717277E-3</v>
      </c>
      <c r="G45" s="5">
        <f>'C2 lossyG,lossyA,interRA'!$BN$42:$BN$42</f>
        <v>-2.2832686466412844E-2</v>
      </c>
      <c r="H45" s="5">
        <f>'C2 lossyG,lossyA,interRA'!$BP$42:$BP$42</f>
        <v>-7.6834036588929733E-4</v>
      </c>
      <c r="I45" s="5">
        <f>'C2 lossyG,lossyA,interRA'!$BQ$42:$BQ$42</f>
        <v>-1.0762916987798243E-2</v>
      </c>
      <c r="J45" s="5">
        <f>'C2 lossyG,lossyA,interRA'!$BR$42:$BR$42</f>
        <v>1.085984923348815E-2</v>
      </c>
      <c r="K45" s="5">
        <f>'C2 lossyG,lossyA,interRA'!$BS$42:$BS$42</f>
        <v>5.8804291250802443E-3</v>
      </c>
      <c r="L45" s="5">
        <f>'C2 lossyG,lossyA,interRA'!$BT$42:$BT$42</f>
        <v>-5.8505921192069099E-3</v>
      </c>
    </row>
    <row r="46" spans="2:12" x14ac:dyDescent="0.3">
      <c r="B46" s="6" t="s">
        <v>301</v>
      </c>
      <c r="C46" s="7">
        <f>'C2 lossyG,lossyA,interRA'!$BJ$43:$BJ$43</f>
        <v>-2.4164356169698715E-2</v>
      </c>
      <c r="D46" s="7">
        <f>'C2 lossyG,lossyA,interRA'!$BK$43:$BK$43</f>
        <v>-2.3740483910112773E-2</v>
      </c>
      <c r="E46" s="7">
        <f>'C2 lossyG,lossyA,interRA'!$BL$43:$BL$43</f>
        <v>-2.4845797755223394E-2</v>
      </c>
      <c r="F46" s="7">
        <f>'C2 lossyG,lossyA,interRA'!$BM$43:$BM$43</f>
        <v>-1.5315694944776677E-2</v>
      </c>
      <c r="G46" s="7">
        <f>'C2 lossyG,lossyA,interRA'!$BN$43:$BN$43</f>
        <v>-2.5294083292584264E-2</v>
      </c>
      <c r="H46" s="7">
        <f>'C2 lossyG,lossyA,interRA'!$BP$43:$BP$43</f>
        <v>-3.1446782768794042E-2</v>
      </c>
      <c r="I46" s="7">
        <f>'C2 lossyG,lossyA,interRA'!$BQ$43:$BQ$43</f>
        <v>-3.5596088596461919E-2</v>
      </c>
      <c r="J46" s="7">
        <f>'C2 lossyG,lossyA,interRA'!$BR$43:$BR$43</f>
        <v>-1.7151056231907047E-2</v>
      </c>
      <c r="K46" s="7">
        <f>'C2 lossyG,lossyA,interRA'!$BS$43:$BS$43</f>
        <v>-9.3153658039068742E-3</v>
      </c>
      <c r="L46" s="7">
        <f>'C2 lossyG,lossyA,interRA'!$BT$43:$BT$43</f>
        <v>-1.4330072683421458E-2</v>
      </c>
    </row>
    <row r="47" spans="2:12" x14ac:dyDescent="0.3">
      <c r="B47" t="s">
        <v>310</v>
      </c>
      <c r="C47" s="60">
        <f>'C2 lossyG,lossyA,interRA'!AZ47</f>
        <v>0.44387280638813237</v>
      </c>
      <c r="D47" s="60"/>
      <c r="E47" s="60"/>
      <c r="F47" s="60"/>
      <c r="G47" s="60"/>
      <c r="H47" s="60"/>
      <c r="I47" s="60"/>
      <c r="J47" s="60"/>
      <c r="K47" s="60"/>
      <c r="L47" s="60"/>
    </row>
    <row r="48" spans="2:12" x14ac:dyDescent="0.3">
      <c r="B48" s="9" t="s">
        <v>311</v>
      </c>
      <c r="C48" s="61">
        <f>'C2 lossyG,lossyA,interRA'!BB47</f>
        <v>0.68319010065435948</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39"/>
  <sheetViews>
    <sheetView workbookViewId="0"/>
  </sheetViews>
  <sheetFormatPr defaultRowHeight="14.4" x14ac:dyDescent="0.3"/>
  <cols>
    <col min="1" max="1" width="12.6640625" customWidth="1"/>
    <col min="2" max="2" width="24.6640625" customWidth="1"/>
    <col min="4" max="4" width="24.6640625" customWidth="1"/>
    <col min="9" max="9" width="16.6640625" customWidth="1"/>
  </cols>
  <sheetData>
    <row r="1" spans="1:16" x14ac:dyDescent="0.3">
      <c r="A1" t="s">
        <v>81</v>
      </c>
      <c r="B1" s="10" t="str">
        <f>M1</f>
        <v>C2 lossyG,lossyA,intra</v>
      </c>
      <c r="C1" t="s">
        <v>82</v>
      </c>
      <c r="I1" t="s">
        <v>4</v>
      </c>
      <c r="M1" t="s">
        <v>312</v>
      </c>
      <c r="N1" t="s">
        <v>399</v>
      </c>
      <c r="O1" t="s">
        <v>480</v>
      </c>
      <c r="P1" t="s">
        <v>572</v>
      </c>
    </row>
    <row r="2" spans="1:16" x14ac:dyDescent="0.3">
      <c r="A2" t="s">
        <v>83</v>
      </c>
      <c r="B2" s="10" t="str">
        <f>HLOOKUP(B1,M1:ZZ3,3,0)</f>
        <v>8ivfbv2_loot_vox10</v>
      </c>
      <c r="C2" t="s">
        <v>84</v>
      </c>
      <c r="I2" t="s">
        <v>5</v>
      </c>
      <c r="J2" t="s">
        <v>6</v>
      </c>
      <c r="M2" t="s">
        <v>314</v>
      </c>
      <c r="N2" t="s">
        <v>401</v>
      </c>
      <c r="O2" t="s">
        <v>482</v>
      </c>
      <c r="P2" t="s">
        <v>574</v>
      </c>
    </row>
    <row r="3" spans="1:16" x14ac:dyDescent="0.3">
      <c r="I3" t="s">
        <v>7</v>
      </c>
      <c r="J3" t="s">
        <v>8</v>
      </c>
      <c r="M3" t="s">
        <v>269</v>
      </c>
      <c r="N3" t="s">
        <v>269</v>
      </c>
      <c r="O3" t="s">
        <v>269</v>
      </c>
      <c r="P3" t="s">
        <v>269</v>
      </c>
    </row>
    <row r="4" spans="1:16" x14ac:dyDescent="0.3">
      <c r="A4" t="s">
        <v>85</v>
      </c>
      <c r="B4" s="10" t="s">
        <v>73</v>
      </c>
      <c r="C4" t="s">
        <v>86</v>
      </c>
      <c r="D4" s="10" t="s">
        <v>15</v>
      </c>
      <c r="E4" t="s">
        <v>87</v>
      </c>
      <c r="I4" t="s">
        <v>9</v>
      </c>
      <c r="J4" t="s">
        <v>10</v>
      </c>
      <c r="M4" t="s">
        <v>278</v>
      </c>
      <c r="N4" t="s">
        <v>278</v>
      </c>
      <c r="O4" t="s">
        <v>278</v>
      </c>
      <c r="P4" t="s">
        <v>278</v>
      </c>
    </row>
    <row r="5" spans="1:16" x14ac:dyDescent="0.3">
      <c r="A5" t="s">
        <v>85</v>
      </c>
      <c r="B5" s="10" t="s">
        <v>73</v>
      </c>
      <c r="C5" t="s">
        <v>86</v>
      </c>
      <c r="D5" s="10" t="s">
        <v>19</v>
      </c>
      <c r="E5" t="s">
        <v>88</v>
      </c>
      <c r="I5" t="s">
        <v>11</v>
      </c>
      <c r="J5" t="s">
        <v>12</v>
      </c>
      <c r="M5" t="s">
        <v>281</v>
      </c>
      <c r="N5" t="s">
        <v>281</v>
      </c>
      <c r="O5" t="s">
        <v>281</v>
      </c>
      <c r="P5" t="s">
        <v>281</v>
      </c>
    </row>
    <row r="6" spans="1:16" x14ac:dyDescent="0.3">
      <c r="A6" t="s">
        <v>85</v>
      </c>
      <c r="B6" s="10" t="s">
        <v>71</v>
      </c>
      <c r="C6" t="s">
        <v>86</v>
      </c>
      <c r="D6" s="10" t="s">
        <v>45</v>
      </c>
      <c r="E6" t="s">
        <v>89</v>
      </c>
      <c r="I6" t="s">
        <v>13</v>
      </c>
      <c r="J6" t="s">
        <v>14</v>
      </c>
      <c r="M6" t="s">
        <v>284</v>
      </c>
      <c r="N6" t="s">
        <v>284</v>
      </c>
      <c r="O6" t="s">
        <v>284</v>
      </c>
      <c r="P6" t="s">
        <v>284</v>
      </c>
    </row>
    <row r="7" spans="1:16" x14ac:dyDescent="0.3">
      <c r="A7" t="s">
        <v>85</v>
      </c>
      <c r="B7" s="10" t="s">
        <v>71</v>
      </c>
      <c r="C7" t="s">
        <v>86</v>
      </c>
      <c r="D7" s="10" t="s">
        <v>7</v>
      </c>
      <c r="E7" t="s">
        <v>90</v>
      </c>
      <c r="I7" t="s">
        <v>15</v>
      </c>
      <c r="J7" t="s">
        <v>16</v>
      </c>
      <c r="M7" t="s">
        <v>287</v>
      </c>
      <c r="N7" t="s">
        <v>287</v>
      </c>
      <c r="O7" t="s">
        <v>287</v>
      </c>
      <c r="P7" t="s">
        <v>287</v>
      </c>
    </row>
    <row r="8" spans="1:16" x14ac:dyDescent="0.3">
      <c r="A8" t="s">
        <v>85</v>
      </c>
      <c r="B8" s="10" t="s">
        <v>71</v>
      </c>
      <c r="C8" t="s">
        <v>86</v>
      </c>
      <c r="D8" s="10" t="s">
        <v>11</v>
      </c>
      <c r="E8" t="s">
        <v>91</v>
      </c>
      <c r="I8" t="s">
        <v>17</v>
      </c>
      <c r="J8" t="s">
        <v>18</v>
      </c>
      <c r="M8" t="s">
        <v>291</v>
      </c>
      <c r="N8" t="s">
        <v>291</v>
      </c>
      <c r="O8" t="s">
        <v>291</v>
      </c>
      <c r="P8" t="s">
        <v>291</v>
      </c>
    </row>
    <row r="9" spans="1:16" x14ac:dyDescent="0.3">
      <c r="A9" t="s">
        <v>85</v>
      </c>
      <c r="B9" s="10" t="s">
        <v>77</v>
      </c>
      <c r="C9" t="s">
        <v>86</v>
      </c>
      <c r="D9" s="10" t="s">
        <v>35</v>
      </c>
      <c r="E9" t="s">
        <v>92</v>
      </c>
      <c r="I9" t="s">
        <v>19</v>
      </c>
      <c r="J9" t="s">
        <v>20</v>
      </c>
      <c r="M9" t="s">
        <v>295</v>
      </c>
      <c r="N9" t="s">
        <v>295</v>
      </c>
      <c r="O9" t="s">
        <v>295</v>
      </c>
      <c r="P9" t="s">
        <v>295</v>
      </c>
    </row>
    <row r="10" spans="1:16" x14ac:dyDescent="0.3">
      <c r="I10" t="s">
        <v>21</v>
      </c>
      <c r="J10" t="s">
        <v>22</v>
      </c>
    </row>
    <row r="11" spans="1:16" x14ac:dyDescent="0.3">
      <c r="I11" t="s">
        <v>23</v>
      </c>
      <c r="J11" t="s">
        <v>24</v>
      </c>
    </row>
    <row r="12" spans="1:16" x14ac:dyDescent="0.3">
      <c r="I12" t="s">
        <v>25</v>
      </c>
      <c r="J12" t="s">
        <v>26</v>
      </c>
    </row>
    <row r="13" spans="1:16" x14ac:dyDescent="0.3">
      <c r="I13" t="s">
        <v>27</v>
      </c>
      <c r="J13" t="s">
        <v>28</v>
      </c>
    </row>
    <row r="14" spans="1:16" x14ac:dyDescent="0.3">
      <c r="I14" t="s">
        <v>29</v>
      </c>
      <c r="J14" t="s">
        <v>30</v>
      </c>
    </row>
    <row r="15" spans="1:16" x14ac:dyDescent="0.3">
      <c r="I15" t="s">
        <v>31</v>
      </c>
      <c r="J15" t="s">
        <v>32</v>
      </c>
    </row>
    <row r="16" spans="1:16" x14ac:dyDescent="0.3">
      <c r="I16" t="s">
        <v>33</v>
      </c>
      <c r="J16" t="s">
        <v>34</v>
      </c>
    </row>
    <row r="17" spans="9:10" x14ac:dyDescent="0.3">
      <c r="I17" t="s">
        <v>35</v>
      </c>
      <c r="J17" t="s">
        <v>36</v>
      </c>
    </row>
    <row r="18" spans="9:10" x14ac:dyDescent="0.3">
      <c r="I18" t="s">
        <v>37</v>
      </c>
      <c r="J18" t="s">
        <v>38</v>
      </c>
    </row>
    <row r="19" spans="9:10" x14ac:dyDescent="0.3">
      <c r="I19" t="s">
        <v>39</v>
      </c>
      <c r="J19" t="s">
        <v>40</v>
      </c>
    </row>
    <row r="20" spans="9:10" x14ac:dyDescent="0.3">
      <c r="I20" t="s">
        <v>41</v>
      </c>
      <c r="J20" t="s">
        <v>42</v>
      </c>
    </row>
    <row r="21" spans="9:10" x14ac:dyDescent="0.3">
      <c r="I21" t="s">
        <v>43</v>
      </c>
      <c r="J21" t="s">
        <v>44</v>
      </c>
    </row>
    <row r="22" spans="9:10" x14ac:dyDescent="0.3">
      <c r="I22" t="s">
        <v>45</v>
      </c>
      <c r="J22" t="s">
        <v>46</v>
      </c>
    </row>
    <row r="23" spans="9:10" x14ac:dyDescent="0.3">
      <c r="I23" t="s">
        <v>47</v>
      </c>
      <c r="J23" t="s">
        <v>48</v>
      </c>
    </row>
    <row r="24" spans="9:10" x14ac:dyDescent="0.3">
      <c r="I24" t="s">
        <v>49</v>
      </c>
      <c r="J24" t="s">
        <v>50</v>
      </c>
    </row>
    <row r="25" spans="9:10" x14ac:dyDescent="0.3">
      <c r="I25" t="s">
        <v>51</v>
      </c>
      <c r="J25" t="s">
        <v>52</v>
      </c>
    </row>
    <row r="26" spans="9:10" x14ac:dyDescent="0.3">
      <c r="I26" t="s">
        <v>53</v>
      </c>
      <c r="J26" t="s">
        <v>54</v>
      </c>
    </row>
    <row r="27" spans="9:10" x14ac:dyDescent="0.3">
      <c r="I27" t="s">
        <v>55</v>
      </c>
      <c r="J27" t="s">
        <v>56</v>
      </c>
    </row>
    <row r="28" spans="9:10" x14ac:dyDescent="0.3">
      <c r="I28" t="s">
        <v>57</v>
      </c>
      <c r="J28" t="s">
        <v>58</v>
      </c>
    </row>
    <row r="29" spans="9:10" x14ac:dyDescent="0.3">
      <c r="I29" t="s">
        <v>59</v>
      </c>
      <c r="J29" t="s">
        <v>60</v>
      </c>
    </row>
    <row r="30" spans="9:10" x14ac:dyDescent="0.3">
      <c r="I30" t="s">
        <v>61</v>
      </c>
      <c r="J30" t="s">
        <v>62</v>
      </c>
    </row>
    <row r="31" spans="9:10" x14ac:dyDescent="0.3">
      <c r="I31" t="s">
        <v>63</v>
      </c>
      <c r="J31" t="s">
        <v>64</v>
      </c>
    </row>
    <row r="32" spans="9:10" x14ac:dyDescent="0.3">
      <c r="I32" t="s">
        <v>65</v>
      </c>
      <c r="J32" t="s">
        <v>66</v>
      </c>
    </row>
    <row r="33" spans="9:10" x14ac:dyDescent="0.3">
      <c r="I33" t="s">
        <v>67</v>
      </c>
      <c r="J33" t="s">
        <v>68</v>
      </c>
    </row>
    <row r="34" spans="9:10" x14ac:dyDescent="0.3">
      <c r="I34" t="s">
        <v>69</v>
      </c>
      <c r="J34" t="s">
        <v>70</v>
      </c>
    </row>
    <row r="35" spans="9:10" x14ac:dyDescent="0.3">
      <c r="I35" t="s">
        <v>71</v>
      </c>
      <c r="J35" t="s">
        <v>72</v>
      </c>
    </row>
    <row r="36" spans="9:10" x14ac:dyDescent="0.3">
      <c r="I36" t="s">
        <v>73</v>
      </c>
      <c r="J36" t="s">
        <v>74</v>
      </c>
    </row>
    <row r="37" spans="9:10" x14ac:dyDescent="0.3">
      <c r="I37" t="s">
        <v>75</v>
      </c>
      <c r="J37" t="s">
        <v>76</v>
      </c>
    </row>
    <row r="38" spans="9:10" x14ac:dyDescent="0.3">
      <c r="I38" t="s">
        <v>77</v>
      </c>
      <c r="J38" t="s">
        <v>78</v>
      </c>
    </row>
    <row r="39" spans="9:10" x14ac:dyDescent="0.3">
      <c r="I39" t="s">
        <v>79</v>
      </c>
      <c r="J39" t="s">
        <v>80</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14">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
      <formula1>Graphs!filter_cols</formula1>
    </dataValidation>
    <dataValidation type="list" allowBlank="1" showInputMessage="1" showErrorMessage="1" sqref="D4">
      <formula1>Graphs!filter_cols</formula1>
    </dataValidation>
    <dataValidation type="list" allowBlank="1" showInputMessage="1" showErrorMessage="1" sqref="B5">
      <formula1>Graphs!filter_cols</formula1>
    </dataValidation>
    <dataValidation type="list" allowBlank="1" showInputMessage="1" showErrorMessage="1" sqref="D5">
      <formula1>Graphs!filter_cols</formula1>
    </dataValidation>
    <dataValidation type="list" allowBlank="1" showInputMessage="1" showErrorMessage="1" sqref="B6">
      <formula1>Graphs!filter_cols</formula1>
    </dataValidation>
    <dataValidation type="list" allowBlank="1" showInputMessage="1" showErrorMessage="1" sqref="D6">
      <formula1>Graphs!filter_cols</formula1>
    </dataValidation>
    <dataValidation type="list" allowBlank="1" showInputMessage="1" showErrorMessage="1" sqref="B7">
      <formula1>Graphs!filter_cols</formula1>
    </dataValidation>
    <dataValidation type="list" allowBlank="1" showInputMessage="1" showErrorMessage="1" sqref="D7">
      <formula1>Graphs!filter_cols</formula1>
    </dataValidation>
    <dataValidation type="list" allowBlank="1" showInputMessage="1" showErrorMessage="1" sqref="B8">
      <formula1>Graphs!filter_cols</formula1>
    </dataValidation>
    <dataValidation type="list" allowBlank="1" showInputMessage="1" showErrorMessage="1" sqref="D8">
      <formula1>Graphs!filter_cols</formula1>
    </dataValidation>
    <dataValidation type="list" allowBlank="1" showInputMessage="1" showErrorMessage="1" sqref="B9">
      <formula1>Graphs!filter_cols</formula1>
    </dataValidation>
    <dataValidation type="list" allowBlank="1" showInputMessage="1" showErrorMessage="1" sqref="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G47"/>
  <sheetViews>
    <sheetView zoomScale="130" zoomScaleNormal="130" workbookViewId="0">
      <pane xSplit="2" ySplit="4" topLeftCell="C13" activePane="bottomRight" state="frozen"/>
      <selection pane="topRight" activeCell="C1" sqref="C1"/>
      <selection pane="bottomLeft" activeCell="A5" sqref="A5"/>
      <selection pane="bottomRight" activeCell="I1" sqref="I1:AE1"/>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9.5546875" customWidth="1"/>
    <col min="79" max="79" width="10.33203125" customWidth="1"/>
  </cols>
  <sheetData>
    <row r="1" spans="1:85" x14ac:dyDescent="0.3">
      <c r="A1" s="74" t="s">
        <v>264</v>
      </c>
      <c r="B1" s="74"/>
      <c r="C1" s="74"/>
      <c r="D1" s="74"/>
      <c r="E1" s="74"/>
      <c r="F1" s="74"/>
      <c r="G1" s="74"/>
      <c r="I1" s="66" t="s">
        <v>583</v>
      </c>
      <c r="J1" s="66"/>
      <c r="K1" s="66"/>
      <c r="L1" s="66"/>
      <c r="M1" s="66"/>
      <c r="N1" s="66"/>
      <c r="O1" s="66"/>
      <c r="P1" s="66"/>
      <c r="Q1" s="66"/>
      <c r="R1" s="66"/>
      <c r="S1" s="66"/>
      <c r="T1" s="66"/>
      <c r="U1" s="66"/>
      <c r="V1" s="66"/>
      <c r="W1" s="66"/>
      <c r="X1" s="66"/>
      <c r="Y1" s="66"/>
      <c r="Z1" s="66"/>
      <c r="AA1" s="66"/>
      <c r="AB1" s="66"/>
      <c r="AC1" s="66"/>
      <c r="AD1" s="66"/>
      <c r="AE1" s="66"/>
      <c r="AG1" s="67" t="s">
        <v>584</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35">
      <c r="A2" s="76" t="s">
        <v>93</v>
      </c>
      <c r="B2" s="75" t="s">
        <v>96</v>
      </c>
      <c r="C2" s="76" t="s">
        <v>99</v>
      </c>
      <c r="D2" s="75" t="s">
        <v>102</v>
      </c>
      <c r="E2" s="76" t="s">
        <v>105</v>
      </c>
      <c r="F2" s="75" t="s">
        <v>108</v>
      </c>
      <c r="G2" s="76" t="s">
        <v>111</v>
      </c>
      <c r="I2" s="75" t="s">
        <v>114</v>
      </c>
      <c r="J2" s="73" t="s">
        <v>117</v>
      </c>
      <c r="K2" s="73"/>
      <c r="L2" s="73"/>
      <c r="M2" s="73"/>
      <c r="N2" s="76" t="s">
        <v>130</v>
      </c>
      <c r="O2" s="75" t="s">
        <v>133</v>
      </c>
      <c r="P2" s="76" t="s">
        <v>24</v>
      </c>
      <c r="Q2" s="75" t="s">
        <v>26</v>
      </c>
      <c r="R2" s="76" t="s">
        <v>22</v>
      </c>
      <c r="S2" s="72" t="s">
        <v>142</v>
      </c>
      <c r="T2" s="72"/>
      <c r="U2" s="72"/>
      <c r="V2" s="72"/>
      <c r="W2" s="73" t="s">
        <v>153</v>
      </c>
      <c r="X2" s="73"/>
      <c r="Y2" s="72" t="s">
        <v>160</v>
      </c>
      <c r="Z2" s="72"/>
      <c r="AA2" s="72"/>
      <c r="AB2" s="73" t="s">
        <v>170</v>
      </c>
      <c r="AC2" s="73"/>
      <c r="AD2" s="72" t="s">
        <v>177</v>
      </c>
      <c r="AE2" s="72"/>
      <c r="AG2" s="76" t="s">
        <v>114</v>
      </c>
      <c r="AH2" s="72" t="s">
        <v>117</v>
      </c>
      <c r="AI2" s="72"/>
      <c r="AJ2" s="72"/>
      <c r="AK2" s="72"/>
      <c r="AL2" s="75" t="s">
        <v>192</v>
      </c>
      <c r="AM2" s="76" t="s">
        <v>133</v>
      </c>
      <c r="AN2" s="75" t="s">
        <v>24</v>
      </c>
      <c r="AO2" s="76" t="s">
        <v>26</v>
      </c>
      <c r="AP2" s="75" t="s">
        <v>22</v>
      </c>
      <c r="AQ2" s="73" t="s">
        <v>142</v>
      </c>
      <c r="AR2" s="73"/>
      <c r="AS2" s="73"/>
      <c r="AT2" s="73"/>
      <c r="AU2" s="72" t="s">
        <v>153</v>
      </c>
      <c r="AV2" s="72"/>
      <c r="AW2" s="73" t="s">
        <v>160</v>
      </c>
      <c r="AX2" s="73"/>
      <c r="AY2" s="73"/>
      <c r="AZ2" s="72" t="s">
        <v>170</v>
      </c>
      <c r="BA2" s="72"/>
      <c r="BB2" s="73" t="s">
        <v>177</v>
      </c>
      <c r="BC2" s="73"/>
      <c r="BE2" s="75" t="s">
        <v>229</v>
      </c>
      <c r="BF2" s="76" t="s">
        <v>232</v>
      </c>
      <c r="BG2" s="75" t="s">
        <v>235</v>
      </c>
      <c r="BH2" s="76" t="s">
        <v>235</v>
      </c>
      <c r="BJ2" s="72" t="s">
        <v>240</v>
      </c>
      <c r="BK2" s="72"/>
      <c r="BL2" s="73" t="s">
        <v>245</v>
      </c>
      <c r="BM2" s="73"/>
      <c r="BN2" s="73"/>
      <c r="BP2" s="72" t="s">
        <v>252</v>
      </c>
      <c r="BQ2" s="72"/>
      <c r="BR2" s="73" t="s">
        <v>257</v>
      </c>
      <c r="BS2" s="73"/>
      <c r="BT2" s="73"/>
      <c r="BV2" s="69" t="s">
        <v>576</v>
      </c>
      <c r="BW2" s="70" t="s">
        <v>577</v>
      </c>
      <c r="BX2" s="69" t="s">
        <v>578</v>
      </c>
      <c r="BY2" s="68" t="s">
        <v>579</v>
      </c>
      <c r="BZ2" s="68"/>
      <c r="CA2" s="68"/>
      <c r="CB2" s="68"/>
      <c r="CC2" s="71" t="s">
        <v>580</v>
      </c>
      <c r="CD2" s="71"/>
      <c r="CE2" s="68" t="s">
        <v>581</v>
      </c>
      <c r="CF2" s="68"/>
      <c r="CG2" s="68"/>
    </row>
    <row r="3" spans="1:85" ht="29.4" thickBot="1" x14ac:dyDescent="0.35">
      <c r="A3" s="76"/>
      <c r="B3" s="75"/>
      <c r="C3" s="76"/>
      <c r="D3" s="75"/>
      <c r="E3" s="76"/>
      <c r="F3" s="75"/>
      <c r="G3" s="76"/>
      <c r="I3" s="75"/>
      <c r="J3" s="11" t="s">
        <v>118</v>
      </c>
      <c r="K3" s="11" t="s">
        <v>121</v>
      </c>
      <c r="L3" s="11" t="s">
        <v>124</v>
      </c>
      <c r="M3" s="11" t="s">
        <v>127</v>
      </c>
      <c r="N3" s="76"/>
      <c r="O3" s="75"/>
      <c r="P3" s="76"/>
      <c r="Q3" s="75"/>
      <c r="R3" s="76"/>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76"/>
      <c r="AH3" s="12" t="s">
        <v>118</v>
      </c>
      <c r="AI3" s="12" t="s">
        <v>121</v>
      </c>
      <c r="AJ3" s="12" t="s">
        <v>124</v>
      </c>
      <c r="AK3" s="12" t="s">
        <v>127</v>
      </c>
      <c r="AL3" s="75"/>
      <c r="AM3" s="76"/>
      <c r="AN3" s="75"/>
      <c r="AO3" s="76"/>
      <c r="AP3" s="75"/>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5"/>
      <c r="BF3" s="76"/>
      <c r="BG3" s="75"/>
      <c r="BH3" s="76"/>
      <c r="BJ3" s="12" t="s">
        <v>154</v>
      </c>
      <c r="BK3" s="12" t="s">
        <v>157</v>
      </c>
      <c r="BL3" s="11" t="s">
        <v>161</v>
      </c>
      <c r="BM3" s="11" t="s">
        <v>164</v>
      </c>
      <c r="BN3" s="11" t="s">
        <v>167</v>
      </c>
      <c r="BP3" s="12" t="s">
        <v>154</v>
      </c>
      <c r="BQ3" s="12" t="s">
        <v>157</v>
      </c>
      <c r="BR3" s="11" t="s">
        <v>161</v>
      </c>
      <c r="BS3" s="11" t="s">
        <v>164</v>
      </c>
      <c r="BT3" s="11" t="s">
        <v>167</v>
      </c>
      <c r="BV3" s="69"/>
      <c r="BW3" s="70"/>
      <c r="BX3" s="69"/>
      <c r="BY3" s="58" t="s">
        <v>118</v>
      </c>
      <c r="BZ3" s="58" t="s">
        <v>124</v>
      </c>
      <c r="CA3" s="58" t="s">
        <v>147</v>
      </c>
      <c r="CB3" s="58" t="s">
        <v>150</v>
      </c>
      <c r="CC3" s="59" t="s">
        <v>154</v>
      </c>
      <c r="CD3" s="59" t="s">
        <v>157</v>
      </c>
      <c r="CE3" s="58" t="s">
        <v>161</v>
      </c>
      <c r="CF3" s="58" t="s">
        <v>164</v>
      </c>
      <c r="CG3" s="58" t="s">
        <v>167</v>
      </c>
    </row>
    <row r="4" spans="1:85" ht="121.2" hidden="1" thickBot="1" x14ac:dyDescent="0.3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3">
      <c r="A5" s="15" t="s">
        <v>270</v>
      </c>
      <c r="B5" s="15" t="s">
        <v>269</v>
      </c>
      <c r="C5" s="16" t="s">
        <v>271</v>
      </c>
      <c r="D5" s="15">
        <v>24964341</v>
      </c>
      <c r="E5" s="16">
        <v>10</v>
      </c>
      <c r="F5" s="16">
        <v>32</v>
      </c>
      <c r="G5" s="16">
        <v>30</v>
      </c>
      <c r="I5" s="17">
        <f t="shared" ref="I5:I39" si="0">IF(OR(ISBLANK(S5),ISBLANK(G5)),"·",S5*G5/F5/1000000)</f>
        <v>2.2731150000000002</v>
      </c>
      <c r="J5" s="18">
        <f t="shared" ref="J5:J39" si="1">IF(ISBLANK(S5),"·",S5/D5)</f>
        <v>9.7124774893917687E-2</v>
      </c>
      <c r="K5" s="18">
        <f t="shared" ref="K5:K39" si="2">IF(N5="","·",N5/D5)</f>
        <v>6.1660429970893285E-2</v>
      </c>
      <c r="L5" s="18">
        <f t="shared" ref="L5:L39" si="3">IF(T5="","·",T5/D5)</f>
        <v>3.3921023591209555E-2</v>
      </c>
      <c r="M5" s="18">
        <f t="shared" ref="M5:M39" si="4">IF(ISBLANK(V5),"·",V5/D5)</f>
        <v>3.5464344923024402E-2</v>
      </c>
      <c r="N5" s="15">
        <f t="shared" ref="N5:N39" si="5">IF(OR(ISBLANK(T5),ISBLANK(U5)),"",T5+U5)</f>
        <v>1539312</v>
      </c>
      <c r="O5" s="18">
        <f t="shared" ref="O5:O39" si="6">IF(ISBLANK(S5),"·",S5/P5)</f>
        <v>0.11193113259816691</v>
      </c>
      <c r="P5" s="19">
        <v>21662034</v>
      </c>
      <c r="Q5" s="19">
        <v>676938.5625</v>
      </c>
      <c r="R5" s="19">
        <v>14041.6875</v>
      </c>
      <c r="S5" s="20">
        <v>2424656</v>
      </c>
      <c r="T5" s="20">
        <v>846816</v>
      </c>
      <c r="U5" s="20">
        <v>692496</v>
      </c>
      <c r="V5" s="20">
        <v>885344</v>
      </c>
      <c r="W5" s="21">
        <v>66.332715625000006</v>
      </c>
      <c r="X5" s="21">
        <v>68.421768749999998</v>
      </c>
      <c r="Y5" s="21">
        <v>32.160259375000003</v>
      </c>
      <c r="Z5" s="21">
        <v>44.153634375000003</v>
      </c>
      <c r="AA5" s="21">
        <v>43.744034374999998</v>
      </c>
      <c r="AB5" s="22">
        <v>4582.8100000000004</v>
      </c>
      <c r="AC5" s="22">
        <v>2548.2800000000002</v>
      </c>
      <c r="AD5" s="22">
        <v>13.425000000000001</v>
      </c>
      <c r="AE5" s="22">
        <v>45.069000000000003</v>
      </c>
      <c r="AG5" s="17">
        <f t="shared" ref="AG5:AG39" si="7">IF(OR(ISBLANK(AQ5),ISBLANK(G5)),"·",AQ5*G5/F5/1000000)</f>
        <v>2.1945899999999998</v>
      </c>
      <c r="AH5" s="18">
        <f t="shared" ref="AH5:AH39" si="8">IF(ISBLANK(AQ5),"·",AQ5/D5)</f>
        <v>9.3769589191238817E-2</v>
      </c>
      <c r="AI5" s="18">
        <f t="shared" ref="AI5:AI39" si="9">IF(AL5="","·",AL5/D5)</f>
        <v>5.9250592675368439E-2</v>
      </c>
      <c r="AJ5" s="18">
        <f t="shared" ref="AJ5:AJ39" si="10">IF(AR5="","·",AR5/D5)</f>
        <v>3.3647673695852816E-2</v>
      </c>
      <c r="AK5" s="18">
        <f t="shared" ref="AK5:AK39" si="11">IF(ISBLANK(AT5),"·",AT5/D5)</f>
        <v>3.4518996515870377E-2</v>
      </c>
      <c r="AL5" s="15">
        <f t="shared" ref="AL5:AL39" si="12">IF(OR(ISBLANK(AR5),ISBLANK(AS5)),"",AR5+AS5)</f>
        <v>1479152</v>
      </c>
      <c r="AM5" s="18">
        <f t="shared" ref="AM5:AM39" si="13">IF(ISBLANK(AQ5),"·",AQ5/AN5)</f>
        <v>0.10745034882521623</v>
      </c>
      <c r="AN5" s="19">
        <v>21785839</v>
      </c>
      <c r="AO5" s="19">
        <v>680807.46875</v>
      </c>
      <c r="AP5" s="19">
        <v>13343.375</v>
      </c>
      <c r="AQ5" s="20">
        <v>2340896</v>
      </c>
      <c r="AR5" s="20">
        <v>839992</v>
      </c>
      <c r="AS5" s="20">
        <v>639160</v>
      </c>
      <c r="AT5" s="20">
        <v>861744</v>
      </c>
      <c r="AU5" s="21">
        <v>66.354737499999999</v>
      </c>
      <c r="AV5" s="21">
        <v>68.471134375000005</v>
      </c>
      <c r="AW5" s="21">
        <v>32.137684374999999</v>
      </c>
      <c r="AX5" s="21">
        <v>44.149306250000002</v>
      </c>
      <c r="AY5" s="21">
        <v>43.778965624999998</v>
      </c>
      <c r="AZ5" s="22">
        <v>3566.57</v>
      </c>
      <c r="BA5" s="22">
        <v>1766.42</v>
      </c>
      <c r="BB5" s="22">
        <v>12.01</v>
      </c>
      <c r="BC5" s="22">
        <v>37.707000000000001</v>
      </c>
      <c r="BE5" s="23">
        <f t="shared" ref="BE5:BE43" si="14">AI5/K5</f>
        <v>0.96091760474809529</v>
      </c>
      <c r="BF5" s="24">
        <f t="shared" ref="BF5:BF39" si="15">(AP5/AO5) - (R5/Q5)</f>
        <v>-1.1435904825500623E-3</v>
      </c>
      <c r="BG5" s="24">
        <f t="shared" ref="BG5:BG39" si="16">(AL5/AQ5) - (N5/S5)</f>
        <v>-2.9836023735918538E-3</v>
      </c>
      <c r="BH5" s="24">
        <f t="array" ref="BH5">AVERAGE(AL5:AL9/AQ5:AQ9) - AVERAGE(N5:N9/S5:S9)</f>
        <v>3.1909933873031093E-4</v>
      </c>
      <c r="BJ5" s="23">
        <f>IF( OR(ISBLANK(N5:N9),ISBLANK(AL5:AL9), ISBLANK(W5:W9),ISBLANK(AU5:AU9)), "·", bdRateExtend( N5:N9,W5:W9, AL5:AL9,AU5:AU9))</f>
        <v>-1.9801513261047399E-2</v>
      </c>
      <c r="BK5" s="23">
        <f>IF( OR(ISBLANK(N5:N9),ISBLANK(AL5:AL9), ISBLANK(X5:X9),ISBLANK(AV5:AV9)), "·", bdRateExtend( N5:N9,X5:X9, AL5:AL9,AV5:AV9))</f>
        <v>-2.2801248393884865E-2</v>
      </c>
      <c r="BL5" s="23">
        <f>IF( OR(ISBLANK(V5:V9),ISBLANK(AT5:AT9), ISBLANK(Y5:Y9),ISBLANK(AW5:AW9)), "·", bdRateExtend( V5:V9,Y5:Y9, AT5:AT9,AW5:AW9))</f>
        <v>-3.6734229089006032E-3</v>
      </c>
      <c r="BM5" s="23">
        <f>IF( OR(ISBLANK(V5:V9),ISBLANK(AT5:AT9), ISBLANK(Z5:Z9),ISBLANK(AX5:AX9)), "·", bdRateExtend( V5:V9,Z5:Z9, AT5:AT9,AX5:AX9))</f>
        <v>-9.4254356156519004E-3</v>
      </c>
      <c r="BN5" s="23">
        <f>IF( OR(ISBLANK(V5:V9),ISBLANK(AT5:AT9), ISBLANK(AA5:AA9),ISBLANK(AY5:AY9)), "·", bdRateExtend( V5:V9,AA5:AA9, AT5:AT9,AY5:AY9))</f>
        <v>-1.6578166717111098E-2</v>
      </c>
      <c r="BP5" s="23">
        <f>IF( OR(ISBLANK(S5:S9),ISBLANK(AQ5:AQ9), ISBLANK(W5:W9),ISBLANK(AU5:AU9)), "·", bdRateExtend( S5:S9,W5:W9, AQ5:AQ9,AU5:AU9))</f>
        <v>-2.5497834802299391E-2</v>
      </c>
      <c r="BQ5" s="23">
        <f>IF( OR(ISBLANK(S5:S9),ISBLANK(AQ5:AQ9), ISBLANK(X5:X9),ISBLANK(AV5:AV9)), "·", bdRateExtend( S5:S9,X5:X9, AQ5:AQ9,AV5:AV9))</f>
        <v>-3.2528599279584514E-2</v>
      </c>
      <c r="BR5" s="23">
        <f>IF( OR(ISBLANK(S5:S9),ISBLANK(AQ5:AQ9), ISBLANK(Y5:Y9),ISBLANK(AW5:AW9)), "·", bdRateExtend( S5:S9,Y5:Y9, AQ5:AQ9,AW5:AW9))</f>
        <v>-6.7332501163941405E-3</v>
      </c>
      <c r="BS5" s="23">
        <f>IF( OR(ISBLANK(S5:S9),ISBLANK(AQ5:AQ9), ISBLANK(Z5:Z9),ISBLANK(AX5:AX9)), "·", bdRateExtend( S5:S9,Z5:Z9, AQ5:AQ9,AX5:AX9))</f>
        <v>-1.1109717467943203E-2</v>
      </c>
      <c r="BT5" s="23">
        <f>IF( OR(ISBLANK(S5:S9),ISBLANK(AQ5:AQ9), ISBLANK(AA5:AA9),ISBLANK(AY5:AY9)), "·", bdRateExtend( S5:S9,AA5:AA9, AQ5:AQ9,AY5:AY9))</f>
        <v>-1.4131407742965396E-2</v>
      </c>
      <c r="BV5" s="4">
        <f>AN5-P5</f>
        <v>123805</v>
      </c>
      <c r="BW5" s="4">
        <f t="shared" ref="BW5:CG20" si="17">AO5-Q5</f>
        <v>3868.90625</v>
      </c>
      <c r="BX5" s="4">
        <f t="shared" si="17"/>
        <v>-698.3125</v>
      </c>
      <c r="BY5" s="4">
        <f t="shared" si="17"/>
        <v>-83760</v>
      </c>
      <c r="BZ5" s="4">
        <f t="shared" si="17"/>
        <v>-6824</v>
      </c>
      <c r="CA5" s="4">
        <f t="shared" si="17"/>
        <v>-53336</v>
      </c>
      <c r="CB5" s="4">
        <f t="shared" si="17"/>
        <v>-23600</v>
      </c>
      <c r="CC5" s="4">
        <f t="shared" si="17"/>
        <v>2.2021874999992974E-2</v>
      </c>
      <c r="CD5" s="4">
        <f t="shared" si="17"/>
        <v>4.9365625000007185E-2</v>
      </c>
      <c r="CE5" s="4">
        <f t="shared" si="17"/>
        <v>-2.2575000000003342E-2</v>
      </c>
      <c r="CF5" s="4">
        <f t="shared" si="17"/>
        <v>-4.3281250000006821E-3</v>
      </c>
      <c r="CG5" s="4">
        <f t="shared" si="17"/>
        <v>3.4931249999999636E-2</v>
      </c>
    </row>
    <row r="6" spans="1:85" outlineLevel="1" x14ac:dyDescent="0.3">
      <c r="A6" s="25"/>
      <c r="B6" s="25" t="s">
        <v>269</v>
      </c>
      <c r="C6" s="26" t="s">
        <v>272</v>
      </c>
      <c r="D6" s="25">
        <v>24964341</v>
      </c>
      <c r="E6" s="26">
        <v>10</v>
      </c>
      <c r="F6" s="26">
        <v>32</v>
      </c>
      <c r="G6" s="26">
        <v>30</v>
      </c>
      <c r="I6" s="27">
        <f t="shared" si="0"/>
        <v>3.5206425000000001</v>
      </c>
      <c r="J6" s="28">
        <f t="shared" si="1"/>
        <v>0.15042864540265655</v>
      </c>
      <c r="K6" s="28">
        <f t="shared" si="2"/>
        <v>7.4331944111803314E-2</v>
      </c>
      <c r="L6" s="28">
        <f t="shared" si="3"/>
        <v>4.6592537732119584E-2</v>
      </c>
      <c r="M6" s="28">
        <f t="shared" si="4"/>
        <v>7.6096701290853219E-2</v>
      </c>
      <c r="N6" s="25">
        <f t="shared" si="5"/>
        <v>1855648</v>
      </c>
      <c r="O6" s="28">
        <f t="shared" si="6"/>
        <v>0.15544963618260088</v>
      </c>
      <c r="P6" s="29">
        <v>24157998</v>
      </c>
      <c r="Q6" s="29">
        <v>754937.4375</v>
      </c>
      <c r="R6" s="29">
        <v>19813.375</v>
      </c>
      <c r="S6" s="30">
        <v>3755352</v>
      </c>
      <c r="T6" s="30">
        <v>1163152</v>
      </c>
      <c r="U6" s="30">
        <v>692496</v>
      </c>
      <c r="V6" s="30">
        <v>1899704</v>
      </c>
      <c r="W6" s="31">
        <v>68.236621874999997</v>
      </c>
      <c r="X6" s="31">
        <v>70.381965625000007</v>
      </c>
      <c r="Y6" s="31">
        <v>34.447521875</v>
      </c>
      <c r="Z6" s="31">
        <v>45.458003124999998</v>
      </c>
      <c r="AA6" s="31">
        <v>45.1736875</v>
      </c>
      <c r="AB6" s="32">
        <v>4537.8599999999997</v>
      </c>
      <c r="AC6" s="32">
        <v>2652.59</v>
      </c>
      <c r="AD6" s="32">
        <v>15.055</v>
      </c>
      <c r="AE6" s="32">
        <v>46.466000000000001</v>
      </c>
      <c r="AG6" s="27">
        <f t="shared" si="7"/>
        <v>3.4326525000000001</v>
      </c>
      <c r="AH6" s="28">
        <f t="shared" si="8"/>
        <v>0.14666904285596805</v>
      </c>
      <c r="AI6" s="28">
        <f t="shared" si="9"/>
        <v>7.2264354985376936E-2</v>
      </c>
      <c r="AJ6" s="28">
        <f t="shared" si="10"/>
        <v>4.6661436005861319E-2</v>
      </c>
      <c r="AK6" s="28">
        <f t="shared" si="11"/>
        <v>7.4404687870591096E-2</v>
      </c>
      <c r="AL6" s="25">
        <f t="shared" si="12"/>
        <v>1804032</v>
      </c>
      <c r="AM6" s="28">
        <f t="shared" si="13"/>
        <v>0.15135175890239908</v>
      </c>
      <c r="AN6" s="29">
        <v>24191962</v>
      </c>
      <c r="AO6" s="29">
        <v>755998.8125</v>
      </c>
      <c r="AP6" s="29">
        <v>18849.4375</v>
      </c>
      <c r="AQ6" s="30">
        <v>3661496</v>
      </c>
      <c r="AR6" s="30">
        <v>1164872</v>
      </c>
      <c r="AS6" s="30">
        <v>639160</v>
      </c>
      <c r="AT6" s="30">
        <v>1857464</v>
      </c>
      <c r="AU6" s="31">
        <v>68.256434374999998</v>
      </c>
      <c r="AV6" s="31">
        <v>70.426474999999996</v>
      </c>
      <c r="AW6" s="31">
        <v>34.399299999999997</v>
      </c>
      <c r="AX6" s="31">
        <v>45.437112499999998</v>
      </c>
      <c r="AY6" s="31">
        <v>45.212931249999997</v>
      </c>
      <c r="AZ6" s="32">
        <v>3470.14</v>
      </c>
      <c r="BA6" s="32">
        <v>1750.85</v>
      </c>
      <c r="BB6" s="32">
        <v>14.715999999999999</v>
      </c>
      <c r="BC6" s="32">
        <v>40.08</v>
      </c>
      <c r="BE6" s="33">
        <f t="shared" si="14"/>
        <v>0.97218437979616812</v>
      </c>
      <c r="BF6" s="34">
        <f t="shared" si="15"/>
        <v>-1.3118980208145885E-3</v>
      </c>
      <c r="BG6" s="34">
        <f t="shared" si="16"/>
        <v>-1.4307094509523055E-3</v>
      </c>
      <c r="BH6" s="34"/>
      <c r="BJ6" s="33"/>
      <c r="BK6" s="33"/>
      <c r="BL6" s="33"/>
      <c r="BM6" s="33"/>
      <c r="BN6" s="33"/>
      <c r="BP6" s="33"/>
      <c r="BQ6" s="33"/>
      <c r="BR6" s="33"/>
      <c r="BS6" s="33"/>
      <c r="BT6" s="33"/>
      <c r="BV6" s="4">
        <f t="shared" ref="BV6:CG39" si="18">AN6-P6</f>
        <v>33964</v>
      </c>
      <c r="BW6" s="4">
        <f t="shared" si="17"/>
        <v>1061.375</v>
      </c>
      <c r="BX6" s="4">
        <f t="shared" si="17"/>
        <v>-963.9375</v>
      </c>
      <c r="BY6" s="4">
        <f t="shared" si="17"/>
        <v>-93856</v>
      </c>
      <c r="BZ6" s="4">
        <f t="shared" si="17"/>
        <v>1720</v>
      </c>
      <c r="CA6" s="4">
        <f t="shared" si="17"/>
        <v>-53336</v>
      </c>
      <c r="CB6" s="4">
        <f t="shared" si="17"/>
        <v>-42240</v>
      </c>
      <c r="CC6" s="4">
        <f t="shared" si="17"/>
        <v>1.9812500000000455E-2</v>
      </c>
      <c r="CD6" s="4">
        <f t="shared" si="17"/>
        <v>4.4509374999989859E-2</v>
      </c>
      <c r="CE6" s="4">
        <f t="shared" si="17"/>
        <v>-4.8221875000002967E-2</v>
      </c>
      <c r="CF6" s="4">
        <f t="shared" si="17"/>
        <v>-2.0890624999999829E-2</v>
      </c>
      <c r="CG6" s="4">
        <f t="shared" si="17"/>
        <v>3.9243749999997135E-2</v>
      </c>
    </row>
    <row r="7" spans="1:85" outlineLevel="1" x14ac:dyDescent="0.3">
      <c r="A7" s="15"/>
      <c r="B7" s="15" t="s">
        <v>269</v>
      </c>
      <c r="C7" s="16" t="s">
        <v>273</v>
      </c>
      <c r="D7" s="15">
        <v>24964341</v>
      </c>
      <c r="E7" s="16">
        <v>10</v>
      </c>
      <c r="F7" s="16">
        <v>32</v>
      </c>
      <c r="G7" s="16">
        <v>30</v>
      </c>
      <c r="I7" s="17">
        <f t="shared" si="0"/>
        <v>5.7551024999999996</v>
      </c>
      <c r="J7" s="18">
        <f t="shared" si="1"/>
        <v>0.24590178446929561</v>
      </c>
      <c r="K7" s="18">
        <f t="shared" si="2"/>
        <v>9.2234599743690415E-2</v>
      </c>
      <c r="L7" s="18">
        <f t="shared" si="3"/>
        <v>6.4495193364006678E-2</v>
      </c>
      <c r="M7" s="18">
        <f t="shared" si="4"/>
        <v>0.15366718472560523</v>
      </c>
      <c r="N7" s="15">
        <f t="shared" si="5"/>
        <v>2302576</v>
      </c>
      <c r="O7" s="18">
        <f t="shared" si="6"/>
        <v>0.24702752350800736</v>
      </c>
      <c r="P7" s="19">
        <v>24850575</v>
      </c>
      <c r="Q7" s="19">
        <v>776580.46875</v>
      </c>
      <c r="R7" s="19">
        <v>21698.0625</v>
      </c>
      <c r="S7" s="20">
        <v>6138776</v>
      </c>
      <c r="T7" s="20">
        <v>1610080</v>
      </c>
      <c r="U7" s="20">
        <v>692496</v>
      </c>
      <c r="V7" s="20">
        <v>3836200</v>
      </c>
      <c r="W7" s="21">
        <v>69.675028124999997</v>
      </c>
      <c r="X7" s="21">
        <v>72.069987499999996</v>
      </c>
      <c r="Y7" s="21">
        <v>36.982671875000001</v>
      </c>
      <c r="Z7" s="21">
        <v>46.565084374999998</v>
      </c>
      <c r="AA7" s="21">
        <v>46.435556249999998</v>
      </c>
      <c r="AB7" s="22">
        <v>4324.8</v>
      </c>
      <c r="AC7" s="22">
        <v>2787.62</v>
      </c>
      <c r="AD7" s="22">
        <v>15.358000000000001</v>
      </c>
      <c r="AE7" s="22">
        <v>46.613</v>
      </c>
      <c r="AG7" s="17">
        <f t="shared" si="7"/>
        <v>5.6684099999999997</v>
      </c>
      <c r="AH7" s="18">
        <f t="shared" si="8"/>
        <v>0.24219762099868769</v>
      </c>
      <c r="AI7" s="18">
        <f t="shared" si="9"/>
        <v>9.0840611414497188E-2</v>
      </c>
      <c r="AJ7" s="18">
        <f t="shared" si="10"/>
        <v>6.5237692434981565E-2</v>
      </c>
      <c r="AK7" s="18">
        <f t="shared" si="11"/>
        <v>0.15135700958419052</v>
      </c>
      <c r="AL7" s="15">
        <f t="shared" si="12"/>
        <v>2267776</v>
      </c>
      <c r="AM7" s="18">
        <f t="shared" si="13"/>
        <v>0.24372183795884395</v>
      </c>
      <c r="AN7" s="19">
        <v>24808216</v>
      </c>
      <c r="AO7" s="19">
        <v>775256.75</v>
      </c>
      <c r="AP7" s="19">
        <v>20726.03125</v>
      </c>
      <c r="AQ7" s="20">
        <v>6046304</v>
      </c>
      <c r="AR7" s="20">
        <v>1628616</v>
      </c>
      <c r="AS7" s="20">
        <v>639160</v>
      </c>
      <c r="AT7" s="20">
        <v>3778528</v>
      </c>
      <c r="AU7" s="21">
        <v>69.684690625000002</v>
      </c>
      <c r="AV7" s="21">
        <v>72.115756250000004</v>
      </c>
      <c r="AW7" s="21">
        <v>36.932850000000002</v>
      </c>
      <c r="AX7" s="21">
        <v>46.544937500000003</v>
      </c>
      <c r="AY7" s="21">
        <v>46.445749999999997</v>
      </c>
      <c r="AZ7" s="22">
        <v>3592.73</v>
      </c>
      <c r="BA7" s="22">
        <v>1917.45</v>
      </c>
      <c r="BB7" s="22">
        <v>13.051</v>
      </c>
      <c r="BC7" s="22">
        <v>40.835000000000001</v>
      </c>
      <c r="BE7" s="23">
        <f t="shared" si="14"/>
        <v>0.98488649234596382</v>
      </c>
      <c r="BF7" s="24">
        <f t="shared" si="15"/>
        <v>-1.2061112130159965E-3</v>
      </c>
      <c r="BG7" s="24">
        <f t="shared" si="16"/>
        <v>-1.9010122508822391E-5</v>
      </c>
      <c r="BH7" s="24"/>
      <c r="BJ7" s="23"/>
      <c r="BK7" s="23"/>
      <c r="BL7" s="23"/>
      <c r="BM7" s="23"/>
      <c r="BN7" s="23"/>
      <c r="BP7" s="23"/>
      <c r="BQ7" s="23"/>
      <c r="BR7" s="23"/>
      <c r="BS7" s="23"/>
      <c r="BT7" s="23"/>
      <c r="BV7" s="4">
        <f t="shared" si="18"/>
        <v>-42359</v>
      </c>
      <c r="BW7" s="4">
        <f t="shared" si="17"/>
        <v>-1323.71875</v>
      </c>
      <c r="BX7" s="4">
        <f t="shared" si="17"/>
        <v>-972.03125</v>
      </c>
      <c r="BY7" s="4">
        <f t="shared" si="17"/>
        <v>-92472</v>
      </c>
      <c r="BZ7" s="4">
        <f t="shared" si="17"/>
        <v>18536</v>
      </c>
      <c r="CA7" s="4">
        <f t="shared" si="17"/>
        <v>-53336</v>
      </c>
      <c r="CB7" s="4">
        <f t="shared" si="17"/>
        <v>-57672</v>
      </c>
      <c r="CC7" s="4">
        <f t="shared" si="17"/>
        <v>9.6625000000045702E-3</v>
      </c>
      <c r="CD7" s="4">
        <f t="shared" si="17"/>
        <v>4.5768750000007685E-2</v>
      </c>
      <c r="CE7" s="4">
        <f t="shared" si="17"/>
        <v>-4.9821874999999238E-2</v>
      </c>
      <c r="CF7" s="4">
        <f t="shared" si="17"/>
        <v>-2.0146874999994679E-2</v>
      </c>
      <c r="CG7" s="4">
        <f t="shared" si="17"/>
        <v>1.0193749999999113E-2</v>
      </c>
    </row>
    <row r="8" spans="1:85" outlineLevel="1" x14ac:dyDescent="0.3">
      <c r="A8" s="25"/>
      <c r="B8" s="25" t="s">
        <v>269</v>
      </c>
      <c r="C8" s="26" t="s">
        <v>274</v>
      </c>
      <c r="D8" s="25">
        <v>24964341</v>
      </c>
      <c r="E8" s="26">
        <v>10</v>
      </c>
      <c r="F8" s="26">
        <v>32</v>
      </c>
      <c r="G8" s="26">
        <v>30</v>
      </c>
      <c r="I8" s="27">
        <f t="shared" si="0"/>
        <v>9.9907424999999996</v>
      </c>
      <c r="J8" s="28">
        <f t="shared" si="1"/>
        <v>0.42688056536321145</v>
      </c>
      <c r="K8" s="28">
        <f t="shared" si="2"/>
        <v>0.1216028894974636</v>
      </c>
      <c r="L8" s="28">
        <f t="shared" si="3"/>
        <v>9.3863483117779881E-2</v>
      </c>
      <c r="M8" s="28">
        <f t="shared" si="4"/>
        <v>0.30527767586574789</v>
      </c>
      <c r="N8" s="25">
        <f t="shared" si="5"/>
        <v>3035736</v>
      </c>
      <c r="O8" s="28">
        <f t="shared" si="6"/>
        <v>0.41091843586051885</v>
      </c>
      <c r="P8" s="29">
        <v>25934081</v>
      </c>
      <c r="Q8" s="29">
        <v>810440.03125</v>
      </c>
      <c r="R8" s="29">
        <v>25113.21875</v>
      </c>
      <c r="S8" s="30">
        <v>10656792</v>
      </c>
      <c r="T8" s="30">
        <v>2343240</v>
      </c>
      <c r="U8" s="30">
        <v>692496</v>
      </c>
      <c r="V8" s="30">
        <v>7621056</v>
      </c>
      <c r="W8" s="31">
        <v>70.771603124999999</v>
      </c>
      <c r="X8" s="31">
        <v>73.323878124999993</v>
      </c>
      <c r="Y8" s="31">
        <v>39.609809374999998</v>
      </c>
      <c r="Z8" s="31">
        <v>47.886146875000001</v>
      </c>
      <c r="AA8" s="31">
        <v>47.961171874999998</v>
      </c>
      <c r="AB8" s="32">
        <v>4938.7700000000004</v>
      </c>
      <c r="AC8" s="32">
        <v>3024.77</v>
      </c>
      <c r="AD8" s="32">
        <v>15.795</v>
      </c>
      <c r="AE8" s="32">
        <v>44.277000000000001</v>
      </c>
      <c r="AG8" s="27">
        <f t="shared" si="7"/>
        <v>9.9174600000000002</v>
      </c>
      <c r="AH8" s="28">
        <f t="shared" si="8"/>
        <v>0.42374937916446503</v>
      </c>
      <c r="AI8" s="28">
        <f t="shared" si="9"/>
        <v>0.12195859686422325</v>
      </c>
      <c r="AJ8" s="28">
        <f t="shared" si="10"/>
        <v>9.6355677884707627E-2</v>
      </c>
      <c r="AK8" s="28">
        <f t="shared" si="11"/>
        <v>0.30179078230024176</v>
      </c>
      <c r="AL8" s="25">
        <f t="shared" si="12"/>
        <v>3044616</v>
      </c>
      <c r="AM8" s="28">
        <f t="shared" si="13"/>
        <v>0.4100590092747799</v>
      </c>
      <c r="AN8" s="29">
        <v>25797809</v>
      </c>
      <c r="AO8" s="29">
        <v>806181.53125</v>
      </c>
      <c r="AP8" s="29">
        <v>23962.09375</v>
      </c>
      <c r="AQ8" s="30">
        <v>10578624</v>
      </c>
      <c r="AR8" s="30">
        <v>2405456</v>
      </c>
      <c r="AS8" s="30">
        <v>639160</v>
      </c>
      <c r="AT8" s="30">
        <v>7534008</v>
      </c>
      <c r="AU8" s="31">
        <v>70.825725000000006</v>
      </c>
      <c r="AV8" s="31">
        <v>73.390937500000007</v>
      </c>
      <c r="AW8" s="31">
        <v>39.553746875000002</v>
      </c>
      <c r="AX8" s="31">
        <v>47.884250000000002</v>
      </c>
      <c r="AY8" s="31">
        <v>47.908200000000001</v>
      </c>
      <c r="AZ8" s="32">
        <v>3556.59</v>
      </c>
      <c r="BA8" s="32">
        <v>2031.92</v>
      </c>
      <c r="BB8" s="32">
        <v>13.929</v>
      </c>
      <c r="BC8" s="32">
        <v>43.213999999999999</v>
      </c>
      <c r="BE8" s="33">
        <f t="shared" si="14"/>
        <v>1.0029251555471226</v>
      </c>
      <c r="BF8" s="34">
        <f t="shared" si="15"/>
        <v>-1.2641895461426751E-3</v>
      </c>
      <c r="BG8" s="34">
        <f t="shared" si="16"/>
        <v>2.9443570586506485E-3</v>
      </c>
      <c r="BH8" s="34"/>
      <c r="BJ8" s="33"/>
      <c r="BK8" s="33"/>
      <c r="BL8" s="33"/>
      <c r="BM8" s="33"/>
      <c r="BN8" s="33"/>
      <c r="BP8" s="33"/>
      <c r="BQ8" s="33"/>
      <c r="BR8" s="33"/>
      <c r="BS8" s="33"/>
      <c r="BT8" s="33"/>
      <c r="BV8" s="4">
        <f t="shared" si="18"/>
        <v>-136272</v>
      </c>
      <c r="BW8" s="4">
        <f t="shared" si="17"/>
        <v>-4258.5</v>
      </c>
      <c r="BX8" s="4">
        <f t="shared" si="17"/>
        <v>-1151.125</v>
      </c>
      <c r="BY8" s="4">
        <f t="shared" si="17"/>
        <v>-78168</v>
      </c>
      <c r="BZ8" s="4">
        <f t="shared" si="17"/>
        <v>62216</v>
      </c>
      <c r="CA8" s="4">
        <f t="shared" si="17"/>
        <v>-53336</v>
      </c>
      <c r="CB8" s="4">
        <f t="shared" si="17"/>
        <v>-87048</v>
      </c>
      <c r="CC8" s="4">
        <f t="shared" si="17"/>
        <v>5.412187500000698E-2</v>
      </c>
      <c r="CD8" s="4">
        <f t="shared" si="17"/>
        <v>6.7059375000013688E-2</v>
      </c>
      <c r="CE8" s="4">
        <f t="shared" si="17"/>
        <v>-5.6062499999995907E-2</v>
      </c>
      <c r="CF8" s="4">
        <f t="shared" si="17"/>
        <v>-1.8968749999999091E-3</v>
      </c>
      <c r="CG8" s="4">
        <f t="shared" si="17"/>
        <v>-5.2971874999997226E-2</v>
      </c>
    </row>
    <row r="9" spans="1:85" ht="15" outlineLevel="1" thickBot="1" x14ac:dyDescent="0.35">
      <c r="A9" s="15"/>
      <c r="B9" s="35" t="s">
        <v>269</v>
      </c>
      <c r="C9" s="36" t="s">
        <v>275</v>
      </c>
      <c r="D9" s="35">
        <v>24964341</v>
      </c>
      <c r="E9" s="36">
        <v>10</v>
      </c>
      <c r="F9" s="36">
        <v>32</v>
      </c>
      <c r="G9" s="36">
        <v>30</v>
      </c>
      <c r="I9" s="37">
        <f t="shared" si="0"/>
        <v>18.2123475</v>
      </c>
      <c r="J9" s="38">
        <f t="shared" si="1"/>
        <v>0.77817011071912534</v>
      </c>
      <c r="K9" s="38">
        <f t="shared" si="2"/>
        <v>0.19590054470093962</v>
      </c>
      <c r="L9" s="38">
        <f t="shared" si="3"/>
        <v>0.14376954713124612</v>
      </c>
      <c r="M9" s="38">
        <f t="shared" si="4"/>
        <v>0.58226956601818569</v>
      </c>
      <c r="N9" s="35">
        <f t="shared" si="5"/>
        <v>4890528</v>
      </c>
      <c r="O9" s="38">
        <f t="shared" si="6"/>
        <v>0.77737658336449267</v>
      </c>
      <c r="P9" s="39">
        <v>24989824</v>
      </c>
      <c r="Q9" s="39">
        <v>780932</v>
      </c>
      <c r="R9" s="39">
        <v>10633.09375</v>
      </c>
      <c r="S9" s="40">
        <v>19426504</v>
      </c>
      <c r="T9" s="40">
        <v>3589112</v>
      </c>
      <c r="U9" s="40">
        <v>1301416</v>
      </c>
      <c r="V9" s="40">
        <v>14535976</v>
      </c>
      <c r="W9" s="41">
        <v>72.030068749999998</v>
      </c>
      <c r="X9" s="41">
        <v>75.292543749999993</v>
      </c>
      <c r="Y9" s="41">
        <v>42.033321874999999</v>
      </c>
      <c r="Z9" s="41">
        <v>49.423381249999998</v>
      </c>
      <c r="AA9" s="41">
        <v>49.554978124999998</v>
      </c>
      <c r="AB9" s="42">
        <v>4754.5600000000004</v>
      </c>
      <c r="AC9" s="42">
        <v>3322.71</v>
      </c>
      <c r="AD9" s="42">
        <v>14.16</v>
      </c>
      <c r="AE9" s="42">
        <v>47.497999999999998</v>
      </c>
      <c r="AG9" s="37">
        <f t="shared" si="7"/>
        <v>18.126877499999999</v>
      </c>
      <c r="AH9" s="38">
        <f t="shared" si="8"/>
        <v>0.77451818175372622</v>
      </c>
      <c r="AI9" s="38">
        <f t="shared" si="9"/>
        <v>0.19737016090270518</v>
      </c>
      <c r="AJ9" s="38">
        <f t="shared" si="10"/>
        <v>0.14831747411237492</v>
      </c>
      <c r="AK9" s="38">
        <f t="shared" si="11"/>
        <v>0.57714802085102102</v>
      </c>
      <c r="AL9" s="35">
        <f t="shared" si="12"/>
        <v>4927216</v>
      </c>
      <c r="AM9" s="38">
        <f t="shared" si="13"/>
        <v>0.77750657672276235</v>
      </c>
      <c r="AN9" s="39">
        <v>24868389</v>
      </c>
      <c r="AO9" s="39">
        <v>777137.15625</v>
      </c>
      <c r="AP9" s="39">
        <v>10582.71875</v>
      </c>
      <c r="AQ9" s="40">
        <v>19335336</v>
      </c>
      <c r="AR9" s="40">
        <v>3702648</v>
      </c>
      <c r="AS9" s="40">
        <v>1224568</v>
      </c>
      <c r="AT9" s="40">
        <v>14408120</v>
      </c>
      <c r="AU9" s="41">
        <v>71.947396874999995</v>
      </c>
      <c r="AV9" s="41">
        <v>75.319828125000001</v>
      </c>
      <c r="AW9" s="41">
        <v>42.01755</v>
      </c>
      <c r="AX9" s="41">
        <v>49.411421875000002</v>
      </c>
      <c r="AY9" s="41">
        <v>49.523899999999998</v>
      </c>
      <c r="AZ9" s="42">
        <v>3588.89</v>
      </c>
      <c r="BA9" s="42">
        <v>2531.1</v>
      </c>
      <c r="BB9" s="42">
        <v>12.978</v>
      </c>
      <c r="BC9" s="42">
        <v>45.421999999999997</v>
      </c>
      <c r="BE9" s="43">
        <f t="shared" si="14"/>
        <v>1.0075018484711671</v>
      </c>
      <c r="BF9" s="44">
        <f t="shared" si="15"/>
        <v>1.6666574461973033E-6</v>
      </c>
      <c r="BG9" s="44">
        <f t="shared" si="16"/>
        <v>3.0844615820541099E-3</v>
      </c>
      <c r="BH9" s="44"/>
      <c r="BJ9" s="43"/>
      <c r="BK9" s="43"/>
      <c r="BL9" s="43"/>
      <c r="BM9" s="43"/>
      <c r="BN9" s="43"/>
      <c r="BP9" s="43"/>
      <c r="BQ9" s="43"/>
      <c r="BR9" s="43"/>
      <c r="BS9" s="43"/>
      <c r="BT9" s="43"/>
      <c r="BV9" s="4">
        <f t="shared" si="18"/>
        <v>-121435</v>
      </c>
      <c r="BW9" s="4">
        <f t="shared" si="17"/>
        <v>-3794.84375</v>
      </c>
      <c r="BX9" s="4">
        <f t="shared" si="17"/>
        <v>-50.375</v>
      </c>
      <c r="BY9" s="4">
        <f t="shared" si="17"/>
        <v>-91168</v>
      </c>
      <c r="BZ9" s="4">
        <f t="shared" si="17"/>
        <v>113536</v>
      </c>
      <c r="CA9" s="4">
        <f t="shared" si="17"/>
        <v>-76848</v>
      </c>
      <c r="CB9" s="4">
        <f t="shared" si="17"/>
        <v>-127856</v>
      </c>
      <c r="CC9" s="4">
        <f t="shared" si="17"/>
        <v>-8.2671875000002615E-2</v>
      </c>
      <c r="CD9" s="4">
        <f t="shared" si="17"/>
        <v>2.7284375000007799E-2</v>
      </c>
      <c r="CE9" s="4">
        <f t="shared" si="17"/>
        <v>-1.5771874999998658E-2</v>
      </c>
      <c r="CF9" s="4">
        <f t="shared" si="17"/>
        <v>-1.1959374999996442E-2</v>
      </c>
      <c r="CG9" s="4">
        <f t="shared" si="17"/>
        <v>-3.1078125000000512E-2</v>
      </c>
    </row>
    <row r="10" spans="1:85" x14ac:dyDescent="0.3">
      <c r="A10" s="25"/>
      <c r="B10" s="25" t="s">
        <v>278</v>
      </c>
      <c r="C10" s="26" t="s">
        <v>271</v>
      </c>
      <c r="D10" s="25">
        <v>22654789</v>
      </c>
      <c r="E10" s="26">
        <v>10</v>
      </c>
      <c r="F10" s="26">
        <v>32</v>
      </c>
      <c r="G10" s="26">
        <v>30</v>
      </c>
      <c r="I10" s="27">
        <f t="shared" si="0"/>
        <v>3.3239100000000001</v>
      </c>
      <c r="J10" s="28">
        <f t="shared" si="1"/>
        <v>0.15650130310196222</v>
      </c>
      <c r="K10" s="28">
        <f t="shared" si="2"/>
        <v>8.1273765118712871E-2</v>
      </c>
      <c r="L10" s="28">
        <f t="shared" si="3"/>
        <v>4.067625613286445E-2</v>
      </c>
      <c r="M10" s="28">
        <f t="shared" si="4"/>
        <v>7.5227537983249368E-2</v>
      </c>
      <c r="N10" s="25">
        <f t="shared" si="5"/>
        <v>1841240</v>
      </c>
      <c r="O10" s="28">
        <f t="shared" si="6"/>
        <v>0.17160440377398581</v>
      </c>
      <c r="P10" s="29">
        <v>20660915</v>
      </c>
      <c r="Q10" s="29">
        <v>645653.59375</v>
      </c>
      <c r="R10" s="29">
        <v>19143.5</v>
      </c>
      <c r="S10" s="30">
        <v>3545504</v>
      </c>
      <c r="T10" s="30">
        <v>921512</v>
      </c>
      <c r="U10" s="30">
        <v>919728</v>
      </c>
      <c r="V10" s="30">
        <v>1704264</v>
      </c>
      <c r="W10" s="31">
        <v>65.90800625</v>
      </c>
      <c r="X10" s="31">
        <v>67.863699999999994</v>
      </c>
      <c r="Y10" s="31">
        <v>32.511781249999999</v>
      </c>
      <c r="Z10" s="31">
        <v>39.230884375000002</v>
      </c>
      <c r="AA10" s="31">
        <v>32.217834375000002</v>
      </c>
      <c r="AB10" s="32">
        <v>4301.3900000000003</v>
      </c>
      <c r="AC10" s="32">
        <v>2708.82</v>
      </c>
      <c r="AD10" s="32">
        <v>12.609</v>
      </c>
      <c r="AE10" s="32">
        <v>48.19</v>
      </c>
      <c r="AG10" s="27">
        <f t="shared" si="7"/>
        <v>3.226035</v>
      </c>
      <c r="AH10" s="28">
        <f t="shared" si="8"/>
        <v>0.15189300593353572</v>
      </c>
      <c r="AI10" s="28">
        <f t="shared" si="9"/>
        <v>7.8811415988027961E-2</v>
      </c>
      <c r="AJ10" s="28">
        <f t="shared" si="10"/>
        <v>4.1214067365624107E-2</v>
      </c>
      <c r="AK10" s="28">
        <f t="shared" si="11"/>
        <v>7.3081589945507772E-2</v>
      </c>
      <c r="AL10" s="25">
        <f t="shared" si="12"/>
        <v>1785456</v>
      </c>
      <c r="AM10" s="28">
        <f t="shared" si="13"/>
        <v>0.16650258037329224</v>
      </c>
      <c r="AN10" s="29">
        <v>20666971</v>
      </c>
      <c r="AO10" s="29">
        <v>645842.84375</v>
      </c>
      <c r="AP10" s="29">
        <v>17868.75</v>
      </c>
      <c r="AQ10" s="30">
        <v>3441104</v>
      </c>
      <c r="AR10" s="30">
        <v>933696</v>
      </c>
      <c r="AS10" s="30">
        <v>851760</v>
      </c>
      <c r="AT10" s="30">
        <v>1655648</v>
      </c>
      <c r="AU10" s="31">
        <v>65.905349999999999</v>
      </c>
      <c r="AV10" s="31">
        <v>67.814121874999998</v>
      </c>
      <c r="AW10" s="31">
        <v>32.409384375000002</v>
      </c>
      <c r="AX10" s="31">
        <v>39.159018750000001</v>
      </c>
      <c r="AY10" s="31">
        <v>32.112993750000001</v>
      </c>
      <c r="AZ10" s="32">
        <v>3421.1</v>
      </c>
      <c r="BA10" s="32">
        <v>1912.02</v>
      </c>
      <c r="BB10" s="32">
        <v>11.637</v>
      </c>
      <c r="BC10" s="32">
        <v>42.098999999999997</v>
      </c>
      <c r="BE10" s="33">
        <f t="shared" si="14"/>
        <v>0.96970302622145943</v>
      </c>
      <c r="BF10" s="34">
        <f t="shared" si="15"/>
        <v>-1.9824656060877625E-3</v>
      </c>
      <c r="BG10" s="34">
        <f t="shared" si="16"/>
        <v>-4.5547008910096221E-4</v>
      </c>
      <c r="BH10" s="34">
        <f t="array" ref="BH10">AVERAGE(AL10:AL14/AQ10:AQ14) - AVERAGE(N10:N14/S10:S14)</f>
        <v>4.1429859196278618E-3</v>
      </c>
      <c r="BJ10" s="33">
        <f>IF( OR(ISBLANK(N10:N14),ISBLANK(AL10:AL14), ISBLANK(W10:W14),ISBLANK(AU10:AU14)), "·", bdRateExtend( N10:N14,W10:W14, AL10:AL14,AU10:AU14))</f>
        <v>9.4132106017394968E-3</v>
      </c>
      <c r="BK10" s="33">
        <f>IF( OR(ISBLANK(N10:N14),ISBLANK(AL10:AL14), ISBLANK(X10:X14),ISBLANK(AV10:AV14)), "·", bdRateExtend( N10:N14,X10:X14, AL10:AL14,AV10:AV14))</f>
        <v>1.4161575524330283E-2</v>
      </c>
      <c r="BL10" s="33">
        <f>IF( OR(ISBLANK(V10:V14),ISBLANK(AT10:AT14), ISBLANK(Y10:Y14),ISBLANK(AW10:AW14)), "·", bdRateExtend( V10:V14,Y10:Y14, AT10:AT14,AW10:AW14))</f>
        <v>1.5557121618661629E-2</v>
      </c>
      <c r="BM10" s="33">
        <f>IF( OR(ISBLANK(V10:V14),ISBLANK(AT10:AT14), ISBLANK(Z10:Z14),ISBLANK(AX10:AX14)), "·", bdRateExtend( V10:V14,Z10:Z14, AT10:AT14,AX10:AX14))</f>
        <v>2.9625974186786808E-2</v>
      </c>
      <c r="BN10" s="33">
        <f>IF( OR(ISBLANK(V10:V14),ISBLANK(AT10:AT14), ISBLANK(AA10:AA14),ISBLANK(AY10:AY14)), "·", bdRateExtend( V10:V14,AA10:AA14, AT10:AT14,AY10:AY14))</f>
        <v>3.0754441592585335E-2</v>
      </c>
      <c r="BP10" s="33">
        <f>IF( OR(ISBLANK(S10:S14),ISBLANK(AQ10:AQ14), ISBLANK(W10:W14),ISBLANK(AU10:AU14)), "·", bdRateExtend( S10:S14,W10:W14, AQ10:AQ14,AU10:AU14))</f>
        <v>2.1281762509928193E-3</v>
      </c>
      <c r="BQ10" s="33">
        <f>IF( OR(ISBLANK(S10:S14),ISBLANK(AQ10:AQ14), ISBLANK(X10:X14),ISBLANK(AV10:AV14)), "·", bdRateExtend( S10:S14,X10:X14, AQ10:AQ14,AV10:AV14))</f>
        <v>6.4933524949661869E-3</v>
      </c>
      <c r="BR10" s="33">
        <f>IF( OR(ISBLANK(S10:S14),ISBLANK(AQ10:AQ14), ISBLANK(Y10:Y14),ISBLANK(AW10:AW14)), "·", bdRateExtend( S10:S14,Y10:Y14, AQ10:AQ14,AW10:AW14))</f>
        <v>1.6188776109348879E-2</v>
      </c>
      <c r="BS10" s="33">
        <f>IF( OR(ISBLANK(S10:S14),ISBLANK(AQ10:AQ14), ISBLANK(Z10:Z14),ISBLANK(AX10:AX14)), "·", bdRateExtend( S10:S14,Z10:Z14, AQ10:AQ14,AX10:AX14))</f>
        <v>2.8282579851592216E-2</v>
      </c>
      <c r="BT10" s="33">
        <f>IF( OR(ISBLANK(S10:S14),ISBLANK(AQ10:AQ14), ISBLANK(AA10:AA14),ISBLANK(AY10:AY14)), "·", bdRateExtend( S10:S14,AA10:AA14, AQ10:AQ14,AY10:AY14))</f>
        <v>2.9244412419275889E-2</v>
      </c>
      <c r="BV10" s="4">
        <f t="shared" si="18"/>
        <v>6056</v>
      </c>
      <c r="BW10" s="4">
        <f t="shared" si="17"/>
        <v>189.25</v>
      </c>
      <c r="BX10" s="4">
        <f t="shared" si="17"/>
        <v>-1274.75</v>
      </c>
      <c r="BY10" s="4">
        <f t="shared" si="17"/>
        <v>-104400</v>
      </c>
      <c r="BZ10" s="4">
        <f t="shared" si="17"/>
        <v>12184</v>
      </c>
      <c r="CA10" s="4">
        <f t="shared" si="17"/>
        <v>-67968</v>
      </c>
      <c r="CB10" s="4">
        <f t="shared" si="17"/>
        <v>-48616</v>
      </c>
      <c r="CC10" s="4">
        <f t="shared" si="17"/>
        <v>-2.6562500000011369E-3</v>
      </c>
      <c r="CD10" s="4">
        <f t="shared" si="17"/>
        <v>-4.9578124999996476E-2</v>
      </c>
      <c r="CE10" s="4">
        <f t="shared" si="17"/>
        <v>-0.10239687499999661</v>
      </c>
      <c r="CF10" s="4">
        <f t="shared" si="17"/>
        <v>-7.1865625000000932E-2</v>
      </c>
      <c r="CG10" s="4">
        <f t="shared" si="17"/>
        <v>-0.10484062500000135</v>
      </c>
    </row>
    <row r="11" spans="1:85" outlineLevel="1" x14ac:dyDescent="0.3">
      <c r="A11" s="15"/>
      <c r="B11" s="15" t="s">
        <v>278</v>
      </c>
      <c r="C11" s="16" t="s">
        <v>272</v>
      </c>
      <c r="D11" s="15">
        <v>22654789</v>
      </c>
      <c r="E11" s="16">
        <v>10</v>
      </c>
      <c r="F11" s="16">
        <v>32</v>
      </c>
      <c r="G11" s="16">
        <v>30</v>
      </c>
      <c r="I11" s="17">
        <f t="shared" si="0"/>
        <v>4.7712975000000002</v>
      </c>
      <c r="J11" s="18">
        <f t="shared" si="1"/>
        <v>0.22464936663060511</v>
      </c>
      <c r="K11" s="18">
        <f t="shared" si="2"/>
        <v>9.7256964079427091E-2</v>
      </c>
      <c r="L11" s="18">
        <f t="shared" si="3"/>
        <v>5.665945509357867E-2</v>
      </c>
      <c r="M11" s="18">
        <f t="shared" si="4"/>
        <v>0.12739240255117804</v>
      </c>
      <c r="N11" s="15">
        <f t="shared" si="5"/>
        <v>2203336</v>
      </c>
      <c r="O11" s="18">
        <f t="shared" si="6"/>
        <v>0.22915408943224141</v>
      </c>
      <c r="P11" s="19">
        <v>22209440</v>
      </c>
      <c r="Q11" s="19">
        <v>694045</v>
      </c>
      <c r="R11" s="19">
        <v>24701.96875</v>
      </c>
      <c r="S11" s="20">
        <v>5089384</v>
      </c>
      <c r="T11" s="20">
        <v>1283608</v>
      </c>
      <c r="U11" s="20">
        <v>919728</v>
      </c>
      <c r="V11" s="20">
        <v>2886048</v>
      </c>
      <c r="W11" s="21">
        <v>67.629084375000005</v>
      </c>
      <c r="X11" s="21">
        <v>69.776278125000005</v>
      </c>
      <c r="Y11" s="21">
        <v>34.395321875</v>
      </c>
      <c r="Z11" s="21">
        <v>40.088096874999998</v>
      </c>
      <c r="AA11" s="21">
        <v>33.995153125000002</v>
      </c>
      <c r="AB11" s="22">
        <v>4341.46</v>
      </c>
      <c r="AC11" s="22">
        <v>2835.21</v>
      </c>
      <c r="AD11" s="22">
        <v>13.721</v>
      </c>
      <c r="AE11" s="22">
        <v>46.396000000000001</v>
      </c>
      <c r="AG11" s="17">
        <f t="shared" si="7"/>
        <v>4.6770899999999997</v>
      </c>
      <c r="AH11" s="18">
        <f t="shared" si="8"/>
        <v>0.22021374818366218</v>
      </c>
      <c r="AI11" s="18">
        <f t="shared" si="9"/>
        <v>9.5659774187259045E-2</v>
      </c>
      <c r="AJ11" s="18">
        <f t="shared" si="10"/>
        <v>5.8062425564855184E-2</v>
      </c>
      <c r="AK11" s="18">
        <f t="shared" si="11"/>
        <v>0.12455397399640314</v>
      </c>
      <c r="AL11" s="15">
        <f t="shared" si="12"/>
        <v>2167152</v>
      </c>
      <c r="AM11" s="18">
        <f t="shared" si="13"/>
        <v>0.22576577441695983</v>
      </c>
      <c r="AN11" s="19">
        <v>22097663</v>
      </c>
      <c r="AO11" s="19">
        <v>690551.96875</v>
      </c>
      <c r="AP11" s="19">
        <v>22579.96875</v>
      </c>
      <c r="AQ11" s="20">
        <v>4988896</v>
      </c>
      <c r="AR11" s="20">
        <v>1315392</v>
      </c>
      <c r="AS11" s="20">
        <v>851760</v>
      </c>
      <c r="AT11" s="20">
        <v>2821744</v>
      </c>
      <c r="AU11" s="21">
        <v>67.608481249999997</v>
      </c>
      <c r="AV11" s="21">
        <v>69.690137500000006</v>
      </c>
      <c r="AW11" s="21">
        <v>34.283925000000004</v>
      </c>
      <c r="AX11" s="21">
        <v>40.018309375000001</v>
      </c>
      <c r="AY11" s="21">
        <v>33.888937499999997</v>
      </c>
      <c r="AZ11" s="22">
        <v>3348.5</v>
      </c>
      <c r="BA11" s="22">
        <v>1838.44</v>
      </c>
      <c r="BB11" s="22">
        <v>11.516999999999999</v>
      </c>
      <c r="BC11" s="22">
        <v>45.152999999999999</v>
      </c>
      <c r="BE11" s="23">
        <f t="shared" si="14"/>
        <v>0.98357762955808836</v>
      </c>
      <c r="BF11" s="24">
        <f t="shared" si="15"/>
        <v>-2.8928719957428961E-3</v>
      </c>
      <c r="BG11" s="24">
        <f t="shared" si="16"/>
        <v>1.4672689810611428E-3</v>
      </c>
      <c r="BH11" s="24"/>
      <c r="BJ11" s="23"/>
      <c r="BK11" s="23"/>
      <c r="BL11" s="23"/>
      <c r="BM11" s="23"/>
      <c r="BN11" s="23"/>
      <c r="BP11" s="23"/>
      <c r="BQ11" s="23"/>
      <c r="BR11" s="23"/>
      <c r="BS11" s="23"/>
      <c r="BT11" s="23"/>
      <c r="BV11" s="4">
        <f t="shared" si="18"/>
        <v>-111777</v>
      </c>
      <c r="BW11" s="4">
        <f t="shared" si="17"/>
        <v>-3493.03125</v>
      </c>
      <c r="BX11" s="4">
        <f t="shared" si="17"/>
        <v>-2122</v>
      </c>
      <c r="BY11" s="4">
        <f t="shared" si="17"/>
        <v>-100488</v>
      </c>
      <c r="BZ11" s="4">
        <f t="shared" si="17"/>
        <v>31784</v>
      </c>
      <c r="CA11" s="4">
        <f t="shared" si="17"/>
        <v>-67968</v>
      </c>
      <c r="CB11" s="4">
        <f t="shared" si="17"/>
        <v>-64304</v>
      </c>
      <c r="CC11" s="4">
        <f t="shared" si="17"/>
        <v>-2.0603125000008049E-2</v>
      </c>
      <c r="CD11" s="4">
        <f t="shared" si="17"/>
        <v>-8.6140624999998749E-2</v>
      </c>
      <c r="CE11" s="4">
        <f t="shared" si="17"/>
        <v>-0.11139687499999695</v>
      </c>
      <c r="CF11" s="4">
        <f t="shared" si="17"/>
        <v>-6.9787499999996783E-2</v>
      </c>
      <c r="CG11" s="4">
        <f t="shared" si="17"/>
        <v>-0.10621562500000437</v>
      </c>
    </row>
    <row r="12" spans="1:85" outlineLevel="1" x14ac:dyDescent="0.3">
      <c r="A12" s="25"/>
      <c r="B12" s="25" t="s">
        <v>278</v>
      </c>
      <c r="C12" s="26" t="s">
        <v>273</v>
      </c>
      <c r="D12" s="25">
        <v>22654789</v>
      </c>
      <c r="E12" s="26">
        <v>10</v>
      </c>
      <c r="F12" s="26">
        <v>32</v>
      </c>
      <c r="G12" s="26">
        <v>30</v>
      </c>
      <c r="I12" s="27">
        <f t="shared" si="0"/>
        <v>7.3786575000000001</v>
      </c>
      <c r="J12" s="28">
        <f t="shared" si="1"/>
        <v>0.34741299069260806</v>
      </c>
      <c r="K12" s="28">
        <f t="shared" si="2"/>
        <v>0.121177027956429</v>
      </c>
      <c r="L12" s="28">
        <f t="shared" si="3"/>
        <v>8.0579518970580563E-2</v>
      </c>
      <c r="M12" s="28">
        <f t="shared" si="4"/>
        <v>0.2262359627361791</v>
      </c>
      <c r="N12" s="25">
        <f t="shared" si="5"/>
        <v>2745240</v>
      </c>
      <c r="O12" s="28">
        <f t="shared" si="6"/>
        <v>0.34644028801856047</v>
      </c>
      <c r="P12" s="29">
        <v>22718397</v>
      </c>
      <c r="Q12" s="29">
        <v>709949.90625</v>
      </c>
      <c r="R12" s="29">
        <v>26579.9375</v>
      </c>
      <c r="S12" s="30">
        <v>7870568</v>
      </c>
      <c r="T12" s="30">
        <v>1825512</v>
      </c>
      <c r="U12" s="30">
        <v>919728</v>
      </c>
      <c r="V12" s="30">
        <v>5125328</v>
      </c>
      <c r="W12" s="31">
        <v>69.018078125000002</v>
      </c>
      <c r="X12" s="31">
        <v>71.395475000000005</v>
      </c>
      <c r="Y12" s="31">
        <v>36.5035375</v>
      </c>
      <c r="Z12" s="31">
        <v>41.022387500000001</v>
      </c>
      <c r="AA12" s="31">
        <v>35.783918749999998</v>
      </c>
      <c r="AB12" s="32">
        <v>4918.38</v>
      </c>
      <c r="AC12" s="32">
        <v>2927.45</v>
      </c>
      <c r="AD12" s="32">
        <v>14.04</v>
      </c>
      <c r="AE12" s="32">
        <v>46.811</v>
      </c>
      <c r="AG12" s="27">
        <f t="shared" si="7"/>
        <v>7.3016325000000002</v>
      </c>
      <c r="AH12" s="28">
        <f t="shared" si="8"/>
        <v>0.34378638441523335</v>
      </c>
      <c r="AI12" s="28">
        <f t="shared" si="9"/>
        <v>0.12149731343779013</v>
      </c>
      <c r="AJ12" s="28">
        <f t="shared" si="10"/>
        <v>8.389996481538628E-2</v>
      </c>
      <c r="AK12" s="28">
        <f t="shared" si="11"/>
        <v>0.22228907097744321</v>
      </c>
      <c r="AL12" s="25">
        <f t="shared" si="12"/>
        <v>2752496</v>
      </c>
      <c r="AM12" s="28">
        <f t="shared" si="13"/>
        <v>0.34598468667059423</v>
      </c>
      <c r="AN12" s="29">
        <v>22510846</v>
      </c>
      <c r="AO12" s="29">
        <v>703463.9375</v>
      </c>
      <c r="AP12" s="29">
        <v>24335.25</v>
      </c>
      <c r="AQ12" s="30">
        <v>7788408</v>
      </c>
      <c r="AR12" s="30">
        <v>1900736</v>
      </c>
      <c r="AS12" s="30">
        <v>851760</v>
      </c>
      <c r="AT12" s="30">
        <v>5035912</v>
      </c>
      <c r="AU12" s="31">
        <v>68.959699999999998</v>
      </c>
      <c r="AV12" s="31">
        <v>71.32229375</v>
      </c>
      <c r="AW12" s="31">
        <v>36.388506249999999</v>
      </c>
      <c r="AX12" s="31">
        <v>40.930831249999997</v>
      </c>
      <c r="AY12" s="31">
        <v>35.648834375</v>
      </c>
      <c r="AZ12" s="32">
        <v>3083.3</v>
      </c>
      <c r="BA12" s="32">
        <v>1776.96</v>
      </c>
      <c r="BB12" s="32">
        <v>12.237</v>
      </c>
      <c r="BC12" s="32">
        <v>42.095999999999997</v>
      </c>
      <c r="BE12" s="33">
        <f t="shared" si="14"/>
        <v>1.0026431204557706</v>
      </c>
      <c r="BF12" s="34">
        <f t="shared" si="15"/>
        <v>-2.8457154459750611E-3</v>
      </c>
      <c r="BG12" s="34">
        <f t="shared" si="16"/>
        <v>4.6111170112767552E-3</v>
      </c>
      <c r="BH12" s="34"/>
      <c r="BJ12" s="33"/>
      <c r="BK12" s="33"/>
      <c r="BL12" s="33"/>
      <c r="BM12" s="33"/>
      <c r="BN12" s="33"/>
      <c r="BP12" s="33"/>
      <c r="BQ12" s="33"/>
      <c r="BR12" s="33"/>
      <c r="BS12" s="33"/>
      <c r="BT12" s="33"/>
      <c r="BV12" s="4">
        <f t="shared" si="18"/>
        <v>-207551</v>
      </c>
      <c r="BW12" s="4">
        <f t="shared" si="17"/>
        <v>-6485.96875</v>
      </c>
      <c r="BX12" s="4">
        <f t="shared" si="17"/>
        <v>-2244.6875</v>
      </c>
      <c r="BY12" s="4">
        <f t="shared" si="17"/>
        <v>-82160</v>
      </c>
      <c r="BZ12" s="4">
        <f t="shared" si="17"/>
        <v>75224</v>
      </c>
      <c r="CA12" s="4">
        <f t="shared" si="17"/>
        <v>-67968</v>
      </c>
      <c r="CB12" s="4">
        <f t="shared" si="17"/>
        <v>-89416</v>
      </c>
      <c r="CC12" s="4">
        <f t="shared" si="17"/>
        <v>-5.8378125000004388E-2</v>
      </c>
      <c r="CD12" s="4">
        <f t="shared" si="17"/>
        <v>-7.3181250000004638E-2</v>
      </c>
      <c r="CE12" s="4">
        <f t="shared" si="17"/>
        <v>-0.11503125000000125</v>
      </c>
      <c r="CF12" s="4">
        <f t="shared" si="17"/>
        <v>-9.1556250000003558E-2</v>
      </c>
      <c r="CG12" s="4">
        <f t="shared" si="17"/>
        <v>-0.13508437499999815</v>
      </c>
    </row>
    <row r="13" spans="1:85" outlineLevel="1" x14ac:dyDescent="0.3">
      <c r="A13" s="15"/>
      <c r="B13" s="15" t="s">
        <v>278</v>
      </c>
      <c r="C13" s="16" t="s">
        <v>274</v>
      </c>
      <c r="D13" s="15">
        <v>22654789</v>
      </c>
      <c r="E13" s="16">
        <v>10</v>
      </c>
      <c r="F13" s="16">
        <v>32</v>
      </c>
      <c r="G13" s="16">
        <v>30</v>
      </c>
      <c r="I13" s="17">
        <f t="shared" si="0"/>
        <v>12.743752499999999</v>
      </c>
      <c r="J13" s="18">
        <f t="shared" si="1"/>
        <v>0.60002041952366014</v>
      </c>
      <c r="K13" s="18">
        <f t="shared" si="2"/>
        <v>0.1626435805692121</v>
      </c>
      <c r="L13" s="18">
        <f t="shared" si="3"/>
        <v>0.12204607158336368</v>
      </c>
      <c r="M13" s="18">
        <f t="shared" si="4"/>
        <v>0.43737683895444801</v>
      </c>
      <c r="N13" s="15">
        <f t="shared" si="5"/>
        <v>3684656</v>
      </c>
      <c r="O13" s="18">
        <f t="shared" si="6"/>
        <v>0.57612525271344983</v>
      </c>
      <c r="P13" s="19">
        <v>23594411</v>
      </c>
      <c r="Q13" s="19">
        <v>737325.34375</v>
      </c>
      <c r="R13" s="19">
        <v>30293.96875</v>
      </c>
      <c r="S13" s="20">
        <v>13593336</v>
      </c>
      <c r="T13" s="20">
        <v>2764928</v>
      </c>
      <c r="U13" s="20">
        <v>919728</v>
      </c>
      <c r="V13" s="20">
        <v>9908680</v>
      </c>
      <c r="W13" s="21">
        <v>70.083481250000006</v>
      </c>
      <c r="X13" s="21">
        <v>72.637974999999997</v>
      </c>
      <c r="Y13" s="21">
        <v>38.842237500000003</v>
      </c>
      <c r="Z13" s="21">
        <v>42.200284375000003</v>
      </c>
      <c r="AA13" s="21">
        <v>37.870584375</v>
      </c>
      <c r="AB13" s="22">
        <v>4288.93</v>
      </c>
      <c r="AC13" s="22">
        <v>3164.6</v>
      </c>
      <c r="AD13" s="22">
        <v>14.16</v>
      </c>
      <c r="AE13" s="22">
        <v>47.735999999999997</v>
      </c>
      <c r="AG13" s="17">
        <f t="shared" si="7"/>
        <v>12.686114999999999</v>
      </c>
      <c r="AH13" s="18">
        <f t="shared" si="8"/>
        <v>0.59730664452447557</v>
      </c>
      <c r="AI13" s="18">
        <f t="shared" si="9"/>
        <v>0.1665703441334192</v>
      </c>
      <c r="AJ13" s="18">
        <f t="shared" si="10"/>
        <v>0.12897299551101535</v>
      </c>
      <c r="AK13" s="18">
        <f t="shared" si="11"/>
        <v>0.43073630039105637</v>
      </c>
      <c r="AL13" s="15">
        <f t="shared" si="12"/>
        <v>3773616</v>
      </c>
      <c r="AM13" s="18">
        <f t="shared" si="13"/>
        <v>0.58097233529879411</v>
      </c>
      <c r="AN13" s="19">
        <v>23291739</v>
      </c>
      <c r="AO13" s="19">
        <v>727866.84375</v>
      </c>
      <c r="AP13" s="19">
        <v>27670.5</v>
      </c>
      <c r="AQ13" s="20">
        <v>13531856</v>
      </c>
      <c r="AR13" s="20">
        <v>2921856</v>
      </c>
      <c r="AS13" s="20">
        <v>851760</v>
      </c>
      <c r="AT13" s="20">
        <v>9758240</v>
      </c>
      <c r="AU13" s="21">
        <v>70.061584374999995</v>
      </c>
      <c r="AV13" s="21">
        <v>72.575809375000006</v>
      </c>
      <c r="AW13" s="21">
        <v>38.706528124999998</v>
      </c>
      <c r="AX13" s="21">
        <v>42.110090624999998</v>
      </c>
      <c r="AY13" s="21">
        <v>37.681550000000001</v>
      </c>
      <c r="AZ13" s="22">
        <v>3267.25</v>
      </c>
      <c r="BA13" s="22">
        <v>2162.44</v>
      </c>
      <c r="BB13" s="22">
        <v>10.432</v>
      </c>
      <c r="BC13" s="22">
        <v>48.051000000000002</v>
      </c>
      <c r="BE13" s="23">
        <f t="shared" si="14"/>
        <v>1.0241433664363782</v>
      </c>
      <c r="BF13" s="24">
        <f t="shared" si="15"/>
        <v>-3.0704159973085621E-3</v>
      </c>
      <c r="BG13" s="24">
        <f t="shared" si="16"/>
        <v>7.8056534450354764E-3</v>
      </c>
      <c r="BH13" s="24"/>
      <c r="BJ13" s="23"/>
      <c r="BK13" s="23"/>
      <c r="BL13" s="23"/>
      <c r="BM13" s="23"/>
      <c r="BN13" s="23"/>
      <c r="BP13" s="23"/>
      <c r="BQ13" s="23"/>
      <c r="BR13" s="23"/>
      <c r="BS13" s="23"/>
      <c r="BT13" s="23"/>
      <c r="BV13" s="4">
        <f t="shared" si="18"/>
        <v>-302672</v>
      </c>
      <c r="BW13" s="4">
        <f t="shared" si="17"/>
        <v>-9458.5</v>
      </c>
      <c r="BX13" s="4">
        <f t="shared" si="17"/>
        <v>-2623.46875</v>
      </c>
      <c r="BY13" s="4">
        <f t="shared" si="17"/>
        <v>-61480</v>
      </c>
      <c r="BZ13" s="4">
        <f t="shared" si="17"/>
        <v>156928</v>
      </c>
      <c r="CA13" s="4">
        <f t="shared" si="17"/>
        <v>-67968</v>
      </c>
      <c r="CB13" s="4">
        <f t="shared" si="17"/>
        <v>-150440</v>
      </c>
      <c r="CC13" s="4">
        <f t="shared" si="17"/>
        <v>-2.1896875000010141E-2</v>
      </c>
      <c r="CD13" s="4">
        <f t="shared" si="17"/>
        <v>-6.2165624999991564E-2</v>
      </c>
      <c r="CE13" s="4">
        <f t="shared" si="17"/>
        <v>-0.13570937500000468</v>
      </c>
      <c r="CF13" s="4">
        <f t="shared" si="17"/>
        <v>-9.0193750000004513E-2</v>
      </c>
      <c r="CG13" s="4">
        <f t="shared" si="17"/>
        <v>-0.18903437499999853</v>
      </c>
    </row>
    <row r="14" spans="1:85" ht="15" outlineLevel="1" thickBot="1" x14ac:dyDescent="0.35">
      <c r="A14" s="25"/>
      <c r="B14" s="45" t="s">
        <v>278</v>
      </c>
      <c r="C14" s="46" t="s">
        <v>275</v>
      </c>
      <c r="D14" s="45">
        <v>22654789</v>
      </c>
      <c r="E14" s="46">
        <v>10</v>
      </c>
      <c r="F14" s="46">
        <v>32</v>
      </c>
      <c r="G14" s="46">
        <v>30</v>
      </c>
      <c r="I14" s="47">
        <f t="shared" si="0"/>
        <v>23.040007500000002</v>
      </c>
      <c r="J14" s="48">
        <f t="shared" si="1"/>
        <v>1.0848041003604139</v>
      </c>
      <c r="K14" s="48">
        <f t="shared" si="2"/>
        <v>0.26600962825122759</v>
      </c>
      <c r="L14" s="48">
        <f t="shared" si="3"/>
        <v>0.19182451886883609</v>
      </c>
      <c r="M14" s="48">
        <f t="shared" si="4"/>
        <v>0.81879447210918632</v>
      </c>
      <c r="N14" s="45">
        <f t="shared" si="5"/>
        <v>6026392</v>
      </c>
      <c r="O14" s="48">
        <f t="shared" si="6"/>
        <v>1.0976797052416511</v>
      </c>
      <c r="P14" s="49">
        <v>22389052</v>
      </c>
      <c r="Q14" s="49">
        <v>699657.875</v>
      </c>
      <c r="R14" s="49">
        <v>14006.09375</v>
      </c>
      <c r="S14" s="50">
        <v>24576008</v>
      </c>
      <c r="T14" s="50">
        <v>4345744</v>
      </c>
      <c r="U14" s="50">
        <v>1680648</v>
      </c>
      <c r="V14" s="50">
        <v>18549616</v>
      </c>
      <c r="W14" s="51">
        <v>71.117803124999995</v>
      </c>
      <c r="X14" s="51">
        <v>74.714628125000004</v>
      </c>
      <c r="Y14" s="51">
        <v>41.086893750000002</v>
      </c>
      <c r="Z14" s="51">
        <v>43.518868750000003</v>
      </c>
      <c r="AA14" s="51">
        <v>39.693765624999997</v>
      </c>
      <c r="AB14" s="52">
        <v>4297.6099999999997</v>
      </c>
      <c r="AC14" s="52">
        <v>3575.61</v>
      </c>
      <c r="AD14" s="52">
        <v>12.942</v>
      </c>
      <c r="AE14" s="52">
        <v>50.225999999999999</v>
      </c>
      <c r="AG14" s="47">
        <f t="shared" si="7"/>
        <v>22.983907500000001</v>
      </c>
      <c r="AH14" s="48">
        <f t="shared" si="8"/>
        <v>1.082162716236289</v>
      </c>
      <c r="AI14" s="48">
        <f t="shared" si="9"/>
        <v>0.27324695012608591</v>
      </c>
      <c r="AJ14" s="48">
        <f t="shared" si="10"/>
        <v>0.20367508167919815</v>
      </c>
      <c r="AK14" s="48">
        <f t="shared" si="11"/>
        <v>0.80891576611020299</v>
      </c>
      <c r="AL14" s="45">
        <f t="shared" si="12"/>
        <v>6190352</v>
      </c>
      <c r="AM14" s="48">
        <f t="shared" si="13"/>
        <v>1.1081226697310838</v>
      </c>
      <c r="AN14" s="49">
        <v>22124056</v>
      </c>
      <c r="AO14" s="49">
        <v>691376.75</v>
      </c>
      <c r="AP14" s="49">
        <v>13142.46875</v>
      </c>
      <c r="AQ14" s="50">
        <v>24516168</v>
      </c>
      <c r="AR14" s="50">
        <v>4614216</v>
      </c>
      <c r="AS14" s="50">
        <v>1576136</v>
      </c>
      <c r="AT14" s="50">
        <v>18325816</v>
      </c>
      <c r="AU14" s="51">
        <v>70.929762499999995</v>
      </c>
      <c r="AV14" s="51">
        <v>74.680228124999999</v>
      </c>
      <c r="AW14" s="51">
        <v>40.952350000000003</v>
      </c>
      <c r="AX14" s="51">
        <v>43.421581250000003</v>
      </c>
      <c r="AY14" s="51">
        <v>39.439212499999996</v>
      </c>
      <c r="AZ14" s="52">
        <v>3443.04</v>
      </c>
      <c r="BA14" s="52">
        <v>2483.46</v>
      </c>
      <c r="BB14" s="52">
        <v>11.81</v>
      </c>
      <c r="BC14" s="52">
        <v>50.823</v>
      </c>
      <c r="BE14" s="53">
        <f t="shared" si="14"/>
        <v>1.027206992177077</v>
      </c>
      <c r="BF14" s="54">
        <f t="shared" si="15"/>
        <v>-1.0093619535491843E-3</v>
      </c>
      <c r="BG14" s="54">
        <f t="shared" si="16"/>
        <v>7.2863602498669522E-3</v>
      </c>
      <c r="BH14" s="54"/>
      <c r="BJ14" s="53"/>
      <c r="BK14" s="53"/>
      <c r="BL14" s="53"/>
      <c r="BM14" s="53"/>
      <c r="BN14" s="53"/>
      <c r="BP14" s="53"/>
      <c r="BQ14" s="53"/>
      <c r="BR14" s="53"/>
      <c r="BS14" s="53"/>
      <c r="BT14" s="53"/>
      <c r="BV14" s="4">
        <f t="shared" si="18"/>
        <v>-264996</v>
      </c>
      <c r="BW14" s="4">
        <f t="shared" si="17"/>
        <v>-8281.125</v>
      </c>
      <c r="BX14" s="4">
        <f t="shared" si="17"/>
        <v>-863.625</v>
      </c>
      <c r="BY14" s="4">
        <f t="shared" si="17"/>
        <v>-59840</v>
      </c>
      <c r="BZ14" s="4">
        <f t="shared" si="17"/>
        <v>268472</v>
      </c>
      <c r="CA14" s="4">
        <f t="shared" si="17"/>
        <v>-104512</v>
      </c>
      <c r="CB14" s="4">
        <f t="shared" si="17"/>
        <v>-223800</v>
      </c>
      <c r="CC14" s="4">
        <f t="shared" si="17"/>
        <v>-0.1880406249999993</v>
      </c>
      <c r="CD14" s="4">
        <f t="shared" si="17"/>
        <v>-3.4400000000005093E-2</v>
      </c>
      <c r="CE14" s="4">
        <f t="shared" si="17"/>
        <v>-0.13454374999999885</v>
      </c>
      <c r="CF14" s="4">
        <f t="shared" si="17"/>
        <v>-9.7287500000000193E-2</v>
      </c>
      <c r="CG14" s="4">
        <f t="shared" si="17"/>
        <v>-0.25455312500000105</v>
      </c>
    </row>
    <row r="15" spans="1:85" x14ac:dyDescent="0.3">
      <c r="A15" s="15"/>
      <c r="B15" s="15" t="s">
        <v>281</v>
      </c>
      <c r="C15" s="16" t="s">
        <v>271</v>
      </c>
      <c r="D15" s="15">
        <v>33947718</v>
      </c>
      <c r="E15" s="16">
        <v>10</v>
      </c>
      <c r="F15" s="16">
        <v>32</v>
      </c>
      <c r="G15" s="16">
        <v>30</v>
      </c>
      <c r="I15" s="17">
        <f t="shared" si="0"/>
        <v>4.5835125000000003</v>
      </c>
      <c r="J15" s="18">
        <f t="shared" si="1"/>
        <v>0.14401792780298223</v>
      </c>
      <c r="K15" s="18">
        <f t="shared" si="2"/>
        <v>8.0960257770492844E-2</v>
      </c>
      <c r="L15" s="18">
        <f t="shared" si="3"/>
        <v>4.1411443325881286E-2</v>
      </c>
      <c r="M15" s="18">
        <f t="shared" si="4"/>
        <v>6.3057670032489369E-2</v>
      </c>
      <c r="N15" s="15">
        <f t="shared" si="5"/>
        <v>2748416</v>
      </c>
      <c r="O15" s="18">
        <f t="shared" si="6"/>
        <v>0.15824623189811193</v>
      </c>
      <c r="P15" s="19">
        <v>30895396</v>
      </c>
      <c r="Q15" s="19">
        <v>965481.125</v>
      </c>
      <c r="R15" s="19">
        <v>30811</v>
      </c>
      <c r="S15" s="20">
        <v>4889080</v>
      </c>
      <c r="T15" s="20">
        <v>1405824</v>
      </c>
      <c r="U15" s="20">
        <v>1342592</v>
      </c>
      <c r="V15" s="20">
        <v>2140664</v>
      </c>
      <c r="W15" s="21">
        <v>65.995056250000005</v>
      </c>
      <c r="X15" s="21">
        <v>67.8233125</v>
      </c>
      <c r="Y15" s="21">
        <v>29.587062499999998</v>
      </c>
      <c r="Z15" s="21">
        <v>43.162765624999999</v>
      </c>
      <c r="AA15" s="21">
        <v>43.442771874999998</v>
      </c>
      <c r="AB15" s="22">
        <v>7233.51</v>
      </c>
      <c r="AC15" s="22">
        <v>2701.21</v>
      </c>
      <c r="AD15" s="22">
        <v>14.68</v>
      </c>
      <c r="AE15" s="22">
        <v>45.250999999999998</v>
      </c>
      <c r="AG15" s="17">
        <f t="shared" si="7"/>
        <v>4.4671200000000004</v>
      </c>
      <c r="AH15" s="18">
        <f t="shared" si="8"/>
        <v>0.14036077476547909</v>
      </c>
      <c r="AI15" s="18">
        <f t="shared" si="9"/>
        <v>7.9041306988587565E-2</v>
      </c>
      <c r="AJ15" s="18">
        <f t="shared" si="10"/>
        <v>4.1738534531245958E-2</v>
      </c>
      <c r="AK15" s="18">
        <f t="shared" si="11"/>
        <v>6.1319467776891512E-2</v>
      </c>
      <c r="AL15" s="15">
        <f t="shared" si="12"/>
        <v>2683272</v>
      </c>
      <c r="AM15" s="18">
        <f t="shared" si="13"/>
        <v>0.15327799351217367</v>
      </c>
      <c r="AN15" s="19">
        <v>31086837</v>
      </c>
      <c r="AO15" s="19">
        <v>971463.65625</v>
      </c>
      <c r="AP15" s="19">
        <v>27534.65625</v>
      </c>
      <c r="AQ15" s="20">
        <v>4764928</v>
      </c>
      <c r="AR15" s="20">
        <v>1416928</v>
      </c>
      <c r="AS15" s="20">
        <v>1266344</v>
      </c>
      <c r="AT15" s="20">
        <v>2081656</v>
      </c>
      <c r="AU15" s="21">
        <v>65.923293749999999</v>
      </c>
      <c r="AV15" s="21">
        <v>67.651821874999996</v>
      </c>
      <c r="AW15" s="21">
        <v>29.455387500000001</v>
      </c>
      <c r="AX15" s="21">
        <v>43.093790624999997</v>
      </c>
      <c r="AY15" s="21">
        <v>43.265300000000003</v>
      </c>
      <c r="AZ15" s="22">
        <v>5069.3900000000003</v>
      </c>
      <c r="BA15" s="22">
        <v>2538.7800000000002</v>
      </c>
      <c r="BB15" s="22">
        <v>15.391999999999999</v>
      </c>
      <c r="BC15" s="22">
        <v>41.134999999999998</v>
      </c>
      <c r="BE15" s="23">
        <f t="shared" si="14"/>
        <v>0.97629762015648291</v>
      </c>
      <c r="BF15" s="24">
        <f t="shared" si="15"/>
        <v>-3.5691111800427271E-3</v>
      </c>
      <c r="BG15" s="24">
        <f t="shared" si="16"/>
        <v>9.7557539125658899E-4</v>
      </c>
      <c r="BH15" s="24">
        <f t="array" ref="BH15">AVERAGE(AL15:AL19/AQ15:AQ19) - AVERAGE(N15:N19/S15:S19)</f>
        <v>5.1968676683354365E-3</v>
      </c>
      <c r="BJ15" s="23">
        <f>IF( OR(ISBLANK(N15:N19),ISBLANK(AL15:AL19), ISBLANK(W15:W19),ISBLANK(AU15:AU19)), "·", bdRateExtend( N15:N19,W15:W19, AL15:AL19,AU15:AU19))</f>
        <v>2.7759959099936671E-2</v>
      </c>
      <c r="BK15" s="23">
        <f>IF( OR(ISBLANK(N15:N19),ISBLANK(AL15:AL19), ISBLANK(X15:X19),ISBLANK(AV15:AV19)), "·", bdRateExtend( N15:N19,X15:X19, AL15:AL19,AV15:AV19))</f>
        <v>2.6783585641963814E-2</v>
      </c>
      <c r="BL15" s="23">
        <f>IF( OR(ISBLANK(V15:V19),ISBLANK(AT15:AT19), ISBLANK(Y15:Y19),ISBLANK(AW15:AW19)), "·", bdRateExtend( V15:V19,Y15:Y19, AT15:AT19,AW15:AW19))</f>
        <v>3.3378970503618266E-2</v>
      </c>
      <c r="BM15" s="23">
        <f>IF( OR(ISBLANK(V15:V19),ISBLANK(AT15:AT19), ISBLANK(Z15:Z19),ISBLANK(AX15:AX19)), "·", bdRateExtend( V15:V19,Z15:Z19, AT15:AT19,AX15:AX19))</f>
        <v>1.9951285618512449E-2</v>
      </c>
      <c r="BN15" s="23">
        <f>IF( OR(ISBLANK(V15:V19),ISBLANK(AT15:AT19), ISBLANK(AA15:AA19),ISBLANK(AY15:AY19)), "·", bdRateExtend( V15:V19,AA15:AA19, AT15:AT19,AY15:AY19))</f>
        <v>6.3110097976178503E-2</v>
      </c>
      <c r="BP15" s="23">
        <f>IF( OR(ISBLANK(S15:S19),ISBLANK(AQ15:AQ19), ISBLANK(W15:W19),ISBLANK(AU15:AU19)), "·", bdRateExtend( S15:S19,W15:W19, AQ15:AQ19,AU15:AU19))</f>
        <v>2.9562905580962084E-2</v>
      </c>
      <c r="BQ15" s="23">
        <f>IF( OR(ISBLANK(S15:S19),ISBLANK(AQ15:AQ19), ISBLANK(X15:X19),ISBLANK(AV15:AV19)), "·", bdRateExtend( S15:S19,X15:X19, AQ15:AQ19,AV15:AV19))</f>
        <v>2.598154172823075E-2</v>
      </c>
      <c r="BR15" s="23">
        <f>IF( OR(ISBLANK(S15:S19),ISBLANK(AQ15:AQ19), ISBLANK(Y15:Y19),ISBLANK(AW15:AW19)), "·", bdRateExtend( S15:S19,Y15:Y19, AQ15:AQ19,AW15:AW19))</f>
        <v>3.0193616458339179E-2</v>
      </c>
      <c r="BS15" s="23">
        <f>IF( OR(ISBLANK(S15:S19),ISBLANK(AQ15:AQ19), ISBLANK(Z15:Z19),ISBLANK(AX15:AX19)), "·", bdRateExtend( S15:S19,Z15:Z19, AQ15:AQ19,AX15:AX19))</f>
        <v>2.1567221130998737E-2</v>
      </c>
      <c r="BT15" s="23">
        <f>IF( OR(ISBLANK(S15:S19),ISBLANK(AQ15:AQ19), ISBLANK(AA15:AA19),ISBLANK(AY15:AY19)), "·", bdRateExtend( S15:S19,AA15:AA19, AQ15:AQ19,AY15:AY19))</f>
        <v>5.2570383312461999E-2</v>
      </c>
      <c r="BV15" s="4">
        <f t="shared" si="18"/>
        <v>191441</v>
      </c>
      <c r="BW15" s="4">
        <f t="shared" si="17"/>
        <v>5982.53125</v>
      </c>
      <c r="BX15" s="4">
        <f t="shared" si="17"/>
        <v>-3276.34375</v>
      </c>
      <c r="BY15" s="4">
        <f t="shared" si="17"/>
        <v>-124152</v>
      </c>
      <c r="BZ15" s="4">
        <f t="shared" si="17"/>
        <v>11104</v>
      </c>
      <c r="CA15" s="4">
        <f t="shared" si="17"/>
        <v>-76248</v>
      </c>
      <c r="CB15" s="4">
        <f t="shared" si="17"/>
        <v>-59008</v>
      </c>
      <c r="CC15" s="4">
        <f t="shared" si="17"/>
        <v>-7.1762500000005502E-2</v>
      </c>
      <c r="CD15" s="4">
        <f t="shared" si="17"/>
        <v>-0.17149062500000412</v>
      </c>
      <c r="CE15" s="4">
        <f t="shared" si="17"/>
        <v>-0.13167499999999777</v>
      </c>
      <c r="CF15" s="4">
        <f t="shared" si="17"/>
        <v>-6.8975000000001785E-2</v>
      </c>
      <c r="CG15" s="4">
        <f t="shared" si="17"/>
        <v>-0.17747187499999484</v>
      </c>
    </row>
    <row r="16" spans="1:85" outlineLevel="1" x14ac:dyDescent="0.3">
      <c r="A16" s="25"/>
      <c r="B16" s="25" t="s">
        <v>281</v>
      </c>
      <c r="C16" s="26" t="s">
        <v>272</v>
      </c>
      <c r="D16" s="25">
        <v>33947718</v>
      </c>
      <c r="E16" s="26">
        <v>10</v>
      </c>
      <c r="F16" s="26">
        <v>32</v>
      </c>
      <c r="G16" s="26">
        <v>30</v>
      </c>
      <c r="I16" s="27">
        <f t="shared" si="0"/>
        <v>7.2966300000000004</v>
      </c>
      <c r="J16" s="28">
        <f t="shared" si="1"/>
        <v>0.2292664266858821</v>
      </c>
      <c r="K16" s="28">
        <f t="shared" si="2"/>
        <v>9.716376222990894E-2</v>
      </c>
      <c r="L16" s="28">
        <f t="shared" si="3"/>
        <v>5.7614947785297382E-2</v>
      </c>
      <c r="M16" s="28">
        <f t="shared" si="4"/>
        <v>0.13210266445597316</v>
      </c>
      <c r="N16" s="25">
        <f t="shared" si="5"/>
        <v>3298488</v>
      </c>
      <c r="O16" s="28">
        <f t="shared" si="6"/>
        <v>0.23218188333414277</v>
      </c>
      <c r="P16" s="29">
        <v>33521444</v>
      </c>
      <c r="Q16" s="29">
        <v>1047545.125</v>
      </c>
      <c r="R16" s="29">
        <v>39151.9375</v>
      </c>
      <c r="S16" s="30">
        <v>7783072</v>
      </c>
      <c r="T16" s="30">
        <v>1955896</v>
      </c>
      <c r="U16" s="30">
        <v>1342592</v>
      </c>
      <c r="V16" s="30">
        <v>4484584</v>
      </c>
      <c r="W16" s="31">
        <v>67.829209375000005</v>
      </c>
      <c r="X16" s="31">
        <v>69.881384374999996</v>
      </c>
      <c r="Y16" s="31">
        <v>32.041846874999997</v>
      </c>
      <c r="Z16" s="31">
        <v>43.984231250000001</v>
      </c>
      <c r="AA16" s="31">
        <v>44.377890624999999</v>
      </c>
      <c r="AB16" s="32">
        <v>6450.19</v>
      </c>
      <c r="AC16" s="32">
        <v>2899.47</v>
      </c>
      <c r="AD16" s="32">
        <v>18.506</v>
      </c>
      <c r="AE16" s="32">
        <v>45.332999999999998</v>
      </c>
      <c r="AG16" s="27">
        <f t="shared" si="7"/>
        <v>7.1478450000000002</v>
      </c>
      <c r="AH16" s="28">
        <f t="shared" si="8"/>
        <v>0.22459147327664264</v>
      </c>
      <c r="AI16" s="28">
        <f t="shared" si="9"/>
        <v>9.6197099316071843E-2</v>
      </c>
      <c r="AJ16" s="28">
        <f t="shared" si="10"/>
        <v>5.8894326858730237E-2</v>
      </c>
      <c r="AK16" s="28">
        <f t="shared" si="11"/>
        <v>0.12839437396057077</v>
      </c>
      <c r="AL16" s="25">
        <f t="shared" si="12"/>
        <v>3265672</v>
      </c>
      <c r="AM16" s="28">
        <f t="shared" si="13"/>
        <v>0.22975017501634451</v>
      </c>
      <c r="AN16" s="29">
        <v>33185472</v>
      </c>
      <c r="AO16" s="29">
        <v>1037046</v>
      </c>
      <c r="AP16" s="29">
        <v>34248.84375</v>
      </c>
      <c r="AQ16" s="30">
        <v>7624368</v>
      </c>
      <c r="AR16" s="30">
        <v>1999328</v>
      </c>
      <c r="AS16" s="30">
        <v>1266344</v>
      </c>
      <c r="AT16" s="30">
        <v>4358696</v>
      </c>
      <c r="AU16" s="31">
        <v>67.712431249999995</v>
      </c>
      <c r="AV16" s="31">
        <v>69.726390624999993</v>
      </c>
      <c r="AW16" s="31">
        <v>31.857693749999999</v>
      </c>
      <c r="AX16" s="31">
        <v>43.946984375</v>
      </c>
      <c r="AY16" s="31">
        <v>44.189534375000001</v>
      </c>
      <c r="AZ16" s="32">
        <v>5059.03</v>
      </c>
      <c r="BA16" s="32">
        <v>2733.41</v>
      </c>
      <c r="BB16" s="32">
        <v>16.998999999999999</v>
      </c>
      <c r="BC16" s="32">
        <v>42.466000000000001</v>
      </c>
      <c r="BE16" s="33">
        <f t="shared" si="14"/>
        <v>0.99005119921612572</v>
      </c>
      <c r="BF16" s="34">
        <f t="shared" si="15"/>
        <v>-4.3495559213233212E-3</v>
      </c>
      <c r="BG16" s="34">
        <f t="shared" si="16"/>
        <v>4.5175161484886095E-3</v>
      </c>
      <c r="BH16" s="34"/>
      <c r="BJ16" s="33"/>
      <c r="BK16" s="33"/>
      <c r="BL16" s="33"/>
      <c r="BM16" s="33"/>
      <c r="BN16" s="33"/>
      <c r="BP16" s="33"/>
      <c r="BQ16" s="33"/>
      <c r="BR16" s="33"/>
      <c r="BS16" s="33"/>
      <c r="BT16" s="33"/>
      <c r="BV16" s="4">
        <f t="shared" si="18"/>
        <v>-335972</v>
      </c>
      <c r="BW16" s="4">
        <f t="shared" si="17"/>
        <v>-10499.125</v>
      </c>
      <c r="BX16" s="4">
        <f t="shared" si="17"/>
        <v>-4903.09375</v>
      </c>
      <c r="BY16" s="4">
        <f t="shared" si="17"/>
        <v>-158704</v>
      </c>
      <c r="BZ16" s="4">
        <f t="shared" si="17"/>
        <v>43432</v>
      </c>
      <c r="CA16" s="4">
        <f t="shared" si="17"/>
        <v>-76248</v>
      </c>
      <c r="CB16" s="4">
        <f t="shared" si="17"/>
        <v>-125888</v>
      </c>
      <c r="CC16" s="4">
        <f t="shared" si="17"/>
        <v>-0.11677812500001039</v>
      </c>
      <c r="CD16" s="4">
        <f t="shared" si="17"/>
        <v>-0.15499375000000271</v>
      </c>
      <c r="CE16" s="4">
        <f t="shared" si="17"/>
        <v>-0.18415312499999814</v>
      </c>
      <c r="CF16" s="4">
        <f t="shared" si="17"/>
        <v>-3.7246875000001012E-2</v>
      </c>
      <c r="CG16" s="4">
        <f t="shared" si="17"/>
        <v>-0.18835624999999823</v>
      </c>
    </row>
    <row r="17" spans="1:85" outlineLevel="1" x14ac:dyDescent="0.3">
      <c r="A17" s="15"/>
      <c r="B17" s="15" t="s">
        <v>281</v>
      </c>
      <c r="C17" s="16" t="s">
        <v>273</v>
      </c>
      <c r="D17" s="15">
        <v>33947718</v>
      </c>
      <c r="E17" s="16">
        <v>10</v>
      </c>
      <c r="F17" s="16">
        <v>32</v>
      </c>
      <c r="G17" s="16">
        <v>30</v>
      </c>
      <c r="I17" s="17">
        <f t="shared" si="0"/>
        <v>12.2718825</v>
      </c>
      <c r="J17" s="18">
        <f t="shared" si="1"/>
        <v>0.38559316417085826</v>
      </c>
      <c r="K17" s="18">
        <f t="shared" si="2"/>
        <v>0.12112060080150307</v>
      </c>
      <c r="L17" s="18">
        <f t="shared" si="3"/>
        <v>8.1571786356891496E-2</v>
      </c>
      <c r="M17" s="18">
        <f t="shared" si="4"/>
        <v>0.26447256336935521</v>
      </c>
      <c r="N17" s="15">
        <f t="shared" si="5"/>
        <v>4111768</v>
      </c>
      <c r="O17" s="18">
        <f t="shared" si="6"/>
        <v>0.38557339013855862</v>
      </c>
      <c r="P17" s="19">
        <v>33949459</v>
      </c>
      <c r="Q17" s="19">
        <v>1060920.59375</v>
      </c>
      <c r="R17" s="19">
        <v>40889.5</v>
      </c>
      <c r="S17" s="20">
        <v>13090008</v>
      </c>
      <c r="T17" s="20">
        <v>2769176</v>
      </c>
      <c r="U17" s="20">
        <v>1342592</v>
      </c>
      <c r="V17" s="20">
        <v>8978240</v>
      </c>
      <c r="W17" s="21">
        <v>69.246168749999995</v>
      </c>
      <c r="X17" s="21">
        <v>71.706409375000007</v>
      </c>
      <c r="Y17" s="21">
        <v>34.605525</v>
      </c>
      <c r="Z17" s="21">
        <v>44.828581249999999</v>
      </c>
      <c r="AA17" s="21">
        <v>45.284799999999997</v>
      </c>
      <c r="AB17" s="22">
        <v>7103.73</v>
      </c>
      <c r="AC17" s="22">
        <v>3010.77</v>
      </c>
      <c r="AD17" s="22">
        <v>17.384</v>
      </c>
      <c r="AE17" s="22">
        <v>47.716999999999999</v>
      </c>
      <c r="AG17" s="17">
        <f t="shared" si="7"/>
        <v>12.173752500000001</v>
      </c>
      <c r="AH17" s="18">
        <f t="shared" si="8"/>
        <v>0.38250983468167138</v>
      </c>
      <c r="AI17" s="18">
        <f t="shared" si="9"/>
        <v>0.12241788976802506</v>
      </c>
      <c r="AJ17" s="18">
        <f t="shared" si="10"/>
        <v>8.5115117310683441E-2</v>
      </c>
      <c r="AK17" s="18">
        <f t="shared" si="11"/>
        <v>0.26009194491364634</v>
      </c>
      <c r="AL17" s="15">
        <f t="shared" si="12"/>
        <v>4155808</v>
      </c>
      <c r="AM17" s="18">
        <f t="shared" si="13"/>
        <v>0.38641836345865394</v>
      </c>
      <c r="AN17" s="19">
        <v>33604345</v>
      </c>
      <c r="AO17" s="19">
        <v>1050135.78125</v>
      </c>
      <c r="AP17" s="19">
        <v>36065.3125</v>
      </c>
      <c r="AQ17" s="20">
        <v>12985336</v>
      </c>
      <c r="AR17" s="20">
        <v>2889464</v>
      </c>
      <c r="AS17" s="20">
        <v>1266344</v>
      </c>
      <c r="AT17" s="20">
        <v>8829528</v>
      </c>
      <c r="AU17" s="21">
        <v>69.134887500000005</v>
      </c>
      <c r="AV17" s="21">
        <v>71.577937500000004</v>
      </c>
      <c r="AW17" s="21">
        <v>34.386512500000002</v>
      </c>
      <c r="AX17" s="21">
        <v>44.755790625000003</v>
      </c>
      <c r="AY17" s="21">
        <v>45.138921875000001</v>
      </c>
      <c r="AZ17" s="22">
        <v>4441.47</v>
      </c>
      <c r="BA17" s="22">
        <v>2902.24</v>
      </c>
      <c r="BB17" s="22">
        <v>15.547000000000001</v>
      </c>
      <c r="BC17" s="22">
        <v>44.329000000000001</v>
      </c>
      <c r="BE17" s="23">
        <f t="shared" si="14"/>
        <v>1.0107107210328987</v>
      </c>
      <c r="BF17" s="24">
        <f t="shared" si="15"/>
        <v>-4.1980517506357909E-3</v>
      </c>
      <c r="BG17" s="24">
        <f t="shared" si="16"/>
        <v>5.9235314647335113E-3</v>
      </c>
      <c r="BH17" s="24"/>
      <c r="BJ17" s="23"/>
      <c r="BK17" s="23"/>
      <c r="BL17" s="23"/>
      <c r="BM17" s="23"/>
      <c r="BN17" s="23"/>
      <c r="BP17" s="23"/>
      <c r="BQ17" s="23"/>
      <c r="BR17" s="23"/>
      <c r="BS17" s="23"/>
      <c r="BT17" s="23"/>
      <c r="BV17" s="4">
        <f t="shared" si="18"/>
        <v>-345114</v>
      </c>
      <c r="BW17" s="4">
        <f t="shared" si="17"/>
        <v>-10784.8125</v>
      </c>
      <c r="BX17" s="4">
        <f t="shared" si="17"/>
        <v>-4824.1875</v>
      </c>
      <c r="BY17" s="4">
        <f t="shared" si="17"/>
        <v>-104672</v>
      </c>
      <c r="BZ17" s="4">
        <f t="shared" si="17"/>
        <v>120288</v>
      </c>
      <c r="CA17" s="4">
        <f t="shared" si="17"/>
        <v>-76248</v>
      </c>
      <c r="CB17" s="4">
        <f t="shared" si="17"/>
        <v>-148712</v>
      </c>
      <c r="CC17" s="4">
        <f t="shared" si="17"/>
        <v>-0.11128124999999045</v>
      </c>
      <c r="CD17" s="4">
        <f t="shared" si="17"/>
        <v>-0.12847187500000246</v>
      </c>
      <c r="CE17" s="4">
        <f t="shared" si="17"/>
        <v>-0.21901249999999806</v>
      </c>
      <c r="CF17" s="4">
        <f t="shared" si="17"/>
        <v>-7.2790624999996112E-2</v>
      </c>
      <c r="CG17" s="4">
        <f t="shared" si="17"/>
        <v>-0.14587812499999586</v>
      </c>
    </row>
    <row r="18" spans="1:85" outlineLevel="1" x14ac:dyDescent="0.3">
      <c r="A18" s="25"/>
      <c r="B18" s="25" t="s">
        <v>281</v>
      </c>
      <c r="C18" s="26" t="s">
        <v>274</v>
      </c>
      <c r="D18" s="25">
        <v>33947718</v>
      </c>
      <c r="E18" s="26">
        <v>10</v>
      </c>
      <c r="F18" s="26">
        <v>32</v>
      </c>
      <c r="G18" s="26">
        <v>30</v>
      </c>
      <c r="I18" s="27">
        <f t="shared" si="0"/>
        <v>22.095855</v>
      </c>
      <c r="J18" s="28">
        <f t="shared" si="1"/>
        <v>0.69427087853151126</v>
      </c>
      <c r="K18" s="28">
        <f t="shared" si="2"/>
        <v>0.16042763168941135</v>
      </c>
      <c r="L18" s="28">
        <f t="shared" si="3"/>
        <v>0.12087881724479978</v>
      </c>
      <c r="M18" s="28">
        <f t="shared" si="4"/>
        <v>0.53384324684209994</v>
      </c>
      <c r="N18" s="25">
        <f t="shared" si="5"/>
        <v>5446152</v>
      </c>
      <c r="O18" s="28">
        <f t="shared" si="6"/>
        <v>0.66565966755020567</v>
      </c>
      <c r="P18" s="29">
        <v>35406850</v>
      </c>
      <c r="Q18" s="29">
        <v>1106464.0625</v>
      </c>
      <c r="R18" s="29">
        <v>46588.9375</v>
      </c>
      <c r="S18" s="30">
        <v>23568912</v>
      </c>
      <c r="T18" s="30">
        <v>4103560</v>
      </c>
      <c r="U18" s="30">
        <v>1342592</v>
      </c>
      <c r="V18" s="30">
        <v>18122760</v>
      </c>
      <c r="W18" s="31">
        <v>70.412724999999995</v>
      </c>
      <c r="X18" s="31">
        <v>73.041528124999999</v>
      </c>
      <c r="Y18" s="31">
        <v>37.250853124999999</v>
      </c>
      <c r="Z18" s="31">
        <v>46.163278124999998</v>
      </c>
      <c r="AA18" s="31">
        <v>46.698690624999998</v>
      </c>
      <c r="AB18" s="32">
        <v>7372.06</v>
      </c>
      <c r="AC18" s="32">
        <v>3564.58</v>
      </c>
      <c r="AD18" s="32">
        <v>18.707999999999998</v>
      </c>
      <c r="AE18" s="32">
        <v>55.031999999999996</v>
      </c>
      <c r="AG18" s="27">
        <f t="shared" si="7"/>
        <v>22.0723275</v>
      </c>
      <c r="AH18" s="28">
        <f t="shared" si="8"/>
        <v>0.69353162412860858</v>
      </c>
      <c r="AI18" s="28">
        <f t="shared" si="9"/>
        <v>0.16520768789230544</v>
      </c>
      <c r="AJ18" s="28">
        <f t="shared" si="10"/>
        <v>0.12790491543496385</v>
      </c>
      <c r="AK18" s="28">
        <f t="shared" si="11"/>
        <v>0.52832393623630314</v>
      </c>
      <c r="AL18" s="25">
        <f t="shared" si="12"/>
        <v>5608424</v>
      </c>
      <c r="AM18" s="28">
        <f t="shared" si="13"/>
        <v>0.67655775162676568</v>
      </c>
      <c r="AN18" s="29">
        <v>34799418</v>
      </c>
      <c r="AO18" s="29">
        <v>1087481.8125</v>
      </c>
      <c r="AP18" s="29">
        <v>40309.5</v>
      </c>
      <c r="AQ18" s="30">
        <v>23543816</v>
      </c>
      <c r="AR18" s="30">
        <v>4342080</v>
      </c>
      <c r="AS18" s="30">
        <v>1266344</v>
      </c>
      <c r="AT18" s="30">
        <v>17935392</v>
      </c>
      <c r="AU18" s="31">
        <v>70.357356249999995</v>
      </c>
      <c r="AV18" s="31">
        <v>72.928971875000002</v>
      </c>
      <c r="AW18" s="31">
        <v>37.045281250000002</v>
      </c>
      <c r="AX18" s="31">
        <v>46.093209375000001</v>
      </c>
      <c r="AY18" s="31">
        <v>46.595912499999997</v>
      </c>
      <c r="AZ18" s="32">
        <v>4772.7700000000004</v>
      </c>
      <c r="BA18" s="32">
        <v>3334.28</v>
      </c>
      <c r="BB18" s="32">
        <v>18.774999999999999</v>
      </c>
      <c r="BC18" s="32">
        <v>49.326000000000001</v>
      </c>
      <c r="BE18" s="33">
        <f t="shared" si="14"/>
        <v>1.0297957163149321</v>
      </c>
      <c r="BF18" s="34">
        <f t="shared" si="15"/>
        <v>-5.0393193198153066E-3</v>
      </c>
      <c r="BG18" s="34">
        <f t="shared" si="16"/>
        <v>7.1386482817653862E-3</v>
      </c>
      <c r="BH18" s="34"/>
      <c r="BJ18" s="33"/>
      <c r="BK18" s="33"/>
      <c r="BL18" s="33"/>
      <c r="BM18" s="33"/>
      <c r="BN18" s="33"/>
      <c r="BP18" s="33"/>
      <c r="BQ18" s="33"/>
      <c r="BR18" s="33"/>
      <c r="BS18" s="33"/>
      <c r="BT18" s="33"/>
      <c r="BV18" s="4">
        <f t="shared" si="18"/>
        <v>-607432</v>
      </c>
      <c r="BW18" s="4">
        <f t="shared" si="17"/>
        <v>-18982.25</v>
      </c>
      <c r="BX18" s="4">
        <f t="shared" si="17"/>
        <v>-6279.4375</v>
      </c>
      <c r="BY18" s="4">
        <f t="shared" si="17"/>
        <v>-25096</v>
      </c>
      <c r="BZ18" s="4">
        <f t="shared" si="17"/>
        <v>238520</v>
      </c>
      <c r="CA18" s="4">
        <f t="shared" si="17"/>
        <v>-76248</v>
      </c>
      <c r="CB18" s="4">
        <f t="shared" si="17"/>
        <v>-187368</v>
      </c>
      <c r="CC18" s="4">
        <f t="shared" si="17"/>
        <v>-5.5368749999999523E-2</v>
      </c>
      <c r="CD18" s="4">
        <f t="shared" si="17"/>
        <v>-0.11255624999999725</v>
      </c>
      <c r="CE18" s="4">
        <f t="shared" si="17"/>
        <v>-0.20557187499999685</v>
      </c>
      <c r="CF18" s="4">
        <f t="shared" si="17"/>
        <v>-7.0068749999997237E-2</v>
      </c>
      <c r="CG18" s="4">
        <f t="shared" si="17"/>
        <v>-0.10277812500000039</v>
      </c>
    </row>
    <row r="19" spans="1:85" ht="15" outlineLevel="1" thickBot="1" x14ac:dyDescent="0.35">
      <c r="A19" s="15"/>
      <c r="B19" s="35" t="s">
        <v>281</v>
      </c>
      <c r="C19" s="36" t="s">
        <v>275</v>
      </c>
      <c r="D19" s="35">
        <v>33947718</v>
      </c>
      <c r="E19" s="36">
        <v>10</v>
      </c>
      <c r="F19" s="36">
        <v>32</v>
      </c>
      <c r="G19" s="36">
        <v>30</v>
      </c>
      <c r="I19" s="37">
        <f t="shared" si="0"/>
        <v>40.02957</v>
      </c>
      <c r="J19" s="38">
        <f t="shared" si="1"/>
        <v>1.2577637177261811</v>
      </c>
      <c r="K19" s="38">
        <f t="shared" si="2"/>
        <v>0.25631437141076757</v>
      </c>
      <c r="L19" s="38">
        <f t="shared" si="3"/>
        <v>0.18415918265846323</v>
      </c>
      <c r="M19" s="38">
        <f t="shared" si="4"/>
        <v>1.0014493463154135</v>
      </c>
      <c r="N19" s="35">
        <f t="shared" si="5"/>
        <v>8701288</v>
      </c>
      <c r="O19" s="38">
        <f t="shared" si="6"/>
        <v>1.267854538852895</v>
      </c>
      <c r="P19" s="39">
        <v>33677529</v>
      </c>
      <c r="Q19" s="39">
        <v>1052422.78125</v>
      </c>
      <c r="R19" s="39">
        <v>20771.875</v>
      </c>
      <c r="S19" s="40">
        <v>42698208</v>
      </c>
      <c r="T19" s="40">
        <v>6251784</v>
      </c>
      <c r="U19" s="40">
        <v>2449504</v>
      </c>
      <c r="V19" s="40">
        <v>33996920</v>
      </c>
      <c r="W19" s="41">
        <v>71.447946875</v>
      </c>
      <c r="X19" s="41">
        <v>75.018746875000005</v>
      </c>
      <c r="Y19" s="41">
        <v>39.327009375000003</v>
      </c>
      <c r="Z19" s="41">
        <v>47.945824999999999</v>
      </c>
      <c r="AA19" s="41">
        <v>48.527359375000003</v>
      </c>
      <c r="AB19" s="42">
        <v>6488.2</v>
      </c>
      <c r="AC19" s="42">
        <v>4249.3500000000004</v>
      </c>
      <c r="AD19" s="42">
        <v>22.568999999999999</v>
      </c>
      <c r="AE19" s="42">
        <v>53.887</v>
      </c>
      <c r="AG19" s="37">
        <f t="shared" si="7"/>
        <v>39.884729999999998</v>
      </c>
      <c r="AH19" s="38">
        <f t="shared" si="8"/>
        <v>1.2532127196296377</v>
      </c>
      <c r="AI19" s="38">
        <f t="shared" si="9"/>
        <v>0.26469714400243338</v>
      </c>
      <c r="AJ19" s="38">
        <f t="shared" si="10"/>
        <v>0.19620829889066477</v>
      </c>
      <c r="AK19" s="38">
        <f t="shared" si="11"/>
        <v>0.98851557562720416</v>
      </c>
      <c r="AL19" s="35">
        <f t="shared" si="12"/>
        <v>8985864</v>
      </c>
      <c r="AM19" s="38">
        <f t="shared" si="13"/>
        <v>1.2876804191890621</v>
      </c>
      <c r="AN19" s="39">
        <v>33039030</v>
      </c>
      <c r="AO19" s="39">
        <v>1032469.6875</v>
      </c>
      <c r="AP19" s="39">
        <v>17598.03125</v>
      </c>
      <c r="AQ19" s="40">
        <v>42543712</v>
      </c>
      <c r="AR19" s="40">
        <v>6660824</v>
      </c>
      <c r="AS19" s="40">
        <v>2325040</v>
      </c>
      <c r="AT19" s="40">
        <v>33557848</v>
      </c>
      <c r="AU19" s="41">
        <v>71.152059374999993</v>
      </c>
      <c r="AV19" s="41">
        <v>75.005793749999995</v>
      </c>
      <c r="AW19" s="41">
        <v>39.265149999999998</v>
      </c>
      <c r="AX19" s="41">
        <v>47.847890624999998</v>
      </c>
      <c r="AY19" s="41">
        <v>48.431809375</v>
      </c>
      <c r="AZ19" s="42">
        <v>4835.68</v>
      </c>
      <c r="BA19" s="42">
        <v>3881.32</v>
      </c>
      <c r="BB19" s="42">
        <v>16.597999999999999</v>
      </c>
      <c r="BC19" s="42">
        <v>52.515999999999998</v>
      </c>
      <c r="BE19" s="43">
        <f t="shared" si="14"/>
        <v>1.0327050432073965</v>
      </c>
      <c r="BF19" s="44">
        <f t="shared" si="15"/>
        <v>-2.6925978127772428E-3</v>
      </c>
      <c r="BG19" s="44">
        <f t="shared" si="16"/>
        <v>7.4290670554330862E-3</v>
      </c>
      <c r="BH19" s="44"/>
      <c r="BJ19" s="43"/>
      <c r="BK19" s="43"/>
      <c r="BL19" s="43"/>
      <c r="BM19" s="43"/>
      <c r="BN19" s="43"/>
      <c r="BP19" s="43"/>
      <c r="BQ19" s="43"/>
      <c r="BR19" s="43"/>
      <c r="BS19" s="43"/>
      <c r="BT19" s="43"/>
      <c r="BV19" s="4">
        <f t="shared" si="18"/>
        <v>-638499</v>
      </c>
      <c r="BW19" s="4">
        <f t="shared" si="17"/>
        <v>-19953.09375</v>
      </c>
      <c r="BX19" s="4">
        <f t="shared" si="17"/>
        <v>-3173.84375</v>
      </c>
      <c r="BY19" s="4">
        <f t="shared" si="17"/>
        <v>-154496</v>
      </c>
      <c r="BZ19" s="4">
        <f t="shared" si="17"/>
        <v>409040</v>
      </c>
      <c r="CA19" s="4">
        <f t="shared" si="17"/>
        <v>-124464</v>
      </c>
      <c r="CB19" s="4">
        <f t="shared" si="17"/>
        <v>-439072</v>
      </c>
      <c r="CC19" s="4">
        <f t="shared" si="17"/>
        <v>-0.2958875000000063</v>
      </c>
      <c r="CD19" s="4">
        <f t="shared" si="17"/>
        <v>-1.2953125000009891E-2</v>
      </c>
      <c r="CE19" s="4">
        <f t="shared" si="17"/>
        <v>-6.1859375000004491E-2</v>
      </c>
      <c r="CF19" s="4">
        <f t="shared" si="17"/>
        <v>-9.7934375000001239E-2</v>
      </c>
      <c r="CG19" s="4">
        <f t="shared" si="17"/>
        <v>-9.555000000000291E-2</v>
      </c>
    </row>
    <row r="20" spans="1:85" x14ac:dyDescent="0.3">
      <c r="A20" s="25"/>
      <c r="B20" s="25" t="s">
        <v>284</v>
      </c>
      <c r="C20" s="26" t="s">
        <v>271</v>
      </c>
      <c r="D20" s="25">
        <v>32209643</v>
      </c>
      <c r="E20" s="26">
        <v>10</v>
      </c>
      <c r="F20" s="26">
        <v>32</v>
      </c>
      <c r="G20" s="26">
        <v>50</v>
      </c>
      <c r="I20" s="27">
        <f t="shared" si="0"/>
        <v>5.4713500000000002</v>
      </c>
      <c r="J20" s="28">
        <f t="shared" si="1"/>
        <v>0.10871477215689723</v>
      </c>
      <c r="K20" s="28">
        <f t="shared" si="2"/>
        <v>6.1180932679073777E-2</v>
      </c>
      <c r="L20" s="28">
        <f t="shared" si="3"/>
        <v>2.9354687352480126E-2</v>
      </c>
      <c r="M20" s="28">
        <f t="shared" si="4"/>
        <v>4.7533839477823456E-2</v>
      </c>
      <c r="N20" s="25">
        <f t="shared" si="5"/>
        <v>1970616</v>
      </c>
      <c r="O20" s="28">
        <f t="shared" si="6"/>
        <v>0.11583150872380628</v>
      </c>
      <c r="P20" s="29">
        <v>30230669</v>
      </c>
      <c r="Q20" s="29">
        <v>944708.40625</v>
      </c>
      <c r="R20" s="29">
        <v>28550.90625</v>
      </c>
      <c r="S20" s="30">
        <v>3501664</v>
      </c>
      <c r="T20" s="30">
        <v>945504</v>
      </c>
      <c r="U20" s="30">
        <v>1025112</v>
      </c>
      <c r="V20" s="30">
        <v>1531048</v>
      </c>
      <c r="W20" s="31">
        <v>67.089440624999995</v>
      </c>
      <c r="X20" s="31">
        <v>68.766971874999996</v>
      </c>
      <c r="Y20" s="31">
        <v>30.877675</v>
      </c>
      <c r="Z20" s="31">
        <v>39.548846875000002</v>
      </c>
      <c r="AA20" s="31">
        <v>38.408250000000002</v>
      </c>
      <c r="AB20" s="32">
        <v>6323.58</v>
      </c>
      <c r="AC20" s="32">
        <v>2877.7</v>
      </c>
      <c r="AD20" s="32">
        <v>16.309000000000001</v>
      </c>
      <c r="AE20" s="32">
        <v>49.764000000000003</v>
      </c>
      <c r="AG20" s="27">
        <f t="shared" si="7"/>
        <v>5.3908624999999999</v>
      </c>
      <c r="AH20" s="28">
        <f t="shared" si="8"/>
        <v>0.10711549954155034</v>
      </c>
      <c r="AI20" s="28">
        <f t="shared" si="9"/>
        <v>5.9954964418574896E-2</v>
      </c>
      <c r="AJ20" s="28">
        <f t="shared" si="10"/>
        <v>2.9437395502955436E-2</v>
      </c>
      <c r="AK20" s="28">
        <f t="shared" si="11"/>
        <v>4.7160535122975439E-2</v>
      </c>
      <c r="AL20" s="25">
        <f t="shared" si="12"/>
        <v>1931128</v>
      </c>
      <c r="AM20" s="28">
        <f t="shared" si="13"/>
        <v>0.11396219105880812</v>
      </c>
      <c r="AN20" s="29">
        <v>30274532</v>
      </c>
      <c r="AO20" s="29">
        <v>946079.125</v>
      </c>
      <c r="AP20" s="29">
        <v>27546.40625</v>
      </c>
      <c r="AQ20" s="30">
        <v>3450152</v>
      </c>
      <c r="AR20" s="30">
        <v>948168</v>
      </c>
      <c r="AS20" s="30">
        <v>982960</v>
      </c>
      <c r="AT20" s="30">
        <v>1519024</v>
      </c>
      <c r="AU20" s="31">
        <v>67.101124999999996</v>
      </c>
      <c r="AV20" s="31">
        <v>68.807974999999999</v>
      </c>
      <c r="AW20" s="31">
        <v>30.805875</v>
      </c>
      <c r="AX20" s="31">
        <v>39.522212500000002</v>
      </c>
      <c r="AY20" s="31">
        <v>38.285593749999997</v>
      </c>
      <c r="AZ20" s="32">
        <v>4794.05</v>
      </c>
      <c r="BA20" s="32">
        <v>2863.64</v>
      </c>
      <c r="BB20" s="32">
        <v>15.205</v>
      </c>
      <c r="BC20" s="32">
        <v>44.185000000000002</v>
      </c>
      <c r="BE20" s="33">
        <f t="shared" si="14"/>
        <v>0.9799615957649791</v>
      </c>
      <c r="BF20" s="34">
        <f t="shared" si="15"/>
        <v>-1.1055372971578437E-3</v>
      </c>
      <c r="BG20" s="34">
        <f t="shared" si="16"/>
        <v>-3.0430018822470428E-3</v>
      </c>
      <c r="BH20" s="34">
        <f t="array" ref="BH20">AVERAGE(AL20:AL24/AQ20:AQ24) - AVERAGE(N20:N24/S20:S24)</f>
        <v>1.4535091721850635E-3</v>
      </c>
      <c r="BJ20" s="33">
        <f>IF( OR(ISBLANK(N20:N24),ISBLANK(AL20:AL24), ISBLANK(W20:W24),ISBLANK(AU20:AU24)), "·", bdRateExtend( N20:N24,W20:W24, AL20:AL24,AU20:AU24))</f>
        <v>2.4334965916639195E-3</v>
      </c>
      <c r="BK20" s="33">
        <f>IF( OR(ISBLANK(N20:N24),ISBLANK(AL20:AL24), ISBLANK(X20:X24),ISBLANK(AV20:AV24)), "·", bdRateExtend( N20:N24,X20:X24, AL20:AL24,AV20:AV24))</f>
        <v>4.8062160568842494E-3</v>
      </c>
      <c r="BL20" s="33">
        <f>IF( OR(ISBLANK(V20:V24),ISBLANK(AT20:AT24), ISBLANK(Y20:Y24),ISBLANK(AW20:AW24)), "·", bdRateExtend( V20:V24,Y20:Y24, AT20:AT24,AW20:AW24))</f>
        <v>1.1795841776619964E-2</v>
      </c>
      <c r="BM20" s="33">
        <f>IF( OR(ISBLANK(V20:V24),ISBLANK(AT20:AT24), ISBLANK(Z20:Z24),ISBLANK(AX20:AX24)), "·", bdRateExtend( V20:V24,Z20:Z24, AT20:AT24,AX20:AX24))</f>
        <v>2.7180614349120891E-2</v>
      </c>
      <c r="BN20" s="33">
        <f>IF( OR(ISBLANK(V20:V24),ISBLANK(AT20:AT24), ISBLANK(AA20:AA24),ISBLANK(AY20:AY24)), "·", bdRateExtend( V20:V24,AA20:AA24, AT20:AT24,AY20:AY24))</f>
        <v>4.1815128038016125E-2</v>
      </c>
      <c r="BP20" s="33">
        <f>IF( OR(ISBLANK(S20:S24),ISBLANK(AQ20:AQ24), ISBLANK(W20:W24),ISBLANK(AU20:AU24)), "·", bdRateExtend( S20:S24,W20:W24, AQ20:AQ24,AU20:AU24))</f>
        <v>-2.1743989250265772E-3</v>
      </c>
      <c r="BQ20" s="33">
        <f>IF( OR(ISBLANK(S20:S24),ISBLANK(AQ20:AQ24), ISBLANK(X20:X24),ISBLANK(AV20:AV24)), "·", bdRateExtend( S20:S24,X20:X24, AQ20:AQ24,AV20:AV24))</f>
        <v>-1.5107914738726747E-3</v>
      </c>
      <c r="BR20" s="33">
        <f>IF( OR(ISBLANK(S20:S24),ISBLANK(AQ20:AQ24), ISBLANK(Y20:Y24),ISBLANK(AW20:AW24)), "·", bdRateExtend( S20:S24,Y20:Y24, AQ20:AQ24,AW20:AW24))</f>
        <v>8.3544402875985746E-3</v>
      </c>
      <c r="BS20" s="33">
        <f>IF( OR(ISBLANK(S20:S24),ISBLANK(AQ20:AQ24), ISBLANK(Z20:Z24),ISBLANK(AX20:AX24)), "·", bdRateExtend( S20:S24,Z20:Z24, AQ20:AQ24,AX20:AX24))</f>
        <v>2.1978634789064699E-2</v>
      </c>
      <c r="BT20" s="33">
        <f>IF( OR(ISBLANK(S20:S24),ISBLANK(AQ20:AQ24), ISBLANK(AA20:AA24),ISBLANK(AY20:AY24)), "·", bdRateExtend( S20:S24,AA20:AA24, AQ20:AQ24,AY20:AY24))</f>
        <v>3.2840498243119187E-2</v>
      </c>
      <c r="BV20" s="4">
        <f t="shared" si="18"/>
        <v>43863</v>
      </c>
      <c r="BW20" s="4">
        <f t="shared" si="17"/>
        <v>1370.71875</v>
      </c>
      <c r="BX20" s="4">
        <f t="shared" si="17"/>
        <v>-1004.5</v>
      </c>
      <c r="BY20" s="4">
        <f t="shared" si="17"/>
        <v>-51512</v>
      </c>
      <c r="BZ20" s="4">
        <f t="shared" si="17"/>
        <v>2664</v>
      </c>
      <c r="CA20" s="4">
        <f t="shared" si="17"/>
        <v>-42152</v>
      </c>
      <c r="CB20" s="4">
        <f t="shared" si="17"/>
        <v>-12024</v>
      </c>
      <c r="CC20" s="4">
        <f t="shared" si="17"/>
        <v>1.1684375000001523E-2</v>
      </c>
      <c r="CD20" s="4">
        <f t="shared" si="17"/>
        <v>4.1003125000003138E-2</v>
      </c>
      <c r="CE20" s="4">
        <f t="shared" si="17"/>
        <v>-7.1799999999999642E-2</v>
      </c>
      <c r="CF20" s="4">
        <f t="shared" si="17"/>
        <v>-2.6634375000000432E-2</v>
      </c>
      <c r="CG20" s="4">
        <f t="shared" si="17"/>
        <v>-0.12265625000000568</v>
      </c>
    </row>
    <row r="21" spans="1:85" outlineLevel="1" x14ac:dyDescent="0.3">
      <c r="A21" s="15"/>
      <c r="B21" s="15" t="s">
        <v>284</v>
      </c>
      <c r="C21" s="16" t="s">
        <v>272</v>
      </c>
      <c r="D21" s="15">
        <v>32209643</v>
      </c>
      <c r="E21" s="16">
        <v>10</v>
      </c>
      <c r="F21" s="16">
        <v>32</v>
      </c>
      <c r="G21" s="16">
        <v>50</v>
      </c>
      <c r="I21" s="17">
        <f t="shared" si="0"/>
        <v>8.5603125000000002</v>
      </c>
      <c r="J21" s="18">
        <f t="shared" si="1"/>
        <v>0.17009191936712867</v>
      </c>
      <c r="K21" s="18">
        <f t="shared" si="2"/>
        <v>7.2140135176288672E-2</v>
      </c>
      <c r="L21" s="18">
        <f t="shared" si="3"/>
        <v>4.0313889849695014E-2</v>
      </c>
      <c r="M21" s="18">
        <f t="shared" si="4"/>
        <v>9.7951784190839997E-2</v>
      </c>
      <c r="N21" s="15">
        <f t="shared" si="5"/>
        <v>2323608</v>
      </c>
      <c r="O21" s="18">
        <f t="shared" si="6"/>
        <v>0.17347015478061847</v>
      </c>
      <c r="P21" s="19">
        <v>31582378</v>
      </c>
      <c r="Q21" s="19">
        <v>986949.3125</v>
      </c>
      <c r="R21" s="19">
        <v>33974.84375</v>
      </c>
      <c r="S21" s="20">
        <v>5478600</v>
      </c>
      <c r="T21" s="20">
        <v>1298496</v>
      </c>
      <c r="U21" s="20">
        <v>1025112</v>
      </c>
      <c r="V21" s="20">
        <v>3154992</v>
      </c>
      <c r="W21" s="21">
        <v>68.689700000000002</v>
      </c>
      <c r="X21" s="21">
        <v>70.776862499999993</v>
      </c>
      <c r="Y21" s="21">
        <v>32.775312499999998</v>
      </c>
      <c r="Z21" s="21">
        <v>40.710103125000003</v>
      </c>
      <c r="AA21" s="21">
        <v>39.676637499999998</v>
      </c>
      <c r="AB21" s="22">
        <v>6376.23</v>
      </c>
      <c r="AC21" s="22">
        <v>3201.74</v>
      </c>
      <c r="AD21" s="22">
        <v>15.976000000000001</v>
      </c>
      <c r="AE21" s="22">
        <v>45.325000000000003</v>
      </c>
      <c r="AG21" s="17">
        <f t="shared" si="7"/>
        <v>8.4891874999999999</v>
      </c>
      <c r="AH21" s="18">
        <f t="shared" si="8"/>
        <v>0.16867867799714514</v>
      </c>
      <c r="AI21" s="18">
        <f t="shared" si="9"/>
        <v>7.1184893294222479E-2</v>
      </c>
      <c r="AJ21" s="18">
        <f t="shared" si="10"/>
        <v>4.0667324378603015E-2</v>
      </c>
      <c r="AK21" s="18">
        <f t="shared" si="11"/>
        <v>9.7493784702922665E-2</v>
      </c>
      <c r="AL21" s="15">
        <f t="shared" si="12"/>
        <v>2292840</v>
      </c>
      <c r="AM21" s="18">
        <f t="shared" si="13"/>
        <v>0.17244870765991088</v>
      </c>
      <c r="AN21" s="19">
        <v>31505484</v>
      </c>
      <c r="AO21" s="19">
        <v>984546.375</v>
      </c>
      <c r="AP21" s="19">
        <v>32684.5625</v>
      </c>
      <c r="AQ21" s="20">
        <v>5433080</v>
      </c>
      <c r="AR21" s="20">
        <v>1309880</v>
      </c>
      <c r="AS21" s="20">
        <v>982960</v>
      </c>
      <c r="AT21" s="20">
        <v>3140240</v>
      </c>
      <c r="AU21" s="21">
        <v>68.677109375000001</v>
      </c>
      <c r="AV21" s="21">
        <v>70.750809375000003</v>
      </c>
      <c r="AW21" s="21">
        <v>32.750965624999999</v>
      </c>
      <c r="AX21" s="21">
        <v>40.667706250000002</v>
      </c>
      <c r="AY21" s="21">
        <v>39.654318750000002</v>
      </c>
      <c r="AZ21" s="22">
        <v>5581.59</v>
      </c>
      <c r="BA21" s="22">
        <v>3086.09</v>
      </c>
      <c r="BB21" s="22">
        <v>15.94</v>
      </c>
      <c r="BC21" s="22">
        <v>45.305999999999997</v>
      </c>
      <c r="BE21" s="23">
        <f t="shared" si="14"/>
        <v>0.98675852381296669</v>
      </c>
      <c r="BF21" s="24">
        <f t="shared" si="15"/>
        <v>-1.2265164091714645E-3</v>
      </c>
      <c r="BG21" s="24">
        <f t="shared" si="16"/>
        <v>-2.1096425591987655E-3</v>
      </c>
      <c r="BH21" s="24"/>
      <c r="BJ21" s="23"/>
      <c r="BK21" s="23"/>
      <c r="BL21" s="23"/>
      <c r="BM21" s="23"/>
      <c r="BN21" s="23"/>
      <c r="BP21" s="23"/>
      <c r="BQ21" s="23"/>
      <c r="BR21" s="23"/>
      <c r="BS21" s="23"/>
      <c r="BT21" s="23"/>
      <c r="BV21" s="4">
        <f t="shared" si="18"/>
        <v>-76894</v>
      </c>
      <c r="BW21" s="4">
        <f t="shared" si="18"/>
        <v>-2402.9375</v>
      </c>
      <c r="BX21" s="4">
        <f t="shared" si="18"/>
        <v>-1290.28125</v>
      </c>
      <c r="BY21" s="4">
        <f t="shared" si="18"/>
        <v>-45520</v>
      </c>
      <c r="BZ21" s="4">
        <f t="shared" si="18"/>
        <v>11384</v>
      </c>
      <c r="CA21" s="4">
        <f t="shared" si="18"/>
        <v>-42152</v>
      </c>
      <c r="CB21" s="4">
        <f t="shared" si="18"/>
        <v>-14752</v>
      </c>
      <c r="CC21" s="4">
        <f t="shared" si="18"/>
        <v>-1.259062500000141E-2</v>
      </c>
      <c r="CD21" s="4">
        <f t="shared" si="18"/>
        <v>-2.6053124999990018E-2</v>
      </c>
      <c r="CE21" s="4">
        <f t="shared" si="18"/>
        <v>-2.4346874999999102E-2</v>
      </c>
      <c r="CF21" s="4">
        <f t="shared" si="18"/>
        <v>-4.2396875000001444E-2</v>
      </c>
      <c r="CG21" s="4">
        <f t="shared" si="18"/>
        <v>-2.2318749999996612E-2</v>
      </c>
    </row>
    <row r="22" spans="1:85" outlineLevel="1" x14ac:dyDescent="0.3">
      <c r="A22" s="25"/>
      <c r="B22" s="25" t="s">
        <v>284</v>
      </c>
      <c r="C22" s="26" t="s">
        <v>273</v>
      </c>
      <c r="D22" s="25">
        <v>32209643</v>
      </c>
      <c r="E22" s="26">
        <v>10</v>
      </c>
      <c r="F22" s="26">
        <v>32</v>
      </c>
      <c r="G22" s="26">
        <v>50</v>
      </c>
      <c r="I22" s="27">
        <f t="shared" si="0"/>
        <v>14.11645</v>
      </c>
      <c r="J22" s="28">
        <f t="shared" si="1"/>
        <v>0.28049140439091486</v>
      </c>
      <c r="K22" s="28">
        <f t="shared" si="2"/>
        <v>8.8655934497628555E-2</v>
      </c>
      <c r="L22" s="28">
        <f t="shared" si="3"/>
        <v>5.6829689171034897E-2</v>
      </c>
      <c r="M22" s="28">
        <f t="shared" si="4"/>
        <v>0.19183546989328631</v>
      </c>
      <c r="N22" s="25">
        <f t="shared" si="5"/>
        <v>2855576</v>
      </c>
      <c r="O22" s="28">
        <f t="shared" si="6"/>
        <v>0.27452933004598051</v>
      </c>
      <c r="P22" s="29">
        <v>32909154</v>
      </c>
      <c r="Q22" s="29">
        <v>1028411.0625</v>
      </c>
      <c r="R22" s="29">
        <v>36202.71875</v>
      </c>
      <c r="S22" s="30">
        <v>9034528</v>
      </c>
      <c r="T22" s="30">
        <v>1830464</v>
      </c>
      <c r="U22" s="30">
        <v>1025112</v>
      </c>
      <c r="V22" s="30">
        <v>6178952</v>
      </c>
      <c r="W22" s="31">
        <v>69.860375000000005</v>
      </c>
      <c r="X22" s="31">
        <v>72.275009374999996</v>
      </c>
      <c r="Y22" s="31">
        <v>34.622159375000003</v>
      </c>
      <c r="Z22" s="31">
        <v>41.74589375</v>
      </c>
      <c r="AA22" s="31">
        <v>40.753165625000001</v>
      </c>
      <c r="AB22" s="32">
        <v>6666.67</v>
      </c>
      <c r="AC22" s="32">
        <v>3371.34</v>
      </c>
      <c r="AD22" s="32">
        <v>14.824</v>
      </c>
      <c r="AE22" s="32">
        <v>46.012</v>
      </c>
      <c r="AG22" s="27">
        <f t="shared" si="7"/>
        <v>14.060700000000001</v>
      </c>
      <c r="AH22" s="28">
        <f t="shared" si="8"/>
        <v>0.27938366159475908</v>
      </c>
      <c r="AI22" s="28">
        <f t="shared" si="9"/>
        <v>8.8652208905264804E-2</v>
      </c>
      <c r="AJ22" s="28">
        <f t="shared" si="10"/>
        <v>5.813463998964534E-2</v>
      </c>
      <c r="AK22" s="28">
        <f t="shared" si="11"/>
        <v>0.19073145268949426</v>
      </c>
      <c r="AL22" s="25">
        <f t="shared" si="12"/>
        <v>2855456</v>
      </c>
      <c r="AM22" s="28">
        <f t="shared" si="13"/>
        <v>0.27489359492298177</v>
      </c>
      <c r="AN22" s="29">
        <v>32735750</v>
      </c>
      <c r="AO22" s="29">
        <v>1022992.1875</v>
      </c>
      <c r="AP22" s="29">
        <v>34698.875</v>
      </c>
      <c r="AQ22" s="30">
        <v>8998848</v>
      </c>
      <c r="AR22" s="30">
        <v>1872496</v>
      </c>
      <c r="AS22" s="30">
        <v>982960</v>
      </c>
      <c r="AT22" s="30">
        <v>6143392</v>
      </c>
      <c r="AU22" s="31">
        <v>69.850906249999994</v>
      </c>
      <c r="AV22" s="31">
        <v>72.246865624999998</v>
      </c>
      <c r="AW22" s="31">
        <v>34.568009375000003</v>
      </c>
      <c r="AX22" s="31">
        <v>41.680409375000004</v>
      </c>
      <c r="AY22" s="31">
        <v>40.669278124999998</v>
      </c>
      <c r="AZ22" s="32">
        <v>5182.5</v>
      </c>
      <c r="BA22" s="32">
        <v>3188.35</v>
      </c>
      <c r="BB22" s="32">
        <v>16.059000000000001</v>
      </c>
      <c r="BC22" s="32">
        <v>50.02</v>
      </c>
      <c r="BE22" s="33">
        <f t="shared" si="14"/>
        <v>0.9999579769545619</v>
      </c>
      <c r="BF22" s="34">
        <f t="shared" si="15"/>
        <v>-1.2835732336602818E-3</v>
      </c>
      <c r="BG22" s="34">
        <f t="shared" si="16"/>
        <v>1.2398816915533128E-3</v>
      </c>
      <c r="BH22" s="34"/>
      <c r="BJ22" s="33"/>
      <c r="BK22" s="33"/>
      <c r="BL22" s="33"/>
      <c r="BM22" s="33"/>
      <c r="BN22" s="33"/>
      <c r="BP22" s="33"/>
      <c r="BQ22" s="33"/>
      <c r="BR22" s="33"/>
      <c r="BS22" s="33"/>
      <c r="BT22" s="33"/>
      <c r="BV22" s="4">
        <f t="shared" si="18"/>
        <v>-173404</v>
      </c>
      <c r="BW22" s="4">
        <f t="shared" si="18"/>
        <v>-5418.875</v>
      </c>
      <c r="BX22" s="4">
        <f t="shared" si="18"/>
        <v>-1503.84375</v>
      </c>
      <c r="BY22" s="4">
        <f t="shared" si="18"/>
        <v>-35680</v>
      </c>
      <c r="BZ22" s="4">
        <f t="shared" si="18"/>
        <v>42032</v>
      </c>
      <c r="CA22" s="4">
        <f t="shared" si="18"/>
        <v>-42152</v>
      </c>
      <c r="CB22" s="4">
        <f t="shared" si="18"/>
        <v>-35560</v>
      </c>
      <c r="CC22" s="4">
        <f t="shared" si="18"/>
        <v>-9.4687500000105729E-3</v>
      </c>
      <c r="CD22" s="4">
        <f t="shared" si="18"/>
        <v>-2.8143749999998136E-2</v>
      </c>
      <c r="CE22" s="4">
        <f t="shared" si="18"/>
        <v>-5.414999999999992E-2</v>
      </c>
      <c r="CF22" s="4">
        <f t="shared" si="18"/>
        <v>-6.548437499999693E-2</v>
      </c>
      <c r="CG22" s="4">
        <f t="shared" si="18"/>
        <v>-8.3887500000003001E-2</v>
      </c>
    </row>
    <row r="23" spans="1:85" outlineLevel="1" x14ac:dyDescent="0.3">
      <c r="A23" s="15"/>
      <c r="B23" s="15" t="s">
        <v>284</v>
      </c>
      <c r="C23" s="16" t="s">
        <v>274</v>
      </c>
      <c r="D23" s="15">
        <v>32209643</v>
      </c>
      <c r="E23" s="16">
        <v>10</v>
      </c>
      <c r="F23" s="16">
        <v>32</v>
      </c>
      <c r="G23" s="16">
        <v>50</v>
      </c>
      <c r="I23" s="17">
        <f t="shared" si="0"/>
        <v>24.542887499999999</v>
      </c>
      <c r="J23" s="18">
        <f t="shared" si="1"/>
        <v>0.48766290269035267</v>
      </c>
      <c r="K23" s="18">
        <f t="shared" si="2"/>
        <v>0.11702284312806571</v>
      </c>
      <c r="L23" s="18">
        <f t="shared" si="3"/>
        <v>8.5196597801472068E-2</v>
      </c>
      <c r="M23" s="18">
        <f t="shared" si="4"/>
        <v>0.37064005956228696</v>
      </c>
      <c r="N23" s="15">
        <f t="shared" si="5"/>
        <v>3769264</v>
      </c>
      <c r="O23" s="18">
        <f t="shared" si="6"/>
        <v>0.47637246903447389</v>
      </c>
      <c r="P23" s="19">
        <v>32973039</v>
      </c>
      <c r="Q23" s="19">
        <v>1030407.46875</v>
      </c>
      <c r="R23" s="19">
        <v>38213.75</v>
      </c>
      <c r="S23" s="20">
        <v>15707448</v>
      </c>
      <c r="T23" s="20">
        <v>2744152</v>
      </c>
      <c r="U23" s="20">
        <v>1025112</v>
      </c>
      <c r="V23" s="20">
        <v>11938184</v>
      </c>
      <c r="W23" s="21">
        <v>70.864631250000002</v>
      </c>
      <c r="X23" s="21">
        <v>73.600171875000001</v>
      </c>
      <c r="Y23" s="21">
        <v>36.269293750000003</v>
      </c>
      <c r="Z23" s="21">
        <v>42.923159374999997</v>
      </c>
      <c r="AA23" s="21">
        <v>41.827609375000002</v>
      </c>
      <c r="AB23" s="22">
        <v>6330.17</v>
      </c>
      <c r="AC23" s="22">
        <v>3626.9</v>
      </c>
      <c r="AD23" s="22">
        <v>16.71</v>
      </c>
      <c r="AE23" s="22">
        <v>48.898000000000003</v>
      </c>
      <c r="AG23" s="17">
        <f t="shared" si="7"/>
        <v>24.473099999999999</v>
      </c>
      <c r="AH23" s="18">
        <f t="shared" si="8"/>
        <v>0.48627623721256397</v>
      </c>
      <c r="AI23" s="18">
        <f t="shared" si="9"/>
        <v>0.11921398818360079</v>
      </c>
      <c r="AJ23" s="18">
        <f t="shared" si="10"/>
        <v>8.869641926798133E-2</v>
      </c>
      <c r="AK23" s="18">
        <f t="shared" si="11"/>
        <v>0.36706224902896317</v>
      </c>
      <c r="AL23" s="15">
        <f t="shared" si="12"/>
        <v>3839840</v>
      </c>
      <c r="AM23" s="18">
        <f t="shared" si="13"/>
        <v>0.47754006309359859</v>
      </c>
      <c r="AN23" s="19">
        <v>32798890</v>
      </c>
      <c r="AO23" s="19">
        <v>1024965.3125</v>
      </c>
      <c r="AP23" s="19">
        <v>36605.8125</v>
      </c>
      <c r="AQ23" s="20">
        <v>15662784</v>
      </c>
      <c r="AR23" s="20">
        <v>2856880</v>
      </c>
      <c r="AS23" s="20">
        <v>982960</v>
      </c>
      <c r="AT23" s="20">
        <v>11822944</v>
      </c>
      <c r="AU23" s="21">
        <v>70.874915625</v>
      </c>
      <c r="AV23" s="21">
        <v>73.596450000000004</v>
      </c>
      <c r="AW23" s="21">
        <v>36.217718750000003</v>
      </c>
      <c r="AX23" s="21">
        <v>42.867775000000002</v>
      </c>
      <c r="AY23" s="21">
        <v>41.729221875</v>
      </c>
      <c r="AZ23" s="22">
        <v>4519.8599999999997</v>
      </c>
      <c r="BA23" s="22">
        <v>3378.1</v>
      </c>
      <c r="BB23" s="22">
        <v>15.468</v>
      </c>
      <c r="BC23" s="22">
        <v>51.706000000000003</v>
      </c>
      <c r="BE23" s="23">
        <f t="shared" si="14"/>
        <v>1.0187240798203576</v>
      </c>
      <c r="BF23" s="24">
        <f t="shared" si="15"/>
        <v>-1.3718604586822267E-3</v>
      </c>
      <c r="BG23" s="24">
        <f t="shared" si="16"/>
        <v>5.1902568135498151E-3</v>
      </c>
      <c r="BH23" s="24"/>
      <c r="BJ23" s="23"/>
      <c r="BK23" s="23"/>
      <c r="BL23" s="23"/>
      <c r="BM23" s="23"/>
      <c r="BN23" s="23"/>
      <c r="BP23" s="23"/>
      <c r="BQ23" s="23"/>
      <c r="BR23" s="23"/>
      <c r="BS23" s="23"/>
      <c r="BT23" s="23"/>
      <c r="BV23" s="4">
        <f t="shared" si="18"/>
        <v>-174149</v>
      </c>
      <c r="BW23" s="4">
        <f t="shared" si="18"/>
        <v>-5442.15625</v>
      </c>
      <c r="BX23" s="4">
        <f t="shared" si="18"/>
        <v>-1607.9375</v>
      </c>
      <c r="BY23" s="4">
        <f t="shared" si="18"/>
        <v>-44664</v>
      </c>
      <c r="BZ23" s="4">
        <f t="shared" si="18"/>
        <v>112728</v>
      </c>
      <c r="CA23" s="4">
        <f t="shared" si="18"/>
        <v>-42152</v>
      </c>
      <c r="CB23" s="4">
        <f t="shared" si="18"/>
        <v>-115240</v>
      </c>
      <c r="CC23" s="4">
        <f t="shared" si="18"/>
        <v>1.0284374999997681E-2</v>
      </c>
      <c r="CD23" s="4">
        <f t="shared" si="18"/>
        <v>-3.7218749999965439E-3</v>
      </c>
      <c r="CE23" s="4">
        <f t="shared" si="18"/>
        <v>-5.1574999999999704E-2</v>
      </c>
      <c r="CF23" s="4">
        <f t="shared" si="18"/>
        <v>-5.53843749999956E-2</v>
      </c>
      <c r="CG23" s="4">
        <f t="shared" si="18"/>
        <v>-9.8387500000001182E-2</v>
      </c>
    </row>
    <row r="24" spans="1:85" ht="15" outlineLevel="1" thickBot="1" x14ac:dyDescent="0.35">
      <c r="A24" s="45"/>
      <c r="B24" s="45" t="s">
        <v>284</v>
      </c>
      <c r="C24" s="46" t="s">
        <v>275</v>
      </c>
      <c r="D24" s="45">
        <v>32209643</v>
      </c>
      <c r="E24" s="46">
        <v>10</v>
      </c>
      <c r="F24" s="46">
        <v>32</v>
      </c>
      <c r="G24" s="46">
        <v>50</v>
      </c>
      <c r="I24" s="47">
        <f t="shared" si="0"/>
        <v>41.649324999999997</v>
      </c>
      <c r="J24" s="48">
        <f t="shared" si="1"/>
        <v>0.82756483826908611</v>
      </c>
      <c r="K24" s="48">
        <f t="shared" si="2"/>
        <v>0.19191445245139785</v>
      </c>
      <c r="L24" s="48">
        <f t="shared" si="3"/>
        <v>0.13241351355555228</v>
      </c>
      <c r="M24" s="48">
        <f t="shared" si="4"/>
        <v>0.63565038581768818</v>
      </c>
      <c r="N24" s="45">
        <f t="shared" si="5"/>
        <v>6181496</v>
      </c>
      <c r="O24" s="48">
        <f t="shared" si="6"/>
        <v>0.84390913684166002</v>
      </c>
      <c r="P24" s="49">
        <v>31585827</v>
      </c>
      <c r="Q24" s="49">
        <v>987057.09375</v>
      </c>
      <c r="R24" s="49">
        <v>18895.875</v>
      </c>
      <c r="S24" s="50">
        <v>26655568</v>
      </c>
      <c r="T24" s="50">
        <v>4264992</v>
      </c>
      <c r="U24" s="50">
        <v>1916504</v>
      </c>
      <c r="V24" s="50">
        <v>20474072</v>
      </c>
      <c r="W24" s="51">
        <v>71.821934374999998</v>
      </c>
      <c r="X24" s="51">
        <v>75.648462499999994</v>
      </c>
      <c r="Y24" s="51">
        <v>37.268446875000002</v>
      </c>
      <c r="Z24" s="51">
        <v>43.765675000000002</v>
      </c>
      <c r="AA24" s="51">
        <v>42.375665625000003</v>
      </c>
      <c r="AB24" s="52">
        <v>6717.95</v>
      </c>
      <c r="AC24" s="52">
        <v>3918.33</v>
      </c>
      <c r="AD24" s="52">
        <v>13.721</v>
      </c>
      <c r="AE24" s="52">
        <v>51.238999999999997</v>
      </c>
      <c r="AG24" s="47">
        <f t="shared" si="7"/>
        <v>41.717237500000003</v>
      </c>
      <c r="AH24" s="48">
        <f t="shared" si="8"/>
        <v>0.8289142478232373</v>
      </c>
      <c r="AI24" s="48">
        <f t="shared" si="9"/>
        <v>0.19719262333953841</v>
      </c>
      <c r="AJ24" s="48">
        <f t="shared" si="10"/>
        <v>0.13932001667947702</v>
      </c>
      <c r="AK24" s="48">
        <f t="shared" si="11"/>
        <v>0.63172162448369884</v>
      </c>
      <c r="AL24" s="45">
        <f t="shared" si="12"/>
        <v>6351504</v>
      </c>
      <c r="AM24" s="48">
        <f t="shared" si="13"/>
        <v>0.84955978161639989</v>
      </c>
      <c r="AN24" s="49">
        <v>31426902</v>
      </c>
      <c r="AO24" s="49">
        <v>982090.6875</v>
      </c>
      <c r="AP24" s="49">
        <v>18169.75</v>
      </c>
      <c r="AQ24" s="50">
        <v>26699032</v>
      </c>
      <c r="AR24" s="50">
        <v>4487448</v>
      </c>
      <c r="AS24" s="50">
        <v>1864056</v>
      </c>
      <c r="AT24" s="50">
        <v>20347528</v>
      </c>
      <c r="AU24" s="51">
        <v>71.734515625</v>
      </c>
      <c r="AV24" s="51">
        <v>75.629103125</v>
      </c>
      <c r="AW24" s="51">
        <v>37.222990625000001</v>
      </c>
      <c r="AX24" s="51">
        <v>43.655834374999998</v>
      </c>
      <c r="AY24" s="51">
        <v>42.226781250000002</v>
      </c>
      <c r="AZ24" s="52">
        <v>4934.79</v>
      </c>
      <c r="BA24" s="52">
        <v>3840.49</v>
      </c>
      <c r="BB24" s="52">
        <v>14.962</v>
      </c>
      <c r="BC24" s="52">
        <v>51.832000000000001</v>
      </c>
      <c r="BE24" s="53">
        <f t="shared" si="14"/>
        <v>1.0275027274950919</v>
      </c>
      <c r="BF24" s="54">
        <f t="shared" si="15"/>
        <v>-6.4255762497780755E-4</v>
      </c>
      <c r="BG24" s="54">
        <f t="shared" si="16"/>
        <v>5.9900517972680534E-3</v>
      </c>
      <c r="BH24" s="54"/>
      <c r="BJ24" s="53"/>
      <c r="BK24" s="53"/>
      <c r="BL24" s="53"/>
      <c r="BM24" s="53"/>
      <c r="BN24" s="53"/>
      <c r="BP24" s="53"/>
      <c r="BQ24" s="53"/>
      <c r="BR24" s="53"/>
      <c r="BS24" s="53"/>
      <c r="BT24" s="53"/>
      <c r="BV24" s="4">
        <f t="shared" si="18"/>
        <v>-158925</v>
      </c>
      <c r="BW24" s="4">
        <f t="shared" si="18"/>
        <v>-4966.40625</v>
      </c>
      <c r="BX24" s="4">
        <f t="shared" si="18"/>
        <v>-726.125</v>
      </c>
      <c r="BY24" s="4">
        <f t="shared" si="18"/>
        <v>43464</v>
      </c>
      <c r="BZ24" s="4">
        <f t="shared" si="18"/>
        <v>222456</v>
      </c>
      <c r="CA24" s="4">
        <f t="shared" si="18"/>
        <v>-52448</v>
      </c>
      <c r="CB24" s="4">
        <f t="shared" si="18"/>
        <v>-126544</v>
      </c>
      <c r="CC24" s="4">
        <f t="shared" si="18"/>
        <v>-8.7418749999997658E-2</v>
      </c>
      <c r="CD24" s="4">
        <f t="shared" si="18"/>
        <v>-1.9359374999993406E-2</v>
      </c>
      <c r="CE24" s="4">
        <f t="shared" si="18"/>
        <v>-4.5456250000000864E-2</v>
      </c>
      <c r="CF24" s="4">
        <f t="shared" si="18"/>
        <v>-0.10984062500000391</v>
      </c>
      <c r="CG24" s="4">
        <f t="shared" si="18"/>
        <v>-0.14888437500000151</v>
      </c>
    </row>
    <row r="25" spans="1:85" x14ac:dyDescent="0.3">
      <c r="A25" s="15" t="s">
        <v>288</v>
      </c>
      <c r="B25" s="15" t="s">
        <v>287</v>
      </c>
      <c r="C25" s="16" t="s">
        <v>271</v>
      </c>
      <c r="D25" s="15">
        <v>25312408</v>
      </c>
      <c r="E25" s="16">
        <v>10</v>
      </c>
      <c r="F25" s="16">
        <v>32</v>
      </c>
      <c r="G25" s="16">
        <v>30</v>
      </c>
      <c r="I25" s="17">
        <f t="shared" si="0"/>
        <v>4.7110500000000002</v>
      </c>
      <c r="J25" s="18">
        <f t="shared" si="1"/>
        <v>0.19852398080814754</v>
      </c>
      <c r="K25" s="18">
        <f t="shared" si="2"/>
        <v>7.0191978574302372E-2</v>
      </c>
      <c r="L25" s="18">
        <f t="shared" si="3"/>
        <v>3.7640986191436229E-2</v>
      </c>
      <c r="M25" s="18">
        <f t="shared" si="4"/>
        <v>0.12833200223384517</v>
      </c>
      <c r="N25" s="15">
        <f t="shared" si="5"/>
        <v>1776728</v>
      </c>
      <c r="O25" s="18">
        <f t="shared" si="6"/>
        <v>0.21902063112000947</v>
      </c>
      <c r="P25" s="19">
        <v>22943592</v>
      </c>
      <c r="Q25" s="19">
        <v>716987.25</v>
      </c>
      <c r="R25" s="19">
        <v>17447.78125</v>
      </c>
      <c r="S25" s="20">
        <v>5025120</v>
      </c>
      <c r="T25" s="20">
        <v>952784</v>
      </c>
      <c r="U25" s="20">
        <v>823944</v>
      </c>
      <c r="V25" s="20">
        <v>3248392</v>
      </c>
      <c r="W25" s="21">
        <v>66.187425000000005</v>
      </c>
      <c r="X25" s="21">
        <v>68.040975000000003</v>
      </c>
      <c r="Y25" s="21">
        <v>27.491956250000001</v>
      </c>
      <c r="Z25" s="21">
        <v>33.266903124999999</v>
      </c>
      <c r="AA25" s="21">
        <v>32.715625000000003</v>
      </c>
      <c r="AB25" s="22">
        <v>4507.95</v>
      </c>
      <c r="AC25" s="22">
        <v>2579.42</v>
      </c>
      <c r="AD25" s="22">
        <v>13.319000000000001</v>
      </c>
      <c r="AE25" s="22">
        <v>43.241999999999997</v>
      </c>
      <c r="AG25" s="17">
        <f t="shared" si="7"/>
        <v>4.4673674999999999</v>
      </c>
      <c r="AH25" s="18">
        <f t="shared" si="8"/>
        <v>0.18825518299167743</v>
      </c>
      <c r="AI25" s="18">
        <f t="shared" si="9"/>
        <v>6.501570297065376E-2</v>
      </c>
      <c r="AJ25" s="18">
        <f t="shared" si="10"/>
        <v>3.684453885224985E-2</v>
      </c>
      <c r="AK25" s="18">
        <f t="shared" si="11"/>
        <v>0.12323948002102368</v>
      </c>
      <c r="AL25" s="15">
        <f t="shared" si="12"/>
        <v>1645704</v>
      </c>
      <c r="AM25" s="18">
        <f t="shared" si="13"/>
        <v>0.20577840480444065</v>
      </c>
      <c r="AN25" s="19">
        <v>23156910</v>
      </c>
      <c r="AO25" s="19">
        <v>723653.4375</v>
      </c>
      <c r="AP25" s="19">
        <v>13819.46875</v>
      </c>
      <c r="AQ25" s="20">
        <v>4765192</v>
      </c>
      <c r="AR25" s="20">
        <v>932624</v>
      </c>
      <c r="AS25" s="20">
        <v>713080</v>
      </c>
      <c r="AT25" s="20">
        <v>3119488</v>
      </c>
      <c r="AU25" s="21">
        <v>66.209149999999994</v>
      </c>
      <c r="AV25" s="21">
        <v>67.973675</v>
      </c>
      <c r="AW25" s="21">
        <v>27.396534375000002</v>
      </c>
      <c r="AX25" s="21">
        <v>33.180131250000002</v>
      </c>
      <c r="AY25" s="21">
        <v>32.615481250000002</v>
      </c>
      <c r="AZ25" s="22">
        <v>1607.43</v>
      </c>
      <c r="BA25" s="22">
        <v>1515.2</v>
      </c>
      <c r="BB25" s="22">
        <v>8.0820000000000007</v>
      </c>
      <c r="BC25" s="22">
        <v>26.870999999999999</v>
      </c>
      <c r="BE25" s="23">
        <f t="shared" si="14"/>
        <v>0.92625545384549579</v>
      </c>
      <c r="BF25" s="24">
        <f t="shared" si="15"/>
        <v>-5.2380504455477421E-3</v>
      </c>
      <c r="BG25" s="24">
        <f t="shared" si="16"/>
        <v>-8.2098365203175372E-3</v>
      </c>
      <c r="BH25" s="24">
        <f t="array" ref="BH25">AVERAGE(AL25:AL29/AQ25:AQ29) - AVERAGE(N25:N29/S25:S29)</f>
        <v>-1.2607917515769229E-3</v>
      </c>
      <c r="BJ25" s="23">
        <f>IF( OR(ISBLANK(N25:N29),ISBLANK(AL25:AL29), ISBLANK(W25:W29),ISBLANK(AU25:AU29)), "·", bdRateExtend( N25:N29,W25:W29, AL25:AL29,AU25:AU29))</f>
        <v>-1.6359273677264419E-2</v>
      </c>
      <c r="BK25" s="23">
        <f>IF( OR(ISBLANK(N25:N29),ISBLANK(AL25:AL29), ISBLANK(X25:X29),ISBLANK(AV25:AV29)), "·", bdRateExtend( N25:N29,X25:X29, AL25:AL29,AV25:AV29))</f>
        <v>-1.75506257067094E-2</v>
      </c>
      <c r="BL25" s="23">
        <f>IF( OR(ISBLANK(V25:V29),ISBLANK(AT25:AT29), ISBLANK(Y25:Y29),ISBLANK(AW25:AW29)), "·", bdRateExtend( V25:V29,Y25:Y29, AT25:AT29,AW25:AW29))</f>
        <v>2.6869430411888828E-3</v>
      </c>
      <c r="BM25" s="23">
        <f>IF( OR(ISBLANK(V25:V29),ISBLANK(AT25:AT29), ISBLANK(Z25:Z29),ISBLANK(AX25:AX29)), "·", bdRateExtend( V25:V29,Z25:Z29, AT25:AT29,AX25:AX29))</f>
        <v>2.7969934805906371E-2</v>
      </c>
      <c r="BN25" s="23">
        <f>IF( OR(ISBLANK(V25:V29),ISBLANK(AT25:AT29), ISBLANK(AA25:AA29),ISBLANK(AY25:AY29)), "·", bdRateExtend( V25:V29,AA25:AA29, AT25:AT29,AY25:AY29))</f>
        <v>4.384341754862664E-2</v>
      </c>
      <c r="BP25" s="23">
        <f>IF( OR(ISBLANK(S25:S29),ISBLANK(AQ25:AQ29), ISBLANK(W25:W29),ISBLANK(AU25:AU29)), "·", bdRateExtend( S25:S29,W25:W29, AQ25:AQ29,AU25:AU29))</f>
        <v>4.5081818785241978E-3</v>
      </c>
      <c r="BQ25" s="23">
        <f>IF( OR(ISBLANK(S25:S29),ISBLANK(AQ25:AQ29), ISBLANK(X25:X29),ISBLANK(AV25:AV29)), "·", bdRateExtend( S25:S29,X25:X29, AQ25:AQ29,AV25:AV29))</f>
        <v>-3.3690966363513208E-3</v>
      </c>
      <c r="BR25" s="23">
        <f>IF( OR(ISBLANK(S25:S29),ISBLANK(AQ25:AQ29), ISBLANK(Y25:Y29),ISBLANK(AW25:AW29)), "·", bdRateExtend( S25:S29,Y25:Y29, AQ25:AQ29,AW25:AW29))</f>
        <v>-3.4267292546835693E-3</v>
      </c>
      <c r="BS25" s="23">
        <f>IF( OR(ISBLANK(S25:S29),ISBLANK(AQ25:AQ29), ISBLANK(Z25:Z29),ISBLANK(AX25:AX29)), "·", bdRateExtend( S25:S29,Z25:Z29, AQ25:AQ29,AX25:AX29))</f>
        <v>2.1708032858206883E-2</v>
      </c>
      <c r="BT25" s="23">
        <f>IF( OR(ISBLANK(S25:S29),ISBLANK(AQ25:AQ29), ISBLANK(AA25:AA29),ISBLANK(AY25:AY29)), "·", bdRateExtend( S25:S29,AA25:AA29, AQ25:AQ29,AY25:AY29))</f>
        <v>3.5369808379874357E-2</v>
      </c>
      <c r="BV25" s="4">
        <f t="shared" si="18"/>
        <v>213318</v>
      </c>
      <c r="BW25" s="4">
        <f t="shared" si="18"/>
        <v>6666.1875</v>
      </c>
      <c r="BX25" s="4">
        <f t="shared" si="18"/>
        <v>-3628.3125</v>
      </c>
      <c r="BY25" s="4">
        <f t="shared" si="18"/>
        <v>-259928</v>
      </c>
      <c r="BZ25" s="4">
        <f t="shared" si="18"/>
        <v>-20160</v>
      </c>
      <c r="CA25" s="4">
        <f t="shared" si="18"/>
        <v>-110864</v>
      </c>
      <c r="CB25" s="4">
        <f t="shared" si="18"/>
        <v>-128904</v>
      </c>
      <c r="CC25" s="4">
        <f t="shared" si="18"/>
        <v>2.1724999999989336E-2</v>
      </c>
      <c r="CD25" s="4">
        <f t="shared" si="18"/>
        <v>-6.7300000000003024E-2</v>
      </c>
      <c r="CE25" s="4">
        <f t="shared" si="18"/>
        <v>-9.5421874999999545E-2</v>
      </c>
      <c r="CF25" s="4">
        <f t="shared" si="18"/>
        <v>-8.6771874999996612E-2</v>
      </c>
      <c r="CG25" s="4">
        <f t="shared" si="18"/>
        <v>-0.10014375000000086</v>
      </c>
    </row>
    <row r="26" spans="1:85" outlineLevel="1" x14ac:dyDescent="0.3">
      <c r="A26" s="25"/>
      <c r="B26" s="25" t="s">
        <v>287</v>
      </c>
      <c r="C26" s="26" t="s">
        <v>272</v>
      </c>
      <c r="D26" s="25">
        <v>25312408</v>
      </c>
      <c r="E26" s="26">
        <v>10</v>
      </c>
      <c r="F26" s="26">
        <v>32</v>
      </c>
      <c r="G26" s="26">
        <v>30</v>
      </c>
      <c r="I26" s="27">
        <f t="shared" si="0"/>
        <v>8.1165299999999991</v>
      </c>
      <c r="J26" s="28">
        <f t="shared" si="1"/>
        <v>0.34203114930827599</v>
      </c>
      <c r="K26" s="28">
        <f t="shared" si="2"/>
        <v>8.4784031610109944E-2</v>
      </c>
      <c r="L26" s="28">
        <f t="shared" si="3"/>
        <v>5.2233039227243809E-2</v>
      </c>
      <c r="M26" s="28">
        <f t="shared" si="4"/>
        <v>0.25724711769816605</v>
      </c>
      <c r="N26" s="25">
        <f t="shared" si="5"/>
        <v>2146088</v>
      </c>
      <c r="O26" s="28">
        <f t="shared" si="6"/>
        <v>0.34755391610114161</v>
      </c>
      <c r="P26" s="29">
        <v>24910184</v>
      </c>
      <c r="Q26" s="29">
        <v>778443.25</v>
      </c>
      <c r="R26" s="29">
        <v>22975.59375</v>
      </c>
      <c r="S26" s="30">
        <v>8657632</v>
      </c>
      <c r="T26" s="30">
        <v>1322144</v>
      </c>
      <c r="U26" s="30">
        <v>823944</v>
      </c>
      <c r="V26" s="30">
        <v>6511544</v>
      </c>
      <c r="W26" s="31">
        <v>68.021196875000001</v>
      </c>
      <c r="X26" s="31">
        <v>70.010321875000002</v>
      </c>
      <c r="Y26" s="31">
        <v>29.910575000000001</v>
      </c>
      <c r="Z26" s="31">
        <v>34.458906249999998</v>
      </c>
      <c r="AA26" s="31">
        <v>34.045993750000001</v>
      </c>
      <c r="AB26" s="32">
        <v>5089.29</v>
      </c>
      <c r="AC26" s="32">
        <v>2744.16</v>
      </c>
      <c r="AD26" s="32">
        <v>14.679</v>
      </c>
      <c r="AE26" s="32">
        <v>47.948</v>
      </c>
      <c r="AG26" s="27">
        <f t="shared" si="7"/>
        <v>7.7764274999999996</v>
      </c>
      <c r="AH26" s="28">
        <f t="shared" si="8"/>
        <v>0.3276992058598297</v>
      </c>
      <c r="AI26" s="28">
        <f t="shared" si="9"/>
        <v>8.0109960300892749E-2</v>
      </c>
      <c r="AJ26" s="28">
        <f t="shared" si="10"/>
        <v>5.1938796182488839E-2</v>
      </c>
      <c r="AK26" s="28">
        <f t="shared" si="11"/>
        <v>0.24758924555893694</v>
      </c>
      <c r="AL26" s="25">
        <f t="shared" si="12"/>
        <v>2027776</v>
      </c>
      <c r="AM26" s="28">
        <f t="shared" si="13"/>
        <v>0.33767930135687557</v>
      </c>
      <c r="AN26" s="29">
        <v>24564301</v>
      </c>
      <c r="AO26" s="29">
        <v>767634.40625</v>
      </c>
      <c r="AP26" s="29">
        <v>17406.84375</v>
      </c>
      <c r="AQ26" s="30">
        <v>8294856</v>
      </c>
      <c r="AR26" s="30">
        <v>1314696</v>
      </c>
      <c r="AS26" s="30">
        <v>713080</v>
      </c>
      <c r="AT26" s="30">
        <v>6267080</v>
      </c>
      <c r="AU26" s="31">
        <v>67.941665624999999</v>
      </c>
      <c r="AV26" s="31">
        <v>69.928681249999997</v>
      </c>
      <c r="AW26" s="31">
        <v>29.770700000000001</v>
      </c>
      <c r="AX26" s="31">
        <v>34.353165625000003</v>
      </c>
      <c r="AY26" s="31">
        <v>33.908662499999998</v>
      </c>
      <c r="AZ26" s="32">
        <v>1603.43</v>
      </c>
      <c r="BA26" s="32">
        <v>1613.63</v>
      </c>
      <c r="BB26" s="32">
        <v>6.2990000000000004</v>
      </c>
      <c r="BC26" s="32">
        <v>22.719000000000001</v>
      </c>
      <c r="BE26" s="33">
        <f t="shared" si="14"/>
        <v>0.94487085338532262</v>
      </c>
      <c r="BF26" s="34">
        <f t="shared" si="15"/>
        <v>-6.8388403888387413E-3</v>
      </c>
      <c r="BG26" s="34">
        <f t="shared" si="16"/>
        <v>-3.4220790452458294E-3</v>
      </c>
      <c r="BH26" s="34"/>
      <c r="BJ26" s="33"/>
      <c r="BK26" s="33"/>
      <c r="BL26" s="33"/>
      <c r="BM26" s="33"/>
      <c r="BN26" s="33"/>
      <c r="BP26" s="33"/>
      <c r="BQ26" s="33"/>
      <c r="BR26" s="33"/>
      <c r="BS26" s="33"/>
      <c r="BT26" s="33"/>
      <c r="BV26" s="4">
        <f t="shared" si="18"/>
        <v>-345883</v>
      </c>
      <c r="BW26" s="4">
        <f t="shared" si="18"/>
        <v>-10808.84375</v>
      </c>
      <c r="BX26" s="4">
        <f t="shared" si="18"/>
        <v>-5568.75</v>
      </c>
      <c r="BY26" s="4">
        <f t="shared" si="18"/>
        <v>-362776</v>
      </c>
      <c r="BZ26" s="4">
        <f t="shared" si="18"/>
        <v>-7448</v>
      </c>
      <c r="CA26" s="4">
        <f t="shared" si="18"/>
        <v>-110864</v>
      </c>
      <c r="CB26" s="4">
        <f t="shared" si="18"/>
        <v>-244464</v>
      </c>
      <c r="CC26" s="4">
        <f t="shared" si="18"/>
        <v>-7.9531250000002274E-2</v>
      </c>
      <c r="CD26" s="4">
        <f t="shared" si="18"/>
        <v>-8.1640625000005684E-2</v>
      </c>
      <c r="CE26" s="4">
        <f t="shared" si="18"/>
        <v>-0.13987499999999997</v>
      </c>
      <c r="CF26" s="4">
        <f t="shared" si="18"/>
        <v>-0.1057406249999957</v>
      </c>
      <c r="CG26" s="4">
        <f t="shared" si="18"/>
        <v>-0.13733125000000257</v>
      </c>
    </row>
    <row r="27" spans="1:85" outlineLevel="1" x14ac:dyDescent="0.3">
      <c r="A27" s="15"/>
      <c r="B27" s="15" t="s">
        <v>287</v>
      </c>
      <c r="C27" s="16" t="s">
        <v>273</v>
      </c>
      <c r="D27" s="15">
        <v>25312408</v>
      </c>
      <c r="E27" s="16">
        <v>10</v>
      </c>
      <c r="F27" s="16">
        <v>32</v>
      </c>
      <c r="G27" s="16">
        <v>30</v>
      </c>
      <c r="I27" s="17">
        <f t="shared" si="0"/>
        <v>14.675625</v>
      </c>
      <c r="J27" s="18">
        <f t="shared" si="1"/>
        <v>0.61843187736228022</v>
      </c>
      <c r="K27" s="18">
        <f t="shared" si="2"/>
        <v>0.10604791136426056</v>
      </c>
      <c r="L27" s="18">
        <f t="shared" si="3"/>
        <v>7.3496918981394418E-2</v>
      </c>
      <c r="M27" s="18">
        <f t="shared" si="4"/>
        <v>0.51238396599801961</v>
      </c>
      <c r="N27" s="15">
        <f t="shared" si="5"/>
        <v>2684328</v>
      </c>
      <c r="O27" s="18">
        <f t="shared" si="6"/>
        <v>0.6196190779502887</v>
      </c>
      <c r="P27" s="19">
        <v>25263909</v>
      </c>
      <c r="Q27" s="19">
        <v>789497.15625</v>
      </c>
      <c r="R27" s="19">
        <v>24359.125</v>
      </c>
      <c r="S27" s="20">
        <v>15654000</v>
      </c>
      <c r="T27" s="20">
        <v>1860384</v>
      </c>
      <c r="U27" s="20">
        <v>823944</v>
      </c>
      <c r="V27" s="20">
        <v>12969672</v>
      </c>
      <c r="W27" s="21">
        <v>69.396028125000001</v>
      </c>
      <c r="X27" s="21">
        <v>71.756512499999999</v>
      </c>
      <c r="Y27" s="21">
        <v>32.412637500000002</v>
      </c>
      <c r="Z27" s="21">
        <v>35.724253124999997</v>
      </c>
      <c r="AA27" s="21">
        <v>35.390587500000002</v>
      </c>
      <c r="AB27" s="22">
        <v>5316.74</v>
      </c>
      <c r="AC27" s="22">
        <v>2943.99</v>
      </c>
      <c r="AD27" s="22">
        <v>14.084</v>
      </c>
      <c r="AE27" s="22">
        <v>47.076000000000001</v>
      </c>
      <c r="AG27" s="17">
        <f t="shared" si="7"/>
        <v>14.253</v>
      </c>
      <c r="AH27" s="18">
        <f t="shared" si="8"/>
        <v>0.60062242991658477</v>
      </c>
      <c r="AI27" s="18">
        <f t="shared" si="9"/>
        <v>0.10281755888258438</v>
      </c>
      <c r="AJ27" s="18">
        <f t="shared" si="10"/>
        <v>7.4646394764180474E-2</v>
      </c>
      <c r="AK27" s="18">
        <f t="shared" si="11"/>
        <v>0.4978048710340004</v>
      </c>
      <c r="AL27" s="15">
        <f t="shared" si="12"/>
        <v>2602560</v>
      </c>
      <c r="AM27" s="18">
        <f t="shared" si="13"/>
        <v>0.6117378159126754</v>
      </c>
      <c r="AN27" s="19">
        <v>24852477</v>
      </c>
      <c r="AO27" s="19">
        <v>776639.90625</v>
      </c>
      <c r="AP27" s="19">
        <v>18382.90625</v>
      </c>
      <c r="AQ27" s="20">
        <v>15203200</v>
      </c>
      <c r="AR27" s="20">
        <v>1889480</v>
      </c>
      <c r="AS27" s="20">
        <v>713080</v>
      </c>
      <c r="AT27" s="20">
        <v>12600640</v>
      </c>
      <c r="AU27" s="21">
        <v>69.265340624999993</v>
      </c>
      <c r="AV27" s="21">
        <v>71.6325875</v>
      </c>
      <c r="AW27" s="21">
        <v>32.260521875000002</v>
      </c>
      <c r="AX27" s="21">
        <v>35.597590625000002</v>
      </c>
      <c r="AY27" s="21">
        <v>35.223975000000003</v>
      </c>
      <c r="AZ27" s="22">
        <v>1586.79</v>
      </c>
      <c r="BA27" s="22">
        <v>1731.93</v>
      </c>
      <c r="BB27" s="22">
        <v>6.2610000000000001</v>
      </c>
      <c r="BC27" s="22">
        <v>26.815999999999999</v>
      </c>
      <c r="BE27" s="23">
        <f t="shared" si="14"/>
        <v>0.96953874489257652</v>
      </c>
      <c r="BF27" s="24">
        <f t="shared" si="15"/>
        <v>-7.1841807812386138E-3</v>
      </c>
      <c r="BG27" s="24">
        <f t="shared" si="16"/>
        <v>-2.9371380046355755E-4</v>
      </c>
      <c r="BH27" s="24"/>
      <c r="BJ27" s="23"/>
      <c r="BK27" s="23"/>
      <c r="BL27" s="23"/>
      <c r="BM27" s="23"/>
      <c r="BN27" s="23"/>
      <c r="BP27" s="23"/>
      <c r="BQ27" s="23"/>
      <c r="BR27" s="23"/>
      <c r="BS27" s="23"/>
      <c r="BT27" s="23"/>
      <c r="BV27" s="4">
        <f t="shared" si="18"/>
        <v>-411432</v>
      </c>
      <c r="BW27" s="4">
        <f t="shared" si="18"/>
        <v>-12857.25</v>
      </c>
      <c r="BX27" s="4">
        <f t="shared" si="18"/>
        <v>-5976.21875</v>
      </c>
      <c r="BY27" s="4">
        <f t="shared" si="18"/>
        <v>-450800</v>
      </c>
      <c r="BZ27" s="4">
        <f t="shared" si="18"/>
        <v>29096</v>
      </c>
      <c r="CA27" s="4">
        <f t="shared" si="18"/>
        <v>-110864</v>
      </c>
      <c r="CB27" s="4">
        <f t="shared" si="18"/>
        <v>-369032</v>
      </c>
      <c r="CC27" s="4">
        <f t="shared" si="18"/>
        <v>-0.13068750000000762</v>
      </c>
      <c r="CD27" s="4">
        <f t="shared" si="18"/>
        <v>-0.12392499999999984</v>
      </c>
      <c r="CE27" s="4">
        <f t="shared" si="18"/>
        <v>-0.15211562500000042</v>
      </c>
      <c r="CF27" s="4">
        <f t="shared" si="18"/>
        <v>-0.12666249999999479</v>
      </c>
      <c r="CG27" s="4">
        <f t="shared" si="18"/>
        <v>-0.16661249999999939</v>
      </c>
    </row>
    <row r="28" spans="1:85" outlineLevel="1" x14ac:dyDescent="0.3">
      <c r="A28" s="25"/>
      <c r="B28" s="25" t="s">
        <v>287</v>
      </c>
      <c r="C28" s="26" t="s">
        <v>274</v>
      </c>
      <c r="D28" s="25">
        <v>25312408</v>
      </c>
      <c r="E28" s="26">
        <v>10</v>
      </c>
      <c r="F28" s="26">
        <v>32</v>
      </c>
      <c r="G28" s="26">
        <v>30</v>
      </c>
      <c r="I28" s="27">
        <f t="shared" si="0"/>
        <v>27.831105000000001</v>
      </c>
      <c r="J28" s="28">
        <f t="shared" si="1"/>
        <v>1.1728047367125245</v>
      </c>
      <c r="K28" s="28">
        <f t="shared" si="2"/>
        <v>0.14130903705408035</v>
      </c>
      <c r="L28" s="28">
        <f t="shared" si="3"/>
        <v>0.10875804467121421</v>
      </c>
      <c r="M28" s="28">
        <f t="shared" si="4"/>
        <v>1.0314956996584441</v>
      </c>
      <c r="N28" s="25">
        <f t="shared" si="5"/>
        <v>3576872</v>
      </c>
      <c r="O28" s="28">
        <f t="shared" si="6"/>
        <v>1.1334549341073754</v>
      </c>
      <c r="P28" s="29">
        <v>26191171</v>
      </c>
      <c r="Q28" s="29">
        <v>818474.09375</v>
      </c>
      <c r="R28" s="29">
        <v>27712.03125</v>
      </c>
      <c r="S28" s="30">
        <v>29686512</v>
      </c>
      <c r="T28" s="30">
        <v>2752928</v>
      </c>
      <c r="U28" s="30">
        <v>823944</v>
      </c>
      <c r="V28" s="30">
        <v>26109640</v>
      </c>
      <c r="W28" s="31">
        <v>70.477684374999995</v>
      </c>
      <c r="X28" s="31">
        <v>73.046309375000007</v>
      </c>
      <c r="Y28" s="31">
        <v>34.881718749999997</v>
      </c>
      <c r="Z28" s="31">
        <v>37.544387499999999</v>
      </c>
      <c r="AA28" s="31">
        <v>37.153168749999999</v>
      </c>
      <c r="AB28" s="32">
        <v>5460.19</v>
      </c>
      <c r="AC28" s="32">
        <v>3310.09</v>
      </c>
      <c r="AD28" s="32">
        <v>12.613</v>
      </c>
      <c r="AE28" s="32">
        <v>47.648000000000003</v>
      </c>
      <c r="AG28" s="27">
        <f t="shared" si="7"/>
        <v>27.162097500000002</v>
      </c>
      <c r="AH28" s="28">
        <f t="shared" si="8"/>
        <v>1.1446127132590467</v>
      </c>
      <c r="AI28" s="28">
        <f t="shared" si="9"/>
        <v>0.14095758886313781</v>
      </c>
      <c r="AJ28" s="28">
        <f t="shared" si="10"/>
        <v>0.11278642474473388</v>
      </c>
      <c r="AK28" s="28">
        <f t="shared" si="11"/>
        <v>1.0036551243959089</v>
      </c>
      <c r="AL28" s="25">
        <f t="shared" si="12"/>
        <v>3567976</v>
      </c>
      <c r="AM28" s="28">
        <f t="shared" si="13"/>
        <v>1.1352510792816404</v>
      </c>
      <c r="AN28" s="29">
        <v>25521142</v>
      </c>
      <c r="AO28" s="29">
        <v>797535.6875</v>
      </c>
      <c r="AP28" s="29">
        <v>20619</v>
      </c>
      <c r="AQ28" s="30">
        <v>28972904</v>
      </c>
      <c r="AR28" s="30">
        <v>2854896</v>
      </c>
      <c r="AS28" s="30">
        <v>713080</v>
      </c>
      <c r="AT28" s="30">
        <v>25404928</v>
      </c>
      <c r="AU28" s="31">
        <v>70.423309375000002</v>
      </c>
      <c r="AV28" s="31">
        <v>72.950893750000006</v>
      </c>
      <c r="AW28" s="31">
        <v>34.792356249999997</v>
      </c>
      <c r="AX28" s="31">
        <v>37.374493749999999</v>
      </c>
      <c r="AY28" s="31">
        <v>36.941787499999997</v>
      </c>
      <c r="AZ28" s="32">
        <v>1641.61</v>
      </c>
      <c r="BA28" s="32">
        <v>1997.52</v>
      </c>
      <c r="BB28" s="32">
        <v>6.1749999999999998</v>
      </c>
      <c r="BC28" s="32">
        <v>25.936</v>
      </c>
      <c r="BE28" s="33">
        <f t="shared" si="14"/>
        <v>0.99751291072199411</v>
      </c>
      <c r="BF28" s="34">
        <f t="shared" si="15"/>
        <v>-8.0047768743457016E-3</v>
      </c>
      <c r="BG28" s="34">
        <f t="shared" si="16"/>
        <v>2.6605992223109609E-3</v>
      </c>
      <c r="BH28" s="34"/>
      <c r="BJ28" s="33"/>
      <c r="BK28" s="33"/>
      <c r="BL28" s="33"/>
      <c r="BM28" s="33"/>
      <c r="BN28" s="33"/>
      <c r="BP28" s="33"/>
      <c r="BQ28" s="33"/>
      <c r="BR28" s="33"/>
      <c r="BS28" s="33"/>
      <c r="BT28" s="33"/>
      <c r="BV28" s="4">
        <f t="shared" si="18"/>
        <v>-670029</v>
      </c>
      <c r="BW28" s="4">
        <f t="shared" si="18"/>
        <v>-20938.40625</v>
      </c>
      <c r="BX28" s="4">
        <f t="shared" si="18"/>
        <v>-7093.03125</v>
      </c>
      <c r="BY28" s="4">
        <f t="shared" si="18"/>
        <v>-713608</v>
      </c>
      <c r="BZ28" s="4">
        <f t="shared" si="18"/>
        <v>101968</v>
      </c>
      <c r="CA28" s="4">
        <f t="shared" si="18"/>
        <v>-110864</v>
      </c>
      <c r="CB28" s="4">
        <f t="shared" si="18"/>
        <v>-704712</v>
      </c>
      <c r="CC28" s="4">
        <f t="shared" si="18"/>
        <v>-5.4374999999993179E-2</v>
      </c>
      <c r="CD28" s="4">
        <f t="shared" si="18"/>
        <v>-9.5415625000001114E-2</v>
      </c>
      <c r="CE28" s="4">
        <f t="shared" si="18"/>
        <v>-8.9362500000000011E-2</v>
      </c>
      <c r="CF28" s="4">
        <f t="shared" si="18"/>
        <v>-0.16989374999999995</v>
      </c>
      <c r="CG28" s="4">
        <f t="shared" si="18"/>
        <v>-0.2113812500000023</v>
      </c>
    </row>
    <row r="29" spans="1:85" ht="15" outlineLevel="1" thickBot="1" x14ac:dyDescent="0.35">
      <c r="A29" s="35"/>
      <c r="B29" s="35" t="s">
        <v>287</v>
      </c>
      <c r="C29" s="36" t="s">
        <v>275</v>
      </c>
      <c r="D29" s="35">
        <v>25312408</v>
      </c>
      <c r="E29" s="36">
        <v>10</v>
      </c>
      <c r="F29" s="36">
        <v>32</v>
      </c>
      <c r="G29" s="36">
        <v>30</v>
      </c>
      <c r="I29" s="37">
        <f t="shared" si="0"/>
        <v>48.696195000000003</v>
      </c>
      <c r="J29" s="38">
        <f t="shared" si="1"/>
        <v>2.0520611077381496</v>
      </c>
      <c r="K29" s="38">
        <f t="shared" si="2"/>
        <v>0.22591070750755915</v>
      </c>
      <c r="L29" s="38">
        <f t="shared" si="3"/>
        <v>0.16580295323937572</v>
      </c>
      <c r="M29" s="38">
        <f t="shared" si="4"/>
        <v>1.8261504002305904</v>
      </c>
      <c r="N29" s="35">
        <f t="shared" si="5"/>
        <v>5718344</v>
      </c>
      <c r="O29" s="38">
        <f t="shared" si="6"/>
        <v>2.0723119157178722</v>
      </c>
      <c r="P29" s="39">
        <v>25065053</v>
      </c>
      <c r="Q29" s="39">
        <v>783282.90625</v>
      </c>
      <c r="R29" s="39">
        <v>12457.90625</v>
      </c>
      <c r="S29" s="40">
        <v>51942608</v>
      </c>
      <c r="T29" s="40">
        <v>4196872</v>
      </c>
      <c r="U29" s="40">
        <v>1521472</v>
      </c>
      <c r="V29" s="40">
        <v>46224264</v>
      </c>
      <c r="W29" s="41">
        <v>71.463462500000006</v>
      </c>
      <c r="X29" s="41">
        <v>74.903981250000001</v>
      </c>
      <c r="Y29" s="41">
        <v>36.552803124999997</v>
      </c>
      <c r="Z29" s="41">
        <v>39.618412499999998</v>
      </c>
      <c r="AA29" s="41">
        <v>39.014353125</v>
      </c>
      <c r="AB29" s="42">
        <v>4939.18</v>
      </c>
      <c r="AC29" s="42">
        <v>4033.35</v>
      </c>
      <c r="AD29" s="42">
        <v>13.178000000000001</v>
      </c>
      <c r="AE29" s="42">
        <v>53.798000000000002</v>
      </c>
      <c r="AG29" s="37">
        <f t="shared" si="7"/>
        <v>47.725432499999997</v>
      </c>
      <c r="AH29" s="38">
        <f t="shared" si="8"/>
        <v>2.0111531072033921</v>
      </c>
      <c r="AI29" s="38">
        <f t="shared" si="9"/>
        <v>0.22736232759838573</v>
      </c>
      <c r="AJ29" s="38">
        <f t="shared" si="10"/>
        <v>0.17444567107167364</v>
      </c>
      <c r="AK29" s="38">
        <f t="shared" si="11"/>
        <v>1.7837907796050063</v>
      </c>
      <c r="AL29" s="35">
        <f t="shared" si="12"/>
        <v>5755088</v>
      </c>
      <c r="AM29" s="38">
        <f t="shared" si="13"/>
        <v>2.0718076713545908</v>
      </c>
      <c r="AN29" s="39">
        <v>24571358</v>
      </c>
      <c r="AO29" s="39">
        <v>767854.9375</v>
      </c>
      <c r="AP29" s="39">
        <v>9649.625</v>
      </c>
      <c r="AQ29" s="40">
        <v>50907128</v>
      </c>
      <c r="AR29" s="40">
        <v>4415640</v>
      </c>
      <c r="AS29" s="40">
        <v>1339448</v>
      </c>
      <c r="AT29" s="40">
        <v>45152040</v>
      </c>
      <c r="AU29" s="41">
        <v>71.157656250000002</v>
      </c>
      <c r="AV29" s="41">
        <v>74.909078124999994</v>
      </c>
      <c r="AW29" s="41">
        <v>36.492303124999999</v>
      </c>
      <c r="AX29" s="41">
        <v>39.377640624999998</v>
      </c>
      <c r="AY29" s="41">
        <v>38.733193749999998</v>
      </c>
      <c r="AZ29" s="42">
        <v>1585.95</v>
      </c>
      <c r="BA29" s="42">
        <v>2235.87</v>
      </c>
      <c r="BB29" s="42">
        <v>6.5140000000000002</v>
      </c>
      <c r="BC29" s="42">
        <v>26.402999999999999</v>
      </c>
      <c r="BE29" s="43">
        <f t="shared" si="14"/>
        <v>1.0064256365129485</v>
      </c>
      <c r="BF29" s="44">
        <f t="shared" si="15"/>
        <v>-3.3377443916973379E-3</v>
      </c>
      <c r="BG29" s="44">
        <f t="shared" si="16"/>
        <v>2.9610713858313903E-3</v>
      </c>
      <c r="BH29" s="44"/>
      <c r="BJ29" s="43"/>
      <c r="BK29" s="43"/>
      <c r="BL29" s="43"/>
      <c r="BM29" s="43"/>
      <c r="BN29" s="43"/>
      <c r="BP29" s="43"/>
      <c r="BQ29" s="43"/>
      <c r="BR29" s="43"/>
      <c r="BS29" s="43"/>
      <c r="BT29" s="43"/>
      <c r="BV29" s="4">
        <f t="shared" si="18"/>
        <v>-493695</v>
      </c>
      <c r="BW29" s="4">
        <f t="shared" si="18"/>
        <v>-15427.96875</v>
      </c>
      <c r="BX29" s="4">
        <f t="shared" si="18"/>
        <v>-2808.28125</v>
      </c>
      <c r="BY29" s="4">
        <f t="shared" si="18"/>
        <v>-1035480</v>
      </c>
      <c r="BZ29" s="4">
        <f t="shared" si="18"/>
        <v>218768</v>
      </c>
      <c r="CA29" s="4">
        <f t="shared" si="18"/>
        <v>-182024</v>
      </c>
      <c r="CB29" s="4">
        <f t="shared" si="18"/>
        <v>-1072224</v>
      </c>
      <c r="CC29" s="4">
        <f t="shared" si="18"/>
        <v>-0.30580625000000339</v>
      </c>
      <c r="CD29" s="4">
        <f t="shared" si="18"/>
        <v>5.0968749999924512E-3</v>
      </c>
      <c r="CE29" s="4">
        <f t="shared" si="18"/>
        <v>-6.0499999999997556E-2</v>
      </c>
      <c r="CF29" s="4">
        <f t="shared" si="18"/>
        <v>-0.24077187500000008</v>
      </c>
      <c r="CG29" s="4">
        <f t="shared" si="18"/>
        <v>-0.28115937500000143</v>
      </c>
    </row>
    <row r="30" spans="1:85" x14ac:dyDescent="0.3">
      <c r="A30" s="25" t="s">
        <v>292</v>
      </c>
      <c r="B30" s="25" t="s">
        <v>291</v>
      </c>
      <c r="C30" s="26" t="s">
        <v>271</v>
      </c>
      <c r="D30" s="25">
        <v>28802925</v>
      </c>
      <c r="E30" s="26">
        <v>11</v>
      </c>
      <c r="F30" s="26">
        <v>10</v>
      </c>
      <c r="G30" s="26">
        <v>30</v>
      </c>
      <c r="I30" s="27">
        <f t="shared" si="0"/>
        <v>5.7137279999999997</v>
      </c>
      <c r="J30" s="28">
        <f t="shared" si="1"/>
        <v>6.6124395352208154E-2</v>
      </c>
      <c r="K30" s="28">
        <f t="shared" si="2"/>
        <v>4.0522551095071073E-2</v>
      </c>
      <c r="L30" s="28">
        <f t="shared" si="3"/>
        <v>2.4648607736887835E-2</v>
      </c>
      <c r="M30" s="28">
        <f t="shared" si="4"/>
        <v>2.5601844257137078E-2</v>
      </c>
      <c r="N30" s="25">
        <f t="shared" si="5"/>
        <v>1167168</v>
      </c>
      <c r="O30" s="28">
        <f t="shared" si="6"/>
        <v>7.2965237981693104E-2</v>
      </c>
      <c r="P30" s="29">
        <v>26102512</v>
      </c>
      <c r="Q30" s="29">
        <v>2610251.2000000002</v>
      </c>
      <c r="R30" s="29">
        <v>35813.199999999997</v>
      </c>
      <c r="S30" s="30">
        <v>1904576</v>
      </c>
      <c r="T30" s="30">
        <v>709952</v>
      </c>
      <c r="U30" s="30">
        <v>457216</v>
      </c>
      <c r="V30" s="30">
        <v>737408</v>
      </c>
      <c r="W30" s="31">
        <v>73.472399999999993</v>
      </c>
      <c r="X30" s="31">
        <v>75.709350000000001</v>
      </c>
      <c r="Y30" s="31">
        <v>34.691000000000003</v>
      </c>
      <c r="Z30" s="31">
        <v>41.873489999999997</v>
      </c>
      <c r="AA30" s="31">
        <v>43.789929999999998</v>
      </c>
      <c r="AB30" s="32">
        <v>6306.22</v>
      </c>
      <c r="AC30" s="32">
        <v>2329.79</v>
      </c>
      <c r="AD30" s="32">
        <v>14.318</v>
      </c>
      <c r="AE30" s="32">
        <v>37.707999999999998</v>
      </c>
      <c r="AG30" s="27">
        <f t="shared" si="7"/>
        <v>5.5587119999999999</v>
      </c>
      <c r="AH30" s="28">
        <f t="shared" si="8"/>
        <v>6.4330410887088726E-2</v>
      </c>
      <c r="AI30" s="28">
        <f t="shared" si="9"/>
        <v>3.925073581936557E-2</v>
      </c>
      <c r="AJ30" s="28">
        <f t="shared" si="10"/>
        <v>2.4363358929692037E-2</v>
      </c>
      <c r="AK30" s="28">
        <f t="shared" si="11"/>
        <v>2.5079675067723156E-2</v>
      </c>
      <c r="AL30" s="25">
        <f t="shared" si="12"/>
        <v>1130536</v>
      </c>
      <c r="AM30" s="28">
        <f t="shared" si="13"/>
        <v>7.0629934250149504E-2</v>
      </c>
      <c r="AN30" s="29">
        <v>26233976</v>
      </c>
      <c r="AO30" s="29">
        <v>2623397.6</v>
      </c>
      <c r="AP30" s="29">
        <v>32601.9</v>
      </c>
      <c r="AQ30" s="30">
        <v>1852904</v>
      </c>
      <c r="AR30" s="30">
        <v>701736</v>
      </c>
      <c r="AS30" s="30">
        <v>428800</v>
      </c>
      <c r="AT30" s="30">
        <v>722368</v>
      </c>
      <c r="AU30" s="31">
        <v>73.498850000000004</v>
      </c>
      <c r="AV30" s="31">
        <v>75.695869999999999</v>
      </c>
      <c r="AW30" s="31">
        <v>34.604100000000003</v>
      </c>
      <c r="AX30" s="31">
        <v>41.861669999999997</v>
      </c>
      <c r="AY30" s="31">
        <v>43.705379999999998</v>
      </c>
      <c r="AZ30" s="32">
        <v>1187.44</v>
      </c>
      <c r="BA30" s="32">
        <v>1324.94</v>
      </c>
      <c r="BB30" s="32">
        <v>9.798</v>
      </c>
      <c r="BC30" s="32">
        <v>30.015000000000001</v>
      </c>
      <c r="BE30" s="33">
        <f t="shared" si="14"/>
        <v>0.96861462959916655</v>
      </c>
      <c r="BF30" s="34">
        <f t="shared" si="15"/>
        <v>-1.2928545012987954E-3</v>
      </c>
      <c r="BG30" s="34">
        <f t="shared" si="16"/>
        <v>-2.6802302485354756E-3</v>
      </c>
      <c r="BH30" s="34">
        <f t="array" ref="BH30">AVERAGE(AL30:AL34/AQ30:AQ34) - AVERAGE(N30:N34/S30:S34)</f>
        <v>3.4527544785458164E-3</v>
      </c>
      <c r="BJ30" s="33">
        <f>IF( OR(ISBLANK(N30:N34),ISBLANK(AL30:AL34), ISBLANK(W30:W34),ISBLANK(AU30:AU34)), "·", bdRateExtend( N30:N34,W30:W34, AL30:AL34,AU30:AU34))</f>
        <v>4.6495394493009101E-3</v>
      </c>
      <c r="BK30" s="33">
        <f>IF( OR(ISBLANK(N30:N34),ISBLANK(AL30:AL34), ISBLANK(X30:X34),ISBLANK(AV30:AV34)), "·", bdRateExtend( N30:N34,X30:X34, AL30:AL34,AV30:AV34))</f>
        <v>1.2104786786009125E-3</v>
      </c>
      <c r="BL30" s="33">
        <f>IF( OR(ISBLANK(V30:V34),ISBLANK(AT30:AT34), ISBLANK(Y30:Y34),ISBLANK(AW30:AW34)), "·", bdRateExtend( V30:V34,Y30:Y34, AT30:AT34,AW30:AW34))</f>
        <v>1.9941262391894421E-2</v>
      </c>
      <c r="BM30" s="33">
        <f>IF( OR(ISBLANK(V30:V34),ISBLANK(AT30:AT34), ISBLANK(Z30:Z34),ISBLANK(AX30:AX34)), "·", bdRateExtend( V30:V34,Z30:Z34, AT30:AT34,AX30:AX34))</f>
        <v>1.224299378610838E-2</v>
      </c>
      <c r="BN30" s="33">
        <f>IF( OR(ISBLANK(V30:V34),ISBLANK(AT30:AT34), ISBLANK(AA30:AA34),ISBLANK(AY30:AY34)), "·", bdRateExtend( V30:V34,AA30:AA34, AT30:AT34,AY30:AY34))</f>
        <v>1.9002209844542151E-2</v>
      </c>
      <c r="BP30" s="33">
        <f>IF( OR(ISBLANK(S30:S34),ISBLANK(AQ30:AQ34), ISBLANK(W30:W34),ISBLANK(AU30:AU34)), "·", bdRateExtend( S30:S34,W30:W34, AQ30:AQ34,AU30:AU34))</f>
        <v>1.389421000606017E-4</v>
      </c>
      <c r="BQ30" s="33">
        <f>IF( OR(ISBLANK(S30:S34),ISBLANK(AQ30:AQ34), ISBLANK(X30:X34),ISBLANK(AV30:AV34)), "·", bdRateExtend( S30:S34,X30:X34, AQ30:AQ34,AV30:AV34))</f>
        <v>-8.4640415991246165E-3</v>
      </c>
      <c r="BR30" s="33">
        <f>IF( OR(ISBLANK(S30:S34),ISBLANK(AQ30:AQ34), ISBLANK(Y30:Y34),ISBLANK(AW30:AW34)), "·", bdRateExtend( S30:S34,Y30:Y34, AQ30:AQ34,AW30:AW34))</f>
        <v>1.59253259305705E-2</v>
      </c>
      <c r="BS30" s="33">
        <f>IF( OR(ISBLANK(S30:S34),ISBLANK(AQ30:AQ34), ISBLANK(Z30:Z34),ISBLANK(AX30:AX34)), "·", bdRateExtend( S30:S34,Z30:Z34, AQ30:AQ34,AX30:AX34))</f>
        <v>1.2777811231872604E-2</v>
      </c>
      <c r="BT30" s="33">
        <f>IF( OR(ISBLANK(S30:S34),ISBLANK(AQ30:AQ34), ISBLANK(AA30:AA34),ISBLANK(AY30:AY34)), "·", bdRateExtend( S30:S34,AA30:AA34, AQ30:AQ34,AY30:AY34))</f>
        <v>1.7130056060775001E-2</v>
      </c>
      <c r="BV30" s="4">
        <f t="shared" si="18"/>
        <v>131464</v>
      </c>
      <c r="BW30" s="4">
        <f t="shared" si="18"/>
        <v>13146.399999999907</v>
      </c>
      <c r="BX30" s="4">
        <f t="shared" si="18"/>
        <v>-3211.2999999999956</v>
      </c>
      <c r="BY30" s="4">
        <f t="shared" si="18"/>
        <v>-51672</v>
      </c>
      <c r="BZ30" s="4">
        <f t="shared" si="18"/>
        <v>-8216</v>
      </c>
      <c r="CA30" s="4">
        <f t="shared" si="18"/>
        <v>-28416</v>
      </c>
      <c r="CB30" s="4">
        <f t="shared" si="18"/>
        <v>-15040</v>
      </c>
      <c r="CC30" s="4">
        <f t="shared" si="18"/>
        <v>2.6450000000011187E-2</v>
      </c>
      <c r="CD30" s="4">
        <f t="shared" si="18"/>
        <v>-1.3480000000001269E-2</v>
      </c>
      <c r="CE30" s="4">
        <f t="shared" si="18"/>
        <v>-8.6899999999999977E-2</v>
      </c>
      <c r="CF30" s="4">
        <f t="shared" si="18"/>
        <v>-1.1820000000000164E-2</v>
      </c>
      <c r="CG30" s="4">
        <f t="shared" si="18"/>
        <v>-8.4550000000000125E-2</v>
      </c>
    </row>
    <row r="31" spans="1:85" outlineLevel="1" x14ac:dyDescent="0.3">
      <c r="A31" s="15"/>
      <c r="B31" s="15" t="s">
        <v>291</v>
      </c>
      <c r="C31" s="16" t="s">
        <v>272</v>
      </c>
      <c r="D31" s="15">
        <v>28802925</v>
      </c>
      <c r="E31" s="16">
        <v>11</v>
      </c>
      <c r="F31" s="16">
        <v>10</v>
      </c>
      <c r="G31" s="16">
        <v>30</v>
      </c>
      <c r="I31" s="17">
        <f t="shared" si="0"/>
        <v>8.2208400000000008</v>
      </c>
      <c r="J31" s="18">
        <f t="shared" si="1"/>
        <v>9.5138948561647813E-2</v>
      </c>
      <c r="K31" s="18">
        <f t="shared" si="2"/>
        <v>4.9308047706960317E-2</v>
      </c>
      <c r="L31" s="18">
        <f t="shared" si="3"/>
        <v>3.3434104348777076E-2</v>
      </c>
      <c r="M31" s="18">
        <f t="shared" si="4"/>
        <v>4.5830900854687502E-2</v>
      </c>
      <c r="N31" s="15">
        <f t="shared" si="5"/>
        <v>1420216</v>
      </c>
      <c r="O31" s="18">
        <f t="shared" si="6"/>
        <v>9.7732805625353469E-2</v>
      </c>
      <c r="P31" s="19">
        <v>28038487</v>
      </c>
      <c r="Q31" s="19">
        <v>2803848.7</v>
      </c>
      <c r="R31" s="19">
        <v>46068.800000000003</v>
      </c>
      <c r="S31" s="20">
        <v>2740280</v>
      </c>
      <c r="T31" s="20">
        <v>963000</v>
      </c>
      <c r="U31" s="20">
        <v>457216</v>
      </c>
      <c r="V31" s="20">
        <v>1320064</v>
      </c>
      <c r="W31" s="21">
        <v>75.212029999999999</v>
      </c>
      <c r="X31" s="21">
        <v>77.554680000000005</v>
      </c>
      <c r="Y31" s="21">
        <v>36.587269999999997</v>
      </c>
      <c r="Z31" s="21">
        <v>42.395530000000001</v>
      </c>
      <c r="AA31" s="21">
        <v>44.839759999999998</v>
      </c>
      <c r="AB31" s="22">
        <v>5508.96</v>
      </c>
      <c r="AC31" s="22">
        <v>2315.5</v>
      </c>
      <c r="AD31" s="22">
        <v>15.913</v>
      </c>
      <c r="AE31" s="22">
        <v>45.003</v>
      </c>
      <c r="AG31" s="17">
        <f t="shared" si="7"/>
        <v>8.0679119999999998</v>
      </c>
      <c r="AH31" s="18">
        <f t="shared" si="8"/>
        <v>9.3369128309017224E-2</v>
      </c>
      <c r="AI31" s="18">
        <f t="shared" si="9"/>
        <v>4.837175391041014E-2</v>
      </c>
      <c r="AJ31" s="18">
        <f t="shared" si="10"/>
        <v>3.348437702073661E-2</v>
      </c>
      <c r="AK31" s="18">
        <f t="shared" si="11"/>
        <v>4.4997374398607085E-2</v>
      </c>
      <c r="AL31" s="15">
        <f t="shared" si="12"/>
        <v>1393248</v>
      </c>
      <c r="AM31" s="18">
        <f t="shared" si="13"/>
        <v>9.6407763113074557E-2</v>
      </c>
      <c r="AN31" s="19">
        <v>27895098</v>
      </c>
      <c r="AO31" s="19">
        <v>2789509.8</v>
      </c>
      <c r="AP31" s="19">
        <v>41019.800000000003</v>
      </c>
      <c r="AQ31" s="20">
        <v>2689304</v>
      </c>
      <c r="AR31" s="20">
        <v>964448</v>
      </c>
      <c r="AS31" s="20">
        <v>428800</v>
      </c>
      <c r="AT31" s="20">
        <v>1296056</v>
      </c>
      <c r="AU31" s="21">
        <v>75.185659999999999</v>
      </c>
      <c r="AV31" s="21">
        <v>77.55095</v>
      </c>
      <c r="AW31" s="21">
        <v>36.488900000000001</v>
      </c>
      <c r="AX31" s="21">
        <v>42.379849999999998</v>
      </c>
      <c r="AY31" s="21">
        <v>44.839759999999998</v>
      </c>
      <c r="AZ31" s="22">
        <v>1203.8499999999999</v>
      </c>
      <c r="BA31" s="22">
        <v>1419.25</v>
      </c>
      <c r="BB31" s="22">
        <v>9.4779999999999998</v>
      </c>
      <c r="BC31" s="22">
        <v>28.562000000000001</v>
      </c>
      <c r="BE31" s="23">
        <f t="shared" si="14"/>
        <v>0.98101133912024652</v>
      </c>
      <c r="BF31" s="24">
        <f t="shared" si="15"/>
        <v>-1.7255375353716837E-3</v>
      </c>
      <c r="BG31" s="24">
        <f t="shared" si="16"/>
        <v>-2.0394209159180221E-4</v>
      </c>
      <c r="BH31" s="24"/>
      <c r="BJ31" s="23"/>
      <c r="BK31" s="23"/>
      <c r="BL31" s="23"/>
      <c r="BM31" s="23"/>
      <c r="BN31" s="23"/>
      <c r="BP31" s="23"/>
      <c r="BQ31" s="23"/>
      <c r="BR31" s="23"/>
      <c r="BS31" s="23"/>
      <c r="BT31" s="23"/>
      <c r="BV31" s="4">
        <f t="shared" si="18"/>
        <v>-143389</v>
      </c>
      <c r="BW31" s="4">
        <f t="shared" si="18"/>
        <v>-14338.900000000373</v>
      </c>
      <c r="BX31" s="4">
        <f t="shared" si="18"/>
        <v>-5049</v>
      </c>
      <c r="BY31" s="4">
        <f t="shared" si="18"/>
        <v>-50976</v>
      </c>
      <c r="BZ31" s="4">
        <f t="shared" si="18"/>
        <v>1448</v>
      </c>
      <c r="CA31" s="4">
        <f t="shared" si="18"/>
        <v>-28416</v>
      </c>
      <c r="CB31" s="4">
        <f t="shared" si="18"/>
        <v>-24008</v>
      </c>
      <c r="CC31" s="4">
        <f t="shared" si="18"/>
        <v>-2.6370000000000005E-2</v>
      </c>
      <c r="CD31" s="4">
        <f t="shared" si="18"/>
        <v>-3.730000000004452E-3</v>
      </c>
      <c r="CE31" s="4">
        <f t="shared" si="18"/>
        <v>-9.8369999999995628E-2</v>
      </c>
      <c r="CF31" s="4">
        <f t="shared" si="18"/>
        <v>-1.5680000000003247E-2</v>
      </c>
      <c r="CG31" s="4">
        <f t="shared" si="18"/>
        <v>0</v>
      </c>
    </row>
    <row r="32" spans="1:85" outlineLevel="1" x14ac:dyDescent="0.3">
      <c r="A32" s="25"/>
      <c r="B32" s="25" t="s">
        <v>291</v>
      </c>
      <c r="C32" s="26" t="s">
        <v>273</v>
      </c>
      <c r="D32" s="25">
        <v>28802925</v>
      </c>
      <c r="E32" s="26">
        <v>11</v>
      </c>
      <c r="F32" s="26">
        <v>10</v>
      </c>
      <c r="G32" s="26">
        <v>30</v>
      </c>
      <c r="I32" s="27">
        <f t="shared" si="0"/>
        <v>12.931535999999999</v>
      </c>
      <c r="J32" s="28">
        <f t="shared" si="1"/>
        <v>0.14965535618344317</v>
      </c>
      <c r="K32" s="28">
        <f t="shared" si="2"/>
        <v>6.1610964858603769E-2</v>
      </c>
      <c r="L32" s="28">
        <f t="shared" si="3"/>
        <v>4.5737021500420527E-2</v>
      </c>
      <c r="M32" s="28">
        <f t="shared" si="4"/>
        <v>8.8044391324839405E-2</v>
      </c>
      <c r="N32" s="25">
        <f t="shared" si="5"/>
        <v>1774576</v>
      </c>
      <c r="O32" s="28">
        <f t="shared" si="6"/>
        <v>0.15048815561489803</v>
      </c>
      <c r="P32" s="29">
        <v>28643530</v>
      </c>
      <c r="Q32" s="29">
        <v>2864353</v>
      </c>
      <c r="R32" s="29">
        <v>50396.3</v>
      </c>
      <c r="S32" s="30">
        <v>4310512</v>
      </c>
      <c r="T32" s="30">
        <v>1317360</v>
      </c>
      <c r="U32" s="30">
        <v>457216</v>
      </c>
      <c r="V32" s="30">
        <v>2535936</v>
      </c>
      <c r="W32" s="31">
        <v>76.524720000000002</v>
      </c>
      <c r="X32" s="31">
        <v>79.125410000000002</v>
      </c>
      <c r="Y32" s="31">
        <v>38.316769999999998</v>
      </c>
      <c r="Z32" s="31">
        <v>42.905900000000003</v>
      </c>
      <c r="AA32" s="31">
        <v>46.097000000000001</v>
      </c>
      <c r="AB32" s="32">
        <v>5898.39</v>
      </c>
      <c r="AC32" s="32">
        <v>2565.17</v>
      </c>
      <c r="AD32" s="32">
        <v>13.9</v>
      </c>
      <c r="AE32" s="32">
        <v>40.832999999999998</v>
      </c>
      <c r="AG32" s="27">
        <f t="shared" si="7"/>
        <v>12.811776</v>
      </c>
      <c r="AH32" s="28">
        <f t="shared" si="8"/>
        <v>0.14826938583494559</v>
      </c>
      <c r="AI32" s="28">
        <f t="shared" si="9"/>
        <v>6.1580967905169356E-2</v>
      </c>
      <c r="AJ32" s="28">
        <f t="shared" si="10"/>
        <v>4.6693591015495819E-2</v>
      </c>
      <c r="AK32" s="28">
        <f t="shared" si="11"/>
        <v>8.6688417929776232E-2</v>
      </c>
      <c r="AL32" s="25">
        <f t="shared" si="12"/>
        <v>1773712</v>
      </c>
      <c r="AM32" s="28">
        <f t="shared" si="13"/>
        <v>0.14998486135540759</v>
      </c>
      <c r="AN32" s="29">
        <v>28473487</v>
      </c>
      <c r="AO32" s="29">
        <v>2847348.7</v>
      </c>
      <c r="AP32" s="29">
        <v>44272.3</v>
      </c>
      <c r="AQ32" s="30">
        <v>4270592</v>
      </c>
      <c r="AR32" s="30">
        <v>1344912</v>
      </c>
      <c r="AS32" s="30">
        <v>428800</v>
      </c>
      <c r="AT32" s="30">
        <v>2496880</v>
      </c>
      <c r="AU32" s="31">
        <v>76.464470000000006</v>
      </c>
      <c r="AV32" s="31">
        <v>79.091260000000005</v>
      </c>
      <c r="AW32" s="31">
        <v>38.221110000000003</v>
      </c>
      <c r="AX32" s="31">
        <v>42.869149999999998</v>
      </c>
      <c r="AY32" s="31">
        <v>45.89678</v>
      </c>
      <c r="AZ32" s="32">
        <v>1039.48</v>
      </c>
      <c r="BA32" s="32">
        <v>1446.71</v>
      </c>
      <c r="BB32" s="32">
        <v>12.648</v>
      </c>
      <c r="BC32" s="32">
        <v>27.117999999999999</v>
      </c>
      <c r="BE32" s="33">
        <f t="shared" si="14"/>
        <v>0.99951312313476581</v>
      </c>
      <c r="BF32" s="34">
        <f t="shared" si="15"/>
        <v>-2.0456999739184856E-3</v>
      </c>
      <c r="BG32" s="34">
        <f t="shared" si="16"/>
        <v>3.64597970354269E-3</v>
      </c>
      <c r="BH32" s="34"/>
      <c r="BJ32" s="33"/>
      <c r="BK32" s="33"/>
      <c r="BL32" s="33"/>
      <c r="BM32" s="33"/>
      <c r="BN32" s="33"/>
      <c r="BP32" s="33"/>
      <c r="BQ32" s="33"/>
      <c r="BR32" s="33"/>
      <c r="BS32" s="33"/>
      <c r="BT32" s="33"/>
      <c r="BV32" s="4">
        <f t="shared" si="18"/>
        <v>-170043</v>
      </c>
      <c r="BW32" s="4">
        <f t="shared" si="18"/>
        <v>-17004.299999999814</v>
      </c>
      <c r="BX32" s="4">
        <f t="shared" si="18"/>
        <v>-6124</v>
      </c>
      <c r="BY32" s="4">
        <f t="shared" si="18"/>
        <v>-39920</v>
      </c>
      <c r="BZ32" s="4">
        <f t="shared" si="18"/>
        <v>27552</v>
      </c>
      <c r="CA32" s="4">
        <f t="shared" si="18"/>
        <v>-28416</v>
      </c>
      <c r="CB32" s="4">
        <f t="shared" si="18"/>
        <v>-39056</v>
      </c>
      <c r="CC32" s="4">
        <f t="shared" si="18"/>
        <v>-6.0249999999996362E-2</v>
      </c>
      <c r="CD32" s="4">
        <f t="shared" si="18"/>
        <v>-3.4149999999996794E-2</v>
      </c>
      <c r="CE32" s="4">
        <f t="shared" si="18"/>
        <v>-9.5659999999995193E-2</v>
      </c>
      <c r="CF32" s="4">
        <f t="shared" si="18"/>
        <v>-3.6750000000004945E-2</v>
      </c>
      <c r="CG32" s="4">
        <f t="shared" si="18"/>
        <v>-0.20022000000000162</v>
      </c>
    </row>
    <row r="33" spans="1:85" outlineLevel="1" x14ac:dyDescent="0.3">
      <c r="A33" s="15"/>
      <c r="B33" s="15" t="s">
        <v>291</v>
      </c>
      <c r="C33" s="16" t="s">
        <v>274</v>
      </c>
      <c r="D33" s="15">
        <v>28802925</v>
      </c>
      <c r="E33" s="16">
        <v>11</v>
      </c>
      <c r="F33" s="16">
        <v>10</v>
      </c>
      <c r="G33" s="16">
        <v>30</v>
      </c>
      <c r="I33" s="17">
        <f t="shared" si="0"/>
        <v>21.868535999999999</v>
      </c>
      <c r="J33" s="18">
        <f t="shared" si="1"/>
        <v>0.25308235187919281</v>
      </c>
      <c r="K33" s="18">
        <f t="shared" si="2"/>
        <v>8.1568660127400258E-2</v>
      </c>
      <c r="L33" s="18">
        <f t="shared" si="3"/>
        <v>6.569471676921701E-2</v>
      </c>
      <c r="M33" s="18">
        <f t="shared" si="4"/>
        <v>0.17151369175179257</v>
      </c>
      <c r="N33" s="15">
        <f t="shared" si="5"/>
        <v>2349416</v>
      </c>
      <c r="O33" s="18">
        <f t="shared" si="6"/>
        <v>0.24796959179023512</v>
      </c>
      <c r="P33" s="19">
        <v>29396798</v>
      </c>
      <c r="Q33" s="19">
        <v>2939679.8</v>
      </c>
      <c r="R33" s="19">
        <v>56800</v>
      </c>
      <c r="S33" s="20">
        <v>7289512</v>
      </c>
      <c r="T33" s="20">
        <v>1892200</v>
      </c>
      <c r="U33" s="20">
        <v>457216</v>
      </c>
      <c r="V33" s="20">
        <v>4940096</v>
      </c>
      <c r="W33" s="21">
        <v>77.592200000000005</v>
      </c>
      <c r="X33" s="21">
        <v>80.313500000000005</v>
      </c>
      <c r="Y33" s="21">
        <v>39.8889</v>
      </c>
      <c r="Z33" s="21">
        <v>43.598590000000002</v>
      </c>
      <c r="AA33" s="21">
        <v>47.733150000000002</v>
      </c>
      <c r="AB33" s="22">
        <v>5234.79</v>
      </c>
      <c r="AC33" s="22">
        <v>2660.9</v>
      </c>
      <c r="AD33" s="22">
        <v>15.413</v>
      </c>
      <c r="AE33" s="22">
        <v>42.927999999999997</v>
      </c>
      <c r="AG33" s="17">
        <f t="shared" si="7"/>
        <v>21.84036</v>
      </c>
      <c r="AH33" s="18">
        <f t="shared" si="8"/>
        <v>0.25275627388537797</v>
      </c>
      <c r="AI33" s="18">
        <f t="shared" si="9"/>
        <v>8.3529294333822002E-2</v>
      </c>
      <c r="AJ33" s="18">
        <f t="shared" si="10"/>
        <v>6.8641917444148465E-2</v>
      </c>
      <c r="AK33" s="18">
        <f t="shared" si="11"/>
        <v>0.16922697955155597</v>
      </c>
      <c r="AL33" s="15">
        <f t="shared" si="12"/>
        <v>2405888</v>
      </c>
      <c r="AM33" s="18">
        <f t="shared" si="13"/>
        <v>0.24942424377391847</v>
      </c>
      <c r="AN33" s="19">
        <v>29187700</v>
      </c>
      <c r="AO33" s="19">
        <v>2918770</v>
      </c>
      <c r="AP33" s="19">
        <v>49192.3</v>
      </c>
      <c r="AQ33" s="20">
        <v>7280120</v>
      </c>
      <c r="AR33" s="20">
        <v>1977088</v>
      </c>
      <c r="AS33" s="20">
        <v>428800</v>
      </c>
      <c r="AT33" s="20">
        <v>4874232</v>
      </c>
      <c r="AU33" s="21">
        <v>77.600809999999996</v>
      </c>
      <c r="AV33" s="21">
        <v>80.309700000000007</v>
      </c>
      <c r="AW33" s="21">
        <v>39.809379999999997</v>
      </c>
      <c r="AX33" s="21">
        <v>43.570349999999998</v>
      </c>
      <c r="AY33" s="21">
        <v>47.70046</v>
      </c>
      <c r="AZ33" s="22">
        <v>1220.0899999999999</v>
      </c>
      <c r="BA33" s="22">
        <v>1552.61</v>
      </c>
      <c r="BB33" s="22">
        <v>11.116</v>
      </c>
      <c r="BC33" s="22">
        <v>31.437000000000001</v>
      </c>
      <c r="BE33" s="23">
        <f t="shared" si="14"/>
        <v>1.0240366116515764</v>
      </c>
      <c r="BF33" s="24">
        <f t="shared" si="15"/>
        <v>-2.4680548147901736E-3</v>
      </c>
      <c r="BG33" s="24">
        <f t="shared" si="16"/>
        <v>8.1728116699189557E-3</v>
      </c>
      <c r="BH33" s="24"/>
      <c r="BJ33" s="23"/>
      <c r="BK33" s="23"/>
      <c r="BL33" s="23"/>
      <c r="BM33" s="23"/>
      <c r="BN33" s="23"/>
      <c r="BP33" s="23"/>
      <c r="BQ33" s="23"/>
      <c r="BR33" s="23"/>
      <c r="BS33" s="23"/>
      <c r="BT33" s="23"/>
      <c r="BV33" s="4">
        <f t="shared" si="18"/>
        <v>-209098</v>
      </c>
      <c r="BW33" s="4">
        <f t="shared" si="18"/>
        <v>-20909.799999999814</v>
      </c>
      <c r="BX33" s="4">
        <f t="shared" si="18"/>
        <v>-7607.6999999999971</v>
      </c>
      <c r="BY33" s="4">
        <f t="shared" si="18"/>
        <v>-9392</v>
      </c>
      <c r="BZ33" s="4">
        <f t="shared" si="18"/>
        <v>84888</v>
      </c>
      <c r="CA33" s="4">
        <f t="shared" si="18"/>
        <v>-28416</v>
      </c>
      <c r="CB33" s="4">
        <f t="shared" si="18"/>
        <v>-65864</v>
      </c>
      <c r="CC33" s="4">
        <f t="shared" si="18"/>
        <v>8.6099999999902366E-3</v>
      </c>
      <c r="CD33" s="4">
        <f t="shared" si="18"/>
        <v>-3.7999999999982492E-3</v>
      </c>
      <c r="CE33" s="4">
        <f t="shared" si="18"/>
        <v>-7.9520000000002256E-2</v>
      </c>
      <c r="CF33" s="4">
        <f t="shared" si="18"/>
        <v>-2.8240000000003818E-2</v>
      </c>
      <c r="CG33" s="4">
        <f t="shared" si="18"/>
        <v>-3.2690000000002328E-2</v>
      </c>
    </row>
    <row r="34" spans="1:85" ht="15" outlineLevel="1" thickBot="1" x14ac:dyDescent="0.35">
      <c r="A34" s="25"/>
      <c r="B34" s="45" t="s">
        <v>291</v>
      </c>
      <c r="C34" s="46" t="s">
        <v>275</v>
      </c>
      <c r="D34" s="45">
        <v>28802925</v>
      </c>
      <c r="E34" s="46">
        <v>11</v>
      </c>
      <c r="F34" s="46">
        <v>10</v>
      </c>
      <c r="G34" s="46">
        <v>30</v>
      </c>
      <c r="I34" s="47">
        <f t="shared" si="0"/>
        <v>41.599440000000001</v>
      </c>
      <c r="J34" s="48">
        <f t="shared" si="1"/>
        <v>0.48142610516119455</v>
      </c>
      <c r="K34" s="48">
        <f t="shared" si="2"/>
        <v>0.12970904864696903</v>
      </c>
      <c r="L34" s="48">
        <f t="shared" si="3"/>
        <v>9.9666266533694065E-2</v>
      </c>
      <c r="M34" s="48">
        <f t="shared" si="4"/>
        <v>0.35171705651422558</v>
      </c>
      <c r="N34" s="45">
        <f t="shared" si="5"/>
        <v>3736000</v>
      </c>
      <c r="O34" s="48">
        <f t="shared" si="6"/>
        <v>0.48170191840024085</v>
      </c>
      <c r="P34" s="49">
        <v>28786433</v>
      </c>
      <c r="Q34" s="49">
        <v>2878643.3</v>
      </c>
      <c r="R34" s="49">
        <v>22219.4</v>
      </c>
      <c r="S34" s="50">
        <v>13866480</v>
      </c>
      <c r="T34" s="50">
        <v>2870680</v>
      </c>
      <c r="U34" s="50">
        <v>865320</v>
      </c>
      <c r="V34" s="50">
        <v>10130480</v>
      </c>
      <c r="W34" s="51">
        <v>78.711550000000003</v>
      </c>
      <c r="X34" s="51">
        <v>81.992469999999997</v>
      </c>
      <c r="Y34" s="51">
        <v>41.423679999999997</v>
      </c>
      <c r="Z34" s="51">
        <v>44.39423</v>
      </c>
      <c r="AA34" s="51">
        <v>49.169080000000001</v>
      </c>
      <c r="AB34" s="52">
        <v>5932.22</v>
      </c>
      <c r="AC34" s="52">
        <v>2960.25</v>
      </c>
      <c r="AD34" s="52">
        <v>15.101000000000001</v>
      </c>
      <c r="AE34" s="52">
        <v>46.158999999999999</v>
      </c>
      <c r="AG34" s="47">
        <f t="shared" si="7"/>
        <v>41.543880000000001</v>
      </c>
      <c r="AH34" s="48">
        <f t="shared" si="8"/>
        <v>0.48078311490933645</v>
      </c>
      <c r="AI34" s="48">
        <f t="shared" si="9"/>
        <v>0.13354032619950926</v>
      </c>
      <c r="AJ34" s="48">
        <f t="shared" si="10"/>
        <v>0.10411831437258542</v>
      </c>
      <c r="AK34" s="48">
        <f t="shared" si="11"/>
        <v>0.34724278870982722</v>
      </c>
      <c r="AL34" s="45">
        <f t="shared" si="12"/>
        <v>3846352</v>
      </c>
      <c r="AM34" s="48">
        <f t="shared" si="13"/>
        <v>0.48450906543291439</v>
      </c>
      <c r="AN34" s="49">
        <v>28581426</v>
      </c>
      <c r="AO34" s="49">
        <v>2858142.6</v>
      </c>
      <c r="AP34" s="49">
        <v>21414.1</v>
      </c>
      <c r="AQ34" s="50">
        <v>13847960</v>
      </c>
      <c r="AR34" s="50">
        <v>2998912</v>
      </c>
      <c r="AS34" s="50">
        <v>847440</v>
      </c>
      <c r="AT34" s="50">
        <v>10001608</v>
      </c>
      <c r="AU34" s="51">
        <v>78.559209999999993</v>
      </c>
      <c r="AV34" s="51">
        <v>81.999889999999994</v>
      </c>
      <c r="AW34" s="51">
        <v>41.315570000000001</v>
      </c>
      <c r="AX34" s="51">
        <v>44.355879999999999</v>
      </c>
      <c r="AY34" s="51">
        <v>49.114930000000001</v>
      </c>
      <c r="AZ34" s="52">
        <v>1082.57</v>
      </c>
      <c r="BA34" s="52">
        <v>1780.73</v>
      </c>
      <c r="BB34" s="52">
        <v>9.11</v>
      </c>
      <c r="BC34" s="52">
        <v>26.606999999999999</v>
      </c>
      <c r="BE34" s="53">
        <f t="shared" si="14"/>
        <v>1.0295374732334046</v>
      </c>
      <c r="BF34" s="54">
        <f t="shared" si="15"/>
        <v>-2.2639217974860723E-4</v>
      </c>
      <c r="BG34" s="54">
        <f t="shared" si="16"/>
        <v>8.3291533593948253E-3</v>
      </c>
      <c r="BH34" s="54"/>
      <c r="BJ34" s="53"/>
      <c r="BK34" s="53"/>
      <c r="BL34" s="53"/>
      <c r="BM34" s="53"/>
      <c r="BN34" s="53"/>
      <c r="BP34" s="53"/>
      <c r="BQ34" s="53"/>
      <c r="BR34" s="53"/>
      <c r="BS34" s="53"/>
      <c r="BT34" s="53"/>
      <c r="BV34" s="4">
        <f t="shared" si="18"/>
        <v>-205007</v>
      </c>
      <c r="BW34" s="4">
        <f t="shared" si="18"/>
        <v>-20500.699999999721</v>
      </c>
      <c r="BX34" s="4">
        <f t="shared" si="18"/>
        <v>-805.30000000000291</v>
      </c>
      <c r="BY34" s="4">
        <f t="shared" si="18"/>
        <v>-18520</v>
      </c>
      <c r="BZ34" s="4">
        <f t="shared" si="18"/>
        <v>128232</v>
      </c>
      <c r="CA34" s="4">
        <f t="shared" si="18"/>
        <v>-17880</v>
      </c>
      <c r="CB34" s="4">
        <f t="shared" si="18"/>
        <v>-128872</v>
      </c>
      <c r="CC34" s="4">
        <f t="shared" si="18"/>
        <v>-0.15234000000000947</v>
      </c>
      <c r="CD34" s="4">
        <f t="shared" si="18"/>
        <v>7.4199999999962074E-3</v>
      </c>
      <c r="CE34" s="4">
        <f t="shared" si="18"/>
        <v>-0.10810999999999638</v>
      </c>
      <c r="CF34" s="4">
        <f t="shared" si="18"/>
        <v>-3.8350000000001216E-2</v>
      </c>
      <c r="CG34" s="4">
        <f t="shared" si="18"/>
        <v>-5.414999999999992E-2</v>
      </c>
    </row>
    <row r="35" spans="1:85" x14ac:dyDescent="0.3">
      <c r="A35" s="15"/>
      <c r="B35" s="15" t="s">
        <v>295</v>
      </c>
      <c r="C35" s="16" t="s">
        <v>271</v>
      </c>
      <c r="D35" s="15">
        <v>25767032</v>
      </c>
      <c r="E35" s="16">
        <v>11</v>
      </c>
      <c r="F35" s="16">
        <v>10</v>
      </c>
      <c r="G35" s="16">
        <v>30</v>
      </c>
      <c r="I35" s="17">
        <f t="shared" si="0"/>
        <v>6.4465680000000001</v>
      </c>
      <c r="J35" s="18">
        <f t="shared" si="1"/>
        <v>8.3395557548110316E-2</v>
      </c>
      <c r="K35" s="18">
        <f t="shared" si="2"/>
        <v>4.8447954735337778E-2</v>
      </c>
      <c r="L35" s="18">
        <f t="shared" si="3"/>
        <v>2.8993948546344028E-2</v>
      </c>
      <c r="M35" s="18">
        <f t="shared" si="4"/>
        <v>3.4947602812772538E-2</v>
      </c>
      <c r="N35" s="15">
        <f t="shared" si="5"/>
        <v>1248360</v>
      </c>
      <c r="O35" s="18">
        <f t="shared" si="6"/>
        <v>9.2430716084095477E-2</v>
      </c>
      <c r="P35" s="19">
        <v>23248289</v>
      </c>
      <c r="Q35" s="19">
        <v>2324828.9</v>
      </c>
      <c r="R35" s="19">
        <v>35317</v>
      </c>
      <c r="S35" s="20">
        <v>2148856</v>
      </c>
      <c r="T35" s="20">
        <v>747088</v>
      </c>
      <c r="U35" s="20">
        <v>501272</v>
      </c>
      <c r="V35" s="20">
        <v>900496</v>
      </c>
      <c r="W35" s="21">
        <v>73.195310000000006</v>
      </c>
      <c r="X35" s="21">
        <v>75.398889999999994</v>
      </c>
      <c r="Y35" s="21">
        <v>34.057090000000002</v>
      </c>
      <c r="Z35" s="21">
        <v>42.617910000000002</v>
      </c>
      <c r="AA35" s="21">
        <v>44.154640000000001</v>
      </c>
      <c r="AB35" s="22">
        <v>4846.55</v>
      </c>
      <c r="AC35" s="22">
        <v>3507.59</v>
      </c>
      <c r="AD35" s="22">
        <v>13.166</v>
      </c>
      <c r="AE35" s="22">
        <v>56.877000000000002</v>
      </c>
      <c r="AG35" s="17">
        <f t="shared" si="7"/>
        <v>6.2222879999999998</v>
      </c>
      <c r="AH35" s="18">
        <f t="shared" si="8"/>
        <v>8.0494175658259753E-2</v>
      </c>
      <c r="AI35" s="18">
        <f t="shared" si="9"/>
        <v>4.6831315302437629E-2</v>
      </c>
      <c r="AJ35" s="18">
        <f t="shared" si="10"/>
        <v>2.849066978300023E-2</v>
      </c>
      <c r="AK35" s="18">
        <f t="shared" si="11"/>
        <v>3.3662860355822125E-2</v>
      </c>
      <c r="AL35" s="15">
        <f t="shared" si="12"/>
        <v>1206704</v>
      </c>
      <c r="AM35" s="18">
        <f t="shared" si="13"/>
        <v>8.9438273005324517E-2</v>
      </c>
      <c r="AN35" s="19">
        <v>23190251</v>
      </c>
      <c r="AO35" s="19">
        <v>2319025.1</v>
      </c>
      <c r="AP35" s="19">
        <v>29855.8</v>
      </c>
      <c r="AQ35" s="20">
        <v>2074096</v>
      </c>
      <c r="AR35" s="20">
        <v>734120</v>
      </c>
      <c r="AS35" s="20">
        <v>472584</v>
      </c>
      <c r="AT35" s="20">
        <v>867392</v>
      </c>
      <c r="AU35" s="21">
        <v>73.189830000000001</v>
      </c>
      <c r="AV35" s="21">
        <v>75.415949999999995</v>
      </c>
      <c r="AW35" s="21">
        <v>33.99736</v>
      </c>
      <c r="AX35" s="21">
        <v>42.542580000000001</v>
      </c>
      <c r="AY35" s="21">
        <v>43.977719999999998</v>
      </c>
      <c r="AZ35" s="22">
        <v>1062.21</v>
      </c>
      <c r="BA35" s="22">
        <v>1736.77</v>
      </c>
      <c r="BB35" s="22">
        <v>9</v>
      </c>
      <c r="BC35" s="22">
        <v>32.822000000000003</v>
      </c>
      <c r="BE35" s="23">
        <f t="shared" si="14"/>
        <v>0.96663142042359573</v>
      </c>
      <c r="BF35" s="24">
        <f t="shared" si="15"/>
        <v>-2.3169361839226743E-3</v>
      </c>
      <c r="BG35" s="24">
        <f t="shared" si="16"/>
        <v>8.5589070358804697E-4</v>
      </c>
      <c r="BH35" s="24">
        <f t="array" ref="BH35">AVERAGE(AL35:AL39/AQ35:AQ39) - AVERAGE(N35:N39/S35:S39)</f>
        <v>6.5375452006706802E-3</v>
      </c>
      <c r="BJ35" s="23">
        <f>IF( OR(ISBLANK(N35:N39),ISBLANK(AL35:AL39), ISBLANK(W35:W39),ISBLANK(AU35:AU39)), "·", bdRateExtend( N35:N39,W35:W39, AL35:AL39,AU35:AU39))</f>
        <v>7.8408891806012182E-3</v>
      </c>
      <c r="BK35" s="23">
        <f>IF( OR(ISBLANK(N35:N39),ISBLANK(AL35:AL39), ISBLANK(X35:X39),ISBLANK(AV35:AV39)), "·", bdRateExtend( N35:N39,X35:X39, AL35:AL39,AV35:AV39))</f>
        <v>1.8107882200812941E-3</v>
      </c>
      <c r="BL35" s="23">
        <f>IF( OR(ISBLANK(V35:V39),ISBLANK(AT35:AT39), ISBLANK(Y35:Y39),ISBLANK(AW35:AW39)), "·", bdRateExtend( V35:V39,Y35:Y39, AT35:AT39,AW35:AW39))</f>
        <v>-3.4164262636586784E-3</v>
      </c>
      <c r="BM35" s="23">
        <f>IF( OR(ISBLANK(V35:V39),ISBLANK(AT35:AT39), ISBLANK(Z35:Z39),ISBLANK(AX35:AX39)), "·", bdRateExtend( V35:V39,Z35:Z39, AT35:AT39,AX35:AX39))</f>
        <v>-1.4140112812923933E-2</v>
      </c>
      <c r="BN35" s="23">
        <f>IF( OR(ISBLANK(V35:V39),ISBLANK(AT35:AT39), ISBLANK(AA35:AA39),ISBLANK(AY35:AY39)), "·", bdRateExtend( V35:V39,AA35:AA39, AT35:AT39,AY35:AY39))</f>
        <v>1.3507990343830878E-2</v>
      </c>
      <c r="BP35" s="23">
        <f>IF( OR(ISBLANK(S35:S39),ISBLANK(AQ35:AQ39), ISBLANK(W35:W39),ISBLANK(AU35:AU39)), "·", bdRateExtend( S35:S39,W35:W39, AQ35:AQ39,AU35:AU39))</f>
        <v>-3.9687819667066915E-3</v>
      </c>
      <c r="BQ35" s="23">
        <f>IF( OR(ISBLANK(S35:S39),ISBLANK(AQ35:AQ39), ISBLANK(X35:X39),ISBLANK(AV35:AV39)), "·", bdRateExtend( S35:S39,X35:X39, AQ35:AQ39,AV35:AV39))</f>
        <v>-1.7469905097585392E-2</v>
      </c>
      <c r="BR35" s="23">
        <f>IF( OR(ISBLANK(S35:S39),ISBLANK(AQ35:AQ39), ISBLANK(Y35:Y39),ISBLANK(AW35:AW39)), "·", bdRateExtend( S35:S39,Y35:Y39, AQ35:AQ39,AW35:AW39))</f>
        <v>1.5072079318512177E-3</v>
      </c>
      <c r="BS35" s="23">
        <f>IF( OR(ISBLANK(S35:S39),ISBLANK(AQ35:AQ39), ISBLANK(Z35:Z39),ISBLANK(AX35:AX39)), "·", bdRateExtend( S35:S39,Z35:Z39, AQ35:AQ39,AX35:AX39))</f>
        <v>-3.8600808329252168E-3</v>
      </c>
      <c r="BT35" s="23">
        <f>IF( OR(ISBLANK(S35:S39),ISBLANK(AQ35:AQ39), ISBLANK(AA35:AA39),ISBLANK(AY35:AY39)), "·", bdRateExtend( S35:S39,AA35:AA39, AQ35:AQ39,AY35:AY39))</f>
        <v>1.4648716673610895E-2</v>
      </c>
      <c r="BV35" s="4">
        <f t="shared" si="18"/>
        <v>-58038</v>
      </c>
      <c r="BW35" s="4">
        <f t="shared" si="18"/>
        <v>-5803.7999999998137</v>
      </c>
      <c r="BX35" s="4">
        <f t="shared" si="18"/>
        <v>-5461.2000000000007</v>
      </c>
      <c r="BY35" s="4">
        <f t="shared" si="18"/>
        <v>-74760</v>
      </c>
      <c r="BZ35" s="4">
        <f t="shared" si="18"/>
        <v>-12968</v>
      </c>
      <c r="CA35" s="4">
        <f t="shared" si="18"/>
        <v>-28688</v>
      </c>
      <c r="CB35" s="4">
        <f t="shared" si="18"/>
        <v>-33104</v>
      </c>
      <c r="CC35" s="4">
        <f t="shared" si="18"/>
        <v>-5.4800000000057025E-3</v>
      </c>
      <c r="CD35" s="4">
        <f t="shared" si="18"/>
        <v>1.7060000000000741E-2</v>
      </c>
      <c r="CE35" s="4">
        <f t="shared" si="18"/>
        <v>-5.9730000000001837E-2</v>
      </c>
      <c r="CF35" s="4">
        <f t="shared" si="18"/>
        <v>-7.5330000000001007E-2</v>
      </c>
      <c r="CG35" s="4">
        <f t="shared" si="18"/>
        <v>-0.17692000000000263</v>
      </c>
    </row>
    <row r="36" spans="1:85" outlineLevel="1" x14ac:dyDescent="0.3">
      <c r="A36" s="25"/>
      <c r="B36" s="25" t="s">
        <v>295</v>
      </c>
      <c r="C36" s="26" t="s">
        <v>272</v>
      </c>
      <c r="D36" s="25">
        <v>25767032</v>
      </c>
      <c r="E36" s="26">
        <v>11</v>
      </c>
      <c r="F36" s="26">
        <v>10</v>
      </c>
      <c r="G36" s="26">
        <v>30</v>
      </c>
      <c r="I36" s="27">
        <f t="shared" si="0"/>
        <v>9.1311359999999997</v>
      </c>
      <c r="J36" s="28">
        <f t="shared" si="1"/>
        <v>0.11812427601285239</v>
      </c>
      <c r="K36" s="28">
        <f t="shared" si="2"/>
        <v>5.8349910071132757E-2</v>
      </c>
      <c r="L36" s="28">
        <f t="shared" si="3"/>
        <v>3.8895903882139003E-2</v>
      </c>
      <c r="M36" s="28">
        <f t="shared" si="4"/>
        <v>5.9774365941719636E-2</v>
      </c>
      <c r="N36" s="25">
        <f t="shared" si="5"/>
        <v>1503504</v>
      </c>
      <c r="O36" s="28">
        <f t="shared" si="6"/>
        <v>0.12191622209165145</v>
      </c>
      <c r="P36" s="29">
        <v>24965603</v>
      </c>
      <c r="Q36" s="29">
        <v>2496560.2999999998</v>
      </c>
      <c r="R36" s="29">
        <v>45499.199999999997</v>
      </c>
      <c r="S36" s="30">
        <v>3043712</v>
      </c>
      <c r="T36" s="30">
        <v>1002232</v>
      </c>
      <c r="U36" s="30">
        <v>501272</v>
      </c>
      <c r="V36" s="30">
        <v>1540208</v>
      </c>
      <c r="W36" s="31">
        <v>74.969589999999997</v>
      </c>
      <c r="X36" s="31">
        <v>77.339979999999997</v>
      </c>
      <c r="Y36" s="31">
        <v>36.164189999999998</v>
      </c>
      <c r="Z36" s="31">
        <v>43.235219999999998</v>
      </c>
      <c r="AA36" s="31">
        <v>45.494990000000001</v>
      </c>
      <c r="AB36" s="32">
        <v>5285.21</v>
      </c>
      <c r="AC36" s="32">
        <v>3555.66</v>
      </c>
      <c r="AD36" s="32">
        <v>14.772</v>
      </c>
      <c r="AE36" s="32">
        <v>61.222000000000001</v>
      </c>
      <c r="AG36" s="27">
        <f t="shared" si="7"/>
        <v>8.8924800000000008</v>
      </c>
      <c r="AH36" s="28">
        <f t="shared" si="8"/>
        <v>0.11503692004573907</v>
      </c>
      <c r="AI36" s="28">
        <f t="shared" si="9"/>
        <v>5.7209227667354159E-2</v>
      </c>
      <c r="AJ36" s="28">
        <f t="shared" si="10"/>
        <v>3.8868582147916761E-2</v>
      </c>
      <c r="AK36" s="28">
        <f t="shared" si="11"/>
        <v>5.7827692378384907E-2</v>
      </c>
      <c r="AL36" s="25">
        <f t="shared" si="12"/>
        <v>1474112</v>
      </c>
      <c r="AM36" s="28">
        <f t="shared" si="13"/>
        <v>0.11939459253054739</v>
      </c>
      <c r="AN36" s="29">
        <v>24826585</v>
      </c>
      <c r="AO36" s="29">
        <v>2482658.5</v>
      </c>
      <c r="AP36" s="29">
        <v>37903.699999999997</v>
      </c>
      <c r="AQ36" s="30">
        <v>2964160</v>
      </c>
      <c r="AR36" s="30">
        <v>1001528</v>
      </c>
      <c r="AS36" s="30">
        <v>472584</v>
      </c>
      <c r="AT36" s="30">
        <v>1490048</v>
      </c>
      <c r="AU36" s="31">
        <v>74.947789999999998</v>
      </c>
      <c r="AV36" s="31">
        <v>77.356080000000006</v>
      </c>
      <c r="AW36" s="31">
        <v>36.088030000000003</v>
      </c>
      <c r="AX36" s="31">
        <v>43.268169999999998</v>
      </c>
      <c r="AY36" s="31">
        <v>45.397060000000003</v>
      </c>
      <c r="AZ36" s="32">
        <v>1031.18</v>
      </c>
      <c r="BA36" s="32">
        <v>1738.38</v>
      </c>
      <c r="BB36" s="32">
        <v>8.1389999999999993</v>
      </c>
      <c r="BC36" s="32">
        <v>41.097999999999999</v>
      </c>
      <c r="BE36" s="33">
        <f t="shared" si="14"/>
        <v>0.98045099979780559</v>
      </c>
      <c r="BF36" s="34">
        <f t="shared" si="15"/>
        <v>-2.9573713420046575E-3</v>
      </c>
      <c r="BG36" s="34">
        <f t="shared" si="16"/>
        <v>3.3413657911515182E-3</v>
      </c>
      <c r="BH36" s="34"/>
      <c r="BJ36" s="33"/>
      <c r="BK36" s="33"/>
      <c r="BL36" s="33"/>
      <c r="BM36" s="33"/>
      <c r="BN36" s="33"/>
      <c r="BP36" s="33"/>
      <c r="BQ36" s="33"/>
      <c r="BR36" s="33"/>
      <c r="BS36" s="33"/>
      <c r="BT36" s="33"/>
      <c r="BV36" s="4">
        <f t="shared" si="18"/>
        <v>-139018</v>
      </c>
      <c r="BW36" s="4">
        <f t="shared" si="18"/>
        <v>-13901.799999999814</v>
      </c>
      <c r="BX36" s="4">
        <f t="shared" si="18"/>
        <v>-7595.5</v>
      </c>
      <c r="BY36" s="4">
        <f t="shared" si="18"/>
        <v>-79552</v>
      </c>
      <c r="BZ36" s="4">
        <f t="shared" si="18"/>
        <v>-704</v>
      </c>
      <c r="CA36" s="4">
        <f t="shared" si="18"/>
        <v>-28688</v>
      </c>
      <c r="CB36" s="4">
        <f t="shared" si="18"/>
        <v>-50160</v>
      </c>
      <c r="CC36" s="4">
        <f t="shared" si="18"/>
        <v>-2.1799999999998931E-2</v>
      </c>
      <c r="CD36" s="4">
        <f t="shared" si="18"/>
        <v>1.6100000000008663E-2</v>
      </c>
      <c r="CE36" s="4">
        <f t="shared" si="18"/>
        <v>-7.6159999999994454E-2</v>
      </c>
      <c r="CF36" s="4">
        <f t="shared" si="18"/>
        <v>3.2949999999999591E-2</v>
      </c>
      <c r="CG36" s="4">
        <f t="shared" si="18"/>
        <v>-9.7929999999998074E-2</v>
      </c>
    </row>
    <row r="37" spans="1:85" outlineLevel="1" x14ac:dyDescent="0.3">
      <c r="A37" s="15"/>
      <c r="B37" s="15" t="s">
        <v>295</v>
      </c>
      <c r="C37" s="16" t="s">
        <v>273</v>
      </c>
      <c r="D37" s="15">
        <v>25767032</v>
      </c>
      <c r="E37" s="16">
        <v>11</v>
      </c>
      <c r="F37" s="16">
        <v>10</v>
      </c>
      <c r="G37" s="16">
        <v>30</v>
      </c>
      <c r="I37" s="17">
        <f t="shared" si="0"/>
        <v>14.015088</v>
      </c>
      <c r="J37" s="18">
        <f t="shared" si="1"/>
        <v>0.18130516545328154</v>
      </c>
      <c r="K37" s="18">
        <f t="shared" si="2"/>
        <v>7.1970105055172831E-2</v>
      </c>
      <c r="L37" s="18">
        <f t="shared" si="3"/>
        <v>5.2516098866179077E-2</v>
      </c>
      <c r="M37" s="18">
        <f t="shared" si="4"/>
        <v>0.10933506039810871</v>
      </c>
      <c r="N37" s="15">
        <f t="shared" si="5"/>
        <v>1854456</v>
      </c>
      <c r="O37" s="18">
        <f t="shared" si="6"/>
        <v>0.1829331814220832</v>
      </c>
      <c r="P37" s="19">
        <v>25537718</v>
      </c>
      <c r="Q37" s="19">
        <v>2553771.7999999998</v>
      </c>
      <c r="R37" s="19">
        <v>49471.9</v>
      </c>
      <c r="S37" s="20">
        <v>4671696</v>
      </c>
      <c r="T37" s="20">
        <v>1353184</v>
      </c>
      <c r="U37" s="20">
        <v>501272</v>
      </c>
      <c r="V37" s="20">
        <v>2817240</v>
      </c>
      <c r="W37" s="21">
        <v>76.296719999999993</v>
      </c>
      <c r="X37" s="21">
        <v>78.946439999999996</v>
      </c>
      <c r="Y37" s="21">
        <v>38.006709999999998</v>
      </c>
      <c r="Z37" s="21">
        <v>43.790709999999997</v>
      </c>
      <c r="AA37" s="21">
        <v>46.614789999999999</v>
      </c>
      <c r="AB37" s="22">
        <v>5250.6</v>
      </c>
      <c r="AC37" s="22">
        <v>3768.37</v>
      </c>
      <c r="AD37" s="22">
        <v>15.962999999999999</v>
      </c>
      <c r="AE37" s="22">
        <v>60.362000000000002</v>
      </c>
      <c r="AG37" s="17">
        <f t="shared" si="7"/>
        <v>13.84548</v>
      </c>
      <c r="AH37" s="18">
        <f t="shared" si="8"/>
        <v>0.179111043910684</v>
      </c>
      <c r="AI37" s="18">
        <f t="shared" si="9"/>
        <v>7.2308521990425589E-2</v>
      </c>
      <c r="AJ37" s="18">
        <f t="shared" si="10"/>
        <v>5.3967876470988198E-2</v>
      </c>
      <c r="AK37" s="18">
        <f t="shared" si="11"/>
        <v>0.10680252192025841</v>
      </c>
      <c r="AL37" s="15">
        <f t="shared" si="12"/>
        <v>1863176</v>
      </c>
      <c r="AM37" s="18">
        <f t="shared" si="13"/>
        <v>0.18220487416475384</v>
      </c>
      <c r="AN37" s="19">
        <v>25329509</v>
      </c>
      <c r="AO37" s="19">
        <v>2532950.9</v>
      </c>
      <c r="AP37" s="19">
        <v>41014.9</v>
      </c>
      <c r="AQ37" s="20">
        <v>4615160</v>
      </c>
      <c r="AR37" s="20">
        <v>1390592</v>
      </c>
      <c r="AS37" s="20">
        <v>472584</v>
      </c>
      <c r="AT37" s="20">
        <v>2751984</v>
      </c>
      <c r="AU37" s="21">
        <v>76.225449999999995</v>
      </c>
      <c r="AV37" s="21">
        <v>78.926810000000003</v>
      </c>
      <c r="AW37" s="21">
        <v>37.935519999999997</v>
      </c>
      <c r="AX37" s="21">
        <v>43.76388</v>
      </c>
      <c r="AY37" s="21">
        <v>46.561709999999998</v>
      </c>
      <c r="AZ37" s="22">
        <v>970.65499999999997</v>
      </c>
      <c r="BA37" s="22">
        <v>1868.21</v>
      </c>
      <c r="BB37" s="22">
        <v>8.2970000000000006</v>
      </c>
      <c r="BC37" s="22">
        <v>30.757000000000001</v>
      </c>
      <c r="BE37" s="23">
        <f t="shared" si="14"/>
        <v>1.0047021875957152</v>
      </c>
      <c r="BF37" s="24">
        <f t="shared" si="15"/>
        <v>-3.1795545772621593E-3</v>
      </c>
      <c r="BG37" s="24">
        <f t="shared" si="16"/>
        <v>6.7521566204771233E-3</v>
      </c>
      <c r="BH37" s="24"/>
      <c r="BJ37" s="23"/>
      <c r="BK37" s="23"/>
      <c r="BL37" s="23"/>
      <c r="BM37" s="23"/>
      <c r="BN37" s="23"/>
      <c r="BP37" s="23"/>
      <c r="BQ37" s="23"/>
      <c r="BR37" s="23"/>
      <c r="BS37" s="23"/>
      <c r="BT37" s="23"/>
      <c r="BV37" s="4">
        <f t="shared" si="18"/>
        <v>-208209</v>
      </c>
      <c r="BW37" s="4">
        <f t="shared" si="18"/>
        <v>-20820.899999999907</v>
      </c>
      <c r="BX37" s="4">
        <f t="shared" si="18"/>
        <v>-8457</v>
      </c>
      <c r="BY37" s="4">
        <f t="shared" si="18"/>
        <v>-56536</v>
      </c>
      <c r="BZ37" s="4">
        <f t="shared" si="18"/>
        <v>37408</v>
      </c>
      <c r="CA37" s="4">
        <f t="shared" si="18"/>
        <v>-28688</v>
      </c>
      <c r="CB37" s="4">
        <f t="shared" si="18"/>
        <v>-65256</v>
      </c>
      <c r="CC37" s="4">
        <f t="shared" si="18"/>
        <v>-7.126999999999839E-2</v>
      </c>
      <c r="CD37" s="4">
        <f t="shared" si="18"/>
        <v>-1.9629999999992265E-2</v>
      </c>
      <c r="CE37" s="4">
        <f t="shared" si="18"/>
        <v>-7.1190000000001419E-2</v>
      </c>
      <c r="CF37" s="4">
        <f t="shared" si="18"/>
        <v>-2.6829999999996801E-2</v>
      </c>
      <c r="CG37" s="4">
        <f t="shared" si="18"/>
        <v>-5.3080000000001348E-2</v>
      </c>
    </row>
    <row r="38" spans="1:85" outlineLevel="1" x14ac:dyDescent="0.3">
      <c r="A38" s="25"/>
      <c r="B38" s="25" t="s">
        <v>295</v>
      </c>
      <c r="C38" s="26" t="s">
        <v>274</v>
      </c>
      <c r="D38" s="25">
        <v>25767032</v>
      </c>
      <c r="E38" s="26">
        <v>11</v>
      </c>
      <c r="F38" s="26">
        <v>10</v>
      </c>
      <c r="G38" s="26">
        <v>30</v>
      </c>
      <c r="I38" s="27">
        <f t="shared" si="0"/>
        <v>23.635463999999999</v>
      </c>
      <c r="J38" s="28">
        <f t="shared" si="1"/>
        <v>0.30575845910386573</v>
      </c>
      <c r="K38" s="28">
        <f t="shared" si="2"/>
        <v>9.441739351276468E-2</v>
      </c>
      <c r="L38" s="28">
        <f t="shared" si="3"/>
        <v>7.4963387323770933E-2</v>
      </c>
      <c r="M38" s="28">
        <f t="shared" si="4"/>
        <v>0.21134106559110105</v>
      </c>
      <c r="N38" s="25">
        <f t="shared" si="5"/>
        <v>2432856</v>
      </c>
      <c r="O38" s="28">
        <f t="shared" si="6"/>
        <v>0.29955525377978776</v>
      </c>
      <c r="P38" s="29">
        <v>26300617</v>
      </c>
      <c r="Q38" s="29">
        <v>2630061.7000000002</v>
      </c>
      <c r="R38" s="29">
        <v>56077.5</v>
      </c>
      <c r="S38" s="30">
        <v>7878488</v>
      </c>
      <c r="T38" s="30">
        <v>1931584</v>
      </c>
      <c r="U38" s="30">
        <v>501272</v>
      </c>
      <c r="V38" s="30">
        <v>5445632</v>
      </c>
      <c r="W38" s="31">
        <v>77.410039999999995</v>
      </c>
      <c r="X38" s="31">
        <v>80.147229999999993</v>
      </c>
      <c r="Y38" s="31">
        <v>39.746369999999999</v>
      </c>
      <c r="Z38" s="31">
        <v>44.575740000000003</v>
      </c>
      <c r="AA38" s="31">
        <v>47.88147</v>
      </c>
      <c r="AB38" s="32">
        <v>5195.3500000000004</v>
      </c>
      <c r="AC38" s="32">
        <v>3908.37</v>
      </c>
      <c r="AD38" s="32">
        <v>13.867000000000001</v>
      </c>
      <c r="AE38" s="32">
        <v>62.313000000000002</v>
      </c>
      <c r="AG38" s="27">
        <f t="shared" si="7"/>
        <v>23.520744000000001</v>
      </c>
      <c r="AH38" s="28">
        <f t="shared" si="8"/>
        <v>0.30427439217679397</v>
      </c>
      <c r="AI38" s="28">
        <f t="shared" si="9"/>
        <v>9.7237120674201052E-2</v>
      </c>
      <c r="AJ38" s="28">
        <f t="shared" si="10"/>
        <v>7.8896475154763654E-2</v>
      </c>
      <c r="AK38" s="28">
        <f t="shared" si="11"/>
        <v>0.20703727150259293</v>
      </c>
      <c r="AL38" s="25">
        <f t="shared" si="12"/>
        <v>2505512</v>
      </c>
      <c r="AM38" s="28">
        <f t="shared" si="13"/>
        <v>0.30194629038365378</v>
      </c>
      <c r="AN38" s="29">
        <v>25965704</v>
      </c>
      <c r="AO38" s="29">
        <v>2596570.4</v>
      </c>
      <c r="AP38" s="29">
        <v>46044</v>
      </c>
      <c r="AQ38" s="30">
        <v>7840248</v>
      </c>
      <c r="AR38" s="30">
        <v>2032928</v>
      </c>
      <c r="AS38" s="30">
        <v>472584</v>
      </c>
      <c r="AT38" s="30">
        <v>5334736</v>
      </c>
      <c r="AU38" s="31">
        <v>77.412570000000002</v>
      </c>
      <c r="AV38" s="31">
        <v>80.153750000000002</v>
      </c>
      <c r="AW38" s="31">
        <v>39.685470000000002</v>
      </c>
      <c r="AX38" s="31">
        <v>44.549430000000001</v>
      </c>
      <c r="AY38" s="31">
        <v>47.807490000000001</v>
      </c>
      <c r="AZ38" s="32">
        <v>962.25300000000004</v>
      </c>
      <c r="BA38" s="32">
        <v>1945.96</v>
      </c>
      <c r="BB38" s="32">
        <v>8.9149999999999991</v>
      </c>
      <c r="BC38" s="32">
        <v>27.712</v>
      </c>
      <c r="BE38" s="33">
        <f t="shared" si="14"/>
        <v>1.0298644884859607</v>
      </c>
      <c r="BF38" s="34">
        <f t="shared" si="15"/>
        <v>-3.5891216753065856E-3</v>
      </c>
      <c r="BG38" s="34">
        <f t="shared" si="16"/>
        <v>1.0773180850098263E-2</v>
      </c>
      <c r="BH38" s="34"/>
      <c r="BJ38" s="33"/>
      <c r="BK38" s="33"/>
      <c r="BL38" s="33"/>
      <c r="BM38" s="33"/>
      <c r="BN38" s="33"/>
      <c r="BP38" s="33"/>
      <c r="BQ38" s="33"/>
      <c r="BR38" s="33"/>
      <c r="BS38" s="33"/>
      <c r="BT38" s="33"/>
      <c r="BV38" s="4">
        <f t="shared" si="18"/>
        <v>-334913</v>
      </c>
      <c r="BW38" s="4">
        <f t="shared" si="18"/>
        <v>-33491.300000000279</v>
      </c>
      <c r="BX38" s="4">
        <f t="shared" si="18"/>
        <v>-10033.5</v>
      </c>
      <c r="BY38" s="4">
        <f t="shared" si="18"/>
        <v>-38240</v>
      </c>
      <c r="BZ38" s="4">
        <f t="shared" si="18"/>
        <v>101344</v>
      </c>
      <c r="CA38" s="4">
        <f t="shared" si="18"/>
        <v>-28688</v>
      </c>
      <c r="CB38" s="4">
        <f t="shared" si="18"/>
        <v>-110896</v>
      </c>
      <c r="CC38" s="4">
        <f t="shared" si="18"/>
        <v>2.5300000000072487E-3</v>
      </c>
      <c r="CD38" s="4">
        <f t="shared" si="18"/>
        <v>6.5200000000089631E-3</v>
      </c>
      <c r="CE38" s="4">
        <f t="shared" si="18"/>
        <v>-6.0899999999996624E-2</v>
      </c>
      <c r="CF38" s="4">
        <f t="shared" si="18"/>
        <v>-2.6310000000002276E-2</v>
      </c>
      <c r="CG38" s="4">
        <f t="shared" si="18"/>
        <v>-7.3979999999998824E-2</v>
      </c>
    </row>
    <row r="39" spans="1:85" ht="15" outlineLevel="1" thickBot="1" x14ac:dyDescent="0.35">
      <c r="A39" s="35"/>
      <c r="B39" s="35" t="s">
        <v>295</v>
      </c>
      <c r="C39" s="36" t="s">
        <v>275</v>
      </c>
      <c r="D39" s="35">
        <v>25767032</v>
      </c>
      <c r="E39" s="36">
        <v>11</v>
      </c>
      <c r="F39" s="36">
        <v>10</v>
      </c>
      <c r="G39" s="36">
        <v>30</v>
      </c>
      <c r="I39" s="37">
        <f t="shared" si="0"/>
        <v>43.349352000000003</v>
      </c>
      <c r="J39" s="38">
        <f t="shared" si="1"/>
        <v>0.56078573581932134</v>
      </c>
      <c r="K39" s="38">
        <f t="shared" si="2"/>
        <v>0.15058094389761303</v>
      </c>
      <c r="L39" s="38">
        <f t="shared" si="3"/>
        <v>0.11356682446003094</v>
      </c>
      <c r="M39" s="38">
        <f t="shared" si="4"/>
        <v>0.41020479192170833</v>
      </c>
      <c r="N39" s="35">
        <f t="shared" si="5"/>
        <v>3880024</v>
      </c>
      <c r="O39" s="38">
        <f t="shared" si="6"/>
        <v>0.56384995794670012</v>
      </c>
      <c r="P39" s="39">
        <v>25627002</v>
      </c>
      <c r="Q39" s="39">
        <v>2562700.2000000002</v>
      </c>
      <c r="R39" s="39">
        <v>20699.7</v>
      </c>
      <c r="S39" s="40">
        <v>14449784</v>
      </c>
      <c r="T39" s="40">
        <v>2926280</v>
      </c>
      <c r="U39" s="40">
        <v>953744</v>
      </c>
      <c r="V39" s="40">
        <v>10569760</v>
      </c>
      <c r="W39" s="41">
        <v>78.467939999999999</v>
      </c>
      <c r="X39" s="41">
        <v>81.874309999999994</v>
      </c>
      <c r="Y39" s="41">
        <v>41.32197</v>
      </c>
      <c r="Z39" s="41">
        <v>45.588799999999999</v>
      </c>
      <c r="AA39" s="41">
        <v>49.190359999999998</v>
      </c>
      <c r="AB39" s="42">
        <v>5180</v>
      </c>
      <c r="AC39" s="42">
        <v>4268.42</v>
      </c>
      <c r="AD39" s="42">
        <v>12.884</v>
      </c>
      <c r="AE39" s="42">
        <v>68.055999999999997</v>
      </c>
      <c r="AG39" s="37">
        <f t="shared" si="7"/>
        <v>43.417752</v>
      </c>
      <c r="AH39" s="38">
        <f t="shared" si="8"/>
        <v>0.56167058743901899</v>
      </c>
      <c r="AI39" s="38">
        <f t="shared" si="9"/>
        <v>0.15697733444814288</v>
      </c>
      <c r="AJ39" s="38">
        <f t="shared" si="10"/>
        <v>0.12001195946820728</v>
      </c>
      <c r="AK39" s="38">
        <f t="shared" si="11"/>
        <v>0.40469325299087611</v>
      </c>
      <c r="AL39" s="35">
        <f t="shared" si="12"/>
        <v>4044840</v>
      </c>
      <c r="AM39" s="38">
        <f t="shared" si="13"/>
        <v>0.56948942642624945</v>
      </c>
      <c r="AN39" s="39">
        <v>25413262</v>
      </c>
      <c r="AO39" s="39">
        <v>2541326.2000000002</v>
      </c>
      <c r="AP39" s="39">
        <v>18484.2</v>
      </c>
      <c r="AQ39" s="40">
        <v>14472584</v>
      </c>
      <c r="AR39" s="40">
        <v>3092352</v>
      </c>
      <c r="AS39" s="40">
        <v>952488</v>
      </c>
      <c r="AT39" s="40">
        <v>10427744</v>
      </c>
      <c r="AU39" s="41">
        <v>78.310299999999998</v>
      </c>
      <c r="AV39" s="41">
        <v>81.886920000000003</v>
      </c>
      <c r="AW39" s="41">
        <v>41.256819999999998</v>
      </c>
      <c r="AX39" s="41">
        <v>45.560220000000001</v>
      </c>
      <c r="AY39" s="41">
        <v>49.136879999999998</v>
      </c>
      <c r="AZ39" s="42">
        <v>1041.3499999999999</v>
      </c>
      <c r="BA39" s="42">
        <v>2164.11</v>
      </c>
      <c r="BB39" s="42">
        <v>7.4169999999999998</v>
      </c>
      <c r="BC39" s="42">
        <v>28.96</v>
      </c>
      <c r="BE39" s="43">
        <f t="shared" si="14"/>
        <v>1.0424780877644055</v>
      </c>
      <c r="BF39" s="44">
        <f t="shared" si="15"/>
        <v>-8.0385421432070843E-4</v>
      </c>
      <c r="BG39" s="44">
        <f t="shared" si="16"/>
        <v>1.0965132038038172E-2</v>
      </c>
      <c r="BH39" s="44"/>
      <c r="BJ39" s="43"/>
      <c r="BK39" s="43"/>
      <c r="BL39" s="43"/>
      <c r="BM39" s="43"/>
      <c r="BN39" s="43"/>
      <c r="BP39" s="43"/>
      <c r="BQ39" s="43"/>
      <c r="BR39" s="43"/>
      <c r="BS39" s="43"/>
      <c r="BT39" s="43"/>
      <c r="BV39" s="4">
        <f t="shared" si="18"/>
        <v>-213740</v>
      </c>
      <c r="BW39" s="4">
        <f t="shared" si="18"/>
        <v>-21374</v>
      </c>
      <c r="BX39" s="4">
        <f t="shared" si="18"/>
        <v>-2215.5</v>
      </c>
      <c r="BY39" s="4">
        <f t="shared" si="18"/>
        <v>22800</v>
      </c>
      <c r="BZ39" s="4">
        <f t="shared" si="18"/>
        <v>166072</v>
      </c>
      <c r="CA39" s="4">
        <f t="shared" si="18"/>
        <v>-1256</v>
      </c>
      <c r="CB39" s="4">
        <f t="shared" si="18"/>
        <v>-142016</v>
      </c>
      <c r="CC39" s="4">
        <f t="shared" si="18"/>
        <v>-0.15764000000000067</v>
      </c>
      <c r="CD39" s="4">
        <f t="shared" si="18"/>
        <v>1.2610000000009336E-2</v>
      </c>
      <c r="CE39" s="4">
        <f t="shared" si="18"/>
        <v>-6.5150000000002706E-2</v>
      </c>
      <c r="CF39" s="4">
        <f t="shared" si="18"/>
        <v>-2.8579999999998051E-2</v>
      </c>
      <c r="CG39" s="4">
        <f t="shared" si="18"/>
        <v>-5.3480000000000416E-2</v>
      </c>
    </row>
    <row r="40" spans="1:85" x14ac:dyDescent="0.3">
      <c r="B40" s="55" t="s">
        <v>298</v>
      </c>
      <c r="J40" s="56">
        <f>AVERAGE(J5:J24)</f>
        <v>0.43486660064746258</v>
      </c>
      <c r="K40" s="56">
        <f>AVERAGE(K5:K24)</f>
        <v>0.12604961479171686</v>
      </c>
      <c r="L40" s="56">
        <f>AVERAGE(L5:L24)</f>
        <v>8.5208608034357661E-2</v>
      </c>
      <c r="M40" s="56">
        <f>AVERAGE(M5:M24)</f>
        <v>0.30881698585574574</v>
      </c>
      <c r="AH40" s="56">
        <f>AVERAGE(AH5:AH24)</f>
        <v>0.43204205319542882</v>
      </c>
      <c r="AI40" s="56">
        <f>AVERAGE(AI5:AI24)</f>
        <v>0.1270614960411689</v>
      </c>
      <c r="AJ40" s="56">
        <f>AVERAGE(AJ5:AJ24)</f>
        <v>8.8608073895740394E-2</v>
      </c>
      <c r="AK40" s="56">
        <f>AVERAGE(AK5:AK24)</f>
        <v>0.30498055715425998</v>
      </c>
      <c r="AN40" s="4"/>
      <c r="AO40" s="4"/>
      <c r="AP40" s="4"/>
      <c r="AQ40" s="4"/>
      <c r="AR40" s="4"/>
      <c r="AS40" s="4"/>
      <c r="AT40" s="4"/>
      <c r="AU40" s="4"/>
      <c r="AV40" s="4"/>
      <c r="AW40" s="4"/>
      <c r="AX40" s="4"/>
      <c r="AY40" s="4"/>
      <c r="AZ40" s="4"/>
      <c r="BA40" s="4"/>
      <c r="BB40" s="4"/>
      <c r="BC40" s="4"/>
      <c r="BE40" s="5">
        <f t="shared" si="14"/>
        <v>1.0080276425368222</v>
      </c>
      <c r="BH40" s="8">
        <f>AVERAGE(BH5:BH24)</f>
        <v>2.7781155247196682E-3</v>
      </c>
      <c r="BJ40" s="5">
        <f>AVERAGE(BJ5:BJ24)</f>
        <v>4.9512882580731721E-3</v>
      </c>
      <c r="BK40" s="5">
        <f>AVERAGE(BK5:BK24)</f>
        <v>5.7375322073233703E-3</v>
      </c>
      <c r="BL40" s="5">
        <f>AVERAGE(BL5:BL24)</f>
        <v>1.4264627747499814E-2</v>
      </c>
      <c r="BM40" s="5">
        <f>AVERAGE(BM5:BM24)</f>
        <v>1.6833109634692062E-2</v>
      </c>
      <c r="BN40" s="5">
        <f>AVERAGE(BN5:BN24)</f>
        <v>2.9775375222417216E-2</v>
      </c>
      <c r="BP40" s="5">
        <f>AVERAGE(BP5:BP24)</f>
        <v>1.004712026157234E-3</v>
      </c>
      <c r="BQ40" s="5">
        <f>AVERAGE(BQ5:BQ24)</f>
        <v>-3.9112413256506273E-4</v>
      </c>
      <c r="BR40" s="5">
        <f>AVERAGE(BR5:BR24)</f>
        <v>1.2000895684723123E-2</v>
      </c>
      <c r="BS40" s="5">
        <f>AVERAGE(BS5:BS24)</f>
        <v>1.5179679575928112E-2</v>
      </c>
      <c r="BT40" s="5">
        <f>AVERAGE(BT5:BT24)</f>
        <v>2.513097155797292E-2</v>
      </c>
    </row>
    <row r="41" spans="1:85" x14ac:dyDescent="0.3">
      <c r="B41" s="55" t="s">
        <v>299</v>
      </c>
      <c r="J41" s="56">
        <f>AVERAGE(J25:J29)</f>
        <v>0.87677057038587558</v>
      </c>
      <c r="K41" s="56">
        <f>AVERAGE(K25:K29)</f>
        <v>0.12564873322206246</v>
      </c>
      <c r="L41" s="56">
        <f>AVERAGE(L25:L29)</f>
        <v>8.7586388462132875E-2</v>
      </c>
      <c r="M41" s="56">
        <f>AVERAGE(M25:M29)</f>
        <v>0.75112183716381309</v>
      </c>
      <c r="AH41" s="56">
        <f>AVERAGE(AH25:AH29)</f>
        <v>0.85446852784610616</v>
      </c>
      <c r="AI41" s="56">
        <f>AVERAGE(AI25:AI29)</f>
        <v>0.12325262772313088</v>
      </c>
      <c r="AJ41" s="56">
        <f>AVERAGE(AJ25:AJ29)</f>
        <v>9.0132365123065342E-2</v>
      </c>
      <c r="AK41" s="56">
        <f>AVERAGE(AK25:AK29)</f>
        <v>0.73121590012297522</v>
      </c>
      <c r="BE41" s="5">
        <f t="shared" si="14"/>
        <v>0.98093012609449171</v>
      </c>
      <c r="BH41" s="8">
        <f>AVERAGE(BH25:BH29)</f>
        <v>-1.2607917515769229E-3</v>
      </c>
      <c r="BJ41" s="5">
        <f>AVERAGE(BJ25:BJ29)</f>
        <v>-1.6359273677264419E-2</v>
      </c>
      <c r="BK41" s="5">
        <f>AVERAGE(BK25:BK29)</f>
        <v>-1.75506257067094E-2</v>
      </c>
      <c r="BL41" s="5">
        <f>AVERAGE(BL25:BL29)</f>
        <v>2.6869430411888828E-3</v>
      </c>
      <c r="BM41" s="5">
        <f>AVERAGE(BM25:BM29)</f>
        <v>2.7969934805906371E-2</v>
      </c>
      <c r="BN41" s="5">
        <f>AVERAGE(BN25:BN29)</f>
        <v>4.384341754862664E-2</v>
      </c>
      <c r="BP41" s="5">
        <f>AVERAGE(BP25:BP29)</f>
        <v>4.5081818785241978E-3</v>
      </c>
      <c r="BQ41" s="5">
        <f>AVERAGE(BQ25:BQ29)</f>
        <v>-3.3690966363513208E-3</v>
      </c>
      <c r="BR41" s="5">
        <f>AVERAGE(BR25:BR29)</f>
        <v>-3.4267292546835693E-3</v>
      </c>
      <c r="BS41" s="5">
        <f>AVERAGE(BS25:BS29)</f>
        <v>2.1708032858206883E-2</v>
      </c>
      <c r="BT41" s="5">
        <f>AVERAGE(BT25:BT29)</f>
        <v>3.5369808379874357E-2</v>
      </c>
    </row>
    <row r="42" spans="1:85" x14ac:dyDescent="0.3">
      <c r="B42" s="55" t="s">
        <v>300</v>
      </c>
      <c r="J42" s="56">
        <f>AVERAGE(J30:J39)</f>
        <v>0.22947963510751182</v>
      </c>
      <c r="K42" s="56">
        <f>AVERAGE(K30:K39)</f>
        <v>7.8648557970702554E-2</v>
      </c>
      <c r="L42" s="56">
        <f>AVERAGE(L30:L39)</f>
        <v>5.781168799674604E-2</v>
      </c>
      <c r="M42" s="56">
        <f>AVERAGE(M30:M39)</f>
        <v>0.15083107713680924</v>
      </c>
      <c r="AH42" s="56">
        <f>AVERAGE(AH30:AH39)</f>
        <v>0.22800954330562617</v>
      </c>
      <c r="AI42" s="56">
        <f>AVERAGE(AI30:AI39)</f>
        <v>7.9683659825083769E-2</v>
      </c>
      <c r="AJ42" s="56">
        <f>AVERAGE(AJ30:AJ39)</f>
        <v>5.9753712180753461E-2</v>
      </c>
      <c r="AK42" s="56">
        <f>AVERAGE(AK30:AK39)</f>
        <v>0.1483258834805424</v>
      </c>
      <c r="BE42" s="5">
        <f t="shared" si="14"/>
        <v>1.0131611040442319</v>
      </c>
      <c r="BH42" s="8">
        <f>AVERAGE(BH30:BH39)</f>
        <v>4.9951498396082483E-3</v>
      </c>
      <c r="BJ42" s="5">
        <f>AVERAGE(BJ30:BJ39)</f>
        <v>6.2452143149510642E-3</v>
      </c>
      <c r="BK42" s="5">
        <f>AVERAGE(BK30:BK39)</f>
        <v>1.5106334493411033E-3</v>
      </c>
      <c r="BL42" s="5">
        <f>AVERAGE(BL30:BL39)</f>
        <v>8.2624180641178713E-3</v>
      </c>
      <c r="BM42" s="5">
        <f>AVERAGE(BM30:BM39)</f>
        <v>-9.4855951340777622E-4</v>
      </c>
      <c r="BN42" s="5">
        <f>AVERAGE(BN30:BN39)</f>
        <v>1.6255100094186514E-2</v>
      </c>
      <c r="BP42" s="5">
        <f>AVERAGE(BP30:BP39)</f>
        <v>-1.9149199333230449E-3</v>
      </c>
      <c r="BQ42" s="5">
        <f>AVERAGE(BQ30:BQ39)</f>
        <v>-1.2966973348355004E-2</v>
      </c>
      <c r="BR42" s="5">
        <f>AVERAGE(BR30:BR39)</f>
        <v>8.7162669312108587E-3</v>
      </c>
      <c r="BS42" s="5">
        <f>AVERAGE(BS30:BS39)</f>
        <v>4.4588651994736939E-3</v>
      </c>
      <c r="BT42" s="5">
        <f>AVERAGE(BT30:BT39)</f>
        <v>1.5889386367192948E-2</v>
      </c>
    </row>
    <row r="43" spans="1:85" collapsed="1" x14ac:dyDescent="0.3">
      <c r="B43" s="55" t="s">
        <v>301</v>
      </c>
      <c r="J43" s="56">
        <f>AVERAGE(J5:J39)</f>
        <v>0.43931374902724984</v>
      </c>
      <c r="K43" s="56">
        <f>AVERAGE(K5:K39)</f>
        <v>0.11244918690433359</v>
      </c>
      <c r="L43" s="56">
        <f>AVERAGE(L5:L39)</f>
        <v>7.7720599513293659E-2</v>
      </c>
      <c r="M43" s="56">
        <f>AVERAGE(M5:M39)</f>
        <v>0.32686456212291642</v>
      </c>
      <c r="AH43" s="56">
        <f>AVERAGE(AH5:AH39)</f>
        <v>0.43409368960558198</v>
      </c>
      <c r="AI43" s="56">
        <f>AVERAGE(AI5:AI39)</f>
        <v>0.11298084736256772</v>
      </c>
      <c r="AJ43" s="56">
        <f>AVERAGE(AJ5:AJ39)</f>
        <v>8.0581726438219148E-2</v>
      </c>
      <c r="AK43" s="56">
        <f>AVERAGE(AK5:AK39)</f>
        <v>0.32111284224301428</v>
      </c>
      <c r="BE43" s="5">
        <f t="shared" si="14"/>
        <v>1.0047280062477149</v>
      </c>
      <c r="BH43" s="8">
        <f>AVERAGE(BH5:BH39)</f>
        <v>2.8345671466454636E-3</v>
      </c>
      <c r="BJ43" s="5">
        <f>AVERAGE(BJ5:BJ39)</f>
        <v>2.2766154264186283E-3</v>
      </c>
      <c r="BK43" s="5">
        <f>AVERAGE(BK5:BK39)</f>
        <v>1.2029671458951841E-3</v>
      </c>
      <c r="BL43" s="5">
        <f>AVERAGE(BL5:BL39)</f>
        <v>1.0895755737060555E-2</v>
      </c>
      <c r="BM43" s="5">
        <f>AVERAGE(BM5:BM39)</f>
        <v>1.3343607759694152E-2</v>
      </c>
      <c r="BN43" s="5">
        <f>AVERAGE(BN5:BN39)</f>
        <v>2.7922159803809792E-2</v>
      </c>
      <c r="BP43" s="5">
        <f>AVERAGE(BP5:BP39)</f>
        <v>6.710271595010063E-4</v>
      </c>
      <c r="BQ43" s="5">
        <f>AVERAGE(BQ5:BQ39)</f>
        <v>-4.4096485519030826E-3</v>
      </c>
      <c r="BR43" s="5">
        <f>AVERAGE(BR5:BR39)</f>
        <v>8.8584839066615205E-3</v>
      </c>
      <c r="BS43" s="5">
        <f>AVERAGE(BS5:BS39)</f>
        <v>1.3049211651552388E-2</v>
      </c>
      <c r="BT43" s="5">
        <f>AVERAGE(BT5:BT39)</f>
        <v>2.3953209620878848E-2</v>
      </c>
    </row>
    <row r="44" spans="1:85" hidden="1" outlineLevel="2" x14ac:dyDescent="0.3">
      <c r="A44" s="55" t="s">
        <v>302</v>
      </c>
      <c r="B44" s="55" t="s">
        <v>303</v>
      </c>
      <c r="AB44" s="57">
        <f>SUM(AB5:AB24,AB25:AB29,AB30:AB39)</f>
        <v>192300.49999999997</v>
      </c>
      <c r="AC44" s="57">
        <f>SUM(AC5:AC24,AC25:AC29,AC30:AC39)</f>
        <v>110420.07999999999</v>
      </c>
      <c r="AD44" s="57">
        <f>SUM(AD5:AD24,AD25:AD29,AD30:AD39)</f>
        <v>523.822</v>
      </c>
      <c r="AE44" s="57">
        <f>SUM(AE5:AE24,AE25:AE29,AE30:AE39)</f>
        <v>1718.9130000000002</v>
      </c>
      <c r="AZ44" s="57">
        <f>SUM(AZ5:AZ24,AZ25:AZ29,AZ30:AZ39)</f>
        <v>102355.52799999999</v>
      </c>
      <c r="BA44" s="57">
        <f>SUM(BA5:BA24,BA25:BA29,BA30:BA39)</f>
        <v>77989.58</v>
      </c>
      <c r="BB44" s="57">
        <f>SUM(BB5:BB24,BB25:BB29,BB30:BB39)</f>
        <v>412.51100000000008</v>
      </c>
      <c r="BC44" s="57">
        <f>SUM(BC5:BC24,BC25:BC29,BC30:BC39)</f>
        <v>1342.134</v>
      </c>
    </row>
    <row r="45" spans="1:85" hidden="1" outlineLevel="2" x14ac:dyDescent="0.3">
      <c r="B45" s="55" t="s">
        <v>304</v>
      </c>
      <c r="AZ45" s="8">
        <f>AZ44/AB44</f>
        <v>0.53226865244760158</v>
      </c>
      <c r="BA45" s="8">
        <f>BA44/AC44</f>
        <v>0.70629889056410766</v>
      </c>
      <c r="BB45" s="8">
        <f>BB44/AD44</f>
        <v>0.78750224312839112</v>
      </c>
      <c r="BC45" s="8">
        <f>BC44/AE44</f>
        <v>0.78080391503234881</v>
      </c>
    </row>
    <row r="46" spans="1:85" hidden="1" outlineLevel="2" x14ac:dyDescent="0.3">
      <c r="B46" s="55" t="s">
        <v>305</v>
      </c>
      <c r="AB46" s="57">
        <f>GEOMEAN(AB5:AB24,AB25:AB29,AB30:AB39)</f>
        <v>5420.3695878176404</v>
      </c>
      <c r="AC46" s="57">
        <f>GEOMEAN(AC5:AC24,AC25:AC29,AC30:AC39)</f>
        <v>3112.0785405938532</v>
      </c>
      <c r="AD46" s="57">
        <f>GEOMEAN(AD5:AD24,AD25:AD29,AD30:AD39)</f>
        <v>14.848711361253656</v>
      </c>
      <c r="AE46" s="57">
        <f>GEOMEAN(AE5:AE24,AE25:AE29,AE30:AE39)</f>
        <v>48.739340281982713</v>
      </c>
      <c r="AZ46" s="57">
        <f>GEOMEAN(AZ5:AZ24,AZ25:AZ29,AZ30:AZ39)</f>
        <v>2448.4105690367946</v>
      </c>
      <c r="BA46" s="57">
        <f>GEOMEAN(BA5:BA24,BA25:BA29,BA30:BA39)</f>
        <v>2133.4189829185134</v>
      </c>
      <c r="BB46" s="57">
        <f>GEOMEAN(BB5:BB24,BB25:BB29,BB30:BB39)</f>
        <v>11.235357213929897</v>
      </c>
      <c r="BC46" s="57">
        <f>GEOMEAN(BC5:BC24,BC25:BC29,BC30:BC39)</f>
        <v>37.192890230383128</v>
      </c>
    </row>
    <row r="47" spans="1:85" outlineLevel="2" collapsed="1" x14ac:dyDescent="0.3">
      <c r="B47" s="55" t="s">
        <v>306</v>
      </c>
      <c r="AZ47" s="8">
        <f>AZ46/AB46</f>
        <v>0.45170546571946552</v>
      </c>
      <c r="BA47" s="8">
        <f>BA46/AC46</f>
        <v>0.68552864430966776</v>
      </c>
      <c r="BB47" s="8">
        <f>BB46/AD46</f>
        <v>0.75665537167403807</v>
      </c>
      <c r="BC47" s="8">
        <f>BC46/AE46</f>
        <v>0.76309794131809539</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286"/>
  <sheetViews>
    <sheetView workbookViewId="0"/>
  </sheetViews>
  <sheetFormatPr defaultRowHeight="14.4" x14ac:dyDescent="0.3"/>
  <sheetData>
    <row r="1" spans="1:2" x14ac:dyDescent="0.3">
      <c r="A1" t="s">
        <v>95</v>
      </c>
      <c r="B1">
        <v>1</v>
      </c>
    </row>
    <row r="2" spans="1:2" x14ac:dyDescent="0.3">
      <c r="A2" t="s">
        <v>98</v>
      </c>
      <c r="B2">
        <v>2</v>
      </c>
    </row>
    <row r="3" spans="1:2" x14ac:dyDescent="0.3">
      <c r="A3" t="s">
        <v>101</v>
      </c>
      <c r="B3">
        <v>3</v>
      </c>
    </row>
    <row r="4" spans="1:2" x14ac:dyDescent="0.3">
      <c r="A4" t="s">
        <v>104</v>
      </c>
      <c r="B4">
        <v>4</v>
      </c>
    </row>
    <row r="5" spans="1:2" x14ac:dyDescent="0.3">
      <c r="A5" t="s">
        <v>107</v>
      </c>
      <c r="B5">
        <v>5</v>
      </c>
    </row>
    <row r="6" spans="1:2" x14ac:dyDescent="0.3">
      <c r="A6" t="s">
        <v>110</v>
      </c>
      <c r="B6">
        <v>6</v>
      </c>
    </row>
    <row r="7" spans="1:2" x14ac:dyDescent="0.3">
      <c r="A7" t="s">
        <v>113</v>
      </c>
      <c r="B7">
        <v>7</v>
      </c>
    </row>
    <row r="8" spans="1:2" x14ac:dyDescent="0.3">
      <c r="A8" t="s">
        <v>116</v>
      </c>
      <c r="B8">
        <v>9</v>
      </c>
    </row>
    <row r="9" spans="1:2" x14ac:dyDescent="0.3">
      <c r="A9" t="s">
        <v>120</v>
      </c>
      <c r="B9">
        <v>10</v>
      </c>
    </row>
    <row r="10" spans="1:2" x14ac:dyDescent="0.3">
      <c r="A10" t="s">
        <v>123</v>
      </c>
      <c r="B10">
        <v>11</v>
      </c>
    </row>
    <row r="11" spans="1:2" x14ac:dyDescent="0.3">
      <c r="A11" t="s">
        <v>126</v>
      </c>
      <c r="B11">
        <v>12</v>
      </c>
    </row>
    <row r="12" spans="1:2" x14ac:dyDescent="0.3">
      <c r="A12" t="s">
        <v>129</v>
      </c>
      <c r="B12">
        <v>13</v>
      </c>
    </row>
    <row r="13" spans="1:2" x14ac:dyDescent="0.3">
      <c r="A13" t="s">
        <v>132</v>
      </c>
      <c r="B13">
        <v>14</v>
      </c>
    </row>
    <row r="14" spans="1:2" x14ac:dyDescent="0.3">
      <c r="A14" t="s">
        <v>135</v>
      </c>
      <c r="B14">
        <v>15</v>
      </c>
    </row>
    <row r="15" spans="1:2" x14ac:dyDescent="0.3">
      <c r="A15" t="s">
        <v>137</v>
      </c>
      <c r="B15">
        <v>16</v>
      </c>
    </row>
    <row r="16" spans="1:2" x14ac:dyDescent="0.3">
      <c r="A16" t="s">
        <v>139</v>
      </c>
      <c r="B16">
        <v>17</v>
      </c>
    </row>
    <row r="17" spans="1:2" x14ac:dyDescent="0.3">
      <c r="A17" t="s">
        <v>141</v>
      </c>
      <c r="B17">
        <v>18</v>
      </c>
    </row>
    <row r="18" spans="1:2" x14ac:dyDescent="0.3">
      <c r="A18" t="s">
        <v>144</v>
      </c>
      <c r="B18">
        <v>19</v>
      </c>
    </row>
    <row r="19" spans="1:2" x14ac:dyDescent="0.3">
      <c r="A19" t="s">
        <v>146</v>
      </c>
      <c r="B19">
        <v>20</v>
      </c>
    </row>
    <row r="20" spans="1:2" x14ac:dyDescent="0.3">
      <c r="A20" t="s">
        <v>149</v>
      </c>
      <c r="B20">
        <v>21</v>
      </c>
    </row>
    <row r="21" spans="1:2" x14ac:dyDescent="0.3">
      <c r="A21" t="s">
        <v>152</v>
      </c>
      <c r="B21">
        <v>22</v>
      </c>
    </row>
    <row r="22" spans="1:2" x14ac:dyDescent="0.3">
      <c r="A22" t="s">
        <v>156</v>
      </c>
      <c r="B22">
        <v>23</v>
      </c>
    </row>
    <row r="23" spans="1:2" x14ac:dyDescent="0.3">
      <c r="A23" t="s">
        <v>159</v>
      </c>
      <c r="B23">
        <v>24</v>
      </c>
    </row>
    <row r="24" spans="1:2" x14ac:dyDescent="0.3">
      <c r="A24" t="s">
        <v>163</v>
      </c>
      <c r="B24">
        <v>25</v>
      </c>
    </row>
    <row r="25" spans="1:2" x14ac:dyDescent="0.3">
      <c r="A25" t="s">
        <v>166</v>
      </c>
      <c r="B25">
        <v>26</v>
      </c>
    </row>
    <row r="26" spans="1:2" x14ac:dyDescent="0.3">
      <c r="A26" t="s">
        <v>169</v>
      </c>
      <c r="B26">
        <v>27</v>
      </c>
    </row>
    <row r="27" spans="1:2" x14ac:dyDescent="0.3">
      <c r="A27" t="s">
        <v>173</v>
      </c>
      <c r="B27">
        <v>28</v>
      </c>
    </row>
    <row r="28" spans="1:2" x14ac:dyDescent="0.3">
      <c r="A28" t="s">
        <v>176</v>
      </c>
      <c r="B28">
        <v>29</v>
      </c>
    </row>
    <row r="29" spans="1:2" x14ac:dyDescent="0.3">
      <c r="A29" t="s">
        <v>179</v>
      </c>
      <c r="B29">
        <v>30</v>
      </c>
    </row>
    <row r="30" spans="1:2" x14ac:dyDescent="0.3">
      <c r="A30" t="s">
        <v>181</v>
      </c>
      <c r="B30">
        <v>31</v>
      </c>
    </row>
    <row r="31" spans="1:2" x14ac:dyDescent="0.3">
      <c r="A31" t="s">
        <v>183</v>
      </c>
      <c r="B31">
        <v>33</v>
      </c>
    </row>
    <row r="32" spans="1:2" x14ac:dyDescent="0.3">
      <c r="A32" t="s">
        <v>185</v>
      </c>
      <c r="B32">
        <v>34</v>
      </c>
    </row>
    <row r="33" spans="1:2" x14ac:dyDescent="0.3">
      <c r="A33" t="s">
        <v>187</v>
      </c>
      <c r="B33">
        <v>35</v>
      </c>
    </row>
    <row r="34" spans="1:2" x14ac:dyDescent="0.3">
      <c r="A34" t="s">
        <v>189</v>
      </c>
      <c r="B34">
        <v>36</v>
      </c>
    </row>
    <row r="35" spans="1:2" x14ac:dyDescent="0.3">
      <c r="A35" t="s">
        <v>191</v>
      </c>
      <c r="B35">
        <v>37</v>
      </c>
    </row>
    <row r="36" spans="1:2" x14ac:dyDescent="0.3">
      <c r="A36" t="s">
        <v>194</v>
      </c>
      <c r="B36">
        <v>38</v>
      </c>
    </row>
    <row r="37" spans="1:2" x14ac:dyDescent="0.3">
      <c r="A37" t="s">
        <v>196</v>
      </c>
      <c r="B37">
        <v>39</v>
      </c>
    </row>
    <row r="38" spans="1:2" x14ac:dyDescent="0.3">
      <c r="A38" t="s">
        <v>198</v>
      </c>
      <c r="B38">
        <v>40</v>
      </c>
    </row>
    <row r="39" spans="1:2" x14ac:dyDescent="0.3">
      <c r="A39" t="s">
        <v>200</v>
      </c>
      <c r="B39">
        <v>41</v>
      </c>
    </row>
    <row r="40" spans="1:2" x14ac:dyDescent="0.3">
      <c r="A40" t="s">
        <v>202</v>
      </c>
      <c r="B40">
        <v>42</v>
      </c>
    </row>
    <row r="41" spans="1:2" x14ac:dyDescent="0.3">
      <c r="A41" t="s">
        <v>204</v>
      </c>
      <c r="B41">
        <v>43</v>
      </c>
    </row>
    <row r="42" spans="1:2" x14ac:dyDescent="0.3">
      <c r="A42" t="s">
        <v>206</v>
      </c>
      <c r="B42">
        <v>44</v>
      </c>
    </row>
    <row r="43" spans="1:2" x14ac:dyDescent="0.3">
      <c r="A43" t="s">
        <v>208</v>
      </c>
      <c r="B43">
        <v>45</v>
      </c>
    </row>
    <row r="44" spans="1:2" x14ac:dyDescent="0.3">
      <c r="A44" t="s">
        <v>210</v>
      </c>
      <c r="B44">
        <v>46</v>
      </c>
    </row>
    <row r="45" spans="1:2" x14ac:dyDescent="0.3">
      <c r="A45" t="s">
        <v>212</v>
      </c>
      <c r="B45">
        <v>47</v>
      </c>
    </row>
    <row r="46" spans="1:2" x14ac:dyDescent="0.3">
      <c r="A46" t="s">
        <v>214</v>
      </c>
      <c r="B46">
        <v>48</v>
      </c>
    </row>
    <row r="47" spans="1:2" x14ac:dyDescent="0.3">
      <c r="A47" t="s">
        <v>216</v>
      </c>
      <c r="B47">
        <v>49</v>
      </c>
    </row>
    <row r="48" spans="1:2" x14ac:dyDescent="0.3">
      <c r="A48" t="s">
        <v>218</v>
      </c>
      <c r="B48">
        <v>50</v>
      </c>
    </row>
    <row r="49" spans="1:2" x14ac:dyDescent="0.3">
      <c r="A49" t="s">
        <v>220</v>
      </c>
      <c r="B49">
        <v>51</v>
      </c>
    </row>
    <row r="50" spans="1:2" x14ac:dyDescent="0.3">
      <c r="A50" t="s">
        <v>222</v>
      </c>
      <c r="B50">
        <v>52</v>
      </c>
    </row>
    <row r="51" spans="1:2" x14ac:dyDescent="0.3">
      <c r="A51" t="s">
        <v>224</v>
      </c>
      <c r="B51">
        <v>53</v>
      </c>
    </row>
    <row r="52" spans="1:2" x14ac:dyDescent="0.3">
      <c r="A52" t="s">
        <v>226</v>
      </c>
      <c r="B52">
        <v>54</v>
      </c>
    </row>
    <row r="53" spans="1:2" x14ac:dyDescent="0.3">
      <c r="A53" t="s">
        <v>228</v>
      </c>
      <c r="B53">
        <v>55</v>
      </c>
    </row>
    <row r="54" spans="1:2" x14ac:dyDescent="0.3">
      <c r="A54" t="s">
        <v>231</v>
      </c>
      <c r="B54">
        <v>57</v>
      </c>
    </row>
    <row r="55" spans="1:2" x14ac:dyDescent="0.3">
      <c r="A55" t="s">
        <v>234</v>
      </c>
      <c r="B55">
        <v>58</v>
      </c>
    </row>
    <row r="56" spans="1:2" x14ac:dyDescent="0.3">
      <c r="A56" t="s">
        <v>237</v>
      </c>
      <c r="B56">
        <v>59</v>
      </c>
    </row>
    <row r="57" spans="1:2" x14ac:dyDescent="0.3">
      <c r="A57" t="s">
        <v>239</v>
      </c>
      <c r="B57">
        <v>60</v>
      </c>
    </row>
    <row r="58" spans="1:2" x14ac:dyDescent="0.3">
      <c r="A58" t="s">
        <v>242</v>
      </c>
      <c r="B58">
        <v>62</v>
      </c>
    </row>
    <row r="59" spans="1:2" x14ac:dyDescent="0.3">
      <c r="A59" t="s">
        <v>244</v>
      </c>
      <c r="B59">
        <v>63</v>
      </c>
    </row>
    <row r="60" spans="1:2" x14ac:dyDescent="0.3">
      <c r="A60" t="s">
        <v>247</v>
      </c>
      <c r="B60">
        <v>64</v>
      </c>
    </row>
    <row r="61" spans="1:2" x14ac:dyDescent="0.3">
      <c r="A61" t="s">
        <v>249</v>
      </c>
      <c r="B61">
        <v>65</v>
      </c>
    </row>
    <row r="62" spans="1:2" x14ac:dyDescent="0.3">
      <c r="A62" t="s">
        <v>251</v>
      </c>
      <c r="B62">
        <v>66</v>
      </c>
    </row>
    <row r="63" spans="1:2" x14ac:dyDescent="0.3">
      <c r="A63" t="s">
        <v>254</v>
      </c>
      <c r="B63">
        <v>68</v>
      </c>
    </row>
    <row r="64" spans="1:2" x14ac:dyDescent="0.3">
      <c r="A64" t="s">
        <v>256</v>
      </c>
      <c r="B64">
        <v>69</v>
      </c>
    </row>
    <row r="65" spans="1:24" x14ac:dyDescent="0.3">
      <c r="A65" t="s">
        <v>259</v>
      </c>
      <c r="B65">
        <v>70</v>
      </c>
    </row>
    <row r="66" spans="1:24" x14ac:dyDescent="0.3">
      <c r="A66" t="s">
        <v>261</v>
      </c>
      <c r="B66">
        <v>71</v>
      </c>
    </row>
    <row r="67" spans="1:24" x14ac:dyDescent="0.3">
      <c r="A67" t="s">
        <v>263</v>
      </c>
      <c r="B67">
        <v>72</v>
      </c>
    </row>
    <row r="68" spans="1:24" x14ac:dyDescent="0.3">
      <c r="A68" t="s">
        <v>265</v>
      </c>
      <c r="B68" t="s">
        <v>266</v>
      </c>
    </row>
    <row r="69" spans="1:24" x14ac:dyDescent="0.3">
      <c r="A69" t="s">
        <v>267</v>
      </c>
      <c r="B69" t="s">
        <v>268</v>
      </c>
    </row>
    <row r="70" spans="1:24" x14ac:dyDescent="0.3">
      <c r="A70" t="s">
        <v>276</v>
      </c>
      <c r="B70" t="s">
        <v>277</v>
      </c>
    </row>
    <row r="71" spans="1:24" x14ac:dyDescent="0.3">
      <c r="A71" t="s">
        <v>279</v>
      </c>
      <c r="B71" t="s">
        <v>280</v>
      </c>
    </row>
    <row r="72" spans="1:24" x14ac:dyDescent="0.3">
      <c r="A72" t="s">
        <v>282</v>
      </c>
      <c r="B72" t="s">
        <v>283</v>
      </c>
    </row>
    <row r="73" spans="1:24" x14ac:dyDescent="0.3">
      <c r="A73" t="s">
        <v>285</v>
      </c>
      <c r="B73" t="s">
        <v>286</v>
      </c>
    </row>
    <row r="74" spans="1:24" x14ac:dyDescent="0.3">
      <c r="A74" t="s">
        <v>289</v>
      </c>
      <c r="B74" t="s">
        <v>290</v>
      </c>
    </row>
    <row r="75" spans="1:24" x14ac:dyDescent="0.3">
      <c r="A75" t="s">
        <v>293</v>
      </c>
      <c r="B75" t="s">
        <v>294</v>
      </c>
    </row>
    <row r="76" spans="1:24" x14ac:dyDescent="0.3">
      <c r="A76" t="s">
        <v>296</v>
      </c>
      <c r="B76" t="s">
        <v>297</v>
      </c>
    </row>
    <row r="77" spans="1:24" x14ac:dyDescent="0.3">
      <c r="A77" t="s">
        <v>313</v>
      </c>
      <c r="B77" t="s">
        <v>61</v>
      </c>
      <c r="C77" t="s">
        <v>51</v>
      </c>
      <c r="D77" t="s">
        <v>45</v>
      </c>
      <c r="E77" t="s">
        <v>39</v>
      </c>
      <c r="F77" t="s">
        <v>69</v>
      </c>
      <c r="G77" t="s">
        <v>65</v>
      </c>
      <c r="H77" t="s">
        <v>25</v>
      </c>
      <c r="I77" t="s">
        <v>23</v>
      </c>
      <c r="J77" t="s">
        <v>41</v>
      </c>
      <c r="K77" t="s">
        <v>59</v>
      </c>
      <c r="L77" t="s">
        <v>47</v>
      </c>
      <c r="M77" t="s">
        <v>7</v>
      </c>
      <c r="N77" t="s">
        <v>11</v>
      </c>
      <c r="O77" t="s">
        <v>73</v>
      </c>
      <c r="P77" t="s">
        <v>71</v>
      </c>
      <c r="Q77" t="s">
        <v>67</v>
      </c>
      <c r="R77" t="s">
        <v>49</v>
      </c>
      <c r="S77" t="s">
        <v>75</v>
      </c>
      <c r="T77" t="s">
        <v>15</v>
      </c>
      <c r="U77" t="s">
        <v>63</v>
      </c>
      <c r="V77" t="s">
        <v>55</v>
      </c>
      <c r="W77" t="s">
        <v>21</v>
      </c>
      <c r="X77" t="s">
        <v>19</v>
      </c>
    </row>
    <row r="78" spans="1:24" x14ac:dyDescent="0.3">
      <c r="A78" t="s">
        <v>315</v>
      </c>
      <c r="B78">
        <v>1</v>
      </c>
    </row>
    <row r="79" spans="1:24" x14ac:dyDescent="0.3">
      <c r="A79" t="s">
        <v>316</v>
      </c>
      <c r="B79">
        <v>2</v>
      </c>
    </row>
    <row r="80" spans="1:24" x14ac:dyDescent="0.3">
      <c r="A80" t="s">
        <v>317</v>
      </c>
      <c r="B80">
        <v>3</v>
      </c>
    </row>
    <row r="81" spans="1:2" x14ac:dyDescent="0.3">
      <c r="A81" t="s">
        <v>318</v>
      </c>
      <c r="B81">
        <v>4</v>
      </c>
    </row>
    <row r="82" spans="1:2" x14ac:dyDescent="0.3">
      <c r="A82" t="s">
        <v>319</v>
      </c>
      <c r="B82">
        <v>5</v>
      </c>
    </row>
    <row r="83" spans="1:2" x14ac:dyDescent="0.3">
      <c r="A83" t="s">
        <v>320</v>
      </c>
      <c r="B83">
        <v>6</v>
      </c>
    </row>
    <row r="84" spans="1:2" x14ac:dyDescent="0.3">
      <c r="A84" t="s">
        <v>323</v>
      </c>
      <c r="B84">
        <v>8</v>
      </c>
    </row>
    <row r="85" spans="1:2" x14ac:dyDescent="0.3">
      <c r="A85" t="s">
        <v>324</v>
      </c>
      <c r="B85">
        <v>9</v>
      </c>
    </row>
    <row r="86" spans="1:2" x14ac:dyDescent="0.3">
      <c r="A86" t="s">
        <v>325</v>
      </c>
      <c r="B86">
        <v>10</v>
      </c>
    </row>
    <row r="87" spans="1:2" x14ac:dyDescent="0.3">
      <c r="A87" t="s">
        <v>326</v>
      </c>
      <c r="B87">
        <v>11</v>
      </c>
    </row>
    <row r="88" spans="1:2" x14ac:dyDescent="0.3">
      <c r="A88" t="s">
        <v>327</v>
      </c>
      <c r="B88">
        <v>12</v>
      </c>
    </row>
    <row r="89" spans="1:2" x14ac:dyDescent="0.3">
      <c r="A89" t="s">
        <v>328</v>
      </c>
      <c r="B89">
        <v>13</v>
      </c>
    </row>
    <row r="90" spans="1:2" x14ac:dyDescent="0.3">
      <c r="A90" t="s">
        <v>329</v>
      </c>
      <c r="B90">
        <v>14</v>
      </c>
    </row>
    <row r="91" spans="1:2" x14ac:dyDescent="0.3">
      <c r="A91" t="s">
        <v>330</v>
      </c>
      <c r="B91">
        <v>15</v>
      </c>
    </row>
    <row r="92" spans="1:2" x14ac:dyDescent="0.3">
      <c r="A92" t="s">
        <v>331</v>
      </c>
      <c r="B92">
        <v>16</v>
      </c>
    </row>
    <row r="93" spans="1:2" x14ac:dyDescent="0.3">
      <c r="A93" t="s">
        <v>332</v>
      </c>
      <c r="B93">
        <v>17</v>
      </c>
    </row>
    <row r="94" spans="1:2" x14ac:dyDescent="0.3">
      <c r="A94" t="s">
        <v>333</v>
      </c>
      <c r="B94">
        <v>18</v>
      </c>
    </row>
    <row r="95" spans="1:2" x14ac:dyDescent="0.3">
      <c r="A95" t="s">
        <v>334</v>
      </c>
      <c r="B95">
        <v>19</v>
      </c>
    </row>
    <row r="96" spans="1:2" x14ac:dyDescent="0.3">
      <c r="A96" t="s">
        <v>335</v>
      </c>
      <c r="B96">
        <v>20</v>
      </c>
    </row>
    <row r="97" spans="1:2" x14ac:dyDescent="0.3">
      <c r="A97" t="s">
        <v>336</v>
      </c>
      <c r="B97">
        <v>21</v>
      </c>
    </row>
    <row r="98" spans="1:2" x14ac:dyDescent="0.3">
      <c r="A98" t="s">
        <v>337</v>
      </c>
      <c r="B98">
        <v>22</v>
      </c>
    </row>
    <row r="99" spans="1:2" x14ac:dyDescent="0.3">
      <c r="A99" t="s">
        <v>338</v>
      </c>
      <c r="B99">
        <v>23</v>
      </c>
    </row>
    <row r="100" spans="1:2" x14ac:dyDescent="0.3">
      <c r="A100" t="s">
        <v>339</v>
      </c>
      <c r="B100">
        <v>24</v>
      </c>
    </row>
    <row r="101" spans="1:2" x14ac:dyDescent="0.3">
      <c r="A101" t="s">
        <v>340</v>
      </c>
      <c r="B101">
        <v>25</v>
      </c>
    </row>
    <row r="102" spans="1:2" x14ac:dyDescent="0.3">
      <c r="A102" t="s">
        <v>341</v>
      </c>
      <c r="B102">
        <v>26</v>
      </c>
    </row>
    <row r="103" spans="1:2" x14ac:dyDescent="0.3">
      <c r="A103" t="s">
        <v>342</v>
      </c>
      <c r="B103">
        <v>27</v>
      </c>
    </row>
    <row r="104" spans="1:2" x14ac:dyDescent="0.3">
      <c r="A104" t="s">
        <v>343</v>
      </c>
      <c r="B104">
        <v>28</v>
      </c>
    </row>
    <row r="105" spans="1:2" x14ac:dyDescent="0.3">
      <c r="A105" t="s">
        <v>344</v>
      </c>
      <c r="B105">
        <v>29</v>
      </c>
    </row>
    <row r="106" spans="1:2" x14ac:dyDescent="0.3">
      <c r="A106" t="s">
        <v>346</v>
      </c>
      <c r="B106">
        <v>31</v>
      </c>
    </row>
    <row r="107" spans="1:2" x14ac:dyDescent="0.3">
      <c r="A107" t="s">
        <v>347</v>
      </c>
      <c r="B107">
        <v>32</v>
      </c>
    </row>
    <row r="108" spans="1:2" x14ac:dyDescent="0.3">
      <c r="A108" t="s">
        <v>348</v>
      </c>
      <c r="B108">
        <v>33</v>
      </c>
    </row>
    <row r="109" spans="1:2" x14ac:dyDescent="0.3">
      <c r="A109" t="s">
        <v>349</v>
      </c>
      <c r="B109">
        <v>34</v>
      </c>
    </row>
    <row r="110" spans="1:2" x14ac:dyDescent="0.3">
      <c r="A110" t="s">
        <v>350</v>
      </c>
      <c r="B110">
        <v>35</v>
      </c>
    </row>
    <row r="111" spans="1:2" x14ac:dyDescent="0.3">
      <c r="A111" t="s">
        <v>351</v>
      </c>
      <c r="B111">
        <v>36</v>
      </c>
    </row>
    <row r="112" spans="1:2" x14ac:dyDescent="0.3">
      <c r="A112" t="s">
        <v>352</v>
      </c>
      <c r="B112">
        <v>37</v>
      </c>
    </row>
    <row r="113" spans="1:2" x14ac:dyDescent="0.3">
      <c r="A113" t="s">
        <v>353</v>
      </c>
      <c r="B113">
        <v>38</v>
      </c>
    </row>
    <row r="114" spans="1:2" x14ac:dyDescent="0.3">
      <c r="A114" t="s">
        <v>354</v>
      </c>
      <c r="B114">
        <v>39</v>
      </c>
    </row>
    <row r="115" spans="1:2" x14ac:dyDescent="0.3">
      <c r="A115" t="s">
        <v>355</v>
      </c>
      <c r="B115">
        <v>40</v>
      </c>
    </row>
    <row r="116" spans="1:2" x14ac:dyDescent="0.3">
      <c r="A116" t="s">
        <v>356</v>
      </c>
      <c r="B116">
        <v>41</v>
      </c>
    </row>
    <row r="117" spans="1:2" x14ac:dyDescent="0.3">
      <c r="A117" t="s">
        <v>357</v>
      </c>
      <c r="B117">
        <v>42</v>
      </c>
    </row>
    <row r="118" spans="1:2" x14ac:dyDescent="0.3">
      <c r="A118" t="s">
        <v>358</v>
      </c>
      <c r="B118">
        <v>43</v>
      </c>
    </row>
    <row r="119" spans="1:2" x14ac:dyDescent="0.3">
      <c r="A119" t="s">
        <v>359</v>
      </c>
      <c r="B119">
        <v>44</v>
      </c>
    </row>
    <row r="120" spans="1:2" x14ac:dyDescent="0.3">
      <c r="A120" t="s">
        <v>360</v>
      </c>
      <c r="B120">
        <v>45</v>
      </c>
    </row>
    <row r="121" spans="1:2" x14ac:dyDescent="0.3">
      <c r="A121" t="s">
        <v>361</v>
      </c>
      <c r="B121">
        <v>46</v>
      </c>
    </row>
    <row r="122" spans="1:2" x14ac:dyDescent="0.3">
      <c r="A122" t="s">
        <v>362</v>
      </c>
      <c r="B122">
        <v>47</v>
      </c>
    </row>
    <row r="123" spans="1:2" x14ac:dyDescent="0.3">
      <c r="A123" t="s">
        <v>363</v>
      </c>
      <c r="B123">
        <v>48</v>
      </c>
    </row>
    <row r="124" spans="1:2" x14ac:dyDescent="0.3">
      <c r="A124" t="s">
        <v>364</v>
      </c>
      <c r="B124">
        <v>49</v>
      </c>
    </row>
    <row r="125" spans="1:2" x14ac:dyDescent="0.3">
      <c r="A125" t="s">
        <v>365</v>
      </c>
      <c r="B125">
        <v>50</v>
      </c>
    </row>
    <row r="126" spans="1:2" x14ac:dyDescent="0.3">
      <c r="A126" t="s">
        <v>366</v>
      </c>
      <c r="B126">
        <v>51</v>
      </c>
    </row>
    <row r="127" spans="1:2" x14ac:dyDescent="0.3">
      <c r="A127" t="s">
        <v>367</v>
      </c>
      <c r="B127">
        <v>52</v>
      </c>
    </row>
    <row r="128" spans="1:2" x14ac:dyDescent="0.3">
      <c r="A128" t="s">
        <v>370</v>
      </c>
      <c r="B128">
        <v>54</v>
      </c>
    </row>
    <row r="129" spans="1:23" x14ac:dyDescent="0.3">
      <c r="A129" t="s">
        <v>371</v>
      </c>
      <c r="B129">
        <v>55</v>
      </c>
    </row>
    <row r="130" spans="1:23" x14ac:dyDescent="0.3">
      <c r="A130" t="s">
        <v>373</v>
      </c>
      <c r="B130">
        <v>56</v>
      </c>
    </row>
    <row r="131" spans="1:23" x14ac:dyDescent="0.3">
      <c r="A131" t="s">
        <v>375</v>
      </c>
      <c r="B131">
        <v>57</v>
      </c>
    </row>
    <row r="132" spans="1:23" x14ac:dyDescent="0.3">
      <c r="A132" t="s">
        <v>376</v>
      </c>
      <c r="B132">
        <v>58</v>
      </c>
    </row>
    <row r="133" spans="1:23" x14ac:dyDescent="0.3">
      <c r="A133" t="s">
        <v>377</v>
      </c>
      <c r="B133">
        <v>59</v>
      </c>
    </row>
    <row r="134" spans="1:23" x14ac:dyDescent="0.3">
      <c r="A134" t="s">
        <v>379</v>
      </c>
      <c r="B134" t="s">
        <v>380</v>
      </c>
    </row>
    <row r="135" spans="1:23" x14ac:dyDescent="0.3">
      <c r="A135" t="s">
        <v>381</v>
      </c>
      <c r="B135" t="s">
        <v>382</v>
      </c>
    </row>
    <row r="136" spans="1:23" x14ac:dyDescent="0.3">
      <c r="A136" t="s">
        <v>383</v>
      </c>
      <c r="B136" t="s">
        <v>384</v>
      </c>
    </row>
    <row r="137" spans="1:23" x14ac:dyDescent="0.3">
      <c r="A137" t="s">
        <v>385</v>
      </c>
      <c r="B137" t="s">
        <v>386</v>
      </c>
    </row>
    <row r="138" spans="1:23" x14ac:dyDescent="0.3">
      <c r="A138" t="s">
        <v>387</v>
      </c>
      <c r="B138" t="s">
        <v>388</v>
      </c>
    </row>
    <row r="139" spans="1:23" x14ac:dyDescent="0.3">
      <c r="A139" t="s">
        <v>389</v>
      </c>
      <c r="B139" t="s">
        <v>390</v>
      </c>
    </row>
    <row r="140" spans="1:23" x14ac:dyDescent="0.3">
      <c r="A140" t="s">
        <v>391</v>
      </c>
      <c r="B140" t="s">
        <v>392</v>
      </c>
    </row>
    <row r="141" spans="1:23" x14ac:dyDescent="0.3">
      <c r="A141" t="s">
        <v>393</v>
      </c>
      <c r="B141" t="s">
        <v>394</v>
      </c>
    </row>
    <row r="142" spans="1:23" x14ac:dyDescent="0.3">
      <c r="A142" t="s">
        <v>395</v>
      </c>
      <c r="B142" t="s">
        <v>396</v>
      </c>
    </row>
    <row r="143" spans="1:23" x14ac:dyDescent="0.3">
      <c r="A143" t="s">
        <v>400</v>
      </c>
      <c r="B143" t="s">
        <v>45</v>
      </c>
      <c r="C143" t="s">
        <v>69</v>
      </c>
      <c r="D143" t="s">
        <v>49</v>
      </c>
      <c r="E143" t="s">
        <v>15</v>
      </c>
      <c r="F143" t="s">
        <v>75</v>
      </c>
      <c r="G143" t="s">
        <v>79</v>
      </c>
      <c r="H143" t="s">
        <v>63</v>
      </c>
      <c r="I143" t="s">
        <v>39</v>
      </c>
      <c r="J143" t="s">
        <v>55</v>
      </c>
      <c r="K143" t="s">
        <v>65</v>
      </c>
      <c r="L143" t="s">
        <v>61</v>
      </c>
      <c r="M143" t="s">
        <v>71</v>
      </c>
      <c r="N143" t="s">
        <v>23</v>
      </c>
      <c r="O143" t="s">
        <v>67</v>
      </c>
      <c r="P143" t="s">
        <v>51</v>
      </c>
      <c r="Q143" t="s">
        <v>47</v>
      </c>
      <c r="R143" t="s">
        <v>7</v>
      </c>
      <c r="S143" t="s">
        <v>73</v>
      </c>
      <c r="T143" t="s">
        <v>11</v>
      </c>
      <c r="U143" t="s">
        <v>41</v>
      </c>
      <c r="V143" t="s">
        <v>19</v>
      </c>
      <c r="W143" t="s">
        <v>59</v>
      </c>
    </row>
    <row r="144" spans="1:23" x14ac:dyDescent="0.3">
      <c r="A144" t="s">
        <v>402</v>
      </c>
      <c r="B144">
        <v>1</v>
      </c>
    </row>
    <row r="145" spans="1:2" x14ac:dyDescent="0.3">
      <c r="A145" t="s">
        <v>403</v>
      </c>
      <c r="B145">
        <v>2</v>
      </c>
    </row>
    <row r="146" spans="1:2" x14ac:dyDescent="0.3">
      <c r="A146" t="s">
        <v>404</v>
      </c>
      <c r="B146">
        <v>3</v>
      </c>
    </row>
    <row r="147" spans="1:2" x14ac:dyDescent="0.3">
      <c r="A147" t="s">
        <v>405</v>
      </c>
      <c r="B147">
        <v>4</v>
      </c>
    </row>
    <row r="148" spans="1:2" x14ac:dyDescent="0.3">
      <c r="A148" t="s">
        <v>406</v>
      </c>
      <c r="B148">
        <v>5</v>
      </c>
    </row>
    <row r="149" spans="1:2" x14ac:dyDescent="0.3">
      <c r="A149" t="s">
        <v>407</v>
      </c>
      <c r="B149">
        <v>6</v>
      </c>
    </row>
    <row r="150" spans="1:2" x14ac:dyDescent="0.3">
      <c r="A150" t="s">
        <v>408</v>
      </c>
      <c r="B150">
        <v>8</v>
      </c>
    </row>
    <row r="151" spans="1:2" x14ac:dyDescent="0.3">
      <c r="A151" t="s">
        <v>409</v>
      </c>
      <c r="B151">
        <v>9</v>
      </c>
    </row>
    <row r="152" spans="1:2" x14ac:dyDescent="0.3">
      <c r="A152" t="s">
        <v>410</v>
      </c>
      <c r="B152">
        <v>10</v>
      </c>
    </row>
    <row r="153" spans="1:2" x14ac:dyDescent="0.3">
      <c r="A153" t="s">
        <v>411</v>
      </c>
      <c r="B153">
        <v>11</v>
      </c>
    </row>
    <row r="154" spans="1:2" x14ac:dyDescent="0.3">
      <c r="A154" t="s">
        <v>412</v>
      </c>
      <c r="B154">
        <v>12</v>
      </c>
    </row>
    <row r="155" spans="1:2" x14ac:dyDescent="0.3">
      <c r="A155" t="s">
        <v>413</v>
      </c>
      <c r="B155">
        <v>13</v>
      </c>
    </row>
    <row r="156" spans="1:2" x14ac:dyDescent="0.3">
      <c r="A156" t="s">
        <v>414</v>
      </c>
      <c r="B156">
        <v>14</v>
      </c>
    </row>
    <row r="157" spans="1:2" x14ac:dyDescent="0.3">
      <c r="A157" t="s">
        <v>415</v>
      </c>
      <c r="B157">
        <v>15</v>
      </c>
    </row>
    <row r="158" spans="1:2" x14ac:dyDescent="0.3">
      <c r="A158" t="s">
        <v>416</v>
      </c>
      <c r="B158">
        <v>16</v>
      </c>
    </row>
    <row r="159" spans="1:2" x14ac:dyDescent="0.3">
      <c r="A159" t="s">
        <v>417</v>
      </c>
      <c r="B159">
        <v>17</v>
      </c>
    </row>
    <row r="160" spans="1:2" x14ac:dyDescent="0.3">
      <c r="A160" t="s">
        <v>418</v>
      </c>
      <c r="B160">
        <v>18</v>
      </c>
    </row>
    <row r="161" spans="1:2" x14ac:dyDescent="0.3">
      <c r="A161" t="s">
        <v>419</v>
      </c>
      <c r="B161">
        <v>19</v>
      </c>
    </row>
    <row r="162" spans="1:2" x14ac:dyDescent="0.3">
      <c r="A162" t="s">
        <v>420</v>
      </c>
      <c r="B162">
        <v>20</v>
      </c>
    </row>
    <row r="163" spans="1:2" x14ac:dyDescent="0.3">
      <c r="A163" t="s">
        <v>421</v>
      </c>
      <c r="B163">
        <v>21</v>
      </c>
    </row>
    <row r="164" spans="1:2" x14ac:dyDescent="0.3">
      <c r="A164" t="s">
        <v>422</v>
      </c>
      <c r="B164">
        <v>22</v>
      </c>
    </row>
    <row r="165" spans="1:2" x14ac:dyDescent="0.3">
      <c r="A165" t="s">
        <v>423</v>
      </c>
      <c r="B165">
        <v>23</v>
      </c>
    </row>
    <row r="166" spans="1:2" x14ac:dyDescent="0.3">
      <c r="A166" t="s">
        <v>424</v>
      </c>
      <c r="B166">
        <v>24</v>
      </c>
    </row>
    <row r="167" spans="1:2" x14ac:dyDescent="0.3">
      <c r="A167" t="s">
        <v>425</v>
      </c>
      <c r="B167">
        <v>25</v>
      </c>
    </row>
    <row r="168" spans="1:2" x14ac:dyDescent="0.3">
      <c r="A168" t="s">
        <v>426</v>
      </c>
      <c r="B168">
        <v>26</v>
      </c>
    </row>
    <row r="169" spans="1:2" x14ac:dyDescent="0.3">
      <c r="A169" t="s">
        <v>427</v>
      </c>
      <c r="B169">
        <v>27</v>
      </c>
    </row>
    <row r="170" spans="1:2" x14ac:dyDescent="0.3">
      <c r="A170" t="s">
        <v>428</v>
      </c>
      <c r="B170">
        <v>28</v>
      </c>
    </row>
    <row r="171" spans="1:2" x14ac:dyDescent="0.3">
      <c r="A171" t="s">
        <v>429</v>
      </c>
      <c r="B171">
        <v>29</v>
      </c>
    </row>
    <row r="172" spans="1:2" x14ac:dyDescent="0.3">
      <c r="A172" t="s">
        <v>430</v>
      </c>
      <c r="B172">
        <v>31</v>
      </c>
    </row>
    <row r="173" spans="1:2" x14ac:dyDescent="0.3">
      <c r="A173" t="s">
        <v>431</v>
      </c>
      <c r="B173">
        <v>32</v>
      </c>
    </row>
    <row r="174" spans="1:2" x14ac:dyDescent="0.3">
      <c r="A174" t="s">
        <v>432</v>
      </c>
      <c r="B174">
        <v>33</v>
      </c>
    </row>
    <row r="175" spans="1:2" x14ac:dyDescent="0.3">
      <c r="A175" t="s">
        <v>433</v>
      </c>
      <c r="B175">
        <v>34</v>
      </c>
    </row>
    <row r="176" spans="1:2" x14ac:dyDescent="0.3">
      <c r="A176" t="s">
        <v>434</v>
      </c>
      <c r="B176">
        <v>35</v>
      </c>
    </row>
    <row r="177" spans="1:2" x14ac:dyDescent="0.3">
      <c r="A177" t="s">
        <v>435</v>
      </c>
      <c r="B177">
        <v>36</v>
      </c>
    </row>
    <row r="178" spans="1:2" x14ac:dyDescent="0.3">
      <c r="A178" t="s">
        <v>436</v>
      </c>
      <c r="B178">
        <v>37</v>
      </c>
    </row>
    <row r="179" spans="1:2" x14ac:dyDescent="0.3">
      <c r="A179" t="s">
        <v>437</v>
      </c>
      <c r="B179">
        <v>38</v>
      </c>
    </row>
    <row r="180" spans="1:2" x14ac:dyDescent="0.3">
      <c r="A180" t="s">
        <v>438</v>
      </c>
      <c r="B180">
        <v>39</v>
      </c>
    </row>
    <row r="181" spans="1:2" x14ac:dyDescent="0.3">
      <c r="A181" t="s">
        <v>439</v>
      </c>
      <c r="B181">
        <v>40</v>
      </c>
    </row>
    <row r="182" spans="1:2" x14ac:dyDescent="0.3">
      <c r="A182" t="s">
        <v>440</v>
      </c>
      <c r="B182">
        <v>41</v>
      </c>
    </row>
    <row r="183" spans="1:2" x14ac:dyDescent="0.3">
      <c r="A183" t="s">
        <v>441</v>
      </c>
      <c r="B183">
        <v>42</v>
      </c>
    </row>
    <row r="184" spans="1:2" x14ac:dyDescent="0.3">
      <c r="A184" t="s">
        <v>442</v>
      </c>
      <c r="B184">
        <v>43</v>
      </c>
    </row>
    <row r="185" spans="1:2" x14ac:dyDescent="0.3">
      <c r="A185" t="s">
        <v>443</v>
      </c>
      <c r="B185">
        <v>44</v>
      </c>
    </row>
    <row r="186" spans="1:2" x14ac:dyDescent="0.3">
      <c r="A186" t="s">
        <v>444</v>
      </c>
      <c r="B186">
        <v>45</v>
      </c>
    </row>
    <row r="187" spans="1:2" x14ac:dyDescent="0.3">
      <c r="A187" t="s">
        <v>445</v>
      </c>
      <c r="B187">
        <v>46</v>
      </c>
    </row>
    <row r="188" spans="1:2" x14ac:dyDescent="0.3">
      <c r="A188" t="s">
        <v>446</v>
      </c>
      <c r="B188">
        <v>47</v>
      </c>
    </row>
    <row r="189" spans="1:2" x14ac:dyDescent="0.3">
      <c r="A189" t="s">
        <v>447</v>
      </c>
      <c r="B189">
        <v>48</v>
      </c>
    </row>
    <row r="190" spans="1:2" x14ac:dyDescent="0.3">
      <c r="A190" t="s">
        <v>448</v>
      </c>
      <c r="B190">
        <v>49</v>
      </c>
    </row>
    <row r="191" spans="1:2" x14ac:dyDescent="0.3">
      <c r="A191" t="s">
        <v>449</v>
      </c>
      <c r="B191">
        <v>50</v>
      </c>
    </row>
    <row r="192" spans="1:2" x14ac:dyDescent="0.3">
      <c r="A192" t="s">
        <v>450</v>
      </c>
      <c r="B192">
        <v>51</v>
      </c>
    </row>
    <row r="193" spans="1:2" x14ac:dyDescent="0.3">
      <c r="A193" t="s">
        <v>451</v>
      </c>
      <c r="B193">
        <v>52</v>
      </c>
    </row>
    <row r="194" spans="1:2" x14ac:dyDescent="0.3">
      <c r="A194" t="s">
        <v>452</v>
      </c>
      <c r="B194">
        <v>54</v>
      </c>
    </row>
    <row r="195" spans="1:2" x14ac:dyDescent="0.3">
      <c r="A195" t="s">
        <v>453</v>
      </c>
      <c r="B195">
        <v>55</v>
      </c>
    </row>
    <row r="196" spans="1:2" x14ac:dyDescent="0.3">
      <c r="A196" t="s">
        <v>454</v>
      </c>
      <c r="B196">
        <v>56</v>
      </c>
    </row>
    <row r="197" spans="1:2" x14ac:dyDescent="0.3">
      <c r="A197" t="s">
        <v>455</v>
      </c>
      <c r="B197">
        <v>57</v>
      </c>
    </row>
    <row r="198" spans="1:2" x14ac:dyDescent="0.3">
      <c r="A198" t="s">
        <v>456</v>
      </c>
      <c r="B198">
        <v>58</v>
      </c>
    </row>
    <row r="199" spans="1:2" x14ac:dyDescent="0.3">
      <c r="A199" t="s">
        <v>457</v>
      </c>
      <c r="B199">
        <v>59</v>
      </c>
    </row>
    <row r="200" spans="1:2" x14ac:dyDescent="0.3">
      <c r="A200" t="s">
        <v>459</v>
      </c>
      <c r="B200" t="s">
        <v>460</v>
      </c>
    </row>
    <row r="201" spans="1:2" x14ac:dyDescent="0.3">
      <c r="A201" t="s">
        <v>461</v>
      </c>
      <c r="B201" t="s">
        <v>462</v>
      </c>
    </row>
    <row r="202" spans="1:2" x14ac:dyDescent="0.3">
      <c r="A202" t="s">
        <v>463</v>
      </c>
      <c r="B202" t="s">
        <v>464</v>
      </c>
    </row>
    <row r="203" spans="1:2" x14ac:dyDescent="0.3">
      <c r="A203" t="s">
        <v>465</v>
      </c>
      <c r="B203" t="s">
        <v>466</v>
      </c>
    </row>
    <row r="204" spans="1:2" x14ac:dyDescent="0.3">
      <c r="A204" t="s">
        <v>467</v>
      </c>
      <c r="B204" t="s">
        <v>468</v>
      </c>
    </row>
    <row r="205" spans="1:2" x14ac:dyDescent="0.3">
      <c r="A205" t="s">
        <v>469</v>
      </c>
      <c r="B205" t="s">
        <v>470</v>
      </c>
    </row>
    <row r="206" spans="1:2" x14ac:dyDescent="0.3">
      <c r="A206" t="s">
        <v>471</v>
      </c>
      <c r="B206" t="s">
        <v>472</v>
      </c>
    </row>
    <row r="207" spans="1:2" x14ac:dyDescent="0.3">
      <c r="A207" t="s">
        <v>473</v>
      </c>
      <c r="B207" t="s">
        <v>474</v>
      </c>
    </row>
    <row r="208" spans="1:2" x14ac:dyDescent="0.3">
      <c r="A208" t="s">
        <v>475</v>
      </c>
      <c r="B208" t="s">
        <v>476</v>
      </c>
    </row>
    <row r="209" spans="1:23" x14ac:dyDescent="0.3">
      <c r="A209" t="s">
        <v>481</v>
      </c>
      <c r="B209" t="s">
        <v>61</v>
      </c>
      <c r="C209" t="s">
        <v>67</v>
      </c>
      <c r="D209" t="s">
        <v>45</v>
      </c>
      <c r="E209" t="s">
        <v>51</v>
      </c>
      <c r="F209" t="s">
        <v>55</v>
      </c>
      <c r="G209" t="s">
        <v>39</v>
      </c>
      <c r="H209" t="s">
        <v>63</v>
      </c>
      <c r="I209" t="s">
        <v>79</v>
      </c>
      <c r="J209" t="s">
        <v>15</v>
      </c>
      <c r="K209" t="s">
        <v>75</v>
      </c>
      <c r="L209" t="s">
        <v>49</v>
      </c>
      <c r="M209" t="s">
        <v>69</v>
      </c>
      <c r="N209" t="s">
        <v>23</v>
      </c>
      <c r="O209" t="s">
        <v>65</v>
      </c>
      <c r="P209" t="s">
        <v>71</v>
      </c>
      <c r="Q209" t="s">
        <v>7</v>
      </c>
      <c r="R209" t="s">
        <v>11</v>
      </c>
      <c r="S209" t="s">
        <v>59</v>
      </c>
      <c r="T209" t="s">
        <v>41</v>
      </c>
      <c r="U209" t="s">
        <v>73</v>
      </c>
      <c r="V209" t="s">
        <v>47</v>
      </c>
      <c r="W209" t="s">
        <v>19</v>
      </c>
    </row>
    <row r="210" spans="1:23" x14ac:dyDescent="0.3">
      <c r="A210" t="s">
        <v>483</v>
      </c>
      <c r="B210">
        <v>1</v>
      </c>
    </row>
    <row r="211" spans="1:23" x14ac:dyDescent="0.3">
      <c r="A211" t="s">
        <v>484</v>
      </c>
      <c r="B211">
        <v>2</v>
      </c>
    </row>
    <row r="212" spans="1:23" x14ac:dyDescent="0.3">
      <c r="A212" t="s">
        <v>485</v>
      </c>
      <c r="B212">
        <v>3</v>
      </c>
    </row>
    <row r="213" spans="1:23" x14ac:dyDescent="0.3">
      <c r="A213" t="s">
        <v>486</v>
      </c>
      <c r="B213">
        <v>4</v>
      </c>
    </row>
    <row r="214" spans="1:23" x14ac:dyDescent="0.3">
      <c r="A214" t="s">
        <v>487</v>
      </c>
      <c r="B214">
        <v>5</v>
      </c>
    </row>
    <row r="215" spans="1:23" x14ac:dyDescent="0.3">
      <c r="A215" t="s">
        <v>488</v>
      </c>
      <c r="B215">
        <v>6</v>
      </c>
    </row>
    <row r="216" spans="1:23" x14ac:dyDescent="0.3">
      <c r="A216" t="s">
        <v>489</v>
      </c>
      <c r="B216">
        <v>7</v>
      </c>
    </row>
    <row r="217" spans="1:23" x14ac:dyDescent="0.3">
      <c r="A217" t="s">
        <v>490</v>
      </c>
      <c r="B217">
        <v>9</v>
      </c>
    </row>
    <row r="218" spans="1:23" x14ac:dyDescent="0.3">
      <c r="A218" t="s">
        <v>491</v>
      </c>
      <c r="B218">
        <v>10</v>
      </c>
    </row>
    <row r="219" spans="1:23" x14ac:dyDescent="0.3">
      <c r="A219" t="s">
        <v>492</v>
      </c>
      <c r="B219">
        <v>11</v>
      </c>
    </row>
    <row r="220" spans="1:23" x14ac:dyDescent="0.3">
      <c r="A220" t="s">
        <v>493</v>
      </c>
      <c r="B220">
        <v>12</v>
      </c>
    </row>
    <row r="221" spans="1:23" x14ac:dyDescent="0.3">
      <c r="A221" t="s">
        <v>494</v>
      </c>
      <c r="B221">
        <v>13</v>
      </c>
    </row>
    <row r="222" spans="1:23" x14ac:dyDescent="0.3">
      <c r="A222" t="s">
        <v>495</v>
      </c>
      <c r="B222">
        <v>14</v>
      </c>
    </row>
    <row r="223" spans="1:23" x14ac:dyDescent="0.3">
      <c r="A223" t="s">
        <v>496</v>
      </c>
      <c r="B223">
        <v>15</v>
      </c>
    </row>
    <row r="224" spans="1:23" x14ac:dyDescent="0.3">
      <c r="A224" t="s">
        <v>497</v>
      </c>
      <c r="B224">
        <v>16</v>
      </c>
    </row>
    <row r="225" spans="1:2" x14ac:dyDescent="0.3">
      <c r="A225" t="s">
        <v>498</v>
      </c>
      <c r="B225">
        <v>17</v>
      </c>
    </row>
    <row r="226" spans="1:2" x14ac:dyDescent="0.3">
      <c r="A226" t="s">
        <v>499</v>
      </c>
      <c r="B226">
        <v>18</v>
      </c>
    </row>
    <row r="227" spans="1:2" x14ac:dyDescent="0.3">
      <c r="A227" t="s">
        <v>500</v>
      </c>
      <c r="B227">
        <v>19</v>
      </c>
    </row>
    <row r="228" spans="1:2" x14ac:dyDescent="0.3">
      <c r="A228" t="s">
        <v>501</v>
      </c>
      <c r="B228">
        <v>20</v>
      </c>
    </row>
    <row r="229" spans="1:2" x14ac:dyDescent="0.3">
      <c r="A229" t="s">
        <v>502</v>
      </c>
      <c r="B229">
        <v>21</v>
      </c>
    </row>
    <row r="230" spans="1:2" x14ac:dyDescent="0.3">
      <c r="A230" t="s">
        <v>503</v>
      </c>
      <c r="B230">
        <v>22</v>
      </c>
    </row>
    <row r="231" spans="1:2" x14ac:dyDescent="0.3">
      <c r="A231" t="s">
        <v>504</v>
      </c>
      <c r="B231">
        <v>23</v>
      </c>
    </row>
    <row r="232" spans="1:2" x14ac:dyDescent="0.3">
      <c r="A232" t="s">
        <v>505</v>
      </c>
      <c r="B232">
        <v>24</v>
      </c>
    </row>
    <row r="233" spans="1:2" x14ac:dyDescent="0.3">
      <c r="A233" t="s">
        <v>506</v>
      </c>
      <c r="B233">
        <v>25</v>
      </c>
    </row>
    <row r="234" spans="1:2" x14ac:dyDescent="0.3">
      <c r="A234" t="s">
        <v>507</v>
      </c>
      <c r="B234">
        <v>26</v>
      </c>
    </row>
    <row r="235" spans="1:2" x14ac:dyDescent="0.3">
      <c r="A235" t="s">
        <v>508</v>
      </c>
      <c r="B235">
        <v>27</v>
      </c>
    </row>
    <row r="236" spans="1:2" x14ac:dyDescent="0.3">
      <c r="A236" t="s">
        <v>509</v>
      </c>
      <c r="B236">
        <v>28</v>
      </c>
    </row>
    <row r="237" spans="1:2" x14ac:dyDescent="0.3">
      <c r="A237" t="s">
        <v>510</v>
      </c>
      <c r="B237">
        <v>29</v>
      </c>
    </row>
    <row r="238" spans="1:2" x14ac:dyDescent="0.3">
      <c r="A238" t="s">
        <v>511</v>
      </c>
      <c r="B238">
        <v>30</v>
      </c>
    </row>
    <row r="239" spans="1:2" x14ac:dyDescent="0.3">
      <c r="A239" t="s">
        <v>512</v>
      </c>
      <c r="B239">
        <v>31</v>
      </c>
    </row>
    <row r="240" spans="1:2" x14ac:dyDescent="0.3">
      <c r="A240" t="s">
        <v>513</v>
      </c>
      <c r="B240">
        <v>33</v>
      </c>
    </row>
    <row r="241" spans="1:2" x14ac:dyDescent="0.3">
      <c r="A241" t="s">
        <v>514</v>
      </c>
      <c r="B241">
        <v>34</v>
      </c>
    </row>
    <row r="242" spans="1:2" x14ac:dyDescent="0.3">
      <c r="A242" t="s">
        <v>515</v>
      </c>
      <c r="B242">
        <v>35</v>
      </c>
    </row>
    <row r="243" spans="1:2" x14ac:dyDescent="0.3">
      <c r="A243" t="s">
        <v>516</v>
      </c>
      <c r="B243">
        <v>36</v>
      </c>
    </row>
    <row r="244" spans="1:2" x14ac:dyDescent="0.3">
      <c r="A244" t="s">
        <v>517</v>
      </c>
      <c r="B244">
        <v>37</v>
      </c>
    </row>
    <row r="245" spans="1:2" x14ac:dyDescent="0.3">
      <c r="A245" t="s">
        <v>518</v>
      </c>
      <c r="B245">
        <v>38</v>
      </c>
    </row>
    <row r="246" spans="1:2" x14ac:dyDescent="0.3">
      <c r="A246" t="s">
        <v>519</v>
      </c>
      <c r="B246">
        <v>39</v>
      </c>
    </row>
    <row r="247" spans="1:2" x14ac:dyDescent="0.3">
      <c r="A247" t="s">
        <v>520</v>
      </c>
      <c r="B247">
        <v>40</v>
      </c>
    </row>
    <row r="248" spans="1:2" x14ac:dyDescent="0.3">
      <c r="A248" t="s">
        <v>521</v>
      </c>
      <c r="B248">
        <v>41</v>
      </c>
    </row>
    <row r="249" spans="1:2" x14ac:dyDescent="0.3">
      <c r="A249" t="s">
        <v>522</v>
      </c>
      <c r="B249">
        <v>42</v>
      </c>
    </row>
    <row r="250" spans="1:2" x14ac:dyDescent="0.3">
      <c r="A250" t="s">
        <v>523</v>
      </c>
      <c r="B250">
        <v>43</v>
      </c>
    </row>
    <row r="251" spans="1:2" x14ac:dyDescent="0.3">
      <c r="A251" t="s">
        <v>524</v>
      </c>
      <c r="B251">
        <v>44</v>
      </c>
    </row>
    <row r="252" spans="1:2" x14ac:dyDescent="0.3">
      <c r="A252" t="s">
        <v>525</v>
      </c>
      <c r="B252">
        <v>45</v>
      </c>
    </row>
    <row r="253" spans="1:2" x14ac:dyDescent="0.3">
      <c r="A253" t="s">
        <v>526</v>
      </c>
      <c r="B253">
        <v>46</v>
      </c>
    </row>
    <row r="254" spans="1:2" x14ac:dyDescent="0.3">
      <c r="A254" t="s">
        <v>527</v>
      </c>
      <c r="B254">
        <v>47</v>
      </c>
    </row>
    <row r="255" spans="1:2" x14ac:dyDescent="0.3">
      <c r="A255" t="s">
        <v>528</v>
      </c>
      <c r="B255">
        <v>48</v>
      </c>
    </row>
    <row r="256" spans="1:2" x14ac:dyDescent="0.3">
      <c r="A256" t="s">
        <v>529</v>
      </c>
      <c r="B256">
        <v>49</v>
      </c>
    </row>
    <row r="257" spans="1:2" x14ac:dyDescent="0.3">
      <c r="A257" t="s">
        <v>530</v>
      </c>
      <c r="B257">
        <v>50</v>
      </c>
    </row>
    <row r="258" spans="1:2" x14ac:dyDescent="0.3">
      <c r="A258" t="s">
        <v>531</v>
      </c>
      <c r="B258">
        <v>51</v>
      </c>
    </row>
    <row r="259" spans="1:2" x14ac:dyDescent="0.3">
      <c r="A259" t="s">
        <v>532</v>
      </c>
      <c r="B259">
        <v>52</v>
      </c>
    </row>
    <row r="260" spans="1:2" x14ac:dyDescent="0.3">
      <c r="A260" t="s">
        <v>533</v>
      </c>
      <c r="B260">
        <v>53</v>
      </c>
    </row>
    <row r="261" spans="1:2" x14ac:dyDescent="0.3">
      <c r="A261" t="s">
        <v>534</v>
      </c>
      <c r="B261">
        <v>54</v>
      </c>
    </row>
    <row r="262" spans="1:2" x14ac:dyDescent="0.3">
      <c r="A262" t="s">
        <v>535</v>
      </c>
      <c r="B262">
        <v>55</v>
      </c>
    </row>
    <row r="263" spans="1:2" x14ac:dyDescent="0.3">
      <c r="A263" t="s">
        <v>536</v>
      </c>
      <c r="B263">
        <v>57</v>
      </c>
    </row>
    <row r="264" spans="1:2" x14ac:dyDescent="0.3">
      <c r="A264" t="s">
        <v>537</v>
      </c>
      <c r="B264">
        <v>58</v>
      </c>
    </row>
    <row r="265" spans="1:2" x14ac:dyDescent="0.3">
      <c r="A265" t="s">
        <v>538</v>
      </c>
      <c r="B265">
        <v>59</v>
      </c>
    </row>
    <row r="266" spans="1:2" x14ac:dyDescent="0.3">
      <c r="A266" t="s">
        <v>539</v>
      </c>
      <c r="B266">
        <v>60</v>
      </c>
    </row>
    <row r="267" spans="1:2" x14ac:dyDescent="0.3">
      <c r="A267" t="s">
        <v>540</v>
      </c>
      <c r="B267">
        <v>62</v>
      </c>
    </row>
    <row r="268" spans="1:2" x14ac:dyDescent="0.3">
      <c r="A268" t="s">
        <v>541</v>
      </c>
      <c r="B268">
        <v>63</v>
      </c>
    </row>
    <row r="269" spans="1:2" x14ac:dyDescent="0.3">
      <c r="A269" t="s">
        <v>542</v>
      </c>
      <c r="B269">
        <v>64</v>
      </c>
    </row>
    <row r="270" spans="1:2" x14ac:dyDescent="0.3">
      <c r="A270" t="s">
        <v>543</v>
      </c>
      <c r="B270">
        <v>65</v>
      </c>
    </row>
    <row r="271" spans="1:2" x14ac:dyDescent="0.3">
      <c r="A271" t="s">
        <v>544</v>
      </c>
      <c r="B271">
        <v>66</v>
      </c>
    </row>
    <row r="272" spans="1:2" x14ac:dyDescent="0.3">
      <c r="A272" t="s">
        <v>545</v>
      </c>
      <c r="B272">
        <v>68</v>
      </c>
    </row>
    <row r="273" spans="1:24" x14ac:dyDescent="0.3">
      <c r="A273" t="s">
        <v>546</v>
      </c>
      <c r="B273">
        <v>69</v>
      </c>
    </row>
    <row r="274" spans="1:24" x14ac:dyDescent="0.3">
      <c r="A274" t="s">
        <v>547</v>
      </c>
      <c r="B274">
        <v>70</v>
      </c>
    </row>
    <row r="275" spans="1:24" x14ac:dyDescent="0.3">
      <c r="A275" t="s">
        <v>548</v>
      </c>
      <c r="B275">
        <v>71</v>
      </c>
    </row>
    <row r="276" spans="1:24" x14ac:dyDescent="0.3">
      <c r="A276" t="s">
        <v>549</v>
      </c>
      <c r="B276">
        <v>72</v>
      </c>
    </row>
    <row r="277" spans="1:24" x14ac:dyDescent="0.3">
      <c r="A277" t="s">
        <v>551</v>
      </c>
      <c r="B277" t="s">
        <v>552</v>
      </c>
    </row>
    <row r="278" spans="1:24" x14ac:dyDescent="0.3">
      <c r="A278" t="s">
        <v>553</v>
      </c>
      <c r="B278" t="s">
        <v>554</v>
      </c>
    </row>
    <row r="279" spans="1:24" x14ac:dyDescent="0.3">
      <c r="A279" t="s">
        <v>555</v>
      </c>
      <c r="B279" t="s">
        <v>556</v>
      </c>
    </row>
    <row r="280" spans="1:24" x14ac:dyDescent="0.3">
      <c r="A280" t="s">
        <v>557</v>
      </c>
      <c r="B280" t="s">
        <v>558</v>
      </c>
    </row>
    <row r="281" spans="1:24" x14ac:dyDescent="0.3">
      <c r="A281" t="s">
        <v>559</v>
      </c>
      <c r="B281" t="s">
        <v>560</v>
      </c>
    </row>
    <row r="282" spans="1:24" x14ac:dyDescent="0.3">
      <c r="A282" t="s">
        <v>561</v>
      </c>
      <c r="B282" t="s">
        <v>562</v>
      </c>
    </row>
    <row r="283" spans="1:24" x14ac:dyDescent="0.3">
      <c r="A283" t="s">
        <v>563</v>
      </c>
      <c r="B283" t="s">
        <v>564</v>
      </c>
    </row>
    <row r="284" spans="1:24" x14ac:dyDescent="0.3">
      <c r="A284" t="s">
        <v>565</v>
      </c>
      <c r="B284" t="s">
        <v>566</v>
      </c>
    </row>
    <row r="285" spans="1:24" x14ac:dyDescent="0.3">
      <c r="A285" t="s">
        <v>567</v>
      </c>
      <c r="B285" t="s">
        <v>568</v>
      </c>
    </row>
    <row r="286" spans="1:24" x14ac:dyDescent="0.3">
      <c r="A286" t="s">
        <v>573</v>
      </c>
      <c r="B286" t="s">
        <v>25</v>
      </c>
      <c r="C286" t="s">
        <v>23</v>
      </c>
      <c r="D286" t="s">
        <v>15</v>
      </c>
      <c r="E286" t="s">
        <v>19</v>
      </c>
      <c r="F286" t="s">
        <v>49</v>
      </c>
      <c r="G286" t="s">
        <v>21</v>
      </c>
      <c r="H286" t="s">
        <v>63</v>
      </c>
      <c r="I286" t="s">
        <v>7</v>
      </c>
      <c r="J286" t="s">
        <v>51</v>
      </c>
      <c r="K286" t="s">
        <v>67</v>
      </c>
      <c r="L286" t="s">
        <v>59</v>
      </c>
      <c r="M286" t="s">
        <v>11</v>
      </c>
      <c r="N286" t="s">
        <v>75</v>
      </c>
      <c r="O286" t="s">
        <v>55</v>
      </c>
      <c r="P286" t="s">
        <v>69</v>
      </c>
      <c r="Q286" t="s">
        <v>65</v>
      </c>
      <c r="R286" t="s">
        <v>71</v>
      </c>
      <c r="S286" t="s">
        <v>41</v>
      </c>
      <c r="T286" t="s">
        <v>73</v>
      </c>
      <c r="U286" t="s">
        <v>47</v>
      </c>
      <c r="V286" t="s">
        <v>39</v>
      </c>
      <c r="W286" t="s">
        <v>45</v>
      </c>
      <c r="X286" t="s">
        <v>61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9"/>
  <sheetViews>
    <sheetView zoomScale="85" zoomScaleNormal="85" workbookViewId="0">
      <pane xSplit="2" ySplit="4" topLeftCell="AM5" activePane="bottomRight" state="frozen"/>
      <selection activeCell="BJ29" sqref="BJ29"/>
      <selection pane="topRight" activeCell="BJ29" sqref="BJ29"/>
      <selection pane="bottomLeft" activeCell="BJ29" sqref="BJ29"/>
      <selection pane="bottomRight" activeCell="BJ29" sqref="BJ29"/>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2" max="62" width="8.77734375" customWidth="1"/>
    <col min="63" max="63" width="9.5546875" customWidth="1"/>
    <col min="64" max="64" width="10.109375" customWidth="1"/>
  </cols>
  <sheetData>
    <row r="1" spans="1:65" x14ac:dyDescent="0.3">
      <c r="A1" s="74" t="s">
        <v>378</v>
      </c>
      <c r="B1" s="74"/>
      <c r="C1" s="74"/>
      <c r="D1" s="74"/>
      <c r="E1" s="74"/>
      <c r="F1" s="74"/>
      <c r="H1" s="66" t="s">
        <v>2</v>
      </c>
      <c r="I1" s="66"/>
      <c r="J1" s="66"/>
      <c r="K1" s="66"/>
      <c r="L1" s="66"/>
      <c r="M1" s="66"/>
      <c r="N1" s="66"/>
      <c r="O1" s="66"/>
      <c r="P1" s="66"/>
      <c r="Q1" s="66"/>
      <c r="R1" s="66"/>
      <c r="S1" s="66"/>
      <c r="T1" s="66"/>
      <c r="U1" s="66"/>
      <c r="V1" s="66"/>
      <c r="W1" s="66"/>
      <c r="X1" s="66"/>
      <c r="Y1" s="66"/>
      <c r="Z1" s="66"/>
      <c r="AA1" s="66"/>
      <c r="AB1" s="66"/>
      <c r="AC1" s="66"/>
      <c r="AE1" s="67" t="s">
        <v>3</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35">
      <c r="A2" s="76" t="s">
        <v>93</v>
      </c>
      <c r="B2" s="75" t="s">
        <v>96</v>
      </c>
      <c r="C2" s="76" t="s">
        <v>102</v>
      </c>
      <c r="D2" s="75" t="s">
        <v>105</v>
      </c>
      <c r="E2" s="76" t="s">
        <v>108</v>
      </c>
      <c r="F2" s="75" t="s">
        <v>111</v>
      </c>
      <c r="H2" s="76" t="s">
        <v>321</v>
      </c>
      <c r="I2" s="75" t="s">
        <v>114</v>
      </c>
      <c r="J2" s="73" t="s">
        <v>117</v>
      </c>
      <c r="K2" s="73"/>
      <c r="L2" s="73"/>
      <c r="M2" s="73"/>
      <c r="N2" s="76" t="s">
        <v>130</v>
      </c>
      <c r="O2" s="75" t="s">
        <v>133</v>
      </c>
      <c r="P2" s="76" t="s">
        <v>24</v>
      </c>
      <c r="Q2" s="72" t="s">
        <v>142</v>
      </c>
      <c r="R2" s="72"/>
      <c r="S2" s="72"/>
      <c r="T2" s="72"/>
      <c r="U2" s="73" t="s">
        <v>153</v>
      </c>
      <c r="V2" s="73"/>
      <c r="W2" s="72" t="s">
        <v>160</v>
      </c>
      <c r="X2" s="72"/>
      <c r="Y2" s="72"/>
      <c r="Z2" s="73" t="s">
        <v>170</v>
      </c>
      <c r="AA2" s="73"/>
      <c r="AB2" s="72" t="s">
        <v>177</v>
      </c>
      <c r="AC2" s="72"/>
      <c r="AE2" s="76" t="s">
        <v>321</v>
      </c>
      <c r="AF2" s="75" t="s">
        <v>114</v>
      </c>
      <c r="AG2" s="73" t="s">
        <v>117</v>
      </c>
      <c r="AH2" s="73"/>
      <c r="AI2" s="73"/>
      <c r="AJ2" s="73"/>
      <c r="AK2" s="76" t="s">
        <v>192</v>
      </c>
      <c r="AL2" s="75" t="s">
        <v>133</v>
      </c>
      <c r="AM2" s="76" t="s">
        <v>24</v>
      </c>
      <c r="AN2" s="72" t="s">
        <v>142</v>
      </c>
      <c r="AO2" s="72"/>
      <c r="AP2" s="72"/>
      <c r="AQ2" s="72"/>
      <c r="AR2" s="73" t="s">
        <v>153</v>
      </c>
      <c r="AS2" s="73"/>
      <c r="AT2" s="72" t="s">
        <v>160</v>
      </c>
      <c r="AU2" s="72"/>
      <c r="AV2" s="72"/>
      <c r="AW2" s="73" t="s">
        <v>170</v>
      </c>
      <c r="AX2" s="73"/>
      <c r="AY2" s="72" t="s">
        <v>177</v>
      </c>
      <c r="AZ2" s="72"/>
      <c r="BB2" s="73" t="s">
        <v>368</v>
      </c>
      <c r="BC2" s="73"/>
      <c r="BD2" s="73"/>
      <c r="BE2" s="73"/>
      <c r="BF2" s="75" t="s">
        <v>235</v>
      </c>
      <c r="BG2" s="76" t="s">
        <v>235</v>
      </c>
      <c r="BI2" s="69" t="s">
        <v>576</v>
      </c>
      <c r="BJ2" s="68" t="s">
        <v>582</v>
      </c>
      <c r="BK2" s="68"/>
      <c r="BL2" s="68"/>
      <c r="BM2" s="68"/>
    </row>
    <row r="3" spans="1:65" ht="29.4" thickBot="1" x14ac:dyDescent="0.35">
      <c r="A3" s="76"/>
      <c r="B3" s="75"/>
      <c r="C3" s="76"/>
      <c r="D3" s="75"/>
      <c r="E3" s="76"/>
      <c r="F3" s="75"/>
      <c r="H3" s="76"/>
      <c r="I3" s="75"/>
      <c r="J3" s="11" t="s">
        <v>118</v>
      </c>
      <c r="K3" s="11" t="s">
        <v>121</v>
      </c>
      <c r="L3" s="11" t="s">
        <v>124</v>
      </c>
      <c r="M3" s="11" t="s">
        <v>127</v>
      </c>
      <c r="N3" s="76"/>
      <c r="O3" s="75"/>
      <c r="P3" s="76"/>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76"/>
      <c r="AF3" s="75"/>
      <c r="AG3" s="11" t="s">
        <v>118</v>
      </c>
      <c r="AH3" s="11" t="s">
        <v>121</v>
      </c>
      <c r="AI3" s="11" t="s">
        <v>124</v>
      </c>
      <c r="AJ3" s="11" t="s">
        <v>127</v>
      </c>
      <c r="AK3" s="76"/>
      <c r="AL3" s="75"/>
      <c r="AM3" s="76"/>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5"/>
      <c r="BG3" s="76"/>
      <c r="BI3" s="69"/>
      <c r="BJ3" s="58" t="s">
        <v>118</v>
      </c>
      <c r="BK3" s="58" t="s">
        <v>124</v>
      </c>
      <c r="BL3" s="58" t="s">
        <v>147</v>
      </c>
      <c r="BM3" s="58" t="s">
        <v>150</v>
      </c>
    </row>
    <row r="4" spans="1:65" ht="120.6" hidden="1" thickBot="1" x14ac:dyDescent="0.3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3">
      <c r="A5" s="15" t="s">
        <v>270</v>
      </c>
      <c r="B5" s="15" t="s">
        <v>269</v>
      </c>
      <c r="C5" s="15">
        <v>24964341</v>
      </c>
      <c r="D5" s="16">
        <v>10</v>
      </c>
      <c r="E5" s="16">
        <v>32</v>
      </c>
      <c r="F5" s="16">
        <v>30</v>
      </c>
      <c r="H5" s="24">
        <f t="shared" ref="H5:H11" si="0">IF(ISBLANK(Q5),"·",Q5/(C5*(D5*3+IF(AND(ISNUMBER(T5),T5&gt;0),24,0))))</f>
        <v>0.16394995832922915</v>
      </c>
      <c r="I5" s="17">
        <f t="shared" ref="I5:I11" si="1">IF(OR(ISBLANK(Q5),ISBLANK(F5)),"·",Q5*F5/E5/1000000)</f>
        <v>207.20319749999999</v>
      </c>
      <c r="J5" s="18">
        <f t="shared" ref="J5:J11" si="2">IF(ISBLANK(Q5),"·",Q5/C5)</f>
        <v>8.853297749778374</v>
      </c>
      <c r="K5" s="18">
        <f t="shared" ref="K5:K11" si="3">IF(N5="","·",N5/C5)</f>
        <v>1.3717421982018272</v>
      </c>
      <c r="L5" s="18">
        <f t="shared" ref="L5:L11" si="4">IF(R5="","·",R5/C5)</f>
        <v>1.2912577984734306</v>
      </c>
      <c r="M5" s="18">
        <f t="shared" ref="M5:M11" si="5">IF(ISBLANK(T5),"·",T5/C5)</f>
        <v>7.4815555515765464</v>
      </c>
      <c r="N5" s="15">
        <f t="shared" ref="N5:N11" si="6">IF(OR(ISBLANK(R5),ISBLANK(S5)),"",R5+S5)</f>
        <v>34244640</v>
      </c>
      <c r="O5" s="18">
        <f t="shared" ref="O5:O11" si="7">IF(ISBLANK(Q5),"·",Q5/P5)</f>
        <v>8.853297749778374</v>
      </c>
      <c r="P5" s="19">
        <v>24964341</v>
      </c>
      <c r="Q5" s="20">
        <v>221016744</v>
      </c>
      <c r="R5" s="20">
        <v>32235400</v>
      </c>
      <c r="S5" s="20">
        <v>2009240</v>
      </c>
      <c r="T5" s="20">
        <v>186772104</v>
      </c>
      <c r="U5" s="21" t="s">
        <v>575</v>
      </c>
      <c r="V5" s="21" t="s">
        <v>575</v>
      </c>
      <c r="W5" s="21" t="s">
        <v>575</v>
      </c>
      <c r="X5" s="21" t="s">
        <v>575</v>
      </c>
      <c r="Y5" s="21" t="s">
        <v>575</v>
      </c>
      <c r="Z5" s="22">
        <v>78934.3</v>
      </c>
      <c r="AA5" s="22">
        <v>33040.1</v>
      </c>
      <c r="AB5" s="22">
        <v>5.81</v>
      </c>
      <c r="AC5" s="22">
        <v>29.593</v>
      </c>
      <c r="AE5" s="24">
        <f t="shared" ref="AE5:AE11" si="8">IF(ISBLANK(Q5),"·",Q5/(C5*(D5*3+IF(AND(ISNUMBER(T5),T5&gt;0),24,0))))</f>
        <v>0.16394995832922915</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-221016744</v>
      </c>
      <c r="BK5" s="4">
        <f t="shared" si="21"/>
        <v>-32235400</v>
      </c>
      <c r="BL5" s="4">
        <f t="shared" si="21"/>
        <v>-2009240</v>
      </c>
      <c r="BM5" s="4">
        <f t="shared" si="21"/>
        <v>-186772104</v>
      </c>
    </row>
    <row r="6" spans="1:65" collapsed="1" x14ac:dyDescent="0.3">
      <c r="A6" s="25"/>
      <c r="B6" s="25" t="s">
        <v>278</v>
      </c>
      <c r="C6" s="25">
        <v>22654789</v>
      </c>
      <c r="D6" s="26">
        <v>10</v>
      </c>
      <c r="E6" s="26">
        <v>32</v>
      </c>
      <c r="F6" s="26">
        <v>30</v>
      </c>
      <c r="H6" s="34">
        <f t="shared" si="0"/>
        <v>0.23576351086706623</v>
      </c>
      <c r="I6" s="27">
        <f t="shared" si="1"/>
        <v>270.3968625</v>
      </c>
      <c r="J6" s="28">
        <f t="shared" si="2"/>
        <v>12.731229586821577</v>
      </c>
      <c r="K6" s="28">
        <f t="shared" si="3"/>
        <v>1.6708742685707645</v>
      </c>
      <c r="L6" s="28">
        <f t="shared" si="4"/>
        <v>1.5314953496146002</v>
      </c>
      <c r="M6" s="28">
        <f t="shared" si="5"/>
        <v>11.060355318250812</v>
      </c>
      <c r="N6" s="25">
        <f t="shared" si="6"/>
        <v>37853304</v>
      </c>
      <c r="O6" s="28">
        <f t="shared" si="7"/>
        <v>12.731229586821577</v>
      </c>
      <c r="P6" s="29">
        <v>22654789</v>
      </c>
      <c r="Q6" s="30">
        <v>288423320</v>
      </c>
      <c r="R6" s="30">
        <v>34695704</v>
      </c>
      <c r="S6" s="30">
        <v>3157600</v>
      </c>
      <c r="T6" s="30">
        <v>250570016</v>
      </c>
      <c r="U6" s="31" t="s">
        <v>575</v>
      </c>
      <c r="V6" s="31" t="s">
        <v>575</v>
      </c>
      <c r="W6" s="31" t="s">
        <v>575</v>
      </c>
      <c r="X6" s="31" t="s">
        <v>575</v>
      </c>
      <c r="Y6" s="31" t="s">
        <v>575</v>
      </c>
      <c r="Z6" s="32">
        <v>97306.1</v>
      </c>
      <c r="AA6" s="32">
        <v>27424.1</v>
      </c>
      <c r="AB6" s="32">
        <v>9.6950000000000003</v>
      </c>
      <c r="AC6" s="32">
        <v>37.750999999999998</v>
      </c>
      <c r="AE6" s="34">
        <f t="shared" si="8"/>
        <v>0.23576351086706623</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-288423320</v>
      </c>
      <c r="BK6" s="4">
        <f t="shared" si="21"/>
        <v>-34695704</v>
      </c>
      <c r="BL6" s="4">
        <f t="shared" si="21"/>
        <v>-3157600</v>
      </c>
      <c r="BM6" s="4">
        <f t="shared" si="21"/>
        <v>-250570016</v>
      </c>
    </row>
    <row r="7" spans="1:65" collapsed="1" x14ac:dyDescent="0.3">
      <c r="A7" s="15"/>
      <c r="B7" s="15" t="s">
        <v>281</v>
      </c>
      <c r="C7" s="15">
        <v>33947718</v>
      </c>
      <c r="D7" s="16">
        <v>10</v>
      </c>
      <c r="E7" s="16">
        <v>32</v>
      </c>
      <c r="F7" s="16">
        <v>30</v>
      </c>
      <c r="H7" s="24">
        <f t="shared" si="0"/>
        <v>0.18253142910759071</v>
      </c>
      <c r="I7" s="17">
        <f t="shared" si="1"/>
        <v>313.69910249999998</v>
      </c>
      <c r="J7" s="18">
        <f t="shared" si="2"/>
        <v>9.8566971718098984</v>
      </c>
      <c r="K7" s="18">
        <f t="shared" si="3"/>
        <v>1.6161107500657335</v>
      </c>
      <c r="L7" s="18">
        <f t="shared" si="4"/>
        <v>1.5009696969911204</v>
      </c>
      <c r="M7" s="18">
        <f t="shared" si="5"/>
        <v>8.2405864217441653</v>
      </c>
      <c r="N7" s="15">
        <f t="shared" si="6"/>
        <v>54863272</v>
      </c>
      <c r="O7" s="18">
        <f t="shared" si="7"/>
        <v>9.8566971718098984</v>
      </c>
      <c r="P7" s="19">
        <v>33947718</v>
      </c>
      <c r="Q7" s="20">
        <v>334612376</v>
      </c>
      <c r="R7" s="20">
        <v>50954496</v>
      </c>
      <c r="S7" s="20">
        <v>3908776</v>
      </c>
      <c r="T7" s="20">
        <v>279749104</v>
      </c>
      <c r="U7" s="21" t="s">
        <v>575</v>
      </c>
      <c r="V7" s="21" t="s">
        <v>575</v>
      </c>
      <c r="W7" s="21" t="s">
        <v>575</v>
      </c>
      <c r="X7" s="21" t="s">
        <v>575</v>
      </c>
      <c r="Y7" s="21" t="s">
        <v>575</v>
      </c>
      <c r="Z7" s="22">
        <v>105368</v>
      </c>
      <c r="AA7" s="22">
        <v>29779.200000000001</v>
      </c>
      <c r="AB7" s="22">
        <v>6.62</v>
      </c>
      <c r="AC7" s="22">
        <v>30.815000000000001</v>
      </c>
      <c r="AE7" s="24">
        <f t="shared" si="8"/>
        <v>0.18253142910759071</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-334612376</v>
      </c>
      <c r="BK7" s="4">
        <f t="shared" si="21"/>
        <v>-50954496</v>
      </c>
      <c r="BL7" s="4">
        <f t="shared" si="21"/>
        <v>-3908776</v>
      </c>
      <c r="BM7" s="4">
        <f t="shared" si="21"/>
        <v>-279749104</v>
      </c>
    </row>
    <row r="8" spans="1:65" ht="15" collapsed="1" thickBot="1" x14ac:dyDescent="0.35">
      <c r="A8" s="45"/>
      <c r="B8" s="45" t="s">
        <v>284</v>
      </c>
      <c r="C8" s="45">
        <v>32209643</v>
      </c>
      <c r="D8" s="46">
        <v>10</v>
      </c>
      <c r="E8" s="46">
        <v>32</v>
      </c>
      <c r="F8" s="46">
        <v>50</v>
      </c>
      <c r="H8" s="54">
        <f t="shared" si="0"/>
        <v>0.14625691327789517</v>
      </c>
      <c r="I8" s="47">
        <f t="shared" si="1"/>
        <v>397.48075</v>
      </c>
      <c r="J8" s="48">
        <f t="shared" si="2"/>
        <v>7.8978733170063391</v>
      </c>
      <c r="K8" s="48">
        <f t="shared" si="3"/>
        <v>1.240439703103819</v>
      </c>
      <c r="L8" s="48">
        <f t="shared" si="4"/>
        <v>1.0881243235139242</v>
      </c>
      <c r="M8" s="48">
        <f t="shared" si="5"/>
        <v>6.6574336139025201</v>
      </c>
      <c r="N8" s="45">
        <f t="shared" si="6"/>
        <v>39954120</v>
      </c>
      <c r="O8" s="48">
        <f t="shared" si="7"/>
        <v>7.8978733170063391</v>
      </c>
      <c r="P8" s="49">
        <v>32209643</v>
      </c>
      <c r="Q8" s="50">
        <v>254387680</v>
      </c>
      <c r="R8" s="50">
        <v>35048096</v>
      </c>
      <c r="S8" s="50">
        <v>4906024</v>
      </c>
      <c r="T8" s="50">
        <v>214433560</v>
      </c>
      <c r="U8" s="51" t="s">
        <v>575</v>
      </c>
      <c r="V8" s="51" t="s">
        <v>575</v>
      </c>
      <c r="W8" s="51" t="s">
        <v>575</v>
      </c>
      <c r="X8" s="51" t="s">
        <v>575</v>
      </c>
      <c r="Y8" s="51" t="s">
        <v>575</v>
      </c>
      <c r="Z8" s="52">
        <v>148961</v>
      </c>
      <c r="AA8" s="52">
        <v>8406.5499999999993</v>
      </c>
      <c r="AB8" s="52">
        <v>6.4</v>
      </c>
      <c r="AC8" s="52">
        <v>26.911999999999999</v>
      </c>
      <c r="AE8" s="54">
        <f t="shared" si="8"/>
        <v>0.14625691327789517</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-254387680</v>
      </c>
      <c r="BK8" s="4">
        <f t="shared" si="21"/>
        <v>-35048096</v>
      </c>
      <c r="BL8" s="4">
        <f t="shared" si="21"/>
        <v>-4906024</v>
      </c>
      <c r="BM8" s="4">
        <f t="shared" si="21"/>
        <v>-214433560</v>
      </c>
    </row>
    <row r="9" spans="1:65" ht="15" collapsed="1" thickBot="1" x14ac:dyDescent="0.35">
      <c r="A9" s="35" t="s">
        <v>288</v>
      </c>
      <c r="B9" s="35" t="s">
        <v>287</v>
      </c>
      <c r="C9" s="35">
        <v>25312408</v>
      </c>
      <c r="D9" s="36">
        <v>10</v>
      </c>
      <c r="E9" s="36">
        <v>32</v>
      </c>
      <c r="F9" s="36">
        <v>30</v>
      </c>
      <c r="H9" s="44">
        <f t="shared" si="0"/>
        <v>0.2783452640653109</v>
      </c>
      <c r="I9" s="37">
        <f t="shared" si="1"/>
        <v>356.68293749999998</v>
      </c>
      <c r="J9" s="38">
        <f t="shared" si="2"/>
        <v>15.03064425952679</v>
      </c>
      <c r="K9" s="38">
        <f t="shared" si="3"/>
        <v>1.5107054216256313</v>
      </c>
      <c r="L9" s="38">
        <f t="shared" si="4"/>
        <v>1.4114396386151804</v>
      </c>
      <c r="M9" s="38">
        <f t="shared" si="5"/>
        <v>13.51993883790116</v>
      </c>
      <c r="N9" s="35">
        <f t="shared" si="6"/>
        <v>38239592</v>
      </c>
      <c r="O9" s="38">
        <f t="shared" si="7"/>
        <v>15.03064425952679</v>
      </c>
      <c r="P9" s="39">
        <v>25312408</v>
      </c>
      <c r="Q9" s="40">
        <v>380461800</v>
      </c>
      <c r="R9" s="40">
        <v>35726936</v>
      </c>
      <c r="S9" s="40">
        <v>2512656</v>
      </c>
      <c r="T9" s="40">
        <v>342222208</v>
      </c>
      <c r="U9" s="41" t="s">
        <v>575</v>
      </c>
      <c r="V9" s="41" t="s">
        <v>575</v>
      </c>
      <c r="W9" s="41" t="s">
        <v>575</v>
      </c>
      <c r="X9" s="41" t="s">
        <v>575</v>
      </c>
      <c r="Y9" s="41" t="s">
        <v>575</v>
      </c>
      <c r="Z9" s="42">
        <v>127239</v>
      </c>
      <c r="AA9" s="42">
        <v>15500.5</v>
      </c>
      <c r="AB9" s="42">
        <v>7.1219999999999999</v>
      </c>
      <c r="AC9" s="42">
        <v>38.755000000000003</v>
      </c>
      <c r="AE9" s="44">
        <f t="shared" si="8"/>
        <v>0.2783452640653109</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-380461800</v>
      </c>
      <c r="BK9" s="4">
        <f t="shared" si="21"/>
        <v>-35726936</v>
      </c>
      <c r="BL9" s="4">
        <f t="shared" si="21"/>
        <v>-2512656</v>
      </c>
      <c r="BM9" s="4">
        <f t="shared" si="21"/>
        <v>-342222208</v>
      </c>
    </row>
    <row r="10" spans="1:65" collapsed="1" x14ac:dyDescent="0.3">
      <c r="A10" s="25" t="s">
        <v>292</v>
      </c>
      <c r="B10" s="25" t="s">
        <v>291</v>
      </c>
      <c r="C10" s="25">
        <v>92854683</v>
      </c>
      <c r="D10" s="26">
        <v>11</v>
      </c>
      <c r="E10" s="26">
        <v>32</v>
      </c>
      <c r="F10" s="26">
        <v>30</v>
      </c>
      <c r="H10" s="34">
        <f t="shared" si="0"/>
        <v>0.17148679965934116</v>
      </c>
      <c r="I10" s="27">
        <f t="shared" si="1"/>
        <v>850.90414499999997</v>
      </c>
      <c r="J10" s="28">
        <f t="shared" si="2"/>
        <v>9.7747475805824457</v>
      </c>
      <c r="K10" s="28">
        <f t="shared" si="3"/>
        <v>1.1034275567986163</v>
      </c>
      <c r="L10" s="28">
        <f t="shared" si="4"/>
        <v>1.0557914025725552</v>
      </c>
      <c r="M10" s="28">
        <f t="shared" si="5"/>
        <v>8.6713200237838297</v>
      </c>
      <c r="N10" s="25">
        <f t="shared" si="6"/>
        <v>102458416</v>
      </c>
      <c r="O10" s="28">
        <f t="shared" si="7"/>
        <v>9.7747475805824457</v>
      </c>
      <c r="P10" s="29">
        <v>92854683</v>
      </c>
      <c r="Q10" s="30">
        <v>907631088</v>
      </c>
      <c r="R10" s="30">
        <v>98035176</v>
      </c>
      <c r="S10" s="30">
        <v>4423240</v>
      </c>
      <c r="T10" s="30">
        <v>805172672</v>
      </c>
      <c r="U10" s="31" t="s">
        <v>575</v>
      </c>
      <c r="V10" s="31" t="s">
        <v>575</v>
      </c>
      <c r="W10" s="31" t="s">
        <v>575</v>
      </c>
      <c r="X10" s="31" t="s">
        <v>575</v>
      </c>
      <c r="Y10" s="31" t="s">
        <v>575</v>
      </c>
      <c r="Z10" s="32">
        <v>160699</v>
      </c>
      <c r="AA10" s="32">
        <v>17156.099999999999</v>
      </c>
      <c r="AB10" s="32">
        <v>17.78</v>
      </c>
      <c r="AC10" s="32">
        <v>86.603999999999999</v>
      </c>
      <c r="AE10" s="34">
        <f t="shared" si="8"/>
        <v>0.17148679965934116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-907631088</v>
      </c>
      <c r="BK10" s="4">
        <f t="shared" si="21"/>
        <v>-98035176</v>
      </c>
      <c r="BL10" s="4">
        <f t="shared" si="21"/>
        <v>-4423240</v>
      </c>
      <c r="BM10" s="4">
        <f t="shared" si="21"/>
        <v>-805172672</v>
      </c>
    </row>
    <row r="11" spans="1:65" ht="15" collapsed="1" thickBot="1" x14ac:dyDescent="0.35">
      <c r="A11" s="35"/>
      <c r="B11" s="35" t="s">
        <v>295</v>
      </c>
      <c r="C11" s="35">
        <v>83104648</v>
      </c>
      <c r="D11" s="36">
        <v>11</v>
      </c>
      <c r="E11" s="36">
        <v>32</v>
      </c>
      <c r="F11" s="36">
        <v>30</v>
      </c>
      <c r="H11" s="44">
        <f t="shared" si="0"/>
        <v>0.17517254427909915</v>
      </c>
      <c r="I11" s="37">
        <f t="shared" si="1"/>
        <v>777.92456249999998</v>
      </c>
      <c r="J11" s="38">
        <f t="shared" si="2"/>
        <v>9.9848350239086514</v>
      </c>
      <c r="K11" s="38">
        <f t="shared" si="3"/>
        <v>1.1775966128874042</v>
      </c>
      <c r="L11" s="38">
        <f t="shared" si="4"/>
        <v>1.1198034555179153</v>
      </c>
      <c r="M11" s="38">
        <f t="shared" si="5"/>
        <v>8.8072384110212472</v>
      </c>
      <c r="N11" s="35">
        <f t="shared" si="6"/>
        <v>97863752</v>
      </c>
      <c r="O11" s="38">
        <f t="shared" si="7"/>
        <v>9.9848350239086514</v>
      </c>
      <c r="P11" s="39">
        <v>83104648</v>
      </c>
      <c r="Q11" s="40">
        <v>829786200</v>
      </c>
      <c r="R11" s="40">
        <v>93060872</v>
      </c>
      <c r="S11" s="40">
        <v>4802880</v>
      </c>
      <c r="T11" s="40">
        <v>731922448</v>
      </c>
      <c r="U11" s="41" t="s">
        <v>575</v>
      </c>
      <c r="V11" s="41" t="s">
        <v>575</v>
      </c>
      <c r="W11" s="41" t="s">
        <v>575</v>
      </c>
      <c r="X11" s="41" t="s">
        <v>575</v>
      </c>
      <c r="Y11" s="41" t="s">
        <v>575</v>
      </c>
      <c r="Z11" s="42">
        <v>154294</v>
      </c>
      <c r="AA11" s="42">
        <v>18819.3</v>
      </c>
      <c r="AB11" s="42">
        <v>19.242000000000001</v>
      </c>
      <c r="AC11" s="42">
        <v>109.291</v>
      </c>
      <c r="AE11" s="44">
        <f t="shared" si="8"/>
        <v>0.17517254427909915</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-829786200</v>
      </c>
      <c r="BK11" s="4">
        <f t="shared" si="21"/>
        <v>-93060872</v>
      </c>
      <c r="BL11" s="4">
        <f t="shared" si="21"/>
        <v>-4802880</v>
      </c>
      <c r="BM11" s="4">
        <f t="shared" si="21"/>
        <v>-731922448</v>
      </c>
    </row>
    <row r="12" spans="1:65" x14ac:dyDescent="0.3">
      <c r="B12" s="55" t="s">
        <v>298</v>
      </c>
      <c r="J12" s="56">
        <f>AVERAGE(J5:J8)</f>
        <v>9.8347744563540473</v>
      </c>
      <c r="K12" s="56">
        <f>AVERAGE(K5:K8)</f>
        <v>1.4747917299855362</v>
      </c>
      <c r="L12" s="56">
        <f>AVERAGE(L5:L8)</f>
        <v>1.3529617921482688</v>
      </c>
      <c r="M12" s="56">
        <f>AVERAGE(M5:M8)</f>
        <v>8.3599827263685107</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3">
      <c r="B13" s="55" t="s">
        <v>299</v>
      </c>
      <c r="J13" s="56">
        <f>AVERAGE(J9:J9)</f>
        <v>15.03064425952679</v>
      </c>
      <c r="K13" s="56">
        <f>AVERAGE(K9:K9)</f>
        <v>1.5107054216256313</v>
      </c>
      <c r="L13" s="56">
        <f>AVERAGE(L9:L9)</f>
        <v>1.4114396386151804</v>
      </c>
      <c r="M13" s="56">
        <f>AVERAGE(M9:M9)</f>
        <v>13.51993883790116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3">
      <c r="B14" s="55" t="s">
        <v>300</v>
      </c>
      <c r="J14" s="56">
        <f>AVERAGE(J10:J11)</f>
        <v>9.8797913022455486</v>
      </c>
      <c r="K14" s="56">
        <f>AVERAGE(K10:K11)</f>
        <v>1.1405120848430101</v>
      </c>
      <c r="L14" s="56">
        <f>AVERAGE(L10:L11)</f>
        <v>1.0877974290452352</v>
      </c>
      <c r="M14" s="56">
        <f>AVERAGE(M10:M11)</f>
        <v>8.7392792174025384</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3">
      <c r="B15" s="55" t="s">
        <v>301</v>
      </c>
      <c r="J15" s="56">
        <f>AVERAGE(J5:J11)</f>
        <v>10.58990352706201</v>
      </c>
      <c r="K15" s="56">
        <f>AVERAGE(K5:K11)</f>
        <v>1.3844137873219711</v>
      </c>
      <c r="L15" s="56">
        <f>AVERAGE(L5:L11)</f>
        <v>1.2855545236141037</v>
      </c>
      <c r="M15" s="56">
        <f>AVERAGE(M5:M11)</f>
        <v>9.2054897397400399</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3">
      <c r="A16" s="55" t="s">
        <v>302</v>
      </c>
      <c r="B16" s="55" t="s">
        <v>303</v>
      </c>
      <c r="Z16" s="57">
        <f>SUM(Z5:Z8,Z9:Z9,Z10:Z11)</f>
        <v>872801.4</v>
      </c>
      <c r="AA16" s="57">
        <f>SUM(AA5:AA8,AA9:AA9,AA10:AA11)</f>
        <v>150125.84999999998</v>
      </c>
      <c r="AB16" s="57">
        <f>SUM(AB5:AB8,AB9:AB9,AB10:AB11)</f>
        <v>72.668999999999997</v>
      </c>
      <c r="AC16" s="57">
        <f>SUM(AC5:AC8,AC9:AC9,AC10:AC11)</f>
        <v>359.721</v>
      </c>
      <c r="AW16" s="57">
        <f>SUM(AW5:AW8,AW9:AW9,AW10:AW11)</f>
        <v>0</v>
      </c>
      <c r="AX16" s="57">
        <f>SUM(AX5:AX8,AX9:AX9,AX10:AX11)</f>
        <v>0</v>
      </c>
      <c r="AY16" s="57">
        <f>SUM(AY5:AY8,AY9:AY9,AY10:AY11)</f>
        <v>0</v>
      </c>
      <c r="AZ16" s="57">
        <f>SUM(AZ5:AZ8,AZ9:AZ9,AZ10:AZ11)</f>
        <v>0</v>
      </c>
    </row>
    <row r="17" spans="2:52" hidden="1" outlineLevel="2" x14ac:dyDescent="0.3">
      <c r="B17" s="55" t="s">
        <v>304</v>
      </c>
      <c r="AW17" s="8">
        <f>AW16/Z16</f>
        <v>0</v>
      </c>
      <c r="AX17" s="8">
        <f>AX16/AA16</f>
        <v>0</v>
      </c>
      <c r="AY17" s="8">
        <f>AY16/AB16</f>
        <v>0</v>
      </c>
      <c r="AZ17" s="8">
        <f>AZ16/AC16</f>
        <v>0</v>
      </c>
    </row>
    <row r="18" spans="2:52" hidden="1" outlineLevel="2" x14ac:dyDescent="0.3">
      <c r="B18" s="55" t="s">
        <v>305</v>
      </c>
      <c r="Z18" s="57">
        <f>GEOMEAN(Z5:Z8,Z9:Z9,Z10:Z11)</f>
        <v>121026.75024875315</v>
      </c>
      <c r="AA18" s="57">
        <f>GEOMEAN(AA5:AA8,AA9:AA9,AA10:AA11)</f>
        <v>19659.920529352021</v>
      </c>
      <c r="AB18" s="57">
        <f>GEOMEAN(AB5:AB8,AB9:AB9,AB10:AB11)</f>
        <v>9.2547287036668546</v>
      </c>
      <c r="AC18" s="57">
        <f>GEOMEAN(AC5:AC8,AC9:AC9,AC10:AC11)</f>
        <v>44.394083952414498</v>
      </c>
      <c r="AW18" s="57" t="e">
        <f>GEOMEAN(AW5:AW8,AW9:AW9,AW10:AW11)</f>
        <v>#NUM!</v>
      </c>
      <c r="AX18" s="57" t="e">
        <f>GEOMEAN(AX5:AX8,AX9:AX9,AX10:AX11)</f>
        <v>#NUM!</v>
      </c>
      <c r="AY18" s="57" t="e">
        <f>GEOMEAN(AY5:AY8,AY9:AY9,AY10:AY11)</f>
        <v>#NUM!</v>
      </c>
      <c r="AZ18" s="57" t="e">
        <f>GEOMEAN(AZ5:AZ8,AZ9:AZ9,AZ10:AZ11)</f>
        <v>#NUM!</v>
      </c>
    </row>
    <row r="19" spans="2:52" outlineLevel="2" collapsed="1" x14ac:dyDescent="0.3">
      <c r="B19" s="55" t="s">
        <v>306</v>
      </c>
      <c r="AW19" s="8" t="e">
        <f>AW18/Z18</f>
        <v>#NUM!</v>
      </c>
      <c r="AX19" s="8" t="e">
        <f>AX18/AA18</f>
        <v>#NUM!</v>
      </c>
      <c r="AY19" s="8" t="e">
        <f>AY18/AB18</f>
        <v>#NUM!</v>
      </c>
      <c r="AZ19" s="8"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M19"/>
  <sheetViews>
    <sheetView zoomScale="85" zoomScaleNormal="85" workbookViewId="0">
      <pane xSplit="2" ySplit="4" topLeftCell="M5" activePane="bottomRight" state="frozen"/>
      <selection activeCell="BJ29" sqref="BJ29"/>
      <selection pane="topRight" activeCell="BJ29" sqref="BJ29"/>
      <selection pane="bottomLeft" activeCell="BJ29" sqref="BJ29"/>
      <selection pane="bottomRight" activeCell="BJ29" sqref="BJ29"/>
    </sheetView>
  </sheetViews>
  <sheetFormatPr defaultRowHeight="14.4" outlineLevelRow="2" x14ac:dyDescent="0.3"/>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3" max="63" width="10.44140625" customWidth="1"/>
    <col min="64" max="64" width="10.109375" customWidth="1"/>
  </cols>
  <sheetData>
    <row r="1" spans="1:65" x14ac:dyDescent="0.3">
      <c r="A1" s="74" t="s">
        <v>458</v>
      </c>
      <c r="B1" s="74"/>
      <c r="C1" s="74"/>
      <c r="D1" s="74"/>
      <c r="E1" s="74"/>
      <c r="F1" s="74"/>
      <c r="H1" s="66" t="s">
        <v>2</v>
      </c>
      <c r="I1" s="66"/>
      <c r="J1" s="66"/>
      <c r="K1" s="66"/>
      <c r="L1" s="66"/>
      <c r="M1" s="66"/>
      <c r="N1" s="66"/>
      <c r="O1" s="66"/>
      <c r="P1" s="66"/>
      <c r="Q1" s="66"/>
      <c r="R1" s="66"/>
      <c r="S1" s="66"/>
      <c r="T1" s="66"/>
      <c r="U1" s="66"/>
      <c r="V1" s="66"/>
      <c r="W1" s="66"/>
      <c r="X1" s="66"/>
      <c r="Y1" s="66"/>
      <c r="Z1" s="66"/>
      <c r="AA1" s="66"/>
      <c r="AB1" s="66"/>
      <c r="AC1" s="66"/>
      <c r="AE1" s="67" t="s">
        <v>3</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35">
      <c r="A2" s="76" t="s">
        <v>93</v>
      </c>
      <c r="B2" s="75" t="s">
        <v>96</v>
      </c>
      <c r="C2" s="76" t="s">
        <v>102</v>
      </c>
      <c r="D2" s="75" t="s">
        <v>105</v>
      </c>
      <c r="E2" s="76" t="s">
        <v>108</v>
      </c>
      <c r="F2" s="75" t="s">
        <v>111</v>
      </c>
      <c r="H2" s="76" t="s">
        <v>321</v>
      </c>
      <c r="I2" s="75" t="s">
        <v>114</v>
      </c>
      <c r="J2" s="73" t="s">
        <v>117</v>
      </c>
      <c r="K2" s="73"/>
      <c r="L2" s="73"/>
      <c r="M2" s="73"/>
      <c r="N2" s="76" t="s">
        <v>130</v>
      </c>
      <c r="O2" s="75" t="s">
        <v>133</v>
      </c>
      <c r="P2" s="76" t="s">
        <v>24</v>
      </c>
      <c r="Q2" s="72" t="s">
        <v>142</v>
      </c>
      <c r="R2" s="72"/>
      <c r="S2" s="72"/>
      <c r="T2" s="72"/>
      <c r="U2" s="73" t="s">
        <v>153</v>
      </c>
      <c r="V2" s="73"/>
      <c r="W2" s="72" t="s">
        <v>160</v>
      </c>
      <c r="X2" s="72"/>
      <c r="Y2" s="72"/>
      <c r="Z2" s="73" t="s">
        <v>170</v>
      </c>
      <c r="AA2" s="73"/>
      <c r="AB2" s="72" t="s">
        <v>177</v>
      </c>
      <c r="AC2" s="72"/>
      <c r="AE2" s="76" t="s">
        <v>321</v>
      </c>
      <c r="AF2" s="75" t="s">
        <v>114</v>
      </c>
      <c r="AG2" s="73" t="s">
        <v>117</v>
      </c>
      <c r="AH2" s="73"/>
      <c r="AI2" s="73"/>
      <c r="AJ2" s="73"/>
      <c r="AK2" s="76" t="s">
        <v>192</v>
      </c>
      <c r="AL2" s="75" t="s">
        <v>133</v>
      </c>
      <c r="AM2" s="76" t="s">
        <v>24</v>
      </c>
      <c r="AN2" s="72" t="s">
        <v>142</v>
      </c>
      <c r="AO2" s="72"/>
      <c r="AP2" s="72"/>
      <c r="AQ2" s="72"/>
      <c r="AR2" s="73" t="s">
        <v>153</v>
      </c>
      <c r="AS2" s="73"/>
      <c r="AT2" s="72" t="s">
        <v>160</v>
      </c>
      <c r="AU2" s="72"/>
      <c r="AV2" s="72"/>
      <c r="AW2" s="73" t="s">
        <v>170</v>
      </c>
      <c r="AX2" s="73"/>
      <c r="AY2" s="72" t="s">
        <v>177</v>
      </c>
      <c r="AZ2" s="72"/>
      <c r="BB2" s="73" t="s">
        <v>368</v>
      </c>
      <c r="BC2" s="73"/>
      <c r="BD2" s="73"/>
      <c r="BE2" s="73"/>
      <c r="BF2" s="75" t="s">
        <v>235</v>
      </c>
      <c r="BG2" s="76" t="s">
        <v>235</v>
      </c>
      <c r="BI2" s="69" t="s">
        <v>576</v>
      </c>
      <c r="BJ2" s="68" t="s">
        <v>582</v>
      </c>
      <c r="BK2" s="68"/>
      <c r="BL2" s="68"/>
      <c r="BM2" s="68"/>
    </row>
    <row r="3" spans="1:65" ht="29.4" thickBot="1" x14ac:dyDescent="0.35">
      <c r="A3" s="76"/>
      <c r="B3" s="75"/>
      <c r="C3" s="76"/>
      <c r="D3" s="75"/>
      <c r="E3" s="76"/>
      <c r="F3" s="75"/>
      <c r="H3" s="76"/>
      <c r="I3" s="75"/>
      <c r="J3" s="11" t="s">
        <v>118</v>
      </c>
      <c r="K3" s="11" t="s">
        <v>121</v>
      </c>
      <c r="L3" s="11" t="s">
        <v>124</v>
      </c>
      <c r="M3" s="11" t="s">
        <v>127</v>
      </c>
      <c r="N3" s="76"/>
      <c r="O3" s="75"/>
      <c r="P3" s="76"/>
      <c r="Q3" s="12" t="s">
        <v>118</v>
      </c>
      <c r="R3" s="12" t="s">
        <v>124</v>
      </c>
      <c r="S3" s="12" t="s">
        <v>147</v>
      </c>
      <c r="T3" s="12" t="s">
        <v>150</v>
      </c>
      <c r="U3" s="11" t="s">
        <v>154</v>
      </c>
      <c r="V3" s="11" t="s">
        <v>157</v>
      </c>
      <c r="W3" s="12" t="s">
        <v>161</v>
      </c>
      <c r="X3" s="12" t="s">
        <v>164</v>
      </c>
      <c r="Y3" s="12" t="s">
        <v>167</v>
      </c>
      <c r="Z3" s="11" t="s">
        <v>171</v>
      </c>
      <c r="AA3" s="11" t="s">
        <v>174</v>
      </c>
      <c r="AB3" s="12" t="s">
        <v>171</v>
      </c>
      <c r="AC3" s="12" t="s">
        <v>174</v>
      </c>
      <c r="AE3" s="76"/>
      <c r="AF3" s="75"/>
      <c r="AG3" s="11" t="s">
        <v>118</v>
      </c>
      <c r="AH3" s="11" t="s">
        <v>121</v>
      </c>
      <c r="AI3" s="11" t="s">
        <v>124</v>
      </c>
      <c r="AJ3" s="11" t="s">
        <v>127</v>
      </c>
      <c r="AK3" s="76"/>
      <c r="AL3" s="75"/>
      <c r="AM3" s="76"/>
      <c r="AN3" s="12" t="s">
        <v>118</v>
      </c>
      <c r="AO3" s="12" t="s">
        <v>124</v>
      </c>
      <c r="AP3" s="12" t="s">
        <v>147</v>
      </c>
      <c r="AQ3" s="12" t="s">
        <v>150</v>
      </c>
      <c r="AR3" s="11" t="s">
        <v>154</v>
      </c>
      <c r="AS3" s="11" t="s">
        <v>157</v>
      </c>
      <c r="AT3" s="12" t="s">
        <v>161</v>
      </c>
      <c r="AU3" s="12" t="s">
        <v>164</v>
      </c>
      <c r="AV3" s="12" t="s">
        <v>167</v>
      </c>
      <c r="AW3" s="11" t="s">
        <v>171</v>
      </c>
      <c r="AX3" s="11" t="s">
        <v>174</v>
      </c>
      <c r="AY3" s="12" t="s">
        <v>171</v>
      </c>
      <c r="AZ3" s="12" t="s">
        <v>174</v>
      </c>
      <c r="BB3" s="11" t="s">
        <v>118</v>
      </c>
      <c r="BC3" s="11" t="s">
        <v>121</v>
      </c>
      <c r="BD3" s="11" t="s">
        <v>124</v>
      </c>
      <c r="BE3" s="11" t="s">
        <v>150</v>
      </c>
      <c r="BF3" s="75"/>
      <c r="BG3" s="76"/>
      <c r="BI3" s="69"/>
      <c r="BJ3" s="58" t="s">
        <v>118</v>
      </c>
      <c r="BK3" s="58" t="s">
        <v>124</v>
      </c>
      <c r="BL3" s="58" t="s">
        <v>147</v>
      </c>
      <c r="BM3" s="58" t="s">
        <v>150</v>
      </c>
    </row>
    <row r="4" spans="1:65" ht="120.6" hidden="1" thickBot="1" x14ac:dyDescent="0.35">
      <c r="A4" s="13" t="s">
        <v>94</v>
      </c>
      <c r="B4" s="14" t="s">
        <v>97</v>
      </c>
      <c r="C4" s="13" t="s">
        <v>103</v>
      </c>
      <c r="D4" s="14" t="s">
        <v>106</v>
      </c>
      <c r="E4" s="13" t="s">
        <v>109</v>
      </c>
      <c r="F4" s="14" t="s">
        <v>112</v>
      </c>
      <c r="H4" s="13" t="s">
        <v>322</v>
      </c>
      <c r="I4" s="14" t="s">
        <v>115</v>
      </c>
      <c r="J4" s="13" t="s">
        <v>119</v>
      </c>
      <c r="K4" s="13" t="s">
        <v>122</v>
      </c>
      <c r="L4" s="13" t="s">
        <v>125</v>
      </c>
      <c r="M4" s="13" t="s">
        <v>128</v>
      </c>
      <c r="N4" s="13" t="s">
        <v>131</v>
      </c>
      <c r="O4" s="14" t="s">
        <v>134</v>
      </c>
      <c r="P4" s="13" t="s">
        <v>136</v>
      </c>
      <c r="Q4" s="14" t="s">
        <v>143</v>
      </c>
      <c r="R4" s="14" t="s">
        <v>145</v>
      </c>
      <c r="S4" s="14" t="s">
        <v>148</v>
      </c>
      <c r="T4" s="14" t="s">
        <v>151</v>
      </c>
      <c r="U4" s="13" t="s">
        <v>155</v>
      </c>
      <c r="V4" s="13" t="s">
        <v>158</v>
      </c>
      <c r="W4" s="14" t="s">
        <v>162</v>
      </c>
      <c r="X4" s="14" t="s">
        <v>165</v>
      </c>
      <c r="Y4" s="14" t="s">
        <v>168</v>
      </c>
      <c r="Z4" s="13" t="s">
        <v>172</v>
      </c>
      <c r="AA4" s="13" t="s">
        <v>175</v>
      </c>
      <c r="AB4" s="14" t="s">
        <v>178</v>
      </c>
      <c r="AC4" s="14" t="s">
        <v>180</v>
      </c>
      <c r="AE4" s="13" t="s">
        <v>345</v>
      </c>
      <c r="AF4" s="14" t="s">
        <v>182</v>
      </c>
      <c r="AG4" s="13" t="s">
        <v>184</v>
      </c>
      <c r="AH4" s="13" t="s">
        <v>186</v>
      </c>
      <c r="AI4" s="13" t="s">
        <v>188</v>
      </c>
      <c r="AJ4" s="13" t="s">
        <v>190</v>
      </c>
      <c r="AK4" s="13" t="s">
        <v>193</v>
      </c>
      <c r="AL4" s="14" t="s">
        <v>195</v>
      </c>
      <c r="AM4" s="13" t="s">
        <v>197</v>
      </c>
      <c r="AN4" s="14" t="s">
        <v>203</v>
      </c>
      <c r="AO4" s="14" t="s">
        <v>205</v>
      </c>
      <c r="AP4" s="14" t="s">
        <v>207</v>
      </c>
      <c r="AQ4" s="14" t="s">
        <v>209</v>
      </c>
      <c r="AR4" s="13" t="s">
        <v>211</v>
      </c>
      <c r="AS4" s="13" t="s">
        <v>213</v>
      </c>
      <c r="AT4" s="14" t="s">
        <v>215</v>
      </c>
      <c r="AU4" s="14" t="s">
        <v>217</v>
      </c>
      <c r="AV4" s="14" t="s">
        <v>219</v>
      </c>
      <c r="AW4" s="13" t="s">
        <v>221</v>
      </c>
      <c r="AX4" s="13" t="s">
        <v>223</v>
      </c>
      <c r="AY4" s="14" t="s">
        <v>225</v>
      </c>
      <c r="AZ4" s="14" t="s">
        <v>227</v>
      </c>
      <c r="BB4" s="13" t="s">
        <v>369</v>
      </c>
      <c r="BC4" s="13" t="s">
        <v>230</v>
      </c>
      <c r="BD4" s="13" t="s">
        <v>372</v>
      </c>
      <c r="BE4" s="13" t="s">
        <v>374</v>
      </c>
      <c r="BF4" s="14" t="s">
        <v>236</v>
      </c>
      <c r="BG4" s="13" t="s">
        <v>238</v>
      </c>
      <c r="BI4" s="4"/>
      <c r="BJ4" s="4"/>
      <c r="BK4" s="4"/>
      <c r="BL4" s="4"/>
      <c r="BM4" s="4"/>
    </row>
    <row r="5" spans="1:65" collapsed="1" x14ac:dyDescent="0.3">
      <c r="A5" s="15" t="s">
        <v>270</v>
      </c>
      <c r="B5" s="15" t="s">
        <v>269</v>
      </c>
      <c r="C5" s="15">
        <v>24964341</v>
      </c>
      <c r="D5" s="16">
        <v>10</v>
      </c>
      <c r="E5" s="16">
        <v>32</v>
      </c>
      <c r="F5" s="16">
        <v>30</v>
      </c>
      <c r="H5" s="24">
        <f t="shared" ref="H5:H11" si="0">IF(ISBLANK(Q5),"·",Q5/(C5*(D5*3+IF(AND(ISNUMBER(T5),T5&gt;0),24,0))))</f>
        <v>0.16253065389014942</v>
      </c>
      <c r="I5" s="17">
        <f t="shared" ref="I5:I11" si="1">IF(OR(ISBLANK(Q5),ISBLANK(F5)),"·",Q5*F5/E5/1000000)</f>
        <v>205.40945249999999</v>
      </c>
      <c r="J5" s="18">
        <f t="shared" ref="J5:J11" si="2">IF(ISBLANK(Q5),"·",Q5/C5)</f>
        <v>8.7766553100680689</v>
      </c>
      <c r="K5" s="18">
        <f t="shared" ref="K5:K11" si="3">IF(N5="","·",N5/C5)</f>
        <v>1.3472977315924342</v>
      </c>
      <c r="L5" s="18">
        <f t="shared" ref="L5:L11" si="4">IF(R5="","·",R5/C5)</f>
        <v>1.2664512153555345</v>
      </c>
      <c r="M5" s="18">
        <f t="shared" ref="M5:M11" si="5">IF(ISBLANK(T5),"·",T5/C5)</f>
        <v>7.4293575784756349</v>
      </c>
      <c r="N5" s="15">
        <f t="shared" ref="N5:N11" si="6">IF(OR(ISBLANK(R5),ISBLANK(S5)),"",R5+S5)</f>
        <v>33634400</v>
      </c>
      <c r="O5" s="18">
        <f t="shared" ref="O5:O11" si="7">IF(ISBLANK(Q5),"·",Q5/P5)</f>
        <v>8.7766553100680689</v>
      </c>
      <c r="P5" s="19">
        <v>24964341</v>
      </c>
      <c r="Q5" s="20">
        <v>219103416</v>
      </c>
      <c r="R5" s="20">
        <v>31616120</v>
      </c>
      <c r="S5" s="20">
        <v>2018280</v>
      </c>
      <c r="T5" s="20">
        <v>185469016</v>
      </c>
      <c r="U5" s="21" t="s">
        <v>575</v>
      </c>
      <c r="V5" s="21" t="s">
        <v>575</v>
      </c>
      <c r="W5" s="21" t="s">
        <v>575</v>
      </c>
      <c r="X5" s="21" t="s">
        <v>575</v>
      </c>
      <c r="Y5" s="21" t="s">
        <v>575</v>
      </c>
      <c r="Z5" s="22">
        <v>130571</v>
      </c>
      <c r="AA5" s="22">
        <v>20252.599999999999</v>
      </c>
      <c r="AB5" s="22">
        <v>4.7679999999999998</v>
      </c>
      <c r="AC5" s="22">
        <v>23.11</v>
      </c>
      <c r="AE5" s="24">
        <f t="shared" ref="AE5:AE11" si="8">IF(ISBLANK(Q5),"·",Q5/(C5*(D5*3+IF(AND(ISNUMBER(T5),T5&gt;0),24,0))))</f>
        <v>0.16253065389014942</v>
      </c>
      <c r="AF5" s="17" t="str">
        <f t="shared" ref="AF5:AF11" si="9">IF(OR(ISBLANK(AN5),ISBLANK(F5)),"·",AN5*F5/E5/1000000)</f>
        <v>·</v>
      </c>
      <c r="AG5" s="18" t="str">
        <f t="shared" ref="AG5:AG11" si="10">IF(ISBLANK(AN5),"·",AN5/C5)</f>
        <v>·</v>
      </c>
      <c r="AH5" s="18" t="str">
        <f t="shared" ref="AH5:AH11" si="11">IF(AK5="","·",AK5/C5)</f>
        <v>·</v>
      </c>
      <c r="AI5" s="18" t="str">
        <f t="shared" ref="AI5:AI11" si="12">IF(AO5="","·",AO5/C5)</f>
        <v>·</v>
      </c>
      <c r="AJ5" s="18" t="str">
        <f t="shared" ref="AJ5:AJ11" si="13">IF(ISBLANK(AQ5),"·",AQ5/C5)</f>
        <v>·</v>
      </c>
      <c r="AK5" s="15" t="str">
        <f t="shared" ref="AK5:AK11" si="14">IF(OR(ISBLANK(AO5),ISBLANK(AP5)),"",AO5+AP5)</f>
        <v/>
      </c>
      <c r="AL5" s="18" t="str">
        <f t="shared" ref="AL5:AL11" si="15">IF(ISBLANK(AN5),"·",AN5/AM5)</f>
        <v>·</v>
      </c>
      <c r="AM5" s="19"/>
      <c r="AN5" s="20"/>
      <c r="AO5" s="20"/>
      <c r="AP5" s="20"/>
      <c r="AQ5" s="20"/>
      <c r="AR5" s="21"/>
      <c r="AS5" s="21"/>
      <c r="AT5" s="21"/>
      <c r="AU5" s="21"/>
      <c r="AV5" s="21"/>
      <c r="AW5" s="22"/>
      <c r="AX5" s="22"/>
      <c r="AY5" s="22"/>
      <c r="AZ5" s="22"/>
      <c r="BB5" s="23" t="e">
        <f t="shared" ref="BB5:BB15" si="16">AG5/J5</f>
        <v>#VALUE!</v>
      </c>
      <c r="BC5" s="23" t="e">
        <f t="shared" ref="BC5:BC15" si="17">AH5/K5</f>
        <v>#VALUE!</v>
      </c>
      <c r="BD5" s="23" t="e">
        <f t="shared" ref="BD5:BD15" si="18">AI5/L5</f>
        <v>#VALUE!</v>
      </c>
      <c r="BE5" s="23" t="e">
        <f t="shared" ref="BE5:BE15" si="19">AJ5/M5</f>
        <v>#VALUE!</v>
      </c>
      <c r="BF5" s="24" t="e">
        <f t="shared" ref="BF5:BF11" si="20">(AK5/AN5) - (N5/Q5)</f>
        <v>#VALUE!</v>
      </c>
      <c r="BG5" s="24" t="e">
        <f t="array" ref="BG5">AVERAGE(AK5:AK5/AN5:AN5) - AVERAGE(N5:N5/Q5:Q5)</f>
        <v>#VALUE!</v>
      </c>
      <c r="BI5" s="4">
        <f>AM5-P5</f>
        <v>-24964341</v>
      </c>
      <c r="BJ5" s="4">
        <f t="shared" ref="BJ5:BM11" si="21">AN5-Q5</f>
        <v>-219103416</v>
      </c>
      <c r="BK5" s="4">
        <f t="shared" si="21"/>
        <v>-31616120</v>
      </c>
      <c r="BL5" s="4">
        <f t="shared" si="21"/>
        <v>-2018280</v>
      </c>
      <c r="BM5" s="4">
        <f t="shared" si="21"/>
        <v>-185469016</v>
      </c>
    </row>
    <row r="6" spans="1:65" collapsed="1" x14ac:dyDescent="0.3">
      <c r="A6" s="25"/>
      <c r="B6" s="25" t="s">
        <v>278</v>
      </c>
      <c r="C6" s="25">
        <v>22654789</v>
      </c>
      <c r="D6" s="26">
        <v>10</v>
      </c>
      <c r="E6" s="26">
        <v>32</v>
      </c>
      <c r="F6" s="26">
        <v>30</v>
      </c>
      <c r="H6" s="34">
        <f t="shared" si="0"/>
        <v>0.23434109883557724</v>
      </c>
      <c r="I6" s="27">
        <f t="shared" si="1"/>
        <v>268.76549999999997</v>
      </c>
      <c r="J6" s="28">
        <f t="shared" si="2"/>
        <v>12.654419337121171</v>
      </c>
      <c r="K6" s="28">
        <f t="shared" si="3"/>
        <v>1.6696941207441836</v>
      </c>
      <c r="L6" s="28">
        <f t="shared" si="4"/>
        <v>1.5237640041582379</v>
      </c>
      <c r="M6" s="28">
        <f t="shared" si="5"/>
        <v>10.984725216376988</v>
      </c>
      <c r="N6" s="25">
        <f t="shared" si="6"/>
        <v>37826568</v>
      </c>
      <c r="O6" s="28">
        <f t="shared" si="7"/>
        <v>12.654419337121171</v>
      </c>
      <c r="P6" s="29">
        <v>22654789</v>
      </c>
      <c r="Q6" s="30">
        <v>286683200</v>
      </c>
      <c r="R6" s="30">
        <v>34520552</v>
      </c>
      <c r="S6" s="30">
        <v>3306016</v>
      </c>
      <c r="T6" s="30">
        <v>248856632</v>
      </c>
      <c r="U6" s="31" t="s">
        <v>575</v>
      </c>
      <c r="V6" s="31" t="s">
        <v>575</v>
      </c>
      <c r="W6" s="31" t="s">
        <v>575</v>
      </c>
      <c r="X6" s="31" t="s">
        <v>575</v>
      </c>
      <c r="Y6" s="31" t="s">
        <v>575</v>
      </c>
      <c r="Z6" s="32">
        <v>69805.7</v>
      </c>
      <c r="AA6" s="32">
        <v>38343</v>
      </c>
      <c r="AB6" s="32">
        <v>4.2190000000000003</v>
      </c>
      <c r="AC6" s="32">
        <v>23.187999999999999</v>
      </c>
      <c r="AE6" s="34">
        <f t="shared" si="8"/>
        <v>0.23434109883557724</v>
      </c>
      <c r="AF6" s="27" t="str">
        <f t="shared" si="9"/>
        <v>·</v>
      </c>
      <c r="AG6" s="28" t="str">
        <f t="shared" si="10"/>
        <v>·</v>
      </c>
      <c r="AH6" s="28" t="str">
        <f t="shared" si="11"/>
        <v>·</v>
      </c>
      <c r="AI6" s="28" t="str">
        <f t="shared" si="12"/>
        <v>·</v>
      </c>
      <c r="AJ6" s="28" t="str">
        <f t="shared" si="13"/>
        <v>·</v>
      </c>
      <c r="AK6" s="25" t="str">
        <f t="shared" si="14"/>
        <v/>
      </c>
      <c r="AL6" s="28" t="str">
        <f t="shared" si="15"/>
        <v>·</v>
      </c>
      <c r="AM6" s="29"/>
      <c r="AN6" s="30"/>
      <c r="AO6" s="30"/>
      <c r="AP6" s="30"/>
      <c r="AQ6" s="30"/>
      <c r="AR6" s="31"/>
      <c r="AS6" s="31"/>
      <c r="AT6" s="31"/>
      <c r="AU6" s="31"/>
      <c r="AV6" s="31"/>
      <c r="AW6" s="32"/>
      <c r="AX6" s="32"/>
      <c r="AY6" s="32"/>
      <c r="AZ6" s="32"/>
      <c r="BB6" s="33" t="e">
        <f t="shared" si="16"/>
        <v>#VALUE!</v>
      </c>
      <c r="BC6" s="33" t="e">
        <f t="shared" si="17"/>
        <v>#VALUE!</v>
      </c>
      <c r="BD6" s="33" t="e">
        <f t="shared" si="18"/>
        <v>#VALUE!</v>
      </c>
      <c r="BE6" s="33" t="e">
        <f t="shared" si="19"/>
        <v>#VALUE!</v>
      </c>
      <c r="BF6" s="34" t="e">
        <f t="shared" si="20"/>
        <v>#VALUE!</v>
      </c>
      <c r="BG6" s="34" t="e">
        <f t="array" ref="BG6">AVERAGE(AK6:AK6/AN6:AN6) - AVERAGE(N6:N6/Q6:Q6)</f>
        <v>#VALUE!</v>
      </c>
      <c r="BI6" s="4">
        <f t="shared" ref="BI6:BI11" si="22">AM6-P6</f>
        <v>-22654789</v>
      </c>
      <c r="BJ6" s="4">
        <f t="shared" si="21"/>
        <v>-286683200</v>
      </c>
      <c r="BK6" s="4">
        <f t="shared" si="21"/>
        <v>-34520552</v>
      </c>
      <c r="BL6" s="4">
        <f t="shared" si="21"/>
        <v>-3306016</v>
      </c>
      <c r="BM6" s="4">
        <f t="shared" si="21"/>
        <v>-248856632</v>
      </c>
    </row>
    <row r="7" spans="1:65" collapsed="1" x14ac:dyDescent="0.3">
      <c r="A7" s="15"/>
      <c r="B7" s="15" t="s">
        <v>281</v>
      </c>
      <c r="C7" s="15">
        <v>33947718</v>
      </c>
      <c r="D7" s="16">
        <v>10</v>
      </c>
      <c r="E7" s="16">
        <v>32</v>
      </c>
      <c r="F7" s="16">
        <v>30</v>
      </c>
      <c r="H7" s="24">
        <f t="shared" si="0"/>
        <v>0.17833751168651618</v>
      </c>
      <c r="I7" s="17">
        <f t="shared" si="1"/>
        <v>306.4914225</v>
      </c>
      <c r="J7" s="18">
        <f t="shared" si="2"/>
        <v>9.6302256310718732</v>
      </c>
      <c r="K7" s="18">
        <f t="shared" si="3"/>
        <v>1.4813359766921594</v>
      </c>
      <c r="L7" s="18">
        <f t="shared" si="4"/>
        <v>1.3676835656523363</v>
      </c>
      <c r="M7" s="18">
        <f t="shared" si="5"/>
        <v>8.1488896543797136</v>
      </c>
      <c r="N7" s="15">
        <f t="shared" si="6"/>
        <v>50287976</v>
      </c>
      <c r="O7" s="18">
        <f t="shared" si="7"/>
        <v>9.6302256310718732</v>
      </c>
      <c r="P7" s="19">
        <v>33947718</v>
      </c>
      <c r="Q7" s="20">
        <v>326924184</v>
      </c>
      <c r="R7" s="20">
        <v>46429736</v>
      </c>
      <c r="S7" s="20">
        <v>3858240</v>
      </c>
      <c r="T7" s="20">
        <v>276636208</v>
      </c>
      <c r="U7" s="21" t="s">
        <v>575</v>
      </c>
      <c r="V7" s="21" t="s">
        <v>575</v>
      </c>
      <c r="W7" s="21" t="s">
        <v>575</v>
      </c>
      <c r="X7" s="21" t="s">
        <v>575</v>
      </c>
      <c r="Y7" s="21" t="s">
        <v>575</v>
      </c>
      <c r="Z7" s="22">
        <v>144903</v>
      </c>
      <c r="AA7" s="22">
        <v>12188.2</v>
      </c>
      <c r="AB7" s="22">
        <v>5.6669999999999998</v>
      </c>
      <c r="AC7" s="22">
        <v>25.582999999999998</v>
      </c>
      <c r="AE7" s="24">
        <f t="shared" si="8"/>
        <v>0.17833751168651618</v>
      </c>
      <c r="AF7" s="17" t="str">
        <f t="shared" si="9"/>
        <v>·</v>
      </c>
      <c r="AG7" s="18" t="str">
        <f t="shared" si="10"/>
        <v>·</v>
      </c>
      <c r="AH7" s="18" t="str">
        <f t="shared" si="11"/>
        <v>·</v>
      </c>
      <c r="AI7" s="18" t="str">
        <f t="shared" si="12"/>
        <v>·</v>
      </c>
      <c r="AJ7" s="18" t="str">
        <f t="shared" si="13"/>
        <v>·</v>
      </c>
      <c r="AK7" s="15" t="str">
        <f t="shared" si="14"/>
        <v/>
      </c>
      <c r="AL7" s="18" t="str">
        <f t="shared" si="15"/>
        <v>·</v>
      </c>
      <c r="AM7" s="19"/>
      <c r="AN7" s="20"/>
      <c r="AO7" s="20"/>
      <c r="AP7" s="20"/>
      <c r="AQ7" s="20"/>
      <c r="AR7" s="21"/>
      <c r="AS7" s="21"/>
      <c r="AT7" s="21"/>
      <c r="AU7" s="21"/>
      <c r="AV7" s="21"/>
      <c r="AW7" s="22"/>
      <c r="AX7" s="22"/>
      <c r="AY7" s="22"/>
      <c r="AZ7" s="22"/>
      <c r="BB7" s="23" t="e">
        <f t="shared" si="16"/>
        <v>#VALUE!</v>
      </c>
      <c r="BC7" s="23" t="e">
        <f t="shared" si="17"/>
        <v>#VALUE!</v>
      </c>
      <c r="BD7" s="23" t="e">
        <f t="shared" si="18"/>
        <v>#VALUE!</v>
      </c>
      <c r="BE7" s="23" t="e">
        <f t="shared" si="19"/>
        <v>#VALUE!</v>
      </c>
      <c r="BF7" s="24" t="e">
        <f t="shared" si="20"/>
        <v>#VALUE!</v>
      </c>
      <c r="BG7" s="24" t="e">
        <f t="array" ref="BG7">AVERAGE(AK7:AK7/AN7:AN7) - AVERAGE(N7:N7/Q7:Q7)</f>
        <v>#VALUE!</v>
      </c>
      <c r="BI7" s="4">
        <f t="shared" si="22"/>
        <v>-33947718</v>
      </c>
      <c r="BJ7" s="4">
        <f t="shared" si="21"/>
        <v>-326924184</v>
      </c>
      <c r="BK7" s="4">
        <f t="shared" si="21"/>
        <v>-46429736</v>
      </c>
      <c r="BL7" s="4">
        <f t="shared" si="21"/>
        <v>-3858240</v>
      </c>
      <c r="BM7" s="4">
        <f t="shared" si="21"/>
        <v>-276636208</v>
      </c>
    </row>
    <row r="8" spans="1:65" ht="15" collapsed="1" thickBot="1" x14ac:dyDescent="0.35">
      <c r="A8" s="45"/>
      <c r="B8" s="45" t="s">
        <v>284</v>
      </c>
      <c r="C8" s="45">
        <v>32209643</v>
      </c>
      <c r="D8" s="46">
        <v>10</v>
      </c>
      <c r="E8" s="46">
        <v>32</v>
      </c>
      <c r="F8" s="46">
        <v>50</v>
      </c>
      <c r="H8" s="54">
        <f t="shared" si="0"/>
        <v>0.13379294862445731</v>
      </c>
      <c r="I8" s="47">
        <f t="shared" si="1"/>
        <v>363.607575</v>
      </c>
      <c r="J8" s="48">
        <f t="shared" si="2"/>
        <v>7.2248192257206947</v>
      </c>
      <c r="K8" s="48">
        <f t="shared" si="3"/>
        <v>0.89116417713788387</v>
      </c>
      <c r="L8" s="48">
        <f t="shared" si="4"/>
        <v>0.7889195170527038</v>
      </c>
      <c r="M8" s="48">
        <f t="shared" si="5"/>
        <v>6.3336550485828109</v>
      </c>
      <c r="N8" s="45">
        <f t="shared" si="6"/>
        <v>28704080</v>
      </c>
      <c r="O8" s="48">
        <f t="shared" si="7"/>
        <v>7.2248192257206947</v>
      </c>
      <c r="P8" s="49">
        <v>32209643</v>
      </c>
      <c r="Q8" s="50">
        <v>232708848</v>
      </c>
      <c r="R8" s="50">
        <v>25410816</v>
      </c>
      <c r="S8" s="50">
        <v>3293264</v>
      </c>
      <c r="T8" s="50">
        <v>204004768</v>
      </c>
      <c r="U8" s="51" t="s">
        <v>575</v>
      </c>
      <c r="V8" s="51" t="s">
        <v>575</v>
      </c>
      <c r="W8" s="51" t="s">
        <v>575</v>
      </c>
      <c r="X8" s="51" t="s">
        <v>575</v>
      </c>
      <c r="Y8" s="51" t="s">
        <v>575</v>
      </c>
      <c r="Z8" s="52">
        <v>144450</v>
      </c>
      <c r="AA8" s="52">
        <v>14825.4</v>
      </c>
      <c r="AB8" s="52">
        <v>5.6669999999999998</v>
      </c>
      <c r="AC8" s="52">
        <v>24.306000000000001</v>
      </c>
      <c r="AE8" s="54">
        <f t="shared" si="8"/>
        <v>0.13379294862445731</v>
      </c>
      <c r="AF8" s="47" t="str">
        <f t="shared" si="9"/>
        <v>·</v>
      </c>
      <c r="AG8" s="48" t="str">
        <f t="shared" si="10"/>
        <v>·</v>
      </c>
      <c r="AH8" s="48" t="str">
        <f t="shared" si="11"/>
        <v>·</v>
      </c>
      <c r="AI8" s="48" t="str">
        <f t="shared" si="12"/>
        <v>·</v>
      </c>
      <c r="AJ8" s="48" t="str">
        <f t="shared" si="13"/>
        <v>·</v>
      </c>
      <c r="AK8" s="45" t="str">
        <f t="shared" si="14"/>
        <v/>
      </c>
      <c r="AL8" s="48" t="str">
        <f t="shared" si="15"/>
        <v>·</v>
      </c>
      <c r="AM8" s="49"/>
      <c r="AN8" s="50"/>
      <c r="AO8" s="50"/>
      <c r="AP8" s="50"/>
      <c r="AQ8" s="50"/>
      <c r="AR8" s="51"/>
      <c r="AS8" s="51"/>
      <c r="AT8" s="51"/>
      <c r="AU8" s="51"/>
      <c r="AV8" s="51"/>
      <c r="AW8" s="52"/>
      <c r="AX8" s="52"/>
      <c r="AY8" s="52"/>
      <c r="AZ8" s="52"/>
      <c r="BB8" s="53" t="e">
        <f t="shared" si="16"/>
        <v>#VALUE!</v>
      </c>
      <c r="BC8" s="53" t="e">
        <f t="shared" si="17"/>
        <v>#VALUE!</v>
      </c>
      <c r="BD8" s="53" t="e">
        <f t="shared" si="18"/>
        <v>#VALUE!</v>
      </c>
      <c r="BE8" s="53" t="e">
        <f t="shared" si="19"/>
        <v>#VALUE!</v>
      </c>
      <c r="BF8" s="54" t="e">
        <f t="shared" si="20"/>
        <v>#VALUE!</v>
      </c>
      <c r="BG8" s="54" t="e">
        <f t="array" ref="BG8">AVERAGE(AK8:AK8/AN8:AN8) - AVERAGE(N8:N8/Q8:Q8)</f>
        <v>#VALUE!</v>
      </c>
      <c r="BI8" s="4">
        <f t="shared" si="22"/>
        <v>-32209643</v>
      </c>
      <c r="BJ8" s="4">
        <f t="shared" si="21"/>
        <v>-232708848</v>
      </c>
      <c r="BK8" s="4">
        <f t="shared" si="21"/>
        <v>-25410816</v>
      </c>
      <c r="BL8" s="4">
        <f t="shared" si="21"/>
        <v>-3293264</v>
      </c>
      <c r="BM8" s="4">
        <f t="shared" si="21"/>
        <v>-204004768</v>
      </c>
    </row>
    <row r="9" spans="1:65" ht="15" collapsed="1" thickBot="1" x14ac:dyDescent="0.35">
      <c r="A9" s="35" t="s">
        <v>288</v>
      </c>
      <c r="B9" s="35" t="s">
        <v>287</v>
      </c>
      <c r="C9" s="35">
        <v>25312408</v>
      </c>
      <c r="D9" s="36">
        <v>10</v>
      </c>
      <c r="E9" s="36">
        <v>32</v>
      </c>
      <c r="F9" s="36">
        <v>30</v>
      </c>
      <c r="H9" s="44">
        <f t="shared" si="0"/>
        <v>0.27589095025239385</v>
      </c>
      <c r="I9" s="37">
        <f t="shared" si="1"/>
        <v>353.53787999999997</v>
      </c>
      <c r="J9" s="38">
        <f t="shared" si="2"/>
        <v>14.898111313629268</v>
      </c>
      <c r="K9" s="38">
        <f t="shared" si="3"/>
        <v>1.512853301037183</v>
      </c>
      <c r="L9" s="38">
        <f t="shared" si="4"/>
        <v>1.4076369186210969</v>
      </c>
      <c r="M9" s="38">
        <f t="shared" si="5"/>
        <v>13.385258012592086</v>
      </c>
      <c r="N9" s="35">
        <f t="shared" si="6"/>
        <v>38293960</v>
      </c>
      <c r="O9" s="38">
        <f t="shared" si="7"/>
        <v>14.898111313629268</v>
      </c>
      <c r="P9" s="39">
        <v>25312408</v>
      </c>
      <c r="Q9" s="40">
        <v>377107072</v>
      </c>
      <c r="R9" s="40">
        <v>35630680</v>
      </c>
      <c r="S9" s="40">
        <v>2663280</v>
      </c>
      <c r="T9" s="40">
        <v>338813112</v>
      </c>
      <c r="U9" s="41" t="s">
        <v>575</v>
      </c>
      <c r="V9" s="41" t="s">
        <v>575</v>
      </c>
      <c r="W9" s="41" t="s">
        <v>575</v>
      </c>
      <c r="X9" s="41" t="s">
        <v>575</v>
      </c>
      <c r="Y9" s="41" t="s">
        <v>575</v>
      </c>
      <c r="Z9" s="42">
        <v>74713.8</v>
      </c>
      <c r="AA9" s="42">
        <v>38840</v>
      </c>
      <c r="AB9" s="42">
        <v>4.6630000000000003</v>
      </c>
      <c r="AC9" s="42">
        <v>29.16</v>
      </c>
      <c r="AE9" s="44">
        <f t="shared" si="8"/>
        <v>0.27589095025239385</v>
      </c>
      <c r="AF9" s="37" t="str">
        <f t="shared" si="9"/>
        <v>·</v>
      </c>
      <c r="AG9" s="38" t="str">
        <f t="shared" si="10"/>
        <v>·</v>
      </c>
      <c r="AH9" s="38" t="str">
        <f t="shared" si="11"/>
        <v>·</v>
      </c>
      <c r="AI9" s="38" t="str">
        <f t="shared" si="12"/>
        <v>·</v>
      </c>
      <c r="AJ9" s="38" t="str">
        <f t="shared" si="13"/>
        <v>·</v>
      </c>
      <c r="AK9" s="35" t="str">
        <f t="shared" si="14"/>
        <v/>
      </c>
      <c r="AL9" s="38" t="str">
        <f t="shared" si="15"/>
        <v>·</v>
      </c>
      <c r="AM9" s="39"/>
      <c r="AN9" s="40"/>
      <c r="AO9" s="40"/>
      <c r="AP9" s="40"/>
      <c r="AQ9" s="40"/>
      <c r="AR9" s="41"/>
      <c r="AS9" s="41"/>
      <c r="AT9" s="41"/>
      <c r="AU9" s="41"/>
      <c r="AV9" s="41"/>
      <c r="AW9" s="42"/>
      <c r="AX9" s="42"/>
      <c r="AY9" s="42"/>
      <c r="AZ9" s="42"/>
      <c r="BB9" s="43" t="e">
        <f t="shared" si="16"/>
        <v>#VALUE!</v>
      </c>
      <c r="BC9" s="43" t="e">
        <f t="shared" si="17"/>
        <v>#VALUE!</v>
      </c>
      <c r="BD9" s="43" t="e">
        <f t="shared" si="18"/>
        <v>#VALUE!</v>
      </c>
      <c r="BE9" s="43" t="e">
        <f t="shared" si="19"/>
        <v>#VALUE!</v>
      </c>
      <c r="BF9" s="44" t="e">
        <f t="shared" si="20"/>
        <v>#VALUE!</v>
      </c>
      <c r="BG9" s="44" t="e">
        <f t="array" ref="BG9">AVERAGE(AK9:AK9/AN9:AN9) - AVERAGE(N9:N9/Q9:Q9)</f>
        <v>#VALUE!</v>
      </c>
      <c r="BI9" s="4">
        <f t="shared" si="22"/>
        <v>-25312408</v>
      </c>
      <c r="BJ9" s="4">
        <f t="shared" si="21"/>
        <v>-377107072</v>
      </c>
      <c r="BK9" s="4">
        <f t="shared" si="21"/>
        <v>-35630680</v>
      </c>
      <c r="BL9" s="4">
        <f t="shared" si="21"/>
        <v>-2663280</v>
      </c>
      <c r="BM9" s="4">
        <f t="shared" si="21"/>
        <v>-338813112</v>
      </c>
    </row>
    <row r="10" spans="1:65" collapsed="1" x14ac:dyDescent="0.3">
      <c r="A10" s="25" t="s">
        <v>292</v>
      </c>
      <c r="B10" s="25" t="s">
        <v>291</v>
      </c>
      <c r="C10" s="25">
        <v>92854683</v>
      </c>
      <c r="D10" s="26">
        <v>11</v>
      </c>
      <c r="E10" s="26">
        <v>32</v>
      </c>
      <c r="F10" s="26">
        <v>30</v>
      </c>
      <c r="H10" s="34">
        <f t="shared" si="0"/>
        <v>0.17143396479141876</v>
      </c>
      <c r="I10" s="27">
        <f t="shared" si="1"/>
        <v>850.64198250000004</v>
      </c>
      <c r="J10" s="28">
        <f t="shared" si="2"/>
        <v>9.7717359931108696</v>
      </c>
      <c r="K10" s="28">
        <f t="shared" si="3"/>
        <v>1.102663524251114</v>
      </c>
      <c r="L10" s="28">
        <f t="shared" si="4"/>
        <v>1.05159284211869</v>
      </c>
      <c r="M10" s="28">
        <f t="shared" si="5"/>
        <v>8.6690724688597562</v>
      </c>
      <c r="N10" s="25">
        <f t="shared" si="6"/>
        <v>102387472</v>
      </c>
      <c r="O10" s="28">
        <f t="shared" si="7"/>
        <v>9.7717359931108696</v>
      </c>
      <c r="P10" s="29">
        <v>92854683</v>
      </c>
      <c r="Q10" s="30">
        <v>907351448</v>
      </c>
      <c r="R10" s="30">
        <v>97645320</v>
      </c>
      <c r="S10" s="30">
        <v>4742152</v>
      </c>
      <c r="T10" s="30">
        <v>804963976</v>
      </c>
      <c r="U10" s="31" t="s">
        <v>575</v>
      </c>
      <c r="V10" s="31" t="s">
        <v>575</v>
      </c>
      <c r="W10" s="31" t="s">
        <v>575</v>
      </c>
      <c r="X10" s="31" t="s">
        <v>575</v>
      </c>
      <c r="Y10" s="31" t="s">
        <v>575</v>
      </c>
      <c r="Z10" s="32">
        <v>184620</v>
      </c>
      <c r="AA10" s="32">
        <v>33613</v>
      </c>
      <c r="AB10" s="32">
        <v>17.739000000000001</v>
      </c>
      <c r="AC10" s="32">
        <v>94.507999999999996</v>
      </c>
      <c r="AE10" s="34">
        <f t="shared" si="8"/>
        <v>0.17143396479141876</v>
      </c>
      <c r="AF10" s="27" t="str">
        <f t="shared" si="9"/>
        <v>·</v>
      </c>
      <c r="AG10" s="28" t="str">
        <f t="shared" si="10"/>
        <v>·</v>
      </c>
      <c r="AH10" s="28" t="str">
        <f t="shared" si="11"/>
        <v>·</v>
      </c>
      <c r="AI10" s="28" t="str">
        <f t="shared" si="12"/>
        <v>·</v>
      </c>
      <c r="AJ10" s="28" t="str">
        <f t="shared" si="13"/>
        <v>·</v>
      </c>
      <c r="AK10" s="25" t="str">
        <f t="shared" si="14"/>
        <v/>
      </c>
      <c r="AL10" s="28" t="str">
        <f t="shared" si="15"/>
        <v>·</v>
      </c>
      <c r="AM10" s="29"/>
      <c r="AN10" s="30"/>
      <c r="AO10" s="30"/>
      <c r="AP10" s="30"/>
      <c r="AQ10" s="30"/>
      <c r="AR10" s="31"/>
      <c r="AS10" s="31"/>
      <c r="AT10" s="31"/>
      <c r="AU10" s="31"/>
      <c r="AV10" s="31"/>
      <c r="AW10" s="32"/>
      <c r="AX10" s="32"/>
      <c r="AY10" s="32"/>
      <c r="AZ10" s="32"/>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-907351448</v>
      </c>
      <c r="BK10" s="4">
        <f t="shared" si="21"/>
        <v>-97645320</v>
      </c>
      <c r="BL10" s="4">
        <f t="shared" si="21"/>
        <v>-4742152</v>
      </c>
      <c r="BM10" s="4">
        <f t="shared" si="21"/>
        <v>-804963976</v>
      </c>
    </row>
    <row r="11" spans="1:65" ht="15" collapsed="1" thickBot="1" x14ac:dyDescent="0.35">
      <c r="A11" s="35"/>
      <c r="B11" s="35" t="s">
        <v>295</v>
      </c>
      <c r="C11" s="35">
        <v>83104648</v>
      </c>
      <c r="D11" s="36">
        <v>11</v>
      </c>
      <c r="E11" s="36">
        <v>32</v>
      </c>
      <c r="F11" s="36">
        <v>30</v>
      </c>
      <c r="H11" s="44">
        <f t="shared" si="0"/>
        <v>0.17520915675192578</v>
      </c>
      <c r="I11" s="37">
        <f t="shared" si="1"/>
        <v>778.08715500000005</v>
      </c>
      <c r="J11" s="38">
        <f t="shared" si="2"/>
        <v>9.9869219348597689</v>
      </c>
      <c r="K11" s="38">
        <f t="shared" si="3"/>
        <v>1.1810698241571278</v>
      </c>
      <c r="L11" s="38">
        <f t="shared" si="4"/>
        <v>1.1194281215173427</v>
      </c>
      <c r="M11" s="38">
        <f t="shared" si="5"/>
        <v>8.8058521107026415</v>
      </c>
      <c r="N11" s="35">
        <f t="shared" si="6"/>
        <v>98152392</v>
      </c>
      <c r="O11" s="38">
        <f t="shared" si="7"/>
        <v>9.9869219348597689</v>
      </c>
      <c r="P11" s="39">
        <v>83104648</v>
      </c>
      <c r="Q11" s="40">
        <v>829959632</v>
      </c>
      <c r="R11" s="40">
        <v>93029680</v>
      </c>
      <c r="S11" s="40">
        <v>5122712</v>
      </c>
      <c r="T11" s="40">
        <v>731807240</v>
      </c>
      <c r="U11" s="41" t="s">
        <v>575</v>
      </c>
      <c r="V11" s="41" t="s">
        <v>575</v>
      </c>
      <c r="W11" s="41" t="s">
        <v>575</v>
      </c>
      <c r="X11" s="41" t="s">
        <v>575</v>
      </c>
      <c r="Y11" s="41" t="s">
        <v>575</v>
      </c>
      <c r="Z11" s="42">
        <v>150157</v>
      </c>
      <c r="AA11" s="42">
        <v>39981</v>
      </c>
      <c r="AB11" s="42">
        <v>17.468</v>
      </c>
      <c r="AC11" s="42">
        <v>101.04</v>
      </c>
      <c r="AE11" s="44">
        <f t="shared" si="8"/>
        <v>0.17520915675192578</v>
      </c>
      <c r="AF11" s="37" t="str">
        <f t="shared" si="9"/>
        <v>·</v>
      </c>
      <c r="AG11" s="38" t="str">
        <f t="shared" si="10"/>
        <v>·</v>
      </c>
      <c r="AH11" s="38" t="str">
        <f t="shared" si="11"/>
        <v>·</v>
      </c>
      <c r="AI11" s="38" t="str">
        <f t="shared" si="12"/>
        <v>·</v>
      </c>
      <c r="AJ11" s="38" t="str">
        <f t="shared" si="13"/>
        <v>·</v>
      </c>
      <c r="AK11" s="35" t="str">
        <f t="shared" si="14"/>
        <v/>
      </c>
      <c r="AL11" s="38" t="str">
        <f t="shared" si="15"/>
        <v>·</v>
      </c>
      <c r="AM11" s="39"/>
      <c r="AN11" s="40"/>
      <c r="AO11" s="40"/>
      <c r="AP11" s="40"/>
      <c r="AQ11" s="40"/>
      <c r="AR11" s="41"/>
      <c r="AS11" s="41"/>
      <c r="AT11" s="41"/>
      <c r="AU11" s="41"/>
      <c r="AV11" s="41"/>
      <c r="AW11" s="42"/>
      <c r="AX11" s="42"/>
      <c r="AY11" s="42"/>
      <c r="AZ11" s="42"/>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-829959632</v>
      </c>
      <c r="BK11" s="4">
        <f t="shared" si="21"/>
        <v>-93029680</v>
      </c>
      <c r="BL11" s="4">
        <f t="shared" si="21"/>
        <v>-5122712</v>
      </c>
      <c r="BM11" s="4">
        <f t="shared" si="21"/>
        <v>-731807240</v>
      </c>
    </row>
    <row r="12" spans="1:65" x14ac:dyDescent="0.3">
      <c r="B12" s="55" t="s">
        <v>298</v>
      </c>
      <c r="J12" s="56">
        <f>AVERAGE(J5:J8)</f>
        <v>9.5715298759954521</v>
      </c>
      <c r="K12" s="56">
        <f>AVERAGE(K5:K8)</f>
        <v>1.3473730015416652</v>
      </c>
      <c r="L12" s="56">
        <f>AVERAGE(L5:L8)</f>
        <v>1.236704575554703</v>
      </c>
      <c r="M12" s="56">
        <f>AVERAGE(M5:M8)</f>
        <v>8.2241568744537883</v>
      </c>
      <c r="AG12" s="56" t="e">
        <f>AVERAGE(AG5:AG8)</f>
        <v>#DIV/0!</v>
      </c>
      <c r="AH12" s="56" t="e">
        <f>AVERAGE(AH5:AH8)</f>
        <v>#DIV/0!</v>
      </c>
      <c r="AI12" s="56" t="e">
        <f>AVERAGE(AI5:AI8)</f>
        <v>#DIV/0!</v>
      </c>
      <c r="AJ12" s="56" t="e">
        <f>AVERAGE(AJ5:AJ8)</f>
        <v>#DIV/0!</v>
      </c>
      <c r="BB12" s="5" t="e">
        <f t="shared" si="16"/>
        <v>#DIV/0!</v>
      </c>
      <c r="BC12" s="5" t="e">
        <f t="shared" si="17"/>
        <v>#DIV/0!</v>
      </c>
      <c r="BD12" s="5" t="e">
        <f t="shared" si="18"/>
        <v>#DIV/0!</v>
      </c>
      <c r="BE12" s="5" t="e">
        <f t="shared" si="19"/>
        <v>#DIV/0!</v>
      </c>
      <c r="BG12" s="8" t="e">
        <f>AVERAGE(BG5:BG8)</f>
        <v>#VALUE!</v>
      </c>
    </row>
    <row r="13" spans="1:65" x14ac:dyDescent="0.3">
      <c r="B13" s="55" t="s">
        <v>299</v>
      </c>
      <c r="J13" s="56">
        <f>AVERAGE(J9:J9)</f>
        <v>14.898111313629268</v>
      </c>
      <c r="K13" s="56">
        <f>AVERAGE(K9:K9)</f>
        <v>1.512853301037183</v>
      </c>
      <c r="L13" s="56">
        <f>AVERAGE(L9:L9)</f>
        <v>1.4076369186210969</v>
      </c>
      <c r="M13" s="56">
        <f>AVERAGE(M9:M9)</f>
        <v>13.385258012592086</v>
      </c>
      <c r="AG13" s="56" t="e">
        <f>AVERAGE(AG9:AG9)</f>
        <v>#DIV/0!</v>
      </c>
      <c r="AH13" s="56" t="e">
        <f>AVERAGE(AH9:AH9)</f>
        <v>#DIV/0!</v>
      </c>
      <c r="AI13" s="56" t="e">
        <f>AVERAGE(AI9:AI9)</f>
        <v>#DIV/0!</v>
      </c>
      <c r="AJ13" s="56" t="e">
        <f>AVERAGE(AJ9:AJ9)</f>
        <v>#DIV/0!</v>
      </c>
      <c r="BB13" s="5" t="e">
        <f t="shared" si="16"/>
        <v>#DIV/0!</v>
      </c>
      <c r="BC13" s="5" t="e">
        <f t="shared" si="17"/>
        <v>#DIV/0!</v>
      </c>
      <c r="BD13" s="5" t="e">
        <f t="shared" si="18"/>
        <v>#DIV/0!</v>
      </c>
      <c r="BE13" s="5" t="e">
        <f t="shared" si="19"/>
        <v>#DIV/0!</v>
      </c>
      <c r="BG13" s="8" t="e">
        <f>AVERAGE(BG9:BG9)</f>
        <v>#VALUE!</v>
      </c>
    </row>
    <row r="14" spans="1:65" x14ac:dyDescent="0.3">
      <c r="B14" s="55" t="s">
        <v>300</v>
      </c>
      <c r="J14" s="56">
        <f>AVERAGE(J10:J11)</f>
        <v>9.8793289639853192</v>
      </c>
      <c r="K14" s="56">
        <f>AVERAGE(K10:K11)</f>
        <v>1.1418666742041208</v>
      </c>
      <c r="L14" s="56">
        <f>AVERAGE(L10:L11)</f>
        <v>1.0855104818180163</v>
      </c>
      <c r="M14" s="56">
        <f>AVERAGE(M10:M11)</f>
        <v>8.7374622897811989</v>
      </c>
      <c r="AG14" s="56" t="e">
        <f>AVERAGE(AG10:AG11)</f>
        <v>#DIV/0!</v>
      </c>
      <c r="AH14" s="56" t="e">
        <f>AVERAGE(AH10:AH11)</f>
        <v>#DIV/0!</v>
      </c>
      <c r="AI14" s="56" t="e">
        <f>AVERAGE(AI10:AI11)</f>
        <v>#DIV/0!</v>
      </c>
      <c r="AJ14" s="56" t="e">
        <f>AVERAGE(AJ10:AJ11)</f>
        <v>#DIV/0!</v>
      </c>
      <c r="BB14" s="5" t="e">
        <f t="shared" si="16"/>
        <v>#DIV/0!</v>
      </c>
      <c r="BC14" s="5" t="e">
        <f t="shared" si="17"/>
        <v>#DIV/0!</v>
      </c>
      <c r="BD14" s="5" t="e">
        <f t="shared" si="18"/>
        <v>#DIV/0!</v>
      </c>
      <c r="BE14" s="5" t="e">
        <f t="shared" si="19"/>
        <v>#DIV/0!</v>
      </c>
      <c r="BG14" s="8" t="e">
        <f>AVERAGE(BG10:BG11)</f>
        <v>#VALUE!</v>
      </c>
    </row>
    <row r="15" spans="1:65" collapsed="1" x14ac:dyDescent="0.3">
      <c r="B15" s="55" t="s">
        <v>301</v>
      </c>
      <c r="J15" s="56">
        <f>AVERAGE(J5:J11)</f>
        <v>10.420412677940245</v>
      </c>
      <c r="K15" s="56">
        <f>AVERAGE(K5:K11)</f>
        <v>1.3122969508017264</v>
      </c>
      <c r="L15" s="56">
        <f>AVERAGE(L5:L11)</f>
        <v>1.2179251692108488</v>
      </c>
      <c r="M15" s="56">
        <f>AVERAGE(M5:M11)</f>
        <v>9.1081157271385198</v>
      </c>
      <c r="AG15" s="56" t="e">
        <f>AVERAGE(AG5:AG11)</f>
        <v>#DIV/0!</v>
      </c>
      <c r="AH15" s="56" t="e">
        <f>AVERAGE(AH5:AH11)</f>
        <v>#DIV/0!</v>
      </c>
      <c r="AI15" s="56" t="e">
        <f>AVERAGE(AI5:AI11)</f>
        <v>#DIV/0!</v>
      </c>
      <c r="AJ15" s="56" t="e">
        <f>AVERAGE(AJ5:AJ11)</f>
        <v>#DIV/0!</v>
      </c>
      <c r="BB15" s="5" t="e">
        <f t="shared" si="16"/>
        <v>#DIV/0!</v>
      </c>
      <c r="BC15" s="5" t="e">
        <f t="shared" si="17"/>
        <v>#DIV/0!</v>
      </c>
      <c r="BD15" s="5" t="e">
        <f t="shared" si="18"/>
        <v>#DIV/0!</v>
      </c>
      <c r="BE15" s="5" t="e">
        <f t="shared" si="19"/>
        <v>#DIV/0!</v>
      </c>
      <c r="BG15" s="8" t="e">
        <f>AVERAGE(BG5:BG11)</f>
        <v>#VALUE!</v>
      </c>
    </row>
    <row r="16" spans="1:65" hidden="1" outlineLevel="2" x14ac:dyDescent="0.3">
      <c r="A16" s="55" t="s">
        <v>302</v>
      </c>
      <c r="B16" s="55" t="s">
        <v>303</v>
      </c>
      <c r="Z16" s="57">
        <f>SUM(Z5:Z8,Z9:Z9,Z10:Z11)</f>
        <v>899220.5</v>
      </c>
      <c r="AA16" s="57">
        <f>SUM(AA5:AA8,AA9:AA9,AA10:AA11)</f>
        <v>198043.2</v>
      </c>
      <c r="AB16" s="57">
        <f>SUM(AB5:AB8,AB9:AB9,AB10:AB11)</f>
        <v>60.191000000000003</v>
      </c>
      <c r="AC16" s="57">
        <f>SUM(AC5:AC8,AC9:AC9,AC10:AC11)</f>
        <v>320.89499999999998</v>
      </c>
      <c r="AW16" s="57">
        <f>SUM(AW5:AW8,AW9:AW9,AW10:AW11)</f>
        <v>0</v>
      </c>
      <c r="AX16" s="57">
        <f>SUM(AX5:AX8,AX9:AX9,AX10:AX11)</f>
        <v>0</v>
      </c>
      <c r="AY16" s="57">
        <f>SUM(AY5:AY8,AY9:AY9,AY10:AY11)</f>
        <v>0</v>
      </c>
      <c r="AZ16" s="57">
        <f>SUM(AZ5:AZ8,AZ9:AZ9,AZ10:AZ11)</f>
        <v>0</v>
      </c>
    </row>
    <row r="17" spans="2:52" hidden="1" outlineLevel="2" x14ac:dyDescent="0.3">
      <c r="B17" s="55" t="s">
        <v>304</v>
      </c>
      <c r="AW17" s="8">
        <f>AW16/Z16</f>
        <v>0</v>
      </c>
      <c r="AX17" s="8">
        <f>AX16/AA16</f>
        <v>0</v>
      </c>
      <c r="AY17" s="8">
        <f>AY16/AB16</f>
        <v>0</v>
      </c>
      <c r="AZ17" s="8">
        <f>AZ16/AC16</f>
        <v>0</v>
      </c>
    </row>
    <row r="18" spans="2:52" hidden="1" outlineLevel="2" x14ac:dyDescent="0.3">
      <c r="B18" s="55" t="s">
        <v>305</v>
      </c>
      <c r="Z18" s="57">
        <f>GEOMEAN(Z5:Z8,Z9:Z9,Z10:Z11)</f>
        <v>121688.93752827671</v>
      </c>
      <c r="AA18" s="57">
        <f>GEOMEAN(AA5:AA8,AA9:AA9,AA10:AA11)</f>
        <v>25659.632426839504</v>
      </c>
      <c r="AB18" s="57">
        <f>GEOMEAN(AB5:AB8,AB9:AB9,AB10:AB11)</f>
        <v>7.126396629895833</v>
      </c>
      <c r="AC18" s="57">
        <f>GEOMEAN(AC5:AC8,AC9:AC9,AC10:AC11)</f>
        <v>36.879287227000979</v>
      </c>
      <c r="AW18" s="57" t="e">
        <f>GEOMEAN(AW5:AW8,AW9:AW9,AW10:AW11)</f>
        <v>#NUM!</v>
      </c>
      <c r="AX18" s="57" t="e">
        <f>GEOMEAN(AX5:AX8,AX9:AX9,AX10:AX11)</f>
        <v>#NUM!</v>
      </c>
      <c r="AY18" s="57" t="e">
        <f>GEOMEAN(AY5:AY8,AY9:AY9,AY10:AY11)</f>
        <v>#NUM!</v>
      </c>
      <c r="AZ18" s="57" t="e">
        <f>GEOMEAN(AZ5:AZ8,AZ9:AZ9,AZ10:AZ11)</f>
        <v>#NUM!</v>
      </c>
    </row>
    <row r="19" spans="2:52" outlineLevel="2" collapsed="1" x14ac:dyDescent="0.3">
      <c r="B19" s="55" t="s">
        <v>306</v>
      </c>
      <c r="AW19" s="8" t="e">
        <f>AW18/Z18</f>
        <v>#NUM!</v>
      </c>
      <c r="AX19" s="8" t="e">
        <f>AX18/AA18</f>
        <v>#NUM!</v>
      </c>
      <c r="AY19" s="8" t="e">
        <f>AY18/AB18</f>
        <v>#NUM!</v>
      </c>
      <c r="AZ19" s="8" t="e">
        <f>AZ18/AC18</f>
        <v>#NUM!</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CG47"/>
  <sheetViews>
    <sheetView zoomScale="70" zoomScaleNormal="70" workbookViewId="0">
      <pane xSplit="2" ySplit="4" topLeftCell="AK5" activePane="bottomRight" state="frozen"/>
      <selection pane="topRight" activeCell="C1" sqref="C1"/>
      <selection pane="bottomLeft" activeCell="A5" sqref="A5"/>
      <selection pane="bottomRight" activeCell="A55" sqref="A55"/>
    </sheetView>
  </sheetViews>
  <sheetFormatPr defaultRowHeight="14.4" outlineLevelRow="2" x14ac:dyDescent="0.3"/>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10" customWidth="1"/>
    <col min="79" max="79" width="10.21875" customWidth="1"/>
  </cols>
  <sheetData>
    <row r="1" spans="1:85" x14ac:dyDescent="0.3">
      <c r="A1" s="74" t="s">
        <v>550</v>
      </c>
      <c r="B1" s="74"/>
      <c r="C1" s="74"/>
      <c r="D1" s="74"/>
      <c r="E1" s="74"/>
      <c r="F1" s="74"/>
      <c r="G1" s="74"/>
      <c r="I1" s="66" t="s">
        <v>583</v>
      </c>
      <c r="J1" s="66"/>
      <c r="K1" s="66"/>
      <c r="L1" s="66"/>
      <c r="M1" s="66"/>
      <c r="N1" s="66"/>
      <c r="O1" s="66"/>
      <c r="P1" s="66"/>
      <c r="Q1" s="66"/>
      <c r="R1" s="66"/>
      <c r="S1" s="66"/>
      <c r="T1" s="66"/>
      <c r="U1" s="66"/>
      <c r="V1" s="66"/>
      <c r="W1" s="66"/>
      <c r="X1" s="66"/>
      <c r="Y1" s="66"/>
      <c r="Z1" s="66"/>
      <c r="AA1" s="66"/>
      <c r="AB1" s="66"/>
      <c r="AC1" s="66"/>
      <c r="AD1" s="66"/>
      <c r="AE1" s="66"/>
      <c r="AG1" s="67" t="s">
        <v>584</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35">
      <c r="A2" s="76" t="s">
        <v>93</v>
      </c>
      <c r="B2" s="75" t="s">
        <v>96</v>
      </c>
      <c r="C2" s="76" t="s">
        <v>99</v>
      </c>
      <c r="D2" s="75" t="s">
        <v>102</v>
      </c>
      <c r="E2" s="76" t="s">
        <v>105</v>
      </c>
      <c r="F2" s="75" t="s">
        <v>108</v>
      </c>
      <c r="G2" s="76" t="s">
        <v>111</v>
      </c>
      <c r="I2" s="75" t="s">
        <v>114</v>
      </c>
      <c r="J2" s="73" t="s">
        <v>117</v>
      </c>
      <c r="K2" s="73"/>
      <c r="L2" s="73"/>
      <c r="M2" s="73"/>
      <c r="N2" s="76" t="s">
        <v>130</v>
      </c>
      <c r="O2" s="75" t="s">
        <v>133</v>
      </c>
      <c r="P2" s="76" t="s">
        <v>24</v>
      </c>
      <c r="Q2" s="75" t="s">
        <v>26</v>
      </c>
      <c r="R2" s="76" t="s">
        <v>22</v>
      </c>
      <c r="S2" s="72" t="s">
        <v>142</v>
      </c>
      <c r="T2" s="72"/>
      <c r="U2" s="72"/>
      <c r="V2" s="72"/>
      <c r="W2" s="73" t="s">
        <v>153</v>
      </c>
      <c r="X2" s="73"/>
      <c r="Y2" s="72" t="s">
        <v>160</v>
      </c>
      <c r="Z2" s="72"/>
      <c r="AA2" s="72"/>
      <c r="AB2" s="73" t="s">
        <v>170</v>
      </c>
      <c r="AC2" s="73"/>
      <c r="AD2" s="72" t="s">
        <v>177</v>
      </c>
      <c r="AE2" s="72"/>
      <c r="AG2" s="76" t="s">
        <v>114</v>
      </c>
      <c r="AH2" s="72" t="s">
        <v>117</v>
      </c>
      <c r="AI2" s="72"/>
      <c r="AJ2" s="72"/>
      <c r="AK2" s="72"/>
      <c r="AL2" s="75" t="s">
        <v>192</v>
      </c>
      <c r="AM2" s="76" t="s">
        <v>133</v>
      </c>
      <c r="AN2" s="75" t="s">
        <v>24</v>
      </c>
      <c r="AO2" s="76" t="s">
        <v>26</v>
      </c>
      <c r="AP2" s="75" t="s">
        <v>22</v>
      </c>
      <c r="AQ2" s="73" t="s">
        <v>142</v>
      </c>
      <c r="AR2" s="73"/>
      <c r="AS2" s="73"/>
      <c r="AT2" s="73"/>
      <c r="AU2" s="72" t="s">
        <v>153</v>
      </c>
      <c r="AV2" s="72"/>
      <c r="AW2" s="73" t="s">
        <v>160</v>
      </c>
      <c r="AX2" s="73"/>
      <c r="AY2" s="73"/>
      <c r="AZ2" s="72" t="s">
        <v>170</v>
      </c>
      <c r="BA2" s="72"/>
      <c r="BB2" s="73" t="s">
        <v>177</v>
      </c>
      <c r="BC2" s="73"/>
      <c r="BE2" s="75" t="s">
        <v>229</v>
      </c>
      <c r="BF2" s="76" t="s">
        <v>232</v>
      </c>
      <c r="BG2" s="75" t="s">
        <v>235</v>
      </c>
      <c r="BH2" s="76" t="s">
        <v>235</v>
      </c>
      <c r="BJ2" s="72" t="s">
        <v>240</v>
      </c>
      <c r="BK2" s="72"/>
      <c r="BL2" s="73" t="s">
        <v>245</v>
      </c>
      <c r="BM2" s="73"/>
      <c r="BN2" s="73"/>
      <c r="BP2" s="72" t="s">
        <v>252</v>
      </c>
      <c r="BQ2" s="72"/>
      <c r="BR2" s="73" t="s">
        <v>257</v>
      </c>
      <c r="BS2" s="73"/>
      <c r="BT2" s="73"/>
      <c r="BV2" s="69" t="s">
        <v>576</v>
      </c>
      <c r="BW2" s="70" t="s">
        <v>577</v>
      </c>
      <c r="BX2" s="69" t="s">
        <v>578</v>
      </c>
      <c r="BY2" s="68" t="s">
        <v>579</v>
      </c>
      <c r="BZ2" s="68"/>
      <c r="CA2" s="68"/>
      <c r="CB2" s="68"/>
      <c r="CC2" s="71" t="s">
        <v>580</v>
      </c>
      <c r="CD2" s="71"/>
      <c r="CE2" s="68" t="s">
        <v>581</v>
      </c>
      <c r="CF2" s="68"/>
      <c r="CG2" s="68"/>
    </row>
    <row r="3" spans="1:85" ht="29.4" thickBot="1" x14ac:dyDescent="0.35">
      <c r="A3" s="76"/>
      <c r="B3" s="75"/>
      <c r="C3" s="76"/>
      <c r="D3" s="75"/>
      <c r="E3" s="76"/>
      <c r="F3" s="75"/>
      <c r="G3" s="76"/>
      <c r="I3" s="75"/>
      <c r="J3" s="11" t="s">
        <v>118</v>
      </c>
      <c r="K3" s="11" t="s">
        <v>121</v>
      </c>
      <c r="L3" s="11" t="s">
        <v>124</v>
      </c>
      <c r="M3" s="11" t="s">
        <v>127</v>
      </c>
      <c r="N3" s="76"/>
      <c r="O3" s="75"/>
      <c r="P3" s="76"/>
      <c r="Q3" s="75"/>
      <c r="R3" s="76"/>
      <c r="S3" s="12" t="s">
        <v>118</v>
      </c>
      <c r="T3" s="12" t="s">
        <v>124</v>
      </c>
      <c r="U3" s="12" t="s">
        <v>147</v>
      </c>
      <c r="V3" s="12" t="s">
        <v>150</v>
      </c>
      <c r="W3" s="11" t="s">
        <v>154</v>
      </c>
      <c r="X3" s="11" t="s">
        <v>157</v>
      </c>
      <c r="Y3" s="12" t="s">
        <v>161</v>
      </c>
      <c r="Z3" s="12" t="s">
        <v>164</v>
      </c>
      <c r="AA3" s="12" t="s">
        <v>167</v>
      </c>
      <c r="AB3" s="11" t="s">
        <v>171</v>
      </c>
      <c r="AC3" s="11" t="s">
        <v>174</v>
      </c>
      <c r="AD3" s="12" t="s">
        <v>171</v>
      </c>
      <c r="AE3" s="12" t="s">
        <v>174</v>
      </c>
      <c r="AG3" s="76"/>
      <c r="AH3" s="12" t="s">
        <v>118</v>
      </c>
      <c r="AI3" s="12" t="s">
        <v>121</v>
      </c>
      <c r="AJ3" s="12" t="s">
        <v>124</v>
      </c>
      <c r="AK3" s="12" t="s">
        <v>127</v>
      </c>
      <c r="AL3" s="75"/>
      <c r="AM3" s="76"/>
      <c r="AN3" s="75"/>
      <c r="AO3" s="76"/>
      <c r="AP3" s="75"/>
      <c r="AQ3" s="11" t="s">
        <v>118</v>
      </c>
      <c r="AR3" s="11" t="s">
        <v>124</v>
      </c>
      <c r="AS3" s="11" t="s">
        <v>147</v>
      </c>
      <c r="AT3" s="11" t="s">
        <v>150</v>
      </c>
      <c r="AU3" s="12" t="s">
        <v>154</v>
      </c>
      <c r="AV3" s="12" t="s">
        <v>157</v>
      </c>
      <c r="AW3" s="11" t="s">
        <v>161</v>
      </c>
      <c r="AX3" s="11" t="s">
        <v>164</v>
      </c>
      <c r="AY3" s="11" t="s">
        <v>167</v>
      </c>
      <c r="AZ3" s="12" t="s">
        <v>171</v>
      </c>
      <c r="BA3" s="12" t="s">
        <v>174</v>
      </c>
      <c r="BB3" s="11" t="s">
        <v>171</v>
      </c>
      <c r="BC3" s="11" t="s">
        <v>174</v>
      </c>
      <c r="BE3" s="75"/>
      <c r="BF3" s="76"/>
      <c r="BG3" s="75"/>
      <c r="BH3" s="76"/>
      <c r="BJ3" s="12" t="s">
        <v>154</v>
      </c>
      <c r="BK3" s="12" t="s">
        <v>157</v>
      </c>
      <c r="BL3" s="11" t="s">
        <v>161</v>
      </c>
      <c r="BM3" s="11" t="s">
        <v>164</v>
      </c>
      <c r="BN3" s="11" t="s">
        <v>167</v>
      </c>
      <c r="BP3" s="12" t="s">
        <v>154</v>
      </c>
      <c r="BQ3" s="12" t="s">
        <v>157</v>
      </c>
      <c r="BR3" s="11" t="s">
        <v>161</v>
      </c>
      <c r="BS3" s="11" t="s">
        <v>164</v>
      </c>
      <c r="BT3" s="11" t="s">
        <v>167</v>
      </c>
      <c r="BV3" s="69"/>
      <c r="BW3" s="70"/>
      <c r="BX3" s="69"/>
      <c r="BY3" s="58" t="s">
        <v>118</v>
      </c>
      <c r="BZ3" s="58" t="s">
        <v>124</v>
      </c>
      <c r="CA3" s="58" t="s">
        <v>147</v>
      </c>
      <c r="CB3" s="58" t="s">
        <v>150</v>
      </c>
      <c r="CC3" s="59" t="s">
        <v>154</v>
      </c>
      <c r="CD3" s="59" t="s">
        <v>157</v>
      </c>
      <c r="CE3" s="58" t="s">
        <v>161</v>
      </c>
      <c r="CF3" s="58" t="s">
        <v>164</v>
      </c>
      <c r="CG3" s="58" t="s">
        <v>167</v>
      </c>
    </row>
    <row r="4" spans="1:85" ht="121.2" hidden="1" thickBot="1" x14ac:dyDescent="0.35">
      <c r="A4" s="13" t="s">
        <v>94</v>
      </c>
      <c r="B4" s="14" t="s">
        <v>97</v>
      </c>
      <c r="C4" s="13" t="s">
        <v>100</v>
      </c>
      <c r="D4" s="14" t="s">
        <v>103</v>
      </c>
      <c r="E4" s="13" t="s">
        <v>106</v>
      </c>
      <c r="F4" s="14" t="s">
        <v>109</v>
      </c>
      <c r="G4" s="13" t="s">
        <v>112</v>
      </c>
      <c r="I4" s="14" t="s">
        <v>115</v>
      </c>
      <c r="J4" s="13" t="s">
        <v>119</v>
      </c>
      <c r="K4" s="13" t="s">
        <v>122</v>
      </c>
      <c r="L4" s="13" t="s">
        <v>125</v>
      </c>
      <c r="M4" s="13" t="s">
        <v>128</v>
      </c>
      <c r="N4" s="13" t="s">
        <v>131</v>
      </c>
      <c r="O4" s="14" t="s">
        <v>134</v>
      </c>
      <c r="P4" s="13" t="s">
        <v>136</v>
      </c>
      <c r="Q4" s="14" t="s">
        <v>138</v>
      </c>
      <c r="R4" s="13" t="s">
        <v>140</v>
      </c>
      <c r="S4" s="14" t="s">
        <v>143</v>
      </c>
      <c r="T4" s="14" t="s">
        <v>145</v>
      </c>
      <c r="U4" s="14" t="s">
        <v>148</v>
      </c>
      <c r="V4" s="14" t="s">
        <v>151</v>
      </c>
      <c r="W4" s="13" t="s">
        <v>155</v>
      </c>
      <c r="X4" s="13" t="s">
        <v>158</v>
      </c>
      <c r="Y4" s="14" t="s">
        <v>162</v>
      </c>
      <c r="Z4" s="14" t="s">
        <v>165</v>
      </c>
      <c r="AA4" s="14" t="s">
        <v>168</v>
      </c>
      <c r="AB4" s="13" t="s">
        <v>172</v>
      </c>
      <c r="AC4" s="13" t="s">
        <v>175</v>
      </c>
      <c r="AD4" s="14" t="s">
        <v>178</v>
      </c>
      <c r="AE4" s="14" t="s">
        <v>180</v>
      </c>
      <c r="AG4" s="13" t="s">
        <v>182</v>
      </c>
      <c r="AH4" s="14" t="s">
        <v>184</v>
      </c>
      <c r="AI4" s="14" t="s">
        <v>186</v>
      </c>
      <c r="AJ4" s="14" t="s">
        <v>188</v>
      </c>
      <c r="AK4" s="14" t="s">
        <v>190</v>
      </c>
      <c r="AL4" s="14" t="s">
        <v>193</v>
      </c>
      <c r="AM4" s="13" t="s">
        <v>195</v>
      </c>
      <c r="AN4" s="14" t="s">
        <v>197</v>
      </c>
      <c r="AO4" s="13" t="s">
        <v>199</v>
      </c>
      <c r="AP4" s="14" t="s">
        <v>201</v>
      </c>
      <c r="AQ4" s="13" t="s">
        <v>203</v>
      </c>
      <c r="AR4" s="13" t="s">
        <v>205</v>
      </c>
      <c r="AS4" s="13" t="s">
        <v>207</v>
      </c>
      <c r="AT4" s="13" t="s">
        <v>209</v>
      </c>
      <c r="AU4" s="14" t="s">
        <v>211</v>
      </c>
      <c r="AV4" s="14" t="s">
        <v>213</v>
      </c>
      <c r="AW4" s="13" t="s">
        <v>215</v>
      </c>
      <c r="AX4" s="13" t="s">
        <v>217</v>
      </c>
      <c r="AY4" s="13" t="s">
        <v>219</v>
      </c>
      <c r="AZ4" s="14" t="s">
        <v>221</v>
      </c>
      <c r="BA4" s="14" t="s">
        <v>223</v>
      </c>
      <c r="BB4" s="13" t="s">
        <v>225</v>
      </c>
      <c r="BC4" s="13" t="s">
        <v>227</v>
      </c>
      <c r="BE4" s="14" t="s">
        <v>230</v>
      </c>
      <c r="BF4" s="13" t="s">
        <v>233</v>
      </c>
      <c r="BG4" s="14" t="s">
        <v>236</v>
      </c>
      <c r="BH4" s="13" t="s">
        <v>238</v>
      </c>
      <c r="BJ4" s="14" t="s">
        <v>241</v>
      </c>
      <c r="BK4" s="14" t="s">
        <v>243</v>
      </c>
      <c r="BL4" s="13" t="s">
        <v>246</v>
      </c>
      <c r="BM4" s="13" t="s">
        <v>248</v>
      </c>
      <c r="BN4" s="13" t="s">
        <v>250</v>
      </c>
      <c r="BP4" s="14" t="s">
        <v>253</v>
      </c>
      <c r="BQ4" s="14" t="s">
        <v>255</v>
      </c>
      <c r="BR4" s="13" t="s">
        <v>258</v>
      </c>
      <c r="BS4" s="13" t="s">
        <v>260</v>
      </c>
      <c r="BT4" s="13" t="s">
        <v>262</v>
      </c>
      <c r="BV4" s="4"/>
      <c r="BW4" s="4"/>
      <c r="BX4" s="4"/>
      <c r="BY4" s="4"/>
      <c r="BZ4" s="4"/>
      <c r="CA4" s="4"/>
      <c r="CB4" s="4"/>
      <c r="CC4" s="4"/>
      <c r="CD4" s="4"/>
      <c r="CE4" s="4"/>
      <c r="CF4" s="4"/>
      <c r="CG4" s="4"/>
    </row>
    <row r="5" spans="1:85" x14ac:dyDescent="0.3">
      <c r="A5" s="15" t="s">
        <v>270</v>
      </c>
      <c r="B5" s="15" t="s">
        <v>269</v>
      </c>
      <c r="C5" s="16" t="s">
        <v>271</v>
      </c>
      <c r="D5" s="15">
        <v>24964341</v>
      </c>
      <c r="E5" s="16">
        <v>10</v>
      </c>
      <c r="F5" s="16">
        <v>32</v>
      </c>
      <c r="G5" s="16">
        <v>30</v>
      </c>
      <c r="I5" s="17">
        <f t="shared" ref="I5:I39" si="0">IF(OR(ISBLANK(S5),ISBLANK(G5)),"·",S5*G5/F5/1000000)</f>
        <v>1.13259</v>
      </c>
      <c r="J5" s="18">
        <f t="shared" ref="J5:J39" si="1">IF(ISBLANK(S5),"·",S5/D5)</f>
        <v>4.8392865647845458E-2</v>
      </c>
      <c r="K5" s="18">
        <f t="shared" ref="K5:K39" si="2">IF(N5="","·",N5/D5)</f>
        <v>4.1641475735329843E-2</v>
      </c>
      <c r="L5" s="18">
        <f t="shared" ref="L5:L39" si="3">IF(T5="","·",T5/D5)</f>
        <v>2.5164854141353062E-2</v>
      </c>
      <c r="M5" s="18">
        <f t="shared" ref="M5:M39" si="4">IF(ISBLANK(V5),"·",V5/D5)</f>
        <v>6.751389912515616E-3</v>
      </c>
      <c r="N5" s="15">
        <f t="shared" ref="N5:N39" si="5">IF(OR(ISBLANK(T5),ISBLANK(U5)),"",T5+U5)</f>
        <v>1039552</v>
      </c>
      <c r="O5" s="18">
        <f t="shared" ref="O5:O39" si="6">IF(ISBLANK(S5),"·",S5/P5)</f>
        <v>5.1390745109142634E-2</v>
      </c>
      <c r="P5" s="19">
        <v>23508046</v>
      </c>
      <c r="Q5" s="19">
        <v>734626.4375</v>
      </c>
      <c r="R5" s="19">
        <v>17443.4375</v>
      </c>
      <c r="S5" s="20">
        <v>1208096</v>
      </c>
      <c r="T5" s="20">
        <v>628224</v>
      </c>
      <c r="U5" s="20">
        <v>411328</v>
      </c>
      <c r="V5" s="20">
        <v>168544</v>
      </c>
      <c r="W5" s="21">
        <v>66.832428125000007</v>
      </c>
      <c r="X5" s="21">
        <v>68.589100000000002</v>
      </c>
      <c r="Y5" s="21">
        <v>31.7477625</v>
      </c>
      <c r="Z5" s="21">
        <v>44.687831250000002</v>
      </c>
      <c r="AA5" s="21">
        <v>44.062315624999997</v>
      </c>
      <c r="AB5" s="22">
        <v>5199.01</v>
      </c>
      <c r="AC5" s="22">
        <v>7964.94</v>
      </c>
      <c r="AD5" s="22">
        <v>19.062999999999999</v>
      </c>
      <c r="AE5" s="22">
        <v>54.691000000000003</v>
      </c>
      <c r="AG5" s="17">
        <f t="shared" ref="AG5:AG39" si="7">IF(OR(ISBLANK(AQ5),ISBLANK(G5)),"·",AQ5*G5/F5/1000000)</f>
        <v>1.0450275</v>
      </c>
      <c r="AH5" s="18">
        <f t="shared" ref="AH5:AH39" si="8">IF(ISBLANK(AQ5),"·",AQ5/D5)</f>
        <v>4.4651529155125706E-2</v>
      </c>
      <c r="AI5" s="18">
        <f t="shared" ref="AI5:AI39" si="9">IF(AL5="","·",AL5/D5)</f>
        <v>3.8707691102280652E-2</v>
      </c>
      <c r="AJ5" s="18">
        <f t="shared" ref="AJ5:AJ39" si="10">IF(AR5="","·",AR5/D5)</f>
        <v>2.4335511199754883E-2</v>
      </c>
      <c r="AK5" s="18">
        <f t="shared" ref="AK5:AK39" si="11">IF(ISBLANK(AT5),"·",AT5/D5)</f>
        <v>5.9438380528450564E-3</v>
      </c>
      <c r="AL5" s="15">
        <f t="shared" ref="AL5:AL39" si="12">IF(OR(ISBLANK(AR5),ISBLANK(AS5)),"",AR5+AS5)</f>
        <v>966312</v>
      </c>
      <c r="AM5" s="18">
        <f t="shared" ref="AM5:AM39" si="13">IF(ISBLANK(AQ5),"·",AQ5/AN5)</f>
        <v>4.7268515006376202E-2</v>
      </c>
      <c r="AN5" s="19">
        <v>23582209</v>
      </c>
      <c r="AO5" s="19">
        <v>736944.03125</v>
      </c>
      <c r="AP5" s="19">
        <v>16792.40625</v>
      </c>
      <c r="AQ5" s="20">
        <v>1114696</v>
      </c>
      <c r="AR5" s="20">
        <v>607520</v>
      </c>
      <c r="AS5" s="20">
        <v>358792</v>
      </c>
      <c r="AT5" s="20">
        <v>148384</v>
      </c>
      <c r="AU5" s="21">
        <v>66.845137500000007</v>
      </c>
      <c r="AV5" s="21">
        <v>68.608421875000005</v>
      </c>
      <c r="AW5" s="21">
        <v>31.763540625000001</v>
      </c>
      <c r="AX5" s="21">
        <v>44.651406250000001</v>
      </c>
      <c r="AY5" s="21">
        <v>44.100406249999999</v>
      </c>
      <c r="AZ5" s="22">
        <v>3616.3</v>
      </c>
      <c r="BA5" s="22">
        <v>6579.14</v>
      </c>
      <c r="BB5" s="22">
        <v>12.673999999999999</v>
      </c>
      <c r="BC5" s="22">
        <v>39.720999999999997</v>
      </c>
      <c r="BE5" s="23">
        <f t="shared" ref="BE5:BE43" si="14">AI5/K5</f>
        <v>0.92954657390876083</v>
      </c>
      <c r="BF5" s="24">
        <f t="shared" ref="BF5:BF39" si="15">(AP5/AO5) - (R5/Q5)</f>
        <v>-9.5809402140254601E-4</v>
      </c>
      <c r="BG5" s="24">
        <f t="shared" ref="BG5:BG39" si="16">(AL5/AQ5) - (N5/S5)</f>
        <v>6.3959775850532807E-3</v>
      </c>
      <c r="BH5" s="24">
        <f t="array" ref="BH5">AVERAGE(AL5:AL9/AQ5:AQ9) - AVERAGE(N5:N9/S5:S9)</f>
        <v>7.8417616449713012E-3</v>
      </c>
      <c r="BJ5" s="23">
        <f>IF( OR(ISBLANK(N5:N9),ISBLANK(AL5:AL9), ISBLANK(W5:W9),ISBLANK(AU5:AU9)), "·", bdRateExtend( N5:N9,W5:W9, AL5:AL9,AU5:AU9))</f>
        <v>-5.2817765261517158E-2</v>
      </c>
      <c r="BK5" s="23">
        <f>IF( OR(ISBLANK(N5:N9),ISBLANK(AL5:AL9), ISBLANK(X5:X9),ISBLANK(AV5:AV9)), "·", bdRateExtend( N5:N9,X5:X9, AL5:AL9,AV5:AV9))</f>
        <v>-5.4747136220528514E-2</v>
      </c>
      <c r="BL5" s="23">
        <f>IF( OR(ISBLANK(V5:V9),ISBLANK(AT5:AT9), ISBLANK(Y5:Y9),ISBLANK(AW5:AW9)), "·", bdRateExtend( V5:V9,Y5:Y9, AT5:AT9,AW5:AW9))</f>
        <v>-6.2477404104372747E-2</v>
      </c>
      <c r="BM5" s="23">
        <f>IF( OR(ISBLANK(V5:V9),ISBLANK(AT5:AT9), ISBLANK(Z5:Z9),ISBLANK(AX5:AX9)), "·", bdRateExtend( V5:V9,Z5:Z9, AT5:AT9,AX5:AX9))</f>
        <v>-6.6449793438764559E-2</v>
      </c>
      <c r="BN5" s="23">
        <f>IF( OR(ISBLANK(V5:V9),ISBLANK(AT5:AT9), ISBLANK(AA5:AA9),ISBLANK(AY5:AY9)), "·", bdRateExtend( V5:V9,AA5:AA9, AT5:AT9,AY5:AY9))</f>
        <v>-7.6573230657097868E-2</v>
      </c>
      <c r="BP5" s="23">
        <f>IF( OR(ISBLANK(S5:S9),ISBLANK(AQ5:AQ9), ISBLANK(W5:W9),ISBLANK(AU5:AU9)), "·", bdRateExtend( S5:S9,W5:W9, AQ5:AQ9,AU5:AU9))</f>
        <v>-6.6203703959892612E-2</v>
      </c>
      <c r="BQ5" s="23">
        <f>IF( OR(ISBLANK(S5:S9),ISBLANK(AQ5:AQ9), ISBLANK(X5:X9),ISBLANK(AV5:AV9)), "·", bdRateExtend( S5:S9,X5:X9, AQ5:AQ9,AV5:AV9))</f>
        <v>-7.0416662433473332E-2</v>
      </c>
      <c r="BR5" s="23">
        <f>IF( OR(ISBLANK(S5:S9),ISBLANK(AQ5:AQ9), ISBLANK(Y5:Y9),ISBLANK(AW5:AW9)), "·", bdRateExtend( S5:S9,Y5:Y9, AQ5:AQ9,AW5:AW9))</f>
        <v>-4.1924018444205124E-2</v>
      </c>
      <c r="BS5" s="23">
        <f>IF( OR(ISBLANK(S5:S9),ISBLANK(AQ5:AQ9), ISBLANK(Z5:Z9),ISBLANK(AX5:AX9)), "·", bdRateExtend( S5:S9,Z5:Z9, AQ5:AQ9,AX5:AX9))</f>
        <v>-4.2578121104312139E-2</v>
      </c>
      <c r="BT5" s="23">
        <f>IF( OR(ISBLANK(S5:S9),ISBLANK(AQ5:AQ9), ISBLANK(AA5:AA9),ISBLANK(AY5:AY9)), "·", bdRateExtend( S5:S9,AA5:AA9, AQ5:AQ9,AY5:AY9))</f>
        <v>-5.147259047859476E-2</v>
      </c>
      <c r="BV5" s="4">
        <f>AN5-P5</f>
        <v>74163</v>
      </c>
      <c r="BW5" s="4">
        <f t="shared" ref="BW5:CG20" si="17">AO5-Q5</f>
        <v>2317.59375</v>
      </c>
      <c r="BX5" s="4">
        <f t="shared" si="17"/>
        <v>-651.03125</v>
      </c>
      <c r="BY5" s="4">
        <f t="shared" si="17"/>
        <v>-93400</v>
      </c>
      <c r="BZ5" s="4">
        <f t="shared" si="17"/>
        <v>-20704</v>
      </c>
      <c r="CA5" s="4">
        <f t="shared" si="17"/>
        <v>-52536</v>
      </c>
      <c r="CB5" s="4">
        <f t="shared" si="17"/>
        <v>-20160</v>
      </c>
      <c r="CC5" s="4">
        <f t="shared" si="17"/>
        <v>1.2709375000000023E-2</v>
      </c>
      <c r="CD5" s="4">
        <f t="shared" si="17"/>
        <v>1.9321875000002819E-2</v>
      </c>
      <c r="CE5" s="4">
        <f t="shared" si="17"/>
        <v>1.5778125000000642E-2</v>
      </c>
      <c r="CF5" s="4">
        <f t="shared" si="17"/>
        <v>-3.6425000000001262E-2</v>
      </c>
      <c r="CG5" s="4">
        <f t="shared" si="17"/>
        <v>3.8090625000002376E-2</v>
      </c>
    </row>
    <row r="6" spans="1:85" outlineLevel="1" x14ac:dyDescent="0.3">
      <c r="A6" s="25"/>
      <c r="B6" s="25" t="s">
        <v>269</v>
      </c>
      <c r="C6" s="26" t="s">
        <v>272</v>
      </c>
      <c r="D6" s="25">
        <v>24964341</v>
      </c>
      <c r="E6" s="26">
        <v>10</v>
      </c>
      <c r="F6" s="26">
        <v>32</v>
      </c>
      <c r="G6" s="26">
        <v>30</v>
      </c>
      <c r="I6" s="27">
        <f t="shared" si="0"/>
        <v>1.4620500000000001</v>
      </c>
      <c r="J6" s="28">
        <f t="shared" si="1"/>
        <v>6.2469904573086869E-2</v>
      </c>
      <c r="K6" s="28">
        <f t="shared" si="2"/>
        <v>5.0265937322359122E-2</v>
      </c>
      <c r="L6" s="28">
        <f t="shared" si="3"/>
        <v>3.3789315728382334E-2</v>
      </c>
      <c r="M6" s="28">
        <f t="shared" si="4"/>
        <v>1.2203967250727747E-2</v>
      </c>
      <c r="N6" s="25">
        <f t="shared" si="5"/>
        <v>1254856</v>
      </c>
      <c r="O6" s="28">
        <f t="shared" si="6"/>
        <v>6.2992125984251968E-2</v>
      </c>
      <c r="P6" s="29">
        <v>24757380</v>
      </c>
      <c r="Q6" s="29">
        <v>773668.125</v>
      </c>
      <c r="R6" s="29">
        <v>20594.65625</v>
      </c>
      <c r="S6" s="30">
        <v>1559520</v>
      </c>
      <c r="T6" s="30">
        <v>843528</v>
      </c>
      <c r="U6" s="30">
        <v>411328</v>
      </c>
      <c r="V6" s="30">
        <v>304664</v>
      </c>
      <c r="W6" s="31">
        <v>68.508778125000006</v>
      </c>
      <c r="X6" s="31">
        <v>70.548268750000005</v>
      </c>
      <c r="Y6" s="31">
        <v>33.907259375000002</v>
      </c>
      <c r="Z6" s="31">
        <v>45.453121875000001</v>
      </c>
      <c r="AA6" s="31">
        <v>45.226387500000001</v>
      </c>
      <c r="AB6" s="32">
        <v>4873.49</v>
      </c>
      <c r="AC6" s="32">
        <v>7816.47</v>
      </c>
      <c r="AD6" s="32">
        <v>19.286000000000001</v>
      </c>
      <c r="AE6" s="32">
        <v>56.557000000000002</v>
      </c>
      <c r="AG6" s="27">
        <f t="shared" si="7"/>
        <v>1.36056</v>
      </c>
      <c r="AH6" s="28">
        <f t="shared" si="8"/>
        <v>5.8133479269490834E-2</v>
      </c>
      <c r="AI6" s="28">
        <f t="shared" si="9"/>
        <v>4.7200124369395531E-2</v>
      </c>
      <c r="AJ6" s="28">
        <f t="shared" si="10"/>
        <v>3.2827944466869763E-2</v>
      </c>
      <c r="AK6" s="28">
        <f t="shared" si="11"/>
        <v>1.09333549000953E-2</v>
      </c>
      <c r="AL6" s="25">
        <f t="shared" si="12"/>
        <v>1178320</v>
      </c>
      <c r="AM6" s="28">
        <f t="shared" si="13"/>
        <v>5.8571847096283033E-2</v>
      </c>
      <c r="AN6" s="29">
        <v>24777501</v>
      </c>
      <c r="AO6" s="29">
        <v>774296.90625</v>
      </c>
      <c r="AP6" s="29">
        <v>19737.75</v>
      </c>
      <c r="AQ6" s="30">
        <v>1451264</v>
      </c>
      <c r="AR6" s="30">
        <v>819528</v>
      </c>
      <c r="AS6" s="30">
        <v>358792</v>
      </c>
      <c r="AT6" s="30">
        <v>272944</v>
      </c>
      <c r="AU6" s="31">
        <v>68.551974999999999</v>
      </c>
      <c r="AV6" s="31">
        <v>70.611215625</v>
      </c>
      <c r="AW6" s="31">
        <v>33.850915624999999</v>
      </c>
      <c r="AX6" s="31">
        <v>45.504371874999997</v>
      </c>
      <c r="AY6" s="31">
        <v>45.2265625</v>
      </c>
      <c r="AZ6" s="32">
        <v>3576.93</v>
      </c>
      <c r="BA6" s="32">
        <v>7137.77</v>
      </c>
      <c r="BB6" s="32">
        <v>13.254</v>
      </c>
      <c r="BC6" s="32">
        <v>37.146999999999998</v>
      </c>
      <c r="BE6" s="33">
        <f t="shared" si="14"/>
        <v>0.93900814117317044</v>
      </c>
      <c r="BF6" s="34">
        <f t="shared" si="15"/>
        <v>-1.1283063169684922E-3</v>
      </c>
      <c r="BG6" s="34">
        <f t="shared" si="16"/>
        <v>7.2842525617653475E-3</v>
      </c>
      <c r="BH6" s="34"/>
      <c r="BJ6" s="33"/>
      <c r="BK6" s="33"/>
      <c r="BL6" s="33"/>
      <c r="BM6" s="33"/>
      <c r="BN6" s="33"/>
      <c r="BP6" s="33"/>
      <c r="BQ6" s="33"/>
      <c r="BR6" s="33"/>
      <c r="BS6" s="33"/>
      <c r="BT6" s="33"/>
      <c r="BV6" s="4">
        <f t="shared" ref="BV6:CG39" si="18">AN6-P6</f>
        <v>20121</v>
      </c>
      <c r="BW6" s="4">
        <f t="shared" si="17"/>
        <v>628.78125</v>
      </c>
      <c r="BX6" s="4">
        <f t="shared" si="17"/>
        <v>-856.90625</v>
      </c>
      <c r="BY6" s="4">
        <f t="shared" si="17"/>
        <v>-108256</v>
      </c>
      <c r="BZ6" s="4">
        <f t="shared" si="17"/>
        <v>-24000</v>
      </c>
      <c r="CA6" s="4">
        <f t="shared" si="17"/>
        <v>-52536</v>
      </c>
      <c r="CB6" s="4">
        <f t="shared" si="17"/>
        <v>-31720</v>
      </c>
      <c r="CC6" s="4">
        <f t="shared" si="17"/>
        <v>4.3196874999992474E-2</v>
      </c>
      <c r="CD6" s="4">
        <f t="shared" si="17"/>
        <v>6.2946874999994407E-2</v>
      </c>
      <c r="CE6" s="4">
        <f t="shared" si="17"/>
        <v>-5.6343750000003467E-2</v>
      </c>
      <c r="CF6" s="4">
        <f t="shared" si="17"/>
        <v>5.1249999999996021E-2</v>
      </c>
      <c r="CG6" s="4">
        <f t="shared" si="17"/>
        <v>1.7499999999870397E-4</v>
      </c>
    </row>
    <row r="7" spans="1:85" outlineLevel="1" x14ac:dyDescent="0.3">
      <c r="A7" s="15"/>
      <c r="B7" s="15" t="s">
        <v>269</v>
      </c>
      <c r="C7" s="16" t="s">
        <v>273</v>
      </c>
      <c r="D7" s="15">
        <v>24964341</v>
      </c>
      <c r="E7" s="16">
        <v>10</v>
      </c>
      <c r="F7" s="16">
        <v>32</v>
      </c>
      <c r="G7" s="16">
        <v>30</v>
      </c>
      <c r="I7" s="17">
        <f t="shared" si="0"/>
        <v>2.0179425000000002</v>
      </c>
      <c r="J7" s="18">
        <f t="shared" si="1"/>
        <v>8.6221863417103625E-2</v>
      </c>
      <c r="K7" s="18">
        <f t="shared" si="2"/>
        <v>6.174214652812185E-2</v>
      </c>
      <c r="L7" s="18">
        <f t="shared" si="3"/>
        <v>4.5265524934145068E-2</v>
      </c>
      <c r="M7" s="18">
        <f t="shared" si="4"/>
        <v>2.4479716888981769E-2</v>
      </c>
      <c r="N7" s="15">
        <f t="shared" si="5"/>
        <v>1541352</v>
      </c>
      <c r="O7" s="18">
        <f t="shared" si="6"/>
        <v>8.6211064734317472E-2</v>
      </c>
      <c r="P7" s="19">
        <v>24967468</v>
      </c>
      <c r="Q7" s="19">
        <v>780233.375</v>
      </c>
      <c r="R7" s="19">
        <v>21823.5625</v>
      </c>
      <c r="S7" s="20">
        <v>2152472</v>
      </c>
      <c r="T7" s="20">
        <v>1130024</v>
      </c>
      <c r="U7" s="20">
        <v>411328</v>
      </c>
      <c r="V7" s="20">
        <v>611120</v>
      </c>
      <c r="W7" s="21">
        <v>69.826049999999995</v>
      </c>
      <c r="X7" s="21">
        <v>72.220315624999998</v>
      </c>
      <c r="Y7" s="21">
        <v>36.303293750000002</v>
      </c>
      <c r="Z7" s="21">
        <v>46.913274999999999</v>
      </c>
      <c r="AA7" s="21">
        <v>46.685381249999999</v>
      </c>
      <c r="AB7" s="22">
        <v>5151.5600000000004</v>
      </c>
      <c r="AC7" s="22">
        <v>8953.0300000000007</v>
      </c>
      <c r="AD7" s="22">
        <v>20.001999999999999</v>
      </c>
      <c r="AE7" s="22">
        <v>54.936999999999998</v>
      </c>
      <c r="AG7" s="17">
        <f t="shared" si="7"/>
        <v>1.8947849999999999</v>
      </c>
      <c r="AH7" s="18">
        <f t="shared" si="8"/>
        <v>8.0959637588670974E-2</v>
      </c>
      <c r="AI7" s="18">
        <f t="shared" si="9"/>
        <v>5.8634353696738882E-2</v>
      </c>
      <c r="AJ7" s="18">
        <f t="shared" si="10"/>
        <v>4.4262173794213114E-2</v>
      </c>
      <c r="AK7" s="18">
        <f t="shared" si="11"/>
        <v>2.2325283891932095E-2</v>
      </c>
      <c r="AL7" s="15">
        <f t="shared" si="12"/>
        <v>1463768</v>
      </c>
      <c r="AM7" s="18">
        <f t="shared" si="13"/>
        <v>8.1091638706670563E-2</v>
      </c>
      <c r="AN7" s="19">
        <v>24923704</v>
      </c>
      <c r="AO7" s="19">
        <v>778865.75</v>
      </c>
      <c r="AP7" s="19">
        <v>20929.5625</v>
      </c>
      <c r="AQ7" s="20">
        <v>2021104</v>
      </c>
      <c r="AR7" s="20">
        <v>1104976</v>
      </c>
      <c r="AS7" s="20">
        <v>358792</v>
      </c>
      <c r="AT7" s="20">
        <v>557336</v>
      </c>
      <c r="AU7" s="21">
        <v>69.837631250000001</v>
      </c>
      <c r="AV7" s="21">
        <v>72.26194375</v>
      </c>
      <c r="AW7" s="21">
        <v>36.223828124999997</v>
      </c>
      <c r="AX7" s="21">
        <v>46.856606249999999</v>
      </c>
      <c r="AY7" s="21">
        <v>46.589649999999999</v>
      </c>
      <c r="AZ7" s="22">
        <v>3498.48</v>
      </c>
      <c r="BA7" s="22">
        <v>7462.15</v>
      </c>
      <c r="BB7" s="22">
        <v>12.682</v>
      </c>
      <c r="BC7" s="22">
        <v>40.555999999999997</v>
      </c>
      <c r="BE7" s="23">
        <f t="shared" si="14"/>
        <v>0.94966496945538725</v>
      </c>
      <c r="BF7" s="24">
        <f t="shared" si="15"/>
        <v>-1.0987089447212217E-3</v>
      </c>
      <c r="BG7" s="24">
        <f t="shared" si="16"/>
        <v>8.1572242755446611E-3</v>
      </c>
      <c r="BH7" s="24"/>
      <c r="BJ7" s="23"/>
      <c r="BK7" s="23"/>
      <c r="BL7" s="23"/>
      <c r="BM7" s="23"/>
      <c r="BN7" s="23"/>
      <c r="BP7" s="23"/>
      <c r="BQ7" s="23"/>
      <c r="BR7" s="23"/>
      <c r="BS7" s="23"/>
      <c r="BT7" s="23"/>
      <c r="BV7" s="4">
        <f t="shared" si="18"/>
        <v>-43764</v>
      </c>
      <c r="BW7" s="4">
        <f t="shared" si="17"/>
        <v>-1367.625</v>
      </c>
      <c r="BX7" s="4">
        <f t="shared" si="17"/>
        <v>-894</v>
      </c>
      <c r="BY7" s="4">
        <f t="shared" si="17"/>
        <v>-131368</v>
      </c>
      <c r="BZ7" s="4">
        <f t="shared" si="17"/>
        <v>-25048</v>
      </c>
      <c r="CA7" s="4">
        <f t="shared" si="17"/>
        <v>-52536</v>
      </c>
      <c r="CB7" s="4">
        <f t="shared" si="17"/>
        <v>-53784</v>
      </c>
      <c r="CC7" s="4">
        <f t="shared" si="17"/>
        <v>1.1581250000006094E-2</v>
      </c>
      <c r="CD7" s="4">
        <f t="shared" si="17"/>
        <v>4.1628125000002569E-2</v>
      </c>
      <c r="CE7" s="4">
        <f t="shared" si="17"/>
        <v>-7.9465625000004536E-2</v>
      </c>
      <c r="CF7" s="4">
        <f t="shared" si="17"/>
        <v>-5.6668750000000045E-2</v>
      </c>
      <c r="CG7" s="4">
        <f t="shared" si="17"/>
        <v>-9.5731250000000045E-2</v>
      </c>
    </row>
    <row r="8" spans="1:85" outlineLevel="1" x14ac:dyDescent="0.3">
      <c r="A8" s="25"/>
      <c r="B8" s="25" t="s">
        <v>269</v>
      </c>
      <c r="C8" s="26" t="s">
        <v>274</v>
      </c>
      <c r="D8" s="25">
        <v>24964341</v>
      </c>
      <c r="E8" s="26">
        <v>10</v>
      </c>
      <c r="F8" s="26">
        <v>32</v>
      </c>
      <c r="G8" s="26">
        <v>30</v>
      </c>
      <c r="I8" s="27">
        <f t="shared" si="0"/>
        <v>3.3677025</v>
      </c>
      <c r="J8" s="28">
        <f t="shared" si="1"/>
        <v>0.14389388448106841</v>
      </c>
      <c r="K8" s="28">
        <f t="shared" si="2"/>
        <v>8.6748374411325338E-2</v>
      </c>
      <c r="L8" s="28">
        <f t="shared" si="3"/>
        <v>7.0271752817348557E-2</v>
      </c>
      <c r="M8" s="28">
        <f t="shared" si="4"/>
        <v>5.7145510069743076E-2</v>
      </c>
      <c r="N8" s="25">
        <f t="shared" si="5"/>
        <v>2165616</v>
      </c>
      <c r="O8" s="28">
        <f t="shared" si="6"/>
        <v>0.13807421119471597</v>
      </c>
      <c r="P8" s="29">
        <v>26016560</v>
      </c>
      <c r="Q8" s="29">
        <v>813017.5</v>
      </c>
      <c r="R8" s="29">
        <v>25175.3125</v>
      </c>
      <c r="S8" s="30">
        <v>3592216</v>
      </c>
      <c r="T8" s="30">
        <v>1754288</v>
      </c>
      <c r="U8" s="30">
        <v>411328</v>
      </c>
      <c r="V8" s="30">
        <v>1426600</v>
      </c>
      <c r="W8" s="31">
        <v>70.832596874999993</v>
      </c>
      <c r="X8" s="31">
        <v>73.386471874999998</v>
      </c>
      <c r="Y8" s="31">
        <v>38.747065624999998</v>
      </c>
      <c r="Z8" s="31">
        <v>48.079996874999999</v>
      </c>
      <c r="AA8" s="31">
        <v>48.057162499999997</v>
      </c>
      <c r="AB8" s="32">
        <v>4296.53</v>
      </c>
      <c r="AC8" s="32">
        <v>10434.1</v>
      </c>
      <c r="AD8" s="32">
        <v>19.559999999999999</v>
      </c>
      <c r="AE8" s="32">
        <v>55.44</v>
      </c>
      <c r="AG8" s="27">
        <f t="shared" si="7"/>
        <v>3.2266050000000002</v>
      </c>
      <c r="AH8" s="28">
        <f t="shared" si="8"/>
        <v>0.13786512530012307</v>
      </c>
      <c r="AI8" s="28">
        <f t="shared" si="9"/>
        <v>8.4529209082667159E-2</v>
      </c>
      <c r="AJ8" s="28">
        <f t="shared" si="10"/>
        <v>7.0157029180141384E-2</v>
      </c>
      <c r="AK8" s="28">
        <f t="shared" si="11"/>
        <v>5.3335916217455932E-2</v>
      </c>
      <c r="AL8" s="25">
        <f t="shared" si="12"/>
        <v>2110216</v>
      </c>
      <c r="AM8" s="28">
        <f t="shared" si="13"/>
        <v>0.13291254483904941</v>
      </c>
      <c r="AN8" s="29">
        <v>25894561</v>
      </c>
      <c r="AO8" s="29">
        <v>809205.03125</v>
      </c>
      <c r="AP8" s="29">
        <v>24175.5625</v>
      </c>
      <c r="AQ8" s="30">
        <v>3441712</v>
      </c>
      <c r="AR8" s="30">
        <v>1751424</v>
      </c>
      <c r="AS8" s="30">
        <v>358792</v>
      </c>
      <c r="AT8" s="30">
        <v>1331496</v>
      </c>
      <c r="AU8" s="31">
        <v>70.889906249999996</v>
      </c>
      <c r="AV8" s="31">
        <v>73.446578125000002</v>
      </c>
      <c r="AW8" s="31">
        <v>38.665531250000001</v>
      </c>
      <c r="AX8" s="31">
        <v>48.045875000000002</v>
      </c>
      <c r="AY8" s="31">
        <v>48.085965625</v>
      </c>
      <c r="AZ8" s="32">
        <v>3671.93</v>
      </c>
      <c r="BA8" s="32">
        <v>8424.01</v>
      </c>
      <c r="BB8" s="32">
        <v>13.920999999999999</v>
      </c>
      <c r="BC8" s="32">
        <v>41.823</v>
      </c>
      <c r="BE8" s="33">
        <f t="shared" si="14"/>
        <v>0.97441836410517846</v>
      </c>
      <c r="BF8" s="34">
        <f t="shared" si="15"/>
        <v>-1.0895827548594444E-3</v>
      </c>
      <c r="BG8" s="34">
        <f t="shared" si="16"/>
        <v>1.0266219821162936E-2</v>
      </c>
      <c r="BH8" s="34"/>
      <c r="BJ8" s="33"/>
      <c r="BK8" s="33"/>
      <c r="BL8" s="33"/>
      <c r="BM8" s="33"/>
      <c r="BN8" s="33"/>
      <c r="BP8" s="33"/>
      <c r="BQ8" s="33"/>
      <c r="BR8" s="33"/>
      <c r="BS8" s="33"/>
      <c r="BT8" s="33"/>
      <c r="BV8" s="4">
        <f t="shared" si="18"/>
        <v>-121999</v>
      </c>
      <c r="BW8" s="4">
        <f t="shared" si="17"/>
        <v>-3812.46875</v>
      </c>
      <c r="BX8" s="4">
        <f t="shared" si="17"/>
        <v>-999.75</v>
      </c>
      <c r="BY8" s="4">
        <f t="shared" si="17"/>
        <v>-150504</v>
      </c>
      <c r="BZ8" s="4">
        <f t="shared" si="17"/>
        <v>-2864</v>
      </c>
      <c r="CA8" s="4">
        <f t="shared" si="17"/>
        <v>-52536</v>
      </c>
      <c r="CB8" s="4">
        <f t="shared" si="17"/>
        <v>-95104</v>
      </c>
      <c r="CC8" s="4">
        <f t="shared" si="17"/>
        <v>5.730937500000266E-2</v>
      </c>
      <c r="CD8" s="4">
        <f t="shared" si="17"/>
        <v>6.0106250000004025E-2</v>
      </c>
      <c r="CE8" s="4">
        <f t="shared" si="17"/>
        <v>-8.1534374999996828E-2</v>
      </c>
      <c r="CF8" s="4">
        <f t="shared" si="17"/>
        <v>-3.4121874999996749E-2</v>
      </c>
      <c r="CG8" s="4">
        <f t="shared" si="17"/>
        <v>2.8803125000003149E-2</v>
      </c>
    </row>
    <row r="9" spans="1:85" ht="15" outlineLevel="1" thickBot="1" x14ac:dyDescent="0.35">
      <c r="A9" s="15"/>
      <c r="B9" s="35" t="s">
        <v>269</v>
      </c>
      <c r="C9" s="36" t="s">
        <v>275</v>
      </c>
      <c r="D9" s="35">
        <v>24964341</v>
      </c>
      <c r="E9" s="36">
        <v>10</v>
      </c>
      <c r="F9" s="36">
        <v>32</v>
      </c>
      <c r="G9" s="36">
        <v>30</v>
      </c>
      <c r="I9" s="37">
        <f t="shared" si="0"/>
        <v>7.3318649999999996</v>
      </c>
      <c r="J9" s="38">
        <f t="shared" si="1"/>
        <v>0.31327308019066075</v>
      </c>
      <c r="K9" s="38">
        <f t="shared" si="2"/>
        <v>0.14968294176080996</v>
      </c>
      <c r="L9" s="38">
        <f t="shared" si="3"/>
        <v>0.11468902784175236</v>
      </c>
      <c r="M9" s="38">
        <f t="shared" si="4"/>
        <v>0.16359013842985079</v>
      </c>
      <c r="N9" s="35">
        <f t="shared" si="5"/>
        <v>3736736</v>
      </c>
      <c r="O9" s="38">
        <f t="shared" si="6"/>
        <v>0.3124041195536591</v>
      </c>
      <c r="P9" s="39">
        <v>25033780</v>
      </c>
      <c r="Q9" s="39">
        <v>782305.625</v>
      </c>
      <c r="R9" s="39">
        <v>10518.8125</v>
      </c>
      <c r="S9" s="40">
        <v>7820656</v>
      </c>
      <c r="T9" s="40">
        <v>2863136</v>
      </c>
      <c r="U9" s="40">
        <v>873600</v>
      </c>
      <c r="V9" s="40">
        <v>4083920</v>
      </c>
      <c r="W9" s="41">
        <v>72.009240625000004</v>
      </c>
      <c r="X9" s="41">
        <v>75.210250000000002</v>
      </c>
      <c r="Y9" s="41">
        <v>41.15625</v>
      </c>
      <c r="Z9" s="41">
        <v>49.647159375000001</v>
      </c>
      <c r="AA9" s="41">
        <v>49.692943749999998</v>
      </c>
      <c r="AB9" s="42">
        <v>4891.03</v>
      </c>
      <c r="AC9" s="42">
        <v>11914.2</v>
      </c>
      <c r="AD9" s="42">
        <v>18.687999999999999</v>
      </c>
      <c r="AE9" s="42">
        <v>64.265000000000001</v>
      </c>
      <c r="AG9" s="37">
        <f t="shared" si="7"/>
        <v>7.1687849999999997</v>
      </c>
      <c r="AH9" s="38">
        <f t="shared" si="8"/>
        <v>0.30630506128721763</v>
      </c>
      <c r="AI9" s="38">
        <f t="shared" si="9"/>
        <v>0.14852993716116922</v>
      </c>
      <c r="AJ9" s="38">
        <f t="shared" si="10"/>
        <v>0.11588208957728946</v>
      </c>
      <c r="AK9" s="38">
        <f t="shared" si="11"/>
        <v>0.15777512412604844</v>
      </c>
      <c r="AL9" s="35">
        <f t="shared" si="12"/>
        <v>3707952</v>
      </c>
      <c r="AM9" s="38">
        <f t="shared" si="13"/>
        <v>0.30705760289518302</v>
      </c>
      <c r="AN9" s="39">
        <v>24903158</v>
      </c>
      <c r="AO9" s="39">
        <v>778223.6875</v>
      </c>
      <c r="AP9" s="39">
        <v>10544.4375</v>
      </c>
      <c r="AQ9" s="40">
        <v>7646704</v>
      </c>
      <c r="AR9" s="40">
        <v>2892920</v>
      </c>
      <c r="AS9" s="40">
        <v>815032</v>
      </c>
      <c r="AT9" s="40">
        <v>3938752</v>
      </c>
      <c r="AU9" s="41">
        <v>71.933821875000007</v>
      </c>
      <c r="AV9" s="41">
        <v>75.246843749999996</v>
      </c>
      <c r="AW9" s="41">
        <v>41.085746874999998</v>
      </c>
      <c r="AX9" s="41">
        <v>49.582731250000002</v>
      </c>
      <c r="AY9" s="41">
        <v>49.67674375</v>
      </c>
      <c r="AZ9" s="42">
        <v>3556.27</v>
      </c>
      <c r="BA9" s="42">
        <v>9287.83</v>
      </c>
      <c r="BB9" s="42">
        <v>12.766</v>
      </c>
      <c r="BC9" s="42">
        <v>44.343000000000004</v>
      </c>
      <c r="BE9" s="43">
        <f t="shared" si="14"/>
        <v>0.99229702071540515</v>
      </c>
      <c r="BF9" s="44">
        <f t="shared" si="15"/>
        <v>1.0345402386692862E-4</v>
      </c>
      <c r="BG9" s="44">
        <f t="shared" si="16"/>
        <v>7.1051339813300585E-3</v>
      </c>
      <c r="BH9" s="44"/>
      <c r="BJ9" s="43"/>
      <c r="BK9" s="43"/>
      <c r="BL9" s="43"/>
      <c r="BM9" s="43"/>
      <c r="BN9" s="43"/>
      <c r="BP9" s="43"/>
      <c r="BQ9" s="43"/>
      <c r="BR9" s="43"/>
      <c r="BS9" s="43"/>
      <c r="BT9" s="43"/>
      <c r="BV9" s="4">
        <f t="shared" si="18"/>
        <v>-130622</v>
      </c>
      <c r="BW9" s="4">
        <f t="shared" si="17"/>
        <v>-4081.9375</v>
      </c>
      <c r="BX9" s="4">
        <f t="shared" si="17"/>
        <v>25.625</v>
      </c>
      <c r="BY9" s="4">
        <f t="shared" si="17"/>
        <v>-173952</v>
      </c>
      <c r="BZ9" s="4">
        <f t="shared" si="17"/>
        <v>29784</v>
      </c>
      <c r="CA9" s="4">
        <f t="shared" si="17"/>
        <v>-58568</v>
      </c>
      <c r="CB9" s="4">
        <f t="shared" si="17"/>
        <v>-145168</v>
      </c>
      <c r="CC9" s="4">
        <f t="shared" si="17"/>
        <v>-7.5418749999997203E-2</v>
      </c>
      <c r="CD9" s="4">
        <f t="shared" si="17"/>
        <v>3.6593749999994429E-2</v>
      </c>
      <c r="CE9" s="4">
        <f t="shared" si="17"/>
        <v>-7.0503125000001887E-2</v>
      </c>
      <c r="CF9" s="4">
        <f t="shared" si="17"/>
        <v>-6.442812499999917E-2</v>
      </c>
      <c r="CG9" s="4">
        <f t="shared" si="17"/>
        <v>-1.6199999999997772E-2</v>
      </c>
    </row>
    <row r="10" spans="1:85" x14ac:dyDescent="0.3">
      <c r="A10" s="25"/>
      <c r="B10" s="25" t="s">
        <v>278</v>
      </c>
      <c r="C10" s="26" t="s">
        <v>271</v>
      </c>
      <c r="D10" s="25">
        <v>22654789</v>
      </c>
      <c r="E10" s="26">
        <v>10</v>
      </c>
      <c r="F10" s="26">
        <v>32</v>
      </c>
      <c r="G10" s="26">
        <v>30</v>
      </c>
      <c r="I10" s="27">
        <f t="shared" si="0"/>
        <v>2.0724300000000002</v>
      </c>
      <c r="J10" s="28">
        <f t="shared" si="1"/>
        <v>9.7577249560788226E-2</v>
      </c>
      <c r="K10" s="28">
        <f t="shared" si="2"/>
        <v>7.2549781858484749E-2</v>
      </c>
      <c r="L10" s="28">
        <f t="shared" si="3"/>
        <v>3.9749652932101906E-2</v>
      </c>
      <c r="M10" s="28">
        <f t="shared" si="4"/>
        <v>2.5027467702303473E-2</v>
      </c>
      <c r="N10" s="25">
        <f t="shared" si="5"/>
        <v>1643600</v>
      </c>
      <c r="O10" s="28">
        <f t="shared" si="6"/>
        <v>0.10480360276133319</v>
      </c>
      <c r="P10" s="29">
        <v>21092710</v>
      </c>
      <c r="Q10" s="29">
        <v>659147.1875</v>
      </c>
      <c r="R10" s="29">
        <v>20305</v>
      </c>
      <c r="S10" s="30">
        <v>2210592</v>
      </c>
      <c r="T10" s="30">
        <v>900520</v>
      </c>
      <c r="U10" s="30">
        <v>743080</v>
      </c>
      <c r="V10" s="30">
        <v>566992</v>
      </c>
      <c r="W10" s="31">
        <v>66.010928125000007</v>
      </c>
      <c r="X10" s="31">
        <v>67.885131250000001</v>
      </c>
      <c r="Y10" s="31">
        <v>31.063375000000001</v>
      </c>
      <c r="Z10" s="31">
        <v>38.667043749999998</v>
      </c>
      <c r="AA10" s="31">
        <v>30.114346874999999</v>
      </c>
      <c r="AB10" s="32">
        <v>4358.99</v>
      </c>
      <c r="AC10" s="32">
        <v>9649.61</v>
      </c>
      <c r="AD10" s="32">
        <v>16.375</v>
      </c>
      <c r="AE10" s="32">
        <v>46.2</v>
      </c>
      <c r="AG10" s="27">
        <f t="shared" si="7"/>
        <v>1.981965</v>
      </c>
      <c r="AH10" s="28">
        <f t="shared" si="8"/>
        <v>9.3317841097526888E-2</v>
      </c>
      <c r="AI10" s="28">
        <f t="shared" si="9"/>
        <v>6.9812700528793278E-2</v>
      </c>
      <c r="AJ10" s="28">
        <f t="shared" si="10"/>
        <v>3.9575914831958929E-2</v>
      </c>
      <c r="AK10" s="28">
        <f t="shared" si="11"/>
        <v>2.3505140568733613E-2</v>
      </c>
      <c r="AL10" s="25">
        <f t="shared" si="12"/>
        <v>1581592</v>
      </c>
      <c r="AM10" s="28">
        <f t="shared" si="13"/>
        <v>0.1009473627815666</v>
      </c>
      <c r="AN10" s="29">
        <v>20942558</v>
      </c>
      <c r="AO10" s="29">
        <v>654454.9375</v>
      </c>
      <c r="AP10" s="29">
        <v>18627.34375</v>
      </c>
      <c r="AQ10" s="30">
        <v>2114096</v>
      </c>
      <c r="AR10" s="30">
        <v>896584</v>
      </c>
      <c r="AS10" s="30">
        <v>685008</v>
      </c>
      <c r="AT10" s="30">
        <v>532504</v>
      </c>
      <c r="AU10" s="31">
        <v>65.984581250000005</v>
      </c>
      <c r="AV10" s="31">
        <v>67.849337500000004</v>
      </c>
      <c r="AW10" s="31">
        <v>31.0182875</v>
      </c>
      <c r="AX10" s="31">
        <v>38.737306250000003</v>
      </c>
      <c r="AY10" s="31">
        <v>30.095768750000001</v>
      </c>
      <c r="AZ10" s="32">
        <v>3400.44</v>
      </c>
      <c r="BA10" s="32">
        <v>8449.68</v>
      </c>
      <c r="BB10" s="32">
        <v>11.012</v>
      </c>
      <c r="BC10" s="32">
        <v>43.875999999999998</v>
      </c>
      <c r="BE10" s="33">
        <f t="shared" si="14"/>
        <v>0.96227305913847672</v>
      </c>
      <c r="BF10" s="34">
        <f t="shared" si="15"/>
        <v>-2.3425779349110637E-3</v>
      </c>
      <c r="BG10" s="34">
        <f t="shared" si="16"/>
        <v>4.6061582143530622E-3</v>
      </c>
      <c r="BH10" s="34">
        <f t="array" ref="BH10">AVERAGE(AL10:AL14/AQ10:AQ14) - AVERAGE(N10:N14/S10:S14)</f>
        <v>1.183642633191917E-2</v>
      </c>
      <c r="BJ10" s="33">
        <f>IF( OR(ISBLANK(N10:N14),ISBLANK(AL10:AL14), ISBLANK(W10:W14),ISBLANK(AU10:AU14)), "·", bdRateExtend( N10:N14,W10:W14, AL10:AL14,AU10:AU14))</f>
        <v>5.3699066750132474E-3</v>
      </c>
      <c r="BK10" s="33">
        <f>IF( OR(ISBLANK(N10:N14),ISBLANK(AL10:AL14), ISBLANK(X10:X14),ISBLANK(AV10:AV14)), "·", bdRateExtend( N10:N14,X10:X14, AL10:AL14,AV10:AV14))</f>
        <v>1.007051972812345E-2</v>
      </c>
      <c r="BL10" s="33">
        <f>IF( OR(ISBLANK(V10:V14),ISBLANK(AT10:AT14), ISBLANK(Y10:Y14),ISBLANK(AW10:AW14)), "·", bdRateExtend( V10:V14,Y10:Y14, AT10:AT14,AW10:AW14))</f>
        <v>-2.4065038847572162E-2</v>
      </c>
      <c r="BM10" s="33">
        <f>IF( OR(ISBLANK(V10:V14),ISBLANK(AT10:AT14), ISBLANK(Z10:Z14),ISBLANK(AX10:AX14)), "·", bdRateExtend( V10:V14,Z10:Z14, AT10:AT14,AX10:AX14))</f>
        <v>-3.370615074906036E-2</v>
      </c>
      <c r="BN10" s="33">
        <f>IF( OR(ISBLANK(V10:V14),ISBLANK(AT10:AT14), ISBLANK(AA10:AA14),ISBLANK(AY10:AY14)), "·", bdRateExtend( V10:V14,AA10:AA14, AT10:AT14,AY10:AY14))</f>
        <v>-1.8411758784065868E-2</v>
      </c>
      <c r="BP10" s="33">
        <f>IF( OR(ISBLANK(S10:S14),ISBLANK(AQ10:AQ14), ISBLANK(W10:W14),ISBLANK(AU10:AU14)), "·", bdRateExtend( S10:S14,W10:W14, AQ10:AQ14,AU10:AU14))</f>
        <v>-8.9660169383787292E-3</v>
      </c>
      <c r="BQ10" s="33">
        <f>IF( OR(ISBLANK(S10:S14),ISBLANK(AQ10:AQ14), ISBLANK(X10:X14),ISBLANK(AV10:AV14)), "·", bdRateExtend( S10:S14,X10:X14, AQ10:AQ14,AV10:AV14))</f>
        <v>-6.3928737242071598E-3</v>
      </c>
      <c r="BR10" s="33">
        <f>IF( OR(ISBLANK(S10:S14),ISBLANK(AQ10:AQ14), ISBLANK(Y10:Y14),ISBLANK(AW10:AW14)), "·", bdRateExtend( S10:S14,Y10:Y14, AQ10:AQ14,AW10:AW14))</f>
        <v>-3.2317766456733121E-3</v>
      </c>
      <c r="BS10" s="33">
        <f>IF( OR(ISBLANK(S10:S14),ISBLANK(AQ10:AQ14), ISBLANK(Z10:Z14),ISBLANK(AX10:AX14)), "·", bdRateExtend( S10:S14,Z10:Z14, AQ10:AQ14,AX10:AX14))</f>
        <v>-9.842548100939208E-3</v>
      </c>
      <c r="BT10" s="33">
        <f>IF( OR(ISBLANK(S10:S14),ISBLANK(AQ10:AQ14), ISBLANK(AA10:AA14),ISBLANK(AY10:AY14)), "·", bdRateExtend( S10:S14,AA10:AA14, AQ10:AQ14,AY10:AY14))</f>
        <v>9.9469528917883743E-4</v>
      </c>
      <c r="BV10" s="4">
        <f t="shared" si="18"/>
        <v>-150152</v>
      </c>
      <c r="BW10" s="4">
        <f t="shared" si="17"/>
        <v>-4692.25</v>
      </c>
      <c r="BX10" s="4">
        <f t="shared" si="17"/>
        <v>-1677.65625</v>
      </c>
      <c r="BY10" s="4">
        <f t="shared" si="17"/>
        <v>-96496</v>
      </c>
      <c r="BZ10" s="4">
        <f t="shared" si="17"/>
        <v>-3936</v>
      </c>
      <c r="CA10" s="4">
        <f t="shared" si="17"/>
        <v>-58072</v>
      </c>
      <c r="CB10" s="4">
        <f t="shared" si="17"/>
        <v>-34488</v>
      </c>
      <c r="CC10" s="4">
        <f t="shared" si="17"/>
        <v>-2.6346875000001546E-2</v>
      </c>
      <c r="CD10" s="4">
        <f t="shared" si="17"/>
        <v>-3.5793749999996294E-2</v>
      </c>
      <c r="CE10" s="4">
        <f t="shared" si="17"/>
        <v>-4.5087500000001057E-2</v>
      </c>
      <c r="CF10" s="4">
        <f t="shared" si="17"/>
        <v>7.0262500000005446E-2</v>
      </c>
      <c r="CG10" s="4">
        <f t="shared" si="17"/>
        <v>-1.8578124999997669E-2</v>
      </c>
    </row>
    <row r="11" spans="1:85" outlineLevel="1" x14ac:dyDescent="0.3">
      <c r="A11" s="15"/>
      <c r="B11" s="15" t="s">
        <v>278</v>
      </c>
      <c r="C11" s="16" t="s">
        <v>272</v>
      </c>
      <c r="D11" s="15">
        <v>22654789</v>
      </c>
      <c r="E11" s="16">
        <v>10</v>
      </c>
      <c r="F11" s="16">
        <v>32</v>
      </c>
      <c r="G11" s="16">
        <v>30</v>
      </c>
      <c r="I11" s="17">
        <f t="shared" si="0"/>
        <v>2.8169775000000001</v>
      </c>
      <c r="J11" s="18">
        <f t="shared" si="1"/>
        <v>0.13263314877927135</v>
      </c>
      <c r="K11" s="18">
        <f t="shared" si="2"/>
        <v>8.7798831408228958E-2</v>
      </c>
      <c r="L11" s="18">
        <f t="shared" si="3"/>
        <v>5.4998702481846115E-2</v>
      </c>
      <c r="M11" s="18">
        <f t="shared" si="4"/>
        <v>4.483431737104239E-2</v>
      </c>
      <c r="N11" s="15">
        <f t="shared" si="5"/>
        <v>1989064</v>
      </c>
      <c r="O11" s="18">
        <f t="shared" si="6"/>
        <v>0.13384556873996808</v>
      </c>
      <c r="P11" s="19">
        <v>22449574</v>
      </c>
      <c r="Q11" s="19">
        <v>701549.1875</v>
      </c>
      <c r="R11" s="19">
        <v>25161.1875</v>
      </c>
      <c r="S11" s="20">
        <v>3004776</v>
      </c>
      <c r="T11" s="20">
        <v>1245984</v>
      </c>
      <c r="U11" s="20">
        <v>743080</v>
      </c>
      <c r="V11" s="20">
        <v>1015712</v>
      </c>
      <c r="W11" s="21">
        <v>67.705284375000005</v>
      </c>
      <c r="X11" s="21">
        <v>69.804440624999998</v>
      </c>
      <c r="Y11" s="21">
        <v>32.913181250000001</v>
      </c>
      <c r="Z11" s="21">
        <v>39.718603125000001</v>
      </c>
      <c r="AA11" s="21">
        <v>32.321471875</v>
      </c>
      <c r="AB11" s="22">
        <v>4901.0600000000004</v>
      </c>
      <c r="AC11" s="22">
        <v>10793.2</v>
      </c>
      <c r="AD11" s="22">
        <v>20.315999999999999</v>
      </c>
      <c r="AE11" s="22">
        <v>64.384</v>
      </c>
      <c r="AG11" s="17">
        <f t="shared" si="7"/>
        <v>2.7157650000000002</v>
      </c>
      <c r="AH11" s="18">
        <f t="shared" si="8"/>
        <v>0.12786771044303261</v>
      </c>
      <c r="AI11" s="18">
        <f t="shared" si="9"/>
        <v>8.5688195992467645E-2</v>
      </c>
      <c r="AJ11" s="18">
        <f t="shared" si="10"/>
        <v>5.5451410295633295E-2</v>
      </c>
      <c r="AK11" s="18">
        <f t="shared" si="11"/>
        <v>4.2179514450564955E-2</v>
      </c>
      <c r="AL11" s="15">
        <f t="shared" si="12"/>
        <v>1941248</v>
      </c>
      <c r="AM11" s="18">
        <f t="shared" si="13"/>
        <v>0.13029254896524639</v>
      </c>
      <c r="AN11" s="19">
        <v>22233167</v>
      </c>
      <c r="AO11" s="19">
        <v>694786.46875</v>
      </c>
      <c r="AP11" s="19">
        <v>22845.875</v>
      </c>
      <c r="AQ11" s="20">
        <v>2896816</v>
      </c>
      <c r="AR11" s="20">
        <v>1256240</v>
      </c>
      <c r="AS11" s="20">
        <v>685008</v>
      </c>
      <c r="AT11" s="20">
        <v>955568</v>
      </c>
      <c r="AU11" s="21">
        <v>67.675543750000003</v>
      </c>
      <c r="AV11" s="21">
        <v>69.741678125000007</v>
      </c>
      <c r="AW11" s="21">
        <v>32.841040624999998</v>
      </c>
      <c r="AX11" s="21">
        <v>39.674550000000004</v>
      </c>
      <c r="AY11" s="21">
        <v>32.266484374999997</v>
      </c>
      <c r="AZ11" s="22">
        <v>3387.27</v>
      </c>
      <c r="BA11" s="22">
        <v>8976.1</v>
      </c>
      <c r="BB11" s="22">
        <v>11.573</v>
      </c>
      <c r="BC11" s="22">
        <v>41.673000000000002</v>
      </c>
      <c r="BE11" s="23">
        <f t="shared" si="14"/>
        <v>0.97596055229997636</v>
      </c>
      <c r="BF11" s="24">
        <f t="shared" si="15"/>
        <v>-2.9833142579999208E-3</v>
      </c>
      <c r="BG11" s="24">
        <f t="shared" si="16"/>
        <v>8.1641392687435976E-3</v>
      </c>
      <c r="BH11" s="24"/>
      <c r="BJ11" s="23"/>
      <c r="BK11" s="23"/>
      <c r="BL11" s="23"/>
      <c r="BM11" s="23"/>
      <c r="BN11" s="23"/>
      <c r="BP11" s="23"/>
      <c r="BQ11" s="23"/>
      <c r="BR11" s="23"/>
      <c r="BS11" s="23"/>
      <c r="BT11" s="23"/>
      <c r="BV11" s="4">
        <f t="shared" si="18"/>
        <v>-216407</v>
      </c>
      <c r="BW11" s="4">
        <f t="shared" si="17"/>
        <v>-6762.71875</v>
      </c>
      <c r="BX11" s="4">
        <f t="shared" si="17"/>
        <v>-2315.3125</v>
      </c>
      <c r="BY11" s="4">
        <f t="shared" si="17"/>
        <v>-107960</v>
      </c>
      <c r="BZ11" s="4">
        <f t="shared" si="17"/>
        <v>10256</v>
      </c>
      <c r="CA11" s="4">
        <f t="shared" si="17"/>
        <v>-58072</v>
      </c>
      <c r="CB11" s="4">
        <f t="shared" si="17"/>
        <v>-60144</v>
      </c>
      <c r="CC11" s="4">
        <f t="shared" si="17"/>
        <v>-2.9740625000002296E-2</v>
      </c>
      <c r="CD11" s="4">
        <f t="shared" si="17"/>
        <v>-6.2762499999990951E-2</v>
      </c>
      <c r="CE11" s="4">
        <f t="shared" si="17"/>
        <v>-7.2140625000002956E-2</v>
      </c>
      <c r="CF11" s="4">
        <f t="shared" si="17"/>
        <v>-4.4053124999997806E-2</v>
      </c>
      <c r="CG11" s="4">
        <f t="shared" si="17"/>
        <v>-5.4987500000002854E-2</v>
      </c>
    </row>
    <row r="12" spans="1:85" outlineLevel="1" x14ac:dyDescent="0.3">
      <c r="A12" s="25"/>
      <c r="B12" s="25" t="s">
        <v>278</v>
      </c>
      <c r="C12" s="26" t="s">
        <v>273</v>
      </c>
      <c r="D12" s="25">
        <v>22654789</v>
      </c>
      <c r="E12" s="26">
        <v>10</v>
      </c>
      <c r="F12" s="26">
        <v>32</v>
      </c>
      <c r="G12" s="26">
        <v>30</v>
      </c>
      <c r="I12" s="27">
        <f t="shared" si="0"/>
        <v>3.9814799999999999</v>
      </c>
      <c r="J12" s="28">
        <f t="shared" si="1"/>
        <v>0.18746199754939233</v>
      </c>
      <c r="K12" s="28">
        <f t="shared" si="2"/>
        <v>0.10971843525004801</v>
      </c>
      <c r="L12" s="28">
        <f t="shared" si="3"/>
        <v>7.691830632366517E-2</v>
      </c>
      <c r="M12" s="28">
        <f t="shared" si="4"/>
        <v>7.7743562299344302E-2</v>
      </c>
      <c r="N12" s="25">
        <f t="shared" si="5"/>
        <v>2485648</v>
      </c>
      <c r="O12" s="28">
        <f t="shared" si="6"/>
        <v>0.18722749612884693</v>
      </c>
      <c r="P12" s="29">
        <v>22683164</v>
      </c>
      <c r="Q12" s="29">
        <v>708848.875</v>
      </c>
      <c r="R12" s="29">
        <v>26464.65625</v>
      </c>
      <c r="S12" s="30">
        <v>4246912</v>
      </c>
      <c r="T12" s="30">
        <v>1742568</v>
      </c>
      <c r="U12" s="30">
        <v>743080</v>
      </c>
      <c r="V12" s="30">
        <v>1761264</v>
      </c>
      <c r="W12" s="31">
        <v>69.033437500000005</v>
      </c>
      <c r="X12" s="31">
        <v>71.435287500000001</v>
      </c>
      <c r="Y12" s="31">
        <v>34.940593749999998</v>
      </c>
      <c r="Z12" s="31">
        <v>40.696193749999999</v>
      </c>
      <c r="AA12" s="31">
        <v>34.223534375</v>
      </c>
      <c r="AB12" s="32">
        <v>4528.46</v>
      </c>
      <c r="AC12" s="32">
        <v>11808.2</v>
      </c>
      <c r="AD12" s="32">
        <v>23.032</v>
      </c>
      <c r="AE12" s="32">
        <v>71.756</v>
      </c>
      <c r="AG12" s="27">
        <f t="shared" si="7"/>
        <v>3.89154</v>
      </c>
      <c r="AH12" s="28">
        <f t="shared" si="8"/>
        <v>0.18322730792151717</v>
      </c>
      <c r="AI12" s="28">
        <f t="shared" si="9"/>
        <v>0.10992889847705048</v>
      </c>
      <c r="AJ12" s="28">
        <f t="shared" si="10"/>
        <v>7.9692112780216137E-2</v>
      </c>
      <c r="AK12" s="28">
        <f t="shared" si="11"/>
        <v>7.3298409444466681E-2</v>
      </c>
      <c r="AL12" s="25">
        <f t="shared" si="12"/>
        <v>2490416</v>
      </c>
      <c r="AM12" s="28">
        <f t="shared" si="13"/>
        <v>0.18391644695295739</v>
      </c>
      <c r="AN12" s="29">
        <v>22569901</v>
      </c>
      <c r="AO12" s="29">
        <v>705309.40625</v>
      </c>
      <c r="AP12" s="29">
        <v>24354.5625</v>
      </c>
      <c r="AQ12" s="30">
        <v>4150976</v>
      </c>
      <c r="AR12" s="30">
        <v>1805408</v>
      </c>
      <c r="AS12" s="30">
        <v>685008</v>
      </c>
      <c r="AT12" s="30">
        <v>1660560</v>
      </c>
      <c r="AU12" s="31">
        <v>69.011218749999998</v>
      </c>
      <c r="AV12" s="31">
        <v>71.364221874999998</v>
      </c>
      <c r="AW12" s="31">
        <v>34.865193750000003</v>
      </c>
      <c r="AX12" s="31">
        <v>40.663921875</v>
      </c>
      <c r="AY12" s="31">
        <v>34.140665624999997</v>
      </c>
      <c r="AZ12" s="32">
        <v>3276.25</v>
      </c>
      <c r="BA12" s="32">
        <v>9659.5</v>
      </c>
      <c r="BB12" s="32">
        <v>11.853</v>
      </c>
      <c r="BC12" s="32">
        <v>45.807000000000002</v>
      </c>
      <c r="BE12" s="33">
        <f t="shared" si="14"/>
        <v>1.0019182120718622</v>
      </c>
      <c r="BF12" s="34">
        <f t="shared" si="15"/>
        <v>-2.8043703199241085E-3</v>
      </c>
      <c r="BG12" s="34">
        <f t="shared" si="16"/>
        <v>1.4675529010315436E-2</v>
      </c>
      <c r="BH12" s="34"/>
      <c r="BJ12" s="33"/>
      <c r="BK12" s="33"/>
      <c r="BL12" s="33"/>
      <c r="BM12" s="33"/>
      <c r="BN12" s="33"/>
      <c r="BP12" s="33"/>
      <c r="BQ12" s="33"/>
      <c r="BR12" s="33"/>
      <c r="BS12" s="33"/>
      <c r="BT12" s="33"/>
      <c r="BV12" s="4">
        <f t="shared" si="18"/>
        <v>-113263</v>
      </c>
      <c r="BW12" s="4">
        <f t="shared" si="17"/>
        <v>-3539.46875</v>
      </c>
      <c r="BX12" s="4">
        <f t="shared" si="17"/>
        <v>-2110.09375</v>
      </c>
      <c r="BY12" s="4">
        <f t="shared" si="17"/>
        <v>-95936</v>
      </c>
      <c r="BZ12" s="4">
        <f t="shared" si="17"/>
        <v>62840</v>
      </c>
      <c r="CA12" s="4">
        <f t="shared" si="17"/>
        <v>-58072</v>
      </c>
      <c r="CB12" s="4">
        <f t="shared" si="17"/>
        <v>-100704</v>
      </c>
      <c r="CC12" s="4">
        <f t="shared" si="17"/>
        <v>-2.2218750000007503E-2</v>
      </c>
      <c r="CD12" s="4">
        <f t="shared" si="17"/>
        <v>-7.1065625000002797E-2</v>
      </c>
      <c r="CE12" s="4">
        <f t="shared" si="17"/>
        <v>-7.5399999999994805E-2</v>
      </c>
      <c r="CF12" s="4">
        <f t="shared" si="17"/>
        <v>-3.2271874999999284E-2</v>
      </c>
      <c r="CG12" s="4">
        <f t="shared" si="17"/>
        <v>-8.2868750000002933E-2</v>
      </c>
    </row>
    <row r="13" spans="1:85" outlineLevel="1" x14ac:dyDescent="0.3">
      <c r="A13" s="15"/>
      <c r="B13" s="15" t="s">
        <v>278</v>
      </c>
      <c r="C13" s="16" t="s">
        <v>274</v>
      </c>
      <c r="D13" s="15">
        <v>22654789</v>
      </c>
      <c r="E13" s="16">
        <v>10</v>
      </c>
      <c r="F13" s="16">
        <v>32</v>
      </c>
      <c r="G13" s="16">
        <v>30</v>
      </c>
      <c r="I13" s="17">
        <f t="shared" si="0"/>
        <v>6.5175150000000004</v>
      </c>
      <c r="J13" s="18">
        <f t="shared" si="1"/>
        <v>0.30686739126107065</v>
      </c>
      <c r="K13" s="18">
        <f t="shared" si="2"/>
        <v>0.15092261508151764</v>
      </c>
      <c r="L13" s="18">
        <f t="shared" si="3"/>
        <v>0.11812248615513479</v>
      </c>
      <c r="M13" s="18">
        <f t="shared" si="4"/>
        <v>0.15594477617955302</v>
      </c>
      <c r="N13" s="15">
        <f t="shared" si="5"/>
        <v>3419120</v>
      </c>
      <c r="O13" s="18">
        <f t="shared" si="6"/>
        <v>0.29403558727530932</v>
      </c>
      <c r="P13" s="19">
        <v>23643451</v>
      </c>
      <c r="Q13" s="19">
        <v>738857.84375</v>
      </c>
      <c r="R13" s="19">
        <v>30414.4375</v>
      </c>
      <c r="S13" s="20">
        <v>6952016</v>
      </c>
      <c r="T13" s="20">
        <v>2676040</v>
      </c>
      <c r="U13" s="20">
        <v>743080</v>
      </c>
      <c r="V13" s="20">
        <v>3532896</v>
      </c>
      <c r="W13" s="21">
        <v>70.094668749999997</v>
      </c>
      <c r="X13" s="21">
        <v>72.645187500000006</v>
      </c>
      <c r="Y13" s="21">
        <v>37.16035625</v>
      </c>
      <c r="Z13" s="21">
        <v>41.753321874999997</v>
      </c>
      <c r="AA13" s="21">
        <v>36.238637500000003</v>
      </c>
      <c r="AB13" s="22">
        <v>4275.33</v>
      </c>
      <c r="AC13" s="22">
        <v>13657</v>
      </c>
      <c r="AD13" s="22">
        <v>20.795000000000002</v>
      </c>
      <c r="AE13" s="22">
        <v>53.183</v>
      </c>
      <c r="AG13" s="17">
        <f t="shared" si="7"/>
        <v>6.4025850000000002</v>
      </c>
      <c r="AH13" s="18">
        <f t="shared" si="8"/>
        <v>0.30145608506881261</v>
      </c>
      <c r="AI13" s="18">
        <f t="shared" si="9"/>
        <v>0.15327832009382211</v>
      </c>
      <c r="AJ13" s="18">
        <f t="shared" si="10"/>
        <v>0.12304153439698776</v>
      </c>
      <c r="AK13" s="18">
        <f t="shared" si="11"/>
        <v>0.14817776497499049</v>
      </c>
      <c r="AL13" s="15">
        <f t="shared" si="12"/>
        <v>3472488</v>
      </c>
      <c r="AM13" s="18">
        <f t="shared" si="13"/>
        <v>0.29300215376891542</v>
      </c>
      <c r="AN13" s="19">
        <v>23308443</v>
      </c>
      <c r="AO13" s="19">
        <v>728388.84375</v>
      </c>
      <c r="AP13" s="19">
        <v>27633.65625</v>
      </c>
      <c r="AQ13" s="20">
        <v>6829424</v>
      </c>
      <c r="AR13" s="20">
        <v>2787480</v>
      </c>
      <c r="AS13" s="20">
        <v>685008</v>
      </c>
      <c r="AT13" s="20">
        <v>3356936</v>
      </c>
      <c r="AU13" s="21">
        <v>70.049418750000001</v>
      </c>
      <c r="AV13" s="21">
        <v>72.553224999999998</v>
      </c>
      <c r="AW13" s="21">
        <v>37.038646874999998</v>
      </c>
      <c r="AX13" s="21">
        <v>41.716037499999999</v>
      </c>
      <c r="AY13" s="21">
        <v>36.082165625000002</v>
      </c>
      <c r="AZ13" s="22">
        <v>3232.08</v>
      </c>
      <c r="BA13" s="22">
        <v>10390.5</v>
      </c>
      <c r="BB13" s="22">
        <v>12.147</v>
      </c>
      <c r="BC13" s="22">
        <v>44.683</v>
      </c>
      <c r="BE13" s="23">
        <f t="shared" si="14"/>
        <v>1.0156086946348768</v>
      </c>
      <c r="BF13" s="24">
        <f t="shared" si="15"/>
        <v>-3.2260708456959344E-3</v>
      </c>
      <c r="BG13" s="24">
        <f t="shared" si="16"/>
        <v>1.6642814354729751E-2</v>
      </c>
      <c r="BH13" s="24"/>
      <c r="BJ13" s="23"/>
      <c r="BK13" s="23"/>
      <c r="BL13" s="23"/>
      <c r="BM13" s="23"/>
      <c r="BN13" s="23"/>
      <c r="BP13" s="23"/>
      <c r="BQ13" s="23"/>
      <c r="BR13" s="23"/>
      <c r="BS13" s="23"/>
      <c r="BT13" s="23"/>
      <c r="BV13" s="4">
        <f t="shared" si="18"/>
        <v>-335008</v>
      </c>
      <c r="BW13" s="4">
        <f t="shared" si="17"/>
        <v>-10469</v>
      </c>
      <c r="BX13" s="4">
        <f t="shared" si="17"/>
        <v>-2780.78125</v>
      </c>
      <c r="BY13" s="4">
        <f t="shared" si="17"/>
        <v>-122592</v>
      </c>
      <c r="BZ13" s="4">
        <f t="shared" si="17"/>
        <v>111440</v>
      </c>
      <c r="CA13" s="4">
        <f t="shared" si="17"/>
        <v>-58072</v>
      </c>
      <c r="CB13" s="4">
        <f t="shared" si="17"/>
        <v>-175960</v>
      </c>
      <c r="CC13" s="4">
        <f t="shared" si="17"/>
        <v>-4.5249999999995794E-2</v>
      </c>
      <c r="CD13" s="4">
        <f t="shared" si="17"/>
        <v>-9.1962500000008163E-2</v>
      </c>
      <c r="CE13" s="4">
        <f t="shared" si="17"/>
        <v>-0.12170937500000178</v>
      </c>
      <c r="CF13" s="4">
        <f t="shared" si="17"/>
        <v>-3.7284374999998704E-2</v>
      </c>
      <c r="CG13" s="4">
        <f t="shared" si="17"/>
        <v>-0.15647187500000115</v>
      </c>
    </row>
    <row r="14" spans="1:85" ht="15" outlineLevel="1" thickBot="1" x14ac:dyDescent="0.35">
      <c r="A14" s="25"/>
      <c r="B14" s="45" t="s">
        <v>278</v>
      </c>
      <c r="C14" s="46" t="s">
        <v>275</v>
      </c>
      <c r="D14" s="45">
        <v>22654789</v>
      </c>
      <c r="E14" s="46">
        <v>10</v>
      </c>
      <c r="F14" s="46">
        <v>32</v>
      </c>
      <c r="G14" s="46">
        <v>30</v>
      </c>
      <c r="I14" s="47">
        <f t="shared" si="0"/>
        <v>13.191022500000001</v>
      </c>
      <c r="J14" s="48">
        <f t="shared" si="1"/>
        <v>0.62107945476781978</v>
      </c>
      <c r="K14" s="48">
        <f t="shared" si="2"/>
        <v>0.2515469907929842</v>
      </c>
      <c r="L14" s="48">
        <f t="shared" si="3"/>
        <v>0.18909450006354064</v>
      </c>
      <c r="M14" s="48">
        <f t="shared" si="4"/>
        <v>0.36953246397483552</v>
      </c>
      <c r="N14" s="45">
        <f t="shared" si="5"/>
        <v>5698744</v>
      </c>
      <c r="O14" s="48">
        <f t="shared" si="6"/>
        <v>0.62750090822110238</v>
      </c>
      <c r="P14" s="49">
        <v>22422954</v>
      </c>
      <c r="Q14" s="49">
        <v>700717.3125</v>
      </c>
      <c r="R14" s="49">
        <v>14074.71875</v>
      </c>
      <c r="S14" s="50">
        <v>14070424</v>
      </c>
      <c r="T14" s="50">
        <v>4283896</v>
      </c>
      <c r="U14" s="50">
        <v>1414848</v>
      </c>
      <c r="V14" s="50">
        <v>8371680</v>
      </c>
      <c r="W14" s="51">
        <v>71.114406250000002</v>
      </c>
      <c r="X14" s="51">
        <v>74.679918749999999</v>
      </c>
      <c r="Y14" s="51">
        <v>39.587293750000001</v>
      </c>
      <c r="Z14" s="51">
        <v>43.025940624999997</v>
      </c>
      <c r="AA14" s="51">
        <v>38.466803124999998</v>
      </c>
      <c r="AB14" s="52">
        <v>4684.6499999999996</v>
      </c>
      <c r="AC14" s="52">
        <v>13975.5</v>
      </c>
      <c r="AD14" s="52">
        <v>16.731000000000002</v>
      </c>
      <c r="AE14" s="52">
        <v>53.844999999999999</v>
      </c>
      <c r="AG14" s="47">
        <f t="shared" si="7"/>
        <v>13.056727499999999</v>
      </c>
      <c r="AH14" s="48">
        <f t="shared" si="8"/>
        <v>0.61475637667603089</v>
      </c>
      <c r="AI14" s="48">
        <f t="shared" si="9"/>
        <v>0.25826486399851262</v>
      </c>
      <c r="AJ14" s="48">
        <f t="shared" si="10"/>
        <v>0.19969993982287806</v>
      </c>
      <c r="AK14" s="48">
        <f t="shared" si="11"/>
        <v>0.35649151267751822</v>
      </c>
      <c r="AL14" s="45">
        <f t="shared" si="12"/>
        <v>5850936</v>
      </c>
      <c r="AM14" s="48">
        <f t="shared" si="13"/>
        <v>0.62876612696788847</v>
      </c>
      <c r="AN14" s="49">
        <v>22150010</v>
      </c>
      <c r="AO14" s="49">
        <v>692187.8125</v>
      </c>
      <c r="AP14" s="49">
        <v>13186.28125</v>
      </c>
      <c r="AQ14" s="50">
        <v>13927176</v>
      </c>
      <c r="AR14" s="50">
        <v>4524160</v>
      </c>
      <c r="AS14" s="50">
        <v>1326776</v>
      </c>
      <c r="AT14" s="50">
        <v>8076240</v>
      </c>
      <c r="AU14" s="51">
        <v>70.927415624999995</v>
      </c>
      <c r="AV14" s="51">
        <v>74.638240624999995</v>
      </c>
      <c r="AW14" s="51">
        <v>39.449874999999999</v>
      </c>
      <c r="AX14" s="51">
        <v>42.965343750000002</v>
      </c>
      <c r="AY14" s="51">
        <v>38.240734375000002</v>
      </c>
      <c r="AZ14" s="52">
        <v>3477.17</v>
      </c>
      <c r="BA14" s="52">
        <v>11739.8</v>
      </c>
      <c r="BB14" s="52">
        <v>9.6820000000000004</v>
      </c>
      <c r="BC14" s="52">
        <v>45.975999999999999</v>
      </c>
      <c r="BE14" s="53">
        <f t="shared" si="14"/>
        <v>1.0267062356196384</v>
      </c>
      <c r="BF14" s="54">
        <f t="shared" si="15"/>
        <v>-1.0360087265313608E-3</v>
      </c>
      <c r="BG14" s="54">
        <f t="shared" si="16"/>
        <v>1.5093490811453558E-2</v>
      </c>
      <c r="BH14" s="54"/>
      <c r="BJ14" s="53"/>
      <c r="BK14" s="53"/>
      <c r="BL14" s="53"/>
      <c r="BM14" s="53"/>
      <c r="BN14" s="53"/>
      <c r="BP14" s="53"/>
      <c r="BQ14" s="53"/>
      <c r="BR14" s="53"/>
      <c r="BS14" s="53"/>
      <c r="BT14" s="53"/>
      <c r="BV14" s="4">
        <f t="shared" si="18"/>
        <v>-272944</v>
      </c>
      <c r="BW14" s="4">
        <f t="shared" si="17"/>
        <v>-8529.5</v>
      </c>
      <c r="BX14" s="4">
        <f t="shared" si="17"/>
        <v>-888.4375</v>
      </c>
      <c r="BY14" s="4">
        <f t="shared" si="17"/>
        <v>-143248</v>
      </c>
      <c r="BZ14" s="4">
        <f t="shared" si="17"/>
        <v>240264</v>
      </c>
      <c r="CA14" s="4">
        <f t="shared" si="17"/>
        <v>-88072</v>
      </c>
      <c r="CB14" s="4">
        <f t="shared" si="17"/>
        <v>-295440</v>
      </c>
      <c r="CC14" s="4">
        <f t="shared" si="17"/>
        <v>-0.18699062500000707</v>
      </c>
      <c r="CD14" s="4">
        <f t="shared" si="17"/>
        <v>-4.1678125000004229E-2</v>
      </c>
      <c r="CE14" s="4">
        <f t="shared" si="17"/>
        <v>-0.13741875000000192</v>
      </c>
      <c r="CF14" s="4">
        <f t="shared" si="17"/>
        <v>-6.0596874999994554E-2</v>
      </c>
      <c r="CG14" s="4">
        <f t="shared" si="17"/>
        <v>-0.22606874999999604</v>
      </c>
    </row>
    <row r="15" spans="1:85" x14ac:dyDescent="0.3">
      <c r="A15" s="15"/>
      <c r="B15" s="15" t="s">
        <v>281</v>
      </c>
      <c r="C15" s="16" t="s">
        <v>271</v>
      </c>
      <c r="D15" s="15">
        <v>33947718</v>
      </c>
      <c r="E15" s="16">
        <v>10</v>
      </c>
      <c r="F15" s="16">
        <v>32</v>
      </c>
      <c r="G15" s="16">
        <v>30</v>
      </c>
      <c r="I15" s="17">
        <f t="shared" si="0"/>
        <v>1.9563524999999999</v>
      </c>
      <c r="J15" s="18">
        <f t="shared" si="1"/>
        <v>6.1470287929221046E-2</v>
      </c>
      <c r="K15" s="18">
        <f t="shared" si="2"/>
        <v>5.1087498723772835E-2</v>
      </c>
      <c r="L15" s="18">
        <f t="shared" si="3"/>
        <v>2.5678309216542919E-2</v>
      </c>
      <c r="M15" s="18">
        <f t="shared" si="4"/>
        <v>1.0382789205448214E-2</v>
      </c>
      <c r="N15" s="15">
        <f t="shared" si="5"/>
        <v>1734304</v>
      </c>
      <c r="O15" s="18">
        <f t="shared" si="6"/>
        <v>6.3921230298729814E-2</v>
      </c>
      <c r="P15" s="19">
        <v>32646055</v>
      </c>
      <c r="Q15" s="19">
        <v>1020189.21875</v>
      </c>
      <c r="R15" s="19">
        <v>35459.34375</v>
      </c>
      <c r="S15" s="20">
        <v>2086776</v>
      </c>
      <c r="T15" s="20">
        <v>871720</v>
      </c>
      <c r="U15" s="20">
        <v>862584</v>
      </c>
      <c r="V15" s="20">
        <v>352472</v>
      </c>
      <c r="W15" s="21">
        <v>66.401375000000002</v>
      </c>
      <c r="X15" s="21">
        <v>67.975750000000005</v>
      </c>
      <c r="Y15" s="21">
        <v>29.281771875</v>
      </c>
      <c r="Z15" s="21">
        <v>43.285318750000002</v>
      </c>
      <c r="AA15" s="21">
        <v>43.572709375000002</v>
      </c>
      <c r="AB15" s="22">
        <v>7121.17</v>
      </c>
      <c r="AC15" s="22">
        <v>9835.94</v>
      </c>
      <c r="AD15" s="22">
        <v>18.335000000000001</v>
      </c>
      <c r="AE15" s="22">
        <v>69.855000000000004</v>
      </c>
      <c r="AG15" s="17">
        <f t="shared" si="7"/>
        <v>1.6314225</v>
      </c>
      <c r="AH15" s="18">
        <f t="shared" si="8"/>
        <v>5.1260706242463781E-2</v>
      </c>
      <c r="AI15" s="18">
        <f t="shared" si="9"/>
        <v>4.301414310087058E-2</v>
      </c>
      <c r="AJ15" s="18">
        <f t="shared" si="10"/>
        <v>2.2479743704716764E-2</v>
      </c>
      <c r="AK15" s="18">
        <f t="shared" si="11"/>
        <v>8.2465631415931991E-3</v>
      </c>
      <c r="AL15" s="15">
        <f t="shared" si="12"/>
        <v>1460232</v>
      </c>
      <c r="AM15" s="18">
        <f t="shared" si="13"/>
        <v>5.3683026669591571E-2</v>
      </c>
      <c r="AN15" s="19">
        <v>32415907</v>
      </c>
      <c r="AO15" s="19">
        <v>1012997.09375</v>
      </c>
      <c r="AP15" s="19">
        <v>31572.59375</v>
      </c>
      <c r="AQ15" s="20">
        <v>1740184</v>
      </c>
      <c r="AR15" s="20">
        <v>763136</v>
      </c>
      <c r="AS15" s="20">
        <v>697096</v>
      </c>
      <c r="AT15" s="20">
        <v>279952</v>
      </c>
      <c r="AU15" s="21">
        <v>66.291603124999995</v>
      </c>
      <c r="AV15" s="21">
        <v>67.836553124999995</v>
      </c>
      <c r="AW15" s="21">
        <v>29.27991875</v>
      </c>
      <c r="AX15" s="21">
        <v>43.565681249999997</v>
      </c>
      <c r="AY15" s="21">
        <v>43.772990624999998</v>
      </c>
      <c r="AZ15" s="22">
        <v>4508.07</v>
      </c>
      <c r="BA15" s="22">
        <v>7244.98</v>
      </c>
      <c r="BB15" s="22">
        <v>16.701000000000001</v>
      </c>
      <c r="BC15" s="22">
        <v>39.432000000000002</v>
      </c>
      <c r="BE15" s="23">
        <f t="shared" si="14"/>
        <v>0.84197003524180303</v>
      </c>
      <c r="BF15" s="24">
        <f t="shared" si="15"/>
        <v>-3.5901079214052979E-3</v>
      </c>
      <c r="BG15" s="24">
        <f t="shared" si="16"/>
        <v>8.0325018670638348E-3</v>
      </c>
      <c r="BH15" s="24">
        <f t="array" ref="BH15">AVERAGE(AL15:AL19/AQ15:AQ19) - AVERAGE(N15:N19/S15:S19)</f>
        <v>1.1291690165188051E-2</v>
      </c>
      <c r="BJ15" s="23">
        <f>IF( OR(ISBLANK(N15:N19),ISBLANK(AL15:AL19), ISBLANK(W15:W19),ISBLANK(AU15:AU19)), "·", bdRateExtend( N15:N19,W15:W19, AL15:AL19,AU15:AU19))</f>
        <v>-8.3069303162161212E-2</v>
      </c>
      <c r="BK15" s="23">
        <f>IF( OR(ISBLANK(N15:N19),ISBLANK(AL15:AL19), ISBLANK(X15:X19),ISBLANK(AV15:AV19)), "·", bdRateExtend( N15:N19,X15:X19, AL15:AL19,AV15:AV19))</f>
        <v>-7.8538754362544982E-2</v>
      </c>
      <c r="BL15" s="23">
        <f>IF( OR(ISBLANK(V15:V19),ISBLANK(AT15:AT19), ISBLANK(Y15:Y19),ISBLANK(AW15:AW19)), "·", bdRateExtend( V15:V19,Y15:Y19, AT15:AT19,AW15:AW19))</f>
        <v>-7.6632286388379378E-2</v>
      </c>
      <c r="BM15" s="23">
        <f>IF( OR(ISBLANK(V15:V19),ISBLANK(AT15:AT19), ISBLANK(Z15:Z19),ISBLANK(AX15:AX19)), "·", bdRateExtend( V15:V19,Z15:Z19, AT15:AT19,AX15:AX19))</f>
        <v>-9.2553987173307206E-2</v>
      </c>
      <c r="BN15" s="23">
        <f>IF( OR(ISBLANK(V15:V19),ISBLANK(AT15:AT19), ISBLANK(AA15:AA19),ISBLANK(AY15:AY19)), "·", bdRateExtend( V15:V19,AA15:AA19, AT15:AT19,AY15:AY19))</f>
        <v>-9.769054895486462E-2</v>
      </c>
      <c r="BP15" s="23">
        <f>IF( OR(ISBLANK(S15:S19),ISBLANK(AQ15:AQ19), ISBLANK(W15:W19),ISBLANK(AU15:AU19)), "·", bdRateExtend( S15:S19,W15:W19, AQ15:AQ19,AU15:AU19))</f>
        <v>-8.8231316470976262E-2</v>
      </c>
      <c r="BQ15" s="23">
        <f>IF( OR(ISBLANK(S15:S19),ISBLANK(AQ15:AQ19), ISBLANK(X15:X19),ISBLANK(AV15:AV19)), "·", bdRateExtend( S15:S19,X15:X19, AQ15:AQ19,AV15:AV19))</f>
        <v>-8.9897699728133107E-2</v>
      </c>
      <c r="BR15" s="23">
        <f>IF( OR(ISBLANK(S15:S19),ISBLANK(AQ15:AQ19), ISBLANK(Y15:Y19),ISBLANK(AW15:AW19)), "·", bdRateExtend( S15:S19,Y15:Y19, AQ15:AQ19,AW15:AW19))</f>
        <v>-6.5423086639179839E-2</v>
      </c>
      <c r="BS15" s="23">
        <f>IF( OR(ISBLANK(S15:S19),ISBLANK(AQ15:AQ19), ISBLANK(Z15:Z19),ISBLANK(AX15:AX19)), "·", bdRateExtend( S15:S19,Z15:Z19, AQ15:AQ19,AX15:AX19))</f>
        <v>-6.96357883873433E-2</v>
      </c>
      <c r="BT15" s="23">
        <f>IF( OR(ISBLANK(S15:S19),ISBLANK(AQ15:AQ19), ISBLANK(AA15:AA19),ISBLANK(AY15:AY19)), "·", bdRateExtend( S15:S19,AA15:AA19, AQ15:AQ19,AY15:AY19))</f>
        <v>-7.1696458512090389E-2</v>
      </c>
      <c r="BV15" s="4">
        <f t="shared" si="18"/>
        <v>-230148</v>
      </c>
      <c r="BW15" s="4">
        <f t="shared" si="17"/>
        <v>-7192.125</v>
      </c>
      <c r="BX15" s="4">
        <f t="shared" si="17"/>
        <v>-3886.75</v>
      </c>
      <c r="BY15" s="4">
        <f t="shared" si="17"/>
        <v>-346592</v>
      </c>
      <c r="BZ15" s="4">
        <f t="shared" si="17"/>
        <v>-108584</v>
      </c>
      <c r="CA15" s="4">
        <f t="shared" si="17"/>
        <v>-165488</v>
      </c>
      <c r="CB15" s="4">
        <f t="shared" si="17"/>
        <v>-72520</v>
      </c>
      <c r="CC15" s="4">
        <f t="shared" si="17"/>
        <v>-0.10977187500000696</v>
      </c>
      <c r="CD15" s="4">
        <f t="shared" si="17"/>
        <v>-0.13919687500001032</v>
      </c>
      <c r="CE15" s="4">
        <f t="shared" si="17"/>
        <v>-1.8531250000002331E-3</v>
      </c>
      <c r="CF15" s="4">
        <f t="shared" si="17"/>
        <v>0.28036249999999541</v>
      </c>
      <c r="CG15" s="4">
        <f t="shared" si="17"/>
        <v>0.20028124999999619</v>
      </c>
    </row>
    <row r="16" spans="1:85" outlineLevel="1" x14ac:dyDescent="0.3">
      <c r="A16" s="25"/>
      <c r="B16" s="25" t="s">
        <v>281</v>
      </c>
      <c r="C16" s="26" t="s">
        <v>272</v>
      </c>
      <c r="D16" s="25">
        <v>33947718</v>
      </c>
      <c r="E16" s="26">
        <v>10</v>
      </c>
      <c r="F16" s="26">
        <v>32</v>
      </c>
      <c r="G16" s="26">
        <v>30</v>
      </c>
      <c r="I16" s="27">
        <f t="shared" si="0"/>
        <v>2.5079625000000001</v>
      </c>
      <c r="J16" s="28">
        <f t="shared" si="1"/>
        <v>7.8802351309740462E-2</v>
      </c>
      <c r="K16" s="28">
        <f t="shared" si="2"/>
        <v>5.9514103422209412E-2</v>
      </c>
      <c r="L16" s="28">
        <f t="shared" si="3"/>
        <v>3.4104913914979496E-2</v>
      </c>
      <c r="M16" s="28">
        <f t="shared" si="4"/>
        <v>1.9288247887531057E-2</v>
      </c>
      <c r="N16" s="25">
        <f t="shared" si="5"/>
        <v>2020368</v>
      </c>
      <c r="O16" s="28">
        <f t="shared" si="6"/>
        <v>7.8536595218590535E-2</v>
      </c>
      <c r="P16" s="29">
        <v>34062592</v>
      </c>
      <c r="Q16" s="29">
        <v>1064456</v>
      </c>
      <c r="R16" s="29">
        <v>40594.59375</v>
      </c>
      <c r="S16" s="30">
        <v>2675160</v>
      </c>
      <c r="T16" s="30">
        <v>1157784</v>
      </c>
      <c r="U16" s="30">
        <v>862584</v>
      </c>
      <c r="V16" s="30">
        <v>654792</v>
      </c>
      <c r="W16" s="31">
        <v>68.092703125</v>
      </c>
      <c r="X16" s="31">
        <v>70.107778124999996</v>
      </c>
      <c r="Y16" s="31">
        <v>31.698981249999999</v>
      </c>
      <c r="Z16" s="31">
        <v>43.956465625</v>
      </c>
      <c r="AA16" s="31">
        <v>44.39271875</v>
      </c>
      <c r="AB16" s="32">
        <v>6343.09</v>
      </c>
      <c r="AC16" s="32">
        <v>10848.3</v>
      </c>
      <c r="AD16" s="32">
        <v>20.282</v>
      </c>
      <c r="AE16" s="32">
        <v>68.578999999999994</v>
      </c>
      <c r="AG16" s="27">
        <f t="shared" si="7"/>
        <v>2.1509624999999999</v>
      </c>
      <c r="AH16" s="28">
        <f t="shared" si="8"/>
        <v>6.7585102480231515E-2</v>
      </c>
      <c r="AI16" s="28">
        <f t="shared" si="9"/>
        <v>5.185456059226131E-2</v>
      </c>
      <c r="AJ16" s="28">
        <f t="shared" si="10"/>
        <v>3.1320161196107497E-2</v>
      </c>
      <c r="AK16" s="28">
        <f t="shared" si="11"/>
        <v>1.5730541887970202E-2</v>
      </c>
      <c r="AL16" s="25">
        <f t="shared" si="12"/>
        <v>1760344</v>
      </c>
      <c r="AM16" s="28">
        <f t="shared" si="13"/>
        <v>6.7731856054071185E-2</v>
      </c>
      <c r="AN16" s="29">
        <v>33874164</v>
      </c>
      <c r="AO16" s="29">
        <v>1058567.625</v>
      </c>
      <c r="AP16" s="29">
        <v>36348.40625</v>
      </c>
      <c r="AQ16" s="30">
        <v>2294360</v>
      </c>
      <c r="AR16" s="30">
        <v>1063248</v>
      </c>
      <c r="AS16" s="30">
        <v>697096</v>
      </c>
      <c r="AT16" s="30">
        <v>534016</v>
      </c>
      <c r="AU16" s="31">
        <v>68.020284375000003</v>
      </c>
      <c r="AV16" s="31">
        <v>69.988659374999997</v>
      </c>
      <c r="AW16" s="31">
        <v>31.570318749999998</v>
      </c>
      <c r="AX16" s="31">
        <v>43.970778125000002</v>
      </c>
      <c r="AY16" s="31">
        <v>44.336490625000003</v>
      </c>
      <c r="AZ16" s="32">
        <v>4892.8500000000004</v>
      </c>
      <c r="BA16" s="32">
        <v>7786.1</v>
      </c>
      <c r="BB16" s="32">
        <v>17.474</v>
      </c>
      <c r="BC16" s="32">
        <v>38.808</v>
      </c>
      <c r="BE16" s="33">
        <f t="shared" si="14"/>
        <v>0.87129869409929273</v>
      </c>
      <c r="BF16" s="34">
        <f t="shared" si="15"/>
        <v>-3.7991202182886888E-3</v>
      </c>
      <c r="BG16" s="34">
        <f t="shared" si="16"/>
        <v>1.2015798772073594E-2</v>
      </c>
      <c r="BH16" s="34"/>
      <c r="BJ16" s="33"/>
      <c r="BK16" s="33"/>
      <c r="BL16" s="33"/>
      <c r="BM16" s="33"/>
      <c r="BN16" s="33"/>
      <c r="BP16" s="33"/>
      <c r="BQ16" s="33"/>
      <c r="BR16" s="33"/>
      <c r="BS16" s="33"/>
      <c r="BT16" s="33"/>
      <c r="BV16" s="4">
        <f t="shared" si="18"/>
        <v>-188428</v>
      </c>
      <c r="BW16" s="4">
        <f t="shared" si="17"/>
        <v>-5888.375</v>
      </c>
      <c r="BX16" s="4">
        <f t="shared" si="17"/>
        <v>-4246.1875</v>
      </c>
      <c r="BY16" s="4">
        <f t="shared" si="17"/>
        <v>-380800</v>
      </c>
      <c r="BZ16" s="4">
        <f t="shared" si="17"/>
        <v>-94536</v>
      </c>
      <c r="CA16" s="4">
        <f t="shared" si="17"/>
        <v>-165488</v>
      </c>
      <c r="CB16" s="4">
        <f t="shared" si="17"/>
        <v>-120776</v>
      </c>
      <c r="CC16" s="4">
        <f t="shared" si="17"/>
        <v>-7.241874999999709E-2</v>
      </c>
      <c r="CD16" s="4">
        <f t="shared" si="17"/>
        <v>-0.11911874999999839</v>
      </c>
      <c r="CE16" s="4">
        <f t="shared" si="17"/>
        <v>-0.12866250000000079</v>
      </c>
      <c r="CF16" s="4">
        <f t="shared" si="17"/>
        <v>1.4312500000002615E-2</v>
      </c>
      <c r="CG16" s="4">
        <f t="shared" si="17"/>
        <v>-5.6228124999996965E-2</v>
      </c>
    </row>
    <row r="17" spans="1:85" outlineLevel="1" x14ac:dyDescent="0.3">
      <c r="A17" s="15"/>
      <c r="B17" s="15" t="s">
        <v>281</v>
      </c>
      <c r="C17" s="16" t="s">
        <v>273</v>
      </c>
      <c r="D17" s="15">
        <v>33947718</v>
      </c>
      <c r="E17" s="16">
        <v>10</v>
      </c>
      <c r="F17" s="16">
        <v>32</v>
      </c>
      <c r="G17" s="16">
        <v>30</v>
      </c>
      <c r="I17" s="17">
        <f t="shared" si="0"/>
        <v>3.485385</v>
      </c>
      <c r="J17" s="18">
        <f t="shared" si="1"/>
        <v>0.10951381179730549</v>
      </c>
      <c r="K17" s="18">
        <f t="shared" si="2"/>
        <v>6.9868849505583849E-2</v>
      </c>
      <c r="L17" s="18">
        <f t="shared" si="3"/>
        <v>4.445965999835394E-2</v>
      </c>
      <c r="M17" s="18">
        <f t="shared" si="4"/>
        <v>3.9644962291721639E-2</v>
      </c>
      <c r="N17" s="15">
        <f t="shared" si="5"/>
        <v>2371888</v>
      </c>
      <c r="O17" s="18">
        <f t="shared" si="6"/>
        <v>0.10862597553894816</v>
      </c>
      <c r="P17" s="19">
        <v>34225184</v>
      </c>
      <c r="Q17" s="19">
        <v>1069537</v>
      </c>
      <c r="R17" s="19">
        <v>41621.9375</v>
      </c>
      <c r="S17" s="20">
        <v>3717744</v>
      </c>
      <c r="T17" s="20">
        <v>1509304</v>
      </c>
      <c r="U17" s="20">
        <v>862584</v>
      </c>
      <c r="V17" s="20">
        <v>1345856</v>
      </c>
      <c r="W17" s="21">
        <v>69.468912500000002</v>
      </c>
      <c r="X17" s="21">
        <v>71.908962500000001</v>
      </c>
      <c r="Y17" s="21">
        <v>34.149943749999998</v>
      </c>
      <c r="Z17" s="21">
        <v>45.142409375</v>
      </c>
      <c r="AA17" s="21">
        <v>45.521984375000002</v>
      </c>
      <c r="AB17" s="22">
        <v>6477.16</v>
      </c>
      <c r="AC17" s="22">
        <v>10935.1</v>
      </c>
      <c r="AD17" s="22">
        <v>32.192999999999998</v>
      </c>
      <c r="AE17" s="22">
        <v>49.372999999999998</v>
      </c>
      <c r="AG17" s="17">
        <f t="shared" si="7"/>
        <v>3.1030875</v>
      </c>
      <c r="AH17" s="18">
        <f t="shared" si="8"/>
        <v>9.7501693633722297E-2</v>
      </c>
      <c r="AI17" s="18">
        <f t="shared" si="9"/>
        <v>6.3302752780024854E-2</v>
      </c>
      <c r="AJ17" s="18">
        <f t="shared" si="10"/>
        <v>4.2768353383871048E-2</v>
      </c>
      <c r="AK17" s="18">
        <f t="shared" si="11"/>
        <v>3.4198940853697443E-2</v>
      </c>
      <c r="AL17" s="15">
        <f t="shared" si="12"/>
        <v>2148984</v>
      </c>
      <c r="AM17" s="18">
        <f t="shared" si="13"/>
        <v>9.798970941673836E-2</v>
      </c>
      <c r="AN17" s="19">
        <v>33778649</v>
      </c>
      <c r="AO17" s="19">
        <v>1055582.78125</v>
      </c>
      <c r="AP17" s="19">
        <v>36858.84375</v>
      </c>
      <c r="AQ17" s="20">
        <v>3309960</v>
      </c>
      <c r="AR17" s="20">
        <v>1451888</v>
      </c>
      <c r="AS17" s="20">
        <v>697096</v>
      </c>
      <c r="AT17" s="20">
        <v>1160976</v>
      </c>
      <c r="AU17" s="21">
        <v>69.351378124999997</v>
      </c>
      <c r="AV17" s="21">
        <v>71.816215624999998</v>
      </c>
      <c r="AW17" s="21">
        <v>33.940178125000003</v>
      </c>
      <c r="AX17" s="21">
        <v>45.017137499999997</v>
      </c>
      <c r="AY17" s="21">
        <v>45.584253124999996</v>
      </c>
      <c r="AZ17" s="22">
        <v>4687.3999999999996</v>
      </c>
      <c r="BA17" s="22">
        <v>8206.4699999999993</v>
      </c>
      <c r="BB17" s="22">
        <v>16.977</v>
      </c>
      <c r="BC17" s="22">
        <v>38.11</v>
      </c>
      <c r="BE17" s="23">
        <f t="shared" si="14"/>
        <v>0.90602254406616156</v>
      </c>
      <c r="BF17" s="24">
        <f t="shared" si="15"/>
        <v>-3.997842322650845E-3</v>
      </c>
      <c r="BG17" s="24">
        <f t="shared" si="16"/>
        <v>1.1256513173308558E-2</v>
      </c>
      <c r="BH17" s="24"/>
      <c r="BJ17" s="23"/>
      <c r="BK17" s="23"/>
      <c r="BL17" s="23"/>
      <c r="BM17" s="23"/>
      <c r="BN17" s="23"/>
      <c r="BP17" s="23"/>
      <c r="BQ17" s="23"/>
      <c r="BR17" s="23"/>
      <c r="BS17" s="23"/>
      <c r="BT17" s="23"/>
      <c r="BV17" s="4">
        <f t="shared" si="18"/>
        <v>-446535</v>
      </c>
      <c r="BW17" s="4">
        <f t="shared" si="17"/>
        <v>-13954.21875</v>
      </c>
      <c r="BX17" s="4">
        <f t="shared" si="17"/>
        <v>-4763.09375</v>
      </c>
      <c r="BY17" s="4">
        <f t="shared" si="17"/>
        <v>-407784</v>
      </c>
      <c r="BZ17" s="4">
        <f t="shared" si="17"/>
        <v>-57416</v>
      </c>
      <c r="CA17" s="4">
        <f t="shared" si="17"/>
        <v>-165488</v>
      </c>
      <c r="CB17" s="4">
        <f t="shared" si="17"/>
        <v>-184880</v>
      </c>
      <c r="CC17" s="4">
        <f t="shared" si="17"/>
        <v>-0.1175343750000053</v>
      </c>
      <c r="CD17" s="4">
        <f t="shared" si="17"/>
        <v>-9.2746875000003115E-2</v>
      </c>
      <c r="CE17" s="4">
        <f t="shared" si="17"/>
        <v>-0.20976562499999574</v>
      </c>
      <c r="CF17" s="4">
        <f t="shared" si="17"/>
        <v>-0.12527187500000281</v>
      </c>
      <c r="CG17" s="4">
        <f t="shared" si="17"/>
        <v>6.22687499999941E-2</v>
      </c>
    </row>
    <row r="18" spans="1:85" outlineLevel="1" x14ac:dyDescent="0.3">
      <c r="A18" s="25"/>
      <c r="B18" s="25" t="s">
        <v>281</v>
      </c>
      <c r="C18" s="26" t="s">
        <v>274</v>
      </c>
      <c r="D18" s="25">
        <v>33947718</v>
      </c>
      <c r="E18" s="26">
        <v>10</v>
      </c>
      <c r="F18" s="26">
        <v>32</v>
      </c>
      <c r="G18" s="26">
        <v>30</v>
      </c>
      <c r="I18" s="27">
        <f t="shared" si="0"/>
        <v>6.3096825000000001</v>
      </c>
      <c r="J18" s="28">
        <f t="shared" si="1"/>
        <v>0.19825568245853817</v>
      </c>
      <c r="K18" s="28">
        <f t="shared" si="2"/>
        <v>9.7941192983870079E-2</v>
      </c>
      <c r="L18" s="28">
        <f t="shared" si="3"/>
        <v>7.2532003476640169E-2</v>
      </c>
      <c r="M18" s="28">
        <f t="shared" si="4"/>
        <v>0.10031448947466808</v>
      </c>
      <c r="N18" s="25">
        <f t="shared" si="5"/>
        <v>3324880</v>
      </c>
      <c r="O18" s="28">
        <f t="shared" si="6"/>
        <v>0.18923463718079211</v>
      </c>
      <c r="P18" s="29">
        <v>35566047</v>
      </c>
      <c r="Q18" s="29">
        <v>1111438.96875</v>
      </c>
      <c r="R18" s="29">
        <v>47100.59375</v>
      </c>
      <c r="S18" s="30">
        <v>6730328</v>
      </c>
      <c r="T18" s="30">
        <v>2462296</v>
      </c>
      <c r="U18" s="30">
        <v>862584</v>
      </c>
      <c r="V18" s="30">
        <v>3405448</v>
      </c>
      <c r="W18" s="31">
        <v>70.525415624999994</v>
      </c>
      <c r="X18" s="31">
        <v>73.166821874999997</v>
      </c>
      <c r="Y18" s="31">
        <v>36.49009375</v>
      </c>
      <c r="Z18" s="31">
        <v>46.411762500000002</v>
      </c>
      <c r="AA18" s="31">
        <v>46.968887500000001</v>
      </c>
      <c r="AB18" s="32">
        <v>6945.13</v>
      </c>
      <c r="AC18" s="32">
        <v>12381.4</v>
      </c>
      <c r="AD18" s="32">
        <v>21.584</v>
      </c>
      <c r="AE18" s="32">
        <v>81.382000000000005</v>
      </c>
      <c r="AG18" s="27">
        <f t="shared" si="7"/>
        <v>5.8969874999999998</v>
      </c>
      <c r="AH18" s="28">
        <f t="shared" si="8"/>
        <v>0.18528844854903059</v>
      </c>
      <c r="AI18" s="28">
        <f t="shared" si="9"/>
        <v>9.4301007213504012E-2</v>
      </c>
      <c r="AJ18" s="28">
        <f t="shared" si="10"/>
        <v>7.3766607817350199E-2</v>
      </c>
      <c r="AK18" s="28">
        <f t="shared" si="11"/>
        <v>9.0987441335526595E-2</v>
      </c>
      <c r="AL18" s="25">
        <f t="shared" si="12"/>
        <v>3201304</v>
      </c>
      <c r="AM18" s="28">
        <f t="shared" si="13"/>
        <v>0.18015871708818659</v>
      </c>
      <c r="AN18" s="29">
        <v>34914325</v>
      </c>
      <c r="AO18" s="29">
        <v>1091072.65625</v>
      </c>
      <c r="AP18" s="29">
        <v>41019.625</v>
      </c>
      <c r="AQ18" s="30">
        <v>6290120</v>
      </c>
      <c r="AR18" s="30">
        <v>2504208</v>
      </c>
      <c r="AS18" s="30">
        <v>697096</v>
      </c>
      <c r="AT18" s="30">
        <v>3088816</v>
      </c>
      <c r="AU18" s="31">
        <v>70.511306250000004</v>
      </c>
      <c r="AV18" s="31">
        <v>73.106734375000002</v>
      </c>
      <c r="AW18" s="31">
        <v>36.227975000000001</v>
      </c>
      <c r="AX18" s="31">
        <v>46.392721874999999</v>
      </c>
      <c r="AY18" s="31">
        <v>46.880371875000002</v>
      </c>
      <c r="AZ18" s="32">
        <v>4760.25</v>
      </c>
      <c r="BA18" s="32">
        <v>9311.86</v>
      </c>
      <c r="BB18" s="32">
        <v>17.036000000000001</v>
      </c>
      <c r="BC18" s="32">
        <v>44.121000000000002</v>
      </c>
      <c r="BE18" s="33">
        <f t="shared" si="14"/>
        <v>0.96283294434686362</v>
      </c>
      <c r="BF18" s="34">
        <f t="shared" si="15"/>
        <v>-4.7823437988843073E-3</v>
      </c>
      <c r="BG18" s="34">
        <f t="shared" si="16"/>
        <v>1.4927085612939262E-2</v>
      </c>
      <c r="BH18" s="34"/>
      <c r="BJ18" s="33"/>
      <c r="BK18" s="33"/>
      <c r="BL18" s="33"/>
      <c r="BM18" s="33"/>
      <c r="BN18" s="33"/>
      <c r="BP18" s="33"/>
      <c r="BQ18" s="33"/>
      <c r="BR18" s="33"/>
      <c r="BS18" s="33"/>
      <c r="BT18" s="33"/>
      <c r="BV18" s="4">
        <f t="shared" si="18"/>
        <v>-651722</v>
      </c>
      <c r="BW18" s="4">
        <f t="shared" si="17"/>
        <v>-20366.3125</v>
      </c>
      <c r="BX18" s="4">
        <f t="shared" si="17"/>
        <v>-6080.96875</v>
      </c>
      <c r="BY18" s="4">
        <f t="shared" si="17"/>
        <v>-440208</v>
      </c>
      <c r="BZ18" s="4">
        <f t="shared" si="17"/>
        <v>41912</v>
      </c>
      <c r="CA18" s="4">
        <f t="shared" si="17"/>
        <v>-165488</v>
      </c>
      <c r="CB18" s="4">
        <f t="shared" si="17"/>
        <v>-316632</v>
      </c>
      <c r="CC18" s="4">
        <f t="shared" si="17"/>
        <v>-1.4109374999989654E-2</v>
      </c>
      <c r="CD18" s="4">
        <f t="shared" si="17"/>
        <v>-6.008749999999452E-2</v>
      </c>
      <c r="CE18" s="4">
        <f t="shared" si="17"/>
        <v>-0.26211874999999907</v>
      </c>
      <c r="CF18" s="4">
        <f t="shared" si="17"/>
        <v>-1.9040625000002365E-2</v>
      </c>
      <c r="CG18" s="4">
        <f t="shared" si="17"/>
        <v>-8.8515624999999432E-2</v>
      </c>
    </row>
    <row r="19" spans="1:85" ht="15" outlineLevel="1" thickBot="1" x14ac:dyDescent="0.35">
      <c r="A19" s="15"/>
      <c r="B19" s="35" t="s">
        <v>281</v>
      </c>
      <c r="C19" s="36" t="s">
        <v>275</v>
      </c>
      <c r="D19" s="35">
        <v>33947718</v>
      </c>
      <c r="E19" s="36">
        <v>10</v>
      </c>
      <c r="F19" s="36">
        <v>32</v>
      </c>
      <c r="G19" s="36">
        <v>30</v>
      </c>
      <c r="I19" s="37">
        <f t="shared" si="0"/>
        <v>14.734484999999999</v>
      </c>
      <c r="J19" s="38">
        <f t="shared" si="1"/>
        <v>0.46297026504108463</v>
      </c>
      <c r="K19" s="38">
        <f t="shared" si="2"/>
        <v>0.16846163267881512</v>
      </c>
      <c r="L19" s="38">
        <f t="shared" si="3"/>
        <v>0.11799014001471321</v>
      </c>
      <c r="M19" s="38">
        <f t="shared" si="4"/>
        <v>0.29450863236226954</v>
      </c>
      <c r="N19" s="35">
        <f t="shared" si="5"/>
        <v>5718888</v>
      </c>
      <c r="O19" s="38">
        <f t="shared" si="6"/>
        <v>0.46769759341775552</v>
      </c>
      <c r="P19" s="39">
        <v>33604586</v>
      </c>
      <c r="Q19" s="39">
        <v>1050143.3125</v>
      </c>
      <c r="R19" s="39">
        <v>20694.03125</v>
      </c>
      <c r="S19" s="40">
        <v>15716784</v>
      </c>
      <c r="T19" s="40">
        <v>4005496</v>
      </c>
      <c r="U19" s="40">
        <v>1713392</v>
      </c>
      <c r="V19" s="40">
        <v>9997896</v>
      </c>
      <c r="W19" s="41">
        <v>71.457499999999996</v>
      </c>
      <c r="X19" s="41">
        <v>75.072050000000004</v>
      </c>
      <c r="Y19" s="41">
        <v>38.782646874999998</v>
      </c>
      <c r="Z19" s="41">
        <v>48.306518750000002</v>
      </c>
      <c r="AA19" s="41">
        <v>48.862215624999997</v>
      </c>
      <c r="AB19" s="42">
        <v>6928.04</v>
      </c>
      <c r="AC19" s="42">
        <v>14399.9</v>
      </c>
      <c r="AD19" s="42">
        <v>26.065000000000001</v>
      </c>
      <c r="AE19" s="42">
        <v>77.796000000000006</v>
      </c>
      <c r="AG19" s="37">
        <f t="shared" si="7"/>
        <v>14.107275</v>
      </c>
      <c r="AH19" s="38">
        <f t="shared" si="8"/>
        <v>0.44326278426137511</v>
      </c>
      <c r="AI19" s="38">
        <f t="shared" si="9"/>
        <v>0.16582369395197638</v>
      </c>
      <c r="AJ19" s="38">
        <f t="shared" si="10"/>
        <v>0.12174509049474254</v>
      </c>
      <c r="AK19" s="38">
        <f t="shared" si="11"/>
        <v>0.27743909030939873</v>
      </c>
      <c r="AL19" s="35">
        <f t="shared" si="12"/>
        <v>5629336</v>
      </c>
      <c r="AM19" s="38">
        <f t="shared" si="13"/>
        <v>0.45572637592083681</v>
      </c>
      <c r="AN19" s="39">
        <v>33019287</v>
      </c>
      <c r="AO19" s="39">
        <v>1031852.71875</v>
      </c>
      <c r="AP19" s="39">
        <v>17626.4375</v>
      </c>
      <c r="AQ19" s="40">
        <v>15047760</v>
      </c>
      <c r="AR19" s="40">
        <v>4132968</v>
      </c>
      <c r="AS19" s="40">
        <v>1496368</v>
      </c>
      <c r="AT19" s="40">
        <v>9418424</v>
      </c>
      <c r="AU19" s="41">
        <v>71.188796874999994</v>
      </c>
      <c r="AV19" s="41">
        <v>75.072268750000006</v>
      </c>
      <c r="AW19" s="41">
        <v>38.583975000000002</v>
      </c>
      <c r="AX19" s="41">
        <v>48.172518750000002</v>
      </c>
      <c r="AY19" s="41">
        <v>48.72095625</v>
      </c>
      <c r="AZ19" s="42">
        <v>4725.1499999999996</v>
      </c>
      <c r="BA19" s="42">
        <v>10289</v>
      </c>
      <c r="BB19" s="42">
        <v>13.992000000000001</v>
      </c>
      <c r="BC19" s="42">
        <v>38.036000000000001</v>
      </c>
      <c r="BE19" s="43">
        <f t="shared" si="14"/>
        <v>0.98434101174913713</v>
      </c>
      <c r="BF19" s="44">
        <f t="shared" si="15"/>
        <v>-2.6235923769365004E-3</v>
      </c>
      <c r="BG19" s="44">
        <f t="shared" si="16"/>
        <v>1.0226551400555173E-2</v>
      </c>
      <c r="BH19" s="44"/>
      <c r="BJ19" s="43"/>
      <c r="BK19" s="43"/>
      <c r="BL19" s="43"/>
      <c r="BM19" s="43"/>
      <c r="BN19" s="43"/>
      <c r="BP19" s="43"/>
      <c r="BQ19" s="43"/>
      <c r="BR19" s="43"/>
      <c r="BS19" s="43"/>
      <c r="BT19" s="43"/>
      <c r="BV19" s="4">
        <f t="shared" si="18"/>
        <v>-585299</v>
      </c>
      <c r="BW19" s="4">
        <f t="shared" si="17"/>
        <v>-18290.59375</v>
      </c>
      <c r="BX19" s="4">
        <f t="shared" si="17"/>
        <v>-3067.59375</v>
      </c>
      <c r="BY19" s="4">
        <f t="shared" si="17"/>
        <v>-669024</v>
      </c>
      <c r="BZ19" s="4">
        <f t="shared" si="17"/>
        <v>127472</v>
      </c>
      <c r="CA19" s="4">
        <f t="shared" si="17"/>
        <v>-217024</v>
      </c>
      <c r="CB19" s="4">
        <f t="shared" si="17"/>
        <v>-579472</v>
      </c>
      <c r="CC19" s="4">
        <f t="shared" si="17"/>
        <v>-0.26870312500000182</v>
      </c>
      <c r="CD19" s="4">
        <f t="shared" si="17"/>
        <v>2.1875000000193268E-4</v>
      </c>
      <c r="CE19" s="4">
        <f t="shared" si="17"/>
        <v>-0.19867187499999517</v>
      </c>
      <c r="CF19" s="4">
        <f t="shared" si="17"/>
        <v>-0.13400000000000034</v>
      </c>
      <c r="CG19" s="4">
        <f t="shared" si="17"/>
        <v>-0.14125937499999708</v>
      </c>
    </row>
    <row r="20" spans="1:85" x14ac:dyDescent="0.3">
      <c r="A20" s="25"/>
      <c r="B20" s="25" t="s">
        <v>284</v>
      </c>
      <c r="C20" s="26" t="s">
        <v>271</v>
      </c>
      <c r="D20" s="25">
        <v>32209643</v>
      </c>
      <c r="E20" s="26">
        <v>10</v>
      </c>
      <c r="F20" s="26">
        <v>32</v>
      </c>
      <c r="G20" s="26">
        <v>50</v>
      </c>
      <c r="I20" s="27">
        <f t="shared" si="0"/>
        <v>2.1139125000000001</v>
      </c>
      <c r="J20" s="28">
        <f t="shared" si="1"/>
        <v>4.2003073427420476E-2</v>
      </c>
      <c r="K20" s="28">
        <f t="shared" si="2"/>
        <v>3.187293941755269E-2</v>
      </c>
      <c r="L20" s="28">
        <f t="shared" si="3"/>
        <v>1.8248448143309132E-2</v>
      </c>
      <c r="M20" s="28">
        <f t="shared" si="4"/>
        <v>1.013013400986779E-2</v>
      </c>
      <c r="N20" s="25">
        <f t="shared" si="5"/>
        <v>1026616</v>
      </c>
      <c r="O20" s="28">
        <f t="shared" si="6"/>
        <v>4.4298093560283143E-2</v>
      </c>
      <c r="P20" s="29">
        <v>30540908</v>
      </c>
      <c r="Q20" s="29">
        <v>954403.375</v>
      </c>
      <c r="R20" s="29">
        <v>29395.3125</v>
      </c>
      <c r="S20" s="30">
        <v>1352904</v>
      </c>
      <c r="T20" s="30">
        <v>587776</v>
      </c>
      <c r="U20" s="30">
        <v>438840</v>
      </c>
      <c r="V20" s="30">
        <v>326288</v>
      </c>
      <c r="W20" s="31">
        <v>67.249940624999994</v>
      </c>
      <c r="X20" s="31">
        <v>68.955221875000007</v>
      </c>
      <c r="Y20" s="31">
        <v>30.1411625</v>
      </c>
      <c r="Z20" s="31">
        <v>39.537643750000001</v>
      </c>
      <c r="AA20" s="31">
        <v>38.168399999999998</v>
      </c>
      <c r="AB20" s="32">
        <v>6870.35</v>
      </c>
      <c r="AC20" s="32">
        <v>8462.2000000000007</v>
      </c>
      <c r="AD20" s="32">
        <v>22.207999999999998</v>
      </c>
      <c r="AE20" s="32">
        <v>64.528999999999996</v>
      </c>
      <c r="AG20" s="27">
        <f t="shared" si="7"/>
        <v>2.0287375000000001</v>
      </c>
      <c r="AH20" s="28">
        <f t="shared" si="8"/>
        <v>4.031066100297976E-2</v>
      </c>
      <c r="AI20" s="28">
        <f t="shared" si="9"/>
        <v>3.0730672798826117E-2</v>
      </c>
      <c r="AJ20" s="28">
        <f t="shared" si="10"/>
        <v>1.7879366126473367E-2</v>
      </c>
      <c r="AK20" s="28">
        <f t="shared" si="11"/>
        <v>9.5799882041536447E-3</v>
      </c>
      <c r="AL20" s="25">
        <f t="shared" si="12"/>
        <v>989824</v>
      </c>
      <c r="AM20" s="28">
        <f t="shared" si="13"/>
        <v>4.2738995291011925E-2</v>
      </c>
      <c r="AN20" s="29">
        <v>30379563</v>
      </c>
      <c r="AO20" s="29">
        <v>949361.34375</v>
      </c>
      <c r="AP20" s="29">
        <v>28427.8125</v>
      </c>
      <c r="AQ20" s="30">
        <v>1298392</v>
      </c>
      <c r="AR20" s="30">
        <v>575888</v>
      </c>
      <c r="AS20" s="30">
        <v>413936</v>
      </c>
      <c r="AT20" s="30">
        <v>308568</v>
      </c>
      <c r="AU20" s="31">
        <v>67.240771874999993</v>
      </c>
      <c r="AV20" s="31">
        <v>68.976050000000001</v>
      </c>
      <c r="AW20" s="31">
        <v>30.126803124999999</v>
      </c>
      <c r="AX20" s="31">
        <v>39.571609375000001</v>
      </c>
      <c r="AY20" s="31">
        <v>38.099418749999998</v>
      </c>
      <c r="AZ20" s="32">
        <v>4317.38</v>
      </c>
      <c r="BA20" s="32">
        <v>7499.71</v>
      </c>
      <c r="BB20" s="32">
        <v>14.506</v>
      </c>
      <c r="BC20" s="32">
        <v>41.725999999999999</v>
      </c>
      <c r="BE20" s="33">
        <f t="shared" si="14"/>
        <v>0.96416186772853718</v>
      </c>
      <c r="BF20" s="34">
        <f t="shared" si="15"/>
        <v>-8.5552997097546046E-4</v>
      </c>
      <c r="BG20" s="34">
        <f t="shared" si="16"/>
        <v>3.5220587348626653E-3</v>
      </c>
      <c r="BH20" s="34">
        <f t="array" ref="BH20">AVERAGE(AL20:AL24/AQ20:AQ24) - AVERAGE(N20:N24/S20:S24)</f>
        <v>1.6926583049948762E-3</v>
      </c>
      <c r="BJ20" s="33">
        <f>IF( OR(ISBLANK(N20:N24),ISBLANK(AL20:AL24), ISBLANK(W20:W24),ISBLANK(AU20:AU24)), "·", bdRateExtend( N20:N24,W20:W24, AL20:AL24,AU20:AU24))</f>
        <v>-2.3736013991590199E-2</v>
      </c>
      <c r="BK20" s="33">
        <f>IF( OR(ISBLANK(N20:N24),ISBLANK(AL20:AL24), ISBLANK(X20:X24),ISBLANK(AV20:AV24)), "·", bdRateExtend( N20:N24,X20:X24, AL20:AL24,AV20:AV24))</f>
        <v>-2.0540090610131512E-2</v>
      </c>
      <c r="BL20" s="33">
        <f>IF( OR(ISBLANK(V20:V24),ISBLANK(AT20:AT24), ISBLANK(Y20:Y24),ISBLANK(AW20:AW24)), "·", bdRateExtend( V20:V24,Y20:Y24, AT20:AT24,AW20:AW24))</f>
        <v>-1.3595445994171951E-2</v>
      </c>
      <c r="BM20" s="33">
        <f>IF( OR(ISBLANK(V20:V24),ISBLANK(AT20:AT24), ISBLANK(Z20:Z24),ISBLANK(AX20:AX24)), "·", bdRateExtend( V20:V24,Z20:Z24, AT20:AT24,AX20:AX24))</f>
        <v>7.0506391049370398E-2</v>
      </c>
      <c r="BN20" s="33">
        <f>IF( OR(ISBLANK(V20:V24),ISBLANK(AT20:AT24), ISBLANK(AA20:AA24),ISBLANK(AY20:AY24)), "·", bdRateExtend( V20:V24,AA20:AA24, AT20:AT24,AY20:AY24))</f>
        <v>3.9764502378413669E-2</v>
      </c>
      <c r="BP20" s="33">
        <f>IF( OR(ISBLANK(S20:S24),ISBLANK(AQ20:AQ24), ISBLANK(W20:W24),ISBLANK(AU20:AU24)), "·", bdRateExtend( S20:S24,W20:W24, AQ20:AQ24,AU20:AU24))</f>
        <v>-2.9016600245410751E-2</v>
      </c>
      <c r="BQ20" s="33">
        <f>IF( OR(ISBLANK(S20:S24),ISBLANK(AQ20:AQ24), ISBLANK(X20:X24),ISBLANK(AV20:AV24)), "·", bdRateExtend( S20:S24,X20:X24, AQ20:AQ24,AV20:AV24))</f>
        <v>-2.6878066918503141E-2</v>
      </c>
      <c r="BR20" s="33">
        <f>IF( OR(ISBLANK(S20:S24),ISBLANK(AQ20:AQ24), ISBLANK(Y20:Y24),ISBLANK(AW20:AW24)), "·", bdRateExtend( S20:S24,Y20:Y24, AQ20:AQ24,AW20:AW24))</f>
        <v>-1.512193868417E-2</v>
      </c>
      <c r="BS20" s="33">
        <f>IF( OR(ISBLANK(S20:S24),ISBLANK(AQ20:AQ24), ISBLANK(Z20:Z24),ISBLANK(AX20:AX24)), "·", bdRateExtend( S20:S24,Z20:Z24, AQ20:AQ24,AX20:AX24))</f>
        <v>4.0803822412457835E-2</v>
      </c>
      <c r="BT20" s="33">
        <f>IF( OR(ISBLANK(S20:S24),ISBLANK(AQ20:AQ24), ISBLANK(AA20:AA24),ISBLANK(AY20:AY24)), "·", bdRateExtend( S20:S24,AA20:AA24, AQ20:AQ24,AY20:AY24))</f>
        <v>2.028802807065655E-2</v>
      </c>
      <c r="BV20" s="4">
        <f t="shared" si="18"/>
        <v>-161345</v>
      </c>
      <c r="BW20" s="4">
        <f t="shared" si="17"/>
        <v>-5042.03125</v>
      </c>
      <c r="BX20" s="4">
        <f t="shared" si="17"/>
        <v>-967.5</v>
      </c>
      <c r="BY20" s="4">
        <f t="shared" si="17"/>
        <v>-54512</v>
      </c>
      <c r="BZ20" s="4">
        <f t="shared" si="17"/>
        <v>-11888</v>
      </c>
      <c r="CA20" s="4">
        <f t="shared" si="17"/>
        <v>-24904</v>
      </c>
      <c r="CB20" s="4">
        <f t="shared" si="17"/>
        <v>-17720</v>
      </c>
      <c r="CC20" s="4">
        <f t="shared" si="17"/>
        <v>-9.1687500000006139E-3</v>
      </c>
      <c r="CD20" s="4">
        <f t="shared" si="17"/>
        <v>2.0828124999994202E-2</v>
      </c>
      <c r="CE20" s="4">
        <f t="shared" si="17"/>
        <v>-1.4359375000001506E-2</v>
      </c>
      <c r="CF20" s="4">
        <f t="shared" si="17"/>
        <v>3.3965625000000443E-2</v>
      </c>
      <c r="CG20" s="4">
        <f t="shared" si="17"/>
        <v>-6.8981250000000216E-2</v>
      </c>
    </row>
    <row r="21" spans="1:85" outlineLevel="1" x14ac:dyDescent="0.3">
      <c r="A21" s="15"/>
      <c r="B21" s="15" t="s">
        <v>284</v>
      </c>
      <c r="C21" s="16" t="s">
        <v>272</v>
      </c>
      <c r="D21" s="15">
        <v>32209643</v>
      </c>
      <c r="E21" s="16">
        <v>10</v>
      </c>
      <c r="F21" s="16">
        <v>32</v>
      </c>
      <c r="G21" s="16">
        <v>50</v>
      </c>
      <c r="I21" s="17">
        <f t="shared" si="0"/>
        <v>2.9397250000000001</v>
      </c>
      <c r="J21" s="18">
        <f t="shared" si="1"/>
        <v>5.8411824061508535E-2</v>
      </c>
      <c r="K21" s="18">
        <f t="shared" si="2"/>
        <v>3.7785951244476694E-2</v>
      </c>
      <c r="L21" s="18">
        <f t="shared" si="3"/>
        <v>2.4161459970233137E-2</v>
      </c>
      <c r="M21" s="18">
        <f t="shared" si="4"/>
        <v>2.0625872817031845E-2</v>
      </c>
      <c r="N21" s="15">
        <f t="shared" si="5"/>
        <v>1217072</v>
      </c>
      <c r="O21" s="18">
        <f t="shared" si="6"/>
        <v>5.927757892459732E-2</v>
      </c>
      <c r="P21" s="19">
        <v>31739218</v>
      </c>
      <c r="Q21" s="19">
        <v>991850.5625</v>
      </c>
      <c r="R21" s="19">
        <v>34395.375</v>
      </c>
      <c r="S21" s="20">
        <v>1881424</v>
      </c>
      <c r="T21" s="20">
        <v>778232</v>
      </c>
      <c r="U21" s="20">
        <v>438840</v>
      </c>
      <c r="V21" s="20">
        <v>664352</v>
      </c>
      <c r="W21" s="21">
        <v>68.843262499999994</v>
      </c>
      <c r="X21" s="21">
        <v>70.960668749999996</v>
      </c>
      <c r="Y21" s="21">
        <v>31.6187875</v>
      </c>
      <c r="Z21" s="21">
        <v>40.671828124999998</v>
      </c>
      <c r="AA21" s="21">
        <v>39.368087500000001</v>
      </c>
      <c r="AB21" s="22">
        <v>6329.19</v>
      </c>
      <c r="AC21" s="22">
        <v>9071.43</v>
      </c>
      <c r="AD21" s="22">
        <v>20.021000000000001</v>
      </c>
      <c r="AE21" s="22">
        <v>52.37</v>
      </c>
      <c r="AG21" s="17">
        <f t="shared" si="7"/>
        <v>2.8500624999999999</v>
      </c>
      <c r="AH21" s="18">
        <f t="shared" si="8"/>
        <v>5.6630245793162004E-2</v>
      </c>
      <c r="AI21" s="18">
        <f t="shared" si="9"/>
        <v>3.652098845057053E-2</v>
      </c>
      <c r="AJ21" s="18">
        <f t="shared" si="10"/>
        <v>2.3669681778217783E-2</v>
      </c>
      <c r="AK21" s="18">
        <f t="shared" si="11"/>
        <v>2.0109257342591471E-2</v>
      </c>
      <c r="AL21" s="15">
        <f t="shared" si="12"/>
        <v>1176328</v>
      </c>
      <c r="AM21" s="18">
        <f t="shared" si="13"/>
        <v>5.7546481330677669E-2</v>
      </c>
      <c r="AN21" s="19">
        <v>31696812</v>
      </c>
      <c r="AO21" s="19">
        <v>990525.375</v>
      </c>
      <c r="AP21" s="19">
        <v>33162.625</v>
      </c>
      <c r="AQ21" s="20">
        <v>1824040</v>
      </c>
      <c r="AR21" s="20">
        <v>762392</v>
      </c>
      <c r="AS21" s="20">
        <v>413936</v>
      </c>
      <c r="AT21" s="20">
        <v>647712</v>
      </c>
      <c r="AU21" s="21">
        <v>68.860878124999999</v>
      </c>
      <c r="AV21" s="21">
        <v>70.982453125000006</v>
      </c>
      <c r="AW21" s="21">
        <v>31.613462500000001</v>
      </c>
      <c r="AX21" s="21">
        <v>40.539050000000003</v>
      </c>
      <c r="AY21" s="21">
        <v>39.307671874999997</v>
      </c>
      <c r="AZ21" s="22">
        <v>5836.91</v>
      </c>
      <c r="BA21" s="22">
        <v>8039.96</v>
      </c>
      <c r="BB21" s="22">
        <v>14.506</v>
      </c>
      <c r="BC21" s="22">
        <v>40.484999999999999</v>
      </c>
      <c r="BE21" s="23">
        <f t="shared" si="14"/>
        <v>0.96652293372947518</v>
      </c>
      <c r="BF21" s="24">
        <f t="shared" si="15"/>
        <v>-1.1981471681144426E-3</v>
      </c>
      <c r="BG21" s="24">
        <f t="shared" si="16"/>
        <v>-1.9862155255344627E-3</v>
      </c>
      <c r="BH21" s="24"/>
      <c r="BJ21" s="23"/>
      <c r="BK21" s="23"/>
      <c r="BL21" s="23"/>
      <c r="BM21" s="23"/>
      <c r="BN21" s="23"/>
      <c r="BP21" s="23"/>
      <c r="BQ21" s="23"/>
      <c r="BR21" s="23"/>
      <c r="BS21" s="23"/>
      <c r="BT21" s="23"/>
      <c r="BV21" s="4">
        <f t="shared" si="18"/>
        <v>-42406</v>
      </c>
      <c r="BW21" s="4">
        <f t="shared" si="18"/>
        <v>-1325.1875</v>
      </c>
      <c r="BX21" s="4">
        <f t="shared" si="18"/>
        <v>-1232.75</v>
      </c>
      <c r="BY21" s="4">
        <f t="shared" si="18"/>
        <v>-57384</v>
      </c>
      <c r="BZ21" s="4">
        <f t="shared" si="18"/>
        <v>-15840</v>
      </c>
      <c r="CA21" s="4">
        <f t="shared" si="18"/>
        <v>-24904</v>
      </c>
      <c r="CB21" s="4">
        <f t="shared" si="18"/>
        <v>-16640</v>
      </c>
      <c r="CC21" s="4">
        <f t="shared" si="18"/>
        <v>1.7615625000004798E-2</v>
      </c>
      <c r="CD21" s="4">
        <f t="shared" si="18"/>
        <v>2.1784375000009959E-2</v>
      </c>
      <c r="CE21" s="4">
        <f t="shared" si="18"/>
        <v>-5.324999999999136E-3</v>
      </c>
      <c r="CF21" s="4">
        <f t="shared" si="18"/>
        <v>-0.13277812499999442</v>
      </c>
      <c r="CG21" s="4">
        <f t="shared" si="18"/>
        <v>-6.0415625000004525E-2</v>
      </c>
    </row>
    <row r="22" spans="1:85" outlineLevel="1" x14ac:dyDescent="0.3">
      <c r="A22" s="25"/>
      <c r="B22" s="25" t="s">
        <v>284</v>
      </c>
      <c r="C22" s="26" t="s">
        <v>273</v>
      </c>
      <c r="D22" s="25">
        <v>32209643</v>
      </c>
      <c r="E22" s="26">
        <v>10</v>
      </c>
      <c r="F22" s="26">
        <v>32</v>
      </c>
      <c r="G22" s="26">
        <v>50</v>
      </c>
      <c r="I22" s="27">
        <f t="shared" si="0"/>
        <v>4.8433000000000002</v>
      </c>
      <c r="J22" s="28">
        <f t="shared" si="1"/>
        <v>9.6235527975271254E-2</v>
      </c>
      <c r="K22" s="28">
        <f t="shared" si="2"/>
        <v>4.4454264829945495E-2</v>
      </c>
      <c r="L22" s="28">
        <f t="shared" si="3"/>
        <v>3.0829773555701937E-2</v>
      </c>
      <c r="M22" s="28">
        <f t="shared" si="4"/>
        <v>5.1781263145325766E-2</v>
      </c>
      <c r="N22" s="25">
        <f t="shared" si="5"/>
        <v>1431856</v>
      </c>
      <c r="O22" s="28">
        <f t="shared" si="6"/>
        <v>9.4466100524439184E-2</v>
      </c>
      <c r="P22" s="29">
        <v>32812956</v>
      </c>
      <c r="Q22" s="29">
        <v>1025404.875</v>
      </c>
      <c r="R22" s="29">
        <v>36082.25</v>
      </c>
      <c r="S22" s="30">
        <v>3099712</v>
      </c>
      <c r="T22" s="30">
        <v>993016</v>
      </c>
      <c r="U22" s="30">
        <v>438840</v>
      </c>
      <c r="V22" s="30">
        <v>1667856</v>
      </c>
      <c r="W22" s="31">
        <v>70.058575000000005</v>
      </c>
      <c r="X22" s="31">
        <v>72.525543749999997</v>
      </c>
      <c r="Y22" s="31">
        <v>33.612896874999997</v>
      </c>
      <c r="Z22" s="31">
        <v>41.780990625000001</v>
      </c>
      <c r="AA22" s="31">
        <v>40.640653125</v>
      </c>
      <c r="AB22" s="32">
        <v>6399.29</v>
      </c>
      <c r="AC22" s="32">
        <v>9192.4699999999993</v>
      </c>
      <c r="AD22" s="32">
        <v>19.257999999999999</v>
      </c>
      <c r="AE22" s="32">
        <v>57.83</v>
      </c>
      <c r="AG22" s="27">
        <f t="shared" si="7"/>
        <v>4.7441000000000004</v>
      </c>
      <c r="AH22" s="28">
        <f t="shared" si="8"/>
        <v>9.4264441242021837E-2</v>
      </c>
      <c r="AI22" s="28">
        <f t="shared" si="9"/>
        <v>4.335471833698995E-2</v>
      </c>
      <c r="AJ22" s="28">
        <f t="shared" si="10"/>
        <v>3.0503411664637201E-2</v>
      </c>
      <c r="AK22" s="28">
        <f t="shared" si="11"/>
        <v>5.0909722905031887E-2</v>
      </c>
      <c r="AL22" s="25">
        <f t="shared" si="12"/>
        <v>1396440</v>
      </c>
      <c r="AM22" s="28">
        <f t="shared" si="13"/>
        <v>9.312185435976103E-2</v>
      </c>
      <c r="AN22" s="29">
        <v>32604849</v>
      </c>
      <c r="AO22" s="29">
        <v>1018901.53125</v>
      </c>
      <c r="AP22" s="29">
        <v>34636.46875</v>
      </c>
      <c r="AQ22" s="30">
        <v>3036224</v>
      </c>
      <c r="AR22" s="30">
        <v>982504</v>
      </c>
      <c r="AS22" s="30">
        <v>413936</v>
      </c>
      <c r="AT22" s="30">
        <v>1639784</v>
      </c>
      <c r="AU22" s="31">
        <v>70.077665624999995</v>
      </c>
      <c r="AV22" s="31">
        <v>72.535868750000006</v>
      </c>
      <c r="AW22" s="31">
        <v>33.592878124999999</v>
      </c>
      <c r="AX22" s="31">
        <v>41.654503124999998</v>
      </c>
      <c r="AY22" s="31">
        <v>40.562565624999998</v>
      </c>
      <c r="AZ22" s="32">
        <v>5143.62</v>
      </c>
      <c r="BA22" s="32">
        <v>8470.98</v>
      </c>
      <c r="BB22" s="32">
        <v>15.398</v>
      </c>
      <c r="BC22" s="32">
        <v>44.088000000000001</v>
      </c>
      <c r="BE22" s="33">
        <f t="shared" si="14"/>
        <v>0.97526566917343638</v>
      </c>
      <c r="BF22" s="34">
        <f t="shared" si="15"/>
        <v>-1.1943643516756641E-3</v>
      </c>
      <c r="BG22" s="34">
        <f t="shared" si="16"/>
        <v>-2.005406891754935E-3</v>
      </c>
      <c r="BH22" s="34"/>
      <c r="BJ22" s="33"/>
      <c r="BK22" s="33"/>
      <c r="BL22" s="33"/>
      <c r="BM22" s="33"/>
      <c r="BN22" s="33"/>
      <c r="BP22" s="33"/>
      <c r="BQ22" s="33"/>
      <c r="BR22" s="33"/>
      <c r="BS22" s="33"/>
      <c r="BT22" s="33"/>
      <c r="BV22" s="4">
        <f t="shared" si="18"/>
        <v>-208107</v>
      </c>
      <c r="BW22" s="4">
        <f t="shared" si="18"/>
        <v>-6503.34375</v>
      </c>
      <c r="BX22" s="4">
        <f t="shared" si="18"/>
        <v>-1445.78125</v>
      </c>
      <c r="BY22" s="4">
        <f t="shared" si="18"/>
        <v>-63488</v>
      </c>
      <c r="BZ22" s="4">
        <f t="shared" si="18"/>
        <v>-10512</v>
      </c>
      <c r="CA22" s="4">
        <f t="shared" si="18"/>
        <v>-24904</v>
      </c>
      <c r="CB22" s="4">
        <f t="shared" si="18"/>
        <v>-28072</v>
      </c>
      <c r="CC22" s="4">
        <f t="shared" si="18"/>
        <v>1.9090624999989814E-2</v>
      </c>
      <c r="CD22" s="4">
        <f t="shared" si="18"/>
        <v>1.0325000000008799E-2</v>
      </c>
      <c r="CE22" s="4">
        <f t="shared" si="18"/>
        <v>-2.001874999999842E-2</v>
      </c>
      <c r="CF22" s="4">
        <f t="shared" si="18"/>
        <v>-0.12648750000000319</v>
      </c>
      <c r="CG22" s="4">
        <f t="shared" si="18"/>
        <v>-7.8087500000002308E-2</v>
      </c>
    </row>
    <row r="23" spans="1:85" outlineLevel="1" x14ac:dyDescent="0.3">
      <c r="A23" s="15"/>
      <c r="B23" s="15" t="s">
        <v>284</v>
      </c>
      <c r="C23" s="16" t="s">
        <v>274</v>
      </c>
      <c r="D23" s="15">
        <v>32209643</v>
      </c>
      <c r="E23" s="16">
        <v>10</v>
      </c>
      <c r="F23" s="16">
        <v>32</v>
      </c>
      <c r="G23" s="16">
        <v>50</v>
      </c>
      <c r="I23" s="17">
        <f t="shared" si="0"/>
        <v>9.1693625000000001</v>
      </c>
      <c r="J23" s="18">
        <f t="shared" si="1"/>
        <v>0.18219363685589438</v>
      </c>
      <c r="K23" s="18">
        <f t="shared" si="2"/>
        <v>6.4461192568945891E-2</v>
      </c>
      <c r="L23" s="18">
        <f t="shared" si="3"/>
        <v>5.0836701294702337E-2</v>
      </c>
      <c r="M23" s="18">
        <f t="shared" si="4"/>
        <v>0.11773244428694847</v>
      </c>
      <c r="N23" s="15">
        <f t="shared" si="5"/>
        <v>2076272</v>
      </c>
      <c r="O23" s="18">
        <f t="shared" si="6"/>
        <v>0.17785296052209873</v>
      </c>
      <c r="P23" s="19">
        <v>32995751</v>
      </c>
      <c r="Q23" s="19">
        <v>1031117.21875</v>
      </c>
      <c r="R23" s="19">
        <v>38352.3125</v>
      </c>
      <c r="S23" s="20">
        <v>5868392</v>
      </c>
      <c r="T23" s="20">
        <v>1637432</v>
      </c>
      <c r="U23" s="20">
        <v>438840</v>
      </c>
      <c r="V23" s="20">
        <v>3792120</v>
      </c>
      <c r="W23" s="21">
        <v>70.993384375000005</v>
      </c>
      <c r="X23" s="21">
        <v>73.756874999999994</v>
      </c>
      <c r="Y23" s="21">
        <v>35.473031249999998</v>
      </c>
      <c r="Z23" s="21">
        <v>42.814412500000003</v>
      </c>
      <c r="AA23" s="21">
        <v>41.614224999999998</v>
      </c>
      <c r="AB23" s="22">
        <v>6842.56</v>
      </c>
      <c r="AC23" s="22">
        <v>10174.6</v>
      </c>
      <c r="AD23" s="22">
        <v>21.603000000000002</v>
      </c>
      <c r="AE23" s="22">
        <v>60.051000000000002</v>
      </c>
      <c r="AG23" s="17">
        <f t="shared" si="7"/>
        <v>9.0589124999999999</v>
      </c>
      <c r="AH23" s="18">
        <f t="shared" si="8"/>
        <v>0.17999901458081979</v>
      </c>
      <c r="AI23" s="18">
        <f t="shared" si="9"/>
        <v>6.4348182933912063E-2</v>
      </c>
      <c r="AJ23" s="18">
        <f t="shared" si="10"/>
        <v>5.1496876261559313E-2</v>
      </c>
      <c r="AK23" s="18">
        <f t="shared" si="11"/>
        <v>0.11565083164690773</v>
      </c>
      <c r="AL23" s="15">
        <f t="shared" si="12"/>
        <v>2072632</v>
      </c>
      <c r="AM23" s="18">
        <f t="shared" si="13"/>
        <v>0.17668753746192553</v>
      </c>
      <c r="AN23" s="19">
        <v>32813316</v>
      </c>
      <c r="AO23" s="19">
        <v>1025416.125</v>
      </c>
      <c r="AP23" s="19">
        <v>36587.4375</v>
      </c>
      <c r="AQ23" s="20">
        <v>5797704</v>
      </c>
      <c r="AR23" s="20">
        <v>1658696</v>
      </c>
      <c r="AS23" s="20">
        <v>413936</v>
      </c>
      <c r="AT23" s="20">
        <v>3725072</v>
      </c>
      <c r="AU23" s="21">
        <v>71.028415624999994</v>
      </c>
      <c r="AV23" s="21">
        <v>73.777868749999996</v>
      </c>
      <c r="AW23" s="21">
        <v>35.446831250000002</v>
      </c>
      <c r="AX23" s="21">
        <v>42.698043749999997</v>
      </c>
      <c r="AY23" s="21">
        <v>41.524190625000003</v>
      </c>
      <c r="AZ23" s="22">
        <v>4462.1499999999996</v>
      </c>
      <c r="BA23" s="22">
        <v>9079.6200000000008</v>
      </c>
      <c r="BB23" s="22">
        <v>16.945</v>
      </c>
      <c r="BC23" s="22">
        <v>45.884</v>
      </c>
      <c r="BE23" s="23">
        <f t="shared" si="14"/>
        <v>0.99824685782980271</v>
      </c>
      <c r="BF23" s="24">
        <f t="shared" si="15"/>
        <v>-1.5143348064053097E-3</v>
      </c>
      <c r="BG23" s="24">
        <f t="shared" si="16"/>
        <v>3.6859134089828882E-3</v>
      </c>
      <c r="BH23" s="24"/>
      <c r="BJ23" s="23"/>
      <c r="BK23" s="23"/>
      <c r="BL23" s="23"/>
      <c r="BM23" s="23"/>
      <c r="BN23" s="23"/>
      <c r="BP23" s="23"/>
      <c r="BQ23" s="23"/>
      <c r="BR23" s="23"/>
      <c r="BS23" s="23"/>
      <c r="BT23" s="23"/>
      <c r="BV23" s="4">
        <f t="shared" si="18"/>
        <v>-182435</v>
      </c>
      <c r="BW23" s="4">
        <f t="shared" si="18"/>
        <v>-5701.09375</v>
      </c>
      <c r="BX23" s="4">
        <f t="shared" si="18"/>
        <v>-1764.875</v>
      </c>
      <c r="BY23" s="4">
        <f t="shared" si="18"/>
        <v>-70688</v>
      </c>
      <c r="BZ23" s="4">
        <f t="shared" si="18"/>
        <v>21264</v>
      </c>
      <c r="CA23" s="4">
        <f t="shared" si="18"/>
        <v>-24904</v>
      </c>
      <c r="CB23" s="4">
        <f t="shared" si="18"/>
        <v>-67048</v>
      </c>
      <c r="CC23" s="4">
        <f t="shared" si="18"/>
        <v>3.5031249999988745E-2</v>
      </c>
      <c r="CD23" s="4">
        <f t="shared" si="18"/>
        <v>2.0993750000002365E-2</v>
      </c>
      <c r="CE23" s="4">
        <f t="shared" si="18"/>
        <v>-2.6199999999995782E-2</v>
      </c>
      <c r="CF23" s="4">
        <f t="shared" si="18"/>
        <v>-0.11636875000000657</v>
      </c>
      <c r="CG23" s="4">
        <f t="shared" si="18"/>
        <v>-9.0034374999994782E-2</v>
      </c>
    </row>
    <row r="24" spans="1:85" ht="15" outlineLevel="1" thickBot="1" x14ac:dyDescent="0.35">
      <c r="A24" s="45"/>
      <c r="B24" s="45" t="s">
        <v>284</v>
      </c>
      <c r="C24" s="46" t="s">
        <v>275</v>
      </c>
      <c r="D24" s="45">
        <v>32209643</v>
      </c>
      <c r="E24" s="46">
        <v>10</v>
      </c>
      <c r="F24" s="46">
        <v>32</v>
      </c>
      <c r="G24" s="46">
        <v>50</v>
      </c>
      <c r="I24" s="47">
        <f t="shared" si="0"/>
        <v>17.926024999999999</v>
      </c>
      <c r="J24" s="48">
        <f t="shared" si="1"/>
        <v>0.35618699654634484</v>
      </c>
      <c r="K24" s="48">
        <f t="shared" si="2"/>
        <v>0.10940524860831273</v>
      </c>
      <c r="L24" s="48">
        <f t="shared" si="3"/>
        <v>8.0087072060997383E-2</v>
      </c>
      <c r="M24" s="48">
        <f t="shared" si="4"/>
        <v>0.24678174793803209</v>
      </c>
      <c r="N24" s="45">
        <f t="shared" si="5"/>
        <v>3523904</v>
      </c>
      <c r="O24" s="48">
        <f t="shared" si="6"/>
        <v>0.36426011244236889</v>
      </c>
      <c r="P24" s="49">
        <v>31495779</v>
      </c>
      <c r="Q24" s="49">
        <v>984243.09375</v>
      </c>
      <c r="R24" s="49">
        <v>18571.59375</v>
      </c>
      <c r="S24" s="50">
        <v>11472656</v>
      </c>
      <c r="T24" s="50">
        <v>2579576</v>
      </c>
      <c r="U24" s="50">
        <v>944328</v>
      </c>
      <c r="V24" s="50">
        <v>7948752</v>
      </c>
      <c r="W24" s="51">
        <v>71.878581249999996</v>
      </c>
      <c r="X24" s="51">
        <v>75.810984375000004</v>
      </c>
      <c r="Y24" s="51">
        <v>36.92309375</v>
      </c>
      <c r="Z24" s="51">
        <v>43.630618749999996</v>
      </c>
      <c r="AA24" s="51">
        <v>42.22200625</v>
      </c>
      <c r="AB24" s="52">
        <v>6929.71</v>
      </c>
      <c r="AC24" s="52">
        <v>11852.3</v>
      </c>
      <c r="AD24" s="52">
        <v>14.882</v>
      </c>
      <c r="AE24" s="52">
        <v>63.372999999999998</v>
      </c>
      <c r="AG24" s="47">
        <f t="shared" si="7"/>
        <v>17.8507</v>
      </c>
      <c r="AH24" s="48">
        <f t="shared" si="8"/>
        <v>0.35469030190741324</v>
      </c>
      <c r="AI24" s="48">
        <f t="shared" si="9"/>
        <v>0.11080656808273225</v>
      </c>
      <c r="AJ24" s="48">
        <f t="shared" si="10"/>
        <v>8.2587192909899687E-2</v>
      </c>
      <c r="AK24" s="48">
        <f t="shared" si="11"/>
        <v>0.24388373382468101</v>
      </c>
      <c r="AL24" s="45">
        <f t="shared" si="12"/>
        <v>3569040</v>
      </c>
      <c r="AM24" s="48">
        <f t="shared" si="13"/>
        <v>0.36529022071629758</v>
      </c>
      <c r="AN24" s="49">
        <v>31274990</v>
      </c>
      <c r="AO24" s="49">
        <v>977343.4375</v>
      </c>
      <c r="AP24" s="49">
        <v>17772.0625</v>
      </c>
      <c r="AQ24" s="50">
        <v>11424448</v>
      </c>
      <c r="AR24" s="50">
        <v>2660104</v>
      </c>
      <c r="AS24" s="50">
        <v>908936</v>
      </c>
      <c r="AT24" s="50">
        <v>7855408</v>
      </c>
      <c r="AU24" s="51">
        <v>71.77360625</v>
      </c>
      <c r="AV24" s="51">
        <v>75.813893750000005</v>
      </c>
      <c r="AW24" s="51">
        <v>36.891021875</v>
      </c>
      <c r="AX24" s="51">
        <v>43.496731250000003</v>
      </c>
      <c r="AY24" s="51">
        <v>42.067771874999998</v>
      </c>
      <c r="AZ24" s="52">
        <v>5590.98</v>
      </c>
      <c r="BA24" s="52">
        <v>9681.6299999999992</v>
      </c>
      <c r="BB24" s="52">
        <v>7.51</v>
      </c>
      <c r="BC24" s="52">
        <v>30.164999999999999</v>
      </c>
      <c r="BE24" s="53">
        <f t="shared" si="14"/>
        <v>1.0128085214580194</v>
      </c>
      <c r="BF24" s="54">
        <f t="shared" si="15"/>
        <v>-6.8485880780527059E-4</v>
      </c>
      <c r="BG24" s="54">
        <f t="shared" si="16"/>
        <v>5.2469417984184474E-3</v>
      </c>
      <c r="BH24" s="54"/>
      <c r="BJ24" s="53"/>
      <c r="BK24" s="53"/>
      <c r="BL24" s="53"/>
      <c r="BM24" s="53"/>
      <c r="BN24" s="53"/>
      <c r="BP24" s="53"/>
      <c r="BQ24" s="53"/>
      <c r="BR24" s="53"/>
      <c r="BS24" s="53"/>
      <c r="BT24" s="53"/>
      <c r="BV24" s="4">
        <f t="shared" si="18"/>
        <v>-220789</v>
      </c>
      <c r="BW24" s="4">
        <f t="shared" si="18"/>
        <v>-6899.65625</v>
      </c>
      <c r="BX24" s="4">
        <f t="shared" si="18"/>
        <v>-799.53125</v>
      </c>
      <c r="BY24" s="4">
        <f t="shared" si="18"/>
        <v>-48208</v>
      </c>
      <c r="BZ24" s="4">
        <f t="shared" si="18"/>
        <v>80528</v>
      </c>
      <c r="CA24" s="4">
        <f t="shared" si="18"/>
        <v>-35392</v>
      </c>
      <c r="CB24" s="4">
        <f t="shared" si="18"/>
        <v>-93344</v>
      </c>
      <c r="CC24" s="4">
        <f t="shared" si="18"/>
        <v>-0.10497499999999604</v>
      </c>
      <c r="CD24" s="4">
        <f t="shared" si="18"/>
        <v>2.9093750000015461E-3</v>
      </c>
      <c r="CE24" s="4">
        <f t="shared" si="18"/>
        <v>-3.207187499999975E-2</v>
      </c>
      <c r="CF24" s="4">
        <f t="shared" si="18"/>
        <v>-0.13388749999999305</v>
      </c>
      <c r="CG24" s="4">
        <f t="shared" si="18"/>
        <v>-0.15423437500000148</v>
      </c>
    </row>
    <row r="25" spans="1:85" x14ac:dyDescent="0.3">
      <c r="A25" s="15" t="s">
        <v>288</v>
      </c>
      <c r="B25" s="15" t="s">
        <v>287</v>
      </c>
      <c r="C25" s="16" t="s">
        <v>271</v>
      </c>
      <c r="D25" s="15">
        <v>25312408</v>
      </c>
      <c r="E25" s="16">
        <v>10</v>
      </c>
      <c r="F25" s="16">
        <v>32</v>
      </c>
      <c r="G25" s="16">
        <v>30</v>
      </c>
      <c r="I25" s="17">
        <f t="shared" si="0"/>
        <v>2.2916175000000001</v>
      </c>
      <c r="J25" s="18">
        <f t="shared" si="1"/>
        <v>9.6568923825816971E-2</v>
      </c>
      <c r="K25" s="18">
        <f t="shared" si="2"/>
        <v>6.2407021884286949E-2</v>
      </c>
      <c r="L25" s="18">
        <f t="shared" si="3"/>
        <v>3.639890760294319E-2</v>
      </c>
      <c r="M25" s="18">
        <f t="shared" si="4"/>
        <v>3.4161901941530022E-2</v>
      </c>
      <c r="N25" s="15">
        <f t="shared" si="5"/>
        <v>1579672</v>
      </c>
      <c r="O25" s="18">
        <f t="shared" si="6"/>
        <v>0.1045664243658533</v>
      </c>
      <c r="P25" s="19">
        <v>23376452</v>
      </c>
      <c r="Q25" s="19">
        <v>730514.125</v>
      </c>
      <c r="R25" s="19">
        <v>18693.78125</v>
      </c>
      <c r="S25" s="20">
        <v>2444392</v>
      </c>
      <c r="T25" s="20">
        <v>921344</v>
      </c>
      <c r="U25" s="20">
        <v>658328</v>
      </c>
      <c r="V25" s="20">
        <v>864720</v>
      </c>
      <c r="W25" s="21">
        <v>66.268634375000005</v>
      </c>
      <c r="X25" s="21">
        <v>68.038221875000005</v>
      </c>
      <c r="Y25" s="21">
        <v>25.999771875</v>
      </c>
      <c r="Z25" s="21">
        <v>32.528078125</v>
      </c>
      <c r="AA25" s="21">
        <v>31.737821875000002</v>
      </c>
      <c r="AB25" s="22">
        <v>5106.2</v>
      </c>
      <c r="AC25" s="22">
        <v>12170.4</v>
      </c>
      <c r="AD25" s="22">
        <v>15.013999999999999</v>
      </c>
      <c r="AE25" s="22">
        <v>61.265999999999998</v>
      </c>
      <c r="AG25" s="17">
        <f t="shared" si="7"/>
        <v>2.0735399999999999</v>
      </c>
      <c r="AH25" s="18">
        <f t="shared" si="8"/>
        <v>8.7379122523625563E-2</v>
      </c>
      <c r="AI25" s="18">
        <f t="shared" si="9"/>
        <v>5.6512363422713478E-2</v>
      </c>
      <c r="AJ25" s="18">
        <f t="shared" si="10"/>
        <v>3.4663158084367159E-2</v>
      </c>
      <c r="AK25" s="18">
        <f t="shared" si="11"/>
        <v>3.0866759100912092E-2</v>
      </c>
      <c r="AL25" s="15">
        <f t="shared" si="12"/>
        <v>1430464</v>
      </c>
      <c r="AM25" s="18">
        <f t="shared" si="13"/>
        <v>9.4424589697054639E-2</v>
      </c>
      <c r="AN25" s="19">
        <v>23423729</v>
      </c>
      <c r="AO25" s="19">
        <v>731991.53125</v>
      </c>
      <c r="AP25" s="19">
        <v>14345.71875</v>
      </c>
      <c r="AQ25" s="20">
        <v>2211776</v>
      </c>
      <c r="AR25" s="20">
        <v>877408</v>
      </c>
      <c r="AS25" s="20">
        <v>553056</v>
      </c>
      <c r="AT25" s="20">
        <v>781312</v>
      </c>
      <c r="AU25" s="21">
        <v>66.249403125000001</v>
      </c>
      <c r="AV25" s="21">
        <v>67.991318750000005</v>
      </c>
      <c r="AW25" s="21">
        <v>25.936146874999999</v>
      </c>
      <c r="AX25" s="21">
        <v>32.464821874999998</v>
      </c>
      <c r="AY25" s="21">
        <v>31.667178125</v>
      </c>
      <c r="AZ25" s="22">
        <v>1522.57</v>
      </c>
      <c r="BA25" s="22">
        <v>7658.62</v>
      </c>
      <c r="BB25" s="22">
        <v>13.882</v>
      </c>
      <c r="BC25" s="22">
        <v>43.747</v>
      </c>
      <c r="BE25" s="23">
        <f t="shared" si="14"/>
        <v>0.90554494857160217</v>
      </c>
      <c r="BF25" s="24">
        <f t="shared" si="15"/>
        <v>-5.9916938743050999E-3</v>
      </c>
      <c r="BG25" s="24">
        <f t="shared" si="16"/>
        <v>5.0571847512803636E-4</v>
      </c>
      <c r="BH25" s="24">
        <f t="array" ref="BH25">AVERAGE(AL25:AL29/AQ25:AQ29) - AVERAGE(N25:N29/S25:S29)</f>
        <v>5.4919079721651998E-3</v>
      </c>
      <c r="BJ25" s="23">
        <f>IF( OR(ISBLANK(N25:N29),ISBLANK(AL25:AL29), ISBLANK(W25:W29),ISBLANK(AU25:AU29)), "·", bdRateExtend( N25:N29,W25:W29, AL25:AL29,AU25:AU29))</f>
        <v>-2.7546590046095054E-2</v>
      </c>
      <c r="BK25" s="23">
        <f>IF( OR(ISBLANK(N25:N29),ISBLANK(AL25:AL29), ISBLANK(X25:X29),ISBLANK(AV25:AV29)), "·", bdRateExtend( N25:N29,X25:X29, AL25:AL29,AV25:AV29))</f>
        <v>-2.6662764888080615E-2</v>
      </c>
      <c r="BL25" s="23">
        <f>IF( OR(ISBLANK(V25:V29),ISBLANK(AT25:AT29), ISBLANK(Y25:Y29),ISBLANK(AW25:AW29)), "·", bdRateExtend( V25:V29,Y25:Y29, AT25:AT29,AW25:AW29))</f>
        <v>-1.4752299925687606E-2</v>
      </c>
      <c r="BM25" s="23">
        <f>IF( OR(ISBLANK(V25:V29),ISBLANK(AT25:AT29), ISBLANK(Z25:Z29),ISBLANK(AX25:AX29)), "·", bdRateExtend( V25:V29,Z25:Z29, AT25:AT29,AX25:AX29))</f>
        <v>1.0136509138181538E-2</v>
      </c>
      <c r="BN25" s="23">
        <f>IF( OR(ISBLANK(V25:V29),ISBLANK(AT25:AT29), ISBLANK(AA25:AA29),ISBLANK(AY25:AY29)), "·", bdRateExtend( V25:V29,AA25:AA29, AT25:AT29,AY25:AY29))</f>
        <v>2.1517825902350518E-2</v>
      </c>
      <c r="BP25" s="23">
        <f>IF( OR(ISBLANK(S25:S29),ISBLANK(AQ25:AQ29), ISBLANK(W25:W29),ISBLANK(AU25:AU29)), "·", bdRateExtend( S25:S29,W25:W29, AQ25:AQ29,AU25:AU29))</f>
        <v>-2.6173161035121351E-2</v>
      </c>
      <c r="BQ25" s="23">
        <f>IF( OR(ISBLANK(S25:S29),ISBLANK(AQ25:AQ29), ISBLANK(X25:X29),ISBLANK(AV25:AV29)), "·", bdRateExtend( S25:S29,X25:X29, AQ25:AQ29,AV25:AV29))</f>
        <v>-3.4061483395320225E-2</v>
      </c>
      <c r="BR25" s="23">
        <f>IF( OR(ISBLANK(S25:S29),ISBLANK(AQ25:AQ29), ISBLANK(Y25:Y29),ISBLANK(AW25:AW29)), "·", bdRateExtend( S25:S29,Y25:Y29, AQ25:AQ29,AW25:AW29))</f>
        <v>-1.6076271677097353E-2</v>
      </c>
      <c r="BS25" s="23">
        <f>IF( OR(ISBLANK(S25:S29),ISBLANK(AQ25:AQ29), ISBLANK(Z25:Z29),ISBLANK(AX25:AX29)), "·", bdRateExtend( S25:S29,Z25:Z29, AQ25:AQ29,AX25:AX29))</f>
        <v>4.2842163026282076E-3</v>
      </c>
      <c r="BT25" s="23">
        <f>IF( OR(ISBLANK(S25:S29),ISBLANK(AQ25:AQ29), ISBLANK(AA25:AA29),ISBLANK(AY25:AY29)), "·", bdRateExtend( S25:S29,AA25:AA29, AQ25:AQ29,AY25:AY29))</f>
        <v>1.3277001085313378E-2</v>
      </c>
      <c r="BV25" s="4">
        <f t="shared" si="18"/>
        <v>47277</v>
      </c>
      <c r="BW25" s="4">
        <f t="shared" si="18"/>
        <v>1477.40625</v>
      </c>
      <c r="BX25" s="4">
        <f t="shared" si="18"/>
        <v>-4348.0625</v>
      </c>
      <c r="BY25" s="4">
        <f t="shared" si="18"/>
        <v>-232616</v>
      </c>
      <c r="BZ25" s="4">
        <f t="shared" si="18"/>
        <v>-43936</v>
      </c>
      <c r="CA25" s="4">
        <f t="shared" si="18"/>
        <v>-105272</v>
      </c>
      <c r="CB25" s="4">
        <f t="shared" si="18"/>
        <v>-83408</v>
      </c>
      <c r="CC25" s="4">
        <f t="shared" si="18"/>
        <v>-1.9231250000004252E-2</v>
      </c>
      <c r="CD25" s="4">
        <f t="shared" si="18"/>
        <v>-4.6903125000000045E-2</v>
      </c>
      <c r="CE25" s="4">
        <f t="shared" si="18"/>
        <v>-6.3625000000001819E-2</v>
      </c>
      <c r="CF25" s="4">
        <f t="shared" si="18"/>
        <v>-6.3256250000002012E-2</v>
      </c>
      <c r="CG25" s="4">
        <f t="shared" si="18"/>
        <v>-7.0643750000002115E-2</v>
      </c>
    </row>
    <row r="26" spans="1:85" outlineLevel="1" x14ac:dyDescent="0.3">
      <c r="A26" s="25"/>
      <c r="B26" s="25" t="s">
        <v>287</v>
      </c>
      <c r="C26" s="26" t="s">
        <v>272</v>
      </c>
      <c r="D26" s="25">
        <v>25312408</v>
      </c>
      <c r="E26" s="26">
        <v>10</v>
      </c>
      <c r="F26" s="26">
        <v>32</v>
      </c>
      <c r="G26" s="26">
        <v>30</v>
      </c>
      <c r="I26" s="27">
        <f t="shared" si="0"/>
        <v>3.4904175</v>
      </c>
      <c r="J26" s="28">
        <f t="shared" si="1"/>
        <v>0.14708644076849584</v>
      </c>
      <c r="K26" s="28">
        <f t="shared" si="2"/>
        <v>7.6138469323029243E-2</v>
      </c>
      <c r="L26" s="28">
        <f t="shared" si="3"/>
        <v>5.0130355041685483E-2</v>
      </c>
      <c r="M26" s="28">
        <f t="shared" si="4"/>
        <v>7.0947971445466593E-2</v>
      </c>
      <c r="N26" s="25">
        <f t="shared" si="5"/>
        <v>1927248</v>
      </c>
      <c r="O26" s="28">
        <f t="shared" si="6"/>
        <v>0.14883143653913319</v>
      </c>
      <c r="P26" s="29">
        <v>25015629</v>
      </c>
      <c r="Q26" s="29">
        <v>781738.40625</v>
      </c>
      <c r="R26" s="29">
        <v>23227.84375</v>
      </c>
      <c r="S26" s="30">
        <v>3723112</v>
      </c>
      <c r="T26" s="30">
        <v>1268920</v>
      </c>
      <c r="U26" s="30">
        <v>658328</v>
      </c>
      <c r="V26" s="30">
        <v>1795864</v>
      </c>
      <c r="W26" s="31">
        <v>68.059184375000001</v>
      </c>
      <c r="X26" s="31">
        <v>70.053543750000003</v>
      </c>
      <c r="Y26" s="31">
        <v>28.064503125000002</v>
      </c>
      <c r="Z26" s="31">
        <v>33.778518750000003</v>
      </c>
      <c r="AA26" s="31">
        <v>33.163134374999998</v>
      </c>
      <c r="AB26" s="32">
        <v>5246.58</v>
      </c>
      <c r="AC26" s="32">
        <v>12077.9</v>
      </c>
      <c r="AD26" s="32">
        <v>19.84</v>
      </c>
      <c r="AE26" s="32">
        <v>64.867000000000004</v>
      </c>
      <c r="AG26" s="27">
        <f t="shared" si="7"/>
        <v>3.2316224999999998</v>
      </c>
      <c r="AH26" s="28">
        <f t="shared" si="8"/>
        <v>0.13618080113120806</v>
      </c>
      <c r="AI26" s="28">
        <f t="shared" si="9"/>
        <v>7.1090826285669859E-2</v>
      </c>
      <c r="AJ26" s="28">
        <f t="shared" si="10"/>
        <v>4.9241620947323539E-2</v>
      </c>
      <c r="AK26" s="28">
        <f t="shared" si="11"/>
        <v>6.5089974845538204E-2</v>
      </c>
      <c r="AL26" s="25">
        <f t="shared" si="12"/>
        <v>1799480</v>
      </c>
      <c r="AM26" s="28">
        <f t="shared" si="13"/>
        <v>0.13988383891589481</v>
      </c>
      <c r="AN26" s="29">
        <v>24642332</v>
      </c>
      <c r="AO26" s="29">
        <v>770072.875</v>
      </c>
      <c r="AP26" s="29">
        <v>17551.15625</v>
      </c>
      <c r="AQ26" s="30">
        <v>3447064</v>
      </c>
      <c r="AR26" s="30">
        <v>1246424</v>
      </c>
      <c r="AS26" s="30">
        <v>553056</v>
      </c>
      <c r="AT26" s="30">
        <v>1647584</v>
      </c>
      <c r="AU26" s="31">
        <v>68.004034375000003</v>
      </c>
      <c r="AV26" s="31">
        <v>70.002456249999994</v>
      </c>
      <c r="AW26" s="31">
        <v>27.948218749999999</v>
      </c>
      <c r="AX26" s="31">
        <v>33.668771874999997</v>
      </c>
      <c r="AY26" s="31">
        <v>33.053865625</v>
      </c>
      <c r="AZ26" s="32">
        <v>1515.22</v>
      </c>
      <c r="BA26" s="32">
        <v>8322.8700000000008</v>
      </c>
      <c r="BB26" s="32">
        <v>13.835000000000001</v>
      </c>
      <c r="BC26" s="32">
        <v>47.999000000000002</v>
      </c>
      <c r="BE26" s="33">
        <f t="shared" si="14"/>
        <v>0.93370443243422752</v>
      </c>
      <c r="BF26" s="34">
        <f t="shared" si="15"/>
        <v>-6.9215122225962898E-3</v>
      </c>
      <c r="BG26" s="34">
        <f t="shared" si="16"/>
        <v>4.3882839408952989E-3</v>
      </c>
      <c r="BH26" s="34"/>
      <c r="BJ26" s="33"/>
      <c r="BK26" s="33"/>
      <c r="BL26" s="33"/>
      <c r="BM26" s="33"/>
      <c r="BN26" s="33"/>
      <c r="BP26" s="33"/>
      <c r="BQ26" s="33"/>
      <c r="BR26" s="33"/>
      <c r="BS26" s="33"/>
      <c r="BT26" s="33"/>
      <c r="BV26" s="4">
        <f t="shared" si="18"/>
        <v>-373297</v>
      </c>
      <c r="BW26" s="4">
        <f t="shared" si="18"/>
        <v>-11665.53125</v>
      </c>
      <c r="BX26" s="4">
        <f t="shared" si="18"/>
        <v>-5676.6875</v>
      </c>
      <c r="BY26" s="4">
        <f t="shared" si="18"/>
        <v>-276048</v>
      </c>
      <c r="BZ26" s="4">
        <f t="shared" si="18"/>
        <v>-22496</v>
      </c>
      <c r="CA26" s="4">
        <f t="shared" si="18"/>
        <v>-105272</v>
      </c>
      <c r="CB26" s="4">
        <f t="shared" si="18"/>
        <v>-148280</v>
      </c>
      <c r="CC26" s="4">
        <f t="shared" si="18"/>
        <v>-5.514999999999759E-2</v>
      </c>
      <c r="CD26" s="4">
        <f t="shared" si="18"/>
        <v>-5.108750000000839E-2</v>
      </c>
      <c r="CE26" s="4">
        <f t="shared" si="18"/>
        <v>-0.11628437500000288</v>
      </c>
      <c r="CF26" s="4">
        <f t="shared" si="18"/>
        <v>-0.10974687500000613</v>
      </c>
      <c r="CG26" s="4">
        <f t="shared" si="18"/>
        <v>-0.10926874999999825</v>
      </c>
    </row>
    <row r="27" spans="1:85" outlineLevel="1" x14ac:dyDescent="0.3">
      <c r="A27" s="15"/>
      <c r="B27" s="15" t="s">
        <v>287</v>
      </c>
      <c r="C27" s="16" t="s">
        <v>273</v>
      </c>
      <c r="D27" s="15">
        <v>25312408</v>
      </c>
      <c r="E27" s="16">
        <v>10</v>
      </c>
      <c r="F27" s="16">
        <v>32</v>
      </c>
      <c r="G27" s="16">
        <v>30</v>
      </c>
      <c r="I27" s="17">
        <f t="shared" si="0"/>
        <v>5.9031225000000003</v>
      </c>
      <c r="J27" s="18">
        <f t="shared" si="1"/>
        <v>0.24875800042413981</v>
      </c>
      <c r="K27" s="18">
        <f t="shared" si="2"/>
        <v>9.5884358374754383E-2</v>
      </c>
      <c r="L27" s="18">
        <f t="shared" si="3"/>
        <v>6.987624409341063E-2</v>
      </c>
      <c r="M27" s="18">
        <f t="shared" si="4"/>
        <v>0.15287364204938542</v>
      </c>
      <c r="N27" s="15">
        <f t="shared" si="5"/>
        <v>2427064</v>
      </c>
      <c r="O27" s="18">
        <f t="shared" si="6"/>
        <v>0.24975904324132109</v>
      </c>
      <c r="P27" s="19">
        <v>25210955</v>
      </c>
      <c r="Q27" s="19">
        <v>787842.34375</v>
      </c>
      <c r="R27" s="19">
        <v>24274.125</v>
      </c>
      <c r="S27" s="20">
        <v>6296664</v>
      </c>
      <c r="T27" s="20">
        <v>1768736</v>
      </c>
      <c r="U27" s="20">
        <v>658328</v>
      </c>
      <c r="V27" s="20">
        <v>3869600</v>
      </c>
      <c r="W27" s="21">
        <v>69.410231249999995</v>
      </c>
      <c r="X27" s="21">
        <v>71.797912499999995</v>
      </c>
      <c r="Y27" s="21">
        <v>30.350215625000001</v>
      </c>
      <c r="Z27" s="21">
        <v>35.037153125000003</v>
      </c>
      <c r="AA27" s="21">
        <v>34.510375000000003</v>
      </c>
      <c r="AB27" s="22">
        <v>5203.3900000000003</v>
      </c>
      <c r="AC27" s="22">
        <v>14832.3</v>
      </c>
      <c r="AD27" s="22">
        <v>18.87</v>
      </c>
      <c r="AE27" s="22">
        <v>58.040999999999997</v>
      </c>
      <c r="AG27" s="17">
        <f t="shared" si="7"/>
        <v>5.5973775000000003</v>
      </c>
      <c r="AH27" s="18">
        <f t="shared" si="8"/>
        <v>0.23587388446014301</v>
      </c>
      <c r="AI27" s="18">
        <f t="shared" si="9"/>
        <v>9.2478913898669773E-2</v>
      </c>
      <c r="AJ27" s="18">
        <f t="shared" si="10"/>
        <v>7.0629708560323454E-2</v>
      </c>
      <c r="AK27" s="18">
        <f t="shared" si="11"/>
        <v>0.14339497056147324</v>
      </c>
      <c r="AL27" s="15">
        <f t="shared" si="12"/>
        <v>2340864</v>
      </c>
      <c r="AM27" s="18">
        <f t="shared" si="13"/>
        <v>0.24001762061621745</v>
      </c>
      <c r="AN27" s="19">
        <v>24875407</v>
      </c>
      <c r="AO27" s="19">
        <v>777356.46875</v>
      </c>
      <c r="AP27" s="19">
        <v>18390.125</v>
      </c>
      <c r="AQ27" s="20">
        <v>5970536</v>
      </c>
      <c r="AR27" s="20">
        <v>1787808</v>
      </c>
      <c r="AS27" s="20">
        <v>553056</v>
      </c>
      <c r="AT27" s="20">
        <v>3629672</v>
      </c>
      <c r="AU27" s="21">
        <v>69.303674999999998</v>
      </c>
      <c r="AV27" s="21">
        <v>71.673321874999999</v>
      </c>
      <c r="AW27" s="21">
        <v>30.188231250000001</v>
      </c>
      <c r="AX27" s="21">
        <v>34.922815624999998</v>
      </c>
      <c r="AY27" s="21">
        <v>34.362718749999999</v>
      </c>
      <c r="AZ27" s="22">
        <v>1580.02</v>
      </c>
      <c r="BA27" s="22">
        <v>9553.06</v>
      </c>
      <c r="BB27" s="22">
        <v>12.56</v>
      </c>
      <c r="BC27" s="22">
        <v>47.323</v>
      </c>
      <c r="BE27" s="23">
        <f t="shared" si="14"/>
        <v>0.96448383726181097</v>
      </c>
      <c r="BF27" s="24">
        <f t="shared" si="15"/>
        <v>-7.1536303694326453E-3</v>
      </c>
      <c r="BG27" s="24">
        <f t="shared" si="16"/>
        <v>6.6169615789357095E-3</v>
      </c>
      <c r="BH27" s="24"/>
      <c r="BJ27" s="23"/>
      <c r="BK27" s="23"/>
      <c r="BL27" s="23"/>
      <c r="BM27" s="23"/>
      <c r="BN27" s="23"/>
      <c r="BP27" s="23"/>
      <c r="BQ27" s="23"/>
      <c r="BR27" s="23"/>
      <c r="BS27" s="23"/>
      <c r="BT27" s="23"/>
      <c r="BV27" s="4">
        <f t="shared" si="18"/>
        <v>-335548</v>
      </c>
      <c r="BW27" s="4">
        <f t="shared" si="18"/>
        <v>-10485.875</v>
      </c>
      <c r="BX27" s="4">
        <f t="shared" si="18"/>
        <v>-5884</v>
      </c>
      <c r="BY27" s="4">
        <f t="shared" si="18"/>
        <v>-326128</v>
      </c>
      <c r="BZ27" s="4">
        <f t="shared" si="18"/>
        <v>19072</v>
      </c>
      <c r="CA27" s="4">
        <f t="shared" si="18"/>
        <v>-105272</v>
      </c>
      <c r="CB27" s="4">
        <f t="shared" si="18"/>
        <v>-239928</v>
      </c>
      <c r="CC27" s="4">
        <f t="shared" si="18"/>
        <v>-0.10655624999999702</v>
      </c>
      <c r="CD27" s="4">
        <f t="shared" si="18"/>
        <v>-0.12459062499999618</v>
      </c>
      <c r="CE27" s="4">
        <f t="shared" si="18"/>
        <v>-0.1619843749999994</v>
      </c>
      <c r="CF27" s="4">
        <f t="shared" si="18"/>
        <v>-0.11433750000000487</v>
      </c>
      <c r="CG27" s="4">
        <f t="shared" si="18"/>
        <v>-0.14765625000000426</v>
      </c>
    </row>
    <row r="28" spans="1:85" outlineLevel="1" x14ac:dyDescent="0.3">
      <c r="A28" s="25"/>
      <c r="B28" s="25" t="s">
        <v>287</v>
      </c>
      <c r="C28" s="26" t="s">
        <v>274</v>
      </c>
      <c r="D28" s="25">
        <v>25312408</v>
      </c>
      <c r="E28" s="26">
        <v>10</v>
      </c>
      <c r="F28" s="26">
        <v>32</v>
      </c>
      <c r="G28" s="26">
        <v>30</v>
      </c>
      <c r="I28" s="27">
        <f t="shared" si="0"/>
        <v>11.8906575</v>
      </c>
      <c r="J28" s="28">
        <f t="shared" si="1"/>
        <v>0.50107314957944737</v>
      </c>
      <c r="K28" s="28">
        <f t="shared" si="2"/>
        <v>0.12999379592806817</v>
      </c>
      <c r="L28" s="28">
        <f t="shared" si="3"/>
        <v>0.10398568164672441</v>
      </c>
      <c r="M28" s="28">
        <f t="shared" si="4"/>
        <v>0.37107935365137917</v>
      </c>
      <c r="N28" s="25">
        <f t="shared" si="5"/>
        <v>3290456</v>
      </c>
      <c r="O28" s="28">
        <f t="shared" si="6"/>
        <v>0.48329230059550721</v>
      </c>
      <c r="P28" s="29">
        <v>26243679</v>
      </c>
      <c r="Q28" s="29">
        <v>820114.96875</v>
      </c>
      <c r="R28" s="29">
        <v>27946.09375</v>
      </c>
      <c r="S28" s="30">
        <v>12683368</v>
      </c>
      <c r="T28" s="30">
        <v>2632128</v>
      </c>
      <c r="U28" s="30">
        <v>658328</v>
      </c>
      <c r="V28" s="30">
        <v>9392912</v>
      </c>
      <c r="W28" s="31">
        <v>70.475143750000001</v>
      </c>
      <c r="X28" s="31">
        <v>73.036271874999997</v>
      </c>
      <c r="Y28" s="31">
        <v>32.833190625</v>
      </c>
      <c r="Z28" s="31">
        <v>36.5641125</v>
      </c>
      <c r="AA28" s="31">
        <v>36.056603125000002</v>
      </c>
      <c r="AB28" s="32">
        <v>4623.6899999999996</v>
      </c>
      <c r="AC28" s="32">
        <v>15459.6</v>
      </c>
      <c r="AD28" s="32">
        <v>18.582000000000001</v>
      </c>
      <c r="AE28" s="32">
        <v>63.911000000000001</v>
      </c>
      <c r="AG28" s="27">
        <f t="shared" si="7"/>
        <v>11.4904125</v>
      </c>
      <c r="AH28" s="28">
        <f t="shared" si="8"/>
        <v>0.48420679691951868</v>
      </c>
      <c r="AI28" s="28">
        <f t="shared" si="9"/>
        <v>0.13039201959766136</v>
      </c>
      <c r="AJ28" s="28">
        <f t="shared" si="10"/>
        <v>0.10854281425931504</v>
      </c>
      <c r="AK28" s="28">
        <f t="shared" si="11"/>
        <v>0.35381477732185734</v>
      </c>
      <c r="AL28" s="25">
        <f t="shared" si="12"/>
        <v>3300536</v>
      </c>
      <c r="AM28" s="28">
        <f t="shared" si="13"/>
        <v>0.47954206003341182</v>
      </c>
      <c r="AN28" s="29">
        <v>25558634</v>
      </c>
      <c r="AO28" s="29">
        <v>798707.3125</v>
      </c>
      <c r="AP28" s="29">
        <v>20824</v>
      </c>
      <c r="AQ28" s="30">
        <v>12256440</v>
      </c>
      <c r="AR28" s="30">
        <v>2747480</v>
      </c>
      <c r="AS28" s="30">
        <v>553056</v>
      </c>
      <c r="AT28" s="30">
        <v>8955904</v>
      </c>
      <c r="AU28" s="31">
        <v>70.45199375</v>
      </c>
      <c r="AV28" s="31">
        <v>72.973940624999997</v>
      </c>
      <c r="AW28" s="31">
        <v>32.655706250000001</v>
      </c>
      <c r="AX28" s="31">
        <v>36.418621874999999</v>
      </c>
      <c r="AY28" s="31">
        <v>35.866646875000001</v>
      </c>
      <c r="AZ28" s="32">
        <v>1657.35</v>
      </c>
      <c r="BA28" s="32">
        <v>10337.200000000001</v>
      </c>
      <c r="BB28" s="32">
        <v>13.47</v>
      </c>
      <c r="BC28" s="32">
        <v>51.006</v>
      </c>
      <c r="BE28" s="33">
        <f t="shared" si="14"/>
        <v>1.0030634051936875</v>
      </c>
      <c r="BF28" s="34">
        <f t="shared" si="15"/>
        <v>-8.003695612260716E-3</v>
      </c>
      <c r="BG28" s="34">
        <f t="shared" si="16"/>
        <v>9.8591648350456196E-3</v>
      </c>
      <c r="BH28" s="34"/>
      <c r="BJ28" s="33"/>
      <c r="BK28" s="33"/>
      <c r="BL28" s="33"/>
      <c r="BM28" s="33"/>
      <c r="BN28" s="33"/>
      <c r="BP28" s="33"/>
      <c r="BQ28" s="33"/>
      <c r="BR28" s="33"/>
      <c r="BS28" s="33"/>
      <c r="BT28" s="33"/>
      <c r="BV28" s="4">
        <f t="shared" si="18"/>
        <v>-685045</v>
      </c>
      <c r="BW28" s="4">
        <f t="shared" si="18"/>
        <v>-21407.65625</v>
      </c>
      <c r="BX28" s="4">
        <f t="shared" si="18"/>
        <v>-7122.09375</v>
      </c>
      <c r="BY28" s="4">
        <f t="shared" si="18"/>
        <v>-426928</v>
      </c>
      <c r="BZ28" s="4">
        <f t="shared" si="18"/>
        <v>115352</v>
      </c>
      <c r="CA28" s="4">
        <f t="shared" si="18"/>
        <v>-105272</v>
      </c>
      <c r="CB28" s="4">
        <f t="shared" si="18"/>
        <v>-437008</v>
      </c>
      <c r="CC28" s="4">
        <f t="shared" si="18"/>
        <v>-2.3150000000001114E-2</v>
      </c>
      <c r="CD28" s="4">
        <f t="shared" si="18"/>
        <v>-6.2331249999999727E-2</v>
      </c>
      <c r="CE28" s="4">
        <f t="shared" si="18"/>
        <v>-0.17748437499999881</v>
      </c>
      <c r="CF28" s="4">
        <f t="shared" si="18"/>
        <v>-0.14549062500000076</v>
      </c>
      <c r="CG28" s="4">
        <f t="shared" si="18"/>
        <v>-0.1899562500000016</v>
      </c>
    </row>
    <row r="29" spans="1:85" ht="15" outlineLevel="1" thickBot="1" x14ac:dyDescent="0.35">
      <c r="A29" s="35"/>
      <c r="B29" s="35" t="s">
        <v>287</v>
      </c>
      <c r="C29" s="36" t="s">
        <v>275</v>
      </c>
      <c r="D29" s="35">
        <v>25312408</v>
      </c>
      <c r="E29" s="36">
        <v>10</v>
      </c>
      <c r="F29" s="36">
        <v>32</v>
      </c>
      <c r="G29" s="36">
        <v>30</v>
      </c>
      <c r="I29" s="37">
        <f t="shared" si="0"/>
        <v>27.587895</v>
      </c>
      <c r="J29" s="38">
        <f t="shared" si="1"/>
        <v>1.1625558500795341</v>
      </c>
      <c r="K29" s="38">
        <f t="shared" si="2"/>
        <v>0.21234739895153396</v>
      </c>
      <c r="L29" s="38">
        <f t="shared" si="3"/>
        <v>0.16235262958782903</v>
      </c>
      <c r="M29" s="38">
        <f t="shared" si="4"/>
        <v>0.95020845112800012</v>
      </c>
      <c r="N29" s="35">
        <f t="shared" si="5"/>
        <v>5375024</v>
      </c>
      <c r="O29" s="38">
        <f t="shared" si="6"/>
        <v>1.1720600705376756</v>
      </c>
      <c r="P29" s="39">
        <v>25107150</v>
      </c>
      <c r="Q29" s="39">
        <v>784598.4375</v>
      </c>
      <c r="R29" s="39">
        <v>12536.375</v>
      </c>
      <c r="S29" s="40">
        <v>29427088</v>
      </c>
      <c r="T29" s="40">
        <v>4109536</v>
      </c>
      <c r="U29" s="40">
        <v>1265488</v>
      </c>
      <c r="V29" s="40">
        <v>24052064</v>
      </c>
      <c r="W29" s="41">
        <v>71.461190625</v>
      </c>
      <c r="X29" s="41">
        <v>74.861821875000004</v>
      </c>
      <c r="Y29" s="41">
        <v>35.527884374999999</v>
      </c>
      <c r="Z29" s="41">
        <v>38.558628124999998</v>
      </c>
      <c r="AA29" s="41">
        <v>38.003549999999997</v>
      </c>
      <c r="AB29" s="42">
        <v>5363.1</v>
      </c>
      <c r="AC29" s="42">
        <v>15978</v>
      </c>
      <c r="AD29" s="42">
        <v>19.413</v>
      </c>
      <c r="AE29" s="42">
        <v>66.543000000000006</v>
      </c>
      <c r="AG29" s="37">
        <f t="shared" si="7"/>
        <v>26.90673</v>
      </c>
      <c r="AH29" s="38">
        <f t="shared" si="8"/>
        <v>1.1338515087146193</v>
      </c>
      <c r="AI29" s="38">
        <f t="shared" si="9"/>
        <v>0.21400887659522555</v>
      </c>
      <c r="AJ29" s="38">
        <f t="shared" si="10"/>
        <v>0.17038631804607449</v>
      </c>
      <c r="AK29" s="38">
        <f t="shared" si="11"/>
        <v>0.91984263211939377</v>
      </c>
      <c r="AL29" s="35">
        <f t="shared" si="12"/>
        <v>5417080</v>
      </c>
      <c r="AM29" s="38">
        <f t="shared" si="13"/>
        <v>1.1671120997273399</v>
      </c>
      <c r="AN29" s="39">
        <v>24591050</v>
      </c>
      <c r="AO29" s="39">
        <v>768470.3125</v>
      </c>
      <c r="AP29" s="39">
        <v>9759.78125</v>
      </c>
      <c r="AQ29" s="40">
        <v>28700512</v>
      </c>
      <c r="AR29" s="40">
        <v>4312888</v>
      </c>
      <c r="AS29" s="40">
        <v>1104192</v>
      </c>
      <c r="AT29" s="40">
        <v>23283432</v>
      </c>
      <c r="AU29" s="41">
        <v>71.142418750000004</v>
      </c>
      <c r="AV29" s="41">
        <v>74.868674999999996</v>
      </c>
      <c r="AW29" s="41">
        <v>35.450421875000004</v>
      </c>
      <c r="AX29" s="41">
        <v>38.349690625000001</v>
      </c>
      <c r="AY29" s="41">
        <v>37.73995</v>
      </c>
      <c r="AZ29" s="42">
        <v>1450.99</v>
      </c>
      <c r="BA29" s="42">
        <v>11695.8</v>
      </c>
      <c r="BB29" s="42">
        <v>12.679</v>
      </c>
      <c r="BC29" s="42">
        <v>52.884</v>
      </c>
      <c r="BE29" s="43">
        <f t="shared" si="14"/>
        <v>1.0078243371564481</v>
      </c>
      <c r="BF29" s="44">
        <f t="shared" si="15"/>
        <v>-3.2778069243054684E-3</v>
      </c>
      <c r="BG29" s="44">
        <f t="shared" si="16"/>
        <v>6.0894110308219729E-3</v>
      </c>
      <c r="BH29" s="44"/>
      <c r="BJ29" s="43"/>
      <c r="BK29" s="43"/>
      <c r="BL29" s="43"/>
      <c r="BM29" s="43"/>
      <c r="BN29" s="43"/>
      <c r="BP29" s="43"/>
      <c r="BQ29" s="43"/>
      <c r="BR29" s="43"/>
      <c r="BS29" s="43"/>
      <c r="BT29" s="43"/>
      <c r="BV29" s="4">
        <f t="shared" si="18"/>
        <v>-516100</v>
      </c>
      <c r="BW29" s="4">
        <f t="shared" si="18"/>
        <v>-16128.125</v>
      </c>
      <c r="BX29" s="4">
        <f t="shared" si="18"/>
        <v>-2776.59375</v>
      </c>
      <c r="BY29" s="4">
        <f t="shared" si="18"/>
        <v>-726576</v>
      </c>
      <c r="BZ29" s="4">
        <f t="shared" si="18"/>
        <v>203352</v>
      </c>
      <c r="CA29" s="4">
        <f t="shared" si="18"/>
        <v>-161296</v>
      </c>
      <c r="CB29" s="4">
        <f t="shared" si="18"/>
        <v>-768632</v>
      </c>
      <c r="CC29" s="4">
        <f t="shared" si="18"/>
        <v>-0.31877187499999593</v>
      </c>
      <c r="CD29" s="4">
        <f t="shared" si="18"/>
        <v>6.8531249999921329E-3</v>
      </c>
      <c r="CE29" s="4">
        <f t="shared" si="18"/>
        <v>-7.7462499999995771E-2</v>
      </c>
      <c r="CF29" s="4">
        <f t="shared" si="18"/>
        <v>-0.20893749999999756</v>
      </c>
      <c r="CG29" s="4">
        <f t="shared" si="18"/>
        <v>-0.26359999999999673</v>
      </c>
    </row>
    <row r="30" spans="1:85" x14ac:dyDescent="0.3">
      <c r="A30" s="25" t="s">
        <v>292</v>
      </c>
      <c r="B30" s="25" t="s">
        <v>291</v>
      </c>
      <c r="C30" s="26" t="s">
        <v>271</v>
      </c>
      <c r="D30" s="25">
        <v>28802925</v>
      </c>
      <c r="E30" s="26">
        <v>11</v>
      </c>
      <c r="F30" s="26">
        <v>10</v>
      </c>
      <c r="G30" s="26">
        <v>30</v>
      </c>
      <c r="I30" s="27">
        <f t="shared" si="0"/>
        <v>3.3277920000000001</v>
      </c>
      <c r="J30" s="28">
        <f t="shared" si="1"/>
        <v>3.8512199715827471E-2</v>
      </c>
      <c r="K30" s="28">
        <f t="shared" si="2"/>
        <v>3.1035459072299081E-2</v>
      </c>
      <c r="L30" s="28">
        <f t="shared" si="3"/>
        <v>1.8309251577747748E-2</v>
      </c>
      <c r="M30" s="28">
        <f t="shared" si="4"/>
        <v>7.476740643528392E-3</v>
      </c>
      <c r="N30" s="25">
        <f t="shared" si="5"/>
        <v>893912</v>
      </c>
      <c r="O30" s="28">
        <f t="shared" si="6"/>
        <v>4.0988700379171641E-2</v>
      </c>
      <c r="P30" s="29">
        <v>27062678</v>
      </c>
      <c r="Q30" s="29">
        <v>2706267.8</v>
      </c>
      <c r="R30" s="29">
        <v>38525.699999999997</v>
      </c>
      <c r="S30" s="30">
        <v>1109264</v>
      </c>
      <c r="T30" s="30">
        <v>527360</v>
      </c>
      <c r="U30" s="30">
        <v>366552</v>
      </c>
      <c r="V30" s="30">
        <v>215352</v>
      </c>
      <c r="W30" s="31">
        <v>73.774550000000005</v>
      </c>
      <c r="X30" s="31">
        <v>75.810879999999997</v>
      </c>
      <c r="Y30" s="31">
        <v>33.991660000000003</v>
      </c>
      <c r="Z30" s="31">
        <v>41.956800000000001</v>
      </c>
      <c r="AA30" s="31">
        <v>43.936329999999998</v>
      </c>
      <c r="AB30" s="32">
        <v>5865.83</v>
      </c>
      <c r="AC30" s="32">
        <v>7008.22</v>
      </c>
      <c r="AD30" s="32">
        <v>22.795999999999999</v>
      </c>
      <c r="AE30" s="32">
        <v>47.988999999999997</v>
      </c>
      <c r="AG30" s="27">
        <f t="shared" si="7"/>
        <v>3.1914959999999999</v>
      </c>
      <c r="AH30" s="28">
        <f t="shared" si="8"/>
        <v>3.6934859914401055E-2</v>
      </c>
      <c r="AI30" s="28">
        <f t="shared" si="9"/>
        <v>2.9567274851425681E-2</v>
      </c>
      <c r="AJ30" s="28">
        <f t="shared" si="10"/>
        <v>1.7862074771919867E-2</v>
      </c>
      <c r="AK30" s="28">
        <f t="shared" si="11"/>
        <v>7.3675850629753752E-3</v>
      </c>
      <c r="AL30" s="25">
        <f t="shared" si="12"/>
        <v>851624</v>
      </c>
      <c r="AM30" s="28">
        <f t="shared" si="13"/>
        <v>3.915617196514197E-2</v>
      </c>
      <c r="AN30" s="29">
        <v>27168948</v>
      </c>
      <c r="AO30" s="29">
        <v>2716894.8</v>
      </c>
      <c r="AP30" s="29">
        <v>34879.4</v>
      </c>
      <c r="AQ30" s="30">
        <v>1063832</v>
      </c>
      <c r="AR30" s="30">
        <v>514480</v>
      </c>
      <c r="AS30" s="30">
        <v>337144</v>
      </c>
      <c r="AT30" s="30">
        <v>212208</v>
      </c>
      <c r="AU30" s="31">
        <v>73.806030000000007</v>
      </c>
      <c r="AV30" s="31">
        <v>75.812089999999998</v>
      </c>
      <c r="AW30" s="31">
        <v>33.888820000000003</v>
      </c>
      <c r="AX30" s="31">
        <v>41.812660000000001</v>
      </c>
      <c r="AY30" s="31">
        <v>43.934510000000003</v>
      </c>
      <c r="AZ30" s="32">
        <v>1022.42</v>
      </c>
      <c r="BA30" s="32">
        <v>4143.3900000000003</v>
      </c>
      <c r="BB30" s="32">
        <v>13.282</v>
      </c>
      <c r="BC30" s="32">
        <v>35.828000000000003</v>
      </c>
      <c r="BE30" s="33">
        <f t="shared" si="14"/>
        <v>0.95269332999221401</v>
      </c>
      <c r="BF30" s="34">
        <f t="shared" si="15"/>
        <v>-1.3977659759620807E-3</v>
      </c>
      <c r="BG30" s="34">
        <f t="shared" si="16"/>
        <v>-5.335567524529683E-3</v>
      </c>
      <c r="BH30" s="34">
        <f t="array" ref="BH30">AVERAGE(AL30:AL34/AQ30:AQ34) - AVERAGE(N30:N34/S30:S34)</f>
        <v>3.0068446677530281E-3</v>
      </c>
      <c r="BJ30" s="33">
        <f>IF( OR(ISBLANK(N30:N34),ISBLANK(AL30:AL34), ISBLANK(W30:W34),ISBLANK(AU30:AU34)), "·", bdRateExtend( N30:N34,W30:W34, AL30:AL34,AU30:AU34))</f>
        <v>-4.0825015668440878E-3</v>
      </c>
      <c r="BK30" s="33">
        <f>IF( OR(ISBLANK(N30:N34),ISBLANK(AL30:AL34), ISBLANK(X30:X34),ISBLANK(AV30:AV34)), "·", bdRateExtend( N30:N34,X30:X34, AL30:AL34,AV30:AV34))</f>
        <v>-4.3479081193615876E-3</v>
      </c>
      <c r="BL30" s="33">
        <f>IF( OR(ISBLANK(V30:V34),ISBLANK(AT30:AT34), ISBLANK(Y30:Y34),ISBLANK(AW30:AW34)), "·", bdRateExtend( V30:V34,Y30:Y34, AT30:AT34,AW30:AW34))</f>
        <v>2.9529704284973146E-2</v>
      </c>
      <c r="BM30" s="33">
        <f>IF( OR(ISBLANK(V30:V34),ISBLANK(AT30:AT34), ISBLANK(Z30:Z34),ISBLANK(AX30:AX34)), "·", bdRateExtend( V30:V34,Z30:Z34, AT30:AT34,AX30:AX34))</f>
        <v>2.6680609855639803E-2</v>
      </c>
      <c r="BN30" s="33">
        <f>IF( OR(ISBLANK(V30:V34),ISBLANK(AT30:AT34), ISBLANK(AA30:AA34),ISBLANK(AY30:AY34)), "·", bdRateExtend( V30:V34,AA30:AA34, AT30:AT34,AY30:AY34))</f>
        <v>-3.878483054477222E-2</v>
      </c>
      <c r="BP30" s="33">
        <f>IF( OR(ISBLANK(S30:S34),ISBLANK(AQ30:AQ34), ISBLANK(W30:W34),ISBLANK(AU30:AU34)), "·", bdRateExtend( S30:S34,W30:W34, AQ30:AQ34,AU30:AU34))</f>
        <v>-5.7007363316862181E-3</v>
      </c>
      <c r="BQ30" s="33">
        <f>IF( OR(ISBLANK(S30:S34),ISBLANK(AQ30:AQ34), ISBLANK(X30:X34),ISBLANK(AV30:AV34)), "·", bdRateExtend( S30:S34,X30:X34, AQ30:AQ34,AV30:AV34))</f>
        <v>-9.5635027632153813E-3</v>
      </c>
      <c r="BR30" s="33">
        <f>IF( OR(ISBLANK(S30:S34),ISBLANK(AQ30:AQ34), ISBLANK(Y30:Y34),ISBLANK(AW30:AW34)), "·", bdRateExtend( S30:S34,Y30:Y34, AQ30:AQ34,AW30:AW34))</f>
        <v>1.5885414456328739E-2</v>
      </c>
      <c r="BS30" s="33">
        <f>IF( OR(ISBLANK(S30:S34),ISBLANK(AQ30:AQ34), ISBLANK(Z30:Z34),ISBLANK(AX30:AX34)), "·", bdRateExtend( S30:S34,Z30:Z34, AQ30:AQ34,AX30:AX34))</f>
        <v>1.2886866481683024E-2</v>
      </c>
      <c r="BT30" s="33">
        <f>IF( OR(ISBLANK(S30:S34),ISBLANK(AQ30:AQ34), ISBLANK(AA30:AA34),ISBLANK(AY30:AY34)), "·", bdRateExtend( S30:S34,AA30:AA34, AQ30:AQ34,AY30:AY34))</f>
        <v>-1.9305806082564381E-2</v>
      </c>
      <c r="BV30" s="4">
        <f t="shared" si="18"/>
        <v>106270</v>
      </c>
      <c r="BW30" s="4">
        <f t="shared" si="18"/>
        <v>10627</v>
      </c>
      <c r="BX30" s="4">
        <f t="shared" si="18"/>
        <v>-3646.2999999999956</v>
      </c>
      <c r="BY30" s="4">
        <f t="shared" si="18"/>
        <v>-45432</v>
      </c>
      <c r="BZ30" s="4">
        <f t="shared" si="18"/>
        <v>-12880</v>
      </c>
      <c r="CA30" s="4">
        <f t="shared" si="18"/>
        <v>-29408</v>
      </c>
      <c r="CB30" s="4">
        <f t="shared" si="18"/>
        <v>-3144</v>
      </c>
      <c r="CC30" s="4">
        <f t="shared" si="18"/>
        <v>3.1480000000001951E-2</v>
      </c>
      <c r="CD30" s="4">
        <f t="shared" si="18"/>
        <v>1.2100000000003774E-3</v>
      </c>
      <c r="CE30" s="4">
        <f t="shared" si="18"/>
        <v>-0.10284000000000049</v>
      </c>
      <c r="CF30" s="4">
        <f t="shared" si="18"/>
        <v>-0.14414000000000016</v>
      </c>
      <c r="CG30" s="4">
        <f t="shared" si="18"/>
        <v>-1.8199999999950478E-3</v>
      </c>
    </row>
    <row r="31" spans="1:85" outlineLevel="1" x14ac:dyDescent="0.3">
      <c r="A31" s="15"/>
      <c r="B31" s="15" t="s">
        <v>291</v>
      </c>
      <c r="C31" s="16" t="s">
        <v>272</v>
      </c>
      <c r="D31" s="15">
        <v>28802925</v>
      </c>
      <c r="E31" s="16">
        <v>11</v>
      </c>
      <c r="F31" s="16">
        <v>10</v>
      </c>
      <c r="G31" s="16">
        <v>30</v>
      </c>
      <c r="I31" s="17">
        <f t="shared" si="0"/>
        <v>4.4522640000000004</v>
      </c>
      <c r="J31" s="18">
        <f t="shared" si="1"/>
        <v>5.1525600264556465E-2</v>
      </c>
      <c r="K31" s="18">
        <f t="shared" si="2"/>
        <v>3.7966144063493551E-2</v>
      </c>
      <c r="L31" s="18">
        <f t="shared" si="3"/>
        <v>2.5239936568942217E-2</v>
      </c>
      <c r="M31" s="18">
        <f t="shared" si="4"/>
        <v>1.3559456201062912E-2</v>
      </c>
      <c r="N31" s="15">
        <f t="shared" si="5"/>
        <v>1093536</v>
      </c>
      <c r="O31" s="18">
        <f t="shared" si="6"/>
        <v>5.2306142953446308E-2</v>
      </c>
      <c r="P31" s="19">
        <v>28373111</v>
      </c>
      <c r="Q31" s="19">
        <v>2837311.1</v>
      </c>
      <c r="R31" s="19">
        <v>46980.2</v>
      </c>
      <c r="S31" s="20">
        <v>1484088</v>
      </c>
      <c r="T31" s="20">
        <v>726984</v>
      </c>
      <c r="U31" s="20">
        <v>366552</v>
      </c>
      <c r="V31" s="20">
        <v>390552</v>
      </c>
      <c r="W31" s="21">
        <v>75.354339999999993</v>
      </c>
      <c r="X31" s="21">
        <v>77.609920000000002</v>
      </c>
      <c r="Y31" s="21">
        <v>35.742159999999998</v>
      </c>
      <c r="Z31" s="21">
        <v>42.365549999999999</v>
      </c>
      <c r="AA31" s="21">
        <v>44.650199999999998</v>
      </c>
      <c r="AB31" s="22">
        <v>5556.44</v>
      </c>
      <c r="AC31" s="22">
        <v>7772.45</v>
      </c>
      <c r="AD31" s="22">
        <v>22.19</v>
      </c>
      <c r="AE31" s="22">
        <v>50.231999999999999</v>
      </c>
      <c r="AG31" s="17">
        <f t="shared" si="7"/>
        <v>4.3266</v>
      </c>
      <c r="AH31" s="18">
        <f t="shared" si="8"/>
        <v>5.0071303522124924E-2</v>
      </c>
      <c r="AI31" s="18">
        <f t="shared" si="9"/>
        <v>3.6640723121002465E-2</v>
      </c>
      <c r="AJ31" s="18">
        <f t="shared" si="10"/>
        <v>2.4935523041496654E-2</v>
      </c>
      <c r="AK31" s="18">
        <f t="shared" si="11"/>
        <v>1.3430580401122456E-2</v>
      </c>
      <c r="AL31" s="15">
        <f t="shared" si="12"/>
        <v>1055360</v>
      </c>
      <c r="AM31" s="18">
        <f t="shared" si="13"/>
        <v>5.0947758305699829E-2</v>
      </c>
      <c r="AN31" s="19">
        <v>28307428</v>
      </c>
      <c r="AO31" s="19">
        <v>2830742.8</v>
      </c>
      <c r="AP31" s="19">
        <v>41717.4</v>
      </c>
      <c r="AQ31" s="20">
        <v>1442200</v>
      </c>
      <c r="AR31" s="20">
        <v>718216</v>
      </c>
      <c r="AS31" s="20">
        <v>337144</v>
      </c>
      <c r="AT31" s="20">
        <v>386840</v>
      </c>
      <c r="AU31" s="21">
        <v>75.3643</v>
      </c>
      <c r="AV31" s="21">
        <v>77.614440000000002</v>
      </c>
      <c r="AW31" s="21">
        <v>35.655180000000001</v>
      </c>
      <c r="AX31" s="21">
        <v>42.256779999999999</v>
      </c>
      <c r="AY31" s="21">
        <v>44.930630000000001</v>
      </c>
      <c r="AZ31" s="22">
        <v>1089.48</v>
      </c>
      <c r="BA31" s="22">
        <v>4288.97</v>
      </c>
      <c r="BB31" s="22">
        <v>14.42</v>
      </c>
      <c r="BC31" s="22">
        <v>37.164999999999999</v>
      </c>
      <c r="BE31" s="23">
        <f t="shared" si="14"/>
        <v>0.96508939806279803</v>
      </c>
      <c r="BF31" s="24">
        <f t="shared" si="15"/>
        <v>-1.8207383878548443E-3</v>
      </c>
      <c r="BG31" s="24">
        <f t="shared" si="16"/>
        <v>-5.0694974340220744E-3</v>
      </c>
      <c r="BH31" s="24"/>
      <c r="BJ31" s="23"/>
      <c r="BK31" s="23"/>
      <c r="BL31" s="23"/>
      <c r="BM31" s="23"/>
      <c r="BN31" s="23"/>
      <c r="BP31" s="23"/>
      <c r="BQ31" s="23"/>
      <c r="BR31" s="23"/>
      <c r="BS31" s="23"/>
      <c r="BT31" s="23"/>
      <c r="BV31" s="4">
        <f t="shared" si="18"/>
        <v>-65683</v>
      </c>
      <c r="BW31" s="4">
        <f t="shared" si="18"/>
        <v>-6568.3000000002794</v>
      </c>
      <c r="BX31" s="4">
        <f t="shared" si="18"/>
        <v>-5262.7999999999956</v>
      </c>
      <c r="BY31" s="4">
        <f t="shared" si="18"/>
        <v>-41888</v>
      </c>
      <c r="BZ31" s="4">
        <f t="shared" si="18"/>
        <v>-8768</v>
      </c>
      <c r="CA31" s="4">
        <f t="shared" si="18"/>
        <v>-29408</v>
      </c>
      <c r="CB31" s="4">
        <f t="shared" si="18"/>
        <v>-3712</v>
      </c>
      <c r="CC31" s="4">
        <f t="shared" si="18"/>
        <v>9.9600000000066302E-3</v>
      </c>
      <c r="CD31" s="4">
        <f t="shared" si="18"/>
        <v>4.5199999999994134E-3</v>
      </c>
      <c r="CE31" s="4">
        <f t="shared" si="18"/>
        <v>-8.6979999999996949E-2</v>
      </c>
      <c r="CF31" s="4">
        <f t="shared" si="18"/>
        <v>-0.10876999999999981</v>
      </c>
      <c r="CG31" s="4">
        <f t="shared" si="18"/>
        <v>0.28043000000000262</v>
      </c>
    </row>
    <row r="32" spans="1:85" outlineLevel="1" x14ac:dyDescent="0.3">
      <c r="A32" s="25"/>
      <c r="B32" s="25" t="s">
        <v>291</v>
      </c>
      <c r="C32" s="26" t="s">
        <v>273</v>
      </c>
      <c r="D32" s="25">
        <v>28802925</v>
      </c>
      <c r="E32" s="26">
        <v>11</v>
      </c>
      <c r="F32" s="26">
        <v>10</v>
      </c>
      <c r="G32" s="26">
        <v>30</v>
      </c>
      <c r="I32" s="27">
        <f t="shared" si="0"/>
        <v>6.5320320000000001</v>
      </c>
      <c r="J32" s="28">
        <f t="shared" si="1"/>
        <v>7.559454465128107E-2</v>
      </c>
      <c r="K32" s="28">
        <f t="shared" si="2"/>
        <v>4.7770426093877619E-2</v>
      </c>
      <c r="L32" s="28">
        <f t="shared" si="3"/>
        <v>3.5044218599326285E-2</v>
      </c>
      <c r="M32" s="28">
        <f t="shared" si="4"/>
        <v>2.7824118557403459E-2</v>
      </c>
      <c r="N32" s="25">
        <f t="shared" si="5"/>
        <v>1375928</v>
      </c>
      <c r="O32" s="28">
        <f t="shared" si="6"/>
        <v>7.5890818138978508E-2</v>
      </c>
      <c r="P32" s="29">
        <v>28690480</v>
      </c>
      <c r="Q32" s="29">
        <v>2869048</v>
      </c>
      <c r="R32" s="29">
        <v>50133.3</v>
      </c>
      <c r="S32" s="30">
        <v>2177344</v>
      </c>
      <c r="T32" s="30">
        <v>1009376</v>
      </c>
      <c r="U32" s="30">
        <v>366552</v>
      </c>
      <c r="V32" s="30">
        <v>801416</v>
      </c>
      <c r="W32" s="31">
        <v>76.565370000000001</v>
      </c>
      <c r="X32" s="31">
        <v>79.136200000000002</v>
      </c>
      <c r="Y32" s="31">
        <v>37.262549999999997</v>
      </c>
      <c r="Z32" s="31">
        <v>42.932749999999999</v>
      </c>
      <c r="AA32" s="31">
        <v>46.402209999999997</v>
      </c>
      <c r="AB32" s="32">
        <v>5600.05</v>
      </c>
      <c r="AC32" s="32">
        <v>7746.94</v>
      </c>
      <c r="AD32" s="32">
        <v>20.789000000000001</v>
      </c>
      <c r="AE32" s="32">
        <v>51.725000000000001</v>
      </c>
      <c r="AG32" s="27">
        <f t="shared" si="7"/>
        <v>6.4312079999999998</v>
      </c>
      <c r="AH32" s="28">
        <f t="shared" si="8"/>
        <v>7.4427718712596028E-2</v>
      </c>
      <c r="AI32" s="28">
        <f t="shared" si="9"/>
        <v>4.7301029322542765E-2</v>
      </c>
      <c r="AJ32" s="28">
        <f t="shared" si="10"/>
        <v>3.5595829243036947E-2</v>
      </c>
      <c r="AK32" s="28">
        <f t="shared" si="11"/>
        <v>2.7126689390053266E-2</v>
      </c>
      <c r="AL32" s="25">
        <f t="shared" si="12"/>
        <v>1362408</v>
      </c>
      <c r="AM32" s="28">
        <f t="shared" si="13"/>
        <v>7.5067528826294402E-2</v>
      </c>
      <c r="AN32" s="29">
        <v>28557434</v>
      </c>
      <c r="AO32" s="29">
        <v>2855743.4</v>
      </c>
      <c r="AP32" s="29">
        <v>44461.5</v>
      </c>
      <c r="AQ32" s="30">
        <v>2143736</v>
      </c>
      <c r="AR32" s="30">
        <v>1025264</v>
      </c>
      <c r="AS32" s="30">
        <v>337144</v>
      </c>
      <c r="AT32" s="30">
        <v>781328</v>
      </c>
      <c r="AU32" s="31">
        <v>76.520079999999993</v>
      </c>
      <c r="AV32" s="31">
        <v>79.105729999999994</v>
      </c>
      <c r="AW32" s="31">
        <v>37.173969999999997</v>
      </c>
      <c r="AX32" s="31">
        <v>42.96302</v>
      </c>
      <c r="AY32" s="31">
        <v>46.395600000000002</v>
      </c>
      <c r="AZ32" s="32">
        <v>970.83900000000006</v>
      </c>
      <c r="BA32" s="32">
        <v>4886.9799999999996</v>
      </c>
      <c r="BB32" s="32">
        <v>13.875999999999999</v>
      </c>
      <c r="BC32" s="32">
        <v>37.904000000000003</v>
      </c>
      <c r="BE32" s="33">
        <f t="shared" si="14"/>
        <v>0.99017390444848863</v>
      </c>
      <c r="BF32" s="34">
        <f t="shared" si="15"/>
        <v>-1.9046940569110056E-3</v>
      </c>
      <c r="BG32" s="34">
        <f t="shared" si="16"/>
        <v>3.6002045487537604E-3</v>
      </c>
      <c r="BH32" s="34"/>
      <c r="BJ32" s="33"/>
      <c r="BK32" s="33"/>
      <c r="BL32" s="33"/>
      <c r="BM32" s="33"/>
      <c r="BN32" s="33"/>
      <c r="BP32" s="33"/>
      <c r="BQ32" s="33"/>
      <c r="BR32" s="33"/>
      <c r="BS32" s="33"/>
      <c r="BT32" s="33"/>
      <c r="BV32" s="4">
        <f t="shared" si="18"/>
        <v>-133046</v>
      </c>
      <c r="BW32" s="4">
        <f t="shared" si="18"/>
        <v>-13304.600000000093</v>
      </c>
      <c r="BX32" s="4">
        <f t="shared" si="18"/>
        <v>-5671.8000000000029</v>
      </c>
      <c r="BY32" s="4">
        <f t="shared" si="18"/>
        <v>-33608</v>
      </c>
      <c r="BZ32" s="4">
        <f t="shared" si="18"/>
        <v>15888</v>
      </c>
      <c r="CA32" s="4">
        <f t="shared" si="18"/>
        <v>-29408</v>
      </c>
      <c r="CB32" s="4">
        <f t="shared" si="18"/>
        <v>-20088</v>
      </c>
      <c r="CC32" s="4">
        <f t="shared" si="18"/>
        <v>-4.529000000000849E-2</v>
      </c>
      <c r="CD32" s="4">
        <f t="shared" si="18"/>
        <v>-3.0470000000008213E-2</v>
      </c>
      <c r="CE32" s="4">
        <f t="shared" si="18"/>
        <v>-8.8580000000000325E-2</v>
      </c>
      <c r="CF32" s="4">
        <f t="shared" si="18"/>
        <v>3.0270000000001573E-2</v>
      </c>
      <c r="CG32" s="4">
        <f t="shared" si="18"/>
        <v>-6.6099999999948977E-3</v>
      </c>
    </row>
    <row r="33" spans="1:85" outlineLevel="1" x14ac:dyDescent="0.3">
      <c r="A33" s="15"/>
      <c r="B33" s="15" t="s">
        <v>291</v>
      </c>
      <c r="C33" s="16" t="s">
        <v>274</v>
      </c>
      <c r="D33" s="15">
        <v>28802925</v>
      </c>
      <c r="E33" s="16">
        <v>11</v>
      </c>
      <c r="F33" s="16">
        <v>10</v>
      </c>
      <c r="G33" s="16">
        <v>30</v>
      </c>
      <c r="I33" s="17">
        <f t="shared" si="0"/>
        <v>11.275848</v>
      </c>
      <c r="J33" s="18">
        <f t="shared" si="1"/>
        <v>0.13049424667807175</v>
      </c>
      <c r="K33" s="18">
        <f t="shared" si="2"/>
        <v>6.631909779996302E-2</v>
      </c>
      <c r="L33" s="18">
        <f t="shared" si="3"/>
        <v>5.3592890305411693E-2</v>
      </c>
      <c r="M33" s="18">
        <f t="shared" si="4"/>
        <v>6.417514887810874E-2</v>
      </c>
      <c r="N33" s="15">
        <f t="shared" si="5"/>
        <v>1910184</v>
      </c>
      <c r="O33" s="18">
        <f t="shared" si="6"/>
        <v>0.12767975257966457</v>
      </c>
      <c r="P33" s="19">
        <v>29437839</v>
      </c>
      <c r="Q33" s="19">
        <v>2943783.9</v>
      </c>
      <c r="R33" s="19">
        <v>56409.8</v>
      </c>
      <c r="S33" s="20">
        <v>3758616</v>
      </c>
      <c r="T33" s="20">
        <v>1543632</v>
      </c>
      <c r="U33" s="20">
        <v>366552</v>
      </c>
      <c r="V33" s="20">
        <v>1848432</v>
      </c>
      <c r="W33" s="21">
        <v>77.593490000000003</v>
      </c>
      <c r="X33" s="21">
        <v>80.295069999999996</v>
      </c>
      <c r="Y33" s="21">
        <v>38.832070000000002</v>
      </c>
      <c r="Z33" s="21">
        <v>43.537100000000002</v>
      </c>
      <c r="AA33" s="21">
        <v>47.77008</v>
      </c>
      <c r="AB33" s="22">
        <v>6082.7</v>
      </c>
      <c r="AC33" s="22">
        <v>8851.6</v>
      </c>
      <c r="AD33" s="22">
        <v>14.845000000000001</v>
      </c>
      <c r="AE33" s="22">
        <v>46.905999999999999</v>
      </c>
      <c r="AG33" s="17">
        <f t="shared" si="7"/>
        <v>11.399784</v>
      </c>
      <c r="AH33" s="18">
        <f t="shared" si="8"/>
        <v>0.13192854545154703</v>
      </c>
      <c r="AI33" s="18">
        <f t="shared" si="9"/>
        <v>6.8446381747687079E-2</v>
      </c>
      <c r="AJ33" s="18">
        <f t="shared" si="10"/>
        <v>5.6741181668181269E-2</v>
      </c>
      <c r="AK33" s="18">
        <f t="shared" si="11"/>
        <v>6.3482163703859937E-2</v>
      </c>
      <c r="AL33" s="15">
        <f t="shared" si="12"/>
        <v>1971456</v>
      </c>
      <c r="AM33" s="18">
        <f t="shared" si="13"/>
        <v>0.12996756119219588</v>
      </c>
      <c r="AN33" s="19">
        <v>29237511</v>
      </c>
      <c r="AO33" s="19">
        <v>2923751.1</v>
      </c>
      <c r="AP33" s="19">
        <v>49346.2</v>
      </c>
      <c r="AQ33" s="20">
        <v>3799928</v>
      </c>
      <c r="AR33" s="20">
        <v>1634312</v>
      </c>
      <c r="AS33" s="20">
        <v>337144</v>
      </c>
      <c r="AT33" s="20">
        <v>1828472</v>
      </c>
      <c r="AU33" s="21">
        <v>77.601410000000001</v>
      </c>
      <c r="AV33" s="21">
        <v>80.289709999999999</v>
      </c>
      <c r="AW33" s="21">
        <v>38.746949999999998</v>
      </c>
      <c r="AX33" s="21">
        <v>43.534860000000002</v>
      </c>
      <c r="AY33" s="21">
        <v>47.728659999999998</v>
      </c>
      <c r="AZ33" s="22">
        <v>1170.07</v>
      </c>
      <c r="BA33" s="22">
        <v>5570.68</v>
      </c>
      <c r="BB33" s="22">
        <v>13.891999999999999</v>
      </c>
      <c r="BC33" s="22">
        <v>39.177999999999997</v>
      </c>
      <c r="BE33" s="23">
        <f t="shared" si="14"/>
        <v>1.0320764910605471</v>
      </c>
      <c r="BF33" s="24">
        <f t="shared" si="15"/>
        <v>-2.2846420112297115E-3</v>
      </c>
      <c r="BG33" s="24">
        <f t="shared" si="16"/>
        <v>1.0599314841190255E-2</v>
      </c>
      <c r="BH33" s="24"/>
      <c r="BJ33" s="23"/>
      <c r="BK33" s="23"/>
      <c r="BL33" s="23"/>
      <c r="BM33" s="23"/>
      <c r="BN33" s="23"/>
      <c r="BP33" s="23"/>
      <c r="BQ33" s="23"/>
      <c r="BR33" s="23"/>
      <c r="BS33" s="23"/>
      <c r="BT33" s="23"/>
      <c r="BV33" s="4">
        <f t="shared" si="18"/>
        <v>-200328</v>
      </c>
      <c r="BW33" s="4">
        <f t="shared" si="18"/>
        <v>-20032.799999999814</v>
      </c>
      <c r="BX33" s="4">
        <f t="shared" si="18"/>
        <v>-7063.6000000000058</v>
      </c>
      <c r="BY33" s="4">
        <f t="shared" si="18"/>
        <v>41312</v>
      </c>
      <c r="BZ33" s="4">
        <f t="shared" si="18"/>
        <v>90680</v>
      </c>
      <c r="CA33" s="4">
        <f t="shared" si="18"/>
        <v>-29408</v>
      </c>
      <c r="CB33" s="4">
        <f t="shared" si="18"/>
        <v>-19960</v>
      </c>
      <c r="CC33" s="4">
        <f t="shared" si="18"/>
        <v>7.9199999999985948E-3</v>
      </c>
      <c r="CD33" s="4">
        <f t="shared" si="18"/>
        <v>-5.3599999999960346E-3</v>
      </c>
      <c r="CE33" s="4">
        <f t="shared" si="18"/>
        <v>-8.5120000000003415E-2</v>
      </c>
      <c r="CF33" s="4">
        <f t="shared" si="18"/>
        <v>-2.2400000000004638E-3</v>
      </c>
      <c r="CG33" s="4">
        <f t="shared" si="18"/>
        <v>-4.1420000000002233E-2</v>
      </c>
    </row>
    <row r="34" spans="1:85" ht="15" outlineLevel="1" thickBot="1" x14ac:dyDescent="0.35">
      <c r="A34" s="25"/>
      <c r="B34" s="45" t="s">
        <v>291</v>
      </c>
      <c r="C34" s="46" t="s">
        <v>275</v>
      </c>
      <c r="D34" s="45">
        <v>28802925</v>
      </c>
      <c r="E34" s="46">
        <v>11</v>
      </c>
      <c r="F34" s="46">
        <v>10</v>
      </c>
      <c r="G34" s="46">
        <v>30</v>
      </c>
      <c r="I34" s="47">
        <f t="shared" si="0"/>
        <v>24.08952</v>
      </c>
      <c r="J34" s="48">
        <f t="shared" si="1"/>
        <v>0.27878557472895549</v>
      </c>
      <c r="K34" s="48">
        <f t="shared" si="2"/>
        <v>0.11209667073743379</v>
      </c>
      <c r="L34" s="48">
        <f t="shared" si="3"/>
        <v>8.7225307846338529E-2</v>
      </c>
      <c r="M34" s="48">
        <f t="shared" si="4"/>
        <v>0.1666889039915217</v>
      </c>
      <c r="N34" s="45">
        <f t="shared" si="5"/>
        <v>3228712</v>
      </c>
      <c r="O34" s="48">
        <f t="shared" si="6"/>
        <v>0.27893510943853239</v>
      </c>
      <c r="P34" s="49">
        <v>28787484</v>
      </c>
      <c r="Q34" s="49">
        <v>2878748.4</v>
      </c>
      <c r="R34" s="49">
        <v>22091.599999999999</v>
      </c>
      <c r="S34" s="50">
        <v>8029840</v>
      </c>
      <c r="T34" s="50">
        <v>2512344</v>
      </c>
      <c r="U34" s="50">
        <v>716368</v>
      </c>
      <c r="V34" s="50">
        <v>4801128</v>
      </c>
      <c r="W34" s="51">
        <v>78.665599999999998</v>
      </c>
      <c r="X34" s="51">
        <v>81.914439999999999</v>
      </c>
      <c r="Y34" s="51">
        <v>40.517249999999997</v>
      </c>
      <c r="Z34" s="51">
        <v>44.157530000000001</v>
      </c>
      <c r="AA34" s="51">
        <v>49.03051</v>
      </c>
      <c r="AB34" s="52">
        <v>5785.24</v>
      </c>
      <c r="AC34" s="52">
        <v>10056.299999999999</v>
      </c>
      <c r="AD34" s="52">
        <v>26.195</v>
      </c>
      <c r="AE34" s="52">
        <v>65.045000000000002</v>
      </c>
      <c r="AG34" s="47">
        <f t="shared" si="7"/>
        <v>24.23592</v>
      </c>
      <c r="AH34" s="48">
        <f t="shared" si="8"/>
        <v>0.28047984709886237</v>
      </c>
      <c r="AI34" s="48">
        <f t="shared" si="9"/>
        <v>0.11593044803609355</v>
      </c>
      <c r="AJ34" s="48">
        <f t="shared" si="10"/>
        <v>9.162986050895873E-2</v>
      </c>
      <c r="AK34" s="48">
        <f t="shared" si="11"/>
        <v>0.1645493990627688</v>
      </c>
      <c r="AL34" s="45">
        <f t="shared" si="12"/>
        <v>3339136</v>
      </c>
      <c r="AM34" s="48">
        <f t="shared" si="13"/>
        <v>0.28232280632498363</v>
      </c>
      <c r="AN34" s="49">
        <v>28614904</v>
      </c>
      <c r="AO34" s="49">
        <v>2861490.4</v>
      </c>
      <c r="AP34" s="49">
        <v>21253.8</v>
      </c>
      <c r="AQ34" s="50">
        <v>8078640</v>
      </c>
      <c r="AR34" s="50">
        <v>2639208</v>
      </c>
      <c r="AS34" s="50">
        <v>699928</v>
      </c>
      <c r="AT34" s="50">
        <v>4739504</v>
      </c>
      <c r="AU34" s="51">
        <v>78.512379999999993</v>
      </c>
      <c r="AV34" s="51">
        <v>81.884180000000001</v>
      </c>
      <c r="AW34" s="51">
        <v>40.403440000000003</v>
      </c>
      <c r="AX34" s="51">
        <v>44.120649999999998</v>
      </c>
      <c r="AY34" s="51">
        <v>48.929180000000002</v>
      </c>
      <c r="AZ34" s="52">
        <v>1113.53</v>
      </c>
      <c r="BA34" s="52">
        <v>6400.96</v>
      </c>
      <c r="BB34" s="52">
        <v>15.382999999999999</v>
      </c>
      <c r="BC34" s="52">
        <v>39.557000000000002</v>
      </c>
      <c r="BE34" s="53">
        <f t="shared" si="14"/>
        <v>1.034200634804219</v>
      </c>
      <c r="BF34" s="54">
        <f t="shared" si="15"/>
        <v>-2.4650147341271408E-4</v>
      </c>
      <c r="BG34" s="54">
        <f t="shared" si="16"/>
        <v>1.1239768907373215E-2</v>
      </c>
      <c r="BH34" s="54"/>
      <c r="BJ34" s="53"/>
      <c r="BK34" s="53"/>
      <c r="BL34" s="53"/>
      <c r="BM34" s="53"/>
      <c r="BN34" s="53"/>
      <c r="BP34" s="53"/>
      <c r="BQ34" s="53"/>
      <c r="BR34" s="53"/>
      <c r="BS34" s="53"/>
      <c r="BT34" s="53"/>
      <c r="BV34" s="4">
        <f t="shared" si="18"/>
        <v>-172580</v>
      </c>
      <c r="BW34" s="4">
        <f t="shared" si="18"/>
        <v>-17258</v>
      </c>
      <c r="BX34" s="4">
        <f t="shared" si="18"/>
        <v>-837.79999999999927</v>
      </c>
      <c r="BY34" s="4">
        <f t="shared" si="18"/>
        <v>48800</v>
      </c>
      <c r="BZ34" s="4">
        <f t="shared" si="18"/>
        <v>126864</v>
      </c>
      <c r="CA34" s="4">
        <f t="shared" si="18"/>
        <v>-16440</v>
      </c>
      <c r="CB34" s="4">
        <f t="shared" si="18"/>
        <v>-61624</v>
      </c>
      <c r="CC34" s="4">
        <f t="shared" si="18"/>
        <v>-0.15322000000000457</v>
      </c>
      <c r="CD34" s="4">
        <f t="shared" si="18"/>
        <v>-3.0259999999998399E-2</v>
      </c>
      <c r="CE34" s="4">
        <f t="shared" si="18"/>
        <v>-0.11380999999999375</v>
      </c>
      <c r="CF34" s="4">
        <f t="shared" si="18"/>
        <v>-3.6880000000003577E-2</v>
      </c>
      <c r="CG34" s="4">
        <f t="shared" si="18"/>
        <v>-0.10132999999999726</v>
      </c>
    </row>
    <row r="35" spans="1:85" x14ac:dyDescent="0.3">
      <c r="A35" s="15"/>
      <c r="B35" s="15" t="s">
        <v>295</v>
      </c>
      <c r="C35" s="16" t="s">
        <v>271</v>
      </c>
      <c r="D35" s="15">
        <v>25767032</v>
      </c>
      <c r="E35" s="16">
        <v>11</v>
      </c>
      <c r="F35" s="16">
        <v>10</v>
      </c>
      <c r="G35" s="16">
        <v>30</v>
      </c>
      <c r="I35" s="17">
        <f t="shared" si="0"/>
        <v>4.7936160000000001</v>
      </c>
      <c r="J35" s="18">
        <f t="shared" si="1"/>
        <v>6.2012264353923263E-2</v>
      </c>
      <c r="K35" s="18">
        <f t="shared" si="2"/>
        <v>4.5490377005780097E-2</v>
      </c>
      <c r="L35" s="18">
        <f t="shared" si="3"/>
        <v>2.8484149823697194E-2</v>
      </c>
      <c r="M35" s="18">
        <f t="shared" si="4"/>
        <v>1.6521887348143163E-2</v>
      </c>
      <c r="N35" s="15">
        <f t="shared" si="5"/>
        <v>1172152</v>
      </c>
      <c r="O35" s="18">
        <f t="shared" si="6"/>
        <v>6.8460551053040178E-2</v>
      </c>
      <c r="P35" s="19">
        <v>23340040</v>
      </c>
      <c r="Q35" s="19">
        <v>2334004</v>
      </c>
      <c r="R35" s="19">
        <v>35375.800000000003</v>
      </c>
      <c r="S35" s="20">
        <v>1597872</v>
      </c>
      <c r="T35" s="20">
        <v>733952</v>
      </c>
      <c r="U35" s="20">
        <v>438200</v>
      </c>
      <c r="V35" s="20">
        <v>425720</v>
      </c>
      <c r="W35" s="21">
        <v>73.251599999999996</v>
      </c>
      <c r="X35" s="21">
        <v>75.43468</v>
      </c>
      <c r="Y35" s="21">
        <v>32.063749999999999</v>
      </c>
      <c r="Z35" s="21">
        <v>42.235770000000002</v>
      </c>
      <c r="AA35" s="21">
        <v>43.587580000000003</v>
      </c>
      <c r="AB35" s="22">
        <v>4833.01</v>
      </c>
      <c r="AC35" s="22">
        <v>14940.5</v>
      </c>
      <c r="AD35" s="22">
        <v>22.093</v>
      </c>
      <c r="AE35" s="22">
        <v>82.391999999999996</v>
      </c>
      <c r="AG35" s="17">
        <f t="shared" si="7"/>
        <v>4.6513920000000004</v>
      </c>
      <c r="AH35" s="18">
        <f t="shared" si="8"/>
        <v>6.0172393933457295E-2</v>
      </c>
      <c r="AI35" s="18">
        <f t="shared" si="9"/>
        <v>4.4368944005658086E-2</v>
      </c>
      <c r="AJ35" s="18">
        <f t="shared" si="10"/>
        <v>2.8376104783818329E-2</v>
      </c>
      <c r="AK35" s="18">
        <f t="shared" si="11"/>
        <v>1.5803449927799213E-2</v>
      </c>
      <c r="AL35" s="15">
        <f t="shared" si="12"/>
        <v>1143256</v>
      </c>
      <c r="AM35" s="18">
        <f t="shared" si="13"/>
        <v>6.6817738739549007E-2</v>
      </c>
      <c r="AN35" s="19">
        <v>23204377</v>
      </c>
      <c r="AO35" s="19">
        <v>2320437.7000000002</v>
      </c>
      <c r="AP35" s="19">
        <v>29148.2</v>
      </c>
      <c r="AQ35" s="20">
        <v>1550464</v>
      </c>
      <c r="AR35" s="20">
        <v>731168</v>
      </c>
      <c r="AS35" s="20">
        <v>412088</v>
      </c>
      <c r="AT35" s="20">
        <v>407208</v>
      </c>
      <c r="AU35" s="21">
        <v>73.224720000000005</v>
      </c>
      <c r="AV35" s="21">
        <v>75.451710000000006</v>
      </c>
      <c r="AW35" s="21">
        <v>32.014299999999999</v>
      </c>
      <c r="AX35" s="21">
        <v>42.177160000000001</v>
      </c>
      <c r="AY35" s="21">
        <v>43.383020000000002</v>
      </c>
      <c r="AZ35" s="22">
        <v>1128.3699999999999</v>
      </c>
      <c r="BA35" s="22">
        <v>9356.61</v>
      </c>
      <c r="BB35" s="22">
        <v>13.14</v>
      </c>
      <c r="BC35" s="22">
        <v>60.241</v>
      </c>
      <c r="BE35" s="23">
        <f t="shared" si="14"/>
        <v>0.97534790709737318</v>
      </c>
      <c r="BF35" s="24">
        <f t="shared" si="15"/>
        <v>-2.595191265702089E-3</v>
      </c>
      <c r="BG35" s="24">
        <f t="shared" si="16"/>
        <v>3.7931337496669437E-3</v>
      </c>
      <c r="BH35" s="24">
        <f t="array" ref="BH35">AVERAGE(AL35:AL39/AQ35:AQ39) - AVERAGE(N35:N39/S35:S39)</f>
        <v>1.0888114714357466E-2</v>
      </c>
      <c r="BJ35" s="23">
        <f>IF( OR(ISBLANK(N35:N39),ISBLANK(AL35:AL39), ISBLANK(W35:W39),ISBLANK(AU35:AU39)), "·", bdRateExtend( N35:N39,W35:W39, AL35:AL39,AU35:AU39))</f>
        <v>1.673177416530347E-2</v>
      </c>
      <c r="BK35" s="23">
        <f>IF( OR(ISBLANK(N35:N39),ISBLANK(AL35:AL39), ISBLANK(X35:X39),ISBLANK(AV35:AV39)), "·", bdRateExtend( N35:N39,X35:X39, AL35:AL39,AV35:AV39))</f>
        <v>8.5827471017343449E-3</v>
      </c>
      <c r="BL35" s="23">
        <f>IF( OR(ISBLANK(V35:V39),ISBLANK(AT35:AT39), ISBLANK(Y35:Y39),ISBLANK(AW35:AW39)), "·", bdRateExtend( V35:V39,Y35:Y39, AT35:AT39,AW35:AW39))</f>
        <v>-1.1927813311353064E-2</v>
      </c>
      <c r="BM35" s="23">
        <f>IF( OR(ISBLANK(V35:V39),ISBLANK(AT35:AT39), ISBLANK(Z35:Z39),ISBLANK(AX35:AX39)), "·", bdRateExtend( V35:V39,Z35:Z39, AT35:AT39,AX35:AX39))</f>
        <v>-2.1823443295496348E-2</v>
      </c>
      <c r="BN35" s="23">
        <f>IF( OR(ISBLANK(V35:V39),ISBLANK(AT35:AT39), ISBLANK(AA35:AA39),ISBLANK(AY35:AY39)), "·", bdRateExtend( V35:V39,AA35:AA39, AT35:AT39,AY35:AY39))</f>
        <v>-6.8805423880534677E-3</v>
      </c>
      <c r="BP35" s="23">
        <f>IF( OR(ISBLANK(S35:S39),ISBLANK(AQ35:AQ39), ISBLANK(W35:W39),ISBLANK(AU35:AU39)), "·", bdRateExtend( S35:S39,W35:W39, AQ35:AQ39,AU35:AU39))</f>
        <v>4.1640555999076234E-3</v>
      </c>
      <c r="BQ35" s="23">
        <f>IF( OR(ISBLANK(S35:S39),ISBLANK(AQ35:AQ39), ISBLANK(X35:X39),ISBLANK(AV35:AV39)), "·", bdRateExtend( S35:S39,X35:X39, AQ35:AQ39,AV35:AV39))</f>
        <v>-1.1962331212381105E-2</v>
      </c>
      <c r="BR35" s="23">
        <f>IF( OR(ISBLANK(S35:S39),ISBLANK(AQ35:AQ39), ISBLANK(Y35:Y39),ISBLANK(AW35:AW39)), "·", bdRateExtend( S35:S39,Y35:Y39, AQ35:AQ39,AW35:AW39))</f>
        <v>5.8342840106475613E-3</v>
      </c>
      <c r="BS35" s="23">
        <f>IF( OR(ISBLANK(S35:S39),ISBLANK(AQ35:AQ39), ISBLANK(Z35:Z39),ISBLANK(AX35:AX39)), "·", bdRateExtend( S35:S39,Z35:Z39, AQ35:AQ39,AX35:AX39))</f>
        <v>-1.126008231522535E-3</v>
      </c>
      <c r="BT35" s="23">
        <f>IF( OR(ISBLANK(S35:S39),ISBLANK(AQ35:AQ39), ISBLANK(AA35:AA39),ISBLANK(AY35:AY39)), "·", bdRateExtend( S35:S39,AA35:AA39, AQ35:AQ39,AY35:AY39))</f>
        <v>7.6046218441505609E-3</v>
      </c>
      <c r="BV35" s="4">
        <f t="shared" si="18"/>
        <v>-135663</v>
      </c>
      <c r="BW35" s="4">
        <f t="shared" si="18"/>
        <v>-13566.299999999814</v>
      </c>
      <c r="BX35" s="4">
        <f t="shared" si="18"/>
        <v>-6227.6000000000022</v>
      </c>
      <c r="BY35" s="4">
        <f t="shared" si="18"/>
        <v>-47408</v>
      </c>
      <c r="BZ35" s="4">
        <f t="shared" si="18"/>
        <v>-2784</v>
      </c>
      <c r="CA35" s="4">
        <f t="shared" si="18"/>
        <v>-26112</v>
      </c>
      <c r="CB35" s="4">
        <f t="shared" si="18"/>
        <v>-18512</v>
      </c>
      <c r="CC35" s="4">
        <f t="shared" si="18"/>
        <v>-2.6879999999991355E-2</v>
      </c>
      <c r="CD35" s="4">
        <f t="shared" si="18"/>
        <v>1.703000000000543E-2</v>
      </c>
      <c r="CE35" s="4">
        <f t="shared" si="18"/>
        <v>-4.9450000000000216E-2</v>
      </c>
      <c r="CF35" s="4">
        <f t="shared" si="18"/>
        <v>-5.8610000000001605E-2</v>
      </c>
      <c r="CG35" s="4">
        <f t="shared" si="18"/>
        <v>-0.20456000000000074</v>
      </c>
    </row>
    <row r="36" spans="1:85" outlineLevel="1" x14ac:dyDescent="0.3">
      <c r="A36" s="25"/>
      <c r="B36" s="25" t="s">
        <v>295</v>
      </c>
      <c r="C36" s="26" t="s">
        <v>272</v>
      </c>
      <c r="D36" s="25">
        <v>25767032</v>
      </c>
      <c r="E36" s="26">
        <v>11</v>
      </c>
      <c r="F36" s="26">
        <v>10</v>
      </c>
      <c r="G36" s="26">
        <v>30</v>
      </c>
      <c r="I36" s="27">
        <f t="shared" si="0"/>
        <v>6.4210560000000001</v>
      </c>
      <c r="J36" s="28">
        <f t="shared" si="1"/>
        <v>8.306552341767573E-2</v>
      </c>
      <c r="K36" s="28">
        <f t="shared" si="2"/>
        <v>5.5183693643877957E-2</v>
      </c>
      <c r="L36" s="28">
        <f t="shared" si="3"/>
        <v>3.8177466461795054E-2</v>
      </c>
      <c r="M36" s="28">
        <f t="shared" si="4"/>
        <v>2.7881829773797773E-2</v>
      </c>
      <c r="N36" s="25">
        <f t="shared" si="5"/>
        <v>1421920</v>
      </c>
      <c r="O36" s="28">
        <f t="shared" si="6"/>
        <v>8.5770123300723478E-2</v>
      </c>
      <c r="P36" s="29">
        <v>24954517</v>
      </c>
      <c r="Q36" s="29">
        <v>2495451.7000000002</v>
      </c>
      <c r="R36" s="29">
        <v>45445.4</v>
      </c>
      <c r="S36" s="30">
        <v>2140352</v>
      </c>
      <c r="T36" s="30">
        <v>983720</v>
      </c>
      <c r="U36" s="30">
        <v>438200</v>
      </c>
      <c r="V36" s="30">
        <v>718432</v>
      </c>
      <c r="W36" s="31">
        <v>74.995549999999994</v>
      </c>
      <c r="X36" s="31">
        <v>77.371229999999997</v>
      </c>
      <c r="Y36" s="31">
        <v>34.284669999999998</v>
      </c>
      <c r="Z36" s="31">
        <v>43.00902</v>
      </c>
      <c r="AA36" s="31">
        <v>44.970680000000002</v>
      </c>
      <c r="AB36" s="32">
        <v>4951.42</v>
      </c>
      <c r="AC36" s="32">
        <v>15157.7</v>
      </c>
      <c r="AD36" s="32">
        <v>15.581</v>
      </c>
      <c r="AE36" s="32">
        <v>82.638999999999996</v>
      </c>
      <c r="AG36" s="27">
        <f t="shared" si="7"/>
        <v>6.2862960000000001</v>
      </c>
      <c r="AH36" s="28">
        <f t="shared" si="8"/>
        <v>8.1322210489745195E-2</v>
      </c>
      <c r="AI36" s="28">
        <f t="shared" si="9"/>
        <v>5.4625150463584633E-2</v>
      </c>
      <c r="AJ36" s="28">
        <f t="shared" si="10"/>
        <v>3.8632311241744877E-2</v>
      </c>
      <c r="AK36" s="28">
        <f t="shared" si="11"/>
        <v>2.6697060026160561E-2</v>
      </c>
      <c r="AL36" s="25">
        <f t="shared" si="12"/>
        <v>1407528</v>
      </c>
      <c r="AM36" s="28">
        <f t="shared" si="13"/>
        <v>8.4583163630037261E-2</v>
      </c>
      <c r="AN36" s="29">
        <v>24773630</v>
      </c>
      <c r="AO36" s="29">
        <v>2477363</v>
      </c>
      <c r="AP36" s="29">
        <v>37204.199999999997</v>
      </c>
      <c r="AQ36" s="30">
        <v>2095432</v>
      </c>
      <c r="AR36" s="30">
        <v>995440</v>
      </c>
      <c r="AS36" s="30">
        <v>412088</v>
      </c>
      <c r="AT36" s="30">
        <v>687904</v>
      </c>
      <c r="AU36" s="31">
        <v>74.958129999999997</v>
      </c>
      <c r="AV36" s="31">
        <v>77.389160000000004</v>
      </c>
      <c r="AW36" s="31">
        <v>34.244019999999999</v>
      </c>
      <c r="AX36" s="31">
        <v>42.963889999999999</v>
      </c>
      <c r="AY36" s="31">
        <v>44.794249999999998</v>
      </c>
      <c r="AZ36" s="32">
        <v>1155.06</v>
      </c>
      <c r="BA36" s="32">
        <v>9915.49</v>
      </c>
      <c r="BB36" s="32">
        <v>13.778</v>
      </c>
      <c r="BC36" s="32">
        <v>58.527000000000001</v>
      </c>
      <c r="BE36" s="33">
        <f t="shared" si="14"/>
        <v>0.98987847417576247</v>
      </c>
      <c r="BF36" s="34">
        <f t="shared" si="15"/>
        <v>-3.1936302428669031E-3</v>
      </c>
      <c r="BG36" s="34">
        <f t="shared" si="16"/>
        <v>7.3732397029573349E-3</v>
      </c>
      <c r="BH36" s="34"/>
      <c r="BJ36" s="33"/>
      <c r="BK36" s="33"/>
      <c r="BL36" s="33"/>
      <c r="BM36" s="33"/>
      <c r="BN36" s="33"/>
      <c r="BP36" s="33"/>
      <c r="BQ36" s="33"/>
      <c r="BR36" s="33"/>
      <c r="BS36" s="33"/>
      <c r="BT36" s="33"/>
      <c r="BV36" s="4">
        <f t="shared" si="18"/>
        <v>-180887</v>
      </c>
      <c r="BW36" s="4">
        <f t="shared" si="18"/>
        <v>-18088.700000000186</v>
      </c>
      <c r="BX36" s="4">
        <f t="shared" si="18"/>
        <v>-8241.2000000000044</v>
      </c>
      <c r="BY36" s="4">
        <f t="shared" si="18"/>
        <v>-44920</v>
      </c>
      <c r="BZ36" s="4">
        <f t="shared" si="18"/>
        <v>11720</v>
      </c>
      <c r="CA36" s="4">
        <f t="shared" si="18"/>
        <v>-26112</v>
      </c>
      <c r="CB36" s="4">
        <f t="shared" si="18"/>
        <v>-30528</v>
      </c>
      <c r="CC36" s="4">
        <f t="shared" si="18"/>
        <v>-3.7419999999997344E-2</v>
      </c>
      <c r="CD36" s="4">
        <f t="shared" si="18"/>
        <v>1.7930000000006885E-2</v>
      </c>
      <c r="CE36" s="4">
        <f t="shared" si="18"/>
        <v>-4.0649999999999409E-2</v>
      </c>
      <c r="CF36" s="4">
        <f t="shared" si="18"/>
        <v>-4.5130000000000337E-2</v>
      </c>
      <c r="CG36" s="4">
        <f t="shared" si="18"/>
        <v>-0.17643000000000342</v>
      </c>
    </row>
    <row r="37" spans="1:85" outlineLevel="1" x14ac:dyDescent="0.3">
      <c r="A37" s="15"/>
      <c r="B37" s="15" t="s">
        <v>295</v>
      </c>
      <c r="C37" s="16" t="s">
        <v>273</v>
      </c>
      <c r="D37" s="15">
        <v>25767032</v>
      </c>
      <c r="E37" s="16">
        <v>11</v>
      </c>
      <c r="F37" s="16">
        <v>10</v>
      </c>
      <c r="G37" s="16">
        <v>30</v>
      </c>
      <c r="I37" s="17">
        <f t="shared" si="0"/>
        <v>9.2278559999999992</v>
      </c>
      <c r="J37" s="18">
        <f t="shared" si="1"/>
        <v>0.11937548725053006</v>
      </c>
      <c r="K37" s="18">
        <f t="shared" si="2"/>
        <v>6.8869709169453439E-2</v>
      </c>
      <c r="L37" s="18">
        <f t="shared" si="3"/>
        <v>5.1863481987370529E-2</v>
      </c>
      <c r="M37" s="18">
        <f t="shared" si="4"/>
        <v>5.0505778081076626E-2</v>
      </c>
      <c r="N37" s="15">
        <f t="shared" si="5"/>
        <v>1774568</v>
      </c>
      <c r="O37" s="18">
        <f t="shared" si="6"/>
        <v>0.12030480299781093</v>
      </c>
      <c r="P37" s="19">
        <v>25567990</v>
      </c>
      <c r="Q37" s="19">
        <v>2556799</v>
      </c>
      <c r="R37" s="19">
        <v>49574.8</v>
      </c>
      <c r="S37" s="20">
        <v>3075952</v>
      </c>
      <c r="T37" s="20">
        <v>1336368</v>
      </c>
      <c r="U37" s="20">
        <v>438200</v>
      </c>
      <c r="V37" s="20">
        <v>1301384</v>
      </c>
      <c r="W37" s="21">
        <v>76.340559999999996</v>
      </c>
      <c r="X37" s="21">
        <v>78.975020000000001</v>
      </c>
      <c r="Y37" s="21">
        <v>36.336759999999998</v>
      </c>
      <c r="Z37" s="21">
        <v>43.577480000000001</v>
      </c>
      <c r="AA37" s="21">
        <v>46.203139999999998</v>
      </c>
      <c r="AB37" s="22">
        <v>5181.3599999999997</v>
      </c>
      <c r="AC37" s="22">
        <v>14911.2</v>
      </c>
      <c r="AD37" s="22">
        <v>21.773</v>
      </c>
      <c r="AE37" s="22">
        <v>77.861000000000004</v>
      </c>
      <c r="AG37" s="17">
        <f t="shared" si="7"/>
        <v>9.1420080000000006</v>
      </c>
      <c r="AH37" s="18">
        <f t="shared" si="8"/>
        <v>0.11826492084924643</v>
      </c>
      <c r="AI37" s="18">
        <f t="shared" si="9"/>
        <v>6.9606775044948915E-2</v>
      </c>
      <c r="AJ37" s="18">
        <f t="shared" si="10"/>
        <v>5.3613935823109159E-2</v>
      </c>
      <c r="AK37" s="18">
        <f t="shared" si="11"/>
        <v>4.8658145804297524E-2</v>
      </c>
      <c r="AL37" s="15">
        <f t="shared" si="12"/>
        <v>1793560</v>
      </c>
      <c r="AM37" s="18">
        <f t="shared" si="13"/>
        <v>0.12034702406568462</v>
      </c>
      <c r="AN37" s="19">
        <v>25321241</v>
      </c>
      <c r="AO37" s="19">
        <v>2532124.1</v>
      </c>
      <c r="AP37" s="19">
        <v>40926.1</v>
      </c>
      <c r="AQ37" s="20">
        <v>3047336</v>
      </c>
      <c r="AR37" s="20">
        <v>1381472</v>
      </c>
      <c r="AS37" s="20">
        <v>412088</v>
      </c>
      <c r="AT37" s="20">
        <v>1253776</v>
      </c>
      <c r="AU37" s="21">
        <v>76.252920000000003</v>
      </c>
      <c r="AV37" s="21">
        <v>78.959090000000003</v>
      </c>
      <c r="AW37" s="21">
        <v>36.25844</v>
      </c>
      <c r="AX37" s="21">
        <v>43.630249999999997</v>
      </c>
      <c r="AY37" s="21">
        <v>46.312809999999999</v>
      </c>
      <c r="AZ37" s="22">
        <v>1005.38</v>
      </c>
      <c r="BA37" s="22">
        <v>10427.5</v>
      </c>
      <c r="BB37" s="22">
        <v>16.148</v>
      </c>
      <c r="BC37" s="22">
        <v>62.969000000000001</v>
      </c>
      <c r="BE37" s="23">
        <f t="shared" si="14"/>
        <v>1.0107023230442564</v>
      </c>
      <c r="BF37" s="24">
        <f t="shared" si="15"/>
        <v>-3.2266461504628745E-3</v>
      </c>
      <c r="BG37" s="24">
        <f t="shared" si="16"/>
        <v>1.1649863214628353E-2</v>
      </c>
      <c r="BH37" s="24"/>
      <c r="BJ37" s="23"/>
      <c r="BK37" s="23"/>
      <c r="BL37" s="23"/>
      <c r="BM37" s="23"/>
      <c r="BN37" s="23"/>
      <c r="BP37" s="23"/>
      <c r="BQ37" s="23"/>
      <c r="BR37" s="23"/>
      <c r="BS37" s="23"/>
      <c r="BT37" s="23"/>
      <c r="BV37" s="4">
        <f t="shared" si="18"/>
        <v>-246749</v>
      </c>
      <c r="BW37" s="4">
        <f t="shared" si="18"/>
        <v>-24674.899999999907</v>
      </c>
      <c r="BX37" s="4">
        <f t="shared" si="18"/>
        <v>-8648.7000000000044</v>
      </c>
      <c r="BY37" s="4">
        <f t="shared" si="18"/>
        <v>-28616</v>
      </c>
      <c r="BZ37" s="4">
        <f t="shared" si="18"/>
        <v>45104</v>
      </c>
      <c r="CA37" s="4">
        <f t="shared" si="18"/>
        <v>-26112</v>
      </c>
      <c r="CB37" s="4">
        <f t="shared" si="18"/>
        <v>-47608</v>
      </c>
      <c r="CC37" s="4">
        <f t="shared" si="18"/>
        <v>-8.7639999999993279E-2</v>
      </c>
      <c r="CD37" s="4">
        <f t="shared" si="18"/>
        <v>-1.5929999999997335E-2</v>
      </c>
      <c r="CE37" s="4">
        <f t="shared" si="18"/>
        <v>-7.8319999999997947E-2</v>
      </c>
      <c r="CF37" s="4">
        <f t="shared" si="18"/>
        <v>5.2769999999995321E-2</v>
      </c>
      <c r="CG37" s="4">
        <f t="shared" si="18"/>
        <v>0.10967000000000127</v>
      </c>
    </row>
    <row r="38" spans="1:85" outlineLevel="1" x14ac:dyDescent="0.3">
      <c r="A38" s="25"/>
      <c r="B38" s="25" t="s">
        <v>295</v>
      </c>
      <c r="C38" s="26" t="s">
        <v>274</v>
      </c>
      <c r="D38" s="25">
        <v>25767032</v>
      </c>
      <c r="E38" s="26">
        <v>11</v>
      </c>
      <c r="F38" s="26">
        <v>10</v>
      </c>
      <c r="G38" s="26">
        <v>30</v>
      </c>
      <c r="I38" s="27">
        <f t="shared" si="0"/>
        <v>15.076560000000001</v>
      </c>
      <c r="J38" s="28">
        <f t="shared" si="1"/>
        <v>0.19503682069397826</v>
      </c>
      <c r="K38" s="28">
        <f t="shared" si="2"/>
        <v>9.1862811362985075E-2</v>
      </c>
      <c r="L38" s="28">
        <f t="shared" si="3"/>
        <v>7.4856584180902172E-2</v>
      </c>
      <c r="M38" s="28">
        <f t="shared" si="4"/>
        <v>0.10317400933099319</v>
      </c>
      <c r="N38" s="25">
        <f t="shared" si="5"/>
        <v>2367032</v>
      </c>
      <c r="O38" s="28">
        <f t="shared" si="6"/>
        <v>0.19117989155420398</v>
      </c>
      <c r="P38" s="29">
        <v>26286865</v>
      </c>
      <c r="Q38" s="29">
        <v>2628686.5</v>
      </c>
      <c r="R38" s="29">
        <v>56232.4</v>
      </c>
      <c r="S38" s="30">
        <v>5025520</v>
      </c>
      <c r="T38" s="30">
        <v>1928832</v>
      </c>
      <c r="U38" s="30">
        <v>438200</v>
      </c>
      <c r="V38" s="30">
        <v>2658488</v>
      </c>
      <c r="W38" s="31">
        <v>77.436340000000001</v>
      </c>
      <c r="X38" s="31">
        <v>80.171809999999994</v>
      </c>
      <c r="Y38" s="31">
        <v>38.24774</v>
      </c>
      <c r="Z38" s="31">
        <v>44.288029999999999</v>
      </c>
      <c r="AA38" s="31">
        <v>47.411380000000001</v>
      </c>
      <c r="AB38" s="32">
        <v>5324.4</v>
      </c>
      <c r="AC38" s="32">
        <v>16249.3</v>
      </c>
      <c r="AD38" s="32">
        <v>16.757000000000001</v>
      </c>
      <c r="AE38" s="32">
        <v>65.316000000000003</v>
      </c>
      <c r="AG38" s="27">
        <f t="shared" si="7"/>
        <v>15.112992</v>
      </c>
      <c r="AH38" s="28">
        <f t="shared" si="8"/>
        <v>0.19550812060931194</v>
      </c>
      <c r="AI38" s="28">
        <f t="shared" si="9"/>
        <v>9.4801139688886177E-2</v>
      </c>
      <c r="AJ38" s="28">
        <f t="shared" si="10"/>
        <v>7.8808300467046413E-2</v>
      </c>
      <c r="AK38" s="28">
        <f t="shared" si="11"/>
        <v>0.10070698092042576</v>
      </c>
      <c r="AL38" s="25">
        <f t="shared" si="12"/>
        <v>2442744</v>
      </c>
      <c r="AM38" s="28">
        <f t="shared" si="13"/>
        <v>0.19411779235201182</v>
      </c>
      <c r="AN38" s="29">
        <v>25951583</v>
      </c>
      <c r="AO38" s="29">
        <v>2595158.2999999998</v>
      </c>
      <c r="AP38" s="29">
        <v>45753.7</v>
      </c>
      <c r="AQ38" s="30">
        <v>5037664</v>
      </c>
      <c r="AR38" s="30">
        <v>2030656</v>
      </c>
      <c r="AS38" s="30">
        <v>412088</v>
      </c>
      <c r="AT38" s="30">
        <v>2594920</v>
      </c>
      <c r="AU38" s="31">
        <v>77.425529999999995</v>
      </c>
      <c r="AV38" s="31">
        <v>80.159800000000004</v>
      </c>
      <c r="AW38" s="31">
        <v>38.162660000000002</v>
      </c>
      <c r="AX38" s="31">
        <v>44.274769999999997</v>
      </c>
      <c r="AY38" s="31">
        <v>47.361440000000002</v>
      </c>
      <c r="AZ38" s="32">
        <v>1026.68</v>
      </c>
      <c r="BA38" s="32">
        <v>11438</v>
      </c>
      <c r="BB38" s="32">
        <v>13.657999999999999</v>
      </c>
      <c r="BC38" s="32">
        <v>60.792000000000002</v>
      </c>
      <c r="BE38" s="33">
        <f t="shared" si="14"/>
        <v>1.0319860483508461</v>
      </c>
      <c r="BF38" s="34">
        <f t="shared" si="15"/>
        <v>-3.7614162624637452E-3</v>
      </c>
      <c r="BG38" s="34">
        <f t="shared" si="16"/>
        <v>1.3893770368386293E-2</v>
      </c>
      <c r="BH38" s="34"/>
      <c r="BJ38" s="33"/>
      <c r="BK38" s="33"/>
      <c r="BL38" s="33"/>
      <c r="BM38" s="33"/>
      <c r="BN38" s="33"/>
      <c r="BP38" s="33"/>
      <c r="BQ38" s="33"/>
      <c r="BR38" s="33"/>
      <c r="BS38" s="33"/>
      <c r="BT38" s="33"/>
      <c r="BV38" s="4">
        <f t="shared" si="18"/>
        <v>-335282</v>
      </c>
      <c r="BW38" s="4">
        <f t="shared" si="18"/>
        <v>-33528.200000000186</v>
      </c>
      <c r="BX38" s="4">
        <f t="shared" si="18"/>
        <v>-10478.700000000004</v>
      </c>
      <c r="BY38" s="4">
        <f t="shared" si="18"/>
        <v>12144</v>
      </c>
      <c r="BZ38" s="4">
        <f t="shared" si="18"/>
        <v>101824</v>
      </c>
      <c r="CA38" s="4">
        <f t="shared" si="18"/>
        <v>-26112</v>
      </c>
      <c r="CB38" s="4">
        <f t="shared" si="18"/>
        <v>-63568</v>
      </c>
      <c r="CC38" s="4">
        <f t="shared" si="18"/>
        <v>-1.0810000000006426E-2</v>
      </c>
      <c r="CD38" s="4">
        <f t="shared" si="18"/>
        <v>-1.2009999999989418E-2</v>
      </c>
      <c r="CE38" s="4">
        <f t="shared" si="18"/>
        <v>-8.5079999999997824E-2</v>
      </c>
      <c r="CF38" s="4">
        <f t="shared" si="18"/>
        <v>-1.3260000000002492E-2</v>
      </c>
      <c r="CG38" s="4">
        <f t="shared" si="18"/>
        <v>-4.9939999999999429E-2</v>
      </c>
    </row>
    <row r="39" spans="1:85" ht="15" outlineLevel="1" thickBot="1" x14ac:dyDescent="0.35">
      <c r="A39" s="35"/>
      <c r="B39" s="35" t="s">
        <v>295</v>
      </c>
      <c r="C39" s="36" t="s">
        <v>275</v>
      </c>
      <c r="D39" s="35">
        <v>25767032</v>
      </c>
      <c r="E39" s="36">
        <v>11</v>
      </c>
      <c r="F39" s="36">
        <v>10</v>
      </c>
      <c r="G39" s="36">
        <v>30</v>
      </c>
      <c r="I39" s="37">
        <f t="shared" si="0"/>
        <v>29.733288000000002</v>
      </c>
      <c r="J39" s="38">
        <f t="shared" si="1"/>
        <v>0.38464251528852839</v>
      </c>
      <c r="K39" s="38">
        <f t="shared" si="2"/>
        <v>0.14452234933383093</v>
      </c>
      <c r="L39" s="38">
        <f t="shared" si="3"/>
        <v>0.11225569169161587</v>
      </c>
      <c r="M39" s="38">
        <f t="shared" si="4"/>
        <v>0.24012016595469746</v>
      </c>
      <c r="N39" s="35">
        <f t="shared" si="5"/>
        <v>3723912</v>
      </c>
      <c r="O39" s="38">
        <f t="shared" si="6"/>
        <v>0.38721582097495477</v>
      </c>
      <c r="P39" s="39">
        <v>25595793</v>
      </c>
      <c r="Q39" s="39">
        <v>2559579.2999999998</v>
      </c>
      <c r="R39" s="39">
        <v>21076.7</v>
      </c>
      <c r="S39" s="40">
        <v>9911096</v>
      </c>
      <c r="T39" s="40">
        <v>2892496</v>
      </c>
      <c r="U39" s="40">
        <v>831416</v>
      </c>
      <c r="V39" s="40">
        <v>6187184</v>
      </c>
      <c r="W39" s="41">
        <v>78.398520000000005</v>
      </c>
      <c r="X39" s="41">
        <v>81.799850000000006</v>
      </c>
      <c r="Y39" s="41">
        <v>40.259030000000003</v>
      </c>
      <c r="Z39" s="41">
        <v>45.211469999999998</v>
      </c>
      <c r="AA39" s="41">
        <v>48.704689999999999</v>
      </c>
      <c r="AB39" s="42">
        <v>5162.6499999999996</v>
      </c>
      <c r="AC39" s="42">
        <v>18167.2</v>
      </c>
      <c r="AD39" s="42">
        <v>19.495999999999999</v>
      </c>
      <c r="AE39" s="42">
        <v>91.468000000000004</v>
      </c>
      <c r="AG39" s="37">
        <f t="shared" si="7"/>
        <v>30.130368000000001</v>
      </c>
      <c r="AH39" s="38">
        <f t="shared" si="8"/>
        <v>0.38977931179656239</v>
      </c>
      <c r="AI39" s="38">
        <f t="shared" si="9"/>
        <v>0.15336341414874635</v>
      </c>
      <c r="AJ39" s="38">
        <f t="shared" si="10"/>
        <v>0.12114984760371315</v>
      </c>
      <c r="AK39" s="38">
        <f t="shared" si="11"/>
        <v>0.23641589764781601</v>
      </c>
      <c r="AL39" s="35">
        <f t="shared" si="12"/>
        <v>3951720</v>
      </c>
      <c r="AM39" s="38">
        <f t="shared" si="13"/>
        <v>0.3951764924140615</v>
      </c>
      <c r="AN39" s="39">
        <v>25415115</v>
      </c>
      <c r="AO39" s="39">
        <v>2541511.5</v>
      </c>
      <c r="AP39" s="39">
        <v>18289.099999999999</v>
      </c>
      <c r="AQ39" s="40">
        <v>10043456</v>
      </c>
      <c r="AR39" s="40">
        <v>3121672</v>
      </c>
      <c r="AS39" s="40">
        <v>830048</v>
      </c>
      <c r="AT39" s="40">
        <v>6091736</v>
      </c>
      <c r="AU39" s="41">
        <v>78.300060000000002</v>
      </c>
      <c r="AV39" s="41">
        <v>81.864459999999994</v>
      </c>
      <c r="AW39" s="41">
        <v>40.195039999999999</v>
      </c>
      <c r="AX39" s="41">
        <v>45.189349999999997</v>
      </c>
      <c r="AY39" s="41">
        <v>48.673400000000001</v>
      </c>
      <c r="AZ39" s="42">
        <v>1075.53</v>
      </c>
      <c r="BA39" s="42">
        <v>11941.1</v>
      </c>
      <c r="BB39" s="42">
        <v>14.263</v>
      </c>
      <c r="BC39" s="42">
        <v>65.921999999999997</v>
      </c>
      <c r="BE39" s="43">
        <f t="shared" si="14"/>
        <v>1.06117437791226</v>
      </c>
      <c r="BF39" s="44">
        <f t="shared" si="15"/>
        <v>-1.0382883572604383E-3</v>
      </c>
      <c r="BG39" s="44">
        <f t="shared" si="16"/>
        <v>1.7730566536148407E-2</v>
      </c>
      <c r="BH39" s="44"/>
      <c r="BJ39" s="43"/>
      <c r="BK39" s="43"/>
      <c r="BL39" s="43"/>
      <c r="BM39" s="43"/>
      <c r="BN39" s="43"/>
      <c r="BP39" s="43"/>
      <c r="BQ39" s="43"/>
      <c r="BR39" s="43"/>
      <c r="BS39" s="43"/>
      <c r="BT39" s="43"/>
      <c r="BV39" s="4">
        <f t="shared" si="18"/>
        <v>-180678</v>
      </c>
      <c r="BW39" s="4">
        <f t="shared" si="18"/>
        <v>-18067.799999999814</v>
      </c>
      <c r="BX39" s="4">
        <f t="shared" si="18"/>
        <v>-2787.6000000000022</v>
      </c>
      <c r="BY39" s="4">
        <f t="shared" si="18"/>
        <v>132360</v>
      </c>
      <c r="BZ39" s="4">
        <f t="shared" si="18"/>
        <v>229176</v>
      </c>
      <c r="CA39" s="4">
        <f t="shared" si="18"/>
        <v>-1368</v>
      </c>
      <c r="CB39" s="4">
        <f t="shared" si="18"/>
        <v>-95448</v>
      </c>
      <c r="CC39" s="4">
        <f t="shared" si="18"/>
        <v>-9.8460000000002879E-2</v>
      </c>
      <c r="CD39" s="4">
        <f t="shared" si="18"/>
        <v>6.4609999999987622E-2</v>
      </c>
      <c r="CE39" s="4">
        <f t="shared" si="18"/>
        <v>-6.3990000000003988E-2</v>
      </c>
      <c r="CF39" s="4">
        <f t="shared" si="18"/>
        <v>-2.2120000000001028E-2</v>
      </c>
      <c r="CG39" s="4">
        <f t="shared" si="18"/>
        <v>-3.1289999999998486E-2</v>
      </c>
    </row>
    <row r="40" spans="1:85" x14ac:dyDescent="0.3">
      <c r="B40" s="55" t="s">
        <v>298</v>
      </c>
      <c r="J40" s="56">
        <f>AVERAGE(J5:J24)</f>
        <v>0.18229571488152183</v>
      </c>
      <c r="K40" s="56">
        <f>AVERAGE(K5:K24)</f>
        <v>8.9873520206634722E-2</v>
      </c>
      <c r="L40" s="56">
        <f>AVERAGE(L5:L24)</f>
        <v>6.3349630253272199E-2</v>
      </c>
      <c r="M40" s="56">
        <f>AVERAGE(M5:M24)</f>
        <v>9.2422194674887118E-2</v>
      </c>
      <c r="AH40" s="56">
        <f>AVERAGE(AH5:AH24)</f>
        <v>0.17596667767503843</v>
      </c>
      <c r="AI40" s="56">
        <f>AVERAGE(AI5:AI24)</f>
        <v>8.7931579137228294E-2</v>
      </c>
      <c r="AJ40" s="56">
        <f>AVERAGE(AJ5:AJ24)</f>
        <v>6.4157107284175924E-2</v>
      </c>
      <c r="AK40" s="56">
        <f>AVERAGE(AK5:AK24)</f>
        <v>8.8035098537810136E-2</v>
      </c>
      <c r="BE40" s="5">
        <f t="shared" si="14"/>
        <v>0.97839251133213023</v>
      </c>
      <c r="BH40" s="8">
        <f>AVERAGE(BH5:BH24)</f>
        <v>8.1656341117683495E-3</v>
      </c>
      <c r="BJ40" s="5">
        <f>AVERAGE(BJ5:BJ24)</f>
        <v>-3.856329393506383E-2</v>
      </c>
      <c r="BK40" s="5">
        <f>AVERAGE(BK5:BK24)</f>
        <v>-3.5938865366270389E-2</v>
      </c>
      <c r="BL40" s="5">
        <f>AVERAGE(BL5:BL24)</f>
        <v>-4.4192543833624059E-2</v>
      </c>
      <c r="BM40" s="5">
        <f>AVERAGE(BM5:BM24)</f>
        <v>-3.0550885077940432E-2</v>
      </c>
      <c r="BN40" s="5">
        <f>AVERAGE(BN5:BN24)</f>
        <v>-3.8227759004403672E-2</v>
      </c>
      <c r="BP40" s="5">
        <f>AVERAGE(BP5:BP24)</f>
        <v>-4.8104409403664589E-2</v>
      </c>
      <c r="BQ40" s="5">
        <f>AVERAGE(BQ5:BQ24)</f>
        <v>-4.8396325701079185E-2</v>
      </c>
      <c r="BR40" s="5">
        <f>AVERAGE(BR5:BR24)</f>
        <v>-3.1425205103307069E-2</v>
      </c>
      <c r="BS40" s="5">
        <f>AVERAGE(BS5:BS24)</f>
        <v>-2.0313158795034203E-2</v>
      </c>
      <c r="BT40" s="5">
        <f>AVERAGE(BT5:BT24)</f>
        <v>-2.547158140771244E-2</v>
      </c>
    </row>
    <row r="41" spans="1:85" x14ac:dyDescent="0.3">
      <c r="B41" s="55" t="s">
        <v>299</v>
      </c>
      <c r="J41" s="56">
        <f>AVERAGE(J25:J29)</f>
        <v>0.43120847293548686</v>
      </c>
      <c r="K41" s="56">
        <f>AVERAGE(K25:K29)</f>
        <v>0.11535420889233454</v>
      </c>
      <c r="L41" s="56">
        <f>AVERAGE(L25:L29)</f>
        <v>8.4548763594518545E-2</v>
      </c>
      <c r="M41" s="56">
        <f>AVERAGE(M25:M29)</f>
        <v>0.31585426404315226</v>
      </c>
      <c r="AH41" s="56">
        <f>AVERAGE(AH25:AH29)</f>
        <v>0.4154984227498229</v>
      </c>
      <c r="AI41" s="56">
        <f>AVERAGE(AI25:AI29)</f>
        <v>0.11289659995998802</v>
      </c>
      <c r="AJ41" s="56">
        <f>AVERAGE(AJ25:AJ29)</f>
        <v>8.6692723979480732E-2</v>
      </c>
      <c r="AK41" s="56">
        <f>AVERAGE(AK25:AK29)</f>
        <v>0.30260182278983494</v>
      </c>
      <c r="BE41" s="5">
        <f t="shared" si="14"/>
        <v>0.97869510825876915</v>
      </c>
      <c r="BH41" s="8">
        <f>AVERAGE(BH25:BH29)</f>
        <v>5.4919079721651998E-3</v>
      </c>
      <c r="BJ41" s="5">
        <f>AVERAGE(BJ25:BJ29)</f>
        <v>-2.7546590046095054E-2</v>
      </c>
      <c r="BK41" s="5">
        <f>AVERAGE(BK25:BK29)</f>
        <v>-2.6662764888080615E-2</v>
      </c>
      <c r="BL41" s="5">
        <f>AVERAGE(BL25:BL29)</f>
        <v>-1.4752299925687606E-2</v>
      </c>
      <c r="BM41" s="5">
        <f>AVERAGE(BM25:BM29)</f>
        <v>1.0136509138181538E-2</v>
      </c>
      <c r="BN41" s="5">
        <f>AVERAGE(BN25:BN29)</f>
        <v>2.1517825902350518E-2</v>
      </c>
      <c r="BP41" s="5">
        <f>AVERAGE(BP25:BP29)</f>
        <v>-2.6173161035121351E-2</v>
      </c>
      <c r="BQ41" s="5">
        <f>AVERAGE(BQ25:BQ29)</f>
        <v>-3.4061483395320225E-2</v>
      </c>
      <c r="BR41" s="5">
        <f>AVERAGE(BR25:BR29)</f>
        <v>-1.6076271677097353E-2</v>
      </c>
      <c r="BS41" s="5">
        <f>AVERAGE(BS25:BS29)</f>
        <v>4.2842163026282076E-3</v>
      </c>
      <c r="BT41" s="5">
        <f>AVERAGE(BT25:BT29)</f>
        <v>1.3277001085313378E-2</v>
      </c>
    </row>
    <row r="42" spans="1:85" x14ac:dyDescent="0.3">
      <c r="B42" s="55" t="s">
        <v>300</v>
      </c>
      <c r="J42" s="56">
        <f>AVERAGE(J30:J39)</f>
        <v>0.14190447770433279</v>
      </c>
      <c r="K42" s="56">
        <f>AVERAGE(K30:K39)</f>
        <v>7.0111673828299442E-2</v>
      </c>
      <c r="L42" s="56">
        <f>AVERAGE(L30:L39)</f>
        <v>5.2504897904314729E-2</v>
      </c>
      <c r="M42" s="56">
        <f>AVERAGE(M30:M39)</f>
        <v>7.1792803876033345E-2</v>
      </c>
      <c r="AH42" s="56">
        <f>AVERAGE(AH30:AH39)</f>
        <v>0.14188892323778549</v>
      </c>
      <c r="AI42" s="56">
        <f>AVERAGE(AI30:AI39)</f>
        <v>7.1465128043057574E-2</v>
      </c>
      <c r="AJ42" s="56">
        <f>AVERAGE(AJ30:AJ39)</f>
        <v>5.4734496915302536E-2</v>
      </c>
      <c r="AK42" s="56">
        <f>AVERAGE(AK30:AK39)</f>
        <v>7.0423795194727884E-2</v>
      </c>
      <c r="BE42" s="5">
        <f t="shared" si="14"/>
        <v>1.0193042633395502</v>
      </c>
      <c r="BH42" s="8">
        <f>AVERAGE(BH30:BH39)</f>
        <v>6.9474796910552472E-3</v>
      </c>
      <c r="BJ42" s="5">
        <f>AVERAGE(BJ30:BJ39)</f>
        <v>6.3246362992296912E-3</v>
      </c>
      <c r="BK42" s="5">
        <f>AVERAGE(BK30:BK39)</f>
        <v>2.1174194911863786E-3</v>
      </c>
      <c r="BL42" s="5">
        <f>AVERAGE(BL30:BL39)</f>
        <v>8.8009454868100412E-3</v>
      </c>
      <c r="BM42" s="5">
        <f>AVERAGE(BM30:BM39)</f>
        <v>2.4285832800717277E-3</v>
      </c>
      <c r="BN42" s="5">
        <f>AVERAGE(BN30:BN39)</f>
        <v>-2.2832686466412844E-2</v>
      </c>
      <c r="BP42" s="5">
        <f>AVERAGE(BP30:BP39)</f>
        <v>-7.6834036588929733E-4</v>
      </c>
      <c r="BQ42" s="5">
        <f>AVERAGE(BQ30:BQ39)</f>
        <v>-1.0762916987798243E-2</v>
      </c>
      <c r="BR42" s="5">
        <f>AVERAGE(BR30:BR39)</f>
        <v>1.085984923348815E-2</v>
      </c>
      <c r="BS42" s="5">
        <f>AVERAGE(BS30:BS39)</f>
        <v>5.8804291250802443E-3</v>
      </c>
      <c r="BT42" s="5">
        <f>AVERAGE(BT30:BT39)</f>
        <v>-5.8505921192069099E-3</v>
      </c>
    </row>
    <row r="43" spans="1:85" collapsed="1" x14ac:dyDescent="0.3">
      <c r="B43" s="55" t="s">
        <v>301</v>
      </c>
      <c r="J43" s="56">
        <f>AVERAGE(J5:J39)</f>
        <v>0.20631432683860568</v>
      </c>
      <c r="K43" s="56">
        <f>AVERAGE(K5:K39)</f>
        <v>8.786737676792461E-2</v>
      </c>
      <c r="L43" s="56">
        <f>AVERAGE(L5:L39)</f>
        <v>6.3279582916605251E-2</v>
      </c>
      <c r="M43" s="56">
        <f>AVERAGE(M5:M39)</f>
        <v>0.11844695007068107</v>
      </c>
      <c r="AH43" s="56">
        <f>AVERAGE(AH5:AH39)</f>
        <v>0.20044899713222111</v>
      </c>
      <c r="AI43" s="56">
        <f>AVERAGE(AI5:AI39)</f>
        <v>8.6793310370716609E-2</v>
      </c>
      <c r="AJ43" s="56">
        <f>AVERAGE(AJ5:AJ39)</f>
        <v>6.4684306706684194E-2</v>
      </c>
      <c r="AK43" s="56">
        <f>AVERAGE(AK5:AK39)</f>
        <v>0.11365568676150446</v>
      </c>
      <c r="BE43" s="5">
        <f t="shared" si="14"/>
        <v>0.98777627787791111</v>
      </c>
      <c r="BH43" s="8">
        <f>AVERAGE(BH5:BH39)</f>
        <v>7.4356291144784415E-3</v>
      </c>
      <c r="BJ43" s="5">
        <f>AVERAGE(BJ5:BJ39)</f>
        <v>-2.4164356169698715E-2</v>
      </c>
      <c r="BK43" s="5">
        <f>AVERAGE(BK5:BK39)</f>
        <v>-2.3740483910112773E-2</v>
      </c>
      <c r="BL43" s="5">
        <f>AVERAGE(BL5:BL39)</f>
        <v>-2.4845797755223394E-2</v>
      </c>
      <c r="BM43" s="5">
        <f>AVERAGE(BM5:BM39)</f>
        <v>-1.5315694944776677E-2</v>
      </c>
      <c r="BN43" s="5">
        <f>AVERAGE(BN5:BN39)</f>
        <v>-2.5294083292584264E-2</v>
      </c>
      <c r="BP43" s="5">
        <f>AVERAGE(BP5:BP39)</f>
        <v>-3.1446782768794042E-2</v>
      </c>
      <c r="BQ43" s="5">
        <f>AVERAGE(BQ5:BQ39)</f>
        <v>-3.5596088596461919E-2</v>
      </c>
      <c r="BR43" s="5">
        <f>AVERAGE(BR5:BR39)</f>
        <v>-1.7151056231907047E-2</v>
      </c>
      <c r="BS43" s="5">
        <f>AVERAGE(BS5:BS39)</f>
        <v>-9.3153658039068742E-3</v>
      </c>
      <c r="BT43" s="5">
        <f>AVERAGE(BT5:BT39)</f>
        <v>-1.4330072683421458E-2</v>
      </c>
    </row>
    <row r="44" spans="1:85" hidden="1" outlineLevel="2" x14ac:dyDescent="0.3">
      <c r="A44" s="55" t="s">
        <v>302</v>
      </c>
      <c r="B44" s="55" t="s">
        <v>303</v>
      </c>
      <c r="AB44" s="57">
        <f>SUM(AB5:AB24,AB25:AB29,AB30:AB39)</f>
        <v>194231.86</v>
      </c>
      <c r="AC44" s="57">
        <f>SUM(AC5:AC24,AC25:AC29,AC30:AC39)</f>
        <v>405499.49999999994</v>
      </c>
      <c r="AD44" s="57">
        <f>SUM(AD5:AD24,AD25:AD29,AD30:AD39)</f>
        <v>704.51300000000003</v>
      </c>
      <c r="AE44" s="57">
        <f>SUM(AE5:AE24,AE25:AE29,AE30:AE39)</f>
        <v>2196.5969999999998</v>
      </c>
      <c r="AZ44" s="57">
        <f>SUM(AZ5:AZ24,AZ25:AZ29,AZ30:AZ39)</f>
        <v>102101.389</v>
      </c>
      <c r="BA44" s="57">
        <f>SUM(BA5:BA24,BA25:BA29,BA30:BA39)</f>
        <v>299654.01999999996</v>
      </c>
      <c r="BB44" s="57">
        <f>SUM(BB5:BB24,BB25:BB29,BB30:BB39)</f>
        <v>480.87499999999994</v>
      </c>
      <c r="BC44" s="57">
        <f>SUM(BC5:BC24,BC25:BC29,BC30:BC39)</f>
        <v>1567.5019999999997</v>
      </c>
    </row>
    <row r="45" spans="1:85" hidden="1" outlineLevel="2" x14ac:dyDescent="0.3">
      <c r="B45" s="55" t="s">
        <v>304</v>
      </c>
      <c r="AZ45" s="8">
        <f>AZ44/AB44</f>
        <v>0.52566756555798833</v>
      </c>
      <c r="BA45" s="8">
        <f>BA44/AC44</f>
        <v>0.73897506655371958</v>
      </c>
      <c r="BB45" s="8">
        <f>BB44/AD44</f>
        <v>0.68256370003108524</v>
      </c>
      <c r="BC45" s="8">
        <f>BC44/AE44</f>
        <v>0.71360472585549373</v>
      </c>
    </row>
    <row r="46" spans="1:85" hidden="1" outlineLevel="2" x14ac:dyDescent="0.3">
      <c r="B46" s="55" t="s">
        <v>305</v>
      </c>
      <c r="AB46" s="57">
        <f>GEOMEAN(AB5:AB24,AB25:AB29,AB30:AB39)</f>
        <v>5485.781047729266</v>
      </c>
      <c r="AC46" s="57">
        <f>GEOMEAN(AC5:AC24,AC25:AC29,AC30:AC39)</f>
        <v>11230.453456304065</v>
      </c>
      <c r="AD46" s="57">
        <f>GEOMEAN(AD5:AD24,AD25:AD29,AD30:AD39)</f>
        <v>19.862188388958295</v>
      </c>
      <c r="AE46" s="57">
        <f>GEOMEAN(AE5:AE24,AE25:AE29,AE30:AE39)</f>
        <v>61.812375949351214</v>
      </c>
      <c r="AZ46" s="57">
        <f>GEOMEAN(AZ5:AZ24,AZ25:AZ29,AZ30:AZ39)</f>
        <v>2434.9890288864185</v>
      </c>
      <c r="BA46" s="57">
        <f>GEOMEAN(BA5:BA24,BA25:BA29,BA30:BA39)</f>
        <v>8299.7573692475853</v>
      </c>
      <c r="BB46" s="57">
        <f>GEOMEAN(BB5:BB24,BB25:BB29,BB30:BB39)</f>
        <v>13.569650484668268</v>
      </c>
      <c r="BC46" s="57">
        <f>GEOMEAN(BC5:BC24,BC25:BC29,BC30:BC39)</f>
        <v>44.100489144360346</v>
      </c>
    </row>
    <row r="47" spans="1:85" outlineLevel="2" collapsed="1" x14ac:dyDescent="0.3">
      <c r="B47" s="55" t="s">
        <v>306</v>
      </c>
      <c r="AZ47" s="8">
        <f>AZ46/AB46</f>
        <v>0.44387280638813237</v>
      </c>
      <c r="BA47" s="8">
        <f>BA46/AC46</f>
        <v>0.73904027130699934</v>
      </c>
      <c r="BB47" s="8">
        <f>BB46/AD46</f>
        <v>0.68319010065435948</v>
      </c>
      <c r="BC47" s="8">
        <f>BC46/AE46</f>
        <v>0.71345727238338308</v>
      </c>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Rajan Joshi</cp:lastModifiedBy>
  <dcterms:created xsi:type="dcterms:W3CDTF">2019-04-23T13:57:55Z</dcterms:created>
  <dcterms:modified xsi:type="dcterms:W3CDTF">2019-07-19T21:23:52Z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