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F18C6D66-08E2-EF48-9369-08F01374CE90}" xr6:coauthVersionLast="36" xr6:coauthVersionMax="36" xr10:uidLastSave="{00000000-0000-0000-0000-000000000000}"/>
  <bookViews>
    <workbookView xWindow="7260" yWindow="820" windowWidth="43940" windowHeight="25540" activeTab="4"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R5" i="7"/>
  <c r="BR20" i="7"/>
  <c r="BK15" i="7"/>
  <c r="BQ20" i="7"/>
  <c r="BQ35" i="7"/>
  <c r="BN35" i="7"/>
  <c r="BP5" i="7"/>
  <c r="BK5" i="7"/>
  <c r="BJ35" i="7"/>
  <c r="BS25" i="7"/>
  <c r="BL35" i="7"/>
  <c r="BP35" i="7"/>
  <c r="BL5" i="7"/>
  <c r="BT10" i="7"/>
  <c r="BK25" i="7"/>
  <c r="BL30" i="7"/>
  <c r="BM25" i="7"/>
  <c r="BR35" i="7"/>
  <c r="BQ25" i="7"/>
  <c r="BM5" i="7"/>
  <c r="BJ5" i="7"/>
  <c r="BQ15" i="7"/>
  <c r="BT5" i="7"/>
  <c r="BP10" i="7"/>
  <c r="BS10" i="7"/>
  <c r="BT30" i="7"/>
  <c r="BS5" i="7"/>
  <c r="BR30" i="7"/>
  <c r="BQ30" i="7"/>
  <c r="BJ15" i="7"/>
  <c r="BM10" i="7"/>
  <c r="BL15" i="7"/>
  <c r="BS35" i="7"/>
  <c r="BS15" i="7"/>
  <c r="BM35" i="7"/>
  <c r="BL20" i="7"/>
  <c r="BT20" i="7"/>
  <c r="BK35" i="7"/>
  <c r="BT35" i="7"/>
  <c r="BR25" i="7"/>
  <c r="BM15" i="7"/>
  <c r="BM30" i="7"/>
  <c r="BN25" i="7"/>
  <c r="BR10" i="7"/>
  <c r="BQ10" i="7"/>
  <c r="BM20" i="7"/>
  <c r="BJ25" i="7"/>
  <c r="BP15" i="7"/>
  <c r="BN10" i="7"/>
  <c r="BT25" i="7"/>
  <c r="BN5" i="7"/>
  <c r="BL10" i="7"/>
  <c r="BN15" i="7"/>
  <c r="BR15" i="7"/>
  <c r="BL25" i="7"/>
  <c r="BS20" i="7"/>
  <c r="BP20" i="7"/>
  <c r="BP30" i="7"/>
  <c r="BP25" i="7"/>
  <c r="BN20" i="7"/>
  <c r="BT15" i="7"/>
  <c r="BQ5" i="7"/>
  <c r="BS30" i="7"/>
  <c r="BN30" i="7"/>
  <c r="BL20" i="3"/>
  <c r="BT30" i="3"/>
  <c r="BR5" i="3"/>
  <c r="BS20" i="3"/>
  <c r="BS15" i="3"/>
  <c r="BN15" i="3"/>
  <c r="BQ25" i="3"/>
  <c r="BM30" i="3"/>
  <c r="BR10" i="3"/>
  <c r="BR25" i="3"/>
  <c r="BT35" i="3"/>
  <c r="BN5" i="3"/>
  <c r="BS5" i="3"/>
  <c r="BL15" i="3"/>
  <c r="BQ20" i="3"/>
  <c r="BP35" i="3"/>
  <c r="BS35" i="3"/>
  <c r="BN25" i="3"/>
  <c r="BK30" i="3"/>
  <c r="BT25" i="3"/>
  <c r="BK25" i="3"/>
  <c r="BJ20" i="3"/>
  <c r="BN35" i="3"/>
  <c r="BL25" i="3"/>
  <c r="BN10" i="3"/>
  <c r="BR15" i="3"/>
  <c r="BS10" i="3"/>
  <c r="BT5" i="3"/>
  <c r="BN20" i="3"/>
  <c r="BL10" i="3"/>
  <c r="BS25" i="3"/>
  <c r="BR35" i="3"/>
  <c r="BP25" i="3"/>
  <c r="BM35" i="3"/>
  <c r="BK15" i="3"/>
  <c r="BT10" i="3"/>
  <c r="BN30" i="3"/>
  <c r="BK35" i="3"/>
  <c r="BR30" i="3"/>
  <c r="BJ10" i="3"/>
  <c r="BL35" i="3"/>
  <c r="BQ15" i="3"/>
  <c r="BK20" i="3"/>
  <c r="BQ10" i="3"/>
  <c r="BM5" i="3"/>
  <c r="BJ30" i="3"/>
  <c r="BT15" i="3"/>
  <c r="BL5" i="3"/>
  <c r="BP30" i="3"/>
  <c r="BP20" i="3"/>
  <c r="BT20" i="3"/>
  <c r="BP10" i="3"/>
  <c r="BM20" i="3"/>
  <c r="BQ35" i="3"/>
  <c r="BP15" i="3"/>
  <c r="BM10" i="3"/>
  <c r="BM15" i="3"/>
  <c r="BL30" i="3"/>
  <c r="BQ30" i="3"/>
  <c r="BQ5" i="3"/>
  <c r="BP5" i="3"/>
  <c r="BS30" i="3"/>
  <c r="BR20" i="3"/>
  <c r="BM25" i="3"/>
  <c r="L42" i="7" l="1"/>
  <c r="BG35" i="3"/>
  <c r="BG20" i="3"/>
  <c r="AJ41" i="3"/>
  <c r="AK42" i="3"/>
  <c r="L43" i="7"/>
  <c r="BG19" i="3"/>
  <c r="K20" i="3"/>
  <c r="BE20" i="3" s="1"/>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E36" i="7" s="1"/>
  <c r="BA45" i="7"/>
  <c r="BA47" i="7"/>
  <c r="BG5" i="7"/>
  <c r="BE7" i="7"/>
  <c r="BG13" i="7"/>
  <c r="BE15" i="7"/>
  <c r="BG21" i="7"/>
  <c r="BE23" i="7"/>
  <c r="L41" i="7"/>
  <c r="BG29" i="7"/>
  <c r="M42" i="7"/>
  <c r="BE31" i="7"/>
  <c r="BH35" i="7"/>
  <c r="BG39" i="7"/>
  <c r="BB45" i="7"/>
  <c r="BB47" i="7"/>
  <c r="C48" i="1" s="1"/>
  <c r="BE9" i="7"/>
  <c r="BE17" i="7"/>
  <c r="M41" i="7"/>
  <c r="BE33" i="7"/>
  <c r="BE38" i="7"/>
  <c r="BC45" i="7"/>
  <c r="BC47" i="7"/>
  <c r="BE12" i="3"/>
  <c r="BG18"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10" i="7"/>
  <c r="BK30" i="7"/>
  <c r="BK10" i="7"/>
  <c r="BJ30" i="7"/>
  <c r="BK20" i="7"/>
  <c r="BJ20" i="7"/>
  <c r="BJ35" i="3"/>
  <c r="BJ5" i="3"/>
  <c r="BK5" i="3"/>
  <c r="BK10" i="3"/>
  <c r="BJ15" i="3"/>
  <c r="BJ25" i="3"/>
  <c r="K40" i="7" l="1"/>
  <c r="AH12" i="6"/>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0" i="7" l="1"/>
  <c r="BE43" i="7"/>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<sst xmlns="http://schemas.openxmlformats.org/spreadsheetml/2006/main" count="1512" uniqueCount="594">
  <si>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</si>
  <si>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</si>
  <si>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</si>
  <si>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</si>
  <si>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</si>
  <si>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</si>
  <si>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</si>
  <si>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</si>
  <si>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</si>
  <si>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</si>
  <si>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</si>
  <si>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</si>
  <si>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</si>
  <si>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</si>
  <si>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</si>
  <si>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</si>
  <si>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</si>
  <si>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</si>
  <si>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</si>
  <si>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</si>
  <si>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</si>
  <si>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</si>
  <si>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</si>
  <si>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</si>
  <si>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</si>
  <si>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</si>
  <si>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</si>
  <si>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</si>
  <si>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</si>
  <si>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</si>
  <si>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</si>
  <si>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</si>
  <si>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</si>
  <si>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</si>
  <si>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</si>
  <si>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</si>
  <si>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</si>
  <si>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</si>
  <si>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</si>
  <si>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</si>
  <si>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</si>
  <si>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</si>
  <si>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</si>
  <si>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</si>
  <si>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</si>
  <si>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</si>
  <si>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</si>
  <si>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</si>
  <si>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</si>
  <si>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</si>
  <si>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</si>
  <si>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</si>
  <si>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</si>
  <si>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</si>
  <si>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</si>
  <si>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</si>
  <si>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</si>
  <si>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</si>
  <si>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</si>
  <si>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</si>
  <si>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</si>
  <si>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</si>
  <si>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</si>
  <si>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</si>
  <si>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</si>
  <si>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</si>
  <si>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</si>
  <si>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</si>
  <si>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</si>
  <si>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</si>
  <si>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</si>
  <si>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</si>
  <si>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</si>
  <si>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</si>
  <si>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</si>
  <si>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</si>
  <si>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</si>
  <si>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</si>
  <si>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</si>
  <si>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</si>
  <si>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</si>
  <si>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</si>
  <si>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</si>
  <si>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</si>
  <si>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</si>
  <si>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</si>
  <si>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</si>
  <si>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</si>
  <si>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</si>
  <si>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</si>
  <si>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</si>
  <si>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</si>
  <si>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</si>
  <si>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</si>
  <si>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</si>
  <si>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</si>
  <si>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</si>
  <si>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</si>
  <si>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</si>
  <si>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</si>
  <si>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</si>
  <si>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</si>
  <si>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</si>
  <si>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</si>
  <si>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</si>
  <si>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</si>
  <si>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</si>
  <si>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</si>
  <si>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</si>
  <si>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</si>
  <si>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</si>
  <si>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</si>
  <si>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</si>
  <si>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</si>
  <si>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</si>
  <si>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</si>
  <si>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</si>
  <si>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</si>
  <si>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</si>
  <si>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</si>
  <si>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</si>
  <si>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</si>
  <si>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</si>
  <si>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</si>
  <si>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</si>
  <si>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</si>
  <si>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</si>
  <si>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</si>
  <si>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</si>
  <si>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</si>
  <si>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</si>
  <si>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</si>
  <si>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</si>
  <si>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</si>
  <si>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</si>
  <si>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</si>
  <si>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</si>
  <si>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</si>
  <si>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</si>
  <si>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</si>
  <si>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</si>
  <si>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</si>
  <si>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</si>
  <si>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</si>
  <si>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</si>
  <si>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</si>
  <si>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</si>
  <si>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</si>
  <si>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</si>
  <si>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</si>
  <si>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</si>
  <si>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</si>
  <si>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</si>
  <si>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</si>
  <si>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</si>
  <si>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</si>
  <si>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</si>
  <si>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</si>
  <si>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</si>
  <si>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</si>
  <si>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</si>
  <si>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</si>
  <si>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</si>
  <si>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</si>
  <si>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</si>
  <si>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</si>
  <si>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</si>
  <si>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</si>
  <si>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</si>
  <si>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</si>
  <si>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</si>
  <si>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</si>
  <si>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</si>
  <si>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</si>
  <si>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</si>
  <si>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</si>
  <si>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</si>
  <si>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</si>
  <si>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</si>
  <si>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</si>
  <si>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</si>
  <si>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</si>
  <si>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</si>
  <si>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</si>
  <si>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</si>
  <si>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</si>
  <si>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</si>
  <si>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</si>
  <si>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</si>
  <si>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</si>
  <si>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</si>
  <si>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</si>
  <si>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</si>
  <si>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</si>
  <si>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</si>
  <si>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</si>
  <si>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</si>
  <si>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</si>
  <si>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</si>
  <si>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</si>
  <si>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</si>
  <si>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</si>
  <si>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</si>
  <si>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</si>
  <si>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</si>
  <si>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</si>
  <si>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</si>
  <si>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</si>
  <si>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</si>
  <si>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</si>
  <si>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</si>
  <si>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</si>
  <si>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</si>
  <si>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</si>
  <si>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</si>
  <si>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</si>
  <si>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</si>
  <si>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</si>
  <si>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</si>
  <si>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</si>
  <si>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</si>
  <si>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</si>
  <si>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</si>
  <si>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</si>
  <si>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</si>
  <si>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</si>
  <si>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</si>
  <si>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</si>
  <si>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</si>
  <si>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</si>
  <si>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</si>
  <si>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</si>
  <si>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</si>
  <si>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</si>
  <si>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</si>
  <si>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</si>
  <si>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</si>
  <si>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</si>
  <si>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</si>
  <si>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</si>
  <si>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</si>
  <si>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</si>
  <si>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</si>
  <si>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</si>
  <si>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</si>
  <si>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</si>
  <si>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</si>
  <si>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</si>
  <si>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</si>
  <si>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</si>
  <si>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</si>
  <si>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</si>
  <si>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</si>
  <si>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</si>
  <si>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</si>
  <si>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</si>
  <si>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</si>
  <si>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</si>
  <si>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</si>
  <si>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</si>
  <si>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</si>
  <si>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</si>
  <si>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</si>
  <si>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</si>
  <si>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</si>
  <si>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</si>
  <si>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</si>
  <si>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</si>
  <si>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</si>
  <si>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</si>
  <si>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</si>
  <si>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</si>
  <si>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</si>
  <si>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</si>
  <si>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</si>
  <si>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</si>
  <si>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</si>
  <si>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</si>
  <si>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</si>
  <si>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</si>
  <si>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</si>
  <si>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</si>
  <si>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</si>
  <si>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</si>
  <si>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</si>
  <si>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</si>
  <si>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</si>
  <si>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</si>
  <si>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</si>
  <si>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</si>
  <si>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</si>
  <si>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</si>
  <si>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</si>
  <si>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</si>
  <si>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</si>
  <si>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</si>
  <si>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</si>
  <si>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</si>
  <si>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</si>
  <si>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</si>
  <si>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</si>
  <si>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</si>
  <si>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</si>
  <si>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</si>
  <si>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</si>
  <si>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</si>
  <si>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</si>
  <si>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</si>
  <si>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</si>
  <si>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</si>
  <si>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</si>
  <si>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</si>
  <si>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</si>
  <si>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</si>
  <si>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</si>
  <si>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</si>
  <si>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</si>
  <si>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</si>
  <si>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</si>
  <si>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</si>
  <si>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</si>
  <si>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</si>
  <si>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</si>
  <si>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</si>
  <si>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</si>
  <si>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</si>
  <si>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</si>
  <si>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</si>
  <si>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</si>
  <si>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</si>
  <si>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</si>
  <si>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</si>
  <si>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</si>
  <si>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</si>
  <si>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</si>
  <si>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</si>
  <si>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</si>
  <si>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</si>
  <si>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</si>
  <si>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</si>
  <si>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</si>
  <si>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</si>
  <si>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</si>
  <si>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</si>
  <si>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</si>
  <si>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</si>
  <si>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</si>
  <si>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</si>
  <si>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</si>
  <si>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</si>
  <si>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</si>
  <si>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</si>
  <si>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</si>
  <si>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</si>
  <si>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</si>
  <si>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</si>
  <si>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</si>
  <si>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</si>
  <si>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</si>
  <si>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</si>
  <si>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</si>
  <si>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</si>
  <si>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</si>
  <si>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</si>
  <si>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</si>
  <si>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</si>
  <si>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</si>
  <si>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</si>
  <si>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</si>
  <si>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</si>
  <si>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</si>
  <si>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</si>
  <si>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</si>
  <si>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</si>
  <si>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</si>
  <si>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</si>
  <si>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</si>
  <si>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</si>
  <si>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</si>
  <si>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</si>
  <si>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</si>
  <si>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</si>
  <si>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</si>
  <si>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</si>
  <si>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</si>
  <si>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</si>
  <si>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</si>
  <si>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</si>
  <si>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</si>
  <si>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</si>
  <si>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</si>
  <si>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</si>
  <si>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</si>
  <si>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</si>
  <si>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</si>
  <si>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</si>
  <si>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</si>
  <si>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</si>
  <si>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</si>
  <si>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</si>
  <si>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</si>
  <si>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</si>
  <si>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</si>
  <si>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</si>
  <si>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</si>
  <si>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</si>
  <si>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</si>
  <si>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</si>
  <si>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</si>
  <si>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</si>
  <si>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</si>
  <si>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</si>
  <si>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</si>
  <si>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</si>
  <si>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</si>
  <si>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</si>
  <si>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</si>
  <si>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</si>
  <si>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</si>
  <si>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</si>
  <si>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</si>
  <si>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</si>
  <si>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</si>
  <si>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</si>
  <si>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</si>
  <si>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</si>
  <si>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</si>
  <si>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</si>
  <si>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</si>
  <si>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</si>
  <si>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</si>
  <si>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</si>
  <si>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</si>
  <si>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</si>
  <si>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</si>
  <si>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</si>
  <si>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</si>
  <si>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</si>
  <si>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</si>
  <si>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</si>
  <si>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</si>
  <si>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</si>
  <si>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</si>
  <si>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</si>
  <si>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</si>
  <si>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</si>
  <si>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</si>
  <si>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</si>
  <si>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</si>
  <si>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</si>
  <si>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</si>
  <si>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</si>
  <si>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</si>
  <si>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</si>
  <si>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</si>
  <si>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</si>
  <si>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</si>
  <si>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</si>
  <si>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</si>
  <si>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</si>
  <si>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</si>
  <si>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</si>
  <si>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</si>
  <si>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</si>
  <si>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</si>
  <si>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</si>
  <si>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</si>
  <si>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</si>
  <si>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</si>
  <si>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</si>
  <si>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</si>
  <si>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</si>
  <si>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</si>
  <si>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</si>
  <si>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</si>
  <si>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</si>
  <si>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</si>
  <si>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</si>
  <si>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</si>
  <si>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</si>
  <si>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</si>
  <si>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</si>
  <si>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</si>
  <si>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</si>
  <si>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</si>
  <si>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</si>
  <si>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</si>
  <si>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</si>
  <si>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</si>
  <si>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</si>
  <si>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</si>
  <si>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</si>
  <si>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</si>
  <si>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</si>
  <si>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</si>
  <si>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</si>
  <si>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</si>
  <si>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</si>
  <si>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</si>
  <si>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</si>
  <si>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</si>
  <si>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</si>
  <si>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</si>
  <si>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</si>
  <si>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</si>
  <si>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</si>
  <si>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</si>
  <si>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</si>
  <si>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</si>
  <si>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</si>
  <si>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</si>
  <si>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</si>
  <si>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</si>
  <si>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</si>
  <si>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</si>
  <si>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</si>
  <si>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</si>
  <si>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</si>
  <si>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</si>
  <si>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</si>
  <si>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</si>
  <si>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</si>
  <si>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</si>
  <si>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</si>
  <si>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</si>
  <si>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</si>
  <si>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</si>
  <si>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</si>
  <si>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</si>
  <si>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</si>
  <si>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</si>
  <si>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</si>
  <si>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</si>
  <si>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</si>
  <si>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</si>
  <si>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</si>
  <si>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</si>
  <si>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</si>
  <si>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</si>
  <si>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</si>
  <si>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</si>
  <si>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</si>
  <si>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</si>
  <si>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</si>
  <si>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</si>
  <si>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</si>
  <si>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</si>
  <si>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</si>
  <si>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</si>
  <si>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</si>
  <si>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</si>
  <si>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</si>
  <si>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</si>
  <si>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</si>
  <si>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</si>
  <si>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</si>
  <si>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</si>
  <si>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</si>
  <si>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</si>
  <si>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</si>
  <si>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</si>
  <si>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</si>
  <si>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</si>
  <si>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</si>
  <si>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</si>
  <si>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</si>
  <si>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</si>
  <si>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</si>
  <si>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</si>
  <si>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</si>
  <si>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</si>
  <si>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</si>
  <si>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</si>
  <si>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</si>
  <si>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</si>
  <si>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</si>
  <si>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</si>
  <si>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</si>
  <si>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</si>
  <si>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</si>
  <si>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</si>
  <si>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</si>
  <si>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</si>
  <si>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</si>
  <si>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</si>
  <si>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</si>
  <si>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</si>
  <si>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</si>
  <si>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</si>
  <si>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</si>
  <si>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</si>
  <si>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</si>
  <si>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rc4 - patch precedence=0</t>
  </si>
  <si>
    <t>TMC2v8.0 rc5 : quantizationstep(0,0)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</si>
</sst>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rc4 - patch precedence=0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rc5 : quantizationstep(0,0)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66.348590999999999</c:v>
                </c:pt>
                <c:pt idx="1">
                  <c:v>68.248296999999994</c:v>
                </c:pt>
                <c:pt idx="2">
                  <c:v>69.674569000000005</c:v>
                </c:pt>
                <c:pt idx="3">
                  <c:v>70.854243999999994</c:v>
                </c:pt>
                <c:pt idx="4">
                  <c:v>71.940628000000004</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rc4 - patch precedence=0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rc5 : quantizationstep(0,0)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68.494291000000004</c:v>
                </c:pt>
                <c:pt idx="1">
                  <c:v>70.454581000000005</c:v>
                </c:pt>
                <c:pt idx="2">
                  <c:v>72.149124999999998</c:v>
                </c:pt>
                <c:pt idx="3">
                  <c:v>73.429991000000001</c:v>
                </c:pt>
                <c:pt idx="4">
                  <c:v>75.319744</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rc4 - patch precedence=0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rc5 : quantizationstep(0,0)</c:v>
                </c:pt>
              </c:strCache>
            </c:strRef>
          </c:tx>
          <c:spPr>
            <a:ln>
              <a:prstDash val="solid"/>
            </a:ln>
          </c:spPr>
          <c:marker>
            <c:symbol val="none"/>
          </c:marker>
          <c:xVal>
            <c:numRef>
              <c:f>Graphs!graph_c_x_range_B</c:f>
              <c:numCache>
                <c:formatCode>0.00</c:formatCode>
                <c:ptCount val="5"/>
                <c:pt idx="0">
                  <c:v>3.5679230595604531E-3</c:v>
                </c:pt>
                <c:pt idx="1">
                  <c:v>7.6413167227043976E-3</c:v>
                </c:pt>
                <c:pt idx="2">
                  <c:v>1.5408505602757592E-2</c:v>
                </c:pt>
                <c:pt idx="3">
                  <c:v>2.9427815263427613E-2</c:v>
                </c:pt>
                <c:pt idx="4">
                  <c:v>5.4609099660888838E-2</c:v>
                </c:pt>
              </c:numCache>
            </c:numRef>
          </c:xVal>
          <c:yVal>
            <c:numRef>
              <c:f>Graphs!graph_c_y_range_B</c:f>
              <c:numCache>
                <c:formatCode>0.00</c:formatCode>
                <c:ptCount val="5"/>
                <c:pt idx="0">
                  <c:v>32.103194000000002</c:v>
                </c:pt>
                <c:pt idx="1">
                  <c:v>34.349558999999999</c:v>
                </c:pt>
                <c:pt idx="2">
                  <c:v>36.888928</c:v>
                </c:pt>
                <c:pt idx="3">
                  <c:v>39.515216000000002</c:v>
                </c:pt>
                <c:pt idx="4">
                  <c:v>42.123508999999999</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rc4 - patch precedence=0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rc5 : quantizationstep(0,0)</c:v>
                </c:pt>
              </c:strCache>
            </c:strRef>
          </c:tx>
          <c:spPr>
            <a:ln>
              <a:prstDash val="solid"/>
            </a:ln>
          </c:spPr>
          <c:marker>
            <c:symbol val="none"/>
          </c:marker>
          <c:xVal>
            <c:numRef>
              <c:f>Graphs!graph_d_x_range_B</c:f>
              <c:numCache>
                <c:formatCode>0.00</c:formatCode>
                <c:ptCount val="5"/>
                <c:pt idx="0">
                  <c:v>3.5679230595604531E-3</c:v>
                </c:pt>
                <c:pt idx="1">
                  <c:v>7.6413167227043976E-3</c:v>
                </c:pt>
                <c:pt idx="2">
                  <c:v>1.5408505602757592E-2</c:v>
                </c:pt>
                <c:pt idx="3">
                  <c:v>2.9427815263427613E-2</c:v>
                </c:pt>
                <c:pt idx="4">
                  <c:v>5.4609099660888838E-2</c:v>
                </c:pt>
              </c:numCache>
            </c:numRef>
          </c:xVal>
          <c:yVal>
            <c:numRef>
              <c:f>Graphs!graph_d_y_range_B</c:f>
              <c:numCache>
                <c:formatCode>0.00</c:formatCode>
                <c:ptCount val="5"/>
                <c:pt idx="0">
                  <c:v>44.178880999999997</c:v>
                </c:pt>
                <c:pt idx="1">
                  <c:v>45.449738000000004</c:v>
                </c:pt>
                <c:pt idx="2">
                  <c:v>46.596843999999997</c:v>
                </c:pt>
                <c:pt idx="3">
                  <c:v>47.903880999999998</c:v>
                </c:pt>
                <c:pt idx="4">
                  <c:v>49.420738</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rc4 - patch precedence=0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rc5 : quantizationstep(0,0)</c:v>
                </c:pt>
              </c:strCache>
            </c:strRef>
          </c:tx>
          <c:spPr>
            <a:ln>
              <a:prstDash val="solid"/>
            </a:ln>
          </c:spPr>
          <c:marker>
            <c:symbol val="none"/>
          </c:marker>
          <c:xVal>
            <c:numRef>
              <c:f>Graphs!graph_e_x_range_B</c:f>
              <c:numCache>
                <c:formatCode>0.00</c:formatCode>
                <c:ptCount val="5"/>
                <c:pt idx="0">
                  <c:v>3.5679230595604531E-3</c:v>
                </c:pt>
                <c:pt idx="1">
                  <c:v>7.6413167227043976E-3</c:v>
                </c:pt>
                <c:pt idx="2">
                  <c:v>1.5408505602757592E-2</c:v>
                </c:pt>
                <c:pt idx="3">
                  <c:v>2.9427815263427613E-2</c:v>
                </c:pt>
                <c:pt idx="4">
                  <c:v>5.4609099660888838E-2</c:v>
                </c:pt>
              </c:numCache>
            </c:numRef>
          </c:xVal>
          <c:yVal>
            <c:numRef>
              <c:f>Graphs!graph_e_y_range_B</c:f>
              <c:numCache>
                <c:formatCode>0.00</c:formatCode>
                <c:ptCount val="5"/>
                <c:pt idx="0">
                  <c:v>43.791625000000003</c:v>
                </c:pt>
                <c:pt idx="1">
                  <c:v>45.229174999999998</c:v>
                </c:pt>
                <c:pt idx="2">
                  <c:v>46.464258999999998</c:v>
                </c:pt>
                <c:pt idx="3">
                  <c:v>47.950881000000003</c:v>
                </c:pt>
                <c:pt idx="4">
                  <c:v>49.572653000000003</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rc4 - patch precedence=0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rc5 : quantizationstep(0,0)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1.2555977910739036E-2</v>
      </c>
      <c r="D9" s="51">
        <f>'C2 lossyG,lossyA,intra'!$BK$40:$BK$40</f>
        <v>2.1967897430155703E-3</v>
      </c>
      <c r="E9" s="51">
        <f>'C2 lossyG,lossyA,intra'!$BL$40:$BL$40</f>
        <v>-3.958907269795281E-3</v>
      </c>
      <c r="F9" s="51">
        <f>'C2 lossyG,lossyA,intra'!$BM$40:$BM$40</f>
        <v>-4.7878453681575728E-3</v>
      </c>
      <c r="G9" s="51">
        <f>'C2 lossyG,lossyA,intra'!$BN$40:$BN$40</f>
        <v>-4.2213230922617806E-3</v>
      </c>
      <c r="H9" s="51">
        <f>'C2 lossyG,lossyA,intra'!$BP$40:$BP$40</f>
        <v>4.0333398189440484E-3</v>
      </c>
      <c r="I9" s="51">
        <f>'C2 lossyG,lossyA,intra'!$BQ$40:$BQ$40</f>
        <v>-1.3689653863418416E-2</v>
      </c>
      <c r="J9" s="51">
        <f>'C2 lossyG,lossyA,intra'!$BR$40:$BR$40</f>
        <v>1.8994755425111864E-3</v>
      </c>
      <c r="K9" s="51">
        <f>'C2 lossyG,lossyA,intra'!$BS$40:$BS$40</f>
        <v>1.6689442509919827E-3</v>
      </c>
      <c r="L9" s="51">
        <f>'C2 lossyG,lossyA,intra'!$BT$40:$BT$40</f>
        <v>1.8849087418289778E-3</v>
      </c>
    </row>
    <row r="10" spans="2:12" x14ac:dyDescent="0.2">
      <c r="B10" t="s">
        <v>17</v>
      </c>
      <c r="C10" s="51">
        <f>'C2 lossyG,lossyA,intra'!$BJ$41:$BJ$41</f>
        <v>1.0820527548338399E-2</v>
      </c>
      <c r="D10" s="51">
        <f>'C2 lossyG,lossyA,intra'!$BK$41:$BK$41</f>
        <v>9.2521652547494782E-4</v>
      </c>
      <c r="E10" s="51">
        <f>'C2 lossyG,lossyA,intra'!$BL$41:$BL$41</f>
        <v>-3.446391318180364E-4</v>
      </c>
      <c r="F10" s="51">
        <f>'C2 lossyG,lossyA,intra'!$BM$41:$BM$41</f>
        <v>-4.001443634739088E-4</v>
      </c>
      <c r="G10" s="51">
        <f>'C2 lossyG,lossyA,intra'!$BN$41:$BN$41</f>
        <v>-1.0177983865107265E-3</v>
      </c>
      <c r="H10" s="51">
        <f>'C2 lossyG,lossyA,intra'!$BP$41:$BP$41</f>
        <v>2.2949748501861489E-3</v>
      </c>
      <c r="I10" s="51">
        <f>'C2 lossyG,lossyA,intra'!$BQ$41:$BQ$41</f>
        <v>-1.5834268828782472E-2</v>
      </c>
      <c r="J10" s="51">
        <f>'C2 lossyG,lossyA,intra'!$BR$41:$BR$41</f>
        <v>1.9721256010847288E-3</v>
      </c>
      <c r="K10" s="51">
        <f>'C2 lossyG,lossyA,intra'!$BS$41:$BS$41</f>
        <v>1.6274632832913305E-3</v>
      </c>
      <c r="L10" s="51">
        <f>'C2 lossyG,lossyA,intra'!$BT$41:$BT$41</f>
        <v>1.2357735269890036E-3</v>
      </c>
    </row>
    <row r="11" spans="2:12" x14ac:dyDescent="0.2">
      <c r="B11" t="s">
        <v>18</v>
      </c>
      <c r="C11" s="51">
        <f>'C2 lossyG,lossyA,intra'!$BJ$42:$BJ$42</f>
        <v>5.2672554141699468E-3</v>
      </c>
      <c r="D11" s="51">
        <f>'C2 lossyG,lossyA,intra'!$BK$42:$BK$42</f>
        <v>1.5018165173236175E-3</v>
      </c>
      <c r="E11" s="51">
        <f>'C2 lossyG,lossyA,intra'!$BL$42:$BL$42</f>
        <v>-5.643912886693081E-4</v>
      </c>
      <c r="F11" s="51">
        <f>'C2 lossyG,lossyA,intra'!$BM$42:$BM$42</f>
        <v>-8.4271664275759051E-3</v>
      </c>
      <c r="G11" s="51">
        <f>'C2 lossyG,lossyA,intra'!$BN$42:$BN$42</f>
        <v>-4.0404362622911694E-3</v>
      </c>
      <c r="H11" s="51">
        <f>'C2 lossyG,lossyA,intra'!$BP$42:$BP$42</f>
        <v>1.0400782118226148E-3</v>
      </c>
      <c r="I11" s="51">
        <f>'C2 lossyG,lossyA,intra'!$BQ$42:$BQ$42</f>
        <v>-4.9721437977596761E-3</v>
      </c>
      <c r="J11" s="51">
        <f>'C2 lossyG,lossyA,intra'!$BR$42:$BR$42</f>
        <v>2.5111833487094781E-3</v>
      </c>
      <c r="K11" s="51">
        <f>'C2 lossyG,lossyA,intra'!$BS$42:$BS$42</f>
        <v>-3.563905188210037E-3</v>
      </c>
      <c r="L11" s="51">
        <f>'C2 lossyG,lossyA,intra'!$BT$42:$BT$42</f>
        <v>-5.2304470636244105E-4</v>
      </c>
    </row>
    <row r="12" spans="2:12" x14ac:dyDescent="0.2">
      <c r="B12" s="4" t="s">
        <v>19</v>
      </c>
      <c r="C12" s="5">
        <f>'C2 lossyG,lossyA,intra'!$BJ$43:$BJ$43</f>
        <v>1.0225564288519205E-2</v>
      </c>
      <c r="D12" s="5">
        <f>'C2 lossyG,lossyA,intra'!$BK$43:$BK$43</f>
        <v>1.8165726474549235E-3</v>
      </c>
      <c r="E12" s="5">
        <f>'C2 lossyG,lossyA,intra'!$BL$43:$BL$43</f>
        <v>-2.4727215411911108E-3</v>
      </c>
      <c r="F12" s="5">
        <f>'C2 lossyG,lossyA,intra'!$BM$43:$BM$43</f>
        <v>-5.2008369558937161E-3</v>
      </c>
      <c r="G12" s="5">
        <f>'C2 lossyG,lossyA,intra'!$BN$43:$BN$43</f>
        <v>-3.7119947543057413E-3</v>
      </c>
      <c r="H12" s="5">
        <f>'C2 lossyG,lossyA,intra'!$BP$43:$BP$43</f>
        <v>2.9297843642296533E-3</v>
      </c>
      <c r="I12" s="5">
        <f>'C2 lossyG,lossyA,intra'!$BQ$43:$BQ$43</f>
        <v>-1.1505310268282212E-2</v>
      </c>
      <c r="J12" s="5">
        <f>'C2 lossyG,lossyA,intra'!$BR$43:$BR$43</f>
        <v>2.0846277812212044E-3</v>
      </c>
      <c r="K12" s="5">
        <f>'C2 lossyG,lossyA,intra'!$BS$43:$BS$43</f>
        <v>1.6791855869131251E-4</v>
      </c>
      <c r="L12" s="5">
        <f>'C2 lossyG,lossyA,intra'!$BT$43:$BT$43</f>
        <v>1.104188440225719E-3</v>
      </c>
    </row>
    <row r="13" spans="2:12" x14ac:dyDescent="0.2">
      <c r="B13" t="s">
        <v>20</v>
      </c>
      <c r="C13" s="61">
        <f>'C2 lossyG,lossyA,intra'!AZ47</f>
        <v>0.95375766898346614</v>
      </c>
      <c r="D13" s="62"/>
      <c r="E13" s="62"/>
      <c r="F13" s="62"/>
      <c r="G13" s="62"/>
      <c r="H13" s="62"/>
      <c r="I13" s="62"/>
      <c r="J13" s="62"/>
      <c r="K13" s="62"/>
      <c r="L13" s="62"/>
    </row>
    <row r="14" spans="2:12" x14ac:dyDescent="0.2">
      <c r="B14" s="54" t="s">
        <v>21</v>
      </c>
      <c r="C14" s="63">
        <f>'C2 lossyG,lossyA,intra'!BB47</f>
        <v>0.97540089834104038</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1.2205123054463196E-2</v>
      </c>
      <c r="D43" s="51">
        <f>'C2 lossyG,lossyA,interRA'!$BK$40:$BK$40</f>
        <v>1.3345618570422546E-3</v>
      </c>
      <c r="E43" s="51">
        <f>'C2 lossyG,lossyA,interRA'!$BL$40:$BL$40</f>
        <v>-6.7909546266470833E-3</v>
      </c>
      <c r="F43" s="51">
        <f>'C2 lossyG,lossyA,interRA'!$BM$40:$BM$40</f>
        <v>-1.8078954357607924E-3</v>
      </c>
      <c r="G43" s="51">
        <f>'C2 lossyG,lossyA,interRA'!$BN$40:$BN$40</f>
        <v>-2.328971666381574E-4</v>
      </c>
      <c r="H43" s="51">
        <f>'C2 lossyG,lossyA,interRA'!$BP$40:$BP$40</f>
        <v>5.9510000917560868E-3</v>
      </c>
      <c r="I43" s="51">
        <f>'C2 lossyG,lossyA,interRA'!$BQ$40:$BQ$40</f>
        <v>-1.0521221926995505E-2</v>
      </c>
      <c r="J43" s="51">
        <f>'C2 lossyG,lossyA,interRA'!$BR$40:$BR$40</f>
        <v>4.7435291602819785E-3</v>
      </c>
      <c r="K43" s="51">
        <f>'C2 lossyG,lossyA,interRA'!$BS$40:$BS$40</f>
        <v>7.5944593338552746E-3</v>
      </c>
      <c r="L43" s="51">
        <f>'C2 lossyG,lossyA,interRA'!$BT$40:$BT$40</f>
        <v>8.3864028601592644E-3</v>
      </c>
    </row>
    <row r="44" spans="2:12" x14ac:dyDescent="0.2">
      <c r="B44" t="s">
        <v>17</v>
      </c>
      <c r="C44" s="51">
        <f>'C2 lossyG,lossyA,interRA'!$BJ$41:$BJ$41</f>
        <v>1.1827740283347321E-2</v>
      </c>
      <c r="D44" s="51">
        <f>'C2 lossyG,lossyA,interRA'!$BK$41:$BK$41</f>
        <v>1.4886232160742363E-3</v>
      </c>
      <c r="E44" s="51">
        <f>'C2 lossyG,lossyA,interRA'!$BL$41:$BL$41</f>
        <v>-1.5568583311587059E-3</v>
      </c>
      <c r="F44" s="51">
        <f>'C2 lossyG,lossyA,interRA'!$BM$41:$BM$41</f>
        <v>-4.0091012943819226E-3</v>
      </c>
      <c r="G44" s="51">
        <f>'C2 lossyG,lossyA,interRA'!$BN$41:$BN$41</f>
        <v>-2.9437836145564944E-3</v>
      </c>
      <c r="H44" s="51">
        <f>'C2 lossyG,lossyA,interRA'!$BP$41:$BP$41</f>
        <v>5.1547876673323501E-3</v>
      </c>
      <c r="I44" s="51">
        <f>'C2 lossyG,lossyA,interRA'!$BQ$41:$BQ$41</f>
        <v>-1.3083244267994676E-2</v>
      </c>
      <c r="J44" s="51">
        <f>'C2 lossyG,lossyA,interRA'!$BR$41:$BR$41</f>
        <v>3.5280091675771175E-3</v>
      </c>
      <c r="K44" s="51">
        <f>'C2 lossyG,lossyA,interRA'!$BS$41:$BS$41</f>
        <v>1.4265667450423791E-3</v>
      </c>
      <c r="L44" s="51">
        <f>'C2 lossyG,lossyA,interRA'!$BT$41:$BT$41</f>
        <v>2.7701189785513947E-3</v>
      </c>
    </row>
    <row r="45" spans="2:12" x14ac:dyDescent="0.2">
      <c r="B45" t="s">
        <v>18</v>
      </c>
      <c r="C45" s="51">
        <f>'C2 lossyG,lossyA,interRA'!$BJ$42:$BJ$42</f>
        <v>6.1331802466713103E-3</v>
      </c>
      <c r="D45" s="51">
        <f>'C2 lossyG,lossyA,interRA'!$BK$42:$BK$42</f>
        <v>2.1132941717848519E-3</v>
      </c>
      <c r="E45" s="51">
        <f>'C2 lossyG,lossyA,interRA'!$BL$42:$BL$42</f>
        <v>-2.3143415965602432E-3</v>
      </c>
      <c r="F45" s="51">
        <f>'C2 lossyG,lossyA,interRA'!$BM$42:$BM$42</f>
        <v>1.6828589147476314E-2</v>
      </c>
      <c r="G45" s="51">
        <f>'C2 lossyG,lossyA,interRA'!$BN$42:$BN$42</f>
        <v>-1.0405427726449645E-2</v>
      </c>
      <c r="H45" s="51">
        <f>'C2 lossyG,lossyA,interRA'!$BP$42:$BP$42</f>
        <v>2.5392905680878819E-3</v>
      </c>
      <c r="I45" s="51">
        <f>'C2 lossyG,lossyA,interRA'!$BQ$42:$BQ$42</f>
        <v>-3.1708745718330711E-3</v>
      </c>
      <c r="J45" s="51">
        <f>'C2 lossyG,lossyA,interRA'!$BR$42:$BR$42</f>
        <v>3.6612128771478236E-3</v>
      </c>
      <c r="K45" s="51">
        <f>'C2 lossyG,lossyA,interRA'!$BS$42:$BS$42</f>
        <v>1.448739205630234E-2</v>
      </c>
      <c r="L45" s="51">
        <f>'C2 lossyG,lossyA,interRA'!$BT$42:$BT$42</f>
        <v>-1.8581202366196869E-3</v>
      </c>
    </row>
    <row r="46" spans="2:12" x14ac:dyDescent="0.2">
      <c r="B46" s="4" t="s">
        <v>19</v>
      </c>
      <c r="C46" s="5">
        <f>'C2 lossyG,lossyA,interRA'!$BJ$43:$BJ$43</f>
        <v>1.0416370427791819E-2</v>
      </c>
      <c r="D46" s="5">
        <f>'C2 lossyG,lossyA,interRA'!$BK$43:$BK$43</f>
        <v>1.5790655696875655E-3</v>
      </c>
      <c r="E46" s="5">
        <f>'C2 lossyG,lossyA,interRA'!$BL$43:$BL$43</f>
        <v>-4.7641942901239321E-3</v>
      </c>
      <c r="F46" s="5">
        <f>'C2 lossyG,lossyA,interRA'!$BM$43:$BM$43</f>
        <v>3.2023564653610764E-3</v>
      </c>
      <c r="G46" s="5">
        <f>'C2 lossyG,lossyA,interRA'!$BN$43:$BN$43</f>
        <v>-3.5266039620012019E-3</v>
      </c>
      <c r="H46" s="5">
        <f>'C2 lossyG,lossyA,interRA'!$BP$43:$BP$43</f>
        <v>4.8624813100760656E-3</v>
      </c>
      <c r="I46" s="5">
        <f>'C2 lossyG,lossyA,interRA'!$BQ$43:$BQ$43</f>
        <v>-8.7871258742346914E-3</v>
      </c>
      <c r="J46" s="5">
        <f>'C2 lossyG,lossyA,interRA'!$BR$43:$BR$43</f>
        <v>4.2606502232858112E-3</v>
      </c>
      <c r="K46" s="5">
        <f>'C2 lossyG,lossyA,interRA'!$BS$43:$BS$43</f>
        <v>8.6827411704383083E-3</v>
      </c>
      <c r="L46" s="5">
        <f>'C2 lossyG,lossyA,interRA'!$BT$43:$BT$43</f>
        <v>4.6570699922784398E-3</v>
      </c>
    </row>
    <row r="47" spans="2:12" x14ac:dyDescent="0.2">
      <c r="B47" t="s">
        <v>20</v>
      </c>
      <c r="C47" s="61">
        <f>'C2 lossyG,lossyA,interRA'!AZ47</f>
        <v>0.91395021806595611</v>
      </c>
      <c r="D47" s="62"/>
      <c r="E47" s="62"/>
      <c r="F47" s="62"/>
      <c r="G47" s="62"/>
      <c r="H47" s="62"/>
      <c r="I47" s="62"/>
      <c r="J47" s="62"/>
      <c r="K47" s="62"/>
      <c r="L47" s="62"/>
    </row>
    <row r="48" spans="2:12" x14ac:dyDescent="0.2">
      <c r="B48" s="54" t="s">
        <v>21</v>
      </c>
      <c r="C48" s="63">
        <f>'C2 lossyG,lossyA,interRA'!BB47</f>
        <v>0.95651705041262747</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J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2.1746325</v>
      </c>
      <c r="J5" s="11">
        <f t="shared" ref="J5:J39" si="1">IF(ISBLANK(S5),"·",S5/D5)</f>
        <v>9.7402609809022888E-3</v>
      </c>
      <c r="K5" s="11">
        <f t="shared" ref="K5:K39" si="2">IF(N5="","·",N5/D5)</f>
        <v>6.1611851174347629E-3</v>
      </c>
      <c r="L5" s="11">
        <f t="shared" ref="L5:L39" si="3">IF(T5="","·",T5/D5)</f>
        <v>3.5272086067430685E-3</v>
      </c>
      <c r="M5" s="11">
        <f t="shared" ref="M5:M39" si="4">IF(ISBLANK(V5),"·",V5/D5)</f>
        <v>3.5785383789418835E-3</v>
      </c>
      <c r="N5" s="52">
        <f t="shared" ref="N5:N39" si="5">IF(OR(ISBLANK(T5),ISBLANK(U5)),"",T5+U5)</f>
        <v>1467264</v>
      </c>
      <c r="O5" s="11">
        <v>16</v>
      </c>
      <c r="P5" s="12">
        <v>21785839</v>
      </c>
      <c r="Q5" s="12">
        <v>680807.46875</v>
      </c>
      <c r="R5" s="12">
        <v>13493.8125</v>
      </c>
      <c r="S5" s="13">
        <v>2319608</v>
      </c>
      <c r="T5" s="13">
        <v>839992</v>
      </c>
      <c r="U5" s="13">
        <v>627272</v>
      </c>
      <c r="V5" s="13">
        <v>852216</v>
      </c>
      <c r="W5" s="14">
        <v>66.354628000000005</v>
      </c>
      <c r="X5" s="14">
        <v>68.478525000000005</v>
      </c>
      <c r="Y5" s="14">
        <v>32.104728000000001</v>
      </c>
      <c r="Z5" s="14">
        <v>44.160262000000003</v>
      </c>
      <c r="AA5" s="14">
        <v>43.841844000000002</v>
      </c>
      <c r="AB5" s="15">
        <v>3713.79</v>
      </c>
      <c r="AC5" s="15">
        <v>1181.2</v>
      </c>
      <c r="AD5" s="15">
        <v>61.44</v>
      </c>
      <c r="AE5" s="15">
        <v>17.957000000000001</v>
      </c>
      <c r="AG5" s="10">
        <f t="shared" ref="AG5:AG39" si="6">IF(OR(ISBLANK(AQ5),ISBLANK(G5)),"·",AQ5*G5/F5/1000000)</f>
        <v>2.1846524999999999</v>
      </c>
      <c r="AH5" s="11">
        <f t="shared" ref="AH5:AH39" si="7">IF(ISBLANK(AQ5),"·",AQ5/D5)</f>
        <v>9.7851409387934001E-3</v>
      </c>
      <c r="AI5" s="11">
        <f t="shared" ref="AI5:AI39" si="8">IF(AL5="","·",AL5/D5)</f>
        <v>6.2166803947073046E-3</v>
      </c>
      <c r="AJ5" s="11">
        <f t="shared" ref="AJ5:AJ39" si="9">IF(AR5="","·",AR5/D5)</f>
        <v>3.5272086067430685E-3</v>
      </c>
      <c r="AK5" s="11">
        <f t="shared" ref="AK5:AK39" si="10">IF(ISBLANK(AT5),"·",AT5/D5)</f>
        <v>3.5679230595604531E-3</v>
      </c>
      <c r="AL5" s="52">
        <f t="shared" ref="AL5:AL39" si="11">IF(OR(ISBLANK(AR5),ISBLANK(AS5)),"",AR5+AS5)</f>
        <v>1480480</v>
      </c>
      <c r="AM5" s="11">
        <v>16</v>
      </c>
      <c r="AN5" s="12">
        <v>21745664</v>
      </c>
      <c r="AO5" s="12">
        <v>679552</v>
      </c>
      <c r="AP5" s="12">
        <v>13087.15625</v>
      </c>
      <c r="AQ5" s="13">
        <v>2330296</v>
      </c>
      <c r="AR5" s="13">
        <v>839992</v>
      </c>
      <c r="AS5" s="13">
        <v>640488</v>
      </c>
      <c r="AT5" s="13">
        <v>849688</v>
      </c>
      <c r="AU5" s="14">
        <v>66.348590999999999</v>
      </c>
      <c r="AV5" s="14">
        <v>68.494291000000004</v>
      </c>
      <c r="AW5" s="14">
        <v>32.103194000000002</v>
      </c>
      <c r="AX5" s="14">
        <v>44.178880999999997</v>
      </c>
      <c r="AY5" s="14">
        <v>43.791625000000003</v>
      </c>
      <c r="AZ5" s="15">
        <v>3347.74</v>
      </c>
      <c r="BA5" s="15">
        <v>1013.76</v>
      </c>
      <c r="BB5" s="15">
        <v>58.396000000000001</v>
      </c>
      <c r="BC5" s="15">
        <v>15.295999999999999</v>
      </c>
      <c r="BE5" s="50">
        <f t="shared" ref="BE5:BE43" si="12">AI5/K5</f>
        <v>1.0090072406874293</v>
      </c>
      <c r="BF5" s="16">
        <f t="shared" ref="BF5:BF39" si="13">(AP5/AO5) - (R5/Q5)</f>
        <v>-5.618002374199009E-4</v>
      </c>
      <c r="BG5" s="16">
        <f t="shared" ref="BG5:BG39" si="14">(AL5/AQ5) - (N5/S5)</f>
        <v>2.7701734959207913E-3</v>
      </c>
      <c r="BH5" s="16">
        <f t="array" ref="BH5">AVERAGE(AL5:AL9/AQ5:AQ9) - AVERAGE(N5:N9/S5:S9)</f>
        <v>1.891889177606132E-3</v>
      </c>
      <c r="BJ5" s="50">
        <f>IF( OR(ISBLANK(N5:N9),ISBLANK(AL5:AL9), ISBLANK(W5:W9),ISBLANK(AU5:AU9)), "·", bdRateExtend( N5:N9,W5:W9, AL5:AL9,AU5:AU9))</f>
        <v>5.8931329665297127E-3</v>
      </c>
      <c r="BK5" s="50">
        <f>IF( OR(ISBLANK(N5:N9),ISBLANK(AL5:AL9), ISBLANK(X5:X9),ISBLANK(AV5:AV9)), "·", bdRateExtend( N5:N9,X5:X9, AL5:AL9,AV5:AV9))</f>
        <v>2.908048644259198E-3</v>
      </c>
      <c r="BL5" s="50">
        <f>IF( OR(ISBLANK(V5:V9),ISBLANK(AT5:AT9), ISBLANK(Y5:Y9),ISBLANK(AW5:AW9)), "·", bdRateExtend( V5:V9,Y5:Y9, AT5:AT9,AW5:AW9))</f>
        <v>-6.2907822856750339E-4</v>
      </c>
      <c r="BM5" s="50">
        <f>IF( OR(ISBLANK(V5:V9),ISBLANK(AT5:AT9), ISBLANK(Z5:Z9),ISBLANK(AX5:AX9)), "·", bdRateExtend( V5:V9,Z5:Z9, AT5:AT9,AX5:AX9))</f>
        <v>-3.1337604634450456E-3</v>
      </c>
      <c r="BN5" s="50">
        <f>IF( OR(ISBLANK(V5:V9),ISBLANK(AT5:AT9), ISBLANK(AA5:AA9),ISBLANK(AY5:AY9)), "·", bdRateExtend( V5:V9,AA5:AA9, AT5:AT9,AY5:AY9))</f>
        <v>4.3358776359188056E-3</v>
      </c>
      <c r="BP5" s="50">
        <f>IF( OR(ISBLANK(S5:S9),ISBLANK(AQ5:AQ9), ISBLANK(W5:W9),ISBLANK(AU5:AU9)), "·", bdRateExtend( S5:S9,W5:W9, AQ5:AQ9,AU5:AU9))</f>
        <v>1.3747527923138048E-3</v>
      </c>
      <c r="BQ5" s="50">
        <f>IF( OR(ISBLANK(S5:S9),ISBLANK(AQ5:AQ9), ISBLANK(X5:X9),ISBLANK(AV5:AV9)), "·", bdRateExtend( S5:S9,X5:X9, AQ5:AQ9,AV5:AV9))</f>
        <v>-4.0971552961459601E-3</v>
      </c>
      <c r="BR5" s="50">
        <f>IF( OR(ISBLANK(S5:S9),ISBLANK(AQ5:AQ9), ISBLANK(Y5:Y9),ISBLANK(AW5:AW9)), "·", bdRateExtend( S5:S9,Y5:Y9, AQ5:AQ9,AW5:AW9))</f>
        <v>2.467059783628045E-3</v>
      </c>
      <c r="BS5" s="50">
        <f>IF( OR(ISBLANK(S5:S9),ISBLANK(AQ5:AQ9), ISBLANK(Z5:Z9),ISBLANK(AX5:AX9)), "·", bdRateExtend( S5:S9,Z5:Z9, AQ5:AQ9,AX5:AX9))</f>
        <v>5.3173284616492289E-4</v>
      </c>
      <c r="BT5" s="50">
        <f>IF( OR(ISBLANK(S5:S9),ISBLANK(AQ5:AQ9), ISBLANK(AA5:AA9),ISBLANK(AY5:AY9)), "·", bdRateExtend( S5:S9,AA5:AA9, AQ5:AQ9,AY5:AY9))</f>
        <v>4.8724743243562241E-3</v>
      </c>
      <c r="BV5" s="58">
        <f>AN5-P5</f>
        <v>-40175</v>
      </c>
      <c r="BW5" s="58">
        <f t="shared" ref="BW5:CG20" si="15">AO5-Q5</f>
        <v>-1255.46875</v>
      </c>
      <c r="BX5" s="58">
        <f t="shared" si="15"/>
        <v>-406.65625</v>
      </c>
      <c r="BY5" s="58">
        <f t="shared" si="15"/>
        <v>10688</v>
      </c>
      <c r="BZ5" s="58">
        <f t="shared" si="15"/>
        <v>0</v>
      </c>
      <c r="CA5" s="58">
        <f t="shared" si="15"/>
        <v>13216</v>
      </c>
      <c r="CB5" s="58">
        <f t="shared" si="15"/>
        <v>-2528</v>
      </c>
      <c r="CC5" s="58">
        <f t="shared" si="15"/>
        <v>-6.0370000000062873E-3</v>
      </c>
      <c r="CD5" s="58">
        <f t="shared" si="15"/>
        <v>1.5765999999999281E-2</v>
      </c>
      <c r="CE5" s="58">
        <f t="shared" si="15"/>
        <v>-1.5339999999994802E-3</v>
      </c>
      <c r="CF5" s="58">
        <f t="shared" si="15"/>
        <v>1.8618999999993946E-2</v>
      </c>
      <c r="CG5" s="58">
        <f t="shared" si="15"/>
        <v>-5.0218999999998459E-2</v>
      </c>
      <c r="CJ5" t="s">
        <v>233</v>
      </c>
    </row>
    <row r="6" spans="1:88" outlineLevel="1" x14ac:dyDescent="0.2">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4148.05</v>
      </c>
      <c r="AC6" s="24">
        <v>1406.47</v>
      </c>
      <c r="AD6" s="24">
        <v>72.043999999999997</v>
      </c>
      <c r="AE6" s="24">
        <v>21.864000000000001</v>
      </c>
      <c r="AG6" s="19">
        <f t="shared" si="6"/>
        <v>3.3986700000000001</v>
      </c>
      <c r="AH6" s="20">
        <f t="shared" si="7"/>
        <v>1.5222771106365413E-2</v>
      </c>
      <c r="AI6" s="20">
        <f t="shared" si="8"/>
        <v>7.580916899135373E-3</v>
      </c>
      <c r="AJ6" s="20">
        <f t="shared" si="9"/>
        <v>4.8914115183882837E-3</v>
      </c>
      <c r="AK6" s="20">
        <f t="shared" si="10"/>
        <v>7.6413167227043976E-3</v>
      </c>
      <c r="AL6" s="17">
        <f t="shared" si="11"/>
        <v>1805368</v>
      </c>
      <c r="AM6" s="20">
        <v>16</v>
      </c>
      <c r="AN6" s="21">
        <v>24147476</v>
      </c>
      <c r="AO6" s="21">
        <v>754608.625</v>
      </c>
      <c r="AP6" s="21">
        <v>18540.34375</v>
      </c>
      <c r="AQ6" s="22">
        <v>3625248</v>
      </c>
      <c r="AR6" s="22">
        <v>1164872</v>
      </c>
      <c r="AS6" s="22">
        <v>640496</v>
      </c>
      <c r="AT6" s="22">
        <v>1819752</v>
      </c>
      <c r="AU6" s="23">
        <v>68.248296999999994</v>
      </c>
      <c r="AV6" s="23">
        <v>70.454581000000005</v>
      </c>
      <c r="AW6" s="23">
        <v>34.349558999999999</v>
      </c>
      <c r="AX6" s="23">
        <v>45.449738000000004</v>
      </c>
      <c r="AY6" s="23">
        <v>45.229174999999998</v>
      </c>
      <c r="AZ6" s="24">
        <v>4192.9399999999996</v>
      </c>
      <c r="BA6" s="24">
        <v>1423.35</v>
      </c>
      <c r="BB6" s="24">
        <v>69.525999999999996</v>
      </c>
      <c r="BC6" s="24">
        <v>21.556000000000001</v>
      </c>
      <c r="BE6" s="49">
        <f t="shared" si="12"/>
        <v>1.0073788713406959</v>
      </c>
      <c r="BF6" s="25">
        <f t="shared" si="13"/>
        <v>-6.7654711020305805E-4</v>
      </c>
      <c r="BG6" s="25">
        <f t="shared" si="14"/>
        <v>2.4481221820831789E-3</v>
      </c>
      <c r="BH6" s="25"/>
      <c r="BJ6" s="49"/>
      <c r="BK6" s="49"/>
      <c r="BL6" s="49"/>
      <c r="BM6" s="49"/>
      <c r="BN6" s="49"/>
      <c r="BP6" s="49"/>
      <c r="BQ6" s="49"/>
      <c r="BR6" s="49"/>
      <c r="BS6" s="49"/>
      <c r="BT6" s="49"/>
      <c r="BV6" s="58">
        <f t="shared" ref="BV6:CG39" si="16">AN6-P6</f>
        <v>-44486</v>
      </c>
      <c r="BW6" s="58">
        <f t="shared" si="15"/>
        <v>-1390.1875</v>
      </c>
      <c r="BX6" s="58">
        <f t="shared" si="15"/>
        <v>-545.625</v>
      </c>
      <c r="BY6" s="58">
        <f t="shared" si="15"/>
        <v>8776</v>
      </c>
      <c r="BZ6" s="58">
        <f t="shared" si="15"/>
        <v>0</v>
      </c>
      <c r="CA6" s="58">
        <f t="shared" si="15"/>
        <v>13224</v>
      </c>
      <c r="CB6" s="58">
        <f t="shared" si="15"/>
        <v>-4448</v>
      </c>
      <c r="CC6" s="58">
        <f t="shared" si="15"/>
        <v>-7.6810000000051559E-3</v>
      </c>
      <c r="CD6" s="58">
        <f t="shared" si="15"/>
        <v>1.6122000000009962E-2</v>
      </c>
      <c r="CE6" s="58">
        <f t="shared" si="15"/>
        <v>-6.0690000000036548E-3</v>
      </c>
      <c r="CF6" s="58">
        <f t="shared" si="15"/>
        <v>-7.4339999999963879E-3</v>
      </c>
      <c r="CG6" s="58">
        <f t="shared" si="15"/>
        <v>-2.623100000000278E-2</v>
      </c>
      <c r="CJ6" t="s">
        <v>233</v>
      </c>
    </row>
    <row r="7" spans="1:88" outlineLevel="1" x14ac:dyDescent="0.2">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3182.35</v>
      </c>
      <c r="AC7" s="15">
        <v>1014.56</v>
      </c>
      <c r="AD7" s="15">
        <v>60.921999999999997</v>
      </c>
      <c r="AE7" s="15">
        <v>14.987</v>
      </c>
      <c r="AG7" s="10">
        <f t="shared" si="6"/>
        <v>5.5675499999999998</v>
      </c>
      <c r="AH7" s="11">
        <f t="shared" si="7"/>
        <v>2.4937266422819734E-2</v>
      </c>
      <c r="AI7" s="11">
        <f t="shared" si="8"/>
        <v>9.528223335536502E-3</v>
      </c>
      <c r="AJ7" s="11">
        <f t="shared" si="9"/>
        <v>6.8387179547894136E-3</v>
      </c>
      <c r="AK7" s="11">
        <f t="shared" si="10"/>
        <v>1.5408505602757592E-2</v>
      </c>
      <c r="AL7" s="52">
        <f t="shared" si="11"/>
        <v>2269112</v>
      </c>
      <c r="AM7" s="11">
        <v>16</v>
      </c>
      <c r="AN7" s="12">
        <v>24763611</v>
      </c>
      <c r="AO7" s="12">
        <v>773862.84375</v>
      </c>
      <c r="AP7" s="12">
        <v>20376.78125</v>
      </c>
      <c r="AQ7" s="13">
        <v>5938720</v>
      </c>
      <c r="AR7" s="13">
        <v>1628616</v>
      </c>
      <c r="AS7" s="13">
        <v>640496</v>
      </c>
      <c r="AT7" s="13">
        <v>3669480</v>
      </c>
      <c r="AU7" s="14">
        <v>69.674569000000005</v>
      </c>
      <c r="AV7" s="14">
        <v>72.149124999999998</v>
      </c>
      <c r="AW7" s="14">
        <v>36.888928</v>
      </c>
      <c r="AX7" s="14">
        <v>46.596843999999997</v>
      </c>
      <c r="AY7" s="14">
        <v>46.464258999999998</v>
      </c>
      <c r="AZ7" s="15">
        <v>4051.42</v>
      </c>
      <c r="BA7" s="15">
        <v>1353.62</v>
      </c>
      <c r="BB7" s="15">
        <v>72.144999999999996</v>
      </c>
      <c r="BC7" s="15">
        <v>19.145</v>
      </c>
      <c r="BE7" s="50">
        <f t="shared" si="12"/>
        <v>1.0058619931485959</v>
      </c>
      <c r="BF7" s="16">
        <f t="shared" si="13"/>
        <v>-6.9821603824321565E-4</v>
      </c>
      <c r="BG7" s="16">
        <f t="shared" si="14"/>
        <v>2.1274452490672724E-3</v>
      </c>
      <c r="BH7" s="16"/>
      <c r="BJ7" s="50"/>
      <c r="BK7" s="50"/>
      <c r="BL7" s="50"/>
      <c r="BM7" s="50"/>
      <c r="BN7" s="50"/>
      <c r="BP7" s="50"/>
      <c r="BQ7" s="50"/>
      <c r="BR7" s="50"/>
      <c r="BS7" s="50"/>
      <c r="BT7" s="50"/>
      <c r="BV7" s="58">
        <f t="shared" si="16"/>
        <v>-44605</v>
      </c>
      <c r="BW7" s="58">
        <f t="shared" si="15"/>
        <v>-1393.90625</v>
      </c>
      <c r="BX7" s="58">
        <f t="shared" si="15"/>
        <v>-578</v>
      </c>
      <c r="BY7" s="58">
        <f t="shared" si="15"/>
        <v>1552</v>
      </c>
      <c r="BZ7" s="58">
        <f t="shared" si="15"/>
        <v>0</v>
      </c>
      <c r="CA7" s="58">
        <f t="shared" si="15"/>
        <v>13224</v>
      </c>
      <c r="CB7" s="58">
        <f t="shared" si="15"/>
        <v>-11672</v>
      </c>
      <c r="CC7" s="58">
        <f t="shared" si="15"/>
        <v>-9.155999999990172E-3</v>
      </c>
      <c r="CD7" s="58">
        <f t="shared" si="15"/>
        <v>1.9722000000001572E-2</v>
      </c>
      <c r="CE7" s="58">
        <f t="shared" si="15"/>
        <v>-8.1380000000024211E-3</v>
      </c>
      <c r="CF7" s="58">
        <f t="shared" si="15"/>
        <v>6.880999999999915E-3</v>
      </c>
      <c r="CG7" s="58">
        <f t="shared" si="15"/>
        <v>-2.1419000000001631E-2</v>
      </c>
      <c r="CJ7" t="s">
        <v>233</v>
      </c>
    </row>
    <row r="8" spans="1:88" outlineLevel="1" x14ac:dyDescent="0.2">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4041.04</v>
      </c>
      <c r="AC8" s="24">
        <v>1565.65</v>
      </c>
      <c r="AD8" s="24">
        <v>75.100999999999999</v>
      </c>
      <c r="AE8" s="24">
        <v>22.297999999999998</v>
      </c>
      <c r="AG8" s="19">
        <f t="shared" si="6"/>
        <v>9.4258199999999999</v>
      </c>
      <c r="AH8" s="20">
        <f t="shared" si="7"/>
        <v>4.2218603262394183E-2</v>
      </c>
      <c r="AI8" s="20">
        <f t="shared" si="8"/>
        <v>1.2790250514440927E-2</v>
      </c>
      <c r="AJ8" s="20">
        <f t="shared" si="9"/>
        <v>1.0100745133693839E-2</v>
      </c>
      <c r="AK8" s="20">
        <f t="shared" si="10"/>
        <v>2.9427815263427613E-2</v>
      </c>
      <c r="AL8" s="17">
        <f t="shared" si="11"/>
        <v>3045952</v>
      </c>
      <c r="AM8" s="20">
        <v>16</v>
      </c>
      <c r="AN8" s="21">
        <v>25751760</v>
      </c>
      <c r="AO8" s="21">
        <v>804742.5</v>
      </c>
      <c r="AP8" s="21">
        <v>23565.40625</v>
      </c>
      <c r="AQ8" s="22">
        <v>10054208</v>
      </c>
      <c r="AR8" s="22">
        <v>2405456</v>
      </c>
      <c r="AS8" s="22">
        <v>640496</v>
      </c>
      <c r="AT8" s="22">
        <v>7008128</v>
      </c>
      <c r="AU8" s="23">
        <v>70.854243999999994</v>
      </c>
      <c r="AV8" s="23">
        <v>73.429991000000001</v>
      </c>
      <c r="AW8" s="23">
        <v>39.515216000000002</v>
      </c>
      <c r="AX8" s="23">
        <v>47.903880999999998</v>
      </c>
      <c r="AY8" s="23">
        <v>47.950881000000003</v>
      </c>
      <c r="AZ8" s="24">
        <v>3221.19</v>
      </c>
      <c r="BA8" s="24">
        <v>1122.3599999999999</v>
      </c>
      <c r="BB8" s="24">
        <v>65.352999999999994</v>
      </c>
      <c r="BC8" s="24">
        <v>16.058</v>
      </c>
      <c r="BE8" s="49">
        <f t="shared" si="12"/>
        <v>1.0043604306090095</v>
      </c>
      <c r="BF8" s="25">
        <f t="shared" si="13"/>
        <v>-7.3465694708001184E-4</v>
      </c>
      <c r="BG8" s="25">
        <f t="shared" si="14"/>
        <v>1.4575284589585236E-3</v>
      </c>
      <c r="BH8" s="25"/>
      <c r="BJ8" s="49"/>
      <c r="BK8" s="49"/>
      <c r="BL8" s="49"/>
      <c r="BM8" s="49"/>
      <c r="BN8" s="49"/>
      <c r="BP8" s="49"/>
      <c r="BQ8" s="49"/>
      <c r="BR8" s="49"/>
      <c r="BS8" s="49"/>
      <c r="BT8" s="49"/>
      <c r="BV8" s="58">
        <f t="shared" si="16"/>
        <v>-46049</v>
      </c>
      <c r="BW8" s="58">
        <f t="shared" si="15"/>
        <v>-1439.03125</v>
      </c>
      <c r="BX8" s="58">
        <f t="shared" si="15"/>
        <v>-634.40625</v>
      </c>
      <c r="BY8" s="58">
        <f t="shared" si="15"/>
        <v>-4744</v>
      </c>
      <c r="BZ8" s="58">
        <f t="shared" si="15"/>
        <v>0</v>
      </c>
      <c r="CA8" s="58">
        <f t="shared" si="15"/>
        <v>13224</v>
      </c>
      <c r="CB8" s="58">
        <f t="shared" si="15"/>
        <v>-17968</v>
      </c>
      <c r="CC8" s="58">
        <f t="shared" si="15"/>
        <v>1.7402999999987401E-2</v>
      </c>
      <c r="CD8" s="58">
        <f t="shared" si="15"/>
        <v>2.3009999999999309E-2</v>
      </c>
      <c r="CE8" s="58">
        <f t="shared" si="15"/>
        <v>-9.9999999999980105E-3</v>
      </c>
      <c r="CF8" s="58">
        <f t="shared" si="15"/>
        <v>-1.5440000000026544E-3</v>
      </c>
      <c r="CG8" s="58">
        <f t="shared" si="15"/>
        <v>8.7560000000053151E-3</v>
      </c>
      <c r="CJ8" t="s">
        <v>233</v>
      </c>
    </row>
    <row r="9" spans="1:88" ht="16" outlineLevel="1" thickBot="1" x14ac:dyDescent="0.25">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3352.02</v>
      </c>
      <c r="AC9" s="33">
        <v>1267.51</v>
      </c>
      <c r="AD9" s="33">
        <v>60.844999999999999</v>
      </c>
      <c r="AE9" s="33">
        <v>16.356999999999999</v>
      </c>
      <c r="AG9" s="28">
        <f t="shared" si="6"/>
        <v>16.812787499999999</v>
      </c>
      <c r="AH9" s="29">
        <f t="shared" si="7"/>
        <v>7.5305109284650049E-2</v>
      </c>
      <c r="AI9" s="29">
        <f t="shared" si="8"/>
        <v>2.0695472139235567E-2</v>
      </c>
      <c r="AJ9" s="29">
        <f t="shared" si="9"/>
        <v>1.5547781280464586E-2</v>
      </c>
      <c r="AK9" s="29">
        <f t="shared" si="10"/>
        <v>5.4609099660888838E-2</v>
      </c>
      <c r="AL9" s="26">
        <f t="shared" si="11"/>
        <v>4928552</v>
      </c>
      <c r="AM9" s="29">
        <v>16</v>
      </c>
      <c r="AN9" s="30">
        <v>24861610</v>
      </c>
      <c r="AO9" s="30">
        <v>776925.3125</v>
      </c>
      <c r="AP9" s="30">
        <v>10539.375</v>
      </c>
      <c r="AQ9" s="31">
        <v>17933640</v>
      </c>
      <c r="AR9" s="31">
        <v>3702648</v>
      </c>
      <c r="AS9" s="31">
        <v>1225904</v>
      </c>
      <c r="AT9" s="31">
        <v>13004960</v>
      </c>
      <c r="AU9" s="32">
        <v>71.940628000000004</v>
      </c>
      <c r="AV9" s="32">
        <v>75.319744</v>
      </c>
      <c r="AW9" s="32">
        <v>42.123508999999999</v>
      </c>
      <c r="AX9" s="32">
        <v>49.420738</v>
      </c>
      <c r="AY9" s="32">
        <v>49.572653000000003</v>
      </c>
      <c r="AZ9" s="33">
        <v>3224.93</v>
      </c>
      <c r="BA9" s="33">
        <v>1249.08</v>
      </c>
      <c r="BB9" s="33">
        <v>61.927</v>
      </c>
      <c r="BC9" s="33">
        <v>17.763999999999999</v>
      </c>
      <c r="BE9" s="34">
        <f t="shared" si="12"/>
        <v>1.0026903596260512</v>
      </c>
      <c r="BF9" s="35">
        <f t="shared" si="13"/>
        <v>-1.2059645367369295E-4</v>
      </c>
      <c r="BG9" s="35">
        <f t="shared" si="14"/>
        <v>6.5617650200056055E-4</v>
      </c>
      <c r="BH9" s="35"/>
      <c r="BJ9" s="34"/>
      <c r="BK9" s="34"/>
      <c r="BL9" s="34"/>
      <c r="BM9" s="34"/>
      <c r="BN9" s="34"/>
      <c r="BP9" s="34"/>
      <c r="BQ9" s="34"/>
      <c r="BR9" s="34"/>
      <c r="BS9" s="34"/>
      <c r="BT9" s="34"/>
      <c r="BV9" s="58">
        <f t="shared" si="16"/>
        <v>-6779</v>
      </c>
      <c r="BW9" s="58">
        <f t="shared" si="15"/>
        <v>-211.84375</v>
      </c>
      <c r="BX9" s="58">
        <f t="shared" si="15"/>
        <v>-96.59375</v>
      </c>
      <c r="BY9" s="58">
        <f t="shared" si="15"/>
        <v>5312</v>
      </c>
      <c r="BZ9" s="58">
        <f t="shared" si="15"/>
        <v>0</v>
      </c>
      <c r="CA9" s="58">
        <f t="shared" si="15"/>
        <v>13224</v>
      </c>
      <c r="CB9" s="58">
        <f t="shared" si="15"/>
        <v>-7912</v>
      </c>
      <c r="CC9" s="58">
        <f t="shared" si="15"/>
        <v>-4.6159999999986212E-3</v>
      </c>
      <c r="CD9" s="58">
        <f t="shared" si="15"/>
        <v>5.0299999999481315E-4</v>
      </c>
      <c r="CE9" s="58">
        <f t="shared" si="15"/>
        <v>-4.3780000000026575E-3</v>
      </c>
      <c r="CF9" s="58">
        <f t="shared" si="15"/>
        <v>9.0789999999998372E-3</v>
      </c>
      <c r="CG9" s="58">
        <f t="shared" si="15"/>
        <v>1.8075000000003172E-2</v>
      </c>
      <c r="CJ9" t="s">
        <v>233</v>
      </c>
    </row>
    <row r="10" spans="1:88" x14ac:dyDescent="0.2">
      <c r="A10" s="17"/>
      <c r="B10" s="17" t="s">
        <v>59</v>
      </c>
      <c r="C10" s="18" t="s">
        <v>232</v>
      </c>
      <c r="D10" s="17">
        <v>218121242</v>
      </c>
      <c r="E10" s="18">
        <v>10</v>
      </c>
      <c r="F10" s="18">
        <v>32</v>
      </c>
      <c r="G10" s="18">
        <v>30</v>
      </c>
      <c r="I10" s="19">
        <f t="shared" si="0"/>
        <v>3.1810649999999998</v>
      </c>
      <c r="J10" s="20">
        <f t="shared" si="1"/>
        <v>1.5556192367545752E-2</v>
      </c>
      <c r="K10" s="20">
        <f t="shared" si="2"/>
        <v>8.0346507471289758E-3</v>
      </c>
      <c r="L10" s="20">
        <f t="shared" si="3"/>
        <v>4.2806284772576161E-3</v>
      </c>
      <c r="M10" s="20">
        <f t="shared" si="4"/>
        <v>7.520954790822253E-3</v>
      </c>
      <c r="N10" s="17">
        <f t="shared" si="5"/>
        <v>1752528</v>
      </c>
      <c r="O10" s="20">
        <v>16</v>
      </c>
      <c r="P10" s="21">
        <v>20666971</v>
      </c>
      <c r="Q10" s="21">
        <v>645842.84375</v>
      </c>
      <c r="R10" s="21">
        <v>18163.46875</v>
      </c>
      <c r="S10" s="22">
        <v>3393136</v>
      </c>
      <c r="T10" s="22">
        <v>933696</v>
      </c>
      <c r="U10" s="22">
        <v>818832</v>
      </c>
      <c r="V10" s="22">
        <v>1640480</v>
      </c>
      <c r="W10" s="23">
        <v>65.904411999999994</v>
      </c>
      <c r="X10" s="23">
        <v>67.822759000000005</v>
      </c>
      <c r="Y10" s="23">
        <v>32.386865999999998</v>
      </c>
      <c r="Z10" s="23">
        <v>39.175778000000001</v>
      </c>
      <c r="AA10" s="23">
        <v>32.086630999999997</v>
      </c>
      <c r="AB10" s="24">
        <v>3846.18</v>
      </c>
      <c r="AC10" s="24">
        <v>1110.96</v>
      </c>
      <c r="AD10" s="24">
        <v>54.091999999999999</v>
      </c>
      <c r="AE10" s="24">
        <v>15.420999999999999</v>
      </c>
      <c r="AG10" s="19">
        <f t="shared" si="6"/>
        <v>3.2059799999999998</v>
      </c>
      <c r="AH10" s="20">
        <f t="shared" si="7"/>
        <v>1.5678032862108865E-2</v>
      </c>
      <c r="AI10" s="20">
        <f t="shared" si="8"/>
        <v>8.1849891538761724E-3</v>
      </c>
      <c r="AJ10" s="20">
        <f t="shared" si="9"/>
        <v>4.2806284772576161E-3</v>
      </c>
      <c r="AK10" s="20">
        <f t="shared" si="10"/>
        <v>7.4924568786381655E-3</v>
      </c>
      <c r="AL10" s="17">
        <f t="shared" si="11"/>
        <v>1785320</v>
      </c>
      <c r="AM10" s="20">
        <v>16</v>
      </c>
      <c r="AN10" s="21">
        <v>20569376</v>
      </c>
      <c r="AO10" s="21">
        <v>642793</v>
      </c>
      <c r="AP10" s="21">
        <v>17362.875</v>
      </c>
      <c r="AQ10" s="22">
        <v>3419712</v>
      </c>
      <c r="AR10" s="22">
        <v>933696</v>
      </c>
      <c r="AS10" s="22">
        <v>851624</v>
      </c>
      <c r="AT10" s="22">
        <v>1634264</v>
      </c>
      <c r="AU10" s="23">
        <v>65.884034</v>
      </c>
      <c r="AV10" s="23">
        <v>67.867659000000003</v>
      </c>
      <c r="AW10" s="23">
        <v>32.384380999999998</v>
      </c>
      <c r="AX10" s="23">
        <v>39.164696999999997</v>
      </c>
      <c r="AY10" s="23">
        <v>32.082903000000002</v>
      </c>
      <c r="AZ10" s="24">
        <v>3449.8</v>
      </c>
      <c r="BA10" s="24">
        <v>1066.95</v>
      </c>
      <c r="BB10" s="24">
        <v>56.51</v>
      </c>
      <c r="BC10" s="24">
        <v>16.238</v>
      </c>
      <c r="BE10" s="49">
        <f t="shared" si="12"/>
        <v>1.0187112559685207</v>
      </c>
      <c r="BF10" s="25">
        <f t="shared" si="13"/>
        <v>-1.1120546762228914E-3</v>
      </c>
      <c r="BG10" s="25">
        <f t="shared" si="14"/>
        <v>5.5752371739390405E-3</v>
      </c>
      <c r="BH10" s="25">
        <f t="array" ref="BH10">AVERAGE(AL10:AL14/AQ10:AQ14) - AVERAGE(N10:N14/S10:S14)</f>
        <v>3.5807238642815431E-3</v>
      </c>
      <c r="BJ10" s="49">
        <f>IF( OR(ISBLANK(N10:N14),ISBLANK(AL10:AL14), ISBLANK(W10:W14),ISBLANK(AU10:AU14)), "·", bdRateExtend( N10:N14,W10:W14, AL10:AL14,AU10:AU14))</f>
        <v>1.145454340886487E-2</v>
      </c>
      <c r="BK10" s="49">
        <f>IF( OR(ISBLANK(N10:N14),ISBLANK(AL10:AL14), ISBLANK(X10:X14),ISBLANK(AV10:AV14)), "·", bdRateExtend( N10:N14,X10:X14, AL10:AL14,AV10:AV14))</f>
        <v>2.0875236351007853E-3</v>
      </c>
      <c r="BL10" s="49">
        <f>IF( OR(ISBLANK(V10:V14),ISBLANK(AT10:AT14), ISBLANK(Y10:Y14),ISBLANK(AW10:AW14)), "·", bdRateExtend( V10:V14,Y10:Y14, AT10:AT14,AW10:AW14))</f>
        <v>-5.8477282106195183E-4</v>
      </c>
      <c r="BM10" s="49">
        <f>IF( OR(ISBLANK(V10:V14),ISBLANK(AT10:AT14), ISBLANK(Z10:Z14),ISBLANK(AX10:AX14)), "·", bdRateExtend( V10:V14,Z10:Z14, AT10:AT14,AX10:AX14))</f>
        <v>-1.7511215552282744E-3</v>
      </c>
      <c r="BN10" s="49">
        <f>IF( OR(ISBLANK(V10:V14),ISBLANK(AT10:AT14), ISBLANK(AA10:AA14),ISBLANK(AY10:AY14)), "·", bdRateExtend( V10:V14,AA10:AA14, AT10:AT14,AY10:AY14))</f>
        <v>-1.9248158629687762E-3</v>
      </c>
      <c r="BP10" s="49">
        <f>IF( OR(ISBLANK(S10:S14),ISBLANK(AQ10:AQ14), ISBLANK(W10:W14),ISBLANK(AU10:AU14)), "·", bdRateExtend( S10:S14,W10:W14, AQ10:AQ14,AU10:AU14))</f>
        <v>1.5970501618078892E-3</v>
      </c>
      <c r="BQ10" s="49">
        <f>IF( OR(ISBLANK(S10:S14),ISBLANK(AQ10:AQ14), ISBLANK(X10:X14),ISBLANK(AV10:AV14)), "·", bdRateExtend( S10:S14,X10:X14, AQ10:AQ14,AV10:AV14))</f>
        <v>-1.2901719055899985E-2</v>
      </c>
      <c r="BR10" s="49">
        <f>IF( OR(ISBLANK(S10:S14),ISBLANK(AQ10:AQ14), ISBLANK(Y10:Y14),ISBLANK(AW10:AW14)), "·", bdRateExtend( S10:S14,Y10:Y14, AQ10:AQ14,AW10:AW14))</f>
        <v>4.7103498362048857E-3</v>
      </c>
      <c r="BS10" s="49">
        <f>IF( OR(ISBLANK(S10:S14),ISBLANK(AQ10:AQ14), ISBLANK(Z10:Z14),ISBLANK(AX10:AX14)), "·", bdRateExtend( S10:S14,Z10:Z14, AQ10:AQ14,AX10:AX14))</f>
        <v>3.5008591099825459E-3</v>
      </c>
      <c r="BT10" s="49">
        <f>IF( OR(ISBLANK(S10:S14),ISBLANK(AQ10:AQ14), ISBLANK(AA10:AA14),ISBLANK(AY10:AY14)), "·", bdRateExtend( S10:S14,AA10:AA14, AQ10:AQ14,AY10:AY14))</f>
        <v>3.7689406386876012E-3</v>
      </c>
      <c r="BV10" s="58">
        <f t="shared" si="16"/>
        <v>-97595</v>
      </c>
      <c r="BW10" s="58">
        <f t="shared" si="15"/>
        <v>-3049.84375</v>
      </c>
      <c r="BX10" s="58">
        <f t="shared" si="15"/>
        <v>-800.59375</v>
      </c>
      <c r="BY10" s="58">
        <f t="shared" si="15"/>
        <v>26576</v>
      </c>
      <c r="BZ10" s="58">
        <f t="shared" si="15"/>
        <v>0</v>
      </c>
      <c r="CA10" s="58">
        <f t="shared" si="15"/>
        <v>32792</v>
      </c>
      <c r="CB10" s="58">
        <f t="shared" si="15"/>
        <v>-6216</v>
      </c>
      <c r="CC10" s="58">
        <f t="shared" si="15"/>
        <v>-2.037799999999379E-2</v>
      </c>
      <c r="CD10" s="58">
        <f t="shared" si="15"/>
        <v>4.4899999999998386E-2</v>
      </c>
      <c r="CE10" s="58">
        <f t="shared" si="15"/>
        <v>-2.4850000000000705E-3</v>
      </c>
      <c r="CF10" s="58">
        <f t="shared" si="15"/>
        <v>-1.1081000000004337E-2</v>
      </c>
      <c r="CG10" s="58">
        <f t="shared" si="15"/>
        <v>-3.7279999999952906E-3</v>
      </c>
      <c r="CJ10" t="s">
        <v>238</v>
      </c>
    </row>
    <row r="11" spans="1:88" outlineLevel="1" x14ac:dyDescent="0.2">
      <c r="A11" s="52"/>
      <c r="B11" s="52" t="s">
        <v>59</v>
      </c>
      <c r="C11" s="9" t="s">
        <v>234</v>
      </c>
      <c r="D11" s="52">
        <v>218121242</v>
      </c>
      <c r="E11" s="9">
        <v>10</v>
      </c>
      <c r="F11" s="9">
        <v>32</v>
      </c>
      <c r="G11" s="9">
        <v>30</v>
      </c>
      <c r="I11" s="10">
        <f t="shared" si="0"/>
        <v>4.5967574999999998</v>
      </c>
      <c r="J11" s="11">
        <f t="shared" si="1"/>
        <v>2.2479277832096703E-2</v>
      </c>
      <c r="K11" s="11">
        <f t="shared" si="2"/>
        <v>9.7845765980004822E-3</v>
      </c>
      <c r="L11" s="11">
        <f t="shared" si="3"/>
        <v>6.0305543281291233E-3</v>
      </c>
      <c r="M11" s="11">
        <f t="shared" si="4"/>
        <v>1.2694114404501694E-2</v>
      </c>
      <c r="N11" s="52">
        <f t="shared" si="5"/>
        <v>2134224</v>
      </c>
      <c r="O11" s="11">
        <v>16</v>
      </c>
      <c r="P11" s="12">
        <v>22097663</v>
      </c>
      <c r="Q11" s="12">
        <v>690551.96875</v>
      </c>
      <c r="R11" s="12">
        <v>22957.28125</v>
      </c>
      <c r="S11" s="13">
        <v>4903208</v>
      </c>
      <c r="T11" s="13">
        <v>1315392</v>
      </c>
      <c r="U11" s="13">
        <v>818832</v>
      </c>
      <c r="V11" s="13">
        <v>2768856</v>
      </c>
      <c r="W11" s="14">
        <v>67.607918999999995</v>
      </c>
      <c r="X11" s="14">
        <v>69.699944000000002</v>
      </c>
      <c r="Y11" s="14">
        <v>34.247959000000002</v>
      </c>
      <c r="Z11" s="14">
        <v>40.027191000000002</v>
      </c>
      <c r="AA11" s="14">
        <v>33.861477999999998</v>
      </c>
      <c r="AB11" s="15">
        <v>3451.51</v>
      </c>
      <c r="AC11" s="15">
        <v>1139.6600000000001</v>
      </c>
      <c r="AD11" s="15">
        <v>59.606000000000002</v>
      </c>
      <c r="AE11" s="15">
        <v>16.934999999999999</v>
      </c>
      <c r="AG11" s="10">
        <f t="shared" si="6"/>
        <v>4.6181324999999998</v>
      </c>
      <c r="AH11" s="11">
        <f t="shared" si="7"/>
        <v>2.2583806853621345E-2</v>
      </c>
      <c r="AI11" s="11">
        <f t="shared" si="8"/>
        <v>9.9349150047476804E-3</v>
      </c>
      <c r="AJ11" s="11">
        <f t="shared" si="9"/>
        <v>6.0305543281291233E-3</v>
      </c>
      <c r="AK11" s="11">
        <f t="shared" si="10"/>
        <v>1.2648305019279139E-2</v>
      </c>
      <c r="AL11" s="52">
        <f t="shared" si="11"/>
        <v>2167016</v>
      </c>
      <c r="AM11" s="11">
        <v>16</v>
      </c>
      <c r="AN11" s="12">
        <v>21993184</v>
      </c>
      <c r="AO11" s="12">
        <v>687287</v>
      </c>
      <c r="AP11" s="12">
        <v>21936.75</v>
      </c>
      <c r="AQ11" s="13">
        <v>4926008</v>
      </c>
      <c r="AR11" s="13">
        <v>1315392</v>
      </c>
      <c r="AS11" s="13">
        <v>851624</v>
      </c>
      <c r="AT11" s="13">
        <v>2758864</v>
      </c>
      <c r="AU11" s="14">
        <v>67.588756000000004</v>
      </c>
      <c r="AV11" s="14">
        <v>69.749202999999994</v>
      </c>
      <c r="AW11" s="14">
        <v>34.235041000000002</v>
      </c>
      <c r="AX11" s="14">
        <v>40.026794000000002</v>
      </c>
      <c r="AY11" s="14">
        <v>33.856844000000002</v>
      </c>
      <c r="AZ11" s="15">
        <v>3346.25</v>
      </c>
      <c r="BA11" s="15">
        <v>1105.29</v>
      </c>
      <c r="BB11" s="15">
        <v>58.158999999999999</v>
      </c>
      <c r="BC11" s="15">
        <v>16.594999999999999</v>
      </c>
      <c r="BE11" s="50">
        <f t="shared" si="12"/>
        <v>1.0153648351813118</v>
      </c>
      <c r="BF11" s="16">
        <f t="shared" si="13"/>
        <v>-1.3269390026491787E-3</v>
      </c>
      <c r="BG11" s="16">
        <f t="shared" si="14"/>
        <v>4.6422625297330988E-3</v>
      </c>
      <c r="BH11" s="16"/>
      <c r="BJ11" s="50"/>
      <c r="BK11" s="50"/>
      <c r="BL11" s="50"/>
      <c r="BM11" s="50"/>
      <c r="BN11" s="50"/>
      <c r="BP11" s="50"/>
      <c r="BQ11" s="50"/>
      <c r="BR11" s="50"/>
      <c r="BS11" s="50"/>
      <c r="BT11" s="50"/>
      <c r="BV11" s="58">
        <f t="shared" si="16"/>
        <v>-104479</v>
      </c>
      <c r="BW11" s="58">
        <f t="shared" si="15"/>
        <v>-3264.96875</v>
      </c>
      <c r="BX11" s="58">
        <f t="shared" si="15"/>
        <v>-1020.53125</v>
      </c>
      <c r="BY11" s="58">
        <f t="shared" si="15"/>
        <v>22800</v>
      </c>
      <c r="BZ11" s="58">
        <f t="shared" si="15"/>
        <v>0</v>
      </c>
      <c r="CA11" s="58">
        <f t="shared" si="15"/>
        <v>32792</v>
      </c>
      <c r="CB11" s="58">
        <f t="shared" si="15"/>
        <v>-9992</v>
      </c>
      <c r="CC11" s="58">
        <f t="shared" si="15"/>
        <v>-1.9162999999991825E-2</v>
      </c>
      <c r="CD11" s="58">
        <f t="shared" si="15"/>
        <v>4.925899999999217E-2</v>
      </c>
      <c r="CE11" s="58">
        <f t="shared" si="15"/>
        <v>-1.2917999999999097E-2</v>
      </c>
      <c r="CF11" s="58">
        <f t="shared" si="15"/>
        <v>-3.9699999999953661E-4</v>
      </c>
      <c r="CG11" s="58">
        <f t="shared" si="15"/>
        <v>-4.6339999999958081E-3</v>
      </c>
      <c r="CJ11" t="s">
        <v>238</v>
      </c>
    </row>
    <row r="12" spans="1:88" outlineLevel="1" x14ac:dyDescent="0.2">
      <c r="A12" s="17"/>
      <c r="B12" s="17" t="s">
        <v>59</v>
      </c>
      <c r="C12" s="18" t="s">
        <v>235</v>
      </c>
      <c r="D12" s="17">
        <v>218121242</v>
      </c>
      <c r="E12" s="18">
        <v>10</v>
      </c>
      <c r="F12" s="18">
        <v>32</v>
      </c>
      <c r="G12" s="18">
        <v>30</v>
      </c>
      <c r="I12" s="19">
        <f t="shared" si="0"/>
        <v>7.1164725000000004</v>
      </c>
      <c r="J12" s="20">
        <f t="shared" si="1"/>
        <v>3.480130559682032E-2</v>
      </c>
      <c r="K12" s="20">
        <f t="shared" si="2"/>
        <v>1.2468148333760176E-2</v>
      </c>
      <c r="L12" s="20">
        <f t="shared" si="3"/>
        <v>8.714126063888817E-3</v>
      </c>
      <c r="M12" s="20">
        <f t="shared" si="4"/>
        <v>2.2332570433465624E-2</v>
      </c>
      <c r="N12" s="17">
        <f t="shared" si="5"/>
        <v>2719568</v>
      </c>
      <c r="O12" s="20">
        <v>16</v>
      </c>
      <c r="P12" s="21">
        <v>22510846</v>
      </c>
      <c r="Q12" s="21">
        <v>703463.9375</v>
      </c>
      <c r="R12" s="21">
        <v>24709.6875</v>
      </c>
      <c r="S12" s="22">
        <v>7590904</v>
      </c>
      <c r="T12" s="22">
        <v>1900736</v>
      </c>
      <c r="U12" s="22">
        <v>818832</v>
      </c>
      <c r="V12" s="22">
        <v>4871208</v>
      </c>
      <c r="W12" s="23">
        <v>68.956063</v>
      </c>
      <c r="X12" s="23">
        <v>71.331965999999994</v>
      </c>
      <c r="Y12" s="23">
        <v>36.351883999999998</v>
      </c>
      <c r="Z12" s="23">
        <v>40.928597000000003</v>
      </c>
      <c r="AA12" s="23">
        <v>35.641469000000001</v>
      </c>
      <c r="AB12" s="24">
        <v>3656.75</v>
      </c>
      <c r="AC12" s="24">
        <v>1213.04</v>
      </c>
      <c r="AD12" s="24">
        <v>59.798999999999999</v>
      </c>
      <c r="AE12" s="24">
        <v>16.132999999999999</v>
      </c>
      <c r="AG12" s="19">
        <f t="shared" si="6"/>
        <v>7.1235150000000003</v>
      </c>
      <c r="AH12" s="20">
        <f t="shared" si="7"/>
        <v>3.483574515864897E-2</v>
      </c>
      <c r="AI12" s="20">
        <f t="shared" si="8"/>
        <v>1.261852341735703E-2</v>
      </c>
      <c r="AJ12" s="20">
        <f t="shared" si="9"/>
        <v>8.714126063888817E-3</v>
      </c>
      <c r="AK12" s="20">
        <f t="shared" si="10"/>
        <v>2.2216634911697414E-2</v>
      </c>
      <c r="AL12" s="17">
        <f t="shared" si="11"/>
        <v>2752368</v>
      </c>
      <c r="AM12" s="20">
        <v>16</v>
      </c>
      <c r="AN12" s="21">
        <v>22406784</v>
      </c>
      <c r="AO12" s="21">
        <v>700212</v>
      </c>
      <c r="AP12" s="21">
        <v>23603.1875</v>
      </c>
      <c r="AQ12" s="22">
        <v>7598416</v>
      </c>
      <c r="AR12" s="22">
        <v>1900736</v>
      </c>
      <c r="AS12" s="22">
        <v>851632</v>
      </c>
      <c r="AT12" s="22">
        <v>4845920</v>
      </c>
      <c r="AU12" s="23">
        <v>68.935128000000006</v>
      </c>
      <c r="AV12" s="23">
        <v>71.388512000000006</v>
      </c>
      <c r="AW12" s="23">
        <v>36.333537</v>
      </c>
      <c r="AX12" s="23">
        <v>40.927219000000001</v>
      </c>
      <c r="AY12" s="23">
        <v>35.629891000000001</v>
      </c>
      <c r="AZ12" s="24">
        <v>3656.15</v>
      </c>
      <c r="BA12" s="24">
        <v>1225.99</v>
      </c>
      <c r="BB12" s="24">
        <v>60.35</v>
      </c>
      <c r="BC12" s="24">
        <v>16.818999999999999</v>
      </c>
      <c r="BE12" s="49">
        <f t="shared" si="12"/>
        <v>1.0120607390585563</v>
      </c>
      <c r="BF12" s="25">
        <f t="shared" si="13"/>
        <v>-1.417104115267305E-3</v>
      </c>
      <c r="BG12" s="25">
        <f t="shared" si="14"/>
        <v>3.9624970091642897E-3</v>
      </c>
      <c r="BH12" s="25"/>
      <c r="BJ12" s="49"/>
      <c r="BK12" s="49"/>
      <c r="BL12" s="49"/>
      <c r="BM12" s="49"/>
      <c r="BN12" s="49"/>
      <c r="BP12" s="49"/>
      <c r="BQ12" s="49"/>
      <c r="BR12" s="49"/>
      <c r="BS12" s="49"/>
      <c r="BT12" s="49"/>
      <c r="BV12" s="58">
        <f t="shared" si="16"/>
        <v>-104062</v>
      </c>
      <c r="BW12" s="58">
        <f t="shared" si="15"/>
        <v>-3251.9375</v>
      </c>
      <c r="BX12" s="58">
        <f t="shared" si="15"/>
        <v>-1106.5</v>
      </c>
      <c r="BY12" s="58">
        <f t="shared" si="15"/>
        <v>7512</v>
      </c>
      <c r="BZ12" s="58">
        <f t="shared" si="15"/>
        <v>0</v>
      </c>
      <c r="CA12" s="58">
        <f t="shared" si="15"/>
        <v>32800</v>
      </c>
      <c r="CB12" s="58">
        <f t="shared" si="15"/>
        <v>-25288</v>
      </c>
      <c r="CC12" s="58">
        <f t="shared" si="15"/>
        <v>-2.0934999999994375E-2</v>
      </c>
      <c r="CD12" s="58">
        <f t="shared" si="15"/>
        <v>5.6546000000011531E-2</v>
      </c>
      <c r="CE12" s="58">
        <f t="shared" si="15"/>
        <v>-1.8346999999998559E-2</v>
      </c>
      <c r="CF12" s="58">
        <f t="shared" si="15"/>
        <v>-1.3780000000025439E-3</v>
      </c>
      <c r="CG12" s="58">
        <f t="shared" si="15"/>
        <v>-1.1578000000000088E-2</v>
      </c>
      <c r="CJ12" t="s">
        <v>238</v>
      </c>
    </row>
    <row r="13" spans="1:88" outlineLevel="1" x14ac:dyDescent="0.2">
      <c r="A13" s="52"/>
      <c r="B13" s="52" t="s">
        <v>59</v>
      </c>
      <c r="C13" s="9" t="s">
        <v>236</v>
      </c>
      <c r="D13" s="52">
        <v>218121242</v>
      </c>
      <c r="E13" s="9">
        <v>10</v>
      </c>
      <c r="F13" s="9">
        <v>32</v>
      </c>
      <c r="G13" s="9">
        <v>30</v>
      </c>
      <c r="I13" s="10">
        <f t="shared" si="0"/>
        <v>11.999280000000001</v>
      </c>
      <c r="J13" s="11">
        <f t="shared" si="1"/>
        <v>5.8679438474864357E-2</v>
      </c>
      <c r="K13" s="11">
        <f t="shared" si="2"/>
        <v>1.7149581424077898E-2</v>
      </c>
      <c r="L13" s="11">
        <f t="shared" si="3"/>
        <v>1.3395559154206539E-2</v>
      </c>
      <c r="M13" s="11">
        <f t="shared" si="4"/>
        <v>4.152927022119194E-2</v>
      </c>
      <c r="N13" s="52">
        <f t="shared" si="5"/>
        <v>3740688</v>
      </c>
      <c r="O13" s="11">
        <v>16</v>
      </c>
      <c r="P13" s="12">
        <v>23291739</v>
      </c>
      <c r="Q13" s="12">
        <v>727866.84375</v>
      </c>
      <c r="R13" s="12">
        <v>28062.03125</v>
      </c>
      <c r="S13" s="13">
        <v>12799232</v>
      </c>
      <c r="T13" s="13">
        <v>2921856</v>
      </c>
      <c r="U13" s="13">
        <v>818832</v>
      </c>
      <c r="V13" s="13">
        <v>9058416</v>
      </c>
      <c r="W13" s="14">
        <v>70.072275000000005</v>
      </c>
      <c r="X13" s="14">
        <v>72.590205999999995</v>
      </c>
      <c r="Y13" s="14">
        <v>38.665965999999997</v>
      </c>
      <c r="Z13" s="14">
        <v>42.107503000000001</v>
      </c>
      <c r="AA13" s="14">
        <v>37.689275000000002</v>
      </c>
      <c r="AB13" s="15">
        <v>3562.06</v>
      </c>
      <c r="AC13" s="15">
        <v>1287.29</v>
      </c>
      <c r="AD13" s="15">
        <v>65.070999999999998</v>
      </c>
      <c r="AE13" s="15">
        <v>19.66</v>
      </c>
      <c r="AG13" s="10">
        <f t="shared" si="6"/>
        <v>12.001732499999999</v>
      </c>
      <c r="AH13" s="11">
        <f t="shared" si="7"/>
        <v>5.8691431804702453E-2</v>
      </c>
      <c r="AI13" s="11">
        <f t="shared" si="8"/>
        <v>1.7299919830825097E-2</v>
      </c>
      <c r="AJ13" s="11">
        <f t="shared" si="9"/>
        <v>1.3395559154206539E-2</v>
      </c>
      <c r="AK13" s="11">
        <f t="shared" si="10"/>
        <v>4.1390925144282831E-2</v>
      </c>
      <c r="AL13" s="52">
        <f t="shared" si="11"/>
        <v>3773480</v>
      </c>
      <c r="AM13" s="11">
        <v>16</v>
      </c>
      <c r="AN13" s="12">
        <v>23184197</v>
      </c>
      <c r="AO13" s="12">
        <v>724506.15625</v>
      </c>
      <c r="AP13" s="12">
        <v>26858.90625</v>
      </c>
      <c r="AQ13" s="13">
        <v>12801848</v>
      </c>
      <c r="AR13" s="13">
        <v>2921856</v>
      </c>
      <c r="AS13" s="13">
        <v>851624</v>
      </c>
      <c r="AT13" s="13">
        <v>9028240</v>
      </c>
      <c r="AU13" s="14">
        <v>70.121537000000004</v>
      </c>
      <c r="AV13" s="14">
        <v>72.663250000000005</v>
      </c>
      <c r="AW13" s="14">
        <v>38.656666000000001</v>
      </c>
      <c r="AX13" s="14">
        <v>42.100724999999997</v>
      </c>
      <c r="AY13" s="14">
        <v>37.685144000000001</v>
      </c>
      <c r="AZ13" s="15">
        <v>3665.06</v>
      </c>
      <c r="BA13" s="15">
        <v>1286.57</v>
      </c>
      <c r="BB13" s="15">
        <v>61.970999999999997</v>
      </c>
      <c r="BC13" s="15">
        <v>17.896999999999998</v>
      </c>
      <c r="BE13" s="50">
        <f t="shared" si="12"/>
        <v>1.0087663018139978</v>
      </c>
      <c r="BF13" s="16">
        <f t="shared" si="13"/>
        <v>-1.4817786209147463E-3</v>
      </c>
      <c r="BG13" s="16">
        <f t="shared" si="14"/>
        <v>2.5017834157272101E-3</v>
      </c>
      <c r="BH13" s="16"/>
      <c r="BJ13" s="50"/>
      <c r="BK13" s="50"/>
      <c r="BL13" s="50"/>
      <c r="BM13" s="50"/>
      <c r="BN13" s="50"/>
      <c r="BP13" s="50"/>
      <c r="BQ13" s="50"/>
      <c r="BR13" s="50"/>
      <c r="BS13" s="50"/>
      <c r="BT13" s="50"/>
      <c r="BV13" s="58">
        <f t="shared" si="16"/>
        <v>-107542</v>
      </c>
      <c r="BW13" s="58">
        <f t="shared" si="15"/>
        <v>-3360.6875</v>
      </c>
      <c r="BX13" s="58">
        <f t="shared" si="15"/>
        <v>-1203.125</v>
      </c>
      <c r="BY13" s="58">
        <f t="shared" si="15"/>
        <v>2616</v>
      </c>
      <c r="BZ13" s="58">
        <f t="shared" si="15"/>
        <v>0</v>
      </c>
      <c r="CA13" s="58">
        <f t="shared" si="15"/>
        <v>32792</v>
      </c>
      <c r="CB13" s="58">
        <f t="shared" si="15"/>
        <v>-30176</v>
      </c>
      <c r="CC13" s="58">
        <f t="shared" si="15"/>
        <v>4.9261999999998807E-2</v>
      </c>
      <c r="CD13" s="58">
        <f t="shared" si="15"/>
        <v>7.3044000000010101E-2</v>
      </c>
      <c r="CE13" s="58">
        <f t="shared" si="15"/>
        <v>-9.2999999999960892E-3</v>
      </c>
      <c r="CF13" s="58">
        <f t="shared" si="15"/>
        <v>-6.7780000000041696E-3</v>
      </c>
      <c r="CG13" s="58">
        <f t="shared" si="15"/>
        <v>-4.131000000000995E-3</v>
      </c>
      <c r="CJ13" t="s">
        <v>238</v>
      </c>
    </row>
    <row r="14" spans="1:88" ht="16" outlineLevel="1" thickBot="1" x14ac:dyDescent="0.25">
      <c r="A14" s="17"/>
      <c r="B14" s="36" t="s">
        <v>59</v>
      </c>
      <c r="C14" s="37" t="s">
        <v>237</v>
      </c>
      <c r="D14" s="36">
        <v>218121242</v>
      </c>
      <c r="E14" s="37">
        <v>10</v>
      </c>
      <c r="F14" s="37">
        <v>32</v>
      </c>
      <c r="G14" s="37">
        <v>30</v>
      </c>
      <c r="I14" s="38">
        <f t="shared" si="0"/>
        <v>21.5566125</v>
      </c>
      <c r="J14" s="39">
        <f t="shared" si="1"/>
        <v>0.10541715143910652</v>
      </c>
      <c r="K14" s="39">
        <f t="shared" si="2"/>
        <v>2.822940096774252E-2</v>
      </c>
      <c r="L14" s="39">
        <f t="shared" si="3"/>
        <v>2.1154363315059429E-2</v>
      </c>
      <c r="M14" s="39">
        <f t="shared" si="4"/>
        <v>7.7187163641769474E-2</v>
      </c>
      <c r="N14" s="36">
        <f t="shared" si="5"/>
        <v>6157432</v>
      </c>
      <c r="O14" s="39">
        <v>16</v>
      </c>
      <c r="P14" s="40">
        <v>22124056</v>
      </c>
      <c r="Q14" s="40">
        <v>691376.75</v>
      </c>
      <c r="R14" s="40">
        <v>13278.71875</v>
      </c>
      <c r="S14" s="41">
        <v>22993720</v>
      </c>
      <c r="T14" s="41">
        <v>4614216</v>
      </c>
      <c r="U14" s="41">
        <v>1543216</v>
      </c>
      <c r="V14" s="41">
        <v>16836160</v>
      </c>
      <c r="W14" s="42">
        <v>70.923046999999997</v>
      </c>
      <c r="X14" s="42">
        <v>74.675602999999995</v>
      </c>
      <c r="Y14" s="42">
        <v>40.962909000000003</v>
      </c>
      <c r="Z14" s="42">
        <v>43.423147</v>
      </c>
      <c r="AA14" s="42">
        <v>39.504384000000002</v>
      </c>
      <c r="AB14" s="43">
        <v>3812.21</v>
      </c>
      <c r="AC14" s="43">
        <v>1497.36</v>
      </c>
      <c r="AD14" s="43">
        <v>60.753999999999998</v>
      </c>
      <c r="AE14" s="43">
        <v>20.332000000000001</v>
      </c>
      <c r="AG14" s="38">
        <f t="shared" si="6"/>
        <v>21.572955</v>
      </c>
      <c r="AH14" s="39">
        <f t="shared" si="7"/>
        <v>0.10549707029451079</v>
      </c>
      <c r="AI14" s="39">
        <f t="shared" si="8"/>
        <v>2.837970269764006E-2</v>
      </c>
      <c r="AJ14" s="39">
        <f t="shared" si="9"/>
        <v>2.1154363315059429E-2</v>
      </c>
      <c r="AK14" s="39">
        <f t="shared" si="10"/>
        <v>7.7116780767276211E-2</v>
      </c>
      <c r="AL14" s="36">
        <f t="shared" si="11"/>
        <v>6190216</v>
      </c>
      <c r="AM14" s="39">
        <v>16</v>
      </c>
      <c r="AN14" s="40">
        <v>22106574</v>
      </c>
      <c r="AO14" s="40">
        <v>690830.4375</v>
      </c>
      <c r="AP14" s="40">
        <v>13056.9375</v>
      </c>
      <c r="AQ14" s="41">
        <v>23011152</v>
      </c>
      <c r="AR14" s="41">
        <v>4614216</v>
      </c>
      <c r="AS14" s="41">
        <v>1576000</v>
      </c>
      <c r="AT14" s="41">
        <v>16820808</v>
      </c>
      <c r="AU14" s="42">
        <v>70.913003000000003</v>
      </c>
      <c r="AV14" s="42">
        <v>74.678656000000004</v>
      </c>
      <c r="AW14" s="42">
        <v>40.958996999999997</v>
      </c>
      <c r="AX14" s="42">
        <v>43.425344000000003</v>
      </c>
      <c r="AY14" s="42">
        <v>39.504072000000001</v>
      </c>
      <c r="AZ14" s="43">
        <v>3157.57</v>
      </c>
      <c r="BA14" s="43">
        <v>1298.8800000000001</v>
      </c>
      <c r="BB14" s="43">
        <v>54.052</v>
      </c>
      <c r="BC14" s="43">
        <v>17.869</v>
      </c>
      <c r="BE14" s="44">
        <f t="shared" si="12"/>
        <v>1.0053242975318282</v>
      </c>
      <c r="BF14" s="45">
        <f t="shared" si="13"/>
        <v>-3.0584735774264946E-4</v>
      </c>
      <c r="BG14" s="45">
        <f t="shared" si="14"/>
        <v>1.2218391928438543E-3</v>
      </c>
      <c r="BH14" s="45"/>
      <c r="BJ14" s="44"/>
      <c r="BK14" s="44"/>
      <c r="BL14" s="44"/>
      <c r="BM14" s="44"/>
      <c r="BN14" s="44"/>
      <c r="BP14" s="44"/>
      <c r="BQ14" s="44"/>
      <c r="BR14" s="44"/>
      <c r="BS14" s="44"/>
      <c r="BT14" s="44"/>
      <c r="BV14" s="58">
        <f t="shared" si="16"/>
        <v>-17482</v>
      </c>
      <c r="BW14" s="58">
        <f t="shared" si="15"/>
        <v>-546.3125</v>
      </c>
      <c r="BX14" s="58">
        <f t="shared" si="15"/>
        <v>-221.78125</v>
      </c>
      <c r="BY14" s="58">
        <f t="shared" si="15"/>
        <v>17432</v>
      </c>
      <c r="BZ14" s="58">
        <f t="shared" si="15"/>
        <v>0</v>
      </c>
      <c r="CA14" s="58">
        <f t="shared" si="15"/>
        <v>32784</v>
      </c>
      <c r="CB14" s="58">
        <f t="shared" si="15"/>
        <v>-15352</v>
      </c>
      <c r="CC14" s="58">
        <f t="shared" si="15"/>
        <v>-1.0043999999993503E-2</v>
      </c>
      <c r="CD14" s="58">
        <f t="shared" si="15"/>
        <v>3.0530000000084101E-3</v>
      </c>
      <c r="CE14" s="58">
        <f t="shared" si="15"/>
        <v>-3.9120000000067989E-3</v>
      </c>
      <c r="CF14" s="58">
        <f t="shared" si="15"/>
        <v>2.197000000002447E-3</v>
      </c>
      <c r="CG14" s="58">
        <f t="shared" si="15"/>
        <v>-3.1200000000097816E-4</v>
      </c>
      <c r="CJ14" t="s">
        <v>238</v>
      </c>
    </row>
    <row r="15" spans="1:88" x14ac:dyDescent="0.2">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5890.86</v>
      </c>
      <c r="AC15" s="15">
        <v>1337.5</v>
      </c>
      <c r="AD15" s="15">
        <v>92.608999999999995</v>
      </c>
      <c r="AE15" s="15">
        <v>19.042000000000002</v>
      </c>
      <c r="AG15" s="10">
        <f t="shared" si="6"/>
        <v>4.4213475000000004</v>
      </c>
      <c r="AH15" s="11">
        <f t="shared" si="7"/>
        <v>1.4619511849020451E-2</v>
      </c>
      <c r="AI15" s="11">
        <f t="shared" si="8"/>
        <v>8.3142145169022505E-3</v>
      </c>
      <c r="AJ15" s="11">
        <f t="shared" si="9"/>
        <v>4.3923534521734149E-3</v>
      </c>
      <c r="AK15" s="11">
        <f t="shared" si="10"/>
        <v>6.3049005432609835E-3</v>
      </c>
      <c r="AL15" s="52">
        <f t="shared" si="11"/>
        <v>2682080</v>
      </c>
      <c r="AM15" s="11">
        <v>16</v>
      </c>
      <c r="AN15" s="12">
        <v>30943193</v>
      </c>
      <c r="AO15" s="12">
        <v>966974.78125</v>
      </c>
      <c r="AP15" s="12">
        <v>26554.40625</v>
      </c>
      <c r="AQ15" s="13">
        <v>4716104</v>
      </c>
      <c r="AR15" s="13">
        <v>1416928</v>
      </c>
      <c r="AS15" s="13">
        <v>1265152</v>
      </c>
      <c r="AT15" s="13">
        <v>2033896</v>
      </c>
      <c r="AU15" s="14">
        <v>65.908208999999999</v>
      </c>
      <c r="AV15" s="14">
        <v>67.699462999999994</v>
      </c>
      <c r="AW15" s="14">
        <v>29.407934000000001</v>
      </c>
      <c r="AX15" s="14">
        <v>43.175538000000003</v>
      </c>
      <c r="AY15" s="14">
        <v>43.303446999999998</v>
      </c>
      <c r="AZ15" s="15">
        <v>4809.05</v>
      </c>
      <c r="BA15" s="15">
        <v>1065.33</v>
      </c>
      <c r="BB15" s="15">
        <v>81.459999999999994</v>
      </c>
      <c r="BC15" s="15">
        <v>15.853999999999999</v>
      </c>
      <c r="BE15" s="50">
        <f t="shared" si="12"/>
        <v>1.0178270003764558</v>
      </c>
      <c r="BF15" s="16">
        <f t="shared" si="13"/>
        <v>-1.303746206177344E-3</v>
      </c>
      <c r="BG15" s="16">
        <f t="shared" si="14"/>
        <v>4.9699631851196635E-3</v>
      </c>
      <c r="BH15" s="16">
        <f t="array" ref="BH15">AVERAGE(AL15:AL19/AQ15:AQ19) - AVERAGE(N15:N19/S15:S19)</f>
        <v>3.2229922925748888E-3</v>
      </c>
      <c r="BJ15" s="50">
        <f>IF( OR(ISBLANK(N15:N19),ISBLANK(AL15:AL19), ISBLANK(W15:W19),ISBLANK(AU15:AU19)), "·", bdRateExtend( N15:N19,W15:W19, AL15:AL19,AU15:AU19))</f>
        <v>1.1280798541301484E-2</v>
      </c>
      <c r="BK15" s="50">
        <f>IF( OR(ISBLANK(N15:N19),ISBLANK(AL15:AL19), ISBLANK(X15:X19),ISBLANK(AV15:AV19)), "·", bdRateExtend( N15:N19,X15:X19, AL15:AL19,AV15:AV19))</f>
        <v>2.8735893384184141E-3</v>
      </c>
      <c r="BL15" s="50">
        <f>IF( OR(ISBLANK(V15:V19),ISBLANK(AT15:AT19), ISBLANK(Y15:Y19),ISBLANK(AW15:AW19)), "·", bdRateExtend( V15:V19,Y15:Y19, AT15:AT19,AW15:AW19))</f>
        <v>-9.9999969357367213E-4</v>
      </c>
      <c r="BM15" s="50">
        <f>IF( OR(ISBLANK(V15:V19),ISBLANK(AT15:AT19), ISBLANK(Z15:Z19),ISBLANK(AX15:AX19)), "·", bdRateExtend( V15:V19,Z15:Z19, AT15:AT19,AX15:AX19))</f>
        <v>4.1301813864080827E-5</v>
      </c>
      <c r="BN15" s="50">
        <f>IF( OR(ISBLANK(V15:V19),ISBLANK(AT15:AT19), ISBLANK(AA15:AA19),ISBLANK(AY15:AY19)), "·", bdRateExtend( V15:V19,AA15:AA19, AT15:AT19,AY15:AY19))</f>
        <v>-5.1305005444757246E-4</v>
      </c>
      <c r="BP15" s="50">
        <f>IF( OR(ISBLANK(S15:S19),ISBLANK(AQ15:AQ19), ISBLANK(W15:W19),ISBLANK(AU15:AU19)), "·", bdRateExtend( S15:S19,W15:W19, AQ15:AQ19,AU15:AU19))</f>
        <v>2.1713486946577376E-3</v>
      </c>
      <c r="BQ15" s="50">
        <f>IF( OR(ISBLANK(S15:S19),ISBLANK(AQ15:AQ19), ISBLANK(X15:X19),ISBLANK(AV15:AV19)), "·", bdRateExtend( S15:S19,X15:X19, AQ15:AQ19,AV15:AV19))</f>
        <v>-1.28222641239506E-2</v>
      </c>
      <c r="BR15" s="50">
        <f>IF( OR(ISBLANK(S15:S19),ISBLANK(AQ15:AQ19), ISBLANK(Y15:Y19),ISBLANK(AW15:AW19)), "·", bdRateExtend( S15:S19,Y15:Y19, AQ15:AQ19,AW15:AW19))</f>
        <v>4.0442920086700695E-3</v>
      </c>
      <c r="BS15" s="50">
        <f>IF( OR(ISBLANK(S15:S19),ISBLANK(AQ15:AQ19), ISBLANK(Z15:Z19),ISBLANK(AX15:AX19)), "·", bdRateExtend( S15:S19,Z15:Z19, AQ15:AQ19,AX15:AX19))</f>
        <v>4.6048725465408502E-3</v>
      </c>
      <c r="BT15" s="50">
        <f>IF( OR(ISBLANK(S15:S19),ISBLANK(AQ15:AQ19), ISBLANK(AA15:AA19),ISBLANK(AY15:AY19)), "·", bdRateExtend( S15:S19,AA15:AA19, AQ15:AQ19,AY15:AY19))</f>
        <v>3.9349470113758667E-3</v>
      </c>
      <c r="BV15" s="58">
        <f t="shared" si="16"/>
        <v>-143644</v>
      </c>
      <c r="BW15" s="58">
        <f t="shared" si="15"/>
        <v>-4488.875</v>
      </c>
      <c r="BX15" s="58">
        <f t="shared" si="15"/>
        <v>-1389.8125</v>
      </c>
      <c r="BY15" s="58">
        <f t="shared" si="15"/>
        <v>41752</v>
      </c>
      <c r="BZ15" s="58">
        <f t="shared" si="15"/>
        <v>0</v>
      </c>
      <c r="CA15" s="58">
        <f t="shared" si="15"/>
        <v>46976</v>
      </c>
      <c r="CB15" s="58">
        <f t="shared" si="15"/>
        <v>-5224</v>
      </c>
      <c r="CC15" s="58">
        <f t="shared" si="15"/>
        <v>-1.4897000000004823E-2</v>
      </c>
      <c r="CD15" s="58">
        <f t="shared" si="15"/>
        <v>3.7668999999993957E-2</v>
      </c>
      <c r="CE15" s="58">
        <f t="shared" si="15"/>
        <v>-6.7069999999986862E-3</v>
      </c>
      <c r="CF15" s="58">
        <f t="shared" si="15"/>
        <v>4.984100000000069E-2</v>
      </c>
      <c r="CG15" s="58">
        <f t="shared" si="15"/>
        <v>4.0087999999997237E-2</v>
      </c>
      <c r="CJ15" t="s">
        <v>233</v>
      </c>
    </row>
    <row r="16" spans="1:88" outlineLevel="1" x14ac:dyDescent="0.2">
      <c r="A16" s="17"/>
      <c r="B16" s="17" t="s">
        <v>64</v>
      </c>
      <c r="C16" s="18" t="s">
        <v>234</v>
      </c>
      <c r="D16" s="17">
        <v>322589704</v>
      </c>
      <c r="E16" s="18">
        <v>10</v>
      </c>
      <c r="F16" s="18">
        <v>32</v>
      </c>
      <c r="G16" s="18">
        <v>30</v>
      </c>
      <c r="I16" s="19">
        <f t="shared" si="0"/>
        <v>6.9782475000000002</v>
      </c>
      <c r="J16" s="20">
        <f t="shared" si="1"/>
        <v>2.3074090424163071E-2</v>
      </c>
      <c r="K16" s="20">
        <f t="shared" si="2"/>
        <v>9.9739823066392723E-3</v>
      </c>
      <c r="L16" s="20">
        <f t="shared" si="3"/>
        <v>6.1977427525089267E-3</v>
      </c>
      <c r="M16" s="20">
        <f t="shared" si="4"/>
        <v>1.3099711328666584E-2</v>
      </c>
      <c r="N16" s="17">
        <f t="shared" si="5"/>
        <v>3217504</v>
      </c>
      <c r="O16" s="20">
        <v>16</v>
      </c>
      <c r="P16" s="21">
        <v>33185472</v>
      </c>
      <c r="Q16" s="21">
        <v>1037046</v>
      </c>
      <c r="R16" s="21">
        <v>34748.59375</v>
      </c>
      <c r="S16" s="22">
        <v>7443464</v>
      </c>
      <c r="T16" s="22">
        <v>1999328</v>
      </c>
      <c r="U16" s="22">
        <v>1218176</v>
      </c>
      <c r="V16" s="22">
        <v>4225832</v>
      </c>
      <c r="W16" s="23">
        <v>67.712850000000003</v>
      </c>
      <c r="X16" s="23">
        <v>69.741403000000005</v>
      </c>
      <c r="Y16" s="23">
        <v>31.808309000000001</v>
      </c>
      <c r="Z16" s="23">
        <v>43.976703000000001</v>
      </c>
      <c r="AA16" s="23">
        <v>44.262891000000003</v>
      </c>
      <c r="AB16" s="24">
        <v>5120.62</v>
      </c>
      <c r="AC16" s="24">
        <v>1112.58</v>
      </c>
      <c r="AD16" s="24">
        <v>86.433999999999997</v>
      </c>
      <c r="AE16" s="24">
        <v>17.344999999999999</v>
      </c>
      <c r="AG16" s="19">
        <f t="shared" si="6"/>
        <v>7.0073400000000001</v>
      </c>
      <c r="AH16" s="20">
        <f t="shared" si="7"/>
        <v>2.3170286922734522E-2</v>
      </c>
      <c r="AI16" s="20">
        <f t="shared" si="8"/>
        <v>1.0119579017934187E-2</v>
      </c>
      <c r="AJ16" s="20">
        <f t="shared" si="9"/>
        <v>6.1977427525089267E-3</v>
      </c>
      <c r="AK16" s="20">
        <f t="shared" si="10"/>
        <v>1.3050311115943118E-2</v>
      </c>
      <c r="AL16" s="17">
        <f t="shared" si="11"/>
        <v>3264472</v>
      </c>
      <c r="AM16" s="20">
        <v>16</v>
      </c>
      <c r="AN16" s="21">
        <v>33031734</v>
      </c>
      <c r="AO16" s="21">
        <v>1032241.6875</v>
      </c>
      <c r="AP16" s="21">
        <v>33021.15625</v>
      </c>
      <c r="AQ16" s="22">
        <v>7474496</v>
      </c>
      <c r="AR16" s="22">
        <v>1999328</v>
      </c>
      <c r="AS16" s="22">
        <v>1265144</v>
      </c>
      <c r="AT16" s="22">
        <v>4209896</v>
      </c>
      <c r="AU16" s="23">
        <v>67.696608999999995</v>
      </c>
      <c r="AV16" s="23">
        <v>69.786665999999997</v>
      </c>
      <c r="AW16" s="23">
        <v>31.803297000000001</v>
      </c>
      <c r="AX16" s="23">
        <v>43.957130999999997</v>
      </c>
      <c r="AY16" s="23">
        <v>44.251116000000003</v>
      </c>
      <c r="AZ16" s="24">
        <v>5171.32</v>
      </c>
      <c r="BA16" s="24">
        <v>1139.27</v>
      </c>
      <c r="BB16" s="24">
        <v>85.760999999999996</v>
      </c>
      <c r="BC16" s="24">
        <v>16.311</v>
      </c>
      <c r="BE16" s="49">
        <f t="shared" si="12"/>
        <v>1.0145976508498513</v>
      </c>
      <c r="BF16" s="25">
        <f t="shared" si="13"/>
        <v>-1.517530303872347E-3</v>
      </c>
      <c r="BG16" s="25">
        <f t="shared" si="14"/>
        <v>4.4891508383022583E-3</v>
      </c>
      <c r="BH16" s="25"/>
      <c r="BJ16" s="49"/>
      <c r="BK16" s="49"/>
      <c r="BL16" s="49"/>
      <c r="BM16" s="49"/>
      <c r="BN16" s="49"/>
      <c r="BP16" s="49"/>
      <c r="BQ16" s="49"/>
      <c r="BR16" s="49"/>
      <c r="BS16" s="49"/>
      <c r="BT16" s="49"/>
      <c r="BV16" s="58">
        <f t="shared" si="16"/>
        <v>-153738</v>
      </c>
      <c r="BW16" s="58">
        <f t="shared" si="15"/>
        <v>-4804.3125</v>
      </c>
      <c r="BX16" s="58">
        <f t="shared" si="15"/>
        <v>-1727.4375</v>
      </c>
      <c r="BY16" s="58">
        <f t="shared" si="15"/>
        <v>31032</v>
      </c>
      <c r="BZ16" s="58">
        <f t="shared" si="15"/>
        <v>0</v>
      </c>
      <c r="CA16" s="58">
        <f t="shared" si="15"/>
        <v>46968</v>
      </c>
      <c r="CB16" s="58">
        <f t="shared" si="15"/>
        <v>-15936</v>
      </c>
      <c r="CC16" s="58">
        <f t="shared" si="15"/>
        <v>-1.6241000000007944E-2</v>
      </c>
      <c r="CD16" s="58">
        <f t="shared" si="15"/>
        <v>4.5262999999991393E-2</v>
      </c>
      <c r="CE16" s="58">
        <f t="shared" si="15"/>
        <v>-5.0120000000006826E-3</v>
      </c>
      <c r="CF16" s="58">
        <f t="shared" si="15"/>
        <v>-1.9572000000003698E-2</v>
      </c>
      <c r="CG16" s="58">
        <f t="shared" si="15"/>
        <v>-1.1775000000000091E-2</v>
      </c>
      <c r="CJ16" t="s">
        <v>233</v>
      </c>
    </row>
    <row r="17" spans="1:88" outlineLevel="1" x14ac:dyDescent="0.2">
      <c r="A17" s="52"/>
      <c r="B17" s="52" t="s">
        <v>64</v>
      </c>
      <c r="C17" s="9" t="s">
        <v>235</v>
      </c>
      <c r="D17" s="52">
        <v>322589704</v>
      </c>
      <c r="E17" s="9">
        <v>10</v>
      </c>
      <c r="F17" s="9">
        <v>32</v>
      </c>
      <c r="G17" s="9">
        <v>30</v>
      </c>
      <c r="I17" s="10">
        <f t="shared" si="0"/>
        <v>11.6648475</v>
      </c>
      <c r="J17" s="11">
        <f t="shared" si="1"/>
        <v>3.8570679242757235E-2</v>
      </c>
      <c r="K17" s="11">
        <f t="shared" si="2"/>
        <v>1.2733351216937786E-2</v>
      </c>
      <c r="L17" s="11">
        <f t="shared" si="3"/>
        <v>8.9570868635038652E-3</v>
      </c>
      <c r="M17" s="11">
        <f t="shared" si="4"/>
        <v>2.5836931236962232E-2</v>
      </c>
      <c r="N17" s="52">
        <f t="shared" si="5"/>
        <v>4107648</v>
      </c>
      <c r="O17" s="11">
        <v>16</v>
      </c>
      <c r="P17" s="12">
        <v>33604345</v>
      </c>
      <c r="Q17" s="12">
        <v>1050135.78125</v>
      </c>
      <c r="R17" s="12">
        <v>36572.96875</v>
      </c>
      <c r="S17" s="13">
        <v>12442504</v>
      </c>
      <c r="T17" s="13">
        <v>2889464</v>
      </c>
      <c r="U17" s="13">
        <v>1218184</v>
      </c>
      <c r="V17" s="13">
        <v>8334728</v>
      </c>
      <c r="W17" s="14">
        <v>69.134438000000003</v>
      </c>
      <c r="X17" s="14">
        <v>71.597097000000005</v>
      </c>
      <c r="Y17" s="14">
        <v>34.352063000000001</v>
      </c>
      <c r="Z17" s="14">
        <v>44.796078000000001</v>
      </c>
      <c r="AA17" s="14">
        <v>45.206769000000001</v>
      </c>
      <c r="AB17" s="15">
        <v>4771.3100000000004</v>
      </c>
      <c r="AC17" s="15">
        <v>1306.21</v>
      </c>
      <c r="AD17" s="15">
        <v>83.471000000000004</v>
      </c>
      <c r="AE17" s="15">
        <v>16.199000000000002</v>
      </c>
      <c r="AG17" s="10">
        <f t="shared" si="6"/>
        <v>11.680770000000001</v>
      </c>
      <c r="AH17" s="11">
        <f t="shared" si="7"/>
        <v>3.8623328164249161E-2</v>
      </c>
      <c r="AI17" s="11">
        <f t="shared" si="8"/>
        <v>1.2878947928232701E-2</v>
      </c>
      <c r="AJ17" s="11">
        <f t="shared" si="9"/>
        <v>8.9570868635038652E-3</v>
      </c>
      <c r="AK17" s="11">
        <f t="shared" si="10"/>
        <v>2.5743983447159245E-2</v>
      </c>
      <c r="AL17" s="52">
        <f t="shared" si="11"/>
        <v>4154616</v>
      </c>
      <c r="AM17" s="11">
        <v>16</v>
      </c>
      <c r="AN17" s="12">
        <v>33453902</v>
      </c>
      <c r="AO17" s="12">
        <v>1045434.4375</v>
      </c>
      <c r="AP17" s="12">
        <v>34737.34375</v>
      </c>
      <c r="AQ17" s="13">
        <v>12459488</v>
      </c>
      <c r="AR17" s="13">
        <v>2889464</v>
      </c>
      <c r="AS17" s="13">
        <v>1265152</v>
      </c>
      <c r="AT17" s="13">
        <v>8304744</v>
      </c>
      <c r="AU17" s="14">
        <v>69.116900000000001</v>
      </c>
      <c r="AV17" s="14">
        <v>71.653987000000001</v>
      </c>
      <c r="AW17" s="14">
        <v>34.338341</v>
      </c>
      <c r="AX17" s="14">
        <v>44.802396999999999</v>
      </c>
      <c r="AY17" s="14">
        <v>45.176803</v>
      </c>
      <c r="AZ17" s="15">
        <v>5436.53</v>
      </c>
      <c r="BA17" s="15">
        <v>1351.55</v>
      </c>
      <c r="BB17" s="15">
        <v>96.361000000000004</v>
      </c>
      <c r="BC17" s="15">
        <v>18.574000000000002</v>
      </c>
      <c r="BE17" s="50">
        <f t="shared" si="12"/>
        <v>1.0114342806394316</v>
      </c>
      <c r="BF17" s="16">
        <f t="shared" si="13"/>
        <v>-1.5992316057032233E-3</v>
      </c>
      <c r="BG17" s="16">
        <f t="shared" si="14"/>
        <v>3.3196441466247228E-3</v>
      </c>
      <c r="BH17" s="16"/>
      <c r="BJ17" s="50"/>
      <c r="BK17" s="50"/>
      <c r="BL17" s="50"/>
      <c r="BM17" s="50"/>
      <c r="BN17" s="50"/>
      <c r="BP17" s="50"/>
      <c r="BQ17" s="50"/>
      <c r="BR17" s="50"/>
      <c r="BS17" s="50"/>
      <c r="BT17" s="50"/>
      <c r="BV17" s="58">
        <f t="shared" si="16"/>
        <v>-150443</v>
      </c>
      <c r="BW17" s="58">
        <f t="shared" si="15"/>
        <v>-4701.34375</v>
      </c>
      <c r="BX17" s="58">
        <f t="shared" si="15"/>
        <v>-1835.625</v>
      </c>
      <c r="BY17" s="58">
        <f t="shared" si="15"/>
        <v>16984</v>
      </c>
      <c r="BZ17" s="58">
        <f t="shared" si="15"/>
        <v>0</v>
      </c>
      <c r="CA17" s="58">
        <f t="shared" si="15"/>
        <v>46968</v>
      </c>
      <c r="CB17" s="58">
        <f t="shared" si="15"/>
        <v>-29984</v>
      </c>
      <c r="CC17" s="58">
        <f t="shared" si="15"/>
        <v>-1.753800000000183E-2</v>
      </c>
      <c r="CD17" s="58">
        <f t="shared" si="15"/>
        <v>5.6889999999995666E-2</v>
      </c>
      <c r="CE17" s="58">
        <f t="shared" si="15"/>
        <v>-1.3722000000001344E-2</v>
      </c>
      <c r="CF17" s="58">
        <f t="shared" si="15"/>
        <v>6.3189999999977431E-3</v>
      </c>
      <c r="CG17" s="58">
        <f t="shared" si="15"/>
        <v>-2.9966000000001713E-2</v>
      </c>
      <c r="CJ17" t="s">
        <v>233</v>
      </c>
    </row>
    <row r="18" spans="1:88" outlineLevel="1" x14ac:dyDescent="0.2">
      <c r="A18" s="17"/>
      <c r="B18" s="17" t="s">
        <v>64</v>
      </c>
      <c r="C18" s="18" t="s">
        <v>236</v>
      </c>
      <c r="D18" s="17">
        <v>322589704</v>
      </c>
      <c r="E18" s="18">
        <v>10</v>
      </c>
      <c r="F18" s="18">
        <v>32</v>
      </c>
      <c r="G18" s="18">
        <v>30</v>
      </c>
      <c r="I18" s="19">
        <f t="shared" si="0"/>
        <v>20.151847499999999</v>
      </c>
      <c r="J18" s="20">
        <f t="shared" si="1"/>
        <v>6.6633571169400996E-2</v>
      </c>
      <c r="K18" s="20">
        <f t="shared" si="2"/>
        <v>1.7236309563060326E-2</v>
      </c>
      <c r="L18" s="20">
        <f t="shared" si="3"/>
        <v>1.3460070008929981E-2</v>
      </c>
      <c r="M18" s="20">
        <f t="shared" si="4"/>
        <v>4.9396864817483448E-2</v>
      </c>
      <c r="N18" s="17">
        <f t="shared" si="5"/>
        <v>5560256</v>
      </c>
      <c r="O18" s="20">
        <v>16</v>
      </c>
      <c r="P18" s="21">
        <v>34799418</v>
      </c>
      <c r="Q18" s="21">
        <v>1087481.8125</v>
      </c>
      <c r="R18" s="21">
        <v>40860.15625</v>
      </c>
      <c r="S18" s="22">
        <v>21495304</v>
      </c>
      <c r="T18" s="22">
        <v>4342080</v>
      </c>
      <c r="U18" s="22">
        <v>1218176</v>
      </c>
      <c r="V18" s="22">
        <v>15934920</v>
      </c>
      <c r="W18" s="23">
        <v>70.372874999999993</v>
      </c>
      <c r="X18" s="23">
        <v>72.951280999999994</v>
      </c>
      <c r="Y18" s="23">
        <v>37.033180999999999</v>
      </c>
      <c r="Z18" s="23">
        <v>46.138033999999998</v>
      </c>
      <c r="AA18" s="23">
        <v>46.638800000000003</v>
      </c>
      <c r="AB18" s="24">
        <v>6120.76</v>
      </c>
      <c r="AC18" s="24">
        <v>1708.34</v>
      </c>
      <c r="AD18" s="24">
        <v>96.295000000000002</v>
      </c>
      <c r="AE18" s="24">
        <v>19.998999999999999</v>
      </c>
      <c r="AG18" s="19">
        <f t="shared" si="6"/>
        <v>20.141917500000002</v>
      </c>
      <c r="AH18" s="20">
        <f t="shared" si="7"/>
        <v>6.6600736891466325E-2</v>
      </c>
      <c r="AI18" s="20">
        <f t="shared" si="8"/>
        <v>1.7381906274355242E-2</v>
      </c>
      <c r="AJ18" s="20">
        <f t="shared" si="9"/>
        <v>1.3460070008929981E-2</v>
      </c>
      <c r="AK18" s="20">
        <f t="shared" si="10"/>
        <v>4.921843382825386E-2</v>
      </c>
      <c r="AL18" s="17">
        <f t="shared" si="11"/>
        <v>5607224</v>
      </c>
      <c r="AM18" s="20">
        <v>16</v>
      </c>
      <c r="AN18" s="21">
        <v>34644193</v>
      </c>
      <c r="AO18" s="21">
        <v>1082631.03125</v>
      </c>
      <c r="AP18" s="21">
        <v>38906.75</v>
      </c>
      <c r="AQ18" s="22">
        <v>21484712</v>
      </c>
      <c r="AR18" s="22">
        <v>4342080</v>
      </c>
      <c r="AS18" s="22">
        <v>1265144</v>
      </c>
      <c r="AT18" s="22">
        <v>15877360</v>
      </c>
      <c r="AU18" s="23">
        <v>70.415722000000002</v>
      </c>
      <c r="AV18" s="23">
        <v>73.025734</v>
      </c>
      <c r="AW18" s="23">
        <v>37.02225</v>
      </c>
      <c r="AX18" s="23">
        <v>46.117606000000002</v>
      </c>
      <c r="AY18" s="23">
        <v>46.640909000000001</v>
      </c>
      <c r="AZ18" s="24">
        <v>4888.45</v>
      </c>
      <c r="BA18" s="24">
        <v>1343.41</v>
      </c>
      <c r="BB18" s="24">
        <v>90.13</v>
      </c>
      <c r="BC18" s="24">
        <v>18.548999999999999</v>
      </c>
      <c r="BE18" s="49">
        <f t="shared" si="12"/>
        <v>1.0084470930834841</v>
      </c>
      <c r="BF18" s="25">
        <f t="shared" si="13"/>
        <v>-1.6359654336982402E-3</v>
      </c>
      <c r="BG18" s="25">
        <f t="shared" si="14"/>
        <v>2.313638880582114E-3</v>
      </c>
      <c r="BH18" s="25"/>
      <c r="BJ18" s="49"/>
      <c r="BK18" s="49"/>
      <c r="BL18" s="49"/>
      <c r="BM18" s="49"/>
      <c r="BN18" s="49"/>
      <c r="BP18" s="49"/>
      <c r="BQ18" s="49"/>
      <c r="BR18" s="49"/>
      <c r="BS18" s="49"/>
      <c r="BT18" s="49"/>
      <c r="BV18" s="58">
        <f t="shared" si="16"/>
        <v>-155225</v>
      </c>
      <c r="BW18" s="58">
        <f t="shared" si="15"/>
        <v>-4850.78125</v>
      </c>
      <c r="BX18" s="58">
        <f t="shared" si="15"/>
        <v>-1953.40625</v>
      </c>
      <c r="BY18" s="58">
        <f t="shared" si="15"/>
        <v>-10592</v>
      </c>
      <c r="BZ18" s="58">
        <f t="shared" si="15"/>
        <v>0</v>
      </c>
      <c r="CA18" s="58">
        <f t="shared" si="15"/>
        <v>46968</v>
      </c>
      <c r="CB18" s="58">
        <f t="shared" si="15"/>
        <v>-57560</v>
      </c>
      <c r="CC18" s="58">
        <f t="shared" si="15"/>
        <v>4.2847000000008961E-2</v>
      </c>
      <c r="CD18" s="58">
        <f t="shared" si="15"/>
        <v>7.4453000000005432E-2</v>
      </c>
      <c r="CE18" s="58">
        <f t="shared" si="15"/>
        <v>-1.0930999999999358E-2</v>
      </c>
      <c r="CF18" s="58">
        <f t="shared" si="15"/>
        <v>-2.042799999999545E-2</v>
      </c>
      <c r="CG18" s="58">
        <f t="shared" si="15"/>
        <v>2.108999999997252E-3</v>
      </c>
      <c r="CJ18" t="s">
        <v>233</v>
      </c>
    </row>
    <row r="19" spans="1:88" ht="16" outlineLevel="1" thickBot="1" x14ac:dyDescent="0.25">
      <c r="A19" s="52"/>
      <c r="B19" s="26" t="s">
        <v>64</v>
      </c>
      <c r="C19" s="27" t="s">
        <v>237</v>
      </c>
      <c r="D19" s="26">
        <v>322589704</v>
      </c>
      <c r="E19" s="27">
        <v>10</v>
      </c>
      <c r="F19" s="27">
        <v>32</v>
      </c>
      <c r="G19" s="27">
        <v>30</v>
      </c>
      <c r="I19" s="28">
        <f t="shared" si="0"/>
        <v>35.66865</v>
      </c>
      <c r="J19" s="29">
        <f t="shared" si="1"/>
        <v>0.11794102393298951</v>
      </c>
      <c r="K19" s="29">
        <f t="shared" si="2"/>
        <v>2.7706079546791735E-2</v>
      </c>
      <c r="L19" s="29">
        <f t="shared" si="3"/>
        <v>2.0647974555319349E-2</v>
      </c>
      <c r="M19" s="29">
        <f t="shared" si="4"/>
        <v>9.023454759734055E-2</v>
      </c>
      <c r="N19" s="26">
        <f t="shared" si="5"/>
        <v>8937696</v>
      </c>
      <c r="O19" s="29">
        <v>16</v>
      </c>
      <c r="P19" s="30">
        <v>33039030</v>
      </c>
      <c r="Q19" s="30">
        <v>1032469.6875</v>
      </c>
      <c r="R19" s="30">
        <v>17754.53125</v>
      </c>
      <c r="S19" s="31">
        <v>38046560</v>
      </c>
      <c r="T19" s="31">
        <v>6660824</v>
      </c>
      <c r="U19" s="31">
        <v>2276872</v>
      </c>
      <c r="V19" s="31">
        <v>29108736</v>
      </c>
      <c r="W19" s="32">
        <v>71.149227999999994</v>
      </c>
      <c r="X19" s="32">
        <v>75.004366000000005</v>
      </c>
      <c r="Y19" s="32">
        <v>39.539543999999999</v>
      </c>
      <c r="Z19" s="32">
        <v>47.871558999999998</v>
      </c>
      <c r="AA19" s="32">
        <v>48.474975000000001</v>
      </c>
      <c r="AB19" s="33">
        <v>5043.8900000000003</v>
      </c>
      <c r="AC19" s="33">
        <v>1636.88</v>
      </c>
      <c r="AD19" s="33">
        <v>84.945999999999998</v>
      </c>
      <c r="AE19" s="33">
        <v>19.928999999999998</v>
      </c>
      <c r="AG19" s="28">
        <f t="shared" si="6"/>
        <v>35.700719999999997</v>
      </c>
      <c r="AH19" s="29">
        <f t="shared" si="7"/>
        <v>0.11804706575508064</v>
      </c>
      <c r="AI19" s="29">
        <f t="shared" si="8"/>
        <v>2.7851701057390228E-2</v>
      </c>
      <c r="AJ19" s="29">
        <f t="shared" si="9"/>
        <v>2.0647974555319349E-2</v>
      </c>
      <c r="AK19" s="29">
        <f t="shared" si="10"/>
        <v>9.019496790883319E-2</v>
      </c>
      <c r="AL19" s="26">
        <f t="shared" si="11"/>
        <v>8984672</v>
      </c>
      <c r="AM19" s="29">
        <v>16</v>
      </c>
      <c r="AN19" s="30">
        <v>33014252</v>
      </c>
      <c r="AO19" s="30">
        <v>1031695.375</v>
      </c>
      <c r="AP19" s="30">
        <v>17428.0625</v>
      </c>
      <c r="AQ19" s="31">
        <v>38080768</v>
      </c>
      <c r="AR19" s="31">
        <v>6660824</v>
      </c>
      <c r="AS19" s="31">
        <v>2323848</v>
      </c>
      <c r="AT19" s="31">
        <v>29095968</v>
      </c>
      <c r="AU19" s="32">
        <v>71.141484000000005</v>
      </c>
      <c r="AV19" s="32">
        <v>75.008381</v>
      </c>
      <c r="AW19" s="32">
        <v>39.536441000000003</v>
      </c>
      <c r="AX19" s="32">
        <v>47.873305999999999</v>
      </c>
      <c r="AY19" s="32">
        <v>48.482356000000003</v>
      </c>
      <c r="AZ19" s="33">
        <v>4631.21</v>
      </c>
      <c r="BA19" s="33">
        <v>1532.96</v>
      </c>
      <c r="BB19" s="33">
        <v>82.283000000000001</v>
      </c>
      <c r="BC19" s="33">
        <v>19.175999999999998</v>
      </c>
      <c r="BE19" s="34">
        <f t="shared" si="12"/>
        <v>1.0052559406809094</v>
      </c>
      <c r="BF19" s="35">
        <f t="shared" si="13"/>
        <v>-3.0353294486680851E-4</v>
      </c>
      <c r="BG19" s="35">
        <f t="shared" si="14"/>
        <v>1.0225644122457134E-3</v>
      </c>
      <c r="BH19" s="35"/>
      <c r="BJ19" s="34"/>
      <c r="BK19" s="34"/>
      <c r="BL19" s="34"/>
      <c r="BM19" s="34"/>
      <c r="BN19" s="34"/>
      <c r="BP19" s="34"/>
      <c r="BQ19" s="34"/>
      <c r="BR19" s="34"/>
      <c r="BS19" s="34"/>
      <c r="BT19" s="34"/>
      <c r="BV19" s="58">
        <f t="shared" si="16"/>
        <v>-24778</v>
      </c>
      <c r="BW19" s="58">
        <f t="shared" si="15"/>
        <v>-774.3125</v>
      </c>
      <c r="BX19" s="58">
        <f t="shared" si="15"/>
        <v>-326.46875</v>
      </c>
      <c r="BY19" s="58">
        <f t="shared" si="15"/>
        <v>34208</v>
      </c>
      <c r="BZ19" s="58">
        <f t="shared" si="15"/>
        <v>0</v>
      </c>
      <c r="CA19" s="58">
        <f t="shared" si="15"/>
        <v>46976</v>
      </c>
      <c r="CB19" s="58">
        <f t="shared" si="15"/>
        <v>-12768</v>
      </c>
      <c r="CC19" s="58">
        <f t="shared" si="15"/>
        <v>-7.7439999999882048E-3</v>
      </c>
      <c r="CD19" s="58">
        <f t="shared" si="15"/>
        <v>4.0149999999954389E-3</v>
      </c>
      <c r="CE19" s="58">
        <f t="shared" si="15"/>
        <v>-3.1029999999958591E-3</v>
      </c>
      <c r="CF19" s="58">
        <f t="shared" si="15"/>
        <v>1.7470000000017194E-3</v>
      </c>
      <c r="CG19" s="58">
        <f t="shared" si="15"/>
        <v>7.3810000000023024E-3</v>
      </c>
      <c r="CJ19" t="s">
        <v>233</v>
      </c>
    </row>
    <row r="20" spans="1:88" x14ac:dyDescent="0.2">
      <c r="A20" s="17"/>
      <c r="B20" s="17" t="s">
        <v>70</v>
      </c>
      <c r="C20" s="18" t="s">
        <v>232</v>
      </c>
      <c r="D20" s="17">
        <v>250602891</v>
      </c>
      <c r="E20" s="18">
        <v>10</v>
      </c>
      <c r="F20" s="18">
        <v>32</v>
      </c>
      <c r="G20" s="18">
        <v>50</v>
      </c>
      <c r="I20" s="19">
        <f t="shared" si="0"/>
        <v>5.0904999999999996</v>
      </c>
      <c r="J20" s="20">
        <f t="shared" si="1"/>
        <v>1.3000328874897138E-2</v>
      </c>
      <c r="K20" s="20">
        <f t="shared" si="2"/>
        <v>7.5511658802052684E-3</v>
      </c>
      <c r="L20" s="20">
        <f t="shared" si="3"/>
        <v>3.7271078409067517E-3</v>
      </c>
      <c r="M20" s="20">
        <f t="shared" si="4"/>
        <v>5.4486522264421923E-3</v>
      </c>
      <c r="N20" s="17">
        <f t="shared" si="5"/>
        <v>1892344</v>
      </c>
      <c r="O20" s="20">
        <v>16</v>
      </c>
      <c r="P20" s="21">
        <v>26662905</v>
      </c>
      <c r="Q20" s="21">
        <v>833215.78125</v>
      </c>
      <c r="R20" s="21">
        <v>22206.53125</v>
      </c>
      <c r="S20" s="22">
        <v>3257920</v>
      </c>
      <c r="T20" s="22">
        <v>934024</v>
      </c>
      <c r="U20" s="22">
        <v>958320</v>
      </c>
      <c r="V20" s="22">
        <v>1365448</v>
      </c>
      <c r="W20" s="23">
        <v>66.549000000000007</v>
      </c>
      <c r="X20" s="23">
        <v>68.833022</v>
      </c>
      <c r="Y20" s="23">
        <v>30.748241</v>
      </c>
      <c r="Z20" s="23">
        <v>39.473565999999998</v>
      </c>
      <c r="AA20" s="23">
        <v>38.191471999999997</v>
      </c>
      <c r="AB20" s="24">
        <v>4641.6099999999997</v>
      </c>
      <c r="AC20" s="24">
        <v>1146.6600000000001</v>
      </c>
      <c r="AD20" s="24">
        <v>73.054000000000002</v>
      </c>
      <c r="AE20" s="24">
        <v>16.321999999999999</v>
      </c>
      <c r="AG20" s="19">
        <f t="shared" si="6"/>
        <v>5.11625</v>
      </c>
      <c r="AH20" s="20">
        <f t="shared" si="7"/>
        <v>1.3066090287043017E-2</v>
      </c>
      <c r="AI20" s="20">
        <f t="shared" si="8"/>
        <v>7.7050667384359903E-3</v>
      </c>
      <c r="AJ20" s="20">
        <f t="shared" si="9"/>
        <v>3.7271078409067517E-3</v>
      </c>
      <c r="AK20" s="20">
        <f t="shared" si="10"/>
        <v>5.3605127803573504E-3</v>
      </c>
      <c r="AL20" s="17">
        <f t="shared" si="11"/>
        <v>1930912</v>
      </c>
      <c r="AM20" s="20">
        <v>16</v>
      </c>
      <c r="AN20" s="21">
        <v>26530285</v>
      </c>
      <c r="AO20" s="21">
        <v>829071.40625</v>
      </c>
      <c r="AP20" s="21">
        <v>21319.4375</v>
      </c>
      <c r="AQ20" s="22">
        <v>3274400</v>
      </c>
      <c r="AR20" s="22">
        <v>934024</v>
      </c>
      <c r="AS20" s="22">
        <v>996888</v>
      </c>
      <c r="AT20" s="22">
        <v>1343360</v>
      </c>
      <c r="AU20" s="23">
        <v>66.529461999999995</v>
      </c>
      <c r="AV20" s="23">
        <v>68.899325000000005</v>
      </c>
      <c r="AW20" s="23">
        <v>30.723831000000001</v>
      </c>
      <c r="AX20" s="23">
        <v>39.507249999999999</v>
      </c>
      <c r="AY20" s="23">
        <v>38.202950000000001</v>
      </c>
      <c r="AZ20" s="24">
        <v>5364.7</v>
      </c>
      <c r="BA20" s="24">
        <v>1522.63</v>
      </c>
      <c r="BB20" s="24">
        <v>78.316999999999993</v>
      </c>
      <c r="BC20" s="24">
        <v>22.425999999999998</v>
      </c>
      <c r="BE20" s="49">
        <f t="shared" si="12"/>
        <v>1.0203810723631646</v>
      </c>
      <c r="BF20" s="25">
        <f t="shared" si="13"/>
        <v>-9.3675831980074079E-4</v>
      </c>
      <c r="BG20" s="25">
        <f t="shared" si="14"/>
        <v>8.8552673041117913E-3</v>
      </c>
      <c r="BH20" s="25">
        <f t="array" ref="BH20">AVERAGE(AL20:AL24/AQ20:AQ24) - AVERAGE(N20:N24/S20:S24)</f>
        <v>5.4329825549134236E-3</v>
      </c>
      <c r="BJ20" s="49">
        <f>IF( OR(ISBLANK(N20:N24),ISBLANK(AL20:AL24), ISBLANK(W20:W24),ISBLANK(AU20:AU24)), "·", bdRateExtend( N20:N24,W20:W24, AL20:AL24,AU20:AU24))</f>
        <v>2.1595436726260075E-2</v>
      </c>
      <c r="BK20" s="49">
        <f>IF( OR(ISBLANK(N20:N24),ISBLANK(AL20:AL24), ISBLANK(X20:X24),ISBLANK(AV20:AV24)), "·", bdRateExtend( N20:N24,X20:X24, AL20:AL24,AV20:AV24))</f>
        <v>9.1799735428388374E-4</v>
      </c>
      <c r="BL20" s="49">
        <f>IF( OR(ISBLANK(V20:V24),ISBLANK(AT20:AT24), ISBLANK(Y20:Y24),ISBLANK(AW20:AW24)), "·", bdRateExtend( V20:V24,Y20:Y24, AT20:AT24,AW20:AW24))</f>
        <v>-1.3621778335977996E-2</v>
      </c>
      <c r="BM20" s="49">
        <f>IF( OR(ISBLANK(V20:V24),ISBLANK(AT20:AT24), ISBLANK(Z20:Z24),ISBLANK(AX20:AX24)), "·", bdRateExtend( V20:V24,Z20:Z24, AT20:AT24,AX20:AX24))</f>
        <v>-1.4307801267821052E-2</v>
      </c>
      <c r="BN20" s="49">
        <f>IF( OR(ISBLANK(V20:V24),ISBLANK(AT20:AT24), ISBLANK(AA20:AA24),ISBLANK(AY20:AY24)), "·", bdRateExtend( V20:V24,AA20:AA24, AT20:AT24,AY20:AY24))</f>
        <v>-1.8783304087549579E-2</v>
      </c>
      <c r="BP20" s="49">
        <f>IF( OR(ISBLANK(S20:S24),ISBLANK(AQ20:AQ24), ISBLANK(W20:W24),ISBLANK(AU20:AU24)), "·", bdRateExtend( S20:S24,W20:W24, AQ20:AQ24,AU20:AU24))</f>
        <v>1.0990207626996762E-2</v>
      </c>
      <c r="BQ20" s="49">
        <f>IF( OR(ISBLANK(S20:S24),ISBLANK(AQ20:AQ24), ISBLANK(X20:X24),ISBLANK(AV20:AV24)), "·", bdRateExtend( S20:S24,X20:X24, AQ20:AQ24,AV20:AV24))</f>
        <v>-2.493747697767712E-2</v>
      </c>
      <c r="BR20" s="49">
        <f>IF( OR(ISBLANK(S20:S24),ISBLANK(AQ20:AQ24), ISBLANK(Y20:Y24),ISBLANK(AW20:AW24)), "·", bdRateExtend( S20:S24,Y20:Y24, AQ20:AQ24,AW20:AW24))</f>
        <v>-3.6237994584582545E-3</v>
      </c>
      <c r="BS20" s="49">
        <f>IF( OR(ISBLANK(S20:S24),ISBLANK(AQ20:AQ24), ISBLANK(Z20:Z24),ISBLANK(AX20:AX24)), "·", bdRateExtend( S20:S24,Z20:Z24, AQ20:AQ24,AX20:AX24))</f>
        <v>-1.9616874987203881E-3</v>
      </c>
      <c r="BT20" s="49">
        <f>IF( OR(ISBLANK(S20:S24),ISBLANK(AQ20:AQ24), ISBLANK(AA20:AA24),ISBLANK(AY20:AY24)), "·", bdRateExtend( S20:S24,AA20:AA24, AQ20:AQ24,AY20:AY24))</f>
        <v>-5.0367270071037806E-3</v>
      </c>
      <c r="BV20" s="58">
        <f t="shared" si="16"/>
        <v>-132620</v>
      </c>
      <c r="BW20" s="58">
        <f t="shared" si="15"/>
        <v>-4144.375</v>
      </c>
      <c r="BX20" s="58">
        <f t="shared" si="15"/>
        <v>-887.09375</v>
      </c>
      <c r="BY20" s="58">
        <f t="shared" si="15"/>
        <v>16480</v>
      </c>
      <c r="BZ20" s="58">
        <f t="shared" si="15"/>
        <v>0</v>
      </c>
      <c r="CA20" s="58">
        <f t="shared" si="15"/>
        <v>38568</v>
      </c>
      <c r="CB20" s="58">
        <f t="shared" si="15"/>
        <v>-22088</v>
      </c>
      <c r="CC20" s="58">
        <f t="shared" si="15"/>
        <v>-1.953800000001138E-2</v>
      </c>
      <c r="CD20" s="58">
        <f t="shared" si="15"/>
        <v>6.6303000000004886E-2</v>
      </c>
      <c r="CE20" s="58">
        <f t="shared" si="15"/>
        <v>-2.4409999999999599E-2</v>
      </c>
      <c r="CF20" s="58">
        <f t="shared" si="15"/>
        <v>3.3684000000000935E-2</v>
      </c>
      <c r="CG20" s="58">
        <f t="shared" si="15"/>
        <v>1.1478000000003874E-2</v>
      </c>
      <c r="CJ20" t="s">
        <v>239</v>
      </c>
    </row>
    <row r="21" spans="1:88" outlineLevel="1" x14ac:dyDescent="0.2">
      <c r="A21" s="52"/>
      <c r="B21" s="52" t="s">
        <v>70</v>
      </c>
      <c r="C21" s="9" t="s">
        <v>234</v>
      </c>
      <c r="D21" s="52">
        <v>250602891</v>
      </c>
      <c r="E21" s="9">
        <v>10</v>
      </c>
      <c r="F21" s="9">
        <v>32</v>
      </c>
      <c r="G21" s="9">
        <v>50</v>
      </c>
      <c r="I21" s="10">
        <f t="shared" si="0"/>
        <v>7.5502874999999996</v>
      </c>
      <c r="J21" s="11">
        <f t="shared" si="1"/>
        <v>1.9282235654655717E-2</v>
      </c>
      <c r="K21" s="11">
        <f t="shared" si="2"/>
        <v>8.9611097104222957E-3</v>
      </c>
      <c r="L21" s="11">
        <f t="shared" si="3"/>
        <v>5.1370516711237782E-3</v>
      </c>
      <c r="M21" s="11">
        <f t="shared" si="4"/>
        <v>1.0320615175983743E-2</v>
      </c>
      <c r="N21" s="52">
        <f t="shared" si="5"/>
        <v>2245680</v>
      </c>
      <c r="O21" s="11">
        <v>16</v>
      </c>
      <c r="P21" s="12">
        <v>28265235</v>
      </c>
      <c r="Q21" s="12">
        <v>883288.59375</v>
      </c>
      <c r="R21" s="12">
        <v>27380.9375</v>
      </c>
      <c r="S21" s="13">
        <v>4832184</v>
      </c>
      <c r="T21" s="13">
        <v>1287360</v>
      </c>
      <c r="U21" s="13">
        <v>958320</v>
      </c>
      <c r="V21" s="13">
        <v>2586376</v>
      </c>
      <c r="W21" s="14">
        <v>68.094027999999994</v>
      </c>
      <c r="X21" s="14">
        <v>70.846790999999996</v>
      </c>
      <c r="Y21" s="14">
        <v>32.447225000000003</v>
      </c>
      <c r="Z21" s="14">
        <v>40.624049999999997</v>
      </c>
      <c r="AA21" s="14">
        <v>39.486747000000001</v>
      </c>
      <c r="AB21" s="15">
        <v>4989.59</v>
      </c>
      <c r="AC21" s="15">
        <v>1539.59</v>
      </c>
      <c r="AD21" s="15">
        <v>86.722999999999999</v>
      </c>
      <c r="AE21" s="15">
        <v>22.835000000000001</v>
      </c>
      <c r="AG21" s="10">
        <f t="shared" si="6"/>
        <v>7.5593874999999997</v>
      </c>
      <c r="AH21" s="11">
        <f t="shared" si="7"/>
        <v>1.9305475610016009E-2</v>
      </c>
      <c r="AI21" s="11">
        <f t="shared" si="8"/>
        <v>9.1150105686530168E-3</v>
      </c>
      <c r="AJ21" s="11">
        <f t="shared" si="9"/>
        <v>5.1370516711237782E-3</v>
      </c>
      <c r="AK21" s="11">
        <f t="shared" si="10"/>
        <v>1.0189954273113314E-2</v>
      </c>
      <c r="AL21" s="52">
        <f t="shared" si="11"/>
        <v>2284248</v>
      </c>
      <c r="AM21" s="11">
        <v>16</v>
      </c>
      <c r="AN21" s="12">
        <v>28126526</v>
      </c>
      <c r="AO21" s="12">
        <v>878953.9375</v>
      </c>
      <c r="AP21" s="12">
        <v>26256.6875</v>
      </c>
      <c r="AQ21" s="13">
        <v>4838008</v>
      </c>
      <c r="AR21" s="13">
        <v>1287360</v>
      </c>
      <c r="AS21" s="13">
        <v>996888</v>
      </c>
      <c r="AT21" s="13">
        <v>2553632</v>
      </c>
      <c r="AU21" s="14">
        <v>68.071996999999996</v>
      </c>
      <c r="AV21" s="14">
        <v>70.920152999999999</v>
      </c>
      <c r="AW21" s="14">
        <v>32.429474999999996</v>
      </c>
      <c r="AX21" s="14">
        <v>40.664197000000001</v>
      </c>
      <c r="AY21" s="14">
        <v>39.529905999999997</v>
      </c>
      <c r="AZ21" s="15">
        <v>5360.01</v>
      </c>
      <c r="BA21" s="15">
        <v>1581.13</v>
      </c>
      <c r="BB21" s="15">
        <v>84.876999999999995</v>
      </c>
      <c r="BC21" s="15">
        <v>23.751000000000001</v>
      </c>
      <c r="BE21" s="50">
        <f t="shared" si="12"/>
        <v>1.0171743080047022</v>
      </c>
      <c r="BF21" s="16">
        <f t="shared" si="13"/>
        <v>-1.1262030524360235E-3</v>
      </c>
      <c r="BG21" s="16">
        <f t="shared" si="14"/>
        <v>7.4124287152714241E-3</v>
      </c>
      <c r="BH21" s="16"/>
      <c r="BJ21" s="50"/>
      <c r="BK21" s="50"/>
      <c r="BL21" s="50"/>
      <c r="BM21" s="50"/>
      <c r="BN21" s="50"/>
      <c r="BP21" s="50"/>
      <c r="BQ21" s="50"/>
      <c r="BR21" s="50"/>
      <c r="BS21" s="50"/>
      <c r="BT21" s="50"/>
      <c r="BV21" s="58">
        <f t="shared" si="16"/>
        <v>-138709</v>
      </c>
      <c r="BW21" s="58">
        <f t="shared" si="16"/>
        <v>-4334.65625</v>
      </c>
      <c r="BX21" s="58">
        <f t="shared" si="16"/>
        <v>-1124.25</v>
      </c>
      <c r="BY21" s="58">
        <f t="shared" si="16"/>
        <v>5824</v>
      </c>
      <c r="BZ21" s="58">
        <f t="shared" si="16"/>
        <v>0</v>
      </c>
      <c r="CA21" s="58">
        <f t="shared" si="16"/>
        <v>38568</v>
      </c>
      <c r="CB21" s="58">
        <f t="shared" si="16"/>
        <v>-32744</v>
      </c>
      <c r="CC21" s="58">
        <f t="shared" si="16"/>
        <v>-2.2030999999998357E-2</v>
      </c>
      <c r="CD21" s="58">
        <f t="shared" si="16"/>
        <v>7.3362000000003036E-2</v>
      </c>
      <c r="CE21" s="58">
        <f t="shared" si="16"/>
        <v>-1.7750000000006594E-2</v>
      </c>
      <c r="CF21" s="58">
        <f t="shared" si="16"/>
        <v>4.0147000000004596E-2</v>
      </c>
      <c r="CG21" s="58">
        <f t="shared" si="16"/>
        <v>4.3158999999995729E-2</v>
      </c>
      <c r="CJ21" t="s">
        <v>239</v>
      </c>
    </row>
    <row r="22" spans="1:88" outlineLevel="1" x14ac:dyDescent="0.2">
      <c r="A22" s="17"/>
      <c r="B22" s="17" t="s">
        <v>70</v>
      </c>
      <c r="C22" s="18" t="s">
        <v>235</v>
      </c>
      <c r="D22" s="17">
        <v>250602891</v>
      </c>
      <c r="E22" s="18">
        <v>10</v>
      </c>
      <c r="F22" s="18">
        <v>32</v>
      </c>
      <c r="G22" s="18">
        <v>50</v>
      </c>
      <c r="I22" s="19">
        <f t="shared" si="0"/>
        <v>12.238737499999999</v>
      </c>
      <c r="J22" s="20">
        <f t="shared" si="1"/>
        <v>3.1255792655640192E-2</v>
      </c>
      <c r="K22" s="20">
        <f t="shared" si="2"/>
        <v>1.1102377905129595E-2</v>
      </c>
      <c r="L22" s="20">
        <f t="shared" si="3"/>
        <v>7.2783198658310771E-3</v>
      </c>
      <c r="M22" s="20">
        <f t="shared" si="4"/>
        <v>2.0152903982260922E-2</v>
      </c>
      <c r="N22" s="17">
        <f t="shared" si="5"/>
        <v>2782288</v>
      </c>
      <c r="O22" s="20">
        <v>16</v>
      </c>
      <c r="P22" s="21">
        <v>29000988</v>
      </c>
      <c r="Q22" s="21">
        <v>906280.875</v>
      </c>
      <c r="R22" s="21">
        <v>29050.28125</v>
      </c>
      <c r="S22" s="22">
        <v>7832792</v>
      </c>
      <c r="T22" s="22">
        <v>1823968</v>
      </c>
      <c r="U22" s="22">
        <v>958320</v>
      </c>
      <c r="V22" s="22">
        <v>5050376</v>
      </c>
      <c r="W22" s="23">
        <v>69.230388000000005</v>
      </c>
      <c r="X22" s="23">
        <v>72.519583999999995</v>
      </c>
      <c r="Y22" s="23">
        <v>34.082684</v>
      </c>
      <c r="Z22" s="23">
        <v>41.716434</v>
      </c>
      <c r="AA22" s="23">
        <v>40.569434000000001</v>
      </c>
      <c r="AB22" s="24">
        <v>4462.84</v>
      </c>
      <c r="AC22" s="24">
        <v>1295.8699999999999</v>
      </c>
      <c r="AD22" s="24">
        <v>76.051000000000002</v>
      </c>
      <c r="AE22" s="24">
        <v>17.992999999999999</v>
      </c>
      <c r="AG22" s="19">
        <f t="shared" si="6"/>
        <v>12.213200000000001</v>
      </c>
      <c r="AH22" s="20">
        <f t="shared" si="7"/>
        <v>3.1190573934759595E-2</v>
      </c>
      <c r="AI22" s="20">
        <f t="shared" si="8"/>
        <v>1.1256278763360316E-2</v>
      </c>
      <c r="AJ22" s="20">
        <f t="shared" si="9"/>
        <v>7.2783198658310771E-3</v>
      </c>
      <c r="AK22" s="20">
        <f t="shared" si="10"/>
        <v>1.9933784403149604E-2</v>
      </c>
      <c r="AL22" s="17">
        <f t="shared" si="11"/>
        <v>2820856</v>
      </c>
      <c r="AM22" s="20">
        <v>16</v>
      </c>
      <c r="AN22" s="21">
        <v>28868917</v>
      </c>
      <c r="AO22" s="21">
        <v>902153.65625</v>
      </c>
      <c r="AP22" s="21">
        <v>27892.09375</v>
      </c>
      <c r="AQ22" s="22">
        <v>7816448</v>
      </c>
      <c r="AR22" s="22">
        <v>1823968</v>
      </c>
      <c r="AS22" s="22">
        <v>996888</v>
      </c>
      <c r="AT22" s="22">
        <v>4995464</v>
      </c>
      <c r="AU22" s="23">
        <v>69.206721999999999</v>
      </c>
      <c r="AV22" s="23">
        <v>72.602796999999995</v>
      </c>
      <c r="AW22" s="23">
        <v>34.095466000000002</v>
      </c>
      <c r="AX22" s="23">
        <v>41.701552999999997</v>
      </c>
      <c r="AY22" s="23">
        <v>40.574866</v>
      </c>
      <c r="AZ22" s="24">
        <v>4993.54</v>
      </c>
      <c r="BA22" s="24">
        <v>1645.69</v>
      </c>
      <c r="BB22" s="24">
        <v>84.781000000000006</v>
      </c>
      <c r="BC22" s="24">
        <v>23.581</v>
      </c>
      <c r="BE22" s="49">
        <f t="shared" si="12"/>
        <v>1.0138619725923412</v>
      </c>
      <c r="BF22" s="25">
        <f t="shared" si="13"/>
        <v>-1.1371588537953635E-3</v>
      </c>
      <c r="BG22" s="25">
        <f t="shared" si="14"/>
        <v>5.6769463977208723E-3</v>
      </c>
      <c r="BH22" s="25"/>
      <c r="BJ22" s="49"/>
      <c r="BK22" s="49"/>
      <c r="BL22" s="49"/>
      <c r="BM22" s="49"/>
      <c r="BN22" s="49"/>
      <c r="BP22" s="49"/>
      <c r="BQ22" s="49"/>
      <c r="BR22" s="49"/>
      <c r="BS22" s="49"/>
      <c r="BT22" s="49"/>
      <c r="BV22" s="58">
        <f t="shared" si="16"/>
        <v>-132071</v>
      </c>
      <c r="BW22" s="58">
        <f t="shared" si="16"/>
        <v>-4127.21875</v>
      </c>
      <c r="BX22" s="58">
        <f t="shared" si="16"/>
        <v>-1158.1875</v>
      </c>
      <c r="BY22" s="58">
        <f t="shared" si="16"/>
        <v>-16344</v>
      </c>
      <c r="BZ22" s="58">
        <f t="shared" si="16"/>
        <v>0</v>
      </c>
      <c r="CA22" s="58">
        <f t="shared" si="16"/>
        <v>38568</v>
      </c>
      <c r="CB22" s="58">
        <f t="shared" si="16"/>
        <v>-54912</v>
      </c>
      <c r="CC22" s="58">
        <f t="shared" si="16"/>
        <v>-2.3666000000005738E-2</v>
      </c>
      <c r="CD22" s="58">
        <f t="shared" si="16"/>
        <v>8.3213000000000648E-2</v>
      </c>
      <c r="CE22" s="58">
        <f t="shared" si="16"/>
        <v>1.2782000000001403E-2</v>
      </c>
      <c r="CF22" s="58">
        <f t="shared" si="16"/>
        <v>-1.4881000000002587E-2</v>
      </c>
      <c r="CG22" s="58">
        <f t="shared" si="16"/>
        <v>5.4319999999989932E-3</v>
      </c>
      <c r="CJ22" t="s">
        <v>239</v>
      </c>
    </row>
    <row r="23" spans="1:88" outlineLevel="1" x14ac:dyDescent="0.2">
      <c r="A23" s="52"/>
      <c r="B23" s="52" t="s">
        <v>70</v>
      </c>
      <c r="C23" s="9" t="s">
        <v>236</v>
      </c>
      <c r="D23" s="52">
        <v>250602891</v>
      </c>
      <c r="E23" s="9">
        <v>10</v>
      </c>
      <c r="F23" s="9">
        <v>32</v>
      </c>
      <c r="G23" s="9">
        <v>50</v>
      </c>
      <c r="I23" s="10">
        <f t="shared" si="0"/>
        <v>21.73115</v>
      </c>
      <c r="J23" s="11">
        <f t="shared" si="1"/>
        <v>5.5497907244813072E-2</v>
      </c>
      <c r="K23" s="11">
        <f t="shared" si="2"/>
        <v>1.4949388592647959E-2</v>
      </c>
      <c r="L23" s="11">
        <f t="shared" si="3"/>
        <v>1.1125330553349442E-2</v>
      </c>
      <c r="M23" s="11">
        <f t="shared" si="4"/>
        <v>4.0548007883915431E-2</v>
      </c>
      <c r="N23" s="52">
        <f t="shared" si="5"/>
        <v>3746360</v>
      </c>
      <c r="O23" s="11">
        <v>16</v>
      </c>
      <c r="P23" s="12">
        <v>29906880</v>
      </c>
      <c r="Q23" s="12">
        <v>934590</v>
      </c>
      <c r="R23" s="12">
        <v>32224.78125</v>
      </c>
      <c r="S23" s="13">
        <v>13907936</v>
      </c>
      <c r="T23" s="13">
        <v>2788040</v>
      </c>
      <c r="U23" s="13">
        <v>958320</v>
      </c>
      <c r="V23" s="13">
        <v>10161448</v>
      </c>
      <c r="W23" s="14">
        <v>70.349253000000004</v>
      </c>
      <c r="X23" s="14">
        <v>73.906571999999997</v>
      </c>
      <c r="Y23" s="14">
        <v>35.466647000000002</v>
      </c>
      <c r="Z23" s="14">
        <v>42.876449999999998</v>
      </c>
      <c r="AA23" s="14">
        <v>41.655515999999999</v>
      </c>
      <c r="AB23" s="15">
        <v>4798.7299999999996</v>
      </c>
      <c r="AC23" s="15">
        <v>1393.93</v>
      </c>
      <c r="AD23" s="15">
        <v>81.632999999999996</v>
      </c>
      <c r="AE23" s="15">
        <v>19.440000000000001</v>
      </c>
      <c r="AG23" s="10">
        <f t="shared" si="6"/>
        <v>21.646799999999999</v>
      </c>
      <c r="AH23" s="11">
        <f t="shared" si="7"/>
        <v>5.5282490735511905E-2</v>
      </c>
      <c r="AI23" s="11">
        <f t="shared" si="8"/>
        <v>1.5103289450878681E-2</v>
      </c>
      <c r="AJ23" s="11">
        <f t="shared" si="9"/>
        <v>1.1125330553349442E-2</v>
      </c>
      <c r="AK23" s="11">
        <f t="shared" si="10"/>
        <v>4.017869051638355E-2</v>
      </c>
      <c r="AL23" s="52">
        <f t="shared" si="11"/>
        <v>3784928</v>
      </c>
      <c r="AM23" s="11">
        <v>16</v>
      </c>
      <c r="AN23" s="12">
        <v>29772001</v>
      </c>
      <c r="AO23" s="12">
        <v>930375.03125</v>
      </c>
      <c r="AP23" s="12">
        <v>30989.5</v>
      </c>
      <c r="AQ23" s="13">
        <v>13853952</v>
      </c>
      <c r="AR23" s="13">
        <v>2788040</v>
      </c>
      <c r="AS23" s="13">
        <v>996888</v>
      </c>
      <c r="AT23" s="13">
        <v>10068896</v>
      </c>
      <c r="AU23" s="14">
        <v>70.321674999999999</v>
      </c>
      <c r="AV23" s="14">
        <v>74.012699999999995</v>
      </c>
      <c r="AW23" s="14">
        <v>35.505755999999998</v>
      </c>
      <c r="AX23" s="14">
        <v>42.859209</v>
      </c>
      <c r="AY23" s="14">
        <v>41.644205999999997</v>
      </c>
      <c r="AZ23" s="15">
        <v>5226.9799999999996</v>
      </c>
      <c r="BA23" s="15">
        <v>1455.2</v>
      </c>
      <c r="BB23" s="15">
        <v>79.545000000000002</v>
      </c>
      <c r="BC23" s="15">
        <v>18.553000000000001</v>
      </c>
      <c r="BE23" s="50">
        <f t="shared" si="12"/>
        <v>1.010294792812223</v>
      </c>
      <c r="BF23" s="16">
        <f t="shared" si="13"/>
        <v>-1.1715153120931965E-3</v>
      </c>
      <c r="BG23" s="16">
        <f t="shared" si="14"/>
        <v>3.8335335400008219E-3</v>
      </c>
      <c r="BH23" s="16"/>
      <c r="BJ23" s="50"/>
      <c r="BK23" s="50"/>
      <c r="BL23" s="50"/>
      <c r="BM23" s="50"/>
      <c r="BN23" s="50"/>
      <c r="BP23" s="50"/>
      <c r="BQ23" s="50"/>
      <c r="BR23" s="50"/>
      <c r="BS23" s="50"/>
      <c r="BT23" s="50"/>
      <c r="BV23" s="58">
        <f t="shared" si="16"/>
        <v>-134879</v>
      </c>
      <c r="BW23" s="58">
        <f t="shared" si="16"/>
        <v>-4214.96875</v>
      </c>
      <c r="BX23" s="58">
        <f t="shared" si="16"/>
        <v>-1235.28125</v>
      </c>
      <c r="BY23" s="58">
        <f t="shared" si="16"/>
        <v>-53984</v>
      </c>
      <c r="BZ23" s="58">
        <f t="shared" si="16"/>
        <v>0</v>
      </c>
      <c r="CA23" s="58">
        <f t="shared" si="16"/>
        <v>38568</v>
      </c>
      <c r="CB23" s="58">
        <f t="shared" si="16"/>
        <v>-92552</v>
      </c>
      <c r="CC23" s="58">
        <f t="shared" si="16"/>
        <v>-2.7578000000005432E-2</v>
      </c>
      <c r="CD23" s="58">
        <f t="shared" si="16"/>
        <v>0.10612799999999822</v>
      </c>
      <c r="CE23" s="58">
        <f t="shared" si="16"/>
        <v>3.9108999999996286E-2</v>
      </c>
      <c r="CF23" s="58">
        <f t="shared" si="16"/>
        <v>-1.7240999999998508E-2</v>
      </c>
      <c r="CG23" s="58">
        <f t="shared" si="16"/>
        <v>-1.1310000000001708E-2</v>
      </c>
      <c r="CJ23" t="s">
        <v>239</v>
      </c>
    </row>
    <row r="24" spans="1:88" ht="16" outlineLevel="1" thickBot="1" x14ac:dyDescent="0.25">
      <c r="A24" s="36"/>
      <c r="B24" s="36" t="s">
        <v>70</v>
      </c>
      <c r="C24" s="37" t="s">
        <v>237</v>
      </c>
      <c r="D24" s="36">
        <v>250602891</v>
      </c>
      <c r="E24" s="37">
        <v>10</v>
      </c>
      <c r="F24" s="37">
        <v>32</v>
      </c>
      <c r="G24" s="37">
        <v>50</v>
      </c>
      <c r="I24" s="38">
        <f t="shared" si="0"/>
        <v>38.194600000000001</v>
      </c>
      <c r="J24" s="39">
        <f t="shared" si="1"/>
        <v>9.7542944945515409E-2</v>
      </c>
      <c r="K24" s="39">
        <f t="shared" si="2"/>
        <v>2.5384383933543687E-2</v>
      </c>
      <c r="L24" s="39">
        <f t="shared" si="3"/>
        <v>1.7993918513892961E-2</v>
      </c>
      <c r="M24" s="39">
        <f t="shared" si="4"/>
        <v>7.2158050243722044E-2</v>
      </c>
      <c r="N24" s="36">
        <f t="shared" si="5"/>
        <v>6361400</v>
      </c>
      <c r="O24" s="39">
        <v>16</v>
      </c>
      <c r="P24" s="40">
        <v>28451194</v>
      </c>
      <c r="Q24" s="40">
        <v>889099.8125</v>
      </c>
      <c r="R24" s="40">
        <v>15570.875</v>
      </c>
      <c r="S24" s="41">
        <v>24444544</v>
      </c>
      <c r="T24" s="41">
        <v>4509328</v>
      </c>
      <c r="U24" s="41">
        <v>1852072</v>
      </c>
      <c r="V24" s="41">
        <v>18083016</v>
      </c>
      <c r="W24" s="42">
        <v>70.750319000000005</v>
      </c>
      <c r="X24" s="42">
        <v>75.060381000000007</v>
      </c>
      <c r="Y24" s="42">
        <v>36.768334000000003</v>
      </c>
      <c r="Z24" s="42">
        <v>43.808950000000003</v>
      </c>
      <c r="AA24" s="42">
        <v>42.358119000000002</v>
      </c>
      <c r="AB24" s="43">
        <v>5062.96</v>
      </c>
      <c r="AC24" s="43">
        <v>1716.15</v>
      </c>
      <c r="AD24" s="43">
        <v>80.563000000000002</v>
      </c>
      <c r="AE24" s="43">
        <v>22.466000000000001</v>
      </c>
      <c r="AG24" s="38">
        <f t="shared" si="6"/>
        <v>38.222537500000001</v>
      </c>
      <c r="AH24" s="39">
        <f t="shared" si="7"/>
        <v>9.7614292885392126E-2</v>
      </c>
      <c r="AI24" s="39">
        <f t="shared" si="8"/>
        <v>2.5538316714790014E-2</v>
      </c>
      <c r="AJ24" s="39">
        <f t="shared" si="9"/>
        <v>1.7993918513892961E-2</v>
      </c>
      <c r="AK24" s="39">
        <f t="shared" si="10"/>
        <v>7.2075465402352448E-2</v>
      </c>
      <c r="AL24" s="36">
        <f t="shared" si="11"/>
        <v>6399976</v>
      </c>
      <c r="AM24" s="39">
        <v>16</v>
      </c>
      <c r="AN24" s="40">
        <v>28430513</v>
      </c>
      <c r="AO24" s="40">
        <v>888453.53125</v>
      </c>
      <c r="AP24" s="40">
        <v>15333.4375</v>
      </c>
      <c r="AQ24" s="41">
        <v>24462424</v>
      </c>
      <c r="AR24" s="41">
        <v>4509328</v>
      </c>
      <c r="AS24" s="41">
        <v>1890648</v>
      </c>
      <c r="AT24" s="41">
        <v>18062320</v>
      </c>
      <c r="AU24" s="42">
        <v>70.739744000000002</v>
      </c>
      <c r="AV24" s="42">
        <v>75.049565999999999</v>
      </c>
      <c r="AW24" s="42">
        <v>36.763165999999998</v>
      </c>
      <c r="AX24" s="42">
        <v>43.805588</v>
      </c>
      <c r="AY24" s="42">
        <v>42.355871999999998</v>
      </c>
      <c r="AZ24" s="43">
        <v>4057.04</v>
      </c>
      <c r="BA24" s="43">
        <v>1514.58</v>
      </c>
      <c r="BB24" s="43">
        <v>78.320999999999998</v>
      </c>
      <c r="BC24" s="43">
        <v>20.83</v>
      </c>
      <c r="BE24" s="44">
        <f t="shared" si="12"/>
        <v>1.0060640739459867</v>
      </c>
      <c r="BF24" s="45">
        <f t="shared" si="13"/>
        <v>-2.5450866887759271E-4</v>
      </c>
      <c r="BG24" s="45">
        <f t="shared" si="14"/>
        <v>1.3867368174623196E-3</v>
      </c>
      <c r="BH24" s="45"/>
      <c r="BJ24" s="44"/>
      <c r="BK24" s="44"/>
      <c r="BL24" s="44"/>
      <c r="BM24" s="44"/>
      <c r="BN24" s="44"/>
      <c r="BP24" s="44"/>
      <c r="BQ24" s="44"/>
      <c r="BR24" s="44"/>
      <c r="BS24" s="44"/>
      <c r="BT24" s="44"/>
      <c r="BV24" s="58">
        <f t="shared" si="16"/>
        <v>-20681</v>
      </c>
      <c r="BW24" s="58">
        <f t="shared" si="16"/>
        <v>-646.28125</v>
      </c>
      <c r="BX24" s="58">
        <f t="shared" si="16"/>
        <v>-237.4375</v>
      </c>
      <c r="BY24" s="58">
        <f t="shared" si="16"/>
        <v>17880</v>
      </c>
      <c r="BZ24" s="58">
        <f t="shared" si="16"/>
        <v>0</v>
      </c>
      <c r="CA24" s="58">
        <f t="shared" si="16"/>
        <v>38576</v>
      </c>
      <c r="CB24" s="58">
        <f t="shared" si="16"/>
        <v>-20696</v>
      </c>
      <c r="CC24" s="58">
        <f t="shared" si="16"/>
        <v>-1.0575000000002888E-2</v>
      </c>
      <c r="CD24" s="58">
        <f t="shared" si="16"/>
        <v>-1.0815000000008013E-2</v>
      </c>
      <c r="CE24" s="58">
        <f t="shared" si="16"/>
        <v>-5.1680000000047244E-3</v>
      </c>
      <c r="CF24" s="58">
        <f t="shared" si="16"/>
        <v>-3.3620000000027517E-3</v>
      </c>
      <c r="CG24" s="58">
        <f t="shared" si="16"/>
        <v>-2.2470000000041068E-3</v>
      </c>
      <c r="CJ24" t="s">
        <v>239</v>
      </c>
    </row>
    <row r="25" spans="1:88" x14ac:dyDescent="0.2">
      <c r="A25" s="52" t="s">
        <v>240</v>
      </c>
      <c r="B25" s="52" t="s">
        <v>73</v>
      </c>
      <c r="C25" s="9" t="s">
        <v>232</v>
      </c>
      <c r="D25" s="52">
        <v>250294582</v>
      </c>
      <c r="E25" s="9">
        <v>10</v>
      </c>
      <c r="F25" s="9">
        <v>32</v>
      </c>
      <c r="G25" s="9">
        <v>30</v>
      </c>
      <c r="I25" s="10">
        <f t="shared" si="0"/>
        <v>4.3662824999999996</v>
      </c>
      <c r="J25" s="11">
        <f t="shared" si="1"/>
        <v>1.8607546207292654E-2</v>
      </c>
      <c r="K25" s="11">
        <f t="shared" si="2"/>
        <v>6.4761769393793748E-3</v>
      </c>
      <c r="L25" s="11">
        <f t="shared" si="3"/>
        <v>3.7261054256460093E-3</v>
      </c>
      <c r="M25" s="11">
        <f t="shared" si="4"/>
        <v>1.2130857870507161E-2</v>
      </c>
      <c r="N25" s="52">
        <f t="shared" si="5"/>
        <v>1620952</v>
      </c>
      <c r="O25" s="11">
        <v>16</v>
      </c>
      <c r="P25" s="12">
        <v>23156910</v>
      </c>
      <c r="Q25" s="12">
        <v>723653.4375</v>
      </c>
      <c r="R25" s="12">
        <v>14060.625</v>
      </c>
      <c r="S25" s="13">
        <v>4657368</v>
      </c>
      <c r="T25" s="13">
        <v>932624</v>
      </c>
      <c r="U25" s="13">
        <v>688328</v>
      </c>
      <c r="V25" s="13">
        <v>3036288</v>
      </c>
      <c r="W25" s="14">
        <v>66.208680999999999</v>
      </c>
      <c r="X25" s="14">
        <v>67.982928000000001</v>
      </c>
      <c r="Y25" s="14">
        <v>27.335812000000001</v>
      </c>
      <c r="Z25" s="14">
        <v>33.167050000000003</v>
      </c>
      <c r="AA25" s="14">
        <v>32.594690999999997</v>
      </c>
      <c r="AB25" s="15">
        <v>1654.9</v>
      </c>
      <c r="AC25" s="15">
        <v>1118.6600000000001</v>
      </c>
      <c r="AD25" s="15">
        <v>63.179000000000002</v>
      </c>
      <c r="AE25" s="15">
        <v>16.872</v>
      </c>
      <c r="AG25" s="10">
        <f t="shared" si="6"/>
        <v>4.3860524999999999</v>
      </c>
      <c r="AH25" s="11">
        <f t="shared" si="7"/>
        <v>1.869179892995047E-2</v>
      </c>
      <c r="AI25" s="11">
        <f t="shared" si="8"/>
        <v>6.5760592452616491E-3</v>
      </c>
      <c r="AJ25" s="11">
        <f t="shared" si="9"/>
        <v>3.7261054256460093E-3</v>
      </c>
      <c r="AK25" s="11">
        <f t="shared" si="10"/>
        <v>1.2115228287282703E-2</v>
      </c>
      <c r="AL25" s="52">
        <f t="shared" si="11"/>
        <v>1645952</v>
      </c>
      <c r="AM25" s="11">
        <v>16</v>
      </c>
      <c r="AN25" s="12">
        <v>23081254</v>
      </c>
      <c r="AO25" s="12">
        <v>721289.1875</v>
      </c>
      <c r="AP25" s="12">
        <v>13453.28125</v>
      </c>
      <c r="AQ25" s="13">
        <v>4678456</v>
      </c>
      <c r="AR25" s="13">
        <v>932624</v>
      </c>
      <c r="AS25" s="13">
        <v>713328</v>
      </c>
      <c r="AT25" s="13">
        <v>3032376</v>
      </c>
      <c r="AU25" s="14">
        <v>66.195700000000002</v>
      </c>
      <c r="AV25" s="14">
        <v>68.018991</v>
      </c>
      <c r="AW25" s="14">
        <v>27.333631</v>
      </c>
      <c r="AX25" s="14">
        <v>33.166862999999999</v>
      </c>
      <c r="AY25" s="14">
        <v>32.592578000000003</v>
      </c>
      <c r="AZ25" s="15">
        <v>1789.44</v>
      </c>
      <c r="BA25" s="15">
        <v>1252.44</v>
      </c>
      <c r="BB25" s="15">
        <v>64.647999999999996</v>
      </c>
      <c r="BC25" s="15">
        <v>16.244</v>
      </c>
      <c r="BE25" s="50">
        <f t="shared" si="12"/>
        <v>1.0154230353520648</v>
      </c>
      <c r="BF25" s="16">
        <f t="shared" si="13"/>
        <v>-7.7833725468469048E-4</v>
      </c>
      <c r="BG25" s="16">
        <f t="shared" si="14"/>
        <v>3.7748618451220461E-3</v>
      </c>
      <c r="BH25" s="16">
        <f t="array" ref="BH25">AVERAGE(AL25:AL29/AQ25:AQ29) - AVERAGE(N25:N29/S25:S29)</f>
        <v>1.9598921617261233E-3</v>
      </c>
      <c r="BJ25" s="50">
        <f>IF( OR(ISBLANK(N25:N29),ISBLANK(AL25:AL29), ISBLANK(W25:W29),ISBLANK(AU25:AU29)), "·", bdRateExtend( N25:N29,W25:W29, AL25:AL29,AU25:AU29))</f>
        <v>1.0820527548338399E-2</v>
      </c>
      <c r="BK25" s="50">
        <f>IF( OR(ISBLANK(N25:N29),ISBLANK(AL25:AL29), ISBLANK(X25:X29),ISBLANK(AV25:AV29)), "·", bdRateExtend( N25:N29,X25:X29, AL25:AL29,AV25:AV29))</f>
        <v>9.2521652547494782E-4</v>
      </c>
      <c r="BL25" s="50">
        <f>IF( OR(ISBLANK(V25:V29),ISBLANK(AT25:AT29), ISBLANK(Y25:Y29),ISBLANK(AW25:AW29)), "·", bdRateExtend( V25:V29,Y25:Y29, AT25:AT29,AW25:AW29))</f>
        <v>-3.446391318180364E-4</v>
      </c>
      <c r="BM25" s="50">
        <f>IF( OR(ISBLANK(V25:V29),ISBLANK(AT25:AT29), ISBLANK(Z25:Z29),ISBLANK(AX25:AX29)), "·", bdRateExtend( V25:V29,Z25:Z29, AT25:AT29,AX25:AX29))</f>
        <v>-4.001443634739088E-4</v>
      </c>
      <c r="BN25" s="50">
        <f>IF( OR(ISBLANK(V25:V29),ISBLANK(AT25:AT29), ISBLANK(AA25:AA29),ISBLANK(AY25:AY29)), "·", bdRateExtend( V25:V29,AA25:AA29, AT25:AT29,AY25:AY29))</f>
        <v>-1.0177983865107265E-3</v>
      </c>
      <c r="BP25" s="50">
        <f>IF( OR(ISBLANK(S25:S29),ISBLANK(AQ25:AQ29), ISBLANK(W25:W29),ISBLANK(AU25:AU29)), "·", bdRateExtend( S25:S29,W25:W29, AQ25:AQ29,AU25:AU29))</f>
        <v>2.2949748501861489E-3</v>
      </c>
      <c r="BQ25" s="50">
        <f>IF( OR(ISBLANK(S25:S29),ISBLANK(AQ25:AQ29), ISBLANK(X25:X29),ISBLANK(AV25:AV29)), "·", bdRateExtend( S25:S29,X25:X29, AQ25:AQ29,AV25:AV29))</f>
        <v>-1.5834268828782472E-2</v>
      </c>
      <c r="BR25" s="50">
        <f>IF( OR(ISBLANK(S25:S29),ISBLANK(AQ25:AQ29), ISBLANK(Y25:Y29),ISBLANK(AW25:AW29)), "·", bdRateExtend( S25:S29,Y25:Y29, AQ25:AQ29,AW25:AW29))</f>
        <v>1.9721256010847288E-3</v>
      </c>
      <c r="BS25" s="50">
        <f>IF( OR(ISBLANK(S25:S29),ISBLANK(AQ25:AQ29), ISBLANK(Z25:Z29),ISBLANK(AX25:AX29)), "·", bdRateExtend( S25:S29,Z25:Z29, AQ25:AQ29,AX25:AX29))</f>
        <v>1.6274632832913305E-3</v>
      </c>
      <c r="BT25" s="50">
        <f>IF( OR(ISBLANK(S25:S29),ISBLANK(AQ25:AQ29), ISBLANK(AA25:AA29),ISBLANK(AY25:AY29)), "·", bdRateExtend( S25:S29,AA25:AA29, AQ25:AQ29,AY25:AY29))</f>
        <v>1.2357735269890036E-3</v>
      </c>
      <c r="BV25" s="58">
        <f t="shared" si="16"/>
        <v>-75656</v>
      </c>
      <c r="BW25" s="58">
        <f t="shared" si="16"/>
        <v>-2364.25</v>
      </c>
      <c r="BX25" s="58">
        <f t="shared" si="16"/>
        <v>-607.34375</v>
      </c>
      <c r="BY25" s="58">
        <f t="shared" si="16"/>
        <v>21088</v>
      </c>
      <c r="BZ25" s="58">
        <f t="shared" si="16"/>
        <v>0</v>
      </c>
      <c r="CA25" s="58">
        <f t="shared" si="16"/>
        <v>25000</v>
      </c>
      <c r="CB25" s="58">
        <f t="shared" si="16"/>
        <v>-3912</v>
      </c>
      <c r="CC25" s="58">
        <f t="shared" si="16"/>
        <v>-1.2980999999996357E-2</v>
      </c>
      <c r="CD25" s="58">
        <f t="shared" si="16"/>
        <v>3.6062999999998624E-2</v>
      </c>
      <c r="CE25" s="58">
        <f t="shared" si="16"/>
        <v>-2.1810000000002105E-3</v>
      </c>
      <c r="CF25" s="58">
        <f t="shared" si="16"/>
        <v>-1.8700000000393402E-4</v>
      </c>
      <c r="CG25" s="58">
        <f t="shared" si="16"/>
        <v>-2.1129999999942584E-3</v>
      </c>
      <c r="CJ25" t="s">
        <v>241</v>
      </c>
    </row>
    <row r="26" spans="1:88" outlineLevel="1" x14ac:dyDescent="0.2">
      <c r="A26" s="17"/>
      <c r="B26" s="17" t="s">
        <v>73</v>
      </c>
      <c r="C26" s="18" t="s">
        <v>234</v>
      </c>
      <c r="D26" s="17">
        <v>250294582</v>
      </c>
      <c r="E26" s="18">
        <v>10</v>
      </c>
      <c r="F26" s="18">
        <v>32</v>
      </c>
      <c r="G26" s="18">
        <v>30</v>
      </c>
      <c r="I26" s="19">
        <f t="shared" si="0"/>
        <v>7.4939099999999996</v>
      </c>
      <c r="J26" s="20">
        <f t="shared" si="1"/>
        <v>3.1936384463967342E-2</v>
      </c>
      <c r="K26" s="20">
        <f t="shared" si="2"/>
        <v>8.0026662343014674E-3</v>
      </c>
      <c r="L26" s="20">
        <f t="shared" si="3"/>
        <v>5.2525947205681028E-3</v>
      </c>
      <c r="M26" s="20">
        <f t="shared" si="4"/>
        <v>2.3933206832259756E-2</v>
      </c>
      <c r="N26" s="17">
        <f t="shared" si="5"/>
        <v>2003024</v>
      </c>
      <c r="O26" s="20">
        <v>16</v>
      </c>
      <c r="P26" s="21">
        <v>24564301</v>
      </c>
      <c r="Q26" s="21">
        <v>767634.40625</v>
      </c>
      <c r="R26" s="21">
        <v>17714.59375</v>
      </c>
      <c r="S26" s="22">
        <v>7993504</v>
      </c>
      <c r="T26" s="22">
        <v>1314696</v>
      </c>
      <c r="U26" s="22">
        <v>688328</v>
      </c>
      <c r="V26" s="22">
        <v>5990352</v>
      </c>
      <c r="W26" s="23">
        <v>67.941556000000006</v>
      </c>
      <c r="X26" s="23">
        <v>69.941896999999997</v>
      </c>
      <c r="Y26" s="23">
        <v>29.713653000000001</v>
      </c>
      <c r="Z26" s="23">
        <v>34.339922000000001</v>
      </c>
      <c r="AA26" s="23">
        <v>33.891993999999997</v>
      </c>
      <c r="AB26" s="24">
        <v>1669.21</v>
      </c>
      <c r="AC26" s="24">
        <v>1151.08</v>
      </c>
      <c r="AD26" s="24">
        <v>66.293000000000006</v>
      </c>
      <c r="AE26" s="24">
        <v>18.295000000000002</v>
      </c>
      <c r="AG26" s="19">
        <f t="shared" si="6"/>
        <v>7.5112125000000001</v>
      </c>
      <c r="AH26" s="20">
        <f t="shared" si="7"/>
        <v>3.2010121577461872E-2</v>
      </c>
      <c r="AI26" s="20">
        <f t="shared" si="8"/>
        <v>8.1025805025216249E-3</v>
      </c>
      <c r="AJ26" s="20">
        <f t="shared" si="9"/>
        <v>5.2525947205681028E-3</v>
      </c>
      <c r="AK26" s="20">
        <f t="shared" si="10"/>
        <v>2.3907029677534129E-2</v>
      </c>
      <c r="AL26" s="17">
        <f t="shared" si="11"/>
        <v>2028032</v>
      </c>
      <c r="AM26" s="20">
        <v>16</v>
      </c>
      <c r="AN26" s="21">
        <v>24479680</v>
      </c>
      <c r="AO26" s="21">
        <v>764990</v>
      </c>
      <c r="AP26" s="21">
        <v>16880.65625</v>
      </c>
      <c r="AQ26" s="22">
        <v>8011960</v>
      </c>
      <c r="AR26" s="22">
        <v>1314696</v>
      </c>
      <c r="AS26" s="22">
        <v>713336</v>
      </c>
      <c r="AT26" s="22">
        <v>5983800</v>
      </c>
      <c r="AU26" s="23">
        <v>67.931449999999998</v>
      </c>
      <c r="AV26" s="23">
        <v>69.985552999999996</v>
      </c>
      <c r="AW26" s="23">
        <v>29.711252999999999</v>
      </c>
      <c r="AX26" s="23">
        <v>34.335693999999997</v>
      </c>
      <c r="AY26" s="23">
        <v>33.895555999999999</v>
      </c>
      <c r="AZ26" s="24">
        <v>1483.97</v>
      </c>
      <c r="BA26" s="24">
        <v>1104.68</v>
      </c>
      <c r="BB26" s="24">
        <v>67.566000000000003</v>
      </c>
      <c r="BC26" s="24">
        <v>17.106000000000002</v>
      </c>
      <c r="BE26" s="49">
        <f t="shared" si="12"/>
        <v>1.0124851224947879</v>
      </c>
      <c r="BF26" s="25">
        <f t="shared" si="13"/>
        <v>-1.0103568676806812E-3</v>
      </c>
      <c r="BG26" s="25">
        <f t="shared" si="14"/>
        <v>2.5441051066031339E-3</v>
      </c>
      <c r="BH26" s="25"/>
      <c r="BJ26" s="49"/>
      <c r="BK26" s="49"/>
      <c r="BL26" s="49"/>
      <c r="BM26" s="49"/>
      <c r="BN26" s="49"/>
      <c r="BP26" s="49"/>
      <c r="BQ26" s="49"/>
      <c r="BR26" s="49"/>
      <c r="BS26" s="49"/>
      <c r="BT26" s="49"/>
      <c r="BV26" s="58">
        <f t="shared" si="16"/>
        <v>-84621</v>
      </c>
      <c r="BW26" s="58">
        <f t="shared" si="16"/>
        <v>-2644.40625</v>
      </c>
      <c r="BX26" s="58">
        <f t="shared" si="16"/>
        <v>-833.9375</v>
      </c>
      <c r="BY26" s="58">
        <f t="shared" si="16"/>
        <v>18456</v>
      </c>
      <c r="BZ26" s="58">
        <f t="shared" si="16"/>
        <v>0</v>
      </c>
      <c r="CA26" s="58">
        <f t="shared" si="16"/>
        <v>25008</v>
      </c>
      <c r="CB26" s="58">
        <f t="shared" si="16"/>
        <v>-6552</v>
      </c>
      <c r="CC26" s="58">
        <f t="shared" si="16"/>
        <v>-1.0106000000007498E-2</v>
      </c>
      <c r="CD26" s="58">
        <f t="shared" si="16"/>
        <v>4.3655999999998585E-2</v>
      </c>
      <c r="CE26" s="58">
        <f t="shared" si="16"/>
        <v>-2.400000000001512E-3</v>
      </c>
      <c r="CF26" s="58">
        <f t="shared" si="16"/>
        <v>-4.2280000000047835E-3</v>
      </c>
      <c r="CG26" s="58">
        <f t="shared" si="16"/>
        <v>3.5620000000022856E-3</v>
      </c>
      <c r="CJ26" t="s">
        <v>241</v>
      </c>
    </row>
    <row r="27" spans="1:88" outlineLevel="1" x14ac:dyDescent="0.2">
      <c r="A27" s="52"/>
      <c r="B27" s="52" t="s">
        <v>73</v>
      </c>
      <c r="C27" s="9" t="s">
        <v>235</v>
      </c>
      <c r="D27" s="52">
        <v>250294582</v>
      </c>
      <c r="E27" s="9">
        <v>10</v>
      </c>
      <c r="F27" s="9">
        <v>32</v>
      </c>
      <c r="G27" s="9">
        <v>30</v>
      </c>
      <c r="I27" s="10">
        <f t="shared" si="0"/>
        <v>13.19337</v>
      </c>
      <c r="J27" s="11">
        <f t="shared" si="1"/>
        <v>5.6225459966208938E-2</v>
      </c>
      <c r="K27" s="11">
        <f t="shared" si="2"/>
        <v>1.0299128248808838E-2</v>
      </c>
      <c r="L27" s="11">
        <f t="shared" si="3"/>
        <v>7.5490247727375897E-3</v>
      </c>
      <c r="M27" s="11">
        <f t="shared" si="4"/>
        <v>4.5925820319993982E-2</v>
      </c>
      <c r="N27" s="52">
        <f t="shared" si="5"/>
        <v>2577816</v>
      </c>
      <c r="O27" s="11">
        <v>16</v>
      </c>
      <c r="P27" s="12">
        <v>24852477</v>
      </c>
      <c r="Q27" s="12">
        <v>776639.90625</v>
      </c>
      <c r="R27" s="12">
        <v>18688.75</v>
      </c>
      <c r="S27" s="13">
        <v>14072928</v>
      </c>
      <c r="T27" s="13">
        <v>1889480</v>
      </c>
      <c r="U27" s="13">
        <v>688336</v>
      </c>
      <c r="V27" s="13">
        <v>11494984</v>
      </c>
      <c r="W27" s="14">
        <v>69.263744000000003</v>
      </c>
      <c r="X27" s="14">
        <v>71.649234000000007</v>
      </c>
      <c r="Y27" s="14">
        <v>32.212888</v>
      </c>
      <c r="Z27" s="14">
        <v>35.580181000000003</v>
      </c>
      <c r="AA27" s="14">
        <v>35.204984000000003</v>
      </c>
      <c r="AB27" s="15">
        <v>1869.02</v>
      </c>
      <c r="AC27" s="15">
        <v>1603.42</v>
      </c>
      <c r="AD27" s="15">
        <v>71.16</v>
      </c>
      <c r="AE27" s="15">
        <v>22.917000000000002</v>
      </c>
      <c r="AG27" s="10">
        <f t="shared" si="6"/>
        <v>13.183882499999999</v>
      </c>
      <c r="AH27" s="11">
        <f t="shared" si="7"/>
        <v>5.618502760878779E-2</v>
      </c>
      <c r="AI27" s="11">
        <f t="shared" si="8"/>
        <v>1.039897859235323E-2</v>
      </c>
      <c r="AJ27" s="11">
        <f t="shared" si="9"/>
        <v>7.5490247727375897E-3</v>
      </c>
      <c r="AK27" s="11">
        <f t="shared" si="10"/>
        <v>4.5785537619028448E-2</v>
      </c>
      <c r="AL27" s="52">
        <f t="shared" si="11"/>
        <v>2602808</v>
      </c>
      <c r="AM27" s="11">
        <v>16</v>
      </c>
      <c r="AN27" s="12">
        <v>24769220</v>
      </c>
      <c r="AO27" s="12">
        <v>774038.125</v>
      </c>
      <c r="AP27" s="12">
        <v>17810.53125</v>
      </c>
      <c r="AQ27" s="13">
        <v>14062808</v>
      </c>
      <c r="AR27" s="13">
        <v>1889480</v>
      </c>
      <c r="AS27" s="13">
        <v>713328</v>
      </c>
      <c r="AT27" s="13">
        <v>11459872</v>
      </c>
      <c r="AU27" s="14">
        <v>69.248806000000002</v>
      </c>
      <c r="AV27" s="14">
        <v>71.701352999999997</v>
      </c>
      <c r="AW27" s="14">
        <v>32.206184</v>
      </c>
      <c r="AX27" s="14">
        <v>35.578716</v>
      </c>
      <c r="AY27" s="14">
        <v>35.199778000000002</v>
      </c>
      <c r="AZ27" s="15">
        <v>1526.55</v>
      </c>
      <c r="BA27" s="15">
        <v>1184.3</v>
      </c>
      <c r="BB27" s="15">
        <v>62.360999999999997</v>
      </c>
      <c r="BC27" s="15">
        <v>17.032</v>
      </c>
      <c r="BE27" s="50">
        <f t="shared" si="12"/>
        <v>1.00969502865992</v>
      </c>
      <c r="BF27" s="16">
        <f t="shared" si="13"/>
        <v>-1.0537084766638893E-3</v>
      </c>
      <c r="BG27" s="16">
        <f t="shared" si="14"/>
        <v>1.9089883280211939E-3</v>
      </c>
      <c r="BH27" s="16"/>
      <c r="BJ27" s="50"/>
      <c r="BK27" s="50"/>
      <c r="BL27" s="50"/>
      <c r="BM27" s="50"/>
      <c r="BN27" s="50"/>
      <c r="BP27" s="50"/>
      <c r="BQ27" s="50"/>
      <c r="BR27" s="50"/>
      <c r="BS27" s="50"/>
      <c r="BT27" s="50"/>
      <c r="BV27" s="58">
        <f t="shared" si="16"/>
        <v>-83257</v>
      </c>
      <c r="BW27" s="58">
        <f t="shared" si="16"/>
        <v>-2601.78125</v>
      </c>
      <c r="BX27" s="58">
        <f t="shared" si="16"/>
        <v>-878.21875</v>
      </c>
      <c r="BY27" s="58">
        <f t="shared" si="16"/>
        <v>-10120</v>
      </c>
      <c r="BZ27" s="58">
        <f t="shared" si="16"/>
        <v>0</v>
      </c>
      <c r="CA27" s="58">
        <f t="shared" si="16"/>
        <v>24992</v>
      </c>
      <c r="CB27" s="58">
        <f t="shared" si="16"/>
        <v>-35112</v>
      </c>
      <c r="CC27" s="58">
        <f t="shared" si="16"/>
        <v>-1.4938000000000784E-2</v>
      </c>
      <c r="CD27" s="58">
        <f t="shared" si="16"/>
        <v>5.2118999999990478E-2</v>
      </c>
      <c r="CE27" s="58">
        <f t="shared" si="16"/>
        <v>-6.7039999999991551E-3</v>
      </c>
      <c r="CF27" s="58">
        <f t="shared" si="16"/>
        <v>-1.4650000000031582E-3</v>
      </c>
      <c r="CG27" s="58">
        <f t="shared" si="16"/>
        <v>-5.2060000000011541E-3</v>
      </c>
      <c r="CJ27" t="s">
        <v>241</v>
      </c>
    </row>
    <row r="28" spans="1:88" outlineLevel="1" x14ac:dyDescent="0.2">
      <c r="A28" s="17"/>
      <c r="B28" s="17" t="s">
        <v>73</v>
      </c>
      <c r="C28" s="18" t="s">
        <v>236</v>
      </c>
      <c r="D28" s="17">
        <v>250294582</v>
      </c>
      <c r="E28" s="18">
        <v>10</v>
      </c>
      <c r="F28" s="18">
        <v>32</v>
      </c>
      <c r="G28" s="18">
        <v>30</v>
      </c>
      <c r="I28" s="19">
        <f t="shared" si="0"/>
        <v>24.462119999999999</v>
      </c>
      <c r="J28" s="20">
        <f t="shared" si="1"/>
        <v>0.10424887263440645</v>
      </c>
      <c r="K28" s="20">
        <f t="shared" si="2"/>
        <v>1.4156247297434508E-2</v>
      </c>
      <c r="L28" s="20">
        <f t="shared" si="3"/>
        <v>1.1406143821363261E-2</v>
      </c>
      <c r="M28" s="20">
        <f t="shared" si="4"/>
        <v>9.0092113939565815E-2</v>
      </c>
      <c r="N28" s="17">
        <f t="shared" si="5"/>
        <v>3543232</v>
      </c>
      <c r="O28" s="20">
        <v>16</v>
      </c>
      <c r="P28" s="21">
        <v>25521142</v>
      </c>
      <c r="Q28" s="21">
        <v>797535.6875</v>
      </c>
      <c r="R28" s="21">
        <v>20922.53125</v>
      </c>
      <c r="S28" s="22">
        <v>26092928</v>
      </c>
      <c r="T28" s="22">
        <v>2854896</v>
      </c>
      <c r="U28" s="22">
        <v>688336</v>
      </c>
      <c r="V28" s="22">
        <v>22549568</v>
      </c>
      <c r="W28" s="23">
        <v>70.432472000000004</v>
      </c>
      <c r="X28" s="23">
        <v>72.970200000000006</v>
      </c>
      <c r="Y28" s="23">
        <v>34.910972000000001</v>
      </c>
      <c r="Z28" s="23">
        <v>37.373078</v>
      </c>
      <c r="AA28" s="23">
        <v>36.936613000000001</v>
      </c>
      <c r="AB28" s="24">
        <v>1768.75</v>
      </c>
      <c r="AC28" s="24">
        <v>1416.99</v>
      </c>
      <c r="AD28" s="24">
        <v>72.89</v>
      </c>
      <c r="AE28" s="24">
        <v>21.074000000000002</v>
      </c>
      <c r="AG28" s="19">
        <f t="shared" si="6"/>
        <v>24.450892499999998</v>
      </c>
      <c r="AH28" s="20">
        <f t="shared" si="7"/>
        <v>0.1042010250145966</v>
      </c>
      <c r="AI28" s="20">
        <f t="shared" si="8"/>
        <v>1.4256129603316783E-2</v>
      </c>
      <c r="AJ28" s="20">
        <f t="shared" si="9"/>
        <v>1.1406143821363261E-2</v>
      </c>
      <c r="AK28" s="20">
        <f t="shared" si="10"/>
        <v>8.9944384013873696E-2</v>
      </c>
      <c r="AL28" s="17">
        <f t="shared" si="11"/>
        <v>3568232</v>
      </c>
      <c r="AM28" s="20">
        <v>16</v>
      </c>
      <c r="AN28" s="21">
        <v>25435135</v>
      </c>
      <c r="AO28" s="21">
        <v>794847.96875</v>
      </c>
      <c r="AP28" s="21">
        <v>19962.71875</v>
      </c>
      <c r="AQ28" s="22">
        <v>26080952</v>
      </c>
      <c r="AR28" s="22">
        <v>2854896</v>
      </c>
      <c r="AS28" s="22">
        <v>713336</v>
      </c>
      <c r="AT28" s="22">
        <v>22512592</v>
      </c>
      <c r="AU28" s="23">
        <v>70.452265999999995</v>
      </c>
      <c r="AV28" s="23">
        <v>73.039036999999993</v>
      </c>
      <c r="AW28" s="23">
        <v>34.901924999999999</v>
      </c>
      <c r="AX28" s="23">
        <v>37.368344</v>
      </c>
      <c r="AY28" s="23">
        <v>36.933444000000001</v>
      </c>
      <c r="AZ28" s="24">
        <v>1472.17</v>
      </c>
      <c r="BA28" s="24">
        <v>1296.3399999999999</v>
      </c>
      <c r="BB28" s="24">
        <v>63.48</v>
      </c>
      <c r="BC28" s="24">
        <v>17.600999999999999</v>
      </c>
      <c r="BE28" s="49">
        <f t="shared" si="12"/>
        <v>1.0070557050737858</v>
      </c>
      <c r="BF28" s="25">
        <f t="shared" si="13"/>
        <v>-1.1188340268772773E-3</v>
      </c>
      <c r="BG28" s="25">
        <f t="shared" si="14"/>
        <v>1.0209080821137473E-3</v>
      </c>
      <c r="BH28" s="25"/>
      <c r="BJ28" s="49"/>
      <c r="BK28" s="49"/>
      <c r="BL28" s="49"/>
      <c r="BM28" s="49"/>
      <c r="BN28" s="49"/>
      <c r="BP28" s="49"/>
      <c r="BQ28" s="49"/>
      <c r="BR28" s="49"/>
      <c r="BS28" s="49"/>
      <c r="BT28" s="49"/>
      <c r="BV28" s="58">
        <f t="shared" si="16"/>
        <v>-86007</v>
      </c>
      <c r="BW28" s="58">
        <f t="shared" si="16"/>
        <v>-2687.71875</v>
      </c>
      <c r="BX28" s="58">
        <f t="shared" si="16"/>
        <v>-959.8125</v>
      </c>
      <c r="BY28" s="58">
        <f t="shared" si="16"/>
        <v>-11976</v>
      </c>
      <c r="BZ28" s="58">
        <f t="shared" si="16"/>
        <v>0</v>
      </c>
      <c r="CA28" s="58">
        <f t="shared" si="16"/>
        <v>25000</v>
      </c>
      <c r="CB28" s="58">
        <f t="shared" si="16"/>
        <v>-36976</v>
      </c>
      <c r="CC28" s="58">
        <f t="shared" si="16"/>
        <v>1.9793999999990319E-2</v>
      </c>
      <c r="CD28" s="58">
        <f t="shared" si="16"/>
        <v>6.8836999999987825E-2</v>
      </c>
      <c r="CE28" s="58">
        <f t="shared" si="16"/>
        <v>-9.0470000000024697E-3</v>
      </c>
      <c r="CF28" s="58">
        <f t="shared" si="16"/>
        <v>-4.7339999999991278E-3</v>
      </c>
      <c r="CG28" s="58">
        <f t="shared" si="16"/>
        <v>-3.1689999999997553E-3</v>
      </c>
      <c r="CJ28" t="s">
        <v>241</v>
      </c>
    </row>
    <row r="29" spans="1:88" ht="16" outlineLevel="1" thickBot="1" x14ac:dyDescent="0.25">
      <c r="A29" s="26"/>
      <c r="B29" s="26" t="s">
        <v>73</v>
      </c>
      <c r="C29" s="27" t="s">
        <v>237</v>
      </c>
      <c r="D29" s="26">
        <v>250294582</v>
      </c>
      <c r="E29" s="27">
        <v>10</v>
      </c>
      <c r="F29" s="27">
        <v>32</v>
      </c>
      <c r="G29" s="27">
        <v>30</v>
      </c>
      <c r="I29" s="28">
        <f t="shared" si="0"/>
        <v>44.176470000000002</v>
      </c>
      <c r="J29" s="29">
        <f t="shared" si="1"/>
        <v>0.18826443474513563</v>
      </c>
      <c r="K29" s="29">
        <f t="shared" si="2"/>
        <v>2.2894366926408338E-2</v>
      </c>
      <c r="L29" s="29">
        <f t="shared" si="3"/>
        <v>1.7641772205840237E-2</v>
      </c>
      <c r="M29" s="29">
        <f t="shared" si="4"/>
        <v>0.16536955642132117</v>
      </c>
      <c r="N29" s="26">
        <f t="shared" si="5"/>
        <v>5730336</v>
      </c>
      <c r="O29" s="29">
        <v>16</v>
      </c>
      <c r="P29" s="30">
        <v>24571358</v>
      </c>
      <c r="Q29" s="30">
        <v>767854.9375</v>
      </c>
      <c r="R29" s="30">
        <v>9744.125</v>
      </c>
      <c r="S29" s="31">
        <v>47121568</v>
      </c>
      <c r="T29" s="31">
        <v>4415640</v>
      </c>
      <c r="U29" s="31">
        <v>1314696</v>
      </c>
      <c r="V29" s="31">
        <v>41391104</v>
      </c>
      <c r="W29" s="32">
        <v>71.152737999999999</v>
      </c>
      <c r="X29" s="32">
        <v>74.905512999999999</v>
      </c>
      <c r="Y29" s="32">
        <v>37.369269000000003</v>
      </c>
      <c r="Z29" s="32">
        <v>39.408925000000004</v>
      </c>
      <c r="AA29" s="32">
        <v>38.766097000000002</v>
      </c>
      <c r="AB29" s="33">
        <v>1494.34</v>
      </c>
      <c r="AC29" s="33">
        <v>1570.28</v>
      </c>
      <c r="AD29" s="33">
        <v>65.195999999999998</v>
      </c>
      <c r="AE29" s="33">
        <v>20.050999999999998</v>
      </c>
      <c r="AG29" s="28">
        <f t="shared" si="6"/>
        <v>44.169217500000002</v>
      </c>
      <c r="AH29" s="29">
        <f t="shared" si="7"/>
        <v>0.18823352716440342</v>
      </c>
      <c r="AI29" s="29">
        <f t="shared" si="8"/>
        <v>2.2994249232290615E-2</v>
      </c>
      <c r="AJ29" s="29">
        <f t="shared" si="9"/>
        <v>1.7641772205840237E-2</v>
      </c>
      <c r="AK29" s="29">
        <f t="shared" si="10"/>
        <v>0.1652387665347067</v>
      </c>
      <c r="AL29" s="26">
        <f t="shared" si="11"/>
        <v>5755336</v>
      </c>
      <c r="AM29" s="29">
        <v>16</v>
      </c>
      <c r="AN29" s="30">
        <v>24556445</v>
      </c>
      <c r="AO29" s="30">
        <v>767388.90625</v>
      </c>
      <c r="AP29" s="30">
        <v>9569.25</v>
      </c>
      <c r="AQ29" s="31">
        <v>47113832</v>
      </c>
      <c r="AR29" s="31">
        <v>4415640</v>
      </c>
      <c r="AS29" s="31">
        <v>1339696</v>
      </c>
      <c r="AT29" s="31">
        <v>41358368</v>
      </c>
      <c r="AU29" s="32">
        <v>71.146112000000002</v>
      </c>
      <c r="AV29" s="32">
        <v>74.909458999999998</v>
      </c>
      <c r="AW29" s="32">
        <v>37.366669000000002</v>
      </c>
      <c r="AX29" s="32">
        <v>39.407558999999999</v>
      </c>
      <c r="AY29" s="32">
        <v>38.762259</v>
      </c>
      <c r="AZ29" s="33">
        <v>1778.36</v>
      </c>
      <c r="BA29" s="33">
        <v>2042.05</v>
      </c>
      <c r="BB29" s="33">
        <v>68.787999999999997</v>
      </c>
      <c r="BC29" s="33">
        <v>25.3</v>
      </c>
      <c r="BE29" s="34">
        <f t="shared" si="12"/>
        <v>1.0043627459192621</v>
      </c>
      <c r="BF29" s="35">
        <f t="shared" si="13"/>
        <v>-2.2017654182645251E-4</v>
      </c>
      <c r="BG29" s="35">
        <f t="shared" si="14"/>
        <v>5.5059744677050937E-4</v>
      </c>
      <c r="BH29" s="35"/>
      <c r="BJ29" s="34"/>
      <c r="BK29" s="34"/>
      <c r="BL29" s="34"/>
      <c r="BM29" s="34"/>
      <c r="BN29" s="34"/>
      <c r="BP29" s="34"/>
      <c r="BQ29" s="34"/>
      <c r="BR29" s="34"/>
      <c r="BS29" s="34"/>
      <c r="BT29" s="34"/>
      <c r="BV29" s="58">
        <f t="shared" si="16"/>
        <v>-14913</v>
      </c>
      <c r="BW29" s="58">
        <f t="shared" si="16"/>
        <v>-466.03125</v>
      </c>
      <c r="BX29" s="58">
        <f t="shared" si="16"/>
        <v>-174.875</v>
      </c>
      <c r="BY29" s="58">
        <f t="shared" si="16"/>
        <v>-7736</v>
      </c>
      <c r="BZ29" s="58">
        <f t="shared" si="16"/>
        <v>0</v>
      </c>
      <c r="CA29" s="58">
        <f t="shared" si="16"/>
        <v>25000</v>
      </c>
      <c r="CB29" s="58">
        <f t="shared" si="16"/>
        <v>-32736</v>
      </c>
      <c r="CC29" s="58">
        <f t="shared" si="16"/>
        <v>-6.6259999999971342E-3</v>
      </c>
      <c r="CD29" s="58">
        <f t="shared" si="16"/>
        <v>3.9459999999991169E-3</v>
      </c>
      <c r="CE29" s="58">
        <f t="shared" si="16"/>
        <v>-2.6000000000010459E-3</v>
      </c>
      <c r="CF29" s="58">
        <f t="shared" si="16"/>
        <v>-1.3660000000044192E-3</v>
      </c>
      <c r="CG29" s="58">
        <f t="shared" si="16"/>
        <v>-3.8380000000017844E-3</v>
      </c>
      <c r="CJ29" t="s">
        <v>241</v>
      </c>
    </row>
    <row r="30" spans="1:88" x14ac:dyDescent="0.2">
      <c r="A30" s="17" t="s">
        <v>242</v>
      </c>
      <c r="B30" s="17" t="s">
        <v>77</v>
      </c>
      <c r="C30" s="18" t="s">
        <v>232</v>
      </c>
      <c r="D30" s="17">
        <v>375422539</v>
      </c>
      <c r="E30" s="18">
        <v>11</v>
      </c>
      <c r="F30" s="18">
        <v>32</v>
      </c>
      <c r="G30" s="18">
        <v>30</v>
      </c>
      <c r="I30" s="19">
        <f t="shared" si="0"/>
        <v>5.7084900000000003</v>
      </c>
      <c r="J30" s="20">
        <f t="shared" si="1"/>
        <v>1.621920733959982E-2</v>
      </c>
      <c r="K30" s="20">
        <f t="shared" si="2"/>
        <v>9.9075777653296407E-3</v>
      </c>
      <c r="L30" s="20">
        <f t="shared" si="3"/>
        <v>6.1752286002199775E-3</v>
      </c>
      <c r="M30" s="20">
        <f t="shared" si="4"/>
        <v>6.3112886251083609E-3</v>
      </c>
      <c r="N30" s="17">
        <f t="shared" si="5"/>
        <v>3719528</v>
      </c>
      <c r="O30" s="20">
        <v>16</v>
      </c>
      <c r="P30" s="21">
        <v>84258322</v>
      </c>
      <c r="Q30" s="21">
        <v>2633072.5625</v>
      </c>
      <c r="R30" s="21">
        <v>32425.28125</v>
      </c>
      <c r="S30" s="22">
        <v>6089056</v>
      </c>
      <c r="T30" s="22">
        <v>2318320</v>
      </c>
      <c r="U30" s="22">
        <v>1401208</v>
      </c>
      <c r="V30" s="22">
        <v>2369400</v>
      </c>
      <c r="W30" s="23">
        <v>73.460730999999996</v>
      </c>
      <c r="X30" s="23">
        <v>75.713605999999999</v>
      </c>
      <c r="Y30" s="23">
        <v>34.745108999999999</v>
      </c>
      <c r="Z30" s="23">
        <v>42.167358999999998</v>
      </c>
      <c r="AA30" s="23">
        <v>43.793906</v>
      </c>
      <c r="AB30" s="24">
        <v>3949.42</v>
      </c>
      <c r="AC30" s="24">
        <v>3209.4</v>
      </c>
      <c r="AD30" s="24">
        <v>223.846</v>
      </c>
      <c r="AE30" s="24">
        <v>47.152000000000001</v>
      </c>
      <c r="AG30" s="19">
        <f t="shared" si="6"/>
        <v>5.7319725000000004</v>
      </c>
      <c r="AH30" s="20">
        <f t="shared" si="7"/>
        <v>1.6285926828703272E-2</v>
      </c>
      <c r="AI30" s="20">
        <f t="shared" si="8"/>
        <v>9.9866140429038016E-3</v>
      </c>
      <c r="AJ30" s="20">
        <f t="shared" si="9"/>
        <v>6.1752286002199775E-3</v>
      </c>
      <c r="AK30" s="20">
        <f t="shared" si="10"/>
        <v>6.2989718366376502E-3</v>
      </c>
      <c r="AL30" s="17">
        <f t="shared" si="11"/>
        <v>3749200</v>
      </c>
      <c r="AM30" s="20">
        <v>16</v>
      </c>
      <c r="AN30" s="21">
        <v>84149929</v>
      </c>
      <c r="AO30" s="21">
        <v>2629685.28125</v>
      </c>
      <c r="AP30" s="21">
        <v>31382.6875</v>
      </c>
      <c r="AQ30" s="22">
        <v>6114104</v>
      </c>
      <c r="AR30" s="22">
        <v>2318320</v>
      </c>
      <c r="AS30" s="22">
        <v>1430880</v>
      </c>
      <c r="AT30" s="22">
        <v>2364776</v>
      </c>
      <c r="AU30" s="23">
        <v>73.456450000000004</v>
      </c>
      <c r="AV30" s="23">
        <v>75.730428000000003</v>
      </c>
      <c r="AW30" s="23">
        <v>34.744300000000003</v>
      </c>
      <c r="AX30" s="23">
        <v>42.142816000000003</v>
      </c>
      <c r="AY30" s="23">
        <v>43.800230999999997</v>
      </c>
      <c r="AZ30" s="24">
        <v>3790.97</v>
      </c>
      <c r="BA30" s="24">
        <v>3291.02</v>
      </c>
      <c r="BB30" s="24">
        <v>231.41</v>
      </c>
      <c r="BC30" s="24">
        <v>46.588000000000001</v>
      </c>
      <c r="BE30" s="49">
        <f t="shared" si="12"/>
        <v>1.0079773562667091</v>
      </c>
      <c r="BF30" s="25">
        <f t="shared" si="13"/>
        <v>-3.8060854066604248E-4</v>
      </c>
      <c r="BG30" s="25">
        <f t="shared" si="14"/>
        <v>2.350518315218264E-3</v>
      </c>
      <c r="BH30" s="25">
        <f t="array" ref="BH30">AVERAGE(AL30:AL34/AQ30:AQ34) - AVERAGE(N30:N34/S30:S34)</f>
        <v>1.6454038749219579E-3</v>
      </c>
      <c r="BJ30" s="49">
        <f>IF( OR(ISBLANK(N30:N34),ISBLANK(AL30:AL34), ISBLANK(W30:W34),ISBLANK(AU30:AU34)), "·", bdRateExtend( N30:N34,W30:W34, AL30:AL34,AU30:AU34))</f>
        <v>4.9857758845688327E-3</v>
      </c>
      <c r="BK30" s="49">
        <f>IF( OR(ISBLANK(N30:N34),ISBLANK(AL30:AL34), ISBLANK(X30:X34),ISBLANK(AV30:AV34)), "·", bdRateExtend( N30:N34,X30:X34, AL30:AL34,AV30:AV34))</f>
        <v>1.3237447745220177E-3</v>
      </c>
      <c r="BL30" s="49">
        <f>IF( OR(ISBLANK(V30:V34),ISBLANK(AT30:AT34), ISBLANK(Y30:Y34),ISBLANK(AW30:AW34)), "·", bdRateExtend( V30:V34,Y30:Y34, AT30:AT34,AW30:AW34))</f>
        <v>-4.6120781650105247E-4</v>
      </c>
      <c r="BM30" s="49">
        <f>IF( OR(ISBLANK(V30:V34),ISBLANK(AT30:AT34), ISBLANK(Z30:Z34),ISBLANK(AX30:AX34)), "·", bdRateExtend( V30:V34,Z30:Z34, AT30:AT34,AX30:AX34))</f>
        <v>-5.1707892845934689E-3</v>
      </c>
      <c r="BN30" s="49">
        <f>IF( OR(ISBLANK(V30:V34),ISBLANK(AT30:AT34), ISBLANK(AA30:AA34),ISBLANK(AY30:AY34)), "·", bdRateExtend( V30:V34,AA30:AA34, AT30:AT34,AY30:AY34))</f>
        <v>-1.868145485772188E-3</v>
      </c>
      <c r="BP30" s="49">
        <f>IF( OR(ISBLANK(S30:S34),ISBLANK(AQ30:AQ34), ISBLANK(W30:W34),ISBLANK(AU30:AU34)), "·", bdRateExtend( S30:S34,W30:W34, AQ30:AQ34,AU30:AU34))</f>
        <v>9.6578701539251632E-4</v>
      </c>
      <c r="BQ30" s="49">
        <f>IF( OR(ISBLANK(S30:S34),ISBLANK(AQ30:AQ34), ISBLANK(X30:X34),ISBLANK(AV30:AV34)), "·", bdRateExtend( S30:S34,X30:X34, AQ30:AQ34,AV30:AV34))</f>
        <v>-4.9350208818930152E-3</v>
      </c>
      <c r="BR30" s="49">
        <f>IF( OR(ISBLANK(S30:S34),ISBLANK(AQ30:AQ34), ISBLANK(Y30:Y34),ISBLANK(AW30:AW34)), "·", bdRateExtend( S30:S34,Y30:Y34, AQ30:AQ34,AW30:AW34))</f>
        <v>2.5634943229491114E-3</v>
      </c>
      <c r="BS30" s="49">
        <f>IF( OR(ISBLANK(S30:S34),ISBLANK(AQ30:AQ34), ISBLANK(Z30:Z34),ISBLANK(AX30:AX34)), "·", bdRateExtend( S30:S34,Z30:Z34, AQ30:AQ34,AX30:AX34))</f>
        <v>-1.0487934039271618E-3</v>
      </c>
      <c r="BT30" s="49">
        <f>IF( OR(ISBLANK(S30:S34),ISBLANK(AQ30:AQ34), ISBLANK(AA30:AA34),ISBLANK(AY30:AY34)), "·", bdRateExtend( S30:S34,AA30:AA34, AQ30:AQ34,AY30:AY34))</f>
        <v>8.6234968753440278E-4</v>
      </c>
      <c r="BV30" s="58">
        <f t="shared" si="16"/>
        <v>-108393</v>
      </c>
      <c r="BW30" s="58">
        <f t="shared" si="16"/>
        <v>-3387.28125</v>
      </c>
      <c r="BX30" s="58">
        <f t="shared" si="16"/>
        <v>-1042.59375</v>
      </c>
      <c r="BY30" s="58">
        <f t="shared" si="16"/>
        <v>25048</v>
      </c>
      <c r="BZ30" s="58">
        <f t="shared" si="16"/>
        <v>0</v>
      </c>
      <c r="CA30" s="58">
        <f t="shared" si="16"/>
        <v>29672</v>
      </c>
      <c r="CB30" s="58">
        <f t="shared" si="16"/>
        <v>-4624</v>
      </c>
      <c r="CC30" s="58">
        <f t="shared" si="16"/>
        <v>-4.2809999999917636E-3</v>
      </c>
      <c r="CD30" s="58">
        <f t="shared" si="16"/>
        <v>1.6822000000004778E-2</v>
      </c>
      <c r="CE30" s="58">
        <f t="shared" si="16"/>
        <v>-8.08999999996729E-4</v>
      </c>
      <c r="CF30" s="58">
        <f t="shared" si="16"/>
        <v>-2.4542999999994208E-2</v>
      </c>
      <c r="CG30" s="58">
        <f t="shared" si="16"/>
        <v>6.3249999999968054E-3</v>
      </c>
      <c r="CJ30" t="s">
        <v>243</v>
      </c>
    </row>
    <row r="31" spans="1:88" outlineLevel="1" x14ac:dyDescent="0.2">
      <c r="A31" s="52"/>
      <c r="B31" s="52" t="s">
        <v>77</v>
      </c>
      <c r="C31" s="9" t="s">
        <v>234</v>
      </c>
      <c r="D31" s="52">
        <v>375422539</v>
      </c>
      <c r="E31" s="9">
        <v>11</v>
      </c>
      <c r="F31" s="9">
        <v>32</v>
      </c>
      <c r="G31" s="9">
        <v>30</v>
      </c>
      <c r="I31" s="10">
        <f t="shared" si="0"/>
        <v>8.1507825</v>
      </c>
      <c r="J31" s="11">
        <f t="shared" si="1"/>
        <v>2.3158353846197816E-2</v>
      </c>
      <c r="K31" s="11">
        <f t="shared" si="2"/>
        <v>1.2203337637115069E-2</v>
      </c>
      <c r="L31" s="11">
        <f t="shared" si="3"/>
        <v>8.4710097813280195E-3</v>
      </c>
      <c r="M31" s="11">
        <f t="shared" si="4"/>
        <v>1.0954675259920929E-2</v>
      </c>
      <c r="N31" s="52">
        <f t="shared" si="5"/>
        <v>4581408</v>
      </c>
      <c r="O31" s="11">
        <v>16</v>
      </c>
      <c r="P31" s="12">
        <v>89857639</v>
      </c>
      <c r="Q31" s="12">
        <v>2808051.21875</v>
      </c>
      <c r="R31" s="12">
        <v>41097.03125</v>
      </c>
      <c r="S31" s="13">
        <v>8694168</v>
      </c>
      <c r="T31" s="13">
        <v>3180208</v>
      </c>
      <c r="U31" s="13">
        <v>1401200</v>
      </c>
      <c r="V31" s="13">
        <v>4112632</v>
      </c>
      <c r="W31" s="14">
        <v>75.170683999999994</v>
      </c>
      <c r="X31" s="14">
        <v>77.575241000000005</v>
      </c>
      <c r="Y31" s="14">
        <v>36.650725000000001</v>
      </c>
      <c r="Z31" s="14">
        <v>42.678502999999999</v>
      </c>
      <c r="AA31" s="14">
        <v>45.052522000000003</v>
      </c>
      <c r="AB31" s="15">
        <v>4264.6000000000004</v>
      </c>
      <c r="AC31" s="15">
        <v>4377.58</v>
      </c>
      <c r="AD31" s="15">
        <v>273.39299999999997</v>
      </c>
      <c r="AE31" s="15">
        <v>65.209999999999994</v>
      </c>
      <c r="AG31" s="10">
        <f t="shared" si="6"/>
        <v>8.1722249999999992</v>
      </c>
      <c r="AH31" s="11">
        <f t="shared" si="7"/>
        <v>2.3219277199550345E-2</v>
      </c>
      <c r="AI31" s="11">
        <f t="shared" si="8"/>
        <v>1.2282416533334457E-2</v>
      </c>
      <c r="AJ31" s="11">
        <f t="shared" si="9"/>
        <v>8.4710097813280195E-3</v>
      </c>
      <c r="AK31" s="11">
        <f t="shared" si="10"/>
        <v>1.0936519717054069E-2</v>
      </c>
      <c r="AL31" s="52">
        <f t="shared" si="11"/>
        <v>4611096</v>
      </c>
      <c r="AM31" s="11">
        <v>16</v>
      </c>
      <c r="AN31" s="12">
        <v>89739847</v>
      </c>
      <c r="AO31" s="12">
        <v>2804370.21875</v>
      </c>
      <c r="AP31" s="12">
        <v>39760.0625</v>
      </c>
      <c r="AQ31" s="13">
        <v>8717040</v>
      </c>
      <c r="AR31" s="13">
        <v>3180208</v>
      </c>
      <c r="AS31" s="13">
        <v>1430888</v>
      </c>
      <c r="AT31" s="13">
        <v>4105816</v>
      </c>
      <c r="AU31" s="14">
        <v>75.166156000000001</v>
      </c>
      <c r="AV31" s="14">
        <v>77.594722000000004</v>
      </c>
      <c r="AW31" s="14">
        <v>36.646013000000004</v>
      </c>
      <c r="AX31" s="14">
        <v>42.696886999999997</v>
      </c>
      <c r="AY31" s="14">
        <v>45.039811999999998</v>
      </c>
      <c r="AZ31" s="15">
        <v>3910.43</v>
      </c>
      <c r="BA31" s="15">
        <v>3314.09</v>
      </c>
      <c r="BB31" s="15">
        <v>243.89500000000001</v>
      </c>
      <c r="BC31" s="15">
        <v>48.08</v>
      </c>
      <c r="BE31" s="50">
        <f t="shared" si="12"/>
        <v>1.0064801039331142</v>
      </c>
      <c r="BF31" s="16">
        <f t="shared" si="13"/>
        <v>-4.5753436232928192E-4</v>
      </c>
      <c r="BG31" s="16">
        <f t="shared" si="14"/>
        <v>2.0231130125362151E-3</v>
      </c>
      <c r="BH31" s="16"/>
      <c r="BJ31" s="50"/>
      <c r="BK31" s="50"/>
      <c r="BL31" s="50"/>
      <c r="BM31" s="50"/>
      <c r="BN31" s="50"/>
      <c r="BP31" s="50"/>
      <c r="BQ31" s="50"/>
      <c r="BR31" s="50"/>
      <c r="BS31" s="50"/>
      <c r="BT31" s="50"/>
      <c r="BV31" s="58">
        <f t="shared" si="16"/>
        <v>-117792</v>
      </c>
      <c r="BW31" s="58">
        <f t="shared" si="16"/>
        <v>-3681</v>
      </c>
      <c r="BX31" s="58">
        <f t="shared" si="16"/>
        <v>-1336.96875</v>
      </c>
      <c r="BY31" s="58">
        <f t="shared" si="16"/>
        <v>22872</v>
      </c>
      <c r="BZ31" s="58">
        <f t="shared" si="16"/>
        <v>0</v>
      </c>
      <c r="CA31" s="58">
        <f t="shared" si="16"/>
        <v>29688</v>
      </c>
      <c r="CB31" s="58">
        <f t="shared" si="16"/>
        <v>-6816</v>
      </c>
      <c r="CC31" s="58">
        <f t="shared" si="16"/>
        <v>-4.5279999999934262E-3</v>
      </c>
      <c r="CD31" s="58">
        <f t="shared" si="16"/>
        <v>1.9480999999998971E-2</v>
      </c>
      <c r="CE31" s="58">
        <f t="shared" si="16"/>
        <v>-4.711999999997829E-3</v>
      </c>
      <c r="CF31" s="58">
        <f t="shared" si="16"/>
        <v>1.8383999999997513E-2</v>
      </c>
      <c r="CG31" s="58">
        <f t="shared" si="16"/>
        <v>-1.271000000000555E-2</v>
      </c>
      <c r="CJ31" t="s">
        <v>243</v>
      </c>
    </row>
    <row r="32" spans="1:88" outlineLevel="1" x14ac:dyDescent="0.2">
      <c r="A32" s="17"/>
      <c r="B32" s="17" t="s">
        <v>77</v>
      </c>
      <c r="C32" s="18" t="s">
        <v>235</v>
      </c>
      <c r="D32" s="17">
        <v>375422539</v>
      </c>
      <c r="E32" s="18">
        <v>11</v>
      </c>
      <c r="F32" s="18">
        <v>32</v>
      </c>
      <c r="G32" s="18">
        <v>30</v>
      </c>
      <c r="I32" s="19">
        <f t="shared" si="0"/>
        <v>12.639405</v>
      </c>
      <c r="J32" s="20">
        <f t="shared" si="1"/>
        <v>3.5911621172004277E-2</v>
      </c>
      <c r="K32" s="20">
        <f t="shared" si="2"/>
        <v>1.5509798680467611E-2</v>
      </c>
      <c r="L32" s="20">
        <f t="shared" si="3"/>
        <v>1.1777470824680562E-2</v>
      </c>
      <c r="M32" s="20">
        <f t="shared" si="4"/>
        <v>2.0401481542374846E-2</v>
      </c>
      <c r="N32" s="17">
        <f t="shared" si="5"/>
        <v>5822728</v>
      </c>
      <c r="O32" s="20">
        <v>16</v>
      </c>
      <c r="P32" s="21">
        <v>91814344</v>
      </c>
      <c r="Q32" s="21">
        <v>2869198.25</v>
      </c>
      <c r="R32" s="21">
        <v>44687.40625</v>
      </c>
      <c r="S32" s="22">
        <v>13482032</v>
      </c>
      <c r="T32" s="22">
        <v>4421528</v>
      </c>
      <c r="U32" s="22">
        <v>1401200</v>
      </c>
      <c r="V32" s="22">
        <v>7659176</v>
      </c>
      <c r="W32" s="23">
        <v>76.466316000000006</v>
      </c>
      <c r="X32" s="23">
        <v>79.123750000000001</v>
      </c>
      <c r="Y32" s="23">
        <v>38.406483999999999</v>
      </c>
      <c r="Z32" s="23">
        <v>43.205109</v>
      </c>
      <c r="AA32" s="23">
        <v>46.226287999999997</v>
      </c>
      <c r="AB32" s="24">
        <v>4466.13</v>
      </c>
      <c r="AC32" s="24">
        <v>4109.46</v>
      </c>
      <c r="AD32" s="24">
        <v>281.53899999999999</v>
      </c>
      <c r="AE32" s="24">
        <v>58.667000000000002</v>
      </c>
      <c r="AG32" s="19">
        <f t="shared" si="6"/>
        <v>12.648870000000001</v>
      </c>
      <c r="AH32" s="20">
        <f t="shared" si="7"/>
        <v>3.5938513537142745E-2</v>
      </c>
      <c r="AI32" s="20">
        <f t="shared" si="8"/>
        <v>1.5588856267364384E-2</v>
      </c>
      <c r="AJ32" s="20">
        <f t="shared" si="9"/>
        <v>1.1777470824680562E-2</v>
      </c>
      <c r="AK32" s="20">
        <f t="shared" si="10"/>
        <v>2.0349316320616543E-2</v>
      </c>
      <c r="AL32" s="17">
        <f t="shared" si="11"/>
        <v>5852408</v>
      </c>
      <c r="AM32" s="20">
        <v>16</v>
      </c>
      <c r="AN32" s="21">
        <v>91697797</v>
      </c>
      <c r="AO32" s="21">
        <v>2865556.15625</v>
      </c>
      <c r="AP32" s="21">
        <v>43300.78125</v>
      </c>
      <c r="AQ32" s="22">
        <v>13492128</v>
      </c>
      <c r="AR32" s="22">
        <v>4421528</v>
      </c>
      <c r="AS32" s="22">
        <v>1430880</v>
      </c>
      <c r="AT32" s="22">
        <v>7639592</v>
      </c>
      <c r="AU32" s="23">
        <v>76.461409000000003</v>
      </c>
      <c r="AV32" s="23">
        <v>79.145919000000006</v>
      </c>
      <c r="AW32" s="23">
        <v>38.399146999999999</v>
      </c>
      <c r="AX32" s="23">
        <v>43.212913</v>
      </c>
      <c r="AY32" s="23">
        <v>46.199827999999997</v>
      </c>
      <c r="AZ32" s="24">
        <v>3698.14</v>
      </c>
      <c r="BA32" s="24">
        <v>3320.87</v>
      </c>
      <c r="BB32" s="24">
        <v>243.41900000000001</v>
      </c>
      <c r="BC32" s="24">
        <v>47.383000000000003</v>
      </c>
      <c r="BE32" s="49">
        <f t="shared" si="12"/>
        <v>1.0050972671229017</v>
      </c>
      <c r="BF32" s="25">
        <f t="shared" si="13"/>
        <v>-4.64098335489967E-4</v>
      </c>
      <c r="BG32" s="25">
        <f t="shared" si="14"/>
        <v>1.8766245494780676E-3</v>
      </c>
      <c r="BH32" s="25"/>
      <c r="BJ32" s="49"/>
      <c r="BK32" s="49"/>
      <c r="BL32" s="49"/>
      <c r="BM32" s="49"/>
      <c r="BN32" s="49"/>
      <c r="BP32" s="49"/>
      <c r="BQ32" s="49"/>
      <c r="BR32" s="49"/>
      <c r="BS32" s="49"/>
      <c r="BT32" s="49"/>
      <c r="BV32" s="58">
        <f t="shared" si="16"/>
        <v>-116547</v>
      </c>
      <c r="BW32" s="58">
        <f t="shared" si="16"/>
        <v>-3642.09375</v>
      </c>
      <c r="BX32" s="58">
        <f t="shared" si="16"/>
        <v>-1386.625</v>
      </c>
      <c r="BY32" s="58">
        <f t="shared" si="16"/>
        <v>10096</v>
      </c>
      <c r="BZ32" s="58">
        <f t="shared" si="16"/>
        <v>0</v>
      </c>
      <c r="CA32" s="58">
        <f t="shared" si="16"/>
        <v>29680</v>
      </c>
      <c r="CB32" s="58">
        <f t="shared" si="16"/>
        <v>-19584</v>
      </c>
      <c r="CC32" s="58">
        <f t="shared" si="16"/>
        <v>-4.9070000000028813E-3</v>
      </c>
      <c r="CD32" s="58">
        <f t="shared" si="16"/>
        <v>2.2169000000005212E-2</v>
      </c>
      <c r="CE32" s="58">
        <f t="shared" si="16"/>
        <v>-7.3369999999997049E-3</v>
      </c>
      <c r="CF32" s="58">
        <f t="shared" si="16"/>
        <v>7.8040000000001442E-3</v>
      </c>
      <c r="CG32" s="58">
        <f t="shared" si="16"/>
        <v>-2.646000000000015E-2</v>
      </c>
      <c r="CJ32" t="s">
        <v>243</v>
      </c>
    </row>
    <row r="33" spans="1:88" outlineLevel="1" x14ac:dyDescent="0.2">
      <c r="A33" s="52"/>
      <c r="B33" s="52" t="s">
        <v>77</v>
      </c>
      <c r="C33" s="9" t="s">
        <v>236</v>
      </c>
      <c r="D33" s="52">
        <v>375422539</v>
      </c>
      <c r="E33" s="9">
        <v>11</v>
      </c>
      <c r="F33" s="9">
        <v>32</v>
      </c>
      <c r="G33" s="9">
        <v>30</v>
      </c>
      <c r="I33" s="10">
        <f t="shared" si="0"/>
        <v>21.138809999999999</v>
      </c>
      <c r="J33" s="11">
        <f t="shared" si="1"/>
        <v>6.0060496261254044E-2</v>
      </c>
      <c r="K33" s="11">
        <f t="shared" si="2"/>
        <v>2.0979432990303228E-2</v>
      </c>
      <c r="L33" s="11">
        <f t="shared" si="3"/>
        <v>1.7247105134516178E-2</v>
      </c>
      <c r="M33" s="11">
        <f t="shared" si="4"/>
        <v>3.9080722321788997E-2</v>
      </c>
      <c r="N33" s="52">
        <f t="shared" si="5"/>
        <v>7876152</v>
      </c>
      <c r="O33" s="11">
        <v>16</v>
      </c>
      <c r="P33" s="12">
        <v>93918250</v>
      </c>
      <c r="Q33" s="12">
        <v>2934945.3125</v>
      </c>
      <c r="R33" s="12">
        <v>49412.375</v>
      </c>
      <c r="S33" s="13">
        <v>22548064</v>
      </c>
      <c r="T33" s="13">
        <v>6474952</v>
      </c>
      <c r="U33" s="13">
        <v>1401200</v>
      </c>
      <c r="V33" s="13">
        <v>14671784</v>
      </c>
      <c r="W33" s="14">
        <v>77.598421999999999</v>
      </c>
      <c r="X33" s="14">
        <v>80.328506000000004</v>
      </c>
      <c r="Y33" s="14">
        <v>40.000678000000001</v>
      </c>
      <c r="Z33" s="14">
        <v>43.908222000000002</v>
      </c>
      <c r="AA33" s="14">
        <v>47.816415999999997</v>
      </c>
      <c r="AB33" s="15">
        <v>3813.75</v>
      </c>
      <c r="AC33" s="15">
        <v>3764.43</v>
      </c>
      <c r="AD33" s="15">
        <v>262.459</v>
      </c>
      <c r="AE33" s="15">
        <v>50.801000000000002</v>
      </c>
      <c r="AG33" s="10">
        <f t="shared" si="6"/>
        <v>21.133154999999999</v>
      </c>
      <c r="AH33" s="11">
        <f t="shared" si="7"/>
        <v>6.0044429032003327E-2</v>
      </c>
      <c r="AI33" s="11">
        <f t="shared" si="8"/>
        <v>2.1058511886522614E-2</v>
      </c>
      <c r="AJ33" s="11">
        <f t="shared" si="9"/>
        <v>1.7247105134516178E-2</v>
      </c>
      <c r="AK33" s="11">
        <f t="shared" si="10"/>
        <v>3.8985576196318893E-2</v>
      </c>
      <c r="AL33" s="52">
        <f t="shared" si="11"/>
        <v>7905840</v>
      </c>
      <c r="AM33" s="11">
        <v>16</v>
      </c>
      <c r="AN33" s="12">
        <v>93800527</v>
      </c>
      <c r="AO33" s="12">
        <v>2931266.46875</v>
      </c>
      <c r="AP33" s="12">
        <v>47942.875</v>
      </c>
      <c r="AQ33" s="13">
        <v>22542032</v>
      </c>
      <c r="AR33" s="13">
        <v>6474952</v>
      </c>
      <c r="AS33" s="13">
        <v>1430888</v>
      </c>
      <c r="AT33" s="13">
        <v>14636064</v>
      </c>
      <c r="AU33" s="14">
        <v>77.611941000000002</v>
      </c>
      <c r="AV33" s="14">
        <v>80.355536999999998</v>
      </c>
      <c r="AW33" s="14">
        <v>39.997756000000003</v>
      </c>
      <c r="AX33" s="14">
        <v>43.902146999999999</v>
      </c>
      <c r="AY33" s="14">
        <v>47.849209000000002</v>
      </c>
      <c r="AZ33" s="15">
        <v>4208.4799999999996</v>
      </c>
      <c r="BA33" s="15">
        <v>3883.01</v>
      </c>
      <c r="BB33" s="15">
        <v>273.97699999999998</v>
      </c>
      <c r="BC33" s="15">
        <v>55.597000000000001</v>
      </c>
      <c r="BE33" s="50">
        <f t="shared" si="12"/>
        <v>1.0037693533593561</v>
      </c>
      <c r="BF33" s="16">
        <f t="shared" si="13"/>
        <v>-4.8018952157498698E-4</v>
      </c>
      <c r="BG33" s="16">
        <f t="shared" si="14"/>
        <v>1.4104765663963681E-3</v>
      </c>
      <c r="BH33" s="16"/>
      <c r="BJ33" s="50"/>
      <c r="BK33" s="50"/>
      <c r="BL33" s="50"/>
      <c r="BM33" s="50"/>
      <c r="BN33" s="50"/>
      <c r="BP33" s="50"/>
      <c r="BQ33" s="50"/>
      <c r="BR33" s="50"/>
      <c r="BS33" s="50"/>
      <c r="BT33" s="50"/>
      <c r="BV33" s="58">
        <f t="shared" si="16"/>
        <v>-117723</v>
      </c>
      <c r="BW33" s="58">
        <f t="shared" si="16"/>
        <v>-3678.84375</v>
      </c>
      <c r="BX33" s="58">
        <f t="shared" si="16"/>
        <v>-1469.5</v>
      </c>
      <c r="BY33" s="58">
        <f t="shared" si="16"/>
        <v>-6032</v>
      </c>
      <c r="BZ33" s="58">
        <f t="shared" si="16"/>
        <v>0</v>
      </c>
      <c r="CA33" s="58">
        <f t="shared" si="16"/>
        <v>29688</v>
      </c>
      <c r="CB33" s="58">
        <f t="shared" si="16"/>
        <v>-35720</v>
      </c>
      <c r="CC33" s="58">
        <f t="shared" si="16"/>
        <v>1.3519000000002279E-2</v>
      </c>
      <c r="CD33" s="58">
        <f t="shared" si="16"/>
        <v>2.703099999999381E-2</v>
      </c>
      <c r="CE33" s="58">
        <f t="shared" si="16"/>
        <v>-2.9219999999980928E-3</v>
      </c>
      <c r="CF33" s="58">
        <f t="shared" si="16"/>
        <v>-6.0750000000027171E-3</v>
      </c>
      <c r="CG33" s="58">
        <f t="shared" si="16"/>
        <v>3.2793000000005179E-2</v>
      </c>
      <c r="CJ33" t="s">
        <v>243</v>
      </c>
    </row>
    <row r="34" spans="1:88" ht="16" outlineLevel="1" thickBot="1" x14ac:dyDescent="0.25">
      <c r="A34" s="17"/>
      <c r="B34" s="36" t="s">
        <v>77</v>
      </c>
      <c r="C34" s="37" t="s">
        <v>237</v>
      </c>
      <c r="D34" s="36">
        <v>375422539</v>
      </c>
      <c r="E34" s="37">
        <v>11</v>
      </c>
      <c r="F34" s="37">
        <v>32</v>
      </c>
      <c r="G34" s="37">
        <v>30</v>
      </c>
      <c r="I34" s="38">
        <f t="shared" si="0"/>
        <v>39.806085000000003</v>
      </c>
      <c r="J34" s="39">
        <f t="shared" si="1"/>
        <v>0.11309876096703933</v>
      </c>
      <c r="K34" s="39">
        <f t="shared" si="2"/>
        <v>3.3647271241751417E-2</v>
      </c>
      <c r="L34" s="39">
        <f t="shared" si="3"/>
        <v>2.6181230424207429E-2</v>
      </c>
      <c r="M34" s="39">
        <f t="shared" si="4"/>
        <v>7.9451148776126093E-2</v>
      </c>
      <c r="N34" s="36">
        <f t="shared" si="5"/>
        <v>12631944</v>
      </c>
      <c r="O34" s="39">
        <v>16</v>
      </c>
      <c r="P34" s="40">
        <v>92079625</v>
      </c>
      <c r="Q34" s="40">
        <v>2877488.28125</v>
      </c>
      <c r="R34" s="40">
        <v>21318.28125</v>
      </c>
      <c r="S34" s="41">
        <v>42459824</v>
      </c>
      <c r="T34" s="41">
        <v>9829024</v>
      </c>
      <c r="U34" s="41">
        <v>2802920</v>
      </c>
      <c r="V34" s="41">
        <v>29827752</v>
      </c>
      <c r="W34" s="42">
        <v>78.535988000000003</v>
      </c>
      <c r="X34" s="42">
        <v>81.998384000000001</v>
      </c>
      <c r="Y34" s="42">
        <v>41.515903000000002</v>
      </c>
      <c r="Z34" s="42">
        <v>44.700215999999998</v>
      </c>
      <c r="AA34" s="42">
        <v>49.230597000000003</v>
      </c>
      <c r="AB34" s="43">
        <v>3810.73</v>
      </c>
      <c r="AC34" s="43">
        <v>3996.6</v>
      </c>
      <c r="AD34" s="43">
        <v>241.74600000000001</v>
      </c>
      <c r="AE34" s="43">
        <v>54.509</v>
      </c>
      <c r="AG34" s="38">
        <f t="shared" si="6"/>
        <v>39.823785000000001</v>
      </c>
      <c r="AH34" s="39">
        <f t="shared" si="7"/>
        <v>0.11314905096840763</v>
      </c>
      <c r="AI34" s="39">
        <f t="shared" si="8"/>
        <v>3.372630751932558E-2</v>
      </c>
      <c r="AJ34" s="39">
        <f t="shared" si="9"/>
        <v>2.6181230424207429E-2</v>
      </c>
      <c r="AK34" s="39">
        <f t="shared" si="10"/>
        <v>7.9422402499920233E-2</v>
      </c>
      <c r="AL34" s="36">
        <f t="shared" si="11"/>
        <v>12661616</v>
      </c>
      <c r="AM34" s="39">
        <v>16</v>
      </c>
      <c r="AN34" s="40">
        <v>92059356</v>
      </c>
      <c r="AO34" s="40">
        <v>2876854.875</v>
      </c>
      <c r="AP34" s="40">
        <v>21054.28125</v>
      </c>
      <c r="AQ34" s="41">
        <v>42478704</v>
      </c>
      <c r="AR34" s="41">
        <v>9829024</v>
      </c>
      <c r="AS34" s="41">
        <v>2832592</v>
      </c>
      <c r="AT34" s="41">
        <v>29816960</v>
      </c>
      <c r="AU34" s="42">
        <v>78.533799999999999</v>
      </c>
      <c r="AV34" s="42">
        <v>82.000600000000006</v>
      </c>
      <c r="AW34" s="42">
        <v>41.514653000000003</v>
      </c>
      <c r="AX34" s="42">
        <v>44.701602999999999</v>
      </c>
      <c r="AY34" s="42">
        <v>49.221291000000001</v>
      </c>
      <c r="AZ34" s="43">
        <v>3753.01</v>
      </c>
      <c r="BA34" s="43">
        <v>4015.07</v>
      </c>
      <c r="BB34" s="43">
        <v>248.774</v>
      </c>
      <c r="BC34" s="43">
        <v>54.3</v>
      </c>
      <c r="BE34" s="44">
        <f t="shared" si="12"/>
        <v>1.002348965448232</v>
      </c>
      <c r="BF34" s="45">
        <f t="shared" si="13"/>
        <v>-9.0135697128550067E-5</v>
      </c>
      <c r="BG34" s="45">
        <f t="shared" si="14"/>
        <v>5.6628693098076388E-4</v>
      </c>
      <c r="BH34" s="45"/>
      <c r="BJ34" s="44"/>
      <c r="BK34" s="44"/>
      <c r="BL34" s="44"/>
      <c r="BM34" s="44"/>
      <c r="BN34" s="44"/>
      <c r="BP34" s="44"/>
      <c r="BQ34" s="44"/>
      <c r="BR34" s="44"/>
      <c r="BS34" s="44"/>
      <c r="BT34" s="44"/>
      <c r="BV34" s="58">
        <f t="shared" si="16"/>
        <v>-20269</v>
      </c>
      <c r="BW34" s="58">
        <f t="shared" si="16"/>
        <v>-633.40625</v>
      </c>
      <c r="BX34" s="58">
        <f t="shared" si="16"/>
        <v>-264</v>
      </c>
      <c r="BY34" s="58">
        <f t="shared" si="16"/>
        <v>18880</v>
      </c>
      <c r="BZ34" s="58">
        <f t="shared" si="16"/>
        <v>0</v>
      </c>
      <c r="CA34" s="58">
        <f t="shared" si="16"/>
        <v>29672</v>
      </c>
      <c r="CB34" s="58">
        <f t="shared" si="16"/>
        <v>-10792</v>
      </c>
      <c r="CC34" s="58">
        <f t="shared" si="16"/>
        <v>-2.1880000000038535E-3</v>
      </c>
      <c r="CD34" s="58">
        <f t="shared" si="16"/>
        <v>2.2160000000042146E-3</v>
      </c>
      <c r="CE34" s="58">
        <f t="shared" si="16"/>
        <v>-1.2499999999988631E-3</v>
      </c>
      <c r="CF34" s="58">
        <f t="shared" si="16"/>
        <v>1.3870000000011373E-3</v>
      </c>
      <c r="CG34" s="58">
        <f t="shared" si="16"/>
        <v>-9.3060000000022569E-3</v>
      </c>
      <c r="CJ34" t="s">
        <v>243</v>
      </c>
    </row>
    <row r="35" spans="1:88" x14ac:dyDescent="0.2">
      <c r="A35" s="52"/>
      <c r="B35" s="52" t="s">
        <v>82</v>
      </c>
      <c r="C35" s="9" t="s">
        <v>232</v>
      </c>
      <c r="D35" s="52">
        <v>333190689</v>
      </c>
      <c r="E35" s="9">
        <v>11</v>
      </c>
      <c r="F35" s="9">
        <v>32</v>
      </c>
      <c r="G35" s="9">
        <v>30</v>
      </c>
      <c r="I35" s="10">
        <f t="shared" si="0"/>
        <v>6.3476999999999997</v>
      </c>
      <c r="J35" s="11">
        <f t="shared" si="1"/>
        <v>2.0321336170351388E-2</v>
      </c>
      <c r="K35" s="11">
        <f t="shared" si="2"/>
        <v>1.1738311210731342E-2</v>
      </c>
      <c r="L35" s="11">
        <f t="shared" si="3"/>
        <v>7.2102134882886838E-3</v>
      </c>
      <c r="M35" s="11">
        <f t="shared" si="4"/>
        <v>8.5826407952234226E-3</v>
      </c>
      <c r="N35" s="52">
        <f t="shared" si="5"/>
        <v>3911096</v>
      </c>
      <c r="O35" s="11">
        <v>16</v>
      </c>
      <c r="P35" s="12">
        <v>74688855</v>
      </c>
      <c r="Q35" s="12">
        <v>2334026.71875</v>
      </c>
      <c r="R35" s="12">
        <v>31011.90625</v>
      </c>
      <c r="S35" s="13">
        <v>6770880</v>
      </c>
      <c r="T35" s="13">
        <v>2402376</v>
      </c>
      <c r="U35" s="13">
        <v>1508720</v>
      </c>
      <c r="V35" s="13">
        <v>2859656</v>
      </c>
      <c r="W35" s="14">
        <v>73.191281000000004</v>
      </c>
      <c r="X35" s="14">
        <v>75.430569000000006</v>
      </c>
      <c r="Y35" s="14">
        <v>33.996271999999998</v>
      </c>
      <c r="Z35" s="14">
        <v>42.563065999999999</v>
      </c>
      <c r="AA35" s="14">
        <v>44.049106000000002</v>
      </c>
      <c r="AB35" s="15">
        <v>3413.82</v>
      </c>
      <c r="AC35" s="15">
        <v>4721.8900000000003</v>
      </c>
      <c r="AD35" s="15">
        <v>206.51900000000001</v>
      </c>
      <c r="AE35" s="15">
        <v>68.411000000000001</v>
      </c>
      <c r="AG35" s="10">
        <f t="shared" si="6"/>
        <v>6.3745950000000002</v>
      </c>
      <c r="AH35" s="11">
        <f t="shared" si="7"/>
        <v>2.0407437015744458E-2</v>
      </c>
      <c r="AI35" s="11">
        <f t="shared" si="8"/>
        <v>1.1833487939994626E-2</v>
      </c>
      <c r="AJ35" s="11">
        <f t="shared" si="9"/>
        <v>7.2102134882886838E-3</v>
      </c>
      <c r="AK35" s="11">
        <f t="shared" si="10"/>
        <v>8.5735649113532104E-3</v>
      </c>
      <c r="AL35" s="52">
        <f t="shared" si="11"/>
        <v>3942808</v>
      </c>
      <c r="AM35" s="11">
        <v>16</v>
      </c>
      <c r="AN35" s="12">
        <v>74586326</v>
      </c>
      <c r="AO35" s="12">
        <v>2330822.6875</v>
      </c>
      <c r="AP35" s="12">
        <v>29958.90625</v>
      </c>
      <c r="AQ35" s="13">
        <v>6799568</v>
      </c>
      <c r="AR35" s="13">
        <v>2402376</v>
      </c>
      <c r="AS35" s="13">
        <v>1540432</v>
      </c>
      <c r="AT35" s="13">
        <v>2856632</v>
      </c>
      <c r="AU35" s="14">
        <v>73.187387000000001</v>
      </c>
      <c r="AV35" s="14">
        <v>75.447283999999996</v>
      </c>
      <c r="AW35" s="14">
        <v>33.993447000000003</v>
      </c>
      <c r="AX35" s="14">
        <v>42.577075000000001</v>
      </c>
      <c r="AY35" s="14">
        <v>44.112831</v>
      </c>
      <c r="AZ35" s="15">
        <v>3240.31</v>
      </c>
      <c r="BA35" s="15">
        <v>4450.47</v>
      </c>
      <c r="BB35" s="15">
        <v>204.94900000000001</v>
      </c>
      <c r="BC35" s="15">
        <v>68.153000000000006</v>
      </c>
      <c r="BE35" s="50">
        <f t="shared" si="12"/>
        <v>1.0081082131453689</v>
      </c>
      <c r="BF35" s="16">
        <f t="shared" si="13"/>
        <v>-4.3350721756191604E-4</v>
      </c>
      <c r="BG35" s="16">
        <f t="shared" si="14"/>
        <v>2.2267315358659445E-3</v>
      </c>
      <c r="BH35" s="16">
        <f t="array" ref="BH35">AVERAGE(AL35:AL39/AQ35:AQ39) - AVERAGE(N35:N39/S35:S39)</f>
        <v>1.7592991851123063E-3</v>
      </c>
      <c r="BJ35" s="50">
        <f>IF( OR(ISBLANK(N35:N39),ISBLANK(AL35:AL39), ISBLANK(W35:W39),ISBLANK(AU35:AU39)), "·", bdRateExtend( N35:N39,W35:W39, AL35:AL39,AU35:AU39))</f>
        <v>5.5487349437710609E-3</v>
      </c>
      <c r="BK35" s="50">
        <f>IF( OR(ISBLANK(N35:N39),ISBLANK(AL35:AL39), ISBLANK(X35:X39),ISBLANK(AV35:AV39)), "·", bdRateExtend( N35:N39,X35:X39, AL35:AL39,AV35:AV39))</f>
        <v>1.6798882601252174E-3</v>
      </c>
      <c r="BL35" s="50">
        <f>IF( OR(ISBLANK(V35:V39),ISBLANK(AT35:AT39), ISBLANK(Y35:Y39),ISBLANK(AW35:AW39)), "·", bdRateExtend( V35:V39,Y35:Y39, AT35:AT39,AW35:AW39))</f>
        <v>-6.6757476083756373E-4</v>
      </c>
      <c r="BM35" s="50">
        <f>IF( OR(ISBLANK(V35:V39),ISBLANK(AT35:AT39), ISBLANK(Z35:Z39),ISBLANK(AX35:AX39)), "·", bdRateExtend( V35:V39,Z35:Z39, AT35:AT39,AX35:AX39))</f>
        <v>-1.1683543570558341E-2</v>
      </c>
      <c r="BN35" s="50">
        <f>IF( OR(ISBLANK(V35:V39),ISBLANK(AT35:AT39), ISBLANK(AA35:AA39),ISBLANK(AY35:AY39)), "·", bdRateExtend( V35:V39,AA35:AA39, AT35:AT39,AY35:AY39))</f>
        <v>-6.2127270388101508E-3</v>
      </c>
      <c r="BP35" s="50">
        <f>IF( OR(ISBLANK(S35:S39),ISBLANK(AQ35:AQ39), ISBLANK(W35:W39),ISBLANK(AU35:AU39)), "·", bdRateExtend( S35:S39,W35:W39, AQ35:AQ39,AU35:AU39))</f>
        <v>1.1143694082527134E-3</v>
      </c>
      <c r="BQ35" s="50">
        <f>IF( OR(ISBLANK(S35:S39),ISBLANK(AQ35:AQ39), ISBLANK(X35:X39),ISBLANK(AV35:AV39)), "·", bdRateExtend( S35:S39,X35:X39, AQ35:AQ39,AV35:AV39))</f>
        <v>-5.0092667136263369E-3</v>
      </c>
      <c r="BR35" s="50">
        <f>IF( OR(ISBLANK(S35:S39),ISBLANK(AQ35:AQ39), ISBLANK(Y35:Y39),ISBLANK(AW35:AW39)), "·", bdRateExtend( S35:S39,Y35:Y39, AQ35:AQ39,AW35:AW39))</f>
        <v>2.4588723744698449E-3</v>
      </c>
      <c r="BS35" s="50">
        <f>IF( OR(ISBLANK(S35:S39),ISBLANK(AQ35:AQ39), ISBLANK(Z35:Z39),ISBLANK(AX35:AX39)), "·", bdRateExtend( S35:S39,Z35:Z39, AQ35:AQ39,AX35:AX39))</f>
        <v>-6.0790169724929122E-3</v>
      </c>
      <c r="BT35" s="50">
        <f>IF( OR(ISBLANK(S35:S39),ISBLANK(AQ35:AQ39), ISBLANK(AA35:AA39),ISBLANK(AY35:AY39)), "·", bdRateExtend( S35:S39,AA35:AA39, AQ35:AQ39,AY35:AY39))</f>
        <v>-1.9084391002592849E-3</v>
      </c>
      <c r="BV35" s="58">
        <f t="shared" si="16"/>
        <v>-102529</v>
      </c>
      <c r="BW35" s="58">
        <f t="shared" si="16"/>
        <v>-3204.03125</v>
      </c>
      <c r="BX35" s="58">
        <f t="shared" si="16"/>
        <v>-1053</v>
      </c>
      <c r="BY35" s="58">
        <f t="shared" si="16"/>
        <v>28688</v>
      </c>
      <c r="BZ35" s="58">
        <f t="shared" si="16"/>
        <v>0</v>
      </c>
      <c r="CA35" s="58">
        <f t="shared" si="16"/>
        <v>31712</v>
      </c>
      <c r="CB35" s="58">
        <f t="shared" si="16"/>
        <v>-3024</v>
      </c>
      <c r="CC35" s="58">
        <f t="shared" si="16"/>
        <v>-3.8940000000025066E-3</v>
      </c>
      <c r="CD35" s="58">
        <f t="shared" si="16"/>
        <v>1.671499999999071E-2</v>
      </c>
      <c r="CE35" s="58">
        <f t="shared" si="16"/>
        <v>-2.8249999999943043E-3</v>
      </c>
      <c r="CF35" s="58">
        <f t="shared" si="16"/>
        <v>1.4009000000001492E-2</v>
      </c>
      <c r="CG35" s="58">
        <f t="shared" si="16"/>
        <v>6.3724999999998033E-2</v>
      </c>
      <c r="CJ35" t="s">
        <v>244</v>
      </c>
    </row>
    <row r="36" spans="1:88" outlineLevel="1" x14ac:dyDescent="0.2">
      <c r="A36" s="17"/>
      <c r="B36" s="17" t="s">
        <v>82</v>
      </c>
      <c r="C36" s="18" t="s">
        <v>234</v>
      </c>
      <c r="D36" s="17">
        <v>333190689</v>
      </c>
      <c r="E36" s="18">
        <v>11</v>
      </c>
      <c r="F36" s="18">
        <v>32</v>
      </c>
      <c r="G36" s="18">
        <v>30</v>
      </c>
      <c r="I36" s="19">
        <f t="shared" si="0"/>
        <v>9.0438449999999992</v>
      </c>
      <c r="J36" s="20">
        <f t="shared" si="1"/>
        <v>2.895269381312153E-2</v>
      </c>
      <c r="K36" s="20">
        <f t="shared" si="2"/>
        <v>1.4333917956512884E-2</v>
      </c>
      <c r="L36" s="20">
        <f t="shared" si="3"/>
        <v>9.8057962237954373E-3</v>
      </c>
      <c r="M36" s="20">
        <f t="shared" si="4"/>
        <v>1.4618391692212023E-2</v>
      </c>
      <c r="N36" s="17">
        <f t="shared" si="5"/>
        <v>4775928</v>
      </c>
      <c r="O36" s="20">
        <v>16</v>
      </c>
      <c r="P36" s="21">
        <v>79945808</v>
      </c>
      <c r="Q36" s="21">
        <v>2498306.5</v>
      </c>
      <c r="R36" s="21">
        <v>39523.15625</v>
      </c>
      <c r="S36" s="22">
        <v>9646768</v>
      </c>
      <c r="T36" s="22">
        <v>3267200</v>
      </c>
      <c r="U36" s="22">
        <v>1508728</v>
      </c>
      <c r="V36" s="22">
        <v>4870712</v>
      </c>
      <c r="W36" s="23">
        <v>74.930581000000004</v>
      </c>
      <c r="X36" s="23">
        <v>77.358816000000004</v>
      </c>
      <c r="Y36" s="23">
        <v>36.098925000000001</v>
      </c>
      <c r="Z36" s="23">
        <v>43.168593999999999</v>
      </c>
      <c r="AA36" s="23">
        <v>45.335743999999998</v>
      </c>
      <c r="AB36" s="24">
        <v>3906.28</v>
      </c>
      <c r="AC36" s="24">
        <v>6202.19</v>
      </c>
      <c r="AD36" s="24">
        <v>239.32900000000001</v>
      </c>
      <c r="AE36" s="24">
        <v>82.489000000000004</v>
      </c>
      <c r="AG36" s="19">
        <f t="shared" si="6"/>
        <v>9.0560775000000007</v>
      </c>
      <c r="AH36" s="20">
        <f t="shared" si="7"/>
        <v>2.899185457130226E-2</v>
      </c>
      <c r="AI36" s="20">
        <f t="shared" si="8"/>
        <v>1.4429070675501379E-2</v>
      </c>
      <c r="AJ36" s="20">
        <f t="shared" si="9"/>
        <v>9.8057962237954373E-3</v>
      </c>
      <c r="AK36" s="20">
        <f t="shared" si="10"/>
        <v>1.4562399731404259E-2</v>
      </c>
      <c r="AL36" s="17">
        <f t="shared" si="11"/>
        <v>4807632</v>
      </c>
      <c r="AM36" s="20">
        <v>16</v>
      </c>
      <c r="AN36" s="21">
        <v>79835015</v>
      </c>
      <c r="AO36" s="21">
        <v>2494844.21875</v>
      </c>
      <c r="AP36" s="21">
        <v>38211.90625</v>
      </c>
      <c r="AQ36" s="22">
        <v>9659816</v>
      </c>
      <c r="AR36" s="22">
        <v>3267200</v>
      </c>
      <c r="AS36" s="22">
        <v>1540432</v>
      </c>
      <c r="AT36" s="22">
        <v>4852056</v>
      </c>
      <c r="AU36" s="23">
        <v>74.926225000000002</v>
      </c>
      <c r="AV36" s="23">
        <v>77.378094000000004</v>
      </c>
      <c r="AW36" s="23">
        <v>36.090150000000001</v>
      </c>
      <c r="AX36" s="23">
        <v>43.194878000000003</v>
      </c>
      <c r="AY36" s="23">
        <v>45.323090999999998</v>
      </c>
      <c r="AZ36" s="24">
        <v>3282.5</v>
      </c>
      <c r="BA36" s="24">
        <v>4624.3999999999996</v>
      </c>
      <c r="BB36" s="24">
        <v>221.65100000000001</v>
      </c>
      <c r="BC36" s="24">
        <v>69.453000000000003</v>
      </c>
      <c r="BE36" s="49">
        <f t="shared" si="12"/>
        <v>1.0066382910295131</v>
      </c>
      <c r="BF36" s="25">
        <f t="shared" si="13"/>
        <v>-5.036293545103987E-4</v>
      </c>
      <c r="BG36" s="25">
        <f t="shared" si="14"/>
        <v>2.6133197476251868E-3</v>
      </c>
      <c r="BH36" s="25"/>
      <c r="BJ36" s="49"/>
      <c r="BK36" s="49"/>
      <c r="BL36" s="49"/>
      <c r="BM36" s="49"/>
      <c r="BN36" s="49"/>
      <c r="BP36" s="49"/>
      <c r="BQ36" s="49"/>
      <c r="BR36" s="49"/>
      <c r="BS36" s="49"/>
      <c r="BT36" s="49"/>
      <c r="BV36" s="58">
        <f t="shared" si="16"/>
        <v>-110793</v>
      </c>
      <c r="BW36" s="58">
        <f t="shared" si="16"/>
        <v>-3462.28125</v>
      </c>
      <c r="BX36" s="58">
        <f t="shared" si="16"/>
        <v>-1311.25</v>
      </c>
      <c r="BY36" s="58">
        <f t="shared" si="16"/>
        <v>13048</v>
      </c>
      <c r="BZ36" s="58">
        <f t="shared" si="16"/>
        <v>0</v>
      </c>
      <c r="CA36" s="58">
        <f t="shared" si="16"/>
        <v>31704</v>
      </c>
      <c r="CB36" s="58">
        <f t="shared" si="16"/>
        <v>-18656</v>
      </c>
      <c r="CC36" s="58">
        <f t="shared" si="16"/>
        <v>-4.3560000000013588E-3</v>
      </c>
      <c r="CD36" s="58">
        <f t="shared" si="16"/>
        <v>1.9277999999999906E-2</v>
      </c>
      <c r="CE36" s="58">
        <f t="shared" si="16"/>
        <v>-8.7749999999999773E-3</v>
      </c>
      <c r="CF36" s="58">
        <f t="shared" si="16"/>
        <v>2.6284000000003971E-2</v>
      </c>
      <c r="CG36" s="58">
        <f t="shared" si="16"/>
        <v>-1.2653000000000247E-2</v>
      </c>
      <c r="CJ36" t="s">
        <v>244</v>
      </c>
    </row>
    <row r="37" spans="1:88" outlineLevel="1" x14ac:dyDescent="0.2">
      <c r="A37" s="52"/>
      <c r="B37" s="52" t="s">
        <v>82</v>
      </c>
      <c r="C37" s="9" t="s">
        <v>235</v>
      </c>
      <c r="D37" s="52">
        <v>333190689</v>
      </c>
      <c r="E37" s="9">
        <v>11</v>
      </c>
      <c r="F37" s="9">
        <v>32</v>
      </c>
      <c r="G37" s="9">
        <v>30</v>
      </c>
      <c r="I37" s="10">
        <f t="shared" si="0"/>
        <v>13.7522325</v>
      </c>
      <c r="J37" s="11">
        <f t="shared" si="1"/>
        <v>4.4025984171484456E-2</v>
      </c>
      <c r="K37" s="11">
        <f t="shared" si="2"/>
        <v>1.8133015715814316E-2</v>
      </c>
      <c r="L37" s="11">
        <f t="shared" si="3"/>
        <v>1.3604893983096869E-2</v>
      </c>
      <c r="M37" s="11">
        <f t="shared" si="4"/>
        <v>2.5892584291273519E-2</v>
      </c>
      <c r="N37" s="52">
        <f t="shared" si="5"/>
        <v>6041752</v>
      </c>
      <c r="O37" s="11">
        <v>16</v>
      </c>
      <c r="P37" s="12">
        <v>81780101</v>
      </c>
      <c r="Q37" s="12">
        <v>2555628.15625</v>
      </c>
      <c r="R37" s="12">
        <v>43014.71875</v>
      </c>
      <c r="S37" s="13">
        <v>14669048</v>
      </c>
      <c r="T37" s="13">
        <v>4533024</v>
      </c>
      <c r="U37" s="13">
        <v>1508728</v>
      </c>
      <c r="V37" s="13">
        <v>8627168</v>
      </c>
      <c r="W37" s="14">
        <v>76.238812999999993</v>
      </c>
      <c r="X37" s="14">
        <v>78.941209000000001</v>
      </c>
      <c r="Y37" s="14">
        <v>37.928058999999998</v>
      </c>
      <c r="Z37" s="14">
        <v>43.745263000000001</v>
      </c>
      <c r="AA37" s="14">
        <v>46.492668999999999</v>
      </c>
      <c r="AB37" s="15">
        <v>3927.89</v>
      </c>
      <c r="AC37" s="15">
        <v>6672.71</v>
      </c>
      <c r="AD37" s="15">
        <v>251.65199999999999</v>
      </c>
      <c r="AE37" s="15">
        <v>96.292000000000002</v>
      </c>
      <c r="AG37" s="10">
        <f t="shared" si="6"/>
        <v>13.762935000000001</v>
      </c>
      <c r="AH37" s="11">
        <f t="shared" si="7"/>
        <v>4.4060246833608249E-2</v>
      </c>
      <c r="AI37" s="11">
        <f t="shared" si="8"/>
        <v>1.82281924450776E-2</v>
      </c>
      <c r="AJ37" s="11">
        <f t="shared" si="9"/>
        <v>1.3604893983096869E-2</v>
      </c>
      <c r="AK37" s="11">
        <f t="shared" si="10"/>
        <v>2.5831670224134025E-2</v>
      </c>
      <c r="AL37" s="52">
        <f t="shared" si="11"/>
        <v>6073464</v>
      </c>
      <c r="AM37" s="11">
        <v>16</v>
      </c>
      <c r="AN37" s="12">
        <v>81670844</v>
      </c>
      <c r="AO37" s="12">
        <v>2552213.875</v>
      </c>
      <c r="AP37" s="12">
        <v>41630.1875</v>
      </c>
      <c r="AQ37" s="13">
        <v>14680464</v>
      </c>
      <c r="AR37" s="13">
        <v>4533024</v>
      </c>
      <c r="AS37" s="13">
        <v>1540440</v>
      </c>
      <c r="AT37" s="13">
        <v>8606872</v>
      </c>
      <c r="AU37" s="14">
        <v>76.234256000000002</v>
      </c>
      <c r="AV37" s="14">
        <v>78.963250000000002</v>
      </c>
      <c r="AW37" s="14">
        <v>37.923247000000003</v>
      </c>
      <c r="AX37" s="14">
        <v>43.751550000000002</v>
      </c>
      <c r="AY37" s="14">
        <v>46.503005999999999</v>
      </c>
      <c r="AZ37" s="15">
        <v>3259.61</v>
      </c>
      <c r="BA37" s="15">
        <v>4691.54</v>
      </c>
      <c r="BB37" s="15">
        <v>212.14500000000001</v>
      </c>
      <c r="BC37" s="15">
        <v>67.988</v>
      </c>
      <c r="BE37" s="50">
        <f t="shared" si="12"/>
        <v>1.0052488086237237</v>
      </c>
      <c r="BF37" s="16">
        <f t="shared" si="13"/>
        <v>-5.199659157806083E-4</v>
      </c>
      <c r="BG37" s="16">
        <f t="shared" si="14"/>
        <v>1.8398657810513308E-3</v>
      </c>
      <c r="BH37" s="16"/>
      <c r="BJ37" s="50"/>
      <c r="BK37" s="50"/>
      <c r="BL37" s="50"/>
      <c r="BM37" s="50"/>
      <c r="BN37" s="50"/>
      <c r="BP37" s="50"/>
      <c r="BQ37" s="50"/>
      <c r="BR37" s="50"/>
      <c r="BS37" s="50"/>
      <c r="BT37" s="50"/>
      <c r="BV37" s="58">
        <f t="shared" si="16"/>
        <v>-109257</v>
      </c>
      <c r="BW37" s="58">
        <f t="shared" si="16"/>
        <v>-3414.28125</v>
      </c>
      <c r="BX37" s="58">
        <f t="shared" si="16"/>
        <v>-1384.53125</v>
      </c>
      <c r="BY37" s="58">
        <f t="shared" si="16"/>
        <v>11416</v>
      </c>
      <c r="BZ37" s="58">
        <f t="shared" si="16"/>
        <v>0</v>
      </c>
      <c r="CA37" s="58">
        <f t="shared" si="16"/>
        <v>31712</v>
      </c>
      <c r="CB37" s="58">
        <f t="shared" si="16"/>
        <v>-20296</v>
      </c>
      <c r="CC37" s="58">
        <f t="shared" si="16"/>
        <v>-4.5569999999912625E-3</v>
      </c>
      <c r="CD37" s="58">
        <f t="shared" si="16"/>
        <v>2.2041000000001532E-2</v>
      </c>
      <c r="CE37" s="58">
        <f t="shared" si="16"/>
        <v>-4.8119999999940433E-3</v>
      </c>
      <c r="CF37" s="58">
        <f t="shared" si="16"/>
        <v>6.2870000000003756E-3</v>
      </c>
      <c r="CG37" s="58">
        <f t="shared" si="16"/>
        <v>1.0336999999999819E-2</v>
      </c>
      <c r="CJ37" t="s">
        <v>244</v>
      </c>
    </row>
    <row r="38" spans="1:88" outlineLevel="1" x14ac:dyDescent="0.2">
      <c r="A38" s="17"/>
      <c r="B38" s="17" t="s">
        <v>82</v>
      </c>
      <c r="C38" s="18" t="s">
        <v>236</v>
      </c>
      <c r="D38" s="17">
        <v>333190689</v>
      </c>
      <c r="E38" s="18">
        <v>11</v>
      </c>
      <c r="F38" s="18">
        <v>32</v>
      </c>
      <c r="G38" s="18">
        <v>30</v>
      </c>
      <c r="I38" s="19">
        <f t="shared" si="0"/>
        <v>22.992352499999999</v>
      </c>
      <c r="J38" s="20">
        <f t="shared" si="1"/>
        <v>7.3607026875832052E-2</v>
      </c>
      <c r="K38" s="20">
        <f t="shared" si="2"/>
        <v>2.4327546559982052E-2</v>
      </c>
      <c r="L38" s="20">
        <f t="shared" si="3"/>
        <v>1.9799424827264607E-2</v>
      </c>
      <c r="M38" s="20">
        <f t="shared" si="4"/>
        <v>4.9279096151453379E-2</v>
      </c>
      <c r="N38" s="17">
        <f t="shared" si="5"/>
        <v>8105712</v>
      </c>
      <c r="O38" s="20">
        <v>16</v>
      </c>
      <c r="P38" s="21">
        <v>83963908</v>
      </c>
      <c r="Q38" s="21">
        <v>2623872.125</v>
      </c>
      <c r="R38" s="21">
        <v>48278.125</v>
      </c>
      <c r="S38" s="22">
        <v>24525176</v>
      </c>
      <c r="T38" s="22">
        <v>6596984</v>
      </c>
      <c r="U38" s="22">
        <v>1508728</v>
      </c>
      <c r="V38" s="22">
        <v>16419336</v>
      </c>
      <c r="W38" s="23">
        <v>77.418415999999993</v>
      </c>
      <c r="X38" s="23">
        <v>80.140518999999998</v>
      </c>
      <c r="Y38" s="23">
        <v>39.696711999999998</v>
      </c>
      <c r="Z38" s="23">
        <v>44.531153000000003</v>
      </c>
      <c r="AA38" s="23">
        <v>47.804797000000001</v>
      </c>
      <c r="AB38" s="24">
        <v>3842.99</v>
      </c>
      <c r="AC38" s="24">
        <v>5551.57</v>
      </c>
      <c r="AD38" s="24">
        <v>246.04499999999999</v>
      </c>
      <c r="AE38" s="24">
        <v>79.739000000000004</v>
      </c>
      <c r="AG38" s="19">
        <f t="shared" si="6"/>
        <v>22.989067500000001</v>
      </c>
      <c r="AH38" s="20">
        <f t="shared" si="7"/>
        <v>7.3596510375474503E-2</v>
      </c>
      <c r="AI38" s="20">
        <f t="shared" si="8"/>
        <v>2.4422723289245336E-2</v>
      </c>
      <c r="AJ38" s="20">
        <f t="shared" si="9"/>
        <v>1.9799424827264607E-2</v>
      </c>
      <c r="AK38" s="20">
        <f t="shared" si="10"/>
        <v>4.9173402921832546E-2</v>
      </c>
      <c r="AL38" s="17">
        <f t="shared" si="11"/>
        <v>8137424</v>
      </c>
      <c r="AM38" s="20">
        <v>16</v>
      </c>
      <c r="AN38" s="21">
        <v>83852293</v>
      </c>
      <c r="AO38" s="21">
        <v>2620384.15625</v>
      </c>
      <c r="AP38" s="21">
        <v>46770.4375</v>
      </c>
      <c r="AQ38" s="22">
        <v>24521672</v>
      </c>
      <c r="AR38" s="22">
        <v>6596984</v>
      </c>
      <c r="AS38" s="22">
        <v>1540440</v>
      </c>
      <c r="AT38" s="22">
        <v>16384120</v>
      </c>
      <c r="AU38" s="23">
        <v>77.426856000000001</v>
      </c>
      <c r="AV38" s="23">
        <v>80.166877999999997</v>
      </c>
      <c r="AW38" s="23">
        <v>39.691006000000002</v>
      </c>
      <c r="AX38" s="23">
        <v>44.536838000000003</v>
      </c>
      <c r="AY38" s="23">
        <v>47.821359000000001</v>
      </c>
      <c r="AZ38" s="24">
        <v>3340.05</v>
      </c>
      <c r="BA38" s="24">
        <v>4977.54</v>
      </c>
      <c r="BB38" s="24">
        <v>220.233</v>
      </c>
      <c r="BC38" s="24">
        <v>69.698999999999998</v>
      </c>
      <c r="BE38" s="49">
        <f t="shared" si="12"/>
        <v>1.0039123028303991</v>
      </c>
      <c r="BF38" s="25">
        <f t="shared" si="13"/>
        <v>-5.5087738306931061E-4</v>
      </c>
      <c r="BG38" s="25">
        <f t="shared" si="14"/>
        <v>1.3404506916416814E-3</v>
      </c>
      <c r="BH38" s="25"/>
      <c r="BJ38" s="49"/>
      <c r="BK38" s="49"/>
      <c r="BL38" s="49"/>
      <c r="BM38" s="49"/>
      <c r="BN38" s="49"/>
      <c r="BP38" s="49"/>
      <c r="BQ38" s="49"/>
      <c r="BR38" s="49"/>
      <c r="BS38" s="49"/>
      <c r="BT38" s="49"/>
      <c r="BV38" s="58">
        <f t="shared" si="16"/>
        <v>-111615</v>
      </c>
      <c r="BW38" s="58">
        <f t="shared" si="16"/>
        <v>-3487.96875</v>
      </c>
      <c r="BX38" s="58">
        <f t="shared" si="16"/>
        <v>-1507.6875</v>
      </c>
      <c r="BY38" s="58">
        <f t="shared" si="16"/>
        <v>-3504</v>
      </c>
      <c r="BZ38" s="58">
        <f t="shared" si="16"/>
        <v>0</v>
      </c>
      <c r="CA38" s="58">
        <f t="shared" si="16"/>
        <v>31712</v>
      </c>
      <c r="CB38" s="58">
        <f t="shared" si="16"/>
        <v>-35216</v>
      </c>
      <c r="CC38" s="58">
        <f t="shared" si="16"/>
        <v>8.4400000000073305E-3</v>
      </c>
      <c r="CD38" s="58">
        <f t="shared" si="16"/>
        <v>2.6358999999999355E-2</v>
      </c>
      <c r="CE38" s="58">
        <f t="shared" si="16"/>
        <v>-5.7059999999964361E-3</v>
      </c>
      <c r="CF38" s="58">
        <f t="shared" si="16"/>
        <v>5.6849999999997181E-3</v>
      </c>
      <c r="CG38" s="58">
        <f t="shared" si="16"/>
        <v>1.656200000000041E-2</v>
      </c>
      <c r="CJ38" t="s">
        <v>244</v>
      </c>
    </row>
    <row r="39" spans="1:88" ht="16" outlineLevel="1" thickBot="1" x14ac:dyDescent="0.25">
      <c r="A39" s="26"/>
      <c r="B39" s="26" t="s">
        <v>82</v>
      </c>
      <c r="C39" s="27" t="s">
        <v>237</v>
      </c>
      <c r="D39" s="26">
        <v>333190689</v>
      </c>
      <c r="E39" s="27">
        <v>11</v>
      </c>
      <c r="F39" s="27">
        <v>32</v>
      </c>
      <c r="G39" s="27">
        <v>30</v>
      </c>
      <c r="I39" s="28">
        <f t="shared" si="0"/>
        <v>42.363262499999998</v>
      </c>
      <c r="J39" s="29">
        <f t="shared" si="1"/>
        <v>0.13562047647736039</v>
      </c>
      <c r="K39" s="29">
        <f t="shared" si="2"/>
        <v>3.9399204219659333E-2</v>
      </c>
      <c r="L39" s="29">
        <f t="shared" si="3"/>
        <v>3.0117168130109423E-2</v>
      </c>
      <c r="M39" s="29">
        <f t="shared" si="4"/>
        <v>9.6220888093304438E-2</v>
      </c>
      <c r="N39" s="26">
        <f t="shared" si="5"/>
        <v>13127448</v>
      </c>
      <c r="O39" s="29">
        <v>16</v>
      </c>
      <c r="P39" s="30">
        <v>82025858</v>
      </c>
      <c r="Q39" s="30">
        <v>2563308.0625</v>
      </c>
      <c r="R39" s="30">
        <v>19366.5625</v>
      </c>
      <c r="S39" s="31">
        <v>45187480</v>
      </c>
      <c r="T39" s="31">
        <v>10034760</v>
      </c>
      <c r="U39" s="31">
        <v>3092688</v>
      </c>
      <c r="V39" s="31">
        <v>32059904</v>
      </c>
      <c r="W39" s="32">
        <v>78.318230999999997</v>
      </c>
      <c r="X39" s="32">
        <v>81.877509000000003</v>
      </c>
      <c r="Y39" s="32">
        <v>41.297905999999998</v>
      </c>
      <c r="Z39" s="32">
        <v>45.537005999999998</v>
      </c>
      <c r="AA39" s="32">
        <v>49.137197</v>
      </c>
      <c r="AB39" s="33">
        <v>3647.46</v>
      </c>
      <c r="AC39" s="33">
        <v>6189.85</v>
      </c>
      <c r="AD39" s="33">
        <v>233.94800000000001</v>
      </c>
      <c r="AE39" s="33">
        <v>82.087000000000003</v>
      </c>
      <c r="AG39" s="28">
        <f t="shared" si="6"/>
        <v>42.352424999999997</v>
      </c>
      <c r="AH39" s="29">
        <f t="shared" si="7"/>
        <v>0.13558578163029039</v>
      </c>
      <c r="AI39" s="29">
        <f t="shared" si="8"/>
        <v>3.9494356938647827E-2</v>
      </c>
      <c r="AJ39" s="29">
        <f t="shared" si="9"/>
        <v>3.0117168130109423E-2</v>
      </c>
      <c r="AK39" s="29">
        <f t="shared" si="10"/>
        <v>9.6091040527245944E-2</v>
      </c>
      <c r="AL39" s="26">
        <f t="shared" si="11"/>
        <v>13159152</v>
      </c>
      <c r="AM39" s="29">
        <v>16</v>
      </c>
      <c r="AN39" s="30">
        <v>82006667</v>
      </c>
      <c r="AO39" s="30">
        <v>2562708.34375</v>
      </c>
      <c r="AP39" s="30">
        <v>19106.78125</v>
      </c>
      <c r="AQ39" s="31">
        <v>45175920</v>
      </c>
      <c r="AR39" s="31">
        <v>10034760</v>
      </c>
      <c r="AS39" s="31">
        <v>3124392</v>
      </c>
      <c r="AT39" s="31">
        <v>32016640</v>
      </c>
      <c r="AU39" s="32">
        <v>78.315984</v>
      </c>
      <c r="AV39" s="32">
        <v>81.879424999999998</v>
      </c>
      <c r="AW39" s="32">
        <v>41.296247000000001</v>
      </c>
      <c r="AX39" s="32">
        <v>45.537649999999999</v>
      </c>
      <c r="AY39" s="32">
        <v>49.126787</v>
      </c>
      <c r="AZ39" s="33">
        <v>3564.68</v>
      </c>
      <c r="BA39" s="33">
        <v>5736.84</v>
      </c>
      <c r="BB39" s="33">
        <v>231.07400000000001</v>
      </c>
      <c r="BC39" s="33">
        <v>81.221999999999994</v>
      </c>
      <c r="BE39" s="34">
        <f t="shared" si="12"/>
        <v>1.0024150924079074</v>
      </c>
      <c r="BF39" s="35">
        <f t="shared" si="13"/>
        <v>-9.9601733960228041E-5</v>
      </c>
      <c r="BG39" s="35">
        <f t="shared" si="14"/>
        <v>7.7612816937738804E-4</v>
      </c>
      <c r="BH39" s="35"/>
      <c r="BJ39" s="34"/>
      <c r="BK39" s="34"/>
      <c r="BL39" s="34"/>
      <c r="BM39" s="34"/>
      <c r="BN39" s="34"/>
      <c r="BP39" s="34"/>
      <c r="BQ39" s="34"/>
      <c r="BR39" s="34"/>
      <c r="BS39" s="34"/>
      <c r="BT39" s="34"/>
      <c r="BV39" s="58">
        <f t="shared" si="16"/>
        <v>-19191</v>
      </c>
      <c r="BW39" s="58">
        <f t="shared" si="16"/>
        <v>-599.71875</v>
      </c>
      <c r="BX39" s="58">
        <f t="shared" si="16"/>
        <v>-259.78125</v>
      </c>
      <c r="BY39" s="58">
        <f t="shared" si="16"/>
        <v>-11560</v>
      </c>
      <c r="BZ39" s="58">
        <f t="shared" si="16"/>
        <v>0</v>
      </c>
      <c r="CA39" s="58">
        <f t="shared" si="16"/>
        <v>31704</v>
      </c>
      <c r="CB39" s="58">
        <f t="shared" si="16"/>
        <v>-43264</v>
      </c>
      <c r="CC39" s="58">
        <f t="shared" si="16"/>
        <v>-2.2469999999970014E-3</v>
      </c>
      <c r="CD39" s="58">
        <f t="shared" si="16"/>
        <v>1.9159999999942556E-3</v>
      </c>
      <c r="CE39" s="58">
        <f t="shared" si="16"/>
        <v>-1.6589999999965244E-3</v>
      </c>
      <c r="CF39" s="58">
        <f t="shared" si="16"/>
        <v>6.4400000000119917E-4</v>
      </c>
      <c r="CG39" s="58">
        <f t="shared" si="16"/>
        <v>-1.0410000000000252E-2</v>
      </c>
      <c r="CJ39" t="s">
        <v>244</v>
      </c>
    </row>
    <row r="40" spans="1:88" ht="16" x14ac:dyDescent="0.2">
      <c r="B40" s="46" t="s">
        <v>16</v>
      </c>
      <c r="J40" s="47">
        <f>AVERAGE(J5:J24)</f>
        <v>4.4080014091290469E-2</v>
      </c>
      <c r="K40" s="47">
        <f>AVERAGE(K5:K24)</f>
        <v>1.3798351612897667E-2</v>
      </c>
      <c r="L40" s="47">
        <f>AVERAGE(L5:L24)</f>
        <v>9.669902595508012E-3</v>
      </c>
      <c r="M40" s="47">
        <f>AVERAGE(M5:M24)</f>
        <v>3.0281154510586043E-2</v>
      </c>
      <c r="AH40" s="47">
        <f>AVERAGE(AH5:AH24)</f>
        <v>4.4113741551194449E-2</v>
      </c>
      <c r="AI40" s="47">
        <f>AVERAGE(AI5:AI24)</f>
        <v>1.3924695220921718E-2</v>
      </c>
      <c r="AJ40" s="47">
        <f>AVERAGE(AJ5:AJ24)</f>
        <v>9.669902595508012E-3</v>
      </c>
      <c r="AK40" s="47">
        <f>AVERAGE(AK5:AK24)</f>
        <v>3.0188538362465968E-2</v>
      </c>
      <c r="BE40" s="51">
        <f t="shared" si="12"/>
        <v>1.0091564276348743</v>
      </c>
      <c r="BH40" s="55">
        <f>AVERAGE(BH5:BH24)</f>
        <v>3.5321469723439969E-3</v>
      </c>
      <c r="BJ40" s="51">
        <f>AVERAGE(BJ5:BJ24)</f>
        <v>1.2555977910739036E-2</v>
      </c>
      <c r="BK40" s="51">
        <f>AVERAGE(BK5:BK24)</f>
        <v>2.1967897430155703E-3</v>
      </c>
      <c r="BL40" s="51">
        <f>AVERAGE(BL5:BL24)</f>
        <v>-3.958907269795281E-3</v>
      </c>
      <c r="BM40" s="51">
        <f>AVERAGE(BM5:BM24)</f>
        <v>-4.7878453681575728E-3</v>
      </c>
      <c r="BN40" s="51">
        <f>AVERAGE(BN5:BN24)</f>
        <v>-4.2213230922617806E-3</v>
      </c>
      <c r="BP40" s="51">
        <f>AVERAGE(BP5:BP24)</f>
        <v>4.0333398189440484E-3</v>
      </c>
      <c r="BQ40" s="51">
        <f>AVERAGE(BQ5:BQ24)</f>
        <v>-1.3689653863418416E-2</v>
      </c>
      <c r="BR40" s="51">
        <f>AVERAGE(BR5:BR24)</f>
        <v>1.8994755425111864E-3</v>
      </c>
      <c r="BS40" s="51">
        <f>AVERAGE(BS5:BS24)</f>
        <v>1.6689442509919827E-3</v>
      </c>
      <c r="BT40" s="51">
        <f>AVERAGE(BT5:BT24)</f>
        <v>1.8849087418289778E-3</v>
      </c>
    </row>
    <row r="41" spans="1:88" ht="16" x14ac:dyDescent="0.2">
      <c r="B41" s="46" t="s">
        <v>17</v>
      </c>
      <c r="J41" s="47">
        <f>AVERAGE(J25:J29)</f>
        <v>7.9856539603402193E-2</v>
      </c>
      <c r="K41" s="47">
        <f>AVERAGE(K25:K29)</f>
        <v>1.2365717129266504E-2</v>
      </c>
      <c r="L41" s="47">
        <f>AVERAGE(L25:L29)</f>
        <v>9.1151281892310389E-3</v>
      </c>
      <c r="M41" s="47">
        <f>AVERAGE(M25:M29)</f>
        <v>6.7490311076729578E-2</v>
      </c>
      <c r="AH41" s="47">
        <f>AVERAGE(AH25:AH29)</f>
        <v>7.9864300059040036E-2</v>
      </c>
      <c r="AI41" s="47">
        <f>AVERAGE(AI25:AI29)</f>
        <v>1.2465599435148781E-2</v>
      </c>
      <c r="AJ41" s="47">
        <f>AVERAGE(AJ25:AJ29)</f>
        <v>9.1151281892310389E-3</v>
      </c>
      <c r="AK41" s="47">
        <f>AVERAGE(AK25:AK29)</f>
        <v>6.7398189226485133E-2</v>
      </c>
      <c r="BE41" s="51">
        <f t="shared" si="12"/>
        <v>1.0080773565203009</v>
      </c>
      <c r="BH41" s="55">
        <f>AVERAGE(BH25:BH29)</f>
        <v>1.9598921617261233E-3</v>
      </c>
      <c r="BJ41" s="51">
        <f>AVERAGE(BJ25:BJ29)</f>
        <v>1.0820527548338399E-2</v>
      </c>
      <c r="BK41" s="51">
        <f>AVERAGE(BK25:BK29)</f>
        <v>9.2521652547494782E-4</v>
      </c>
      <c r="BL41" s="51">
        <f>AVERAGE(BL25:BL29)</f>
        <v>-3.446391318180364E-4</v>
      </c>
      <c r="BM41" s="51">
        <f>AVERAGE(BM25:BM29)</f>
        <v>-4.001443634739088E-4</v>
      </c>
      <c r="BN41" s="51">
        <f>AVERAGE(BN25:BN29)</f>
        <v>-1.0177983865107265E-3</v>
      </c>
      <c r="BP41" s="51">
        <f>AVERAGE(BP25:BP29)</f>
        <v>2.2949748501861489E-3</v>
      </c>
      <c r="BQ41" s="51">
        <f>AVERAGE(BQ25:BQ29)</f>
        <v>-1.5834268828782472E-2</v>
      </c>
      <c r="BR41" s="51">
        <f>AVERAGE(BR25:BR29)</f>
        <v>1.9721256010847288E-3</v>
      </c>
      <c r="BS41" s="51">
        <f>AVERAGE(BS25:BS29)</f>
        <v>1.6274632832913305E-3</v>
      </c>
      <c r="BT41" s="51">
        <f>AVERAGE(BT25:BT29)</f>
        <v>1.2357735269890036E-3</v>
      </c>
    </row>
    <row r="42" spans="1:88" ht="16" x14ac:dyDescent="0.2">
      <c r="B42" s="46" t="s">
        <v>18</v>
      </c>
      <c r="J42" s="47">
        <f>AVERAGE(J30:J39)</f>
        <v>5.5097595709424504E-2</v>
      </c>
      <c r="K42" s="47">
        <f>AVERAGE(K30:K39)</f>
        <v>2.0017941397766689E-2</v>
      </c>
      <c r="L42" s="47">
        <f>AVERAGE(L30:L39)</f>
        <v>1.5038954141750719E-2</v>
      </c>
      <c r="M42" s="47">
        <f>AVERAGE(M30:M39)</f>
        <v>3.5079291754878603E-2</v>
      </c>
      <c r="AH42" s="47">
        <f>AVERAGE(AH30:AH39)</f>
        <v>5.5127902799222715E-2</v>
      </c>
      <c r="AI42" s="47">
        <f>AVERAGE(AI30:AI39)</f>
        <v>2.0105053753791759E-2</v>
      </c>
      <c r="AJ42" s="47">
        <f>AVERAGE(AJ30:AJ39)</f>
        <v>1.5038954141750719E-2</v>
      </c>
      <c r="AK42" s="47">
        <f>AVERAGE(AK30:AK39)</f>
        <v>3.5022486488651736E-2</v>
      </c>
      <c r="BE42" s="51">
        <f t="shared" si="12"/>
        <v>1.0043517140096527</v>
      </c>
      <c r="BH42" s="55">
        <f>AVERAGE(BH30:BH39)</f>
        <v>1.7023515300171321E-3</v>
      </c>
      <c r="BJ42" s="51">
        <f>AVERAGE(BJ30:BJ39)</f>
        <v>5.2672554141699468E-3</v>
      </c>
      <c r="BK42" s="51">
        <f>AVERAGE(BK30:BK39)</f>
        <v>1.5018165173236175E-3</v>
      </c>
      <c r="BL42" s="51">
        <f>AVERAGE(BL30:BL39)</f>
        <v>-5.643912886693081E-4</v>
      </c>
      <c r="BM42" s="51">
        <f>AVERAGE(BM30:BM39)</f>
        <v>-8.4271664275759051E-3</v>
      </c>
      <c r="BN42" s="51">
        <f>AVERAGE(BN30:BN39)</f>
        <v>-4.0404362622911694E-3</v>
      </c>
      <c r="BP42" s="51">
        <f>AVERAGE(BP30:BP39)</f>
        <v>1.0400782118226148E-3</v>
      </c>
      <c r="BQ42" s="51">
        <f>AVERAGE(BQ30:BQ39)</f>
        <v>-4.9721437977596761E-3</v>
      </c>
      <c r="BR42" s="51">
        <f>AVERAGE(BR30:BR39)</f>
        <v>2.5111833487094781E-3</v>
      </c>
      <c r="BS42" s="51">
        <f>AVERAGE(BS30:BS39)</f>
        <v>-3.563905188210037E-3</v>
      </c>
      <c r="BT42" s="51">
        <f>AVERAGE(BT30:BT39)</f>
        <v>-5.2304470636244105E-4</v>
      </c>
    </row>
    <row r="43" spans="1:88" ht="16" x14ac:dyDescent="0.2">
      <c r="B43" s="46" t="s">
        <v>19</v>
      </c>
      <c r="J43" s="47">
        <f>AVERAGE(J5:J39)</f>
        <v>5.2338826769630448E-2</v>
      </c>
      <c r="K43" s="47">
        <f>AVERAGE(K5:K39)</f>
        <v>1.5370715196627222E-2</v>
      </c>
      <c r="L43" s="47">
        <f>AVERAGE(L5:L39)</f>
        <v>1.1124663836394934E-2</v>
      </c>
      <c r="M43" s="47">
        <f>AVERAGE(M5:M39)</f>
        <v>3.696764466126156E-2</v>
      </c>
      <c r="AH43" s="47">
        <f>AVERAGE(AH5:AH39)</f>
        <v>5.2367867408894736E-2</v>
      </c>
      <c r="AI43" s="47">
        <f>AVERAGE(AI5:AI39)</f>
        <v>1.5482069689488452E-2</v>
      </c>
      <c r="AJ43" s="47">
        <f>AVERAGE(AJ5:AJ39)</f>
        <v>1.1124663836394934E-2</v>
      </c>
      <c r="AK43" s="47">
        <f>AVERAGE(AK5:AK39)</f>
        <v>3.6885330807664637E-2</v>
      </c>
      <c r="BE43" s="51">
        <f t="shared" si="12"/>
        <v>1.0072445876094083</v>
      </c>
      <c r="BH43" s="55">
        <f>AVERAGE(BH5:BH39)</f>
        <v>2.7847404444480534E-3</v>
      </c>
      <c r="BJ43" s="51">
        <f>AVERAGE(BJ5:BJ39)</f>
        <v>1.0225564288519205E-2</v>
      </c>
      <c r="BK43" s="51">
        <f>AVERAGE(BK5:BK39)</f>
        <v>1.8165726474549235E-3</v>
      </c>
      <c r="BL43" s="51">
        <f>AVERAGE(BL5:BL39)</f>
        <v>-2.4727215411911108E-3</v>
      </c>
      <c r="BM43" s="51">
        <f>AVERAGE(BM5:BM39)</f>
        <v>-5.2008369558937161E-3</v>
      </c>
      <c r="BN43" s="51">
        <f>AVERAGE(BN5:BN39)</f>
        <v>-3.7119947543057413E-3</v>
      </c>
      <c r="BP43" s="51">
        <f>AVERAGE(BP5:BP39)</f>
        <v>2.9297843642296533E-3</v>
      </c>
      <c r="BQ43" s="51">
        <f>AVERAGE(BQ5:BQ39)</f>
        <v>-1.1505310268282212E-2</v>
      </c>
      <c r="BR43" s="51">
        <f>AVERAGE(BR5:BR39)</f>
        <v>2.0846277812212044E-3</v>
      </c>
      <c r="BS43" s="51">
        <f>AVERAGE(BS5:BS39)</f>
        <v>1.6791855869131251E-4</v>
      </c>
      <c r="BT43" s="51">
        <f>AVERAGE(BT5:BT39)</f>
        <v>1.104188440225719E-3</v>
      </c>
    </row>
    <row r="44" spans="1:88" ht="16" hidden="1" outlineLevel="2" x14ac:dyDescent="0.2">
      <c r="A44" s="46" t="s">
        <v>245</v>
      </c>
      <c r="B44" s="46" t="s">
        <v>246</v>
      </c>
      <c r="AB44" s="48">
        <f>SUM(AB5:AB24,AB25:AB29,AB30:AB39)</f>
        <v>135168.41999999998</v>
      </c>
      <c r="AC44" s="48">
        <f>SUM(AC5:AC24,AC25:AC29,AC30:AC39)</f>
        <v>82533.520000000019</v>
      </c>
      <c r="AD44" s="48">
        <f>SUM(AD5:AD24,AD25:AD29,AD30:AD39)</f>
        <v>4270.6470000000008</v>
      </c>
      <c r="AE44" s="48">
        <f>SUM(AE5:AE24,AE25:AE29,AE30:AE39)</f>
        <v>1158.0800000000002</v>
      </c>
      <c r="AZ44" s="48">
        <f>SUM(AZ5:AZ24,AZ25:AZ29,AZ30:AZ39)</f>
        <v>129350.54999999996</v>
      </c>
      <c r="BA44" s="48">
        <f>SUM(BA5:BA24,BA25:BA29,BA30:BA39)</f>
        <v>75482.259999999995</v>
      </c>
      <c r="BB44" s="48">
        <f>SUM(BB5:BB24,BB25:BB29,BB30:BB39)</f>
        <v>4118.5949999999993</v>
      </c>
      <c r="BC44" s="48">
        <f>SUM(BC5:BC24,BC25:BC29,BC30:BC39)</f>
        <v>1074.588</v>
      </c>
    </row>
    <row r="45" spans="1:88" ht="16" hidden="1" outlineLevel="2" x14ac:dyDescent="0.2">
      <c r="B45" s="46" t="s">
        <v>247</v>
      </c>
      <c r="AZ45" s="55">
        <f>AZ44/AB44</f>
        <v>0.956958363499403</v>
      </c>
      <c r="BA45" s="55">
        <f>BA44/AC44</f>
        <v>0.91456489436049715</v>
      </c>
      <c r="BB45" s="55">
        <f>BB44/AD44</f>
        <v>0.96439602711251915</v>
      </c>
      <c r="BC45" s="55">
        <f>BC44/AE44</f>
        <v>0.92790480795799934</v>
      </c>
    </row>
    <row r="46" spans="1:88" ht="16" hidden="1" outlineLevel="2" x14ac:dyDescent="0.2">
      <c r="B46" s="46" t="s">
        <v>248</v>
      </c>
      <c r="AB46" s="48">
        <f>GEOMEAN(AB5:AB24,AB25:AB29,AB30:AB39)</f>
        <v>3661.567266172869</v>
      </c>
      <c r="AC46" s="48">
        <f>GEOMEAN(AC5:AC24,AC25:AC29,AC30:AC39)</f>
        <v>1917.689771738917</v>
      </c>
      <c r="AD46" s="48">
        <f>GEOMEAN(AD5:AD24,AD25:AD29,AD30:AD39)</f>
        <v>101.69863088113433</v>
      </c>
      <c r="AE46" s="48">
        <f>GEOMEAN(AE5:AE24,AE25:AE29,AE30:AE39)</f>
        <v>26.966284261743187</v>
      </c>
      <c r="AZ46" s="48">
        <f>GEOMEAN(AZ5:AZ24,AZ25:AZ29,AZ30:AZ39)</f>
        <v>3492.2478606111981</v>
      </c>
      <c r="BA46" s="48">
        <f>GEOMEAN(BA5:BA24,BA25:BA29,BA30:BA39)</f>
        <v>1822.0842542554592</v>
      </c>
      <c r="BB46" s="48">
        <f>GEOMEAN(BB5:BB24,BB25:BB29,BB30:BB39)</f>
        <v>99.196935921512306</v>
      </c>
      <c r="BC46" s="48">
        <f>GEOMEAN(BC5:BC24,BC25:BC29,BC30:BC39)</f>
        <v>25.831628560921537</v>
      </c>
    </row>
    <row r="47" spans="1:88" ht="16" outlineLevel="2" collapsed="1" x14ac:dyDescent="0.2">
      <c r="B47" s="46" t="s">
        <v>249</v>
      </c>
      <c r="AZ47" s="55">
        <f>AZ46/AB46</f>
        <v>0.95375766898346614</v>
      </c>
      <c r="BA47" s="55">
        <f>BA46/AC46</f>
        <v>0.95014547248861592</v>
      </c>
      <c r="BB47" s="55">
        <f>BB46/AD46</f>
        <v>0.97540089834104038</v>
      </c>
      <c r="BC47" s="55">
        <f>BC46/AE46</f>
        <v>0.95792317214309819</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J5" activePane="bottomRight" state="frozen"/>
      <selection pane="topRight" activeCell="C1" sqref="C1"/>
      <selection pane="bottomLeft" activeCell="A5" sqref="A5"/>
      <selection pane="bottomRight" activeCell="AS64" sqref="AS64"/>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1.0420199999999999</v>
      </c>
      <c r="J5" s="11">
        <f t="shared" ref="J5:J39" si="1">IF(ISBLANK(S5),"·",S5/D5)</f>
        <v>4.6672468784126984E-3</v>
      </c>
      <c r="K5" s="11">
        <f t="shared" ref="K5:K39" si="2">IF(N5="","·",N5/D5)</f>
        <v>4.0543129624836518E-3</v>
      </c>
      <c r="L5" s="11">
        <f t="shared" ref="L5:L39" si="3">IF(T5="","·",T5/D5)</f>
        <v>2.5510359298285567E-3</v>
      </c>
      <c r="M5" s="11">
        <f t="shared" ref="M5:M39" si="4">IF(ISBLANK(V5),"·",V5/D5)</f>
        <v>6.1239643140340516E-4</v>
      </c>
      <c r="N5" s="52">
        <f t="shared" ref="N5:N39" si="5">IF(OR(ISBLANK(T5),ISBLANK(U5)),"",T5+U5)</f>
        <v>965520</v>
      </c>
      <c r="O5" s="11">
        <v>16</v>
      </c>
      <c r="P5" s="12">
        <v>23582209</v>
      </c>
      <c r="Q5" s="12">
        <v>736944.03125</v>
      </c>
      <c r="R5" s="12">
        <v>16984.9375</v>
      </c>
      <c r="S5" s="13">
        <v>1111488</v>
      </c>
      <c r="T5" s="13">
        <v>607520</v>
      </c>
      <c r="U5" s="13">
        <v>358000</v>
      </c>
      <c r="V5" s="13">
        <v>145840</v>
      </c>
      <c r="W5" s="14">
        <v>66.845706000000007</v>
      </c>
      <c r="X5" s="14">
        <v>68.619974999999997</v>
      </c>
      <c r="Y5" s="14">
        <v>31.719308999999999</v>
      </c>
      <c r="Z5" s="14">
        <v>44.569031000000003</v>
      </c>
      <c r="AA5" s="14">
        <v>44.236403000000003</v>
      </c>
      <c r="AB5" s="15">
        <v>3641</v>
      </c>
      <c r="AC5" s="15">
        <v>2952.7</v>
      </c>
      <c r="AD5" s="15">
        <v>64.093999999999994</v>
      </c>
      <c r="AE5" s="15">
        <v>14.217000000000001</v>
      </c>
      <c r="AG5" s="10">
        <f t="shared" ref="AG5:AG39" si="6">IF(OR(ISBLANK(AQ5),ISBLANK(G5)),"·",AQ5*G5/F5/1000000)</f>
        <v>1.0481625000000001</v>
      </c>
      <c r="AH5" s="11">
        <f t="shared" ref="AH5:AH39" si="7">IF(ISBLANK(AQ5),"·",AQ5/D5)</f>
        <v>4.694759367569001E-3</v>
      </c>
      <c r="AI5" s="11">
        <f t="shared" ref="AI5:AI39" si="8">IF(AL5="","·",AL5/D5)</f>
        <v>4.0832363485197639E-3</v>
      </c>
      <c r="AJ5" s="11">
        <f t="shared" ref="AJ5:AJ39" si="9">IF(AR5="","·",AR5/D5)</f>
        <v>2.5510359298285567E-3</v>
      </c>
      <c r="AK5" s="11">
        <f t="shared" ref="AK5:AK39" si="10">IF(ISBLANK(AT5),"·",AT5/D5)</f>
        <v>6.1098553452359474E-4</v>
      </c>
      <c r="AL5" s="52">
        <f t="shared" ref="AL5:AL39" si="11">IF(OR(ISBLANK(AR5),ISBLANK(AS5)),"",AR5+AS5)</f>
        <v>972408</v>
      </c>
      <c r="AM5" s="11">
        <v>16</v>
      </c>
      <c r="AN5" s="12">
        <v>23536668</v>
      </c>
      <c r="AO5" s="12">
        <v>735520.875</v>
      </c>
      <c r="AP5" s="12">
        <v>16460.09375</v>
      </c>
      <c r="AQ5" s="13">
        <v>1118040</v>
      </c>
      <c r="AR5" s="13">
        <v>607520</v>
      </c>
      <c r="AS5" s="13">
        <v>364888</v>
      </c>
      <c r="AT5" s="13">
        <v>145504</v>
      </c>
      <c r="AU5" s="14">
        <v>66.839538000000005</v>
      </c>
      <c r="AV5" s="14">
        <v>68.633646999999996</v>
      </c>
      <c r="AW5" s="14">
        <v>31.764140999999999</v>
      </c>
      <c r="AX5" s="14">
        <v>44.573269000000003</v>
      </c>
      <c r="AY5" s="14">
        <v>44.151856000000002</v>
      </c>
      <c r="AZ5" s="15">
        <v>3742.73</v>
      </c>
      <c r="BA5" s="15">
        <v>2945.97</v>
      </c>
      <c r="BB5" s="15">
        <v>65.748000000000005</v>
      </c>
      <c r="BC5" s="15">
        <v>15.031000000000001</v>
      </c>
      <c r="BE5" s="50">
        <f t="shared" ref="BE5:BE43" si="12">AI5/K5</f>
        <v>1.007133979617201</v>
      </c>
      <c r="BF5" s="16">
        <f t="shared" ref="BF5:BF39" si="13">(AP5/AO5) - (R5/Q5)</f>
        <v>-6.689723545771839E-4</v>
      </c>
      <c r="BG5" s="16">
        <f t="shared" ref="BG5:BG39" si="14">(AL5/AQ5) - (N5/S5)</f>
        <v>1.0701336597985778E-3</v>
      </c>
      <c r="BH5" s="16">
        <f t="array" ref="BH5">AVERAGE(AL5:AL9/AQ5:AQ9) - AVERAGE(N5:N9/S5:S9)</f>
        <v>1.3263902133012762E-3</v>
      </c>
      <c r="BJ5" s="50">
        <f>IF( OR(ISBLANK(N5:N9),ISBLANK(AL5:AL9), ISBLANK(W5:W9),ISBLANK(AU5:AU9)), "·", bdRateExtend( N5:N9,W5:W9, AL5:AL9,AU5:AU9))</f>
        <v>4.0988220796225328E-3</v>
      </c>
      <c r="BK5" s="50">
        <f>IF( OR(ISBLANK(N5:N9),ISBLANK(AL5:AL9), ISBLANK(X5:X9),ISBLANK(AV5:AV9)), "·", bdRateExtend( N5:N9,X5:X9, AL5:AL9,AV5:AV9))</f>
        <v>1.2963157609879872E-3</v>
      </c>
      <c r="BL5" s="50">
        <f>IF( OR(ISBLANK(V5:V9),ISBLANK(AT5:AT9), ISBLANK(Y5:Y9),ISBLANK(AW5:AW9)), "·", bdRateExtend( V5:V9,Y5:Y9, AT5:AT9,AW5:AW9))</f>
        <v>-3.9724386862061145E-3</v>
      </c>
      <c r="BM5" s="50">
        <f>IF( OR(ISBLANK(V5:V9),ISBLANK(AT5:AT9), ISBLANK(Z5:Z9),ISBLANK(AX5:AX9)), "·", bdRateExtend( V5:V9,Z5:Z9, AT5:AT9,AX5:AX9))</f>
        <v>1.050111151017874E-2</v>
      </c>
      <c r="BN5" s="50">
        <f>IF( OR(ISBLANK(V5:V9),ISBLANK(AT5:AT9), ISBLANK(AA5:AA9),ISBLANK(AY5:AY9)), "·", bdRateExtend( V5:V9,AA5:AA9, AT5:AT9,AY5:AY9))</f>
        <v>2.2608126201006717E-2</v>
      </c>
      <c r="BP5" s="50">
        <f>IF( OR(ISBLANK(S5:S9),ISBLANK(AQ5:AQ9), ISBLANK(W5:W9),ISBLANK(AU5:AU9)), "·", bdRateExtend( S5:S9,W5:W9, AQ5:AQ9,AU5:AU9))</f>
        <v>1.7580889866797289E-3</v>
      </c>
      <c r="BQ5" s="50">
        <f>IF( OR(ISBLANK(S5:S9),ISBLANK(AQ5:AQ9), ISBLANK(X5:X9),ISBLANK(AV5:AV9)), "·", bdRateExtend( S5:S9,X5:X9, AQ5:AQ9,AV5:AV9))</f>
        <v>-2.0253268057300877E-3</v>
      </c>
      <c r="BR5" s="50">
        <f>IF( OR(ISBLANK(S5:S9),ISBLANK(AQ5:AQ9), ISBLANK(Y5:Y9),ISBLANK(AW5:AW9)), "·", bdRateExtend( S5:S9,Y5:Y9, AQ5:AQ9,AW5:AW9))</f>
        <v>2.6389396917025909E-3</v>
      </c>
      <c r="BS5" s="50">
        <f>IF( OR(ISBLANK(S5:S9),ISBLANK(AQ5:AQ9), ISBLANK(Z5:Z9),ISBLANK(AX5:AX9)), "·", bdRateExtend( S5:S9,Z5:Z9, AQ5:AQ9,AX5:AX9))</f>
        <v>1.0775812977513732E-2</v>
      </c>
      <c r="BT5" s="50">
        <f>IF( OR(ISBLANK(S5:S9),ISBLANK(AQ5:AQ9), ISBLANK(AA5:AA9),ISBLANK(AY5:AY9)), "·", bdRateExtend( S5:S9,AA5:AA9, AQ5:AQ9,AY5:AY9))</f>
        <v>1.6328132895582215E-2</v>
      </c>
      <c r="BV5" s="58">
        <f>AN5-P5</f>
        <v>-45541</v>
      </c>
      <c r="BW5" s="58">
        <f t="shared" ref="BW5:CG20" si="15">AO5-Q5</f>
        <v>-1423.15625</v>
      </c>
      <c r="BX5" s="58">
        <f t="shared" si="15"/>
        <v>-524.84375</v>
      </c>
      <c r="BY5" s="58">
        <f t="shared" si="15"/>
        <v>6552</v>
      </c>
      <c r="BZ5" s="58">
        <f t="shared" si="15"/>
        <v>0</v>
      </c>
      <c r="CA5" s="58">
        <f t="shared" si="15"/>
        <v>6888</v>
      </c>
      <c r="CB5" s="58">
        <f t="shared" si="15"/>
        <v>-336</v>
      </c>
      <c r="CC5" s="58">
        <f t="shared" si="15"/>
        <v>-6.1680000000023938E-3</v>
      </c>
      <c r="CD5" s="58">
        <f t="shared" si="15"/>
        <v>1.3671999999999684E-2</v>
      </c>
      <c r="CE5" s="58">
        <f t="shared" si="15"/>
        <v>4.4831999999999539E-2</v>
      </c>
      <c r="CF5" s="58">
        <f t="shared" si="15"/>
        <v>4.2380000000008522E-3</v>
      </c>
      <c r="CG5" s="58">
        <f t="shared" si="15"/>
        <v>-8.4547000000000594E-2</v>
      </c>
      <c r="CJ5" t="s">
        <v>233</v>
      </c>
    </row>
    <row r="6" spans="1:88" outlineLevel="1" x14ac:dyDescent="0.2">
      <c r="A6" s="17"/>
      <c r="B6" s="17" t="s">
        <v>51</v>
      </c>
      <c r="C6" s="18" t="s">
        <v>234</v>
      </c>
      <c r="D6" s="17">
        <v>238146391</v>
      </c>
      <c r="E6" s="18">
        <v>10</v>
      </c>
      <c r="F6" s="18">
        <v>32</v>
      </c>
      <c r="G6" s="18">
        <v>30</v>
      </c>
      <c r="I6" s="19">
        <f t="shared" si="0"/>
        <v>1.3546425</v>
      </c>
      <c r="J6" s="20">
        <f t="shared" si="1"/>
        <v>6.0674948460587843E-3</v>
      </c>
      <c r="K6" s="20">
        <f t="shared" si="2"/>
        <v>4.9445888936439936E-3</v>
      </c>
      <c r="L6" s="20">
        <f t="shared" si="3"/>
        <v>3.4412782682060462E-3</v>
      </c>
      <c r="M6" s="20">
        <f t="shared" si="4"/>
        <v>1.1223684678891481E-3</v>
      </c>
      <c r="N6" s="17">
        <f t="shared" si="5"/>
        <v>1177536</v>
      </c>
      <c r="O6" s="20">
        <v>16</v>
      </c>
      <c r="P6" s="21">
        <v>24777501</v>
      </c>
      <c r="Q6" s="21">
        <v>774296.90625</v>
      </c>
      <c r="R6" s="21">
        <v>19924.3125</v>
      </c>
      <c r="S6" s="22">
        <v>1444952</v>
      </c>
      <c r="T6" s="22">
        <v>819528</v>
      </c>
      <c r="U6" s="22">
        <v>358008</v>
      </c>
      <c r="V6" s="22">
        <v>267288</v>
      </c>
      <c r="W6" s="23">
        <v>68.552897000000002</v>
      </c>
      <c r="X6" s="23">
        <v>70.622062</v>
      </c>
      <c r="Y6" s="23">
        <v>33.797455999999997</v>
      </c>
      <c r="Z6" s="23">
        <v>45.493313000000001</v>
      </c>
      <c r="AA6" s="23">
        <v>45.153953000000001</v>
      </c>
      <c r="AB6" s="24">
        <v>3717.33</v>
      </c>
      <c r="AC6" s="24">
        <v>3154.29</v>
      </c>
      <c r="AD6" s="24">
        <v>65.477000000000004</v>
      </c>
      <c r="AE6" s="24">
        <v>15.199</v>
      </c>
      <c r="AG6" s="19">
        <f t="shared" si="6"/>
        <v>1.3595474999999999</v>
      </c>
      <c r="AH6" s="20">
        <f t="shared" si="7"/>
        <v>6.0894645260444026E-3</v>
      </c>
      <c r="AI6" s="20">
        <f t="shared" si="8"/>
        <v>4.9734786868972543E-3</v>
      </c>
      <c r="AJ6" s="20">
        <f t="shared" si="9"/>
        <v>3.4412782682060462E-3</v>
      </c>
      <c r="AK6" s="20">
        <f t="shared" si="10"/>
        <v>1.1154483546215066E-3</v>
      </c>
      <c r="AL6" s="17">
        <f t="shared" si="11"/>
        <v>1184416</v>
      </c>
      <c r="AM6" s="20">
        <v>16</v>
      </c>
      <c r="AN6" s="21">
        <v>24732127</v>
      </c>
      <c r="AO6" s="21">
        <v>772878.96875</v>
      </c>
      <c r="AP6" s="21">
        <v>19355.875</v>
      </c>
      <c r="AQ6" s="22">
        <v>1450184</v>
      </c>
      <c r="AR6" s="22">
        <v>819528</v>
      </c>
      <c r="AS6" s="22">
        <v>364888</v>
      </c>
      <c r="AT6" s="22">
        <v>265640</v>
      </c>
      <c r="AU6" s="23">
        <v>68.546808999999996</v>
      </c>
      <c r="AV6" s="23">
        <v>70.637108999999995</v>
      </c>
      <c r="AW6" s="23">
        <v>33.798105999999997</v>
      </c>
      <c r="AX6" s="23">
        <v>45.479255999999999</v>
      </c>
      <c r="AY6" s="23">
        <v>45.085490999999998</v>
      </c>
      <c r="AZ6" s="24">
        <v>3295.5</v>
      </c>
      <c r="BA6" s="24">
        <v>2985.33</v>
      </c>
      <c r="BB6" s="24">
        <v>62.487000000000002</v>
      </c>
      <c r="BC6" s="24">
        <v>13.935</v>
      </c>
      <c r="BE6" s="49">
        <f t="shared" si="12"/>
        <v>1.0058427088428721</v>
      </c>
      <c r="BF6" s="25">
        <f t="shared" si="13"/>
        <v>-6.8827198355329855E-4</v>
      </c>
      <c r="BG6" s="25">
        <f t="shared" si="14"/>
        <v>1.8041032404485513E-3</v>
      </c>
      <c r="BH6" s="25"/>
      <c r="BJ6" s="49"/>
      <c r="BK6" s="49"/>
      <c r="BL6" s="49"/>
      <c r="BM6" s="49"/>
      <c r="BN6" s="49"/>
      <c r="BP6" s="49"/>
      <c r="BQ6" s="49"/>
      <c r="BR6" s="49"/>
      <c r="BS6" s="49"/>
      <c r="BT6" s="49"/>
      <c r="BV6" s="58">
        <f t="shared" ref="BV6:CG39" si="16">AN6-P6</f>
        <v>-45374</v>
      </c>
      <c r="BW6" s="58">
        <f t="shared" si="15"/>
        <v>-1417.9375</v>
      </c>
      <c r="BX6" s="58">
        <f t="shared" si="15"/>
        <v>-568.4375</v>
      </c>
      <c r="BY6" s="58">
        <f t="shared" si="15"/>
        <v>5232</v>
      </c>
      <c r="BZ6" s="58">
        <f t="shared" si="15"/>
        <v>0</v>
      </c>
      <c r="CA6" s="58">
        <f t="shared" si="15"/>
        <v>6880</v>
      </c>
      <c r="CB6" s="58">
        <f t="shared" si="15"/>
        <v>-1648</v>
      </c>
      <c r="CC6" s="58">
        <f t="shared" si="15"/>
        <v>-6.0880000000054224E-3</v>
      </c>
      <c r="CD6" s="58">
        <f t="shared" si="15"/>
        <v>1.5046999999995592E-2</v>
      </c>
      <c r="CE6" s="58">
        <f t="shared" si="15"/>
        <v>6.5000000000026148E-4</v>
      </c>
      <c r="CF6" s="58">
        <f t="shared" si="15"/>
        <v>-1.4057000000001096E-2</v>
      </c>
      <c r="CG6" s="58">
        <f t="shared" si="15"/>
        <v>-6.8462000000003798E-2</v>
      </c>
      <c r="CJ6" t="s">
        <v>233</v>
      </c>
    </row>
    <row r="7" spans="1:88" outlineLevel="1" x14ac:dyDescent="0.2">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3382.07</v>
      </c>
      <c r="AC7" s="15">
        <v>3213.01</v>
      </c>
      <c r="AD7" s="15">
        <v>64.808999999999997</v>
      </c>
      <c r="AE7" s="15">
        <v>14.382999999999999</v>
      </c>
      <c r="AG7" s="10">
        <f t="shared" si="6"/>
        <v>1.8788625000000001</v>
      </c>
      <c r="AH7" s="11">
        <f t="shared" si="7"/>
        <v>8.4154959963260584E-3</v>
      </c>
      <c r="AI7" s="11">
        <f t="shared" si="8"/>
        <v>6.1720691790790143E-3</v>
      </c>
      <c r="AJ7" s="11">
        <f t="shared" si="9"/>
        <v>4.6399023531706598E-3</v>
      </c>
      <c r="AK7" s="11">
        <f t="shared" si="10"/>
        <v>2.2428893327214017E-3</v>
      </c>
      <c r="AL7" s="52">
        <f t="shared" si="11"/>
        <v>1469856</v>
      </c>
      <c r="AM7" s="11">
        <v>16</v>
      </c>
      <c r="AN7" s="12">
        <v>24878799</v>
      </c>
      <c r="AO7" s="12">
        <v>777462.46875</v>
      </c>
      <c r="AP7" s="12">
        <v>20505.5625</v>
      </c>
      <c r="AQ7" s="13">
        <v>2004120</v>
      </c>
      <c r="AR7" s="13">
        <v>1104976</v>
      </c>
      <c r="AS7" s="13">
        <v>364880</v>
      </c>
      <c r="AT7" s="13">
        <v>534136</v>
      </c>
      <c r="AU7" s="14">
        <v>69.828856000000002</v>
      </c>
      <c r="AV7" s="14">
        <v>72.293091000000004</v>
      </c>
      <c r="AW7" s="14">
        <v>36.178553000000001</v>
      </c>
      <c r="AX7" s="14">
        <v>46.827252999999999</v>
      </c>
      <c r="AY7" s="14">
        <v>46.597966</v>
      </c>
      <c r="AZ7" s="15">
        <v>3377.36</v>
      </c>
      <c r="BA7" s="15">
        <v>3311.43</v>
      </c>
      <c r="BB7" s="15">
        <v>63.676000000000002</v>
      </c>
      <c r="BC7" s="15">
        <v>14.680999999999999</v>
      </c>
      <c r="BE7" s="50">
        <f t="shared" si="12"/>
        <v>1.004697248910446</v>
      </c>
      <c r="BF7" s="16">
        <f t="shared" si="13"/>
        <v>-7.2194851973555324E-4</v>
      </c>
      <c r="BG7" s="16">
        <f t="shared" si="14"/>
        <v>1.8754158104139496E-3</v>
      </c>
      <c r="BH7" s="16"/>
      <c r="BJ7" s="50"/>
      <c r="BK7" s="50"/>
      <c r="BL7" s="50"/>
      <c r="BM7" s="50"/>
      <c r="BN7" s="50"/>
      <c r="BP7" s="50"/>
      <c r="BQ7" s="50"/>
      <c r="BR7" s="50"/>
      <c r="BS7" s="50"/>
      <c r="BT7" s="50"/>
      <c r="BV7" s="58">
        <f t="shared" si="16"/>
        <v>-44905</v>
      </c>
      <c r="BW7" s="58">
        <f t="shared" si="15"/>
        <v>-1403.28125</v>
      </c>
      <c r="BX7" s="58">
        <f t="shared" si="15"/>
        <v>-599.3125</v>
      </c>
      <c r="BY7" s="58">
        <f t="shared" si="15"/>
        <v>4256</v>
      </c>
      <c r="BZ7" s="58">
        <f t="shared" si="15"/>
        <v>0</v>
      </c>
      <c r="CA7" s="58">
        <f t="shared" si="15"/>
        <v>6872</v>
      </c>
      <c r="CB7" s="58">
        <f t="shared" si="15"/>
        <v>-2616</v>
      </c>
      <c r="CC7" s="58">
        <f t="shared" si="15"/>
        <v>-8.5779999999999745E-3</v>
      </c>
      <c r="CD7" s="58">
        <f t="shared" si="15"/>
        <v>1.891900000001101E-2</v>
      </c>
      <c r="CE7" s="58">
        <f t="shared" si="15"/>
        <v>-1.1193999999996151E-2</v>
      </c>
      <c r="CF7" s="58">
        <f t="shared" si="15"/>
        <v>-5.69500000000005E-2</v>
      </c>
      <c r="CG7" s="58">
        <f t="shared" si="15"/>
        <v>-6.6611999999999227E-2</v>
      </c>
      <c r="CJ7" t="s">
        <v>233</v>
      </c>
    </row>
    <row r="8" spans="1:88" outlineLevel="1" x14ac:dyDescent="0.2">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4273.3500000000004</v>
      </c>
      <c r="AC8" s="24">
        <v>4478.22</v>
      </c>
      <c r="AD8" s="24">
        <v>81.366</v>
      </c>
      <c r="AE8" s="24">
        <v>18.864000000000001</v>
      </c>
      <c r="AG8" s="19">
        <f t="shared" si="6"/>
        <v>3.0933975</v>
      </c>
      <c r="AH8" s="20">
        <f t="shared" si="7"/>
        <v>1.3855444065914902E-2</v>
      </c>
      <c r="AI8" s="20">
        <f t="shared" si="8"/>
        <v>8.8865675902684588E-3</v>
      </c>
      <c r="AJ8" s="20">
        <f t="shared" si="9"/>
        <v>7.3544007643601035E-3</v>
      </c>
      <c r="AK8" s="20">
        <f t="shared" si="10"/>
        <v>4.9683389911208018E-3</v>
      </c>
      <c r="AL8" s="17">
        <f t="shared" si="11"/>
        <v>2116304</v>
      </c>
      <c r="AM8" s="20">
        <v>16</v>
      </c>
      <c r="AN8" s="21">
        <v>25848294</v>
      </c>
      <c r="AO8" s="21">
        <v>807759.1875</v>
      </c>
      <c r="AP8" s="21">
        <v>23714.4375</v>
      </c>
      <c r="AQ8" s="22">
        <v>3299624</v>
      </c>
      <c r="AR8" s="22">
        <v>1751424</v>
      </c>
      <c r="AS8" s="22">
        <v>364880</v>
      </c>
      <c r="AT8" s="22">
        <v>1183192</v>
      </c>
      <c r="AU8" s="23">
        <v>70.916600000000003</v>
      </c>
      <c r="AV8" s="23">
        <v>73.482847000000007</v>
      </c>
      <c r="AW8" s="23">
        <v>38.662883999999998</v>
      </c>
      <c r="AX8" s="23">
        <v>48.100580999999998</v>
      </c>
      <c r="AY8" s="23">
        <v>48.114052999999998</v>
      </c>
      <c r="AZ8" s="24">
        <v>3433.45</v>
      </c>
      <c r="BA8" s="24">
        <v>3460.69</v>
      </c>
      <c r="BB8" s="24">
        <v>63.828000000000003</v>
      </c>
      <c r="BC8" s="24">
        <v>14.077999999999999</v>
      </c>
      <c r="BE8" s="49">
        <f t="shared" si="12"/>
        <v>1.0032615538649414</v>
      </c>
      <c r="BF8" s="25">
        <f t="shared" si="13"/>
        <v>-7.4860042924599843E-4</v>
      </c>
      <c r="BG8" s="25">
        <f t="shared" si="14"/>
        <v>1.868015743186735E-3</v>
      </c>
      <c r="BH8" s="25"/>
      <c r="BJ8" s="49"/>
      <c r="BK8" s="49"/>
      <c r="BL8" s="49"/>
      <c r="BM8" s="49"/>
      <c r="BN8" s="49"/>
      <c r="BP8" s="49"/>
      <c r="BQ8" s="49"/>
      <c r="BR8" s="49"/>
      <c r="BS8" s="49"/>
      <c r="BT8" s="49"/>
      <c r="BV8" s="58">
        <f t="shared" si="16"/>
        <v>-46267</v>
      </c>
      <c r="BW8" s="58">
        <f t="shared" si="15"/>
        <v>-1445.84375</v>
      </c>
      <c r="BX8" s="58">
        <f t="shared" si="15"/>
        <v>-648.21875</v>
      </c>
      <c r="BY8" s="58">
        <f t="shared" si="15"/>
        <v>1120</v>
      </c>
      <c r="BZ8" s="58">
        <f t="shared" si="15"/>
        <v>0</v>
      </c>
      <c r="CA8" s="58">
        <f t="shared" si="15"/>
        <v>6880</v>
      </c>
      <c r="CB8" s="58">
        <f t="shared" si="15"/>
        <v>-5760</v>
      </c>
      <c r="CC8" s="58">
        <f t="shared" si="15"/>
        <v>1.7218999999997209E-2</v>
      </c>
      <c r="CD8" s="58">
        <f t="shared" si="15"/>
        <v>2.2572000000010917E-2</v>
      </c>
      <c r="CE8" s="58">
        <f t="shared" si="15"/>
        <v>-9.0190000000021087E-3</v>
      </c>
      <c r="CF8" s="58">
        <f t="shared" si="15"/>
        <v>-2.1916000000004487E-2</v>
      </c>
      <c r="CG8" s="58">
        <f t="shared" si="15"/>
        <v>-2.7469000000003518E-2</v>
      </c>
      <c r="CJ8" t="s">
        <v>233</v>
      </c>
    </row>
    <row r="9" spans="1:88" ht="16" outlineLevel="1" thickBot="1" x14ac:dyDescent="0.25">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3431.39</v>
      </c>
      <c r="AC9" s="33">
        <v>3972.82</v>
      </c>
      <c r="AD9" s="33">
        <v>64.415999999999997</v>
      </c>
      <c r="AE9" s="33">
        <v>16.875</v>
      </c>
      <c r="AG9" s="28">
        <f t="shared" si="6"/>
        <v>6.3192824999999999</v>
      </c>
      <c r="AH9" s="29">
        <f t="shared" si="7"/>
        <v>2.8304304640921474E-2</v>
      </c>
      <c r="AI9" s="29">
        <f t="shared" si="8"/>
        <v>1.5595650996029581E-2</v>
      </c>
      <c r="AJ9" s="29">
        <f t="shared" si="9"/>
        <v>1.2147654171253009E-2</v>
      </c>
      <c r="AK9" s="29">
        <f t="shared" si="10"/>
        <v>1.2708116160366252E-2</v>
      </c>
      <c r="AL9" s="26">
        <f t="shared" si="11"/>
        <v>3714048</v>
      </c>
      <c r="AM9" s="29">
        <v>16</v>
      </c>
      <c r="AN9" s="30">
        <v>24896333</v>
      </c>
      <c r="AO9" s="30">
        <v>778010.40625</v>
      </c>
      <c r="AP9" s="30">
        <v>10485.90625</v>
      </c>
      <c r="AQ9" s="31">
        <v>6740568</v>
      </c>
      <c r="AR9" s="31">
        <v>2892920</v>
      </c>
      <c r="AS9" s="31">
        <v>821128</v>
      </c>
      <c r="AT9" s="31">
        <v>3026392</v>
      </c>
      <c r="AU9" s="32">
        <v>71.927456000000006</v>
      </c>
      <c r="AV9" s="32">
        <v>75.246831</v>
      </c>
      <c r="AW9" s="32">
        <v>41.143866000000003</v>
      </c>
      <c r="AX9" s="32">
        <v>49.538302999999999</v>
      </c>
      <c r="AY9" s="32">
        <v>49.673324999999998</v>
      </c>
      <c r="AZ9" s="33">
        <v>3628.13</v>
      </c>
      <c r="BA9" s="33">
        <v>4043.72</v>
      </c>
      <c r="BB9" s="33">
        <v>62.372</v>
      </c>
      <c r="BC9" s="33">
        <v>16.475000000000001</v>
      </c>
      <c r="BE9" s="34">
        <f t="shared" si="12"/>
        <v>1.0018558640989566</v>
      </c>
      <c r="BF9" s="35">
        <f t="shared" si="13"/>
        <v>-1.2102937648261758E-4</v>
      </c>
      <c r="BG9" s="35">
        <f t="shared" si="14"/>
        <v>1.4282612658012006E-5</v>
      </c>
      <c r="BH9" s="35"/>
      <c r="BJ9" s="34"/>
      <c r="BK9" s="34"/>
      <c r="BL9" s="34"/>
      <c r="BM9" s="34"/>
      <c r="BN9" s="34"/>
      <c r="BP9" s="34"/>
      <c r="BQ9" s="34"/>
      <c r="BR9" s="34"/>
      <c r="BS9" s="34"/>
      <c r="BT9" s="34"/>
      <c r="BV9" s="58">
        <f t="shared" si="16"/>
        <v>-6825</v>
      </c>
      <c r="BW9" s="58">
        <f t="shared" si="15"/>
        <v>-213.28125</v>
      </c>
      <c r="BX9" s="58">
        <f t="shared" si="15"/>
        <v>-97.0625</v>
      </c>
      <c r="BY9" s="58">
        <f t="shared" si="15"/>
        <v>12312</v>
      </c>
      <c r="BZ9" s="58">
        <f t="shared" si="15"/>
        <v>0</v>
      </c>
      <c r="CA9" s="58">
        <f t="shared" si="15"/>
        <v>6880</v>
      </c>
      <c r="CB9" s="58">
        <f t="shared" si="15"/>
        <v>5432</v>
      </c>
      <c r="CC9" s="58">
        <f t="shared" si="15"/>
        <v>-4.5879999999982601E-3</v>
      </c>
      <c r="CD9" s="58">
        <f t="shared" si="15"/>
        <v>6.6499999999791726E-4</v>
      </c>
      <c r="CE9" s="58">
        <f t="shared" si="15"/>
        <v>8.2250000000030354E-3</v>
      </c>
      <c r="CF9" s="58">
        <f t="shared" si="15"/>
        <v>-7.1590000000014697E-3</v>
      </c>
      <c r="CG9" s="58">
        <f t="shared" si="15"/>
        <v>-1.3263000000002023E-2</v>
      </c>
      <c r="CJ9" t="s">
        <v>233</v>
      </c>
    </row>
    <row r="10" spans="1:88" x14ac:dyDescent="0.2">
      <c r="A10" s="17"/>
      <c r="B10" s="17" t="s">
        <v>59</v>
      </c>
      <c r="C10" s="18" t="s">
        <v>232</v>
      </c>
      <c r="D10" s="17">
        <v>218121242</v>
      </c>
      <c r="E10" s="18">
        <v>10</v>
      </c>
      <c r="F10" s="18">
        <v>32</v>
      </c>
      <c r="G10" s="18">
        <v>30</v>
      </c>
      <c r="I10" s="19">
        <f t="shared" si="0"/>
        <v>1.9556549999999999</v>
      </c>
      <c r="J10" s="20">
        <f t="shared" si="1"/>
        <v>9.5636352556620775E-3</v>
      </c>
      <c r="K10" s="20">
        <f t="shared" si="2"/>
        <v>7.148097937201366E-3</v>
      </c>
      <c r="L10" s="20">
        <f t="shared" si="3"/>
        <v>4.1104845716952226E-3</v>
      </c>
      <c r="M10" s="20">
        <f t="shared" si="4"/>
        <v>2.4149504888661875E-3</v>
      </c>
      <c r="N10" s="17">
        <f t="shared" si="5"/>
        <v>1559152</v>
      </c>
      <c r="O10" s="20">
        <v>16</v>
      </c>
      <c r="P10" s="21">
        <v>20942558</v>
      </c>
      <c r="Q10" s="21">
        <v>654454.9375</v>
      </c>
      <c r="R10" s="21">
        <v>18943.59375</v>
      </c>
      <c r="S10" s="22">
        <v>2086032</v>
      </c>
      <c r="T10" s="22">
        <v>896584</v>
      </c>
      <c r="U10" s="22">
        <v>662568</v>
      </c>
      <c r="V10" s="22">
        <v>526752</v>
      </c>
      <c r="W10" s="23">
        <v>65.984049999999996</v>
      </c>
      <c r="X10" s="23">
        <v>67.859694000000005</v>
      </c>
      <c r="Y10" s="23">
        <v>31.012543999999998</v>
      </c>
      <c r="Z10" s="23">
        <v>38.769036999999997</v>
      </c>
      <c r="AA10" s="23">
        <v>30.066780999999999</v>
      </c>
      <c r="AB10" s="24">
        <v>4440.3500000000004</v>
      </c>
      <c r="AC10" s="24">
        <v>4882.41</v>
      </c>
      <c r="AD10" s="24">
        <v>62.63</v>
      </c>
      <c r="AE10" s="24">
        <v>22.657</v>
      </c>
      <c r="AG10" s="19">
        <f t="shared" si="6"/>
        <v>1.98366</v>
      </c>
      <c r="AH10" s="20">
        <f t="shared" si="7"/>
        <v>9.7005866122841893E-3</v>
      </c>
      <c r="AI10" s="20">
        <f t="shared" si="8"/>
        <v>7.2945852747344983E-3</v>
      </c>
      <c r="AJ10" s="20">
        <f t="shared" si="9"/>
        <v>4.1104845716952226E-3</v>
      </c>
      <c r="AK10" s="20">
        <f t="shared" si="10"/>
        <v>2.4054145079551673E-3</v>
      </c>
      <c r="AL10" s="17">
        <f t="shared" si="11"/>
        <v>1591104</v>
      </c>
      <c r="AM10" s="20">
        <v>16</v>
      </c>
      <c r="AN10" s="21">
        <v>20842248</v>
      </c>
      <c r="AO10" s="21">
        <v>651320.25</v>
      </c>
      <c r="AP10" s="21">
        <v>18082.59375</v>
      </c>
      <c r="AQ10" s="22">
        <v>2115904</v>
      </c>
      <c r="AR10" s="22">
        <v>896584</v>
      </c>
      <c r="AS10" s="22">
        <v>694520</v>
      </c>
      <c r="AT10" s="22">
        <v>524672</v>
      </c>
      <c r="AU10" s="23">
        <v>65.963138000000001</v>
      </c>
      <c r="AV10" s="23">
        <v>67.907909000000004</v>
      </c>
      <c r="AW10" s="23">
        <v>31.013316</v>
      </c>
      <c r="AX10" s="23">
        <v>38.709868999999998</v>
      </c>
      <c r="AY10" s="23">
        <v>30.082597</v>
      </c>
      <c r="AZ10" s="24">
        <v>3098.06</v>
      </c>
      <c r="BA10" s="24">
        <v>3169.29</v>
      </c>
      <c r="BB10" s="24">
        <v>50.215000000000003</v>
      </c>
      <c r="BC10" s="24">
        <v>13.782999999999999</v>
      </c>
      <c r="BE10" s="49">
        <f t="shared" si="12"/>
        <v>1.020493191170585</v>
      </c>
      <c r="BF10" s="25">
        <f t="shared" si="13"/>
        <v>-1.1826203400807887E-3</v>
      </c>
      <c r="BG10" s="25">
        <f t="shared" si="14"/>
        <v>4.5488486699003516E-3</v>
      </c>
      <c r="BH10" s="25">
        <f t="array" ref="BH10">AVERAGE(AL10:AL14/AQ10:AQ14) - AVERAGE(N10:N14/S10:S14)</f>
        <v>3.8204286234947427E-3</v>
      </c>
      <c r="BJ10" s="49">
        <f>IF( OR(ISBLANK(N10:N14),ISBLANK(AL10:AL14), ISBLANK(W10:W14),ISBLANK(AU10:AU14)), "·", bdRateExtend( N10:N14,W10:W14, AL10:AL14,AU10:AU14))</f>
        <v>1.1838828340995367E-2</v>
      </c>
      <c r="BK10" s="49">
        <f>IF( OR(ISBLANK(N10:N14),ISBLANK(AL10:AL14), ISBLANK(X10:X14),ISBLANK(AV10:AV14)), "·", bdRateExtend( N10:N14,X10:X14, AL10:AL14,AV10:AV14))</f>
        <v>2.0880409293420055E-3</v>
      </c>
      <c r="BL10" s="49">
        <f>IF( OR(ISBLANK(V10:V14),ISBLANK(AT10:AT14), ISBLANK(Y10:Y14),ISBLANK(AW10:AW14)), "·", bdRateExtend( V10:V14,Y10:Y14, AT10:AT14,AW10:AW14))</f>
        <v>-1.8185127394116929E-3</v>
      </c>
      <c r="BM10" s="49">
        <f>IF( OR(ISBLANK(V10:V14),ISBLANK(AT10:AT14), ISBLANK(Z10:Z14),ISBLANK(AX10:AX14)), "·", bdRateExtend( V10:V14,Z10:Z14, AT10:AT14,AX10:AX14))</f>
        <v>-6.7469413156665548E-3</v>
      </c>
      <c r="BN10" s="49">
        <f>IF( OR(ISBLANK(V10:V14),ISBLANK(AT10:AT14), ISBLANK(AA10:AA14),ISBLANK(AY10:AY14)), "·", bdRateExtend( V10:V14,AA10:AA14, AT10:AT14,AY10:AY14))</f>
        <v>-2.4275159495271703E-3</v>
      </c>
      <c r="BP10" s="49">
        <f>IF( OR(ISBLANK(S10:S14),ISBLANK(AQ10:AQ14), ISBLANK(W10:W14),ISBLANK(AU10:AU14)), "·", bdRateExtend( S10:S14,W10:W14, AQ10:AQ14,AU10:AU14))</f>
        <v>4.5203046490667198E-3</v>
      </c>
      <c r="BQ10" s="49">
        <f>IF( OR(ISBLANK(S10:S14),ISBLANK(AQ10:AQ14), ISBLANK(X10:X14),ISBLANK(AV10:AV14)), "·", bdRateExtend( S10:S14,X10:X14, AQ10:AQ14,AV10:AV14))</f>
        <v>-8.8518419373029289E-3</v>
      </c>
      <c r="BR10" s="49">
        <f>IF( OR(ISBLANK(S10:S14),ISBLANK(AQ10:AQ14), ISBLANK(Y10:Y14),ISBLANK(AW10:AW14)), "·", bdRateExtend( S10:S14,Y10:Y14, AQ10:AQ14,AW10:AW14))</f>
        <v>7.8535666571666329E-3</v>
      </c>
      <c r="BS10" s="49">
        <f>IF( OR(ISBLANK(S10:S14),ISBLANK(AQ10:AQ14), ISBLANK(Z10:Z14),ISBLANK(AX10:AX14)), "·", bdRateExtend( S10:S14,Z10:Z14, AQ10:AQ14,AX10:AX14))</f>
        <v>3.3671463198101659E-3</v>
      </c>
      <c r="BT10" s="49">
        <f>IF( OR(ISBLANK(S10:S14),ISBLANK(AQ10:AQ14), ISBLANK(AA10:AA14),ISBLANK(AY10:AY14)), "·", bdRateExtend( S10:S14,AA10:AA14, AQ10:AQ14,AY10:AY14))</f>
        <v>7.7450211037333183E-3</v>
      </c>
      <c r="BV10" s="58">
        <f t="shared" si="16"/>
        <v>-100310</v>
      </c>
      <c r="BW10" s="58">
        <f t="shared" si="15"/>
        <v>-3134.6875</v>
      </c>
      <c r="BX10" s="58">
        <f t="shared" si="15"/>
        <v>-861</v>
      </c>
      <c r="BY10" s="58">
        <f t="shared" si="15"/>
        <v>29872</v>
      </c>
      <c r="BZ10" s="58">
        <f t="shared" si="15"/>
        <v>0</v>
      </c>
      <c r="CA10" s="58">
        <f t="shared" si="15"/>
        <v>31952</v>
      </c>
      <c r="CB10" s="58">
        <f t="shared" si="15"/>
        <v>-2080</v>
      </c>
      <c r="CC10" s="58">
        <f t="shared" si="15"/>
        <v>-2.0911999999995601E-2</v>
      </c>
      <c r="CD10" s="58">
        <f t="shared" si="15"/>
        <v>4.8214999999999009E-2</v>
      </c>
      <c r="CE10" s="58">
        <f t="shared" si="15"/>
        <v>7.7200000000132718E-4</v>
      </c>
      <c r="CF10" s="58">
        <f t="shared" si="15"/>
        <v>-5.9167999999999665E-2</v>
      </c>
      <c r="CG10" s="58">
        <f t="shared" si="15"/>
        <v>1.581600000000094E-2</v>
      </c>
      <c r="CJ10" t="s">
        <v>587</v>
      </c>
    </row>
    <row r="11" spans="1:88" outlineLevel="1" x14ac:dyDescent="0.2">
      <c r="A11" s="52"/>
      <c r="B11" s="52" t="s">
        <v>59</v>
      </c>
      <c r="C11" s="9" t="s">
        <v>234</v>
      </c>
      <c r="D11" s="52">
        <v>218121242</v>
      </c>
      <c r="E11" s="9">
        <v>10</v>
      </c>
      <c r="F11" s="9">
        <v>32</v>
      </c>
      <c r="G11" s="9">
        <v>30</v>
      </c>
      <c r="I11" s="10">
        <f t="shared" si="0"/>
        <v>2.6788500000000002</v>
      </c>
      <c r="J11" s="11">
        <f t="shared" si="1"/>
        <v>1.3100237160762179E-2</v>
      </c>
      <c r="K11" s="11">
        <f t="shared" si="2"/>
        <v>8.7969790672657189E-3</v>
      </c>
      <c r="L11" s="11">
        <f t="shared" si="3"/>
        <v>5.7593657017595747E-3</v>
      </c>
      <c r="M11" s="11">
        <f t="shared" si="4"/>
        <v>4.302671263901936E-3</v>
      </c>
      <c r="N11" s="52">
        <f t="shared" si="5"/>
        <v>1918808</v>
      </c>
      <c r="O11" s="11">
        <v>16</v>
      </c>
      <c r="P11" s="12">
        <v>22233167</v>
      </c>
      <c r="Q11" s="12">
        <v>694786.46875</v>
      </c>
      <c r="R11" s="12">
        <v>23204.09375</v>
      </c>
      <c r="S11" s="13">
        <v>2857440</v>
      </c>
      <c r="T11" s="13">
        <v>1256240</v>
      </c>
      <c r="U11" s="13">
        <v>662568</v>
      </c>
      <c r="V11" s="13">
        <v>938504</v>
      </c>
      <c r="W11" s="14">
        <v>67.674730999999994</v>
      </c>
      <c r="X11" s="14">
        <v>69.753456</v>
      </c>
      <c r="Y11" s="14">
        <v>32.861966000000002</v>
      </c>
      <c r="Z11" s="14">
        <v>39.685718999999999</v>
      </c>
      <c r="AA11" s="14">
        <v>32.241593999999999</v>
      </c>
      <c r="AB11" s="15">
        <v>3640</v>
      </c>
      <c r="AC11" s="15">
        <v>4038.79</v>
      </c>
      <c r="AD11" s="15">
        <v>60.865000000000002</v>
      </c>
      <c r="AE11" s="15">
        <v>16.553999999999998</v>
      </c>
      <c r="AG11" s="10">
        <f t="shared" si="6"/>
        <v>2.7083550000000001</v>
      </c>
      <c r="AH11" s="11">
        <f t="shared" si="7"/>
        <v>1.3244523887315843E-2</v>
      </c>
      <c r="AI11" s="11">
        <f t="shared" si="8"/>
        <v>8.9434664047988496E-3</v>
      </c>
      <c r="AJ11" s="11">
        <f t="shared" si="9"/>
        <v>5.7593657017595747E-3</v>
      </c>
      <c r="AK11" s="11">
        <f t="shared" si="10"/>
        <v>4.3004706529224694E-3</v>
      </c>
      <c r="AL11" s="52">
        <f t="shared" si="11"/>
        <v>1950760</v>
      </c>
      <c r="AM11" s="11">
        <v>16</v>
      </c>
      <c r="AN11" s="12">
        <v>22126974</v>
      </c>
      <c r="AO11" s="12">
        <v>691467.9375</v>
      </c>
      <c r="AP11" s="12">
        <v>22144.46875</v>
      </c>
      <c r="AQ11" s="13">
        <v>2888912</v>
      </c>
      <c r="AR11" s="13">
        <v>1256240</v>
      </c>
      <c r="AS11" s="13">
        <v>694520</v>
      </c>
      <c r="AT11" s="13">
        <v>938024</v>
      </c>
      <c r="AU11" s="14">
        <v>67.654596999999995</v>
      </c>
      <c r="AV11" s="14">
        <v>69.805019000000001</v>
      </c>
      <c r="AW11" s="14">
        <v>32.849597000000003</v>
      </c>
      <c r="AX11" s="14">
        <v>39.703294</v>
      </c>
      <c r="AY11" s="14">
        <v>32.227893999999999</v>
      </c>
      <c r="AZ11" s="15">
        <v>4004.58</v>
      </c>
      <c r="BA11" s="15">
        <v>4834.7700000000004</v>
      </c>
      <c r="BB11" s="15">
        <v>64.763000000000005</v>
      </c>
      <c r="BC11" s="15">
        <v>21.834</v>
      </c>
      <c r="BE11" s="50">
        <f t="shared" si="12"/>
        <v>1.0166520047863046</v>
      </c>
      <c r="BF11" s="16">
        <f t="shared" si="13"/>
        <v>-1.3721453728673533E-3</v>
      </c>
      <c r="BG11" s="16">
        <f t="shared" si="14"/>
        <v>3.7447122097937768E-3</v>
      </c>
      <c r="BH11" s="16"/>
      <c r="BJ11" s="50"/>
      <c r="BK11" s="50"/>
      <c r="BL11" s="50"/>
      <c r="BM11" s="50"/>
      <c r="BN11" s="50"/>
      <c r="BP11" s="50"/>
      <c r="BQ11" s="50"/>
      <c r="BR11" s="50"/>
      <c r="BS11" s="50"/>
      <c r="BT11" s="50"/>
      <c r="BV11" s="58">
        <f t="shared" si="16"/>
        <v>-106193</v>
      </c>
      <c r="BW11" s="58">
        <f t="shared" si="15"/>
        <v>-3318.53125</v>
      </c>
      <c r="BX11" s="58">
        <f t="shared" si="15"/>
        <v>-1059.625</v>
      </c>
      <c r="BY11" s="58">
        <f t="shared" si="15"/>
        <v>31472</v>
      </c>
      <c r="BZ11" s="58">
        <f t="shared" si="15"/>
        <v>0</v>
      </c>
      <c r="CA11" s="58">
        <f t="shared" si="15"/>
        <v>31952</v>
      </c>
      <c r="CB11" s="58">
        <f t="shared" si="15"/>
        <v>-480</v>
      </c>
      <c r="CC11" s="58">
        <f t="shared" si="15"/>
        <v>-2.0133999999998764E-2</v>
      </c>
      <c r="CD11" s="58">
        <f t="shared" si="15"/>
        <v>5.156300000000158E-2</v>
      </c>
      <c r="CE11" s="58">
        <f t="shared" si="15"/>
        <v>-1.236899999999963E-2</v>
      </c>
      <c r="CF11" s="58">
        <f t="shared" si="15"/>
        <v>1.7575000000000784E-2</v>
      </c>
      <c r="CG11" s="58">
        <f t="shared" si="15"/>
        <v>-1.3700000000000045E-2</v>
      </c>
      <c r="CJ11" t="s">
        <v>587</v>
      </c>
    </row>
    <row r="12" spans="1:88" outlineLevel="1" x14ac:dyDescent="0.2">
      <c r="A12" s="17"/>
      <c r="B12" s="17" t="s">
        <v>59</v>
      </c>
      <c r="C12" s="18" t="s">
        <v>235</v>
      </c>
      <c r="D12" s="17">
        <v>218121242</v>
      </c>
      <c r="E12" s="18">
        <v>10</v>
      </c>
      <c r="F12" s="18">
        <v>32</v>
      </c>
      <c r="G12" s="18">
        <v>30</v>
      </c>
      <c r="I12" s="19">
        <f t="shared" si="0"/>
        <v>3.8283900000000002</v>
      </c>
      <c r="J12" s="20">
        <f t="shared" si="1"/>
        <v>1.8721771261507855E-2</v>
      </c>
      <c r="K12" s="20">
        <f t="shared" si="2"/>
        <v>1.1314698088872976E-2</v>
      </c>
      <c r="L12" s="20">
        <f t="shared" si="3"/>
        <v>8.2770847233668322E-3</v>
      </c>
      <c r="M12" s="20">
        <f t="shared" si="4"/>
        <v>7.4064863430403534E-3</v>
      </c>
      <c r="N12" s="17">
        <f t="shared" si="5"/>
        <v>2467976</v>
      </c>
      <c r="O12" s="20">
        <v>16</v>
      </c>
      <c r="P12" s="21">
        <v>22569901</v>
      </c>
      <c r="Q12" s="21">
        <v>705309.40625</v>
      </c>
      <c r="R12" s="21">
        <v>24721.9375</v>
      </c>
      <c r="S12" s="22">
        <v>4083616</v>
      </c>
      <c r="T12" s="22">
        <v>1805408</v>
      </c>
      <c r="U12" s="22">
        <v>662568</v>
      </c>
      <c r="V12" s="22">
        <v>1615512</v>
      </c>
      <c r="W12" s="23">
        <v>69.009450000000001</v>
      </c>
      <c r="X12" s="23">
        <v>71.379971999999995</v>
      </c>
      <c r="Y12" s="23">
        <v>34.860587000000002</v>
      </c>
      <c r="Z12" s="23">
        <v>40.655971999999998</v>
      </c>
      <c r="AA12" s="23">
        <v>34.140081000000002</v>
      </c>
      <c r="AB12" s="24">
        <v>3566.5</v>
      </c>
      <c r="AC12" s="24">
        <v>4229.46</v>
      </c>
      <c r="AD12" s="24">
        <v>61.155999999999999</v>
      </c>
      <c r="AE12" s="24">
        <v>16.934000000000001</v>
      </c>
      <c r="AG12" s="19">
        <f t="shared" si="6"/>
        <v>3.8477475000000001</v>
      </c>
      <c r="AH12" s="20">
        <f t="shared" si="7"/>
        <v>1.8816434210474558E-2</v>
      </c>
      <c r="AI12" s="20">
        <f t="shared" si="8"/>
        <v>1.1461185426406109E-2</v>
      </c>
      <c r="AJ12" s="20">
        <f t="shared" si="9"/>
        <v>8.2770847233668322E-3</v>
      </c>
      <c r="AK12" s="20">
        <f t="shared" si="10"/>
        <v>7.3546619544739254E-3</v>
      </c>
      <c r="AL12" s="17">
        <f t="shared" si="11"/>
        <v>2499928</v>
      </c>
      <c r="AM12" s="20">
        <v>16</v>
      </c>
      <c r="AN12" s="21">
        <v>22465899</v>
      </c>
      <c r="AO12" s="21">
        <v>702059.34375</v>
      </c>
      <c r="AP12" s="21">
        <v>23613.65625</v>
      </c>
      <c r="AQ12" s="22">
        <v>4104264</v>
      </c>
      <c r="AR12" s="22">
        <v>1805408</v>
      </c>
      <c r="AS12" s="22">
        <v>694520</v>
      </c>
      <c r="AT12" s="22">
        <v>1604208</v>
      </c>
      <c r="AU12" s="23">
        <v>68.988381000000004</v>
      </c>
      <c r="AV12" s="23">
        <v>71.438362999999995</v>
      </c>
      <c r="AW12" s="23">
        <v>34.859250000000003</v>
      </c>
      <c r="AX12" s="23">
        <v>40.631275000000002</v>
      </c>
      <c r="AY12" s="23">
        <v>34.135347000000003</v>
      </c>
      <c r="AZ12" s="24">
        <v>4020.52</v>
      </c>
      <c r="BA12" s="24">
        <v>5136.24</v>
      </c>
      <c r="BB12" s="24">
        <v>63.651000000000003</v>
      </c>
      <c r="BC12" s="24">
        <v>21.574999999999999</v>
      </c>
      <c r="BE12" s="49">
        <f t="shared" si="12"/>
        <v>1.0129466412963497</v>
      </c>
      <c r="BF12" s="25">
        <f t="shared" si="13"/>
        <v>-1.4163513163926583E-3</v>
      </c>
      <c r="BG12" s="25">
        <f t="shared" si="14"/>
        <v>4.7446181448187463E-3</v>
      </c>
      <c r="BH12" s="25"/>
      <c r="BJ12" s="49"/>
      <c r="BK12" s="49"/>
      <c r="BL12" s="49"/>
      <c r="BM12" s="49"/>
      <c r="BN12" s="49"/>
      <c r="BP12" s="49"/>
      <c r="BQ12" s="49"/>
      <c r="BR12" s="49"/>
      <c r="BS12" s="49"/>
      <c r="BT12" s="49"/>
      <c r="BV12" s="58">
        <f t="shared" si="16"/>
        <v>-104002</v>
      </c>
      <c r="BW12" s="58">
        <f t="shared" si="15"/>
        <v>-3250.0625</v>
      </c>
      <c r="BX12" s="58">
        <f t="shared" si="15"/>
        <v>-1108.28125</v>
      </c>
      <c r="BY12" s="58">
        <f t="shared" si="15"/>
        <v>20648</v>
      </c>
      <c r="BZ12" s="58">
        <f t="shared" si="15"/>
        <v>0</v>
      </c>
      <c r="CA12" s="58">
        <f t="shared" si="15"/>
        <v>31952</v>
      </c>
      <c r="CB12" s="58">
        <f t="shared" si="15"/>
        <v>-11304</v>
      </c>
      <c r="CC12" s="58">
        <f t="shared" si="15"/>
        <v>-2.1068999999997118E-2</v>
      </c>
      <c r="CD12" s="58">
        <f t="shared" si="15"/>
        <v>5.8391000000000304E-2</v>
      </c>
      <c r="CE12" s="58">
        <f t="shared" si="15"/>
        <v>-1.3369999999994775E-3</v>
      </c>
      <c r="CF12" s="58">
        <f t="shared" si="15"/>
        <v>-2.4696999999996194E-2</v>
      </c>
      <c r="CG12" s="58">
        <f t="shared" si="15"/>
        <v>-4.7339999999991278E-3</v>
      </c>
      <c r="CJ12" t="s">
        <v>587</v>
      </c>
    </row>
    <row r="13" spans="1:88" outlineLevel="1" x14ac:dyDescent="0.2">
      <c r="A13" s="52"/>
      <c r="B13" s="52" t="s">
        <v>59</v>
      </c>
      <c r="C13" s="9" t="s">
        <v>236</v>
      </c>
      <c r="D13" s="52">
        <v>218121242</v>
      </c>
      <c r="E13" s="9">
        <v>10</v>
      </c>
      <c r="F13" s="9">
        <v>32</v>
      </c>
      <c r="G13" s="9">
        <v>30</v>
      </c>
      <c r="I13" s="10">
        <f t="shared" si="0"/>
        <v>6.1840650000000004</v>
      </c>
      <c r="J13" s="11">
        <f t="shared" si="1"/>
        <v>3.0241602970516736E-2</v>
      </c>
      <c r="K13" s="11">
        <f t="shared" si="2"/>
        <v>1.5817111476011125E-2</v>
      </c>
      <c r="L13" s="11">
        <f t="shared" si="3"/>
        <v>1.2779498110504982E-2</v>
      </c>
      <c r="M13" s="11">
        <f t="shared" si="4"/>
        <v>1.4423904664911086E-2</v>
      </c>
      <c r="N13" s="52">
        <f t="shared" si="5"/>
        <v>3450048</v>
      </c>
      <c r="O13" s="11">
        <v>16</v>
      </c>
      <c r="P13" s="12">
        <v>23308443</v>
      </c>
      <c r="Q13" s="12">
        <v>728388.84375</v>
      </c>
      <c r="R13" s="12">
        <v>27991.21875</v>
      </c>
      <c r="S13" s="13">
        <v>6596336</v>
      </c>
      <c r="T13" s="13">
        <v>2787480</v>
      </c>
      <c r="U13" s="13">
        <v>662568</v>
      </c>
      <c r="V13" s="13">
        <v>3146160</v>
      </c>
      <c r="W13" s="14">
        <v>70.060288</v>
      </c>
      <c r="X13" s="14">
        <v>72.567171999999999</v>
      </c>
      <c r="Y13" s="14">
        <v>37.050668999999999</v>
      </c>
      <c r="Z13" s="14">
        <v>41.679997</v>
      </c>
      <c r="AA13" s="14">
        <v>36.076627999999999</v>
      </c>
      <c r="AB13" s="15">
        <v>3231.71</v>
      </c>
      <c r="AC13" s="15">
        <v>4182.5200000000004</v>
      </c>
      <c r="AD13" s="15">
        <v>58.354999999999997</v>
      </c>
      <c r="AE13" s="15">
        <v>16.434999999999999</v>
      </c>
      <c r="AG13" s="10">
        <f t="shared" si="6"/>
        <v>6.1900050000000002</v>
      </c>
      <c r="AH13" s="11">
        <f t="shared" si="7"/>
        <v>3.0270651035445691E-2</v>
      </c>
      <c r="AI13" s="11">
        <f t="shared" si="8"/>
        <v>1.5963635490393917E-2</v>
      </c>
      <c r="AJ13" s="11">
        <f t="shared" si="9"/>
        <v>1.2779498110504982E-2</v>
      </c>
      <c r="AK13" s="11">
        <f t="shared" si="10"/>
        <v>1.430642871545725E-2</v>
      </c>
      <c r="AL13" s="52">
        <f t="shared" si="11"/>
        <v>3482008</v>
      </c>
      <c r="AM13" s="11">
        <v>16</v>
      </c>
      <c r="AN13" s="12">
        <v>23200637</v>
      </c>
      <c r="AO13" s="12">
        <v>725019.90625</v>
      </c>
      <c r="AP13" s="12">
        <v>26787.90625</v>
      </c>
      <c r="AQ13" s="13">
        <v>6602672</v>
      </c>
      <c r="AR13" s="13">
        <v>2787480</v>
      </c>
      <c r="AS13" s="13">
        <v>694528</v>
      </c>
      <c r="AT13" s="13">
        <v>3120536</v>
      </c>
      <c r="AU13" s="14">
        <v>70.115334000000004</v>
      </c>
      <c r="AV13" s="14">
        <v>72.641024999999999</v>
      </c>
      <c r="AW13" s="14">
        <v>37.034556000000002</v>
      </c>
      <c r="AX13" s="14">
        <v>41.700378000000001</v>
      </c>
      <c r="AY13" s="14">
        <v>36.068762</v>
      </c>
      <c r="AZ13" s="15">
        <v>3467.76</v>
      </c>
      <c r="BA13" s="15">
        <v>5252.12</v>
      </c>
      <c r="BB13" s="15">
        <v>74.123000000000005</v>
      </c>
      <c r="BC13" s="15">
        <v>25.457000000000001</v>
      </c>
      <c r="BE13" s="50">
        <f t="shared" si="12"/>
        <v>1.0092636392305268</v>
      </c>
      <c r="BF13" s="16">
        <f t="shared" si="13"/>
        <v>-1.4811286678438271E-3</v>
      </c>
      <c r="BG13" s="16">
        <f t="shared" si="14"/>
        <v>4.3385638740320864E-3</v>
      </c>
      <c r="BH13" s="16"/>
      <c r="BJ13" s="50"/>
      <c r="BK13" s="50"/>
      <c r="BL13" s="50"/>
      <c r="BM13" s="50"/>
      <c r="BN13" s="50"/>
      <c r="BP13" s="50"/>
      <c r="BQ13" s="50"/>
      <c r="BR13" s="50"/>
      <c r="BS13" s="50"/>
      <c r="BT13" s="50"/>
      <c r="BV13" s="58">
        <f t="shared" si="16"/>
        <v>-107806</v>
      </c>
      <c r="BW13" s="58">
        <f t="shared" si="15"/>
        <v>-3368.9375</v>
      </c>
      <c r="BX13" s="58">
        <f t="shared" si="15"/>
        <v>-1203.3125</v>
      </c>
      <c r="BY13" s="58">
        <f t="shared" si="15"/>
        <v>6336</v>
      </c>
      <c r="BZ13" s="58">
        <f t="shared" si="15"/>
        <v>0</v>
      </c>
      <c r="CA13" s="58">
        <f t="shared" si="15"/>
        <v>31960</v>
      </c>
      <c r="CB13" s="58">
        <f t="shared" si="15"/>
        <v>-25624</v>
      </c>
      <c r="CC13" s="58">
        <f t="shared" si="15"/>
        <v>5.5046000000004369E-2</v>
      </c>
      <c r="CD13" s="58">
        <f t="shared" si="15"/>
        <v>7.3852999999999724E-2</v>
      </c>
      <c r="CE13" s="58">
        <f t="shared" si="15"/>
        <v>-1.6112999999997157E-2</v>
      </c>
      <c r="CF13" s="58">
        <f t="shared" si="15"/>
        <v>2.0381000000000427E-2</v>
      </c>
      <c r="CG13" s="58">
        <f t="shared" si="15"/>
        <v>-7.8659999999999286E-3</v>
      </c>
      <c r="CJ13" t="s">
        <v>587</v>
      </c>
    </row>
    <row r="14" spans="1:88" ht="16" outlineLevel="1" thickBot="1" x14ac:dyDescent="0.25">
      <c r="A14" s="17"/>
      <c r="B14" s="36" t="s">
        <v>59</v>
      </c>
      <c r="C14" s="37" t="s">
        <v>237</v>
      </c>
      <c r="D14" s="36">
        <v>218121242</v>
      </c>
      <c r="E14" s="37">
        <v>10</v>
      </c>
      <c r="F14" s="37">
        <v>32</v>
      </c>
      <c r="G14" s="37">
        <v>30</v>
      </c>
      <c r="I14" s="38">
        <f t="shared" si="0"/>
        <v>12.21963</v>
      </c>
      <c r="J14" s="39">
        <f t="shared" si="1"/>
        <v>5.9757004317809635E-2</v>
      </c>
      <c r="K14" s="39">
        <f t="shared" si="2"/>
        <v>2.6721395617213661E-2</v>
      </c>
      <c r="L14" s="39">
        <f t="shared" si="3"/>
        <v>2.0741492018461916E-2</v>
      </c>
      <c r="M14" s="39">
        <f t="shared" si="4"/>
        <v>3.3035021871001449E-2</v>
      </c>
      <c r="N14" s="36">
        <f t="shared" si="5"/>
        <v>5828504</v>
      </c>
      <c r="O14" s="39">
        <v>16</v>
      </c>
      <c r="P14" s="40">
        <v>22150010</v>
      </c>
      <c r="Q14" s="40">
        <v>692187.8125</v>
      </c>
      <c r="R14" s="40">
        <v>13331.5625</v>
      </c>
      <c r="S14" s="41">
        <v>13034272</v>
      </c>
      <c r="T14" s="41">
        <v>4524160</v>
      </c>
      <c r="U14" s="41">
        <v>1304344</v>
      </c>
      <c r="V14" s="41">
        <v>7205640</v>
      </c>
      <c r="W14" s="42">
        <v>70.920671999999996</v>
      </c>
      <c r="X14" s="42">
        <v>74.632659000000004</v>
      </c>
      <c r="Y14" s="42">
        <v>39.477800000000002</v>
      </c>
      <c r="Z14" s="42">
        <v>42.980525</v>
      </c>
      <c r="AA14" s="42">
        <v>38.260322000000002</v>
      </c>
      <c r="AB14" s="43">
        <v>3643.91</v>
      </c>
      <c r="AC14" s="43">
        <v>4969.07</v>
      </c>
      <c r="AD14" s="43">
        <v>58.442</v>
      </c>
      <c r="AE14" s="43">
        <v>19.763999999999999</v>
      </c>
      <c r="AG14" s="38">
        <f t="shared" si="6"/>
        <v>12.239392499999999</v>
      </c>
      <c r="AH14" s="39">
        <f t="shared" si="7"/>
        <v>5.9853647816657855E-2</v>
      </c>
      <c r="AI14" s="39">
        <f t="shared" si="8"/>
        <v>2.6867882954746791E-2</v>
      </c>
      <c r="AJ14" s="39">
        <f t="shared" si="9"/>
        <v>2.0741492018461916E-2</v>
      </c>
      <c r="AK14" s="39">
        <f t="shared" si="10"/>
        <v>3.2985178032316542E-2</v>
      </c>
      <c r="AL14" s="36">
        <f t="shared" si="11"/>
        <v>5860456</v>
      </c>
      <c r="AM14" s="39">
        <v>16</v>
      </c>
      <c r="AN14" s="40">
        <v>22132498</v>
      </c>
      <c r="AO14" s="40">
        <v>691640.5625</v>
      </c>
      <c r="AP14" s="40">
        <v>13109.46875</v>
      </c>
      <c r="AQ14" s="41">
        <v>13055352</v>
      </c>
      <c r="AR14" s="41">
        <v>4524160</v>
      </c>
      <c r="AS14" s="41">
        <v>1336296</v>
      </c>
      <c r="AT14" s="41">
        <v>7194768</v>
      </c>
      <c r="AU14" s="42">
        <v>70.910813000000005</v>
      </c>
      <c r="AV14" s="42">
        <v>74.635762</v>
      </c>
      <c r="AW14" s="42">
        <v>39.468609000000001</v>
      </c>
      <c r="AX14" s="42">
        <v>42.990566000000001</v>
      </c>
      <c r="AY14" s="42">
        <v>38.253003</v>
      </c>
      <c r="AZ14" s="43">
        <v>3695.89</v>
      </c>
      <c r="BA14" s="43">
        <v>5014.75</v>
      </c>
      <c r="BB14" s="43">
        <v>58.19</v>
      </c>
      <c r="BC14" s="43">
        <v>19.103999999999999</v>
      </c>
      <c r="BE14" s="44">
        <f t="shared" si="12"/>
        <v>1.0054820242038094</v>
      </c>
      <c r="BF14" s="45">
        <f t="shared" si="13"/>
        <v>-3.0587230784623679E-4</v>
      </c>
      <c r="BG14" s="45">
        <f t="shared" si="14"/>
        <v>1.725400218928641E-3</v>
      </c>
      <c r="BH14" s="45"/>
      <c r="BJ14" s="44"/>
      <c r="BK14" s="44"/>
      <c r="BL14" s="44"/>
      <c r="BM14" s="44"/>
      <c r="BN14" s="44"/>
      <c r="BP14" s="44"/>
      <c r="BQ14" s="44"/>
      <c r="BR14" s="44"/>
      <c r="BS14" s="44"/>
      <c r="BT14" s="44"/>
      <c r="BV14" s="58">
        <f t="shared" si="16"/>
        <v>-17512</v>
      </c>
      <c r="BW14" s="58">
        <f t="shared" si="15"/>
        <v>-547.25</v>
      </c>
      <c r="BX14" s="58">
        <f t="shared" si="15"/>
        <v>-222.09375</v>
      </c>
      <c r="BY14" s="58">
        <f t="shared" si="15"/>
        <v>21080</v>
      </c>
      <c r="BZ14" s="58">
        <f t="shared" si="15"/>
        <v>0</v>
      </c>
      <c r="CA14" s="58">
        <f t="shared" si="15"/>
        <v>31952</v>
      </c>
      <c r="CB14" s="58">
        <f t="shared" si="15"/>
        <v>-10872</v>
      </c>
      <c r="CC14" s="58">
        <f t="shared" si="15"/>
        <v>-9.8589999999916245E-3</v>
      </c>
      <c r="CD14" s="58">
        <f t="shared" si="15"/>
        <v>3.1029999999958591E-3</v>
      </c>
      <c r="CE14" s="58">
        <f t="shared" si="15"/>
        <v>-9.1910000000012815E-3</v>
      </c>
      <c r="CF14" s="58">
        <f t="shared" si="15"/>
        <v>1.0041000000001077E-2</v>
      </c>
      <c r="CG14" s="58">
        <f t="shared" si="15"/>
        <v>-7.3190000000025179E-3</v>
      </c>
      <c r="CJ14" t="s">
        <v>587</v>
      </c>
    </row>
    <row r="15" spans="1:88" x14ac:dyDescent="0.2">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4523.7299999999996</v>
      </c>
      <c r="AC15" s="15">
        <v>2572.21</v>
      </c>
      <c r="AD15" s="15">
        <v>78.869</v>
      </c>
      <c r="AE15" s="15">
        <v>12.744</v>
      </c>
      <c r="AG15" s="10">
        <f t="shared" si="6"/>
        <v>1.6384725</v>
      </c>
      <c r="AH15" s="11">
        <f t="shared" si="7"/>
        <v>5.4177302571318271E-3</v>
      </c>
      <c r="AI15" s="11">
        <f t="shared" si="8"/>
        <v>4.5709828358316109E-3</v>
      </c>
      <c r="AJ15" s="11">
        <f t="shared" si="9"/>
        <v>2.3656551667253461E-3</v>
      </c>
      <c r="AK15" s="11">
        <f t="shared" si="10"/>
        <v>8.463506324429995E-4</v>
      </c>
      <c r="AL15" s="52">
        <f t="shared" si="11"/>
        <v>1474552</v>
      </c>
      <c r="AM15" s="11">
        <v>16</v>
      </c>
      <c r="AN15" s="12">
        <v>32263319</v>
      </c>
      <c r="AO15" s="12">
        <v>1008228.71875</v>
      </c>
      <c r="AP15" s="12">
        <v>30470.96875</v>
      </c>
      <c r="AQ15" s="13">
        <v>1747704</v>
      </c>
      <c r="AR15" s="13">
        <v>763136</v>
      </c>
      <c r="AS15" s="13">
        <v>711416</v>
      </c>
      <c r="AT15" s="13">
        <v>273024</v>
      </c>
      <c r="AU15" s="14">
        <v>66.309556000000001</v>
      </c>
      <c r="AV15" s="14">
        <v>67.894621999999998</v>
      </c>
      <c r="AW15" s="14">
        <v>29.245687</v>
      </c>
      <c r="AX15" s="14">
        <v>43.371381</v>
      </c>
      <c r="AY15" s="14">
        <v>43.667844000000002</v>
      </c>
      <c r="AZ15" s="15">
        <v>5039.13</v>
      </c>
      <c r="BA15" s="15">
        <v>2926.38</v>
      </c>
      <c r="BB15" s="15">
        <v>85.031000000000006</v>
      </c>
      <c r="BC15" s="15">
        <v>14.606</v>
      </c>
      <c r="BE15" s="50">
        <f t="shared" si="12"/>
        <v>1.0210221355609226</v>
      </c>
      <c r="BF15" s="16">
        <f t="shared" si="13"/>
        <v>-1.4047560978539333E-3</v>
      </c>
      <c r="BG15" s="16">
        <f t="shared" si="14"/>
        <v>3.6943144046792664E-3</v>
      </c>
      <c r="BH15" s="16">
        <f t="array" ref="BH15">AVERAGE(AL15:AL19/AQ15:AQ19) - AVERAGE(N15:N19/S15:S19)</f>
        <v>4.416240439175434E-3</v>
      </c>
      <c r="BJ15" s="50">
        <f>IF( OR(ISBLANK(N15:N19),ISBLANK(AL15:AL19), ISBLANK(W15:W19),ISBLANK(AU15:AU19)), "·", bdRateExtend( N15:N19,W15:W19, AL15:AL19,AU15:AU19))</f>
        <v>1.0673504946262957E-2</v>
      </c>
      <c r="BK15" s="50">
        <f>IF( OR(ISBLANK(N15:N19),ISBLANK(AL15:AL19), ISBLANK(X15:X19),ISBLANK(AV15:AV19)), "·", bdRateExtend( N15:N19,X15:X19, AL15:AL19,AV15:AV19))</f>
        <v>3.2736507385300317E-3</v>
      </c>
      <c r="BL15" s="50">
        <f>IF( OR(ISBLANK(V15:V19),ISBLANK(AT15:AT19), ISBLANK(Y15:Y19),ISBLANK(AW15:AW19)), "·", bdRateExtend( V15:V19,Y15:Y19, AT15:AT19,AW15:AW19))</f>
        <v>-6.0215423091309894E-3</v>
      </c>
      <c r="BM15" s="50">
        <f>IF( OR(ISBLANK(V15:V19),ISBLANK(AT15:AT19), ISBLANK(Z15:Z19),ISBLANK(AX15:AX19)), "·", bdRateExtend( V15:V19,Z15:Z19, AT15:AT19,AX15:AX19))</f>
        <v>-8.2017462490117099E-3</v>
      </c>
      <c r="BN15" s="50">
        <f>IF( OR(ISBLANK(V15:V19),ISBLANK(AT15:AT19), ISBLANK(AA15:AA19),ISBLANK(AY15:AY19)), "·", bdRateExtend( V15:V19,AA15:AA19, AT15:AT19,AY15:AY19))</f>
        <v>9.0690950525398328E-3</v>
      </c>
      <c r="BP15" s="50">
        <f>IF( OR(ISBLANK(S15:S19),ISBLANK(AQ15:AQ19), ISBLANK(W15:W19),ISBLANK(AU15:AU19)), "·", bdRateExtend( S15:S19,W15:W19, AQ15:AQ19,AU15:AU19))</f>
        <v>1.9687575054392337E-3</v>
      </c>
      <c r="BQ15" s="50">
        <f>IF( OR(ISBLANK(S15:S19),ISBLANK(AQ15:AQ19), ISBLANK(X15:X19),ISBLANK(AV15:AV19)), "·", bdRateExtend( S15:S19,X15:X19, AQ15:AQ19,AV15:AV19))</f>
        <v>-8.4738060356202016E-3</v>
      </c>
      <c r="BR15" s="50">
        <f>IF( OR(ISBLANK(S15:S19),ISBLANK(AQ15:AQ19), ISBLANK(Y15:Y19),ISBLANK(AW15:AW19)), "·", bdRateExtend( S15:S19,Y15:Y19, AQ15:AQ19,AW15:AW19))</f>
        <v>8.3847493449649146E-3</v>
      </c>
      <c r="BS15" s="50">
        <f>IF( OR(ISBLANK(S15:S19),ISBLANK(AQ15:AQ19), ISBLANK(Z15:Z19),ISBLANK(AX15:AX19)), "·", bdRateExtend( S15:S19,Z15:Z19, AQ15:AQ19,AX15:AX19))</f>
        <v>5.2893286810955509E-3</v>
      </c>
      <c r="BT15" s="50">
        <f>IF( OR(ISBLANK(S15:S19),ISBLANK(AQ15:AQ19), ISBLANK(AA15:AA19),ISBLANK(AY15:AY19)), "·", bdRateExtend( S15:S19,AA15:AA19, AQ15:AQ19,AY15:AY19))</f>
        <v>1.706283478485715E-2</v>
      </c>
      <c r="BV15" s="58">
        <f t="shared" si="16"/>
        <v>-152588</v>
      </c>
      <c r="BW15" s="58">
        <f t="shared" si="15"/>
        <v>-4768.375</v>
      </c>
      <c r="BX15" s="58">
        <f t="shared" si="15"/>
        <v>-1567.125</v>
      </c>
      <c r="BY15" s="58">
        <f t="shared" si="15"/>
        <v>28456</v>
      </c>
      <c r="BZ15" s="58">
        <f t="shared" si="15"/>
        <v>0</v>
      </c>
      <c r="CA15" s="58">
        <f t="shared" si="15"/>
        <v>30360</v>
      </c>
      <c r="CB15" s="58">
        <f t="shared" si="15"/>
        <v>-1904</v>
      </c>
      <c r="CC15" s="58">
        <f t="shared" si="15"/>
        <v>1.0787000000007652E-2</v>
      </c>
      <c r="CD15" s="58">
        <f t="shared" si="15"/>
        <v>4.4431000000002996E-2</v>
      </c>
      <c r="CE15" s="58">
        <f t="shared" si="15"/>
        <v>-6.040999999999741E-3</v>
      </c>
      <c r="CF15" s="58">
        <f t="shared" si="15"/>
        <v>-0.11673100000000147</v>
      </c>
      <c r="CG15" s="58">
        <f t="shared" si="15"/>
        <v>-4.8411999999999011E-2</v>
      </c>
      <c r="CJ15" t="s">
        <v>233</v>
      </c>
    </row>
    <row r="16" spans="1:88" outlineLevel="1" x14ac:dyDescent="0.2">
      <c r="A16" s="17"/>
      <c r="B16" s="17" t="s">
        <v>64</v>
      </c>
      <c r="C16" s="18" t="s">
        <v>234</v>
      </c>
      <c r="D16" s="17">
        <v>322589704</v>
      </c>
      <c r="E16" s="18">
        <v>10</v>
      </c>
      <c r="F16" s="18">
        <v>32</v>
      </c>
      <c r="G16" s="18">
        <v>30</v>
      </c>
      <c r="I16" s="19">
        <f t="shared" si="0"/>
        <v>2.1144375000000002</v>
      </c>
      <c r="J16" s="20">
        <f t="shared" si="1"/>
        <v>6.9915436606743037E-3</v>
      </c>
      <c r="K16" s="20">
        <f t="shared" si="2"/>
        <v>5.4071657538084352E-3</v>
      </c>
      <c r="L16" s="20">
        <f t="shared" si="3"/>
        <v>3.2959762410768078E-3</v>
      </c>
      <c r="M16" s="20">
        <f t="shared" si="4"/>
        <v>1.5839811180086516E-3</v>
      </c>
      <c r="N16" s="17">
        <f t="shared" si="5"/>
        <v>1744296</v>
      </c>
      <c r="O16" s="20">
        <v>16</v>
      </c>
      <c r="P16" s="21">
        <v>33874164</v>
      </c>
      <c r="Q16" s="21">
        <v>1058567.625</v>
      </c>
      <c r="R16" s="21">
        <v>36864.21875</v>
      </c>
      <c r="S16" s="22">
        <v>2255400</v>
      </c>
      <c r="T16" s="22">
        <v>1063248</v>
      </c>
      <c r="U16" s="22">
        <v>681048</v>
      </c>
      <c r="V16" s="22">
        <v>510976</v>
      </c>
      <c r="W16" s="23">
        <v>68.029634000000001</v>
      </c>
      <c r="X16" s="23">
        <v>70.006816000000001</v>
      </c>
      <c r="Y16" s="23">
        <v>31.568781000000001</v>
      </c>
      <c r="Z16" s="23">
        <v>44.070134000000003</v>
      </c>
      <c r="AA16" s="23">
        <v>44.423062999999999</v>
      </c>
      <c r="AB16" s="24">
        <v>5764.64</v>
      </c>
      <c r="AC16" s="24">
        <v>3445.88</v>
      </c>
      <c r="AD16" s="24">
        <v>106.476</v>
      </c>
      <c r="AE16" s="24">
        <v>18.404</v>
      </c>
      <c r="AG16" s="19">
        <f t="shared" si="6"/>
        <v>2.13978</v>
      </c>
      <c r="AH16" s="20">
        <f t="shared" si="7"/>
        <v>7.0753405074577332E-3</v>
      </c>
      <c r="AI16" s="20">
        <f t="shared" si="8"/>
        <v>5.5013039101830729E-3</v>
      </c>
      <c r="AJ16" s="20">
        <f t="shared" si="9"/>
        <v>3.2959762410768078E-3</v>
      </c>
      <c r="AK16" s="20">
        <f t="shared" si="10"/>
        <v>1.573639808417444E-3</v>
      </c>
      <c r="AL16" s="17">
        <f t="shared" si="11"/>
        <v>1774664</v>
      </c>
      <c r="AM16" s="20">
        <v>16</v>
      </c>
      <c r="AN16" s="21">
        <v>33716307</v>
      </c>
      <c r="AO16" s="21">
        <v>1053634.59375</v>
      </c>
      <c r="AP16" s="21">
        <v>35043.09375</v>
      </c>
      <c r="AQ16" s="22">
        <v>2282432</v>
      </c>
      <c r="AR16" s="22">
        <v>1063248</v>
      </c>
      <c r="AS16" s="22">
        <v>711416</v>
      </c>
      <c r="AT16" s="22">
        <v>507640</v>
      </c>
      <c r="AU16" s="23">
        <v>68.034644</v>
      </c>
      <c r="AV16" s="23">
        <v>70.054484000000002</v>
      </c>
      <c r="AW16" s="23">
        <v>31.542968999999999</v>
      </c>
      <c r="AX16" s="23">
        <v>44.045715999999999</v>
      </c>
      <c r="AY16" s="23">
        <v>44.406587000000002</v>
      </c>
      <c r="AZ16" s="24">
        <v>4561.07</v>
      </c>
      <c r="BA16" s="24">
        <v>2766.7</v>
      </c>
      <c r="BB16" s="24">
        <v>83.585999999999999</v>
      </c>
      <c r="BC16" s="24">
        <v>13.683</v>
      </c>
      <c r="BE16" s="49">
        <f t="shared" si="12"/>
        <v>1.0174098891472549</v>
      </c>
      <c r="BF16" s="25">
        <f t="shared" si="13"/>
        <v>-1.5653757525679601E-3</v>
      </c>
      <c r="BG16" s="25">
        <f t="shared" si="14"/>
        <v>4.145497030570211E-3</v>
      </c>
      <c r="BH16" s="25"/>
      <c r="BJ16" s="49"/>
      <c r="BK16" s="49"/>
      <c r="BL16" s="49"/>
      <c r="BM16" s="49"/>
      <c r="BN16" s="49"/>
      <c r="BP16" s="49"/>
      <c r="BQ16" s="49"/>
      <c r="BR16" s="49"/>
      <c r="BS16" s="49"/>
      <c r="BT16" s="49"/>
      <c r="BV16" s="58">
        <f t="shared" si="16"/>
        <v>-157857</v>
      </c>
      <c r="BW16" s="58">
        <f t="shared" si="15"/>
        <v>-4933.03125</v>
      </c>
      <c r="BX16" s="58">
        <f t="shared" si="15"/>
        <v>-1821.125</v>
      </c>
      <c r="BY16" s="58">
        <f t="shared" si="15"/>
        <v>27032</v>
      </c>
      <c r="BZ16" s="58">
        <f t="shared" si="15"/>
        <v>0</v>
      </c>
      <c r="CA16" s="58">
        <f t="shared" si="15"/>
        <v>30368</v>
      </c>
      <c r="CB16" s="58">
        <f t="shared" si="15"/>
        <v>-3336</v>
      </c>
      <c r="CC16" s="58">
        <f t="shared" si="15"/>
        <v>5.0099999999986267E-3</v>
      </c>
      <c r="CD16" s="58">
        <f t="shared" si="15"/>
        <v>4.7668000000001598E-2</v>
      </c>
      <c r="CE16" s="58">
        <f t="shared" si="15"/>
        <v>-2.5812000000001944E-2</v>
      </c>
      <c r="CF16" s="58">
        <f t="shared" si="15"/>
        <v>-2.441800000000427E-2</v>
      </c>
      <c r="CG16" s="58">
        <f t="shared" si="15"/>
        <v>-1.6475999999997271E-2</v>
      </c>
      <c r="CJ16" t="s">
        <v>233</v>
      </c>
    </row>
    <row r="17" spans="1:88" outlineLevel="1" x14ac:dyDescent="0.2">
      <c r="A17" s="52"/>
      <c r="B17" s="52" t="s">
        <v>64</v>
      </c>
      <c r="C17" s="9" t="s">
        <v>235</v>
      </c>
      <c r="D17" s="52">
        <v>322589704</v>
      </c>
      <c r="E17" s="9">
        <v>10</v>
      </c>
      <c r="F17" s="9">
        <v>32</v>
      </c>
      <c r="G17" s="9">
        <v>30</v>
      </c>
      <c r="I17" s="10">
        <f t="shared" si="0"/>
        <v>2.9846925</v>
      </c>
      <c r="J17" s="11">
        <f t="shared" si="1"/>
        <v>9.8691060518162101E-3</v>
      </c>
      <c r="K17" s="11">
        <f t="shared" si="2"/>
        <v>6.6119159215323247E-3</v>
      </c>
      <c r="L17" s="11">
        <f t="shared" si="3"/>
        <v>4.5007264088006973E-3</v>
      </c>
      <c r="M17" s="11">
        <f t="shared" si="4"/>
        <v>3.2567933414266686E-3</v>
      </c>
      <c r="N17" s="52">
        <f t="shared" si="5"/>
        <v>2132936</v>
      </c>
      <c r="O17" s="11">
        <v>16</v>
      </c>
      <c r="P17" s="12">
        <v>33778649</v>
      </c>
      <c r="Q17" s="12">
        <v>1055582.78125</v>
      </c>
      <c r="R17" s="12">
        <v>37421.1875</v>
      </c>
      <c r="S17" s="13">
        <v>3183672</v>
      </c>
      <c r="T17" s="13">
        <v>1451888</v>
      </c>
      <c r="U17" s="13">
        <v>681048</v>
      </c>
      <c r="V17" s="13">
        <v>1050608</v>
      </c>
      <c r="W17" s="14">
        <v>69.351502999999994</v>
      </c>
      <c r="X17" s="14">
        <v>71.840316000000001</v>
      </c>
      <c r="Y17" s="14">
        <v>33.951681000000001</v>
      </c>
      <c r="Z17" s="14">
        <v>45.159981000000002</v>
      </c>
      <c r="AA17" s="14">
        <v>45.538837999999998</v>
      </c>
      <c r="AB17" s="15">
        <v>5169.71</v>
      </c>
      <c r="AC17" s="15">
        <v>3339.64</v>
      </c>
      <c r="AD17" s="15">
        <v>89.619</v>
      </c>
      <c r="AE17" s="15">
        <v>14.848000000000001</v>
      </c>
      <c r="AG17" s="10">
        <f t="shared" si="6"/>
        <v>2.9975849999999999</v>
      </c>
      <c r="AH17" s="11">
        <f t="shared" si="7"/>
        <v>9.9117360546634187E-3</v>
      </c>
      <c r="AI17" s="11">
        <f t="shared" si="8"/>
        <v>6.7060788772105384E-3</v>
      </c>
      <c r="AJ17" s="11">
        <f t="shared" si="9"/>
        <v>4.5007264088006973E-3</v>
      </c>
      <c r="AK17" s="11">
        <f t="shared" si="10"/>
        <v>3.2052603885956632E-3</v>
      </c>
      <c r="AL17" s="52">
        <f t="shared" si="11"/>
        <v>2163312</v>
      </c>
      <c r="AM17" s="11">
        <v>16</v>
      </c>
      <c r="AN17" s="12">
        <v>33627968</v>
      </c>
      <c r="AO17" s="12">
        <v>1050874</v>
      </c>
      <c r="AP17" s="12">
        <v>35572.625</v>
      </c>
      <c r="AQ17" s="13">
        <v>3197424</v>
      </c>
      <c r="AR17" s="13">
        <v>1451888</v>
      </c>
      <c r="AS17" s="13">
        <v>711424</v>
      </c>
      <c r="AT17" s="13">
        <v>1033984</v>
      </c>
      <c r="AU17" s="14">
        <v>69.333333999999994</v>
      </c>
      <c r="AV17" s="14">
        <v>71.898156</v>
      </c>
      <c r="AW17" s="14">
        <v>33.945031</v>
      </c>
      <c r="AX17" s="14">
        <v>45.248688000000001</v>
      </c>
      <c r="AY17" s="14">
        <v>45.510350000000003</v>
      </c>
      <c r="AZ17" s="15">
        <v>4573.3900000000003</v>
      </c>
      <c r="BA17" s="15">
        <v>2956.67</v>
      </c>
      <c r="BB17" s="15">
        <v>82.88</v>
      </c>
      <c r="BC17" s="15">
        <v>13.724</v>
      </c>
      <c r="BE17" s="50">
        <f t="shared" si="12"/>
        <v>1.0142414024612085</v>
      </c>
      <c r="BF17" s="16">
        <f t="shared" si="13"/>
        <v>-1.6002229901801515E-3</v>
      </c>
      <c r="BG17" s="16">
        <f t="shared" si="14"/>
        <v>6.6186707361007846E-3</v>
      </c>
      <c r="BH17" s="16"/>
      <c r="BJ17" s="50"/>
      <c r="BK17" s="50"/>
      <c r="BL17" s="50"/>
      <c r="BM17" s="50"/>
      <c r="BN17" s="50"/>
      <c r="BP17" s="50"/>
      <c r="BQ17" s="50"/>
      <c r="BR17" s="50"/>
      <c r="BS17" s="50"/>
      <c r="BT17" s="50"/>
      <c r="BV17" s="58">
        <f t="shared" si="16"/>
        <v>-150681</v>
      </c>
      <c r="BW17" s="58">
        <f t="shared" si="15"/>
        <v>-4708.78125</v>
      </c>
      <c r="BX17" s="58">
        <f t="shared" si="15"/>
        <v>-1848.5625</v>
      </c>
      <c r="BY17" s="58">
        <f t="shared" si="15"/>
        <v>13752</v>
      </c>
      <c r="BZ17" s="58">
        <f t="shared" si="15"/>
        <v>0</v>
      </c>
      <c r="CA17" s="58">
        <f t="shared" si="15"/>
        <v>30376</v>
      </c>
      <c r="CB17" s="58">
        <f t="shared" si="15"/>
        <v>-16624</v>
      </c>
      <c r="CC17" s="58">
        <f t="shared" si="15"/>
        <v>-1.8169000000000324E-2</v>
      </c>
      <c r="CD17" s="58">
        <f t="shared" si="15"/>
        <v>5.7839999999998781E-2</v>
      </c>
      <c r="CE17" s="58">
        <f t="shared" si="15"/>
        <v>-6.6500000000004889E-3</v>
      </c>
      <c r="CF17" s="58">
        <f t="shared" si="15"/>
        <v>8.8706999999999425E-2</v>
      </c>
      <c r="CG17" s="58">
        <f t="shared" si="15"/>
        <v>-2.848799999999585E-2</v>
      </c>
      <c r="CJ17" t="s">
        <v>233</v>
      </c>
    </row>
    <row r="18" spans="1:88" outlineLevel="1" x14ac:dyDescent="0.2">
      <c r="A18" s="17"/>
      <c r="B18" s="17" t="s">
        <v>64</v>
      </c>
      <c r="C18" s="18" t="s">
        <v>236</v>
      </c>
      <c r="D18" s="17">
        <v>322589704</v>
      </c>
      <c r="E18" s="18">
        <v>10</v>
      </c>
      <c r="F18" s="18">
        <v>32</v>
      </c>
      <c r="G18" s="18">
        <v>30</v>
      </c>
      <c r="I18" s="19">
        <f t="shared" si="0"/>
        <v>5.2616250000000004</v>
      </c>
      <c r="J18" s="20">
        <f t="shared" si="1"/>
        <v>1.7397951423768938E-2</v>
      </c>
      <c r="K18" s="20">
        <f t="shared" si="2"/>
        <v>9.8740163139242661E-3</v>
      </c>
      <c r="L18" s="20">
        <f t="shared" si="3"/>
        <v>7.7628268011926379E-3</v>
      </c>
      <c r="M18" s="20">
        <f t="shared" si="4"/>
        <v>7.5235383209874551E-3</v>
      </c>
      <c r="N18" s="17">
        <f t="shared" si="5"/>
        <v>3185256</v>
      </c>
      <c r="O18" s="20">
        <v>16</v>
      </c>
      <c r="P18" s="21">
        <v>34914325</v>
      </c>
      <c r="Q18" s="21">
        <v>1091072.65625</v>
      </c>
      <c r="R18" s="21">
        <v>41603.21875</v>
      </c>
      <c r="S18" s="22">
        <v>5612400</v>
      </c>
      <c r="T18" s="22">
        <v>2504208</v>
      </c>
      <c r="U18" s="22">
        <v>681048</v>
      </c>
      <c r="V18" s="22">
        <v>2427016</v>
      </c>
      <c r="W18" s="23">
        <v>70.529849999999996</v>
      </c>
      <c r="X18" s="23">
        <v>73.133384000000007</v>
      </c>
      <c r="Y18" s="23">
        <v>36.284100000000002</v>
      </c>
      <c r="Z18" s="23">
        <v>46.412683999999999</v>
      </c>
      <c r="AA18" s="23">
        <v>47.006613000000002</v>
      </c>
      <c r="AB18" s="24">
        <v>5928.06</v>
      </c>
      <c r="AC18" s="24">
        <v>4673.46</v>
      </c>
      <c r="AD18" s="24">
        <v>103.901</v>
      </c>
      <c r="AE18" s="24">
        <v>22.189</v>
      </c>
      <c r="AG18" s="19">
        <f t="shared" si="6"/>
        <v>5.2605824999999999</v>
      </c>
      <c r="AH18" s="20">
        <f t="shared" si="7"/>
        <v>1.7394504320571869E-2</v>
      </c>
      <c r="AI18" s="20">
        <f t="shared" si="8"/>
        <v>9.9681544702989039E-3</v>
      </c>
      <c r="AJ18" s="20">
        <f t="shared" si="9"/>
        <v>7.7628268011926379E-3</v>
      </c>
      <c r="AK18" s="20">
        <f t="shared" si="10"/>
        <v>7.4259530614157482E-3</v>
      </c>
      <c r="AL18" s="17">
        <f t="shared" si="11"/>
        <v>3215624</v>
      </c>
      <c r="AM18" s="20">
        <v>16</v>
      </c>
      <c r="AN18" s="21">
        <v>34759113</v>
      </c>
      <c r="AO18" s="21">
        <v>1086222.28125</v>
      </c>
      <c r="AP18" s="21">
        <v>39602.53125</v>
      </c>
      <c r="AQ18" s="22">
        <v>5611288</v>
      </c>
      <c r="AR18" s="22">
        <v>2504208</v>
      </c>
      <c r="AS18" s="22">
        <v>711416</v>
      </c>
      <c r="AT18" s="22">
        <v>2395536</v>
      </c>
      <c r="AU18" s="23">
        <v>70.578149999999994</v>
      </c>
      <c r="AV18" s="23">
        <v>73.210569000000007</v>
      </c>
      <c r="AW18" s="23">
        <v>36.271638000000003</v>
      </c>
      <c r="AX18" s="23">
        <v>46.383172000000002</v>
      </c>
      <c r="AY18" s="23">
        <v>46.970315999999997</v>
      </c>
      <c r="AZ18" s="24">
        <v>5373.53</v>
      </c>
      <c r="BA18" s="24">
        <v>3836.14</v>
      </c>
      <c r="BB18" s="24">
        <v>96.061000000000007</v>
      </c>
      <c r="BC18" s="24">
        <v>16.818999999999999</v>
      </c>
      <c r="BE18" s="49">
        <f t="shared" si="12"/>
        <v>1.0095339275712847</v>
      </c>
      <c r="BF18" s="25">
        <f t="shared" si="13"/>
        <v>-1.6716099307064816E-3</v>
      </c>
      <c r="BG18" s="25">
        <f t="shared" si="14"/>
        <v>5.5244185276290825E-3</v>
      </c>
      <c r="BH18" s="25"/>
      <c r="BJ18" s="49"/>
      <c r="BK18" s="49"/>
      <c r="BL18" s="49"/>
      <c r="BM18" s="49"/>
      <c r="BN18" s="49"/>
      <c r="BP18" s="49"/>
      <c r="BQ18" s="49"/>
      <c r="BR18" s="49"/>
      <c r="BS18" s="49"/>
      <c r="BT18" s="49"/>
      <c r="BV18" s="58">
        <f t="shared" si="16"/>
        <v>-155212</v>
      </c>
      <c r="BW18" s="58">
        <f t="shared" si="15"/>
        <v>-4850.375</v>
      </c>
      <c r="BX18" s="58">
        <f t="shared" si="15"/>
        <v>-2000.6875</v>
      </c>
      <c r="BY18" s="58">
        <f t="shared" si="15"/>
        <v>-1112</v>
      </c>
      <c r="BZ18" s="58">
        <f t="shared" si="15"/>
        <v>0</v>
      </c>
      <c r="CA18" s="58">
        <f t="shared" si="15"/>
        <v>30368</v>
      </c>
      <c r="CB18" s="58">
        <f t="shared" si="15"/>
        <v>-31480</v>
      </c>
      <c r="CC18" s="58">
        <f t="shared" si="15"/>
        <v>4.8299999999997567E-2</v>
      </c>
      <c r="CD18" s="58">
        <f t="shared" si="15"/>
        <v>7.7185000000000059E-2</v>
      </c>
      <c r="CE18" s="58">
        <f t="shared" si="15"/>
        <v>-1.2461999999999307E-2</v>
      </c>
      <c r="CF18" s="58">
        <f t="shared" si="15"/>
        <v>-2.9511999999996874E-2</v>
      </c>
      <c r="CG18" s="58">
        <f t="shared" si="15"/>
        <v>-3.6297000000004687E-2</v>
      </c>
      <c r="CJ18" t="s">
        <v>233</v>
      </c>
    </row>
    <row r="19" spans="1:88" ht="16" outlineLevel="1" thickBot="1" x14ac:dyDescent="0.25">
      <c r="A19" s="52"/>
      <c r="B19" s="26" t="s">
        <v>64</v>
      </c>
      <c r="C19" s="27" t="s">
        <v>237</v>
      </c>
      <c r="D19" s="26">
        <v>322589704</v>
      </c>
      <c r="E19" s="27">
        <v>10</v>
      </c>
      <c r="F19" s="27">
        <v>32</v>
      </c>
      <c r="G19" s="27">
        <v>30</v>
      </c>
      <c r="I19" s="28">
        <f t="shared" si="0"/>
        <v>11.399850000000001</v>
      </c>
      <c r="J19" s="29">
        <f t="shared" si="1"/>
        <v>3.7694445449505107E-2</v>
      </c>
      <c r="K19" s="29">
        <f t="shared" si="2"/>
        <v>1.7400728945769453E-2</v>
      </c>
      <c r="L19" s="29">
        <f t="shared" si="3"/>
        <v>1.2811841012755943E-2</v>
      </c>
      <c r="M19" s="29">
        <f t="shared" si="4"/>
        <v>2.0293319714878438E-2</v>
      </c>
      <c r="N19" s="26">
        <f t="shared" si="5"/>
        <v>5613296</v>
      </c>
      <c r="O19" s="29">
        <v>16</v>
      </c>
      <c r="P19" s="30">
        <v>33019287</v>
      </c>
      <c r="Q19" s="30">
        <v>1031852.71875</v>
      </c>
      <c r="R19" s="30">
        <v>17790.15625</v>
      </c>
      <c r="S19" s="31">
        <v>12159840</v>
      </c>
      <c r="T19" s="31">
        <v>4132968</v>
      </c>
      <c r="U19" s="31">
        <v>1480328</v>
      </c>
      <c r="V19" s="31">
        <v>6546416</v>
      </c>
      <c r="W19" s="32">
        <v>71.185569000000001</v>
      </c>
      <c r="X19" s="32">
        <v>75.071019000000007</v>
      </c>
      <c r="Y19" s="32">
        <v>38.708165999999999</v>
      </c>
      <c r="Z19" s="32">
        <v>48.191471999999997</v>
      </c>
      <c r="AA19" s="32">
        <v>48.813738000000001</v>
      </c>
      <c r="AB19" s="33">
        <v>5007.57</v>
      </c>
      <c r="AC19" s="33">
        <v>4063.01</v>
      </c>
      <c r="AD19" s="33">
        <v>80.525999999999996</v>
      </c>
      <c r="AE19" s="33">
        <v>16.516999999999999</v>
      </c>
      <c r="AG19" s="28">
        <f t="shared" si="6"/>
        <v>11.409644999999999</v>
      </c>
      <c r="AH19" s="29">
        <f t="shared" si="7"/>
        <v>3.772683333997541E-2</v>
      </c>
      <c r="AI19" s="29">
        <f t="shared" si="8"/>
        <v>1.7494842302840513E-2</v>
      </c>
      <c r="AJ19" s="29">
        <f t="shared" si="9"/>
        <v>1.2811841012755943E-2</v>
      </c>
      <c r="AK19" s="29">
        <f t="shared" si="10"/>
        <v>2.0231594248277682E-2</v>
      </c>
      <c r="AL19" s="26">
        <f t="shared" si="11"/>
        <v>5643656</v>
      </c>
      <c r="AM19" s="29">
        <v>16</v>
      </c>
      <c r="AN19" s="30">
        <v>32994893</v>
      </c>
      <c r="AO19" s="30">
        <v>1031090.40625</v>
      </c>
      <c r="AP19" s="30">
        <v>17470.875</v>
      </c>
      <c r="AQ19" s="31">
        <v>12170288</v>
      </c>
      <c r="AR19" s="31">
        <v>4132968</v>
      </c>
      <c r="AS19" s="31">
        <v>1510688</v>
      </c>
      <c r="AT19" s="31">
        <v>6526504</v>
      </c>
      <c r="AU19" s="32">
        <v>71.177547000000004</v>
      </c>
      <c r="AV19" s="32">
        <v>75.074530999999993</v>
      </c>
      <c r="AW19" s="32">
        <v>38.705497000000001</v>
      </c>
      <c r="AX19" s="32">
        <v>48.209097</v>
      </c>
      <c r="AY19" s="32">
        <v>48.766236999999997</v>
      </c>
      <c r="AZ19" s="33">
        <v>4619.2700000000004</v>
      </c>
      <c r="BA19" s="33">
        <v>3819.13</v>
      </c>
      <c r="BB19" s="33">
        <v>82.825000000000003</v>
      </c>
      <c r="BC19" s="33">
        <v>16.908000000000001</v>
      </c>
      <c r="BE19" s="34">
        <f t="shared" si="12"/>
        <v>1.0054085870404839</v>
      </c>
      <c r="BF19" s="35">
        <f t="shared" si="13"/>
        <v>-2.969072648746178E-4</v>
      </c>
      <c r="BG19" s="35">
        <f t="shared" si="14"/>
        <v>2.0983014968973812E-3</v>
      </c>
      <c r="BH19" s="35"/>
      <c r="BJ19" s="34"/>
      <c r="BK19" s="34"/>
      <c r="BL19" s="34"/>
      <c r="BM19" s="34"/>
      <c r="BN19" s="34"/>
      <c r="BP19" s="34"/>
      <c r="BQ19" s="34"/>
      <c r="BR19" s="34"/>
      <c r="BS19" s="34"/>
      <c r="BT19" s="34"/>
      <c r="BV19" s="58">
        <f t="shared" si="16"/>
        <v>-24394</v>
      </c>
      <c r="BW19" s="58">
        <f t="shared" si="15"/>
        <v>-762.3125</v>
      </c>
      <c r="BX19" s="58">
        <f t="shared" si="15"/>
        <v>-319.28125</v>
      </c>
      <c r="BY19" s="58">
        <f t="shared" si="15"/>
        <v>10448</v>
      </c>
      <c r="BZ19" s="58">
        <f t="shared" si="15"/>
        <v>0</v>
      </c>
      <c r="CA19" s="58">
        <f t="shared" si="15"/>
        <v>30360</v>
      </c>
      <c r="CB19" s="58">
        <f t="shared" si="15"/>
        <v>-19912</v>
      </c>
      <c r="CC19" s="58">
        <f t="shared" si="15"/>
        <v>-8.021999999996865E-3</v>
      </c>
      <c r="CD19" s="58">
        <f t="shared" si="15"/>
        <v>3.5119999999864149E-3</v>
      </c>
      <c r="CE19" s="58">
        <f t="shared" si="15"/>
        <v>-2.6689999999973679E-3</v>
      </c>
      <c r="CF19" s="58">
        <f t="shared" si="15"/>
        <v>1.7625000000002444E-2</v>
      </c>
      <c r="CG19" s="58">
        <f t="shared" si="15"/>
        <v>-4.7501000000004012E-2</v>
      </c>
      <c r="CJ19" t="s">
        <v>233</v>
      </c>
    </row>
    <row r="20" spans="1:88" x14ac:dyDescent="0.2">
      <c r="A20" s="17"/>
      <c r="B20" s="17" t="s">
        <v>70</v>
      </c>
      <c r="C20" s="18" t="s">
        <v>232</v>
      </c>
      <c r="D20" s="17">
        <v>250602891</v>
      </c>
      <c r="E20" s="18">
        <v>10</v>
      </c>
      <c r="F20" s="18">
        <v>32</v>
      </c>
      <c r="G20" s="18">
        <v>50</v>
      </c>
      <c r="I20" s="19">
        <f t="shared" si="0"/>
        <v>2.0159500000000001</v>
      </c>
      <c r="J20" s="20">
        <f t="shared" si="1"/>
        <v>5.1484162646790853E-3</v>
      </c>
      <c r="K20" s="20">
        <f t="shared" si="2"/>
        <v>3.9993153949688474E-3</v>
      </c>
      <c r="L20" s="20">
        <f t="shared" si="3"/>
        <v>2.2733975562955495E-3</v>
      </c>
      <c r="M20" s="20">
        <f t="shared" si="4"/>
        <v>1.1485901014605614E-3</v>
      </c>
      <c r="N20" s="17">
        <f t="shared" si="5"/>
        <v>1002240</v>
      </c>
      <c r="O20" s="20">
        <v>16</v>
      </c>
      <c r="P20" s="21">
        <v>27244216</v>
      </c>
      <c r="Q20" s="21">
        <v>851381.75</v>
      </c>
      <c r="R20" s="21">
        <v>24377.1875</v>
      </c>
      <c r="S20" s="22">
        <v>1290208</v>
      </c>
      <c r="T20" s="22">
        <v>569720</v>
      </c>
      <c r="U20" s="22">
        <v>432520</v>
      </c>
      <c r="V20" s="22">
        <v>287840</v>
      </c>
      <c r="W20" s="23">
        <v>66.828840999999997</v>
      </c>
      <c r="X20" s="23">
        <v>68.925630999999996</v>
      </c>
      <c r="Y20" s="23">
        <v>30.076011999999999</v>
      </c>
      <c r="Z20" s="23">
        <v>39.463031000000001</v>
      </c>
      <c r="AA20" s="23">
        <v>37.891691000000002</v>
      </c>
      <c r="AB20" s="24">
        <v>5276.13</v>
      </c>
      <c r="AC20" s="24">
        <v>3342.19</v>
      </c>
      <c r="AD20" s="24">
        <v>75.501999999999995</v>
      </c>
      <c r="AE20" s="24">
        <v>15.932</v>
      </c>
      <c r="AG20" s="19">
        <f t="shared" si="6"/>
        <v>2.0402</v>
      </c>
      <c r="AH20" s="20">
        <f t="shared" si="7"/>
        <v>5.2103469149523901E-3</v>
      </c>
      <c r="AI20" s="20">
        <f t="shared" si="8"/>
        <v>4.0762179395608007E-3</v>
      </c>
      <c r="AJ20" s="20">
        <f t="shared" si="9"/>
        <v>2.2733975562955495E-3</v>
      </c>
      <c r="AK20" s="20">
        <f t="shared" si="10"/>
        <v>1.133618207141912E-3</v>
      </c>
      <c r="AL20" s="17">
        <f t="shared" si="11"/>
        <v>1021512</v>
      </c>
      <c r="AM20" s="20">
        <v>16</v>
      </c>
      <c r="AN20" s="21">
        <v>27107060</v>
      </c>
      <c r="AO20" s="21">
        <v>847095.625</v>
      </c>
      <c r="AP20" s="21">
        <v>23388.4375</v>
      </c>
      <c r="AQ20" s="22">
        <v>1305728</v>
      </c>
      <c r="AR20" s="22">
        <v>569720</v>
      </c>
      <c r="AS20" s="22">
        <v>451792</v>
      </c>
      <c r="AT20" s="22">
        <v>284088</v>
      </c>
      <c r="AU20" s="23">
        <v>66.808400000000006</v>
      </c>
      <c r="AV20" s="23">
        <v>68.988022000000001</v>
      </c>
      <c r="AW20" s="23">
        <v>30.081716</v>
      </c>
      <c r="AX20" s="23">
        <v>39.463262</v>
      </c>
      <c r="AY20" s="23">
        <v>38.038983999999999</v>
      </c>
      <c r="AZ20" s="24">
        <v>4384.09</v>
      </c>
      <c r="BA20" s="24">
        <v>2942.22</v>
      </c>
      <c r="BB20" s="24">
        <v>70.433000000000007</v>
      </c>
      <c r="BC20" s="24">
        <v>15.105</v>
      </c>
      <c r="BE20" s="49">
        <f t="shared" si="12"/>
        <v>1.019228927203065</v>
      </c>
      <c r="BF20" s="25">
        <f t="shared" si="13"/>
        <v>-1.0223491925572779E-3</v>
      </c>
      <c r="BG20" s="25">
        <f t="shared" si="14"/>
        <v>5.5264087972529685E-3</v>
      </c>
      <c r="BH20" s="25">
        <f t="array" ref="BH20">AVERAGE(AL20:AL24/AQ20:AQ24) - AVERAGE(N20:N24/S20:S24)</f>
        <v>5.5512467304307256E-3</v>
      </c>
      <c r="BJ20" s="49">
        <f>IF( OR(ISBLANK(N20:N24),ISBLANK(AL20:AL24), ISBLANK(W20:W24),ISBLANK(AU20:AU24)), "·", bdRateExtend( N20:N24,W20:W24, AL20:AL24,AU20:AU24))</f>
        <v>2.2209336850971928E-2</v>
      </c>
      <c r="BK20" s="49">
        <f>IF( OR(ISBLANK(N20:N24),ISBLANK(AL20:AL24), ISBLANK(X20:X24),ISBLANK(AV20:AV24)), "·", bdRateExtend( N20:N24,X20:X24, AL20:AL24,AV20:AV24))</f>
        <v>-1.319760000691006E-3</v>
      </c>
      <c r="BL20" s="49">
        <f>IF( OR(ISBLANK(V20:V24),ISBLANK(AT20:AT24), ISBLANK(Y20:Y24),ISBLANK(AW20:AW24)), "·", bdRateExtend( V20:V24,Y20:Y24, AT20:AT24,AW20:AW24))</f>
        <v>-1.5351324771839536E-2</v>
      </c>
      <c r="BM20" s="49">
        <f>IF( OR(ISBLANK(V20:V24),ISBLANK(AT20:AT24), ISBLANK(Z20:Z24),ISBLANK(AX20:AX24)), "·", bdRateExtend( V20:V24,Z20:Z24, AT20:AT24,AX20:AX24))</f>
        <v>-2.7840056885436448E-3</v>
      </c>
      <c r="BN20" s="49">
        <f>IF( OR(ISBLANK(V20:V24),ISBLANK(AT20:AT24), ISBLANK(AA20:AA24),ISBLANK(AY20:AY24)), "·", bdRateExtend( V20:V24,AA20:AA24, AT20:AT24,AY20:AY24))</f>
        <v>-3.018129397057201E-2</v>
      </c>
      <c r="BP20" s="49">
        <f>IF( OR(ISBLANK(S20:S24),ISBLANK(AQ20:AQ24), ISBLANK(W20:W24),ISBLANK(AU20:AU24)), "·", bdRateExtend( S20:S24,W20:W24, AQ20:AQ24,AU20:AU24))</f>
        <v>1.5556849225838665E-2</v>
      </c>
      <c r="BQ20" s="49">
        <f>IF( OR(ISBLANK(S20:S24),ISBLANK(AQ20:AQ24), ISBLANK(X20:X24),ISBLANK(AV20:AV24)), "·", bdRateExtend( S20:S24,X20:X24, AQ20:AQ24,AV20:AV24))</f>
        <v>-2.2733912929328803E-2</v>
      </c>
      <c r="BR20" s="49">
        <f>IF( OR(ISBLANK(S20:S24),ISBLANK(AQ20:AQ24), ISBLANK(Y20:Y24),ISBLANK(AW20:AW24)), "·", bdRateExtend( S20:S24,Y20:Y24, AQ20:AQ24,AW20:AW24))</f>
        <v>9.6860947293775368E-5</v>
      </c>
      <c r="BS20" s="49">
        <f>IF( OR(ISBLANK(S20:S24),ISBLANK(AQ20:AQ24), ISBLANK(Z20:Z24),ISBLANK(AX20:AX24)), "·", bdRateExtend( S20:S24,Z20:Z24, AQ20:AQ24,AX20:AX24))</f>
        <v>1.0945549357001649E-2</v>
      </c>
      <c r="BT20" s="49">
        <f>IF( OR(ISBLANK(S20:S24),ISBLANK(AQ20:AQ24), ISBLANK(AA20:AA24),ISBLANK(AY20:AY24)), "·", bdRateExtend( S20:S24,AA20:AA24, AQ20:AQ24,AY20:AY24))</f>
        <v>-7.5903773435356259E-3</v>
      </c>
      <c r="BV20" s="58">
        <f t="shared" si="16"/>
        <v>-137156</v>
      </c>
      <c r="BW20" s="58">
        <f t="shared" si="15"/>
        <v>-4286.125</v>
      </c>
      <c r="BX20" s="58">
        <f t="shared" si="15"/>
        <v>-988.75</v>
      </c>
      <c r="BY20" s="58">
        <f t="shared" si="15"/>
        <v>15520</v>
      </c>
      <c r="BZ20" s="58">
        <f t="shared" si="15"/>
        <v>0</v>
      </c>
      <c r="CA20" s="58">
        <f t="shared" si="15"/>
        <v>19272</v>
      </c>
      <c r="CB20" s="58">
        <f t="shared" si="15"/>
        <v>-3752</v>
      </c>
      <c r="CC20" s="58">
        <f t="shared" si="15"/>
        <v>-2.044099999999105E-2</v>
      </c>
      <c r="CD20" s="58">
        <f t="shared" si="15"/>
        <v>6.2391000000005192E-2</v>
      </c>
      <c r="CE20" s="58">
        <f t="shared" si="15"/>
        <v>5.7040000000014857E-3</v>
      </c>
      <c r="CF20" s="58">
        <f t="shared" si="15"/>
        <v>2.3099999999942611E-4</v>
      </c>
      <c r="CG20" s="58">
        <f t="shared" si="15"/>
        <v>0.14729299999999768</v>
      </c>
      <c r="CJ20" t="s">
        <v>239</v>
      </c>
    </row>
    <row r="21" spans="1:88" outlineLevel="1" x14ac:dyDescent="0.2">
      <c r="A21" s="52"/>
      <c r="B21" s="52" t="s">
        <v>70</v>
      </c>
      <c r="C21" s="9" t="s">
        <v>234</v>
      </c>
      <c r="D21" s="52">
        <v>250602891</v>
      </c>
      <c r="E21" s="9">
        <v>10</v>
      </c>
      <c r="F21" s="9">
        <v>32</v>
      </c>
      <c r="G21" s="9">
        <v>50</v>
      </c>
      <c r="I21" s="10">
        <f t="shared" si="0"/>
        <v>2.6897625000000001</v>
      </c>
      <c r="J21" s="11">
        <f t="shared" si="1"/>
        <v>6.869226420855616E-3</v>
      </c>
      <c r="K21" s="11">
        <f t="shared" si="2"/>
        <v>4.7132417159545057E-3</v>
      </c>
      <c r="L21" s="11">
        <f t="shared" si="3"/>
        <v>2.9873238772812082E-3</v>
      </c>
      <c r="M21" s="11">
        <f t="shared" si="4"/>
        <v>2.1554739366514333E-3</v>
      </c>
      <c r="N21" s="52">
        <f t="shared" si="5"/>
        <v>1181152</v>
      </c>
      <c r="O21" s="11">
        <v>16</v>
      </c>
      <c r="P21" s="12">
        <v>28403751</v>
      </c>
      <c r="Q21" s="12">
        <v>887617.21875</v>
      </c>
      <c r="R21" s="12">
        <v>27895.75</v>
      </c>
      <c r="S21" s="13">
        <v>1721448</v>
      </c>
      <c r="T21" s="13">
        <v>748632</v>
      </c>
      <c r="U21" s="13">
        <v>432520</v>
      </c>
      <c r="V21" s="13">
        <v>540168</v>
      </c>
      <c r="W21" s="14">
        <v>68.330271999999994</v>
      </c>
      <c r="X21" s="14">
        <v>71.104647</v>
      </c>
      <c r="Y21" s="14">
        <v>31.514361999999998</v>
      </c>
      <c r="Z21" s="14">
        <v>40.519581000000002</v>
      </c>
      <c r="AA21" s="14">
        <v>39.209949999999999</v>
      </c>
      <c r="AB21" s="15">
        <v>5888.19</v>
      </c>
      <c r="AC21" s="15">
        <v>4215.5600000000004</v>
      </c>
      <c r="AD21" s="15">
        <v>82.331000000000003</v>
      </c>
      <c r="AE21" s="15">
        <v>22.831</v>
      </c>
      <c r="AG21" s="10">
        <f t="shared" si="6"/>
        <v>2.7058499999999999</v>
      </c>
      <c r="AH21" s="11">
        <f t="shared" si="7"/>
        <v>6.9103113419389881E-3</v>
      </c>
      <c r="AI21" s="11">
        <f t="shared" si="8"/>
        <v>4.7901761835620641E-3</v>
      </c>
      <c r="AJ21" s="11">
        <f t="shared" si="9"/>
        <v>2.9873238772812082E-3</v>
      </c>
      <c r="AK21" s="11">
        <f t="shared" si="10"/>
        <v>2.119624390127247E-3</v>
      </c>
      <c r="AL21" s="52">
        <f t="shared" si="11"/>
        <v>1200432</v>
      </c>
      <c r="AM21" s="11">
        <v>16</v>
      </c>
      <c r="AN21" s="12">
        <v>28266001</v>
      </c>
      <c r="AO21" s="12">
        <v>883312.53125</v>
      </c>
      <c r="AP21" s="12">
        <v>26758.84375</v>
      </c>
      <c r="AQ21" s="13">
        <v>1731744</v>
      </c>
      <c r="AR21" s="13">
        <v>748632</v>
      </c>
      <c r="AS21" s="13">
        <v>451800</v>
      </c>
      <c r="AT21" s="13">
        <v>531184</v>
      </c>
      <c r="AU21" s="14">
        <v>68.306606000000002</v>
      </c>
      <c r="AV21" s="14">
        <v>71.180625000000006</v>
      </c>
      <c r="AW21" s="14">
        <v>31.512172</v>
      </c>
      <c r="AX21" s="14">
        <v>40.512087000000001</v>
      </c>
      <c r="AY21" s="14">
        <v>39.216909000000001</v>
      </c>
      <c r="AZ21" s="15">
        <v>4176.97</v>
      </c>
      <c r="BA21" s="15">
        <v>3063.07</v>
      </c>
      <c r="BB21" s="15">
        <v>73.995999999999995</v>
      </c>
      <c r="BC21" s="15">
        <v>15.787000000000001</v>
      </c>
      <c r="BE21" s="50">
        <f t="shared" si="12"/>
        <v>1.0163230473300642</v>
      </c>
      <c r="BF21" s="16">
        <f t="shared" si="13"/>
        <v>-1.1339360338434509E-3</v>
      </c>
      <c r="BG21" s="16">
        <f t="shared" si="14"/>
        <v>7.0538812319042021E-3</v>
      </c>
      <c r="BH21" s="16"/>
      <c r="BJ21" s="50"/>
      <c r="BK21" s="50"/>
      <c r="BL21" s="50"/>
      <c r="BM21" s="50"/>
      <c r="BN21" s="50"/>
      <c r="BP21" s="50"/>
      <c r="BQ21" s="50"/>
      <c r="BR21" s="50"/>
      <c r="BS21" s="50"/>
      <c r="BT21" s="50"/>
      <c r="BV21" s="58">
        <f t="shared" si="16"/>
        <v>-137750</v>
      </c>
      <c r="BW21" s="58">
        <f t="shared" si="16"/>
        <v>-4304.6875</v>
      </c>
      <c r="BX21" s="58">
        <f t="shared" si="16"/>
        <v>-1136.90625</v>
      </c>
      <c r="BY21" s="58">
        <f t="shared" si="16"/>
        <v>10296</v>
      </c>
      <c r="BZ21" s="58">
        <f t="shared" si="16"/>
        <v>0</v>
      </c>
      <c r="CA21" s="58">
        <f t="shared" si="16"/>
        <v>19280</v>
      </c>
      <c r="CB21" s="58">
        <f t="shared" si="16"/>
        <v>-8984</v>
      </c>
      <c r="CC21" s="58">
        <f t="shared" si="16"/>
        <v>-2.3665999999991527E-2</v>
      </c>
      <c r="CD21" s="58">
        <f t="shared" si="16"/>
        <v>7.5978000000006318E-2</v>
      </c>
      <c r="CE21" s="58">
        <f t="shared" si="16"/>
        <v>-2.189999999998804E-3</v>
      </c>
      <c r="CF21" s="58">
        <f t="shared" si="16"/>
        <v>-7.4940000000012219E-3</v>
      </c>
      <c r="CG21" s="58">
        <f t="shared" si="16"/>
        <v>6.9590000000019359E-3</v>
      </c>
      <c r="CJ21" t="s">
        <v>239</v>
      </c>
    </row>
    <row r="22" spans="1:88" outlineLevel="1" x14ac:dyDescent="0.2">
      <c r="A22" s="17"/>
      <c r="B22" s="17" t="s">
        <v>70</v>
      </c>
      <c r="C22" s="18" t="s">
        <v>235</v>
      </c>
      <c r="D22" s="17">
        <v>250602891</v>
      </c>
      <c r="E22" s="18">
        <v>10</v>
      </c>
      <c r="F22" s="18">
        <v>32</v>
      </c>
      <c r="G22" s="18">
        <v>50</v>
      </c>
      <c r="I22" s="19">
        <f t="shared" si="0"/>
        <v>4.0568999999999997</v>
      </c>
      <c r="J22" s="20">
        <f t="shared" si="1"/>
        <v>1.0360678560567762E-2</v>
      </c>
      <c r="K22" s="20">
        <f t="shared" si="2"/>
        <v>5.4899606086347983E-3</v>
      </c>
      <c r="L22" s="20">
        <f t="shared" si="3"/>
        <v>3.7640427699615004E-3</v>
      </c>
      <c r="M22" s="20">
        <f t="shared" si="4"/>
        <v>4.8702071836832879E-3</v>
      </c>
      <c r="N22" s="17">
        <f t="shared" si="5"/>
        <v>1375800</v>
      </c>
      <c r="O22" s="20">
        <v>16</v>
      </c>
      <c r="P22" s="21">
        <v>29027099</v>
      </c>
      <c r="Q22" s="21">
        <v>907096.84375</v>
      </c>
      <c r="R22" s="21">
        <v>29371.4375</v>
      </c>
      <c r="S22" s="22">
        <v>2596416</v>
      </c>
      <c r="T22" s="22">
        <v>943280</v>
      </c>
      <c r="U22" s="22">
        <v>432520</v>
      </c>
      <c r="V22" s="22">
        <v>1220488</v>
      </c>
      <c r="W22" s="23">
        <v>69.412541000000004</v>
      </c>
      <c r="X22" s="23">
        <v>72.801675000000003</v>
      </c>
      <c r="Y22" s="23">
        <v>33.267837999999998</v>
      </c>
      <c r="Z22" s="23">
        <v>41.746715999999999</v>
      </c>
      <c r="AA22" s="23">
        <v>40.411003000000001</v>
      </c>
      <c r="AB22" s="24">
        <v>5600.42</v>
      </c>
      <c r="AC22" s="24">
        <v>4299.3900000000003</v>
      </c>
      <c r="AD22" s="24">
        <v>84.415999999999997</v>
      </c>
      <c r="AE22" s="24">
        <v>19.725999999999999</v>
      </c>
      <c r="AG22" s="19">
        <f t="shared" si="6"/>
        <v>4.0582124999999998</v>
      </c>
      <c r="AH22" s="20">
        <f t="shared" si="7"/>
        <v>1.0364030477206267E-2</v>
      </c>
      <c r="AI22" s="20">
        <f t="shared" si="8"/>
        <v>5.5668631532267516E-3</v>
      </c>
      <c r="AJ22" s="20">
        <f t="shared" si="9"/>
        <v>3.7640427699615004E-3</v>
      </c>
      <c r="AK22" s="20">
        <f t="shared" si="10"/>
        <v>4.7966565557298379E-3</v>
      </c>
      <c r="AL22" s="17">
        <f t="shared" si="11"/>
        <v>1395072</v>
      </c>
      <c r="AM22" s="20">
        <v>16</v>
      </c>
      <c r="AN22" s="21">
        <v>28895732</v>
      </c>
      <c r="AO22" s="21">
        <v>902991.625</v>
      </c>
      <c r="AP22" s="21">
        <v>28200.9375</v>
      </c>
      <c r="AQ22" s="22">
        <v>2597256</v>
      </c>
      <c r="AR22" s="22">
        <v>943280</v>
      </c>
      <c r="AS22" s="22">
        <v>451792</v>
      </c>
      <c r="AT22" s="22">
        <v>1202056</v>
      </c>
      <c r="AU22" s="23">
        <v>69.387550000000005</v>
      </c>
      <c r="AV22" s="23">
        <v>72.888446999999999</v>
      </c>
      <c r="AW22" s="23">
        <v>33.247359000000003</v>
      </c>
      <c r="AX22" s="23">
        <v>41.743637</v>
      </c>
      <c r="AY22" s="23">
        <v>40.417259000000001</v>
      </c>
      <c r="AZ22" s="24">
        <v>4568.99</v>
      </c>
      <c r="BA22" s="24">
        <v>3380.8</v>
      </c>
      <c r="BB22" s="24">
        <v>75.521000000000001</v>
      </c>
      <c r="BC22" s="24">
        <v>15.888</v>
      </c>
      <c r="BE22" s="49">
        <f t="shared" si="12"/>
        <v>1.0140078499781944</v>
      </c>
      <c r="BF22" s="25">
        <f t="shared" si="13"/>
        <v>-1.1490412642802886E-3</v>
      </c>
      <c r="BG22" s="25">
        <f t="shared" si="14"/>
        <v>7.2487645469514472E-3</v>
      </c>
      <c r="BH22" s="25"/>
      <c r="BJ22" s="49"/>
      <c r="BK22" s="49"/>
      <c r="BL22" s="49"/>
      <c r="BM22" s="49"/>
      <c r="BN22" s="49"/>
      <c r="BP22" s="49"/>
      <c r="BQ22" s="49"/>
      <c r="BR22" s="49"/>
      <c r="BS22" s="49"/>
      <c r="BT22" s="49"/>
      <c r="BV22" s="58">
        <f t="shared" si="16"/>
        <v>-131367</v>
      </c>
      <c r="BW22" s="58">
        <f t="shared" si="16"/>
        <v>-4105.21875</v>
      </c>
      <c r="BX22" s="58">
        <f t="shared" si="16"/>
        <v>-1170.5</v>
      </c>
      <c r="BY22" s="58">
        <f t="shared" si="16"/>
        <v>840</v>
      </c>
      <c r="BZ22" s="58">
        <f t="shared" si="16"/>
        <v>0</v>
      </c>
      <c r="CA22" s="58">
        <f t="shared" si="16"/>
        <v>19272</v>
      </c>
      <c r="CB22" s="58">
        <f t="shared" si="16"/>
        <v>-18432</v>
      </c>
      <c r="CC22" s="58">
        <f t="shared" si="16"/>
        <v>-2.4990999999999985E-2</v>
      </c>
      <c r="CD22" s="58">
        <f t="shared" si="16"/>
        <v>8.6771999999996297E-2</v>
      </c>
      <c r="CE22" s="58">
        <f t="shared" si="16"/>
        <v>-2.0478999999994585E-2</v>
      </c>
      <c r="CF22" s="58">
        <f t="shared" si="16"/>
        <v>-3.0789999999996098E-3</v>
      </c>
      <c r="CG22" s="58">
        <f t="shared" si="16"/>
        <v>6.2560000000004834E-3</v>
      </c>
      <c r="CJ22" t="s">
        <v>239</v>
      </c>
    </row>
    <row r="23" spans="1:88" outlineLevel="1" x14ac:dyDescent="0.2">
      <c r="A23" s="52"/>
      <c r="B23" s="52" t="s">
        <v>70</v>
      </c>
      <c r="C23" s="9" t="s">
        <v>236</v>
      </c>
      <c r="D23" s="52">
        <v>250602891</v>
      </c>
      <c r="E23" s="9">
        <v>10</v>
      </c>
      <c r="F23" s="9">
        <v>32</v>
      </c>
      <c r="G23" s="9">
        <v>50</v>
      </c>
      <c r="I23" s="10">
        <f t="shared" si="0"/>
        <v>7.6926249999999996</v>
      </c>
      <c r="J23" s="11">
        <f t="shared" si="1"/>
        <v>1.964574303334753E-2</v>
      </c>
      <c r="K23" s="11">
        <f t="shared" si="2"/>
        <v>8.1739519916392347E-3</v>
      </c>
      <c r="L23" s="11">
        <f t="shared" si="3"/>
        <v>6.4480341529659368E-3</v>
      </c>
      <c r="M23" s="11">
        <f t="shared" si="4"/>
        <v>1.1471280273458617E-2</v>
      </c>
      <c r="N23" s="52">
        <f t="shared" si="5"/>
        <v>2048416</v>
      </c>
      <c r="O23" s="11">
        <v>16</v>
      </c>
      <c r="P23" s="12">
        <v>29767659</v>
      </c>
      <c r="Q23" s="12">
        <v>930239.34375</v>
      </c>
      <c r="R23" s="12">
        <v>32238.5</v>
      </c>
      <c r="S23" s="13">
        <v>4923280</v>
      </c>
      <c r="T23" s="13">
        <v>1615896</v>
      </c>
      <c r="U23" s="13">
        <v>432520</v>
      </c>
      <c r="V23" s="13">
        <v>2874736</v>
      </c>
      <c r="W23" s="14">
        <v>70.437100000000001</v>
      </c>
      <c r="X23" s="14">
        <v>74.136771999999993</v>
      </c>
      <c r="Y23" s="14">
        <v>35.015436999999999</v>
      </c>
      <c r="Z23" s="14">
        <v>42.751627999999997</v>
      </c>
      <c r="AA23" s="14">
        <v>41.446899999999999</v>
      </c>
      <c r="AB23" s="15">
        <v>4901.2299999999996</v>
      </c>
      <c r="AC23" s="15">
        <v>3695.58</v>
      </c>
      <c r="AD23" s="15">
        <v>79.361999999999995</v>
      </c>
      <c r="AE23" s="15">
        <v>16.359000000000002</v>
      </c>
      <c r="AG23" s="10">
        <f t="shared" si="6"/>
        <v>7.6502499999999998</v>
      </c>
      <c r="AH23" s="11">
        <f t="shared" si="7"/>
        <v>1.9537524010447269E-2</v>
      </c>
      <c r="AI23" s="11">
        <f t="shared" si="8"/>
        <v>8.2508545362311881E-3</v>
      </c>
      <c r="AJ23" s="11">
        <f t="shared" si="9"/>
        <v>6.4480341529659368E-3</v>
      </c>
      <c r="AK23" s="11">
        <f t="shared" si="10"/>
        <v>1.1286158705966404E-2</v>
      </c>
      <c r="AL23" s="52">
        <f t="shared" si="11"/>
        <v>2067688</v>
      </c>
      <c r="AM23" s="11">
        <v>16</v>
      </c>
      <c r="AN23" s="12">
        <v>29634482</v>
      </c>
      <c r="AO23" s="12">
        <v>926077.5625</v>
      </c>
      <c r="AP23" s="12">
        <v>30971.34375</v>
      </c>
      <c r="AQ23" s="13">
        <v>4896160</v>
      </c>
      <c r="AR23" s="13">
        <v>1615896</v>
      </c>
      <c r="AS23" s="13">
        <v>451792</v>
      </c>
      <c r="AT23" s="13">
        <v>2828344</v>
      </c>
      <c r="AU23" s="14">
        <v>70.409734</v>
      </c>
      <c r="AV23" s="14">
        <v>74.246358999999998</v>
      </c>
      <c r="AW23" s="14">
        <v>35.043515999999997</v>
      </c>
      <c r="AX23" s="14">
        <v>42.708522000000002</v>
      </c>
      <c r="AY23" s="14">
        <v>41.479131000000002</v>
      </c>
      <c r="AZ23" s="15">
        <v>4203.13</v>
      </c>
      <c r="BA23" s="15">
        <v>3574.85</v>
      </c>
      <c r="BB23" s="15">
        <v>76.948999999999998</v>
      </c>
      <c r="BC23" s="15">
        <v>16.048999999999999</v>
      </c>
      <c r="BE23" s="50">
        <f t="shared" si="12"/>
        <v>1.0094082452001936</v>
      </c>
      <c r="BF23" s="16">
        <f t="shared" si="13"/>
        <v>-1.2125604202932391E-3</v>
      </c>
      <c r="BG23" s="16">
        <f t="shared" si="14"/>
        <v>6.2407572843758974E-3</v>
      </c>
      <c r="BH23" s="16"/>
      <c r="BJ23" s="50"/>
      <c r="BK23" s="50"/>
      <c r="BL23" s="50"/>
      <c r="BM23" s="50"/>
      <c r="BN23" s="50"/>
      <c r="BP23" s="50"/>
      <c r="BQ23" s="50"/>
      <c r="BR23" s="50"/>
      <c r="BS23" s="50"/>
      <c r="BT23" s="50"/>
      <c r="BV23" s="58">
        <f t="shared" si="16"/>
        <v>-133177</v>
      </c>
      <c r="BW23" s="58">
        <f t="shared" si="16"/>
        <v>-4161.78125</v>
      </c>
      <c r="BX23" s="58">
        <f t="shared" si="16"/>
        <v>-1267.15625</v>
      </c>
      <c r="BY23" s="58">
        <f t="shared" si="16"/>
        <v>-27120</v>
      </c>
      <c r="BZ23" s="58">
        <f t="shared" si="16"/>
        <v>0</v>
      </c>
      <c r="CA23" s="58">
        <f t="shared" si="16"/>
        <v>19272</v>
      </c>
      <c r="CB23" s="58">
        <f t="shared" si="16"/>
        <v>-46392</v>
      </c>
      <c r="CC23" s="58">
        <f t="shared" si="16"/>
        <v>-2.7366000000000668E-2</v>
      </c>
      <c r="CD23" s="58">
        <f t="shared" si="16"/>
        <v>0.10958700000000476</v>
      </c>
      <c r="CE23" s="58">
        <f t="shared" si="16"/>
        <v>2.8078999999998189E-2</v>
      </c>
      <c r="CF23" s="58">
        <f t="shared" si="16"/>
        <v>-4.3105999999994538E-2</v>
      </c>
      <c r="CG23" s="58">
        <f t="shared" si="16"/>
        <v>3.2231000000003007E-2</v>
      </c>
      <c r="CJ23" t="s">
        <v>239</v>
      </c>
    </row>
    <row r="24" spans="1:88" ht="16" outlineLevel="1" thickBot="1" x14ac:dyDescent="0.25">
      <c r="A24" s="36"/>
      <c r="B24" s="36" t="s">
        <v>70</v>
      </c>
      <c r="C24" s="37" t="s">
        <v>237</v>
      </c>
      <c r="D24" s="36">
        <v>250602891</v>
      </c>
      <c r="E24" s="37">
        <v>10</v>
      </c>
      <c r="F24" s="37">
        <v>32</v>
      </c>
      <c r="G24" s="37">
        <v>50</v>
      </c>
      <c r="I24" s="38">
        <f t="shared" si="0"/>
        <v>15.657612500000001</v>
      </c>
      <c r="J24" s="39">
        <f t="shared" si="1"/>
        <v>3.9987056653707956E-2</v>
      </c>
      <c r="K24" s="39">
        <f t="shared" si="2"/>
        <v>1.4560151263378682E-2</v>
      </c>
      <c r="L24" s="39">
        <f t="shared" si="3"/>
        <v>1.0772996230119309E-2</v>
      </c>
      <c r="M24" s="39">
        <f t="shared" si="4"/>
        <v>2.5426394622079598E-2</v>
      </c>
      <c r="N24" s="36">
        <f t="shared" si="5"/>
        <v>3648816</v>
      </c>
      <c r="O24" s="39">
        <v>16</v>
      </c>
      <c r="P24" s="40">
        <v>28369875</v>
      </c>
      <c r="Q24" s="40">
        <v>886558.59375</v>
      </c>
      <c r="R24" s="40">
        <v>15235.15625</v>
      </c>
      <c r="S24" s="41">
        <v>10020872</v>
      </c>
      <c r="T24" s="41">
        <v>2699744</v>
      </c>
      <c r="U24" s="41">
        <v>949072</v>
      </c>
      <c r="V24" s="41">
        <v>6371928</v>
      </c>
      <c r="W24" s="42">
        <v>70.790784000000002</v>
      </c>
      <c r="X24" s="42">
        <v>75.132078000000007</v>
      </c>
      <c r="Y24" s="42">
        <v>36.493172000000001</v>
      </c>
      <c r="Z24" s="42">
        <v>43.658065999999998</v>
      </c>
      <c r="AA24" s="42">
        <v>42.193319000000002</v>
      </c>
      <c r="AB24" s="43">
        <v>5241.1400000000003</v>
      </c>
      <c r="AC24" s="43">
        <v>4269.3599999999997</v>
      </c>
      <c r="AD24" s="43">
        <v>82.44</v>
      </c>
      <c r="AE24" s="43">
        <v>20.440999999999999</v>
      </c>
      <c r="AG24" s="38">
        <f t="shared" si="6"/>
        <v>15.6677125</v>
      </c>
      <c r="AH24" s="39">
        <f t="shared" si="7"/>
        <v>4.0012850450316634E-2</v>
      </c>
      <c r="AI24" s="39">
        <f t="shared" si="8"/>
        <v>1.4637021884955029E-2</v>
      </c>
      <c r="AJ24" s="39">
        <f t="shared" si="9"/>
        <v>1.0772996230119309E-2</v>
      </c>
      <c r="AK24" s="39">
        <f t="shared" si="10"/>
        <v>2.5375317797111926E-2</v>
      </c>
      <c r="AL24" s="36">
        <f t="shared" si="11"/>
        <v>3668080</v>
      </c>
      <c r="AM24" s="39">
        <v>16</v>
      </c>
      <c r="AN24" s="40">
        <v>28349738</v>
      </c>
      <c r="AO24" s="40">
        <v>885929.3125</v>
      </c>
      <c r="AP24" s="40">
        <v>15001</v>
      </c>
      <c r="AQ24" s="41">
        <v>10027336</v>
      </c>
      <c r="AR24" s="41">
        <v>2699744</v>
      </c>
      <c r="AS24" s="41">
        <v>968336</v>
      </c>
      <c r="AT24" s="41">
        <v>6359128</v>
      </c>
      <c r="AU24" s="42">
        <v>70.779847000000004</v>
      </c>
      <c r="AV24" s="42">
        <v>75.120822000000004</v>
      </c>
      <c r="AW24" s="42">
        <v>36.478209</v>
      </c>
      <c r="AX24" s="42">
        <v>43.658391000000002</v>
      </c>
      <c r="AY24" s="42">
        <v>42.189731000000002</v>
      </c>
      <c r="AZ24" s="43">
        <v>4208.63</v>
      </c>
      <c r="BA24" s="43">
        <v>3806.54</v>
      </c>
      <c r="BB24" s="43">
        <v>70.980999999999995</v>
      </c>
      <c r="BC24" s="43">
        <v>17.361999999999998</v>
      </c>
      <c r="BE24" s="44">
        <f t="shared" si="12"/>
        <v>1.0052795208089418</v>
      </c>
      <c r="BF24" s="45">
        <f t="shared" si="13"/>
        <v>-2.5209946127530136E-4</v>
      </c>
      <c r="BG24" s="45">
        <f t="shared" si="14"/>
        <v>1.6864217916692792E-3</v>
      </c>
      <c r="BH24" s="45"/>
      <c r="BJ24" s="44"/>
      <c r="BK24" s="44"/>
      <c r="BL24" s="44"/>
      <c r="BM24" s="44"/>
      <c r="BN24" s="44"/>
      <c r="BP24" s="44"/>
      <c r="BQ24" s="44"/>
      <c r="BR24" s="44"/>
      <c r="BS24" s="44"/>
      <c r="BT24" s="44"/>
      <c r="BV24" s="58">
        <f t="shared" si="16"/>
        <v>-20137</v>
      </c>
      <c r="BW24" s="58">
        <f t="shared" si="16"/>
        <v>-629.28125</v>
      </c>
      <c r="BX24" s="58">
        <f t="shared" si="16"/>
        <v>-234.15625</v>
      </c>
      <c r="BY24" s="58">
        <f t="shared" si="16"/>
        <v>6464</v>
      </c>
      <c r="BZ24" s="58">
        <f t="shared" si="16"/>
        <v>0</v>
      </c>
      <c r="CA24" s="58">
        <f t="shared" si="16"/>
        <v>19264</v>
      </c>
      <c r="CB24" s="58">
        <f t="shared" si="16"/>
        <v>-12800</v>
      </c>
      <c r="CC24" s="58">
        <f t="shared" si="16"/>
        <v>-1.093699999999842E-2</v>
      </c>
      <c r="CD24" s="58">
        <f t="shared" si="16"/>
        <v>-1.1256000000003041E-2</v>
      </c>
      <c r="CE24" s="58">
        <f t="shared" si="16"/>
        <v>-1.4963000000001614E-2</v>
      </c>
      <c r="CF24" s="58">
        <f t="shared" si="16"/>
        <v>3.2500000000368345E-4</v>
      </c>
      <c r="CG24" s="58">
        <f t="shared" si="16"/>
        <v>-3.5880000000005907E-3</v>
      </c>
      <c r="CJ24" t="s">
        <v>239</v>
      </c>
    </row>
    <row r="25" spans="1:88" x14ac:dyDescent="0.2">
      <c r="A25" s="52" t="s">
        <v>240</v>
      </c>
      <c r="B25" s="52" t="s">
        <v>73</v>
      </c>
      <c r="C25" s="9" t="s">
        <v>232</v>
      </c>
      <c r="D25" s="52">
        <v>250294582</v>
      </c>
      <c r="E25" s="9">
        <v>10</v>
      </c>
      <c r="F25" s="9">
        <v>32</v>
      </c>
      <c r="G25" s="9">
        <v>30</v>
      </c>
      <c r="I25" s="10">
        <f t="shared" si="0"/>
        <v>2.0470799999999998</v>
      </c>
      <c r="J25" s="11">
        <f t="shared" si="1"/>
        <v>8.7239283509540771E-3</v>
      </c>
      <c r="K25" s="11">
        <f t="shared" si="2"/>
        <v>5.656215123346138E-3</v>
      </c>
      <c r="L25" s="11">
        <f t="shared" si="3"/>
        <v>3.5055013695821828E-3</v>
      </c>
      <c r="M25" s="11">
        <f t="shared" si="4"/>
        <v>3.0672018302018221E-3</v>
      </c>
      <c r="N25" s="52">
        <f t="shared" si="5"/>
        <v>1415720</v>
      </c>
      <c r="O25" s="11">
        <v>16</v>
      </c>
      <c r="P25" s="12">
        <v>23423729</v>
      </c>
      <c r="Q25" s="12">
        <v>731991.53125</v>
      </c>
      <c r="R25" s="12">
        <v>14601.28125</v>
      </c>
      <c r="S25" s="13">
        <v>2183552</v>
      </c>
      <c r="T25" s="13">
        <v>877408</v>
      </c>
      <c r="U25" s="13">
        <v>538312</v>
      </c>
      <c r="V25" s="13">
        <v>767704</v>
      </c>
      <c r="W25" s="14">
        <v>66.249555999999998</v>
      </c>
      <c r="X25" s="14">
        <v>68.002122</v>
      </c>
      <c r="Y25" s="14">
        <v>25.914252999999999</v>
      </c>
      <c r="Z25" s="14">
        <v>32.457703000000002</v>
      </c>
      <c r="AA25" s="14">
        <v>31.662741</v>
      </c>
      <c r="AB25" s="15">
        <v>1736.09</v>
      </c>
      <c r="AC25" s="15">
        <v>4831.38</v>
      </c>
      <c r="AD25" s="15">
        <v>75.263999999999996</v>
      </c>
      <c r="AE25" s="15">
        <v>23.792999999999999</v>
      </c>
      <c r="AG25" s="10">
        <f t="shared" si="6"/>
        <v>2.06406</v>
      </c>
      <c r="AH25" s="11">
        <f t="shared" si="7"/>
        <v>8.7962910839196676E-3</v>
      </c>
      <c r="AI25" s="11">
        <f t="shared" si="8"/>
        <v>5.749832811003476E-3</v>
      </c>
      <c r="AJ25" s="11">
        <f t="shared" si="9"/>
        <v>3.5055013695821828E-3</v>
      </c>
      <c r="AK25" s="11">
        <f t="shared" si="10"/>
        <v>3.0459468755100741E-3</v>
      </c>
      <c r="AL25" s="52">
        <f t="shared" si="11"/>
        <v>1439152</v>
      </c>
      <c r="AM25" s="11">
        <v>16</v>
      </c>
      <c r="AN25" s="12">
        <v>23345801</v>
      </c>
      <c r="AO25" s="12">
        <v>729556.28125</v>
      </c>
      <c r="AP25" s="12">
        <v>13914.65625</v>
      </c>
      <c r="AQ25" s="13">
        <v>2201664</v>
      </c>
      <c r="AR25" s="13">
        <v>877408</v>
      </c>
      <c r="AS25" s="13">
        <v>561744</v>
      </c>
      <c r="AT25" s="13">
        <v>762384</v>
      </c>
      <c r="AU25" s="14">
        <v>66.236219000000006</v>
      </c>
      <c r="AV25" s="14">
        <v>68.031211999999996</v>
      </c>
      <c r="AW25" s="14">
        <v>25.915184</v>
      </c>
      <c r="AX25" s="14">
        <v>32.452269000000001</v>
      </c>
      <c r="AY25" s="14">
        <v>31.672077999999999</v>
      </c>
      <c r="AZ25" s="15">
        <v>1430.14</v>
      </c>
      <c r="BA25" s="15">
        <v>3666.33</v>
      </c>
      <c r="BB25" s="15">
        <v>59.912999999999997</v>
      </c>
      <c r="BC25" s="15">
        <v>15.558999999999999</v>
      </c>
      <c r="BE25" s="50">
        <f t="shared" si="12"/>
        <v>1.0165512954539033</v>
      </c>
      <c r="BF25" s="16">
        <f t="shared" si="13"/>
        <v>-8.7457029107827072E-4</v>
      </c>
      <c r="BG25" s="16">
        <f t="shared" si="14"/>
        <v>5.3091517003933664E-3</v>
      </c>
      <c r="BH25" s="16">
        <f t="array" ref="BH25">AVERAGE(AL25:AL29/AQ25:AQ29) - AVERAGE(N25:N29/S25:S29)</f>
        <v>3.0359218701162538E-3</v>
      </c>
      <c r="BJ25" s="50">
        <f>IF( OR(ISBLANK(N25:N29),ISBLANK(AL25:AL29), ISBLANK(W25:W29),ISBLANK(AU25:AU29)), "·", bdRateExtend( N25:N29,W25:W29, AL25:AL29,AU25:AU29))</f>
        <v>1.1827740283347321E-2</v>
      </c>
      <c r="BK25" s="50">
        <f>IF( OR(ISBLANK(N25:N29),ISBLANK(AL25:AL29), ISBLANK(X25:X29),ISBLANK(AV25:AV29)), "·", bdRateExtend( N25:N29,X25:X29, AL25:AL29,AV25:AV29))</f>
        <v>1.4886232160742363E-3</v>
      </c>
      <c r="BL25" s="50">
        <f>IF( OR(ISBLANK(V25:V29),ISBLANK(AT25:AT29), ISBLANK(Y25:Y29),ISBLANK(AW25:AW29)), "·", bdRateExtend( V25:V29,Y25:Y29, AT25:AT29,AW25:AW29))</f>
        <v>-1.5568583311587059E-3</v>
      </c>
      <c r="BM25" s="50">
        <f>IF( OR(ISBLANK(V25:V29),ISBLANK(AT25:AT29), ISBLANK(Z25:Z29),ISBLANK(AX25:AX29)), "·", bdRateExtend( V25:V29,Z25:Z29, AT25:AT29,AX25:AX29))</f>
        <v>-4.0091012943819226E-3</v>
      </c>
      <c r="BN25" s="50">
        <f>IF( OR(ISBLANK(V25:V29),ISBLANK(AT25:AT29), ISBLANK(AA25:AA29),ISBLANK(AY25:AY29)), "·", bdRateExtend( V25:V29,AA25:AA29, AT25:AT29,AY25:AY29))</f>
        <v>-2.9437836145564944E-3</v>
      </c>
      <c r="BP25" s="50">
        <f>IF( OR(ISBLANK(S25:S29),ISBLANK(AQ25:AQ29), ISBLANK(W25:W29),ISBLANK(AU25:AU29)), "·", bdRateExtend( S25:S29,W25:W29, AQ25:AQ29,AU25:AU29))</f>
        <v>5.1547876673323501E-3</v>
      </c>
      <c r="BQ25" s="50">
        <f>IF( OR(ISBLANK(S25:S29),ISBLANK(AQ25:AQ29), ISBLANK(X25:X29),ISBLANK(AV25:AV29)), "·", bdRateExtend( S25:S29,X25:X29, AQ25:AQ29,AV25:AV29))</f>
        <v>-1.3083244267994676E-2</v>
      </c>
      <c r="BR25" s="50">
        <f>IF( OR(ISBLANK(S25:S29),ISBLANK(AQ25:AQ29), ISBLANK(Y25:Y29),ISBLANK(AW25:AW29)), "·", bdRateExtend( S25:S29,Y25:Y29, AQ25:AQ29,AW25:AW29))</f>
        <v>3.5280091675771175E-3</v>
      </c>
      <c r="BS25" s="50">
        <f>IF( OR(ISBLANK(S25:S29),ISBLANK(AQ25:AQ29), ISBLANK(Z25:Z29),ISBLANK(AX25:AX29)), "·", bdRateExtend( S25:S29,Z25:Z29, AQ25:AQ29,AX25:AX29))</f>
        <v>1.4265667450423791E-3</v>
      </c>
      <c r="BT25" s="50">
        <f>IF( OR(ISBLANK(S25:S29),ISBLANK(AQ25:AQ29), ISBLANK(AA25:AA29),ISBLANK(AY25:AY29)), "·", bdRateExtend( S25:S29,AA25:AA29, AQ25:AQ29,AY25:AY29))</f>
        <v>2.7701189785513947E-3</v>
      </c>
      <c r="BV25" s="58">
        <f t="shared" si="16"/>
        <v>-77928</v>
      </c>
      <c r="BW25" s="58">
        <f t="shared" si="16"/>
        <v>-2435.25</v>
      </c>
      <c r="BX25" s="58">
        <f t="shared" si="16"/>
        <v>-686.625</v>
      </c>
      <c r="BY25" s="58">
        <f t="shared" si="16"/>
        <v>18112</v>
      </c>
      <c r="BZ25" s="58">
        <f t="shared" si="16"/>
        <v>0</v>
      </c>
      <c r="CA25" s="58">
        <f t="shared" si="16"/>
        <v>23432</v>
      </c>
      <c r="CB25" s="58">
        <f t="shared" si="16"/>
        <v>-5320</v>
      </c>
      <c r="CC25" s="58">
        <f t="shared" si="16"/>
        <v>-1.3336999999992827E-2</v>
      </c>
      <c r="CD25" s="58">
        <f t="shared" si="16"/>
        <v>2.9089999999996508E-2</v>
      </c>
      <c r="CE25" s="58">
        <f t="shared" si="16"/>
        <v>9.3100000000134742E-4</v>
      </c>
      <c r="CF25" s="58">
        <f t="shared" si="16"/>
        <v>-5.4340000000010491E-3</v>
      </c>
      <c r="CG25" s="58">
        <f t="shared" si="16"/>
        <v>9.3369999999985964E-3</v>
      </c>
      <c r="CJ25" t="s">
        <v>579</v>
      </c>
    </row>
    <row r="26" spans="1:88" outlineLevel="1" x14ac:dyDescent="0.2">
      <c r="A26" s="17"/>
      <c r="B26" s="17" t="s">
        <v>73</v>
      </c>
      <c r="C26" s="18" t="s">
        <v>234</v>
      </c>
      <c r="D26" s="17">
        <v>250294582</v>
      </c>
      <c r="E26" s="18">
        <v>10</v>
      </c>
      <c r="F26" s="18">
        <v>32</v>
      </c>
      <c r="G26" s="18">
        <v>30</v>
      </c>
      <c r="I26" s="19">
        <f t="shared" si="0"/>
        <v>3.1578525000000002</v>
      </c>
      <c r="J26" s="20">
        <f t="shared" si="1"/>
        <v>1.345764647834047E-2</v>
      </c>
      <c r="K26" s="20">
        <f t="shared" si="2"/>
        <v>7.1305418828442723E-3</v>
      </c>
      <c r="L26" s="20">
        <f t="shared" si="3"/>
        <v>4.9798281290803171E-3</v>
      </c>
      <c r="M26" s="20">
        <f t="shared" si="4"/>
        <v>6.3265931980900809E-3</v>
      </c>
      <c r="N26" s="17">
        <f t="shared" si="5"/>
        <v>1784736</v>
      </c>
      <c r="O26" s="20">
        <v>16</v>
      </c>
      <c r="P26" s="21">
        <v>24642332</v>
      </c>
      <c r="Q26" s="21">
        <v>770072.875</v>
      </c>
      <c r="R26" s="21">
        <v>17838.375</v>
      </c>
      <c r="S26" s="22">
        <v>3368376</v>
      </c>
      <c r="T26" s="22">
        <v>1246424</v>
      </c>
      <c r="U26" s="22">
        <v>538312</v>
      </c>
      <c r="V26" s="22">
        <v>1583512</v>
      </c>
      <c r="W26" s="23">
        <v>68.005358999999999</v>
      </c>
      <c r="X26" s="23">
        <v>70.016609000000003</v>
      </c>
      <c r="Y26" s="23">
        <v>27.918291</v>
      </c>
      <c r="Z26" s="23">
        <v>33.668056</v>
      </c>
      <c r="AA26" s="23">
        <v>33.040233999999998</v>
      </c>
      <c r="AB26" s="24">
        <v>1822.65</v>
      </c>
      <c r="AC26" s="24">
        <v>5278.29</v>
      </c>
      <c r="AD26" s="24">
        <v>74.233000000000004</v>
      </c>
      <c r="AE26" s="24">
        <v>24.611000000000001</v>
      </c>
      <c r="AG26" s="19">
        <f t="shared" si="6"/>
        <v>3.1797374999999999</v>
      </c>
      <c r="AH26" s="20">
        <f t="shared" si="7"/>
        <v>1.3550912580281103E-2</v>
      </c>
      <c r="AI26" s="20">
        <f t="shared" si="8"/>
        <v>7.2241595705016103E-3</v>
      </c>
      <c r="AJ26" s="20">
        <f t="shared" si="9"/>
        <v>4.9798281290803171E-3</v>
      </c>
      <c r="AK26" s="20">
        <f t="shared" si="10"/>
        <v>6.3262416123733749E-3</v>
      </c>
      <c r="AL26" s="17">
        <f t="shared" si="11"/>
        <v>1808168</v>
      </c>
      <c r="AM26" s="20">
        <v>16</v>
      </c>
      <c r="AN26" s="21">
        <v>24558575</v>
      </c>
      <c r="AO26" s="21">
        <v>767455.46875</v>
      </c>
      <c r="AP26" s="21">
        <v>17028.5</v>
      </c>
      <c r="AQ26" s="22">
        <v>3391720</v>
      </c>
      <c r="AR26" s="22">
        <v>1246424</v>
      </c>
      <c r="AS26" s="22">
        <v>561744</v>
      </c>
      <c r="AT26" s="22">
        <v>1583424</v>
      </c>
      <c r="AU26" s="23">
        <v>67.993966</v>
      </c>
      <c r="AV26" s="23">
        <v>70.054637</v>
      </c>
      <c r="AW26" s="23">
        <v>27.912478</v>
      </c>
      <c r="AX26" s="23">
        <v>33.665368999999998</v>
      </c>
      <c r="AY26" s="23">
        <v>33.041187000000001</v>
      </c>
      <c r="AZ26" s="24">
        <v>1531.1</v>
      </c>
      <c r="BA26" s="24">
        <v>4034.52</v>
      </c>
      <c r="BB26" s="24">
        <v>62.051000000000002</v>
      </c>
      <c r="BC26" s="24">
        <v>16.437999999999999</v>
      </c>
      <c r="BE26" s="49">
        <f t="shared" si="12"/>
        <v>1.0131291126530759</v>
      </c>
      <c r="BF26" s="25">
        <f t="shared" si="13"/>
        <v>-9.762703492752732E-4</v>
      </c>
      <c r="BG26" s="25">
        <f t="shared" si="14"/>
        <v>3.2618163948883172E-3</v>
      </c>
      <c r="BH26" s="25"/>
      <c r="BJ26" s="49"/>
      <c r="BK26" s="49"/>
      <c r="BL26" s="49"/>
      <c r="BM26" s="49"/>
      <c r="BN26" s="49"/>
      <c r="BP26" s="49"/>
      <c r="BQ26" s="49"/>
      <c r="BR26" s="49"/>
      <c r="BS26" s="49"/>
      <c r="BT26" s="49"/>
      <c r="BV26" s="58">
        <f t="shared" si="16"/>
        <v>-83757</v>
      </c>
      <c r="BW26" s="58">
        <f t="shared" si="16"/>
        <v>-2617.40625</v>
      </c>
      <c r="BX26" s="58">
        <f t="shared" si="16"/>
        <v>-809.875</v>
      </c>
      <c r="BY26" s="58">
        <f t="shared" si="16"/>
        <v>23344</v>
      </c>
      <c r="BZ26" s="58">
        <f t="shared" si="16"/>
        <v>0</v>
      </c>
      <c r="CA26" s="58">
        <f t="shared" si="16"/>
        <v>23432</v>
      </c>
      <c r="CB26" s="58">
        <f t="shared" si="16"/>
        <v>-88</v>
      </c>
      <c r="CC26" s="58">
        <f t="shared" si="16"/>
        <v>-1.139299999999821E-2</v>
      </c>
      <c r="CD26" s="58">
        <f t="shared" si="16"/>
        <v>3.8027999999997064E-2</v>
      </c>
      <c r="CE26" s="58">
        <f t="shared" si="16"/>
        <v>-5.8129999999998461E-3</v>
      </c>
      <c r="CF26" s="58">
        <f t="shared" si="16"/>
        <v>-2.6870000000016603E-3</v>
      </c>
      <c r="CG26" s="58">
        <f t="shared" si="16"/>
        <v>9.5300000000264617E-4</v>
      </c>
      <c r="CJ26" t="s">
        <v>579</v>
      </c>
    </row>
    <row r="27" spans="1:88" outlineLevel="1" x14ac:dyDescent="0.2">
      <c r="A27" s="52"/>
      <c r="B27" s="52" t="s">
        <v>73</v>
      </c>
      <c r="C27" s="9" t="s">
        <v>235</v>
      </c>
      <c r="D27" s="52">
        <v>250294582</v>
      </c>
      <c r="E27" s="9">
        <v>10</v>
      </c>
      <c r="F27" s="9">
        <v>32</v>
      </c>
      <c r="G27" s="9">
        <v>30</v>
      </c>
      <c r="I27" s="10">
        <f t="shared" si="0"/>
        <v>5.3414400000000004</v>
      </c>
      <c r="J27" s="11">
        <f t="shared" si="1"/>
        <v>2.2763321341090794E-2</v>
      </c>
      <c r="K27" s="11">
        <f t="shared" si="2"/>
        <v>9.2935291743550408E-3</v>
      </c>
      <c r="L27" s="11">
        <f t="shared" si="3"/>
        <v>7.1428154205910857E-3</v>
      </c>
      <c r="M27" s="11">
        <f t="shared" si="4"/>
        <v>1.3469280769329637E-2</v>
      </c>
      <c r="N27" s="52">
        <f t="shared" si="5"/>
        <v>2326120</v>
      </c>
      <c r="O27" s="11">
        <v>16</v>
      </c>
      <c r="P27" s="12">
        <v>24875407</v>
      </c>
      <c r="Q27" s="12">
        <v>777356.46875</v>
      </c>
      <c r="R27" s="12">
        <v>18687.4375</v>
      </c>
      <c r="S27" s="13">
        <v>5697536</v>
      </c>
      <c r="T27" s="13">
        <v>1787808</v>
      </c>
      <c r="U27" s="13">
        <v>538312</v>
      </c>
      <c r="V27" s="13">
        <v>3371288</v>
      </c>
      <c r="W27" s="14">
        <v>69.301755999999997</v>
      </c>
      <c r="X27" s="14">
        <v>71.690518999999995</v>
      </c>
      <c r="Y27" s="14">
        <v>30.205874999999999</v>
      </c>
      <c r="Z27" s="14">
        <v>34.909818999999999</v>
      </c>
      <c r="AA27" s="14">
        <v>34.350633999999999</v>
      </c>
      <c r="AB27" s="15">
        <v>1829.3</v>
      </c>
      <c r="AC27" s="15">
        <v>5716.76</v>
      </c>
      <c r="AD27" s="15">
        <v>74.947999999999993</v>
      </c>
      <c r="AE27" s="15">
        <v>25.100999999999999</v>
      </c>
      <c r="AG27" s="10">
        <f t="shared" si="6"/>
        <v>5.3498099999999997</v>
      </c>
      <c r="AH27" s="11">
        <f t="shared" si="7"/>
        <v>2.2798991310167473E-2</v>
      </c>
      <c r="AI27" s="11">
        <f t="shared" si="8"/>
        <v>9.3871468620123789E-3</v>
      </c>
      <c r="AJ27" s="11">
        <f t="shared" si="9"/>
        <v>7.1428154205910857E-3</v>
      </c>
      <c r="AK27" s="11">
        <f t="shared" si="10"/>
        <v>1.3411333050748977E-2</v>
      </c>
      <c r="AL27" s="52">
        <f t="shared" si="11"/>
        <v>2349552</v>
      </c>
      <c r="AM27" s="11">
        <v>16</v>
      </c>
      <c r="AN27" s="12">
        <v>24792909</v>
      </c>
      <c r="AO27" s="12">
        <v>774778.40625</v>
      </c>
      <c r="AP27" s="12">
        <v>17786</v>
      </c>
      <c r="AQ27" s="13">
        <v>5706464</v>
      </c>
      <c r="AR27" s="13">
        <v>1787808</v>
      </c>
      <c r="AS27" s="13">
        <v>561744</v>
      </c>
      <c r="AT27" s="13">
        <v>3356784</v>
      </c>
      <c r="AU27" s="14">
        <v>69.286880999999994</v>
      </c>
      <c r="AV27" s="14">
        <v>71.739752999999993</v>
      </c>
      <c r="AW27" s="14">
        <v>30.203977999999999</v>
      </c>
      <c r="AX27" s="14">
        <v>34.919181000000002</v>
      </c>
      <c r="AY27" s="14">
        <v>34.357903</v>
      </c>
      <c r="AZ27" s="15">
        <v>1500.81</v>
      </c>
      <c r="BA27" s="15">
        <v>4321.41</v>
      </c>
      <c r="BB27" s="15">
        <v>64.838999999999999</v>
      </c>
      <c r="BC27" s="15">
        <v>17.576000000000001</v>
      </c>
      <c r="BE27" s="50">
        <f t="shared" si="12"/>
        <v>1.0100734269943081</v>
      </c>
      <c r="BF27" s="16">
        <f t="shared" si="13"/>
        <v>-1.0834860314178352E-3</v>
      </c>
      <c r="BG27" s="16">
        <f t="shared" si="14"/>
        <v>3.4674687944256655E-3</v>
      </c>
      <c r="BH27" s="16"/>
      <c r="BJ27" s="50"/>
      <c r="BK27" s="50"/>
      <c r="BL27" s="50"/>
      <c r="BM27" s="50"/>
      <c r="BN27" s="50"/>
      <c r="BP27" s="50"/>
      <c r="BQ27" s="50"/>
      <c r="BR27" s="50"/>
      <c r="BS27" s="50"/>
      <c r="BT27" s="50"/>
      <c r="BV27" s="58">
        <f t="shared" si="16"/>
        <v>-82498</v>
      </c>
      <c r="BW27" s="58">
        <f t="shared" si="16"/>
        <v>-2578.0625</v>
      </c>
      <c r="BX27" s="58">
        <f t="shared" si="16"/>
        <v>-901.4375</v>
      </c>
      <c r="BY27" s="58">
        <f t="shared" si="16"/>
        <v>8928</v>
      </c>
      <c r="BZ27" s="58">
        <f t="shared" si="16"/>
        <v>0</v>
      </c>
      <c r="CA27" s="58">
        <f t="shared" si="16"/>
        <v>23432</v>
      </c>
      <c r="CB27" s="58">
        <f t="shared" si="16"/>
        <v>-14504</v>
      </c>
      <c r="CC27" s="58">
        <f t="shared" si="16"/>
        <v>-1.4875000000003524E-2</v>
      </c>
      <c r="CD27" s="58">
        <f t="shared" si="16"/>
        <v>4.9233999999998446E-2</v>
      </c>
      <c r="CE27" s="58">
        <f t="shared" si="16"/>
        <v>-1.8969999999995935E-3</v>
      </c>
      <c r="CF27" s="58">
        <f t="shared" si="16"/>
        <v>9.362000000002979E-3</v>
      </c>
      <c r="CG27" s="58">
        <f t="shared" si="16"/>
        <v>7.2690000000008581E-3</v>
      </c>
      <c r="CJ27" t="s">
        <v>579</v>
      </c>
    </row>
    <row r="28" spans="1:88" outlineLevel="1" x14ac:dyDescent="0.2">
      <c r="A28" s="17"/>
      <c r="B28" s="17" t="s">
        <v>73</v>
      </c>
      <c r="C28" s="18" t="s">
        <v>236</v>
      </c>
      <c r="D28" s="17">
        <v>250294582</v>
      </c>
      <c r="E28" s="18">
        <v>10</v>
      </c>
      <c r="F28" s="18">
        <v>32</v>
      </c>
      <c r="G28" s="18">
        <v>30</v>
      </c>
      <c r="I28" s="19">
        <f t="shared" si="0"/>
        <v>10.325295000000001</v>
      </c>
      <c r="J28" s="20">
        <f t="shared" si="1"/>
        <v>4.4002742336627966E-2</v>
      </c>
      <c r="K28" s="20">
        <f t="shared" si="2"/>
        <v>1.3127699264381201E-2</v>
      </c>
      <c r="L28" s="20">
        <f t="shared" si="3"/>
        <v>1.0976985510617245E-2</v>
      </c>
      <c r="M28" s="20">
        <f t="shared" si="4"/>
        <v>3.0874531674840649E-2</v>
      </c>
      <c r="N28" s="17">
        <f t="shared" si="5"/>
        <v>3285792</v>
      </c>
      <c r="O28" s="20">
        <v>16</v>
      </c>
      <c r="P28" s="21">
        <v>25558634</v>
      </c>
      <c r="Q28" s="21">
        <v>798707.3125</v>
      </c>
      <c r="R28" s="21">
        <v>21108.9375</v>
      </c>
      <c r="S28" s="22">
        <v>11013648</v>
      </c>
      <c r="T28" s="22">
        <v>2747480</v>
      </c>
      <c r="U28" s="22">
        <v>538312</v>
      </c>
      <c r="V28" s="22">
        <v>7727728</v>
      </c>
      <c r="W28" s="23">
        <v>70.462115999999995</v>
      </c>
      <c r="X28" s="23">
        <v>72.993594000000002</v>
      </c>
      <c r="Y28" s="23">
        <v>32.704628</v>
      </c>
      <c r="Z28" s="23">
        <v>36.413840999999998</v>
      </c>
      <c r="AA28" s="23">
        <v>35.864955999999999</v>
      </c>
      <c r="AB28" s="24">
        <v>1596.33</v>
      </c>
      <c r="AC28" s="24">
        <v>4810.66</v>
      </c>
      <c r="AD28" s="24">
        <v>67.233000000000004</v>
      </c>
      <c r="AE28" s="24">
        <v>18.516999999999999</v>
      </c>
      <c r="AG28" s="19">
        <f t="shared" si="6"/>
        <v>10.316025</v>
      </c>
      <c r="AH28" s="20">
        <f t="shared" si="7"/>
        <v>4.3963236887005409E-2</v>
      </c>
      <c r="AI28" s="20">
        <f t="shared" si="8"/>
        <v>1.3221316952038539E-2</v>
      </c>
      <c r="AJ28" s="20">
        <f t="shared" si="9"/>
        <v>1.0976985510617245E-2</v>
      </c>
      <c r="AK28" s="20">
        <f t="shared" si="10"/>
        <v>3.0741408537560754E-2</v>
      </c>
      <c r="AL28" s="17">
        <f t="shared" si="11"/>
        <v>3309224</v>
      </c>
      <c r="AM28" s="20">
        <v>16</v>
      </c>
      <c r="AN28" s="21">
        <v>25472875</v>
      </c>
      <c r="AO28" s="21">
        <v>796027.34375</v>
      </c>
      <c r="AP28" s="21">
        <v>20137.0625</v>
      </c>
      <c r="AQ28" s="22">
        <v>11003760</v>
      </c>
      <c r="AR28" s="22">
        <v>2747480</v>
      </c>
      <c r="AS28" s="22">
        <v>561744</v>
      </c>
      <c r="AT28" s="22">
        <v>7694408</v>
      </c>
      <c r="AU28" s="23">
        <v>70.478344000000007</v>
      </c>
      <c r="AV28" s="23">
        <v>73.058561999999995</v>
      </c>
      <c r="AW28" s="23">
        <v>32.697533999999997</v>
      </c>
      <c r="AX28" s="23">
        <v>36.416319000000001</v>
      </c>
      <c r="AY28" s="23">
        <v>35.856909000000002</v>
      </c>
      <c r="AZ28" s="24">
        <v>1359.78</v>
      </c>
      <c r="BA28" s="24">
        <v>4276.82</v>
      </c>
      <c r="BB28" s="24">
        <v>60.478999999999999</v>
      </c>
      <c r="BC28" s="24">
        <v>16.361999999999998</v>
      </c>
      <c r="BE28" s="49">
        <f t="shared" si="12"/>
        <v>1.0071313095898948</v>
      </c>
      <c r="BF28" s="25">
        <f t="shared" si="13"/>
        <v>-1.1319289996965069E-3</v>
      </c>
      <c r="BG28" s="25">
        <f t="shared" si="14"/>
        <v>2.3975412216955538E-3</v>
      </c>
      <c r="BH28" s="25"/>
      <c r="BJ28" s="49"/>
      <c r="BK28" s="49"/>
      <c r="BL28" s="49"/>
      <c r="BM28" s="49"/>
      <c r="BN28" s="49"/>
      <c r="BP28" s="49"/>
      <c r="BQ28" s="49"/>
      <c r="BR28" s="49"/>
      <c r="BS28" s="49"/>
      <c r="BT28" s="49"/>
      <c r="BV28" s="58">
        <f t="shared" si="16"/>
        <v>-85759</v>
      </c>
      <c r="BW28" s="58">
        <f t="shared" si="16"/>
        <v>-2679.96875</v>
      </c>
      <c r="BX28" s="58">
        <f t="shared" si="16"/>
        <v>-971.875</v>
      </c>
      <c r="BY28" s="58">
        <f t="shared" si="16"/>
        <v>-9888</v>
      </c>
      <c r="BZ28" s="58">
        <f t="shared" si="16"/>
        <v>0</v>
      </c>
      <c r="CA28" s="58">
        <f t="shared" si="16"/>
        <v>23432</v>
      </c>
      <c r="CB28" s="58">
        <f t="shared" si="16"/>
        <v>-33320</v>
      </c>
      <c r="CC28" s="58">
        <f t="shared" si="16"/>
        <v>1.6228000000012344E-2</v>
      </c>
      <c r="CD28" s="58">
        <f t="shared" si="16"/>
        <v>6.4967999999993253E-2</v>
      </c>
      <c r="CE28" s="58">
        <f t="shared" si="16"/>
        <v>-7.0940000000021541E-3</v>
      </c>
      <c r="CF28" s="58">
        <f t="shared" si="16"/>
        <v>2.4780000000035329E-3</v>
      </c>
      <c r="CG28" s="58">
        <f t="shared" si="16"/>
        <v>-8.0469999999976949E-3</v>
      </c>
      <c r="CJ28" t="s">
        <v>579</v>
      </c>
    </row>
    <row r="29" spans="1:88" ht="16" outlineLevel="1" thickBot="1" x14ac:dyDescent="0.25">
      <c r="A29" s="26"/>
      <c r="B29" s="26" t="s">
        <v>73</v>
      </c>
      <c r="C29" s="27" t="s">
        <v>237</v>
      </c>
      <c r="D29" s="26">
        <v>250294582</v>
      </c>
      <c r="E29" s="27">
        <v>10</v>
      </c>
      <c r="F29" s="27">
        <v>32</v>
      </c>
      <c r="G29" s="27">
        <v>30</v>
      </c>
      <c r="I29" s="28">
        <f t="shared" si="0"/>
        <v>23.852354999999999</v>
      </c>
      <c r="J29" s="29">
        <f t="shared" si="1"/>
        <v>0.10165027063989743</v>
      </c>
      <c r="K29" s="29">
        <f t="shared" si="2"/>
        <v>2.15839110732329E-2</v>
      </c>
      <c r="L29" s="29">
        <f t="shared" si="3"/>
        <v>1.7231247938079619E-2</v>
      </c>
      <c r="M29" s="29">
        <f t="shared" si="4"/>
        <v>8.0065848169258408E-2</v>
      </c>
      <c r="N29" s="26">
        <f t="shared" si="5"/>
        <v>5402336</v>
      </c>
      <c r="O29" s="29">
        <v>16</v>
      </c>
      <c r="P29" s="30">
        <v>24591050</v>
      </c>
      <c r="Q29" s="30">
        <v>768470.3125</v>
      </c>
      <c r="R29" s="30">
        <v>9839.84375</v>
      </c>
      <c r="S29" s="31">
        <v>25442512</v>
      </c>
      <c r="T29" s="31">
        <v>4312888</v>
      </c>
      <c r="U29" s="31">
        <v>1089448</v>
      </c>
      <c r="V29" s="31">
        <v>20040048</v>
      </c>
      <c r="W29" s="32">
        <v>71.138030999999998</v>
      </c>
      <c r="X29" s="32">
        <v>74.865933999999996</v>
      </c>
      <c r="Y29" s="32">
        <v>35.755878000000003</v>
      </c>
      <c r="Z29" s="32">
        <v>38.367171999999997</v>
      </c>
      <c r="AA29" s="32">
        <v>37.762050000000002</v>
      </c>
      <c r="AB29" s="33">
        <v>1788.24</v>
      </c>
      <c r="AC29" s="33">
        <v>5722.98</v>
      </c>
      <c r="AD29" s="33">
        <v>64.489999999999995</v>
      </c>
      <c r="AE29" s="33">
        <v>21.28</v>
      </c>
      <c r="AG29" s="28">
        <f t="shared" si="6"/>
        <v>23.872207499999998</v>
      </c>
      <c r="AH29" s="29">
        <f t="shared" si="7"/>
        <v>0.10173487494827195</v>
      </c>
      <c r="AI29" s="29">
        <f t="shared" si="8"/>
        <v>2.1677528760890238E-2</v>
      </c>
      <c r="AJ29" s="29">
        <f t="shared" si="9"/>
        <v>1.7231247938079619E-2</v>
      </c>
      <c r="AK29" s="29">
        <f t="shared" si="10"/>
        <v>8.0056834789975592E-2</v>
      </c>
      <c r="AL29" s="26">
        <f t="shared" si="11"/>
        <v>5425768</v>
      </c>
      <c r="AM29" s="29">
        <v>16</v>
      </c>
      <c r="AN29" s="30">
        <v>24575973</v>
      </c>
      <c r="AO29" s="30">
        <v>767999.15625</v>
      </c>
      <c r="AP29" s="30">
        <v>9660.25</v>
      </c>
      <c r="AQ29" s="31">
        <v>25463688</v>
      </c>
      <c r="AR29" s="31">
        <v>4312888</v>
      </c>
      <c r="AS29" s="31">
        <v>1112880</v>
      </c>
      <c r="AT29" s="31">
        <v>20037792</v>
      </c>
      <c r="AU29" s="32">
        <v>71.131283999999994</v>
      </c>
      <c r="AV29" s="32">
        <v>74.870030999999997</v>
      </c>
      <c r="AW29" s="32">
        <v>35.755718999999999</v>
      </c>
      <c r="AX29" s="32">
        <v>38.369531000000002</v>
      </c>
      <c r="AY29" s="32">
        <v>37.764012000000001</v>
      </c>
      <c r="AZ29" s="33">
        <v>1438.31</v>
      </c>
      <c r="BA29" s="33">
        <v>5079.5200000000004</v>
      </c>
      <c r="BB29" s="33">
        <v>63.152000000000001</v>
      </c>
      <c r="BC29" s="33">
        <v>20.396000000000001</v>
      </c>
      <c r="BE29" s="34">
        <f t="shared" si="12"/>
        <v>1.0043373829395283</v>
      </c>
      <c r="BF29" s="35">
        <f t="shared" si="13"/>
        <v>-2.259909395144425E-4</v>
      </c>
      <c r="BG29" s="35">
        <f t="shared" si="14"/>
        <v>7.4363123917819962E-4</v>
      </c>
      <c r="BH29" s="35"/>
      <c r="BJ29" s="34"/>
      <c r="BK29" s="34"/>
      <c r="BL29" s="34"/>
      <c r="BM29" s="34"/>
      <c r="BN29" s="34"/>
      <c r="BP29" s="34"/>
      <c r="BQ29" s="34"/>
      <c r="BR29" s="34"/>
      <c r="BS29" s="34"/>
      <c r="BT29" s="34"/>
      <c r="BV29" s="58">
        <f t="shared" si="16"/>
        <v>-15077</v>
      </c>
      <c r="BW29" s="58">
        <f t="shared" si="16"/>
        <v>-471.15625</v>
      </c>
      <c r="BX29" s="58">
        <f t="shared" si="16"/>
        <v>-179.59375</v>
      </c>
      <c r="BY29" s="58">
        <f t="shared" si="16"/>
        <v>21176</v>
      </c>
      <c r="BZ29" s="58">
        <f t="shared" si="16"/>
        <v>0</v>
      </c>
      <c r="CA29" s="58">
        <f t="shared" si="16"/>
        <v>23432</v>
      </c>
      <c r="CB29" s="58">
        <f t="shared" si="16"/>
        <v>-2256</v>
      </c>
      <c r="CC29" s="58">
        <f t="shared" si="16"/>
        <v>-6.7470000000042774E-3</v>
      </c>
      <c r="CD29" s="58">
        <f t="shared" si="16"/>
        <v>4.0970000000015716E-3</v>
      </c>
      <c r="CE29" s="58">
        <f t="shared" si="16"/>
        <v>-1.5900000000357295E-4</v>
      </c>
      <c r="CF29" s="58">
        <f t="shared" si="16"/>
        <v>2.3590000000055511E-3</v>
      </c>
      <c r="CG29" s="58">
        <f t="shared" si="16"/>
        <v>1.9619999999989091E-3</v>
      </c>
      <c r="CJ29" t="s">
        <v>579</v>
      </c>
    </row>
    <row r="30" spans="1:88" x14ac:dyDescent="0.2">
      <c r="A30" s="17" t="s">
        <v>242</v>
      </c>
      <c r="B30" s="17" t="s">
        <v>77</v>
      </c>
      <c r="C30" s="18" t="s">
        <v>232</v>
      </c>
      <c r="D30" s="17">
        <v>375422539</v>
      </c>
      <c r="E30" s="18">
        <v>11</v>
      </c>
      <c r="F30" s="18">
        <v>32</v>
      </c>
      <c r="G30" s="18">
        <v>30</v>
      </c>
      <c r="I30" s="19">
        <f t="shared" si="0"/>
        <v>3.6931050000000001</v>
      </c>
      <c r="J30" s="20">
        <f t="shared" si="1"/>
        <v>1.0493008785495429E-2</v>
      </c>
      <c r="K30" s="20">
        <f t="shared" si="2"/>
        <v>8.3077803701071869E-3</v>
      </c>
      <c r="L30" s="20">
        <f t="shared" si="3"/>
        <v>5.2756768554058494E-3</v>
      </c>
      <c r="M30" s="20">
        <f t="shared" si="4"/>
        <v>2.1848874662264216E-3</v>
      </c>
      <c r="N30" s="17">
        <f t="shared" si="5"/>
        <v>3118928</v>
      </c>
      <c r="O30" s="20">
        <v>16</v>
      </c>
      <c r="P30" s="21">
        <v>86243398</v>
      </c>
      <c r="Q30" s="21">
        <v>2695106.1875</v>
      </c>
      <c r="R30" s="21">
        <v>33846.0625</v>
      </c>
      <c r="S30" s="22">
        <v>3939312</v>
      </c>
      <c r="T30" s="22">
        <v>1980608</v>
      </c>
      <c r="U30" s="22">
        <v>1138320</v>
      </c>
      <c r="V30" s="22">
        <v>820256</v>
      </c>
      <c r="W30" s="23">
        <v>73.637074999999996</v>
      </c>
      <c r="X30" s="23">
        <v>75.742599999999996</v>
      </c>
      <c r="Y30" s="23">
        <v>33.230944000000001</v>
      </c>
      <c r="Z30" s="23">
        <v>41.929219000000003</v>
      </c>
      <c r="AA30" s="23">
        <v>43.316119</v>
      </c>
      <c r="AB30" s="24">
        <v>3999.39</v>
      </c>
      <c r="AC30" s="24">
        <v>17267</v>
      </c>
      <c r="AD30" s="24">
        <v>236.59899999999999</v>
      </c>
      <c r="AE30" s="24">
        <v>76.406000000000006</v>
      </c>
      <c r="AG30" s="19">
        <f t="shared" si="6"/>
        <v>3.7249124999999998</v>
      </c>
      <c r="AH30" s="20">
        <f t="shared" si="7"/>
        <v>1.058338162270007E-2</v>
      </c>
      <c r="AI30" s="20">
        <f t="shared" si="8"/>
        <v>8.3901835206543103E-3</v>
      </c>
      <c r="AJ30" s="20">
        <f t="shared" si="9"/>
        <v>5.2756768554058494E-3</v>
      </c>
      <c r="AK30" s="20">
        <f t="shared" si="10"/>
        <v>2.1928571528839402E-3</v>
      </c>
      <c r="AL30" s="17">
        <f t="shared" si="11"/>
        <v>3149864</v>
      </c>
      <c r="AM30" s="20">
        <v>16</v>
      </c>
      <c r="AN30" s="21">
        <v>86131648</v>
      </c>
      <c r="AO30" s="21">
        <v>2691614</v>
      </c>
      <c r="AP30" s="21">
        <v>32764.1875</v>
      </c>
      <c r="AQ30" s="22">
        <v>3973240</v>
      </c>
      <c r="AR30" s="22">
        <v>1980608</v>
      </c>
      <c r="AS30" s="22">
        <v>1169256</v>
      </c>
      <c r="AT30" s="22">
        <v>823248</v>
      </c>
      <c r="AU30" s="23">
        <v>73.632828000000003</v>
      </c>
      <c r="AV30" s="23">
        <v>75.760219000000006</v>
      </c>
      <c r="AW30" s="23">
        <v>33.235236999999998</v>
      </c>
      <c r="AX30" s="23">
        <v>41.908963</v>
      </c>
      <c r="AY30" s="23">
        <v>43.460887999999997</v>
      </c>
      <c r="AZ30" s="24">
        <v>3824.25</v>
      </c>
      <c r="BA30" s="24">
        <v>16660.400000000001</v>
      </c>
      <c r="BB30" s="24">
        <v>243.245</v>
      </c>
      <c r="BC30" s="24">
        <v>78.138999999999996</v>
      </c>
      <c r="BE30" s="49">
        <f t="shared" si="12"/>
        <v>1.0099187926107946</v>
      </c>
      <c r="BF30" s="25">
        <f t="shared" si="13"/>
        <v>-3.8564924932880419E-4</v>
      </c>
      <c r="BG30" s="25">
        <f t="shared" si="14"/>
        <v>1.0252836113270325E-3</v>
      </c>
      <c r="BH30" s="25">
        <f t="array" ref="BH30">AVERAGE(AL30:AL34/AQ30:AQ34) - AVERAGE(N30:N34/S30:S34)</f>
        <v>1.8567317858053656E-3</v>
      </c>
      <c r="BJ30" s="49">
        <f>IF( OR(ISBLANK(N30:N34),ISBLANK(AL30:AL34), ISBLANK(W30:W34),ISBLANK(AU30:AU34)), "·", bdRateExtend( N30:N34,W30:W34, AL30:AL34,AU30:AU34))</f>
        <v>5.8271595537859877E-3</v>
      </c>
      <c r="BK30" s="49">
        <f>IF( OR(ISBLANK(N30:N34),ISBLANK(AL30:AL34), ISBLANK(X30:X34),ISBLANK(AV30:AV34)), "·", bdRateExtend( N30:N34,X30:X34, AL30:AL34,AV30:AV34))</f>
        <v>2.1350510838094028E-3</v>
      </c>
      <c r="BL30" s="49">
        <f>IF( OR(ISBLANK(V30:V34),ISBLANK(AT30:AT34), ISBLANK(Y30:Y34),ISBLANK(AW30:AW34)), "·", bdRateExtend( V30:V34,Y30:Y34, AT30:AT34,AW30:AW34))</f>
        <v>-3.4098263622642788E-3</v>
      </c>
      <c r="BM30" s="49">
        <f>IF( OR(ISBLANK(V30:V34),ISBLANK(AT30:AT34), ISBLANK(Z30:Z34),ISBLANK(AX30:AX34)), "·", bdRateExtend( V30:V34,Z30:Z34, AT30:AT34,AX30:AX34))</f>
        <v>2.0837704403714241E-2</v>
      </c>
      <c r="BN30" s="49">
        <f>IF( OR(ISBLANK(V30:V34),ISBLANK(AT30:AT34), ISBLANK(AA30:AA34),ISBLANK(AY30:AY34)), "·", bdRateExtend( V30:V34,AA30:AA34, AT30:AT34,AY30:AY34))</f>
        <v>-3.6344489690136483E-2</v>
      </c>
      <c r="BP30" s="49">
        <f>IF( OR(ISBLANK(S30:S34),ISBLANK(AQ30:AQ34), ISBLANK(W30:W34),ISBLANK(AU30:AU34)), "·", bdRateExtend( S30:S34,W30:W34, AQ30:AQ34,AU30:AU34))</f>
        <v>1.9878661491590233E-3</v>
      </c>
      <c r="BQ30" s="49">
        <f>IF( OR(ISBLANK(S30:S34),ISBLANK(AQ30:AQ34), ISBLANK(X30:X34),ISBLANK(AV30:AV34)), "·", bdRateExtend( S30:S34,X30:X34, AQ30:AQ34,AV30:AV34))</f>
        <v>-3.232152123710752E-3</v>
      </c>
      <c r="BR30" s="49">
        <f>IF( OR(ISBLANK(S30:S34),ISBLANK(AQ30:AQ34), ISBLANK(Y30:Y34),ISBLANK(AW30:AW34)), "·", bdRateExtend( S30:S34,Y30:Y34, AQ30:AQ34,AW30:AW34))</f>
        <v>3.4418658173995809E-3</v>
      </c>
      <c r="BS30" s="49">
        <f>IF( OR(ISBLANK(S30:S34),ISBLANK(AQ30:AQ34), ISBLANK(Z30:Z34),ISBLANK(AX30:AX34)), "·", bdRateExtend( S30:S34,Z30:Z34, AQ30:AQ34,AX30:AX34))</f>
        <v>1.6877743155619962E-2</v>
      </c>
      <c r="BT30" s="49">
        <f>IF( OR(ISBLANK(S30:S34),ISBLANK(AQ30:AQ34), ISBLANK(AA30:AA34),ISBLANK(AY30:AY34)), "·", bdRateExtend( S30:S34,AA30:AA34, AQ30:AQ34,AY30:AY34))</f>
        <v>-1.6780194490280564E-2</v>
      </c>
      <c r="BV30" s="58">
        <f t="shared" si="16"/>
        <v>-111750</v>
      </c>
      <c r="BW30" s="58">
        <f t="shared" si="16"/>
        <v>-3492.1875</v>
      </c>
      <c r="BX30" s="58">
        <f t="shared" si="16"/>
        <v>-1081.875</v>
      </c>
      <c r="BY30" s="58">
        <f t="shared" si="16"/>
        <v>33928</v>
      </c>
      <c r="BZ30" s="58">
        <f t="shared" si="16"/>
        <v>0</v>
      </c>
      <c r="CA30" s="58">
        <f t="shared" si="16"/>
        <v>30936</v>
      </c>
      <c r="CB30" s="58">
        <f t="shared" si="16"/>
        <v>2992</v>
      </c>
      <c r="CC30" s="58">
        <f t="shared" si="16"/>
        <v>-4.2469999999923402E-3</v>
      </c>
      <c r="CD30" s="58">
        <f t="shared" si="16"/>
        <v>1.7619000000010487E-2</v>
      </c>
      <c r="CE30" s="58">
        <f t="shared" si="16"/>
        <v>4.2929999999969937E-3</v>
      </c>
      <c r="CF30" s="58">
        <f t="shared" si="16"/>
        <v>-2.0256000000003382E-2</v>
      </c>
      <c r="CG30" s="58">
        <f t="shared" si="16"/>
        <v>0.14476899999999659</v>
      </c>
      <c r="CJ30" t="s">
        <v>588</v>
      </c>
    </row>
    <row r="31" spans="1:88" outlineLevel="1" x14ac:dyDescent="0.2">
      <c r="A31" s="52"/>
      <c r="B31" s="52" t="s">
        <v>77</v>
      </c>
      <c r="C31" s="9" t="s">
        <v>234</v>
      </c>
      <c r="D31" s="52">
        <v>375422539</v>
      </c>
      <c r="E31" s="9">
        <v>11</v>
      </c>
      <c r="F31" s="9">
        <v>32</v>
      </c>
      <c r="G31" s="9">
        <v>30</v>
      </c>
      <c r="I31" s="10">
        <f t="shared" si="0"/>
        <v>4.9305450000000004</v>
      </c>
      <c r="J31" s="11">
        <f t="shared" si="1"/>
        <v>1.4008876542172659E-2</v>
      </c>
      <c r="K31" s="11">
        <f t="shared" si="2"/>
        <v>1.0247631935598838E-2</v>
      </c>
      <c r="L31" s="11">
        <f t="shared" si="3"/>
        <v>7.2155284208974997E-3</v>
      </c>
      <c r="M31" s="11">
        <f t="shared" si="4"/>
        <v>3.7609036574120019E-3</v>
      </c>
      <c r="N31" s="52">
        <f t="shared" si="5"/>
        <v>3847192</v>
      </c>
      <c r="O31" s="11">
        <v>16</v>
      </c>
      <c r="P31" s="12">
        <v>90541792</v>
      </c>
      <c r="Q31" s="12">
        <v>2829431</v>
      </c>
      <c r="R31" s="12">
        <v>41460.6875</v>
      </c>
      <c r="S31" s="13">
        <v>5259248</v>
      </c>
      <c r="T31" s="13">
        <v>2708872</v>
      </c>
      <c r="U31" s="13">
        <v>1138320</v>
      </c>
      <c r="V31" s="13">
        <v>1411928</v>
      </c>
      <c r="W31" s="14">
        <v>75.252650000000003</v>
      </c>
      <c r="X31" s="14">
        <v>77.584663000000006</v>
      </c>
      <c r="Y31" s="14">
        <v>35.168300000000002</v>
      </c>
      <c r="Z31" s="14">
        <v>42.577666000000001</v>
      </c>
      <c r="AA31" s="14">
        <v>44.702897</v>
      </c>
      <c r="AB31" s="15">
        <v>3791.35</v>
      </c>
      <c r="AC31" s="15">
        <v>16903.099999999999</v>
      </c>
      <c r="AD31" s="15">
        <v>247.92500000000001</v>
      </c>
      <c r="AE31" s="15">
        <v>83.5</v>
      </c>
      <c r="AG31" s="10">
        <f t="shared" si="6"/>
        <v>4.9489049999999999</v>
      </c>
      <c r="AH31" s="11">
        <f t="shared" si="7"/>
        <v>1.4061041763930962E-2</v>
      </c>
      <c r="AI31" s="11">
        <f t="shared" si="8"/>
        <v>1.0330013776823346E-2</v>
      </c>
      <c r="AJ31" s="11">
        <f t="shared" si="9"/>
        <v>7.2155284208974997E-3</v>
      </c>
      <c r="AK31" s="11">
        <f t="shared" si="10"/>
        <v>3.7306870379457957E-3</v>
      </c>
      <c r="AL31" s="52">
        <f t="shared" si="11"/>
        <v>3878120</v>
      </c>
      <c r="AM31" s="11">
        <v>16</v>
      </c>
      <c r="AN31" s="12">
        <v>90423871</v>
      </c>
      <c r="AO31" s="12">
        <v>2825745.96875</v>
      </c>
      <c r="AP31" s="12">
        <v>40142.25</v>
      </c>
      <c r="AQ31" s="13">
        <v>5278832</v>
      </c>
      <c r="AR31" s="13">
        <v>2708872</v>
      </c>
      <c r="AS31" s="13">
        <v>1169248</v>
      </c>
      <c r="AT31" s="13">
        <v>1400584</v>
      </c>
      <c r="AU31" s="14">
        <v>75.248099999999994</v>
      </c>
      <c r="AV31" s="14">
        <v>77.604106000000002</v>
      </c>
      <c r="AW31" s="14">
        <v>35.172691</v>
      </c>
      <c r="AX31" s="14">
        <v>42.509709000000001</v>
      </c>
      <c r="AY31" s="14">
        <v>44.826371999999999</v>
      </c>
      <c r="AZ31" s="15">
        <v>4422.95</v>
      </c>
      <c r="BA31" s="15">
        <v>22823.1</v>
      </c>
      <c r="BB31" s="15">
        <v>286.745</v>
      </c>
      <c r="BC31" s="15">
        <v>106.483</v>
      </c>
      <c r="BE31" s="50">
        <f t="shared" si="12"/>
        <v>1.0080391100834063</v>
      </c>
      <c r="BF31" s="16">
        <f t="shared" si="13"/>
        <v>-4.474710051880753E-4</v>
      </c>
      <c r="BG31" s="16">
        <f t="shared" si="14"/>
        <v>3.1450347422583569E-3</v>
      </c>
      <c r="BH31" s="16"/>
      <c r="BJ31" s="50"/>
      <c r="BK31" s="50"/>
      <c r="BL31" s="50"/>
      <c r="BM31" s="50"/>
      <c r="BN31" s="50"/>
      <c r="BP31" s="50"/>
      <c r="BQ31" s="50"/>
      <c r="BR31" s="50"/>
      <c r="BS31" s="50"/>
      <c r="BT31" s="50"/>
      <c r="BV31" s="58">
        <f t="shared" si="16"/>
        <v>-117921</v>
      </c>
      <c r="BW31" s="58">
        <f t="shared" si="16"/>
        <v>-3685.03125</v>
      </c>
      <c r="BX31" s="58">
        <f t="shared" si="16"/>
        <v>-1318.4375</v>
      </c>
      <c r="BY31" s="58">
        <f t="shared" si="16"/>
        <v>19584</v>
      </c>
      <c r="BZ31" s="58">
        <f t="shared" si="16"/>
        <v>0</v>
      </c>
      <c r="CA31" s="58">
        <f t="shared" si="16"/>
        <v>30928</v>
      </c>
      <c r="CB31" s="58">
        <f t="shared" si="16"/>
        <v>-11344</v>
      </c>
      <c r="CC31" s="58">
        <f t="shared" si="16"/>
        <v>-4.5500000000089358E-3</v>
      </c>
      <c r="CD31" s="58">
        <f t="shared" si="16"/>
        <v>1.9442999999995436E-2</v>
      </c>
      <c r="CE31" s="58">
        <f t="shared" si="16"/>
        <v>4.3909999999982574E-3</v>
      </c>
      <c r="CF31" s="58">
        <f t="shared" si="16"/>
        <v>-6.7956999999999823E-2</v>
      </c>
      <c r="CG31" s="58">
        <f t="shared" si="16"/>
        <v>0.12347499999999911</v>
      </c>
      <c r="CJ31" t="s">
        <v>588</v>
      </c>
    </row>
    <row r="32" spans="1:88" outlineLevel="1" x14ac:dyDescent="0.2">
      <c r="A32" s="17"/>
      <c r="B32" s="17" t="s">
        <v>77</v>
      </c>
      <c r="C32" s="18" t="s">
        <v>235</v>
      </c>
      <c r="D32" s="17">
        <v>375422539</v>
      </c>
      <c r="E32" s="18">
        <v>11</v>
      </c>
      <c r="F32" s="18">
        <v>32</v>
      </c>
      <c r="G32" s="18">
        <v>30</v>
      </c>
      <c r="I32" s="19">
        <f t="shared" si="0"/>
        <v>7.1345625000000004</v>
      </c>
      <c r="J32" s="20">
        <f t="shared" si="1"/>
        <v>2.027102586933386E-2</v>
      </c>
      <c r="K32" s="20">
        <f t="shared" si="2"/>
        <v>1.3138966065114168E-2</v>
      </c>
      <c r="L32" s="20">
        <f t="shared" si="3"/>
        <v>1.0106862550412829E-2</v>
      </c>
      <c r="M32" s="20">
        <f t="shared" si="4"/>
        <v>7.1317188550578739E-3</v>
      </c>
      <c r="N32" s="17">
        <f t="shared" si="5"/>
        <v>4932664</v>
      </c>
      <c r="O32" s="20">
        <v>16</v>
      </c>
      <c r="P32" s="21">
        <v>91787366</v>
      </c>
      <c r="Q32" s="21">
        <v>2868355.1875</v>
      </c>
      <c r="R32" s="21">
        <v>44534.90625</v>
      </c>
      <c r="S32" s="22">
        <v>7610200</v>
      </c>
      <c r="T32" s="22">
        <v>3794344</v>
      </c>
      <c r="U32" s="22">
        <v>1138320</v>
      </c>
      <c r="V32" s="22">
        <v>2677408</v>
      </c>
      <c r="W32" s="23">
        <v>76.469399999999993</v>
      </c>
      <c r="X32" s="23">
        <v>79.114191000000005</v>
      </c>
      <c r="Y32" s="23">
        <v>36.951524999999997</v>
      </c>
      <c r="Z32" s="23">
        <v>43.104759000000001</v>
      </c>
      <c r="AA32" s="23">
        <v>45.735422</v>
      </c>
      <c r="AB32" s="24">
        <v>4792.01</v>
      </c>
      <c r="AC32" s="24">
        <v>24307.4</v>
      </c>
      <c r="AD32" s="24">
        <v>282.77199999999999</v>
      </c>
      <c r="AE32" s="24">
        <v>108.22</v>
      </c>
      <c r="AG32" s="19">
        <f t="shared" si="6"/>
        <v>7.1552474999999998</v>
      </c>
      <c r="AH32" s="20">
        <f t="shared" si="7"/>
        <v>2.0329796981102405E-2</v>
      </c>
      <c r="AI32" s="20">
        <f t="shared" si="8"/>
        <v>1.3221369215661289E-2</v>
      </c>
      <c r="AJ32" s="20">
        <f t="shared" si="9"/>
        <v>1.0106862550412829E-2</v>
      </c>
      <c r="AK32" s="20">
        <f t="shared" si="10"/>
        <v>7.1080868162792963E-3</v>
      </c>
      <c r="AL32" s="17">
        <f t="shared" si="11"/>
        <v>4963600</v>
      </c>
      <c r="AM32" s="20">
        <v>16</v>
      </c>
      <c r="AN32" s="21">
        <v>91671511</v>
      </c>
      <c r="AO32" s="21">
        <v>2864734.71875</v>
      </c>
      <c r="AP32" s="21">
        <v>43167.8125</v>
      </c>
      <c r="AQ32" s="22">
        <v>7632264</v>
      </c>
      <c r="AR32" s="22">
        <v>3794344</v>
      </c>
      <c r="AS32" s="22">
        <v>1169256</v>
      </c>
      <c r="AT32" s="22">
        <v>2668536</v>
      </c>
      <c r="AU32" s="23">
        <v>76.464602999999997</v>
      </c>
      <c r="AV32" s="23">
        <v>79.136471999999998</v>
      </c>
      <c r="AW32" s="23">
        <v>36.953437000000001</v>
      </c>
      <c r="AX32" s="23">
        <v>43.098830999999997</v>
      </c>
      <c r="AY32" s="23">
        <v>45.787799999999997</v>
      </c>
      <c r="AZ32" s="24">
        <v>3837.3</v>
      </c>
      <c r="BA32" s="24">
        <v>18766.3</v>
      </c>
      <c r="BB32" s="24">
        <v>262.15800000000002</v>
      </c>
      <c r="BC32" s="24">
        <v>85.132999999999996</v>
      </c>
      <c r="BE32" s="49">
        <f t="shared" si="12"/>
        <v>1.0062716617227525</v>
      </c>
      <c r="BF32" s="25">
        <f t="shared" si="13"/>
        <v>-4.5759256661346941E-4</v>
      </c>
      <c r="BG32" s="25">
        <f t="shared" si="14"/>
        <v>2.1795487105475964E-3</v>
      </c>
      <c r="BH32" s="25"/>
      <c r="BJ32" s="49"/>
      <c r="BK32" s="49"/>
      <c r="BL32" s="49"/>
      <c r="BM32" s="49"/>
      <c r="BN32" s="49"/>
      <c r="BP32" s="49"/>
      <c r="BQ32" s="49"/>
      <c r="BR32" s="49"/>
      <c r="BS32" s="49"/>
      <c r="BT32" s="49"/>
      <c r="BV32" s="58">
        <f t="shared" si="16"/>
        <v>-115855</v>
      </c>
      <c r="BW32" s="58">
        <f t="shared" si="16"/>
        <v>-3620.46875</v>
      </c>
      <c r="BX32" s="58">
        <f t="shared" si="16"/>
        <v>-1367.09375</v>
      </c>
      <c r="BY32" s="58">
        <f t="shared" si="16"/>
        <v>22064</v>
      </c>
      <c r="BZ32" s="58">
        <f t="shared" si="16"/>
        <v>0</v>
      </c>
      <c r="CA32" s="58">
        <f t="shared" si="16"/>
        <v>30936</v>
      </c>
      <c r="CB32" s="58">
        <f t="shared" si="16"/>
        <v>-8872</v>
      </c>
      <c r="CC32" s="58">
        <f t="shared" si="16"/>
        <v>-4.7969999999963875E-3</v>
      </c>
      <c r="CD32" s="58">
        <f t="shared" si="16"/>
        <v>2.2280999999992446E-2</v>
      </c>
      <c r="CE32" s="58">
        <f t="shared" si="16"/>
        <v>1.9120000000043547E-3</v>
      </c>
      <c r="CF32" s="58">
        <f t="shared" si="16"/>
        <v>-5.9280000000043742E-3</v>
      </c>
      <c r="CG32" s="58">
        <f t="shared" si="16"/>
        <v>5.2377999999997371E-2</v>
      </c>
      <c r="CJ32" t="s">
        <v>588</v>
      </c>
    </row>
    <row r="33" spans="1:88" outlineLevel="1" x14ac:dyDescent="0.2">
      <c r="A33" s="52"/>
      <c r="B33" s="52" t="s">
        <v>77</v>
      </c>
      <c r="C33" s="9" t="s">
        <v>236</v>
      </c>
      <c r="D33" s="52">
        <v>375422539</v>
      </c>
      <c r="E33" s="9">
        <v>11</v>
      </c>
      <c r="F33" s="9">
        <v>32</v>
      </c>
      <c r="G33" s="9">
        <v>30</v>
      </c>
      <c r="I33" s="10">
        <f t="shared" si="0"/>
        <v>11.971125000000001</v>
      </c>
      <c r="J33" s="11">
        <f t="shared" si="1"/>
        <v>3.4012875289834425E-2</v>
      </c>
      <c r="K33" s="11">
        <f t="shared" si="2"/>
        <v>1.846900300250753E-2</v>
      </c>
      <c r="L33" s="11">
        <f t="shared" si="3"/>
        <v>1.5436899487806192E-2</v>
      </c>
      <c r="M33" s="11">
        <f t="shared" si="4"/>
        <v>1.5543531338165075E-2</v>
      </c>
      <c r="N33" s="52">
        <f t="shared" si="5"/>
        <v>6933680</v>
      </c>
      <c r="O33" s="11">
        <v>16</v>
      </c>
      <c r="P33" s="12">
        <v>94114766</v>
      </c>
      <c r="Q33" s="12">
        <v>2941086.4375</v>
      </c>
      <c r="R33" s="12">
        <v>49715.25</v>
      </c>
      <c r="S33" s="13">
        <v>12769200</v>
      </c>
      <c r="T33" s="13">
        <v>5795360</v>
      </c>
      <c r="U33" s="13">
        <v>1138320</v>
      </c>
      <c r="V33" s="13">
        <v>5835392</v>
      </c>
      <c r="W33" s="14">
        <v>77.566353000000007</v>
      </c>
      <c r="X33" s="14">
        <v>80.266603000000003</v>
      </c>
      <c r="Y33" s="14">
        <v>38.717027999999999</v>
      </c>
      <c r="Z33" s="14">
        <v>43.694291</v>
      </c>
      <c r="AA33" s="14">
        <v>47.348472000000001</v>
      </c>
      <c r="AB33" s="15">
        <v>4017.48</v>
      </c>
      <c r="AC33" s="15">
        <v>19097.599999999999</v>
      </c>
      <c r="AD33" s="15">
        <v>253.649</v>
      </c>
      <c r="AE33" s="15">
        <v>78.625</v>
      </c>
      <c r="AG33" s="10">
        <f t="shared" si="6"/>
        <v>11.9801625</v>
      </c>
      <c r="AH33" s="11">
        <f t="shared" si="7"/>
        <v>3.4038553023583912E-2</v>
      </c>
      <c r="AI33" s="11">
        <f t="shared" si="8"/>
        <v>1.855138484373204E-2</v>
      </c>
      <c r="AJ33" s="11">
        <f t="shared" si="9"/>
        <v>1.5436899487806192E-2</v>
      </c>
      <c r="AK33" s="11">
        <f t="shared" si="10"/>
        <v>1.5486827230690057E-2</v>
      </c>
      <c r="AL33" s="52">
        <f t="shared" si="11"/>
        <v>6964608</v>
      </c>
      <c r="AM33" s="11">
        <v>16</v>
      </c>
      <c r="AN33" s="12">
        <v>93997287</v>
      </c>
      <c r="AO33" s="12">
        <v>2937415.21875</v>
      </c>
      <c r="AP33" s="12">
        <v>48256.03125</v>
      </c>
      <c r="AQ33" s="13">
        <v>12778840</v>
      </c>
      <c r="AR33" s="13">
        <v>5795360</v>
      </c>
      <c r="AS33" s="13">
        <v>1169248</v>
      </c>
      <c r="AT33" s="13">
        <v>5814104</v>
      </c>
      <c r="AU33" s="14">
        <v>77.582262999999998</v>
      </c>
      <c r="AV33" s="14">
        <v>80.292980999999997</v>
      </c>
      <c r="AW33" s="14">
        <v>38.711587000000002</v>
      </c>
      <c r="AX33" s="14">
        <v>43.691699999999997</v>
      </c>
      <c r="AY33" s="14">
        <v>47.382168999999998</v>
      </c>
      <c r="AZ33" s="15">
        <v>3821.49</v>
      </c>
      <c r="BA33" s="15">
        <v>19213.900000000001</v>
      </c>
      <c r="BB33" s="15">
        <v>257.33600000000001</v>
      </c>
      <c r="BC33" s="15">
        <v>79.23</v>
      </c>
      <c r="BE33" s="50">
        <f t="shared" si="12"/>
        <v>1.004460546203459</v>
      </c>
      <c r="BF33" s="16">
        <f t="shared" si="13"/>
        <v>-4.756431953258887E-4</v>
      </c>
      <c r="BG33" s="16">
        <f t="shared" si="14"/>
        <v>2.0106266827236707E-3</v>
      </c>
      <c r="BH33" s="16"/>
      <c r="BJ33" s="50"/>
      <c r="BK33" s="50"/>
      <c r="BL33" s="50"/>
      <c r="BM33" s="50"/>
      <c r="BN33" s="50"/>
      <c r="BP33" s="50"/>
      <c r="BQ33" s="50"/>
      <c r="BR33" s="50"/>
      <c r="BS33" s="50"/>
      <c r="BT33" s="50"/>
      <c r="BV33" s="58">
        <f t="shared" si="16"/>
        <v>-117479</v>
      </c>
      <c r="BW33" s="58">
        <f t="shared" si="16"/>
        <v>-3671.21875</v>
      </c>
      <c r="BX33" s="58">
        <f t="shared" si="16"/>
        <v>-1459.21875</v>
      </c>
      <c r="BY33" s="58">
        <f t="shared" si="16"/>
        <v>9640</v>
      </c>
      <c r="BZ33" s="58">
        <f t="shared" si="16"/>
        <v>0</v>
      </c>
      <c r="CA33" s="58">
        <f t="shared" si="16"/>
        <v>30928</v>
      </c>
      <c r="CB33" s="58">
        <f t="shared" si="16"/>
        <v>-21288</v>
      </c>
      <c r="CC33" s="58">
        <f t="shared" si="16"/>
        <v>1.5909999999990987E-2</v>
      </c>
      <c r="CD33" s="58">
        <f t="shared" si="16"/>
        <v>2.6377999999994017E-2</v>
      </c>
      <c r="CE33" s="58">
        <f t="shared" si="16"/>
        <v>-5.4409999999975867E-3</v>
      </c>
      <c r="CF33" s="58">
        <f t="shared" si="16"/>
        <v>-2.5910000000024525E-3</v>
      </c>
      <c r="CG33" s="58">
        <f t="shared" si="16"/>
        <v>3.3696999999996535E-2</v>
      </c>
      <c r="CJ33" t="s">
        <v>588</v>
      </c>
    </row>
    <row r="34" spans="1:88" ht="16" outlineLevel="1" thickBot="1" x14ac:dyDescent="0.25">
      <c r="A34" s="17"/>
      <c r="B34" s="36" t="s">
        <v>77</v>
      </c>
      <c r="C34" s="37" t="s">
        <v>237</v>
      </c>
      <c r="D34" s="36">
        <v>375422539</v>
      </c>
      <c r="E34" s="37">
        <v>11</v>
      </c>
      <c r="F34" s="37">
        <v>32</v>
      </c>
      <c r="G34" s="37">
        <v>30</v>
      </c>
      <c r="I34" s="38">
        <f t="shared" si="0"/>
        <v>24.604665000000001</v>
      </c>
      <c r="J34" s="39">
        <f t="shared" si="1"/>
        <v>6.9907832571554793E-2</v>
      </c>
      <c r="K34" s="39">
        <f t="shared" si="2"/>
        <v>3.0903120603528816E-2</v>
      </c>
      <c r="L34" s="39">
        <f t="shared" si="3"/>
        <v>2.459758549552615E-2</v>
      </c>
      <c r="M34" s="39">
        <f t="shared" si="4"/>
        <v>3.9004371018864163E-2</v>
      </c>
      <c r="N34" s="36">
        <f t="shared" si="5"/>
        <v>11601728</v>
      </c>
      <c r="O34" s="39">
        <v>16</v>
      </c>
      <c r="P34" s="40">
        <v>92205535</v>
      </c>
      <c r="Q34" s="40">
        <v>2881422.96875</v>
      </c>
      <c r="R34" s="40">
        <v>21180.46875</v>
      </c>
      <c r="S34" s="41">
        <v>26244976</v>
      </c>
      <c r="T34" s="41">
        <v>9234488</v>
      </c>
      <c r="U34" s="41">
        <v>2367240</v>
      </c>
      <c r="V34" s="41">
        <v>14643120</v>
      </c>
      <c r="W34" s="42">
        <v>78.500297000000003</v>
      </c>
      <c r="X34" s="42">
        <v>81.895680999999996</v>
      </c>
      <c r="Y34" s="42">
        <v>40.507772000000003</v>
      </c>
      <c r="Z34" s="42">
        <v>44.376384000000002</v>
      </c>
      <c r="AA34" s="42">
        <v>48.811852999999999</v>
      </c>
      <c r="AB34" s="43">
        <v>4182.87</v>
      </c>
      <c r="AC34" s="43">
        <v>22998.400000000001</v>
      </c>
      <c r="AD34" s="43">
        <v>259.47800000000001</v>
      </c>
      <c r="AE34" s="43">
        <v>94.07</v>
      </c>
      <c r="AG34" s="38">
        <f t="shared" si="6"/>
        <v>24.6188775</v>
      </c>
      <c r="AH34" s="39">
        <f t="shared" si="7"/>
        <v>6.994821373790773E-2</v>
      </c>
      <c r="AI34" s="39">
        <f t="shared" si="8"/>
        <v>3.098554506339855E-2</v>
      </c>
      <c r="AJ34" s="39">
        <f t="shared" si="9"/>
        <v>2.459758549552615E-2</v>
      </c>
      <c r="AK34" s="39">
        <f t="shared" si="10"/>
        <v>3.8962327725347357E-2</v>
      </c>
      <c r="AL34" s="36">
        <f t="shared" si="11"/>
        <v>11632672</v>
      </c>
      <c r="AM34" s="39">
        <v>16</v>
      </c>
      <c r="AN34" s="40">
        <v>92185323</v>
      </c>
      <c r="AO34" s="40">
        <v>2880791.34375</v>
      </c>
      <c r="AP34" s="40">
        <v>20921.125</v>
      </c>
      <c r="AQ34" s="41">
        <v>26260136</v>
      </c>
      <c r="AR34" s="41">
        <v>9234488</v>
      </c>
      <c r="AS34" s="41">
        <v>2398184</v>
      </c>
      <c r="AT34" s="41">
        <v>14627336</v>
      </c>
      <c r="AU34" s="42">
        <v>78.498012000000003</v>
      </c>
      <c r="AV34" s="42">
        <v>81.897822000000005</v>
      </c>
      <c r="AW34" s="42">
        <v>40.498494000000001</v>
      </c>
      <c r="AX34" s="42">
        <v>44.370038000000001</v>
      </c>
      <c r="AY34" s="42">
        <v>48.813980999999998</v>
      </c>
      <c r="AZ34" s="43">
        <v>3801.9</v>
      </c>
      <c r="BA34" s="43">
        <v>19922.099999999999</v>
      </c>
      <c r="BB34" s="43">
        <v>240.32</v>
      </c>
      <c r="BC34" s="43">
        <v>82.411000000000001</v>
      </c>
      <c r="BE34" s="44">
        <f t="shared" si="12"/>
        <v>1.0026671888877243</v>
      </c>
      <c r="BF34" s="45">
        <f t="shared" si="13"/>
        <v>-8.8413507008787244E-5</v>
      </c>
      <c r="BG34" s="45">
        <f t="shared" si="14"/>
        <v>9.2316518216967181E-4</v>
      </c>
      <c r="BH34" s="45"/>
      <c r="BJ34" s="44"/>
      <c r="BK34" s="44"/>
      <c r="BL34" s="44"/>
      <c r="BM34" s="44"/>
      <c r="BN34" s="44"/>
      <c r="BP34" s="44"/>
      <c r="BQ34" s="44"/>
      <c r="BR34" s="44"/>
      <c r="BS34" s="44"/>
      <c r="BT34" s="44"/>
      <c r="BV34" s="58">
        <f t="shared" si="16"/>
        <v>-20212</v>
      </c>
      <c r="BW34" s="58">
        <f t="shared" si="16"/>
        <v>-631.625</v>
      </c>
      <c r="BX34" s="58">
        <f t="shared" si="16"/>
        <v>-259.34375</v>
      </c>
      <c r="BY34" s="58">
        <f t="shared" si="16"/>
        <v>15160</v>
      </c>
      <c r="BZ34" s="58">
        <f t="shared" si="16"/>
        <v>0</v>
      </c>
      <c r="CA34" s="58">
        <f t="shared" si="16"/>
        <v>30944</v>
      </c>
      <c r="CB34" s="58">
        <f t="shared" si="16"/>
        <v>-15784</v>
      </c>
      <c r="CC34" s="58">
        <f t="shared" si="16"/>
        <v>-2.2850000000005366E-3</v>
      </c>
      <c r="CD34" s="58">
        <f t="shared" si="16"/>
        <v>2.1410000000088303E-3</v>
      </c>
      <c r="CE34" s="58">
        <f t="shared" si="16"/>
        <v>-9.2780000000018958E-3</v>
      </c>
      <c r="CF34" s="58">
        <f t="shared" si="16"/>
        <v>-6.3460000000006289E-3</v>
      </c>
      <c r="CG34" s="58">
        <f t="shared" si="16"/>
        <v>2.1279999999990196E-3</v>
      </c>
      <c r="CJ34" t="s">
        <v>588</v>
      </c>
    </row>
    <row r="35" spans="1:88" x14ac:dyDescent="0.2">
      <c r="A35" s="52"/>
      <c r="B35" s="52" t="s">
        <v>82</v>
      </c>
      <c r="C35" s="9" t="s">
        <v>232</v>
      </c>
      <c r="D35" s="52">
        <v>333190689</v>
      </c>
      <c r="E35" s="9">
        <v>11</v>
      </c>
      <c r="F35" s="9">
        <v>32</v>
      </c>
      <c r="G35" s="9">
        <v>30</v>
      </c>
      <c r="I35" s="10">
        <f t="shared" si="0"/>
        <v>4.6254825000000004</v>
      </c>
      <c r="J35" s="11">
        <f t="shared" si="1"/>
        <v>1.480788078084619E-2</v>
      </c>
      <c r="K35" s="11">
        <f t="shared" si="2"/>
        <v>1.1084295335755915E-2</v>
      </c>
      <c r="L35" s="11">
        <f t="shared" si="3"/>
        <v>7.155662143968255E-3</v>
      </c>
      <c r="M35" s="11">
        <f t="shared" si="4"/>
        <v>3.7232012806936512E-3</v>
      </c>
      <c r="N35" s="52">
        <f t="shared" si="5"/>
        <v>3693184</v>
      </c>
      <c r="O35" s="11">
        <v>16</v>
      </c>
      <c r="P35" s="12">
        <v>74793925</v>
      </c>
      <c r="Q35" s="12">
        <v>2337310.15625</v>
      </c>
      <c r="R35" s="12">
        <v>30824.78125</v>
      </c>
      <c r="S35" s="13">
        <v>4933848</v>
      </c>
      <c r="T35" s="13">
        <v>2384200</v>
      </c>
      <c r="U35" s="13">
        <v>1308984</v>
      </c>
      <c r="V35" s="13">
        <v>1240536</v>
      </c>
      <c r="W35" s="14">
        <v>73.186065999999997</v>
      </c>
      <c r="X35" s="14">
        <v>75.395090999999994</v>
      </c>
      <c r="Y35" s="14">
        <v>31.779947</v>
      </c>
      <c r="Z35" s="14">
        <v>42.169849999999997</v>
      </c>
      <c r="AA35" s="14">
        <v>43.305712</v>
      </c>
      <c r="AB35" s="15">
        <v>3696.09</v>
      </c>
      <c r="AC35" s="15">
        <v>19023</v>
      </c>
      <c r="AD35" s="15">
        <v>208.268</v>
      </c>
      <c r="AE35" s="15">
        <v>78.953000000000003</v>
      </c>
      <c r="AG35" s="10">
        <f t="shared" si="6"/>
        <v>4.6527750000000001</v>
      </c>
      <c r="AH35" s="11">
        <f t="shared" si="7"/>
        <v>1.4895254170803075E-2</v>
      </c>
      <c r="AI35" s="11">
        <f t="shared" si="8"/>
        <v>1.118569072618953E-2</v>
      </c>
      <c r="AJ35" s="11">
        <f t="shared" si="9"/>
        <v>7.155662143968255E-3</v>
      </c>
      <c r="AK35" s="11">
        <f t="shared" si="10"/>
        <v>3.7091792802169212E-3</v>
      </c>
      <c r="AL35" s="52">
        <f t="shared" si="11"/>
        <v>3726968</v>
      </c>
      <c r="AM35" s="11">
        <v>16</v>
      </c>
      <c r="AN35" s="12">
        <v>74689471</v>
      </c>
      <c r="AO35" s="12">
        <v>2334045.96875</v>
      </c>
      <c r="AP35" s="12">
        <v>29743.96875</v>
      </c>
      <c r="AQ35" s="13">
        <v>4962960</v>
      </c>
      <c r="AR35" s="13">
        <v>2384200</v>
      </c>
      <c r="AS35" s="13">
        <v>1342768</v>
      </c>
      <c r="AT35" s="13">
        <v>1235864</v>
      </c>
      <c r="AU35" s="14">
        <v>73.182169000000002</v>
      </c>
      <c r="AV35" s="14">
        <v>75.413538000000003</v>
      </c>
      <c r="AW35" s="14">
        <v>31.776769000000002</v>
      </c>
      <c r="AX35" s="14">
        <v>42.151446999999997</v>
      </c>
      <c r="AY35" s="14">
        <v>43.263578000000003</v>
      </c>
      <c r="AZ35" s="15">
        <v>3846.25</v>
      </c>
      <c r="BA35" s="15">
        <v>23840.5</v>
      </c>
      <c r="BB35" s="15">
        <v>228.137</v>
      </c>
      <c r="BC35" s="15">
        <v>102.898</v>
      </c>
      <c r="BE35" s="50">
        <f t="shared" si="12"/>
        <v>1.0091476622881503</v>
      </c>
      <c r="BF35" s="16">
        <f t="shared" si="13"/>
        <v>-4.4462017519117381E-4</v>
      </c>
      <c r="BG35" s="16">
        <f t="shared" si="14"/>
        <v>2.4163997196567921E-3</v>
      </c>
      <c r="BH35" s="16">
        <f t="array" ref="BH35">AVERAGE(AL35:AL39/AQ35:AQ39) - AVERAGE(N35:N39/S35:S39)</f>
        <v>1.9008262104052154E-3</v>
      </c>
      <c r="BJ35" s="50">
        <f>IF( OR(ISBLANK(N35:N39),ISBLANK(AL35:AL39), ISBLANK(W35:W39),ISBLANK(AU35:AU39)), "·", bdRateExtend( N35:N39,W35:W39, AL35:AL39,AU35:AU39))</f>
        <v>6.439200939556633E-3</v>
      </c>
      <c r="BK35" s="50">
        <f>IF( OR(ISBLANK(N35:N39),ISBLANK(AL35:AL39), ISBLANK(X35:X39),ISBLANK(AV35:AV39)), "·", bdRateExtend( N35:N39,X35:X39, AL35:AL39,AV35:AV39))</f>
        <v>2.091537259760301E-3</v>
      </c>
      <c r="BL35" s="50">
        <f>IF( OR(ISBLANK(V35:V39),ISBLANK(AT35:AT39), ISBLANK(Y35:Y39),ISBLANK(AW35:AW39)), "·", bdRateExtend( V35:V39,Y35:Y39, AT35:AT39,AW35:AW39))</f>
        <v>-1.2188568308562076E-3</v>
      </c>
      <c r="BM35" s="50">
        <f>IF( OR(ISBLANK(V35:V39),ISBLANK(AT35:AT39), ISBLANK(Z35:Z39),ISBLANK(AX35:AX39)), "·", bdRateExtend( V35:V39,Z35:Z39, AT35:AT39,AX35:AX39))</f>
        <v>1.2819473891238387E-2</v>
      </c>
      <c r="BN35" s="50">
        <f>IF( OR(ISBLANK(V35:V39),ISBLANK(AT35:AT39), ISBLANK(AA35:AA39),ISBLANK(AY35:AY39)), "·", bdRateExtend( V35:V39,AA35:AA39, AT35:AT39,AY35:AY39))</f>
        <v>1.5533634237237193E-2</v>
      </c>
      <c r="BP35" s="50">
        <f>IF( OR(ISBLANK(S35:S39),ISBLANK(AQ35:AQ39), ISBLANK(W35:W39),ISBLANK(AU35:AU39)), "·", bdRateExtend( S35:S39,W35:W39, AQ35:AQ39,AU35:AU39))</f>
        <v>3.0907149870167405E-3</v>
      </c>
      <c r="BQ35" s="50">
        <f>IF( OR(ISBLANK(S35:S39),ISBLANK(AQ35:AQ39), ISBLANK(X35:X39),ISBLANK(AV35:AV39)), "·", bdRateExtend( S35:S39,X35:X39, AQ35:AQ39,AV35:AV39))</f>
        <v>-3.1095970199553902E-3</v>
      </c>
      <c r="BR35" s="50">
        <f>IF( OR(ISBLANK(S35:S39),ISBLANK(AQ35:AQ39), ISBLANK(Y35:Y39),ISBLANK(AW35:AW39)), "·", bdRateExtend( S35:S39,Y35:Y39, AQ35:AQ39,AW35:AW39))</f>
        <v>3.8805599368960664E-3</v>
      </c>
      <c r="BS35" s="50">
        <f>IF( OR(ISBLANK(S35:S39),ISBLANK(AQ35:AQ39), ISBLANK(Z35:Z39),ISBLANK(AX35:AX39)), "·", bdRateExtend( S35:S39,Z35:Z39, AQ35:AQ39,AX35:AX39))</f>
        <v>1.2097040956984717E-2</v>
      </c>
      <c r="BT35" s="50">
        <f>IF( OR(ISBLANK(S35:S39),ISBLANK(AQ35:AQ39), ISBLANK(AA35:AA39),ISBLANK(AY35:AY39)), "·", bdRateExtend( S35:S39,AA35:AA39, AQ35:AQ39,AY35:AY39))</f>
        <v>1.3063954017041191E-2</v>
      </c>
      <c r="BV35" s="58">
        <f t="shared" si="16"/>
        <v>-104454</v>
      </c>
      <c r="BW35" s="58">
        <f t="shared" si="16"/>
        <v>-3264.1875</v>
      </c>
      <c r="BX35" s="58">
        <f t="shared" si="16"/>
        <v>-1080.8125</v>
      </c>
      <c r="BY35" s="58">
        <f t="shared" si="16"/>
        <v>29112</v>
      </c>
      <c r="BZ35" s="58">
        <f t="shared" si="16"/>
        <v>0</v>
      </c>
      <c r="CA35" s="58">
        <f t="shared" si="16"/>
        <v>33784</v>
      </c>
      <c r="CB35" s="58">
        <f t="shared" si="16"/>
        <v>-4672</v>
      </c>
      <c r="CC35" s="58">
        <f t="shared" si="16"/>
        <v>-3.8969999999949323E-3</v>
      </c>
      <c r="CD35" s="58">
        <f t="shared" si="16"/>
        <v>1.8447000000008984E-2</v>
      </c>
      <c r="CE35" s="58">
        <f t="shared" si="16"/>
        <v>-3.1779999999983488E-3</v>
      </c>
      <c r="CF35" s="58">
        <f t="shared" si="16"/>
        <v>-1.8402999999999281E-2</v>
      </c>
      <c r="CG35" s="58">
        <f t="shared" si="16"/>
        <v>-4.2133999999997229E-2</v>
      </c>
      <c r="CJ35" t="s">
        <v>589</v>
      </c>
    </row>
    <row r="36" spans="1:88" outlineLevel="1" x14ac:dyDescent="0.2">
      <c r="A36" s="17"/>
      <c r="B36" s="17" t="s">
        <v>82</v>
      </c>
      <c r="C36" s="18" t="s">
        <v>234</v>
      </c>
      <c r="D36" s="17">
        <v>333190689</v>
      </c>
      <c r="E36" s="18">
        <v>11</v>
      </c>
      <c r="F36" s="18">
        <v>32</v>
      </c>
      <c r="G36" s="18">
        <v>30</v>
      </c>
      <c r="I36" s="19">
        <f t="shared" si="0"/>
        <v>6.2107425000000003</v>
      </c>
      <c r="J36" s="20">
        <f t="shared" si="1"/>
        <v>1.9882884542430895E-2</v>
      </c>
      <c r="K36" s="20">
        <f t="shared" si="2"/>
        <v>1.3664367433749026E-2</v>
      </c>
      <c r="L36" s="20">
        <f t="shared" si="3"/>
        <v>9.7357342419613652E-3</v>
      </c>
      <c r="M36" s="20">
        <f t="shared" si="4"/>
        <v>6.2181329442852467E-3</v>
      </c>
      <c r="N36" s="17">
        <f t="shared" si="5"/>
        <v>4552840</v>
      </c>
      <c r="O36" s="20">
        <v>16</v>
      </c>
      <c r="P36" s="21">
        <v>79976742</v>
      </c>
      <c r="Q36" s="21">
        <v>2499273.1875</v>
      </c>
      <c r="R36" s="21">
        <v>39105.5</v>
      </c>
      <c r="S36" s="22">
        <v>6624792</v>
      </c>
      <c r="T36" s="22">
        <v>3243856</v>
      </c>
      <c r="U36" s="22">
        <v>1308984</v>
      </c>
      <c r="V36" s="22">
        <v>2071824</v>
      </c>
      <c r="W36" s="23">
        <v>74.938500000000005</v>
      </c>
      <c r="X36" s="23">
        <v>77.355886999999996</v>
      </c>
      <c r="Y36" s="23">
        <v>34.034599999999998</v>
      </c>
      <c r="Z36" s="23">
        <v>42.972333999999996</v>
      </c>
      <c r="AA36" s="23">
        <v>44.820352999999997</v>
      </c>
      <c r="AB36" s="24">
        <v>3481.51</v>
      </c>
      <c r="AC36" s="24">
        <v>20194.400000000001</v>
      </c>
      <c r="AD36" s="24">
        <v>220.416</v>
      </c>
      <c r="AE36" s="24">
        <v>79.016000000000005</v>
      </c>
      <c r="AG36" s="19">
        <f t="shared" si="6"/>
        <v>6.2334750000000003</v>
      </c>
      <c r="AH36" s="20">
        <f t="shared" si="7"/>
        <v>1.9955659685316117E-2</v>
      </c>
      <c r="AI36" s="20">
        <f t="shared" si="8"/>
        <v>1.3765786834457431E-2</v>
      </c>
      <c r="AJ36" s="20">
        <f t="shared" si="9"/>
        <v>9.7357342419613652E-3</v>
      </c>
      <c r="AK36" s="20">
        <f t="shared" si="10"/>
        <v>6.1894886864620633E-3</v>
      </c>
      <c r="AL36" s="17">
        <f t="shared" si="11"/>
        <v>4586632</v>
      </c>
      <c r="AM36" s="20">
        <v>16</v>
      </c>
      <c r="AN36" s="21">
        <v>79865095</v>
      </c>
      <c r="AO36" s="21">
        <v>2495784.21875</v>
      </c>
      <c r="AP36" s="21">
        <v>37772.8125</v>
      </c>
      <c r="AQ36" s="22">
        <v>6649040</v>
      </c>
      <c r="AR36" s="22">
        <v>3243856</v>
      </c>
      <c r="AS36" s="22">
        <v>1342776</v>
      </c>
      <c r="AT36" s="22">
        <v>2062280</v>
      </c>
      <c r="AU36" s="23">
        <v>74.934128000000001</v>
      </c>
      <c r="AV36" s="23">
        <v>77.376078000000007</v>
      </c>
      <c r="AW36" s="23">
        <v>34.018999999999998</v>
      </c>
      <c r="AX36" s="23">
        <v>42.920641000000003</v>
      </c>
      <c r="AY36" s="23">
        <v>44.645259000000003</v>
      </c>
      <c r="AZ36" s="24">
        <v>3484.29</v>
      </c>
      <c r="BA36" s="24">
        <v>19999.5</v>
      </c>
      <c r="BB36" s="24">
        <v>219.49299999999999</v>
      </c>
      <c r="BC36" s="24">
        <v>79.171999999999997</v>
      </c>
      <c r="BE36" s="49">
        <f t="shared" si="12"/>
        <v>1.0074221804412191</v>
      </c>
      <c r="BF36" s="25">
        <f t="shared" si="13"/>
        <v>-5.1210215708679535E-4</v>
      </c>
      <c r="BG36" s="25">
        <f t="shared" si="14"/>
        <v>2.5759716883213546E-3</v>
      </c>
      <c r="BH36" s="25"/>
      <c r="BJ36" s="49"/>
      <c r="BK36" s="49"/>
      <c r="BL36" s="49"/>
      <c r="BM36" s="49"/>
      <c r="BN36" s="49"/>
      <c r="BP36" s="49"/>
      <c r="BQ36" s="49"/>
      <c r="BR36" s="49"/>
      <c r="BS36" s="49"/>
      <c r="BT36" s="49"/>
      <c r="BV36" s="58">
        <f t="shared" si="16"/>
        <v>-111647</v>
      </c>
      <c r="BW36" s="58">
        <f t="shared" si="16"/>
        <v>-3488.96875</v>
      </c>
      <c r="BX36" s="58">
        <f t="shared" si="16"/>
        <v>-1332.6875</v>
      </c>
      <c r="BY36" s="58">
        <f t="shared" si="16"/>
        <v>24248</v>
      </c>
      <c r="BZ36" s="58">
        <f t="shared" si="16"/>
        <v>0</v>
      </c>
      <c r="CA36" s="58">
        <f t="shared" si="16"/>
        <v>33792</v>
      </c>
      <c r="CB36" s="58">
        <f t="shared" si="16"/>
        <v>-9544</v>
      </c>
      <c r="CC36" s="58">
        <f t="shared" si="16"/>
        <v>-4.3720000000035952E-3</v>
      </c>
      <c r="CD36" s="58">
        <f t="shared" si="16"/>
        <v>2.0191000000011172E-2</v>
      </c>
      <c r="CE36" s="58">
        <f t="shared" si="16"/>
        <v>-1.559999999999917E-2</v>
      </c>
      <c r="CF36" s="58">
        <f t="shared" si="16"/>
        <v>-5.1692999999993106E-2</v>
      </c>
      <c r="CG36" s="58">
        <f t="shared" si="16"/>
        <v>-0.17509399999999431</v>
      </c>
      <c r="CJ36" t="s">
        <v>589</v>
      </c>
    </row>
    <row r="37" spans="1:88" outlineLevel="1" x14ac:dyDescent="0.2">
      <c r="A37" s="52"/>
      <c r="B37" s="52" t="s">
        <v>82</v>
      </c>
      <c r="C37" s="9" t="s">
        <v>235</v>
      </c>
      <c r="D37" s="52">
        <v>333190689</v>
      </c>
      <c r="E37" s="9">
        <v>11</v>
      </c>
      <c r="F37" s="9">
        <v>32</v>
      </c>
      <c r="G37" s="9">
        <v>30</v>
      </c>
      <c r="I37" s="10">
        <f t="shared" si="0"/>
        <v>8.872935</v>
      </c>
      <c r="J37" s="11">
        <f t="shared" si="1"/>
        <v>2.8405547671231594E-2</v>
      </c>
      <c r="K37" s="11">
        <f t="shared" si="2"/>
        <v>1.7355250884576789E-2</v>
      </c>
      <c r="L37" s="11">
        <f t="shared" si="3"/>
        <v>1.3426617692789128E-2</v>
      </c>
      <c r="M37" s="11">
        <f t="shared" si="4"/>
        <v>1.1049912622258181E-2</v>
      </c>
      <c r="N37" s="52">
        <f t="shared" si="5"/>
        <v>5782608</v>
      </c>
      <c r="O37" s="11">
        <v>16</v>
      </c>
      <c r="P37" s="12">
        <v>81787481</v>
      </c>
      <c r="Q37" s="12">
        <v>2555858.78125</v>
      </c>
      <c r="R37" s="12">
        <v>42911.78125</v>
      </c>
      <c r="S37" s="13">
        <v>9464464</v>
      </c>
      <c r="T37" s="13">
        <v>4473624</v>
      </c>
      <c r="U37" s="13">
        <v>1308984</v>
      </c>
      <c r="V37" s="13">
        <v>3681728</v>
      </c>
      <c r="W37" s="14">
        <v>76.246069000000006</v>
      </c>
      <c r="X37" s="14">
        <v>78.937634000000003</v>
      </c>
      <c r="Y37" s="14">
        <v>36.127488</v>
      </c>
      <c r="Z37" s="14">
        <v>43.536346999999999</v>
      </c>
      <c r="AA37" s="14">
        <v>46.109228000000002</v>
      </c>
      <c r="AB37" s="15">
        <v>3566.44</v>
      </c>
      <c r="AC37" s="15">
        <v>21005.7</v>
      </c>
      <c r="AD37" s="15">
        <v>229.464</v>
      </c>
      <c r="AE37" s="15">
        <v>82.992999999999995</v>
      </c>
      <c r="AG37" s="10">
        <f t="shared" si="6"/>
        <v>8.8940699999999993</v>
      </c>
      <c r="AH37" s="11">
        <f t="shared" si="7"/>
        <v>2.8473208625586773E-2</v>
      </c>
      <c r="AI37" s="11">
        <f t="shared" si="8"/>
        <v>1.7456670285285192E-2</v>
      </c>
      <c r="AJ37" s="11">
        <f t="shared" si="9"/>
        <v>1.3426617692789128E-2</v>
      </c>
      <c r="AK37" s="11">
        <f t="shared" si="10"/>
        <v>1.1016154175904957E-2</v>
      </c>
      <c r="AL37" s="52">
        <f t="shared" si="11"/>
        <v>5816400</v>
      </c>
      <c r="AM37" s="11">
        <v>16</v>
      </c>
      <c r="AN37" s="12">
        <v>81677370</v>
      </c>
      <c r="AO37" s="12">
        <v>2552417.8125</v>
      </c>
      <c r="AP37" s="12">
        <v>41518.5</v>
      </c>
      <c r="AQ37" s="13">
        <v>9487008</v>
      </c>
      <c r="AR37" s="13">
        <v>4473624</v>
      </c>
      <c r="AS37" s="13">
        <v>1342776</v>
      </c>
      <c r="AT37" s="13">
        <v>3670480</v>
      </c>
      <c r="AU37" s="14">
        <v>76.241512</v>
      </c>
      <c r="AV37" s="14">
        <v>78.960268999999997</v>
      </c>
      <c r="AW37" s="14">
        <v>36.127909000000002</v>
      </c>
      <c r="AX37" s="14">
        <v>43.523837</v>
      </c>
      <c r="AY37" s="14">
        <v>46.102181000000002</v>
      </c>
      <c r="AZ37" s="15">
        <v>3592.67</v>
      </c>
      <c r="BA37" s="15">
        <v>21325.5</v>
      </c>
      <c r="BB37" s="15">
        <v>224.95400000000001</v>
      </c>
      <c r="BC37" s="15">
        <v>82.995000000000005</v>
      </c>
      <c r="BE37" s="50">
        <f t="shared" si="12"/>
        <v>1.0058437300263132</v>
      </c>
      <c r="BF37" s="16">
        <f t="shared" si="13"/>
        <v>-5.2323285102744144E-4</v>
      </c>
      <c r="BG37" s="16">
        <f t="shared" si="14"/>
        <v>2.1100481386574499E-3</v>
      </c>
      <c r="BH37" s="16"/>
      <c r="BJ37" s="50"/>
      <c r="BK37" s="50"/>
      <c r="BL37" s="50"/>
      <c r="BM37" s="50"/>
      <c r="BN37" s="50"/>
      <c r="BP37" s="50"/>
      <c r="BQ37" s="50"/>
      <c r="BR37" s="50"/>
      <c r="BS37" s="50"/>
      <c r="BT37" s="50"/>
      <c r="BV37" s="58">
        <f t="shared" si="16"/>
        <v>-110111</v>
      </c>
      <c r="BW37" s="58">
        <f t="shared" si="16"/>
        <v>-3440.96875</v>
      </c>
      <c r="BX37" s="58">
        <f t="shared" si="16"/>
        <v>-1393.28125</v>
      </c>
      <c r="BY37" s="58">
        <f t="shared" si="16"/>
        <v>22544</v>
      </c>
      <c r="BZ37" s="58">
        <f t="shared" si="16"/>
        <v>0</v>
      </c>
      <c r="CA37" s="58">
        <f t="shared" si="16"/>
        <v>33792</v>
      </c>
      <c r="CB37" s="58">
        <f t="shared" si="16"/>
        <v>-11248</v>
      </c>
      <c r="CC37" s="58">
        <f t="shared" si="16"/>
        <v>-4.5570000000054733E-3</v>
      </c>
      <c r="CD37" s="58">
        <f t="shared" si="16"/>
        <v>2.2634999999993966E-2</v>
      </c>
      <c r="CE37" s="58">
        <f t="shared" si="16"/>
        <v>4.2100000000289128E-4</v>
      </c>
      <c r="CF37" s="58">
        <f t="shared" si="16"/>
        <v>-1.2509999999998911E-2</v>
      </c>
      <c r="CG37" s="58">
        <f t="shared" si="16"/>
        <v>-7.0470000000000255E-3</v>
      </c>
      <c r="CJ37" t="s">
        <v>589</v>
      </c>
    </row>
    <row r="38" spans="1:88" outlineLevel="1" x14ac:dyDescent="0.2">
      <c r="A38" s="17"/>
      <c r="B38" s="17" t="s">
        <v>82</v>
      </c>
      <c r="C38" s="18" t="s">
        <v>236</v>
      </c>
      <c r="D38" s="17">
        <v>333190689</v>
      </c>
      <c r="E38" s="18">
        <v>11</v>
      </c>
      <c r="F38" s="18">
        <v>32</v>
      </c>
      <c r="G38" s="18">
        <v>30</v>
      </c>
      <c r="I38" s="19">
        <f t="shared" si="0"/>
        <v>14.378159999999999</v>
      </c>
      <c r="J38" s="20">
        <f t="shared" si="1"/>
        <v>4.6029809674543454E-2</v>
      </c>
      <c r="K38" s="20">
        <f t="shared" si="2"/>
        <v>2.3624501703887649E-2</v>
      </c>
      <c r="L38" s="20">
        <f t="shared" si="3"/>
        <v>1.9695868512099989E-2</v>
      </c>
      <c r="M38" s="20">
        <f t="shared" si="4"/>
        <v>2.2404923806259185E-2</v>
      </c>
      <c r="N38" s="17">
        <f t="shared" si="5"/>
        <v>7871464</v>
      </c>
      <c r="O38" s="20">
        <v>16</v>
      </c>
      <c r="P38" s="21">
        <v>83859347</v>
      </c>
      <c r="Q38" s="21">
        <v>2620604.59375</v>
      </c>
      <c r="R38" s="21">
        <v>48103.65625</v>
      </c>
      <c r="S38" s="22">
        <v>15336704</v>
      </c>
      <c r="T38" s="22">
        <v>6562480</v>
      </c>
      <c r="U38" s="22">
        <v>1308984</v>
      </c>
      <c r="V38" s="22">
        <v>7465112</v>
      </c>
      <c r="W38" s="23">
        <v>77.415709000000007</v>
      </c>
      <c r="X38" s="23">
        <v>80.131399999999999</v>
      </c>
      <c r="Y38" s="23">
        <v>38.083593999999998</v>
      </c>
      <c r="Z38" s="23">
        <v>44.197806</v>
      </c>
      <c r="AA38" s="23">
        <v>47.240555999999998</v>
      </c>
      <c r="AB38" s="24">
        <v>3781.95</v>
      </c>
      <c r="AC38" s="24">
        <v>21599.1</v>
      </c>
      <c r="AD38" s="24">
        <v>221.11</v>
      </c>
      <c r="AE38" s="24">
        <v>78.132000000000005</v>
      </c>
      <c r="AG38" s="19">
        <f t="shared" si="6"/>
        <v>14.393062499999999</v>
      </c>
      <c r="AH38" s="20">
        <f t="shared" si="7"/>
        <v>4.6077518090549045E-2</v>
      </c>
      <c r="AI38" s="20">
        <f t="shared" si="8"/>
        <v>2.3725921104596055E-2</v>
      </c>
      <c r="AJ38" s="20">
        <f t="shared" si="9"/>
        <v>1.9695868512099989E-2</v>
      </c>
      <c r="AK38" s="20">
        <f t="shared" si="10"/>
        <v>2.2351212821556367E-2</v>
      </c>
      <c r="AL38" s="17">
        <f t="shared" si="11"/>
        <v>7905256</v>
      </c>
      <c r="AM38" s="20">
        <v>16</v>
      </c>
      <c r="AN38" s="21">
        <v>83747376</v>
      </c>
      <c r="AO38" s="21">
        <v>2617105.5</v>
      </c>
      <c r="AP38" s="21">
        <v>46603.125</v>
      </c>
      <c r="AQ38" s="22">
        <v>15352600</v>
      </c>
      <c r="AR38" s="22">
        <v>6562480</v>
      </c>
      <c r="AS38" s="22">
        <v>1342776</v>
      </c>
      <c r="AT38" s="22">
        <v>7447216</v>
      </c>
      <c r="AU38" s="23">
        <v>77.421391</v>
      </c>
      <c r="AV38" s="23">
        <v>80.158118999999999</v>
      </c>
      <c r="AW38" s="23">
        <v>38.077606000000003</v>
      </c>
      <c r="AX38" s="23">
        <v>44.197197000000003</v>
      </c>
      <c r="AY38" s="23">
        <v>47.264322</v>
      </c>
      <c r="AZ38" s="24">
        <v>3885.68</v>
      </c>
      <c r="BA38" s="24">
        <v>24242.6</v>
      </c>
      <c r="BB38" s="24">
        <v>246.119</v>
      </c>
      <c r="BC38" s="24">
        <v>89.024000000000001</v>
      </c>
      <c r="BE38" s="49">
        <f t="shared" si="12"/>
        <v>1.0042929752330698</v>
      </c>
      <c r="BF38" s="25">
        <f t="shared" si="13"/>
        <v>-5.4881322170408434E-4</v>
      </c>
      <c r="BG38" s="25">
        <f t="shared" si="14"/>
        <v>1.6696508050932923E-3</v>
      </c>
      <c r="BH38" s="25"/>
      <c r="BJ38" s="49"/>
      <c r="BK38" s="49"/>
      <c r="BL38" s="49"/>
      <c r="BM38" s="49"/>
      <c r="BN38" s="49"/>
      <c r="BP38" s="49"/>
      <c r="BQ38" s="49"/>
      <c r="BR38" s="49"/>
      <c r="BS38" s="49"/>
      <c r="BT38" s="49"/>
      <c r="BV38" s="58">
        <f t="shared" si="16"/>
        <v>-111971</v>
      </c>
      <c r="BW38" s="58">
        <f t="shared" si="16"/>
        <v>-3499.09375</v>
      </c>
      <c r="BX38" s="58">
        <f t="shared" si="16"/>
        <v>-1500.53125</v>
      </c>
      <c r="BY38" s="58">
        <f t="shared" si="16"/>
        <v>15896</v>
      </c>
      <c r="BZ38" s="58">
        <f t="shared" si="16"/>
        <v>0</v>
      </c>
      <c r="CA38" s="58">
        <f t="shared" si="16"/>
        <v>33792</v>
      </c>
      <c r="CB38" s="58">
        <f t="shared" si="16"/>
        <v>-17896</v>
      </c>
      <c r="CC38" s="58">
        <f t="shared" si="16"/>
        <v>5.6819999999930815E-3</v>
      </c>
      <c r="CD38" s="58">
        <f t="shared" si="16"/>
        <v>2.6718999999999937E-2</v>
      </c>
      <c r="CE38" s="58">
        <f t="shared" si="16"/>
        <v>-5.9879999999949973E-3</v>
      </c>
      <c r="CF38" s="58">
        <f t="shared" si="16"/>
        <v>-6.0899999999719512E-4</v>
      </c>
      <c r="CG38" s="58">
        <f t="shared" si="16"/>
        <v>2.3766000000001952E-2</v>
      </c>
      <c r="CJ38" t="s">
        <v>589</v>
      </c>
    </row>
    <row r="39" spans="1:88" ht="16" outlineLevel="1" thickBot="1" x14ac:dyDescent="0.25">
      <c r="A39" s="26"/>
      <c r="B39" s="26" t="s">
        <v>82</v>
      </c>
      <c r="C39" s="27" t="s">
        <v>237</v>
      </c>
      <c r="D39" s="26">
        <v>333190689</v>
      </c>
      <c r="E39" s="27">
        <v>11</v>
      </c>
      <c r="F39" s="27">
        <v>32</v>
      </c>
      <c r="G39" s="27">
        <v>30</v>
      </c>
      <c r="I39" s="28">
        <f t="shared" si="0"/>
        <v>28.611975000000001</v>
      </c>
      <c r="J39" s="29">
        <f t="shared" si="1"/>
        <v>9.1597517600499334E-2</v>
      </c>
      <c r="K39" s="29">
        <f t="shared" si="2"/>
        <v>3.8382417102898095E-2</v>
      </c>
      <c r="L39" s="29">
        <f t="shared" si="3"/>
        <v>3.036807550165365E-2</v>
      </c>
      <c r="M39" s="29">
        <f t="shared" si="4"/>
        <v>5.3214716333204619E-2</v>
      </c>
      <c r="N39" s="26">
        <f t="shared" si="5"/>
        <v>12788664</v>
      </c>
      <c r="O39" s="29">
        <v>16</v>
      </c>
      <c r="P39" s="30">
        <v>82067544</v>
      </c>
      <c r="Q39" s="30">
        <v>2564610.75</v>
      </c>
      <c r="R39" s="30">
        <v>19264.46875</v>
      </c>
      <c r="S39" s="31">
        <v>30519440</v>
      </c>
      <c r="T39" s="31">
        <v>10118360</v>
      </c>
      <c r="U39" s="31">
        <v>2670304</v>
      </c>
      <c r="V39" s="31">
        <v>17730648</v>
      </c>
      <c r="W39" s="32">
        <v>78.311515999999997</v>
      </c>
      <c r="X39" s="32">
        <v>81.848194000000007</v>
      </c>
      <c r="Y39" s="32">
        <v>40.159621999999999</v>
      </c>
      <c r="Z39" s="32">
        <v>45.117593999999997</v>
      </c>
      <c r="AA39" s="32">
        <v>48.624606</v>
      </c>
      <c r="AB39" s="33">
        <v>4043.95</v>
      </c>
      <c r="AC39" s="33">
        <v>30936.799999999999</v>
      </c>
      <c r="AD39" s="33">
        <v>257.12400000000002</v>
      </c>
      <c r="AE39" s="33">
        <v>125.366</v>
      </c>
      <c r="AG39" s="28">
        <f t="shared" si="6"/>
        <v>28.637564999999999</v>
      </c>
      <c r="AH39" s="29">
        <f t="shared" si="7"/>
        <v>9.1679440658079134E-2</v>
      </c>
      <c r="AI39" s="29">
        <f t="shared" si="8"/>
        <v>3.8483860513881286E-2</v>
      </c>
      <c r="AJ39" s="29">
        <f t="shared" si="9"/>
        <v>3.036807550165365E-2</v>
      </c>
      <c r="AK39" s="29">
        <f t="shared" si="10"/>
        <v>5.3195195979801227E-2</v>
      </c>
      <c r="AL39" s="26">
        <f t="shared" si="11"/>
        <v>12822464</v>
      </c>
      <c r="AM39" s="29">
        <v>16</v>
      </c>
      <c r="AN39" s="30">
        <v>82048465</v>
      </c>
      <c r="AO39" s="30">
        <v>2564014.53125</v>
      </c>
      <c r="AP39" s="30">
        <v>19010.625</v>
      </c>
      <c r="AQ39" s="31">
        <v>30546736</v>
      </c>
      <c r="AR39" s="31">
        <v>10118360</v>
      </c>
      <c r="AS39" s="31">
        <v>2704104</v>
      </c>
      <c r="AT39" s="31">
        <v>17724144</v>
      </c>
      <c r="AU39" s="32">
        <v>78.309246999999999</v>
      </c>
      <c r="AV39" s="32">
        <v>81.850244000000004</v>
      </c>
      <c r="AW39" s="32">
        <v>40.158180999999999</v>
      </c>
      <c r="AX39" s="32">
        <v>45.113934</v>
      </c>
      <c r="AY39" s="32">
        <v>48.628428</v>
      </c>
      <c r="AZ39" s="33">
        <v>3407.27</v>
      </c>
      <c r="BA39" s="33">
        <v>23122</v>
      </c>
      <c r="BB39" s="33">
        <v>226.90899999999999</v>
      </c>
      <c r="BC39" s="33">
        <v>92.92</v>
      </c>
      <c r="BE39" s="34">
        <f t="shared" si="12"/>
        <v>1.0026429656764773</v>
      </c>
      <c r="BF39" s="35">
        <f t="shared" si="13"/>
        <v>-9.7255751856031511E-5</v>
      </c>
      <c r="BG39" s="35">
        <f t="shared" si="14"/>
        <v>7.3206070029807613E-4</v>
      </c>
      <c r="BH39" s="35"/>
      <c r="BJ39" s="34"/>
      <c r="BK39" s="34"/>
      <c r="BL39" s="34"/>
      <c r="BM39" s="34"/>
      <c r="BN39" s="34"/>
      <c r="BP39" s="34"/>
      <c r="BQ39" s="34"/>
      <c r="BR39" s="34"/>
      <c r="BS39" s="34"/>
      <c r="BT39" s="34"/>
      <c r="BV39" s="58">
        <f t="shared" si="16"/>
        <v>-19079</v>
      </c>
      <c r="BW39" s="58">
        <f t="shared" si="16"/>
        <v>-596.21875</v>
      </c>
      <c r="BX39" s="58">
        <f t="shared" si="16"/>
        <v>-253.84375</v>
      </c>
      <c r="BY39" s="58">
        <f t="shared" si="16"/>
        <v>27296</v>
      </c>
      <c r="BZ39" s="58">
        <f t="shared" si="16"/>
        <v>0</v>
      </c>
      <c r="CA39" s="58">
        <f t="shared" si="16"/>
        <v>33800</v>
      </c>
      <c r="CB39" s="58">
        <f t="shared" si="16"/>
        <v>-6504</v>
      </c>
      <c r="CC39" s="58">
        <f t="shared" si="16"/>
        <v>-2.2689999999983002E-3</v>
      </c>
      <c r="CD39" s="58">
        <f t="shared" si="16"/>
        <v>2.0499999999969987E-3</v>
      </c>
      <c r="CE39" s="58">
        <f t="shared" si="16"/>
        <v>-1.4409999999998035E-3</v>
      </c>
      <c r="CF39" s="58">
        <f t="shared" si="16"/>
        <v>-3.6599999999964439E-3</v>
      </c>
      <c r="CG39" s="58">
        <f t="shared" si="16"/>
        <v>3.821999999999548E-3</v>
      </c>
      <c r="CJ39" t="s">
        <v>589</v>
      </c>
    </row>
    <row r="40" spans="1:88" ht="16" x14ac:dyDescent="0.2">
      <c r="B40" s="46" t="s">
        <v>16</v>
      </c>
      <c r="J40" s="47">
        <f>AVERAGE(J5:J24)</f>
        <v>1.7595682520211983E-2</v>
      </c>
      <c r="K40" s="47">
        <f>AVERAGE(K5:K24)</f>
        <v>9.5036076704731846E-3</v>
      </c>
      <c r="L40" s="47">
        <f>AVERAGE(L5:L24)</f>
        <v>6.9392508414890929E-3</v>
      </c>
      <c r="M40" s="47">
        <f>AVERAGE(M5:M24)</f>
        <v>8.0915668819320323E-3</v>
      </c>
      <c r="AH40" s="47">
        <f>AVERAGE(AH5:AH24)</f>
        <v>1.7640325991680788E-2</v>
      </c>
      <c r="AI40" s="47">
        <f>AVERAGE(AI5:AI24)</f>
        <v>9.5902127222887348E-3</v>
      </c>
      <c r="AJ40" s="47">
        <f>AVERAGE(AJ5:AJ24)</f>
        <v>6.9392508414890929E-3</v>
      </c>
      <c r="AK40" s="47">
        <f>AVERAGE(AK5:AK24)</f>
        <v>8.0496053015852893E-3</v>
      </c>
      <c r="BE40" s="51">
        <f t="shared" si="12"/>
        <v>1.0091128605913124</v>
      </c>
      <c r="BH40" s="55">
        <f>AVERAGE(BH5:BH24)</f>
        <v>3.7785765016005446E-3</v>
      </c>
      <c r="BJ40" s="51">
        <f>AVERAGE(BJ5:BJ24)</f>
        <v>1.2205123054463196E-2</v>
      </c>
      <c r="BK40" s="51">
        <f>AVERAGE(BK5:BK24)</f>
        <v>1.3345618570422546E-3</v>
      </c>
      <c r="BL40" s="51">
        <f>AVERAGE(BL5:BL24)</f>
        <v>-6.7909546266470833E-3</v>
      </c>
      <c r="BM40" s="51">
        <f>AVERAGE(BM5:BM24)</f>
        <v>-1.8078954357607924E-3</v>
      </c>
      <c r="BN40" s="51">
        <f>AVERAGE(BN5:BN24)</f>
        <v>-2.328971666381574E-4</v>
      </c>
      <c r="BP40" s="51">
        <f>AVERAGE(BP5:BP24)</f>
        <v>5.9510000917560868E-3</v>
      </c>
      <c r="BQ40" s="51">
        <f>AVERAGE(BQ5:BQ24)</f>
        <v>-1.0521221926995505E-2</v>
      </c>
      <c r="BR40" s="51">
        <f>AVERAGE(BR5:BR24)</f>
        <v>4.7435291602819785E-3</v>
      </c>
      <c r="BS40" s="51">
        <f>AVERAGE(BS5:BS24)</f>
        <v>7.5944593338552746E-3</v>
      </c>
      <c r="BT40" s="51">
        <f>AVERAGE(BT5:BT24)</f>
        <v>8.3864028601592644E-3</v>
      </c>
    </row>
    <row r="41" spans="1:88" ht="16" x14ac:dyDescent="0.2">
      <c r="B41" s="46" t="s">
        <v>17</v>
      </c>
      <c r="J41" s="47">
        <f>AVERAGE(J25:J29)</f>
        <v>3.8119581829382146E-2</v>
      </c>
      <c r="K41" s="47">
        <f>AVERAGE(K25:K29)</f>
        <v>1.135837930363191E-2</v>
      </c>
      <c r="L41" s="47">
        <f>AVERAGE(L25:L29)</f>
        <v>8.7672756735900897E-3</v>
      </c>
      <c r="M41" s="47">
        <f>AVERAGE(M25:M29)</f>
        <v>2.6760691128344116E-2</v>
      </c>
      <c r="AH41" s="47">
        <f>AVERAGE(AH25:AH29)</f>
        <v>3.8168861361929117E-2</v>
      </c>
      <c r="AI41" s="47">
        <f>AVERAGE(AI25:AI29)</f>
        <v>1.1451996991289248E-2</v>
      </c>
      <c r="AJ41" s="47">
        <f>AVERAGE(AJ25:AJ29)</f>
        <v>8.7672756735900897E-3</v>
      </c>
      <c r="AK41" s="47">
        <f>AVERAGE(AK25:AK29)</f>
        <v>2.6716352973233753E-2</v>
      </c>
      <c r="BE41" s="51">
        <f t="shared" si="12"/>
        <v>1.0082421695168609</v>
      </c>
      <c r="BH41" s="55">
        <f>AVERAGE(BH25:BH29)</f>
        <v>3.0359218701162538E-3</v>
      </c>
      <c r="BJ41" s="51">
        <f>AVERAGE(BJ25:BJ29)</f>
        <v>1.1827740283347321E-2</v>
      </c>
      <c r="BK41" s="51">
        <f>AVERAGE(BK25:BK29)</f>
        <v>1.4886232160742363E-3</v>
      </c>
      <c r="BL41" s="51">
        <f>AVERAGE(BL25:BL29)</f>
        <v>-1.5568583311587059E-3</v>
      </c>
      <c r="BM41" s="51">
        <f>AVERAGE(BM25:BM29)</f>
        <v>-4.0091012943819226E-3</v>
      </c>
      <c r="BN41" s="51">
        <f>AVERAGE(BN25:BN29)</f>
        <v>-2.9437836145564944E-3</v>
      </c>
      <c r="BP41" s="51">
        <f>AVERAGE(BP25:BP29)</f>
        <v>5.1547876673323501E-3</v>
      </c>
      <c r="BQ41" s="51">
        <f>AVERAGE(BQ25:BQ29)</f>
        <v>-1.3083244267994676E-2</v>
      </c>
      <c r="BR41" s="51">
        <f>AVERAGE(BR25:BR29)</f>
        <v>3.5280091675771175E-3</v>
      </c>
      <c r="BS41" s="51">
        <f>AVERAGE(BS25:BS29)</f>
        <v>1.4265667450423791E-3</v>
      </c>
      <c r="BT41" s="51">
        <f>AVERAGE(BT25:BT29)</f>
        <v>2.7701189785513947E-3</v>
      </c>
    </row>
    <row r="42" spans="1:88" ht="16" x14ac:dyDescent="0.2">
      <c r="B42" s="46" t="s">
        <v>18</v>
      </c>
      <c r="J42" s="47">
        <f>AVERAGE(J30:J39)</f>
        <v>3.4941725932794265E-2</v>
      </c>
      <c r="K42" s="47">
        <f>AVERAGE(K30:K39)</f>
        <v>1.8517733443772399E-2</v>
      </c>
      <c r="L42" s="47">
        <f>AVERAGE(L30:L39)</f>
        <v>1.4301451090252094E-2</v>
      </c>
      <c r="M42" s="47">
        <f>AVERAGE(M30:M39)</f>
        <v>1.6423629932242643E-2</v>
      </c>
      <c r="AH42" s="47">
        <f>AVERAGE(AH30:AH39)</f>
        <v>3.5004206835955919E-2</v>
      </c>
      <c r="AI42" s="47">
        <f>AVERAGE(AI30:AI39)</f>
        <v>1.8609642588467902E-2</v>
      </c>
      <c r="AJ42" s="47">
        <f>AVERAGE(AJ30:AJ39)</f>
        <v>1.4301451090252094E-2</v>
      </c>
      <c r="AK42" s="47">
        <f>AVERAGE(AK30:AK39)</f>
        <v>1.63942016907088E-2</v>
      </c>
      <c r="BE42" s="51">
        <f t="shared" si="12"/>
        <v>1.0049633042280568</v>
      </c>
      <c r="BH42" s="55">
        <f>AVERAGE(BH30:BH39)</f>
        <v>1.8787789981052905E-3</v>
      </c>
      <c r="BJ42" s="51">
        <f>AVERAGE(BJ30:BJ39)</f>
        <v>6.1331802466713103E-3</v>
      </c>
      <c r="BK42" s="51">
        <f>AVERAGE(BK30:BK39)</f>
        <v>2.1132941717848519E-3</v>
      </c>
      <c r="BL42" s="51">
        <f>AVERAGE(BL30:BL39)</f>
        <v>-2.3143415965602432E-3</v>
      </c>
      <c r="BM42" s="51">
        <f>AVERAGE(BM30:BM39)</f>
        <v>1.6828589147476314E-2</v>
      </c>
      <c r="BN42" s="51">
        <f>AVERAGE(BN30:BN39)</f>
        <v>-1.0405427726449645E-2</v>
      </c>
      <c r="BP42" s="51">
        <f>AVERAGE(BP30:BP39)</f>
        <v>2.5392905680878819E-3</v>
      </c>
      <c r="BQ42" s="51">
        <f>AVERAGE(BQ30:BQ39)</f>
        <v>-3.1708745718330711E-3</v>
      </c>
      <c r="BR42" s="51">
        <f>AVERAGE(BR30:BR39)</f>
        <v>3.6612128771478236E-3</v>
      </c>
      <c r="BS42" s="51">
        <f>AVERAGE(BS30:BS39)</f>
        <v>1.448739205630234E-2</v>
      </c>
      <c r="BT42" s="51">
        <f>AVERAGE(BT30:BT39)</f>
        <v>-1.8581202366196869E-3</v>
      </c>
    </row>
    <row r="43" spans="1:88" ht="16" x14ac:dyDescent="0.2">
      <c r="B43" s="46" t="s">
        <v>19</v>
      </c>
      <c r="J43" s="47">
        <f>AVERAGE(J5:J39)</f>
        <v>2.5483680539402653E-2</v>
      </c>
      <c r="K43" s="47">
        <f>AVERAGE(K5:K39)</f>
        <v>1.2344039553295636E-2</v>
      </c>
      <c r="L43" s="47">
        <f>AVERAGE(L5:L39)</f>
        <v>9.303883031435806E-3</v>
      </c>
      <c r="M43" s="47">
        <f>AVERAGE(M5:M39)</f>
        <v>1.3139174074365361E-2</v>
      </c>
      <c r="AH43" s="47">
        <f>AVERAGE(AH5:AH39)</f>
        <v>2.5534082714366305E-2</v>
      </c>
      <c r="AI43" s="47">
        <f>AVERAGE(AI5:AI39)</f>
        <v>1.2433161865340001E-2</v>
      </c>
      <c r="AJ43" s="47">
        <f>AVERAGE(AJ5:AJ39)</f>
        <v>9.303883031435806E-3</v>
      </c>
      <c r="AK43" s="47">
        <f>AVERAGE(AK5:AK39)</f>
        <v>1.3100453937284644E-2</v>
      </c>
      <c r="BE43" s="51">
        <f t="shared" si="12"/>
        <v>1.0072198660462466</v>
      </c>
      <c r="BH43" s="55">
        <f>AVERAGE(BH5:BH39)</f>
        <v>3.1296836961041447E-3</v>
      </c>
      <c r="BJ43" s="51">
        <f>AVERAGE(BJ5:BJ39)</f>
        <v>1.0416370427791819E-2</v>
      </c>
      <c r="BK43" s="51">
        <f>AVERAGE(BK5:BK39)</f>
        <v>1.5790655696875655E-3</v>
      </c>
      <c r="BL43" s="51">
        <f>AVERAGE(BL5:BL39)</f>
        <v>-4.7641942901239321E-3</v>
      </c>
      <c r="BM43" s="51">
        <f>AVERAGE(BM5:BM39)</f>
        <v>3.2023564653610764E-3</v>
      </c>
      <c r="BN43" s="51">
        <f>AVERAGE(BN5:BN39)</f>
        <v>-3.5266039620012019E-3</v>
      </c>
      <c r="BP43" s="51">
        <f>AVERAGE(BP5:BP39)</f>
        <v>4.8624813100760656E-3</v>
      </c>
      <c r="BQ43" s="51">
        <f>AVERAGE(BQ5:BQ39)</f>
        <v>-8.7871258742346914E-3</v>
      </c>
      <c r="BR43" s="51">
        <f>AVERAGE(BR5:BR39)</f>
        <v>4.2606502232858112E-3</v>
      </c>
      <c r="BS43" s="51">
        <f>AVERAGE(BS5:BS39)</f>
        <v>8.6827411704383083E-3</v>
      </c>
      <c r="BT43" s="51">
        <f>AVERAGE(BT5:BT39)</f>
        <v>4.6570699922784398E-3</v>
      </c>
    </row>
    <row r="44" spans="1:88" ht="16" hidden="1" outlineLevel="2" x14ac:dyDescent="0.2">
      <c r="A44" s="46" t="s">
        <v>245</v>
      </c>
      <c r="B44" s="46" t="s">
        <v>246</v>
      </c>
      <c r="AB44" s="48">
        <f>SUM(AB5:AB24,AB25:AB29,AB30:AB39)</f>
        <v>138394.07999999999</v>
      </c>
      <c r="AC44" s="48">
        <f>SUM(AC5:AC24,AC25:AC29,AC30:AC39)</f>
        <v>317682.13999999996</v>
      </c>
      <c r="AD44" s="48">
        <f>SUM(AD5:AD24,AD25:AD29,AD30:AD39)</f>
        <v>4278.0250000000005</v>
      </c>
      <c r="AE44" s="48">
        <f>SUM(AE5:AE24,AE25:AE29,AE30:AE39)</f>
        <v>1350.4559999999999</v>
      </c>
      <c r="AZ44" s="48">
        <f>SUM(AZ5:AZ24,AZ25:AZ29,AZ30:AZ39)</f>
        <v>126656.37</v>
      </c>
      <c r="BA44" s="48">
        <f>SUM(BA5:BA24,BA25:BA29,BA30:BA39)</f>
        <v>304521.31</v>
      </c>
      <c r="BB44" s="48">
        <f>SUM(BB5:BB24,BB25:BB29,BB30:BB39)</f>
        <v>4173.1660000000011</v>
      </c>
      <c r="BC44" s="48">
        <f>SUM(BC5:BC24,BC25:BC29,BC30:BC39)</f>
        <v>1296.6199999999999</v>
      </c>
    </row>
    <row r="45" spans="1:88" ht="16" hidden="1" outlineLevel="2" x14ac:dyDescent="0.2">
      <c r="B45" s="46" t="s">
        <v>247</v>
      </c>
      <c r="AZ45" s="55">
        <f>AZ44/AB44</f>
        <v>0.91518632877938133</v>
      </c>
      <c r="BA45" s="55">
        <f>BA44/AC44</f>
        <v>0.95857233270967024</v>
      </c>
      <c r="BB45" s="55">
        <f>BB44/AD44</f>
        <v>0.97548892304275936</v>
      </c>
      <c r="BC45" s="55">
        <f>BC44/AE44</f>
        <v>0.96013494701049129</v>
      </c>
    </row>
    <row r="46" spans="1:88" ht="16" hidden="1" outlineLevel="2" x14ac:dyDescent="0.2">
      <c r="B46" s="46" t="s">
        <v>248</v>
      </c>
      <c r="AB46" s="48">
        <f>GEOMEAN(AB5:AB24,AB25:AB29,AB30:AB39)</f>
        <v>3742.8946763645708</v>
      </c>
      <c r="AC46" s="48">
        <f>GEOMEAN(AC5:AC24,AC25:AC29,AC30:AC39)</f>
        <v>6530.940236218783</v>
      </c>
      <c r="AD46" s="48">
        <f>GEOMEAN(AD5:AD24,AD25:AD29,AD30:AD39)</f>
        <v>103.09716581660491</v>
      </c>
      <c r="AE46" s="48">
        <f>GEOMEAN(AE5:AE24,AE25:AE29,AE30:AE39)</f>
        <v>28.598448131808787</v>
      </c>
      <c r="AZ46" s="48">
        <f>GEOMEAN(AZ5:AZ24,AZ25:AZ29,AZ30:AZ39)</f>
        <v>3420.8194056613056</v>
      </c>
      <c r="BA46" s="48">
        <f>GEOMEAN(BA5:BA24,BA25:BA29,BA30:BA39)</f>
        <v>6075.0166604232236</v>
      </c>
      <c r="BB46" s="48">
        <f>GEOMEAN(BB5:BB24,BB25:BB29,BB30:BB39)</f>
        <v>98.614196952800498</v>
      </c>
      <c r="BC46" s="48">
        <f>GEOMEAN(BC5:BC24,BC25:BC29,BC30:BC39)</f>
        <v>26.57593454532973</v>
      </c>
    </row>
    <row r="47" spans="1:88" ht="16" outlineLevel="2" collapsed="1" x14ac:dyDescent="0.2">
      <c r="B47" s="46" t="s">
        <v>249</v>
      </c>
      <c r="AZ47" s="55">
        <f>AZ46/AB46</f>
        <v>0.91395021806595611</v>
      </c>
      <c r="BA47" s="55">
        <f>BA46/AC46</f>
        <v>0.93019020856030288</v>
      </c>
      <c r="BB47" s="55">
        <f>BB46/AD46</f>
        <v>0.95651705041262747</v>
      </c>
      <c r="BC47" s="55">
        <f>BC46/AE46</f>
        <v>0.92927890432524884</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X49" sqref="X49"/>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2019-12-08T01:03:43Z</dcterms:modified>
</cp:coreProperties>
</file>