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\\rennsrdnas04\sgework01\PCC\ricardj\r50rc30_v04\FALL_gitclones_mpeg+tm2_r5.0rc3.0+mpeg125-integration+r5.0rc3.0-DM\MacroXlsm\"/>
    </mc:Choice>
  </mc:AlternateContent>
  <xr:revisionPtr revIDLastSave="0" documentId="14_{32D76C89-5CC5-4B00-B1D2-466A8E6F27AE}" xr6:coauthVersionLast="40" xr6:coauthVersionMax="40" xr10:uidLastSave="{00000000-0000-0000-0000-000000000000}"/>
  <bookViews>
    <workbookView xWindow="0" yWindow="0" windowWidth="28800" windowHeight="13872" firstSheet="2" activeTab="4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  <sheet name="Results" sheetId="8" r:id="rId8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5" i="5" l="1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I29" i="7" s="1"/>
  <c r="AK29" i="7"/>
  <c r="AJ29" i="7"/>
  <c r="AH29" i="7"/>
  <c r="AG29" i="7"/>
  <c r="O29" i="7"/>
  <c r="N29" i="7"/>
  <c r="M29" i="7"/>
  <c r="L29" i="7"/>
  <c r="J29" i="7"/>
  <c r="I29" i="7"/>
  <c r="BE28" i="7"/>
  <c r="AM28" i="7"/>
  <c r="AL28" i="7"/>
  <c r="AI28" i="7" s="1"/>
  <c r="AK28" i="7"/>
  <c r="AJ28" i="7"/>
  <c r="AH28" i="7"/>
  <c r="AG28" i="7"/>
  <c r="O28" i="7"/>
  <c r="N28" i="7"/>
  <c r="M28" i="7"/>
  <c r="L28" i="7"/>
  <c r="J28" i="7"/>
  <c r="I28" i="7"/>
  <c r="BE27" i="7"/>
  <c r="AM27" i="7"/>
  <c r="AL27" i="7"/>
  <c r="AK27" i="7"/>
  <c r="AJ27" i="7"/>
  <c r="AI27" i="7"/>
  <c r="AH27" i="7"/>
  <c r="AG27" i="7"/>
  <c r="O27" i="7"/>
  <c r="N27" i="7"/>
  <c r="M27" i="7"/>
  <c r="L27" i="7"/>
  <c r="J27" i="7"/>
  <c r="I27" i="7"/>
  <c r="BE26" i="7"/>
  <c r="AM26" i="7"/>
  <c r="AL26" i="7"/>
  <c r="AI26" i="7" s="1"/>
  <c r="AK26" i="7"/>
  <c r="AJ26" i="7"/>
  <c r="AH26" i="7"/>
  <c r="AG26" i="7"/>
  <c r="O26" i="7"/>
  <c r="N26" i="7"/>
  <c r="M26" i="7"/>
  <c r="L26" i="7"/>
  <c r="J26" i="7"/>
  <c r="I26" i="7"/>
  <c r="BE25" i="7"/>
  <c r="AM25" i="7"/>
  <c r="AL25" i="7"/>
  <c r="AI25" i="7" s="1"/>
  <c r="AK25" i="7"/>
  <c r="AJ25" i="7"/>
  <c r="AH25" i="7"/>
  <c r="AH31" i="7" s="1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M23" i="7"/>
  <c r="L23" i="7"/>
  <c r="J23" i="7"/>
  <c r="I23" i="7"/>
  <c r="BE22" i="7"/>
  <c r="AM22" i="7"/>
  <c r="AL22" i="7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BF19" i="7" s="1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I17" i="7" s="1"/>
  <c r="AK17" i="7"/>
  <c r="AJ17" i="7"/>
  <c r="AH17" i="7"/>
  <c r="AG17" i="7"/>
  <c r="O17" i="7"/>
  <c r="N17" i="7"/>
  <c r="M17" i="7"/>
  <c r="L17" i="7"/>
  <c r="K17" i="7"/>
  <c r="J17" i="7"/>
  <c r="I17" i="7"/>
  <c r="BE16" i="7"/>
  <c r="AM16" i="7"/>
  <c r="AL16" i="7"/>
  <c r="AK16" i="7"/>
  <c r="AJ16" i="7"/>
  <c r="AI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M14" i="7"/>
  <c r="L14" i="7"/>
  <c r="J14" i="7"/>
  <c r="I14" i="7"/>
  <c r="BE13" i="7"/>
  <c r="AM13" i="7"/>
  <c r="AL13" i="7"/>
  <c r="AI13" i="7" s="1"/>
  <c r="AK13" i="7"/>
  <c r="AJ13" i="7"/>
  <c r="AH13" i="7"/>
  <c r="AG13" i="7"/>
  <c r="O13" i="7"/>
  <c r="N13" i="7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M12" i="7"/>
  <c r="L12" i="7"/>
  <c r="J12" i="7"/>
  <c r="I12" i="7"/>
  <c r="BE11" i="7"/>
  <c r="AM11" i="7"/>
  <c r="AL11" i="7"/>
  <c r="AI11" i="7" s="1"/>
  <c r="AK11" i="7"/>
  <c r="AJ11" i="7"/>
  <c r="AH11" i="7"/>
  <c r="AG11" i="7"/>
  <c r="O11" i="7"/>
  <c r="N11" i="7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M9" i="7"/>
  <c r="L9" i="7"/>
  <c r="J9" i="7"/>
  <c r="I9" i="7"/>
  <c r="BE8" i="7"/>
  <c r="AM8" i="7"/>
  <c r="AL8" i="7"/>
  <c r="AK8" i="7"/>
  <c r="AJ8" i="7"/>
  <c r="AI8" i="7"/>
  <c r="AH8" i="7"/>
  <c r="AG8" i="7"/>
  <c r="O8" i="7"/>
  <c r="N8" i="7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H9" i="6" s="1"/>
  <c r="AH11" i="6" s="1"/>
  <c r="AJ9" i="6"/>
  <c r="AI9" i="6"/>
  <c r="AI11" i="6" s="1"/>
  <c r="AG9" i="6"/>
  <c r="AF9" i="6"/>
  <c r="AE9" i="6"/>
  <c r="O9" i="6"/>
  <c r="N9" i="6"/>
  <c r="K9" i="6" s="1"/>
  <c r="K11" i="6" s="1"/>
  <c r="M9" i="6"/>
  <c r="M11" i="6" s="1"/>
  <c r="L9" i="6"/>
  <c r="L11" i="6" s="1"/>
  <c r="J9" i="6"/>
  <c r="J11" i="6" s="1"/>
  <c r="I9" i="6"/>
  <c r="H9" i="6"/>
  <c r="AL8" i="6"/>
  <c r="AK8" i="6"/>
  <c r="AJ8" i="6"/>
  <c r="AI8" i="6"/>
  <c r="AG8" i="6"/>
  <c r="AF8" i="6"/>
  <c r="AE8" i="6"/>
  <c r="O8" i="6"/>
  <c r="N8" i="6"/>
  <c r="K8" i="6" s="1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J6" i="6"/>
  <c r="AI6" i="6"/>
  <c r="AG6" i="6"/>
  <c r="AF6" i="6"/>
  <c r="AE6" i="6"/>
  <c r="O6" i="6"/>
  <c r="N6" i="6"/>
  <c r="K6" i="6" s="1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AL9" i="5"/>
  <c r="AK9" i="5"/>
  <c r="BF9" i="5" s="1" a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AL6" i="5"/>
  <c r="AK6" i="5"/>
  <c r="BF6" i="5" s="1" a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K29" i="3"/>
  <c r="AJ29" i="3"/>
  <c r="AH29" i="3"/>
  <c r="AG29" i="3"/>
  <c r="O29" i="3"/>
  <c r="N29" i="3"/>
  <c r="K29" i="3" s="1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K28" i="3" s="1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BF27" i="3" s="1"/>
  <c r="M27" i="3"/>
  <c r="L27" i="3"/>
  <c r="J27" i="3"/>
  <c r="I27" i="3"/>
  <c r="BE26" i="3"/>
  <c r="AM26" i="3"/>
  <c r="AL26" i="3"/>
  <c r="AK26" i="3"/>
  <c r="AJ26" i="3"/>
  <c r="AH26" i="3"/>
  <c r="AG26" i="3"/>
  <c r="O26" i="3"/>
  <c r="N26" i="3"/>
  <c r="K26" i="3" s="1"/>
  <c r="M26" i="3"/>
  <c r="L26" i="3"/>
  <c r="J26" i="3"/>
  <c r="I26" i="3"/>
  <c r="BE25" i="3"/>
  <c r="AM25" i="3"/>
  <c r="AL25" i="3"/>
  <c r="AK25" i="3"/>
  <c r="AJ25" i="3"/>
  <c r="AH25" i="3"/>
  <c r="AG25" i="3"/>
  <c r="O25" i="3"/>
  <c r="N25" i="3"/>
  <c r="K25" i="3" s="1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K24" i="3" s="1"/>
  <c r="M24" i="3"/>
  <c r="L24" i="3"/>
  <c r="J24" i="3"/>
  <c r="I24" i="3"/>
  <c r="BE23" i="3"/>
  <c r="AM23" i="3"/>
  <c r="AL23" i="3"/>
  <c r="AK23" i="3"/>
  <c r="AJ23" i="3"/>
  <c r="AH23" i="3"/>
  <c r="AG23" i="3"/>
  <c r="O23" i="3"/>
  <c r="N23" i="3"/>
  <c r="M23" i="3"/>
  <c r="L23" i="3"/>
  <c r="K23" i="3"/>
  <c r="J23" i="3"/>
  <c r="I23" i="3"/>
  <c r="BE22" i="3"/>
  <c r="AM22" i="3"/>
  <c r="AL22" i="3"/>
  <c r="AK22" i="3"/>
  <c r="AJ22" i="3"/>
  <c r="AH22" i="3"/>
  <c r="AG22" i="3"/>
  <c r="O22" i="3"/>
  <c r="N22" i="3"/>
  <c r="K22" i="3" s="1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K17" i="3" s="1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K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BF14" i="3" s="1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K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BF12" i="3" s="1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K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K10" i="3" s="1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K6" i="3" s="1"/>
  <c r="M6" i="3"/>
  <c r="L6" i="3"/>
  <c r="J6" i="3"/>
  <c r="I6" i="3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P25" i="7"/>
  <c r="BK25" i="7"/>
  <c r="BQ20" i="7"/>
  <c r="BL20" i="7"/>
  <c r="BP15" i="7"/>
  <c r="BK15" i="7"/>
  <c r="BR10" i="7"/>
  <c r="BM10" i="7"/>
  <c r="BQ5" i="7"/>
  <c r="BL5" i="7"/>
  <c r="BM25" i="7"/>
  <c r="BO20" i="7"/>
  <c r="BM15" i="7"/>
  <c r="BP10" i="7"/>
  <c r="BO5" i="7"/>
  <c r="BJ5" i="7"/>
  <c r="BQ25" i="7"/>
  <c r="BM20" i="7"/>
  <c r="BQ15" i="7"/>
  <c r="BS10" i="7"/>
  <c r="BM5" i="7"/>
  <c r="BS25" i="7"/>
  <c r="BO25" i="7"/>
  <c r="BP20" i="7"/>
  <c r="BK20" i="7"/>
  <c r="BS15" i="7"/>
  <c r="BO15" i="7"/>
  <c r="BQ10" i="7"/>
  <c r="BL10" i="7"/>
  <c r="BP5" i="7"/>
  <c r="BK5" i="7"/>
  <c r="BR25" i="7"/>
  <c r="BS20" i="7"/>
  <c r="BR15" i="7"/>
  <c r="BK10" i="7"/>
  <c r="BS5" i="7"/>
  <c r="BL25" i="7"/>
  <c r="BR20" i="7"/>
  <c r="BL15" i="7"/>
  <c r="BO10" i="7"/>
  <c r="BI10" i="7"/>
  <c r="BR5" i="7"/>
  <c r="BP25" i="3"/>
  <c r="BK25" i="3"/>
  <c r="BR20" i="3"/>
  <c r="BM20" i="3"/>
  <c r="BS15" i="3"/>
  <c r="BO15" i="3"/>
  <c r="BR10" i="3"/>
  <c r="BM10" i="3"/>
  <c r="BS5" i="3"/>
  <c r="BO5" i="3"/>
  <c r="BR25" i="3"/>
  <c r="BK20" i="3"/>
  <c r="BQ15" i="3"/>
  <c r="BP10" i="3"/>
  <c r="BL5" i="3"/>
  <c r="BL25" i="3"/>
  <c r="BS20" i="3"/>
  <c r="BP15" i="3"/>
  <c r="BS10" i="3"/>
  <c r="BP5" i="3"/>
  <c r="BS25" i="3"/>
  <c r="BO25" i="3"/>
  <c r="BQ20" i="3"/>
  <c r="BL20" i="3"/>
  <c r="BR15" i="3"/>
  <c r="BM15" i="3"/>
  <c r="BQ10" i="3"/>
  <c r="BL10" i="3"/>
  <c r="BR5" i="3"/>
  <c r="BM5" i="3"/>
  <c r="BM25" i="3"/>
  <c r="BP20" i="3"/>
  <c r="BL15" i="3"/>
  <c r="BK10" i="3"/>
  <c r="BQ5" i="3"/>
  <c r="BQ25" i="3"/>
  <c r="BO20" i="3"/>
  <c r="BK15" i="3"/>
  <c r="BO10" i="3"/>
  <c r="BK5" i="3"/>
  <c r="Q4" i="8" l="1"/>
  <c r="N5" i="8"/>
  <c r="Q7" i="8"/>
  <c r="BL31" i="7"/>
  <c r="F41" i="1" s="1"/>
  <c r="R4" i="8"/>
  <c r="Q6" i="8"/>
  <c r="R7" i="8"/>
  <c r="P5" i="8"/>
  <c r="N6" i="8"/>
  <c r="R6" i="8"/>
  <c r="O7" i="8"/>
  <c r="R5" i="8"/>
  <c r="P6" i="8"/>
  <c r="N4" i="8"/>
  <c r="O5" i="8"/>
  <c r="N7" i="8"/>
  <c r="BM31" i="7"/>
  <c r="G41" i="1" s="1"/>
  <c r="P4" i="8"/>
  <c r="Q5" i="8"/>
  <c r="O6" i="8"/>
  <c r="P7" i="8"/>
  <c r="BK31" i="7"/>
  <c r="E41" i="1" s="1"/>
  <c r="I5" i="8"/>
  <c r="I7" i="8"/>
  <c r="K4" i="8"/>
  <c r="J7" i="8"/>
  <c r="BM31" i="3"/>
  <c r="G10" i="1" s="1"/>
  <c r="L4" i="8"/>
  <c r="K5" i="8"/>
  <c r="L6" i="8"/>
  <c r="K7" i="8"/>
  <c r="J4" i="8"/>
  <c r="M5" i="8"/>
  <c r="J6" i="8"/>
  <c r="M7" i="8"/>
  <c r="BL31" i="3"/>
  <c r="F10" i="1" s="1"/>
  <c r="J5" i="8"/>
  <c r="K6" i="8"/>
  <c r="I4" i="8"/>
  <c r="M4" i="8"/>
  <c r="L5" i="8"/>
  <c r="I6" i="8"/>
  <c r="M6" i="8"/>
  <c r="L7" i="8"/>
  <c r="BK31" i="3"/>
  <c r="E10" i="1" s="1"/>
  <c r="BF11" i="3"/>
  <c r="BF13" i="3"/>
  <c r="BF15" i="3"/>
  <c r="BC11" i="6"/>
  <c r="BC8" i="5"/>
  <c r="D7" i="8" s="1"/>
  <c r="BF21" i="7"/>
  <c r="BQ31" i="7"/>
  <c r="P8" i="8"/>
  <c r="BP31" i="7"/>
  <c r="O8" i="8"/>
  <c r="BF18" i="7"/>
  <c r="BF22" i="7"/>
  <c r="BR31" i="7"/>
  <c r="Q8" i="8"/>
  <c r="BK30" i="7"/>
  <c r="E40" i="1" s="1"/>
  <c r="BP30" i="7"/>
  <c r="O4" i="8"/>
  <c r="BO31" i="7"/>
  <c r="N8" i="8"/>
  <c r="BS31" i="7"/>
  <c r="R8" i="8"/>
  <c r="K12" i="3"/>
  <c r="BO31" i="3"/>
  <c r="I8" i="8"/>
  <c r="BS31" i="3"/>
  <c r="M8" i="8"/>
  <c r="BC34" i="3"/>
  <c r="BR31" i="3"/>
  <c r="L8" i="8"/>
  <c r="BP31" i="3"/>
  <c r="J8" i="8"/>
  <c r="AZ36" i="3"/>
  <c r="BB34" i="3"/>
  <c r="K14" i="3"/>
  <c r="BQ31" i="3"/>
  <c r="K8" i="8"/>
  <c r="BS30" i="7"/>
  <c r="BQ30" i="3"/>
  <c r="BK30" i="3"/>
  <c r="E9" i="1" s="1"/>
  <c r="BO30" i="7"/>
  <c r="BA34" i="3"/>
  <c r="BA34" i="7"/>
  <c r="BG15" i="3" a="1"/>
  <c r="BG15" i="3" s="1"/>
  <c r="BF18" i="3"/>
  <c r="BF21" i="3"/>
  <c r="BF16" i="7"/>
  <c r="AI22" i="7"/>
  <c r="BF24" i="7"/>
  <c r="AZ34" i="7"/>
  <c r="AZ36" i="7"/>
  <c r="AX16" i="6"/>
  <c r="BF5" i="7"/>
  <c r="BM30" i="7"/>
  <c r="G40" i="1" s="1"/>
  <c r="BK32" i="7"/>
  <c r="E42" i="1" s="1"/>
  <c r="AI21" i="7"/>
  <c r="BF25" i="7"/>
  <c r="BO32" i="3"/>
  <c r="K27" i="3"/>
  <c r="BG25" i="7" a="1"/>
  <c r="BG25" i="7" s="1"/>
  <c r="BG31" i="7" s="1"/>
  <c r="AX14" i="5"/>
  <c r="K31" i="3"/>
  <c r="AK31" i="3"/>
  <c r="J31" i="3"/>
  <c r="AH30" i="3"/>
  <c r="BF7" i="6"/>
  <c r="AZ16" i="5"/>
  <c r="BE6" i="5"/>
  <c r="BC7" i="5"/>
  <c r="D6" i="8" s="1"/>
  <c r="BB8" i="5"/>
  <c r="C7" i="8" s="1"/>
  <c r="BB5" i="6"/>
  <c r="F4" i="8" s="1"/>
  <c r="BB6" i="5"/>
  <c r="C5" i="8" s="1"/>
  <c r="BC5" i="5"/>
  <c r="D4" i="8" s="1"/>
  <c r="BC11" i="5"/>
  <c r="BB7" i="6"/>
  <c r="F6" i="8" s="1"/>
  <c r="AZ14" i="6"/>
  <c r="AI10" i="6"/>
  <c r="AJ10" i="6"/>
  <c r="BC9" i="6"/>
  <c r="G8" i="8" s="1"/>
  <c r="AY14" i="5"/>
  <c r="AX16" i="5"/>
  <c r="AZ14" i="5"/>
  <c r="AY16" i="5"/>
  <c r="BC6" i="6"/>
  <c r="G5" i="8" s="1"/>
  <c r="AY14" i="6"/>
  <c r="BB8" i="6"/>
  <c r="F7" i="8" s="1"/>
  <c r="BE7" i="6"/>
  <c r="AZ16" i="6"/>
  <c r="BF9" i="5"/>
  <c r="BF11" i="5" s="1"/>
  <c r="AW16" i="5"/>
  <c r="AH6" i="5"/>
  <c r="BF6" i="5"/>
  <c r="BG20" i="7" a="1"/>
  <c r="BG20" i="7" s="1"/>
  <c r="BF20" i="7"/>
  <c r="BF25" i="3"/>
  <c r="AI29" i="3"/>
  <c r="BF29" i="3"/>
  <c r="BC6" i="5"/>
  <c r="D5" i="8" s="1"/>
  <c r="BE5" i="6"/>
  <c r="BF6" i="6" a="1"/>
  <c r="BF6" i="6" s="1"/>
  <c r="M12" i="6"/>
  <c r="M30" i="7"/>
  <c r="BF8" i="3"/>
  <c r="AH31" i="3"/>
  <c r="L12" i="5"/>
  <c r="BL30" i="7"/>
  <c r="F40" i="1" s="1"/>
  <c r="K18" i="3"/>
  <c r="BF24" i="3"/>
  <c r="AH32" i="3"/>
  <c r="AH5" i="5"/>
  <c r="BE5" i="5"/>
  <c r="BF8" i="5" a="1"/>
  <c r="BF8" i="5" s="1"/>
  <c r="AH8" i="5"/>
  <c r="BF9" i="6" a="1"/>
  <c r="BF9" i="6" s="1"/>
  <c r="BF11" i="6" s="1"/>
  <c r="BF17" i="7"/>
  <c r="BE6" i="6"/>
  <c r="AG11" i="6"/>
  <c r="BB11" i="6" s="1"/>
  <c r="BB9" i="6"/>
  <c r="F8" i="8" s="1"/>
  <c r="AK30" i="7"/>
  <c r="K23" i="7"/>
  <c r="BF23" i="7"/>
  <c r="BF7" i="3"/>
  <c r="BF28" i="3"/>
  <c r="BB36" i="3"/>
  <c r="AW14" i="5"/>
  <c r="BP32" i="7"/>
  <c r="AH32" i="7"/>
  <c r="AI20" i="7"/>
  <c r="M32" i="7"/>
  <c r="BA36" i="7"/>
  <c r="M31" i="3"/>
  <c r="BC36" i="3"/>
  <c r="AH6" i="6"/>
  <c r="AW16" i="6"/>
  <c r="BQ30" i="7"/>
  <c r="AI19" i="7"/>
  <c r="K20" i="7"/>
  <c r="M31" i="7"/>
  <c r="BB34" i="7"/>
  <c r="BF5" i="6" a="1"/>
  <c r="BF5" i="6" s="1"/>
  <c r="BE9" i="6"/>
  <c r="AJ30" i="3"/>
  <c r="BF19" i="3"/>
  <c r="AI22" i="3"/>
  <c r="BF22" i="3"/>
  <c r="K10" i="5"/>
  <c r="BP30" i="3"/>
  <c r="BG5" i="3" a="1"/>
  <c r="BG5" i="3" s="1"/>
  <c r="BQ32" i="3"/>
  <c r="BF6" i="3"/>
  <c r="BE8" i="5"/>
  <c r="BC7" i="6"/>
  <c r="G6" i="8" s="1"/>
  <c r="BC8" i="6"/>
  <c r="G7" i="8" s="1"/>
  <c r="AI18" i="7"/>
  <c r="AI30" i="7" s="1"/>
  <c r="BL32" i="7"/>
  <c r="F42" i="1" s="1"/>
  <c r="J32" i="7"/>
  <c r="BF14" i="7"/>
  <c r="BR30" i="7"/>
  <c r="BC34" i="7"/>
  <c r="BB36" i="7"/>
  <c r="BF17" i="3"/>
  <c r="AJ31" i="3"/>
  <c r="BC9" i="5"/>
  <c r="D8" i="8" s="1"/>
  <c r="AH30" i="7"/>
  <c r="BG5" i="7" a="1"/>
  <c r="BG5" i="7" s="1"/>
  <c r="BF13" i="7"/>
  <c r="J31" i="7"/>
  <c r="AJ31" i="7"/>
  <c r="BC36" i="7"/>
  <c r="BF9" i="3"/>
  <c r="AZ34" i="3"/>
  <c r="BD6" i="6"/>
  <c r="H5" i="8" s="1"/>
  <c r="AH7" i="6"/>
  <c r="AW14" i="6"/>
  <c r="L31" i="7"/>
  <c r="AK31" i="7"/>
  <c r="J12" i="5"/>
  <c r="AI12" i="5"/>
  <c r="BF11" i="7"/>
  <c r="K14" i="7"/>
  <c r="L30" i="7"/>
  <c r="BM30" i="3"/>
  <c r="G9" i="1" s="1"/>
  <c r="BM32" i="3"/>
  <c r="G11" i="1" s="1"/>
  <c r="BR30" i="3"/>
  <c r="BR32" i="3"/>
  <c r="BF16" i="3"/>
  <c r="K16" i="3"/>
  <c r="BD8" i="5"/>
  <c r="E7" i="8" s="1"/>
  <c r="BF8" i="6" a="1"/>
  <c r="BF8" i="6" s="1"/>
  <c r="AH8" i="6"/>
  <c r="K9" i="3"/>
  <c r="AJ12" i="5"/>
  <c r="BF26" i="7"/>
  <c r="K26" i="7"/>
  <c r="BF28" i="7"/>
  <c r="K28" i="7"/>
  <c r="BF5" i="3"/>
  <c r="K5" i="3"/>
  <c r="K8" i="3"/>
  <c r="BF20" i="3"/>
  <c r="BG20" i="3" a="1"/>
  <c r="BG20" i="3" s="1"/>
  <c r="K20" i="3"/>
  <c r="BF5" i="5" a="1"/>
  <c r="BF5" i="5" s="1"/>
  <c r="AJ10" i="5"/>
  <c r="BD7" i="5"/>
  <c r="E6" i="8" s="1"/>
  <c r="K12" i="6"/>
  <c r="K10" i="6"/>
  <c r="AY16" i="6"/>
  <c r="BF6" i="7"/>
  <c r="K6" i="7"/>
  <c r="BF8" i="7"/>
  <c r="K8" i="7"/>
  <c r="BF10" i="7"/>
  <c r="K10" i="7"/>
  <c r="BG10" i="7" a="1"/>
  <c r="BG10" i="7" s="1"/>
  <c r="AJ30" i="7"/>
  <c r="AK32" i="7"/>
  <c r="J32" i="3"/>
  <c r="J30" i="3"/>
  <c r="BL32" i="3"/>
  <c r="F11" i="1" s="1"/>
  <c r="BL30" i="3"/>
  <c r="F9" i="1" s="1"/>
  <c r="K7" i="3"/>
  <c r="BG10" i="3" a="1"/>
  <c r="BG10" i="3" s="1"/>
  <c r="BF10" i="3"/>
  <c r="K12" i="5"/>
  <c r="BB5" i="5"/>
  <c r="C4" i="8" s="1"/>
  <c r="AG10" i="5"/>
  <c r="AG12" i="5"/>
  <c r="J10" i="5"/>
  <c r="L12" i="6"/>
  <c r="L10" i="6"/>
  <c r="BC10" i="6" s="1"/>
  <c r="AI12" i="6"/>
  <c r="BC5" i="6"/>
  <c r="G4" i="8" s="1"/>
  <c r="BD8" i="6"/>
  <c r="H7" i="8" s="1"/>
  <c r="BE8" i="6"/>
  <c r="BR32" i="7"/>
  <c r="BF12" i="7"/>
  <c r="K12" i="7"/>
  <c r="K13" i="7"/>
  <c r="AJ32" i="3"/>
  <c r="BO30" i="3"/>
  <c r="BS32" i="3"/>
  <c r="BS30" i="3"/>
  <c r="AI23" i="3"/>
  <c r="BF23" i="3"/>
  <c r="BA36" i="3"/>
  <c r="M10" i="5"/>
  <c r="BF7" i="5" a="1"/>
  <c r="BF7" i="5" s="1"/>
  <c r="AH7" i="5"/>
  <c r="BE7" i="5"/>
  <c r="BB11" i="5"/>
  <c r="M12" i="5"/>
  <c r="M10" i="6"/>
  <c r="BD9" i="6"/>
  <c r="H8" i="8" s="1"/>
  <c r="AJ11" i="6"/>
  <c r="BD11" i="6" s="1"/>
  <c r="AX14" i="6"/>
  <c r="BG15" i="7" a="1"/>
  <c r="BG15" i="7" s="1"/>
  <c r="BF15" i="7"/>
  <c r="BF27" i="7"/>
  <c r="K27" i="7"/>
  <c r="BF29" i="7"/>
  <c r="K29" i="7"/>
  <c r="BQ32" i="7"/>
  <c r="L32" i="3"/>
  <c r="L30" i="3"/>
  <c r="AK32" i="3"/>
  <c r="AK30" i="3"/>
  <c r="K19" i="3"/>
  <c r="K21" i="3"/>
  <c r="AI26" i="3"/>
  <c r="BF26" i="3"/>
  <c r="BB7" i="5"/>
  <c r="C6" i="8" s="1"/>
  <c r="BD11" i="5"/>
  <c r="BD9" i="5"/>
  <c r="E8" i="8" s="1"/>
  <c r="BB6" i="6"/>
  <c r="F5" i="8" s="1"/>
  <c r="L32" i="7"/>
  <c r="BM32" i="7"/>
  <c r="G42" i="1" s="1"/>
  <c r="BF7" i="7"/>
  <c r="K7" i="7"/>
  <c r="BF9" i="7"/>
  <c r="K9" i="7"/>
  <c r="K11" i="7"/>
  <c r="K15" i="7"/>
  <c r="L31" i="3"/>
  <c r="BG25" i="3" a="1"/>
  <c r="BG25" i="3" s="1"/>
  <c r="BG31" i="3" s="1"/>
  <c r="AI25" i="3"/>
  <c r="BB9" i="5"/>
  <c r="C8" i="8" s="1"/>
  <c r="BE9" i="5"/>
  <c r="BD5" i="6"/>
  <c r="H4" i="8" s="1"/>
  <c r="J30" i="7"/>
  <c r="AI31" i="7"/>
  <c r="M32" i="3"/>
  <c r="BK32" i="3"/>
  <c r="E11" i="1" s="1"/>
  <c r="BP32" i="3"/>
  <c r="M30" i="3"/>
  <c r="BD5" i="5"/>
  <c r="E4" i="8" s="1"/>
  <c r="BD6" i="5"/>
  <c r="E5" i="8" s="1"/>
  <c r="AH9" i="5"/>
  <c r="AH11" i="5" s="1"/>
  <c r="J12" i="6"/>
  <c r="AG12" i="6"/>
  <c r="BD7" i="6"/>
  <c r="H6" i="8" s="1"/>
  <c r="AJ12" i="6"/>
  <c r="K5" i="7"/>
  <c r="AJ32" i="7"/>
  <c r="BO32" i="7"/>
  <c r="BS32" i="7"/>
  <c r="K25" i="7"/>
  <c r="L10" i="5"/>
  <c r="AI10" i="5"/>
  <c r="J10" i="6"/>
  <c r="AG10" i="6"/>
  <c r="BI25" i="7"/>
  <c r="BJ20" i="7"/>
  <c r="BI15" i="7"/>
  <c r="BI20" i="7"/>
  <c r="BJ25" i="7"/>
  <c r="BJ10" i="7"/>
  <c r="BJ15" i="7"/>
  <c r="BI5" i="7"/>
  <c r="BI20" i="3"/>
  <c r="BI10" i="3"/>
  <c r="BJ20" i="3"/>
  <c r="BI25" i="3"/>
  <c r="BJ25" i="3"/>
  <c r="BJ15" i="3"/>
  <c r="BJ5" i="3"/>
  <c r="BI15" i="3"/>
  <c r="BI5" i="3"/>
  <c r="BJ10" i="3"/>
  <c r="BJ31" i="7" l="1"/>
  <c r="D41" i="1" s="1"/>
  <c r="BI31" i="7"/>
  <c r="C41" i="1" s="1"/>
  <c r="BG32" i="7"/>
  <c r="BJ31" i="3"/>
  <c r="D10" i="1" s="1"/>
  <c r="BI31" i="3"/>
  <c r="C10" i="1" s="1"/>
  <c r="BG30" i="3"/>
  <c r="C30" i="1"/>
  <c r="F10" i="8"/>
  <c r="X5" i="8"/>
  <c r="F53" i="1"/>
  <c r="C33" i="1"/>
  <c r="W5" i="8"/>
  <c r="E53" i="1"/>
  <c r="C32" i="1"/>
  <c r="U5" i="8"/>
  <c r="C53" i="1"/>
  <c r="V5" i="8"/>
  <c r="D53" i="1"/>
  <c r="E30" i="1"/>
  <c r="H10" i="8"/>
  <c r="D29" i="1"/>
  <c r="G9" i="8"/>
  <c r="D30" i="1"/>
  <c r="G10" i="8"/>
  <c r="C21" i="1"/>
  <c r="U4" i="8"/>
  <c r="U8" i="8" s="1"/>
  <c r="C52" i="1"/>
  <c r="D19" i="1"/>
  <c r="D10" i="8"/>
  <c r="C19" i="1"/>
  <c r="C10" i="8"/>
  <c r="V4" i="8"/>
  <c r="V8" i="8" s="1"/>
  <c r="D52" i="1"/>
  <c r="E19" i="1"/>
  <c r="E10" i="8"/>
  <c r="C22" i="1"/>
  <c r="W4" i="8"/>
  <c r="E52" i="1"/>
  <c r="X4" i="8"/>
  <c r="X8" i="8" s="1"/>
  <c r="F52" i="1"/>
  <c r="L40" i="1"/>
  <c r="R9" i="8"/>
  <c r="H42" i="1"/>
  <c r="N11" i="8"/>
  <c r="X7" i="8"/>
  <c r="F55" i="1"/>
  <c r="H40" i="1"/>
  <c r="N9" i="8"/>
  <c r="K41" i="1"/>
  <c r="Q10" i="8"/>
  <c r="I41" i="1"/>
  <c r="O10" i="8"/>
  <c r="L42" i="1"/>
  <c r="R11" i="8"/>
  <c r="K40" i="1"/>
  <c r="Q9" i="8"/>
  <c r="H41" i="1"/>
  <c r="N10" i="8"/>
  <c r="K42" i="1"/>
  <c r="Q11" i="8"/>
  <c r="C44" i="1"/>
  <c r="W7" i="8"/>
  <c r="E55" i="1"/>
  <c r="J40" i="1"/>
  <c r="P9" i="8"/>
  <c r="C43" i="1"/>
  <c r="U7" i="8"/>
  <c r="C55" i="1"/>
  <c r="L41" i="1"/>
  <c r="R10" i="8"/>
  <c r="I40" i="1"/>
  <c r="O9" i="8"/>
  <c r="J42" i="1"/>
  <c r="P11" i="8"/>
  <c r="V7" i="8"/>
  <c r="D55" i="1"/>
  <c r="I42" i="1"/>
  <c r="O11" i="8"/>
  <c r="J41" i="1"/>
  <c r="P10" i="8"/>
  <c r="I11" i="1"/>
  <c r="J11" i="8"/>
  <c r="K9" i="1"/>
  <c r="L9" i="8"/>
  <c r="X6" i="8"/>
  <c r="F54" i="1"/>
  <c r="I9" i="1"/>
  <c r="J9" i="8"/>
  <c r="J10" i="1"/>
  <c r="K10" i="8"/>
  <c r="C12" i="1"/>
  <c r="U6" i="8"/>
  <c r="C54" i="1"/>
  <c r="K10" i="1"/>
  <c r="L10" i="8"/>
  <c r="C13" i="1"/>
  <c r="W6" i="8"/>
  <c r="E54" i="1"/>
  <c r="L9" i="1"/>
  <c r="M9" i="8"/>
  <c r="H11" i="1"/>
  <c r="I11" i="8"/>
  <c r="J9" i="1"/>
  <c r="K9" i="8"/>
  <c r="H10" i="1"/>
  <c r="I10" i="8"/>
  <c r="H9" i="1"/>
  <c r="I9" i="8"/>
  <c r="M10" i="8"/>
  <c r="L10" i="1"/>
  <c r="V6" i="8"/>
  <c r="D54" i="1"/>
  <c r="L11" i="1"/>
  <c r="M11" i="8"/>
  <c r="K11" i="1"/>
  <c r="L11" i="8"/>
  <c r="J11" i="1"/>
  <c r="K11" i="8"/>
  <c r="I10" i="1"/>
  <c r="J10" i="8"/>
  <c r="BI32" i="3"/>
  <c r="C11" i="1" s="1"/>
  <c r="BI30" i="3"/>
  <c r="C9" i="1" s="1"/>
  <c r="BG30" i="7"/>
  <c r="K31" i="7"/>
  <c r="AI32" i="7"/>
  <c r="AI31" i="3"/>
  <c r="AH12" i="6"/>
  <c r="BD10" i="6"/>
  <c r="BB10" i="6"/>
  <c r="BF12" i="6"/>
  <c r="BD12" i="6"/>
  <c r="BC12" i="6"/>
  <c r="BC12" i="5"/>
  <c r="AI32" i="3"/>
  <c r="BG32" i="3"/>
  <c r="BF10" i="6"/>
  <c r="BJ32" i="7"/>
  <c r="D42" i="1" s="1"/>
  <c r="AH10" i="6"/>
  <c r="BB12" i="5"/>
  <c r="BB12" i="6"/>
  <c r="AH12" i="5"/>
  <c r="BI32" i="7"/>
  <c r="C42" i="1" s="1"/>
  <c r="BI30" i="7"/>
  <c r="C40" i="1" s="1"/>
  <c r="BF12" i="5"/>
  <c r="BF10" i="5"/>
  <c r="K32" i="7"/>
  <c r="K30" i="7"/>
  <c r="AH10" i="5"/>
  <c r="AI30" i="3"/>
  <c r="BB10" i="5"/>
  <c r="BJ30" i="7"/>
  <c r="D40" i="1" s="1"/>
  <c r="K30" i="3"/>
  <c r="K32" i="3"/>
  <c r="BD12" i="5"/>
  <c r="BC10" i="5"/>
  <c r="BD10" i="5"/>
  <c r="BJ32" i="3"/>
  <c r="D11" i="1" s="1"/>
  <c r="BJ30" i="3"/>
  <c r="D9" i="1" s="1"/>
  <c r="W8" i="8" l="1"/>
  <c r="C31" i="1"/>
  <c r="F11" i="8"/>
  <c r="D31" i="1"/>
  <c r="G11" i="8"/>
  <c r="E29" i="1"/>
  <c r="H9" i="8"/>
  <c r="C29" i="1"/>
  <c r="F9" i="8"/>
  <c r="E31" i="1"/>
  <c r="H11" i="8"/>
  <c r="E18" i="1"/>
  <c r="E9" i="8"/>
  <c r="C20" i="1"/>
  <c r="C11" i="8"/>
  <c r="C18" i="1"/>
  <c r="C9" i="8"/>
  <c r="D18" i="1"/>
  <c r="D9" i="8"/>
  <c r="E20" i="1"/>
  <c r="E11" i="8"/>
  <c r="D20" i="1"/>
  <c r="D11" i="8"/>
</calcChain>
</file>

<file path=xl/sharedStrings.xml><?xml version="1.0" encoding="utf-8"?>
<sst xmlns="http://schemas.openxmlformats.org/spreadsheetml/2006/main" count="1466" uniqueCount="572">
  <si>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</si>
  <si>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</si>
  <si>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</si>
  <si>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</si>
  <si>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</si>
  <si>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</si>
  <si>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</si>
  <si>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</si>
  <si>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</si>
  <si>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</si>
  <si>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</si>
  <si>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</si>
  <si>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</si>
  <si>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</si>
  <si>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</si>
  <si>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</si>
  <si>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</si>
  <si>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</si>
  <si>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</si>
  <si>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</si>
  <si>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</si>
  <si>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</si>
  <si>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</si>
  <si>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</si>
  <si>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</si>
  <si>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</si>
  <si>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</si>
  <si>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</si>
  <si>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</si>
  <si>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</si>
  <si>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</si>
  <si>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</si>
  <si>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</si>
  <si>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</si>
  <si>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</si>
  <si>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</si>
  <si>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</si>
  <si>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</si>
  <si>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</si>
  <si>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</si>
  <si>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</si>
  <si>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</si>
  <si>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</si>
  <si>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</si>
  <si>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</si>
  <si>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</si>
  <si>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</si>
  <si>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</si>
  <si>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</si>
  <si>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</si>
  <si>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</si>
  <si>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</si>
  <si>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</si>
  <si>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</si>
  <si>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</si>
  <si>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</si>
  <si>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</si>
  <si>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</si>
  <si>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</si>
  <si>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</si>
  <si>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</si>
  <si>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</si>
  <si>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</si>
  <si>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</si>
  <si>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</si>
  <si>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</si>
  <si>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</si>
  <si>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</si>
  <si>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</si>
  <si>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</si>
  <si>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</si>
  <si>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</si>
  <si>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</si>
  <si>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</si>
  <si>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</si>
  <si>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</si>
  <si>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</si>
  <si>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</si>
  <si>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</si>
  <si>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</si>
  <si>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</si>
  <si>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</si>
  <si>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</si>
  <si>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</si>
  <si>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</si>
  <si>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</si>
  <si>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</si>
  <si>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</si>
  <si>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</si>
  <si>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</si>
  <si>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</si>
  <si>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</si>
  <si>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</si>
  <si>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</si>
  <si>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</si>
  <si>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</si>
  <si>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</si>
  <si>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</si>
  <si>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</si>
  <si>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</si>
  <si>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</si>
  <si>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</si>
  <si>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</si>
  <si>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</si>
  <si>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</si>
  <si>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</si>
  <si>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</si>
  <si>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</si>
  <si>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</si>
  <si>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</si>
  <si>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</si>
  <si>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</si>
  <si>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</si>
  <si>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</si>
  <si>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</si>
  <si>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</si>
  <si>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</si>
  <si>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</si>
  <si>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</si>
  <si>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</si>
  <si>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</si>
  <si>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</si>
  <si>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</si>
  <si>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</si>
  <si>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</si>
  <si>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</si>
  <si>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</si>
  <si>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</si>
  <si>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</si>
  <si>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</si>
  <si>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</si>
  <si>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</si>
  <si>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</si>
  <si>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</si>
  <si>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</si>
  <si>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</si>
  <si>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</si>
  <si>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</si>
  <si>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</si>
  <si>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</si>
  <si>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</si>
  <si>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</si>
  <si>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</si>
  <si>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</si>
  <si>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</si>
  <si>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</si>
  <si>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</si>
  <si>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</si>
  <si>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</si>
  <si>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</si>
  <si>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</si>
  <si>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</si>
  <si>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</si>
  <si>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</si>
  <si>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</si>
  <si>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</si>
  <si>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</si>
  <si>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</si>
  <si>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</si>
  <si>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</si>
  <si>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</si>
  <si>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</si>
  <si>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</si>
  <si>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</si>
  <si>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</si>
  <si>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</si>
  <si>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</si>
  <si>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</si>
  <si>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</si>
  <si>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</si>
  <si>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</si>
  <si>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</si>
  <si>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</si>
  <si>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</si>
  <si>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</si>
  <si>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</si>
  <si>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</si>
  <si>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</si>
  <si>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</si>
  <si>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</si>
  <si>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</si>
  <si>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</si>
  <si>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</si>
  <si>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</si>
  <si>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</si>
  <si>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</si>
  <si>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</si>
  <si>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</si>
  <si>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</si>
  <si>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</si>
  <si>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</si>
  <si>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</si>
  <si>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</si>
  <si>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</si>
  <si>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</si>
  <si>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</si>
  <si>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</si>
  <si>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</si>
  <si>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</si>
  <si>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</si>
  <si>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</si>
  <si>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</si>
  <si>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</si>
  <si>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</si>
  <si>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</si>
  <si>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</si>
  <si>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</si>
  <si>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</si>
  <si>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</si>
  <si>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</si>
  <si>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</si>
  <si>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</si>
  <si>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</si>
  <si>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</si>
  <si>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</si>
  <si>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</si>
  <si>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</si>
  <si>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</si>
  <si>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</si>
  <si>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</si>
  <si>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</si>
  <si>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</si>
  <si>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</si>
  <si>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</si>
  <si>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</si>
  <si>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</si>
  <si>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</si>
  <si>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</si>
  <si>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</si>
  <si>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</si>
  <si>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</si>
  <si>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</si>
  <si>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</si>
  <si>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</si>
  <si>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</si>
  <si>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</si>
  <si>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</si>
  <si>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</si>
  <si>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</si>
  <si>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</si>
  <si>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</si>
  <si>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</si>
  <si>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</si>
  <si>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</si>
  <si>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</si>
  <si>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</si>
  <si>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</si>
  <si>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</si>
  <si>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</si>
  <si>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</si>
  <si>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</si>
  <si>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</si>
  <si>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</si>
  <si>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</si>
  <si>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</si>
  <si>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</si>
  <si>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</si>
  <si>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</si>
  <si>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</si>
  <si>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</si>
  <si>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</si>
  <si>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</si>
  <si>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</si>
  <si>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</si>
  <si>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</si>
  <si>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</si>
  <si>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</si>
  <si>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</si>
  <si>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</si>
  <si>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</si>
  <si>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</si>
  <si>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</si>
  <si>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</si>
  <si>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</si>
  <si>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</si>
  <si>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</si>
  <si>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</si>
  <si>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</si>
  <si>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</si>
  <si>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</si>
  <si>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</si>
  <si>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</si>
  <si>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</si>
  <si>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</si>
  <si>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</si>
  <si>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</si>
  <si>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</si>
  <si>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</si>
  <si>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</si>
  <si>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</si>
  <si>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</si>
  <si>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</si>
  <si>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</si>
  <si>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</si>
  <si>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</si>
  <si>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</si>
  <si>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</si>
  <si>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</si>
  <si>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</si>
  <si>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</si>
  <si>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</si>
  <si>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</si>
  <si>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</si>
  <si>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</si>
  <si>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</si>
  <si>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</si>
  <si>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</si>
  <si>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</si>
  <si>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</si>
  <si>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</si>
  <si>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</si>
  <si>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</si>
  <si>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</si>
  <si>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</si>
  <si>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</si>
  <si>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</si>
  <si>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</si>
  <si>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</si>
  <si>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</si>
  <si>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</si>
  <si>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</si>
  <si>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</si>
  <si>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</si>
  <si>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</si>
  <si>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</si>
  <si>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</si>
  <si>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</si>
  <si>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</si>
  <si>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</si>
  <si>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</si>
  <si>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</si>
  <si>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</si>
  <si>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</si>
  <si>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</si>
  <si>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</si>
  <si>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</si>
  <si>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</si>
  <si>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</si>
  <si>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</si>
  <si>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</si>
  <si>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</si>
  <si>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</si>
  <si>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</si>
  <si>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</si>
  <si>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</si>
  <si>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</si>
  <si>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</si>
  <si>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</si>
  <si>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</si>
  <si>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</si>
  <si>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</si>
  <si>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</si>
  <si>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</si>
  <si>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</si>
  <si>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</si>
  <si>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</si>
  <si>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</si>
  <si>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</si>
  <si>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</si>
  <si>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</si>
  <si>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</si>
  <si>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</si>
  <si>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</si>
  <si>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</si>
  <si>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</si>
  <si>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</si>
  <si>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</si>
  <si>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</si>
  <si>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</si>
  <si>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</si>
  <si>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</si>
  <si>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</si>
  <si>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</si>
  <si>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</si>
  <si>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</si>
  <si>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</si>
  <si>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</si>
  <si>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</si>
  <si>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</si>
  <si>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</si>
  <si>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</si>
  <si>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</si>
  <si>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</si>
  <si>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</si>
  <si>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</si>
  <si>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</si>
  <si>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</si>
  <si>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</si>
  <si>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</si>
  <si>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</si>
  <si>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</si>
  <si>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</si>
  <si>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</si>
  <si>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</si>
  <si>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</si>
  <si>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</si>
  <si>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</si>
  <si>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</si>
  <si>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</si>
  <si>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</si>
  <si>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</si>
  <si>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</si>
  <si>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</si>
  <si>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</si>
  <si>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</si>
  <si>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</si>
  <si>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</si>
  <si>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</si>
  <si>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</si>
  <si>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</si>
  <si>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</si>
  <si>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</si>
  <si>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</si>
  <si>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</si>
  <si>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</si>
  <si>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</si>
  <si>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</si>
  <si>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</si>
  <si>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</si>
  <si>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</si>
  <si>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</si>
  <si>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</si>
  <si>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</si>
  <si>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</si>
  <si>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</si>
  <si>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</si>
  <si>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</si>
  <si>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</si>
  <si>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</si>
  <si>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</si>
  <si>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</si>
  <si>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</si>
  <si>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</si>
  <si>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</si>
  <si>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</si>
  <si>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</si>
  <si>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</si>
  <si>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</si>
  <si>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</si>
  <si>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</si>
  <si>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</si>
  <si>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</si>
  <si>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</si>
  <si>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</si>
  <si>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</si>
  <si>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</si>
  <si>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</si>
  <si>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</si>
  <si>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</si>
  <si>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</si>
  <si>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</si>
  <si>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</si>
  <si>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</si>
  <si>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</si>
  <si>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</si>
  <si>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</si>
  <si>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</si>
  <si>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</si>
  <si>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</si>
  <si>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</si>
  <si>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</si>
  <si>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</si>
  <si>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</si>
  <si>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</si>
  <si>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</si>
  <si>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</si>
  <si>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</si>
  <si>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</si>
  <si>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</si>
  <si>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</si>
  <si>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</si>
  <si>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</si>
  <si>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</si>
  <si>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</si>
  <si>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</si>
  <si>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</si>
  <si>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</si>
  <si>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</si>
  <si>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</si>
  <si>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</si>
  <si>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</si>
  <si>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</si>
  <si>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</si>
  <si>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</si>
  <si>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</si>
  <si>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</si>
  <si>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</si>
  <si>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</si>
  <si>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</si>
  <si>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</si>
  <si>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</si>
  <si>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</si>
  <si>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</si>
  <si>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</si>
  <si>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</si>
  <si>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</si>
  <si>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</si>
  <si>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</si>
  <si>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</si>
  <si>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</si>
  <si>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</si>
  <si>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</si>
  <si>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</si>
  <si>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</si>
  <si>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</si>
  <si>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</si>
  <si>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</si>
  <si>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</si>
  <si>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</si>
  <si>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</si>
  <si>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</si>
  <si>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</si>
  <si>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</si>
  <si>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</si>
  <si>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</si>
  <si>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</si>
  <si>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</si>
  <si>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</si>
  <si>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</si>
  <si>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</si>
  <si>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</si>
  <si>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</si>
  <si>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</si>
  <si>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</si>
  <si>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</si>
  <si>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</si>
  <si>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</si>
  <si>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</si>
  <si>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</si>
  <si>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</si>
  <si>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</si>
  <si>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</si>
  <si>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</si>
  <si>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</si>
  <si>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</si>
  <si>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</si>
  <si>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</si>
  <si>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</si>
  <si>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</si>
  <si>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</si>
  <si>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</si>
  <si>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</si>
  <si>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</si>
  <si>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</si>
  <si>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</si>
  <si>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</si>
  <si>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</si>
  <si>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</si>
  <si>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</si>
  <si>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Encoder runtime [%]</t>
  </si>
  <si>
    <t>Decoder runtime [%]</t>
  </si>
  <si>
    <t>Seq.</t>
  </si>
  <si>
    <t>CWAI</t>
  </si>
  <si>
    <t>CWLD</t>
  </si>
  <si>
    <t>C2AI</t>
  </si>
  <si>
    <t>C2RA</t>
  </si>
  <si>
    <t>Cond.</t>
  </si>
  <si>
    <t>Geo.</t>
  </si>
  <si>
    <t xml:space="preserve"> Cb</t>
  </si>
  <si>
    <t>Cr</t>
  </si>
  <si>
    <t>Cb</t>
  </si>
  <si>
    <t>A</t>
  </si>
  <si>
    <t>Loot</t>
  </si>
  <si>
    <t>R&amp;B</t>
  </si>
  <si>
    <t>Soldier</t>
  </si>
  <si>
    <t>Queen</t>
  </si>
  <si>
    <t>B</t>
  </si>
  <si>
    <t>Long.</t>
  </si>
  <si>
    <t>Avg.</t>
  </si>
  <si>
    <t>A avg</t>
  </si>
  <si>
    <t>B avg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</si>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</sst>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4" borderId="7" xfId="0" applyFont="1" applyFill="1" applyBorder="1" applyAlignment="1">
      <alignment horizontal="center" wrapText="1"/>
    </xf>
    <xf numFmtId="0" fontId="1" fillId="4" borderId="8" xfId="0" applyFont="1" applyFill="1" applyBorder="1" applyAlignment="1">
      <alignment horizontal="center" wrapText="1"/>
    </xf>
    <xf numFmtId="0" fontId="1" fillId="5" borderId="9" xfId="0" applyFont="1" applyFill="1" applyBorder="1" applyAlignment="1">
      <alignment horizontal="center" wrapText="1"/>
    </xf>
    <xf numFmtId="0" fontId="1" fillId="5" borderId="8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vertical="center" wrapText="1"/>
    </xf>
    <xf numFmtId="9" fontId="0" fillId="0" borderId="11" xfId="0" applyNumberFormat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0" fontId="1" fillId="12" borderId="18" xfId="0" applyFont="1" applyFill="1" applyBorder="1" applyAlignment="1">
      <alignment horizontal="center" wrapText="1"/>
    </xf>
    <xf numFmtId="0" fontId="1" fillId="12" borderId="0" xfId="0" applyFont="1" applyFill="1" applyBorder="1" applyAlignment="1">
      <alignment horizontal="center" wrapText="1"/>
    </xf>
    <xf numFmtId="0" fontId="1" fillId="12" borderId="20" xfId="0" applyFont="1" applyFill="1" applyBorder="1" applyAlignment="1">
      <alignment horizontal="center" wrapText="1"/>
    </xf>
    <xf numFmtId="0" fontId="0" fillId="12" borderId="21" xfId="0" applyFill="1" applyBorder="1" applyAlignment="1">
      <alignment horizontal="center"/>
    </xf>
    <xf numFmtId="0" fontId="0" fillId="12" borderId="22" xfId="0" applyFill="1" applyBorder="1"/>
    <xf numFmtId="0" fontId="0" fillId="12" borderId="21" xfId="0" applyFill="1" applyBorder="1"/>
    <xf numFmtId="0" fontId="0" fillId="8" borderId="15" xfId="0" applyFill="1" applyBorder="1"/>
    <xf numFmtId="0" fontId="0" fillId="8" borderId="2" xfId="0" applyFill="1" applyBorder="1"/>
    <xf numFmtId="164" fontId="0" fillId="8" borderId="15" xfId="0" applyNumberFormat="1" applyFill="1" applyBorder="1" applyAlignment="1">
      <alignment horizontal="center"/>
    </xf>
    <xf numFmtId="164" fontId="0" fillId="8" borderId="2" xfId="0" applyNumberFormat="1" applyFill="1" applyBorder="1" applyAlignment="1">
      <alignment horizontal="center"/>
    </xf>
    <xf numFmtId="164" fontId="0" fillId="8" borderId="19" xfId="0" applyNumberFormat="1" applyFill="1" applyBorder="1" applyAlignment="1">
      <alignment horizontal="center"/>
    </xf>
    <xf numFmtId="0" fontId="0" fillId="13" borderId="5" xfId="0" applyFill="1" applyBorder="1"/>
    <xf numFmtId="9" fontId="0" fillId="0" borderId="5" xfId="0" applyNumberFormat="1" applyBorder="1"/>
    <xf numFmtId="9" fontId="0" fillId="0" borderId="6" xfId="0" applyNumberFormat="1" applyBorder="1"/>
    <xf numFmtId="0" fontId="0" fillId="10" borderId="18" xfId="0" applyFill="1" applyBorder="1"/>
    <xf numFmtId="0" fontId="0" fillId="10" borderId="0" xfId="0" applyFill="1" applyBorder="1"/>
    <xf numFmtId="164" fontId="0" fillId="10" borderId="18" xfId="0" applyNumberFormat="1" applyFill="1" applyBorder="1" applyAlignment="1">
      <alignment horizontal="center"/>
    </xf>
    <xf numFmtId="164" fontId="0" fillId="10" borderId="0" xfId="0" applyNumberFormat="1" applyFill="1" applyBorder="1" applyAlignment="1">
      <alignment horizontal="center"/>
    </xf>
    <xf numFmtId="164" fontId="0" fillId="10" borderId="20" xfId="0" applyNumberFormat="1" applyFill="1" applyBorder="1" applyAlignment="1">
      <alignment horizontal="center"/>
    </xf>
    <xf numFmtId="0" fontId="0" fillId="14" borderId="21" xfId="0" applyFill="1" applyBorder="1"/>
    <xf numFmtId="9" fontId="0" fillId="14" borderId="21" xfId="0" applyNumberFormat="1" applyFill="1" applyBorder="1"/>
    <xf numFmtId="9" fontId="0" fillId="14" borderId="22" xfId="0" applyNumberFormat="1" applyFill="1" applyBorder="1"/>
    <xf numFmtId="0" fontId="0" fillId="8" borderId="18" xfId="0" applyFill="1" applyBorder="1"/>
    <xf numFmtId="0" fontId="0" fillId="8" borderId="0" xfId="0" applyFill="1" applyBorder="1"/>
    <xf numFmtId="164" fontId="0" fillId="8" borderId="18" xfId="0" applyNumberFormat="1" applyFill="1" applyBorder="1" applyAlignment="1">
      <alignment horizontal="center"/>
    </xf>
    <xf numFmtId="164" fontId="0" fillId="8" borderId="0" xfId="0" applyNumberFormat="1" applyFill="1" applyBorder="1" applyAlignment="1">
      <alignment horizontal="center"/>
    </xf>
    <xf numFmtId="164" fontId="0" fillId="8" borderId="20" xfId="0" applyNumberFormat="1" applyFill="1" applyBorder="1" applyAlignment="1">
      <alignment horizontal="center"/>
    </xf>
    <xf numFmtId="0" fontId="0" fillId="13" borderId="21" xfId="0" applyFill="1" applyBorder="1"/>
    <xf numFmtId="9" fontId="0" fillId="13" borderId="21" xfId="0" applyNumberFormat="1" applyFill="1" applyBorder="1"/>
    <xf numFmtId="9" fontId="0" fillId="13" borderId="22" xfId="0" applyNumberFormat="1" applyFill="1" applyBorder="1"/>
    <xf numFmtId="0" fontId="0" fillId="10" borderId="23" xfId="0" applyFill="1" applyBorder="1"/>
    <xf numFmtId="164" fontId="0" fillId="10" borderId="23" xfId="0" applyNumberFormat="1" applyFill="1" applyBorder="1" applyAlignment="1">
      <alignment horizontal="center"/>
    </xf>
    <xf numFmtId="164" fontId="0" fillId="10" borderId="24" xfId="0" applyNumberFormat="1" applyFill="1" applyBorder="1" applyAlignment="1">
      <alignment horizontal="center"/>
    </xf>
    <xf numFmtId="0" fontId="0" fillId="14" borderId="7" xfId="0" applyFill="1" applyBorder="1"/>
    <xf numFmtId="9" fontId="0" fillId="14" borderId="7" xfId="0" applyNumberFormat="1" applyFill="1" applyBorder="1"/>
    <xf numFmtId="9" fontId="0" fillId="14" borderId="8" xfId="0" applyNumberFormat="1" applyFill="1" applyBorder="1"/>
    <xf numFmtId="0" fontId="0" fillId="8" borderId="23" xfId="0" applyFill="1" applyBorder="1"/>
    <xf numFmtId="164" fontId="0" fillId="8" borderId="23" xfId="0" applyNumberFormat="1" applyFill="1" applyBorder="1" applyAlignment="1">
      <alignment horizontal="center"/>
    </xf>
    <xf numFmtId="164" fontId="0" fillId="8" borderId="24" xfId="0" applyNumberFormat="1" applyFill="1" applyBorder="1" applyAlignment="1">
      <alignment horizontal="center"/>
    </xf>
    <xf numFmtId="0" fontId="0" fillId="0" borderId="10" xfId="0" applyBorder="1"/>
    <xf numFmtId="9" fontId="0" fillId="0" borderId="10" xfId="0" applyNumberFormat="1" applyBorder="1"/>
    <xf numFmtId="9" fontId="0" fillId="0" borderId="12" xfId="0" applyNumberFormat="1" applyBorder="1"/>
    <xf numFmtId="9" fontId="0" fillId="0" borderId="4" xfId="0" applyNumberFormat="1" applyBorder="1"/>
    <xf numFmtId="164" fontId="0" fillId="0" borderId="18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4" borderId="5" xfId="0" applyFont="1" applyFill="1" applyBorder="1" applyAlignment="1">
      <alignment horizontal="center" wrapText="1"/>
    </xf>
    <xf numFmtId="0" fontId="1" fillId="4" borderId="6" xfId="0" applyFont="1" applyFill="1" applyBorder="1" applyAlignment="1">
      <alignment horizontal="center" wrapText="1"/>
    </xf>
    <xf numFmtId="0" fontId="1" fillId="5" borderId="5" xfId="0" applyFont="1" applyFill="1" applyBorder="1" applyAlignment="1">
      <alignment horizontal="center" wrapText="1"/>
    </xf>
    <xf numFmtId="0" fontId="1" fillId="5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0" fillId="12" borderId="5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1" fillId="0" borderId="15" xfId="0" applyFont="1" applyBorder="1" applyAlignment="1">
      <alignment horizontal="left" wrapText="1"/>
    </xf>
    <xf numFmtId="0" fontId="1" fillId="0" borderId="19" xfId="0" applyFont="1" applyBorder="1" applyAlignment="1">
      <alignment horizontal="left" wrapText="1"/>
    </xf>
    <xf numFmtId="0" fontId="1" fillId="12" borderId="15" xfId="0" applyFont="1" applyFill="1" applyBorder="1" applyAlignment="1">
      <alignment horizontal="center" vertical="top" textRotation="180" wrapText="1"/>
    </xf>
    <xf numFmtId="0" fontId="1" fillId="12" borderId="18" xfId="0" applyFont="1" applyFill="1" applyBorder="1" applyAlignment="1">
      <alignment horizontal="center" vertical="top" textRotation="180" wrapText="1"/>
    </xf>
    <xf numFmtId="0" fontId="1" fillId="12" borderId="23" xfId="0" applyFont="1" applyFill="1" applyBorder="1" applyAlignment="1">
      <alignment horizontal="center" vertical="top" textRotation="180" wrapText="1"/>
    </xf>
    <xf numFmtId="0" fontId="1" fillId="12" borderId="19" xfId="0" applyFont="1" applyFill="1" applyBorder="1" applyAlignment="1">
      <alignment horizontal="center" vertical="top" textRotation="180"/>
    </xf>
    <xf numFmtId="0" fontId="1" fillId="12" borderId="20" xfId="0" applyFont="1" applyFill="1" applyBorder="1" applyAlignment="1">
      <alignment horizontal="center" vertical="top" textRotation="180"/>
    </xf>
    <xf numFmtId="0" fontId="1" fillId="12" borderId="24" xfId="0" applyFont="1" applyFill="1" applyBorder="1" applyAlignment="1">
      <alignment horizontal="center" vertical="top" textRotation="180"/>
    </xf>
    <xf numFmtId="0" fontId="0" fillId="12" borderId="16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1" fillId="12" borderId="15" xfId="0" applyFont="1" applyFill="1" applyBorder="1" applyAlignment="1">
      <alignment horizontal="center" wrapText="1"/>
    </xf>
    <xf numFmtId="0" fontId="1" fillId="12" borderId="2" xfId="0" applyFont="1" applyFill="1" applyBorder="1" applyAlignment="1">
      <alignment horizontal="center" wrapText="1"/>
    </xf>
    <xf numFmtId="0" fontId="1" fillId="12" borderId="19" xfId="0" applyFont="1" applyFill="1" applyBorder="1" applyAlignment="1">
      <alignment horizontal="center" wrapText="1"/>
    </xf>
    <xf numFmtId="0" fontId="1" fillId="0" borderId="18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3" xfId="0" applyFont="1" applyBorder="1" applyAlignment="1">
      <alignment horizontal="left" wrapText="1"/>
    </xf>
    <xf numFmtId="0" fontId="1" fillId="0" borderId="24" xfId="0" applyFont="1" applyBorder="1" applyAlignment="1">
      <alignment horizontal="left" wrapText="1"/>
    </xf>
    <xf numFmtId="0" fontId="0" fillId="12" borderId="13" xfId="0" applyFill="1" applyBorder="1" applyAlignment="1">
      <alignment horizontal="center" vertical="center"/>
    </xf>
    <xf numFmtId="0" fontId="0" fillId="12" borderId="14" xfId="0" applyFill="1" applyBorder="1" applyAlignment="1">
      <alignment horizontal="center" vertical="center"/>
    </xf>
  </cellXfs>
  <cellStyles count="1">
    <cellStyle name="Normal" xfId="0" builtinId="0"/>
  </cellStyles>
  <dxfs count="12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0.93608687687770331</c:v>
                </c:pt>
                <c:pt idx="1">
                  <c:v>1.4281474524002056</c:v>
                </c:pt>
                <c:pt idx="2">
                  <c:v>2.3127980826732015</c:v>
                </c:pt>
                <c:pt idx="3">
                  <c:v>3.9957656402786679</c:v>
                </c:pt>
                <c:pt idx="4">
                  <c:v>7.2425852539027566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66.331507666666695</c:v>
                </c:pt>
                <c:pt idx="1">
                  <c:v>68.182469666666705</c:v>
                </c:pt>
                <c:pt idx="2">
                  <c:v>69.565626666666702</c:v>
                </c:pt>
                <c:pt idx="3">
                  <c:v>70.654999000000004</c:v>
                </c:pt>
                <c:pt idx="4">
                  <c:v>71.549011333333297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F-47AC-8220-DA77F8D1C085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0.93597503735428067</c:v>
                </c:pt>
                <c:pt idx="1">
                  <c:v>1.4275552477031137</c:v>
                </c:pt>
                <c:pt idx="2">
                  <c:v>2.3097620722293453</c:v>
                </c:pt>
                <c:pt idx="3">
                  <c:v>3.975787384093175</c:v>
                </c:pt>
                <c:pt idx="4">
                  <c:v>7.1827110517357537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66.322117666666699</c:v>
                </c:pt>
                <c:pt idx="1">
                  <c:v>68.174958666666697</c:v>
                </c:pt>
                <c:pt idx="2">
                  <c:v>69.564048666666693</c:v>
                </c:pt>
                <c:pt idx="3">
                  <c:v>70.6334746666667</c:v>
                </c:pt>
                <c:pt idx="4">
                  <c:v>71.537092000000001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2F-47AC-8220-DA77F8D1C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0.93608687687770331</c:v>
                </c:pt>
                <c:pt idx="1">
                  <c:v>1.4281474524002056</c:v>
                </c:pt>
                <c:pt idx="2">
                  <c:v>2.3127980826732015</c:v>
                </c:pt>
                <c:pt idx="3">
                  <c:v>3.9957656402786679</c:v>
                </c:pt>
                <c:pt idx="4">
                  <c:v>7.2425852539027566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68.580175666666705</c:v>
                </c:pt>
                <c:pt idx="1">
                  <c:v>70.500372666666706</c:v>
                </c:pt>
                <c:pt idx="2">
                  <c:v>72.220201333333307</c:v>
                </c:pt>
                <c:pt idx="3">
                  <c:v>73.495943666666705</c:v>
                </c:pt>
                <c:pt idx="4">
                  <c:v>74.678683000000007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C2-4161-A2EF-B9B45F1B13D0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0.93597503735428067</c:v>
                </c:pt>
                <c:pt idx="1">
                  <c:v>1.4275552477031137</c:v>
                </c:pt>
                <c:pt idx="2">
                  <c:v>2.3097620722293453</c:v>
                </c:pt>
                <c:pt idx="3">
                  <c:v>3.975787384093175</c:v>
                </c:pt>
                <c:pt idx="4">
                  <c:v>7.1827110517357537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68.338113000000007</c:v>
                </c:pt>
                <c:pt idx="1">
                  <c:v>70.246503000000004</c:v>
                </c:pt>
                <c:pt idx="2">
                  <c:v>71.9323573333333</c:v>
                </c:pt>
                <c:pt idx="3">
                  <c:v>73.191946666666695</c:v>
                </c:pt>
                <c:pt idx="4">
                  <c:v>74.345481333333296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C2-4161-A2EF-B9B45F1B1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0.93608687687770331</c:v>
                </c:pt>
                <c:pt idx="1">
                  <c:v>1.4281474524002056</c:v>
                </c:pt>
                <c:pt idx="2">
                  <c:v>2.3127980826732015</c:v>
                </c:pt>
                <c:pt idx="3">
                  <c:v>3.9957656402786679</c:v>
                </c:pt>
                <c:pt idx="4">
                  <c:v>7.2425852539027566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32.364663666666701</c:v>
                </c:pt>
                <c:pt idx="1">
                  <c:v>34.668168333333398</c:v>
                </c:pt>
                <c:pt idx="2">
                  <c:v>37.211870666666698</c:v>
                </c:pt>
                <c:pt idx="3">
                  <c:v>39.836556000000002</c:v>
                </c:pt>
                <c:pt idx="4">
                  <c:v>42.388778333333299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65-444D-9EB7-4E4149A6003F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0.93597503735428067</c:v>
                </c:pt>
                <c:pt idx="1">
                  <c:v>1.4275552477031137</c:v>
                </c:pt>
                <c:pt idx="2">
                  <c:v>2.3097620722293453</c:v>
                </c:pt>
                <c:pt idx="3">
                  <c:v>3.975787384093175</c:v>
                </c:pt>
                <c:pt idx="4">
                  <c:v>7.1827110517357537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32.370213999999997</c:v>
                </c:pt>
                <c:pt idx="1">
                  <c:v>34.674872333333298</c:v>
                </c:pt>
                <c:pt idx="2">
                  <c:v>37.225334666666697</c:v>
                </c:pt>
                <c:pt idx="3">
                  <c:v>39.830257666666697</c:v>
                </c:pt>
                <c:pt idx="4">
                  <c:v>42.250235666666597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65-444D-9EB7-4E4149A60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0.93608687687770331</c:v>
                </c:pt>
                <c:pt idx="1">
                  <c:v>1.4281474524002056</c:v>
                </c:pt>
                <c:pt idx="2">
                  <c:v>2.3127980826732015</c:v>
                </c:pt>
                <c:pt idx="3">
                  <c:v>3.9957656402786679</c:v>
                </c:pt>
                <c:pt idx="4">
                  <c:v>7.2425852539027566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44.0992976666667</c:v>
                </c:pt>
                <c:pt idx="1">
                  <c:v>45.361475666666699</c:v>
                </c:pt>
                <c:pt idx="2">
                  <c:v>46.472541999999997</c:v>
                </c:pt>
                <c:pt idx="3">
                  <c:v>47.803811666666697</c:v>
                </c:pt>
                <c:pt idx="4">
                  <c:v>49.423475000000003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5F-47D4-A295-66FD16F6A736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0.93597503735428067</c:v>
                </c:pt>
                <c:pt idx="1">
                  <c:v>1.4275552477031137</c:v>
                </c:pt>
                <c:pt idx="2">
                  <c:v>2.3097620722293453</c:v>
                </c:pt>
                <c:pt idx="3">
                  <c:v>3.975787384093175</c:v>
                </c:pt>
                <c:pt idx="4">
                  <c:v>7.1827110517357537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44.1095786666666</c:v>
                </c:pt>
                <c:pt idx="1">
                  <c:v>45.373429666666702</c:v>
                </c:pt>
                <c:pt idx="2">
                  <c:v>46.463185666666703</c:v>
                </c:pt>
                <c:pt idx="3">
                  <c:v>47.802165000000002</c:v>
                </c:pt>
                <c:pt idx="4">
                  <c:v>49.423788999999999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5F-47D4-A295-66FD16F6A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0.93608687687770331</c:v>
                </c:pt>
                <c:pt idx="1">
                  <c:v>1.4281474524002056</c:v>
                </c:pt>
                <c:pt idx="2">
                  <c:v>2.3127980826732015</c:v>
                </c:pt>
                <c:pt idx="3">
                  <c:v>3.9957656402786679</c:v>
                </c:pt>
                <c:pt idx="4">
                  <c:v>7.2425852539027566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43.816903000000003</c:v>
                </c:pt>
                <c:pt idx="1">
                  <c:v>45.187186666666697</c:v>
                </c:pt>
                <c:pt idx="2">
                  <c:v>46.391672999999997</c:v>
                </c:pt>
                <c:pt idx="3">
                  <c:v>47.871672333333301</c:v>
                </c:pt>
                <c:pt idx="4">
                  <c:v>49.579479333333303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F4-47C7-AFCB-4DFE4FBD3AF3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0.93597503735428067</c:v>
                </c:pt>
                <c:pt idx="1">
                  <c:v>1.4275552477031137</c:v>
                </c:pt>
                <c:pt idx="2">
                  <c:v>2.3097620722293453</c:v>
                </c:pt>
                <c:pt idx="3">
                  <c:v>3.975787384093175</c:v>
                </c:pt>
                <c:pt idx="4">
                  <c:v>7.1827110517357537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43.805177</c:v>
                </c:pt>
                <c:pt idx="1">
                  <c:v>45.1531563333333</c:v>
                </c:pt>
                <c:pt idx="2">
                  <c:v>46.386803</c:v>
                </c:pt>
                <c:pt idx="3">
                  <c:v>47.858173000000001</c:v>
                </c:pt>
                <c:pt idx="4">
                  <c:v>49.569895666666604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F4-47C7-AFCB-4DFE4FBD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0.93608687687770331</c:v>
                </c:pt>
                <c:pt idx="1">
                  <c:v>1.4281474524002056</c:v>
                </c:pt>
                <c:pt idx="2">
                  <c:v>2.3127980826732015</c:v>
                </c:pt>
                <c:pt idx="3">
                  <c:v>3.9957656402786679</c:v>
                </c:pt>
                <c:pt idx="4">
                  <c:v>7.2425852539027566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E-4170-A159-ADAA0508F252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0.93597503735428067</c:v>
                </c:pt>
                <c:pt idx="1">
                  <c:v>1.4275552477031137</c:v>
                </c:pt>
                <c:pt idx="2">
                  <c:v>2.3097620722293453</c:v>
                </c:pt>
                <c:pt idx="3">
                  <c:v>3.975787384093175</c:v>
                </c:pt>
                <c:pt idx="4">
                  <c:v>7.1827110517357537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E-4170-A159-ADAA0508F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55"/>
  <sheetViews>
    <sheetView topLeftCell="A31" workbookViewId="0">
      <selection activeCell="F55" sqref="B50:F55"/>
    </sheetView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120" t="s">
        <v>2</v>
      </c>
      <c r="D1" s="120"/>
      <c r="E1" s="120"/>
    </row>
    <row r="2" spans="2:12" x14ac:dyDescent="0.3">
      <c r="B2" t="s">
        <v>1</v>
      </c>
      <c r="C2" s="121" t="s">
        <v>3</v>
      </c>
      <c r="D2" s="121"/>
      <c r="E2" s="121"/>
    </row>
    <row r="4" spans="2:12" s="1" customFormat="1" x14ac:dyDescent="0.3">
      <c r="B4" s="1" t="s">
        <v>296</v>
      </c>
    </row>
    <row r="6" spans="2:12" x14ac:dyDescent="0.3">
      <c r="B6" s="122" t="s">
        <v>297</v>
      </c>
      <c r="C6" s="123" t="s">
        <v>298</v>
      </c>
      <c r="D6" s="123"/>
      <c r="E6" s="123"/>
      <c r="F6" s="123"/>
      <c r="G6" s="123"/>
      <c r="H6" s="123"/>
      <c r="I6" s="123"/>
      <c r="J6" s="123"/>
      <c r="K6" s="123"/>
      <c r="L6" s="123"/>
    </row>
    <row r="7" spans="2:12" x14ac:dyDescent="0.3">
      <c r="B7" s="122"/>
      <c r="C7" s="124" t="s">
        <v>237</v>
      </c>
      <c r="D7" s="124"/>
      <c r="E7" s="125" t="s">
        <v>242</v>
      </c>
      <c r="F7" s="125"/>
      <c r="G7" s="125"/>
      <c r="H7" s="124" t="s">
        <v>249</v>
      </c>
      <c r="I7" s="124"/>
      <c r="J7" s="125" t="s">
        <v>254</v>
      </c>
      <c r="K7" s="125"/>
      <c r="L7" s="125"/>
    </row>
    <row r="8" spans="2:12" x14ac:dyDescent="0.3">
      <c r="B8" s="122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3">
      <c r="B9" s="4" t="s">
        <v>288</v>
      </c>
      <c r="C9" s="5">
        <f>'C2 lossyG,lossyA,intra'!$BI$30:$BI$30</f>
        <v>3.6849158204301791E-3</v>
      </c>
      <c r="D9" s="5">
        <f>'C2 lossyG,lossyA,intra'!$BJ$30:$BJ$30</f>
        <v>4.3159343293001862E-2</v>
      </c>
      <c r="E9" s="5">
        <f>'C2 lossyG,lossyA,intra'!$BK$30:$BK$30</f>
        <v>-8.7731072730082016E-3</v>
      </c>
      <c r="F9" s="5">
        <f>'C2 lossyG,lossyA,intra'!$BL$30:$BL$30</f>
        <v>-1.05266179555632E-2</v>
      </c>
      <c r="G9" s="5">
        <f>'C2 lossyG,lossyA,intra'!$BM$30:$BM$30</f>
        <v>-8.3187737303633824E-3</v>
      </c>
      <c r="H9" s="5">
        <f>'C2 lossyG,lossyA,intra'!$BO$30:$BO$30</f>
        <v>2.5769333875826639E-3</v>
      </c>
      <c r="I9" s="5">
        <f>'C2 lossyG,lossyA,intra'!$BP$30:$BP$30</f>
        <v>8.2537165083298336E-2</v>
      </c>
      <c r="J9" s="5">
        <f>'C2 lossyG,lossyA,intra'!$BQ$30:$BQ$30</f>
        <v>-5.3333349065589619E-3</v>
      </c>
      <c r="K9" s="5">
        <f>'C2 lossyG,lossyA,intra'!$BR$30:$BR$30</f>
        <v>-7.6176185203954971E-3</v>
      </c>
      <c r="L9" s="5">
        <f>'C2 lossyG,lossyA,intra'!$BS$30:$BS$30</f>
        <v>-6.0883046160449539E-3</v>
      </c>
    </row>
    <row r="10" spans="2:12" x14ac:dyDescent="0.3">
      <c r="B10" s="4" t="s">
        <v>289</v>
      </c>
      <c r="C10" s="5">
        <f>'C2 lossyG,lossyA,intra'!$BI$31:$BI$31</f>
        <v>6.1707609418029108E-3</v>
      </c>
      <c r="D10" s="5">
        <f>'C2 lossyG,lossyA,intra'!$BJ$31:$BJ$31</f>
        <v>4.9617034802837967E-2</v>
      </c>
      <c r="E10" s="5">
        <f>'C2 lossyG,lossyA,intra'!$BK$31:$BK$31</f>
        <v>8.855239381081903E-3</v>
      </c>
      <c r="F10" s="5">
        <f>'C2 lossyG,lossyA,intra'!$BL$31:$BL$31</f>
        <v>-1.3462321677893296E-2</v>
      </c>
      <c r="G10" s="5">
        <f>'C2 lossyG,lossyA,intra'!$BM$31:$BM$31</f>
        <v>-1.2861223036962466E-2</v>
      </c>
      <c r="H10" s="5">
        <f>'C2 lossyG,lossyA,intra'!$BO$31:$BO$31</f>
        <v>2.4902902647621072E-3</v>
      </c>
      <c r="I10" s="5">
        <f>'C2 lossyG,lossyA,intra'!$BP$31:$BP$31</f>
        <v>0.10253257561765095</v>
      </c>
      <c r="J10" s="5">
        <f>'C2 lossyG,lossyA,intra'!$BQ$31:$BQ$31</f>
        <v>1.0089782232505451E-2</v>
      </c>
      <c r="K10" s="5">
        <f>'C2 lossyG,lossyA,intra'!$BR$31:$BR$31</f>
        <v>-1.1451319072396937E-2</v>
      </c>
      <c r="L10" s="5">
        <f>'C2 lossyG,lossyA,intra'!$BS$31:$BS$31</f>
        <v>-1.0846532353627425E-2</v>
      </c>
    </row>
    <row r="11" spans="2:12" x14ac:dyDescent="0.3">
      <c r="B11" s="6" t="s">
        <v>290</v>
      </c>
      <c r="C11" s="7">
        <f>'C2 lossyG,lossyA,intra'!$BI$32:$BI$32</f>
        <v>4.1820848447047254E-3</v>
      </c>
      <c r="D11" s="7">
        <f>'C2 lossyG,lossyA,intra'!$BJ$32:$BJ$32</f>
        <v>4.4450881594969086E-2</v>
      </c>
      <c r="E11" s="7">
        <f>'C2 lossyG,lossyA,intra'!$BK$32:$BK$32</f>
        <v>-5.2474379421901807E-3</v>
      </c>
      <c r="F11" s="7">
        <f>'C2 lossyG,lossyA,intra'!$BL$32:$BL$32</f>
        <v>-1.111375870002922E-2</v>
      </c>
      <c r="G11" s="7">
        <f>'C2 lossyG,lossyA,intra'!$BM$32:$BM$32</f>
        <v>-9.2272635916831984E-3</v>
      </c>
      <c r="H11" s="7">
        <f>'C2 lossyG,lossyA,intra'!$BO$32:$BO$32</f>
        <v>2.5596047630185525E-3</v>
      </c>
      <c r="I11" s="7">
        <f>'C2 lossyG,lossyA,intra'!$BP$32:$BP$32</f>
        <v>8.6536247190168863E-2</v>
      </c>
      <c r="J11" s="7">
        <f>'C2 lossyG,lossyA,intra'!$BQ$32:$BQ$32</f>
        <v>-2.2487114787460793E-3</v>
      </c>
      <c r="K11" s="7">
        <f>'C2 lossyG,lossyA,intra'!$BR$32:$BR$32</f>
        <v>-8.3843586307957851E-3</v>
      </c>
      <c r="L11" s="7">
        <f>'C2 lossyG,lossyA,intra'!$BS$32:$BS$32</f>
        <v>-7.0399501635614479E-3</v>
      </c>
    </row>
    <row r="12" spans="2:12" x14ac:dyDescent="0.3">
      <c r="B12" t="s">
        <v>299</v>
      </c>
      <c r="C12" s="126">
        <f>'C2 lossyG,lossyA,intra'!AZ36</f>
        <v>0.45676811167137832</v>
      </c>
      <c r="D12" s="126"/>
      <c r="E12" s="126"/>
      <c r="F12" s="126"/>
      <c r="G12" s="126"/>
      <c r="H12" s="126"/>
      <c r="I12" s="126"/>
      <c r="J12" s="126"/>
      <c r="K12" s="126"/>
      <c r="L12" s="126"/>
    </row>
    <row r="13" spans="2:12" x14ac:dyDescent="0.3">
      <c r="B13" s="9" t="s">
        <v>300</v>
      </c>
      <c r="C13" s="127">
        <f>'C2 lossyG,lossyA,intra'!BB36</f>
        <v>0.78973818711090971</v>
      </c>
      <c r="D13" s="127"/>
      <c r="E13" s="127"/>
      <c r="F13" s="127"/>
      <c r="G13" s="127"/>
      <c r="H13" s="127"/>
      <c r="I13" s="127"/>
      <c r="J13" s="127"/>
      <c r="K13" s="127"/>
      <c r="L13" s="127"/>
    </row>
    <row r="15" spans="2:12" x14ac:dyDescent="0.3">
      <c r="B15" s="122" t="s">
        <v>381</v>
      </c>
      <c r="C15" s="123" t="s">
        <v>382</v>
      </c>
      <c r="D15" s="123"/>
      <c r="E15" s="123"/>
    </row>
    <row r="16" spans="2:12" x14ac:dyDescent="0.3">
      <c r="B16" s="122"/>
      <c r="C16" s="124" t="s">
        <v>357</v>
      </c>
      <c r="D16" s="124"/>
      <c r="E16" s="124"/>
    </row>
    <row r="17" spans="2:5" x14ac:dyDescent="0.3">
      <c r="B17" s="122"/>
      <c r="C17" s="2" t="s">
        <v>118</v>
      </c>
      <c r="D17" s="2" t="s">
        <v>124</v>
      </c>
      <c r="E17" s="2" t="s">
        <v>150</v>
      </c>
    </row>
    <row r="18" spans="2:5" x14ac:dyDescent="0.3">
      <c r="B18" s="4" t="s">
        <v>288</v>
      </c>
      <c r="C18" s="5">
        <f>'CW losslG,losslA,intra'!BB10</f>
        <v>0.99731265928081636</v>
      </c>
      <c r="D18" s="5">
        <f>'CW losslG,losslA,intra'!BC10</f>
        <v>0.99791252153111365</v>
      </c>
      <c r="E18" s="5">
        <f>'CW losslG,losslA,intra'!BD10</f>
        <v>0.99719096772817617</v>
      </c>
    </row>
    <row r="19" spans="2:5" x14ac:dyDescent="0.3">
      <c r="B19" s="4" t="s">
        <v>289</v>
      </c>
      <c r="C19" s="5">
        <f>'CW losslG,losslA,intra'!BB11</f>
        <v>1.0002150831178307</v>
      </c>
      <c r="D19" s="5">
        <f>'CW losslG,losslA,intra'!BC11</f>
        <v>1.000082245477752</v>
      </c>
      <c r="E19" s="5">
        <f>'CW losslG,losslA,intra'!BD11</f>
        <v>1.0002345573593701</v>
      </c>
    </row>
    <row r="20" spans="2:5" x14ac:dyDescent="0.3">
      <c r="B20" s="6" t="s">
        <v>290</v>
      </c>
      <c r="C20" s="7">
        <f>'CW losslG,losslA,intra'!BB12</f>
        <v>0.99812473104938082</v>
      </c>
      <c r="D20" s="7">
        <f>'CW losslG,losslA,intra'!BC12</f>
        <v>0.99838849741017932</v>
      </c>
      <c r="E20" s="7">
        <f>'CW losslG,losslA,intra'!BD12</f>
        <v>0.9980717716603934</v>
      </c>
    </row>
    <row r="21" spans="2:5" x14ac:dyDescent="0.3">
      <c r="B21" t="s">
        <v>299</v>
      </c>
      <c r="C21" s="126">
        <f>'CW losslG,losslA,intra'!AW16</f>
        <v>0.43367056801122511</v>
      </c>
      <c r="D21" s="126"/>
      <c r="E21" s="126"/>
    </row>
    <row r="22" spans="2:5" x14ac:dyDescent="0.3">
      <c r="B22" s="9" t="s">
        <v>300</v>
      </c>
      <c r="C22" s="127">
        <f>'CW losslG,losslA,intra'!AY16</f>
        <v>0.69749671938945046</v>
      </c>
      <c r="D22" s="127"/>
      <c r="E22" s="127"/>
    </row>
    <row r="24" spans="2:5" s="1" customFormat="1" x14ac:dyDescent="0.3">
      <c r="B24" s="1" t="s">
        <v>456</v>
      </c>
    </row>
    <row r="26" spans="2:5" x14ac:dyDescent="0.3">
      <c r="B26" s="122" t="s">
        <v>457</v>
      </c>
      <c r="C26" s="123" t="s">
        <v>458</v>
      </c>
      <c r="D26" s="123"/>
      <c r="E26" s="123"/>
    </row>
    <row r="27" spans="2:5" x14ac:dyDescent="0.3">
      <c r="B27" s="122"/>
      <c r="C27" s="124" t="s">
        <v>357</v>
      </c>
      <c r="D27" s="124"/>
      <c r="E27" s="124"/>
    </row>
    <row r="28" spans="2:5" x14ac:dyDescent="0.3">
      <c r="B28" s="122"/>
      <c r="C28" s="2" t="s">
        <v>118</v>
      </c>
      <c r="D28" s="2" t="s">
        <v>124</v>
      </c>
      <c r="E28" s="2" t="s">
        <v>150</v>
      </c>
    </row>
    <row r="29" spans="2:5" x14ac:dyDescent="0.3">
      <c r="B29" s="4" t="s">
        <v>288</v>
      </c>
      <c r="C29" s="5">
        <f>'CW losslG,losslA,interLD'!BB10</f>
        <v>0.99887330545930098</v>
      </c>
      <c r="D29" s="5">
        <f>'CW losslG,losslA,interLD'!BC10</f>
        <v>0.99871743389338685</v>
      </c>
      <c r="E29" s="5">
        <f>'CW losslG,losslA,interLD'!BD10</f>
        <v>0.99897287928442335</v>
      </c>
    </row>
    <row r="30" spans="2:5" x14ac:dyDescent="0.3">
      <c r="B30" s="4" t="s">
        <v>289</v>
      </c>
      <c r="C30" s="5">
        <f>'CW losslG,losslA,interLD'!BB11</f>
        <v>0.99986128553384046</v>
      </c>
      <c r="D30" s="5">
        <f>'CW losslG,losslA,interLD'!BC11</f>
        <v>1.0000117765578491</v>
      </c>
      <c r="E30" s="5">
        <f>'CW losslG,losslA,interLD'!BD11</f>
        <v>0.99987482188537302</v>
      </c>
    </row>
    <row r="31" spans="2:5" x14ac:dyDescent="0.3">
      <c r="B31" s="6" t="s">
        <v>290</v>
      </c>
      <c r="C31" s="7">
        <f>'CW losslG,losslA,interLD'!BB12</f>
        <v>0.9991539546566155</v>
      </c>
      <c r="D31" s="7">
        <f>'CW losslG,losslA,interLD'!BC12</f>
        <v>0.99900473698379222</v>
      </c>
      <c r="E31" s="7">
        <f>'CW losslG,losslA,interLD'!BD12</f>
        <v>0.99923812968339065</v>
      </c>
    </row>
    <row r="32" spans="2:5" x14ac:dyDescent="0.3">
      <c r="B32" t="s">
        <v>299</v>
      </c>
      <c r="C32" s="126">
        <f>'CW losslG,losslA,interLD'!AW16</f>
        <v>0.44958146833674267</v>
      </c>
      <c r="D32" s="126"/>
      <c r="E32" s="126"/>
    </row>
    <row r="33" spans="2:12" x14ac:dyDescent="0.3">
      <c r="B33" s="9" t="s">
        <v>300</v>
      </c>
      <c r="C33" s="127">
        <f>'CW losslG,losslA,interLD'!AY16</f>
        <v>0.68318182176763076</v>
      </c>
      <c r="D33" s="127"/>
      <c r="E33" s="127"/>
    </row>
    <row r="35" spans="2:12" s="1" customFormat="1" x14ac:dyDescent="0.3">
      <c r="B35" s="1" t="s">
        <v>543</v>
      </c>
    </row>
    <row r="37" spans="2:12" x14ac:dyDescent="0.3">
      <c r="B37" s="122" t="s">
        <v>544</v>
      </c>
      <c r="C37" s="123" t="s">
        <v>545</v>
      </c>
      <c r="D37" s="123"/>
      <c r="E37" s="123"/>
      <c r="F37" s="123"/>
      <c r="G37" s="123"/>
      <c r="H37" s="123"/>
      <c r="I37" s="123"/>
      <c r="J37" s="123"/>
      <c r="K37" s="123"/>
      <c r="L37" s="123"/>
    </row>
    <row r="38" spans="2:12" x14ac:dyDescent="0.3">
      <c r="B38" s="122"/>
      <c r="C38" s="124" t="s">
        <v>237</v>
      </c>
      <c r="D38" s="124"/>
      <c r="E38" s="125" t="s">
        <v>242</v>
      </c>
      <c r="F38" s="125"/>
      <c r="G38" s="125"/>
      <c r="H38" s="124" t="s">
        <v>249</v>
      </c>
      <c r="I38" s="124"/>
      <c r="J38" s="125" t="s">
        <v>254</v>
      </c>
      <c r="K38" s="125"/>
      <c r="L38" s="125"/>
    </row>
    <row r="39" spans="2:12" x14ac:dyDescent="0.3">
      <c r="B39" s="122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3">
      <c r="B40" s="4" t="s">
        <v>288</v>
      </c>
      <c r="C40" s="5">
        <f>'C2 lossyG,lossyA,interRA'!$BI$30:$BI$30</f>
        <v>-1.8636215377115795E-3</v>
      </c>
      <c r="D40" s="5">
        <f>'C2 lossyG,lossyA,interRA'!$BJ$30:$BJ$30</f>
        <v>3.8992756351800717E-2</v>
      </c>
      <c r="E40" s="5">
        <f>'C2 lossyG,lossyA,interRA'!$BK$30:$BK$30</f>
        <v>-1.2163347152508608E-2</v>
      </c>
      <c r="F40" s="5">
        <f>'C2 lossyG,lossyA,interRA'!$BL$30:$BL$30</f>
        <v>-1.4302387536437033E-2</v>
      </c>
      <c r="G40" s="5">
        <f>'C2 lossyG,lossyA,interRA'!$BM$30:$BM$30</f>
        <v>-8.2528574906845509E-3</v>
      </c>
      <c r="H40" s="5">
        <f>'C2 lossyG,lossyA,interRA'!$BO$30:$BO$30</f>
        <v>6.760107468640475E-4</v>
      </c>
      <c r="I40" s="5">
        <f>'C2 lossyG,lossyA,interRA'!$BP$30:$BP$30</f>
        <v>7.4240711030917783E-2</v>
      </c>
      <c r="J40" s="5">
        <f>'C2 lossyG,lossyA,interRA'!$BQ$30:$BQ$30</f>
        <v>-9.9110871199042938E-3</v>
      </c>
      <c r="K40" s="5">
        <f>'C2 lossyG,lossyA,interRA'!$BR$30:$BR$30</f>
        <v>-1.1813636655743837E-2</v>
      </c>
      <c r="L40" s="5">
        <f>'C2 lossyG,lossyA,interRA'!$BS$30:$BS$30</f>
        <v>-7.7719164564573617E-3</v>
      </c>
    </row>
    <row r="41" spans="2:12" x14ac:dyDescent="0.3">
      <c r="B41" s="4" t="s">
        <v>289</v>
      </c>
      <c r="C41" s="5">
        <f>'C2 lossyG,lossyA,interRA'!$BI$31:$BI$31</f>
        <v>6.4540401892576593E-3</v>
      </c>
      <c r="D41" s="5">
        <f>'C2 lossyG,lossyA,interRA'!$BJ$31:$BJ$31</f>
        <v>5.3043832773114863E-2</v>
      </c>
      <c r="E41" s="5">
        <f>'C2 lossyG,lossyA,interRA'!$BK$31:$BK$31</f>
        <v>-4.0007662121367416E-3</v>
      </c>
      <c r="F41" s="5">
        <f>'C2 lossyG,lossyA,interRA'!$BL$31:$BL$31</f>
        <v>-1.3808071808815825E-2</v>
      </c>
      <c r="G41" s="5">
        <f>'C2 lossyG,lossyA,interRA'!$BM$31:$BM$31</f>
        <v>-1.171506350234286E-2</v>
      </c>
      <c r="H41" s="5">
        <f>'C2 lossyG,lossyA,interRA'!$BO$31:$BO$31</f>
        <v>6.4574098231739985E-3</v>
      </c>
      <c r="I41" s="5">
        <f>'C2 lossyG,lossyA,interRA'!$BP$31:$BP$31</f>
        <v>0.11625456634269726</v>
      </c>
      <c r="J41" s="5">
        <f>'C2 lossyG,lossyA,interRA'!$BQ$31:$BQ$31</f>
        <v>-4.0468551313188605E-4</v>
      </c>
      <c r="K41" s="5">
        <f>'C2 lossyG,lossyA,interRA'!$BR$31:$BR$31</f>
        <v>-9.3751091747971138E-3</v>
      </c>
      <c r="L41" s="5">
        <f>'C2 lossyG,lossyA,interRA'!$BS$31:$BS$31</f>
        <v>-7.875173545270453E-3</v>
      </c>
    </row>
    <row r="42" spans="2:12" x14ac:dyDescent="0.3">
      <c r="B42" s="6" t="s">
        <v>290</v>
      </c>
      <c r="C42" s="7">
        <f>'C2 lossyG,lossyA,interRA'!$BI$32:$BI$32</f>
        <v>-2.000891923177317E-4</v>
      </c>
      <c r="D42" s="7">
        <f>'C2 lossyG,lossyA,interRA'!$BJ$32:$BJ$32</f>
        <v>4.1802971636063543E-2</v>
      </c>
      <c r="E42" s="7">
        <f>'C2 lossyG,lossyA,interRA'!$BK$32:$BK$32</f>
        <v>-1.0530830964434235E-2</v>
      </c>
      <c r="F42" s="7">
        <f>'C2 lossyG,lossyA,interRA'!$BL$32:$BL$32</f>
        <v>-1.4203524390912792E-2</v>
      </c>
      <c r="G42" s="7">
        <f>'C2 lossyG,lossyA,interRA'!$BM$32:$BM$32</f>
        <v>-8.945298693016213E-3</v>
      </c>
      <c r="H42" s="7">
        <f>'C2 lossyG,lossyA,interRA'!$BO$32:$BO$32</f>
        <v>1.8322905621260376E-3</v>
      </c>
      <c r="I42" s="7">
        <f>'C2 lossyG,lossyA,interRA'!$BP$32:$BP$32</f>
        <v>8.2643482093273685E-2</v>
      </c>
      <c r="J42" s="7">
        <f>'C2 lossyG,lossyA,interRA'!$BQ$32:$BQ$32</f>
        <v>-8.0098067985498126E-3</v>
      </c>
      <c r="K42" s="7">
        <f>'C2 lossyG,lossyA,interRA'!$BR$32:$BR$32</f>
        <v>-1.1325931159554492E-2</v>
      </c>
      <c r="L42" s="7">
        <f>'C2 lossyG,lossyA,interRA'!$BS$32:$BS$32</f>
        <v>-7.7925678742199796E-3</v>
      </c>
    </row>
    <row r="43" spans="2:12" x14ac:dyDescent="0.3">
      <c r="B43" t="s">
        <v>299</v>
      </c>
      <c r="C43" s="126">
        <f>'C2 lossyG,lossyA,interRA'!AZ36</f>
        <v>0.44906668329076777</v>
      </c>
      <c r="D43" s="126"/>
      <c r="E43" s="126"/>
      <c r="F43" s="126"/>
      <c r="G43" s="126"/>
      <c r="H43" s="126"/>
      <c r="I43" s="126"/>
      <c r="J43" s="126"/>
      <c r="K43" s="126"/>
      <c r="L43" s="126"/>
    </row>
    <row r="44" spans="2:12" x14ac:dyDescent="0.3">
      <c r="B44" s="9" t="s">
        <v>300</v>
      </c>
      <c r="C44" s="127">
        <f>'C2 lossyG,lossyA,interRA'!BB36</f>
        <v>0.78944333460083027</v>
      </c>
      <c r="D44" s="127"/>
      <c r="E44" s="127"/>
      <c r="F44" s="127"/>
      <c r="G44" s="127"/>
      <c r="H44" s="127"/>
      <c r="I44" s="127"/>
      <c r="J44" s="127"/>
      <c r="K44" s="127"/>
      <c r="L44" s="127"/>
    </row>
    <row r="50" spans="2:6" x14ac:dyDescent="0.3">
      <c r="B50" s="114"/>
      <c r="C50" s="116" t="s">
        <v>549</v>
      </c>
      <c r="D50" s="117"/>
      <c r="E50" s="118" t="s">
        <v>550</v>
      </c>
      <c r="F50" s="119"/>
    </row>
    <row r="51" spans="2:6" x14ac:dyDescent="0.3">
      <c r="B51" s="115"/>
      <c r="C51" s="58" t="s">
        <v>171</v>
      </c>
      <c r="D51" s="59" t="s">
        <v>174</v>
      </c>
      <c r="E51" s="60" t="s">
        <v>171</v>
      </c>
      <c r="F51" s="61" t="s">
        <v>174</v>
      </c>
    </row>
    <row r="52" spans="2:6" x14ac:dyDescent="0.3">
      <c r="B52" s="62" t="s">
        <v>381</v>
      </c>
      <c r="C52" s="63">
        <f>'CW losslG,losslA,intra'!AW16</f>
        <v>0.43367056801122511</v>
      </c>
      <c r="D52" s="63">
        <f>'CW losslG,losslA,intra'!AX16</f>
        <v>0.92606891213138598</v>
      </c>
      <c r="E52" s="64">
        <f>'CW losslG,losslA,intra'!AY16</f>
        <v>0.69749671938945046</v>
      </c>
      <c r="F52" s="63">
        <f>'CW losslG,losslA,intra'!AZ16</f>
        <v>0.93181217103858593</v>
      </c>
    </row>
    <row r="53" spans="2:6" x14ac:dyDescent="0.3">
      <c r="B53" s="62" t="s">
        <v>457</v>
      </c>
      <c r="C53" s="63">
        <f>'CW losslG,losslA,interLD'!AW16</f>
        <v>0.44958146833674267</v>
      </c>
      <c r="D53" s="63">
        <f>'CW losslG,losslA,interLD'!AX16</f>
        <v>0.96410392730684891</v>
      </c>
      <c r="E53" s="64">
        <f>'CW losslG,losslA,interLD'!AY16</f>
        <v>0.68318182176763076</v>
      </c>
      <c r="F53" s="63">
        <f>'CW losslG,losslA,interLD'!AZ16</f>
        <v>0.88402975156887909</v>
      </c>
    </row>
    <row r="54" spans="2:6" x14ac:dyDescent="0.3">
      <c r="B54" s="62" t="s">
        <v>297</v>
      </c>
      <c r="C54" s="63">
        <f>'C2 lossyG,lossyA,intra'!AZ36</f>
        <v>0.45676811167137832</v>
      </c>
      <c r="D54" s="63">
        <f>'C2 lossyG,lossyA,intra'!BA36</f>
        <v>0.98487635352499592</v>
      </c>
      <c r="E54" s="64">
        <f>'C2 lossyG,lossyA,intra'!BB36</f>
        <v>0.78973818711090971</v>
      </c>
      <c r="F54" s="63">
        <f>'C2 lossyG,lossyA,intra'!BC36</f>
        <v>0.97142488643734137</v>
      </c>
    </row>
    <row r="55" spans="2:6" x14ac:dyDescent="0.3">
      <c r="B55" s="62" t="s">
        <v>544</v>
      </c>
      <c r="C55" s="63">
        <f>'C2 lossyG,lossyA,interRA'!AZ36</f>
        <v>0.44906668329076777</v>
      </c>
      <c r="D55" s="63">
        <f>'C2 lossyG,lossyA,interRA'!BA36</f>
        <v>0.96394096323143319</v>
      </c>
      <c r="E55" s="64">
        <f>'C2 lossyG,lossyA,interRA'!BB36</f>
        <v>0.78944333460083027</v>
      </c>
      <c r="F55" s="63">
        <f>'C2 lossyG,lossyA,interRA'!BC36</f>
        <v>0.95142454824220235</v>
      </c>
    </row>
  </sheetData>
  <mergeCells count="31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B50:B51"/>
    <mergeCell ref="C50:D50"/>
    <mergeCell ref="E50:F50"/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</mergeCells>
  <conditionalFormatting sqref="C18 C19 C20">
    <cfRule type="cellIs" dxfId="121" priority="21" operator="greaterThanOrEqual">
      <formula>1.03</formula>
    </cfRule>
    <cfRule type="cellIs" dxfId="120" priority="22" operator="lessThanOrEqual">
      <formula>0.97</formula>
    </cfRule>
  </conditionalFormatting>
  <conditionalFormatting sqref="C29 C30 C31">
    <cfRule type="cellIs" dxfId="119" priority="29" operator="greaterThanOrEqual">
      <formula>1.03</formula>
    </cfRule>
    <cfRule type="cellIs" dxfId="118" priority="30" operator="lessThanOrEqual">
      <formula>0.97</formula>
    </cfRule>
  </conditionalFormatting>
  <conditionalFormatting sqref="C40 C41 C42">
    <cfRule type="cellIs" dxfId="117" priority="39" operator="greaterThanOrEqual">
      <formula>0.03</formula>
    </cfRule>
    <cfRule type="cellIs" dxfId="116" priority="40" operator="lessThanOrEqual">
      <formula>-0.03</formula>
    </cfRule>
  </conditionalFormatting>
  <conditionalFormatting sqref="C9 C10 C11">
    <cfRule type="cellIs" dxfId="115" priority="13" operator="greaterThanOrEqual">
      <formula>0.03</formula>
    </cfRule>
    <cfRule type="cellIs" dxfId="114" priority="14" operator="lessThanOrEqual">
      <formula>-0.03</formula>
    </cfRule>
  </conditionalFormatting>
  <conditionalFormatting sqref="D18 D19 D20">
    <cfRule type="cellIs" dxfId="113" priority="23" operator="greaterThanOrEqual">
      <formula>1.03</formula>
    </cfRule>
    <cfRule type="cellIs" dxfId="112" priority="24" operator="lessThanOrEqual">
      <formula>0.97</formula>
    </cfRule>
  </conditionalFormatting>
  <conditionalFormatting sqref="D29 D30 D31">
    <cfRule type="cellIs" dxfId="111" priority="31" operator="greaterThanOrEqual">
      <formula>1.03</formula>
    </cfRule>
    <cfRule type="cellIs" dxfId="110" priority="32" operator="lessThanOrEqual">
      <formula>0.97</formula>
    </cfRule>
  </conditionalFormatting>
  <conditionalFormatting sqref="D40 D41 D42">
    <cfRule type="cellIs" dxfId="109" priority="41" operator="greaterThanOrEqual">
      <formula>0.03</formula>
    </cfRule>
    <cfRule type="cellIs" dxfId="108" priority="42" operator="lessThanOrEqual">
      <formula>-0.03</formula>
    </cfRule>
  </conditionalFormatting>
  <conditionalFormatting sqref="D9 D10 D11">
    <cfRule type="cellIs" dxfId="107" priority="11" operator="greaterThanOrEqual">
      <formula>0.03</formula>
    </cfRule>
    <cfRule type="cellIs" dxfId="106" priority="12" operator="lessThanOrEqual">
      <formula>-0.03</formula>
    </cfRule>
  </conditionalFormatting>
  <conditionalFormatting sqref="E18 E19 E20">
    <cfRule type="cellIs" dxfId="105" priority="25" operator="greaterThanOrEqual">
      <formula>1.03</formula>
    </cfRule>
    <cfRule type="cellIs" dxfId="104" priority="26" operator="lessThanOrEqual">
      <formula>0.97</formula>
    </cfRule>
  </conditionalFormatting>
  <conditionalFormatting sqref="E29 E30 E31">
    <cfRule type="cellIs" dxfId="103" priority="27" operator="greaterThanOrEqual">
      <formula>1.03</formula>
    </cfRule>
    <cfRule type="cellIs" dxfId="102" priority="28" operator="lessThanOrEqual">
      <formula>0.97</formula>
    </cfRule>
  </conditionalFormatting>
  <conditionalFormatting sqref="E40 E41 E42">
    <cfRule type="cellIs" dxfId="101" priority="37" operator="greaterThanOrEqual">
      <formula>0.03</formula>
    </cfRule>
    <cfRule type="cellIs" dxfId="100" priority="38" operator="lessThanOrEqual">
      <formula>-0.03</formula>
    </cfRule>
  </conditionalFormatting>
  <conditionalFormatting sqref="E9 E10 E11">
    <cfRule type="cellIs" dxfId="99" priority="15" operator="greaterThanOrEqual">
      <formula>0.03</formula>
    </cfRule>
    <cfRule type="cellIs" dxfId="98" priority="16" operator="lessThanOrEqual">
      <formula>-0.03</formula>
    </cfRule>
  </conditionalFormatting>
  <conditionalFormatting sqref="F40 F41 F42">
    <cfRule type="cellIs" dxfId="97" priority="51" operator="greaterThanOrEqual">
      <formula>0.03</formula>
    </cfRule>
    <cfRule type="cellIs" dxfId="96" priority="52" operator="lessThanOrEqual">
      <formula>-0.03</formula>
    </cfRule>
  </conditionalFormatting>
  <conditionalFormatting sqref="F9 F10 F11">
    <cfRule type="cellIs" dxfId="95" priority="3" operator="greaterThanOrEqual">
      <formula>0.03</formula>
    </cfRule>
    <cfRule type="cellIs" dxfId="94" priority="4" operator="lessThanOrEqual">
      <formula>-0.03</formula>
    </cfRule>
  </conditionalFormatting>
  <conditionalFormatting sqref="G40 G41 G42">
    <cfRule type="cellIs" dxfId="93" priority="43" operator="greaterThanOrEqual">
      <formula>0.03</formula>
    </cfRule>
    <cfRule type="cellIs" dxfId="92" priority="44" operator="lessThanOrEqual">
      <formula>-0.03</formula>
    </cfRule>
  </conditionalFormatting>
  <conditionalFormatting sqref="G9 G10 G11">
    <cfRule type="cellIs" dxfId="91" priority="9" operator="greaterThanOrEqual">
      <formula>0.03</formula>
    </cfRule>
    <cfRule type="cellIs" dxfId="90" priority="10" operator="lessThanOrEqual">
      <formula>-0.03</formula>
    </cfRule>
  </conditionalFormatting>
  <conditionalFormatting sqref="H40 H41 H42">
    <cfRule type="cellIs" dxfId="89" priority="45" operator="greaterThanOrEqual">
      <formula>0.03</formula>
    </cfRule>
    <cfRule type="cellIs" dxfId="88" priority="46" operator="lessThanOrEqual">
      <formula>-0.03</formula>
    </cfRule>
  </conditionalFormatting>
  <conditionalFormatting sqref="H9 H10 H11">
    <cfRule type="cellIs" dxfId="87" priority="7" operator="greaterThanOrEqual">
      <formula>0.03</formula>
    </cfRule>
    <cfRule type="cellIs" dxfId="86" priority="8" operator="lessThanOrEqual">
      <formula>-0.03</formula>
    </cfRule>
  </conditionalFormatting>
  <conditionalFormatting sqref="I40 I41 I42">
    <cfRule type="cellIs" dxfId="85" priority="49" operator="greaterThanOrEqual">
      <formula>0.03</formula>
    </cfRule>
    <cfRule type="cellIs" dxfId="84" priority="50" operator="lessThanOrEqual">
      <formula>-0.03</formula>
    </cfRule>
  </conditionalFormatting>
  <conditionalFormatting sqref="I9 I10 I11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conditionalFormatting sqref="J40 J41 J42">
    <cfRule type="cellIs" dxfId="81" priority="35" operator="greaterThanOrEqual">
      <formula>0.03</formula>
    </cfRule>
    <cfRule type="cellIs" dxfId="80" priority="36" operator="lessThanOrEqual">
      <formula>-0.03</formula>
    </cfRule>
  </conditionalFormatting>
  <conditionalFormatting sqref="J9 J10 J11">
    <cfRule type="cellIs" dxfId="79" priority="17" operator="greaterThanOrEqual">
      <formula>0.03</formula>
    </cfRule>
    <cfRule type="cellIs" dxfId="78" priority="18" operator="lessThanOrEqual">
      <formula>-0.03</formula>
    </cfRule>
  </conditionalFormatting>
  <conditionalFormatting sqref="K40 K41 K42">
    <cfRule type="cellIs" dxfId="77" priority="47" operator="greaterThanOrEqual">
      <formula>0.03</formula>
    </cfRule>
    <cfRule type="cellIs" dxfId="76" priority="48" operator="lessThanOrEqual">
      <formula>-0.03</formula>
    </cfRule>
  </conditionalFormatting>
  <conditionalFormatting sqref="K9 K10 K11">
    <cfRule type="cellIs" dxfId="75" priority="5" operator="greaterThanOrEqual">
      <formula>0.03</formula>
    </cfRule>
    <cfRule type="cellIs" dxfId="74" priority="6" operator="lessThanOrEqual">
      <formula>-0.03</formula>
    </cfRule>
  </conditionalFormatting>
  <conditionalFormatting sqref="L40 L41 L42">
    <cfRule type="cellIs" dxfId="73" priority="33" operator="greaterThanOrEqual">
      <formula>0.03</formula>
    </cfRule>
    <cfRule type="cellIs" dxfId="72" priority="34" operator="lessThanOrEqual">
      <formula>-0.03</formula>
    </cfRule>
  </conditionalFormatting>
  <conditionalFormatting sqref="L9 L10 L11">
    <cfRule type="cellIs" dxfId="71" priority="19" operator="greaterThanOrEqual">
      <formula>0.03</formula>
    </cfRule>
    <cfRule type="cellIs" dxfId="70" priority="20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3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3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3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3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3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3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3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3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3">
      <c r="I10" t="s">
        <v>21</v>
      </c>
      <c r="J10" t="s">
        <v>22</v>
      </c>
    </row>
    <row r="11" spans="1:16" x14ac:dyDescent="0.3">
      <c r="I11" t="s">
        <v>23</v>
      </c>
      <c r="J11" t="s">
        <v>24</v>
      </c>
    </row>
    <row r="12" spans="1:16" x14ac:dyDescent="0.3">
      <c r="I12" t="s">
        <v>25</v>
      </c>
      <c r="J12" t="s">
        <v>26</v>
      </c>
    </row>
    <row r="13" spans="1:16" x14ac:dyDescent="0.3">
      <c r="I13" t="s">
        <v>27</v>
      </c>
      <c r="J13" t="s">
        <v>28</v>
      </c>
    </row>
    <row r="14" spans="1:16" x14ac:dyDescent="0.3">
      <c r="I14" t="s">
        <v>29</v>
      </c>
      <c r="J14" t="s">
        <v>30</v>
      </c>
    </row>
    <row r="15" spans="1:16" x14ac:dyDescent="0.3">
      <c r="I15" t="s">
        <v>31</v>
      </c>
      <c r="J15" t="s">
        <v>32</v>
      </c>
    </row>
    <row r="16" spans="1:16" x14ac:dyDescent="0.3">
      <c r="I16" t="s">
        <v>33</v>
      </c>
      <c r="J16" t="s">
        <v>34</v>
      </c>
    </row>
    <row r="17" spans="9:10" x14ac:dyDescent="0.3">
      <c r="I17" t="s">
        <v>35</v>
      </c>
      <c r="J17" t="s">
        <v>36</v>
      </c>
    </row>
    <row r="18" spans="9:10" x14ac:dyDescent="0.3">
      <c r="I18" t="s">
        <v>37</v>
      </c>
      <c r="J18" t="s">
        <v>38</v>
      </c>
    </row>
    <row r="19" spans="9:10" x14ac:dyDescent="0.3">
      <c r="I19" t="s">
        <v>39</v>
      </c>
      <c r="J19" t="s">
        <v>40</v>
      </c>
    </row>
    <row r="20" spans="9:10" x14ac:dyDescent="0.3">
      <c r="I20" t="s">
        <v>41</v>
      </c>
      <c r="J20" t="s">
        <v>42</v>
      </c>
    </row>
    <row r="21" spans="9:10" x14ac:dyDescent="0.3">
      <c r="I21" t="s">
        <v>43</v>
      </c>
      <c r="J21" t="s">
        <v>44</v>
      </c>
    </row>
    <row r="22" spans="9:10" x14ac:dyDescent="0.3">
      <c r="I22" t="s">
        <v>45</v>
      </c>
      <c r="J22" t="s">
        <v>46</v>
      </c>
    </row>
    <row r="23" spans="9:10" x14ac:dyDescent="0.3">
      <c r="I23" t="s">
        <v>47</v>
      </c>
      <c r="J23" t="s">
        <v>48</v>
      </c>
    </row>
    <row r="24" spans="9:10" x14ac:dyDescent="0.3">
      <c r="I24" t="s">
        <v>49</v>
      </c>
      <c r="J24" t="s">
        <v>50</v>
      </c>
    </row>
    <row r="25" spans="9:10" x14ac:dyDescent="0.3">
      <c r="I25" t="s">
        <v>51</v>
      </c>
      <c r="J25" t="s">
        <v>52</v>
      </c>
    </row>
    <row r="26" spans="9:10" x14ac:dyDescent="0.3">
      <c r="I26" t="s">
        <v>53</v>
      </c>
      <c r="J26" t="s">
        <v>54</v>
      </c>
    </row>
    <row r="27" spans="9:10" x14ac:dyDescent="0.3">
      <c r="I27" t="s">
        <v>55</v>
      </c>
      <c r="J27" t="s">
        <v>56</v>
      </c>
    </row>
    <row r="28" spans="9:10" x14ac:dyDescent="0.3">
      <c r="I28" t="s">
        <v>57</v>
      </c>
      <c r="J28" t="s">
        <v>58</v>
      </c>
    </row>
    <row r="29" spans="9:10" x14ac:dyDescent="0.3">
      <c r="I29" t="s">
        <v>59</v>
      </c>
      <c r="J29" t="s">
        <v>60</v>
      </c>
    </row>
    <row r="30" spans="9:10" x14ac:dyDescent="0.3">
      <c r="I30" t="s">
        <v>61</v>
      </c>
      <c r="J30" t="s">
        <v>62</v>
      </c>
    </row>
    <row r="31" spans="9:10" x14ac:dyDescent="0.3">
      <c r="I31" t="s">
        <v>63</v>
      </c>
      <c r="J31" t="s">
        <v>64</v>
      </c>
    </row>
    <row r="32" spans="9:10" x14ac:dyDescent="0.3">
      <c r="I32" t="s">
        <v>65</v>
      </c>
      <c r="J32" t="s">
        <v>66</v>
      </c>
    </row>
    <row r="33" spans="9:10" x14ac:dyDescent="0.3">
      <c r="I33" t="s">
        <v>67</v>
      </c>
      <c r="J33" t="s">
        <v>68</v>
      </c>
    </row>
    <row r="34" spans="9:10" x14ac:dyDescent="0.3">
      <c r="I34" t="s">
        <v>69</v>
      </c>
      <c r="J34" t="s">
        <v>70</v>
      </c>
    </row>
    <row r="35" spans="9:10" x14ac:dyDescent="0.3">
      <c r="I35" t="s">
        <v>71</v>
      </c>
      <c r="J35" t="s">
        <v>72</v>
      </c>
    </row>
    <row r="36" spans="9:10" x14ac:dyDescent="0.3">
      <c r="I36" t="s">
        <v>73</v>
      </c>
      <c r="J36" t="s">
        <v>74</v>
      </c>
    </row>
    <row r="37" spans="9:10" x14ac:dyDescent="0.3">
      <c r="I37" t="s">
        <v>75</v>
      </c>
      <c r="J37" t="s">
        <v>76</v>
      </c>
    </row>
    <row r="38" spans="9:10" x14ac:dyDescent="0.3">
      <c r="I38" t="s">
        <v>77</v>
      </c>
      <c r="J38" t="s">
        <v>78</v>
      </c>
    </row>
    <row r="39" spans="9:10" x14ac:dyDescent="0.3">
      <c r="I39" t="s">
        <v>79</v>
      </c>
      <c r="J39" t="s">
        <v>80</v>
      </c>
    </row>
  </sheetData>
  <conditionalFormatting sqref="B2">
    <cfRule type="expression" dxfId="69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68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S36"/>
  <sheetViews>
    <sheetView workbookViewId="0">
      <pane xSplit="2" ySplit="4" topLeftCell="AE5" activePane="bottomRight" state="frozen"/>
      <selection pane="topRight" activeCell="C1" sqref="C1"/>
      <selection pane="bottomLeft" activeCell="A5" sqref="A5"/>
      <selection pane="bottomRight" activeCell="AN5" sqref="AN5:BC29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132" t="s">
        <v>261</v>
      </c>
      <c r="B1" s="132"/>
      <c r="C1" s="132"/>
      <c r="D1" s="132"/>
      <c r="E1" s="132"/>
      <c r="F1" s="132"/>
      <c r="G1" s="132"/>
      <c r="I1" s="120" t="s">
        <v>2</v>
      </c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G1" s="121" t="s">
        <v>3</v>
      </c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</row>
    <row r="2" spans="1:71" ht="30" customHeight="1" x14ac:dyDescent="0.3">
      <c r="A2" s="128" t="s">
        <v>93</v>
      </c>
      <c r="B2" s="129" t="s">
        <v>96</v>
      </c>
      <c r="C2" s="128" t="s">
        <v>99</v>
      </c>
      <c r="D2" s="129" t="s">
        <v>102</v>
      </c>
      <c r="E2" s="128" t="s">
        <v>105</v>
      </c>
      <c r="F2" s="129" t="s">
        <v>108</v>
      </c>
      <c r="G2" s="128" t="s">
        <v>111</v>
      </c>
      <c r="I2" s="129" t="s">
        <v>114</v>
      </c>
      <c r="J2" s="130" t="s">
        <v>117</v>
      </c>
      <c r="K2" s="130"/>
      <c r="L2" s="130"/>
      <c r="M2" s="130"/>
      <c r="N2" s="128" t="s">
        <v>130</v>
      </c>
      <c r="O2" s="129" t="s">
        <v>133</v>
      </c>
      <c r="P2" s="128" t="s">
        <v>24</v>
      </c>
      <c r="Q2" s="129" t="s">
        <v>26</v>
      </c>
      <c r="R2" s="128" t="s">
        <v>22</v>
      </c>
      <c r="S2" s="131" t="s">
        <v>142</v>
      </c>
      <c r="T2" s="131"/>
      <c r="U2" s="131"/>
      <c r="V2" s="131"/>
      <c r="W2" s="130" t="s">
        <v>153</v>
      </c>
      <c r="X2" s="130"/>
      <c r="Y2" s="131" t="s">
        <v>160</v>
      </c>
      <c r="Z2" s="131"/>
      <c r="AA2" s="131"/>
      <c r="AB2" s="130" t="s">
        <v>170</v>
      </c>
      <c r="AC2" s="130"/>
      <c r="AD2" s="131" t="s">
        <v>177</v>
      </c>
      <c r="AE2" s="131"/>
      <c r="AG2" s="128" t="s">
        <v>114</v>
      </c>
      <c r="AH2" s="131" t="s">
        <v>117</v>
      </c>
      <c r="AI2" s="131"/>
      <c r="AJ2" s="131"/>
      <c r="AK2" s="131"/>
      <c r="AL2" s="129" t="s">
        <v>192</v>
      </c>
      <c r="AM2" s="128" t="s">
        <v>133</v>
      </c>
      <c r="AN2" s="129" t="s">
        <v>24</v>
      </c>
      <c r="AO2" s="128" t="s">
        <v>26</v>
      </c>
      <c r="AP2" s="129" t="s">
        <v>22</v>
      </c>
      <c r="AQ2" s="130" t="s">
        <v>142</v>
      </c>
      <c r="AR2" s="130"/>
      <c r="AS2" s="130"/>
      <c r="AT2" s="130"/>
      <c r="AU2" s="131" t="s">
        <v>153</v>
      </c>
      <c r="AV2" s="131"/>
      <c r="AW2" s="130" t="s">
        <v>160</v>
      </c>
      <c r="AX2" s="130"/>
      <c r="AY2" s="130"/>
      <c r="AZ2" s="131" t="s">
        <v>170</v>
      </c>
      <c r="BA2" s="131"/>
      <c r="BB2" s="130" t="s">
        <v>177</v>
      </c>
      <c r="BC2" s="130"/>
      <c r="BE2" s="129" t="s">
        <v>229</v>
      </c>
      <c r="BF2" s="128" t="s">
        <v>232</v>
      </c>
      <c r="BG2" s="129" t="s">
        <v>232</v>
      </c>
      <c r="BI2" s="130" t="s">
        <v>237</v>
      </c>
      <c r="BJ2" s="130"/>
      <c r="BK2" s="131" t="s">
        <v>242</v>
      </c>
      <c r="BL2" s="131"/>
      <c r="BM2" s="131"/>
      <c r="BO2" s="130" t="s">
        <v>249</v>
      </c>
      <c r="BP2" s="130"/>
      <c r="BQ2" s="131" t="s">
        <v>254</v>
      </c>
      <c r="BR2" s="131"/>
      <c r="BS2" s="131"/>
    </row>
    <row r="3" spans="1:71" ht="15" thickBot="1" x14ac:dyDescent="0.35">
      <c r="A3" s="128"/>
      <c r="B3" s="129"/>
      <c r="C3" s="128"/>
      <c r="D3" s="129"/>
      <c r="E3" s="128"/>
      <c r="F3" s="129"/>
      <c r="G3" s="128"/>
      <c r="I3" s="129"/>
      <c r="J3" s="11" t="s">
        <v>118</v>
      </c>
      <c r="K3" s="11" t="s">
        <v>121</v>
      </c>
      <c r="L3" s="11" t="s">
        <v>124</v>
      </c>
      <c r="M3" s="11" t="s">
        <v>127</v>
      </c>
      <c r="N3" s="128"/>
      <c r="O3" s="129"/>
      <c r="P3" s="128"/>
      <c r="Q3" s="129"/>
      <c r="R3" s="128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128"/>
      <c r="AH3" s="12" t="s">
        <v>118</v>
      </c>
      <c r="AI3" s="12" t="s">
        <v>121</v>
      </c>
      <c r="AJ3" s="12" t="s">
        <v>124</v>
      </c>
      <c r="AK3" s="12" t="s">
        <v>127</v>
      </c>
      <c r="AL3" s="129"/>
      <c r="AM3" s="128"/>
      <c r="AN3" s="129"/>
      <c r="AO3" s="128"/>
      <c r="AP3" s="12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129"/>
      <c r="BF3" s="128"/>
      <c r="BG3" s="12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1" ht="123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1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21.9082425</v>
      </c>
      <c r="J5" s="18">
        <f t="shared" ref="J5:J29" si="1">IF(ISBLANK(S5),"·",S5/D5)</f>
        <v>0.93608687687770331</v>
      </c>
      <c r="K5" s="18">
        <f t="shared" ref="K5:K29" si="2">IF(N5="","·",N5/D5)</f>
        <v>0.60375813645551468</v>
      </c>
      <c r="L5" s="18">
        <f t="shared" ref="L5:L29" si="3">IF(T5="","·",T5/D5)</f>
        <v>0.3207144142118552</v>
      </c>
      <c r="M5" s="18">
        <f t="shared" ref="M5:M29" si="4">IF(ISBLANK(V5),"·",V5/D5)</f>
        <v>0.33219190524596665</v>
      </c>
      <c r="N5" s="15">
        <f t="shared" ref="N5:N29" si="5">IF(OR(ISBLANK(T5),ISBLANK(U5)),"",T5+U5)</f>
        <v>15072424</v>
      </c>
      <c r="O5" s="18">
        <f t="shared" ref="O5:O29" si="6">IF(ISBLANK(S5),"·",S5/P5)</f>
        <v>6.4427999331612487E-2</v>
      </c>
      <c r="P5" s="19">
        <v>362711744</v>
      </c>
      <c r="Q5" s="19">
        <v>1209039.14666667</v>
      </c>
      <c r="R5" s="19">
        <v>525900.46666666702</v>
      </c>
      <c r="S5" s="20">
        <v>23368792</v>
      </c>
      <c r="T5" s="20">
        <v>8006424</v>
      </c>
      <c r="U5" s="20">
        <v>7066000</v>
      </c>
      <c r="V5" s="20">
        <v>8292952</v>
      </c>
      <c r="W5" s="21">
        <v>66.331507666666695</v>
      </c>
      <c r="X5" s="21">
        <v>68.580175666666705</v>
      </c>
      <c r="Y5" s="21">
        <v>32.364663666666701</v>
      </c>
      <c r="Z5" s="21">
        <v>44.0992976666667</v>
      </c>
      <c r="AA5" s="21">
        <v>43.816903000000003</v>
      </c>
      <c r="AB5" s="22">
        <v>59734.8</v>
      </c>
      <c r="AC5" s="22">
        <v>11744.3</v>
      </c>
      <c r="AD5" s="22">
        <v>82.652000000000001</v>
      </c>
      <c r="AE5" s="22">
        <v>191.34</v>
      </c>
      <c r="AG5" s="17">
        <f t="shared" ref="AG5:AG29" si="7">IF(OR(ISBLANK(AQ5),ISBLANK(G5)),"·",AQ5*G5/F5/1000000)</f>
        <v>21.905625000000001</v>
      </c>
      <c r="AH5" s="18">
        <f t="shared" ref="AH5:AH29" si="8">IF(ISBLANK(AQ5),"·",AQ5/D5)</f>
        <v>0.93597503735428067</v>
      </c>
      <c r="AI5" s="18">
        <f t="shared" ref="AI5:AI29" si="9">IF(AL5="","·",AL5/D5)</f>
        <v>0.6036318763631694</v>
      </c>
      <c r="AJ5" s="18">
        <f t="shared" ref="AJ5:AJ29" si="10">IF(AR5="","·",AR5/D5)</f>
        <v>0.32096276845441263</v>
      </c>
      <c r="AK5" s="18">
        <f t="shared" ref="AK5:AK29" si="11">IF(ISBLANK(AT5),"·",AT5/D5)</f>
        <v>0.33220312124401763</v>
      </c>
      <c r="AL5" s="15">
        <f t="shared" ref="AL5:AL29" si="12">IF(OR(ISBLANK(AR5),ISBLANK(AS5)),"",AR5+AS5)</f>
        <v>15069272</v>
      </c>
      <c r="AM5" s="18">
        <f t="shared" ref="AM5:AM29" si="13">IF(ISBLANK(AQ5),"·",AQ5/AN5)</f>
        <v>0.11123427153898546</v>
      </c>
      <c r="AN5" s="19">
        <v>210061159</v>
      </c>
      <c r="AO5" s="19">
        <v>700203.86333333305</v>
      </c>
      <c r="AP5" s="19">
        <v>15035.97</v>
      </c>
      <c r="AQ5" s="20">
        <v>23366000</v>
      </c>
      <c r="AR5" s="20">
        <v>8012624</v>
      </c>
      <c r="AS5" s="20">
        <v>7056648</v>
      </c>
      <c r="AT5" s="20">
        <v>8293232</v>
      </c>
      <c r="AU5" s="21">
        <v>66.322117666666699</v>
      </c>
      <c r="AV5" s="21">
        <v>68.338113000000007</v>
      </c>
      <c r="AW5" s="21">
        <v>32.370213999999997</v>
      </c>
      <c r="AX5" s="21">
        <v>44.1095786666666</v>
      </c>
      <c r="AY5" s="21">
        <v>43.805177</v>
      </c>
      <c r="AZ5" s="22">
        <v>26872.6</v>
      </c>
      <c r="BA5" s="22">
        <v>11470.4</v>
      </c>
      <c r="BB5" s="22">
        <v>60.238</v>
      </c>
      <c r="BC5" s="22">
        <v>190.965</v>
      </c>
      <c r="BE5" s="23">
        <f t="shared" ref="BE5:BE29" si="14">(AP5/AO5) - (R5/Q5)</f>
        <v>-0.41350019157769069</v>
      </c>
      <c r="BF5" s="23">
        <f t="shared" ref="BF5:BF29" si="15">(AL5/AQ5) - (N5/S5)</f>
        <v>-5.7828185674346777E-5</v>
      </c>
      <c r="BG5" s="23">
        <f t="array" ref="BG5">AVERAGE(AL5:AL9/AQ5:AQ9) - AVERAGE(N5:N9/S5:S9)</f>
        <v>7.9946502649808071E-4</v>
      </c>
      <c r="BI5" s="24">
        <f>IF( OR(ISBLANK(N5:N9),ISBLANK(AL5:AL9), ISBLANK(W5:W9),ISBLANK(AU5:AU9)), "·", bdRateExtend( N5:N9,W5:W9, AL5:AL9,AU5:AU9))</f>
        <v>2.2223993167345135E-3</v>
      </c>
      <c r="BJ5" s="24">
        <f>IF( OR(ISBLANK(N5:N9),ISBLANK(AL5:AL9), ISBLANK(X5:X9),ISBLANK(AV5:AV9)), "·", bdRateExtend( N5:N9,X5:X9, AL5:AL9,AV5:AV9))</f>
        <v>4.9539908437643554E-2</v>
      </c>
      <c r="BK5" s="24">
        <f>IF( OR(ISBLANK(V5:V9),ISBLANK(AT5:AT9), ISBLANK(Y5:Y9),ISBLANK(AW5:AW9)), "·", bdRateExtend( V5:V9,Y5:Y9, AT5:AT9,AW5:AW9))</f>
        <v>-1.5004703614095449E-3</v>
      </c>
      <c r="BL5" s="24">
        <f>IF( OR(ISBLANK(V5:V9),ISBLANK(AT5:AT9), ISBLANK(Z5:Z9),ISBLANK(AX5:AX9)), "·", bdRateExtend( V5:V9,Z5:Z9, AT5:AT9,AX5:AX9))</f>
        <v>-5.4389664187722842E-3</v>
      </c>
      <c r="BM5" s="24">
        <f>IF( OR(ISBLANK(V5:V9),ISBLANK(AT5:AT9), ISBLANK(AA5:AA9),ISBLANK(AY5:AY9)), "·", bdRateExtend( V5:V9,AA5:AA9, AT5:AT9,AY5:AY9))</f>
        <v>4.2914884071876269E-3</v>
      </c>
      <c r="BO5" s="24">
        <f>IF( OR(ISBLANK(S5:S9),ISBLANK(AQ5:AQ9), ISBLANK(W5:W9),ISBLANK(AU5:AU9)), "·", bdRateExtend( S5:S9,W5:W9, AQ5:AQ9,AU5:AU9))</f>
        <v>2.3875860856823472E-3</v>
      </c>
      <c r="BP5" s="24">
        <f>IF( OR(ISBLANK(S5:S9),ISBLANK(AQ5:AQ9), ISBLANK(X5:X9),ISBLANK(AV5:AV9)), "·", bdRateExtend( S5:S9,X5:X9, AQ5:AQ9,AV5:AV9))</f>
        <v>9.7676068874180233E-2</v>
      </c>
      <c r="BQ5" s="24">
        <f>IF( OR(ISBLANK(S5:S9),ISBLANK(AQ5:AQ9), ISBLANK(Y5:Y9),ISBLANK(AW5:AW9)), "·", bdRateExtend( S5:S9,Y5:Y9, AQ5:AQ9,AW5:AW9))</f>
        <v>-2.8331214107757408E-4</v>
      </c>
      <c r="BR5" s="24">
        <f>IF( OR(ISBLANK(S5:S9),ISBLANK(AQ5:AQ9), ISBLANK(Z5:Z9),ISBLANK(AX5:AX9)), "·", bdRateExtend( S5:S9,Z5:Z9, AQ5:AQ9,AX5:AX9))</f>
        <v>-3.5375110599606963E-3</v>
      </c>
      <c r="BS5" s="24">
        <f>IF( OR(ISBLANK(S5:S9),ISBLANK(AQ5:AQ9), ISBLANK(AA5:AA9),ISBLANK(AY5:AY9)), "·", bdRateExtend( S5:S9,AA5:AA9, AQ5:AQ9,AY5:AY9))</f>
        <v>2.8451238823898883E-3</v>
      </c>
    </row>
    <row r="6" spans="1:71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33.424462499999997</v>
      </c>
      <c r="J6" s="28">
        <f t="shared" si="1"/>
        <v>1.4281474524002056</v>
      </c>
      <c r="K6" s="28">
        <f t="shared" si="2"/>
        <v>0.72773593342600151</v>
      </c>
      <c r="L6" s="28">
        <f t="shared" si="3"/>
        <v>0.44469221118234203</v>
      </c>
      <c r="M6" s="28">
        <f t="shared" si="4"/>
        <v>0.70027468379798208</v>
      </c>
      <c r="N6" s="25">
        <f t="shared" si="5"/>
        <v>18167448</v>
      </c>
      <c r="O6" s="28">
        <f t="shared" si="6"/>
        <v>9.8295025153638263E-2</v>
      </c>
      <c r="P6" s="29">
        <v>362711744</v>
      </c>
      <c r="Q6" s="29">
        <v>1209039.14666667</v>
      </c>
      <c r="R6" s="29">
        <v>457778.34333333297</v>
      </c>
      <c r="S6" s="30">
        <v>35652760</v>
      </c>
      <c r="T6" s="30">
        <v>11101448</v>
      </c>
      <c r="U6" s="30">
        <v>7066000</v>
      </c>
      <c r="V6" s="30">
        <v>17481896</v>
      </c>
      <c r="W6" s="31">
        <v>68.182469666666705</v>
      </c>
      <c r="X6" s="31">
        <v>70.500372666666706</v>
      </c>
      <c r="Y6" s="31">
        <v>34.668168333333398</v>
      </c>
      <c r="Z6" s="31">
        <v>45.361475666666699</v>
      </c>
      <c r="AA6" s="31">
        <v>45.187186666666697</v>
      </c>
      <c r="AB6" s="32">
        <v>59643.9</v>
      </c>
      <c r="AC6" s="32">
        <v>12527.6</v>
      </c>
      <c r="AD6" s="32">
        <v>82.659000000000006</v>
      </c>
      <c r="AE6" s="32">
        <v>198.39500000000001</v>
      </c>
      <c r="AG6" s="27">
        <f t="shared" si="7"/>
        <v>33.410602500000003</v>
      </c>
      <c r="AH6" s="28">
        <f t="shared" si="8"/>
        <v>1.4275552477031137</v>
      </c>
      <c r="AI6" s="28">
        <f t="shared" si="9"/>
        <v>0.72753692957486837</v>
      </c>
      <c r="AJ6" s="28">
        <f t="shared" si="10"/>
        <v>0.44486782166611166</v>
      </c>
      <c r="AK6" s="28">
        <f t="shared" si="11"/>
        <v>0.69987827838115169</v>
      </c>
      <c r="AL6" s="25">
        <f t="shared" si="12"/>
        <v>18162480</v>
      </c>
      <c r="AM6" s="28">
        <f t="shared" si="13"/>
        <v>0.15360976399799442</v>
      </c>
      <c r="AN6" s="29">
        <v>232003325</v>
      </c>
      <c r="AO6" s="29">
        <v>773344.41666666698</v>
      </c>
      <c r="AP6" s="29">
        <v>20579.57</v>
      </c>
      <c r="AQ6" s="30">
        <v>35637976</v>
      </c>
      <c r="AR6" s="30">
        <v>11105832</v>
      </c>
      <c r="AS6" s="30">
        <v>7056648</v>
      </c>
      <c r="AT6" s="30">
        <v>17472000</v>
      </c>
      <c r="AU6" s="31">
        <v>68.174958666666697</v>
      </c>
      <c r="AV6" s="31">
        <v>70.246503000000004</v>
      </c>
      <c r="AW6" s="31">
        <v>34.674872333333298</v>
      </c>
      <c r="AX6" s="31">
        <v>45.373429666666702</v>
      </c>
      <c r="AY6" s="31">
        <v>45.1531563333333</v>
      </c>
      <c r="AZ6" s="32">
        <v>26900.7</v>
      </c>
      <c r="BA6" s="32">
        <v>12151.8</v>
      </c>
      <c r="BB6" s="32">
        <v>60.609000000000002</v>
      </c>
      <c r="BC6" s="32">
        <v>186.40899999999999</v>
      </c>
      <c r="BE6" s="33">
        <f t="shared" si="14"/>
        <v>-0.3520187454095956</v>
      </c>
      <c r="BF6" s="33">
        <f t="shared" si="15"/>
        <v>7.1985833988819081E-5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54.128887499999998</v>
      </c>
      <c r="J7" s="18">
        <f t="shared" si="1"/>
        <v>2.3127980826732015</v>
      </c>
      <c r="K7" s="18">
        <f t="shared" si="2"/>
        <v>0.90461510680374058</v>
      </c>
      <c r="L7" s="18">
        <f t="shared" si="3"/>
        <v>0.6215713845600811</v>
      </c>
      <c r="M7" s="18">
        <f t="shared" si="4"/>
        <v>1.4080461406932392</v>
      </c>
      <c r="N7" s="15">
        <f t="shared" si="5"/>
        <v>22583120</v>
      </c>
      <c r="O7" s="18">
        <f t="shared" si="6"/>
        <v>0.15918282480536389</v>
      </c>
      <c r="P7" s="19">
        <v>362711744</v>
      </c>
      <c r="Q7" s="19">
        <v>1209039.14666667</v>
      </c>
      <c r="R7" s="19">
        <v>443495.96</v>
      </c>
      <c r="S7" s="20">
        <v>57737480</v>
      </c>
      <c r="T7" s="20">
        <v>15517120</v>
      </c>
      <c r="U7" s="20">
        <v>7066000</v>
      </c>
      <c r="V7" s="20">
        <v>35150944</v>
      </c>
      <c r="W7" s="21">
        <v>69.565626666666702</v>
      </c>
      <c r="X7" s="21">
        <v>72.220201333333307</v>
      </c>
      <c r="Y7" s="21">
        <v>37.211870666666698</v>
      </c>
      <c r="Z7" s="21">
        <v>46.472541999999997</v>
      </c>
      <c r="AA7" s="21">
        <v>46.391672999999997</v>
      </c>
      <c r="AB7" s="22">
        <v>59491.199999999997</v>
      </c>
      <c r="AC7" s="22">
        <v>13328.8</v>
      </c>
      <c r="AD7" s="22">
        <v>81.31</v>
      </c>
      <c r="AE7" s="22">
        <v>201.012</v>
      </c>
      <c r="AG7" s="17">
        <f t="shared" si="7"/>
        <v>54.057832500000004</v>
      </c>
      <c r="AH7" s="18">
        <f t="shared" si="8"/>
        <v>2.3097620722293453</v>
      </c>
      <c r="AI7" s="18">
        <f t="shared" si="9"/>
        <v>0.90459331572181301</v>
      </c>
      <c r="AJ7" s="18">
        <f t="shared" si="10"/>
        <v>0.62192420781305624</v>
      </c>
      <c r="AK7" s="18">
        <f t="shared" si="11"/>
        <v>1.4050287167604385</v>
      </c>
      <c r="AL7" s="15">
        <f t="shared" si="12"/>
        <v>22582576</v>
      </c>
      <c r="AM7" s="18">
        <f t="shared" si="13"/>
        <v>0.24354437089726755</v>
      </c>
      <c r="AN7" s="19">
        <v>236760504</v>
      </c>
      <c r="AO7" s="19">
        <v>789201.68</v>
      </c>
      <c r="AP7" s="19">
        <v>22281.96</v>
      </c>
      <c r="AQ7" s="20">
        <v>57661688</v>
      </c>
      <c r="AR7" s="20">
        <v>15525928</v>
      </c>
      <c r="AS7" s="20">
        <v>7056648</v>
      </c>
      <c r="AT7" s="20">
        <v>35075616</v>
      </c>
      <c r="AU7" s="21">
        <v>69.564048666666693</v>
      </c>
      <c r="AV7" s="21">
        <v>71.9323573333333</v>
      </c>
      <c r="AW7" s="21">
        <v>37.225334666666697</v>
      </c>
      <c r="AX7" s="21">
        <v>46.463185666666703</v>
      </c>
      <c r="AY7" s="21">
        <v>46.386803</v>
      </c>
      <c r="AZ7" s="22">
        <v>27030.1</v>
      </c>
      <c r="BA7" s="22">
        <v>12962.4</v>
      </c>
      <c r="BB7" s="22">
        <v>62.171999999999997</v>
      </c>
      <c r="BC7" s="22">
        <v>198.85300000000001</v>
      </c>
      <c r="BE7" s="23">
        <f t="shared" si="14"/>
        <v>-0.33858333018465603</v>
      </c>
      <c r="BF7" s="23">
        <f t="shared" si="15"/>
        <v>5.0468285869309515E-4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93.517177500000003</v>
      </c>
      <c r="J8" s="28">
        <f t="shared" si="1"/>
        <v>3.9957656402786679</v>
      </c>
      <c r="K8" s="28">
        <f t="shared" si="2"/>
        <v>1.1999284900009979</v>
      </c>
      <c r="L8" s="28">
        <f t="shared" si="3"/>
        <v>0.9168847677573384</v>
      </c>
      <c r="M8" s="28">
        <f t="shared" si="4"/>
        <v>2.7957003151014481</v>
      </c>
      <c r="N8" s="25">
        <f t="shared" si="5"/>
        <v>29955424</v>
      </c>
      <c r="O8" s="28">
        <f t="shared" si="6"/>
        <v>0.27501633914561091</v>
      </c>
      <c r="P8" s="29">
        <v>362711744</v>
      </c>
      <c r="Q8" s="29">
        <v>1209039.14666667</v>
      </c>
      <c r="R8" s="29">
        <v>410156.76333333302</v>
      </c>
      <c r="S8" s="30">
        <v>99751656</v>
      </c>
      <c r="T8" s="30">
        <v>22889424</v>
      </c>
      <c r="U8" s="30">
        <v>7066000</v>
      </c>
      <c r="V8" s="30">
        <v>69792816</v>
      </c>
      <c r="W8" s="31">
        <v>70.654999000000004</v>
      </c>
      <c r="X8" s="31">
        <v>73.495943666666705</v>
      </c>
      <c r="Y8" s="31">
        <v>39.836556000000002</v>
      </c>
      <c r="Z8" s="31">
        <v>47.803811666666697</v>
      </c>
      <c r="AA8" s="31">
        <v>47.871672333333301</v>
      </c>
      <c r="AB8" s="32">
        <v>59568.3</v>
      </c>
      <c r="AC8" s="32">
        <v>14646.1</v>
      </c>
      <c r="AD8" s="32">
        <v>82.087000000000003</v>
      </c>
      <c r="AE8" s="32">
        <v>209.59200000000001</v>
      </c>
      <c r="AG8" s="27">
        <f t="shared" si="7"/>
        <v>93.049605</v>
      </c>
      <c r="AH8" s="28">
        <f t="shared" si="8"/>
        <v>3.975787384093175</v>
      </c>
      <c r="AI8" s="28">
        <f t="shared" si="9"/>
        <v>1.1999996314743497</v>
      </c>
      <c r="AJ8" s="28">
        <f t="shared" si="10"/>
        <v>0.91733052356559297</v>
      </c>
      <c r="AK8" s="28">
        <f t="shared" si="11"/>
        <v>2.7756477128717316</v>
      </c>
      <c r="AL8" s="25">
        <f t="shared" si="12"/>
        <v>29957200</v>
      </c>
      <c r="AM8" s="28">
        <f t="shared" si="13"/>
        <v>0.40102958587857424</v>
      </c>
      <c r="AN8" s="29">
        <v>247495236</v>
      </c>
      <c r="AO8" s="29">
        <v>824984.12</v>
      </c>
      <c r="AP8" s="29">
        <v>25798.4633333333</v>
      </c>
      <c r="AQ8" s="30">
        <v>99252912</v>
      </c>
      <c r="AR8" s="30">
        <v>22900552</v>
      </c>
      <c r="AS8" s="30">
        <v>7056648</v>
      </c>
      <c r="AT8" s="30">
        <v>69292216</v>
      </c>
      <c r="AU8" s="31">
        <v>70.6334746666667</v>
      </c>
      <c r="AV8" s="31">
        <v>73.191946666666695</v>
      </c>
      <c r="AW8" s="31">
        <v>39.830257666666697</v>
      </c>
      <c r="AX8" s="31">
        <v>47.802165000000002</v>
      </c>
      <c r="AY8" s="31">
        <v>47.858173000000001</v>
      </c>
      <c r="AZ8" s="32">
        <v>26822.799999999999</v>
      </c>
      <c r="BA8" s="32">
        <v>14142.5</v>
      </c>
      <c r="BB8" s="32">
        <v>61.69</v>
      </c>
      <c r="BC8" s="32">
        <v>195.875</v>
      </c>
      <c r="BE8" s="33">
        <f t="shared" si="14"/>
        <v>-0.3079704549660533</v>
      </c>
      <c r="BF8" s="33">
        <f t="shared" si="15"/>
        <v>1.5268955707390952E-3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169.50596999999999</v>
      </c>
      <c r="J9" s="38">
        <f t="shared" si="1"/>
        <v>7.2425852539027566</v>
      </c>
      <c r="K9" s="38">
        <f t="shared" si="2"/>
        <v>1.7022568310535415</v>
      </c>
      <c r="L9" s="38">
        <f t="shared" si="3"/>
        <v>1.4192131088098821</v>
      </c>
      <c r="M9" s="38">
        <f t="shared" si="4"/>
        <v>5.540191587672993</v>
      </c>
      <c r="N9" s="35">
        <f t="shared" si="5"/>
        <v>42495720</v>
      </c>
      <c r="O9" s="38">
        <f t="shared" si="6"/>
        <v>0.49848501183352917</v>
      </c>
      <c r="P9" s="39">
        <v>362711744</v>
      </c>
      <c r="Q9" s="39">
        <v>1209039.14666667</v>
      </c>
      <c r="R9" s="39">
        <v>404767.61666666699</v>
      </c>
      <c r="S9" s="40">
        <v>180806368</v>
      </c>
      <c r="T9" s="40">
        <v>35429720</v>
      </c>
      <c r="U9" s="40">
        <v>7066000</v>
      </c>
      <c r="V9" s="40">
        <v>138307232</v>
      </c>
      <c r="W9" s="41">
        <v>71.549011333333297</v>
      </c>
      <c r="X9" s="41">
        <v>74.678683000000007</v>
      </c>
      <c r="Y9" s="41">
        <v>42.388778333333299</v>
      </c>
      <c r="Z9" s="41">
        <v>49.423475000000003</v>
      </c>
      <c r="AA9" s="41">
        <v>49.579479333333303</v>
      </c>
      <c r="AB9" s="42">
        <v>59661.4</v>
      </c>
      <c r="AC9" s="42">
        <v>16777.7</v>
      </c>
      <c r="AD9" s="42">
        <v>82.13</v>
      </c>
      <c r="AE9" s="42">
        <v>218.81299999999999</v>
      </c>
      <c r="AG9" s="37">
        <f t="shared" si="7"/>
        <v>168.10467</v>
      </c>
      <c r="AH9" s="38">
        <f t="shared" si="8"/>
        <v>7.1827110517357537</v>
      </c>
      <c r="AI9" s="38">
        <f t="shared" si="9"/>
        <v>1.7022020328916354</v>
      </c>
      <c r="AJ9" s="38">
        <f t="shared" si="10"/>
        <v>1.4195329249828785</v>
      </c>
      <c r="AK9" s="38">
        <f t="shared" si="11"/>
        <v>5.4803689790970251</v>
      </c>
      <c r="AL9" s="35">
        <f t="shared" si="12"/>
        <v>42494352</v>
      </c>
      <c r="AM9" s="38">
        <f t="shared" si="13"/>
        <v>0.71837619834282695</v>
      </c>
      <c r="AN9" s="39">
        <v>249606889</v>
      </c>
      <c r="AO9" s="39">
        <v>832022.96333333303</v>
      </c>
      <c r="AP9" s="39">
        <v>27433.703333333298</v>
      </c>
      <c r="AQ9" s="40">
        <v>179311648</v>
      </c>
      <c r="AR9" s="40">
        <v>35437704</v>
      </c>
      <c r="AS9" s="40">
        <v>7056648</v>
      </c>
      <c r="AT9" s="40">
        <v>136813800</v>
      </c>
      <c r="AU9" s="41">
        <v>71.537092000000001</v>
      </c>
      <c r="AV9" s="41">
        <v>74.345481333333296</v>
      </c>
      <c r="AW9" s="41">
        <v>42.250235666666597</v>
      </c>
      <c r="AX9" s="41">
        <v>49.423788999999999</v>
      </c>
      <c r="AY9" s="41">
        <v>49.569895666666604</v>
      </c>
      <c r="AZ9" s="42">
        <v>27456</v>
      </c>
      <c r="BA9" s="42">
        <v>16675.900000000001</v>
      </c>
      <c r="BB9" s="42">
        <v>64.480999999999995</v>
      </c>
      <c r="BC9" s="42">
        <v>215.35499999999999</v>
      </c>
      <c r="BE9" s="43">
        <f t="shared" si="14"/>
        <v>-0.30181225066215156</v>
      </c>
      <c r="BF9" s="43">
        <f t="shared" si="15"/>
        <v>1.9515890547439907E-3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32.373629999999999</v>
      </c>
      <c r="J10" s="28">
        <f t="shared" si="1"/>
        <v>1.5242636777592589</v>
      </c>
      <c r="K10" s="28">
        <f t="shared" si="2"/>
        <v>0.7960916343118446</v>
      </c>
      <c r="L10" s="28">
        <f t="shared" si="3"/>
        <v>0.3866555543730732</v>
      </c>
      <c r="M10" s="28">
        <f t="shared" si="4"/>
        <v>0.7280212585515583</v>
      </c>
      <c r="N10" s="25">
        <f t="shared" si="5"/>
        <v>18035288</v>
      </c>
      <c r="O10" s="28">
        <f t="shared" si="6"/>
        <v>0.10519857636175206</v>
      </c>
      <c r="P10" s="29">
        <v>328254176</v>
      </c>
      <c r="Q10" s="29">
        <v>1094180.5866666699</v>
      </c>
      <c r="R10" s="29">
        <v>447895.436666667</v>
      </c>
      <c r="S10" s="30">
        <v>34531872</v>
      </c>
      <c r="T10" s="30">
        <v>8759600</v>
      </c>
      <c r="U10" s="30">
        <v>9275688</v>
      </c>
      <c r="V10" s="30">
        <v>16493168</v>
      </c>
      <c r="W10" s="31">
        <v>65.876904999999994</v>
      </c>
      <c r="X10" s="31">
        <v>67.948941333333295</v>
      </c>
      <c r="Y10" s="31">
        <v>32.367558000000002</v>
      </c>
      <c r="Z10" s="31">
        <v>39.222036000000003</v>
      </c>
      <c r="AA10" s="31">
        <v>32.070196000000003</v>
      </c>
      <c r="AB10" s="32">
        <v>54998</v>
      </c>
      <c r="AC10" s="32">
        <v>12402.5</v>
      </c>
      <c r="AD10" s="32">
        <v>78.286000000000001</v>
      </c>
      <c r="AE10" s="32">
        <v>206.334</v>
      </c>
      <c r="AG10" s="27">
        <f t="shared" si="7"/>
        <v>32.386612499999998</v>
      </c>
      <c r="AH10" s="28">
        <f t="shared" si="8"/>
        <v>1.5248749392457375</v>
      </c>
      <c r="AI10" s="28">
        <f t="shared" si="9"/>
        <v>0.79623641606196371</v>
      </c>
      <c r="AJ10" s="28">
        <f t="shared" si="10"/>
        <v>0.3867233546072753</v>
      </c>
      <c r="AK10" s="28">
        <f t="shared" si="11"/>
        <v>0.72848420702571981</v>
      </c>
      <c r="AL10" s="25">
        <f t="shared" si="12"/>
        <v>18038568</v>
      </c>
      <c r="AM10" s="28">
        <f t="shared" si="13"/>
        <v>0.17216841734217794</v>
      </c>
      <c r="AN10" s="29">
        <v>200650738</v>
      </c>
      <c r="AO10" s="29">
        <v>668835.79333333299</v>
      </c>
      <c r="AP10" s="29">
        <v>20799.650000000001</v>
      </c>
      <c r="AQ10" s="30">
        <v>34545720</v>
      </c>
      <c r="AR10" s="30">
        <v>8761136</v>
      </c>
      <c r="AS10" s="30">
        <v>9277432</v>
      </c>
      <c r="AT10" s="30">
        <v>16503656</v>
      </c>
      <c r="AU10" s="31">
        <v>65.866316999999995</v>
      </c>
      <c r="AV10" s="31">
        <v>67.712698000000003</v>
      </c>
      <c r="AW10" s="31">
        <v>32.3842</v>
      </c>
      <c r="AX10" s="31">
        <v>39.222875000000002</v>
      </c>
      <c r="AY10" s="31">
        <v>32.076554666666702</v>
      </c>
      <c r="AZ10" s="32">
        <v>25067.1</v>
      </c>
      <c r="BA10" s="32">
        <v>12375.9</v>
      </c>
      <c r="BB10" s="32">
        <v>58.585999999999999</v>
      </c>
      <c r="BC10" s="32">
        <v>199.42</v>
      </c>
      <c r="BE10" s="33">
        <f t="shared" si="14"/>
        <v>-0.37824495849739082</v>
      </c>
      <c r="BF10" s="33">
        <f t="shared" si="15"/>
        <v>-1.1441435229164743E-4</v>
      </c>
      <c r="BG10" s="33">
        <f t="array" ref="BG10">AVERAGE(AL10:AL14/AQ10:AQ14) - AVERAGE(N10:N14/S10:S14)</f>
        <v>8.1323172675251687E-4</v>
      </c>
      <c r="BI10" s="34">
        <f>IF( OR(ISBLANK(N10:N14),ISBLANK(AL10:AL14), ISBLANK(W10:W14),ISBLANK(AU10:AU14)), "·", bdRateExtend( N10:N14,W10:W14, AL10:AL14,AU10:AU14))</f>
        <v>6.6790869957555898E-3</v>
      </c>
      <c r="BJ10" s="34">
        <f>IF( OR(ISBLANK(N10:N14),ISBLANK(AL10:AL14), ISBLANK(X10:X14),ISBLANK(AV10:AV14)), "·", bdRateExtend( N10:N14,X10:X14, AL10:AL14,AV10:AV14))</f>
        <v>4.5982418882041909E-2</v>
      </c>
      <c r="BK10" s="34">
        <f>IF( OR(ISBLANK(V10:V14),ISBLANK(AT10:AT14), ISBLANK(Y10:Y14),ISBLANK(AW10:AW14)), "·", bdRateExtend( V10:V14,Y10:Y14, AT10:AT14,AW10:AW14))</f>
        <v>-1.3054778255956467E-3</v>
      </c>
      <c r="BL10" s="34">
        <f>IF( OR(ISBLANK(V10:V14),ISBLANK(AT10:AT14), ISBLANK(Z10:Z14),ISBLANK(AX10:AX14)), "·", bdRateExtend( V10:V14,Z10:Z14, AT10:AT14,AX10:AX14))</f>
        <v>-4.4146504841117151E-3</v>
      </c>
      <c r="BM10" s="34">
        <f>IF( OR(ISBLANK(V10:V14),ISBLANK(AT10:AT14), ISBLANK(AA10:AA14),ISBLANK(AY10:AY14)), "·", bdRateExtend( V10:V14,AA10:AA14, AT10:AT14,AY10:AY14))</f>
        <v>-6.4475491144412311E-3</v>
      </c>
      <c r="BO10" s="34">
        <f>IF( OR(ISBLANK(S10:S14),ISBLANK(AQ10:AQ14), ISBLANK(W10:W14),ISBLANK(AU10:AU14)), "·", bdRateExtend( S10:S14,W10:W14, AQ10:AQ14,AU10:AU14))</f>
        <v>1.0362100719389478E-2</v>
      </c>
      <c r="BP10" s="34">
        <f>IF( OR(ISBLANK(S10:S14),ISBLANK(AQ10:AQ14), ISBLANK(X10:X14),ISBLANK(AV10:AV14)), "·", bdRateExtend( S10:S14,X10:X14, AQ10:AQ14,AV10:AV14))</f>
        <v>8.4907854679165506E-2</v>
      </c>
      <c r="BQ10" s="34">
        <f>IF( OR(ISBLANK(S10:S14),ISBLANK(AQ10:AQ14), ISBLANK(Y10:Y14),ISBLANK(AW10:AW14)), "·", bdRateExtend( S10:S14,Y10:Y14, AQ10:AQ14,AW10:AW14))</f>
        <v>-1.1952993388175681E-4</v>
      </c>
      <c r="BR10" s="34">
        <f>IF( OR(ISBLANK(S10:S14),ISBLANK(AQ10:AQ14), ISBLANK(Z10:Z14),ISBLANK(AX10:AX14)), "·", bdRateExtend( S10:S14,Z10:Z14, AQ10:AQ14,AX10:AX14))</f>
        <v>-3.270559069708856E-3</v>
      </c>
      <c r="BS10" s="34">
        <f>IF( OR(ISBLANK(S10:S14),ISBLANK(AQ10:AQ14), ISBLANK(AA10:AA14),ISBLANK(AY10:AY14)), "·", bdRateExtend( S10:S14,AA10:AA14, AQ10:AQ14,AY10:AY14))</f>
        <v>-4.7937930829644593E-3</v>
      </c>
    </row>
    <row r="11" spans="1:71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46.730347500000001</v>
      </c>
      <c r="J11" s="18">
        <f t="shared" si="1"/>
        <v>2.200228128366148</v>
      </c>
      <c r="K11" s="18">
        <f t="shared" si="2"/>
        <v>0.95430913084204849</v>
      </c>
      <c r="L11" s="18">
        <f t="shared" si="3"/>
        <v>0.54487305090327698</v>
      </c>
      <c r="M11" s="18">
        <f t="shared" si="4"/>
        <v>1.2457682126282439</v>
      </c>
      <c r="N11" s="15">
        <f t="shared" si="5"/>
        <v>21619672</v>
      </c>
      <c r="O11" s="18">
        <f t="shared" si="6"/>
        <v>0.15185093639143832</v>
      </c>
      <c r="P11" s="19">
        <v>328254176</v>
      </c>
      <c r="Q11" s="19">
        <v>1094180.5866666699</v>
      </c>
      <c r="R11" s="19">
        <v>398373.07</v>
      </c>
      <c r="S11" s="20">
        <v>49845704</v>
      </c>
      <c r="T11" s="20">
        <v>12343984</v>
      </c>
      <c r="U11" s="20">
        <v>9275688</v>
      </c>
      <c r="V11" s="20">
        <v>28222616</v>
      </c>
      <c r="W11" s="21">
        <v>67.611250666666706</v>
      </c>
      <c r="X11" s="21">
        <v>69.812407000000107</v>
      </c>
      <c r="Y11" s="21">
        <v>34.235886999999998</v>
      </c>
      <c r="Z11" s="21">
        <v>40.079538999999997</v>
      </c>
      <c r="AA11" s="21">
        <v>33.841180333333298</v>
      </c>
      <c r="AB11" s="22">
        <v>54962.5</v>
      </c>
      <c r="AC11" s="22">
        <v>13129.4</v>
      </c>
      <c r="AD11" s="22">
        <v>77.459999999999994</v>
      </c>
      <c r="AE11" s="22">
        <v>204.72</v>
      </c>
      <c r="AG11" s="17">
        <f t="shared" si="7"/>
        <v>46.695839999999997</v>
      </c>
      <c r="AH11" s="18">
        <f t="shared" si="8"/>
        <v>2.1986033946288353</v>
      </c>
      <c r="AI11" s="18">
        <f t="shared" si="9"/>
        <v>0.95382852605689683</v>
      </c>
      <c r="AJ11" s="18">
        <f t="shared" si="10"/>
        <v>0.54431546460220837</v>
      </c>
      <c r="AK11" s="18">
        <f t="shared" si="11"/>
        <v>1.2446205524138847</v>
      </c>
      <c r="AL11" s="15">
        <f t="shared" si="12"/>
        <v>21608784</v>
      </c>
      <c r="AM11" s="18">
        <f t="shared" si="13"/>
        <v>0.22937656572778053</v>
      </c>
      <c r="AN11" s="19">
        <v>217149018</v>
      </c>
      <c r="AO11" s="19">
        <v>723830.06</v>
      </c>
      <c r="AP11" s="19">
        <v>27236.1233333333</v>
      </c>
      <c r="AQ11" s="20">
        <v>49808896</v>
      </c>
      <c r="AR11" s="20">
        <v>12331352</v>
      </c>
      <c r="AS11" s="20">
        <v>9277432</v>
      </c>
      <c r="AT11" s="20">
        <v>28196616</v>
      </c>
      <c r="AU11" s="21">
        <v>67.585369666666693</v>
      </c>
      <c r="AV11" s="21">
        <v>69.586828666666705</v>
      </c>
      <c r="AW11" s="21">
        <v>34.248396</v>
      </c>
      <c r="AX11" s="21">
        <v>40.0766876666667</v>
      </c>
      <c r="AY11" s="21">
        <v>33.850871333333302</v>
      </c>
      <c r="AZ11" s="22">
        <v>25119.3</v>
      </c>
      <c r="BA11" s="22">
        <v>13107.2</v>
      </c>
      <c r="BB11" s="22">
        <v>64.855999999999995</v>
      </c>
      <c r="BC11" s="22">
        <v>209.16300000000001</v>
      </c>
      <c r="BE11" s="23">
        <f t="shared" si="14"/>
        <v>-0.32645568773637124</v>
      </c>
      <c r="BF11" s="23">
        <f t="shared" si="15"/>
        <v>1.0192564490901779E-4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73.111649999999997</v>
      </c>
      <c r="J12" s="28">
        <f t="shared" si="1"/>
        <v>3.4423520784060271</v>
      </c>
      <c r="K12" s="28">
        <f t="shared" si="2"/>
        <v>1.1904365121211238</v>
      </c>
      <c r="L12" s="28">
        <f t="shared" si="3"/>
        <v>0.78100043218235227</v>
      </c>
      <c r="M12" s="28">
        <f t="shared" si="4"/>
        <v>2.2517647813890478</v>
      </c>
      <c r="N12" s="25">
        <f t="shared" si="5"/>
        <v>26969088</v>
      </c>
      <c r="O12" s="28">
        <f t="shared" si="6"/>
        <v>0.23757735834562543</v>
      </c>
      <c r="P12" s="29">
        <v>328254176</v>
      </c>
      <c r="Q12" s="29">
        <v>1094180.5866666699</v>
      </c>
      <c r="R12" s="29">
        <v>389595.433333333</v>
      </c>
      <c r="S12" s="30">
        <v>77985760</v>
      </c>
      <c r="T12" s="30">
        <v>17693400</v>
      </c>
      <c r="U12" s="30">
        <v>9275688</v>
      </c>
      <c r="V12" s="30">
        <v>51013256</v>
      </c>
      <c r="W12" s="31">
        <v>68.964860666666695</v>
      </c>
      <c r="X12" s="31">
        <v>71.504440000000102</v>
      </c>
      <c r="Y12" s="31">
        <v>36.370486333333297</v>
      </c>
      <c r="Z12" s="31">
        <v>40.973171333333298</v>
      </c>
      <c r="AA12" s="31">
        <v>35.610940999999997</v>
      </c>
      <c r="AB12" s="32">
        <v>55030.1</v>
      </c>
      <c r="AC12" s="32">
        <v>13985.6</v>
      </c>
      <c r="AD12" s="32">
        <v>78.563000000000002</v>
      </c>
      <c r="AE12" s="32">
        <v>218.738</v>
      </c>
      <c r="AG12" s="27">
        <f t="shared" si="7"/>
        <v>72.884910000000005</v>
      </c>
      <c r="AH12" s="28">
        <f t="shared" si="8"/>
        <v>3.4316763665289489</v>
      </c>
      <c r="AI12" s="28">
        <f t="shared" si="9"/>
        <v>1.1897101314869893</v>
      </c>
      <c r="AJ12" s="28">
        <f t="shared" si="10"/>
        <v>0.78019707003230088</v>
      </c>
      <c r="AK12" s="28">
        <f t="shared" si="11"/>
        <v>2.2418119188839056</v>
      </c>
      <c r="AL12" s="25">
        <f t="shared" si="12"/>
        <v>26952632</v>
      </c>
      <c r="AM12" s="28">
        <f t="shared" si="13"/>
        <v>0.35301773023114047</v>
      </c>
      <c r="AN12" s="29">
        <v>220226627</v>
      </c>
      <c r="AO12" s="29">
        <v>734088.75666666694</v>
      </c>
      <c r="AP12" s="29">
        <v>28829.086666666699</v>
      </c>
      <c r="AQ12" s="30">
        <v>77743904</v>
      </c>
      <c r="AR12" s="30">
        <v>17675200</v>
      </c>
      <c r="AS12" s="30">
        <v>9277432</v>
      </c>
      <c r="AT12" s="30">
        <v>50787776</v>
      </c>
      <c r="AU12" s="31">
        <v>68.930546000000007</v>
      </c>
      <c r="AV12" s="31">
        <v>71.249751000000003</v>
      </c>
      <c r="AW12" s="31">
        <v>36.377043666666701</v>
      </c>
      <c r="AX12" s="31">
        <v>40.973402999999998</v>
      </c>
      <c r="AY12" s="31">
        <v>35.621159333333303</v>
      </c>
      <c r="AZ12" s="32">
        <v>25128.799999999999</v>
      </c>
      <c r="BA12" s="32">
        <v>13936.4</v>
      </c>
      <c r="BB12" s="32">
        <v>60.94</v>
      </c>
      <c r="BC12" s="32">
        <v>206.589</v>
      </c>
      <c r="BE12" s="33">
        <f t="shared" si="14"/>
        <v>-0.31678942908541941</v>
      </c>
      <c r="BF12" s="33">
        <f t="shared" si="15"/>
        <v>8.6415527403238546E-4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127.69716</v>
      </c>
      <c r="J13" s="18">
        <f t="shared" si="1"/>
        <v>6.0124287187137346</v>
      </c>
      <c r="K13" s="18">
        <f t="shared" si="2"/>
        <v>1.6008744111454758</v>
      </c>
      <c r="L13" s="18">
        <f t="shared" si="3"/>
        <v>1.1914383312067043</v>
      </c>
      <c r="M13" s="18">
        <f t="shared" si="4"/>
        <v>4.4114035226724031</v>
      </c>
      <c r="N13" s="15">
        <f t="shared" si="5"/>
        <v>36267472</v>
      </c>
      <c r="O13" s="18">
        <f t="shared" si="6"/>
        <v>0.41495375827297931</v>
      </c>
      <c r="P13" s="19">
        <v>328254176</v>
      </c>
      <c r="Q13" s="19">
        <v>1094180.5866666699</v>
      </c>
      <c r="R13" s="19">
        <v>363782.03</v>
      </c>
      <c r="S13" s="20">
        <v>136210304</v>
      </c>
      <c r="T13" s="20">
        <v>26991784</v>
      </c>
      <c r="U13" s="20">
        <v>9275688</v>
      </c>
      <c r="V13" s="20">
        <v>99939416</v>
      </c>
      <c r="W13" s="21">
        <v>69.961191666666593</v>
      </c>
      <c r="X13" s="21">
        <v>72.743088666666594</v>
      </c>
      <c r="Y13" s="21">
        <v>38.746521666666702</v>
      </c>
      <c r="Z13" s="21">
        <v>42.146796999999999</v>
      </c>
      <c r="AA13" s="21">
        <v>37.662047333333298</v>
      </c>
      <c r="AB13" s="22">
        <v>54952.1</v>
      </c>
      <c r="AC13" s="22">
        <v>15528.1</v>
      </c>
      <c r="AD13" s="22">
        <v>77.3</v>
      </c>
      <c r="AE13" s="22">
        <v>220.91399999999999</v>
      </c>
      <c r="AG13" s="17">
        <f t="shared" si="7"/>
        <v>126.982725</v>
      </c>
      <c r="AH13" s="18">
        <f t="shared" si="8"/>
        <v>5.9787906212677591</v>
      </c>
      <c r="AI13" s="18">
        <f t="shared" si="9"/>
        <v>1.6006604166562752</v>
      </c>
      <c r="AJ13" s="18">
        <f t="shared" si="10"/>
        <v>1.1911473552015868</v>
      </c>
      <c r="AK13" s="18">
        <f t="shared" si="11"/>
        <v>4.3779758884534301</v>
      </c>
      <c r="AL13" s="15">
        <f t="shared" si="12"/>
        <v>36262624</v>
      </c>
      <c r="AM13" s="18">
        <f t="shared" si="13"/>
        <v>0.59074984846055456</v>
      </c>
      <c r="AN13" s="19">
        <v>229281887</v>
      </c>
      <c r="AO13" s="19">
        <v>764272.95666666701</v>
      </c>
      <c r="AP13" s="19">
        <v>32806.8766666667</v>
      </c>
      <c r="AQ13" s="20">
        <v>135448240</v>
      </c>
      <c r="AR13" s="20">
        <v>26985192</v>
      </c>
      <c r="AS13" s="20">
        <v>9277432</v>
      </c>
      <c r="AT13" s="20">
        <v>99182120</v>
      </c>
      <c r="AU13" s="21">
        <v>69.921900666666602</v>
      </c>
      <c r="AV13" s="21">
        <v>72.4789136666666</v>
      </c>
      <c r="AW13" s="21">
        <v>38.728898666666701</v>
      </c>
      <c r="AX13" s="21">
        <v>42.1450483333333</v>
      </c>
      <c r="AY13" s="21">
        <v>37.667114666666698</v>
      </c>
      <c r="AZ13" s="22">
        <v>25185.8</v>
      </c>
      <c r="BA13" s="22">
        <v>15420.9</v>
      </c>
      <c r="BB13" s="22">
        <v>62.738999999999997</v>
      </c>
      <c r="BC13" s="22">
        <v>219.34899999999999</v>
      </c>
      <c r="BE13" s="23">
        <f t="shared" si="14"/>
        <v>-0.28954422479330583</v>
      </c>
      <c r="BF13" s="23">
        <f t="shared" si="15"/>
        <v>1.4622546013796645E-3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233.34996000000001</v>
      </c>
      <c r="J14" s="48">
        <f t="shared" si="1"/>
        <v>10.986931902124535</v>
      </c>
      <c r="K14" s="48">
        <f t="shared" si="2"/>
        <v>2.303870673878269</v>
      </c>
      <c r="L14" s="48">
        <f t="shared" si="3"/>
        <v>1.8944345939394978</v>
      </c>
      <c r="M14" s="48">
        <f t="shared" si="4"/>
        <v>8.6829104433504103</v>
      </c>
      <c r="N14" s="45">
        <f t="shared" si="5"/>
        <v>52193704</v>
      </c>
      <c r="O14" s="48">
        <f t="shared" si="6"/>
        <v>0.75827405163003925</v>
      </c>
      <c r="P14" s="49">
        <v>328254176</v>
      </c>
      <c r="Q14" s="49">
        <v>1094180.5866666699</v>
      </c>
      <c r="R14" s="49">
        <v>358089.80666666699</v>
      </c>
      <c r="S14" s="50">
        <v>248906624</v>
      </c>
      <c r="T14" s="50">
        <v>42918016</v>
      </c>
      <c r="U14" s="50">
        <v>9275688</v>
      </c>
      <c r="V14" s="50">
        <v>196709504</v>
      </c>
      <c r="W14" s="51">
        <v>70.787048333333402</v>
      </c>
      <c r="X14" s="51">
        <v>73.817616999999998</v>
      </c>
      <c r="Y14" s="51">
        <v>41.212274333333298</v>
      </c>
      <c r="Z14" s="51">
        <v>43.523901000000002</v>
      </c>
      <c r="AA14" s="51">
        <v>39.5645356666667</v>
      </c>
      <c r="AB14" s="52">
        <v>54913.1</v>
      </c>
      <c r="AC14" s="52">
        <v>18075.599999999999</v>
      </c>
      <c r="AD14" s="52">
        <v>77.113</v>
      </c>
      <c r="AE14" s="52">
        <v>232.65100000000001</v>
      </c>
      <c r="AG14" s="47">
        <f t="shared" si="7"/>
        <v>231.43059</v>
      </c>
      <c r="AH14" s="48">
        <f t="shared" si="8"/>
        <v>10.896561252457483</v>
      </c>
      <c r="AI14" s="48">
        <f t="shared" si="9"/>
        <v>2.3040140431235092</v>
      </c>
      <c r="AJ14" s="48">
        <f t="shared" si="10"/>
        <v>1.8945009816688207</v>
      </c>
      <c r="AK14" s="48">
        <f t="shared" si="11"/>
        <v>8.5923928931759193</v>
      </c>
      <c r="AL14" s="45">
        <f t="shared" si="12"/>
        <v>52196952</v>
      </c>
      <c r="AM14" s="48">
        <f t="shared" si="13"/>
        <v>1.0666648322825292</v>
      </c>
      <c r="AN14" s="49">
        <v>231430988</v>
      </c>
      <c r="AO14" s="49">
        <v>771436.62666666706</v>
      </c>
      <c r="AP14" s="49">
        <v>34752.61</v>
      </c>
      <c r="AQ14" s="50">
        <v>246859296</v>
      </c>
      <c r="AR14" s="50">
        <v>42919520</v>
      </c>
      <c r="AS14" s="50">
        <v>9277432</v>
      </c>
      <c r="AT14" s="50">
        <v>194658848</v>
      </c>
      <c r="AU14" s="51">
        <v>70.757208000000006</v>
      </c>
      <c r="AV14" s="51">
        <v>73.536471000000006</v>
      </c>
      <c r="AW14" s="51">
        <v>41.080714</v>
      </c>
      <c r="AX14" s="51">
        <v>43.523611000000002</v>
      </c>
      <c r="AY14" s="51">
        <v>39.551948000000003</v>
      </c>
      <c r="AZ14" s="52">
        <v>25106.6</v>
      </c>
      <c r="BA14" s="52">
        <v>17839.5</v>
      </c>
      <c r="BB14" s="52">
        <v>60.081000000000003</v>
      </c>
      <c r="BC14" s="52">
        <v>220.18600000000001</v>
      </c>
      <c r="BE14" s="53">
        <f t="shared" si="14"/>
        <v>-0.28221834699757903</v>
      </c>
      <c r="BF14" s="53">
        <f t="shared" si="15"/>
        <v>1.7522374657334694E-3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41.471107500000002</v>
      </c>
      <c r="J15" s="18">
        <f t="shared" si="1"/>
        <v>1.3030580730050838</v>
      </c>
      <c r="K15" s="18">
        <f t="shared" si="2"/>
        <v>0.73446374215786758</v>
      </c>
      <c r="L15" s="18">
        <f t="shared" si="3"/>
        <v>0.36961447600100839</v>
      </c>
      <c r="M15" s="18">
        <f t="shared" si="4"/>
        <v>0.56849370552683398</v>
      </c>
      <c r="N15" s="15">
        <f t="shared" si="5"/>
        <v>24933368</v>
      </c>
      <c r="O15" s="18">
        <f t="shared" si="6"/>
        <v>9.1628525957997392E-2</v>
      </c>
      <c r="P15" s="19">
        <v>482773760</v>
      </c>
      <c r="Q15" s="19">
        <v>1609245.86666667</v>
      </c>
      <c r="R15" s="19">
        <v>651672.44999999995</v>
      </c>
      <c r="S15" s="20">
        <v>44235848</v>
      </c>
      <c r="T15" s="20">
        <v>12547568</v>
      </c>
      <c r="U15" s="20">
        <v>12385800</v>
      </c>
      <c r="V15" s="20">
        <v>19299064</v>
      </c>
      <c r="W15" s="21">
        <v>66.055243666666698</v>
      </c>
      <c r="X15" s="21">
        <v>68.048644666666604</v>
      </c>
      <c r="Y15" s="21">
        <v>29.653808999999999</v>
      </c>
      <c r="Z15" s="21">
        <v>43.271338333333297</v>
      </c>
      <c r="AA15" s="21">
        <v>43.506217333333304</v>
      </c>
      <c r="AB15" s="22">
        <v>80837.600000000006</v>
      </c>
      <c r="AC15" s="22">
        <v>13183.5</v>
      </c>
      <c r="AD15" s="22">
        <v>103.82899999999999</v>
      </c>
      <c r="AE15" s="22">
        <v>208.47499999999999</v>
      </c>
      <c r="AG15" s="17">
        <f t="shared" si="7"/>
        <v>41.441257499999999</v>
      </c>
      <c r="AH15" s="18">
        <f t="shared" si="8"/>
        <v>1.3021201601827845</v>
      </c>
      <c r="AI15" s="18">
        <f t="shared" si="9"/>
        <v>0.73437537097486194</v>
      </c>
      <c r="AJ15" s="18">
        <f t="shared" si="10"/>
        <v>0.36900671791841794</v>
      </c>
      <c r="AK15" s="18">
        <f t="shared" si="11"/>
        <v>0.56764180732266012</v>
      </c>
      <c r="AL15" s="15">
        <f t="shared" si="12"/>
        <v>24930368</v>
      </c>
      <c r="AM15" s="18">
        <f t="shared" si="13"/>
        <v>0.14863897944826057</v>
      </c>
      <c r="AN15" s="19">
        <v>297391762</v>
      </c>
      <c r="AO15" s="19">
        <v>991305.87333333294</v>
      </c>
      <c r="AP15" s="19">
        <v>31361.393333333301</v>
      </c>
      <c r="AQ15" s="20">
        <v>44204008</v>
      </c>
      <c r="AR15" s="20">
        <v>12526936</v>
      </c>
      <c r="AS15" s="20">
        <v>12403432</v>
      </c>
      <c r="AT15" s="20">
        <v>19270144</v>
      </c>
      <c r="AU15" s="21">
        <v>66.042523333333307</v>
      </c>
      <c r="AV15" s="21">
        <v>67.822756666666706</v>
      </c>
      <c r="AW15" s="21">
        <v>29.6629133333334</v>
      </c>
      <c r="AX15" s="21">
        <v>43.267124000000003</v>
      </c>
      <c r="AY15" s="21">
        <v>43.5249843333333</v>
      </c>
      <c r="AZ15" s="22">
        <v>36793.9</v>
      </c>
      <c r="BA15" s="22">
        <v>12914.2</v>
      </c>
      <c r="BB15" s="22">
        <v>74.248000000000005</v>
      </c>
      <c r="BC15" s="22">
        <v>192.69399999999999</v>
      </c>
      <c r="BE15" s="23">
        <f t="shared" si="14"/>
        <v>-0.37331873565852297</v>
      </c>
      <c r="BF15" s="23">
        <f t="shared" si="15"/>
        <v>3.3812534092048097E-4</v>
      </c>
      <c r="BG15" s="23">
        <f t="array" ref="BG15">AVERAGE(AL15:AL19/AQ15:AQ19) - AVERAGE(N15:N19/S15:S19)</f>
        <v>1.3341198880822969E-3</v>
      </c>
      <c r="BI15" s="24">
        <f>IF( OR(ISBLANK(N15:N19),ISBLANK(AL15:AL19), ISBLANK(W15:W19),ISBLANK(AU15:AU19)), "·", bdRateExtend( N15:N19,W15:W19, AL15:AL19,AU15:AU19))</f>
        <v>2.6616110611910049E-3</v>
      </c>
      <c r="BJ15" s="24">
        <f>IF( OR(ISBLANK(N15:N19),ISBLANK(AL15:AL19), ISBLANK(X15:X19),ISBLANK(AV15:AV19)), "·", bdRateExtend( N15:N19,X15:X19, AL15:AL19,AV15:AV19))</f>
        <v>4.2564216973407953E-2</v>
      </c>
      <c r="BK15" s="24">
        <f>IF( OR(ISBLANK(V15:V19),ISBLANK(AT15:AT19), ISBLANK(Y15:Y19),ISBLANK(AW15:AW19)), "·", bdRateExtend( V15:V19,Y15:Y19, AT15:AT19,AW15:AW19))</f>
        <v>-2.655302823318606E-3</v>
      </c>
      <c r="BL15" s="24">
        <f>IF( OR(ISBLANK(V15:V19),ISBLANK(AT15:AT19), ISBLANK(Z15:Z19),ISBLANK(AX15:AX19)), "·", bdRateExtend( V15:V19,Z15:Z19, AT15:AT19,AX15:AX19))</f>
        <v>-1.0463233494524937E-2</v>
      </c>
      <c r="BM15" s="24">
        <f>IF( OR(ISBLANK(V15:V19),ISBLANK(AT15:AT19), ISBLANK(AA15:AA19),ISBLANK(AY15:AY19)), "·", bdRateExtend( V15:V19,AA15:AA19, AT15:AT19,AY15:AY19))</f>
        <v>-1.1055761366645434E-2</v>
      </c>
      <c r="BO15" s="24">
        <f>IF( OR(ISBLANK(S15:S19),ISBLANK(AQ15:AQ19), ISBLANK(W15:W19),ISBLANK(AU15:AU19)), "·", bdRateExtend( S15:S19,W15:W19, AQ15:AQ19,AU15:AU19))</f>
        <v>9.2273217646576811E-4</v>
      </c>
      <c r="BP15" s="24">
        <f>IF( OR(ISBLANK(S15:S19),ISBLANK(AQ15:AQ19), ISBLANK(X15:X19),ISBLANK(AV15:AV19)), "·", bdRateExtend( S15:S19,X15:X19, AQ15:AQ19,AV15:AV19))</f>
        <v>8.7664048154038499E-2</v>
      </c>
      <c r="BQ15" s="24">
        <f>IF( OR(ISBLANK(S15:S19),ISBLANK(AQ15:AQ19), ISBLANK(Y15:Y19),ISBLANK(AW15:AW19)), "·", bdRateExtend( S15:S19,Y15:Y19, AQ15:AQ19,AW15:AW19))</f>
        <v>-7.1950843783108454E-4</v>
      </c>
      <c r="BR15" s="24">
        <f>IF( OR(ISBLANK(S15:S19),ISBLANK(AQ15:AQ19), ISBLANK(Z15:Z19),ISBLANK(AX15:AX19)), "·", bdRateExtend( S15:S19,Z15:Z19, AQ15:AQ19,AX15:AX19))</f>
        <v>-7.6918439432336339E-3</v>
      </c>
      <c r="BS15" s="24">
        <f>IF( OR(ISBLANK(S15:S19),ISBLANK(AQ15:AQ19), ISBLANK(AA15:AA19),ISBLANK(AY15:AY19)), "·", bdRateExtend( S15:S19,AA15:AA19, AQ15:AQ19,AY15:AY19))</f>
        <v>-8.066816267767063E-3</v>
      </c>
    </row>
    <row r="16" spans="1:71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66.464167500000002</v>
      </c>
      <c r="J16" s="28">
        <f t="shared" si="1"/>
        <v>2.0883616389178208</v>
      </c>
      <c r="K16" s="28">
        <f t="shared" si="2"/>
        <v>0.88267564847805091</v>
      </c>
      <c r="L16" s="28">
        <f t="shared" si="3"/>
        <v>0.51782638232119171</v>
      </c>
      <c r="M16" s="28">
        <f t="shared" si="4"/>
        <v>1.2055853651193873</v>
      </c>
      <c r="N16" s="25">
        <f t="shared" si="5"/>
        <v>29964824</v>
      </c>
      <c r="O16" s="28">
        <f t="shared" si="6"/>
        <v>0.14684955536937219</v>
      </c>
      <c r="P16" s="29">
        <v>482773760</v>
      </c>
      <c r="Q16" s="29">
        <v>1609245.86666667</v>
      </c>
      <c r="R16" s="29">
        <v>581221.31000000006</v>
      </c>
      <c r="S16" s="30">
        <v>70895112</v>
      </c>
      <c r="T16" s="30">
        <v>17579024</v>
      </c>
      <c r="U16" s="30">
        <v>12385800</v>
      </c>
      <c r="V16" s="30">
        <v>40926872</v>
      </c>
      <c r="W16" s="31">
        <v>67.874140666666705</v>
      </c>
      <c r="X16" s="31">
        <v>70.082652666666704</v>
      </c>
      <c r="Y16" s="31">
        <v>32.124741666666701</v>
      </c>
      <c r="Z16" s="31">
        <v>44.1110203333333</v>
      </c>
      <c r="AA16" s="31">
        <v>44.449680999999998</v>
      </c>
      <c r="AB16" s="32">
        <v>80881.7</v>
      </c>
      <c r="AC16" s="32">
        <v>14321.9</v>
      </c>
      <c r="AD16" s="32">
        <v>103.07899999999999</v>
      </c>
      <c r="AE16" s="32">
        <v>214.48099999999999</v>
      </c>
      <c r="AG16" s="27">
        <f t="shared" si="7"/>
        <v>66.394672499999999</v>
      </c>
      <c r="AH16" s="28">
        <f t="shared" si="8"/>
        <v>2.0861780458998744</v>
      </c>
      <c r="AI16" s="28">
        <f t="shared" si="9"/>
        <v>0.88275459340153584</v>
      </c>
      <c r="AJ16" s="28">
        <f t="shared" si="10"/>
        <v>0.51738594034509178</v>
      </c>
      <c r="AK16" s="28">
        <f t="shared" si="11"/>
        <v>1.2033204706130762</v>
      </c>
      <c r="AL16" s="25">
        <f t="shared" si="12"/>
        <v>29967504</v>
      </c>
      <c r="AM16" s="28">
        <f t="shared" si="13"/>
        <v>0.22067988452463833</v>
      </c>
      <c r="AN16" s="29">
        <v>320921792</v>
      </c>
      <c r="AO16" s="29">
        <v>1069739.3066666699</v>
      </c>
      <c r="AP16" s="29">
        <v>39893.143333333297</v>
      </c>
      <c r="AQ16" s="30">
        <v>70820984</v>
      </c>
      <c r="AR16" s="30">
        <v>17564072</v>
      </c>
      <c r="AS16" s="30">
        <v>12403432</v>
      </c>
      <c r="AT16" s="30">
        <v>40849984</v>
      </c>
      <c r="AU16" s="31">
        <v>67.862285</v>
      </c>
      <c r="AV16" s="31">
        <v>69.860889333333404</v>
      </c>
      <c r="AW16" s="31">
        <v>32.137757999999998</v>
      </c>
      <c r="AX16" s="31">
        <v>44.127296999999999</v>
      </c>
      <c r="AY16" s="31">
        <v>44.458975666666703</v>
      </c>
      <c r="AZ16" s="32">
        <v>35825.800000000003</v>
      </c>
      <c r="BA16" s="32">
        <v>13879.7</v>
      </c>
      <c r="BB16" s="32">
        <v>83.463999999999999</v>
      </c>
      <c r="BC16" s="32">
        <v>209.483</v>
      </c>
      <c r="BE16" s="33">
        <f t="shared" si="14"/>
        <v>-0.32388380447638782</v>
      </c>
      <c r="BF16" s="33">
        <f t="shared" si="15"/>
        <v>4.802425498387497E-4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112.9198875</v>
      </c>
      <c r="J17" s="18">
        <f t="shared" si="1"/>
        <v>3.5480405487049231</v>
      </c>
      <c r="K17" s="18">
        <f t="shared" si="2"/>
        <v>1.0996714418329974</v>
      </c>
      <c r="L17" s="18">
        <f t="shared" si="3"/>
        <v>0.73482217567613828</v>
      </c>
      <c r="M17" s="18">
        <f t="shared" si="4"/>
        <v>2.4482684815515436</v>
      </c>
      <c r="N17" s="15">
        <f t="shared" si="5"/>
        <v>37331336</v>
      </c>
      <c r="O17" s="18">
        <f t="shared" si="6"/>
        <v>0.24949135595107738</v>
      </c>
      <c r="P17" s="19">
        <v>482773760</v>
      </c>
      <c r="Q17" s="19">
        <v>1609245.86666667</v>
      </c>
      <c r="R17" s="19">
        <v>572824.01</v>
      </c>
      <c r="S17" s="20">
        <v>120447880</v>
      </c>
      <c r="T17" s="20">
        <v>24945536</v>
      </c>
      <c r="U17" s="20">
        <v>12385800</v>
      </c>
      <c r="V17" s="20">
        <v>83113128</v>
      </c>
      <c r="W17" s="21">
        <v>69.268986333333302</v>
      </c>
      <c r="X17" s="21">
        <v>71.942477333333301</v>
      </c>
      <c r="Y17" s="21">
        <v>34.710371333333399</v>
      </c>
      <c r="Z17" s="21">
        <v>44.975056333333399</v>
      </c>
      <c r="AA17" s="21">
        <v>45.389139666666601</v>
      </c>
      <c r="AB17" s="22">
        <v>81087.3</v>
      </c>
      <c r="AC17" s="22">
        <v>15724.4</v>
      </c>
      <c r="AD17" s="22">
        <v>105.80500000000001</v>
      </c>
      <c r="AE17" s="22">
        <v>231.54</v>
      </c>
      <c r="AG17" s="17">
        <f t="shared" si="7"/>
        <v>112.40268</v>
      </c>
      <c r="AH17" s="18">
        <f t="shared" si="8"/>
        <v>3.531789441634928</v>
      </c>
      <c r="AI17" s="18">
        <f t="shared" si="9"/>
        <v>1.0999848649620572</v>
      </c>
      <c r="AJ17" s="18">
        <f t="shared" si="10"/>
        <v>0.73461621190561321</v>
      </c>
      <c r="AK17" s="18">
        <f t="shared" si="11"/>
        <v>2.4317015947876084</v>
      </c>
      <c r="AL17" s="15">
        <f t="shared" si="12"/>
        <v>37341976</v>
      </c>
      <c r="AM17" s="18">
        <f t="shared" si="13"/>
        <v>0.37017143038295769</v>
      </c>
      <c r="AN17" s="19">
        <v>323893694</v>
      </c>
      <c r="AO17" s="19">
        <v>1079645.64666667</v>
      </c>
      <c r="AP17" s="19">
        <v>41296.456666666701</v>
      </c>
      <c r="AQ17" s="20">
        <v>119896192</v>
      </c>
      <c r="AR17" s="20">
        <v>24938544</v>
      </c>
      <c r="AS17" s="20">
        <v>12403432</v>
      </c>
      <c r="AT17" s="20">
        <v>82550720</v>
      </c>
      <c r="AU17" s="21">
        <v>69.268638333333399</v>
      </c>
      <c r="AV17" s="21">
        <v>71.676719333333295</v>
      </c>
      <c r="AW17" s="21">
        <v>34.719066333333402</v>
      </c>
      <c r="AX17" s="21">
        <v>44.969608666666701</v>
      </c>
      <c r="AY17" s="21">
        <v>45.383939333333302</v>
      </c>
      <c r="AZ17" s="22">
        <v>36842.400000000001</v>
      </c>
      <c r="BA17" s="22">
        <v>15644.3</v>
      </c>
      <c r="BB17" s="22">
        <v>88.102000000000004</v>
      </c>
      <c r="BC17" s="22">
        <v>231.839</v>
      </c>
      <c r="BE17" s="23">
        <f t="shared" si="14"/>
        <v>-0.31770803347636672</v>
      </c>
      <c r="BF17" s="23">
        <f t="shared" si="15"/>
        <v>1.5148846142511996E-3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205.650645</v>
      </c>
      <c r="J18" s="28">
        <f t="shared" si="1"/>
        <v>6.4617211678263615</v>
      </c>
      <c r="K18" s="28">
        <f t="shared" si="2"/>
        <v>1.4623873098038578</v>
      </c>
      <c r="L18" s="28">
        <f t="shared" si="3"/>
        <v>1.0975380436469986</v>
      </c>
      <c r="M18" s="28">
        <f t="shared" si="4"/>
        <v>4.9992332327021218</v>
      </c>
      <c r="N18" s="25">
        <f t="shared" si="5"/>
        <v>49644712</v>
      </c>
      <c r="O18" s="28">
        <f t="shared" si="6"/>
        <v>0.45437574734799174</v>
      </c>
      <c r="P18" s="29">
        <v>482773760</v>
      </c>
      <c r="Q18" s="29">
        <v>1609245.86666667</v>
      </c>
      <c r="R18" s="29">
        <v>530368.86</v>
      </c>
      <c r="S18" s="30">
        <v>219360688</v>
      </c>
      <c r="T18" s="30">
        <v>37258912</v>
      </c>
      <c r="U18" s="30">
        <v>12385800</v>
      </c>
      <c r="V18" s="30">
        <v>169712560</v>
      </c>
      <c r="W18" s="31">
        <v>70.383084333333201</v>
      </c>
      <c r="X18" s="31">
        <v>73.264723333333293</v>
      </c>
      <c r="Y18" s="31">
        <v>37.400677666666702</v>
      </c>
      <c r="Z18" s="31">
        <v>46.341303000000003</v>
      </c>
      <c r="AA18" s="31">
        <v>46.824819666666698</v>
      </c>
      <c r="AB18" s="32">
        <v>80511.399999999994</v>
      </c>
      <c r="AC18" s="32">
        <v>18464.900000000001</v>
      </c>
      <c r="AD18" s="32">
        <v>104.03</v>
      </c>
      <c r="AE18" s="32">
        <v>237.99</v>
      </c>
      <c r="AG18" s="27">
        <f t="shared" si="7"/>
        <v>203.61165</v>
      </c>
      <c r="AH18" s="28">
        <f t="shared" si="8"/>
        <v>6.3976541810557048</v>
      </c>
      <c r="AI18" s="28">
        <f t="shared" si="9"/>
        <v>1.4625763063072457</v>
      </c>
      <c r="AJ18" s="28">
        <f t="shared" si="10"/>
        <v>1.0972076532508017</v>
      </c>
      <c r="AK18" s="28">
        <f t="shared" si="11"/>
        <v>4.9349748928631962</v>
      </c>
      <c r="AL18" s="25">
        <f t="shared" si="12"/>
        <v>49651128</v>
      </c>
      <c r="AM18" s="28">
        <f t="shared" si="13"/>
        <v>0.64267457647750093</v>
      </c>
      <c r="AN18" s="29">
        <v>337940488</v>
      </c>
      <c r="AO18" s="29">
        <v>1126468.29333333</v>
      </c>
      <c r="AP18" s="29">
        <v>46877.753333333298</v>
      </c>
      <c r="AQ18" s="30">
        <v>217185760</v>
      </c>
      <c r="AR18" s="30">
        <v>37247696</v>
      </c>
      <c r="AS18" s="30">
        <v>12403432</v>
      </c>
      <c r="AT18" s="30">
        <v>167531136</v>
      </c>
      <c r="AU18" s="31">
        <v>70.361512333333394</v>
      </c>
      <c r="AV18" s="31">
        <v>72.990505666666706</v>
      </c>
      <c r="AW18" s="31">
        <v>37.378506666666702</v>
      </c>
      <c r="AX18" s="31">
        <v>46.340462333333299</v>
      </c>
      <c r="AY18" s="31">
        <v>46.828205666666697</v>
      </c>
      <c r="AZ18" s="32">
        <v>36810.800000000003</v>
      </c>
      <c r="BA18" s="32">
        <v>18255.400000000001</v>
      </c>
      <c r="BB18" s="32">
        <v>88.703000000000003</v>
      </c>
      <c r="BC18" s="32">
        <v>236.26300000000001</v>
      </c>
      <c r="BE18" s="33">
        <f t="shared" si="14"/>
        <v>-0.28796122696320503</v>
      </c>
      <c r="BF18" s="33">
        <f t="shared" si="15"/>
        <v>2.2958954626531303E-3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379.06950000000001</v>
      </c>
      <c r="J19" s="38">
        <f t="shared" si="1"/>
        <v>11.91069161114158</v>
      </c>
      <c r="K19" s="38">
        <f t="shared" si="2"/>
        <v>2.06398768836244</v>
      </c>
      <c r="L19" s="38">
        <f t="shared" si="3"/>
        <v>1.699138422205581</v>
      </c>
      <c r="M19" s="38">
        <f t="shared" si="4"/>
        <v>9.8466032974587563</v>
      </c>
      <c r="N19" s="35">
        <f t="shared" si="5"/>
        <v>70067672</v>
      </c>
      <c r="O19" s="38">
        <f t="shared" si="6"/>
        <v>0.837536820559593</v>
      </c>
      <c r="P19" s="39">
        <v>482773760</v>
      </c>
      <c r="Q19" s="39">
        <v>1609245.86666667</v>
      </c>
      <c r="R19" s="39">
        <v>522538</v>
      </c>
      <c r="S19" s="40">
        <v>404340800</v>
      </c>
      <c r="T19" s="40">
        <v>57681872</v>
      </c>
      <c r="U19" s="40">
        <v>12385800</v>
      </c>
      <c r="V19" s="40">
        <v>334269712</v>
      </c>
      <c r="W19" s="41">
        <v>71.287615666666596</v>
      </c>
      <c r="X19" s="41">
        <v>74.435015666666601</v>
      </c>
      <c r="Y19" s="41">
        <v>39.667991333333298</v>
      </c>
      <c r="Z19" s="41">
        <v>48.201602000000001</v>
      </c>
      <c r="AA19" s="41">
        <v>48.762581333333301</v>
      </c>
      <c r="AB19" s="42">
        <v>80802.399999999994</v>
      </c>
      <c r="AC19" s="42">
        <v>22633.200000000001</v>
      </c>
      <c r="AD19" s="42">
        <v>104.273</v>
      </c>
      <c r="AE19" s="42">
        <v>256.15899999999999</v>
      </c>
      <c r="AG19" s="37">
        <f t="shared" si="7"/>
        <v>374.70119999999997</v>
      </c>
      <c r="AH19" s="38">
        <f t="shared" si="8"/>
        <v>11.773435846262185</v>
      </c>
      <c r="AI19" s="38">
        <f t="shared" si="9"/>
        <v>2.0642377198962238</v>
      </c>
      <c r="AJ19" s="38">
        <f t="shared" si="10"/>
        <v>1.6988690668397799</v>
      </c>
      <c r="AK19" s="38">
        <f t="shared" si="11"/>
        <v>9.709095144480699</v>
      </c>
      <c r="AL19" s="35">
        <f t="shared" si="12"/>
        <v>70076160</v>
      </c>
      <c r="AM19" s="38">
        <f t="shared" si="13"/>
        <v>1.171458008269896</v>
      </c>
      <c r="AN19" s="39">
        <v>341182763</v>
      </c>
      <c r="AO19" s="39">
        <v>1137275.87666667</v>
      </c>
      <c r="AP19" s="39">
        <v>49868.11</v>
      </c>
      <c r="AQ19" s="40">
        <v>399681280</v>
      </c>
      <c r="AR19" s="40">
        <v>57672728</v>
      </c>
      <c r="AS19" s="40">
        <v>12403432</v>
      </c>
      <c r="AT19" s="40">
        <v>329601624</v>
      </c>
      <c r="AU19" s="41">
        <v>71.274780666666601</v>
      </c>
      <c r="AV19" s="41">
        <v>74.136873999999906</v>
      </c>
      <c r="AW19" s="41">
        <v>39.472109000000003</v>
      </c>
      <c r="AX19" s="41">
        <v>48.195613000000002</v>
      </c>
      <c r="AY19" s="41">
        <v>48.754763333333301</v>
      </c>
      <c r="AZ19" s="42">
        <v>35612.300000000003</v>
      </c>
      <c r="BA19" s="42">
        <v>21597.599999999999</v>
      </c>
      <c r="BB19" s="42">
        <v>83.808999999999997</v>
      </c>
      <c r="BC19" s="42">
        <v>229.32400000000001</v>
      </c>
      <c r="BE19" s="43">
        <f t="shared" si="14"/>
        <v>-0.2808611236702736</v>
      </c>
      <c r="BF19" s="43">
        <f t="shared" si="15"/>
        <v>2.0414514727480904E-3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38.722949999999997</v>
      </c>
      <c r="J20" s="28">
        <f t="shared" si="1"/>
        <v>0.76941827638387672</v>
      </c>
      <c r="K20" s="28">
        <f t="shared" si="2"/>
        <v>0.4470397886744662</v>
      </c>
      <c r="L20" s="28">
        <f t="shared" si="3"/>
        <v>0.21632453361870543</v>
      </c>
      <c r="M20" s="28">
        <f t="shared" si="4"/>
        <v>0.32229279908504421</v>
      </c>
      <c r="N20" s="25">
        <f t="shared" si="5"/>
        <v>14398992</v>
      </c>
      <c r="O20" s="28">
        <f t="shared" si="6"/>
        <v>7.7809542898737247E-2</v>
      </c>
      <c r="P20" s="29">
        <v>318504480</v>
      </c>
      <c r="Q20" s="29">
        <v>1274017.92</v>
      </c>
      <c r="R20" s="29">
        <v>357433.18400000001</v>
      </c>
      <c r="S20" s="30">
        <v>24782688</v>
      </c>
      <c r="T20" s="30">
        <v>6967736</v>
      </c>
      <c r="U20" s="30">
        <v>7431256</v>
      </c>
      <c r="V20" s="30">
        <v>10380936</v>
      </c>
      <c r="W20" s="31">
        <v>67.301631599999993</v>
      </c>
      <c r="X20" s="31">
        <v>69.1455232</v>
      </c>
      <c r="Y20" s="31">
        <v>31.149092799999998</v>
      </c>
      <c r="Z20" s="31">
        <v>40.304790799999999</v>
      </c>
      <c r="AA20" s="31">
        <v>39.176703199999999</v>
      </c>
      <c r="AB20" s="32">
        <v>62919.4</v>
      </c>
      <c r="AC20" s="32">
        <v>11003.7</v>
      </c>
      <c r="AD20" s="32">
        <v>72.924000000000007</v>
      </c>
      <c r="AE20" s="32">
        <v>170.46700000000001</v>
      </c>
      <c r="AG20" s="27">
        <f t="shared" si="7"/>
        <v>38.624175000000001</v>
      </c>
      <c r="AH20" s="28">
        <f t="shared" si="8"/>
        <v>0.76745563432665176</v>
      </c>
      <c r="AI20" s="28">
        <f t="shared" si="9"/>
        <v>0.44738825574688923</v>
      </c>
      <c r="AJ20" s="28">
        <f t="shared" si="10"/>
        <v>0.21626542088653389</v>
      </c>
      <c r="AK20" s="28">
        <f t="shared" si="11"/>
        <v>0.31997970297280226</v>
      </c>
      <c r="AL20" s="25">
        <f t="shared" si="12"/>
        <v>14410216</v>
      </c>
      <c r="AM20" s="28">
        <f t="shared" si="13"/>
        <v>0.10458760170679272</v>
      </c>
      <c r="AN20" s="29">
        <v>236351839</v>
      </c>
      <c r="AO20" s="29">
        <v>945407.35600000003</v>
      </c>
      <c r="AP20" s="29">
        <v>27223.572</v>
      </c>
      <c r="AQ20" s="30">
        <v>24719472</v>
      </c>
      <c r="AR20" s="30">
        <v>6965832</v>
      </c>
      <c r="AS20" s="30">
        <v>7444384</v>
      </c>
      <c r="AT20" s="30">
        <v>10306432</v>
      </c>
      <c r="AU20" s="31">
        <v>67.265581600000104</v>
      </c>
      <c r="AV20" s="31">
        <v>68.972524000000007</v>
      </c>
      <c r="AW20" s="31">
        <v>31.1983876</v>
      </c>
      <c r="AX20" s="31">
        <v>40.288877200000002</v>
      </c>
      <c r="AY20" s="31">
        <v>39.161761599999998</v>
      </c>
      <c r="AZ20" s="32">
        <v>28811.599999999999</v>
      </c>
      <c r="BA20" s="32">
        <v>10761.3</v>
      </c>
      <c r="BB20" s="32">
        <v>57.978999999999999</v>
      </c>
      <c r="BC20" s="32">
        <v>162.922</v>
      </c>
      <c r="BE20" s="33">
        <f t="shared" si="14"/>
        <v>-0.25176025284188114</v>
      </c>
      <c r="BF20" s="33">
        <f t="shared" si="15"/>
        <v>1.9398931497016658E-3</v>
      </c>
      <c r="BG20" s="33">
        <f t="array" ref="BG20">AVERAGE(AL20:AL24/AQ20:AQ24) - AVERAGE(N20:N24/S20:S24)</f>
        <v>3.4310887721054062E-3</v>
      </c>
      <c r="BI20" s="34">
        <f>IF( OR(ISBLANK(N20:N24),ISBLANK(AL20:AL24), ISBLANK(W20:W24),ISBLANK(AU20:AU24)), "·", bdRateExtend( N20:N24,W20:W24, AL20:AL24,AU20:AU24))</f>
        <v>3.176565908039608E-3</v>
      </c>
      <c r="BJ20" s="34">
        <f>IF( OR(ISBLANK(N20:N24),ISBLANK(AL20:AL24), ISBLANK(X20:X24),ISBLANK(AV20:AV24)), "·", bdRateExtend( N20:N24,X20:X24, AL20:AL24,AV20:AV24))</f>
        <v>3.4550828878914031E-2</v>
      </c>
      <c r="BK20" s="34">
        <f>IF( OR(ISBLANK(V20:V24),ISBLANK(AT20:AT24), ISBLANK(Y20:Y24),ISBLANK(AW20:AW24)), "·", bdRateExtend( V20:V24,Y20:Y24, AT20:AT24,AW20:AW24))</f>
        <v>-2.9631178081709009E-2</v>
      </c>
      <c r="BL20" s="34">
        <f>IF( OR(ISBLANK(V20:V24),ISBLANK(AT20:AT24), ISBLANK(Z20:Z24),ISBLANK(AX20:AX24)), "·", bdRateExtend( V20:V24,Z20:Z24, AT20:AT24,AX20:AX24))</f>
        <v>-2.1789621424843864E-2</v>
      </c>
      <c r="BM20" s="34">
        <f>IF( OR(ISBLANK(V20:V24),ISBLANK(AT20:AT24), ISBLANK(AA20:AA24),ISBLANK(AY20:AY24)), "·", bdRateExtend( V20:V24,AA20:AA24, AT20:AT24,AY20:AY24))</f>
        <v>-2.0063272847554492E-2</v>
      </c>
      <c r="BO20" s="34">
        <f>IF( OR(ISBLANK(S20:S24),ISBLANK(AQ20:AQ24), ISBLANK(W20:W24),ISBLANK(AU20:AU24)), "·", bdRateExtend( S20:S24,W20:W24, AQ20:AQ24,AU20:AU24))</f>
        <v>-3.3646854312069374E-3</v>
      </c>
      <c r="BP20" s="34">
        <f>IF( OR(ISBLANK(S20:S24),ISBLANK(AQ20:AQ24), ISBLANK(X20:X24),ISBLANK(AV20:AV24)), "·", bdRateExtend( S20:S24,X20:X24, AQ20:AQ24,AV20:AV24))</f>
        <v>5.9900688625809106E-2</v>
      </c>
      <c r="BQ20" s="34">
        <f>IF( OR(ISBLANK(S20:S24),ISBLANK(AQ20:AQ24), ISBLANK(Y20:Y24),ISBLANK(AW20:AW24)), "·", bdRateExtend( S20:S24,Y20:Y24, AQ20:AQ24,AW20:AW24))</f>
        <v>-2.0210989113445432E-2</v>
      </c>
      <c r="BR20" s="34">
        <f>IF( OR(ISBLANK(S20:S24),ISBLANK(AQ20:AQ24), ISBLANK(Z20:Z24),ISBLANK(AX20:AX24)), "·", bdRateExtend( S20:S24,Z20:Z24, AQ20:AQ24,AX20:AX24))</f>
        <v>-1.5970560008678802E-2</v>
      </c>
      <c r="BS20" s="34">
        <f>IF( OR(ISBLANK(S20:S24),ISBLANK(AQ20:AQ24), ISBLANK(AA20:AA24),ISBLANK(AY20:AY24)), "·", bdRateExtend( S20:S24,AA20:AA24, AQ20:AQ24,AY20:AY24))</f>
        <v>-1.4337732995838182E-2</v>
      </c>
    </row>
    <row r="21" spans="1:71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60.630674999999997</v>
      </c>
      <c r="J21" s="18">
        <f t="shared" si="1"/>
        <v>1.2047209588755765</v>
      </c>
      <c r="K21" s="18">
        <f t="shared" si="2"/>
        <v>0.52785533822898933</v>
      </c>
      <c r="L21" s="18">
        <f t="shared" si="3"/>
        <v>0.2971400831732286</v>
      </c>
      <c r="M21" s="18">
        <f t="shared" si="4"/>
        <v>0.67677993202222075</v>
      </c>
      <c r="N21" s="15">
        <f t="shared" si="5"/>
        <v>17002032</v>
      </c>
      <c r="O21" s="18">
        <f t="shared" si="6"/>
        <v>0.12183072589748188</v>
      </c>
      <c r="P21" s="19">
        <v>318504480</v>
      </c>
      <c r="Q21" s="19">
        <v>1274017.92</v>
      </c>
      <c r="R21" s="19">
        <v>328252.38400000002</v>
      </c>
      <c r="S21" s="20">
        <v>38803632</v>
      </c>
      <c r="T21" s="20">
        <v>9570776</v>
      </c>
      <c r="U21" s="20">
        <v>7431256</v>
      </c>
      <c r="V21" s="20">
        <v>21798840</v>
      </c>
      <c r="W21" s="21">
        <v>68.870118000000005</v>
      </c>
      <c r="X21" s="21">
        <v>71.127839600000001</v>
      </c>
      <c r="Y21" s="21">
        <v>33.028263600000002</v>
      </c>
      <c r="Z21" s="21">
        <v>41.428196399999997</v>
      </c>
      <c r="AA21" s="21">
        <v>40.447871599999999</v>
      </c>
      <c r="AB21" s="22">
        <v>62915.6</v>
      </c>
      <c r="AC21" s="22">
        <v>11932.6</v>
      </c>
      <c r="AD21" s="22">
        <v>73.534000000000006</v>
      </c>
      <c r="AE21" s="22">
        <v>176.208</v>
      </c>
      <c r="AG21" s="17">
        <f t="shared" si="7"/>
        <v>60.159687499999997</v>
      </c>
      <c r="AH21" s="18">
        <f t="shared" si="8"/>
        <v>1.1953625192306541</v>
      </c>
      <c r="AI21" s="18">
        <f t="shared" si="9"/>
        <v>0.52792835983931896</v>
      </c>
      <c r="AJ21" s="18">
        <f t="shared" si="10"/>
        <v>0.29680552497896362</v>
      </c>
      <c r="AK21" s="18">
        <f t="shared" si="11"/>
        <v>0.66734648378437478</v>
      </c>
      <c r="AL21" s="15">
        <f t="shared" si="12"/>
        <v>17004384</v>
      </c>
      <c r="AM21" s="18">
        <f t="shared" si="13"/>
        <v>0.15729123400431383</v>
      </c>
      <c r="AN21" s="19">
        <v>244782872</v>
      </c>
      <c r="AO21" s="19">
        <v>979131.48800000001</v>
      </c>
      <c r="AP21" s="19">
        <v>32433.804</v>
      </c>
      <c r="AQ21" s="20">
        <v>38502200</v>
      </c>
      <c r="AR21" s="20">
        <v>9560000</v>
      </c>
      <c r="AS21" s="20">
        <v>7444384</v>
      </c>
      <c r="AT21" s="20">
        <v>21494992</v>
      </c>
      <c r="AU21" s="21">
        <v>68.844982400000006</v>
      </c>
      <c r="AV21" s="21">
        <v>70.948424399999993</v>
      </c>
      <c r="AW21" s="21">
        <v>33.072842399999999</v>
      </c>
      <c r="AX21" s="21">
        <v>41.4255304</v>
      </c>
      <c r="AY21" s="21">
        <v>40.4455752</v>
      </c>
      <c r="AZ21" s="22">
        <v>28955</v>
      </c>
      <c r="BA21" s="22">
        <v>11725.8</v>
      </c>
      <c r="BB21" s="22">
        <v>59.994</v>
      </c>
      <c r="BC21" s="22">
        <v>171.94900000000001</v>
      </c>
      <c r="BE21" s="23">
        <f t="shared" si="14"/>
        <v>-0.22452623336408539</v>
      </c>
      <c r="BF21" s="23">
        <f t="shared" si="15"/>
        <v>3.4913886675549399E-3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100.873525</v>
      </c>
      <c r="J22" s="28">
        <f t="shared" si="1"/>
        <v>2.0043393837056809</v>
      </c>
      <c r="K22" s="28">
        <f t="shared" si="2"/>
        <v>0.65171066937935329</v>
      </c>
      <c r="L22" s="28">
        <f t="shared" si="3"/>
        <v>0.4209954143235925</v>
      </c>
      <c r="M22" s="28">
        <f t="shared" si="4"/>
        <v>1.3525430257019613</v>
      </c>
      <c r="N22" s="25">
        <f t="shared" si="5"/>
        <v>20991368</v>
      </c>
      <c r="O22" s="28">
        <f t="shared" si="6"/>
        <v>0.20269434200737146</v>
      </c>
      <c r="P22" s="29">
        <v>318504480</v>
      </c>
      <c r="Q22" s="29">
        <v>1274017.92</v>
      </c>
      <c r="R22" s="29">
        <v>285529.44</v>
      </c>
      <c r="S22" s="30">
        <v>64559056</v>
      </c>
      <c r="T22" s="30">
        <v>13560112</v>
      </c>
      <c r="U22" s="30">
        <v>7431256</v>
      </c>
      <c r="V22" s="30">
        <v>43564928</v>
      </c>
      <c r="W22" s="31">
        <v>70.011018399999898</v>
      </c>
      <c r="X22" s="31">
        <v>72.597353600000005</v>
      </c>
      <c r="Y22" s="31">
        <v>34.9720984</v>
      </c>
      <c r="Z22" s="31">
        <v>42.493772800000002</v>
      </c>
      <c r="AA22" s="31">
        <v>41.562728</v>
      </c>
      <c r="AB22" s="32">
        <v>62924.1</v>
      </c>
      <c r="AC22" s="32">
        <v>12869.9</v>
      </c>
      <c r="AD22" s="32">
        <v>72.686000000000007</v>
      </c>
      <c r="AE22" s="32">
        <v>184.358</v>
      </c>
      <c r="AG22" s="27">
        <f t="shared" si="7"/>
        <v>99.490674999999996</v>
      </c>
      <c r="AH22" s="28">
        <f t="shared" si="8"/>
        <v>1.9768623949045321</v>
      </c>
      <c r="AI22" s="28">
        <f t="shared" si="9"/>
        <v>0.65165900783190922</v>
      </c>
      <c r="AJ22" s="28">
        <f t="shared" si="10"/>
        <v>0.42053617297155388</v>
      </c>
      <c r="AK22" s="28">
        <f t="shared" si="11"/>
        <v>1.3251157114656626</v>
      </c>
      <c r="AL22" s="25">
        <f t="shared" si="12"/>
        <v>20989704</v>
      </c>
      <c r="AM22" s="28">
        <f t="shared" si="13"/>
        <v>0.24879472605459513</v>
      </c>
      <c r="AN22" s="29">
        <v>255929991</v>
      </c>
      <c r="AO22" s="29">
        <v>1023719.964</v>
      </c>
      <c r="AP22" s="29">
        <v>34789.008000000002</v>
      </c>
      <c r="AQ22" s="30">
        <v>63674032</v>
      </c>
      <c r="AR22" s="30">
        <v>13545320</v>
      </c>
      <c r="AS22" s="30">
        <v>7444384</v>
      </c>
      <c r="AT22" s="30">
        <v>42681504</v>
      </c>
      <c r="AU22" s="31">
        <v>69.992271599999995</v>
      </c>
      <c r="AV22" s="31">
        <v>72.405390400000002</v>
      </c>
      <c r="AW22" s="31">
        <v>35.012950799999999</v>
      </c>
      <c r="AX22" s="31">
        <v>42.508217999999999</v>
      </c>
      <c r="AY22" s="31">
        <v>41.572006799999997</v>
      </c>
      <c r="AZ22" s="32">
        <v>29605.200000000001</v>
      </c>
      <c r="BA22" s="32">
        <v>12833.1</v>
      </c>
      <c r="BB22" s="32">
        <v>62.808</v>
      </c>
      <c r="BC22" s="32">
        <v>181.488</v>
      </c>
      <c r="BE22" s="33">
        <f t="shared" si="14"/>
        <v>-0.19013435311321972</v>
      </c>
      <c r="BF22" s="33">
        <f t="shared" si="15"/>
        <v>4.4932199270913409E-3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175.26706250000001</v>
      </c>
      <c r="J23" s="18">
        <f t="shared" si="1"/>
        <v>3.4825260248926075</v>
      </c>
      <c r="K23" s="18">
        <f t="shared" si="2"/>
        <v>0.86228065303300627</v>
      </c>
      <c r="L23" s="18">
        <f t="shared" si="3"/>
        <v>0.63156539797724554</v>
      </c>
      <c r="M23" s="18">
        <f t="shared" si="4"/>
        <v>2.6201596832352347</v>
      </c>
      <c r="N23" s="15">
        <f t="shared" si="5"/>
        <v>27773752</v>
      </c>
      <c r="O23" s="18">
        <f t="shared" si="6"/>
        <v>0.35218003840950685</v>
      </c>
      <c r="P23" s="19">
        <v>318504480</v>
      </c>
      <c r="Q23" s="19">
        <v>1274017.92</v>
      </c>
      <c r="R23" s="19">
        <v>286985.924</v>
      </c>
      <c r="S23" s="20">
        <v>112170920</v>
      </c>
      <c r="T23" s="20">
        <v>20342496</v>
      </c>
      <c r="U23" s="20">
        <v>7431256</v>
      </c>
      <c r="V23" s="20">
        <v>84394408</v>
      </c>
      <c r="W23" s="21">
        <v>71.021031199999996</v>
      </c>
      <c r="X23" s="21">
        <v>73.959031199999998</v>
      </c>
      <c r="Y23" s="21">
        <v>36.6080404</v>
      </c>
      <c r="Z23" s="21">
        <v>43.821202800000002</v>
      </c>
      <c r="AA23" s="21">
        <v>42.798029999999997</v>
      </c>
      <c r="AB23" s="22">
        <v>62912.2</v>
      </c>
      <c r="AC23" s="22">
        <v>14326.9</v>
      </c>
      <c r="AD23" s="22">
        <v>72.400999999999996</v>
      </c>
      <c r="AE23" s="22">
        <v>184.96600000000001</v>
      </c>
      <c r="AG23" s="17">
        <f t="shared" si="7"/>
        <v>172.3972</v>
      </c>
      <c r="AH23" s="18">
        <f t="shared" si="8"/>
        <v>3.4255023565458331</v>
      </c>
      <c r="AI23" s="18">
        <f t="shared" si="9"/>
        <v>0.86238472124636711</v>
      </c>
      <c r="AJ23" s="18">
        <f t="shared" si="10"/>
        <v>0.63126188638601177</v>
      </c>
      <c r="AK23" s="18">
        <f t="shared" si="11"/>
        <v>2.5630299596925057</v>
      </c>
      <c r="AL23" s="15">
        <f t="shared" si="12"/>
        <v>27777104</v>
      </c>
      <c r="AM23" s="18">
        <f t="shared" si="13"/>
        <v>0.43105032464180637</v>
      </c>
      <c r="AN23" s="19">
        <v>255965955</v>
      </c>
      <c r="AO23" s="19">
        <v>1023863.82</v>
      </c>
      <c r="AP23" s="19">
        <v>36563.96</v>
      </c>
      <c r="AQ23" s="20">
        <v>110334208</v>
      </c>
      <c r="AR23" s="20">
        <v>20332720</v>
      </c>
      <c r="AS23" s="20">
        <v>7444384</v>
      </c>
      <c r="AT23" s="20">
        <v>82554280</v>
      </c>
      <c r="AU23" s="21">
        <v>71.012919999999994</v>
      </c>
      <c r="AV23" s="21">
        <v>73.748035999999999</v>
      </c>
      <c r="AW23" s="21">
        <v>36.631501200000002</v>
      </c>
      <c r="AX23" s="21">
        <v>43.836953600000001</v>
      </c>
      <c r="AY23" s="21">
        <v>42.8144536</v>
      </c>
      <c r="AZ23" s="22">
        <v>29595.4</v>
      </c>
      <c r="BA23" s="22">
        <v>14279</v>
      </c>
      <c r="BB23" s="22">
        <v>63.573999999999998</v>
      </c>
      <c r="BC23" s="22">
        <v>190.732</v>
      </c>
      <c r="BE23" s="23">
        <f t="shared" si="14"/>
        <v>-0.18954876667903714</v>
      </c>
      <c r="BF23" s="23">
        <f t="shared" si="15"/>
        <v>4.152163700910233E-3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302.54244999999997</v>
      </c>
      <c r="J24" s="48">
        <f t="shared" si="1"/>
        <v>6.011465820965479</v>
      </c>
      <c r="K24" s="48">
        <f t="shared" si="2"/>
        <v>1.2165390345990486</v>
      </c>
      <c r="L24" s="48">
        <f t="shared" si="3"/>
        <v>0.9858237795432877</v>
      </c>
      <c r="M24" s="48">
        <f t="shared" si="4"/>
        <v>4.7948410977420641</v>
      </c>
      <c r="N24" s="45">
        <f t="shared" si="5"/>
        <v>39184288</v>
      </c>
      <c r="O24" s="48">
        <f t="shared" si="6"/>
        <v>0.60792604235896464</v>
      </c>
      <c r="P24" s="49">
        <v>318504480</v>
      </c>
      <c r="Q24" s="49">
        <v>1274017.92</v>
      </c>
      <c r="R24" s="49">
        <v>274498.85600000003</v>
      </c>
      <c r="S24" s="50">
        <v>193627168</v>
      </c>
      <c r="T24" s="50">
        <v>31753032</v>
      </c>
      <c r="U24" s="50">
        <v>7431256</v>
      </c>
      <c r="V24" s="50">
        <v>154440120</v>
      </c>
      <c r="W24" s="51">
        <v>71.709531600000005</v>
      </c>
      <c r="X24" s="51">
        <v>74.905687200000003</v>
      </c>
      <c r="Y24" s="51">
        <v>37.954651599999998</v>
      </c>
      <c r="Z24" s="51">
        <v>45.129781999999999</v>
      </c>
      <c r="AA24" s="51">
        <v>43.944390400000003</v>
      </c>
      <c r="AB24" s="52">
        <v>62968.7</v>
      </c>
      <c r="AC24" s="52">
        <v>16311.7</v>
      </c>
      <c r="AD24" s="52">
        <v>75.069000000000003</v>
      </c>
      <c r="AE24" s="52">
        <v>198.47800000000001</v>
      </c>
      <c r="AG24" s="47">
        <f t="shared" si="7"/>
        <v>297.89834999999999</v>
      </c>
      <c r="AH24" s="48">
        <f t="shared" si="8"/>
        <v>5.9191883623174588</v>
      </c>
      <c r="AI24" s="48">
        <f t="shared" si="9"/>
        <v>1.2160887346686828</v>
      </c>
      <c r="AJ24" s="48">
        <f t="shared" si="10"/>
        <v>0.98496589980832761</v>
      </c>
      <c r="AK24" s="48">
        <f t="shared" si="11"/>
        <v>4.7030119520418152</v>
      </c>
      <c r="AL24" s="45">
        <f t="shared" si="12"/>
        <v>39169784</v>
      </c>
      <c r="AM24" s="48">
        <f t="shared" si="13"/>
        <v>0.7358185308063715</v>
      </c>
      <c r="AN24" s="49">
        <v>259105929</v>
      </c>
      <c r="AO24" s="49">
        <v>1036423.716</v>
      </c>
      <c r="AP24" s="49">
        <v>37859.027999999998</v>
      </c>
      <c r="AQ24" s="50">
        <v>190654944</v>
      </c>
      <c r="AR24" s="50">
        <v>31725400</v>
      </c>
      <c r="AS24" s="50">
        <v>7444384</v>
      </c>
      <c r="AT24" s="50">
        <v>151482336</v>
      </c>
      <c r="AU24" s="51">
        <v>71.717390399999999</v>
      </c>
      <c r="AV24" s="51">
        <v>74.693021200000004</v>
      </c>
      <c r="AW24" s="51">
        <v>37.921635999999999</v>
      </c>
      <c r="AX24" s="51">
        <v>45.1555508</v>
      </c>
      <c r="AY24" s="51">
        <v>43.949670400000002</v>
      </c>
      <c r="AZ24" s="52">
        <v>29519.200000000001</v>
      </c>
      <c r="BA24" s="52">
        <v>16126.7</v>
      </c>
      <c r="BB24" s="52">
        <v>64.245999999999995</v>
      </c>
      <c r="BC24" s="52">
        <v>198.68</v>
      </c>
      <c r="BE24" s="53">
        <f t="shared" si="14"/>
        <v>-0.17893065629000024</v>
      </c>
      <c r="BF24" s="53">
        <f t="shared" si="15"/>
        <v>3.0787784152691844E-3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46.3377075</v>
      </c>
      <c r="J25" s="18">
        <f t="shared" si="1"/>
        <v>1.9526742773741637</v>
      </c>
      <c r="K25" s="18">
        <f t="shared" si="2"/>
        <v>0.66986910135140043</v>
      </c>
      <c r="L25" s="18">
        <f t="shared" si="3"/>
        <v>0.35408784498100693</v>
      </c>
      <c r="M25" s="18">
        <f t="shared" si="4"/>
        <v>1.2826702224458455</v>
      </c>
      <c r="N25" s="15">
        <f t="shared" si="5"/>
        <v>16956000</v>
      </c>
      <c r="O25" s="18">
        <f t="shared" si="6"/>
        <v>0.13197093938167218</v>
      </c>
      <c r="P25" s="19">
        <v>374528576</v>
      </c>
      <c r="Q25" s="19">
        <v>1248428.5866666699</v>
      </c>
      <c r="R25" s="19">
        <v>503780.29666666698</v>
      </c>
      <c r="S25" s="20">
        <v>49426888</v>
      </c>
      <c r="T25" s="20">
        <v>8962816</v>
      </c>
      <c r="U25" s="20">
        <v>7993184</v>
      </c>
      <c r="V25" s="20">
        <v>32467472</v>
      </c>
      <c r="W25" s="21">
        <v>66.337919333333303</v>
      </c>
      <c r="X25" s="21">
        <v>68.362928666666605</v>
      </c>
      <c r="Y25" s="21">
        <v>27.428224333333301</v>
      </c>
      <c r="Z25" s="21">
        <v>33.183524666666699</v>
      </c>
      <c r="AA25" s="21">
        <v>32.639006666666702</v>
      </c>
      <c r="AB25" s="22">
        <v>62874.400000000001</v>
      </c>
      <c r="AC25" s="22">
        <v>13092</v>
      </c>
      <c r="AD25" s="22">
        <v>85.778000000000006</v>
      </c>
      <c r="AE25" s="22">
        <v>216.67099999999999</v>
      </c>
      <c r="AG25" s="17">
        <f t="shared" si="7"/>
        <v>46.263502500000001</v>
      </c>
      <c r="AH25" s="18">
        <f t="shared" si="8"/>
        <v>1.9495472734162629</v>
      </c>
      <c r="AI25" s="18">
        <f t="shared" si="9"/>
        <v>0.67001827720223217</v>
      </c>
      <c r="AJ25" s="18">
        <f t="shared" si="10"/>
        <v>0.3540872128799441</v>
      </c>
      <c r="AK25" s="18">
        <f t="shared" si="11"/>
        <v>1.2793908821317987</v>
      </c>
      <c r="AL25" s="15">
        <f t="shared" si="12"/>
        <v>16959776</v>
      </c>
      <c r="AM25" s="18">
        <f t="shared" si="13"/>
        <v>0.21516789235220249</v>
      </c>
      <c r="AN25" s="19">
        <v>229345259</v>
      </c>
      <c r="AO25" s="19">
        <v>764484.19666666701</v>
      </c>
      <c r="AP25" s="19">
        <v>18984.273333333302</v>
      </c>
      <c r="AQ25" s="20">
        <v>49347736</v>
      </c>
      <c r="AR25" s="20">
        <v>8962800</v>
      </c>
      <c r="AS25" s="20">
        <v>7996976</v>
      </c>
      <c r="AT25" s="20">
        <v>32384464</v>
      </c>
      <c r="AU25" s="21">
        <v>66.315518333333301</v>
      </c>
      <c r="AV25" s="21">
        <v>68.122935333333402</v>
      </c>
      <c r="AW25" s="21">
        <v>27.436748666666599</v>
      </c>
      <c r="AX25" s="21">
        <v>33.180985</v>
      </c>
      <c r="AY25" s="21">
        <v>32.635224000000001</v>
      </c>
      <c r="AZ25" s="22">
        <v>28964.5</v>
      </c>
      <c r="BA25" s="22">
        <v>13156.8</v>
      </c>
      <c r="BB25" s="22">
        <v>65.997</v>
      </c>
      <c r="BC25" s="22">
        <v>218.18199999999999</v>
      </c>
      <c r="BE25" s="23">
        <f t="shared" si="14"/>
        <v>-0.37869874204630255</v>
      </c>
      <c r="BF25" s="23">
        <f t="shared" si="15"/>
        <v>6.2676154915375371E-4</v>
      </c>
      <c r="BG25" s="23">
        <f t="array" ref="BG25">AVERAGE(AL25:AL29/AQ25:AQ29) - AVERAGE(N25:N29/S25:S29)</f>
        <v>1.6757761829036821E-3</v>
      </c>
      <c r="BI25" s="24">
        <f>IF( OR(ISBLANK(N25:N29),ISBLANK(AL25:AL29), ISBLANK(W25:W29),ISBLANK(AU25:AU29)), "·", bdRateExtend( N25:N29,W25:W29, AL25:AL29,AU25:AU29))</f>
        <v>6.1707609418029108E-3</v>
      </c>
      <c r="BJ25" s="24">
        <f>IF( OR(ISBLANK(N25:N29),ISBLANK(AL25:AL29), ISBLANK(X25:X29),ISBLANK(AV25:AV29)), "·", bdRateExtend( N25:N29,X25:X29, AL25:AL29,AV25:AV29))</f>
        <v>4.9617034802837967E-2</v>
      </c>
      <c r="BK25" s="24">
        <f>IF( OR(ISBLANK(V25:V29),ISBLANK(AT25:AT29), ISBLANK(Y25:Y29),ISBLANK(AW25:AW29)), "·", bdRateExtend( V25:V29,Y25:Y29, AT25:AT29,AW25:AW29))</f>
        <v>8.855239381081903E-3</v>
      </c>
      <c r="BL25" s="24">
        <f>IF( OR(ISBLANK(V25:V29),ISBLANK(AT25:AT29), ISBLANK(Z25:Z29),ISBLANK(AX25:AX29)), "·", bdRateExtend( V25:V29,Z25:Z29, AT25:AT29,AX25:AX29))</f>
        <v>-1.3462321677893296E-2</v>
      </c>
      <c r="BM25" s="24">
        <f>IF( OR(ISBLANK(V25:V29),ISBLANK(AT25:AT29), ISBLANK(AA25:AA29),ISBLANK(AY25:AY29)), "·", bdRateExtend( V25:V29,AA25:AA29, AT25:AT29,AY25:AY29))</f>
        <v>-1.2861223036962466E-2</v>
      </c>
      <c r="BO25" s="24">
        <f>IF( OR(ISBLANK(S25:S29),ISBLANK(AQ25:AQ29), ISBLANK(W25:W29),ISBLANK(AU25:AU29)), "·", bdRateExtend( S25:S29,W25:W29, AQ25:AQ29,AU25:AU29))</f>
        <v>2.4902902647621072E-3</v>
      </c>
      <c r="BP25" s="24">
        <f>IF( OR(ISBLANK(S25:S29),ISBLANK(AQ25:AQ29), ISBLANK(X25:X29),ISBLANK(AV25:AV29)), "·", bdRateExtend( S25:S29,X25:X29, AQ25:AQ29,AV25:AV29))</f>
        <v>0.10253257561765095</v>
      </c>
      <c r="BQ25" s="24">
        <f>IF( OR(ISBLANK(S25:S29),ISBLANK(AQ25:AQ29), ISBLANK(Y25:Y29),ISBLANK(AW25:AW29)), "·", bdRateExtend( S25:S29,Y25:Y29, AQ25:AQ29,AW25:AW29))</f>
        <v>1.0089782232505451E-2</v>
      </c>
      <c r="BR25" s="24">
        <f>IF( OR(ISBLANK(S25:S29),ISBLANK(AQ25:AQ29), ISBLANK(Z25:Z29),ISBLANK(AX25:AX29)), "·", bdRateExtend( S25:S29,Z25:Z29, AQ25:AQ29,AX25:AX29))</f>
        <v>-1.1451319072396937E-2</v>
      </c>
      <c r="BS25" s="24">
        <f>IF( OR(ISBLANK(S25:S29),ISBLANK(AQ25:AQ29), ISBLANK(AA25:AA29),ISBLANK(AY25:AY29)), "·", bdRateExtend( S25:S29,AA25:AA29, AQ25:AQ29,AY25:AY29))</f>
        <v>-1.0846532353627425E-2</v>
      </c>
    </row>
    <row r="26" spans="1:71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80.643307500000006</v>
      </c>
      <c r="J26" s="28">
        <f t="shared" si="1"/>
        <v>3.398314692146239</v>
      </c>
      <c r="K26" s="28">
        <f t="shared" si="2"/>
        <v>0.80766523674871238</v>
      </c>
      <c r="L26" s="28">
        <f t="shared" si="3"/>
        <v>0.49188398037831882</v>
      </c>
      <c r="M26" s="28">
        <f t="shared" si="4"/>
        <v>2.5905145018206093</v>
      </c>
      <c r="N26" s="25">
        <f t="shared" si="5"/>
        <v>20443952</v>
      </c>
      <c r="O26" s="28">
        <f t="shared" si="6"/>
        <v>0.22967413840272632</v>
      </c>
      <c r="P26" s="29">
        <v>374528576</v>
      </c>
      <c r="Q26" s="29">
        <v>1248428.5866666699</v>
      </c>
      <c r="R26" s="29">
        <v>448065</v>
      </c>
      <c r="S26" s="30">
        <v>86019528</v>
      </c>
      <c r="T26" s="30">
        <v>12450768</v>
      </c>
      <c r="U26" s="30">
        <v>7993184</v>
      </c>
      <c r="V26" s="30">
        <v>65572160</v>
      </c>
      <c r="W26" s="31">
        <v>68.118369999999999</v>
      </c>
      <c r="X26" s="31">
        <v>70.312924333333299</v>
      </c>
      <c r="Y26" s="31">
        <v>29.849872999999999</v>
      </c>
      <c r="Z26" s="31">
        <v>34.366603333333401</v>
      </c>
      <c r="AA26" s="31">
        <v>33.974901666666703</v>
      </c>
      <c r="AB26" s="32">
        <v>62902.5</v>
      </c>
      <c r="AC26" s="32">
        <v>14121.6</v>
      </c>
      <c r="AD26" s="32">
        <v>85.677000000000007</v>
      </c>
      <c r="AE26" s="32">
        <v>220.35400000000001</v>
      </c>
      <c r="AG26" s="27">
        <f t="shared" si="7"/>
        <v>80.310742500000003</v>
      </c>
      <c r="AH26" s="28">
        <f t="shared" si="8"/>
        <v>3.3843003794818731</v>
      </c>
      <c r="AI26" s="28">
        <f t="shared" si="9"/>
        <v>0.80857830673399389</v>
      </c>
      <c r="AJ26" s="28">
        <f t="shared" si="10"/>
        <v>0.49264724241170577</v>
      </c>
      <c r="AK26" s="28">
        <f t="shared" si="11"/>
        <v>2.5755839586656473</v>
      </c>
      <c r="AL26" s="25">
        <f t="shared" si="12"/>
        <v>20467064</v>
      </c>
      <c r="AM26" s="28">
        <f t="shared" si="13"/>
        <v>0.34540668614214326</v>
      </c>
      <c r="AN26" s="29">
        <v>248011389</v>
      </c>
      <c r="AO26" s="29">
        <v>826704.63</v>
      </c>
      <c r="AP26" s="29">
        <v>24613.133333333299</v>
      </c>
      <c r="AQ26" s="30">
        <v>85664792</v>
      </c>
      <c r="AR26" s="30">
        <v>12470088</v>
      </c>
      <c r="AS26" s="30">
        <v>7996976</v>
      </c>
      <c r="AT26" s="30">
        <v>65194232</v>
      </c>
      <c r="AU26" s="31">
        <v>68.086612000000102</v>
      </c>
      <c r="AV26" s="31">
        <v>70.071879333333399</v>
      </c>
      <c r="AW26" s="31">
        <v>29.865031333333299</v>
      </c>
      <c r="AX26" s="31">
        <v>34.363799333333297</v>
      </c>
      <c r="AY26" s="31">
        <v>33.973592333333301</v>
      </c>
      <c r="AZ26" s="32">
        <v>28413.3</v>
      </c>
      <c r="BA26" s="32">
        <v>13868.8</v>
      </c>
      <c r="BB26" s="32">
        <v>62.838000000000001</v>
      </c>
      <c r="BC26" s="32">
        <v>206.50899999999999</v>
      </c>
      <c r="BE26" s="33">
        <f t="shared" si="14"/>
        <v>-0.32913060384926812</v>
      </c>
      <c r="BF26" s="33">
        <f t="shared" si="15"/>
        <v>1.2539670898679689E-3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148.21878000000001</v>
      </c>
      <c r="J27" s="18">
        <f t="shared" si="1"/>
        <v>6.2459498914524447</v>
      </c>
      <c r="K27" s="18">
        <f t="shared" si="2"/>
        <v>1.010153755423032</v>
      </c>
      <c r="L27" s="18">
        <f t="shared" si="3"/>
        <v>0.69437249905263854</v>
      </c>
      <c r="M27" s="18">
        <f t="shared" si="4"/>
        <v>5.2356611824524952</v>
      </c>
      <c r="N27" s="15">
        <f t="shared" si="5"/>
        <v>25569424</v>
      </c>
      <c r="O27" s="18">
        <f t="shared" si="6"/>
        <v>0.422130758855634</v>
      </c>
      <c r="P27" s="19">
        <v>374528576</v>
      </c>
      <c r="Q27" s="19">
        <v>1248428.5866666699</v>
      </c>
      <c r="R27" s="19">
        <v>440430.26666666701</v>
      </c>
      <c r="S27" s="20">
        <v>158100032</v>
      </c>
      <c r="T27" s="20">
        <v>17576240</v>
      </c>
      <c r="U27" s="20">
        <v>7993184</v>
      </c>
      <c r="V27" s="20">
        <v>132527192</v>
      </c>
      <c r="W27" s="21">
        <v>69.461940666666706</v>
      </c>
      <c r="X27" s="21">
        <v>72.085431333333304</v>
      </c>
      <c r="Y27" s="21">
        <v>32.373843000000001</v>
      </c>
      <c r="Z27" s="21">
        <v>35.652881333333298</v>
      </c>
      <c r="AA27" s="21">
        <v>35.333165333333298</v>
      </c>
      <c r="AB27" s="22">
        <v>62865.3</v>
      </c>
      <c r="AC27" s="22">
        <v>15731.5</v>
      </c>
      <c r="AD27" s="22">
        <v>86.418000000000006</v>
      </c>
      <c r="AE27" s="22">
        <v>234.107</v>
      </c>
      <c r="AG27" s="17">
        <f t="shared" si="7"/>
        <v>146.09659500000001</v>
      </c>
      <c r="AH27" s="18">
        <f t="shared" si="8"/>
        <v>6.1565208651820091</v>
      </c>
      <c r="AI27" s="18">
        <f t="shared" si="9"/>
        <v>1.0105978064196817</v>
      </c>
      <c r="AJ27" s="18">
        <f t="shared" si="10"/>
        <v>0.69466674209739354</v>
      </c>
      <c r="AK27" s="18">
        <f t="shared" si="11"/>
        <v>5.145784944680095</v>
      </c>
      <c r="AL27" s="15">
        <f t="shared" si="12"/>
        <v>25580664</v>
      </c>
      <c r="AM27" s="18">
        <f t="shared" si="13"/>
        <v>0.62226108498668142</v>
      </c>
      <c r="AN27" s="19">
        <v>250435664</v>
      </c>
      <c r="AO27" s="19">
        <v>834785.54666666698</v>
      </c>
      <c r="AP27" s="19">
        <v>25826.633333333299</v>
      </c>
      <c r="AQ27" s="20">
        <v>155836368</v>
      </c>
      <c r="AR27" s="20">
        <v>17583688</v>
      </c>
      <c r="AS27" s="20">
        <v>7996976</v>
      </c>
      <c r="AT27" s="20">
        <v>130252208</v>
      </c>
      <c r="AU27" s="21">
        <v>69.444254999999998</v>
      </c>
      <c r="AV27" s="21">
        <v>71.8037456666667</v>
      </c>
      <c r="AW27" s="21">
        <v>32.370803333333299</v>
      </c>
      <c r="AX27" s="21">
        <v>35.648862666666702</v>
      </c>
      <c r="AY27" s="21">
        <v>35.332382666666703</v>
      </c>
      <c r="AZ27" s="22">
        <v>29041.9</v>
      </c>
      <c r="BA27" s="22">
        <v>15654</v>
      </c>
      <c r="BB27" s="22">
        <v>67.191000000000003</v>
      </c>
      <c r="BC27" s="22">
        <v>228.477</v>
      </c>
      <c r="BE27" s="23">
        <f t="shared" si="14"/>
        <v>-0.32184966795775</v>
      </c>
      <c r="BF27" s="23">
        <f t="shared" si="15"/>
        <v>2.4213926130805252E-3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282.33942000000002</v>
      </c>
      <c r="J28" s="28">
        <f t="shared" si="1"/>
        <v>11.897803164361131</v>
      </c>
      <c r="K28" s="28">
        <f t="shared" si="2"/>
        <v>1.3452908944893744</v>
      </c>
      <c r="L28" s="28">
        <f t="shared" si="3"/>
        <v>1.029509638118981</v>
      </c>
      <c r="M28" s="28">
        <f t="shared" si="4"/>
        <v>10.552377316294839</v>
      </c>
      <c r="N28" s="25">
        <f t="shared" si="5"/>
        <v>34052552</v>
      </c>
      <c r="O28" s="28">
        <f t="shared" si="6"/>
        <v>0.80410966558663866</v>
      </c>
      <c r="P28" s="29">
        <v>374528576</v>
      </c>
      <c r="Q28" s="29">
        <v>1248428.5866666699</v>
      </c>
      <c r="R28" s="29">
        <v>411934.66666666698</v>
      </c>
      <c r="S28" s="30">
        <v>301162048</v>
      </c>
      <c r="T28" s="30">
        <v>26059368</v>
      </c>
      <c r="U28" s="30">
        <v>7993184</v>
      </c>
      <c r="V28" s="30">
        <v>267106080</v>
      </c>
      <c r="W28" s="31">
        <v>70.507802666666706</v>
      </c>
      <c r="X28" s="31">
        <v>73.374128333333303</v>
      </c>
      <c r="Y28" s="31">
        <v>35.006031</v>
      </c>
      <c r="Z28" s="31">
        <v>37.507459666666698</v>
      </c>
      <c r="AA28" s="31">
        <v>37.123891333333297</v>
      </c>
      <c r="AB28" s="32">
        <v>63076.2</v>
      </c>
      <c r="AC28" s="32">
        <v>18665.900000000001</v>
      </c>
      <c r="AD28" s="32">
        <v>85.248999999999995</v>
      </c>
      <c r="AE28" s="32">
        <v>244.59899999999999</v>
      </c>
      <c r="AG28" s="27">
        <f t="shared" si="7"/>
        <v>277.12452000000002</v>
      </c>
      <c r="AH28" s="28">
        <f t="shared" si="8"/>
        <v>11.678046908851975</v>
      </c>
      <c r="AI28" s="28">
        <f t="shared" si="9"/>
        <v>1.3463307007377567</v>
      </c>
      <c r="AJ28" s="28">
        <f t="shared" si="10"/>
        <v>1.0303996364154686</v>
      </c>
      <c r="AK28" s="28">
        <f t="shared" si="11"/>
        <v>10.331578094031986</v>
      </c>
      <c r="AL28" s="25">
        <f t="shared" si="12"/>
        <v>34078872</v>
      </c>
      <c r="AM28" s="28">
        <f t="shared" si="13"/>
        <v>1.1371066135158419</v>
      </c>
      <c r="AN28" s="29">
        <v>259957584</v>
      </c>
      <c r="AO28" s="29">
        <v>866525.28</v>
      </c>
      <c r="AP28" s="29">
        <v>29352.9666666667</v>
      </c>
      <c r="AQ28" s="30">
        <v>295599488</v>
      </c>
      <c r="AR28" s="30">
        <v>26081896</v>
      </c>
      <c r="AS28" s="30">
        <v>7996976</v>
      </c>
      <c r="AT28" s="30">
        <v>261517120</v>
      </c>
      <c r="AU28" s="31">
        <v>70.476613333333304</v>
      </c>
      <c r="AV28" s="31">
        <v>73.066484333333406</v>
      </c>
      <c r="AW28" s="31">
        <v>34.787732666666699</v>
      </c>
      <c r="AX28" s="31">
        <v>37.4983376666667</v>
      </c>
      <c r="AY28" s="31">
        <v>37.112526000000003</v>
      </c>
      <c r="AZ28" s="32">
        <v>28691.9</v>
      </c>
      <c r="BA28" s="32">
        <v>18186.099999999999</v>
      </c>
      <c r="BB28" s="32">
        <v>65.337000000000003</v>
      </c>
      <c r="BC28" s="32">
        <v>234.81299999999999</v>
      </c>
      <c r="BE28" s="33">
        <f t="shared" si="14"/>
        <v>-0.29608820546138825</v>
      </c>
      <c r="BF28" s="33">
        <f t="shared" si="15"/>
        <v>2.2167886849591978E-3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501.65531249999998</v>
      </c>
      <c r="J29" s="38">
        <f t="shared" si="1"/>
        <v>21.139790414250591</v>
      </c>
      <c r="K29" s="38">
        <f t="shared" si="2"/>
        <v>1.8963101416506878</v>
      </c>
      <c r="L29" s="38">
        <f t="shared" si="3"/>
        <v>1.5805288852802941</v>
      </c>
      <c r="M29" s="38">
        <f t="shared" si="4"/>
        <v>19.243345319022986</v>
      </c>
      <c r="N29" s="35">
        <f t="shared" si="5"/>
        <v>48000176</v>
      </c>
      <c r="O29" s="38">
        <f t="shared" si="6"/>
        <v>1.4287267628945888</v>
      </c>
      <c r="P29" s="39">
        <v>374528576</v>
      </c>
      <c r="Q29" s="39">
        <v>1248428.5866666699</v>
      </c>
      <c r="R29" s="39">
        <v>406476.123333333</v>
      </c>
      <c r="S29" s="40">
        <v>535099000</v>
      </c>
      <c r="T29" s="40">
        <v>40006992</v>
      </c>
      <c r="U29" s="40">
        <v>7993184</v>
      </c>
      <c r="V29" s="40">
        <v>487095408</v>
      </c>
      <c r="W29" s="41">
        <v>71.357268000000005</v>
      </c>
      <c r="X29" s="41">
        <v>74.484189666666595</v>
      </c>
      <c r="Y29" s="41">
        <v>36.748266666666701</v>
      </c>
      <c r="Z29" s="41">
        <v>39.658916666666599</v>
      </c>
      <c r="AA29" s="41">
        <v>39.072189000000002</v>
      </c>
      <c r="AB29" s="42">
        <v>62674.7</v>
      </c>
      <c r="AC29" s="42">
        <v>22212.1</v>
      </c>
      <c r="AD29" s="42">
        <v>84.89</v>
      </c>
      <c r="AE29" s="42">
        <v>260.71899999999999</v>
      </c>
      <c r="AG29" s="37">
        <f t="shared" si="7"/>
        <v>492.07959749999998</v>
      </c>
      <c r="AH29" s="38">
        <f t="shared" si="8"/>
        <v>20.736269105649686</v>
      </c>
      <c r="AI29" s="38">
        <f t="shared" si="9"/>
        <v>1.8986817848384872</v>
      </c>
      <c r="AJ29" s="38">
        <f t="shared" si="10"/>
        <v>1.582750720516199</v>
      </c>
      <c r="AK29" s="38">
        <f t="shared" si="11"/>
        <v>18.837449206728969</v>
      </c>
      <c r="AL29" s="35">
        <f t="shared" si="12"/>
        <v>48060208</v>
      </c>
      <c r="AM29" s="38">
        <f t="shared" si="13"/>
        <v>2.0031225644321053</v>
      </c>
      <c r="AN29" s="39">
        <v>262033344</v>
      </c>
      <c r="AO29" s="39">
        <v>873444.48</v>
      </c>
      <c r="AP29" s="39">
        <v>31196.553333333301</v>
      </c>
      <c r="AQ29" s="40">
        <v>524884904</v>
      </c>
      <c r="AR29" s="40">
        <v>40063232</v>
      </c>
      <c r="AS29" s="40">
        <v>7996976</v>
      </c>
      <c r="AT29" s="40">
        <v>476821200</v>
      </c>
      <c r="AU29" s="41">
        <v>71.341254333333396</v>
      </c>
      <c r="AV29" s="41">
        <v>74.157364666666695</v>
      </c>
      <c r="AW29" s="41">
        <v>36.434266333333298</v>
      </c>
      <c r="AX29" s="41">
        <v>39.6493416666667</v>
      </c>
      <c r="AY29" s="41">
        <v>39.056638</v>
      </c>
      <c r="AZ29" s="42">
        <v>28980.6</v>
      </c>
      <c r="BA29" s="42">
        <v>21909.9</v>
      </c>
      <c r="BB29" s="42">
        <v>66.965999999999994</v>
      </c>
      <c r="BC29" s="42">
        <v>250.90199999999999</v>
      </c>
      <c r="BE29" s="43">
        <f t="shared" si="14"/>
        <v>-0.28987350939059364</v>
      </c>
      <c r="BF29" s="43">
        <f t="shared" si="15"/>
        <v>1.8599709774571871E-3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288</v>
      </c>
      <c r="J30" s="56">
        <f>AVERAGE(J5:J24)</f>
        <v>3.9432965657960621</v>
      </c>
      <c r="K30" s="56">
        <f>AVERAGE(K5:K24)</f>
        <v>1.0966244087294317</v>
      </c>
      <c r="L30" s="56">
        <f>AVERAGE(L5:L24)</f>
        <v>0.77461332788066894</v>
      </c>
      <c r="M30" s="56">
        <f>AVERAGE(M5:M24)</f>
        <v>2.8465536735624228</v>
      </c>
      <c r="AH30" s="56">
        <f>AVERAGE(AH5:AH24)</f>
        <v>3.9118923154802516</v>
      </c>
      <c r="AI30" s="56">
        <f>AVERAGE(AI5:AI24)</f>
        <v>1.0965895627143283</v>
      </c>
      <c r="AJ30" s="56">
        <f>AVERAGE(AJ5:AJ24)</f>
        <v>0.77442114839426712</v>
      </c>
      <c r="AK30" s="56">
        <f>AVERAGE(AK5:AK24)</f>
        <v>2.8151814994165809</v>
      </c>
      <c r="BG30" s="8">
        <f>AVERAGE(BG5:BG24)</f>
        <v>1.5944763533595752E-3</v>
      </c>
      <c r="BI30" s="5">
        <f>AVERAGE(BI5:BI24)</f>
        <v>3.6849158204301791E-3</v>
      </c>
      <c r="BJ30" s="5">
        <f>AVERAGE(BJ5:BJ24)</f>
        <v>4.3159343293001862E-2</v>
      </c>
      <c r="BK30" s="5">
        <f>AVERAGE(BK5:BK24)</f>
        <v>-8.7731072730082016E-3</v>
      </c>
      <c r="BL30" s="5">
        <f>AVERAGE(BL5:BL24)</f>
        <v>-1.05266179555632E-2</v>
      </c>
      <c r="BM30" s="5">
        <f>AVERAGE(BM5:BM24)</f>
        <v>-8.3187737303633824E-3</v>
      </c>
      <c r="BO30" s="5">
        <f>AVERAGE(BO5:BO24)</f>
        <v>2.5769333875826639E-3</v>
      </c>
      <c r="BP30" s="5">
        <f>AVERAGE(BP5:BP24)</f>
        <v>8.2537165083298336E-2</v>
      </c>
      <c r="BQ30" s="5">
        <f>AVERAGE(BQ5:BQ24)</f>
        <v>-5.3333349065589619E-3</v>
      </c>
      <c r="BR30" s="5">
        <f>AVERAGE(BR5:BR24)</f>
        <v>-7.6176185203954971E-3</v>
      </c>
      <c r="BS30" s="5">
        <f>AVERAGE(BS5:BS24)</f>
        <v>-6.0883046160449539E-3</v>
      </c>
    </row>
    <row r="31" spans="1:71" x14ac:dyDescent="0.3">
      <c r="B31" s="55" t="s">
        <v>289</v>
      </c>
      <c r="J31" s="56">
        <f>AVERAGE(J25:J29)</f>
        <v>8.9269064879169129</v>
      </c>
      <c r="K31" s="56">
        <f>AVERAGE(K25:K29)</f>
        <v>1.1458578259326413</v>
      </c>
      <c r="L31" s="56">
        <f>AVERAGE(L25:L29)</f>
        <v>0.83007656956224785</v>
      </c>
      <c r="M31" s="56">
        <f>AVERAGE(M25:M29)</f>
        <v>7.7809137084073559</v>
      </c>
      <c r="AH31" s="56">
        <f>AVERAGE(AH25:AH29)</f>
        <v>8.7809369065163629</v>
      </c>
      <c r="AI31" s="56">
        <f>AVERAGE(AI25:AI29)</f>
        <v>1.1468413751864304</v>
      </c>
      <c r="AJ31" s="56">
        <f>AVERAGE(AJ25:AJ29)</f>
        <v>0.83091031086414235</v>
      </c>
      <c r="AK31" s="56">
        <f>AVERAGE(AK25:AK29)</f>
        <v>7.6339574172477001</v>
      </c>
      <c r="BG31" s="8">
        <f>AVERAGE(BG25:BG29)</f>
        <v>1.6757761829036821E-3</v>
      </c>
      <c r="BI31" s="5">
        <f>AVERAGE(BI25:BI29)</f>
        <v>6.1707609418029108E-3</v>
      </c>
      <c r="BJ31" s="5">
        <f>AVERAGE(BJ25:BJ29)</f>
        <v>4.9617034802837967E-2</v>
      </c>
      <c r="BK31" s="5">
        <f>AVERAGE(BK25:BK29)</f>
        <v>8.855239381081903E-3</v>
      </c>
      <c r="BL31" s="5">
        <f>AVERAGE(BL25:BL29)</f>
        <v>-1.3462321677893296E-2</v>
      </c>
      <c r="BM31" s="5">
        <f>AVERAGE(BM25:BM29)</f>
        <v>-1.2861223036962466E-2</v>
      </c>
      <c r="BO31" s="5">
        <f>AVERAGE(BO25:BO29)</f>
        <v>2.4902902647621072E-3</v>
      </c>
      <c r="BP31" s="5">
        <f>AVERAGE(BP25:BP29)</f>
        <v>0.10253257561765095</v>
      </c>
      <c r="BQ31" s="5">
        <f>AVERAGE(BQ25:BQ29)</f>
        <v>1.0089782232505451E-2</v>
      </c>
      <c r="BR31" s="5">
        <f>AVERAGE(BR25:BR29)</f>
        <v>-1.1451319072396937E-2</v>
      </c>
      <c r="BS31" s="5">
        <f>AVERAGE(BS25:BS29)</f>
        <v>-1.0846532353627425E-2</v>
      </c>
    </row>
    <row r="32" spans="1:71" x14ac:dyDescent="0.3">
      <c r="B32" s="55" t="s">
        <v>290</v>
      </c>
      <c r="J32" s="56">
        <f>AVERAGE(J5:J29)</f>
        <v>4.9400185502202332</v>
      </c>
      <c r="K32" s="56">
        <f>AVERAGE(K5:K29)</f>
        <v>1.1064710921700738</v>
      </c>
      <c r="L32" s="56">
        <f>AVERAGE(L5:L29)</f>
        <v>0.78570597621698468</v>
      </c>
      <c r="M32" s="56">
        <f>AVERAGE(M5:M29)</f>
        <v>3.8334256805314091</v>
      </c>
      <c r="AH32" s="56">
        <f>AVERAGE(AH5:AH29)</f>
        <v>4.885701233687473</v>
      </c>
      <c r="AI32" s="56">
        <f>AVERAGE(AI5:AI29)</f>
        <v>1.1066399252087487</v>
      </c>
      <c r="AJ32" s="56">
        <f>AVERAGE(AJ5:AJ29)</f>
        <v>0.78571898088824199</v>
      </c>
      <c r="AK32" s="56">
        <f>AVERAGE(AK5:AK29)</f>
        <v>3.7789366829828044</v>
      </c>
      <c r="BG32" s="8">
        <f>AVERAGE(BG5:BG29)</f>
        <v>1.6107363192683966E-3</v>
      </c>
      <c r="BI32" s="5">
        <f>AVERAGE(BI5:BI29)</f>
        <v>4.1820848447047254E-3</v>
      </c>
      <c r="BJ32" s="5">
        <f>AVERAGE(BJ5:BJ29)</f>
        <v>4.4450881594969086E-2</v>
      </c>
      <c r="BK32" s="5">
        <f>AVERAGE(BK5:BK29)</f>
        <v>-5.2474379421901807E-3</v>
      </c>
      <c r="BL32" s="5">
        <f>AVERAGE(BL5:BL29)</f>
        <v>-1.111375870002922E-2</v>
      </c>
      <c r="BM32" s="5">
        <f>AVERAGE(BM5:BM29)</f>
        <v>-9.2272635916831984E-3</v>
      </c>
      <c r="BO32" s="5">
        <f>AVERAGE(BO5:BO29)</f>
        <v>2.5596047630185525E-3</v>
      </c>
      <c r="BP32" s="5">
        <f>AVERAGE(BP5:BP29)</f>
        <v>8.6536247190168863E-2</v>
      </c>
      <c r="BQ32" s="5">
        <f>AVERAGE(BQ5:BQ29)</f>
        <v>-2.2487114787460793E-3</v>
      </c>
      <c r="BR32" s="5">
        <f>AVERAGE(BR5:BR29)</f>
        <v>-8.3843586307957851E-3</v>
      </c>
      <c r="BS32" s="5">
        <f>AVERAGE(BS5:BS29)</f>
        <v>-7.0399501635614479E-3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1606108.9</v>
      </c>
      <c r="AC33" s="57">
        <f>SUM(AC5:AC24,AC25:AC29)</f>
        <v>376741.50000000006</v>
      </c>
      <c r="AD33" s="57">
        <f>SUM(AD5:AD24,AD25:AD29)</f>
        <v>2115.2019999999998</v>
      </c>
      <c r="AE33" s="57">
        <f>SUM(AE5:AE24,AE25:AE29)</f>
        <v>5342.081000000001</v>
      </c>
      <c r="AZ33" s="57">
        <f>SUM(AZ5:AZ24,AZ25:AZ29)</f>
        <v>733153.6</v>
      </c>
      <c r="BA33" s="57">
        <f>SUM(BA5:BA24,BA25:BA29)</f>
        <v>370875.59999999992</v>
      </c>
      <c r="BB33" s="57">
        <f>SUM(BB5:BB24,BB25:BB29)</f>
        <v>1671.6480000000001</v>
      </c>
      <c r="BC33" s="57">
        <f>SUM(BC5:BC24,BC25:BC29)</f>
        <v>5186.4210000000003</v>
      </c>
    </row>
    <row r="34" spans="1:55" hidden="1" outlineLevel="2" x14ac:dyDescent="0.3">
      <c r="B34" s="55" t="s">
        <v>293</v>
      </c>
      <c r="AZ34" s="8">
        <f>AZ33/AB33</f>
        <v>0.45647813793946351</v>
      </c>
      <c r="BA34" s="8">
        <f>BA33/AC33</f>
        <v>0.98442990750952541</v>
      </c>
      <c r="BB34" s="8">
        <f>BB33/AD33</f>
        <v>0.79030182460114939</v>
      </c>
      <c r="BC34" s="8">
        <f>BC33/AE33</f>
        <v>0.97086154253370538</v>
      </c>
    </row>
    <row r="35" spans="1:55" hidden="1" outlineLevel="2" x14ac:dyDescent="0.3">
      <c r="B35" s="55" t="s">
        <v>294</v>
      </c>
      <c r="AB35" s="57">
        <f>GEOMEAN(AB5:AB24,AB25:AB29)</f>
        <v>63691.617643433114</v>
      </c>
      <c r="AC35" s="57">
        <f>GEOMEAN(AC5:AC24,AC25:AC29)</f>
        <v>14804.82799784155</v>
      </c>
      <c r="AD35" s="57">
        <f>GEOMEAN(AD5:AD24,AD25:AD29)</f>
        <v>83.980650058189298</v>
      </c>
      <c r="AE35" s="57">
        <f>GEOMEAN(AE5:AE24,AE25:AE29)</f>
        <v>212.45791010268181</v>
      </c>
      <c r="AZ35" s="57">
        <f>GEOMEAN(AZ5:AZ24,AZ25:AZ29)</f>
        <v>29092.299920286387</v>
      </c>
      <c r="BA35" s="57">
        <f>GEOMEAN(BA5:BA24,BA25:BA29)</f>
        <v>14580.925013078951</v>
      </c>
      <c r="BB35" s="57">
        <f>GEOMEAN(BB5:BB24,BB25:BB29)</f>
        <v>66.322726329350132</v>
      </c>
      <c r="BC35" s="57">
        <f>GEOMEAN(BC5:BC24,BC25:BC29)</f>
        <v>206.38690119421256</v>
      </c>
    </row>
    <row r="36" spans="1:55" outlineLevel="2" collapsed="1" x14ac:dyDescent="0.3">
      <c r="B36" s="55" t="s">
        <v>295</v>
      </c>
      <c r="AZ36" s="8">
        <f>AZ35/AB35</f>
        <v>0.45676811167137832</v>
      </c>
      <c r="BA36" s="8">
        <f>BA35/AC35</f>
        <v>0.98487635352499592</v>
      </c>
      <c r="BB36" s="8">
        <f>BB35/AD35</f>
        <v>0.78973818711090971</v>
      </c>
      <c r="BC36" s="8">
        <f>BC35/AE35</f>
        <v>0.97142488643734137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67" priority="7" operator="greaterThanOrEqual">
      <formula>0.03</formula>
    </cfRule>
    <cfRule type="cellIs" dxfId="66" priority="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65" priority="5" operator="greaterThanOrEqual">
      <formula>0.03</formula>
    </cfRule>
    <cfRule type="cellIs" dxfId="64" priority="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63" priority="17" operator="greaterThanOrEqual">
      <formula>0.03</formula>
    </cfRule>
    <cfRule type="cellIs" dxfId="62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61" priority="1" operator="greaterThanOrEqual">
      <formula>0.03</formula>
    </cfRule>
    <cfRule type="cellIs" dxfId="60" priority="2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59" priority="15" operator="greaterThanOrEqual">
      <formula>0.03</formula>
    </cfRule>
    <cfRule type="cellIs" dxfId="58" priority="1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57" priority="3" operator="greaterThanOrEqual">
      <formula>0.03</formula>
    </cfRule>
    <cfRule type="cellIs" dxfId="56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55" priority="11" operator="greaterThanOrEqual">
      <formula>0.03</formula>
    </cfRule>
    <cfRule type="cellIs" dxfId="54" priority="12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3" priority="19" operator="greaterThanOrEqual">
      <formula>0.03</formula>
    </cfRule>
    <cfRule type="cellIs" dxfId="52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49" priority="9" operator="greaterThanOrEqual">
      <formula>0.03</formula>
    </cfRule>
    <cfRule type="cellIs" dxfId="48" priority="10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defaultRowHeight="14.4" x14ac:dyDescent="0.3"/>
  <sheetData>
    <row r="1" spans="1:2" x14ac:dyDescent="0.3">
      <c r="A1" t="s">
        <v>95</v>
      </c>
      <c r="B1">
        <v>1</v>
      </c>
    </row>
    <row r="2" spans="1:2" x14ac:dyDescent="0.3">
      <c r="A2" t="s">
        <v>98</v>
      </c>
      <c r="B2">
        <v>2</v>
      </c>
    </row>
    <row r="3" spans="1:2" x14ac:dyDescent="0.3">
      <c r="A3" t="s">
        <v>101</v>
      </c>
      <c r="B3">
        <v>3</v>
      </c>
    </row>
    <row r="4" spans="1:2" x14ac:dyDescent="0.3">
      <c r="A4" t="s">
        <v>104</v>
      </c>
      <c r="B4">
        <v>4</v>
      </c>
    </row>
    <row r="5" spans="1:2" x14ac:dyDescent="0.3">
      <c r="A5" t="s">
        <v>107</v>
      </c>
      <c r="B5">
        <v>5</v>
      </c>
    </row>
    <row r="6" spans="1:2" x14ac:dyDescent="0.3">
      <c r="A6" t="s">
        <v>110</v>
      </c>
      <c r="B6">
        <v>6</v>
      </c>
    </row>
    <row r="7" spans="1:2" x14ac:dyDescent="0.3">
      <c r="A7" t="s">
        <v>113</v>
      </c>
      <c r="B7">
        <v>7</v>
      </c>
    </row>
    <row r="8" spans="1:2" x14ac:dyDescent="0.3">
      <c r="A8" t="s">
        <v>116</v>
      </c>
      <c r="B8">
        <v>9</v>
      </c>
    </row>
    <row r="9" spans="1:2" x14ac:dyDescent="0.3">
      <c r="A9" t="s">
        <v>120</v>
      </c>
      <c r="B9">
        <v>10</v>
      </c>
    </row>
    <row r="10" spans="1:2" x14ac:dyDescent="0.3">
      <c r="A10" t="s">
        <v>123</v>
      </c>
      <c r="B10">
        <v>11</v>
      </c>
    </row>
    <row r="11" spans="1:2" x14ac:dyDescent="0.3">
      <c r="A11" t="s">
        <v>126</v>
      </c>
      <c r="B11">
        <v>12</v>
      </c>
    </row>
    <row r="12" spans="1:2" x14ac:dyDescent="0.3">
      <c r="A12" t="s">
        <v>129</v>
      </c>
      <c r="B12">
        <v>13</v>
      </c>
    </row>
    <row r="13" spans="1:2" x14ac:dyDescent="0.3">
      <c r="A13" t="s">
        <v>132</v>
      </c>
      <c r="B13">
        <v>14</v>
      </c>
    </row>
    <row r="14" spans="1:2" x14ac:dyDescent="0.3">
      <c r="A14" t="s">
        <v>135</v>
      </c>
      <c r="B14">
        <v>15</v>
      </c>
    </row>
    <row r="15" spans="1:2" x14ac:dyDescent="0.3">
      <c r="A15" t="s">
        <v>137</v>
      </c>
      <c r="B15">
        <v>16</v>
      </c>
    </row>
    <row r="16" spans="1:2" x14ac:dyDescent="0.3">
      <c r="A16" t="s">
        <v>139</v>
      </c>
      <c r="B16">
        <v>17</v>
      </c>
    </row>
    <row r="17" spans="1:2" x14ac:dyDescent="0.3">
      <c r="A17" t="s">
        <v>141</v>
      </c>
      <c r="B17">
        <v>18</v>
      </c>
    </row>
    <row r="18" spans="1:2" x14ac:dyDescent="0.3">
      <c r="A18" t="s">
        <v>144</v>
      </c>
      <c r="B18">
        <v>19</v>
      </c>
    </row>
    <row r="19" spans="1:2" x14ac:dyDescent="0.3">
      <c r="A19" t="s">
        <v>146</v>
      </c>
      <c r="B19">
        <v>20</v>
      </c>
    </row>
    <row r="20" spans="1:2" x14ac:dyDescent="0.3">
      <c r="A20" t="s">
        <v>149</v>
      </c>
      <c r="B20">
        <v>21</v>
      </c>
    </row>
    <row r="21" spans="1:2" x14ac:dyDescent="0.3">
      <c r="A21" t="s">
        <v>152</v>
      </c>
      <c r="B21">
        <v>22</v>
      </c>
    </row>
    <row r="22" spans="1:2" x14ac:dyDescent="0.3">
      <c r="A22" t="s">
        <v>156</v>
      </c>
      <c r="B22">
        <v>23</v>
      </c>
    </row>
    <row r="23" spans="1:2" x14ac:dyDescent="0.3">
      <c r="A23" t="s">
        <v>159</v>
      </c>
      <c r="B23">
        <v>24</v>
      </c>
    </row>
    <row r="24" spans="1:2" x14ac:dyDescent="0.3">
      <c r="A24" t="s">
        <v>163</v>
      </c>
      <c r="B24">
        <v>25</v>
      </c>
    </row>
    <row r="25" spans="1:2" x14ac:dyDescent="0.3">
      <c r="A25" t="s">
        <v>166</v>
      </c>
      <c r="B25">
        <v>26</v>
      </c>
    </row>
    <row r="26" spans="1:2" x14ac:dyDescent="0.3">
      <c r="A26" t="s">
        <v>169</v>
      </c>
      <c r="B26">
        <v>27</v>
      </c>
    </row>
    <row r="27" spans="1:2" x14ac:dyDescent="0.3">
      <c r="A27" t="s">
        <v>173</v>
      </c>
      <c r="B27">
        <v>28</v>
      </c>
    </row>
    <row r="28" spans="1:2" x14ac:dyDescent="0.3">
      <c r="A28" t="s">
        <v>176</v>
      </c>
      <c r="B28">
        <v>29</v>
      </c>
    </row>
    <row r="29" spans="1:2" x14ac:dyDescent="0.3">
      <c r="A29" t="s">
        <v>179</v>
      </c>
      <c r="B29">
        <v>30</v>
      </c>
    </row>
    <row r="30" spans="1:2" x14ac:dyDescent="0.3">
      <c r="A30" t="s">
        <v>181</v>
      </c>
      <c r="B30">
        <v>31</v>
      </c>
    </row>
    <row r="31" spans="1:2" x14ac:dyDescent="0.3">
      <c r="A31" t="s">
        <v>183</v>
      </c>
      <c r="B31">
        <v>33</v>
      </c>
    </row>
    <row r="32" spans="1:2" x14ac:dyDescent="0.3">
      <c r="A32" t="s">
        <v>185</v>
      </c>
      <c r="B32">
        <v>34</v>
      </c>
    </row>
    <row r="33" spans="1:2" x14ac:dyDescent="0.3">
      <c r="A33" t="s">
        <v>187</v>
      </c>
      <c r="B33">
        <v>35</v>
      </c>
    </row>
    <row r="34" spans="1:2" x14ac:dyDescent="0.3">
      <c r="A34" t="s">
        <v>189</v>
      </c>
      <c r="B34">
        <v>36</v>
      </c>
    </row>
    <row r="35" spans="1:2" x14ac:dyDescent="0.3">
      <c r="A35" t="s">
        <v>191</v>
      </c>
      <c r="B35">
        <v>37</v>
      </c>
    </row>
    <row r="36" spans="1:2" x14ac:dyDescent="0.3">
      <c r="A36" t="s">
        <v>194</v>
      </c>
      <c r="B36">
        <v>38</v>
      </c>
    </row>
    <row r="37" spans="1:2" x14ac:dyDescent="0.3">
      <c r="A37" t="s">
        <v>196</v>
      </c>
      <c r="B37">
        <v>39</v>
      </c>
    </row>
    <row r="38" spans="1:2" x14ac:dyDescent="0.3">
      <c r="A38" t="s">
        <v>198</v>
      </c>
      <c r="B38">
        <v>40</v>
      </c>
    </row>
    <row r="39" spans="1:2" x14ac:dyDescent="0.3">
      <c r="A39" t="s">
        <v>200</v>
      </c>
      <c r="B39">
        <v>41</v>
      </c>
    </row>
    <row r="40" spans="1:2" x14ac:dyDescent="0.3">
      <c r="A40" t="s">
        <v>202</v>
      </c>
      <c r="B40">
        <v>42</v>
      </c>
    </row>
    <row r="41" spans="1:2" x14ac:dyDescent="0.3">
      <c r="A41" t="s">
        <v>204</v>
      </c>
      <c r="B41">
        <v>43</v>
      </c>
    </row>
    <row r="42" spans="1:2" x14ac:dyDescent="0.3">
      <c r="A42" t="s">
        <v>206</v>
      </c>
      <c r="B42">
        <v>44</v>
      </c>
    </row>
    <row r="43" spans="1:2" x14ac:dyDescent="0.3">
      <c r="A43" t="s">
        <v>208</v>
      </c>
      <c r="B43">
        <v>45</v>
      </c>
    </row>
    <row r="44" spans="1:2" x14ac:dyDescent="0.3">
      <c r="A44" t="s">
        <v>210</v>
      </c>
      <c r="B44">
        <v>46</v>
      </c>
    </row>
    <row r="45" spans="1:2" x14ac:dyDescent="0.3">
      <c r="A45" t="s">
        <v>212</v>
      </c>
      <c r="B45">
        <v>47</v>
      </c>
    </row>
    <row r="46" spans="1:2" x14ac:dyDescent="0.3">
      <c r="A46" t="s">
        <v>214</v>
      </c>
      <c r="B46">
        <v>48</v>
      </c>
    </row>
    <row r="47" spans="1:2" x14ac:dyDescent="0.3">
      <c r="A47" t="s">
        <v>216</v>
      </c>
      <c r="B47">
        <v>49</v>
      </c>
    </row>
    <row r="48" spans="1:2" x14ac:dyDescent="0.3">
      <c r="A48" t="s">
        <v>218</v>
      </c>
      <c r="B48">
        <v>50</v>
      </c>
    </row>
    <row r="49" spans="1:2" x14ac:dyDescent="0.3">
      <c r="A49" t="s">
        <v>220</v>
      </c>
      <c r="B49">
        <v>51</v>
      </c>
    </row>
    <row r="50" spans="1:2" x14ac:dyDescent="0.3">
      <c r="A50" t="s">
        <v>222</v>
      </c>
      <c r="B50">
        <v>52</v>
      </c>
    </row>
    <row r="51" spans="1:2" x14ac:dyDescent="0.3">
      <c r="A51" t="s">
        <v>224</v>
      </c>
      <c r="B51">
        <v>53</v>
      </c>
    </row>
    <row r="52" spans="1:2" x14ac:dyDescent="0.3">
      <c r="A52" t="s">
        <v>226</v>
      </c>
      <c r="B52">
        <v>54</v>
      </c>
    </row>
    <row r="53" spans="1:2" x14ac:dyDescent="0.3">
      <c r="A53" t="s">
        <v>228</v>
      </c>
      <c r="B53">
        <v>55</v>
      </c>
    </row>
    <row r="54" spans="1:2" x14ac:dyDescent="0.3">
      <c r="A54" t="s">
        <v>231</v>
      </c>
      <c r="B54">
        <v>57</v>
      </c>
    </row>
    <row r="55" spans="1:2" x14ac:dyDescent="0.3">
      <c r="A55" t="s">
        <v>234</v>
      </c>
      <c r="B55">
        <v>58</v>
      </c>
    </row>
    <row r="56" spans="1:2" x14ac:dyDescent="0.3">
      <c r="A56" t="s">
        <v>236</v>
      </c>
      <c r="B56">
        <v>59</v>
      </c>
    </row>
    <row r="57" spans="1:2" x14ac:dyDescent="0.3">
      <c r="A57" t="s">
        <v>239</v>
      </c>
      <c r="B57">
        <v>61</v>
      </c>
    </row>
    <row r="58" spans="1:2" x14ac:dyDescent="0.3">
      <c r="A58" t="s">
        <v>241</v>
      </c>
      <c r="B58">
        <v>62</v>
      </c>
    </row>
    <row r="59" spans="1:2" x14ac:dyDescent="0.3">
      <c r="A59" t="s">
        <v>244</v>
      </c>
      <c r="B59">
        <v>63</v>
      </c>
    </row>
    <row r="60" spans="1:2" x14ac:dyDescent="0.3">
      <c r="A60" t="s">
        <v>246</v>
      </c>
      <c r="B60">
        <v>64</v>
      </c>
    </row>
    <row r="61" spans="1:2" x14ac:dyDescent="0.3">
      <c r="A61" t="s">
        <v>248</v>
      </c>
      <c r="B61">
        <v>65</v>
      </c>
    </row>
    <row r="62" spans="1:2" x14ac:dyDescent="0.3">
      <c r="A62" t="s">
        <v>251</v>
      </c>
      <c r="B62">
        <v>67</v>
      </c>
    </row>
    <row r="63" spans="1:2" x14ac:dyDescent="0.3">
      <c r="A63" t="s">
        <v>253</v>
      </c>
      <c r="B63">
        <v>68</v>
      </c>
    </row>
    <row r="64" spans="1:2" x14ac:dyDescent="0.3">
      <c r="A64" t="s">
        <v>256</v>
      </c>
      <c r="B64">
        <v>69</v>
      </c>
    </row>
    <row r="65" spans="1:24" x14ac:dyDescent="0.3">
      <c r="A65" t="s">
        <v>258</v>
      </c>
      <c r="B65">
        <v>70</v>
      </c>
    </row>
    <row r="66" spans="1:24" x14ac:dyDescent="0.3">
      <c r="A66" t="s">
        <v>260</v>
      </c>
      <c r="B66">
        <v>71</v>
      </c>
    </row>
    <row r="67" spans="1:24" x14ac:dyDescent="0.3">
      <c r="A67" t="s">
        <v>262</v>
      </c>
      <c r="B67" t="s">
        <v>263</v>
      </c>
    </row>
    <row r="68" spans="1:24" x14ac:dyDescent="0.3">
      <c r="A68" t="s">
        <v>264</v>
      </c>
      <c r="B68" t="s">
        <v>265</v>
      </c>
    </row>
    <row r="69" spans="1:24" x14ac:dyDescent="0.3">
      <c r="A69" t="s">
        <v>273</v>
      </c>
      <c r="B69" t="s">
        <v>274</v>
      </c>
    </row>
    <row r="70" spans="1:24" x14ac:dyDescent="0.3">
      <c r="A70" t="s">
        <v>276</v>
      </c>
      <c r="B70" t="s">
        <v>277</v>
      </c>
    </row>
    <row r="71" spans="1:24" x14ac:dyDescent="0.3">
      <c r="A71" t="s">
        <v>279</v>
      </c>
      <c r="B71" t="s">
        <v>280</v>
      </c>
    </row>
    <row r="72" spans="1:24" x14ac:dyDescent="0.3">
      <c r="A72" t="s">
        <v>282</v>
      </c>
      <c r="B72" t="s">
        <v>283</v>
      </c>
    </row>
    <row r="73" spans="1:24" x14ac:dyDescent="0.3">
      <c r="A73" t="s">
        <v>286</v>
      </c>
      <c r="B73" t="s">
        <v>287</v>
      </c>
    </row>
    <row r="74" spans="1:24" x14ac:dyDescent="0.3">
      <c r="A74" t="s">
        <v>302</v>
      </c>
      <c r="B74" t="s">
        <v>41</v>
      </c>
      <c r="C74" t="s">
        <v>65</v>
      </c>
      <c r="D74" t="s">
        <v>63</v>
      </c>
      <c r="E74" t="s">
        <v>55</v>
      </c>
      <c r="F74" t="s">
        <v>49</v>
      </c>
      <c r="G74" t="s">
        <v>73</v>
      </c>
      <c r="H74" t="s">
        <v>23</v>
      </c>
      <c r="I74" t="s">
        <v>25</v>
      </c>
      <c r="J74" t="s">
        <v>39</v>
      </c>
      <c r="K74" t="s">
        <v>67</v>
      </c>
      <c r="L74" t="s">
        <v>69</v>
      </c>
      <c r="M74" t="s">
        <v>51</v>
      </c>
      <c r="N74" t="s">
        <v>15</v>
      </c>
      <c r="O74" t="s">
        <v>75</v>
      </c>
      <c r="P74" t="s">
        <v>21</v>
      </c>
      <c r="Q74" t="s">
        <v>19</v>
      </c>
      <c r="R74" t="s">
        <v>71</v>
      </c>
      <c r="S74" t="s">
        <v>47</v>
      </c>
      <c r="T74" t="s">
        <v>45</v>
      </c>
      <c r="U74" t="s">
        <v>7</v>
      </c>
      <c r="V74" t="s">
        <v>61</v>
      </c>
      <c r="W74" t="s">
        <v>11</v>
      </c>
      <c r="X74" t="s">
        <v>59</v>
      </c>
    </row>
    <row r="75" spans="1:24" x14ac:dyDescent="0.3">
      <c r="A75" t="s">
        <v>304</v>
      </c>
      <c r="B75">
        <v>1</v>
      </c>
    </row>
    <row r="76" spans="1:24" x14ac:dyDescent="0.3">
      <c r="A76" t="s">
        <v>305</v>
      </c>
      <c r="B76">
        <v>2</v>
      </c>
    </row>
    <row r="77" spans="1:24" x14ac:dyDescent="0.3">
      <c r="A77" t="s">
        <v>306</v>
      </c>
      <c r="B77">
        <v>3</v>
      </c>
    </row>
    <row r="78" spans="1:24" x14ac:dyDescent="0.3">
      <c r="A78" t="s">
        <v>307</v>
      </c>
      <c r="B78">
        <v>4</v>
      </c>
    </row>
    <row r="79" spans="1:24" x14ac:dyDescent="0.3">
      <c r="A79" t="s">
        <v>308</v>
      </c>
      <c r="B79">
        <v>5</v>
      </c>
    </row>
    <row r="80" spans="1:24" x14ac:dyDescent="0.3">
      <c r="A80" t="s">
        <v>309</v>
      </c>
      <c r="B80">
        <v>6</v>
      </c>
    </row>
    <row r="81" spans="1:2" x14ac:dyDescent="0.3">
      <c r="A81" t="s">
        <v>312</v>
      </c>
      <c r="B81">
        <v>8</v>
      </c>
    </row>
    <row r="82" spans="1:2" x14ac:dyDescent="0.3">
      <c r="A82" t="s">
        <v>313</v>
      </c>
      <c r="B82">
        <v>9</v>
      </c>
    </row>
    <row r="83" spans="1:2" x14ac:dyDescent="0.3">
      <c r="A83" t="s">
        <v>314</v>
      </c>
      <c r="B83">
        <v>10</v>
      </c>
    </row>
    <row r="84" spans="1:2" x14ac:dyDescent="0.3">
      <c r="A84" t="s">
        <v>315</v>
      </c>
      <c r="B84">
        <v>11</v>
      </c>
    </row>
    <row r="85" spans="1:2" x14ac:dyDescent="0.3">
      <c r="A85" t="s">
        <v>316</v>
      </c>
      <c r="B85">
        <v>12</v>
      </c>
    </row>
    <row r="86" spans="1:2" x14ac:dyDescent="0.3">
      <c r="A86" t="s">
        <v>317</v>
      </c>
      <c r="B86">
        <v>13</v>
      </c>
    </row>
    <row r="87" spans="1:2" x14ac:dyDescent="0.3">
      <c r="A87" t="s">
        <v>318</v>
      </c>
      <c r="B87">
        <v>14</v>
      </c>
    </row>
    <row r="88" spans="1:2" x14ac:dyDescent="0.3">
      <c r="A88" t="s">
        <v>319</v>
      </c>
      <c r="B88">
        <v>15</v>
      </c>
    </row>
    <row r="89" spans="1:2" x14ac:dyDescent="0.3">
      <c r="A89" t="s">
        <v>320</v>
      </c>
      <c r="B89">
        <v>16</v>
      </c>
    </row>
    <row r="90" spans="1:2" x14ac:dyDescent="0.3">
      <c r="A90" t="s">
        <v>321</v>
      </c>
      <c r="B90">
        <v>17</v>
      </c>
    </row>
    <row r="91" spans="1:2" x14ac:dyDescent="0.3">
      <c r="A91" t="s">
        <v>322</v>
      </c>
      <c r="B91">
        <v>18</v>
      </c>
    </row>
    <row r="92" spans="1:2" x14ac:dyDescent="0.3">
      <c r="A92" t="s">
        <v>323</v>
      </c>
      <c r="B92">
        <v>19</v>
      </c>
    </row>
    <row r="93" spans="1:2" x14ac:dyDescent="0.3">
      <c r="A93" t="s">
        <v>324</v>
      </c>
      <c r="B93">
        <v>20</v>
      </c>
    </row>
    <row r="94" spans="1:2" x14ac:dyDescent="0.3">
      <c r="A94" t="s">
        <v>325</v>
      </c>
      <c r="B94">
        <v>21</v>
      </c>
    </row>
    <row r="95" spans="1:2" x14ac:dyDescent="0.3">
      <c r="A95" t="s">
        <v>326</v>
      </c>
      <c r="B95">
        <v>22</v>
      </c>
    </row>
    <row r="96" spans="1:2" x14ac:dyDescent="0.3">
      <c r="A96" t="s">
        <v>327</v>
      </c>
      <c r="B96">
        <v>23</v>
      </c>
    </row>
    <row r="97" spans="1:2" x14ac:dyDescent="0.3">
      <c r="A97" t="s">
        <v>328</v>
      </c>
      <c r="B97">
        <v>24</v>
      </c>
    </row>
    <row r="98" spans="1:2" x14ac:dyDescent="0.3">
      <c r="A98" t="s">
        <v>329</v>
      </c>
      <c r="B98">
        <v>25</v>
      </c>
    </row>
    <row r="99" spans="1:2" x14ac:dyDescent="0.3">
      <c r="A99" t="s">
        <v>330</v>
      </c>
      <c r="B99">
        <v>26</v>
      </c>
    </row>
    <row r="100" spans="1:2" x14ac:dyDescent="0.3">
      <c r="A100" t="s">
        <v>331</v>
      </c>
      <c r="B100">
        <v>27</v>
      </c>
    </row>
    <row r="101" spans="1:2" x14ac:dyDescent="0.3">
      <c r="A101" t="s">
        <v>332</v>
      </c>
      <c r="B101">
        <v>28</v>
      </c>
    </row>
    <row r="102" spans="1:2" x14ac:dyDescent="0.3">
      <c r="A102" t="s">
        <v>333</v>
      </c>
      <c r="B102">
        <v>29</v>
      </c>
    </row>
    <row r="103" spans="1:2" x14ac:dyDescent="0.3">
      <c r="A103" t="s">
        <v>335</v>
      </c>
      <c r="B103">
        <v>31</v>
      </c>
    </row>
    <row r="104" spans="1:2" x14ac:dyDescent="0.3">
      <c r="A104" t="s">
        <v>336</v>
      </c>
      <c r="B104">
        <v>32</v>
      </c>
    </row>
    <row r="105" spans="1:2" x14ac:dyDescent="0.3">
      <c r="A105" t="s">
        <v>337</v>
      </c>
      <c r="B105">
        <v>33</v>
      </c>
    </row>
    <row r="106" spans="1:2" x14ac:dyDescent="0.3">
      <c r="A106" t="s">
        <v>338</v>
      </c>
      <c r="B106">
        <v>34</v>
      </c>
    </row>
    <row r="107" spans="1:2" x14ac:dyDescent="0.3">
      <c r="A107" t="s">
        <v>339</v>
      </c>
      <c r="B107">
        <v>35</v>
      </c>
    </row>
    <row r="108" spans="1:2" x14ac:dyDescent="0.3">
      <c r="A108" t="s">
        <v>340</v>
      </c>
      <c r="B108">
        <v>36</v>
      </c>
    </row>
    <row r="109" spans="1:2" x14ac:dyDescent="0.3">
      <c r="A109" t="s">
        <v>341</v>
      </c>
      <c r="B109">
        <v>37</v>
      </c>
    </row>
    <row r="110" spans="1:2" x14ac:dyDescent="0.3">
      <c r="A110" t="s">
        <v>342</v>
      </c>
      <c r="B110">
        <v>38</v>
      </c>
    </row>
    <row r="111" spans="1:2" x14ac:dyDescent="0.3">
      <c r="A111" t="s">
        <v>343</v>
      </c>
      <c r="B111">
        <v>39</v>
      </c>
    </row>
    <row r="112" spans="1:2" x14ac:dyDescent="0.3">
      <c r="A112" t="s">
        <v>344</v>
      </c>
      <c r="B112">
        <v>40</v>
      </c>
    </row>
    <row r="113" spans="1:2" x14ac:dyDescent="0.3">
      <c r="A113" t="s">
        <v>345</v>
      </c>
      <c r="B113">
        <v>41</v>
      </c>
    </row>
    <row r="114" spans="1:2" x14ac:dyDescent="0.3">
      <c r="A114" t="s">
        <v>346</v>
      </c>
      <c r="B114">
        <v>42</v>
      </c>
    </row>
    <row r="115" spans="1:2" x14ac:dyDescent="0.3">
      <c r="A115" t="s">
        <v>347</v>
      </c>
      <c r="B115">
        <v>43</v>
      </c>
    </row>
    <row r="116" spans="1:2" x14ac:dyDescent="0.3">
      <c r="A116" t="s">
        <v>348</v>
      </c>
      <c r="B116">
        <v>44</v>
      </c>
    </row>
    <row r="117" spans="1:2" x14ac:dyDescent="0.3">
      <c r="A117" t="s">
        <v>349</v>
      </c>
      <c r="B117">
        <v>45</v>
      </c>
    </row>
    <row r="118" spans="1:2" x14ac:dyDescent="0.3">
      <c r="A118" t="s">
        <v>350</v>
      </c>
      <c r="B118">
        <v>46</v>
      </c>
    </row>
    <row r="119" spans="1:2" x14ac:dyDescent="0.3">
      <c r="A119" t="s">
        <v>351</v>
      </c>
      <c r="B119">
        <v>47</v>
      </c>
    </row>
    <row r="120" spans="1:2" x14ac:dyDescent="0.3">
      <c r="A120" t="s">
        <v>352</v>
      </c>
      <c r="B120">
        <v>48</v>
      </c>
    </row>
    <row r="121" spans="1:2" x14ac:dyDescent="0.3">
      <c r="A121" t="s">
        <v>353</v>
      </c>
      <c r="B121">
        <v>49</v>
      </c>
    </row>
    <row r="122" spans="1:2" x14ac:dyDescent="0.3">
      <c r="A122" t="s">
        <v>354</v>
      </c>
      <c r="B122">
        <v>50</v>
      </c>
    </row>
    <row r="123" spans="1:2" x14ac:dyDescent="0.3">
      <c r="A123" t="s">
        <v>355</v>
      </c>
      <c r="B123">
        <v>51</v>
      </c>
    </row>
    <row r="124" spans="1:2" x14ac:dyDescent="0.3">
      <c r="A124" t="s">
        <v>356</v>
      </c>
      <c r="B124">
        <v>52</v>
      </c>
    </row>
    <row r="125" spans="1:2" x14ac:dyDescent="0.3">
      <c r="A125" t="s">
        <v>359</v>
      </c>
      <c r="B125">
        <v>54</v>
      </c>
    </row>
    <row r="126" spans="1:2" x14ac:dyDescent="0.3">
      <c r="A126" t="s">
        <v>361</v>
      </c>
      <c r="B126">
        <v>55</v>
      </c>
    </row>
    <row r="127" spans="1:2" x14ac:dyDescent="0.3">
      <c r="A127" t="s">
        <v>363</v>
      </c>
      <c r="B127">
        <v>56</v>
      </c>
    </row>
    <row r="128" spans="1:2" x14ac:dyDescent="0.3">
      <c r="A128" t="s">
        <v>364</v>
      </c>
      <c r="B128">
        <v>57</v>
      </c>
    </row>
    <row r="129" spans="1:23" x14ac:dyDescent="0.3">
      <c r="A129" t="s">
        <v>365</v>
      </c>
      <c r="B129">
        <v>58</v>
      </c>
    </row>
    <row r="130" spans="1:23" x14ac:dyDescent="0.3">
      <c r="A130" t="s">
        <v>367</v>
      </c>
      <c r="B130" t="s">
        <v>368</v>
      </c>
    </row>
    <row r="131" spans="1:23" x14ac:dyDescent="0.3">
      <c r="A131" t="s">
        <v>369</v>
      </c>
      <c r="B131" t="s">
        <v>370</v>
      </c>
    </row>
    <row r="132" spans="1:23" x14ac:dyDescent="0.3">
      <c r="A132" t="s">
        <v>371</v>
      </c>
      <c r="B132" t="s">
        <v>372</v>
      </c>
    </row>
    <row r="133" spans="1:23" x14ac:dyDescent="0.3">
      <c r="A133" t="s">
        <v>373</v>
      </c>
      <c r="B133" t="s">
        <v>374</v>
      </c>
    </row>
    <row r="134" spans="1:23" x14ac:dyDescent="0.3">
      <c r="A134" t="s">
        <v>375</v>
      </c>
      <c r="B134" t="s">
        <v>376</v>
      </c>
    </row>
    <row r="135" spans="1:23" x14ac:dyDescent="0.3">
      <c r="A135" t="s">
        <v>377</v>
      </c>
      <c r="B135" t="s">
        <v>378</v>
      </c>
    </row>
    <row r="136" spans="1:23" x14ac:dyDescent="0.3">
      <c r="A136" t="s">
        <v>379</v>
      </c>
      <c r="B136" t="s">
        <v>380</v>
      </c>
    </row>
    <row r="137" spans="1:23" x14ac:dyDescent="0.3">
      <c r="A137" t="s">
        <v>384</v>
      </c>
      <c r="B137" t="s">
        <v>75</v>
      </c>
      <c r="C137" t="s">
        <v>41</v>
      </c>
      <c r="D137" t="s">
        <v>15</v>
      </c>
      <c r="E137" t="s">
        <v>65</v>
      </c>
      <c r="F137" t="s">
        <v>79</v>
      </c>
      <c r="G137" t="s">
        <v>63</v>
      </c>
      <c r="H137" t="s">
        <v>19</v>
      </c>
      <c r="I137" t="s">
        <v>55</v>
      </c>
      <c r="J137" t="s">
        <v>71</v>
      </c>
      <c r="K137" t="s">
        <v>49</v>
      </c>
      <c r="L137" t="s">
        <v>47</v>
      </c>
      <c r="M137" t="s">
        <v>73</v>
      </c>
      <c r="N137" t="s">
        <v>23</v>
      </c>
      <c r="O137" t="s">
        <v>45</v>
      </c>
      <c r="P137" t="s">
        <v>7</v>
      </c>
      <c r="Q137" t="s">
        <v>51</v>
      </c>
      <c r="R137" t="s">
        <v>39</v>
      </c>
      <c r="S137" t="s">
        <v>67</v>
      </c>
      <c r="T137" t="s">
        <v>61</v>
      </c>
      <c r="U137" t="s">
        <v>11</v>
      </c>
      <c r="V137" t="s">
        <v>69</v>
      </c>
      <c r="W137" t="s">
        <v>59</v>
      </c>
    </row>
    <row r="138" spans="1:23" x14ac:dyDescent="0.3">
      <c r="A138" t="s">
        <v>386</v>
      </c>
      <c r="B138">
        <v>1</v>
      </c>
    </row>
    <row r="139" spans="1:23" x14ac:dyDescent="0.3">
      <c r="A139" t="s">
        <v>387</v>
      </c>
      <c r="B139">
        <v>2</v>
      </c>
    </row>
    <row r="140" spans="1:23" x14ac:dyDescent="0.3">
      <c r="A140" t="s">
        <v>388</v>
      </c>
      <c r="B140">
        <v>3</v>
      </c>
    </row>
    <row r="141" spans="1:23" x14ac:dyDescent="0.3">
      <c r="A141" t="s">
        <v>389</v>
      </c>
      <c r="B141">
        <v>4</v>
      </c>
    </row>
    <row r="142" spans="1:23" x14ac:dyDescent="0.3">
      <c r="A142" t="s">
        <v>390</v>
      </c>
      <c r="B142">
        <v>5</v>
      </c>
    </row>
    <row r="143" spans="1:23" x14ac:dyDescent="0.3">
      <c r="A143" t="s">
        <v>391</v>
      </c>
      <c r="B143">
        <v>6</v>
      </c>
    </row>
    <row r="144" spans="1:23" x14ac:dyDescent="0.3">
      <c r="A144" t="s">
        <v>392</v>
      </c>
      <c r="B144">
        <v>8</v>
      </c>
    </row>
    <row r="145" spans="1:2" x14ac:dyDescent="0.3">
      <c r="A145" t="s">
        <v>393</v>
      </c>
      <c r="B145">
        <v>9</v>
      </c>
    </row>
    <row r="146" spans="1:2" x14ac:dyDescent="0.3">
      <c r="A146" t="s">
        <v>394</v>
      </c>
      <c r="B146">
        <v>10</v>
      </c>
    </row>
    <row r="147" spans="1:2" x14ac:dyDescent="0.3">
      <c r="A147" t="s">
        <v>395</v>
      </c>
      <c r="B147">
        <v>11</v>
      </c>
    </row>
    <row r="148" spans="1:2" x14ac:dyDescent="0.3">
      <c r="A148" t="s">
        <v>396</v>
      </c>
      <c r="B148">
        <v>12</v>
      </c>
    </row>
    <row r="149" spans="1:2" x14ac:dyDescent="0.3">
      <c r="A149" t="s">
        <v>397</v>
      </c>
      <c r="B149">
        <v>13</v>
      </c>
    </row>
    <row r="150" spans="1:2" x14ac:dyDescent="0.3">
      <c r="A150" t="s">
        <v>398</v>
      </c>
      <c r="B150">
        <v>14</v>
      </c>
    </row>
    <row r="151" spans="1:2" x14ac:dyDescent="0.3">
      <c r="A151" t="s">
        <v>399</v>
      </c>
      <c r="B151">
        <v>15</v>
      </c>
    </row>
    <row r="152" spans="1:2" x14ac:dyDescent="0.3">
      <c r="A152" t="s">
        <v>400</v>
      </c>
      <c r="B152">
        <v>16</v>
      </c>
    </row>
    <row r="153" spans="1:2" x14ac:dyDescent="0.3">
      <c r="A153" t="s">
        <v>401</v>
      </c>
      <c r="B153">
        <v>17</v>
      </c>
    </row>
    <row r="154" spans="1:2" x14ac:dyDescent="0.3">
      <c r="A154" t="s">
        <v>402</v>
      </c>
      <c r="B154">
        <v>18</v>
      </c>
    </row>
    <row r="155" spans="1:2" x14ac:dyDescent="0.3">
      <c r="A155" t="s">
        <v>403</v>
      </c>
      <c r="B155">
        <v>19</v>
      </c>
    </row>
    <row r="156" spans="1:2" x14ac:dyDescent="0.3">
      <c r="A156" t="s">
        <v>404</v>
      </c>
      <c r="B156">
        <v>20</v>
      </c>
    </row>
    <row r="157" spans="1:2" x14ac:dyDescent="0.3">
      <c r="A157" t="s">
        <v>405</v>
      </c>
      <c r="B157">
        <v>21</v>
      </c>
    </row>
    <row r="158" spans="1:2" x14ac:dyDescent="0.3">
      <c r="A158" t="s">
        <v>406</v>
      </c>
      <c r="B158">
        <v>22</v>
      </c>
    </row>
    <row r="159" spans="1:2" x14ac:dyDescent="0.3">
      <c r="A159" t="s">
        <v>407</v>
      </c>
      <c r="B159">
        <v>23</v>
      </c>
    </row>
    <row r="160" spans="1:2" x14ac:dyDescent="0.3">
      <c r="A160" t="s">
        <v>408</v>
      </c>
      <c r="B160">
        <v>24</v>
      </c>
    </row>
    <row r="161" spans="1:2" x14ac:dyDescent="0.3">
      <c r="A161" t="s">
        <v>409</v>
      </c>
      <c r="B161">
        <v>25</v>
      </c>
    </row>
    <row r="162" spans="1:2" x14ac:dyDescent="0.3">
      <c r="A162" t="s">
        <v>410</v>
      </c>
      <c r="B162">
        <v>26</v>
      </c>
    </row>
    <row r="163" spans="1:2" x14ac:dyDescent="0.3">
      <c r="A163" t="s">
        <v>411</v>
      </c>
      <c r="B163">
        <v>27</v>
      </c>
    </row>
    <row r="164" spans="1:2" x14ac:dyDescent="0.3">
      <c r="A164" t="s">
        <v>412</v>
      </c>
      <c r="B164">
        <v>28</v>
      </c>
    </row>
    <row r="165" spans="1:2" x14ac:dyDescent="0.3">
      <c r="A165" t="s">
        <v>413</v>
      </c>
      <c r="B165">
        <v>29</v>
      </c>
    </row>
    <row r="166" spans="1:2" x14ac:dyDescent="0.3">
      <c r="A166" t="s">
        <v>414</v>
      </c>
      <c r="B166">
        <v>31</v>
      </c>
    </row>
    <row r="167" spans="1:2" x14ac:dyDescent="0.3">
      <c r="A167" t="s">
        <v>415</v>
      </c>
      <c r="B167">
        <v>32</v>
      </c>
    </row>
    <row r="168" spans="1:2" x14ac:dyDescent="0.3">
      <c r="A168" t="s">
        <v>416</v>
      </c>
      <c r="B168">
        <v>33</v>
      </c>
    </row>
    <row r="169" spans="1:2" x14ac:dyDescent="0.3">
      <c r="A169" t="s">
        <v>417</v>
      </c>
      <c r="B169">
        <v>34</v>
      </c>
    </row>
    <row r="170" spans="1:2" x14ac:dyDescent="0.3">
      <c r="A170" t="s">
        <v>418</v>
      </c>
      <c r="B170">
        <v>35</v>
      </c>
    </row>
    <row r="171" spans="1:2" x14ac:dyDescent="0.3">
      <c r="A171" t="s">
        <v>419</v>
      </c>
      <c r="B171">
        <v>36</v>
      </c>
    </row>
    <row r="172" spans="1:2" x14ac:dyDescent="0.3">
      <c r="A172" t="s">
        <v>420</v>
      </c>
      <c r="B172">
        <v>37</v>
      </c>
    </row>
    <row r="173" spans="1:2" x14ac:dyDescent="0.3">
      <c r="A173" t="s">
        <v>421</v>
      </c>
      <c r="B173">
        <v>38</v>
      </c>
    </row>
    <row r="174" spans="1:2" x14ac:dyDescent="0.3">
      <c r="A174" t="s">
        <v>422</v>
      </c>
      <c r="B174">
        <v>39</v>
      </c>
    </row>
    <row r="175" spans="1:2" x14ac:dyDescent="0.3">
      <c r="A175" t="s">
        <v>423</v>
      </c>
      <c r="B175">
        <v>40</v>
      </c>
    </row>
    <row r="176" spans="1:2" x14ac:dyDescent="0.3">
      <c r="A176" t="s">
        <v>424</v>
      </c>
      <c r="B176">
        <v>41</v>
      </c>
    </row>
    <row r="177" spans="1:2" x14ac:dyDescent="0.3">
      <c r="A177" t="s">
        <v>425</v>
      </c>
      <c r="B177">
        <v>42</v>
      </c>
    </row>
    <row r="178" spans="1:2" x14ac:dyDescent="0.3">
      <c r="A178" t="s">
        <v>426</v>
      </c>
      <c r="B178">
        <v>43</v>
      </c>
    </row>
    <row r="179" spans="1:2" x14ac:dyDescent="0.3">
      <c r="A179" t="s">
        <v>427</v>
      </c>
      <c r="B179">
        <v>44</v>
      </c>
    </row>
    <row r="180" spans="1:2" x14ac:dyDescent="0.3">
      <c r="A180" t="s">
        <v>428</v>
      </c>
      <c r="B180">
        <v>45</v>
      </c>
    </row>
    <row r="181" spans="1:2" x14ac:dyDescent="0.3">
      <c r="A181" t="s">
        <v>429</v>
      </c>
      <c r="B181">
        <v>46</v>
      </c>
    </row>
    <row r="182" spans="1:2" x14ac:dyDescent="0.3">
      <c r="A182" t="s">
        <v>430</v>
      </c>
      <c r="B182">
        <v>47</v>
      </c>
    </row>
    <row r="183" spans="1:2" x14ac:dyDescent="0.3">
      <c r="A183" t="s">
        <v>431</v>
      </c>
      <c r="B183">
        <v>48</v>
      </c>
    </row>
    <row r="184" spans="1:2" x14ac:dyDescent="0.3">
      <c r="A184" t="s">
        <v>432</v>
      </c>
      <c r="B184">
        <v>49</v>
      </c>
    </row>
    <row r="185" spans="1:2" x14ac:dyDescent="0.3">
      <c r="A185" t="s">
        <v>433</v>
      </c>
      <c r="B185">
        <v>50</v>
      </c>
    </row>
    <row r="186" spans="1:2" x14ac:dyDescent="0.3">
      <c r="A186" t="s">
        <v>434</v>
      </c>
      <c r="B186">
        <v>51</v>
      </c>
    </row>
    <row r="187" spans="1:2" x14ac:dyDescent="0.3">
      <c r="A187" t="s">
        <v>435</v>
      </c>
      <c r="B187">
        <v>52</v>
      </c>
    </row>
    <row r="188" spans="1:2" x14ac:dyDescent="0.3">
      <c r="A188" t="s">
        <v>436</v>
      </c>
      <c r="B188">
        <v>54</v>
      </c>
    </row>
    <row r="189" spans="1:2" x14ac:dyDescent="0.3">
      <c r="A189" t="s">
        <v>437</v>
      </c>
      <c r="B189">
        <v>55</v>
      </c>
    </row>
    <row r="190" spans="1:2" x14ac:dyDescent="0.3">
      <c r="A190" t="s">
        <v>438</v>
      </c>
      <c r="B190">
        <v>56</v>
      </c>
    </row>
    <row r="191" spans="1:2" x14ac:dyDescent="0.3">
      <c r="A191" t="s">
        <v>439</v>
      </c>
      <c r="B191">
        <v>57</v>
      </c>
    </row>
    <row r="192" spans="1:2" x14ac:dyDescent="0.3">
      <c r="A192" t="s">
        <v>440</v>
      </c>
      <c r="B192">
        <v>58</v>
      </c>
    </row>
    <row r="193" spans="1:23" x14ac:dyDescent="0.3">
      <c r="A193" t="s">
        <v>442</v>
      </c>
      <c r="B193" t="s">
        <v>443</v>
      </c>
    </row>
    <row r="194" spans="1:23" x14ac:dyDescent="0.3">
      <c r="A194" t="s">
        <v>444</v>
      </c>
      <c r="B194" t="s">
        <v>445</v>
      </c>
    </row>
    <row r="195" spans="1:23" x14ac:dyDescent="0.3">
      <c r="A195" t="s">
        <v>446</v>
      </c>
      <c r="B195" t="s">
        <v>447</v>
      </c>
    </row>
    <row r="196" spans="1:23" x14ac:dyDescent="0.3">
      <c r="A196" t="s">
        <v>448</v>
      </c>
      <c r="B196" t="s">
        <v>449</v>
      </c>
    </row>
    <row r="197" spans="1:23" x14ac:dyDescent="0.3">
      <c r="A197" t="s">
        <v>450</v>
      </c>
      <c r="B197" t="s">
        <v>451</v>
      </c>
    </row>
    <row r="198" spans="1:23" x14ac:dyDescent="0.3">
      <c r="A198" t="s">
        <v>452</v>
      </c>
      <c r="B198" t="s">
        <v>453</v>
      </c>
    </row>
    <row r="199" spans="1:23" x14ac:dyDescent="0.3">
      <c r="A199" t="s">
        <v>454</v>
      </c>
      <c r="B199" t="s">
        <v>455</v>
      </c>
    </row>
    <row r="200" spans="1:23" x14ac:dyDescent="0.3">
      <c r="A200" t="s">
        <v>460</v>
      </c>
      <c r="B200" t="s">
        <v>65</v>
      </c>
      <c r="C200" t="s">
        <v>79</v>
      </c>
      <c r="D200" t="s">
        <v>15</v>
      </c>
      <c r="E200" t="s">
        <v>41</v>
      </c>
      <c r="F200" t="s">
        <v>75</v>
      </c>
      <c r="G200" t="s">
        <v>19</v>
      </c>
      <c r="H200" t="s">
        <v>55</v>
      </c>
      <c r="I200" t="s">
        <v>63</v>
      </c>
      <c r="J200" t="s">
        <v>23</v>
      </c>
      <c r="K200" t="s">
        <v>73</v>
      </c>
      <c r="L200" t="s">
        <v>7</v>
      </c>
      <c r="M200" t="s">
        <v>45</v>
      </c>
      <c r="N200" t="s">
        <v>71</v>
      </c>
      <c r="O200" t="s">
        <v>49</v>
      </c>
      <c r="P200" t="s">
        <v>47</v>
      </c>
      <c r="Q200" t="s">
        <v>67</v>
      </c>
      <c r="R200" t="s">
        <v>51</v>
      </c>
      <c r="S200" t="s">
        <v>39</v>
      </c>
      <c r="T200" t="s">
        <v>61</v>
      </c>
      <c r="U200" t="s">
        <v>11</v>
      </c>
      <c r="V200" t="s">
        <v>69</v>
      </c>
      <c r="W200" t="s">
        <v>59</v>
      </c>
    </row>
    <row r="201" spans="1:23" x14ac:dyDescent="0.3">
      <c r="A201" t="s">
        <v>462</v>
      </c>
      <c r="B201">
        <v>1</v>
      </c>
    </row>
    <row r="202" spans="1:23" x14ac:dyDescent="0.3">
      <c r="A202" t="s">
        <v>463</v>
      </c>
      <c r="B202">
        <v>2</v>
      </c>
    </row>
    <row r="203" spans="1:23" x14ac:dyDescent="0.3">
      <c r="A203" t="s">
        <v>464</v>
      </c>
      <c r="B203">
        <v>3</v>
      </c>
    </row>
    <row r="204" spans="1:23" x14ac:dyDescent="0.3">
      <c r="A204" t="s">
        <v>465</v>
      </c>
      <c r="B204">
        <v>4</v>
      </c>
    </row>
    <row r="205" spans="1:23" x14ac:dyDescent="0.3">
      <c r="A205" t="s">
        <v>466</v>
      </c>
      <c r="B205">
        <v>5</v>
      </c>
    </row>
    <row r="206" spans="1:23" x14ac:dyDescent="0.3">
      <c r="A206" t="s">
        <v>467</v>
      </c>
      <c r="B206">
        <v>6</v>
      </c>
    </row>
    <row r="207" spans="1:23" x14ac:dyDescent="0.3">
      <c r="A207" t="s">
        <v>468</v>
      </c>
      <c r="B207">
        <v>7</v>
      </c>
    </row>
    <row r="208" spans="1:23" x14ac:dyDescent="0.3">
      <c r="A208" t="s">
        <v>469</v>
      </c>
      <c r="B208">
        <v>9</v>
      </c>
    </row>
    <row r="209" spans="1:2" x14ac:dyDescent="0.3">
      <c r="A209" t="s">
        <v>470</v>
      </c>
      <c r="B209">
        <v>10</v>
      </c>
    </row>
    <row r="210" spans="1:2" x14ac:dyDescent="0.3">
      <c r="A210" t="s">
        <v>471</v>
      </c>
      <c r="B210">
        <v>11</v>
      </c>
    </row>
    <row r="211" spans="1:2" x14ac:dyDescent="0.3">
      <c r="A211" t="s">
        <v>472</v>
      </c>
      <c r="B211">
        <v>12</v>
      </c>
    </row>
    <row r="212" spans="1:2" x14ac:dyDescent="0.3">
      <c r="A212" t="s">
        <v>473</v>
      </c>
      <c r="B212">
        <v>13</v>
      </c>
    </row>
    <row r="213" spans="1:2" x14ac:dyDescent="0.3">
      <c r="A213" t="s">
        <v>474</v>
      </c>
      <c r="B213">
        <v>14</v>
      </c>
    </row>
    <row r="214" spans="1:2" x14ac:dyDescent="0.3">
      <c r="A214" t="s">
        <v>475</v>
      </c>
      <c r="B214">
        <v>15</v>
      </c>
    </row>
    <row r="215" spans="1:2" x14ac:dyDescent="0.3">
      <c r="A215" t="s">
        <v>476</v>
      </c>
      <c r="B215">
        <v>16</v>
      </c>
    </row>
    <row r="216" spans="1:2" x14ac:dyDescent="0.3">
      <c r="A216" t="s">
        <v>477</v>
      </c>
      <c r="B216">
        <v>17</v>
      </c>
    </row>
    <row r="217" spans="1:2" x14ac:dyDescent="0.3">
      <c r="A217" t="s">
        <v>478</v>
      </c>
      <c r="B217">
        <v>18</v>
      </c>
    </row>
    <row r="218" spans="1:2" x14ac:dyDescent="0.3">
      <c r="A218" t="s">
        <v>479</v>
      </c>
      <c r="B218">
        <v>19</v>
      </c>
    </row>
    <row r="219" spans="1:2" x14ac:dyDescent="0.3">
      <c r="A219" t="s">
        <v>480</v>
      </c>
      <c r="B219">
        <v>20</v>
      </c>
    </row>
    <row r="220" spans="1:2" x14ac:dyDescent="0.3">
      <c r="A220" t="s">
        <v>481</v>
      </c>
      <c r="B220">
        <v>21</v>
      </c>
    </row>
    <row r="221" spans="1:2" x14ac:dyDescent="0.3">
      <c r="A221" t="s">
        <v>482</v>
      </c>
      <c r="B221">
        <v>22</v>
      </c>
    </row>
    <row r="222" spans="1:2" x14ac:dyDescent="0.3">
      <c r="A222" t="s">
        <v>483</v>
      </c>
      <c r="B222">
        <v>23</v>
      </c>
    </row>
    <row r="223" spans="1:2" x14ac:dyDescent="0.3">
      <c r="A223" t="s">
        <v>484</v>
      </c>
      <c r="B223">
        <v>24</v>
      </c>
    </row>
    <row r="224" spans="1:2" x14ac:dyDescent="0.3">
      <c r="A224" t="s">
        <v>485</v>
      </c>
      <c r="B224">
        <v>25</v>
      </c>
    </row>
    <row r="225" spans="1:2" x14ac:dyDescent="0.3">
      <c r="A225" t="s">
        <v>486</v>
      </c>
      <c r="B225">
        <v>26</v>
      </c>
    </row>
    <row r="226" spans="1:2" x14ac:dyDescent="0.3">
      <c r="A226" t="s">
        <v>487</v>
      </c>
      <c r="B226">
        <v>27</v>
      </c>
    </row>
    <row r="227" spans="1:2" x14ac:dyDescent="0.3">
      <c r="A227" t="s">
        <v>488</v>
      </c>
      <c r="B227">
        <v>28</v>
      </c>
    </row>
    <row r="228" spans="1:2" x14ac:dyDescent="0.3">
      <c r="A228" t="s">
        <v>489</v>
      </c>
      <c r="B228">
        <v>29</v>
      </c>
    </row>
    <row r="229" spans="1:2" x14ac:dyDescent="0.3">
      <c r="A229" t="s">
        <v>490</v>
      </c>
      <c r="B229">
        <v>30</v>
      </c>
    </row>
    <row r="230" spans="1:2" x14ac:dyDescent="0.3">
      <c r="A230" t="s">
        <v>491</v>
      </c>
      <c r="B230">
        <v>31</v>
      </c>
    </row>
    <row r="231" spans="1:2" x14ac:dyDescent="0.3">
      <c r="A231" t="s">
        <v>492</v>
      </c>
      <c r="B231">
        <v>33</v>
      </c>
    </row>
    <row r="232" spans="1:2" x14ac:dyDescent="0.3">
      <c r="A232" t="s">
        <v>493</v>
      </c>
      <c r="B232">
        <v>34</v>
      </c>
    </row>
    <row r="233" spans="1:2" x14ac:dyDescent="0.3">
      <c r="A233" t="s">
        <v>494</v>
      </c>
      <c r="B233">
        <v>35</v>
      </c>
    </row>
    <row r="234" spans="1:2" x14ac:dyDescent="0.3">
      <c r="A234" t="s">
        <v>495</v>
      </c>
      <c r="B234">
        <v>36</v>
      </c>
    </row>
    <row r="235" spans="1:2" x14ac:dyDescent="0.3">
      <c r="A235" t="s">
        <v>496</v>
      </c>
      <c r="B235">
        <v>37</v>
      </c>
    </row>
    <row r="236" spans="1:2" x14ac:dyDescent="0.3">
      <c r="A236" t="s">
        <v>497</v>
      </c>
      <c r="B236">
        <v>38</v>
      </c>
    </row>
    <row r="237" spans="1:2" x14ac:dyDescent="0.3">
      <c r="A237" t="s">
        <v>498</v>
      </c>
      <c r="B237">
        <v>39</v>
      </c>
    </row>
    <row r="238" spans="1:2" x14ac:dyDescent="0.3">
      <c r="A238" t="s">
        <v>499</v>
      </c>
      <c r="B238">
        <v>40</v>
      </c>
    </row>
    <row r="239" spans="1:2" x14ac:dyDescent="0.3">
      <c r="A239" t="s">
        <v>500</v>
      </c>
      <c r="B239">
        <v>41</v>
      </c>
    </row>
    <row r="240" spans="1:2" x14ac:dyDescent="0.3">
      <c r="A240" t="s">
        <v>501</v>
      </c>
      <c r="B240">
        <v>42</v>
      </c>
    </row>
    <row r="241" spans="1:2" x14ac:dyDescent="0.3">
      <c r="A241" t="s">
        <v>502</v>
      </c>
      <c r="B241">
        <v>43</v>
      </c>
    </row>
    <row r="242" spans="1:2" x14ac:dyDescent="0.3">
      <c r="A242" t="s">
        <v>503</v>
      </c>
      <c r="B242">
        <v>44</v>
      </c>
    </row>
    <row r="243" spans="1:2" x14ac:dyDescent="0.3">
      <c r="A243" t="s">
        <v>504</v>
      </c>
      <c r="B243">
        <v>45</v>
      </c>
    </row>
    <row r="244" spans="1:2" x14ac:dyDescent="0.3">
      <c r="A244" t="s">
        <v>505</v>
      </c>
      <c r="B244">
        <v>46</v>
      </c>
    </row>
    <row r="245" spans="1:2" x14ac:dyDescent="0.3">
      <c r="A245" t="s">
        <v>506</v>
      </c>
      <c r="B245">
        <v>47</v>
      </c>
    </row>
    <row r="246" spans="1:2" x14ac:dyDescent="0.3">
      <c r="A246" t="s">
        <v>507</v>
      </c>
      <c r="B246">
        <v>48</v>
      </c>
    </row>
    <row r="247" spans="1:2" x14ac:dyDescent="0.3">
      <c r="A247" t="s">
        <v>508</v>
      </c>
      <c r="B247">
        <v>49</v>
      </c>
    </row>
    <row r="248" spans="1:2" x14ac:dyDescent="0.3">
      <c r="A248" t="s">
        <v>509</v>
      </c>
      <c r="B248">
        <v>50</v>
      </c>
    </row>
    <row r="249" spans="1:2" x14ac:dyDescent="0.3">
      <c r="A249" t="s">
        <v>510</v>
      </c>
      <c r="B249">
        <v>51</v>
      </c>
    </row>
    <row r="250" spans="1:2" x14ac:dyDescent="0.3">
      <c r="A250" t="s">
        <v>511</v>
      </c>
      <c r="B250">
        <v>52</v>
      </c>
    </row>
    <row r="251" spans="1:2" x14ac:dyDescent="0.3">
      <c r="A251" t="s">
        <v>512</v>
      </c>
      <c r="B251">
        <v>53</v>
      </c>
    </row>
    <row r="252" spans="1:2" x14ac:dyDescent="0.3">
      <c r="A252" t="s">
        <v>513</v>
      </c>
      <c r="B252">
        <v>54</v>
      </c>
    </row>
    <row r="253" spans="1:2" x14ac:dyDescent="0.3">
      <c r="A253" t="s">
        <v>514</v>
      </c>
      <c r="B253">
        <v>55</v>
      </c>
    </row>
    <row r="254" spans="1:2" x14ac:dyDescent="0.3">
      <c r="A254" t="s">
        <v>515</v>
      </c>
      <c r="B254">
        <v>57</v>
      </c>
    </row>
    <row r="255" spans="1:2" x14ac:dyDescent="0.3">
      <c r="A255" t="s">
        <v>516</v>
      </c>
      <c r="B255">
        <v>58</v>
      </c>
    </row>
    <row r="256" spans="1:2" x14ac:dyDescent="0.3">
      <c r="A256" t="s">
        <v>517</v>
      </c>
      <c r="B256">
        <v>59</v>
      </c>
    </row>
    <row r="257" spans="1:2" x14ac:dyDescent="0.3">
      <c r="A257" t="s">
        <v>518</v>
      </c>
      <c r="B257">
        <v>61</v>
      </c>
    </row>
    <row r="258" spans="1:2" x14ac:dyDescent="0.3">
      <c r="A258" t="s">
        <v>519</v>
      </c>
      <c r="B258">
        <v>62</v>
      </c>
    </row>
    <row r="259" spans="1:2" x14ac:dyDescent="0.3">
      <c r="A259" t="s">
        <v>520</v>
      </c>
      <c r="B259">
        <v>63</v>
      </c>
    </row>
    <row r="260" spans="1:2" x14ac:dyDescent="0.3">
      <c r="A260" t="s">
        <v>521</v>
      </c>
      <c r="B260">
        <v>64</v>
      </c>
    </row>
    <row r="261" spans="1:2" x14ac:dyDescent="0.3">
      <c r="A261" t="s">
        <v>522</v>
      </c>
      <c r="B261">
        <v>65</v>
      </c>
    </row>
    <row r="262" spans="1:2" x14ac:dyDescent="0.3">
      <c r="A262" t="s">
        <v>523</v>
      </c>
      <c r="B262">
        <v>67</v>
      </c>
    </row>
    <row r="263" spans="1:2" x14ac:dyDescent="0.3">
      <c r="A263" t="s">
        <v>524</v>
      </c>
      <c r="B263">
        <v>68</v>
      </c>
    </row>
    <row r="264" spans="1:2" x14ac:dyDescent="0.3">
      <c r="A264" t="s">
        <v>525</v>
      </c>
      <c r="B264">
        <v>69</v>
      </c>
    </row>
    <row r="265" spans="1:2" x14ac:dyDescent="0.3">
      <c r="A265" t="s">
        <v>526</v>
      </c>
      <c r="B265">
        <v>70</v>
      </c>
    </row>
    <row r="266" spans="1:2" x14ac:dyDescent="0.3">
      <c r="A266" t="s">
        <v>527</v>
      </c>
      <c r="B266">
        <v>71</v>
      </c>
    </row>
    <row r="267" spans="1:2" x14ac:dyDescent="0.3">
      <c r="A267" t="s">
        <v>529</v>
      </c>
      <c r="B267" t="s">
        <v>530</v>
      </c>
    </row>
    <row r="268" spans="1:2" x14ac:dyDescent="0.3">
      <c r="A268" t="s">
        <v>531</v>
      </c>
      <c r="B268" t="s">
        <v>532</v>
      </c>
    </row>
    <row r="269" spans="1:2" x14ac:dyDescent="0.3">
      <c r="A269" t="s">
        <v>533</v>
      </c>
      <c r="B269" t="s">
        <v>534</v>
      </c>
    </row>
    <row r="270" spans="1:2" x14ac:dyDescent="0.3">
      <c r="A270" t="s">
        <v>535</v>
      </c>
      <c r="B270" t="s">
        <v>536</v>
      </c>
    </row>
    <row r="271" spans="1:2" x14ac:dyDescent="0.3">
      <c r="A271" t="s">
        <v>537</v>
      </c>
      <c r="B271" t="s">
        <v>538</v>
      </c>
    </row>
    <row r="272" spans="1:2" x14ac:dyDescent="0.3">
      <c r="A272" t="s">
        <v>539</v>
      </c>
      <c r="B272" t="s">
        <v>540</v>
      </c>
    </row>
    <row r="273" spans="1:24" x14ac:dyDescent="0.3">
      <c r="A273" t="s">
        <v>541</v>
      </c>
      <c r="B273" t="s">
        <v>542</v>
      </c>
    </row>
    <row r="274" spans="1:24" x14ac:dyDescent="0.3">
      <c r="A274" t="s">
        <v>547</v>
      </c>
      <c r="B274" t="s">
        <v>23</v>
      </c>
      <c r="C274" t="s">
        <v>25</v>
      </c>
      <c r="D274" t="s">
        <v>73</v>
      </c>
      <c r="E274" t="s">
        <v>49</v>
      </c>
      <c r="F274" t="s">
        <v>67</v>
      </c>
      <c r="G274" t="s">
        <v>39</v>
      </c>
      <c r="H274" t="s">
        <v>65</v>
      </c>
      <c r="I274" t="s">
        <v>41</v>
      </c>
      <c r="J274" t="s">
        <v>55</v>
      </c>
      <c r="K274" t="s">
        <v>63</v>
      </c>
      <c r="L274" t="s">
        <v>15</v>
      </c>
      <c r="M274" t="s">
        <v>51</v>
      </c>
      <c r="N274" t="s">
        <v>69</v>
      </c>
      <c r="O274" t="s">
        <v>7</v>
      </c>
      <c r="P274" t="s">
        <v>45</v>
      </c>
      <c r="Q274" t="s">
        <v>47</v>
      </c>
      <c r="R274" t="s">
        <v>71</v>
      </c>
      <c r="S274" t="s">
        <v>21</v>
      </c>
      <c r="T274" t="s">
        <v>75</v>
      </c>
      <c r="U274" t="s">
        <v>19</v>
      </c>
      <c r="V274" t="s">
        <v>59</v>
      </c>
      <c r="W274" t="s">
        <v>11</v>
      </c>
      <c r="X274" t="s">
        <v>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F16"/>
  <sheetViews>
    <sheetView tabSelected="1" zoomScale="80" zoomScaleNormal="8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M5" sqref="AM5:AZ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3.5546875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0.33203125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132" t="s">
        <v>366</v>
      </c>
      <c r="B1" s="132"/>
      <c r="C1" s="132"/>
      <c r="D1" s="132"/>
      <c r="E1" s="132"/>
      <c r="F1" s="132"/>
      <c r="H1" s="120" t="s">
        <v>2</v>
      </c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E1" s="121" t="s">
        <v>3</v>
      </c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</row>
    <row r="2" spans="1:58" ht="30" customHeight="1" x14ac:dyDescent="0.3">
      <c r="A2" s="128" t="s">
        <v>93</v>
      </c>
      <c r="B2" s="129" t="s">
        <v>96</v>
      </c>
      <c r="C2" s="128" t="s">
        <v>102</v>
      </c>
      <c r="D2" s="129" t="s">
        <v>105</v>
      </c>
      <c r="E2" s="128" t="s">
        <v>108</v>
      </c>
      <c r="F2" s="129" t="s">
        <v>111</v>
      </c>
      <c r="H2" s="128" t="s">
        <v>310</v>
      </c>
      <c r="I2" s="129" t="s">
        <v>114</v>
      </c>
      <c r="J2" s="130" t="s">
        <v>117</v>
      </c>
      <c r="K2" s="130"/>
      <c r="L2" s="130"/>
      <c r="M2" s="130"/>
      <c r="N2" s="128" t="s">
        <v>130</v>
      </c>
      <c r="O2" s="129" t="s">
        <v>133</v>
      </c>
      <c r="P2" s="128" t="s">
        <v>24</v>
      </c>
      <c r="Q2" s="131" t="s">
        <v>142</v>
      </c>
      <c r="R2" s="131"/>
      <c r="S2" s="131"/>
      <c r="T2" s="131"/>
      <c r="U2" s="130" t="s">
        <v>153</v>
      </c>
      <c r="V2" s="130"/>
      <c r="W2" s="131" t="s">
        <v>160</v>
      </c>
      <c r="X2" s="131"/>
      <c r="Y2" s="131"/>
      <c r="Z2" s="130" t="s">
        <v>170</v>
      </c>
      <c r="AA2" s="130"/>
      <c r="AB2" s="131" t="s">
        <v>177</v>
      </c>
      <c r="AC2" s="131"/>
      <c r="AE2" s="128" t="s">
        <v>310</v>
      </c>
      <c r="AF2" s="129" t="s">
        <v>114</v>
      </c>
      <c r="AG2" s="130" t="s">
        <v>117</v>
      </c>
      <c r="AH2" s="130"/>
      <c r="AI2" s="130"/>
      <c r="AJ2" s="130"/>
      <c r="AK2" s="128" t="s">
        <v>192</v>
      </c>
      <c r="AL2" s="129" t="s">
        <v>133</v>
      </c>
      <c r="AM2" s="128" t="s">
        <v>24</v>
      </c>
      <c r="AN2" s="131" t="s">
        <v>142</v>
      </c>
      <c r="AO2" s="131"/>
      <c r="AP2" s="131"/>
      <c r="AQ2" s="131"/>
      <c r="AR2" s="130" t="s">
        <v>153</v>
      </c>
      <c r="AS2" s="130"/>
      <c r="AT2" s="131" t="s">
        <v>160</v>
      </c>
      <c r="AU2" s="131"/>
      <c r="AV2" s="131"/>
      <c r="AW2" s="130" t="s">
        <v>170</v>
      </c>
      <c r="AX2" s="130"/>
      <c r="AY2" s="131" t="s">
        <v>177</v>
      </c>
      <c r="AZ2" s="131"/>
      <c r="BB2" s="130" t="s">
        <v>357</v>
      </c>
      <c r="BC2" s="130"/>
      <c r="BD2" s="130"/>
      <c r="BE2" s="129" t="s">
        <v>232</v>
      </c>
      <c r="BF2" s="128" t="s">
        <v>232</v>
      </c>
    </row>
    <row r="3" spans="1:58" ht="29.4" thickBot="1" x14ac:dyDescent="0.35">
      <c r="A3" s="128"/>
      <c r="B3" s="129"/>
      <c r="C3" s="128"/>
      <c r="D3" s="129"/>
      <c r="E3" s="128"/>
      <c r="F3" s="129"/>
      <c r="H3" s="128"/>
      <c r="I3" s="129"/>
      <c r="J3" s="11" t="s">
        <v>118</v>
      </c>
      <c r="K3" s="11" t="s">
        <v>121</v>
      </c>
      <c r="L3" s="11" t="s">
        <v>124</v>
      </c>
      <c r="M3" s="11" t="s">
        <v>127</v>
      </c>
      <c r="N3" s="128"/>
      <c r="O3" s="129"/>
      <c r="P3" s="128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128"/>
      <c r="AF3" s="129"/>
      <c r="AG3" s="11" t="s">
        <v>118</v>
      </c>
      <c r="AH3" s="11" t="s">
        <v>121</v>
      </c>
      <c r="AI3" s="11" t="s">
        <v>124</v>
      </c>
      <c r="AJ3" s="11" t="s">
        <v>127</v>
      </c>
      <c r="AK3" s="128"/>
      <c r="AL3" s="129"/>
      <c r="AM3" s="128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129"/>
      <c r="BF3" s="128"/>
    </row>
    <row r="4" spans="1:58" ht="123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58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2.9303780780754436</v>
      </c>
      <c r="I5" s="17">
        <f>IF(OR(ISBLANK(Q5),ISBLANK(F5)),"·",Q5*F5/E5/1000000)</f>
        <v>2057.4831825000001</v>
      </c>
      <c r="J5" s="18">
        <f>IF(ISBLANK(Q5),"·",Q5/C5)</f>
        <v>87.91134234226331</v>
      </c>
      <c r="K5" s="18">
        <f>IF(N5="","·",N5/C5)</f>
        <v>13.857057632725013</v>
      </c>
      <c r="L5" s="18">
        <f>IF(R5="","·",R5/C5)</f>
        <v>13.060235317247109</v>
      </c>
      <c r="M5" s="18">
        <f>IF(ISBLANK(T5),"·",T5/C5)</f>
        <v>74.054144669791199</v>
      </c>
      <c r="N5" s="15">
        <f>IF(OR(ISBLANK(R5),ISBLANK(S5)),"",R5+S5)</f>
        <v>345932312</v>
      </c>
      <c r="O5" s="18">
        <f>IF(ISBLANK(Q5),"·",Q5/P5)</f>
        <v>6.4289493644124569</v>
      </c>
      <c r="P5" s="19">
        <v>341369733</v>
      </c>
      <c r="Q5" s="20">
        <v>2194648728</v>
      </c>
      <c r="R5" s="20">
        <v>326040168</v>
      </c>
      <c r="S5" s="20">
        <v>19892144</v>
      </c>
      <c r="T5" s="20">
        <v>1848712920</v>
      </c>
      <c r="U5" s="21" t="s">
        <v>571</v>
      </c>
      <c r="V5" s="21" t="s">
        <v>571</v>
      </c>
      <c r="W5" s="21" t="s">
        <v>571</v>
      </c>
      <c r="X5" s="21" t="s">
        <v>571</v>
      </c>
      <c r="Y5" s="21" t="s">
        <v>571</v>
      </c>
      <c r="Z5" s="22">
        <v>59737.599999999999</v>
      </c>
      <c r="AA5" s="22">
        <v>56620.5</v>
      </c>
      <c r="AB5" s="22">
        <v>42.207999999999998</v>
      </c>
      <c r="AC5" s="22">
        <v>212.65199999999999</v>
      </c>
      <c r="AE5" s="23">
        <f>IF(ISBLANK(AN5),"·",AN5/(C5*D5*3))</f>
        <v>2.9295218060566204</v>
      </c>
      <c r="AF5" s="17">
        <f>IF(OR(ISBLANK(AN5),ISBLANK(F5)),"·",AN5*F5/E5/1000000)</f>
        <v>2056.8819749999998</v>
      </c>
      <c r="AG5" s="18">
        <f>IF(ISBLANK(AN5),"·",AN5/C5)</f>
        <v>87.885654181698612</v>
      </c>
      <c r="AH5" s="18">
        <f>IF(AK5="","·",AK5/C5)</f>
        <v>13.85372455856135</v>
      </c>
      <c r="AI5" s="18">
        <f>IF(AO5="","·",AO5/C5)</f>
        <v>13.058574388164303</v>
      </c>
      <c r="AJ5" s="18">
        <f>IF(ISBLANK(AQ5),"·",AQ5/C5)</f>
        <v>74.031786378819291</v>
      </c>
      <c r="AK5" s="15">
        <f>IF(OR(ISBLANK(AO5),ISBLANK(AP5)),"",AO5+AP5)</f>
        <v>345849104</v>
      </c>
      <c r="AL5" s="18">
        <f>IF(ISBLANK(AN5),"·",AN5/AM5)</f>
        <v>9.2128519386212329</v>
      </c>
      <c r="AM5" s="19">
        <v>238146391</v>
      </c>
      <c r="AN5" s="20">
        <v>2194007440</v>
      </c>
      <c r="AO5" s="20">
        <v>325998704</v>
      </c>
      <c r="AP5" s="20">
        <v>19850400</v>
      </c>
      <c r="AQ5" s="20">
        <v>1848154760</v>
      </c>
      <c r="AR5" s="21" t="s">
        <v>571</v>
      </c>
      <c r="AS5" s="21" t="s">
        <v>571</v>
      </c>
      <c r="AT5" s="21" t="s">
        <v>571</v>
      </c>
      <c r="AU5" s="21" t="s">
        <v>571</v>
      </c>
      <c r="AV5" s="21" t="s">
        <v>571</v>
      </c>
      <c r="AW5" s="22">
        <v>27152.3</v>
      </c>
      <c r="AX5" s="22">
        <v>55401.3</v>
      </c>
      <c r="AY5" s="22">
        <v>29.632999999999999</v>
      </c>
      <c r="AZ5" s="22">
        <v>217.24</v>
      </c>
      <c r="BB5" s="24">
        <f t="shared" ref="BB5:BB12" si="0">AG5/J5</f>
        <v>0.99970779469542526</v>
      </c>
      <c r="BC5" s="24">
        <f>AI5/L5</f>
        <v>0.99987282548572365</v>
      </c>
      <c r="BD5" s="24">
        <f t="shared" ref="BC5:BD12" si="1">AJ5/M5</f>
        <v>0.99969808184171727</v>
      </c>
      <c r="BE5" s="23">
        <f>(AK5/AN5) - (N5/Q5)</f>
        <v>8.1473090128569847E-6</v>
      </c>
      <c r="BF5" s="23">
        <f t="array" ref="BF5">AVERAGE(AK5:AK5/AN5:AN5) - AVERAGE(N5:N5/Q5:Q5)</f>
        <v>8.1473090128569847E-6</v>
      </c>
    </row>
    <row r="6" spans="1:58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4.2037479080765952</v>
      </c>
      <c r="I6" s="27">
        <f>IF(OR(ISBLANK(Q6),ISBLANK(F6)),"·",Q6*F6/E6/1000000)</f>
        <v>2678.4849899999999</v>
      </c>
      <c r="J6" s="28">
        <f>IF(ISBLANK(Q6),"·",Q6/C6)</f>
        <v>126.11243724229786</v>
      </c>
      <c r="K6" s="28">
        <f>IF(N6="","·",N6/C6)</f>
        <v>17.094157001418111</v>
      </c>
      <c r="L6" s="28">
        <f>IF(R6="","·",R6/C6)</f>
        <v>15.89284455485328</v>
      </c>
      <c r="M6" s="28">
        <f>IF(ISBLANK(T6),"·",T6/C6)</f>
        <v>109.0181259247217</v>
      </c>
      <c r="N6" s="25">
        <f>IF(OR(ISBLANK(R6),ISBLANK(S6)),"",R6+S6)</f>
        <v>387264520</v>
      </c>
      <c r="O6" s="28">
        <f>IF(ISBLANK(Q6),"·",Q6/P6)</f>
        <v>9.4071012556466336</v>
      </c>
      <c r="P6" s="29">
        <v>303712119</v>
      </c>
      <c r="Q6" s="30">
        <v>2857050656</v>
      </c>
      <c r="R6" s="30">
        <v>360049040</v>
      </c>
      <c r="S6" s="30">
        <v>27215480</v>
      </c>
      <c r="T6" s="30">
        <v>2469782640</v>
      </c>
      <c r="U6" s="31" t="s">
        <v>571</v>
      </c>
      <c r="V6" s="31" t="s">
        <v>571</v>
      </c>
      <c r="W6" s="31" t="s">
        <v>571</v>
      </c>
      <c r="X6" s="31" t="s">
        <v>571</v>
      </c>
      <c r="Y6" s="31" t="s">
        <v>571</v>
      </c>
      <c r="Z6" s="32">
        <v>55083.9</v>
      </c>
      <c r="AA6" s="32">
        <v>59411.8</v>
      </c>
      <c r="AB6" s="32">
        <v>37.027000000000001</v>
      </c>
      <c r="AC6" s="32">
        <v>231.06899999999999</v>
      </c>
      <c r="AE6" s="33">
        <f>IF(ISBLANK(AN6),"·",AN6/(C6*D6*3))</f>
        <v>4.2037054858467231</v>
      </c>
      <c r="AF6" s="27">
        <f>IF(OR(ISBLANK(AN6),ISBLANK(F6)),"·",AN6*F6/E6/1000000)</f>
        <v>2678.4579600000002</v>
      </c>
      <c r="AG6" s="28">
        <f>IF(ISBLANK(AN6),"·",AN6/C6)</f>
        <v>126.1111645754017</v>
      </c>
      <c r="AH6" s="28">
        <f>IF(AK6="","·",AK6/C6)</f>
        <v>17.094531668337321</v>
      </c>
      <c r="AI6" s="28">
        <f>IF(AO6="","·",AO6/C6)</f>
        <v>15.892083567849605</v>
      </c>
      <c r="AJ6" s="28">
        <f>IF(ISBLANK(AQ6),"·",AQ6/C6)</f>
        <v>109.01647505964412</v>
      </c>
      <c r="AK6" s="25">
        <f>IF(OR(ISBLANK(AO6),ISBLANK(AP6)),"",AO6+AP6)</f>
        <v>387273008</v>
      </c>
      <c r="AL6" s="28">
        <f>IF(ISBLANK(AN6),"·",AN6/AM6)</f>
        <v>13.098319988476867</v>
      </c>
      <c r="AM6" s="29">
        <v>218121242</v>
      </c>
      <c r="AN6" s="30">
        <v>2857021824</v>
      </c>
      <c r="AO6" s="30">
        <v>360031800</v>
      </c>
      <c r="AP6" s="30">
        <v>27241208</v>
      </c>
      <c r="AQ6" s="30">
        <v>2469745240</v>
      </c>
      <c r="AR6" s="31" t="s">
        <v>571</v>
      </c>
      <c r="AS6" s="31" t="s">
        <v>571</v>
      </c>
      <c r="AT6" s="31" t="s">
        <v>571</v>
      </c>
      <c r="AU6" s="31" t="s">
        <v>571</v>
      </c>
      <c r="AV6" s="31" t="s">
        <v>571</v>
      </c>
      <c r="AW6" s="32">
        <v>22250</v>
      </c>
      <c r="AX6" s="32">
        <v>50995</v>
      </c>
      <c r="AY6" s="32">
        <v>28.105</v>
      </c>
      <c r="AZ6" s="32">
        <v>232.726</v>
      </c>
      <c r="BB6" s="34">
        <f t="shared" si="0"/>
        <v>0.99998990847434255</v>
      </c>
      <c r="BC6" s="34">
        <f t="shared" si="1"/>
        <v>0.99995211763375347</v>
      </c>
      <c r="BD6" s="34">
        <f t="shared" si="1"/>
        <v>0.99998485696700823</v>
      </c>
      <c r="BE6" s="33">
        <f>(AK6/AN6) - (N6/Q6)</f>
        <v>4.3388152431156346E-6</v>
      </c>
      <c r="BF6" s="33">
        <f t="array" ref="BF6">AVERAGE(AK6:AK6/AN6:AN6) - AVERAGE(N6:N6/Q6:Q6)</f>
        <v>4.3388152431156346E-6</v>
      </c>
    </row>
    <row r="7" spans="1:58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3.3128243848378851</v>
      </c>
      <c r="I7" s="17">
        <f>IF(OR(ISBLANK(Q7),ISBLANK(F7)),"·",Q7*F7/E7/1000000)</f>
        <v>3163.0170374999998</v>
      </c>
      <c r="J7" s="18">
        <f>IF(ISBLANK(Q7),"·",Q7/C7)</f>
        <v>99.38473154513656</v>
      </c>
      <c r="K7" s="18">
        <f>IF(N7="","·",N7/C7)</f>
        <v>15.689929320138692</v>
      </c>
      <c r="L7" s="18">
        <f>IF(R7="","·",R7/C7)</f>
        <v>14.634316686617934</v>
      </c>
      <c r="M7" s="18">
        <f>IF(ISBLANK(T7),"·",T7/C7)</f>
        <v>83.694699243112595</v>
      </c>
      <c r="N7" s="15">
        <f>IF(OR(ISBLANK(R7),ISBLANK(S7)),"",R7+S7)</f>
        <v>532637296</v>
      </c>
      <c r="O7" s="18">
        <f>IF(ISBLANK(Q7),"·",Q7/P7)</f>
        <v>7.5336125247586647</v>
      </c>
      <c r="P7" s="19">
        <v>447844222</v>
      </c>
      <c r="Q7" s="20">
        <v>3373884840</v>
      </c>
      <c r="R7" s="20">
        <v>496801656</v>
      </c>
      <c r="S7" s="20">
        <v>35835640</v>
      </c>
      <c r="T7" s="20">
        <v>2841244048</v>
      </c>
      <c r="U7" s="21" t="s">
        <v>571</v>
      </c>
      <c r="V7" s="21" t="s">
        <v>571</v>
      </c>
      <c r="W7" s="21" t="s">
        <v>571</v>
      </c>
      <c r="X7" s="21" t="s">
        <v>571</v>
      </c>
      <c r="Y7" s="21" t="s">
        <v>571</v>
      </c>
      <c r="Z7" s="22">
        <v>79128.100000000006</v>
      </c>
      <c r="AA7" s="22">
        <v>74754.5</v>
      </c>
      <c r="AB7" s="22">
        <v>50.191000000000003</v>
      </c>
      <c r="AC7" s="22">
        <v>265.40100000000001</v>
      </c>
      <c r="AE7" s="23">
        <f>IF(ISBLANK(AN7),"·",AN7/(C7*D7*3))</f>
        <v>3.3089579531285924</v>
      </c>
      <c r="AF7" s="17">
        <f>IF(OR(ISBLANK(AN7),ISBLANK(F7)),"·",AN7*F7/E7/1000000)</f>
        <v>3159.3254474999999</v>
      </c>
      <c r="AG7" s="18">
        <f>IF(ISBLANK(AN7),"·",AN7/C7)</f>
        <v>99.268738593857762</v>
      </c>
      <c r="AH7" s="18">
        <f>IF(AK7="","·",AK7/C7)</f>
        <v>15.679159347323434</v>
      </c>
      <c r="AI7" s="18">
        <f>IF(AO7="","·",AO7/C7)</f>
        <v>14.622664415911549</v>
      </c>
      <c r="AJ7" s="18">
        <f>IF(ISBLANK(AQ7),"·",AQ7/C7)</f>
        <v>83.589473908084187</v>
      </c>
      <c r="AK7" s="15">
        <f>IF(OR(ISBLANK(AO7),ISBLANK(AP7)),"",AO7+AP7)</f>
        <v>532271680</v>
      </c>
      <c r="AL7" s="18">
        <f>IF(ISBLANK(AN7),"·",AN7/AM7)</f>
        <v>10.446542782406967</v>
      </c>
      <c r="AM7" s="19">
        <v>322589704</v>
      </c>
      <c r="AN7" s="20">
        <v>3369947144</v>
      </c>
      <c r="AO7" s="20">
        <v>496406088</v>
      </c>
      <c r="AP7" s="20">
        <v>35865592</v>
      </c>
      <c r="AQ7" s="20">
        <v>2837671888</v>
      </c>
      <c r="AR7" s="21" t="s">
        <v>571</v>
      </c>
      <c r="AS7" s="21" t="s">
        <v>571</v>
      </c>
      <c r="AT7" s="21" t="s">
        <v>571</v>
      </c>
      <c r="AU7" s="21" t="s">
        <v>571</v>
      </c>
      <c r="AV7" s="21" t="s">
        <v>571</v>
      </c>
      <c r="AW7" s="22">
        <v>35572.9</v>
      </c>
      <c r="AX7" s="22">
        <v>74134.600000000006</v>
      </c>
      <c r="AY7" s="22">
        <v>36.612000000000002</v>
      </c>
      <c r="AZ7" s="22">
        <v>237.97200000000001</v>
      </c>
      <c r="BB7" s="24">
        <f t="shared" si="0"/>
        <v>0.99883288962524275</v>
      </c>
      <c r="BC7" s="24">
        <f t="shared" si="1"/>
        <v>0.99920377077003941</v>
      </c>
      <c r="BD7" s="24">
        <f t="shared" si="1"/>
        <v>0.99874274791617623</v>
      </c>
      <c r="BE7" s="23">
        <f>(AK7/AN7) - (N7/Q7)</f>
        <v>7.5974637940567913E-5</v>
      </c>
      <c r="BF7" s="23">
        <f t="array" ref="BF7">AVERAGE(AK7:AK7/AN7:AN7) - AVERAGE(N7:N7/Q7:Q7)</f>
        <v>7.5974637940567913E-5</v>
      </c>
    </row>
    <row r="8" spans="1:58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2.3299733354180092</v>
      </c>
      <c r="I8" s="47">
        <f>IF(OR(ISBLANK(Q8),ISBLANK(F8)),"·",Q8*F8/E8/1000000)</f>
        <v>3517.8566875000001</v>
      </c>
      <c r="J8" s="48">
        <f>IF(ISBLANK(Q8),"·",Q8/C8)</f>
        <v>69.899200062540274</v>
      </c>
      <c r="K8" s="48">
        <f>IF(N8="","·",N8/C8)</f>
        <v>9.0140468803084843</v>
      </c>
      <c r="L8" s="48">
        <f>IF(R8="","·",R8/C8)</f>
        <v>8.2385896670757877</v>
      </c>
      <c r="M8" s="48">
        <f>IF(ISBLANK(T8),"·",T8/C8)</f>
        <v>60.885065506624834</v>
      </c>
      <c r="N8" s="45">
        <f>IF(OR(ISBLANK(R8),ISBLANK(S8)),"",R8+S8)</f>
        <v>290339232</v>
      </c>
      <c r="O8" s="48">
        <f>IF(ISBLANK(Q8),"·",Q8/P8)</f>
        <v>7.6237783805418102</v>
      </c>
      <c r="P8" s="49">
        <v>295316596</v>
      </c>
      <c r="Q8" s="50">
        <v>2251428280</v>
      </c>
      <c r="R8" s="50">
        <v>265362032</v>
      </c>
      <c r="S8" s="50">
        <v>24977200</v>
      </c>
      <c r="T8" s="50">
        <v>1961086224</v>
      </c>
      <c r="U8" s="51" t="s">
        <v>571</v>
      </c>
      <c r="V8" s="51" t="s">
        <v>571</v>
      </c>
      <c r="W8" s="51" t="s">
        <v>571</v>
      </c>
      <c r="X8" s="51" t="s">
        <v>571</v>
      </c>
      <c r="Y8" s="51" t="s">
        <v>571</v>
      </c>
      <c r="Z8" s="52">
        <v>63010</v>
      </c>
      <c r="AA8" s="52">
        <v>50121.2</v>
      </c>
      <c r="AB8" s="52">
        <v>39.052</v>
      </c>
      <c r="AC8" s="52">
        <v>200.846</v>
      </c>
      <c r="AE8" s="53">
        <f>IF(ISBLANK(AN8),"·",AN8/(C8*D8*3))</f>
        <v>2.3004025140338666</v>
      </c>
      <c r="AF8" s="47">
        <f>IF(OR(ISBLANK(AN8),ISBLANK(F8)),"·",AN8*F8/E8/1000000)</f>
        <v>3473.2098624999999</v>
      </c>
      <c r="AG8" s="48">
        <f>IF(ISBLANK(AN8),"·",AN8/C8)</f>
        <v>69.012075421015993</v>
      </c>
      <c r="AH8" s="48">
        <f>IF(AK8="","·",AK8/C8)</f>
        <v>8.9180709019345539</v>
      </c>
      <c r="AI8" s="48">
        <f>IF(AO8="","·",AO8/C8)</f>
        <v>8.144478223493504</v>
      </c>
      <c r="AJ8" s="48">
        <f>IF(ISBLANK(AQ8),"·",AQ8/C8)</f>
        <v>60.093914856491892</v>
      </c>
      <c r="AK8" s="45">
        <f>IF(OR(ISBLANK(AO8),ISBLANK(AP8)),"",AO8+AP8)</f>
        <v>287247880</v>
      </c>
      <c r="AL8" s="48">
        <f>IF(ISBLANK(AN8),"·",AN8/AM8)</f>
        <v>8.8700266111455193</v>
      </c>
      <c r="AM8" s="49">
        <v>250602891</v>
      </c>
      <c r="AN8" s="50">
        <v>2222854312</v>
      </c>
      <c r="AO8" s="50">
        <v>262330736</v>
      </c>
      <c r="AP8" s="50">
        <v>24917144</v>
      </c>
      <c r="AQ8" s="50">
        <v>1935603544</v>
      </c>
      <c r="AR8" s="51" t="s">
        <v>571</v>
      </c>
      <c r="AS8" s="51" t="s">
        <v>571</v>
      </c>
      <c r="AT8" s="51" t="s">
        <v>571</v>
      </c>
      <c r="AU8" s="51" t="s">
        <v>571</v>
      </c>
      <c r="AV8" s="51" t="s">
        <v>571</v>
      </c>
      <c r="AW8" s="52">
        <v>26010.1</v>
      </c>
      <c r="AX8" s="52">
        <v>42407.9</v>
      </c>
      <c r="AY8" s="52">
        <v>25.707999999999998</v>
      </c>
      <c r="AZ8" s="52">
        <v>169.256</v>
      </c>
      <c r="BB8" s="54">
        <f t="shared" si="0"/>
        <v>0.98730851510846263</v>
      </c>
      <c r="BC8" s="54">
        <f t="shared" si="1"/>
        <v>0.98857675313550508</v>
      </c>
      <c r="BD8" s="54">
        <f t="shared" si="1"/>
        <v>0.98700583396683939</v>
      </c>
      <c r="BE8" s="53">
        <f>(AK8/AN8) - (N8/Q8)</f>
        <v>2.6699184608935944E-4</v>
      </c>
      <c r="BF8" s="53">
        <f t="array" ref="BF8">AVERAGE(AK8:AK8/AN8:AN8) - AVERAGE(N8:N8/Q8:Q8)</f>
        <v>2.6699184608935944E-4</v>
      </c>
    </row>
    <row r="9" spans="1:58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4.9636514287116951</v>
      </c>
      <c r="I9" s="37">
        <f>IF(OR(ISBLANK(Q9),ISBLANK(F9)),"·",Q9*F9/E9/1000000)</f>
        <v>3533.6804099999999</v>
      </c>
      <c r="J9" s="38">
        <f>IF(ISBLANK(Q9),"·",Q9/C9)</f>
        <v>148.90954286135084</v>
      </c>
      <c r="K9" s="38">
        <f>IF(N9="","·",N9/C9)</f>
        <v>15.471680766207625</v>
      </c>
      <c r="L9" s="38">
        <f>IF(R9="","·",R9/C9)</f>
        <v>14.564101842859044</v>
      </c>
      <c r="M9" s="38">
        <f>IF(ISBLANK(T9),"·",T9/C9)</f>
        <v>133.437723981061</v>
      </c>
      <c r="N9" s="35">
        <f>IF(OR(ISBLANK(R9),ISBLANK(S9)),"",R9+S9)</f>
        <v>391625496</v>
      </c>
      <c r="O9" s="38">
        <f>IF(ISBLANK(Q9),"·",Q9/P9)</f>
        <v>10.69100939832262</v>
      </c>
      <c r="P9" s="39">
        <v>352563445</v>
      </c>
      <c r="Q9" s="40">
        <v>3769259104</v>
      </c>
      <c r="R9" s="40">
        <v>368652488</v>
      </c>
      <c r="S9" s="40">
        <v>22973008</v>
      </c>
      <c r="T9" s="40">
        <v>3377630112</v>
      </c>
      <c r="U9" s="41" t="s">
        <v>571</v>
      </c>
      <c r="V9" s="41" t="s">
        <v>571</v>
      </c>
      <c r="W9" s="41" t="s">
        <v>571</v>
      </c>
      <c r="X9" s="41" t="s">
        <v>571</v>
      </c>
      <c r="Y9" s="41" t="s">
        <v>571</v>
      </c>
      <c r="Z9" s="42">
        <v>62774.8</v>
      </c>
      <c r="AA9" s="42">
        <v>66005.3</v>
      </c>
      <c r="AB9" s="42">
        <v>44.296999999999997</v>
      </c>
      <c r="AC9" s="42">
        <v>265.29399999999998</v>
      </c>
      <c r="AE9" s="43">
        <f>IF(ISBLANK(AN9),"·",AN9/(C9*D9*3))</f>
        <v>4.9647190263368071</v>
      </c>
      <c r="AF9" s="37">
        <f>IF(OR(ISBLANK(AN9),ISBLANK(F9)),"·",AN9*F9/E9/1000000)</f>
        <v>3534.4404450000002</v>
      </c>
      <c r="AG9" s="38">
        <f>IF(ISBLANK(AN9),"·",AN9/C9)</f>
        <v>148.94157079010421</v>
      </c>
      <c r="AH9" s="38">
        <f>IF(AK9="","·",AK9/C9)</f>
        <v>15.472406734278303</v>
      </c>
      <c r="AI9" s="38">
        <f>IF(AO9="","·",AO9/C9)</f>
        <v>14.565299674373138</v>
      </c>
      <c r="AJ9" s="38">
        <f>IF(ISBLANK(AQ9),"·",AQ9/C9)</f>
        <v>133.46902278123835</v>
      </c>
      <c r="AK9" s="35">
        <f>IF(OR(ISBLANK(AO9),ISBLANK(AP9)),"",AO9+AP9)</f>
        <v>391643872</v>
      </c>
      <c r="AL9" s="38">
        <f>IF(ISBLANK(AN9),"·",AN9/AM9)</f>
        <v>15.062530630407334</v>
      </c>
      <c r="AM9" s="39">
        <v>250294582</v>
      </c>
      <c r="AN9" s="40">
        <v>3770069808</v>
      </c>
      <c r="AO9" s="40">
        <v>368682808</v>
      </c>
      <c r="AP9" s="40">
        <v>22961064</v>
      </c>
      <c r="AQ9" s="40">
        <v>3378422360</v>
      </c>
      <c r="AR9" s="41" t="s">
        <v>571</v>
      </c>
      <c r="AS9" s="41" t="s">
        <v>571</v>
      </c>
      <c r="AT9" s="41" t="s">
        <v>571</v>
      </c>
      <c r="AU9" s="41" t="s">
        <v>571</v>
      </c>
      <c r="AV9" s="41" t="s">
        <v>571</v>
      </c>
      <c r="AW9" s="42">
        <v>28261.8</v>
      </c>
      <c r="AX9" s="42">
        <v>63794.8</v>
      </c>
      <c r="AY9" s="42">
        <v>28.577000000000002</v>
      </c>
      <c r="AZ9" s="42">
        <v>239.71299999999999</v>
      </c>
      <c r="BB9" s="44">
        <f t="shared" si="0"/>
        <v>1.0002150831178307</v>
      </c>
      <c r="BC9" s="44">
        <f t="shared" si="1"/>
        <v>1.000082245477752</v>
      </c>
      <c r="BD9" s="44">
        <f t="shared" si="1"/>
        <v>1.0002345573593701</v>
      </c>
      <c r="BE9" s="43">
        <f>(AK9/AN9) - (N9/Q9)</f>
        <v>-1.746812023531441E-5</v>
      </c>
      <c r="BF9" s="43">
        <f t="array" ref="BF9">AVERAGE(AK9:AK9/AN9:AN9) - AVERAGE(N9:N9/Q9:Q9)</f>
        <v>-1.746812023531441E-5</v>
      </c>
    </row>
    <row r="10" spans="1:58" x14ac:dyDescent="0.3">
      <c r="B10" s="55" t="s">
        <v>288</v>
      </c>
      <c r="J10" s="56">
        <f>AVERAGE(J5:J8)</f>
        <v>95.826927798059501</v>
      </c>
      <c r="K10" s="56">
        <f>AVERAGE(K5:K8)</f>
        <v>13.913797708647575</v>
      </c>
      <c r="L10" s="56">
        <f>AVERAGE(L5:L8)</f>
        <v>12.956496556448528</v>
      </c>
      <c r="M10" s="56">
        <f>AVERAGE(M5:M8)</f>
        <v>81.913008836062573</v>
      </c>
      <c r="AG10" s="56">
        <f>AVERAGE(AG5:AG8)</f>
        <v>95.569408192993507</v>
      </c>
      <c r="AH10" s="56">
        <f>AVERAGE(AH5:AH8)</f>
        <v>13.886371619039165</v>
      </c>
      <c r="AI10" s="56">
        <f>AVERAGE(AI5:AI8)</f>
        <v>12.929450148854741</v>
      </c>
      <c r="AJ10" s="56">
        <f>AVERAGE(AJ5:AJ8)</f>
        <v>81.68291255075988</v>
      </c>
      <c r="BB10" s="5">
        <f t="shared" si="0"/>
        <v>0.99731265928081636</v>
      </c>
      <c r="BC10" s="5">
        <f t="shared" si="1"/>
        <v>0.99791252153111365</v>
      </c>
      <c r="BD10" s="5">
        <f t="shared" si="1"/>
        <v>0.99719096772817617</v>
      </c>
      <c r="BF10" s="8">
        <f>AVERAGE(BF5:BF8)</f>
        <v>8.8863152071474993E-5</v>
      </c>
    </row>
    <row r="11" spans="1:58" x14ac:dyDescent="0.3">
      <c r="B11" s="55" t="s">
        <v>289</v>
      </c>
      <c r="J11" s="56">
        <f>AVERAGE(J9:J9)</f>
        <v>148.90954286135084</v>
      </c>
      <c r="K11" s="56">
        <f>AVERAGE(K9:K9)</f>
        <v>15.471680766207625</v>
      </c>
      <c r="L11" s="56">
        <f>AVERAGE(L9:L9)</f>
        <v>14.564101842859044</v>
      </c>
      <c r="M11" s="56">
        <f>AVERAGE(M9:M9)</f>
        <v>133.437723981061</v>
      </c>
      <c r="AG11" s="56">
        <f>AVERAGE(AG9:AG9)</f>
        <v>148.94157079010421</v>
      </c>
      <c r="AH11" s="56">
        <f>AVERAGE(AH9:AH9)</f>
        <v>15.472406734278303</v>
      </c>
      <c r="AI11" s="56">
        <f>AVERAGE(AI9:AI9)</f>
        <v>14.565299674373138</v>
      </c>
      <c r="AJ11" s="56">
        <f>AVERAGE(AJ9:AJ9)</f>
        <v>133.46902278123835</v>
      </c>
      <c r="BB11" s="5">
        <f t="shared" si="0"/>
        <v>1.0002150831178307</v>
      </c>
      <c r="BC11" s="5">
        <f t="shared" si="1"/>
        <v>1.000082245477752</v>
      </c>
      <c r="BD11" s="5">
        <f t="shared" si="1"/>
        <v>1.0002345573593701</v>
      </c>
      <c r="BF11" s="8">
        <f>AVERAGE(BF9:BF9)</f>
        <v>-1.746812023531441E-5</v>
      </c>
    </row>
    <row r="12" spans="1:58" x14ac:dyDescent="0.3">
      <c r="B12" s="55" t="s">
        <v>290</v>
      </c>
      <c r="J12" s="56">
        <f>AVERAGE(J5:J9)</f>
        <v>106.44345081071776</v>
      </c>
      <c r="K12" s="56">
        <f>AVERAGE(K5:K9)</f>
        <v>14.225374320159585</v>
      </c>
      <c r="L12" s="56">
        <f>AVERAGE(L5:L9)</f>
        <v>13.278017613730631</v>
      </c>
      <c r="M12" s="56">
        <f>AVERAGE(M5:M9)</f>
        <v>92.217951865062261</v>
      </c>
      <c r="AG12" s="56">
        <f>AVERAGE(AG5:AG9)</f>
        <v>106.24384071241566</v>
      </c>
      <c r="AH12" s="56">
        <f>AVERAGE(AH5:AH9)</f>
        <v>14.203578642086992</v>
      </c>
      <c r="AI12" s="56">
        <f>AVERAGE(AI5:AI9)</f>
        <v>13.25662005395842</v>
      </c>
      <c r="AJ12" s="56">
        <f>AVERAGE(AJ5:AJ9)</f>
        <v>92.040134596855566</v>
      </c>
      <c r="BB12" s="5">
        <f t="shared" si="0"/>
        <v>0.99812473104938082</v>
      </c>
      <c r="BC12" s="5">
        <f t="shared" si="1"/>
        <v>0.99838849741017932</v>
      </c>
      <c r="BD12" s="5">
        <f t="shared" si="1"/>
        <v>0.9980717716603934</v>
      </c>
      <c r="BF12" s="8">
        <f>AVERAGE(BF5:BF9)</f>
        <v>6.7596897610117115E-5</v>
      </c>
    </row>
    <row r="13" spans="1:58" hidden="1" outlineLevel="2" x14ac:dyDescent="0.3">
      <c r="A13" s="55" t="s">
        <v>291</v>
      </c>
      <c r="B13" s="55" t="s">
        <v>292</v>
      </c>
      <c r="Z13" s="57">
        <f>SUM(Z5:Z8,Z9:Z9)</f>
        <v>319734.40000000002</v>
      </c>
      <c r="AA13" s="57">
        <f>SUM(AA5:AA8,AA9:AA9)</f>
        <v>306913.3</v>
      </c>
      <c r="AB13" s="57">
        <f>SUM(AB5:AB8,AB9:AB9)</f>
        <v>212.77499999999998</v>
      </c>
      <c r="AC13" s="57">
        <f>SUM(AC5:AC8,AC9:AC9)</f>
        <v>1175.2620000000002</v>
      </c>
      <c r="AW13" s="57">
        <f>SUM(AW5:AW8,AW9:AW9)</f>
        <v>139247.1</v>
      </c>
      <c r="AX13" s="57">
        <f>SUM(AX5:AX8,AX9:AX9)</f>
        <v>286733.60000000003</v>
      </c>
      <c r="AY13" s="57">
        <f>SUM(AY5:AY8,AY9:AY9)</f>
        <v>148.63499999999999</v>
      </c>
      <c r="AZ13" s="57">
        <f>SUM(AZ5:AZ8,AZ9:AZ9)</f>
        <v>1096.9069999999999</v>
      </c>
    </row>
    <row r="14" spans="1:58" hidden="1" outlineLevel="2" x14ac:dyDescent="0.3">
      <c r="B14" s="55" t="s">
        <v>293</v>
      </c>
      <c r="AW14" s="8">
        <f>AW13/Z13</f>
        <v>0.43550865968754066</v>
      </c>
      <c r="AX14" s="8">
        <f>AX13/AA13</f>
        <v>0.93424950955204633</v>
      </c>
      <c r="AY14" s="8">
        <f>AY13/AB13</f>
        <v>0.69855481142051468</v>
      </c>
      <c r="AZ14" s="8">
        <f>AZ13/AC13</f>
        <v>0.93332975966210063</v>
      </c>
    </row>
    <row r="15" spans="1:58" hidden="1" outlineLevel="2" x14ac:dyDescent="0.3">
      <c r="B15" s="55" t="s">
        <v>294</v>
      </c>
      <c r="Z15" s="57">
        <f>GEOMEAN(Z5:Z8,Z9:Z9)</f>
        <v>63468.699766620877</v>
      </c>
      <c r="AA15" s="57">
        <f>GEOMEAN(AA5:AA8,AA9:AA9)</f>
        <v>60815.853242532343</v>
      </c>
      <c r="AB15" s="57">
        <f>GEOMEAN(AB5:AB8,AB9:AB9)</f>
        <v>42.316656757457473</v>
      </c>
      <c r="AC15" s="57">
        <f>GEOMEAN(AC5:AC8,AC9:AC9)</f>
        <v>233.55053432919203</v>
      </c>
      <c r="AW15" s="57">
        <f>GEOMEAN(AW5:AW8,AW9:AW9)</f>
        <v>27524.507078724386</v>
      </c>
      <c r="AX15" s="57">
        <f>GEOMEAN(AX5:AX8,AX9:AX9)</f>
        <v>56319.671052653946</v>
      </c>
      <c r="AY15" s="57">
        <f>GEOMEAN(AY5:AY8,AY9:AY9)</f>
        <v>29.515729263856006</v>
      </c>
      <c r="AZ15" s="57">
        <f>GEOMEAN(AZ5:AZ8,AZ9:AZ9)</f>
        <v>217.62523044050621</v>
      </c>
    </row>
    <row r="16" spans="1:58" outlineLevel="2" collapsed="1" x14ac:dyDescent="0.3">
      <c r="B16" s="55" t="s">
        <v>295</v>
      </c>
      <c r="AW16" s="8">
        <f>AW15/Z15</f>
        <v>0.43367056801122511</v>
      </c>
      <c r="AX16" s="8">
        <f>AX15/AA15</f>
        <v>0.92606891213138598</v>
      </c>
      <c r="AY16" s="8">
        <f>AY15/AB15</f>
        <v>0.69749671938945046</v>
      </c>
      <c r="AZ16" s="8">
        <f>AZ15/AC15</f>
        <v>0.93181217103858593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47" priority="5" operator="greaterThanOrEqual">
      <formula>1.03</formula>
    </cfRule>
    <cfRule type="cellIs" dxfId="46" priority="6" operator="lessThanOrEqual">
      <formula>0.97</formula>
    </cfRule>
  </conditionalFormatting>
  <conditionalFormatting sqref="BC10 BC11 BC12">
    <cfRule type="cellIs" dxfId="45" priority="3" operator="greaterThanOrEqual">
      <formula>1.03</formula>
    </cfRule>
    <cfRule type="cellIs" dxfId="44" priority="4" operator="lessThanOrEqual">
      <formula>0.97</formula>
    </cfRule>
  </conditionalFormatting>
  <conditionalFormatting sqref="BD10 BD11 BD12">
    <cfRule type="cellIs" dxfId="43" priority="1" operator="greaterThanOrEqual">
      <formula>1.03</formula>
    </cfRule>
    <cfRule type="cellIs" dxfId="42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F16"/>
  <sheetViews>
    <sheetView zoomScale="90" zoomScaleNormal="90" workbookViewId="0">
      <pane xSplit="2" ySplit="4" topLeftCell="AC5" activePane="bottomRight" state="frozen"/>
      <selection pane="topRight" activeCell="C1" sqref="C1"/>
      <selection pane="bottomLeft" activeCell="A5" sqref="A5"/>
      <selection pane="bottomRight" activeCell="AM5" sqref="AM5:AZ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132" t="s">
        <v>441</v>
      </c>
      <c r="B1" s="132"/>
      <c r="C1" s="132"/>
      <c r="D1" s="132"/>
      <c r="E1" s="132"/>
      <c r="F1" s="132"/>
      <c r="H1" s="120" t="s">
        <v>2</v>
      </c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E1" s="121" t="s">
        <v>3</v>
      </c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</row>
    <row r="2" spans="1:58" ht="30" customHeight="1" x14ac:dyDescent="0.3">
      <c r="A2" s="128" t="s">
        <v>93</v>
      </c>
      <c r="B2" s="129" t="s">
        <v>96</v>
      </c>
      <c r="C2" s="128" t="s">
        <v>102</v>
      </c>
      <c r="D2" s="129" t="s">
        <v>105</v>
      </c>
      <c r="E2" s="128" t="s">
        <v>108</v>
      </c>
      <c r="F2" s="129" t="s">
        <v>111</v>
      </c>
      <c r="H2" s="128" t="s">
        <v>310</v>
      </c>
      <c r="I2" s="129" t="s">
        <v>114</v>
      </c>
      <c r="J2" s="130" t="s">
        <v>117</v>
      </c>
      <c r="K2" s="130"/>
      <c r="L2" s="130"/>
      <c r="M2" s="130"/>
      <c r="N2" s="128" t="s">
        <v>130</v>
      </c>
      <c r="O2" s="129" t="s">
        <v>133</v>
      </c>
      <c r="P2" s="128" t="s">
        <v>24</v>
      </c>
      <c r="Q2" s="131" t="s">
        <v>142</v>
      </c>
      <c r="R2" s="131"/>
      <c r="S2" s="131"/>
      <c r="T2" s="131"/>
      <c r="U2" s="130" t="s">
        <v>153</v>
      </c>
      <c r="V2" s="130"/>
      <c r="W2" s="131" t="s">
        <v>160</v>
      </c>
      <c r="X2" s="131"/>
      <c r="Y2" s="131"/>
      <c r="Z2" s="130" t="s">
        <v>170</v>
      </c>
      <c r="AA2" s="130"/>
      <c r="AB2" s="131" t="s">
        <v>177</v>
      </c>
      <c r="AC2" s="131"/>
      <c r="AE2" s="128" t="s">
        <v>310</v>
      </c>
      <c r="AF2" s="129" t="s">
        <v>114</v>
      </c>
      <c r="AG2" s="130" t="s">
        <v>117</v>
      </c>
      <c r="AH2" s="130"/>
      <c r="AI2" s="130"/>
      <c r="AJ2" s="130"/>
      <c r="AK2" s="128" t="s">
        <v>192</v>
      </c>
      <c r="AL2" s="129" t="s">
        <v>133</v>
      </c>
      <c r="AM2" s="128" t="s">
        <v>24</v>
      </c>
      <c r="AN2" s="131" t="s">
        <v>142</v>
      </c>
      <c r="AO2" s="131"/>
      <c r="AP2" s="131"/>
      <c r="AQ2" s="131"/>
      <c r="AR2" s="130" t="s">
        <v>153</v>
      </c>
      <c r="AS2" s="130"/>
      <c r="AT2" s="131" t="s">
        <v>160</v>
      </c>
      <c r="AU2" s="131"/>
      <c r="AV2" s="131"/>
      <c r="AW2" s="130" t="s">
        <v>170</v>
      </c>
      <c r="AX2" s="130"/>
      <c r="AY2" s="131" t="s">
        <v>177</v>
      </c>
      <c r="AZ2" s="131"/>
      <c r="BB2" s="130" t="s">
        <v>357</v>
      </c>
      <c r="BC2" s="130"/>
      <c r="BD2" s="130"/>
      <c r="BE2" s="129" t="s">
        <v>232</v>
      </c>
      <c r="BF2" s="128" t="s">
        <v>232</v>
      </c>
    </row>
    <row r="3" spans="1:58" ht="28.8" x14ac:dyDescent="0.3">
      <c r="A3" s="128"/>
      <c r="B3" s="129"/>
      <c r="C3" s="128"/>
      <c r="D3" s="129"/>
      <c r="E3" s="128"/>
      <c r="F3" s="129"/>
      <c r="H3" s="128"/>
      <c r="I3" s="129"/>
      <c r="J3" s="11" t="s">
        <v>118</v>
      </c>
      <c r="K3" s="11" t="s">
        <v>121</v>
      </c>
      <c r="L3" s="11" t="s">
        <v>124</v>
      </c>
      <c r="M3" s="11" t="s">
        <v>127</v>
      </c>
      <c r="N3" s="128"/>
      <c r="O3" s="129"/>
      <c r="P3" s="128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128"/>
      <c r="AF3" s="129"/>
      <c r="AG3" s="11" t="s">
        <v>118</v>
      </c>
      <c r="AH3" s="11" t="s">
        <v>121</v>
      </c>
      <c r="AI3" s="11" t="s">
        <v>124</v>
      </c>
      <c r="AJ3" s="11" t="s">
        <v>127</v>
      </c>
      <c r="AK3" s="128"/>
      <c r="AL3" s="129"/>
      <c r="AM3" s="128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129"/>
      <c r="BF3" s="128"/>
    </row>
    <row r="4" spans="1:58" ht="123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58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2.8787130785200112</v>
      </c>
      <c r="I5" s="17">
        <f>IF(OR(ISBLANK(Q5),ISBLANK(F5)),"·",Q5*F5/E5/1000000)</f>
        <v>2021.2080450000001</v>
      </c>
      <c r="J5" s="18">
        <f>IF(ISBLANK(Q5),"·",Q5/C5)</f>
        <v>86.36139235560033</v>
      </c>
      <c r="K5" s="18">
        <f>IF(N5="","·",N5/C5)</f>
        <v>13.839959324381926</v>
      </c>
      <c r="L5" s="18">
        <f>IF(R5="","·",R5/C5)</f>
        <v>13.011085852416453</v>
      </c>
      <c r="M5" s="18">
        <f>IF(ISBLANK(T5),"·",T5/C5)</f>
        <v>72.521292991471313</v>
      </c>
      <c r="N5" s="15">
        <f>IF(OR(ISBLANK(R5),ISBLANK(S5)),"",R5+S5)</f>
        <v>345505464</v>
      </c>
      <c r="O5" s="18">
        <f>IF(ISBLANK(Q5),"·",Q5/P5)</f>
        <v>6.3156016470856837</v>
      </c>
      <c r="P5" s="19">
        <v>341369733</v>
      </c>
      <c r="Q5" s="20">
        <v>2155955248</v>
      </c>
      <c r="R5" s="20">
        <v>324813184</v>
      </c>
      <c r="S5" s="20">
        <v>20692280</v>
      </c>
      <c r="T5" s="20">
        <v>1810446288</v>
      </c>
      <c r="U5" s="21" t="s">
        <v>571</v>
      </c>
      <c r="V5" s="21" t="s">
        <v>571</v>
      </c>
      <c r="W5" s="21" t="s">
        <v>571</v>
      </c>
      <c r="X5" s="21" t="s">
        <v>571</v>
      </c>
      <c r="Y5" s="21" t="s">
        <v>571</v>
      </c>
      <c r="Z5" s="22">
        <v>58604.3</v>
      </c>
      <c r="AA5" s="22">
        <v>79401.100000000006</v>
      </c>
      <c r="AB5" s="22">
        <v>43.500999999999998</v>
      </c>
      <c r="AC5" s="22">
        <v>226.626</v>
      </c>
      <c r="AE5" s="23">
        <f>IF(ISBLANK(AN5),"·",AN5/(C5*D5*3))</f>
        <v>2.8781909577878837</v>
      </c>
      <c r="AF5" s="17">
        <f>IF(OR(ISBLANK(AN5),ISBLANK(F5)),"·",AN5*F5/E5/1000000)</f>
        <v>2020.8414525000001</v>
      </c>
      <c r="AG5" s="18">
        <f>IF(ISBLANK(AN5),"·",AN5/C5)</f>
        <v>86.345728733636506</v>
      </c>
      <c r="AH5" s="18">
        <f>IF(AK5="","·",AK5/C5)</f>
        <v>13.85013159369999</v>
      </c>
      <c r="AI5" s="18">
        <f>IF(AO5="","·",AO5/C5)</f>
        <v>13.022268202473279</v>
      </c>
      <c r="AJ5" s="18">
        <f>IF(ISBLANK(AQ5),"·",AQ5/C5)</f>
        <v>72.495453895618553</v>
      </c>
      <c r="AK5" s="15">
        <f>IF(OR(ISBLANK(AO5),ISBLANK(AP5)),"",AO5+AP5)</f>
        <v>345759408</v>
      </c>
      <c r="AL5" s="18">
        <f>IF(ISBLANK(AN5),"·",AN5/AM5)</f>
        <v>9.0514250791228665</v>
      </c>
      <c r="AM5" s="19">
        <v>238146391</v>
      </c>
      <c r="AN5" s="20">
        <v>2155564216</v>
      </c>
      <c r="AO5" s="20">
        <v>325092344</v>
      </c>
      <c r="AP5" s="20">
        <v>20667064</v>
      </c>
      <c r="AQ5" s="20">
        <v>1809801232</v>
      </c>
      <c r="AR5" s="21" t="s">
        <v>571</v>
      </c>
      <c r="AS5" s="21" t="s">
        <v>571</v>
      </c>
      <c r="AT5" s="21" t="s">
        <v>571</v>
      </c>
      <c r="AU5" s="21" t="s">
        <v>571</v>
      </c>
      <c r="AV5" s="21" t="s">
        <v>571</v>
      </c>
      <c r="AW5" s="22">
        <v>26777.8</v>
      </c>
      <c r="AX5" s="22">
        <v>79235.600000000006</v>
      </c>
      <c r="AY5" s="22">
        <v>28.271000000000001</v>
      </c>
      <c r="AZ5" s="22">
        <v>208.488</v>
      </c>
      <c r="BB5" s="24">
        <f t="shared" ref="BB5:BB12" si="0">AG5/J5</f>
        <v>0.99981862703302271</v>
      </c>
      <c r="BC5" s="24">
        <f t="shared" ref="BC5:BD12" si="1">AI5/L5</f>
        <v>1.0008594478726578</v>
      </c>
      <c r="BD5" s="24">
        <f t="shared" si="1"/>
        <v>0.99964370332095709</v>
      </c>
      <c r="BE5" s="23">
        <f>(AK5/AN5) - (N5/Q5)</f>
        <v>1.468800366801748E-4</v>
      </c>
      <c r="BF5" s="23">
        <f t="array" ref="BF5">AVERAGE(AK5:AK5/AN5:AN5) - AVERAGE(N5:N5/Q5:Q5)</f>
        <v>1.468800366801748E-4</v>
      </c>
    </row>
    <row r="6" spans="1:58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4.1399877085591044</v>
      </c>
      <c r="I6" s="27">
        <f>IF(OR(ISBLANK(Q6),ISBLANK(F6)),"·",Q6*F6/E6/1000000)</f>
        <v>2637.8591624999999</v>
      </c>
      <c r="J6" s="28">
        <f>IF(ISBLANK(Q6),"·",Q6/C6)</f>
        <v>124.19963125677313</v>
      </c>
      <c r="K6" s="28">
        <f>IF(N6="","·",N6/C6)</f>
        <v>17.155642985683954</v>
      </c>
      <c r="L6" s="28">
        <f>IF(R6="","·",R6/C6)</f>
        <v>15.883291431228956</v>
      </c>
      <c r="M6" s="28">
        <f>IF(ISBLANK(T6),"·",T6/C6)</f>
        <v>107.04383395493112</v>
      </c>
      <c r="N6" s="25">
        <f>IF(OR(ISBLANK(R6),ISBLANK(S6)),"",R6+S6)</f>
        <v>388657472</v>
      </c>
      <c r="O6" s="28">
        <f>IF(ISBLANK(Q6),"·",Q6/P6)</f>
        <v>9.2644193760341853</v>
      </c>
      <c r="P6" s="29">
        <v>303712119</v>
      </c>
      <c r="Q6" s="30">
        <v>2813716440</v>
      </c>
      <c r="R6" s="30">
        <v>359832616</v>
      </c>
      <c r="S6" s="30">
        <v>28824856</v>
      </c>
      <c r="T6" s="30">
        <v>2425055472</v>
      </c>
      <c r="U6" s="31" t="s">
        <v>571</v>
      </c>
      <c r="V6" s="31" t="s">
        <v>571</v>
      </c>
      <c r="W6" s="31" t="s">
        <v>571</v>
      </c>
      <c r="X6" s="31" t="s">
        <v>571</v>
      </c>
      <c r="Y6" s="31" t="s">
        <v>571</v>
      </c>
      <c r="Z6" s="32">
        <v>54551.3</v>
      </c>
      <c r="AA6" s="32">
        <v>95731.1</v>
      </c>
      <c r="AB6" s="32">
        <v>38.707999999999998</v>
      </c>
      <c r="AC6" s="32">
        <v>255.25299999999999</v>
      </c>
      <c r="AE6" s="33">
        <f>IF(ISBLANK(AN6),"·",AN6/(C6*D6*3))</f>
        <v>4.1395371901278795</v>
      </c>
      <c r="AF6" s="27">
        <f>IF(OR(ISBLANK(AN6),ISBLANK(F6)),"·",AN6*F6/E6/1000000)</f>
        <v>2637.5721075000001</v>
      </c>
      <c r="AG6" s="28">
        <f>IF(ISBLANK(AN6),"·",AN6/C6)</f>
        <v>124.18611570383639</v>
      </c>
      <c r="AH6" s="28">
        <f>IF(AK6="","·",AK6/C6)</f>
        <v>17.155247837443994</v>
      </c>
      <c r="AI6" s="28">
        <f>IF(AO6="","·",AO6/C6)</f>
        <v>15.884241340760225</v>
      </c>
      <c r="AJ6" s="28">
        <f>IF(ISBLANK(AQ6),"·",AQ6/C6)</f>
        <v>107.03071001897214</v>
      </c>
      <c r="AK6" s="25">
        <f>IF(OR(ISBLANK(AO6),ISBLANK(AP6)),"",AO6+AP6)</f>
        <v>388648520</v>
      </c>
      <c r="AL6" s="28">
        <f>IF(ISBLANK(AN6),"·",AN6/AM6)</f>
        <v>12.898378086440568</v>
      </c>
      <c r="AM6" s="29">
        <v>218121242</v>
      </c>
      <c r="AN6" s="30">
        <v>2813410248</v>
      </c>
      <c r="AO6" s="30">
        <v>359854136</v>
      </c>
      <c r="AP6" s="30">
        <v>28794384</v>
      </c>
      <c r="AQ6" s="30">
        <v>2424758152</v>
      </c>
      <c r="AR6" s="31" t="s">
        <v>571</v>
      </c>
      <c r="AS6" s="31" t="s">
        <v>571</v>
      </c>
      <c r="AT6" s="31" t="s">
        <v>571</v>
      </c>
      <c r="AU6" s="31" t="s">
        <v>571</v>
      </c>
      <c r="AV6" s="31" t="s">
        <v>571</v>
      </c>
      <c r="AW6" s="32">
        <v>24366.3</v>
      </c>
      <c r="AX6" s="32">
        <v>91731.6</v>
      </c>
      <c r="AY6" s="32">
        <v>27.103999999999999</v>
      </c>
      <c r="AZ6" s="32">
        <v>228.35300000000001</v>
      </c>
      <c r="BB6" s="34">
        <f t="shared" si="0"/>
        <v>0.99989117879980827</v>
      </c>
      <c r="BC6" s="34">
        <f t="shared" si="1"/>
        <v>1.0000598055847165</v>
      </c>
      <c r="BD6" s="34">
        <f t="shared" si="1"/>
        <v>0.99987739661899167</v>
      </c>
      <c r="BE6" s="33">
        <f>(AK6/AN6) - (N6/Q6)</f>
        <v>1.185115913693302E-5</v>
      </c>
      <c r="BF6" s="33">
        <f t="array" ref="BF6">AVERAGE(AK6:AK6/AN6:AN6) - AVERAGE(N6:N6/Q6:Q6)</f>
        <v>1.185115913693302E-5</v>
      </c>
    </row>
    <row r="7" spans="1:58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3.1625754952561662</v>
      </c>
      <c r="I7" s="17">
        <f>IF(OR(ISBLANK(Q7),ISBLANK(F7)),"·",Q7*F7/E7/1000000)</f>
        <v>3019.5624674999999</v>
      </c>
      <c r="J7" s="18">
        <f>IF(ISBLANK(Q7),"·",Q7/C7)</f>
        <v>94.877264857684992</v>
      </c>
      <c r="K7" s="18">
        <f>IF(N7="","·",N7/C7)</f>
        <v>15.419467075813461</v>
      </c>
      <c r="L7" s="18">
        <f>IF(R7="","·",R7/C7)</f>
        <v>14.332350233379458</v>
      </c>
      <c r="M7" s="18">
        <f>IF(ISBLANK(T7),"·",T7/C7)</f>
        <v>79.457694799986257</v>
      </c>
      <c r="N7" s="15">
        <f>IF(OR(ISBLANK(R7),ISBLANK(S7)),"",R7+S7)</f>
        <v>523455720</v>
      </c>
      <c r="O7" s="18">
        <f>IF(ISBLANK(Q7),"·",Q7/P7)</f>
        <v>7.1919352171523609</v>
      </c>
      <c r="P7" s="19">
        <v>447844222</v>
      </c>
      <c r="Q7" s="20">
        <v>3220866632</v>
      </c>
      <c r="R7" s="20">
        <v>486550584</v>
      </c>
      <c r="S7" s="20">
        <v>36905136</v>
      </c>
      <c r="T7" s="20">
        <v>2697407416</v>
      </c>
      <c r="U7" s="21" t="s">
        <v>571</v>
      </c>
      <c r="V7" s="21" t="s">
        <v>571</v>
      </c>
      <c r="W7" s="21" t="s">
        <v>571</v>
      </c>
      <c r="X7" s="21" t="s">
        <v>571</v>
      </c>
      <c r="Y7" s="21" t="s">
        <v>571</v>
      </c>
      <c r="Z7" s="22">
        <v>77650.8</v>
      </c>
      <c r="AA7" s="22">
        <v>101955</v>
      </c>
      <c r="AB7" s="22">
        <v>53.143000000000001</v>
      </c>
      <c r="AC7" s="22">
        <v>289.31299999999999</v>
      </c>
      <c r="AE7" s="23">
        <f>IF(ISBLANK(AN7),"·",AN7/(C7*D7*3))</f>
        <v>3.1622565420548541</v>
      </c>
      <c r="AF7" s="17">
        <f>IF(OR(ISBLANK(AN7),ISBLANK(F7)),"·",AN7*F7/E7/1000000)</f>
        <v>3019.2579375</v>
      </c>
      <c r="AG7" s="18">
        <f>IF(ISBLANK(AN7),"·",AN7/C7)</f>
        <v>94.867696261645634</v>
      </c>
      <c r="AH7" s="18">
        <f>IF(AK7="","·",AK7/C7)</f>
        <v>15.429415078798522</v>
      </c>
      <c r="AI7" s="18">
        <f>IF(AO7="","·",AO7/C7)</f>
        <v>14.339217027783723</v>
      </c>
      <c r="AJ7" s="18">
        <f>IF(ISBLANK(AQ7),"·",AQ7/C7)</f>
        <v>79.438175844396966</v>
      </c>
      <c r="AK7" s="15">
        <f>IF(OR(ISBLANK(AO7),ISBLANK(AP7)),"",AO7+AP7)</f>
        <v>523793432</v>
      </c>
      <c r="AL7" s="18">
        <f>IF(ISBLANK(AN7),"·",AN7/AM7)</f>
        <v>9.9833992221896821</v>
      </c>
      <c r="AM7" s="19">
        <v>322589704</v>
      </c>
      <c r="AN7" s="20">
        <v>3220541800</v>
      </c>
      <c r="AO7" s="20">
        <v>486783696</v>
      </c>
      <c r="AP7" s="20">
        <v>37009736</v>
      </c>
      <c r="AQ7" s="20">
        <v>2696744792</v>
      </c>
      <c r="AR7" s="21" t="s">
        <v>571</v>
      </c>
      <c r="AS7" s="21" t="s">
        <v>571</v>
      </c>
      <c r="AT7" s="21" t="s">
        <v>571</v>
      </c>
      <c r="AU7" s="21" t="s">
        <v>571</v>
      </c>
      <c r="AV7" s="21" t="s">
        <v>571</v>
      </c>
      <c r="AW7" s="22">
        <v>34484.5</v>
      </c>
      <c r="AX7" s="22">
        <v>97867.1</v>
      </c>
      <c r="AY7" s="22">
        <v>38.555</v>
      </c>
      <c r="AZ7" s="22">
        <v>245.75700000000001</v>
      </c>
      <c r="BB7" s="24">
        <f t="shared" si="0"/>
        <v>0.99989914764033605</v>
      </c>
      <c r="BC7" s="24">
        <f t="shared" si="1"/>
        <v>1.0004791115408465</v>
      </c>
      <c r="BD7" s="24">
        <f t="shared" si="1"/>
        <v>0.99975434782448158</v>
      </c>
      <c r="BE7" s="23">
        <f>(AK7/AN7) - (N7/Q7)</f>
        <v>1.2125405251425803E-4</v>
      </c>
      <c r="BF7" s="23">
        <f t="array" ref="BF7">AVERAGE(AK7:AK7/AN7:AN7) - AVERAGE(N7:N7/Q7:Q7)</f>
        <v>1.2125405251425803E-4</v>
      </c>
    </row>
    <row r="8" spans="1:58" collapsed="1" x14ac:dyDescent="0.3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2.157231203504284</v>
      </c>
      <c r="I8" s="47">
        <f>IF(OR(ISBLANK(Q8),ISBLANK(F8)),"·",Q8*F8/E8/1000000)</f>
        <v>3257.0459500000002</v>
      </c>
      <c r="J8" s="48">
        <f>IF(ISBLANK(Q8),"·",Q8/C8)</f>
        <v>64.716936105128511</v>
      </c>
      <c r="K8" s="48">
        <f>IF(N8="","·",N8/C8)</f>
        <v>8.4410716380805582</v>
      </c>
      <c r="L8" s="48">
        <f>IF(R8="","·",R8/C8)</f>
        <v>7.7584201724930635</v>
      </c>
      <c r="M8" s="48">
        <f>IF(ISBLANK(T8),"·",T8/C8)</f>
        <v>56.275776791440997</v>
      </c>
      <c r="N8" s="45">
        <f>IF(OR(ISBLANK(R8),ISBLANK(S8)),"",R8+S8)</f>
        <v>271883904</v>
      </c>
      <c r="O8" s="48">
        <f>IF(ISBLANK(Q8),"·",Q8/P8)</f>
        <v>7.0585582938251124</v>
      </c>
      <c r="P8" s="49">
        <v>295316596</v>
      </c>
      <c r="Q8" s="50">
        <v>2084509408</v>
      </c>
      <c r="R8" s="50">
        <v>249895944</v>
      </c>
      <c r="S8" s="50">
        <v>21987960</v>
      </c>
      <c r="T8" s="50">
        <v>1812622680</v>
      </c>
      <c r="U8" s="51" t="s">
        <v>571</v>
      </c>
      <c r="V8" s="51" t="s">
        <v>571</v>
      </c>
      <c r="W8" s="51" t="s">
        <v>571</v>
      </c>
      <c r="X8" s="51" t="s">
        <v>571</v>
      </c>
      <c r="Y8" s="51" t="s">
        <v>571</v>
      </c>
      <c r="Z8" s="52">
        <v>63118.3</v>
      </c>
      <c r="AA8" s="52">
        <v>63550.1</v>
      </c>
      <c r="AB8" s="52">
        <v>39.030999999999999</v>
      </c>
      <c r="AC8" s="52">
        <v>197.20699999999999</v>
      </c>
      <c r="AE8" s="53">
        <f>IF(ISBLANK(AN8),"·",AN8/(C8*D8*3))</f>
        <v>2.144621066844278</v>
      </c>
      <c r="AF8" s="47">
        <f>IF(OR(ISBLANK(AN8),ISBLANK(F8)),"·",AN8*F8/E8/1000000)</f>
        <v>3238.0068249999999</v>
      </c>
      <c r="AG8" s="48">
        <f>IF(ISBLANK(AN8),"·",AN8/C8)</f>
        <v>64.338632005328336</v>
      </c>
      <c r="AH8" s="48">
        <f>IF(AK8="","·",AK8/C8)</f>
        <v>8.3281332860472865</v>
      </c>
      <c r="AI8" s="48">
        <f>IF(AO8="","·",AO8/C8)</f>
        <v>7.6740292961334591</v>
      </c>
      <c r="AJ8" s="48">
        <f>IF(ISBLANK(AQ8),"·",AQ8/C8)</f>
        <v>56.0104090566915</v>
      </c>
      <c r="AK8" s="45">
        <f>IF(OR(ISBLANK(AO8),ISBLANK(AP8)),"",AO8+AP8)</f>
        <v>268246200</v>
      </c>
      <c r="AL8" s="48">
        <f>IF(ISBLANK(AN8),"·",AN8/AM8)</f>
        <v>8.2693553922328853</v>
      </c>
      <c r="AM8" s="49">
        <v>250602891</v>
      </c>
      <c r="AN8" s="50">
        <v>2072324368</v>
      </c>
      <c r="AO8" s="50">
        <v>247177744</v>
      </c>
      <c r="AP8" s="50">
        <v>21068456</v>
      </c>
      <c r="AQ8" s="50">
        <v>1804075280</v>
      </c>
      <c r="AR8" s="51" t="s">
        <v>571</v>
      </c>
      <c r="AS8" s="51" t="s">
        <v>571</v>
      </c>
      <c r="AT8" s="51" t="s">
        <v>571</v>
      </c>
      <c r="AU8" s="51" t="s">
        <v>571</v>
      </c>
      <c r="AV8" s="51" t="s">
        <v>571</v>
      </c>
      <c r="AW8" s="52">
        <v>29032.9</v>
      </c>
      <c r="AX8" s="52">
        <v>60554</v>
      </c>
      <c r="AY8" s="52">
        <v>27.754999999999999</v>
      </c>
      <c r="AZ8" s="52">
        <v>179.58099999999999</v>
      </c>
      <c r="BB8" s="54">
        <f t="shared" si="0"/>
        <v>0.99415448068824452</v>
      </c>
      <c r="BC8" s="54">
        <f t="shared" si="1"/>
        <v>0.98912267259527831</v>
      </c>
      <c r="BD8" s="54">
        <f t="shared" si="1"/>
        <v>0.99528451227367409</v>
      </c>
      <c r="BE8" s="53">
        <f>(AK8/AN8) - (N8/Q8)</f>
        <v>-9.8845596772548228E-4</v>
      </c>
      <c r="BF8" s="53">
        <f t="array" ref="BF8">AVERAGE(AK8:AK8/AN8:AN8) - AVERAGE(N8:N8/Q8:Q8)</f>
        <v>-9.8845596772548228E-4</v>
      </c>
    </row>
    <row r="9" spans="1:58" collapsed="1" x14ac:dyDescent="0.3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4.8955762196416348</v>
      </c>
      <c r="I9" s="37">
        <f>IF(OR(ISBLANK(Q9),ISBLANK(F9)),"·",Q9*F9/E9/1000000)</f>
        <v>3485.2168875000002</v>
      </c>
      <c r="J9" s="38">
        <f>IF(ISBLANK(Q9),"·",Q9/C9)</f>
        <v>146.86728658924903</v>
      </c>
      <c r="K9" s="38">
        <f>IF(N9="","·",N9/C9)</f>
        <v>15.511559706212068</v>
      </c>
      <c r="L9" s="38">
        <f>IF(R9="","·",R9/C9)</f>
        <v>14.545794299775824</v>
      </c>
      <c r="M9" s="38">
        <f>IF(ISBLANK(T9),"·",T9/C9)</f>
        <v>131.35558876895473</v>
      </c>
      <c r="N9" s="35">
        <f>IF(OR(ISBLANK(R9),ISBLANK(S9)),"",R9+S9)</f>
        <v>392634928</v>
      </c>
      <c r="O9" s="38">
        <f>IF(ISBLANK(Q9),"·",Q9/P9)</f>
        <v>10.544384940418313</v>
      </c>
      <c r="P9" s="39">
        <v>352563445</v>
      </c>
      <c r="Q9" s="40">
        <v>3717564680</v>
      </c>
      <c r="R9" s="40">
        <v>368189080</v>
      </c>
      <c r="S9" s="40">
        <v>24445848</v>
      </c>
      <c r="T9" s="40">
        <v>3324926256</v>
      </c>
      <c r="U9" s="41" t="s">
        <v>571</v>
      </c>
      <c r="V9" s="41" t="s">
        <v>571</v>
      </c>
      <c r="W9" s="41" t="s">
        <v>571</v>
      </c>
      <c r="X9" s="41" t="s">
        <v>571</v>
      </c>
      <c r="Y9" s="41" t="s">
        <v>571</v>
      </c>
      <c r="Z9" s="42">
        <v>61295.8</v>
      </c>
      <c r="AA9" s="42">
        <v>99479</v>
      </c>
      <c r="AB9" s="42">
        <v>45.371000000000002</v>
      </c>
      <c r="AC9" s="42">
        <v>284.077</v>
      </c>
      <c r="AE9" s="43">
        <f>IF(ISBLANK(AN9),"·",AN9/(C9*D9*3))</f>
        <v>4.894897132399783</v>
      </c>
      <c r="AF9" s="37">
        <f>IF(OR(ISBLANK(AN9),ISBLANK(F9)),"·",AN9*F9/E9/1000000)</f>
        <v>3484.7334375</v>
      </c>
      <c r="AG9" s="38">
        <f>IF(ISBLANK(AN9),"·",AN9/C9)</f>
        <v>146.8469139719935</v>
      </c>
      <c r="AH9" s="38">
        <f>IF(AK9="","·",AK9/C9)</f>
        <v>15.507626773399037</v>
      </c>
      <c r="AI9" s="38">
        <f>IF(AO9="","·",AO9/C9)</f>
        <v>14.545965599163857</v>
      </c>
      <c r="AJ9" s="38">
        <f>IF(ISBLANK(AQ9),"·",AQ9/C9)</f>
        <v>131.33914592400691</v>
      </c>
      <c r="AK9" s="35">
        <f>IF(OR(ISBLANK(AO9),ISBLANK(AP9)),"",AO9+AP9)</f>
        <v>392535376</v>
      </c>
      <c r="AL9" s="38">
        <f>IF(ISBLANK(AN9),"·",AN9/AM9)</f>
        <v>14.85069700789608</v>
      </c>
      <c r="AM9" s="39">
        <v>250294582</v>
      </c>
      <c r="AN9" s="40">
        <v>3717049000</v>
      </c>
      <c r="AO9" s="40">
        <v>368193416</v>
      </c>
      <c r="AP9" s="40">
        <v>24341960</v>
      </c>
      <c r="AQ9" s="40">
        <v>3324510048</v>
      </c>
      <c r="AR9" s="41" t="s">
        <v>571</v>
      </c>
      <c r="AS9" s="41" t="s">
        <v>571</v>
      </c>
      <c r="AT9" s="41" t="s">
        <v>571</v>
      </c>
      <c r="AU9" s="41" t="s">
        <v>571</v>
      </c>
      <c r="AV9" s="41" t="s">
        <v>571</v>
      </c>
      <c r="AW9" s="42">
        <v>27004.1</v>
      </c>
      <c r="AX9" s="42">
        <v>94740.6</v>
      </c>
      <c r="AY9" s="42">
        <v>28.762</v>
      </c>
      <c r="AZ9" s="42">
        <v>240.928</v>
      </c>
      <c r="BB9" s="44">
        <f t="shared" si="0"/>
        <v>0.99986128553384046</v>
      </c>
      <c r="BC9" s="44">
        <f t="shared" si="1"/>
        <v>1.0000117765578491</v>
      </c>
      <c r="BD9" s="44">
        <f t="shared" si="1"/>
        <v>0.99987482188537302</v>
      </c>
      <c r="BE9" s="43">
        <f>(AK9/AN9) - (N9/Q9)</f>
        <v>-1.2130013773536952E-5</v>
      </c>
      <c r="BF9" s="43">
        <f t="array" ref="BF9">AVERAGE(AK9:AK9/AN9:AN9) - AVERAGE(N9:N9/Q9:Q9)</f>
        <v>-1.2130013773536952E-5</v>
      </c>
    </row>
    <row r="10" spans="1:58" x14ac:dyDescent="0.3">
      <c r="B10" s="55" t="s">
        <v>288</v>
      </c>
      <c r="J10" s="56">
        <f>AVERAGE(J5:J8)</f>
        <v>92.538806143796734</v>
      </c>
      <c r="K10" s="56">
        <f>AVERAGE(K5:K8)</f>
        <v>13.714035255989975</v>
      </c>
      <c r="L10" s="56">
        <f>AVERAGE(L5:L8)</f>
        <v>12.746286922379483</v>
      </c>
      <c r="M10" s="56">
        <f>AVERAGE(M5:M8)</f>
        <v>78.824649634457415</v>
      </c>
      <c r="AG10" s="56">
        <f>AVERAGE(AG5:AG8)</f>
        <v>92.434543176111717</v>
      </c>
      <c r="AH10" s="56">
        <f>AVERAGE(AH5:AH8)</f>
        <v>13.690731948997449</v>
      </c>
      <c r="AI10" s="56">
        <f>AVERAGE(AI5:AI8)</f>
        <v>12.729938966787673</v>
      </c>
      <c r="AJ10" s="56">
        <f>AVERAGE(AJ5:AJ8)</f>
        <v>78.743687203919791</v>
      </c>
      <c r="BB10" s="5">
        <f t="shared" si="0"/>
        <v>0.99887330545930098</v>
      </c>
      <c r="BC10" s="5">
        <f t="shared" si="1"/>
        <v>0.99871743389338685</v>
      </c>
      <c r="BD10" s="5">
        <f t="shared" si="1"/>
        <v>0.99897287928442335</v>
      </c>
      <c r="BF10" s="8">
        <f>AVERAGE(BF5:BF8)</f>
        <v>-1.7711767984852911E-4</v>
      </c>
    </row>
    <row r="11" spans="1:58" x14ac:dyDescent="0.3">
      <c r="B11" s="55" t="s">
        <v>289</v>
      </c>
      <c r="J11" s="56">
        <f>AVERAGE(J9:J9)</f>
        <v>146.86728658924903</v>
      </c>
      <c r="K11" s="56">
        <f>AVERAGE(K9:K9)</f>
        <v>15.511559706212068</v>
      </c>
      <c r="L11" s="56">
        <f>AVERAGE(L9:L9)</f>
        <v>14.545794299775824</v>
      </c>
      <c r="M11" s="56">
        <f>AVERAGE(M9:M9)</f>
        <v>131.35558876895473</v>
      </c>
      <c r="AG11" s="56">
        <f>AVERAGE(AG9:AG9)</f>
        <v>146.8469139719935</v>
      </c>
      <c r="AH11" s="56">
        <f>AVERAGE(AH9:AH9)</f>
        <v>15.507626773399037</v>
      </c>
      <c r="AI11" s="56">
        <f>AVERAGE(AI9:AI9)</f>
        <v>14.545965599163857</v>
      </c>
      <c r="AJ11" s="56">
        <f>AVERAGE(AJ9:AJ9)</f>
        <v>131.33914592400691</v>
      </c>
      <c r="BB11" s="5">
        <f t="shared" si="0"/>
        <v>0.99986128553384046</v>
      </c>
      <c r="BC11" s="5">
        <f t="shared" si="1"/>
        <v>1.0000117765578491</v>
      </c>
      <c r="BD11" s="5">
        <f t="shared" si="1"/>
        <v>0.99987482188537302</v>
      </c>
      <c r="BF11" s="8">
        <f>AVERAGE(BF9:BF9)</f>
        <v>-1.2130013773536952E-5</v>
      </c>
    </row>
    <row r="12" spans="1:58" x14ac:dyDescent="0.3">
      <c r="B12" s="55" t="s">
        <v>290</v>
      </c>
      <c r="J12" s="56">
        <f>AVERAGE(J5:J9)</f>
        <v>103.4045022328872</v>
      </c>
      <c r="K12" s="56">
        <f>AVERAGE(K5:K9)</f>
        <v>14.073540146034395</v>
      </c>
      <c r="L12" s="56">
        <f>AVERAGE(L5:L9)</f>
        <v>13.10618839785875</v>
      </c>
      <c r="M12" s="56">
        <f>AVERAGE(M5:M9)</f>
        <v>89.330837461356879</v>
      </c>
      <c r="AG12" s="56">
        <f>AVERAGE(AG5:AG9)</f>
        <v>103.31701733528807</v>
      </c>
      <c r="AH12" s="56">
        <f>AVERAGE(AH5:AH9)</f>
        <v>14.054110913877768</v>
      </c>
      <c r="AI12" s="56">
        <f>AVERAGE(AI5:AI9)</f>
        <v>13.09314429326291</v>
      </c>
      <c r="AJ12" s="56">
        <f>AVERAGE(AJ5:AJ9)</f>
        <v>89.262778947937221</v>
      </c>
      <c r="BB12" s="5">
        <f t="shared" si="0"/>
        <v>0.9991539546566155</v>
      </c>
      <c r="BC12" s="5">
        <f t="shared" si="1"/>
        <v>0.99900473698379222</v>
      </c>
      <c r="BD12" s="5">
        <f t="shared" si="1"/>
        <v>0.99923812968339065</v>
      </c>
      <c r="BF12" s="8">
        <f>AVERAGE(BF5:BF9)</f>
        <v>-1.4412014663353067E-4</v>
      </c>
    </row>
    <row r="13" spans="1:58" hidden="1" outlineLevel="2" x14ac:dyDescent="0.3">
      <c r="A13" s="55" t="s">
        <v>291</v>
      </c>
      <c r="B13" s="55" t="s">
        <v>292</v>
      </c>
      <c r="Z13" s="57">
        <f>SUM(Z5:Z8,Z9:Z9)</f>
        <v>315220.5</v>
      </c>
      <c r="AA13" s="57">
        <f>SUM(AA5:AA8,AA9:AA9)</f>
        <v>440116.3</v>
      </c>
      <c r="AB13" s="57">
        <f>SUM(AB5:AB8,AB9:AB9)</f>
        <v>219.75400000000002</v>
      </c>
      <c r="AC13" s="57">
        <f>SUM(AC5:AC8,AC9:AC9)</f>
        <v>1252.4760000000001</v>
      </c>
      <c r="AW13" s="57">
        <f>SUM(AW5:AW8,AW9:AW9)</f>
        <v>141665.60000000001</v>
      </c>
      <c r="AX13" s="57">
        <f>SUM(AX5:AX8,AX9:AX9)</f>
        <v>424128.9</v>
      </c>
      <c r="AY13" s="57">
        <f>SUM(AY5:AY8,AY9:AY9)</f>
        <v>150.447</v>
      </c>
      <c r="AZ13" s="57">
        <f>SUM(AZ5:AZ8,AZ9:AZ9)</f>
        <v>1103.107</v>
      </c>
    </row>
    <row r="14" spans="1:58" hidden="1" outlineLevel="2" x14ac:dyDescent="0.3">
      <c r="B14" s="55" t="s">
        <v>293</v>
      </c>
      <c r="AW14" s="8">
        <f>AW13/Z13</f>
        <v>0.44941747126217996</v>
      </c>
      <c r="AX14" s="8">
        <f>AX13/AA13</f>
        <v>0.96367460146329509</v>
      </c>
      <c r="AY14" s="8">
        <f>AY13/AB13</f>
        <v>0.68461552463208852</v>
      </c>
      <c r="AZ14" s="8">
        <f>AZ13/AC13</f>
        <v>0.88074102817139799</v>
      </c>
    </row>
    <row r="15" spans="1:58" hidden="1" outlineLevel="2" x14ac:dyDescent="0.3">
      <c r="B15" s="55" t="s">
        <v>294</v>
      </c>
      <c r="Z15" s="57">
        <f>GEOMEAN(Z5:Z8,Z9:Z9)</f>
        <v>62588.321759494662</v>
      </c>
      <c r="AA15" s="57">
        <f>GEOMEAN(AA5:AA8,AA9:AA9)</f>
        <v>86701.607432031858</v>
      </c>
      <c r="AB15" s="57">
        <f>GEOMEAN(AB5:AB8,AB9:AB9)</f>
        <v>43.650257901754244</v>
      </c>
      <c r="AC15" s="57">
        <f>GEOMEAN(AC5:AC8,AC9:AC9)</f>
        <v>247.97128200648854</v>
      </c>
      <c r="AW15" s="57">
        <f>GEOMEAN(AW5:AW8,AW9:AW9)</f>
        <v>28138.549597366113</v>
      </c>
      <c r="AX15" s="57">
        <f>GEOMEAN(AX5:AX8,AX9:AX9)</f>
        <v>83589.36022903859</v>
      </c>
      <c r="AY15" s="57">
        <f>GEOMEAN(AY5:AY8,AY9:AY9)</f>
        <v>29.821062713947384</v>
      </c>
      <c r="AZ15" s="57">
        <f>GEOMEAN(AZ5:AZ8,AZ9:AZ9)</f>
        <v>219.21399082841251</v>
      </c>
    </row>
    <row r="16" spans="1:58" outlineLevel="2" collapsed="1" x14ac:dyDescent="0.3">
      <c r="B16" s="55" t="s">
        <v>295</v>
      </c>
      <c r="AW16" s="8">
        <f>AW15/Z15</f>
        <v>0.44958146833674267</v>
      </c>
      <c r="AX16" s="8">
        <f>AX15/AA15</f>
        <v>0.96410392730684891</v>
      </c>
      <c r="AY16" s="8">
        <f>AY15/AB15</f>
        <v>0.68318182176763076</v>
      </c>
      <c r="AZ16" s="8">
        <f>AZ15/AC15</f>
        <v>0.88402975156887909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41" priority="5" operator="greaterThanOrEqual">
      <formula>1.03</formula>
    </cfRule>
    <cfRule type="cellIs" dxfId="40" priority="6" operator="lessThanOrEqual">
      <formula>0.97</formula>
    </cfRule>
  </conditionalFormatting>
  <conditionalFormatting sqref="BC10 BC11 BC12">
    <cfRule type="cellIs" dxfId="39" priority="3" operator="greaterThanOrEqual">
      <formula>1.03</formula>
    </cfRule>
    <cfRule type="cellIs" dxfId="38" priority="4" operator="lessThanOrEqual">
      <formula>0.97</formula>
    </cfRule>
  </conditionalFormatting>
  <conditionalFormatting sqref="BD10 BD11 BD12">
    <cfRule type="cellIs" dxfId="37" priority="1" operator="greaterThanOrEqual">
      <formula>1.03</formula>
    </cfRule>
    <cfRule type="cellIs" dxfId="3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S36"/>
  <sheetViews>
    <sheetView workbookViewId="0">
      <pane xSplit="2" ySplit="4" topLeftCell="AE5" activePane="bottomRight" state="frozen"/>
      <selection pane="topRight" activeCell="C1" sqref="C1"/>
      <selection pane="bottomLeft" activeCell="A5" sqref="A5"/>
      <selection pane="bottomRight" activeCell="AN5" sqref="AN5:BC29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132" t="s">
        <v>528</v>
      </c>
      <c r="B1" s="132"/>
      <c r="C1" s="132"/>
      <c r="D1" s="132"/>
      <c r="E1" s="132"/>
      <c r="F1" s="132"/>
      <c r="G1" s="132"/>
      <c r="I1" s="120" t="s">
        <v>2</v>
      </c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G1" s="121" t="s">
        <v>3</v>
      </c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</row>
    <row r="2" spans="1:71" ht="30" customHeight="1" x14ac:dyDescent="0.3">
      <c r="A2" s="128" t="s">
        <v>93</v>
      </c>
      <c r="B2" s="129" t="s">
        <v>96</v>
      </c>
      <c r="C2" s="128" t="s">
        <v>99</v>
      </c>
      <c r="D2" s="129" t="s">
        <v>102</v>
      </c>
      <c r="E2" s="128" t="s">
        <v>105</v>
      </c>
      <c r="F2" s="129" t="s">
        <v>108</v>
      </c>
      <c r="G2" s="128" t="s">
        <v>111</v>
      </c>
      <c r="I2" s="129" t="s">
        <v>114</v>
      </c>
      <c r="J2" s="130" t="s">
        <v>117</v>
      </c>
      <c r="K2" s="130"/>
      <c r="L2" s="130"/>
      <c r="M2" s="130"/>
      <c r="N2" s="128" t="s">
        <v>130</v>
      </c>
      <c r="O2" s="129" t="s">
        <v>133</v>
      </c>
      <c r="P2" s="128" t="s">
        <v>24</v>
      </c>
      <c r="Q2" s="129" t="s">
        <v>26</v>
      </c>
      <c r="R2" s="128" t="s">
        <v>22</v>
      </c>
      <c r="S2" s="131" t="s">
        <v>142</v>
      </c>
      <c r="T2" s="131"/>
      <c r="U2" s="131"/>
      <c r="V2" s="131"/>
      <c r="W2" s="130" t="s">
        <v>153</v>
      </c>
      <c r="X2" s="130"/>
      <c r="Y2" s="131" t="s">
        <v>160</v>
      </c>
      <c r="Z2" s="131"/>
      <c r="AA2" s="131"/>
      <c r="AB2" s="130" t="s">
        <v>170</v>
      </c>
      <c r="AC2" s="130"/>
      <c r="AD2" s="131" t="s">
        <v>177</v>
      </c>
      <c r="AE2" s="131"/>
      <c r="AG2" s="128" t="s">
        <v>114</v>
      </c>
      <c r="AH2" s="131" t="s">
        <v>117</v>
      </c>
      <c r="AI2" s="131"/>
      <c r="AJ2" s="131"/>
      <c r="AK2" s="131"/>
      <c r="AL2" s="129" t="s">
        <v>192</v>
      </c>
      <c r="AM2" s="128" t="s">
        <v>133</v>
      </c>
      <c r="AN2" s="129" t="s">
        <v>24</v>
      </c>
      <c r="AO2" s="128" t="s">
        <v>26</v>
      </c>
      <c r="AP2" s="129" t="s">
        <v>22</v>
      </c>
      <c r="AQ2" s="130" t="s">
        <v>142</v>
      </c>
      <c r="AR2" s="130"/>
      <c r="AS2" s="130"/>
      <c r="AT2" s="130"/>
      <c r="AU2" s="131" t="s">
        <v>153</v>
      </c>
      <c r="AV2" s="131"/>
      <c r="AW2" s="130" t="s">
        <v>160</v>
      </c>
      <c r="AX2" s="130"/>
      <c r="AY2" s="130"/>
      <c r="AZ2" s="131" t="s">
        <v>170</v>
      </c>
      <c r="BA2" s="131"/>
      <c r="BB2" s="130" t="s">
        <v>177</v>
      </c>
      <c r="BC2" s="130"/>
      <c r="BE2" s="129" t="s">
        <v>229</v>
      </c>
      <c r="BF2" s="128" t="s">
        <v>232</v>
      </c>
      <c r="BG2" s="129" t="s">
        <v>232</v>
      </c>
      <c r="BI2" s="130" t="s">
        <v>237</v>
      </c>
      <c r="BJ2" s="130"/>
      <c r="BK2" s="131" t="s">
        <v>242</v>
      </c>
      <c r="BL2" s="131"/>
      <c r="BM2" s="131"/>
      <c r="BO2" s="130" t="s">
        <v>249</v>
      </c>
      <c r="BP2" s="130"/>
      <c r="BQ2" s="131" t="s">
        <v>254</v>
      </c>
      <c r="BR2" s="131"/>
      <c r="BS2" s="131"/>
    </row>
    <row r="3" spans="1:71" x14ac:dyDescent="0.3">
      <c r="A3" s="128"/>
      <c r="B3" s="129"/>
      <c r="C3" s="128"/>
      <c r="D3" s="129"/>
      <c r="E3" s="128"/>
      <c r="F3" s="129"/>
      <c r="G3" s="128"/>
      <c r="I3" s="129"/>
      <c r="J3" s="11" t="s">
        <v>118</v>
      </c>
      <c r="K3" s="11" t="s">
        <v>121</v>
      </c>
      <c r="L3" s="11" t="s">
        <v>124</v>
      </c>
      <c r="M3" s="11" t="s">
        <v>127</v>
      </c>
      <c r="N3" s="128"/>
      <c r="O3" s="129"/>
      <c r="P3" s="128"/>
      <c r="Q3" s="129"/>
      <c r="R3" s="128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128"/>
      <c r="AH3" s="12" t="s">
        <v>118</v>
      </c>
      <c r="AI3" s="12" t="s">
        <v>121</v>
      </c>
      <c r="AJ3" s="12" t="s">
        <v>124</v>
      </c>
      <c r="AK3" s="12" t="s">
        <v>127</v>
      </c>
      <c r="AL3" s="129"/>
      <c r="AM3" s="128"/>
      <c r="AN3" s="129"/>
      <c r="AO3" s="128"/>
      <c r="AP3" s="12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129"/>
      <c r="BF3" s="128"/>
      <c r="BG3" s="12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1" ht="123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1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14.288639999999999</v>
      </c>
      <c r="J5" s="18">
        <f t="shared" ref="J5:J29" si="1">IF(ISBLANK(S5),"·",S5/D5)</f>
        <v>0.61051946053773265</v>
      </c>
      <c r="K5" s="18">
        <f t="shared" ref="K5:K29" si="2">IF(N5="","·",N5/D5)</f>
        <v>0.49521707783113522</v>
      </c>
      <c r="L5" s="18">
        <f t="shared" ref="L5:L29" si="3">IF(T5="","·",T5/D5)</f>
        <v>0.28510233857164508</v>
      </c>
      <c r="M5" s="18">
        <f t="shared" ref="M5:M29" si="4">IF(ISBLANK(V5),"·",V5/D5)</f>
        <v>0.11516554753037543</v>
      </c>
      <c r="N5" s="15">
        <f t="shared" ref="N5:N29" si="5">IF(OR(ISBLANK(T5),ISBLANK(U5)),"",T5+U5)</f>
        <v>12362768</v>
      </c>
      <c r="O5" s="18">
        <f t="shared" ref="O5:O29" si="6">IF(ISBLANK(S5),"·",S5/P5)</f>
        <v>4.2020188902402895E-2</v>
      </c>
      <c r="P5" s="19">
        <v>362711744</v>
      </c>
      <c r="Q5" s="19">
        <v>1209039.14666667</v>
      </c>
      <c r="R5" s="19">
        <v>500734.68</v>
      </c>
      <c r="S5" s="20">
        <v>15241216</v>
      </c>
      <c r="T5" s="20">
        <v>7117392</v>
      </c>
      <c r="U5" s="20">
        <v>5245376</v>
      </c>
      <c r="V5" s="20">
        <v>2875032</v>
      </c>
      <c r="W5" s="21">
        <v>66.529716333333297</v>
      </c>
      <c r="X5" s="21">
        <v>68.599195666666702</v>
      </c>
      <c r="Y5" s="21">
        <v>31.253849666666699</v>
      </c>
      <c r="Z5" s="21">
        <v>43.296209333333302</v>
      </c>
      <c r="AA5" s="21">
        <v>42.8273546666667</v>
      </c>
      <c r="AB5" s="22">
        <v>59782.8</v>
      </c>
      <c r="AC5" s="22">
        <v>41321.199999999997</v>
      </c>
      <c r="AD5" s="22">
        <v>82.343999999999994</v>
      </c>
      <c r="AE5" s="22">
        <v>206.346</v>
      </c>
      <c r="AG5" s="17">
        <f t="shared" ref="AG5:AG29" si="7">IF(OR(ISBLANK(AQ5),ISBLANK(G5)),"·",AQ5*G5/F5/1000000)</f>
        <v>14.406555000000001</v>
      </c>
      <c r="AH5" s="18">
        <f t="shared" ref="AH5:AH29" si="8">IF(ISBLANK(AQ5),"·",AQ5/D5)</f>
        <v>0.61555768686223278</v>
      </c>
      <c r="AI5" s="18">
        <f t="shared" ref="AI5:AI29" si="9">IF(AL5="","·",AL5/D5)</f>
        <v>0.49783777589001849</v>
      </c>
      <c r="AJ5" s="18">
        <f t="shared" ref="AJ5:AJ29" si="10">IF(AR5="","·",AR5/D5)</f>
        <v>0.2864787017610439</v>
      </c>
      <c r="AK5" s="18">
        <f t="shared" ref="AK5:AK29" si="11">IF(ISBLANK(AT5),"·",AT5/D5)</f>
        <v>0.11757987122512066</v>
      </c>
      <c r="AL5" s="15">
        <f t="shared" ref="AL5:AL29" si="12">IF(OR(ISBLANK(AR5),ISBLANK(AS5)),"",AR5+AS5)</f>
        <v>12428192</v>
      </c>
      <c r="AM5" s="18">
        <f t="shared" ref="AM5:AM29" si="13">IF(ISBLANK(AQ5),"·",AQ5/AN5)</f>
        <v>7.0650869276711686E-2</v>
      </c>
      <c r="AN5" s="19">
        <v>217506057</v>
      </c>
      <c r="AO5" s="19">
        <v>725020.19</v>
      </c>
      <c r="AP5" s="19">
        <v>16263.21</v>
      </c>
      <c r="AQ5" s="20">
        <v>15366992</v>
      </c>
      <c r="AR5" s="20">
        <v>7151752</v>
      </c>
      <c r="AS5" s="20">
        <v>5276440</v>
      </c>
      <c r="AT5" s="20">
        <v>2935304</v>
      </c>
      <c r="AU5" s="21">
        <v>66.504174333333395</v>
      </c>
      <c r="AV5" s="21">
        <v>68.350707333333403</v>
      </c>
      <c r="AW5" s="21">
        <v>31.236933666666701</v>
      </c>
      <c r="AX5" s="21">
        <v>43.256440333333302</v>
      </c>
      <c r="AY5" s="21">
        <v>42.7241546666666</v>
      </c>
      <c r="AZ5" s="22">
        <v>27208.3</v>
      </c>
      <c r="BA5" s="22">
        <v>41138.5</v>
      </c>
      <c r="BB5" s="22">
        <v>58.54</v>
      </c>
      <c r="BC5" s="22">
        <v>191.465</v>
      </c>
      <c r="BE5" s="23">
        <f t="shared" ref="BE5:BE29" si="14">(AP5/AO5) - (R5/Q5)</f>
        <v>-0.39172780612478708</v>
      </c>
      <c r="BF5" s="23">
        <f t="shared" ref="BF5:BF29" si="15">(AL5/AQ5) - (N5/S5)</f>
        <v>-2.3815988908256758E-3</v>
      </c>
      <c r="BG5" s="23">
        <f t="array" ref="BG5">AVERAGE(AL5:AL9/AQ5:AQ9) - AVERAGE(N5:N9/S5:S9)</f>
        <v>-1.7074858084749067E-3</v>
      </c>
      <c r="BI5" s="24">
        <f>IF( OR(ISBLANK(N5:N9),ISBLANK(AL5:AL9), ISBLANK(W5:W9),ISBLANK(AU5:AU9)), "·", bdRateExtend( N5:N9,W5:W9, AL5:AL9,AU5:AU9))</f>
        <v>9.1144177440778407E-3</v>
      </c>
      <c r="BJ5" s="24">
        <f>IF( OR(ISBLANK(N5:N9),ISBLANK(AL5:AL9), ISBLANK(X5:X9),ISBLANK(AV5:AV9)), "·", bdRateExtend( N5:N9,X5:X9, AL5:AL9,AV5:AV9))</f>
        <v>5.9790845544604121E-2</v>
      </c>
      <c r="BK5" s="24">
        <f>IF( OR(ISBLANK(V5:V9),ISBLANK(AT5:AT9), ISBLANK(Y5:Y9),ISBLANK(AW5:AW9)), "·", bdRateExtend( V5:V9,Y5:Y9, AT5:AT9,AW5:AW9))</f>
        <v>2.1016468501436236E-2</v>
      </c>
      <c r="BL5" s="24">
        <f>IF( OR(ISBLANK(V5:V9),ISBLANK(AT5:AT9), ISBLANK(Z5:Z9),ISBLANK(AX5:AX9)), "·", bdRateExtend( V5:V9,Z5:Z9, AT5:AT9,AX5:AX9))</f>
        <v>1.8935221577554451E-2</v>
      </c>
      <c r="BM5" s="24">
        <f>IF( OR(ISBLANK(V5:V9),ISBLANK(AT5:AT9), ISBLANK(AA5:AA9),ISBLANK(AY5:AY9)), "·", bdRateExtend( V5:V9,AA5:AA9, AT5:AT9,AY5:AY9))</f>
        <v>2.7127689395394894E-2</v>
      </c>
      <c r="BO5" s="24">
        <f>IF( OR(ISBLANK(S5:S9),ISBLANK(AQ5:AQ9), ISBLANK(W5:W9),ISBLANK(AU5:AU9)), "·", bdRateExtend( S5:S9,W5:W9, AQ5:AQ9,AU5:AU9))</f>
        <v>1.5020157804293E-2</v>
      </c>
      <c r="BP5" s="24">
        <f>IF( OR(ISBLANK(S5:S9),ISBLANK(AQ5:AQ9), ISBLANK(X5:X9),ISBLANK(AV5:AV9)), "·", bdRateExtend( S5:S9,X5:X9, AQ5:AQ9,AV5:AV9))</f>
        <v>9.9537614399036745E-2</v>
      </c>
      <c r="BQ5" s="24">
        <f>IF( OR(ISBLANK(S5:S9),ISBLANK(AQ5:AQ9), ISBLANK(Y5:Y9),ISBLANK(AW5:AW9)), "·", bdRateExtend( S5:S9,Y5:Y9, AQ5:AQ9,AW5:AW9))</f>
        <v>1.1795946701472326E-2</v>
      </c>
      <c r="BR5" s="24">
        <f>IF( OR(ISBLANK(S5:S9),ISBLANK(AQ5:AQ9), ISBLANK(Z5:Z9),ISBLANK(AX5:AX9)), "·", bdRateExtend( S5:S9,Z5:Z9, AQ5:AQ9,AX5:AX9))</f>
        <v>9.9413833491586168E-3</v>
      </c>
      <c r="BS5" s="24">
        <f>IF( OR(ISBLANK(S5:S9),ISBLANK(AQ5:AQ9), ISBLANK(AA5:AA9),ISBLANK(AY5:AY9)), "·", bdRateExtend( S5:S9,AA5:AA9, AQ5:AQ9,AY5:AY9))</f>
        <v>1.4534705872222053E-2</v>
      </c>
    </row>
    <row r="6" spans="1:71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18.892162500000001</v>
      </c>
      <c r="J6" s="28">
        <f t="shared" si="1"/>
        <v>0.80721698201446612</v>
      </c>
      <c r="K6" s="28">
        <f t="shared" si="2"/>
        <v>0.59989855129762892</v>
      </c>
      <c r="L6" s="28">
        <f t="shared" si="3"/>
        <v>0.38978381203813872</v>
      </c>
      <c r="M6" s="28">
        <f t="shared" si="4"/>
        <v>0.2071815955406153</v>
      </c>
      <c r="N6" s="25">
        <f t="shared" si="5"/>
        <v>14976072</v>
      </c>
      <c r="O6" s="28">
        <f t="shared" si="6"/>
        <v>5.5558278256355551E-2</v>
      </c>
      <c r="P6" s="29">
        <v>362711744</v>
      </c>
      <c r="Q6" s="29">
        <v>1209039.14666667</v>
      </c>
      <c r="R6" s="29">
        <v>449335.61</v>
      </c>
      <c r="S6" s="30">
        <v>20151640</v>
      </c>
      <c r="T6" s="30">
        <v>9730696</v>
      </c>
      <c r="U6" s="30">
        <v>5245376</v>
      </c>
      <c r="V6" s="30">
        <v>5172152</v>
      </c>
      <c r="W6" s="31">
        <v>68.287485333333393</v>
      </c>
      <c r="X6" s="31">
        <v>70.5483513333334</v>
      </c>
      <c r="Y6" s="31">
        <v>33.282870666666703</v>
      </c>
      <c r="Z6" s="31">
        <v>44.832039666666702</v>
      </c>
      <c r="AA6" s="31">
        <v>44.461426666666704</v>
      </c>
      <c r="AB6" s="32">
        <v>59608.1</v>
      </c>
      <c r="AC6" s="32">
        <v>44286.8</v>
      </c>
      <c r="AD6" s="32">
        <v>82.430999999999997</v>
      </c>
      <c r="AE6" s="32">
        <v>206.096</v>
      </c>
      <c r="AG6" s="27">
        <f t="shared" si="7"/>
        <v>19.063694999999999</v>
      </c>
      <c r="AH6" s="28">
        <f t="shared" si="8"/>
        <v>0.81454615605515079</v>
      </c>
      <c r="AI6" s="28">
        <f t="shared" si="9"/>
        <v>0.60266281413156475</v>
      </c>
      <c r="AJ6" s="28">
        <f t="shared" si="10"/>
        <v>0.39130374000259011</v>
      </c>
      <c r="AK6" s="28">
        <f t="shared" si="11"/>
        <v>0.21174330217649245</v>
      </c>
      <c r="AL6" s="25">
        <f t="shared" si="12"/>
        <v>15045080</v>
      </c>
      <c r="AM6" s="28">
        <f t="shared" si="13"/>
        <v>8.6722959986956547E-2</v>
      </c>
      <c r="AN6" s="29">
        <v>234477790</v>
      </c>
      <c r="AO6" s="29">
        <v>781592.63333333295</v>
      </c>
      <c r="AP6" s="29">
        <v>20764.41</v>
      </c>
      <c r="AQ6" s="30">
        <v>20334608</v>
      </c>
      <c r="AR6" s="30">
        <v>9768640</v>
      </c>
      <c r="AS6" s="30">
        <v>5276440</v>
      </c>
      <c r="AT6" s="30">
        <v>5286032</v>
      </c>
      <c r="AU6" s="31">
        <v>68.267081666666698</v>
      </c>
      <c r="AV6" s="31">
        <v>70.295176666666706</v>
      </c>
      <c r="AW6" s="31">
        <v>33.261915333333299</v>
      </c>
      <c r="AX6" s="31">
        <v>44.814994666666699</v>
      </c>
      <c r="AY6" s="31">
        <v>44.431042333333401</v>
      </c>
      <c r="AZ6" s="32">
        <v>27226.6</v>
      </c>
      <c r="BA6" s="32">
        <v>44326.2</v>
      </c>
      <c r="BB6" s="32">
        <v>63.954000000000001</v>
      </c>
      <c r="BC6" s="32">
        <v>199.99700000000001</v>
      </c>
      <c r="BE6" s="33">
        <f t="shared" si="14"/>
        <v>-0.34508007283961795</v>
      </c>
      <c r="BF6" s="33">
        <f t="shared" si="15"/>
        <v>-3.293307945583912E-3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26.945385000000002</v>
      </c>
      <c r="J7" s="18">
        <f t="shared" si="1"/>
        <v>1.1513119453063072</v>
      </c>
      <c r="K7" s="18">
        <f t="shared" si="2"/>
        <v>0.7462551484936053</v>
      </c>
      <c r="L7" s="18">
        <f t="shared" si="3"/>
        <v>0.53614040923411521</v>
      </c>
      <c r="M7" s="18">
        <f t="shared" si="4"/>
        <v>0.40491996163647981</v>
      </c>
      <c r="N7" s="15">
        <f t="shared" si="5"/>
        <v>18629768</v>
      </c>
      <c r="O7" s="18">
        <f t="shared" si="6"/>
        <v>7.9241283127573614E-2</v>
      </c>
      <c r="P7" s="19">
        <v>362711744</v>
      </c>
      <c r="Q7" s="19">
        <v>1209039.14666667</v>
      </c>
      <c r="R7" s="19">
        <v>441374.07333333301</v>
      </c>
      <c r="S7" s="20">
        <v>28741744</v>
      </c>
      <c r="T7" s="20">
        <v>13384392</v>
      </c>
      <c r="U7" s="20">
        <v>5245376</v>
      </c>
      <c r="V7" s="20">
        <v>10108560</v>
      </c>
      <c r="W7" s="21">
        <v>69.617232000000001</v>
      </c>
      <c r="X7" s="21">
        <v>72.262668000000005</v>
      </c>
      <c r="Y7" s="21">
        <v>35.722543999999999</v>
      </c>
      <c r="Z7" s="21">
        <v>46.064301333333297</v>
      </c>
      <c r="AA7" s="21">
        <v>45.868096000000001</v>
      </c>
      <c r="AB7" s="22">
        <v>59450.8</v>
      </c>
      <c r="AC7" s="22">
        <v>47373.4</v>
      </c>
      <c r="AD7" s="22">
        <v>81.082999999999998</v>
      </c>
      <c r="AE7" s="22">
        <v>209.654</v>
      </c>
      <c r="AG7" s="17">
        <f t="shared" si="7"/>
        <v>27.206130000000002</v>
      </c>
      <c r="AH7" s="18">
        <f t="shared" si="8"/>
        <v>1.162452956398889</v>
      </c>
      <c r="AI7" s="18">
        <f t="shared" si="9"/>
        <v>0.75002019881077575</v>
      </c>
      <c r="AJ7" s="18">
        <f t="shared" si="10"/>
        <v>0.53866112468180116</v>
      </c>
      <c r="AK7" s="18">
        <f t="shared" si="11"/>
        <v>0.41229271784101973</v>
      </c>
      <c r="AL7" s="15">
        <f t="shared" si="12"/>
        <v>18723760</v>
      </c>
      <c r="AM7" s="18">
        <f t="shared" si="13"/>
        <v>0.12241405392429508</v>
      </c>
      <c r="AN7" s="19">
        <v>237063238</v>
      </c>
      <c r="AO7" s="19">
        <v>790210.79333333299</v>
      </c>
      <c r="AP7" s="19">
        <v>22161.186666666701</v>
      </c>
      <c r="AQ7" s="20">
        <v>29019872</v>
      </c>
      <c r="AR7" s="20">
        <v>13447320</v>
      </c>
      <c r="AS7" s="20">
        <v>5276440</v>
      </c>
      <c r="AT7" s="20">
        <v>10292616</v>
      </c>
      <c r="AU7" s="21">
        <v>69.602889666666599</v>
      </c>
      <c r="AV7" s="21">
        <v>71.968767999999997</v>
      </c>
      <c r="AW7" s="21">
        <v>35.706162333333303</v>
      </c>
      <c r="AX7" s="21">
        <v>46.071366333333302</v>
      </c>
      <c r="AY7" s="21">
        <v>45.842953999999999</v>
      </c>
      <c r="AZ7" s="22">
        <v>26284.7</v>
      </c>
      <c r="BA7" s="22">
        <v>45217.8</v>
      </c>
      <c r="BB7" s="22">
        <v>60.936999999999998</v>
      </c>
      <c r="BC7" s="22">
        <v>201.255</v>
      </c>
      <c r="BE7" s="23">
        <f t="shared" si="14"/>
        <v>-0.33701720278765651</v>
      </c>
      <c r="BF7" s="23">
        <f t="shared" si="15"/>
        <v>-2.9732890882256946E-3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44.306399999999996</v>
      </c>
      <c r="J8" s="28">
        <f t="shared" si="1"/>
        <v>1.8931066516035813</v>
      </c>
      <c r="K8" s="28">
        <f t="shared" si="2"/>
        <v>1.0225586968228002</v>
      </c>
      <c r="L8" s="28">
        <f t="shared" si="3"/>
        <v>0.81244395756331</v>
      </c>
      <c r="M8" s="28">
        <f t="shared" si="4"/>
        <v>0.87041111960455919</v>
      </c>
      <c r="N8" s="25">
        <f t="shared" si="5"/>
        <v>25527504</v>
      </c>
      <c r="O8" s="28">
        <f t="shared" si="6"/>
        <v>0.13029674605738711</v>
      </c>
      <c r="P8" s="29">
        <v>362711744</v>
      </c>
      <c r="Q8" s="29">
        <v>1209039.14666667</v>
      </c>
      <c r="R8" s="29">
        <v>408580.47666666697</v>
      </c>
      <c r="S8" s="30">
        <v>47260160</v>
      </c>
      <c r="T8" s="30">
        <v>20282128</v>
      </c>
      <c r="U8" s="30">
        <v>5245376</v>
      </c>
      <c r="V8" s="30">
        <v>21729240</v>
      </c>
      <c r="W8" s="31">
        <v>70.661385999999993</v>
      </c>
      <c r="X8" s="31">
        <v>73.497961333333294</v>
      </c>
      <c r="Y8" s="31">
        <v>38.301286666666698</v>
      </c>
      <c r="Z8" s="31">
        <v>47.378657666666598</v>
      </c>
      <c r="AA8" s="31">
        <v>47.266115333333303</v>
      </c>
      <c r="AB8" s="32">
        <v>59029.4</v>
      </c>
      <c r="AC8" s="32">
        <v>50440.7</v>
      </c>
      <c r="AD8" s="32">
        <v>78.091999999999999</v>
      </c>
      <c r="AE8" s="32">
        <v>208.95599999999999</v>
      </c>
      <c r="AG8" s="27">
        <f t="shared" si="7"/>
        <v>44.627685</v>
      </c>
      <c r="AH8" s="28">
        <f t="shared" si="8"/>
        <v>1.9068343923038065</v>
      </c>
      <c r="AI8" s="28">
        <f t="shared" si="9"/>
        <v>1.0278584161304318</v>
      </c>
      <c r="AJ8" s="28">
        <f t="shared" si="10"/>
        <v>0.81649934200145724</v>
      </c>
      <c r="AK8" s="28">
        <f t="shared" si="11"/>
        <v>0.87883593642628099</v>
      </c>
      <c r="AL8" s="25">
        <f t="shared" si="12"/>
        <v>25659808</v>
      </c>
      <c r="AM8" s="28">
        <f t="shared" si="13"/>
        <v>0.19195462530191215</v>
      </c>
      <c r="AN8" s="29">
        <v>247990190</v>
      </c>
      <c r="AO8" s="29">
        <v>826633.96666666702</v>
      </c>
      <c r="AP8" s="29">
        <v>25918.2833333333</v>
      </c>
      <c r="AQ8" s="30">
        <v>47602864</v>
      </c>
      <c r="AR8" s="30">
        <v>20383368</v>
      </c>
      <c r="AS8" s="30">
        <v>5276440</v>
      </c>
      <c r="AT8" s="30">
        <v>21939560</v>
      </c>
      <c r="AU8" s="31">
        <v>70.639004333333304</v>
      </c>
      <c r="AV8" s="31">
        <v>73.192291666666605</v>
      </c>
      <c r="AW8" s="31">
        <v>38.290322000000003</v>
      </c>
      <c r="AX8" s="31">
        <v>47.375885333333301</v>
      </c>
      <c r="AY8" s="31">
        <v>47.252333666666601</v>
      </c>
      <c r="AZ8" s="32">
        <v>26297.1</v>
      </c>
      <c r="BA8" s="32">
        <v>48851.6</v>
      </c>
      <c r="BB8" s="32">
        <v>60.526000000000003</v>
      </c>
      <c r="BC8" s="32">
        <v>199.31800000000001</v>
      </c>
      <c r="BE8" s="33">
        <f t="shared" si="14"/>
        <v>-0.30658416763672591</v>
      </c>
      <c r="BF8" s="33">
        <f t="shared" si="15"/>
        <v>-1.1093250119041942E-3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outlineLevel="1" x14ac:dyDescent="0.3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88.589789999999994</v>
      </c>
      <c r="J9" s="38">
        <f t="shared" si="1"/>
        <v>3.7852301408637223</v>
      </c>
      <c r="K9" s="38">
        <f t="shared" si="2"/>
        <v>1.5148817266996955</v>
      </c>
      <c r="L9" s="38">
        <f t="shared" si="3"/>
        <v>1.3047669874402053</v>
      </c>
      <c r="M9" s="38">
        <f t="shared" si="4"/>
        <v>2.270211578987805</v>
      </c>
      <c r="N9" s="35">
        <f t="shared" si="5"/>
        <v>37818024</v>
      </c>
      <c r="O9" s="38">
        <f t="shared" si="6"/>
        <v>0.26052582405492775</v>
      </c>
      <c r="P9" s="39">
        <v>362711744</v>
      </c>
      <c r="Q9" s="39">
        <v>1209039.14666667</v>
      </c>
      <c r="R9" s="39">
        <v>403503.77666666702</v>
      </c>
      <c r="S9" s="40">
        <v>94495776</v>
      </c>
      <c r="T9" s="40">
        <v>32572648</v>
      </c>
      <c r="U9" s="40">
        <v>5245376</v>
      </c>
      <c r="V9" s="40">
        <v>56674336</v>
      </c>
      <c r="W9" s="41">
        <v>71.513923666666699</v>
      </c>
      <c r="X9" s="41">
        <v>74.637499666666699</v>
      </c>
      <c r="Y9" s="41">
        <v>41.1125373333333</v>
      </c>
      <c r="Z9" s="41">
        <v>49.089407999999999</v>
      </c>
      <c r="AA9" s="41">
        <v>49.1253526666667</v>
      </c>
      <c r="AB9" s="42">
        <v>59514.2</v>
      </c>
      <c r="AC9" s="42">
        <v>56104.3</v>
      </c>
      <c r="AD9" s="42">
        <v>75.988</v>
      </c>
      <c r="AE9" s="42">
        <v>210.238</v>
      </c>
      <c r="AG9" s="37">
        <f t="shared" si="7"/>
        <v>88.750995000000003</v>
      </c>
      <c r="AH9" s="38">
        <f t="shared" si="8"/>
        <v>3.7921180454953727</v>
      </c>
      <c r="AI9" s="38">
        <f t="shared" si="9"/>
        <v>1.5222650579881118</v>
      </c>
      <c r="AJ9" s="38">
        <f t="shared" si="10"/>
        <v>1.3109059838591373</v>
      </c>
      <c r="AK9" s="38">
        <f t="shared" si="11"/>
        <v>2.2697129477601674</v>
      </c>
      <c r="AL9" s="35">
        <f t="shared" si="12"/>
        <v>38002344</v>
      </c>
      <c r="AM9" s="38">
        <f t="shared" si="13"/>
        <v>0.37873049085097676</v>
      </c>
      <c r="AN9" s="39">
        <v>249960672</v>
      </c>
      <c r="AO9" s="39">
        <v>833202.24</v>
      </c>
      <c r="AP9" s="39">
        <v>27473.366666666701</v>
      </c>
      <c r="AQ9" s="40">
        <v>94667728</v>
      </c>
      <c r="AR9" s="40">
        <v>32725904</v>
      </c>
      <c r="AS9" s="40">
        <v>5276440</v>
      </c>
      <c r="AT9" s="40">
        <v>56661888</v>
      </c>
      <c r="AU9" s="41">
        <v>71.503969666666706</v>
      </c>
      <c r="AV9" s="41">
        <v>74.305877333333399</v>
      </c>
      <c r="AW9" s="41">
        <v>41.056932000000003</v>
      </c>
      <c r="AX9" s="41">
        <v>49.076402333333299</v>
      </c>
      <c r="AY9" s="41">
        <v>49.110327666666699</v>
      </c>
      <c r="AZ9" s="42">
        <v>26455.7</v>
      </c>
      <c r="BA9" s="42">
        <v>54181</v>
      </c>
      <c r="BB9" s="42">
        <v>59.314999999999998</v>
      </c>
      <c r="BC9" s="42">
        <v>206.143</v>
      </c>
      <c r="BE9" s="43">
        <f t="shared" si="14"/>
        <v>-0.30076598870464366</v>
      </c>
      <c r="BF9" s="43">
        <f t="shared" si="15"/>
        <v>1.2200918941639993E-3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21.575152500000002</v>
      </c>
      <c r="J10" s="28">
        <f t="shared" si="1"/>
        <v>1.0158336058658504</v>
      </c>
      <c r="K10" s="28">
        <f t="shared" si="2"/>
        <v>0.73146529857329501</v>
      </c>
      <c r="L10" s="28">
        <f t="shared" si="3"/>
        <v>0.38545704398306246</v>
      </c>
      <c r="M10" s="28">
        <f t="shared" si="4"/>
        <v>0.28421752239669945</v>
      </c>
      <c r="N10" s="25">
        <f t="shared" si="5"/>
        <v>16571192</v>
      </c>
      <c r="O10" s="28">
        <f t="shared" si="6"/>
        <v>7.0108768395379079E-2</v>
      </c>
      <c r="P10" s="29">
        <v>328254176</v>
      </c>
      <c r="Q10" s="29">
        <v>1094180.5866666699</v>
      </c>
      <c r="R10" s="29">
        <v>440739.51666666701</v>
      </c>
      <c r="S10" s="30">
        <v>23013496</v>
      </c>
      <c r="T10" s="30">
        <v>8732448</v>
      </c>
      <c r="U10" s="30">
        <v>7838744</v>
      </c>
      <c r="V10" s="30">
        <v>6438888</v>
      </c>
      <c r="W10" s="31">
        <v>65.931028666666606</v>
      </c>
      <c r="X10" s="31">
        <v>67.960500666666704</v>
      </c>
      <c r="Y10" s="31">
        <v>30.5771913333333</v>
      </c>
      <c r="Z10" s="31">
        <v>38.243023333333298</v>
      </c>
      <c r="AA10" s="31">
        <v>29.703241999999999</v>
      </c>
      <c r="AB10" s="32">
        <v>54626.6</v>
      </c>
      <c r="AC10" s="32">
        <v>47444.6</v>
      </c>
      <c r="AD10" s="32">
        <v>73.933000000000007</v>
      </c>
      <c r="AE10" s="32">
        <v>212.11500000000001</v>
      </c>
      <c r="AG10" s="27">
        <f t="shared" si="7"/>
        <v>21.512250000000002</v>
      </c>
      <c r="AH10" s="28">
        <f t="shared" si="8"/>
        <v>1.0128719362603642</v>
      </c>
      <c r="AI10" s="28">
        <f t="shared" si="9"/>
        <v>0.73001818732454316</v>
      </c>
      <c r="AJ10" s="28">
        <f t="shared" si="10"/>
        <v>0.3849308859155563</v>
      </c>
      <c r="AK10" s="28">
        <f t="shared" si="11"/>
        <v>0.28269943277776721</v>
      </c>
      <c r="AL10" s="25">
        <f t="shared" si="12"/>
        <v>16538408</v>
      </c>
      <c r="AM10" s="28">
        <f t="shared" si="13"/>
        <v>0.11307606491726335</v>
      </c>
      <c r="AN10" s="29">
        <v>202928887</v>
      </c>
      <c r="AO10" s="29">
        <v>676429.62333333294</v>
      </c>
      <c r="AP10" s="29">
        <v>21303.363333333298</v>
      </c>
      <c r="AQ10" s="30">
        <v>22946400</v>
      </c>
      <c r="AR10" s="30">
        <v>8720528</v>
      </c>
      <c r="AS10" s="30">
        <v>7817880</v>
      </c>
      <c r="AT10" s="30">
        <v>6404496</v>
      </c>
      <c r="AU10" s="31">
        <v>65.918362000000002</v>
      </c>
      <c r="AV10" s="31">
        <v>67.723590999999999</v>
      </c>
      <c r="AW10" s="31">
        <v>30.590104</v>
      </c>
      <c r="AX10" s="31">
        <v>38.249169000000002</v>
      </c>
      <c r="AY10" s="31">
        <v>29.714226666666701</v>
      </c>
      <c r="AZ10" s="32">
        <v>24134.400000000001</v>
      </c>
      <c r="BA10" s="32">
        <v>46031</v>
      </c>
      <c r="BB10" s="32">
        <v>52.991999999999997</v>
      </c>
      <c r="BC10" s="32">
        <v>197.67699999999999</v>
      </c>
      <c r="BE10" s="33">
        <f t="shared" si="14"/>
        <v>-0.37130943295360325</v>
      </c>
      <c r="BF10" s="33">
        <f t="shared" si="15"/>
        <v>6.7676934170102232E-4</v>
      </c>
      <c r="BG10" s="33">
        <f t="array" ref="BG10">AVERAGE(AL10:AL14/AQ10:AQ14) - AVERAGE(N10:N14/S10:S14)</f>
        <v>7.5510993668004289E-4</v>
      </c>
      <c r="BI10" s="34">
        <f>IF( OR(ISBLANK(N10:N14),ISBLANK(AL10:AL14), ISBLANK(W10:W14),ISBLANK(AU10:AU14)), "·", bdRateExtend( N10:N14,W10:W14, AL10:AL14,AU10:AU14))</f>
        <v>5.1387390356265605E-3</v>
      </c>
      <c r="BJ10" s="34">
        <f>IF( OR(ISBLANK(N10:N14),ISBLANK(AL10:AL14), ISBLANK(X10:X14),ISBLANK(AV10:AV14)), "·", bdRateExtend( N10:N14,X10:X14, AL10:AL14,AV10:AV14))</f>
        <v>4.6891280157292936E-2</v>
      </c>
      <c r="BK10" s="34">
        <f>IF( OR(ISBLANK(V10:V14),ISBLANK(AT10:AT14), ISBLANK(Y10:Y14),ISBLANK(AW10:AW14)), "·", bdRateExtend( V10:V14,Y10:Y14, AT10:AT14,AW10:AW14))</f>
        <v>-5.7391205725491057E-3</v>
      </c>
      <c r="BL10" s="34">
        <f>IF( OR(ISBLANK(V10:V14),ISBLANK(AT10:AT14), ISBLANK(Z10:Z14),ISBLANK(AX10:AX14)), "·", bdRateExtend( V10:V14,Z10:Z14, AT10:AT14,AX10:AX14))</f>
        <v>-1.0799546673195493E-2</v>
      </c>
      <c r="BM10" s="34">
        <f>IF( OR(ISBLANK(V10:V14),ISBLANK(AT10:AT14), ISBLANK(AA10:AA14),ISBLANK(AY10:AY14)), "·", bdRateExtend( V10:V14,AA10:AA14, AT10:AT14,AY10:AY14))</f>
        <v>-5.0873112061202708E-3</v>
      </c>
      <c r="BO10" s="34">
        <f>IF( OR(ISBLANK(S10:S14),ISBLANK(AQ10:AQ14), ISBLANK(W10:W14),ISBLANK(AU10:AU14)), "·", bdRateExtend( S10:S14,W10:W14, AQ10:AQ14,AU10:AU14))</f>
        <v>8.8254137024113E-3</v>
      </c>
      <c r="BP10" s="34">
        <f>IF( OR(ISBLANK(S10:S14),ISBLANK(AQ10:AQ14), ISBLANK(X10:X14),ISBLANK(AV10:AV14)), "·", bdRateExtend( S10:S14,X10:X14, AQ10:AQ14,AV10:AV14))</f>
        <v>7.928713580196578E-2</v>
      </c>
      <c r="BQ10" s="34">
        <f>IF( OR(ISBLANK(S10:S14),ISBLANK(AQ10:AQ14), ISBLANK(Y10:Y14),ISBLANK(AW10:AW14)), "·", bdRateExtend( S10:S14,Y10:Y14, AQ10:AQ14,AW10:AW14))</f>
        <v>-3.7670571206241954E-3</v>
      </c>
      <c r="BR10" s="34">
        <f>IF( OR(ISBLANK(S10:S14),ISBLANK(AQ10:AQ14), ISBLANK(Z10:Z14),ISBLANK(AX10:AX14)), "·", bdRateExtend( S10:S14,Z10:Z14, AQ10:AQ14,AX10:AX14))</f>
        <v>-7.2093444283592989E-3</v>
      </c>
      <c r="BS10" s="34">
        <f>IF( OR(ISBLANK(S10:S14),ISBLANK(AQ10:AQ14), ISBLANK(AA10:AA14),ISBLANK(AY10:AY14)), "·", bdRateExtend( S10:S14,AA10:AA14, AQ10:AQ14,AY10:AY14))</f>
        <v>-3.5008109970994239E-3</v>
      </c>
    </row>
    <row r="11" spans="1:71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29.679870000000001</v>
      </c>
      <c r="J11" s="18">
        <f t="shared" si="1"/>
        <v>1.3974320396451276</v>
      </c>
      <c r="K11" s="18">
        <f t="shared" si="2"/>
        <v>0.88668934413823053</v>
      </c>
      <c r="L11" s="18">
        <f t="shared" si="3"/>
        <v>0.54068108954799798</v>
      </c>
      <c r="M11" s="18">
        <f t="shared" si="4"/>
        <v>0.51059191061104126</v>
      </c>
      <c r="N11" s="15">
        <f t="shared" si="5"/>
        <v>20087760</v>
      </c>
      <c r="O11" s="18">
        <f t="shared" si="6"/>
        <v>9.6445164493505181E-2</v>
      </c>
      <c r="P11" s="19">
        <v>328254176</v>
      </c>
      <c r="Q11" s="19">
        <v>1094180.5866666699</v>
      </c>
      <c r="R11" s="19">
        <v>397459.75333333301</v>
      </c>
      <c r="S11" s="20">
        <v>31658528</v>
      </c>
      <c r="T11" s="20">
        <v>12249016</v>
      </c>
      <c r="U11" s="20">
        <v>7838744</v>
      </c>
      <c r="V11" s="20">
        <v>11567352</v>
      </c>
      <c r="W11" s="21">
        <v>67.638418333333306</v>
      </c>
      <c r="X11" s="21">
        <v>69.843396666666607</v>
      </c>
      <c r="Y11" s="21">
        <v>32.470047666666702</v>
      </c>
      <c r="Z11" s="21">
        <v>39.423366333333398</v>
      </c>
      <c r="AA11" s="21">
        <v>32.005377000000003</v>
      </c>
      <c r="AB11" s="22">
        <v>54996.6</v>
      </c>
      <c r="AC11" s="22">
        <v>51752.2</v>
      </c>
      <c r="AD11" s="22">
        <v>78.555999999999997</v>
      </c>
      <c r="AE11" s="22">
        <v>230.65799999999999</v>
      </c>
      <c r="AG11" s="17">
        <f t="shared" si="7"/>
        <v>29.609527499999999</v>
      </c>
      <c r="AH11" s="18">
        <f t="shared" si="8"/>
        <v>1.3941200688295972</v>
      </c>
      <c r="AI11" s="18">
        <f t="shared" si="9"/>
        <v>0.88471854670551109</v>
      </c>
      <c r="AJ11" s="18">
        <f t="shared" si="10"/>
        <v>0.53963124529652429</v>
      </c>
      <c r="AK11" s="18">
        <f t="shared" si="11"/>
        <v>0.50924720596603212</v>
      </c>
      <c r="AL11" s="15">
        <f t="shared" si="12"/>
        <v>20043112</v>
      </c>
      <c r="AM11" s="18">
        <f t="shared" si="13"/>
        <v>0.14530332025363288</v>
      </c>
      <c r="AN11" s="19">
        <v>217362521</v>
      </c>
      <c r="AO11" s="19">
        <v>724541.73666666704</v>
      </c>
      <c r="AP11" s="19">
        <v>27196.433333333302</v>
      </c>
      <c r="AQ11" s="20">
        <v>31583496</v>
      </c>
      <c r="AR11" s="20">
        <v>12225232</v>
      </c>
      <c r="AS11" s="20">
        <v>7817880</v>
      </c>
      <c r="AT11" s="20">
        <v>11536888</v>
      </c>
      <c r="AU11" s="21">
        <v>67.609655666666697</v>
      </c>
      <c r="AV11" s="21">
        <v>69.613406666666606</v>
      </c>
      <c r="AW11" s="21">
        <v>32.484872000000003</v>
      </c>
      <c r="AX11" s="21">
        <v>39.449438666666602</v>
      </c>
      <c r="AY11" s="21">
        <v>32.010876666666697</v>
      </c>
      <c r="AZ11" s="22">
        <v>23819.200000000001</v>
      </c>
      <c r="BA11" s="22">
        <v>48679.5</v>
      </c>
      <c r="BB11" s="22">
        <v>56.613</v>
      </c>
      <c r="BC11" s="22">
        <v>208.08</v>
      </c>
      <c r="BE11" s="23">
        <f t="shared" si="14"/>
        <v>-0.3257127230764274</v>
      </c>
      <c r="BF11" s="23">
        <f t="shared" si="15"/>
        <v>9.3745444118553678E-5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42.609675000000003</v>
      </c>
      <c r="J12" s="28">
        <f t="shared" si="1"/>
        <v>2.0062124613034356</v>
      </c>
      <c r="K12" s="28">
        <f t="shared" si="2"/>
        <v>1.1139433697661012</v>
      </c>
      <c r="L12" s="28">
        <f t="shared" si="3"/>
        <v>0.76793511517586854</v>
      </c>
      <c r="M12" s="28">
        <f t="shared" si="4"/>
        <v>0.89211830664147873</v>
      </c>
      <c r="N12" s="25">
        <f t="shared" si="5"/>
        <v>25236152</v>
      </c>
      <c r="O12" s="28">
        <f t="shared" si="6"/>
        <v>0.13846075182909479</v>
      </c>
      <c r="P12" s="29">
        <v>328254176</v>
      </c>
      <c r="Q12" s="29">
        <v>1094180.5866666699</v>
      </c>
      <c r="R12" s="29">
        <v>389967.33666666702</v>
      </c>
      <c r="S12" s="30">
        <v>45450320</v>
      </c>
      <c r="T12" s="30">
        <v>17397408</v>
      </c>
      <c r="U12" s="30">
        <v>7838744</v>
      </c>
      <c r="V12" s="30">
        <v>20210752</v>
      </c>
      <c r="W12" s="31">
        <v>68.976119666666605</v>
      </c>
      <c r="X12" s="31">
        <v>71.523813666666598</v>
      </c>
      <c r="Y12" s="31">
        <v>34.5497223333333</v>
      </c>
      <c r="Z12" s="31">
        <v>40.348551999999998</v>
      </c>
      <c r="AA12" s="31">
        <v>33.908228333333298</v>
      </c>
      <c r="AB12" s="32">
        <v>54775</v>
      </c>
      <c r="AC12" s="32">
        <v>55056.7</v>
      </c>
      <c r="AD12" s="32">
        <v>76.209000000000003</v>
      </c>
      <c r="AE12" s="32">
        <v>228.28800000000001</v>
      </c>
      <c r="AG12" s="27">
        <f t="shared" si="7"/>
        <v>42.457147499999998</v>
      </c>
      <c r="AH12" s="28">
        <f t="shared" si="8"/>
        <v>1.9990309333713061</v>
      </c>
      <c r="AI12" s="28">
        <f t="shared" si="9"/>
        <v>1.1111882789991996</v>
      </c>
      <c r="AJ12" s="28">
        <f t="shared" si="10"/>
        <v>0.76610097759021278</v>
      </c>
      <c r="AK12" s="28">
        <f t="shared" si="11"/>
        <v>0.88768833821405269</v>
      </c>
      <c r="AL12" s="25">
        <f t="shared" si="12"/>
        <v>25173736</v>
      </c>
      <c r="AM12" s="28">
        <f t="shared" si="13"/>
        <v>0.2056408393528853</v>
      </c>
      <c r="AN12" s="29">
        <v>220226800</v>
      </c>
      <c r="AO12" s="29">
        <v>734089.33333333302</v>
      </c>
      <c r="AP12" s="29">
        <v>28739.113333333298</v>
      </c>
      <c r="AQ12" s="30">
        <v>45287624</v>
      </c>
      <c r="AR12" s="30">
        <v>17355856</v>
      </c>
      <c r="AS12" s="30">
        <v>7817880</v>
      </c>
      <c r="AT12" s="30">
        <v>20110392</v>
      </c>
      <c r="AU12" s="31">
        <v>68.946349666666706</v>
      </c>
      <c r="AV12" s="31">
        <v>71.270425333333407</v>
      </c>
      <c r="AW12" s="31">
        <v>34.560456666666703</v>
      </c>
      <c r="AX12" s="31">
        <v>40.354461666666701</v>
      </c>
      <c r="AY12" s="31">
        <v>33.9090633333333</v>
      </c>
      <c r="AZ12" s="32">
        <v>23913.5</v>
      </c>
      <c r="BA12" s="32">
        <v>52206.5</v>
      </c>
      <c r="BB12" s="32">
        <v>54.204000000000001</v>
      </c>
      <c r="BC12" s="32">
        <v>205.55099999999999</v>
      </c>
      <c r="BE12" s="33">
        <f t="shared" si="14"/>
        <v>-0.3172519165881148</v>
      </c>
      <c r="BF12" s="33">
        <f t="shared" si="15"/>
        <v>6.1651411353991215E-4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69.852630000000005</v>
      </c>
      <c r="J13" s="18">
        <f t="shared" si="1"/>
        <v>3.2889060233577987</v>
      </c>
      <c r="K13" s="18">
        <f t="shared" si="2"/>
        <v>1.5214005303690976</v>
      </c>
      <c r="L13" s="18">
        <f t="shared" si="3"/>
        <v>1.1753922757788651</v>
      </c>
      <c r="M13" s="18">
        <f t="shared" si="4"/>
        <v>1.7673547080928451</v>
      </c>
      <c r="N13" s="15">
        <f t="shared" si="5"/>
        <v>34467008</v>
      </c>
      <c r="O13" s="18">
        <f t="shared" si="6"/>
        <v>0.22698712597642626</v>
      </c>
      <c r="P13" s="19">
        <v>328254176</v>
      </c>
      <c r="Q13" s="19">
        <v>1094180.5866666699</v>
      </c>
      <c r="R13" s="19">
        <v>362148.5</v>
      </c>
      <c r="S13" s="20">
        <v>74509472</v>
      </c>
      <c r="T13" s="20">
        <v>26628264</v>
      </c>
      <c r="U13" s="20">
        <v>7838744</v>
      </c>
      <c r="V13" s="20">
        <v>40039048</v>
      </c>
      <c r="W13" s="21">
        <v>69.938675666666697</v>
      </c>
      <c r="X13" s="21">
        <v>72.709523000000004</v>
      </c>
      <c r="Y13" s="21">
        <v>36.862023333333298</v>
      </c>
      <c r="Z13" s="21">
        <v>41.428438333333297</v>
      </c>
      <c r="AA13" s="21">
        <v>35.914800333333403</v>
      </c>
      <c r="AB13" s="22">
        <v>54840.9</v>
      </c>
      <c r="AC13" s="22">
        <v>58965.3</v>
      </c>
      <c r="AD13" s="22">
        <v>73.594999999999999</v>
      </c>
      <c r="AE13" s="22">
        <v>226.655</v>
      </c>
      <c r="AG13" s="17">
        <f t="shared" si="7"/>
        <v>69.599497499999998</v>
      </c>
      <c r="AH13" s="18">
        <f t="shared" si="8"/>
        <v>3.2769876603132344</v>
      </c>
      <c r="AI13" s="18">
        <f t="shared" si="9"/>
        <v>1.5188982779755751</v>
      </c>
      <c r="AJ13" s="18">
        <f t="shared" si="10"/>
        <v>1.1738109765665883</v>
      </c>
      <c r="AK13" s="18">
        <f t="shared" si="11"/>
        <v>1.7579350661796056</v>
      </c>
      <c r="AL13" s="15">
        <f t="shared" si="12"/>
        <v>34410320</v>
      </c>
      <c r="AM13" s="18">
        <f t="shared" si="13"/>
        <v>0.32317720872397926</v>
      </c>
      <c r="AN13" s="19">
        <v>229717511</v>
      </c>
      <c r="AO13" s="19">
        <v>765725.03666666697</v>
      </c>
      <c r="AP13" s="19">
        <v>32936.480000000003</v>
      </c>
      <c r="AQ13" s="20">
        <v>74239464</v>
      </c>
      <c r="AR13" s="20">
        <v>26592440</v>
      </c>
      <c r="AS13" s="20">
        <v>7817880</v>
      </c>
      <c r="AT13" s="20">
        <v>39825648</v>
      </c>
      <c r="AU13" s="21">
        <v>69.901690666666696</v>
      </c>
      <c r="AV13" s="21">
        <v>72.449189000000004</v>
      </c>
      <c r="AW13" s="21">
        <v>36.866756333333299</v>
      </c>
      <c r="AX13" s="21">
        <v>41.433892</v>
      </c>
      <c r="AY13" s="21">
        <v>35.911907999999997</v>
      </c>
      <c r="AZ13" s="22">
        <v>24815.4</v>
      </c>
      <c r="BA13" s="22">
        <v>58070.8</v>
      </c>
      <c r="BB13" s="22">
        <v>57.563000000000002</v>
      </c>
      <c r="BC13" s="22">
        <v>217.977</v>
      </c>
      <c r="BE13" s="23">
        <f t="shared" si="14"/>
        <v>-0.28796344549129793</v>
      </c>
      <c r="BF13" s="23">
        <f t="shared" si="15"/>
        <v>9.1883489011457264E-4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outlineLevel="1" x14ac:dyDescent="0.3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139.82001</v>
      </c>
      <c r="J14" s="48">
        <f t="shared" si="1"/>
        <v>6.5832148778785804</v>
      </c>
      <c r="K14" s="48">
        <f t="shared" si="2"/>
        <v>2.2441015892931069</v>
      </c>
      <c r="L14" s="48">
        <f t="shared" si="3"/>
        <v>1.8980933347028746</v>
      </c>
      <c r="M14" s="48">
        <f t="shared" si="4"/>
        <v>4.3389625036896176</v>
      </c>
      <c r="N14" s="45">
        <f t="shared" si="5"/>
        <v>50839648</v>
      </c>
      <c r="O14" s="48">
        <f t="shared" si="6"/>
        <v>0.4543471337284678</v>
      </c>
      <c r="P14" s="49">
        <v>328254176</v>
      </c>
      <c r="Q14" s="49">
        <v>1094180.5866666699</v>
      </c>
      <c r="R14" s="49">
        <v>357563.54</v>
      </c>
      <c r="S14" s="50">
        <v>149141344</v>
      </c>
      <c r="T14" s="50">
        <v>43000904</v>
      </c>
      <c r="U14" s="50">
        <v>7838744</v>
      </c>
      <c r="V14" s="50">
        <v>98298280</v>
      </c>
      <c r="W14" s="51">
        <v>70.776771999999994</v>
      </c>
      <c r="X14" s="51">
        <v>73.806019000000006</v>
      </c>
      <c r="Y14" s="51">
        <v>39.6193253333333</v>
      </c>
      <c r="Z14" s="51">
        <v>42.877127000000002</v>
      </c>
      <c r="AA14" s="51">
        <v>38.299883999999999</v>
      </c>
      <c r="AB14" s="52">
        <v>54996.6</v>
      </c>
      <c r="AC14" s="52">
        <v>64820.5</v>
      </c>
      <c r="AD14" s="52">
        <v>76.126000000000005</v>
      </c>
      <c r="AE14" s="52">
        <v>248.76499999999999</v>
      </c>
      <c r="AG14" s="47">
        <f t="shared" si="7"/>
        <v>139.06419</v>
      </c>
      <c r="AH14" s="48">
        <f t="shared" si="8"/>
        <v>6.5476282299517337</v>
      </c>
      <c r="AI14" s="48">
        <f t="shared" si="9"/>
        <v>2.2415936868800674</v>
      </c>
      <c r="AJ14" s="48">
        <f t="shared" si="10"/>
        <v>1.8965063854710809</v>
      </c>
      <c r="AK14" s="48">
        <f t="shared" si="11"/>
        <v>4.3058802269136116</v>
      </c>
      <c r="AL14" s="45">
        <f t="shared" si="12"/>
        <v>50782832</v>
      </c>
      <c r="AM14" s="48">
        <f t="shared" si="13"/>
        <v>0.64048136071199269</v>
      </c>
      <c r="AN14" s="49">
        <v>231599458</v>
      </c>
      <c r="AO14" s="49">
        <v>771998.19333333301</v>
      </c>
      <c r="AP14" s="49">
        <v>34822.686666666697</v>
      </c>
      <c r="AQ14" s="50">
        <v>148335136</v>
      </c>
      <c r="AR14" s="50">
        <v>42964952</v>
      </c>
      <c r="AS14" s="50">
        <v>7817880</v>
      </c>
      <c r="AT14" s="50">
        <v>97548808</v>
      </c>
      <c r="AU14" s="51">
        <v>70.748386333333301</v>
      </c>
      <c r="AV14" s="51">
        <v>73.527615666666705</v>
      </c>
      <c r="AW14" s="51">
        <v>39.577935333333301</v>
      </c>
      <c r="AX14" s="51">
        <v>42.877270000000003</v>
      </c>
      <c r="AY14" s="51">
        <v>38.298299</v>
      </c>
      <c r="AZ14" s="52">
        <v>24709.599999999999</v>
      </c>
      <c r="BA14" s="52">
        <v>63305.599999999999</v>
      </c>
      <c r="BB14" s="52">
        <v>56.357999999999997</v>
      </c>
      <c r="BC14" s="52">
        <v>225.68899999999999</v>
      </c>
      <c r="BE14" s="53">
        <f t="shared" si="14"/>
        <v>-0.28167937483369121</v>
      </c>
      <c r="BF14" s="53">
        <f t="shared" si="15"/>
        <v>1.4696858939259871E-3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22.380315</v>
      </c>
      <c r="J15" s="18">
        <f t="shared" si="1"/>
        <v>0.70320885780894016</v>
      </c>
      <c r="K15" s="18">
        <f t="shared" si="2"/>
        <v>0.55197724925133407</v>
      </c>
      <c r="L15" s="18">
        <f t="shared" si="3"/>
        <v>0.28871572457388739</v>
      </c>
      <c r="M15" s="18">
        <f t="shared" si="4"/>
        <v>0.15113098323722379</v>
      </c>
      <c r="N15" s="15">
        <f t="shared" si="5"/>
        <v>18738368</v>
      </c>
      <c r="O15" s="18">
        <f t="shared" si="6"/>
        <v>4.9448288158826195E-2</v>
      </c>
      <c r="P15" s="19">
        <v>482773760</v>
      </c>
      <c r="Q15" s="19">
        <v>1609245.86666667</v>
      </c>
      <c r="R15" s="19">
        <v>615016.96333333303</v>
      </c>
      <c r="S15" s="20">
        <v>23872336</v>
      </c>
      <c r="T15" s="20">
        <v>9801240</v>
      </c>
      <c r="U15" s="20">
        <v>8937128</v>
      </c>
      <c r="V15" s="20">
        <v>5130552</v>
      </c>
      <c r="W15" s="21">
        <v>66.310666999999995</v>
      </c>
      <c r="X15" s="21">
        <v>68.087540666666598</v>
      </c>
      <c r="Y15" s="21">
        <v>28.368361</v>
      </c>
      <c r="Z15" s="21">
        <v>42.619094333333301</v>
      </c>
      <c r="AA15" s="21">
        <v>42.731862333333403</v>
      </c>
      <c r="AB15" s="22">
        <v>80520.100000000006</v>
      </c>
      <c r="AC15" s="22">
        <v>49252.800000000003</v>
      </c>
      <c r="AD15" s="22">
        <v>102.959</v>
      </c>
      <c r="AE15" s="22">
        <v>242.142</v>
      </c>
      <c r="AG15" s="17">
        <f t="shared" si="7"/>
        <v>22.383712500000001</v>
      </c>
      <c r="AH15" s="18">
        <f t="shared" si="8"/>
        <v>0.70331561019801092</v>
      </c>
      <c r="AI15" s="18">
        <f t="shared" si="9"/>
        <v>0.55231777287651562</v>
      </c>
      <c r="AJ15" s="18">
        <f t="shared" si="10"/>
        <v>0.2891552239240352</v>
      </c>
      <c r="AK15" s="18">
        <f t="shared" si="11"/>
        <v>0.15089485543623285</v>
      </c>
      <c r="AL15" s="15">
        <f t="shared" si="12"/>
        <v>18749928</v>
      </c>
      <c r="AM15" s="18">
        <f t="shared" si="13"/>
        <v>7.7240246279559721E-2</v>
      </c>
      <c r="AN15" s="19">
        <v>309112945</v>
      </c>
      <c r="AO15" s="19">
        <v>1030376.48333333</v>
      </c>
      <c r="AP15" s="19">
        <v>33795</v>
      </c>
      <c r="AQ15" s="20">
        <v>23875960</v>
      </c>
      <c r="AR15" s="20">
        <v>9816160</v>
      </c>
      <c r="AS15" s="20">
        <v>8933768</v>
      </c>
      <c r="AT15" s="20">
        <v>5122536</v>
      </c>
      <c r="AU15" s="21">
        <v>66.270596999999995</v>
      </c>
      <c r="AV15" s="21">
        <v>67.867086666666694</v>
      </c>
      <c r="AW15" s="21">
        <v>28.393466</v>
      </c>
      <c r="AX15" s="21">
        <v>42.664895666666702</v>
      </c>
      <c r="AY15" s="21">
        <v>42.782329333333301</v>
      </c>
      <c r="AZ15" s="22">
        <v>35033.9</v>
      </c>
      <c r="BA15" s="22">
        <v>45852.2</v>
      </c>
      <c r="BB15" s="22">
        <v>73.31</v>
      </c>
      <c r="BC15" s="22">
        <v>211.87200000000001</v>
      </c>
      <c r="BE15" s="23">
        <f t="shared" si="14"/>
        <v>-0.34937843674758517</v>
      </c>
      <c r="BF15" s="23">
        <f t="shared" si="15"/>
        <v>3.6502720405817701E-4</v>
      </c>
      <c r="BG15" s="23">
        <f t="array" ref="BG15">AVERAGE(AL15:AL19/AQ15:AQ19) - AVERAGE(N15:N19/S15:S19)</f>
        <v>1.6937543499024876E-3</v>
      </c>
      <c r="BI15" s="24">
        <f>IF( OR(ISBLANK(N15:N19),ISBLANK(AL15:AL19), ISBLANK(W15:W19),ISBLANK(AU15:AU19)), "·", bdRateExtend( N15:N19,W15:W19, AL15:AL19,AU15:AU19))</f>
        <v>3.9952957756168583E-3</v>
      </c>
      <c r="BJ15" s="24">
        <f>IF( OR(ISBLANK(N15:N19),ISBLANK(AL15:AL19), ISBLANK(X15:X19),ISBLANK(AV15:AV19)), "·", bdRateExtend( N15:N19,X15:X19, AL15:AL19,AV15:AV19))</f>
        <v>4.3401117131794287E-2</v>
      </c>
      <c r="BK15" s="24">
        <f>IF( OR(ISBLANK(V15:V19),ISBLANK(AT15:AT19), ISBLANK(Y15:Y19),ISBLANK(AW15:AW19)), "·", bdRateExtend( V15:V19,Y15:Y19, AT15:AT19,AW15:AW19))</f>
        <v>-8.5456620399807504E-3</v>
      </c>
      <c r="BL15" s="24">
        <f>IF( OR(ISBLANK(V15:V19),ISBLANK(AT15:AT19), ISBLANK(Z15:Z19),ISBLANK(AX15:AX19)), "·", bdRateExtend( V15:V19,Z15:Z19, AT15:AT19,AX15:AX19))</f>
        <v>-1.8051326803910861E-2</v>
      </c>
      <c r="BM15" s="24">
        <f>IF( OR(ISBLANK(V15:V19),ISBLANK(AT15:AT19), ISBLANK(AA15:AA19),ISBLANK(AY15:AY19)), "·", bdRateExtend( V15:V19,AA15:AA19, AT15:AT19,AY15:AY19))</f>
        <v>-1.2251322552489174E-2</v>
      </c>
      <c r="BO15" s="24">
        <f>IF( OR(ISBLANK(S15:S19),ISBLANK(AQ15:AQ19), ISBLANK(W15:W19),ISBLANK(AU15:AU19)), "·", bdRateExtend( S15:S19,W15:W19, AQ15:AQ19,AU15:AU19))</f>
        <v>5.9412418406448175E-3</v>
      </c>
      <c r="BP15" s="24">
        <f>IF( OR(ISBLANK(S15:S19),ISBLANK(AQ15:AQ19), ISBLANK(X15:X19),ISBLANK(AV15:AV19)), "·", bdRateExtend( S15:S19,X15:X19, AQ15:AQ19,AV15:AV19))</f>
        <v>8.352491213321489E-2</v>
      </c>
      <c r="BQ15" s="24">
        <f>IF( OR(ISBLANK(S15:S19),ISBLANK(AQ15:AQ19), ISBLANK(Y15:Y19),ISBLANK(AW15:AW19)), "·", bdRateExtend( S15:S19,Y15:Y19, AQ15:AQ19,AW15:AW19))</f>
        <v>-3.5319791247260257E-3</v>
      </c>
      <c r="BR15" s="24">
        <f>IF( OR(ISBLANK(S15:S19),ISBLANK(AQ15:AQ19), ISBLANK(Z15:Z19),ISBLANK(AX15:AX19)), "·", bdRateExtend( S15:S19,Z15:Z19, AQ15:AQ19,AX15:AX19))</f>
        <v>-9.8938115548704575E-3</v>
      </c>
      <c r="BS15" s="24">
        <f>IF( OR(ISBLANK(S15:S19),ISBLANK(AQ15:AQ19), ISBLANK(AA15:AA19),ISBLANK(AY15:AY19)), "·", bdRateExtend( S15:S19,AA15:AA19, AQ15:AQ19,AY15:AY19))</f>
        <v>-6.9043462721970483E-3</v>
      </c>
    </row>
    <row r="16" spans="1:71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30.421289999999999</v>
      </c>
      <c r="J16" s="28">
        <f t="shared" si="1"/>
        <v>0.95586324830434843</v>
      </c>
      <c r="K16" s="28">
        <f t="shared" si="2"/>
        <v>0.65460564978182034</v>
      </c>
      <c r="L16" s="28">
        <f t="shared" si="3"/>
        <v>0.39134412510437372</v>
      </c>
      <c r="M16" s="28">
        <f t="shared" si="4"/>
        <v>0.30115697320214574</v>
      </c>
      <c r="N16" s="25">
        <f t="shared" si="5"/>
        <v>22222368</v>
      </c>
      <c r="O16" s="28">
        <f t="shared" si="6"/>
        <v>6.7214456726065644E-2</v>
      </c>
      <c r="P16" s="29">
        <v>482773760</v>
      </c>
      <c r="Q16" s="29">
        <v>1609245.86666667</v>
      </c>
      <c r="R16" s="29">
        <v>567705.58333333302</v>
      </c>
      <c r="S16" s="30">
        <v>32449376</v>
      </c>
      <c r="T16" s="30">
        <v>13285240</v>
      </c>
      <c r="U16" s="30">
        <v>8937128</v>
      </c>
      <c r="V16" s="30">
        <v>10223592</v>
      </c>
      <c r="W16" s="31">
        <v>68.024056666666695</v>
      </c>
      <c r="X16" s="31">
        <v>70.195160666666695</v>
      </c>
      <c r="Y16" s="31">
        <v>30.707090666666701</v>
      </c>
      <c r="Z16" s="31">
        <v>43.717214333333303</v>
      </c>
      <c r="AA16" s="31">
        <v>43.982596999999998</v>
      </c>
      <c r="AB16" s="32">
        <v>79847</v>
      </c>
      <c r="AC16" s="32">
        <v>52194.7</v>
      </c>
      <c r="AD16" s="32">
        <v>95.004999999999995</v>
      </c>
      <c r="AE16" s="32">
        <v>223.35499999999999</v>
      </c>
      <c r="AG16" s="27">
        <f t="shared" si="7"/>
        <v>30.306645</v>
      </c>
      <c r="AH16" s="28">
        <f t="shared" si="8"/>
        <v>0.95226100322855278</v>
      </c>
      <c r="AI16" s="28">
        <f t="shared" si="9"/>
        <v>0.65340285906699236</v>
      </c>
      <c r="AJ16" s="28">
        <f t="shared" si="10"/>
        <v>0.39024031011451199</v>
      </c>
      <c r="AK16" s="28">
        <f t="shared" si="11"/>
        <v>0.29875516227629795</v>
      </c>
      <c r="AL16" s="25">
        <f t="shared" si="12"/>
        <v>22181536</v>
      </c>
      <c r="AM16" s="28">
        <f t="shared" si="13"/>
        <v>9.9512798338569602E-2</v>
      </c>
      <c r="AN16" s="29">
        <v>324853572</v>
      </c>
      <c r="AO16" s="29">
        <v>1082845.24</v>
      </c>
      <c r="AP16" s="29">
        <v>40331.910000000003</v>
      </c>
      <c r="AQ16" s="30">
        <v>32327088</v>
      </c>
      <c r="AR16" s="30">
        <v>13247768</v>
      </c>
      <c r="AS16" s="30">
        <v>8933768</v>
      </c>
      <c r="AT16" s="30">
        <v>10142056</v>
      </c>
      <c r="AU16" s="31">
        <v>67.977994666666703</v>
      </c>
      <c r="AV16" s="31">
        <v>69.969694666666697</v>
      </c>
      <c r="AW16" s="31">
        <v>30.744842333333299</v>
      </c>
      <c r="AX16" s="31">
        <v>43.758868</v>
      </c>
      <c r="AY16" s="31">
        <v>43.995786000000003</v>
      </c>
      <c r="AZ16" s="32">
        <v>36194.1</v>
      </c>
      <c r="BA16" s="32">
        <v>51724.5</v>
      </c>
      <c r="BB16" s="32">
        <v>79.36</v>
      </c>
      <c r="BC16" s="32">
        <v>225.12299999999999</v>
      </c>
      <c r="BE16" s="33">
        <f t="shared" si="14"/>
        <v>-0.31553116995282859</v>
      </c>
      <c r="BF16" s="33">
        <f t="shared" si="15"/>
        <v>1.3275159230532463E-3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45.281572500000003</v>
      </c>
      <c r="J17" s="18">
        <f t="shared" si="1"/>
        <v>1.422786179618907</v>
      </c>
      <c r="K17" s="18">
        <f t="shared" si="2"/>
        <v>0.79383762996970808</v>
      </c>
      <c r="L17" s="18">
        <f t="shared" si="3"/>
        <v>0.53057610529226151</v>
      </c>
      <c r="M17" s="18">
        <f t="shared" si="4"/>
        <v>0.62884792432881642</v>
      </c>
      <c r="N17" s="15">
        <f t="shared" si="5"/>
        <v>26948976</v>
      </c>
      <c r="O17" s="18">
        <f t="shared" si="6"/>
        <v>0.10004757507947408</v>
      </c>
      <c r="P17" s="19">
        <v>482773760</v>
      </c>
      <c r="Q17" s="19">
        <v>1609245.86666667</v>
      </c>
      <c r="R17" s="19">
        <v>566952.27666666696</v>
      </c>
      <c r="S17" s="20">
        <v>48300344</v>
      </c>
      <c r="T17" s="20">
        <v>18011848</v>
      </c>
      <c r="U17" s="20">
        <v>8937128</v>
      </c>
      <c r="V17" s="20">
        <v>21347952</v>
      </c>
      <c r="W17" s="21">
        <v>69.384709666666694</v>
      </c>
      <c r="X17" s="21">
        <v>72.037914999999998</v>
      </c>
      <c r="Y17" s="21">
        <v>33.306272999999997</v>
      </c>
      <c r="Z17" s="21">
        <v>44.724006000000003</v>
      </c>
      <c r="AA17" s="21">
        <v>45.067823666666598</v>
      </c>
      <c r="AB17" s="22">
        <v>79863.3</v>
      </c>
      <c r="AC17" s="22">
        <v>55836</v>
      </c>
      <c r="AD17" s="22">
        <v>95.96</v>
      </c>
      <c r="AE17" s="22">
        <v>234.87899999999999</v>
      </c>
      <c r="AG17" s="17">
        <f t="shared" si="7"/>
        <v>45.067912499999998</v>
      </c>
      <c r="AH17" s="18">
        <f t="shared" si="8"/>
        <v>1.4160727975883387</v>
      </c>
      <c r="AI17" s="18">
        <f t="shared" si="9"/>
        <v>0.79224176423287129</v>
      </c>
      <c r="AJ17" s="18">
        <f t="shared" si="10"/>
        <v>0.52907921528039081</v>
      </c>
      <c r="AK17" s="18">
        <f t="shared" si="11"/>
        <v>0.62372805147020483</v>
      </c>
      <c r="AL17" s="15">
        <f t="shared" si="12"/>
        <v>26894800</v>
      </c>
      <c r="AM17" s="18">
        <f t="shared" si="13"/>
        <v>0.14769127866311565</v>
      </c>
      <c r="AN17" s="19">
        <v>325492747</v>
      </c>
      <c r="AO17" s="19">
        <v>1084975.82333333</v>
      </c>
      <c r="AP17" s="19">
        <v>41510.316666666702</v>
      </c>
      <c r="AQ17" s="20">
        <v>48072440</v>
      </c>
      <c r="AR17" s="20">
        <v>17961032</v>
      </c>
      <c r="AS17" s="20">
        <v>8933768</v>
      </c>
      <c r="AT17" s="20">
        <v>21174144</v>
      </c>
      <c r="AU17" s="21">
        <v>69.371619333333399</v>
      </c>
      <c r="AV17" s="21">
        <v>71.771925000000095</v>
      </c>
      <c r="AW17" s="21">
        <v>33.322611999999999</v>
      </c>
      <c r="AX17" s="21">
        <v>44.724468999999999</v>
      </c>
      <c r="AY17" s="21">
        <v>45.053372000000003</v>
      </c>
      <c r="AZ17" s="22">
        <v>35182.300000000003</v>
      </c>
      <c r="BA17" s="22">
        <v>52965.599999999999</v>
      </c>
      <c r="BB17" s="22">
        <v>80.436999999999998</v>
      </c>
      <c r="BC17" s="22">
        <v>227.39599999999999</v>
      </c>
      <c r="BE17" s="23">
        <f t="shared" si="14"/>
        <v>-0.31405008604658657</v>
      </c>
      <c r="BF17" s="23">
        <f t="shared" si="15"/>
        <v>1.5181690110597224E-3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80.619442500000005</v>
      </c>
      <c r="J18" s="28">
        <f t="shared" si="1"/>
        <v>2.5331326247024912</v>
      </c>
      <c r="K18" s="28">
        <f t="shared" si="2"/>
        <v>1.0950228819504155</v>
      </c>
      <c r="L18" s="28">
        <f t="shared" si="3"/>
        <v>0.83176135727296896</v>
      </c>
      <c r="M18" s="28">
        <f t="shared" si="4"/>
        <v>1.4380091174316931</v>
      </c>
      <c r="N18" s="25">
        <f t="shared" si="5"/>
        <v>37173528</v>
      </c>
      <c r="O18" s="28">
        <f t="shared" si="6"/>
        <v>0.17812499171454554</v>
      </c>
      <c r="P18" s="29">
        <v>482773760</v>
      </c>
      <c r="Q18" s="29">
        <v>1609245.86666667</v>
      </c>
      <c r="R18" s="29">
        <v>526726.85333333304</v>
      </c>
      <c r="S18" s="30">
        <v>85994072</v>
      </c>
      <c r="T18" s="30">
        <v>28236400</v>
      </c>
      <c r="U18" s="30">
        <v>8937128</v>
      </c>
      <c r="V18" s="30">
        <v>48817128</v>
      </c>
      <c r="W18" s="31">
        <v>70.425746333333294</v>
      </c>
      <c r="X18" s="31">
        <v>73.311206333333303</v>
      </c>
      <c r="Y18" s="31">
        <v>35.960525666666697</v>
      </c>
      <c r="Z18" s="31">
        <v>45.975204666666698</v>
      </c>
      <c r="AA18" s="31">
        <v>46.359484999999999</v>
      </c>
      <c r="AB18" s="32">
        <v>79671.199999999997</v>
      </c>
      <c r="AC18" s="32">
        <v>61074.400000000001</v>
      </c>
      <c r="AD18" s="32">
        <v>96.962000000000003</v>
      </c>
      <c r="AE18" s="32">
        <v>243.02099999999999</v>
      </c>
      <c r="AG18" s="27">
        <f t="shared" si="7"/>
        <v>80.061750000000004</v>
      </c>
      <c r="AH18" s="28">
        <f t="shared" si="8"/>
        <v>2.5156094439101917</v>
      </c>
      <c r="AI18" s="28">
        <f t="shared" si="9"/>
        <v>1.0931110008631508</v>
      </c>
      <c r="AJ18" s="28">
        <f t="shared" si="10"/>
        <v>0.82994845191067035</v>
      </c>
      <c r="AK18" s="28">
        <f t="shared" si="11"/>
        <v>1.4223954611617782</v>
      </c>
      <c r="AL18" s="25">
        <f t="shared" si="12"/>
        <v>37108624</v>
      </c>
      <c r="AM18" s="28">
        <f t="shared" si="13"/>
        <v>0.25183549691737489</v>
      </c>
      <c r="AN18" s="29">
        <v>339107080</v>
      </c>
      <c r="AO18" s="29">
        <v>1130356.9333333301</v>
      </c>
      <c r="AP18" s="29">
        <v>47185.356666666703</v>
      </c>
      <c r="AQ18" s="30">
        <v>85399200</v>
      </c>
      <c r="AR18" s="30">
        <v>28174856</v>
      </c>
      <c r="AS18" s="30">
        <v>8933768</v>
      </c>
      <c r="AT18" s="30">
        <v>48287080</v>
      </c>
      <c r="AU18" s="31">
        <v>70.400555999999995</v>
      </c>
      <c r="AV18" s="31">
        <v>73.030130666666693</v>
      </c>
      <c r="AW18" s="31">
        <v>35.955392666666697</v>
      </c>
      <c r="AX18" s="31">
        <v>45.968779666666599</v>
      </c>
      <c r="AY18" s="31">
        <v>46.356440333333303</v>
      </c>
      <c r="AZ18" s="32">
        <v>35691.800000000003</v>
      </c>
      <c r="BA18" s="32">
        <v>59628.7</v>
      </c>
      <c r="BB18" s="32">
        <v>78.212999999999994</v>
      </c>
      <c r="BC18" s="32">
        <v>225.178</v>
      </c>
      <c r="BE18" s="33">
        <f t="shared" si="14"/>
        <v>-0.28556908427897904</v>
      </c>
      <c r="BF18" s="33">
        <f t="shared" si="15"/>
        <v>2.251160914633954E-3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outlineLevel="1" x14ac:dyDescent="0.3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177.9052575</v>
      </c>
      <c r="J19" s="38">
        <f t="shared" si="1"/>
        <v>5.5899370909113832</v>
      </c>
      <c r="K19" s="38">
        <f t="shared" si="2"/>
        <v>1.6131638656831071</v>
      </c>
      <c r="L19" s="38">
        <f t="shared" si="3"/>
        <v>1.3499023410056605</v>
      </c>
      <c r="M19" s="38">
        <f t="shared" si="4"/>
        <v>3.9766725999078938</v>
      </c>
      <c r="N19" s="35">
        <f t="shared" si="5"/>
        <v>54763232</v>
      </c>
      <c r="O19" s="38">
        <f t="shared" si="6"/>
        <v>0.39307357549838667</v>
      </c>
      <c r="P19" s="39">
        <v>482773760</v>
      </c>
      <c r="Q19" s="39">
        <v>1609245.86666667</v>
      </c>
      <c r="R19" s="39">
        <v>523057.45333333302</v>
      </c>
      <c r="S19" s="40">
        <v>189765608</v>
      </c>
      <c r="T19" s="40">
        <v>45826104</v>
      </c>
      <c r="U19" s="40">
        <v>8937128</v>
      </c>
      <c r="V19" s="40">
        <v>134998960</v>
      </c>
      <c r="W19" s="41">
        <v>71.294867999999994</v>
      </c>
      <c r="X19" s="41">
        <v>74.444095666666698</v>
      </c>
      <c r="Y19" s="41">
        <v>38.7706186666666</v>
      </c>
      <c r="Z19" s="41">
        <v>47.905570333333301</v>
      </c>
      <c r="AA19" s="41">
        <v>48.371841666666697</v>
      </c>
      <c r="AB19" s="42">
        <v>79097.899999999994</v>
      </c>
      <c r="AC19" s="42">
        <v>68374</v>
      </c>
      <c r="AD19" s="42">
        <v>91.620999999999995</v>
      </c>
      <c r="AE19" s="42">
        <v>253.297</v>
      </c>
      <c r="AG19" s="37">
        <f t="shared" si="7"/>
        <v>175.67034000000001</v>
      </c>
      <c r="AH19" s="38">
        <f t="shared" si="8"/>
        <v>5.5197140497043131</v>
      </c>
      <c r="AI19" s="38">
        <f t="shared" si="9"/>
        <v>1.6094958724471553</v>
      </c>
      <c r="AJ19" s="38">
        <f t="shared" si="10"/>
        <v>1.346333323494675</v>
      </c>
      <c r="AK19" s="38">
        <f t="shared" si="11"/>
        <v>3.9101151953718949</v>
      </c>
      <c r="AL19" s="35">
        <f t="shared" si="12"/>
        <v>54638712</v>
      </c>
      <c r="AM19" s="38">
        <f t="shared" si="13"/>
        <v>0.54955198501069913</v>
      </c>
      <c r="AN19" s="39">
        <v>340971739</v>
      </c>
      <c r="AO19" s="39">
        <v>1136572.4633333299</v>
      </c>
      <c r="AP19" s="39">
        <v>49703.12</v>
      </c>
      <c r="AQ19" s="40">
        <v>187381696</v>
      </c>
      <c r="AR19" s="40">
        <v>45704944</v>
      </c>
      <c r="AS19" s="40">
        <v>8933768</v>
      </c>
      <c r="AT19" s="40">
        <v>132739488</v>
      </c>
      <c r="AU19" s="41">
        <v>71.281418333333306</v>
      </c>
      <c r="AV19" s="41">
        <v>74.1426083333333</v>
      </c>
      <c r="AW19" s="41">
        <v>38.641860999999999</v>
      </c>
      <c r="AX19" s="41">
        <v>47.9212663333333</v>
      </c>
      <c r="AY19" s="41">
        <v>48.382708666666701</v>
      </c>
      <c r="AZ19" s="42">
        <v>35697.800000000003</v>
      </c>
      <c r="BA19" s="42">
        <v>67348.800000000003</v>
      </c>
      <c r="BB19" s="42">
        <v>104.117</v>
      </c>
      <c r="BC19" s="42">
        <v>285.96300000000002</v>
      </c>
      <c r="BE19" s="43">
        <f t="shared" si="14"/>
        <v>-0.28130194366932804</v>
      </c>
      <c r="BF19" s="43">
        <f t="shared" si="15"/>
        <v>3.0068986967077826E-3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20.794262499999999</v>
      </c>
      <c r="J20" s="28">
        <f t="shared" si="1"/>
        <v>0.41317837642596661</v>
      </c>
      <c r="K20" s="28">
        <f t="shared" si="2"/>
        <v>0.31660680001948482</v>
      </c>
      <c r="L20" s="28">
        <f t="shared" si="3"/>
        <v>0.16982342834411421</v>
      </c>
      <c r="M20" s="28">
        <f t="shared" si="4"/>
        <v>9.6485887782115434E-2</v>
      </c>
      <c r="N20" s="25">
        <f t="shared" si="5"/>
        <v>10197792</v>
      </c>
      <c r="O20" s="28">
        <f t="shared" si="6"/>
        <v>4.1783801596762468E-2</v>
      </c>
      <c r="P20" s="29">
        <v>318504480</v>
      </c>
      <c r="Q20" s="29">
        <v>1274017.92</v>
      </c>
      <c r="R20" s="29">
        <v>344765.88400000002</v>
      </c>
      <c r="S20" s="30">
        <v>13308328</v>
      </c>
      <c r="T20" s="30">
        <v>5469952</v>
      </c>
      <c r="U20" s="30">
        <v>4727840</v>
      </c>
      <c r="V20" s="30">
        <v>3107776</v>
      </c>
      <c r="W20" s="31">
        <v>67.448021199999999</v>
      </c>
      <c r="X20" s="31">
        <v>69.264993599999997</v>
      </c>
      <c r="Y20" s="31">
        <v>30.087693600000001</v>
      </c>
      <c r="Z20" s="31">
        <v>39.836393999999999</v>
      </c>
      <c r="AA20" s="31">
        <v>38.493777199999997</v>
      </c>
      <c r="AB20" s="32">
        <v>62884.1</v>
      </c>
      <c r="AC20" s="32">
        <v>33022.300000000003</v>
      </c>
      <c r="AD20" s="32">
        <v>71.646000000000001</v>
      </c>
      <c r="AE20" s="32">
        <v>170.13800000000001</v>
      </c>
      <c r="AG20" s="27">
        <f t="shared" si="7"/>
        <v>20.080337499999999</v>
      </c>
      <c r="AH20" s="28">
        <f t="shared" si="8"/>
        <v>0.39899281094174188</v>
      </c>
      <c r="AI20" s="28">
        <f t="shared" si="9"/>
        <v>0.30610932260255103</v>
      </c>
      <c r="AJ20" s="28">
        <f t="shared" si="10"/>
        <v>0.16538351573781801</v>
      </c>
      <c r="AK20" s="28">
        <f t="shared" si="11"/>
        <v>9.2795812732230532E-2</v>
      </c>
      <c r="AL20" s="25">
        <f t="shared" si="12"/>
        <v>9859672</v>
      </c>
      <c r="AM20" s="28">
        <f t="shared" si="13"/>
        <v>5.3789510315203737E-2</v>
      </c>
      <c r="AN20" s="29">
        <v>238920487</v>
      </c>
      <c r="AO20" s="29">
        <v>955681.94799999997</v>
      </c>
      <c r="AP20" s="29">
        <v>27999.556</v>
      </c>
      <c r="AQ20" s="30">
        <v>12851416</v>
      </c>
      <c r="AR20" s="30">
        <v>5326944</v>
      </c>
      <c r="AS20" s="30">
        <v>4532728</v>
      </c>
      <c r="AT20" s="30">
        <v>2988920</v>
      </c>
      <c r="AU20" s="31">
        <v>67.400087600000006</v>
      </c>
      <c r="AV20" s="31">
        <v>69.106411199999997</v>
      </c>
      <c r="AW20" s="31">
        <v>30.134926799999999</v>
      </c>
      <c r="AX20" s="31">
        <v>39.8426264</v>
      </c>
      <c r="AY20" s="31">
        <v>38.492930399999999</v>
      </c>
      <c r="AZ20" s="32">
        <v>29413.200000000001</v>
      </c>
      <c r="BA20" s="32">
        <v>31953.7</v>
      </c>
      <c r="BB20" s="32">
        <v>58.008000000000003</v>
      </c>
      <c r="BC20" s="32">
        <v>162.14599999999999</v>
      </c>
      <c r="BE20" s="33">
        <f t="shared" si="14"/>
        <v>-0.24131507134527194</v>
      </c>
      <c r="BF20" s="33">
        <f t="shared" si="15"/>
        <v>9.3364247546467993E-4</v>
      </c>
      <c r="BG20" s="33">
        <f t="array" ref="BG20">AVERAGE(AL20:AL24/AQ20:AQ24) - AVERAGE(N20:N24/S20:S24)</f>
        <v>2.1183105507976974E-3</v>
      </c>
      <c r="BI20" s="34">
        <f>IF( OR(ISBLANK(N20:N24),ISBLANK(AL20:AL24), ISBLANK(W20:W24),ISBLANK(AU20:AU24)), "·", bdRateExtend( N20:N24,W20:W24, AL20:AL24,AU20:AU24))</f>
        <v>-2.5702938706167577E-2</v>
      </c>
      <c r="BJ20" s="34">
        <f>IF( OR(ISBLANK(N20:N24),ISBLANK(AL20:AL24), ISBLANK(X20:X24),ISBLANK(AV20:AV24)), "·", bdRateExtend( N20:N24,X20:X24, AL20:AL24,AV20:AV24))</f>
        <v>5.8877825735115241E-3</v>
      </c>
      <c r="BK20" s="34">
        <f>IF( OR(ISBLANK(V20:V24),ISBLANK(AT20:AT24), ISBLANK(Y20:Y24),ISBLANK(AW20:AW24)), "·", bdRateExtend( V20:V24,Y20:Y24, AT20:AT24,AW20:AW24))</f>
        <v>-5.5385074498940812E-2</v>
      </c>
      <c r="BL20" s="34">
        <f>IF( OR(ISBLANK(V20:V24),ISBLANK(AT20:AT24), ISBLANK(Z20:Z24),ISBLANK(AX20:AX24)), "·", bdRateExtend( V20:V24,Z20:Z24, AT20:AT24,AX20:AX24))</f>
        <v>-4.7293898246196231E-2</v>
      </c>
      <c r="BM20" s="34">
        <f>IF( OR(ISBLANK(V20:V24),ISBLANK(AT20:AT24), ISBLANK(AA20:AA24),ISBLANK(AY20:AY24)), "·", bdRateExtend( V20:V24,AA20:AA24, AT20:AT24,AY20:AY24))</f>
        <v>-4.2800485599523652E-2</v>
      </c>
      <c r="BO20" s="34">
        <f>IF( OR(ISBLANK(S20:S24),ISBLANK(AQ20:AQ24), ISBLANK(W20:W24),ISBLANK(AU20:AU24)), "·", bdRateExtend( S20:S24,W20:W24, AQ20:AQ24,AU20:AU24))</f>
        <v>-2.7082770359892927E-2</v>
      </c>
      <c r="BP20" s="34">
        <f>IF( OR(ISBLANK(S20:S24),ISBLANK(AQ20:AQ24), ISBLANK(X20:X24),ISBLANK(AV20:AV24)), "·", bdRateExtend( S20:S24,X20:X24, AQ20:AQ24,AV20:AV24))</f>
        <v>3.4613181789453717E-2</v>
      </c>
      <c r="BQ20" s="34">
        <f>IF( OR(ISBLANK(S20:S24),ISBLANK(AQ20:AQ24), ISBLANK(Y20:Y24),ISBLANK(AW20:AW24)), "·", bdRateExtend( S20:S24,Y20:Y24, AQ20:AQ24,AW20:AW24))</f>
        <v>-4.414125893573928E-2</v>
      </c>
      <c r="BR20" s="34">
        <f>IF( OR(ISBLANK(S20:S24),ISBLANK(AQ20:AQ24), ISBLANK(Z20:Z24),ISBLANK(AX20:AX24)), "·", bdRateExtend( S20:S24,Z20:Z24, AQ20:AQ24,AX20:AX24))</f>
        <v>-4.0092773988904207E-2</v>
      </c>
      <c r="BS20" s="34">
        <f>IF( OR(ISBLANK(S20:S24),ISBLANK(AQ20:AQ24), ISBLANK(AA20:AA24),ISBLANK(AY20:AY24)), "·", bdRateExtend( S20:S24,AA20:AA24, AQ20:AQ24,AY20:AY24))</f>
        <v>-3.5217214428755028E-2</v>
      </c>
    </row>
    <row r="21" spans="1:71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28.159400000000002</v>
      </c>
      <c r="J21" s="18">
        <f t="shared" si="1"/>
        <v>0.55952237657523862</v>
      </c>
      <c r="K21" s="18">
        <f t="shared" si="2"/>
        <v>0.36938229958028407</v>
      </c>
      <c r="L21" s="18">
        <f t="shared" si="3"/>
        <v>0.22259892790491345</v>
      </c>
      <c r="M21" s="18">
        <f t="shared" si="4"/>
        <v>0.19005438837058827</v>
      </c>
      <c r="N21" s="15">
        <f t="shared" si="5"/>
        <v>11897672</v>
      </c>
      <c r="O21" s="18">
        <f t="shared" si="6"/>
        <v>5.6583241780460987E-2</v>
      </c>
      <c r="P21" s="19">
        <v>318504480</v>
      </c>
      <c r="Q21" s="19">
        <v>1274017.92</v>
      </c>
      <c r="R21" s="19">
        <v>321565.35600000003</v>
      </c>
      <c r="S21" s="20">
        <v>18022016</v>
      </c>
      <c r="T21" s="20">
        <v>7169832</v>
      </c>
      <c r="U21" s="20">
        <v>4727840</v>
      </c>
      <c r="V21" s="20">
        <v>6121584</v>
      </c>
      <c r="W21" s="21">
        <v>69.006551200000104</v>
      </c>
      <c r="X21" s="21">
        <v>71.271814800000001</v>
      </c>
      <c r="Y21" s="21">
        <v>31.667412800000001</v>
      </c>
      <c r="Z21" s="21">
        <v>41.127739200000001</v>
      </c>
      <c r="AA21" s="21">
        <v>39.896447600000002</v>
      </c>
      <c r="AB21" s="22">
        <v>62929.3</v>
      </c>
      <c r="AC21" s="22">
        <v>35516.400000000001</v>
      </c>
      <c r="AD21" s="22">
        <v>71.706999999999994</v>
      </c>
      <c r="AE21" s="22">
        <v>174.12</v>
      </c>
      <c r="AG21" s="17">
        <f t="shared" si="7"/>
        <v>27.283750000000001</v>
      </c>
      <c r="AH21" s="18">
        <f t="shared" si="8"/>
        <v>0.5421233634908651</v>
      </c>
      <c r="AI21" s="18">
        <f t="shared" si="9"/>
        <v>0.35878671489777147</v>
      </c>
      <c r="AJ21" s="18">
        <f t="shared" si="10"/>
        <v>0.21806090803303843</v>
      </c>
      <c r="AK21" s="18">
        <f t="shared" si="11"/>
        <v>0.18324897298613338</v>
      </c>
      <c r="AL21" s="15">
        <f t="shared" si="12"/>
        <v>11556392</v>
      </c>
      <c r="AM21" s="18">
        <f t="shared" si="13"/>
        <v>7.0835457357201523E-2</v>
      </c>
      <c r="AN21" s="19">
        <v>246509314</v>
      </c>
      <c r="AO21" s="19">
        <v>986037.25600000005</v>
      </c>
      <c r="AP21" s="19">
        <v>32377.848000000002</v>
      </c>
      <c r="AQ21" s="20">
        <v>17461600</v>
      </c>
      <c r="AR21" s="20">
        <v>7023664</v>
      </c>
      <c r="AS21" s="20">
        <v>4532728</v>
      </c>
      <c r="AT21" s="20">
        <v>5902384</v>
      </c>
      <c r="AU21" s="21">
        <v>68.981264400000001</v>
      </c>
      <c r="AV21" s="21">
        <v>71.105794000000003</v>
      </c>
      <c r="AW21" s="21">
        <v>31.7172968</v>
      </c>
      <c r="AX21" s="21">
        <v>41.122763999999997</v>
      </c>
      <c r="AY21" s="21">
        <v>39.930418000000003</v>
      </c>
      <c r="AZ21" s="22">
        <v>29531.599999999999</v>
      </c>
      <c r="BA21" s="22">
        <v>34386.400000000001</v>
      </c>
      <c r="BB21" s="22">
        <v>63.776000000000003</v>
      </c>
      <c r="BC21" s="22">
        <v>171.52500000000001</v>
      </c>
      <c r="BE21" s="23">
        <f t="shared" si="14"/>
        <v>-0.21956620431864565</v>
      </c>
      <c r="BF21" s="23">
        <f t="shared" si="15"/>
        <v>1.643162528590425E-3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44.5508375</v>
      </c>
      <c r="J22" s="28">
        <f t="shared" si="1"/>
        <v>0.88521738660686178</v>
      </c>
      <c r="K22" s="28">
        <f t="shared" si="2"/>
        <v>0.44057315382228857</v>
      </c>
      <c r="L22" s="28">
        <f t="shared" si="3"/>
        <v>0.29378978214691792</v>
      </c>
      <c r="M22" s="28">
        <f t="shared" si="4"/>
        <v>0.4445585441602069</v>
      </c>
      <c r="N22" s="25">
        <f t="shared" si="5"/>
        <v>14190704</v>
      </c>
      <c r="O22" s="28">
        <f t="shared" si="6"/>
        <v>8.9520046939371156E-2</v>
      </c>
      <c r="P22" s="29">
        <v>318504480</v>
      </c>
      <c r="Q22" s="29">
        <v>1274017.92</v>
      </c>
      <c r="R22" s="29">
        <v>293792.68</v>
      </c>
      <c r="S22" s="30">
        <v>28512536</v>
      </c>
      <c r="T22" s="30">
        <v>9462864</v>
      </c>
      <c r="U22" s="30">
        <v>4727840</v>
      </c>
      <c r="V22" s="30">
        <v>14319072</v>
      </c>
      <c r="W22" s="31">
        <v>70.173205199999998</v>
      </c>
      <c r="X22" s="31">
        <v>72.803414399999994</v>
      </c>
      <c r="Y22" s="31">
        <v>33.702074400000001</v>
      </c>
      <c r="Z22" s="31">
        <v>42.313513200000003</v>
      </c>
      <c r="AA22" s="31">
        <v>41.239399599999999</v>
      </c>
      <c r="AB22" s="32">
        <v>62737.8</v>
      </c>
      <c r="AC22" s="32">
        <v>37721</v>
      </c>
      <c r="AD22" s="32">
        <v>72.361999999999995</v>
      </c>
      <c r="AE22" s="32">
        <v>180.09200000000001</v>
      </c>
      <c r="AG22" s="27">
        <f t="shared" si="7"/>
        <v>43.160587499999998</v>
      </c>
      <c r="AH22" s="28">
        <f t="shared" si="8"/>
        <v>0.85759336109375695</v>
      </c>
      <c r="AI22" s="28">
        <f t="shared" si="9"/>
        <v>0.42800846938912052</v>
      </c>
      <c r="AJ22" s="28">
        <f t="shared" si="10"/>
        <v>0.2872826625243875</v>
      </c>
      <c r="AK22" s="28">
        <f t="shared" si="11"/>
        <v>0.4294972160976761</v>
      </c>
      <c r="AL22" s="25">
        <f t="shared" si="12"/>
        <v>13786000</v>
      </c>
      <c r="AM22" s="28">
        <f t="shared" si="13"/>
        <v>0.10881385678710299</v>
      </c>
      <c r="AN22" s="29">
        <v>253853478</v>
      </c>
      <c r="AO22" s="29">
        <v>1015413.912</v>
      </c>
      <c r="AP22" s="29">
        <v>34496.008000000002</v>
      </c>
      <c r="AQ22" s="30">
        <v>27622776</v>
      </c>
      <c r="AR22" s="30">
        <v>9253272</v>
      </c>
      <c r="AS22" s="30">
        <v>4532728</v>
      </c>
      <c r="AT22" s="30">
        <v>13833952</v>
      </c>
      <c r="AU22" s="31">
        <v>70.163079999999994</v>
      </c>
      <c r="AV22" s="31">
        <v>72.622013199999998</v>
      </c>
      <c r="AW22" s="31">
        <v>33.761273199999998</v>
      </c>
      <c r="AX22" s="31">
        <v>42.359781599999998</v>
      </c>
      <c r="AY22" s="31">
        <v>41.255712000000003</v>
      </c>
      <c r="AZ22" s="32">
        <v>29332.5</v>
      </c>
      <c r="BA22" s="32">
        <v>36420.400000000001</v>
      </c>
      <c r="BB22" s="32">
        <v>58.197000000000003</v>
      </c>
      <c r="BC22" s="32">
        <v>165.56399999999999</v>
      </c>
      <c r="BE22" s="33">
        <f t="shared" si="14"/>
        <v>-0.19663089454802851</v>
      </c>
      <c r="BF22" s="33">
        <f t="shared" si="15"/>
        <v>1.3803831617507645E-3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80.627412500000005</v>
      </c>
      <c r="J23" s="18">
        <f t="shared" si="1"/>
        <v>1.6020526523687333</v>
      </c>
      <c r="K23" s="18">
        <f t="shared" si="2"/>
        <v>0.60872751678744152</v>
      </c>
      <c r="L23" s="18">
        <f t="shared" si="3"/>
        <v>0.46194414511207094</v>
      </c>
      <c r="M23" s="18">
        <f t="shared" si="4"/>
        <v>0.99323944695692534</v>
      </c>
      <c r="N23" s="15">
        <f t="shared" si="5"/>
        <v>19606896</v>
      </c>
      <c r="O23" s="18">
        <f t="shared" si="6"/>
        <v>0.16201198802603969</v>
      </c>
      <c r="P23" s="19">
        <v>318504480</v>
      </c>
      <c r="Q23" s="19">
        <v>1274017.92</v>
      </c>
      <c r="R23" s="19">
        <v>286069.64799999999</v>
      </c>
      <c r="S23" s="20">
        <v>51601544</v>
      </c>
      <c r="T23" s="20">
        <v>14879056</v>
      </c>
      <c r="U23" s="20">
        <v>4727840</v>
      </c>
      <c r="V23" s="20">
        <v>31991888</v>
      </c>
      <c r="W23" s="21">
        <v>71.097484800000004</v>
      </c>
      <c r="X23" s="21">
        <v>74.052414799999994</v>
      </c>
      <c r="Y23" s="21">
        <v>35.666431600000003</v>
      </c>
      <c r="Z23" s="21">
        <v>43.499660400000003</v>
      </c>
      <c r="AA23" s="21">
        <v>42.422467599999997</v>
      </c>
      <c r="AB23" s="22">
        <v>62983.8</v>
      </c>
      <c r="AC23" s="22">
        <v>41083.4</v>
      </c>
      <c r="AD23" s="22">
        <v>74.25</v>
      </c>
      <c r="AE23" s="22">
        <v>189.13499999999999</v>
      </c>
      <c r="AG23" s="17">
        <f t="shared" si="7"/>
        <v>78.118737499999995</v>
      </c>
      <c r="AH23" s="18">
        <f t="shared" si="8"/>
        <v>1.5522057167786678</v>
      </c>
      <c r="AI23" s="18">
        <f t="shared" si="9"/>
        <v>0.5942247792066494</v>
      </c>
      <c r="AJ23" s="18">
        <f t="shared" si="10"/>
        <v>0.45349897234191638</v>
      </c>
      <c r="AK23" s="18">
        <f t="shared" si="11"/>
        <v>0.95789326196505808</v>
      </c>
      <c r="AL23" s="15">
        <f t="shared" si="12"/>
        <v>19139768</v>
      </c>
      <c r="AM23" s="18">
        <f t="shared" si="13"/>
        <v>0.19530588732807963</v>
      </c>
      <c r="AN23" s="19">
        <v>255988146</v>
      </c>
      <c r="AO23" s="19">
        <v>1023952.584</v>
      </c>
      <c r="AP23" s="19">
        <v>36682.044000000002</v>
      </c>
      <c r="AQ23" s="20">
        <v>49995992</v>
      </c>
      <c r="AR23" s="20">
        <v>14607040</v>
      </c>
      <c r="AS23" s="20">
        <v>4532728</v>
      </c>
      <c r="AT23" s="20">
        <v>30853400</v>
      </c>
      <c r="AU23" s="21">
        <v>71.095613200000003</v>
      </c>
      <c r="AV23" s="21">
        <v>73.847201200000001</v>
      </c>
      <c r="AW23" s="21">
        <v>35.7175212</v>
      </c>
      <c r="AX23" s="21">
        <v>43.518013199999999</v>
      </c>
      <c r="AY23" s="21">
        <v>42.411285599999999</v>
      </c>
      <c r="AZ23" s="22">
        <v>28457.1</v>
      </c>
      <c r="BA23" s="22">
        <v>38186.300000000003</v>
      </c>
      <c r="BB23" s="22">
        <v>57.734999999999999</v>
      </c>
      <c r="BC23" s="22">
        <v>167.66300000000001</v>
      </c>
      <c r="BE23" s="23">
        <f t="shared" si="14"/>
        <v>-0.18871733888360354</v>
      </c>
      <c r="BF23" s="23">
        <f t="shared" si="15"/>
        <v>2.8588122470198929E-3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outlineLevel="1" x14ac:dyDescent="0.3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157.20179999999999</v>
      </c>
      <c r="J24" s="48">
        <f t="shared" si="1"/>
        <v>3.1235724034569401</v>
      </c>
      <c r="K24" s="48">
        <f t="shared" si="2"/>
        <v>0.89137678427544198</v>
      </c>
      <c r="L24" s="48">
        <f t="shared" si="3"/>
        <v>0.74459341260007139</v>
      </c>
      <c r="M24" s="48">
        <f t="shared" si="4"/>
        <v>2.2321099305571317</v>
      </c>
      <c r="N24" s="45">
        <f t="shared" si="5"/>
        <v>28710928</v>
      </c>
      <c r="O24" s="48">
        <f t="shared" si="6"/>
        <v>0.31587986454696021</v>
      </c>
      <c r="P24" s="49">
        <v>318504480</v>
      </c>
      <c r="Q24" s="49">
        <v>1274017.92</v>
      </c>
      <c r="R24" s="49">
        <v>276834.63199999998</v>
      </c>
      <c r="S24" s="50">
        <v>100609152</v>
      </c>
      <c r="T24" s="50">
        <v>23983088</v>
      </c>
      <c r="U24" s="50">
        <v>4727840</v>
      </c>
      <c r="V24" s="50">
        <v>71895464</v>
      </c>
      <c r="W24" s="51">
        <v>71.796700400000006</v>
      </c>
      <c r="X24" s="51">
        <v>75.014023600000002</v>
      </c>
      <c r="Y24" s="51">
        <v>37.525110400000003</v>
      </c>
      <c r="Z24" s="51">
        <v>44.8555128</v>
      </c>
      <c r="AA24" s="51">
        <v>43.672416400000003</v>
      </c>
      <c r="AB24" s="52">
        <v>62987.9</v>
      </c>
      <c r="AC24" s="52">
        <v>45340.2</v>
      </c>
      <c r="AD24" s="52">
        <v>72.599000000000004</v>
      </c>
      <c r="AE24" s="52">
        <v>196.28899999999999</v>
      </c>
      <c r="AG24" s="47">
        <f t="shared" si="7"/>
        <v>151.33133749999999</v>
      </c>
      <c r="AH24" s="48">
        <f t="shared" si="8"/>
        <v>3.0069273353945589</v>
      </c>
      <c r="AI24" s="48">
        <f t="shared" si="9"/>
        <v>0.8694424834202602</v>
      </c>
      <c r="AJ24" s="48">
        <f t="shared" si="10"/>
        <v>0.72871667655552719</v>
      </c>
      <c r="AK24" s="48">
        <f t="shared" si="11"/>
        <v>2.1373971763673381</v>
      </c>
      <c r="AL24" s="45">
        <f t="shared" si="12"/>
        <v>28004432</v>
      </c>
      <c r="AM24" s="48">
        <f t="shared" si="13"/>
        <v>0.37444495754321194</v>
      </c>
      <c r="AN24" s="49">
        <v>258654988</v>
      </c>
      <c r="AO24" s="49">
        <v>1034619.952</v>
      </c>
      <c r="AP24" s="49">
        <v>37693.72</v>
      </c>
      <c r="AQ24" s="50">
        <v>96852056</v>
      </c>
      <c r="AR24" s="50">
        <v>23471704</v>
      </c>
      <c r="AS24" s="50">
        <v>4532728</v>
      </c>
      <c r="AT24" s="50">
        <v>68844800</v>
      </c>
      <c r="AU24" s="51">
        <v>71.796313999999896</v>
      </c>
      <c r="AV24" s="51">
        <v>74.786179599999997</v>
      </c>
      <c r="AW24" s="51">
        <v>37.529609999999998</v>
      </c>
      <c r="AX24" s="51">
        <v>44.887087200000003</v>
      </c>
      <c r="AY24" s="51">
        <v>43.6820904</v>
      </c>
      <c r="AZ24" s="52">
        <v>29223.5</v>
      </c>
      <c r="BA24" s="52">
        <v>43289.2</v>
      </c>
      <c r="BB24" s="52">
        <v>60.097000000000001</v>
      </c>
      <c r="BC24" s="52">
        <v>187.251</v>
      </c>
      <c r="BE24" s="53">
        <f t="shared" si="14"/>
        <v>-0.18086014210238396</v>
      </c>
      <c r="BF24" s="53">
        <f t="shared" si="15"/>
        <v>3.7755523411632796E-3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23.059237499999998</v>
      </c>
      <c r="J25" s="18">
        <f t="shared" si="1"/>
        <v>0.97171790214506659</v>
      </c>
      <c r="K25" s="18">
        <f t="shared" si="2"/>
        <v>0.60000265482446391</v>
      </c>
      <c r="L25" s="18">
        <f t="shared" si="3"/>
        <v>0.34253461780483313</v>
      </c>
      <c r="M25" s="18">
        <f t="shared" si="4"/>
        <v>0.3715802937436849</v>
      </c>
      <c r="N25" s="15">
        <f t="shared" si="5"/>
        <v>15187512</v>
      </c>
      <c r="O25" s="18">
        <f t="shared" si="6"/>
        <v>6.5673279894135503E-2</v>
      </c>
      <c r="P25" s="19">
        <v>374528576</v>
      </c>
      <c r="Q25" s="19">
        <v>1248428.5866666699</v>
      </c>
      <c r="R25" s="19">
        <v>495214.63</v>
      </c>
      <c r="S25" s="20">
        <v>24596520</v>
      </c>
      <c r="T25" s="20">
        <v>8670376</v>
      </c>
      <c r="U25" s="20">
        <v>6517136</v>
      </c>
      <c r="V25" s="20">
        <v>9405592</v>
      </c>
      <c r="W25" s="21">
        <v>66.402664666666695</v>
      </c>
      <c r="X25" s="21">
        <v>68.356072999999995</v>
      </c>
      <c r="Y25" s="21">
        <v>25.685766999999998</v>
      </c>
      <c r="Z25" s="21">
        <v>32.168651666666598</v>
      </c>
      <c r="AA25" s="21">
        <v>31.354265666666699</v>
      </c>
      <c r="AB25" s="22">
        <v>62731.8</v>
      </c>
      <c r="AC25" s="22">
        <v>51814.2</v>
      </c>
      <c r="AD25" s="22">
        <v>84.093000000000004</v>
      </c>
      <c r="AE25" s="22">
        <v>239.09</v>
      </c>
      <c r="AG25" s="17">
        <f t="shared" si="7"/>
        <v>23.030752499999998</v>
      </c>
      <c r="AH25" s="18">
        <f t="shared" si="8"/>
        <v>0.97051754222672137</v>
      </c>
      <c r="AI25" s="18">
        <f t="shared" si="9"/>
        <v>0.60040719950468557</v>
      </c>
      <c r="AJ25" s="18">
        <f t="shared" si="10"/>
        <v>0.34246982744589138</v>
      </c>
      <c r="AK25" s="18">
        <f t="shared" si="11"/>
        <v>0.36997222863980384</v>
      </c>
      <c r="AL25" s="15">
        <f t="shared" si="12"/>
        <v>15197752</v>
      </c>
      <c r="AM25" s="18">
        <f t="shared" si="13"/>
        <v>0.10578949371536975</v>
      </c>
      <c r="AN25" s="19">
        <v>232217162</v>
      </c>
      <c r="AO25" s="19">
        <v>774057.20666666701</v>
      </c>
      <c r="AP25" s="19">
        <v>19433.023333333302</v>
      </c>
      <c r="AQ25" s="20">
        <v>24566136</v>
      </c>
      <c r="AR25" s="20">
        <v>8668736</v>
      </c>
      <c r="AS25" s="20">
        <v>6529016</v>
      </c>
      <c r="AT25" s="20">
        <v>9364888</v>
      </c>
      <c r="AU25" s="21">
        <v>66.383849666666706</v>
      </c>
      <c r="AV25" s="21">
        <v>68.130614666666702</v>
      </c>
      <c r="AW25" s="21">
        <v>25.701177333333298</v>
      </c>
      <c r="AX25" s="21">
        <v>32.183845333333302</v>
      </c>
      <c r="AY25" s="21">
        <v>31.359673000000001</v>
      </c>
      <c r="AZ25" s="22">
        <v>27912.9</v>
      </c>
      <c r="BA25" s="22">
        <v>49722.2</v>
      </c>
      <c r="BB25" s="22">
        <v>63.637</v>
      </c>
      <c r="BC25" s="22">
        <v>232.74600000000001</v>
      </c>
      <c r="BE25" s="23">
        <f t="shared" si="14"/>
        <v>-0.37156496075018169</v>
      </c>
      <c r="BF25" s="23">
        <f t="shared" si="15"/>
        <v>1.1805309334174119E-3</v>
      </c>
      <c r="BG25" s="23">
        <f t="array" ref="BG25">AVERAGE(AL25:AL29/AQ25:AQ29) - AVERAGE(N25:N29/S25:S29)</f>
        <v>2.2083627134619199E-3</v>
      </c>
      <c r="BI25" s="24">
        <f>IF( OR(ISBLANK(N25:N29),ISBLANK(AL25:AL29), ISBLANK(W25:W29),ISBLANK(AU25:AU29)), "·", bdRateExtend( N25:N29,W25:W29, AL25:AL29,AU25:AU29))</f>
        <v>6.4540401892576593E-3</v>
      </c>
      <c r="BJ25" s="24">
        <f>IF( OR(ISBLANK(N25:N29),ISBLANK(AL25:AL29), ISBLANK(X25:X29),ISBLANK(AV25:AV29)), "·", bdRateExtend( N25:N29,X25:X29, AL25:AL29,AV25:AV29))</f>
        <v>5.3043832773114863E-2</v>
      </c>
      <c r="BK25" s="24">
        <f>IF( OR(ISBLANK(V25:V29),ISBLANK(AT25:AT29), ISBLANK(Y25:Y29),ISBLANK(AW25:AW29)), "·", bdRateExtend( V25:V29,Y25:Y29, AT25:AT29,AW25:AW29))</f>
        <v>-4.0007662121367416E-3</v>
      </c>
      <c r="BL25" s="24">
        <f>IF( OR(ISBLANK(V25:V29),ISBLANK(AT25:AT29), ISBLANK(Z25:Z29),ISBLANK(AX25:AX29)), "·", bdRateExtend( V25:V29,Z25:Z29, AT25:AT29,AX25:AX29))</f>
        <v>-1.3808071808815825E-2</v>
      </c>
      <c r="BM25" s="24">
        <f>IF( OR(ISBLANK(V25:V29),ISBLANK(AT25:AT29), ISBLANK(AA25:AA29),ISBLANK(AY25:AY29)), "·", bdRateExtend( V25:V29,AA25:AA29, AT25:AT29,AY25:AY29))</f>
        <v>-1.171506350234286E-2</v>
      </c>
      <c r="BO25" s="24">
        <f>IF( OR(ISBLANK(S25:S29),ISBLANK(AQ25:AQ29), ISBLANK(W25:W29),ISBLANK(AU25:AU29)), "·", bdRateExtend( S25:S29,W25:W29, AQ25:AQ29,AU25:AU29))</f>
        <v>6.4574098231739985E-3</v>
      </c>
      <c r="BP25" s="24">
        <f>IF( OR(ISBLANK(S25:S29),ISBLANK(AQ25:AQ29), ISBLANK(X25:X29),ISBLANK(AV25:AV29)), "·", bdRateExtend( S25:S29,X25:X29, AQ25:AQ29,AV25:AV29))</f>
        <v>0.11625456634269726</v>
      </c>
      <c r="BQ25" s="24">
        <f>IF( OR(ISBLANK(S25:S29),ISBLANK(AQ25:AQ29), ISBLANK(Y25:Y29),ISBLANK(AW25:AW29)), "·", bdRateExtend( S25:S29,Y25:Y29, AQ25:AQ29,AW25:AW29))</f>
        <v>-4.0468551313188605E-4</v>
      </c>
      <c r="BR25" s="24">
        <f>IF( OR(ISBLANK(S25:S29),ISBLANK(AQ25:AQ29), ISBLANK(Z25:Z29),ISBLANK(AX25:AX29)), "·", bdRateExtend( S25:S29,Z25:Z29, AQ25:AQ29,AX25:AX29))</f>
        <v>-9.3751091747971138E-3</v>
      </c>
      <c r="BS25" s="24">
        <f>IF( OR(ISBLANK(S25:S29),ISBLANK(AQ25:AQ29), ISBLANK(AA25:AA29),ISBLANK(AY25:AY29)), "·", bdRateExtend( S25:S29,AA25:AA29, AQ25:AQ29,AY25:AY29))</f>
        <v>-7.875173545270453E-3</v>
      </c>
    </row>
    <row r="26" spans="1:71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35.798025000000003</v>
      </c>
      <c r="J26" s="28">
        <f t="shared" si="1"/>
        <v>1.5085313100199713</v>
      </c>
      <c r="K26" s="28">
        <f t="shared" si="2"/>
        <v>0.73103088414188011</v>
      </c>
      <c r="L26" s="28">
        <f t="shared" si="3"/>
        <v>0.47356284712224928</v>
      </c>
      <c r="M26" s="28">
        <f t="shared" si="4"/>
        <v>0.77736547230117337</v>
      </c>
      <c r="N26" s="25">
        <f t="shared" si="5"/>
        <v>18504152</v>
      </c>
      <c r="O26" s="28">
        <f t="shared" si="6"/>
        <v>0.10195366240892657</v>
      </c>
      <c r="P26" s="29">
        <v>374528576</v>
      </c>
      <c r="Q26" s="29">
        <v>1248428.5866666699</v>
      </c>
      <c r="R26" s="29">
        <v>447159.94333333301</v>
      </c>
      <c r="S26" s="30">
        <v>38184560</v>
      </c>
      <c r="T26" s="30">
        <v>11987016</v>
      </c>
      <c r="U26" s="30">
        <v>6517136</v>
      </c>
      <c r="V26" s="30">
        <v>19676992</v>
      </c>
      <c r="W26" s="31">
        <v>68.148266666666601</v>
      </c>
      <c r="X26" s="31">
        <v>70.349516333333298</v>
      </c>
      <c r="Y26" s="31">
        <v>27.76811</v>
      </c>
      <c r="Z26" s="31">
        <v>33.502687000000002</v>
      </c>
      <c r="AA26" s="31">
        <v>32.9116036666667</v>
      </c>
      <c r="AB26" s="32">
        <v>63042.5</v>
      </c>
      <c r="AC26" s="32">
        <v>56279.8</v>
      </c>
      <c r="AD26" s="32">
        <v>80.426000000000002</v>
      </c>
      <c r="AE26" s="32">
        <v>234.08</v>
      </c>
      <c r="AG26" s="27">
        <f t="shared" si="7"/>
        <v>35.703517499999997</v>
      </c>
      <c r="AH26" s="28">
        <f t="shared" si="8"/>
        <v>1.5045487572735079</v>
      </c>
      <c r="AI26" s="28">
        <f t="shared" si="9"/>
        <v>0.73194995908725868</v>
      </c>
      <c r="AJ26" s="28">
        <f t="shared" si="10"/>
        <v>0.47401258702846444</v>
      </c>
      <c r="AK26" s="28">
        <f t="shared" si="11"/>
        <v>0.77246068410401725</v>
      </c>
      <c r="AL26" s="25">
        <f t="shared" si="12"/>
        <v>18527416</v>
      </c>
      <c r="AM26" s="28">
        <f t="shared" si="13"/>
        <v>0.15342464702674441</v>
      </c>
      <c r="AN26" s="29">
        <v>248224472</v>
      </c>
      <c r="AO26" s="29">
        <v>827414.90666666697</v>
      </c>
      <c r="AP26" s="29">
        <v>24464.813333333299</v>
      </c>
      <c r="AQ26" s="30">
        <v>38083752</v>
      </c>
      <c r="AR26" s="30">
        <v>11998400</v>
      </c>
      <c r="AS26" s="30">
        <v>6529016</v>
      </c>
      <c r="AT26" s="30">
        <v>19552840</v>
      </c>
      <c r="AU26" s="31">
        <v>68.123515333333302</v>
      </c>
      <c r="AV26" s="31">
        <v>70.111557666666698</v>
      </c>
      <c r="AW26" s="31">
        <v>27.783978333333302</v>
      </c>
      <c r="AX26" s="31">
        <v>33.515101666666702</v>
      </c>
      <c r="AY26" s="31">
        <v>32.914649333333301</v>
      </c>
      <c r="AZ26" s="32">
        <v>27956.400000000001</v>
      </c>
      <c r="BA26" s="32">
        <v>53492.4</v>
      </c>
      <c r="BB26" s="32">
        <v>64.748999999999995</v>
      </c>
      <c r="BC26" s="32">
        <v>228.66</v>
      </c>
      <c r="BE26" s="33">
        <f t="shared" si="14"/>
        <v>-0.32861046189425352</v>
      </c>
      <c r="BF26" s="33">
        <f t="shared" si="15"/>
        <v>1.8935983605199436E-3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61.644314999999999</v>
      </c>
      <c r="J27" s="18">
        <f t="shared" si="1"/>
        <v>2.5976958019956062</v>
      </c>
      <c r="K27" s="18">
        <f t="shared" si="2"/>
        <v>0.92199114363200851</v>
      </c>
      <c r="L27" s="18">
        <f t="shared" si="3"/>
        <v>0.66452310661237757</v>
      </c>
      <c r="M27" s="18">
        <f t="shared" si="4"/>
        <v>1.6755697047866802</v>
      </c>
      <c r="N27" s="15">
        <f t="shared" si="5"/>
        <v>23337816</v>
      </c>
      <c r="O27" s="18">
        <f t="shared" si="6"/>
        <v>0.17556453689664525</v>
      </c>
      <c r="P27" s="19">
        <v>374528576</v>
      </c>
      <c r="Q27" s="19">
        <v>1248428.5866666699</v>
      </c>
      <c r="R27" s="19">
        <v>440635.56</v>
      </c>
      <c r="S27" s="20">
        <v>65753936</v>
      </c>
      <c r="T27" s="20">
        <v>16820680</v>
      </c>
      <c r="U27" s="20">
        <v>6517136</v>
      </c>
      <c r="V27" s="20">
        <v>42412704</v>
      </c>
      <c r="W27" s="21">
        <v>69.488141666666607</v>
      </c>
      <c r="X27" s="21">
        <v>72.124470666666596</v>
      </c>
      <c r="Y27" s="21">
        <v>30.148392999999999</v>
      </c>
      <c r="Z27" s="21">
        <v>34.775496333333301</v>
      </c>
      <c r="AA27" s="21">
        <v>34.286199000000003</v>
      </c>
      <c r="AB27" s="22">
        <v>62669</v>
      </c>
      <c r="AC27" s="22">
        <v>59738.2</v>
      </c>
      <c r="AD27" s="22">
        <v>80.867000000000004</v>
      </c>
      <c r="AE27" s="22">
        <v>239.89500000000001</v>
      </c>
      <c r="AG27" s="17">
        <f t="shared" si="7"/>
        <v>61.296495</v>
      </c>
      <c r="AH27" s="18">
        <f t="shared" si="8"/>
        <v>2.5830386425503256</v>
      </c>
      <c r="AI27" s="18">
        <f t="shared" si="9"/>
        <v>0.92346141070418908</v>
      </c>
      <c r="AJ27" s="18">
        <f t="shared" si="10"/>
        <v>0.66552403864539478</v>
      </c>
      <c r="AK27" s="18">
        <f t="shared" si="11"/>
        <v>1.6594391177639045</v>
      </c>
      <c r="AL27" s="15">
        <f t="shared" si="12"/>
        <v>23375032</v>
      </c>
      <c r="AM27" s="18">
        <f t="shared" si="13"/>
        <v>0.26107574321447591</v>
      </c>
      <c r="AN27" s="19">
        <v>250436625</v>
      </c>
      <c r="AO27" s="19">
        <v>834788.75</v>
      </c>
      <c r="AP27" s="19">
        <v>25739.553333333301</v>
      </c>
      <c r="AQ27" s="20">
        <v>65382928</v>
      </c>
      <c r="AR27" s="20">
        <v>16846016</v>
      </c>
      <c r="AS27" s="20">
        <v>6529016</v>
      </c>
      <c r="AT27" s="20">
        <v>42004400</v>
      </c>
      <c r="AU27" s="21">
        <v>69.472492000000003</v>
      </c>
      <c r="AV27" s="21">
        <v>71.837619000000004</v>
      </c>
      <c r="AW27" s="21">
        <v>30.154952333333298</v>
      </c>
      <c r="AX27" s="21">
        <v>34.772678999999997</v>
      </c>
      <c r="AY27" s="21">
        <v>34.286875333333299</v>
      </c>
      <c r="AZ27" s="22">
        <v>27880.5</v>
      </c>
      <c r="BA27" s="22">
        <v>57438.6</v>
      </c>
      <c r="BB27" s="22">
        <v>61.892000000000003</v>
      </c>
      <c r="BC27" s="22">
        <v>225.482</v>
      </c>
      <c r="BE27" s="23">
        <f t="shared" si="14"/>
        <v>-0.32211854188315781</v>
      </c>
      <c r="BF27" s="23">
        <f t="shared" si="15"/>
        <v>2.5831908313023733E-3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124.65712499999999</v>
      </c>
      <c r="J28" s="28">
        <f t="shared" si="1"/>
        <v>5.253060080257872</v>
      </c>
      <c r="K28" s="28">
        <f t="shared" si="2"/>
        <v>1.2493426939072727</v>
      </c>
      <c r="L28" s="28">
        <f t="shared" si="3"/>
        <v>0.99187465688764187</v>
      </c>
      <c r="M28" s="28">
        <f t="shared" si="4"/>
        <v>4.0035824327736815</v>
      </c>
      <c r="N28" s="25">
        <f t="shared" si="5"/>
        <v>31623872</v>
      </c>
      <c r="O28" s="28">
        <f t="shared" si="6"/>
        <v>0.35502658146971405</v>
      </c>
      <c r="P28" s="29">
        <v>374528576</v>
      </c>
      <c r="Q28" s="29">
        <v>1248428.5866666699</v>
      </c>
      <c r="R28" s="29">
        <v>410740.44666666701</v>
      </c>
      <c r="S28" s="30">
        <v>132967600</v>
      </c>
      <c r="T28" s="30">
        <v>25106736</v>
      </c>
      <c r="U28" s="30">
        <v>6517136</v>
      </c>
      <c r="V28" s="30">
        <v>101340312</v>
      </c>
      <c r="W28" s="31">
        <v>70.492389333333307</v>
      </c>
      <c r="X28" s="31">
        <v>73.344801666666697</v>
      </c>
      <c r="Y28" s="31">
        <v>32.765710666666699</v>
      </c>
      <c r="Z28" s="31">
        <v>36.345678666666601</v>
      </c>
      <c r="AA28" s="31">
        <v>35.8697666666666</v>
      </c>
      <c r="AB28" s="32">
        <v>62696.2</v>
      </c>
      <c r="AC28" s="32">
        <v>65804.600000000006</v>
      </c>
      <c r="AD28" s="32">
        <v>84.52</v>
      </c>
      <c r="AE28" s="32">
        <v>263.2</v>
      </c>
      <c r="AG28" s="27">
        <f t="shared" si="7"/>
        <v>123.2926125</v>
      </c>
      <c r="AH28" s="28">
        <f t="shared" si="8"/>
        <v>5.1955594268233982</v>
      </c>
      <c r="AI28" s="28">
        <f t="shared" si="9"/>
        <v>1.2505117648230069</v>
      </c>
      <c r="AJ28" s="28">
        <f t="shared" si="10"/>
        <v>0.99257439276421267</v>
      </c>
      <c r="AK28" s="28">
        <f t="shared" si="11"/>
        <v>3.9449095479181593</v>
      </c>
      <c r="AL28" s="25">
        <f t="shared" si="12"/>
        <v>31653464</v>
      </c>
      <c r="AM28" s="28">
        <f t="shared" si="13"/>
        <v>0.50516884532632322</v>
      </c>
      <c r="AN28" s="29">
        <v>260332998</v>
      </c>
      <c r="AO28" s="29">
        <v>867776.66</v>
      </c>
      <c r="AP28" s="29">
        <v>29386.86</v>
      </c>
      <c r="AQ28" s="30">
        <v>131512120</v>
      </c>
      <c r="AR28" s="30">
        <v>25124448</v>
      </c>
      <c r="AS28" s="30">
        <v>6529016</v>
      </c>
      <c r="AT28" s="30">
        <v>99855160</v>
      </c>
      <c r="AU28" s="31">
        <v>70.461886333333396</v>
      </c>
      <c r="AV28" s="31">
        <v>73.039857666666705</v>
      </c>
      <c r="AW28" s="31">
        <v>32.750342000000003</v>
      </c>
      <c r="AX28" s="31">
        <v>36.346917666666599</v>
      </c>
      <c r="AY28" s="31">
        <v>35.870041666666701</v>
      </c>
      <c r="AZ28" s="32">
        <v>28364.2</v>
      </c>
      <c r="BA28" s="32">
        <v>64030</v>
      </c>
      <c r="BB28" s="32">
        <v>68.569999999999993</v>
      </c>
      <c r="BC28" s="32">
        <v>252.602</v>
      </c>
      <c r="BE28" s="33">
        <f t="shared" si="14"/>
        <v>-0.29514141783574249</v>
      </c>
      <c r="BF28" s="33">
        <f t="shared" si="15"/>
        <v>2.857157674137828E-3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outlineLevel="1" x14ac:dyDescent="0.3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290.19751500000001</v>
      </c>
      <c r="J29" s="38">
        <f t="shared" si="1"/>
        <v>12.228943844457627</v>
      </c>
      <c r="K29" s="38">
        <f t="shared" si="2"/>
        <v>1.8121316628587845</v>
      </c>
      <c r="L29" s="38">
        <f t="shared" si="3"/>
        <v>1.5546636258391537</v>
      </c>
      <c r="M29" s="38">
        <f t="shared" si="4"/>
        <v>10.416677228021925</v>
      </c>
      <c r="N29" s="35">
        <f t="shared" si="5"/>
        <v>45869416</v>
      </c>
      <c r="O29" s="38">
        <f t="shared" si="6"/>
        <v>0.8264897148996182</v>
      </c>
      <c r="P29" s="39">
        <v>374528576</v>
      </c>
      <c r="Q29" s="39">
        <v>1248428.5866666699</v>
      </c>
      <c r="R29" s="39">
        <v>406259.61666666699</v>
      </c>
      <c r="S29" s="40">
        <v>309544016</v>
      </c>
      <c r="T29" s="40">
        <v>39352280</v>
      </c>
      <c r="U29" s="40">
        <v>6517136</v>
      </c>
      <c r="V29" s="40">
        <v>263671184</v>
      </c>
      <c r="W29" s="41">
        <v>71.353371666666703</v>
      </c>
      <c r="X29" s="41">
        <v>74.4830203333333</v>
      </c>
      <c r="Y29" s="41">
        <v>35.674144666666599</v>
      </c>
      <c r="Z29" s="41">
        <v>38.512413666666603</v>
      </c>
      <c r="AA29" s="41">
        <v>37.979490333333302</v>
      </c>
      <c r="AB29" s="42">
        <v>62709.9</v>
      </c>
      <c r="AC29" s="42">
        <v>73915.7</v>
      </c>
      <c r="AD29" s="42">
        <v>78.741</v>
      </c>
      <c r="AE29" s="42">
        <v>268.45600000000002</v>
      </c>
      <c r="AG29" s="37">
        <f t="shared" si="7"/>
        <v>285.41791499999999</v>
      </c>
      <c r="AH29" s="38">
        <f t="shared" si="8"/>
        <v>12.027531161792272</v>
      </c>
      <c r="AI29" s="38">
        <f t="shared" si="9"/>
        <v>1.812683171036118</v>
      </c>
      <c r="AJ29" s="38">
        <f t="shared" si="10"/>
        <v>1.5547457989773237</v>
      </c>
      <c r="AK29" s="38">
        <f t="shared" si="11"/>
        <v>10.214709876673922</v>
      </c>
      <c r="AL29" s="35">
        <f t="shared" si="12"/>
        <v>45883376</v>
      </c>
      <c r="AM29" s="38">
        <f t="shared" si="13"/>
        <v>1.1614428183438668</v>
      </c>
      <c r="AN29" s="39">
        <v>262127219</v>
      </c>
      <c r="AO29" s="39">
        <v>873757.39666666696</v>
      </c>
      <c r="AP29" s="39">
        <v>31207.043333333299</v>
      </c>
      <c r="AQ29" s="40">
        <v>304445776</v>
      </c>
      <c r="AR29" s="40">
        <v>39354360</v>
      </c>
      <c r="AS29" s="40">
        <v>6529016</v>
      </c>
      <c r="AT29" s="40">
        <v>258558904</v>
      </c>
      <c r="AU29" s="41">
        <v>71.333358666666598</v>
      </c>
      <c r="AV29" s="41">
        <v>74.150078333333298</v>
      </c>
      <c r="AW29" s="41">
        <v>35.447108</v>
      </c>
      <c r="AX29" s="41">
        <v>38.511858333333301</v>
      </c>
      <c r="AY29" s="41">
        <v>37.974375333333398</v>
      </c>
      <c r="AZ29" s="42">
        <v>27457.5</v>
      </c>
      <c r="BA29" s="42">
        <v>69138.8</v>
      </c>
      <c r="BB29" s="42">
        <v>62.069000000000003</v>
      </c>
      <c r="BC29" s="42">
        <v>258.92700000000002</v>
      </c>
      <c r="BE29" s="43">
        <f t="shared" si="14"/>
        <v>-0.28970087155732432</v>
      </c>
      <c r="BF29" s="43">
        <f t="shared" si="15"/>
        <v>2.527335767932043E-3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288</v>
      </c>
      <c r="J30" s="56">
        <f>AVERAGE(J5:J24)</f>
        <v>2.0163727692578206</v>
      </c>
      <c r="K30" s="56">
        <f>AVERAGE(K5:K24)</f>
        <v>0.9105842582203012</v>
      </c>
      <c r="L30" s="56">
        <f>AVERAGE(L5:L24)</f>
        <v>0.66904228566966617</v>
      </c>
      <c r="M30" s="56">
        <f>AVERAGE(M5:M24)</f>
        <v>1.1056700275333129</v>
      </c>
      <c r="AH30" s="56">
        <f>AVERAGE(AH5:AH24)</f>
        <v>1.999348177908534</v>
      </c>
      <c r="AI30" s="56">
        <f>AVERAGE(AI5:AI24)</f>
        <v>0.90721011399194162</v>
      </c>
      <c r="AJ30" s="56">
        <f>AVERAGE(AJ5:AJ24)</f>
        <v>0.66712643115314818</v>
      </c>
      <c r="AK30" s="56">
        <f>AVERAGE(AK5:AK24)</f>
        <v>1.0920168105672499</v>
      </c>
      <c r="BG30" s="8">
        <f>AVERAGE(BG5:BG24)</f>
        <v>7.1492225722633029E-4</v>
      </c>
      <c r="BI30" s="5">
        <f>AVERAGE(BI5:BI24)</f>
        <v>-1.8636215377115795E-3</v>
      </c>
      <c r="BJ30" s="5">
        <f>AVERAGE(BJ5:BJ24)</f>
        <v>3.8992756351800717E-2</v>
      </c>
      <c r="BK30" s="5">
        <f>AVERAGE(BK5:BK24)</f>
        <v>-1.2163347152508608E-2</v>
      </c>
      <c r="BL30" s="5">
        <f>AVERAGE(BL5:BL24)</f>
        <v>-1.4302387536437033E-2</v>
      </c>
      <c r="BM30" s="5">
        <f>AVERAGE(BM5:BM24)</f>
        <v>-8.2528574906845509E-3</v>
      </c>
      <c r="BO30" s="5">
        <f>AVERAGE(BO5:BO24)</f>
        <v>6.760107468640475E-4</v>
      </c>
      <c r="BP30" s="5">
        <f>AVERAGE(BP5:BP24)</f>
        <v>7.4240711030917783E-2</v>
      </c>
      <c r="BQ30" s="5">
        <f>AVERAGE(BQ5:BQ24)</f>
        <v>-9.9110871199042938E-3</v>
      </c>
      <c r="BR30" s="5">
        <f>AVERAGE(BR5:BR24)</f>
        <v>-1.1813636655743837E-2</v>
      </c>
      <c r="BS30" s="5">
        <f>AVERAGE(BS5:BS24)</f>
        <v>-7.7719164564573617E-3</v>
      </c>
    </row>
    <row r="31" spans="1:71" x14ac:dyDescent="0.3">
      <c r="B31" s="55" t="s">
        <v>289</v>
      </c>
      <c r="J31" s="56">
        <f>AVERAGE(J25:J29)</f>
        <v>4.511989787775228</v>
      </c>
      <c r="K31" s="56">
        <f>AVERAGE(K25:K29)</f>
        <v>1.062899807872882</v>
      </c>
      <c r="L31" s="56">
        <f>AVERAGE(L25:L29)</f>
        <v>0.80543177085325124</v>
      </c>
      <c r="M31" s="56">
        <f>AVERAGE(M25:M29)</f>
        <v>3.4489550263254287</v>
      </c>
      <c r="AH31" s="56">
        <f>AVERAGE(AH25:AH29)</f>
        <v>4.4562391061332445</v>
      </c>
      <c r="AI31" s="56">
        <f>AVERAGE(AI25:AI29)</f>
        <v>1.0638027010310516</v>
      </c>
      <c r="AJ31" s="56">
        <f>AVERAGE(AJ25:AJ29)</f>
        <v>0.80586532897225749</v>
      </c>
      <c r="AK31" s="56">
        <f>AVERAGE(AK25:AK29)</f>
        <v>3.3922982910199613</v>
      </c>
      <c r="BG31" s="8">
        <f>AVERAGE(BG25:BG29)</f>
        <v>2.2083627134619199E-3</v>
      </c>
      <c r="BI31" s="5">
        <f>AVERAGE(BI25:BI29)</f>
        <v>6.4540401892576593E-3</v>
      </c>
      <c r="BJ31" s="5">
        <f>AVERAGE(BJ25:BJ29)</f>
        <v>5.3043832773114863E-2</v>
      </c>
      <c r="BK31" s="5">
        <f>AVERAGE(BK25:BK29)</f>
        <v>-4.0007662121367416E-3</v>
      </c>
      <c r="BL31" s="5">
        <f>AVERAGE(BL25:BL29)</f>
        <v>-1.3808071808815825E-2</v>
      </c>
      <c r="BM31" s="5">
        <f>AVERAGE(BM25:BM29)</f>
        <v>-1.171506350234286E-2</v>
      </c>
      <c r="BO31" s="5">
        <f>AVERAGE(BO25:BO29)</f>
        <v>6.4574098231739985E-3</v>
      </c>
      <c r="BP31" s="5">
        <f>AVERAGE(BP25:BP29)</f>
        <v>0.11625456634269726</v>
      </c>
      <c r="BQ31" s="5">
        <f>AVERAGE(BQ25:BQ29)</f>
        <v>-4.0468551313188605E-4</v>
      </c>
      <c r="BR31" s="5">
        <f>AVERAGE(BR25:BR29)</f>
        <v>-9.3751091747971138E-3</v>
      </c>
      <c r="BS31" s="5">
        <f>AVERAGE(BS25:BS29)</f>
        <v>-7.875173545270453E-3</v>
      </c>
    </row>
    <row r="32" spans="1:71" x14ac:dyDescent="0.3">
      <c r="B32" s="55" t="s">
        <v>290</v>
      </c>
      <c r="J32" s="56">
        <f>AVERAGE(J5:J29)</f>
        <v>2.5154961729613019</v>
      </c>
      <c r="K32" s="56">
        <f>AVERAGE(K5:K29)</f>
        <v>0.94104736815081746</v>
      </c>
      <c r="L32" s="56">
        <f>AVERAGE(L5:L29)</f>
        <v>0.69632018270638329</v>
      </c>
      <c r="M32" s="56">
        <f>AVERAGE(M5:M29)</f>
        <v>1.574327027291736</v>
      </c>
      <c r="AH32" s="56">
        <f>AVERAGE(AH5:AH29)</f>
        <v>2.4907263635534762</v>
      </c>
      <c r="AI32" s="56">
        <f>AVERAGE(AI5:AI29)</f>
        <v>0.93852863139976361</v>
      </c>
      <c r="AJ32" s="56">
        <f>AVERAGE(AJ5:AJ29)</f>
        <v>0.69487421071696998</v>
      </c>
      <c r="AK32" s="56">
        <f>AVERAGE(AK5:AK29)</f>
        <v>1.5520731066577924</v>
      </c>
      <c r="BG32" s="8">
        <f>AVERAGE(BG5:BG29)</f>
        <v>1.0136103484734483E-3</v>
      </c>
      <c r="BI32" s="5">
        <f>AVERAGE(BI5:BI29)</f>
        <v>-2.000891923177317E-4</v>
      </c>
      <c r="BJ32" s="5">
        <f>AVERAGE(BJ5:BJ29)</f>
        <v>4.1802971636063543E-2</v>
      </c>
      <c r="BK32" s="5">
        <f>AVERAGE(BK5:BK29)</f>
        <v>-1.0530830964434235E-2</v>
      </c>
      <c r="BL32" s="5">
        <f>AVERAGE(BL5:BL29)</f>
        <v>-1.4203524390912792E-2</v>
      </c>
      <c r="BM32" s="5">
        <f>AVERAGE(BM5:BM29)</f>
        <v>-8.945298693016213E-3</v>
      </c>
      <c r="BO32" s="5">
        <f>AVERAGE(BO5:BO29)</f>
        <v>1.8322905621260376E-3</v>
      </c>
      <c r="BP32" s="5">
        <f>AVERAGE(BP5:BP29)</f>
        <v>8.2643482093273685E-2</v>
      </c>
      <c r="BQ32" s="5">
        <f>AVERAGE(BQ5:BQ29)</f>
        <v>-8.0098067985498126E-3</v>
      </c>
      <c r="BR32" s="5">
        <f>AVERAGE(BR5:BR29)</f>
        <v>-1.1325931159554492E-2</v>
      </c>
      <c r="BS32" s="5">
        <f>AVERAGE(BS5:BS29)</f>
        <v>-7.7925678742199796E-3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1598992.7999999998</v>
      </c>
      <c r="AC33" s="57">
        <f>SUM(AC5:AC24,AC25:AC29)</f>
        <v>1304533.4000000001</v>
      </c>
      <c r="AD33" s="57">
        <f>SUM(AD5:AD24,AD25:AD29)</f>
        <v>2032.075</v>
      </c>
      <c r="AE33" s="57">
        <f>SUM(AE5:AE24,AE25:AE29)</f>
        <v>5538.96</v>
      </c>
      <c r="AZ33" s="57">
        <f>SUM(AZ5:AZ24,AZ25:AZ29)</f>
        <v>718193.79999999993</v>
      </c>
      <c r="BA33" s="57">
        <f>SUM(BA5:BA24,BA25:BA29)</f>
        <v>1257586.3</v>
      </c>
      <c r="BB33" s="57">
        <f>SUM(BB5:BB24,BB25:BB29)</f>
        <v>1615.1689999999999</v>
      </c>
      <c r="BC33" s="57">
        <f>SUM(BC5:BC24,BC25:BC29)</f>
        <v>5281.25</v>
      </c>
    </row>
    <row r="34" spans="1:55" hidden="1" outlineLevel="2" x14ac:dyDescent="0.3">
      <c r="B34" s="55" t="s">
        <v>293</v>
      </c>
      <c r="AZ34" s="8">
        <f>AZ33/AB33</f>
        <v>0.4491538673595028</v>
      </c>
      <c r="BA34" s="8">
        <f>BA33/AC33</f>
        <v>0.96401234341719411</v>
      </c>
      <c r="BB34" s="8">
        <f>BB33/AD33</f>
        <v>0.79483729685174009</v>
      </c>
      <c r="BC34" s="8">
        <f>BC33/AE33</f>
        <v>0.95347321518841077</v>
      </c>
    </row>
    <row r="35" spans="1:55" hidden="1" outlineLevel="2" x14ac:dyDescent="0.3">
      <c r="B35" s="55" t="s">
        <v>294</v>
      </c>
      <c r="AB35" s="57">
        <f>GEOMEAN(AB5:AB24,AB25:AB29)</f>
        <v>63443.204543102067</v>
      </c>
      <c r="AC35" s="57">
        <f>GEOMEAN(AC5:AC24,AC25:AC29)</f>
        <v>51166.916871422829</v>
      </c>
      <c r="AD35" s="57">
        <f>GEOMEAN(AD5:AD24,AD25:AD29)</f>
        <v>80.853614616373719</v>
      </c>
      <c r="AE35" s="57">
        <f>GEOMEAN(AE5:AE24,AE25:AE29)</f>
        <v>219.97259450153726</v>
      </c>
      <c r="AZ35" s="57">
        <f>GEOMEAN(AZ5:AZ24,AZ25:AZ29)</f>
        <v>28490.229441508614</v>
      </c>
      <c r="BA35" s="57">
        <f>GEOMEAN(BA5:BA24,BA25:BA29)</f>
        <v>49321.887134621989</v>
      </c>
      <c r="BB35" s="57">
        <f>GEOMEAN(BB5:BB24,BB25:BB29)</f>
        <v>63.8293471372805</v>
      </c>
      <c r="BC35" s="57">
        <f>GEOMEAN(BC5:BC24,BC25:BC29)</f>
        <v>209.28732634929025</v>
      </c>
    </row>
    <row r="36" spans="1:55" outlineLevel="2" collapsed="1" x14ac:dyDescent="0.3">
      <c r="B36" s="55" t="s">
        <v>295</v>
      </c>
      <c r="AZ36" s="8">
        <f>AZ35/AB35</f>
        <v>0.44906668329076777</v>
      </c>
      <c r="BA36" s="8">
        <f>BA35/AC35</f>
        <v>0.96394096323143319</v>
      </c>
      <c r="BB36" s="8">
        <f>BB35/AD35</f>
        <v>0.78944333460083027</v>
      </c>
      <c r="BC36" s="8">
        <f>BC35/AE35</f>
        <v>0.95142454824220235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35" priority="17" operator="greaterThanOrEqual">
      <formula>0.03</formula>
    </cfRule>
    <cfRule type="cellIs" dxfId="34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33" priority="11" operator="greaterThanOrEqual">
      <formula>0.03</formula>
    </cfRule>
    <cfRule type="cellIs" dxfId="32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31" priority="5" operator="greaterThanOrEqual">
      <formula>0.03</formula>
    </cfRule>
    <cfRule type="cellIs" dxfId="30" priority="6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27" priority="1" operator="greaterThanOrEqual">
      <formula>0.03</formula>
    </cfRule>
    <cfRule type="cellIs" dxfId="26" priority="2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23" priority="9" operator="greaterThanOrEqual">
      <formula>0.03</formula>
    </cfRule>
    <cfRule type="cellIs" dxfId="22" priority="1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21" priority="3" operator="greaterThanOrEqual">
      <formula>0.03</formula>
    </cfRule>
    <cfRule type="cellIs" dxfId="20" priority="4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19" priority="7" operator="greaterThanOrEqual">
      <formula>0.03</formula>
    </cfRule>
    <cfRule type="cellIs" dxfId="18" priority="8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7C0BC-1361-46B8-9E2C-9EAC58991103}">
  <dimension ref="A1:X11"/>
  <sheetViews>
    <sheetView workbookViewId="0">
      <selection activeCell="X11" sqref="A1:X11"/>
    </sheetView>
  </sheetViews>
  <sheetFormatPr defaultRowHeight="14.4" x14ac:dyDescent="0.3"/>
  <cols>
    <col min="1" max="1" width="2.5546875" customWidth="1"/>
    <col min="2" max="18" width="6.88671875" customWidth="1"/>
  </cols>
  <sheetData>
    <row r="1" spans="1:24" ht="15" customHeight="1" thickBot="1" x14ac:dyDescent="0.35">
      <c r="A1" s="137" t="s">
        <v>93</v>
      </c>
      <c r="B1" s="140" t="s">
        <v>551</v>
      </c>
      <c r="C1" s="143" t="s">
        <v>552</v>
      </c>
      <c r="D1" s="144"/>
      <c r="E1" s="145"/>
      <c r="F1" s="143" t="s">
        <v>553</v>
      </c>
      <c r="G1" s="144"/>
      <c r="H1" s="145"/>
      <c r="I1" s="143" t="s">
        <v>554</v>
      </c>
      <c r="J1" s="144"/>
      <c r="K1" s="144"/>
      <c r="L1" s="144"/>
      <c r="M1" s="145"/>
      <c r="N1" s="143" t="s">
        <v>555</v>
      </c>
      <c r="O1" s="144"/>
      <c r="P1" s="144"/>
      <c r="Q1" s="144"/>
      <c r="R1" s="145"/>
      <c r="S1" s="4"/>
      <c r="T1" s="4"/>
      <c r="U1" s="4"/>
      <c r="V1" s="4"/>
      <c r="W1" s="4"/>
      <c r="X1" s="4"/>
    </row>
    <row r="2" spans="1:24" ht="14.4" customHeight="1" x14ac:dyDescent="0.3">
      <c r="A2" s="138"/>
      <c r="B2" s="141"/>
      <c r="C2" s="146" t="s">
        <v>357</v>
      </c>
      <c r="D2" s="147"/>
      <c r="E2" s="148"/>
      <c r="F2" s="146" t="s">
        <v>357</v>
      </c>
      <c r="G2" s="147"/>
      <c r="H2" s="148"/>
      <c r="I2" s="146" t="s">
        <v>249</v>
      </c>
      <c r="J2" s="147"/>
      <c r="K2" s="147" t="s">
        <v>254</v>
      </c>
      <c r="L2" s="147"/>
      <c r="M2" s="148"/>
      <c r="N2" s="146" t="s">
        <v>249</v>
      </c>
      <c r="O2" s="147"/>
      <c r="P2" s="147" t="s">
        <v>254</v>
      </c>
      <c r="Q2" s="147"/>
      <c r="R2" s="148"/>
      <c r="S2" s="4"/>
      <c r="T2" s="153" t="s">
        <v>556</v>
      </c>
      <c r="U2" s="133" t="s">
        <v>549</v>
      </c>
      <c r="V2" s="134"/>
      <c r="W2" s="133" t="s">
        <v>550</v>
      </c>
      <c r="X2" s="134"/>
    </row>
    <row r="3" spans="1:24" ht="15" thickBot="1" x14ac:dyDescent="0.35">
      <c r="A3" s="139"/>
      <c r="B3" s="142"/>
      <c r="C3" s="65" t="s">
        <v>118</v>
      </c>
      <c r="D3" s="66" t="s">
        <v>557</v>
      </c>
      <c r="E3" s="67" t="s">
        <v>150</v>
      </c>
      <c r="F3" s="65" t="s">
        <v>118</v>
      </c>
      <c r="G3" s="66" t="s">
        <v>557</v>
      </c>
      <c r="H3" s="67" t="s">
        <v>150</v>
      </c>
      <c r="I3" s="65" t="s">
        <v>154</v>
      </c>
      <c r="J3" s="66" t="s">
        <v>157</v>
      </c>
      <c r="K3" s="66" t="s">
        <v>161</v>
      </c>
      <c r="L3" s="66" t="s">
        <v>558</v>
      </c>
      <c r="M3" s="67" t="s">
        <v>559</v>
      </c>
      <c r="N3" s="65" t="s">
        <v>154</v>
      </c>
      <c r="O3" s="66" t="s">
        <v>157</v>
      </c>
      <c r="P3" s="66" t="s">
        <v>161</v>
      </c>
      <c r="Q3" s="66" t="s">
        <v>560</v>
      </c>
      <c r="R3" s="67" t="s">
        <v>559</v>
      </c>
      <c r="S3" s="4"/>
      <c r="T3" s="154"/>
      <c r="U3" s="68" t="s">
        <v>171</v>
      </c>
      <c r="V3" s="69" t="s">
        <v>174</v>
      </c>
      <c r="W3" s="70" t="s">
        <v>171</v>
      </c>
      <c r="X3" s="69" t="s">
        <v>174</v>
      </c>
    </row>
    <row r="4" spans="1:24" x14ac:dyDescent="0.3">
      <c r="A4" s="71" t="s">
        <v>561</v>
      </c>
      <c r="B4" s="72" t="s">
        <v>562</v>
      </c>
      <c r="C4" s="73">
        <f>'CW losslG,losslA,intra'!BB5</f>
        <v>0.99970779469542526</v>
      </c>
      <c r="D4" s="74">
        <f>'CW losslG,losslA,intra'!BC5</f>
        <v>0.99987282548572365</v>
      </c>
      <c r="E4" s="75">
        <f>'CW losslG,losslA,intra'!BD5</f>
        <v>0.99969808184171727</v>
      </c>
      <c r="F4" s="73">
        <f>'CW losslG,losslA,interLD'!BB5</f>
        <v>0.99981862703302271</v>
      </c>
      <c r="G4" s="74">
        <f>'CW losslG,losslA,interLD'!BC5</f>
        <v>1.0008594478726578</v>
      </c>
      <c r="H4" s="75">
        <f>'CW losslG,losslA,interLD'!BD5</f>
        <v>0.99964370332095709</v>
      </c>
      <c r="I4" s="73">
        <f>'C2 lossyG,lossyA,intra'!BO5</f>
        <v>2.3875860856823472E-3</v>
      </c>
      <c r="J4" s="74">
        <f>'C2 lossyG,lossyA,intra'!BP5</f>
        <v>9.7676068874180233E-2</v>
      </c>
      <c r="K4" s="74">
        <f>'C2 lossyG,lossyA,intra'!BQ5</f>
        <v>-2.8331214107757408E-4</v>
      </c>
      <c r="L4" s="74">
        <f>'C2 lossyG,lossyA,intra'!BR5</f>
        <v>-3.5375110599606963E-3</v>
      </c>
      <c r="M4" s="75">
        <f>'C2 lossyG,lossyA,intra'!BS5</f>
        <v>2.8451238823898883E-3</v>
      </c>
      <c r="N4" s="73">
        <f>'C2 lossyG,lossyA,interRA'!BO5</f>
        <v>1.5020157804293E-2</v>
      </c>
      <c r="O4" s="74">
        <f>'C2 lossyG,lossyA,interRA'!BP5</f>
        <v>9.9537614399036745E-2</v>
      </c>
      <c r="P4" s="74">
        <f>'C2 lossyG,lossyA,interRA'!BQ5</f>
        <v>1.1795946701472326E-2</v>
      </c>
      <c r="Q4" s="74">
        <f>'C2 lossyG,lossyA,interRA'!BR5</f>
        <v>9.9413833491586168E-3</v>
      </c>
      <c r="R4" s="75">
        <f>'C2 lossyG,lossyA,interRA'!BS5</f>
        <v>1.4534705872222053E-2</v>
      </c>
      <c r="S4" s="4"/>
      <c r="T4" s="76" t="s">
        <v>552</v>
      </c>
      <c r="U4" s="77">
        <f>'CW losslG,losslA,intra'!AW16</f>
        <v>0.43367056801122511</v>
      </c>
      <c r="V4" s="78">
        <f>'CW losslG,losslA,intra'!AX16</f>
        <v>0.92606891213138598</v>
      </c>
      <c r="W4" s="77">
        <f>'CW losslG,losslA,intra'!AY16</f>
        <v>0.69749671938945046</v>
      </c>
      <c r="X4" s="78">
        <f>'CW losslG,losslA,intra'!AZ16</f>
        <v>0.93181217103858593</v>
      </c>
    </row>
    <row r="5" spans="1:24" x14ac:dyDescent="0.3">
      <c r="A5" s="79"/>
      <c r="B5" s="80" t="s">
        <v>563</v>
      </c>
      <c r="C5" s="81">
        <f>'CW losslG,losslA,intra'!BB6</f>
        <v>0.99998990847434255</v>
      </c>
      <c r="D5" s="82">
        <f>'CW losslG,losslA,intra'!BC6</f>
        <v>0.99995211763375347</v>
      </c>
      <c r="E5" s="83">
        <f>'CW losslG,losslA,intra'!BD6</f>
        <v>0.99998485696700823</v>
      </c>
      <c r="F5" s="81">
        <f>'CW losslG,losslA,interLD'!BB6</f>
        <v>0.99989117879980827</v>
      </c>
      <c r="G5" s="82">
        <f>'CW losslG,losslA,interLD'!BC6</f>
        <v>1.0000598055847165</v>
      </c>
      <c r="H5" s="83">
        <f>'CW losslG,losslA,interLD'!BD6</f>
        <v>0.99987739661899167</v>
      </c>
      <c r="I5" s="81">
        <f>'C2 lossyG,lossyA,intra'!BO10</f>
        <v>1.0362100719389478E-2</v>
      </c>
      <c r="J5" s="82">
        <f>'C2 lossyG,lossyA,intra'!BP10</f>
        <v>8.4907854679165506E-2</v>
      </c>
      <c r="K5" s="82">
        <f>'C2 lossyG,lossyA,intra'!BQ10</f>
        <v>-1.1952993388175681E-4</v>
      </c>
      <c r="L5" s="82">
        <f>'C2 lossyG,lossyA,intra'!BR10</f>
        <v>-3.270559069708856E-3</v>
      </c>
      <c r="M5" s="83">
        <f>'C2 lossyG,lossyA,intra'!BS10</f>
        <v>-4.7937930829644593E-3</v>
      </c>
      <c r="N5" s="81">
        <f>'C2 lossyG,lossyA,interRA'!BO10</f>
        <v>8.8254137024113E-3</v>
      </c>
      <c r="O5" s="82">
        <f>'C2 lossyG,lossyA,interRA'!BP10</f>
        <v>7.928713580196578E-2</v>
      </c>
      <c r="P5" s="82">
        <f>'C2 lossyG,lossyA,interRA'!BQ10</f>
        <v>-3.7670571206241954E-3</v>
      </c>
      <c r="Q5" s="82">
        <f>'C2 lossyG,lossyA,interRA'!BR10</f>
        <v>-7.2093444283592989E-3</v>
      </c>
      <c r="R5" s="83">
        <f>'C2 lossyG,lossyA,interRA'!BS10</f>
        <v>-3.5008109970994239E-3</v>
      </c>
      <c r="S5" s="4"/>
      <c r="T5" s="84" t="s">
        <v>553</v>
      </c>
      <c r="U5" s="85">
        <f>'CW losslG,losslA,interLD'!AW16</f>
        <v>0.44958146833674267</v>
      </c>
      <c r="V5" s="86">
        <f>'CW losslG,losslA,interLD'!AX16</f>
        <v>0.96410392730684891</v>
      </c>
      <c r="W5" s="85">
        <f>'CW losslG,losslA,interLD'!AY16</f>
        <v>0.68318182176763076</v>
      </c>
      <c r="X5" s="86">
        <f>'CW losslG,losslA,interLD'!AZ16</f>
        <v>0.88402975156887909</v>
      </c>
    </row>
    <row r="6" spans="1:24" x14ac:dyDescent="0.3">
      <c r="A6" s="87"/>
      <c r="B6" s="88" t="s">
        <v>564</v>
      </c>
      <c r="C6" s="89">
        <f>'CW losslG,losslA,intra'!BB7</f>
        <v>0.99883288962524275</v>
      </c>
      <c r="D6" s="90">
        <f>'CW losslG,losslA,intra'!BC7</f>
        <v>0.99920377077003941</v>
      </c>
      <c r="E6" s="91">
        <f>'CW losslG,losslA,intra'!BD7</f>
        <v>0.99874274791617623</v>
      </c>
      <c r="F6" s="89">
        <f>'CW losslG,losslA,interLD'!BB7</f>
        <v>0.99989914764033605</v>
      </c>
      <c r="G6" s="90">
        <f>'CW losslG,losslA,interLD'!BC7</f>
        <v>1.0004791115408465</v>
      </c>
      <c r="H6" s="91">
        <f>'CW losslG,losslA,interLD'!BD7</f>
        <v>0.99975434782448158</v>
      </c>
      <c r="I6" s="89">
        <f>'C2 lossyG,lossyA,intra'!BO15</f>
        <v>9.2273217646576811E-4</v>
      </c>
      <c r="J6" s="90">
        <f>'C2 lossyG,lossyA,intra'!BP15</f>
        <v>8.7664048154038499E-2</v>
      </c>
      <c r="K6" s="90">
        <f>'C2 lossyG,lossyA,intra'!BQ15</f>
        <v>-7.1950843783108454E-4</v>
      </c>
      <c r="L6" s="90">
        <f>'C2 lossyG,lossyA,intra'!BR15</f>
        <v>-7.6918439432336339E-3</v>
      </c>
      <c r="M6" s="91">
        <f>'C2 lossyG,lossyA,intra'!BS15</f>
        <v>-8.066816267767063E-3</v>
      </c>
      <c r="N6" s="89">
        <f>'C2 lossyG,lossyA,interRA'!BO15</f>
        <v>5.9412418406448175E-3</v>
      </c>
      <c r="O6" s="90">
        <f>'C2 lossyG,lossyA,interRA'!BP15</f>
        <v>8.352491213321489E-2</v>
      </c>
      <c r="P6" s="90">
        <f>'C2 lossyG,lossyA,interRA'!BQ15</f>
        <v>-3.5319791247260257E-3</v>
      </c>
      <c r="Q6" s="90">
        <f>'C2 lossyG,lossyA,interRA'!BR15</f>
        <v>-9.8938115548704575E-3</v>
      </c>
      <c r="R6" s="91">
        <f>'C2 lossyG,lossyA,interRA'!BS15</f>
        <v>-6.9043462721970483E-3</v>
      </c>
      <c r="S6" s="4"/>
      <c r="T6" s="92" t="s">
        <v>554</v>
      </c>
      <c r="U6" s="93">
        <f>'C2 lossyG,lossyA,intra'!AZ36</f>
        <v>0.45676811167137832</v>
      </c>
      <c r="V6" s="94">
        <f>'C2 lossyG,lossyA,intra'!BA36</f>
        <v>0.98487635352499592</v>
      </c>
      <c r="W6" s="93">
        <f>'C2 lossyG,lossyA,intra'!BB36</f>
        <v>0.78973818711090971</v>
      </c>
      <c r="X6" s="94">
        <f>'C2 lossyG,lossyA,intra'!BC36</f>
        <v>0.97142488643734137</v>
      </c>
    </row>
    <row r="7" spans="1:24" ht="15" thickBot="1" x14ac:dyDescent="0.35">
      <c r="A7" s="95"/>
      <c r="B7" s="45" t="s">
        <v>565</v>
      </c>
      <c r="C7" s="96">
        <f>'CW losslG,losslA,intra'!BB8</f>
        <v>0.98730851510846263</v>
      </c>
      <c r="D7" s="54">
        <f>'CW losslG,losslA,intra'!BC8</f>
        <v>0.98857675313550508</v>
      </c>
      <c r="E7" s="97">
        <f>'CW losslG,losslA,intra'!BD8</f>
        <v>0.98700583396683939</v>
      </c>
      <c r="F7" s="96">
        <f>'CW losslG,losslA,interLD'!BB8</f>
        <v>0.99415448068824452</v>
      </c>
      <c r="G7" s="54">
        <f>'CW losslG,losslA,interLD'!BC8</f>
        <v>0.98912267259527831</v>
      </c>
      <c r="H7" s="97">
        <f>'CW losslG,losslA,interLD'!BD8</f>
        <v>0.99528451227367409</v>
      </c>
      <c r="I7" s="96">
        <f>'C2 lossyG,lossyA,intra'!BO20</f>
        <v>-3.3646854312069374E-3</v>
      </c>
      <c r="J7" s="54">
        <f>'C2 lossyG,lossyA,intra'!BP20</f>
        <v>5.9900688625809106E-2</v>
      </c>
      <c r="K7" s="54">
        <f>'C2 lossyG,lossyA,intra'!BQ20</f>
        <v>-2.0210989113445432E-2</v>
      </c>
      <c r="L7" s="54">
        <f>'C2 lossyG,lossyA,intra'!BR20</f>
        <v>-1.5970560008678802E-2</v>
      </c>
      <c r="M7" s="97">
        <f>'C2 lossyG,lossyA,intra'!BS20</f>
        <v>-1.4337732995838182E-2</v>
      </c>
      <c r="N7" s="96">
        <f>'C2 lossyG,lossyA,interRA'!BO20</f>
        <v>-2.7082770359892927E-2</v>
      </c>
      <c r="O7" s="54">
        <f>'C2 lossyG,lossyA,interRA'!BP20</f>
        <v>3.4613181789453717E-2</v>
      </c>
      <c r="P7" s="54">
        <f>'C2 lossyG,lossyA,interRA'!BQ20</f>
        <v>-4.414125893573928E-2</v>
      </c>
      <c r="Q7" s="54">
        <f>'C2 lossyG,lossyA,interRA'!BR20</f>
        <v>-4.0092773988904207E-2</v>
      </c>
      <c r="R7" s="97">
        <f>'C2 lossyG,lossyA,interRA'!BS20</f>
        <v>-3.5217214428755028E-2</v>
      </c>
      <c r="S7" s="4"/>
      <c r="T7" s="98" t="s">
        <v>555</v>
      </c>
      <c r="U7" s="99">
        <f>'C2 lossyG,lossyA,interRA'!AZ36</f>
        <v>0.44906668329076777</v>
      </c>
      <c r="V7" s="100">
        <f>'C2 lossyG,lossyA,interRA'!BA36</f>
        <v>0.96394096323143319</v>
      </c>
      <c r="W7" s="99">
        <f>'C2 lossyG,lossyA,interRA'!BB36</f>
        <v>0.78944333460083027</v>
      </c>
      <c r="X7" s="100">
        <f>'C2 lossyG,lossyA,interRA'!BC36</f>
        <v>0.95142454824220235</v>
      </c>
    </row>
    <row r="8" spans="1:24" ht="15" thickBot="1" x14ac:dyDescent="0.35">
      <c r="A8" s="101" t="s">
        <v>566</v>
      </c>
      <c r="B8" s="35" t="s">
        <v>567</v>
      </c>
      <c r="C8" s="102">
        <f>'CW losslG,losslA,intra'!BB9</f>
        <v>1.0002150831178307</v>
      </c>
      <c r="D8" s="44">
        <f>'CW losslG,losslA,intra'!BC9</f>
        <v>1.000082245477752</v>
      </c>
      <c r="E8" s="103">
        <f>'CW losslG,losslA,intra'!BD9</f>
        <v>1.0002345573593701</v>
      </c>
      <c r="F8" s="102">
        <f>'CW losslG,losslA,interLD'!BB9</f>
        <v>0.99986128553384046</v>
      </c>
      <c r="G8" s="44">
        <f>'CW losslG,losslA,interLD'!BC9</f>
        <v>1.0000117765578491</v>
      </c>
      <c r="H8" s="103">
        <f>'CW losslG,losslA,interLD'!BD9</f>
        <v>0.99987482188537302</v>
      </c>
      <c r="I8" s="102">
        <f>'C2 lossyG,lossyA,intra'!BO25</f>
        <v>2.4902902647621072E-3</v>
      </c>
      <c r="J8" s="44">
        <f>'C2 lossyG,lossyA,intra'!BP25</f>
        <v>0.10253257561765095</v>
      </c>
      <c r="K8" s="44">
        <f>'C2 lossyG,lossyA,intra'!BQ25</f>
        <v>1.0089782232505451E-2</v>
      </c>
      <c r="L8" s="44">
        <f>'C2 lossyG,lossyA,intra'!BR25</f>
        <v>-1.1451319072396937E-2</v>
      </c>
      <c r="M8" s="103">
        <f>'C2 lossyG,lossyA,intra'!BS25</f>
        <v>-1.0846532353627425E-2</v>
      </c>
      <c r="N8" s="102">
        <f>'C2 lossyG,lossyA,interRA'!BO25</f>
        <v>6.4574098231739985E-3</v>
      </c>
      <c r="O8" s="44">
        <f>'C2 lossyG,lossyA,interRA'!BP25</f>
        <v>0.11625456634269726</v>
      </c>
      <c r="P8" s="44">
        <f>'C2 lossyG,lossyA,interRA'!BQ25</f>
        <v>-4.0468551313188605E-4</v>
      </c>
      <c r="Q8" s="44">
        <f>'C2 lossyG,lossyA,interRA'!BR25</f>
        <v>-9.3751091747971138E-3</v>
      </c>
      <c r="R8" s="103">
        <f>'C2 lossyG,lossyA,interRA'!BS25</f>
        <v>-7.875173545270453E-3</v>
      </c>
      <c r="S8" s="4"/>
      <c r="T8" s="104" t="s">
        <v>568</v>
      </c>
      <c r="U8" s="105">
        <f>AVERAGE(U4:U7)</f>
        <v>0.44727170782752845</v>
      </c>
      <c r="V8" s="106">
        <f t="shared" ref="V8:X8" si="0">AVERAGE(V4:V7)</f>
        <v>0.95974753904866605</v>
      </c>
      <c r="W8" s="107">
        <f t="shared" si="0"/>
        <v>0.7399650157172053</v>
      </c>
      <c r="X8" s="106">
        <f t="shared" si="0"/>
        <v>0.93467283932175205</v>
      </c>
    </row>
    <row r="9" spans="1:24" x14ac:dyDescent="0.3">
      <c r="A9" s="135" t="s">
        <v>569</v>
      </c>
      <c r="B9" s="136"/>
      <c r="C9" s="108">
        <f>'CW losslG,losslA,intra'!BB10</f>
        <v>0.99731265928081636</v>
      </c>
      <c r="D9" s="109">
        <f>'CW losslG,losslA,intra'!BC10</f>
        <v>0.99791252153111365</v>
      </c>
      <c r="E9" s="110">
        <f>'CW losslG,losslA,intra'!BD10</f>
        <v>0.99719096772817617</v>
      </c>
      <c r="F9" s="108">
        <f>'CW losslG,losslA,interLD'!BB10</f>
        <v>0.99887330545930098</v>
      </c>
      <c r="G9" s="109">
        <f>'CW losslG,losslA,interLD'!BC10</f>
        <v>0.99871743389338685</v>
      </c>
      <c r="H9" s="110">
        <f>'CW losslG,losslA,interLD'!BD10</f>
        <v>0.99897287928442335</v>
      </c>
      <c r="I9" s="108">
        <f>'C2 lossyG,lossyA,intra'!BO30</f>
        <v>2.5769333875826639E-3</v>
      </c>
      <c r="J9" s="109">
        <f>'C2 lossyG,lossyA,intra'!BP30</f>
        <v>8.2537165083298336E-2</v>
      </c>
      <c r="K9" s="109">
        <f>'C2 lossyG,lossyA,intra'!BQ30</f>
        <v>-5.3333349065589619E-3</v>
      </c>
      <c r="L9" s="109">
        <f>'C2 lossyG,lossyA,intra'!BR30</f>
        <v>-7.6176185203954971E-3</v>
      </c>
      <c r="M9" s="110">
        <f>'C2 lossyG,lossyA,intra'!BS30</f>
        <v>-6.0883046160449539E-3</v>
      </c>
      <c r="N9" s="108">
        <f>'C2 lossyG,lossyA,interRA'!BO30</f>
        <v>6.760107468640475E-4</v>
      </c>
      <c r="O9" s="109">
        <f>'C2 lossyG,lossyA,interRA'!BP30</f>
        <v>7.4240711030917783E-2</v>
      </c>
      <c r="P9" s="109">
        <f>'C2 lossyG,lossyA,interRA'!BQ30</f>
        <v>-9.9110871199042938E-3</v>
      </c>
      <c r="Q9" s="109">
        <f>'C2 lossyG,lossyA,interRA'!BR30</f>
        <v>-1.1813636655743837E-2</v>
      </c>
      <c r="R9" s="110">
        <f>'C2 lossyG,lossyA,interRA'!BS30</f>
        <v>-7.7719164564573617E-3</v>
      </c>
      <c r="S9" s="4"/>
      <c r="T9" s="4"/>
      <c r="U9" s="4"/>
      <c r="V9" s="4"/>
      <c r="W9" s="4"/>
      <c r="X9" s="4"/>
    </row>
    <row r="10" spans="1:24" x14ac:dyDescent="0.3">
      <c r="A10" s="149" t="s">
        <v>570</v>
      </c>
      <c r="B10" s="150"/>
      <c r="C10" s="108">
        <f>'CW losslG,losslA,intra'!BB11</f>
        <v>1.0002150831178307</v>
      </c>
      <c r="D10" s="109">
        <f>'CW losslG,losslA,intra'!BC11</f>
        <v>1.000082245477752</v>
      </c>
      <c r="E10" s="110">
        <f>'CW losslG,losslA,intra'!BD11</f>
        <v>1.0002345573593701</v>
      </c>
      <c r="F10" s="108">
        <f>'CW losslG,losslA,interLD'!BB11</f>
        <v>0.99986128553384046</v>
      </c>
      <c r="G10" s="109">
        <f>'CW losslG,losslA,interLD'!BC11</f>
        <v>1.0000117765578491</v>
      </c>
      <c r="H10" s="110">
        <f>'CW losslG,losslA,interLD'!BD11</f>
        <v>0.99987482188537302</v>
      </c>
      <c r="I10" s="108">
        <f>'C2 lossyG,lossyA,intra'!BO31</f>
        <v>2.4902902647621072E-3</v>
      </c>
      <c r="J10" s="109">
        <f>'C2 lossyG,lossyA,intra'!BP31</f>
        <v>0.10253257561765095</v>
      </c>
      <c r="K10" s="109">
        <f>'C2 lossyG,lossyA,intra'!BQ31</f>
        <v>1.0089782232505451E-2</v>
      </c>
      <c r="L10" s="109">
        <f>'C2 lossyG,lossyA,intra'!BR31</f>
        <v>-1.1451319072396937E-2</v>
      </c>
      <c r="M10" s="110">
        <f>'C2 lossyG,lossyA,intra'!BS31</f>
        <v>-1.0846532353627425E-2</v>
      </c>
      <c r="N10" s="108">
        <f>'C2 lossyG,lossyA,interRA'!BO31</f>
        <v>6.4574098231739985E-3</v>
      </c>
      <c r="O10" s="109">
        <f>'C2 lossyG,lossyA,interRA'!BP31</f>
        <v>0.11625456634269726</v>
      </c>
      <c r="P10" s="109">
        <f>'C2 lossyG,lossyA,interRA'!BQ31</f>
        <v>-4.0468551313188605E-4</v>
      </c>
      <c r="Q10" s="109">
        <f>'C2 lossyG,lossyA,interRA'!BR31</f>
        <v>-9.3751091747971138E-3</v>
      </c>
      <c r="R10" s="110">
        <f>'C2 lossyG,lossyA,interRA'!BS31</f>
        <v>-7.875173545270453E-3</v>
      </c>
      <c r="S10" s="4"/>
      <c r="T10" s="4"/>
      <c r="U10" s="4"/>
      <c r="V10" s="4"/>
      <c r="W10" s="4"/>
      <c r="X10" s="4"/>
    </row>
    <row r="11" spans="1:24" ht="15" customHeight="1" thickBot="1" x14ac:dyDescent="0.35">
      <c r="A11" s="151" t="s">
        <v>290</v>
      </c>
      <c r="B11" s="152"/>
      <c r="C11" s="111">
        <f>'CW losslG,losslA,intra'!BB12</f>
        <v>0.99812473104938082</v>
      </c>
      <c r="D11" s="112">
        <f>'CW losslG,losslA,intra'!BC12</f>
        <v>0.99838849741017932</v>
      </c>
      <c r="E11" s="113">
        <f>'CW losslG,losslA,intra'!BD12</f>
        <v>0.9980717716603934</v>
      </c>
      <c r="F11" s="111">
        <f>'CW losslG,losslA,interLD'!BB12</f>
        <v>0.9991539546566155</v>
      </c>
      <c r="G11" s="112">
        <f>'CW losslG,losslA,interLD'!BC12</f>
        <v>0.99900473698379222</v>
      </c>
      <c r="H11" s="113">
        <f>'CW losslG,losslA,interLD'!BD12</f>
        <v>0.99923812968339065</v>
      </c>
      <c r="I11" s="111">
        <f>'C2 lossyG,lossyA,intra'!BO32</f>
        <v>2.5596047630185525E-3</v>
      </c>
      <c r="J11" s="112">
        <f>'C2 lossyG,lossyA,intra'!BP32</f>
        <v>8.6536247190168863E-2</v>
      </c>
      <c r="K11" s="112">
        <f>'C2 lossyG,lossyA,intra'!BQ32</f>
        <v>-2.2487114787460793E-3</v>
      </c>
      <c r="L11" s="112">
        <f>'C2 lossyG,lossyA,intra'!BR32</f>
        <v>-8.3843586307957851E-3</v>
      </c>
      <c r="M11" s="113">
        <f>'C2 lossyG,lossyA,intra'!BS32</f>
        <v>-7.0399501635614479E-3</v>
      </c>
      <c r="N11" s="111">
        <f>'C2 lossyG,lossyA,interRA'!BO32</f>
        <v>1.8322905621260376E-3</v>
      </c>
      <c r="O11" s="112">
        <f>'C2 lossyG,lossyA,interRA'!BP32</f>
        <v>8.2643482093273685E-2</v>
      </c>
      <c r="P11" s="112">
        <f>'C2 lossyG,lossyA,interRA'!BQ32</f>
        <v>-8.0098067985498126E-3</v>
      </c>
      <c r="Q11" s="112">
        <f>'C2 lossyG,lossyA,interRA'!BR32</f>
        <v>-1.1325931159554492E-2</v>
      </c>
      <c r="R11" s="113">
        <f>'C2 lossyG,lossyA,interRA'!BS32</f>
        <v>-7.7925678742199796E-3</v>
      </c>
      <c r="S11" s="4"/>
      <c r="T11" s="4"/>
      <c r="U11" s="4"/>
      <c r="V11" s="4"/>
      <c r="W11" s="4"/>
      <c r="X11" s="4"/>
    </row>
  </sheetData>
  <mergeCells count="18">
    <mergeCell ref="A10:B10"/>
    <mergeCell ref="A11:B11"/>
    <mergeCell ref="N2:O2"/>
    <mergeCell ref="P2:R2"/>
    <mergeCell ref="T2:T3"/>
    <mergeCell ref="U2:V2"/>
    <mergeCell ref="W2:X2"/>
    <mergeCell ref="A9:B9"/>
    <mergeCell ref="A1:A3"/>
    <mergeCell ref="B1:B3"/>
    <mergeCell ref="C1:E1"/>
    <mergeCell ref="F1:H1"/>
    <mergeCell ref="I1:M1"/>
    <mergeCell ref="N1:R1"/>
    <mergeCell ref="C2:E2"/>
    <mergeCell ref="F2:H2"/>
    <mergeCell ref="I2:J2"/>
    <mergeCell ref="K2:M2"/>
  </mergeCells>
  <conditionalFormatting sqref="C9:C11">
    <cfRule type="cellIs" dxfId="15" priority="15" operator="greaterThanOrEqual">
      <formula>1.03</formula>
    </cfRule>
    <cfRule type="cellIs" dxfId="14" priority="16" operator="lessThanOrEqual">
      <formula>0.97</formula>
    </cfRule>
  </conditionalFormatting>
  <conditionalFormatting sqref="D9:D11">
    <cfRule type="cellIs" dxfId="13" priority="13" operator="greaterThanOrEqual">
      <formula>1.03</formula>
    </cfRule>
    <cfRule type="cellIs" dxfId="12" priority="14" operator="lessThanOrEqual">
      <formula>0.97</formula>
    </cfRule>
  </conditionalFormatting>
  <conditionalFormatting sqref="E9:E11">
    <cfRule type="cellIs" dxfId="11" priority="11" operator="greaterThanOrEqual">
      <formula>1.03</formula>
    </cfRule>
    <cfRule type="cellIs" dxfId="10" priority="12" operator="lessThanOrEqual">
      <formula>0.97</formula>
    </cfRule>
  </conditionalFormatting>
  <conditionalFormatting sqref="F9:F11">
    <cfRule type="cellIs" dxfId="9" priority="9" operator="greaterThanOrEqual">
      <formula>1.03</formula>
    </cfRule>
    <cfRule type="cellIs" dxfId="8" priority="10" operator="lessThanOrEqual">
      <formula>0.97</formula>
    </cfRule>
  </conditionalFormatting>
  <conditionalFormatting sqref="G9:G11">
    <cfRule type="cellIs" dxfId="7" priority="7" operator="greaterThanOrEqual">
      <formula>1.03</formula>
    </cfRule>
    <cfRule type="cellIs" dxfId="6" priority="8" operator="lessThanOrEqual">
      <formula>0.97</formula>
    </cfRule>
  </conditionalFormatting>
  <conditionalFormatting sqref="H9:H11">
    <cfRule type="cellIs" dxfId="5" priority="5" operator="greaterThanOrEqual">
      <formula>1.03</formula>
    </cfRule>
    <cfRule type="cellIs" dxfId="4" priority="6" operator="lessThanOrEqual">
      <formula>0.97</formula>
    </cfRule>
  </conditionalFormatting>
  <conditionalFormatting sqref="N4:R8 I4:M11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N9:R11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Results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N17766</dc:title>
  <dc:creator>Chevet Jean-Claude</dc:creator>
  <cp:lastModifiedBy>Ricard Julien</cp:lastModifiedBy>
  <dcterms:created xsi:type="dcterms:W3CDTF">2018-09-05T00:41:43Z</dcterms:created>
  <dcterms:modified xsi:type="dcterms:W3CDTF">2019-01-26T12:55:57Z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2018-09-05T00:41:43Z</vt:filetime>
  </property>
</Properties>
</file>