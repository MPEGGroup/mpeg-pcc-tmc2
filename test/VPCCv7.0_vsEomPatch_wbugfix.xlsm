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D22BDDCA-F22A-E246-9078-DC4926E86310}" xr6:coauthVersionLast="36" xr6:coauthVersionMax="41" xr10:uidLastSave="{00000000-0000-0000-0000-000000000000}"/>
  <bookViews>
    <workbookView xWindow="7240" yWindow="1900" windowWidth="48520" windowHeight="24440" activeTab="4"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K36" i="7"/>
  <c r="J36" i="7"/>
  <c r="I36" i="7"/>
  <c r="BF35" i="7"/>
  <c r="AL35" i="7"/>
  <c r="AK35" i="7"/>
  <c r="AJ35" i="7"/>
  <c r="AH35" i="7"/>
  <c r="AG35" i="7"/>
  <c r="N35" i="7"/>
  <c r="M35" i="7"/>
  <c r="L35" i="7"/>
  <c r="J35" i="7"/>
  <c r="I35" i="7"/>
  <c r="BF34" i="7"/>
  <c r="AL34" i="7"/>
  <c r="AI34" i="7" s="1"/>
  <c r="AK34" i="7"/>
  <c r="AJ34" i="7"/>
  <c r="AH34" i="7"/>
  <c r="AG34" i="7"/>
  <c r="N34" i="7"/>
  <c r="M34" i="7"/>
  <c r="L34" i="7"/>
  <c r="K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J42" i="7" s="1"/>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H41" i="7" s="1"/>
  <c r="AG25" i="7"/>
  <c r="N25" i="7"/>
  <c r="M25" i="7"/>
  <c r="M41" i="7" s="1"/>
  <c r="L25" i="7"/>
  <c r="J25" i="7"/>
  <c r="I25" i="7"/>
  <c r="BF24" i="7"/>
  <c r="AL24" i="7"/>
  <c r="AI24" i="7" s="1"/>
  <c r="AK24" i="7"/>
  <c r="AJ24" i="7"/>
  <c r="AH24" i="7"/>
  <c r="AG24" i="7"/>
  <c r="N24" i="7"/>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M14" i="7"/>
  <c r="L14" i="7"/>
  <c r="K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J43" i="7" s="1"/>
  <c r="I5" i="7"/>
  <c r="AZ18" i="6"/>
  <c r="AY18" i="6"/>
  <c r="AX18" i="6"/>
  <c r="AW18" i="6"/>
  <c r="AC18" i="6"/>
  <c r="AB18" i="6"/>
  <c r="AA18" i="6"/>
  <c r="Z18" i="6"/>
  <c r="AZ16" i="6"/>
  <c r="AY16" i="6"/>
  <c r="AX16" i="6"/>
  <c r="AW16" i="6"/>
  <c r="AC16" i="6"/>
  <c r="AB16" i="6"/>
  <c r="AA16" i="6"/>
  <c r="Z16" i="6"/>
  <c r="AK11" i="6"/>
  <c r="AJ11" i="6"/>
  <c r="AI11" i="6"/>
  <c r="AG11" i="6"/>
  <c r="AF11" i="6"/>
  <c r="AE11" i="6"/>
  <c r="N11" i="6"/>
  <c r="K11" i="6" s="1"/>
  <c r="M11" i="6"/>
  <c r="L11" i="6"/>
  <c r="BD11" i="6" s="1"/>
  <c r="J11" i="6"/>
  <c r="I11" i="6"/>
  <c r="H11" i="6"/>
  <c r="AK10" i="6"/>
  <c r="AH10" i="6" s="1"/>
  <c r="AJ10" i="6"/>
  <c r="AI10" i="6"/>
  <c r="AG10" i="6"/>
  <c r="AF10" i="6"/>
  <c r="AE10" i="6"/>
  <c r="N10" i="6"/>
  <c r="M10" i="6"/>
  <c r="L10" i="6"/>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AG7" i="6"/>
  <c r="AF7" i="6"/>
  <c r="AE7" i="6"/>
  <c r="N7" i="6"/>
  <c r="M7" i="6"/>
  <c r="L7" i="6"/>
  <c r="J7" i="6"/>
  <c r="I7" i="6"/>
  <c r="H7" i="6"/>
  <c r="BG6" i="6" a="1"/>
  <c r="AK6" i="6"/>
  <c r="AH6" i="6" s="1"/>
  <c r="AJ6" i="6"/>
  <c r="AI6" i="6"/>
  <c r="AG6" i="6"/>
  <c r="AF6" i="6"/>
  <c r="AE6" i="6"/>
  <c r="N6" i="6"/>
  <c r="M6" i="6"/>
  <c r="L6" i="6"/>
  <c r="J6" i="6"/>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BG11" i="5" a="1"/>
  <c r="AK11" i="5"/>
  <c r="AH11" i="5" s="1"/>
  <c r="AJ11" i="5"/>
  <c r="AI11" i="5"/>
  <c r="AG11" i="5"/>
  <c r="AF11" i="5"/>
  <c r="AE11" i="5"/>
  <c r="N11" i="5"/>
  <c r="K11" i="5" s="1"/>
  <c r="M11" i="5"/>
  <c r="L11" i="5"/>
  <c r="J11" i="5"/>
  <c r="I11" i="5"/>
  <c r="H11" i="5"/>
  <c r="BG10" i="5" a="1"/>
  <c r="AK10" i="5"/>
  <c r="AJ10" i="5"/>
  <c r="AI10" i="5"/>
  <c r="AI14" i="5" s="1"/>
  <c r="AG10" i="5"/>
  <c r="AF10" i="5"/>
  <c r="AE10" i="5"/>
  <c r="N10" i="5"/>
  <c r="K10" i="5" s="1"/>
  <c r="M10" i="5"/>
  <c r="L10" i="5"/>
  <c r="J10" i="5"/>
  <c r="J14" i="5" s="1"/>
  <c r="I10" i="5"/>
  <c r="H10" i="5"/>
  <c r="AK9" i="5"/>
  <c r="BF9" i="5" s="1"/>
  <c r="AJ9" i="5"/>
  <c r="AJ13" i="5" s="1"/>
  <c r="AI9" i="5"/>
  <c r="AI13" i="5" s="1"/>
  <c r="AG9" i="5"/>
  <c r="AG13" i="5" s="1"/>
  <c r="AF9" i="5"/>
  <c r="AE9" i="5"/>
  <c r="N9" i="5"/>
  <c r="K9" i="5" s="1"/>
  <c r="K13" i="5" s="1"/>
  <c r="M9" i="5"/>
  <c r="M13" i="5" s="1"/>
  <c r="L9" i="5"/>
  <c r="J9" i="5"/>
  <c r="I9" i="5"/>
  <c r="H9" i="5"/>
  <c r="AK8" i="5"/>
  <c r="BG8" i="5" s="1" a="1"/>
  <c r="AJ8" i="5"/>
  <c r="AI8" i="5"/>
  <c r="AG8" i="5"/>
  <c r="AF8" i="5"/>
  <c r="AE8" i="5"/>
  <c r="N8" i="5"/>
  <c r="BF8" i="5" s="1"/>
  <c r="M8" i="5"/>
  <c r="BE8" i="5" s="1"/>
  <c r="L8" i="5"/>
  <c r="J8" i="5"/>
  <c r="BB8" i="5" s="1"/>
  <c r="I8" i="5"/>
  <c r="H8" i="5"/>
  <c r="BG7" i="5" a="1"/>
  <c r="AK7" i="5"/>
  <c r="AH7" i="5" s="1"/>
  <c r="AJ7" i="5"/>
  <c r="AI7" i="5"/>
  <c r="AG7" i="5"/>
  <c r="AF7" i="5"/>
  <c r="AE7" i="5"/>
  <c r="N7" i="5"/>
  <c r="M7" i="5"/>
  <c r="L7" i="5"/>
  <c r="J7" i="5"/>
  <c r="I7" i="5"/>
  <c r="H7" i="5"/>
  <c r="BG6" i="5" a="1"/>
  <c r="AK6" i="5"/>
  <c r="AJ6" i="5"/>
  <c r="AI6" i="5"/>
  <c r="AG6" i="5"/>
  <c r="AF6" i="5"/>
  <c r="AE6" i="5"/>
  <c r="N6" i="5"/>
  <c r="M6" i="5"/>
  <c r="BE6" i="5" s="1"/>
  <c r="L6" i="5"/>
  <c r="K6" i="5"/>
  <c r="J6" i="5"/>
  <c r="I6" i="5"/>
  <c r="H6" i="5"/>
  <c r="AK5" i="5"/>
  <c r="AH5" i="5" s="1"/>
  <c r="AJ5" i="5"/>
  <c r="BE5" i="5" s="1"/>
  <c r="AI5" i="5"/>
  <c r="AG5" i="5"/>
  <c r="AG15" i="5" s="1"/>
  <c r="AF5" i="5"/>
  <c r="AE5" i="5"/>
  <c r="N5" i="5"/>
  <c r="K5" i="5" s="1"/>
  <c r="M5" i="5"/>
  <c r="M12" i="5" s="1"/>
  <c r="L5" i="5"/>
  <c r="J5" i="5"/>
  <c r="I5" i="5"/>
  <c r="H5" i="5"/>
  <c r="BC46" i="3"/>
  <c r="BB46" i="3"/>
  <c r="BA46" i="3"/>
  <c r="AZ46" i="3"/>
  <c r="AE46" i="3"/>
  <c r="AD46" i="3"/>
  <c r="AC46" i="3"/>
  <c r="AB46" i="3"/>
  <c r="BC44" i="3"/>
  <c r="BB44" i="3"/>
  <c r="BA44" i="3"/>
  <c r="AZ44" i="3"/>
  <c r="AE44" i="3"/>
  <c r="AD44" i="3"/>
  <c r="BB45" i="3" s="1"/>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K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BE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M30" i="3"/>
  <c r="L30" i="3"/>
  <c r="K30" i="3"/>
  <c r="J30" i="3"/>
  <c r="I30" i="3"/>
  <c r="BF29" i="3"/>
  <c r="AL29" i="3"/>
  <c r="AI29" i="3" s="1"/>
  <c r="AK29" i="3"/>
  <c r="AJ29" i="3"/>
  <c r="AH29" i="3"/>
  <c r="AG29" i="3"/>
  <c r="N29" i="3"/>
  <c r="M29" i="3"/>
  <c r="L29" i="3"/>
  <c r="J29" i="3"/>
  <c r="I29" i="3"/>
  <c r="BF28" i="3"/>
  <c r="AL28" i="3"/>
  <c r="BG28" i="3" s="1"/>
  <c r="AK28" i="3"/>
  <c r="AJ28" i="3"/>
  <c r="AH28" i="3"/>
  <c r="AG28" i="3"/>
  <c r="N28" i="3"/>
  <c r="K28" i="3" s="1"/>
  <c r="M28" i="3"/>
  <c r="L28" i="3"/>
  <c r="J28" i="3"/>
  <c r="I28" i="3"/>
  <c r="BF27" i="3"/>
  <c r="AL27" i="3"/>
  <c r="BG27" i="3" s="1"/>
  <c r="AK27" i="3"/>
  <c r="AJ27" i="3"/>
  <c r="AH27" i="3"/>
  <c r="AG27" i="3"/>
  <c r="N27" i="3"/>
  <c r="M27" i="3"/>
  <c r="L27" i="3"/>
  <c r="K27" i="3"/>
  <c r="J27" i="3"/>
  <c r="I27" i="3"/>
  <c r="BF26" i="3"/>
  <c r="AL26" i="3"/>
  <c r="AI26" i="3" s="1"/>
  <c r="AK26" i="3"/>
  <c r="AJ26" i="3"/>
  <c r="AH26" i="3"/>
  <c r="AG26" i="3"/>
  <c r="N26" i="3"/>
  <c r="K26" i="3" s="1"/>
  <c r="M26" i="3"/>
  <c r="L26" i="3"/>
  <c r="J26" i="3"/>
  <c r="I26" i="3"/>
  <c r="BF25" i="3"/>
  <c r="AL25" i="3"/>
  <c r="AI25" i="3" s="1"/>
  <c r="AK25" i="3"/>
  <c r="AJ25" i="3"/>
  <c r="AH25" i="3"/>
  <c r="AG25" i="3"/>
  <c r="N25" i="3"/>
  <c r="BG25" i="3" s="1"/>
  <c r="M25" i="3"/>
  <c r="M41" i="3" s="1"/>
  <c r="L25" i="3"/>
  <c r="K25" i="3"/>
  <c r="J25" i="3"/>
  <c r="I25" i="3"/>
  <c r="BF24" i="3"/>
  <c r="AL24" i="3"/>
  <c r="AI24" i="3" s="1"/>
  <c r="AK24" i="3"/>
  <c r="AJ24" i="3"/>
  <c r="AH24" i="3"/>
  <c r="AG24" i="3"/>
  <c r="N24" i="3"/>
  <c r="K24" i="3" s="1"/>
  <c r="M24" i="3"/>
  <c r="L24" i="3"/>
  <c r="J24" i="3"/>
  <c r="I24" i="3"/>
  <c r="BF23" i="3"/>
  <c r="AL23" i="3"/>
  <c r="AI23" i="3" s="1"/>
  <c r="AK23" i="3"/>
  <c r="AJ23" i="3"/>
  <c r="AH23" i="3"/>
  <c r="AG23" i="3"/>
  <c r="N23" i="3"/>
  <c r="BG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K12" i="3"/>
  <c r="AJ12" i="3"/>
  <c r="AH12" i="3"/>
  <c r="AG12" i="3"/>
  <c r="N12" i="3"/>
  <c r="K12" i="3" s="1"/>
  <c r="M12" i="3"/>
  <c r="L12" i="3"/>
  <c r="J12" i="3"/>
  <c r="I12" i="3"/>
  <c r="BF11" i="3"/>
  <c r="AL11" i="3"/>
  <c r="AI11" i="3" s="1"/>
  <c r="AK11" i="3"/>
  <c r="AJ11" i="3"/>
  <c r="AH11" i="3"/>
  <c r="AG11" i="3"/>
  <c r="N11" i="3"/>
  <c r="M11" i="3"/>
  <c r="L11" i="3"/>
  <c r="J11" i="3"/>
  <c r="I11" i="3"/>
  <c r="BF10" i="3"/>
  <c r="AL10" i="3"/>
  <c r="BG10" i="3" s="1"/>
  <c r="AK10" i="3"/>
  <c r="AJ10" i="3"/>
  <c r="AH10" i="3"/>
  <c r="AG10" i="3"/>
  <c r="N10" i="3"/>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K5" i="3"/>
  <c r="J5" i="3"/>
  <c r="I5" i="3"/>
  <c r="B1" i="2"/>
  <c r="B2" i="2" s="1"/>
  <c r="BP35" i="7"/>
  <c r="BN25" i="7"/>
  <c r="BM15" i="7"/>
  <c r="BS35" i="7"/>
  <c r="BR25" i="7"/>
  <c r="BQ15" i="7"/>
  <c r="BT5" i="7"/>
  <c r="BM35" i="7"/>
  <c r="BT20" i="7"/>
  <c r="BP15" i="7"/>
  <c r="BN5" i="7"/>
  <c r="BQ35" i="7"/>
  <c r="BM5" i="7"/>
  <c r="BQ10" i="7"/>
  <c r="BR15" i="7"/>
  <c r="BL20" i="7"/>
  <c r="BR35" i="7"/>
  <c r="BS5" i="7"/>
  <c r="BR5" i="7"/>
  <c r="BR30" i="7"/>
  <c r="BR20" i="7"/>
  <c r="BK15" i="7"/>
  <c r="BN35" i="7"/>
  <c r="BM25" i="7"/>
  <c r="BL15" i="7"/>
  <c r="BP5" i="7"/>
  <c r="BK35" i="7"/>
  <c r="BP20" i="7"/>
  <c r="BR10" i="7"/>
  <c r="BT25" i="7"/>
  <c r="BS30" i="7"/>
  <c r="BL35" i="7"/>
  <c r="BP25" i="7"/>
  <c r="BS20" i="7"/>
  <c r="BS25" i="7"/>
  <c r="BL30" i="7"/>
  <c r="BL25" i="7"/>
  <c r="BN20" i="7"/>
  <c r="BM30" i="7"/>
  <c r="BM20" i="7"/>
  <c r="BT10" i="7"/>
  <c r="BQ5" i="7"/>
  <c r="BQ30" i="7"/>
  <c r="BQ20" i="7"/>
  <c r="BS10" i="7"/>
  <c r="BJ5" i="7"/>
  <c r="BT30" i="7"/>
  <c r="BQ25" i="7"/>
  <c r="BM10" i="7"/>
  <c r="BN15" i="7"/>
  <c r="BJ25" i="7"/>
  <c r="BN30" i="7"/>
  <c r="BT35" i="7"/>
  <c r="BL5" i="7"/>
  <c r="BP30" i="7"/>
  <c r="BL10" i="7"/>
  <c r="BP10" i="7"/>
  <c r="BN10" i="7"/>
  <c r="BT15" i="7"/>
  <c r="BS15" i="7"/>
  <c r="BP35" i="3"/>
  <c r="BN25" i="3"/>
  <c r="BT15" i="3"/>
  <c r="BP10" i="3"/>
  <c r="BN35" i="3"/>
  <c r="BJ30" i="3"/>
  <c r="BP20" i="3"/>
  <c r="BN10" i="3"/>
  <c r="BR20" i="3"/>
  <c r="BT5" i="3"/>
  <c r="BN30" i="3"/>
  <c r="BQ10" i="3"/>
  <c r="BS20" i="3"/>
  <c r="BL5" i="3"/>
  <c r="BM35" i="3"/>
  <c r="BJ25" i="3"/>
  <c r="BQ5" i="3"/>
  <c r="BP15" i="3"/>
  <c r="BS5" i="3"/>
  <c r="BT30" i="3"/>
  <c r="BS15" i="3"/>
  <c r="BR5" i="3"/>
  <c r="BR35" i="3"/>
  <c r="BQ35" i="3"/>
  <c r="BM15" i="3"/>
  <c r="BQ25" i="3"/>
  <c r="BQ15" i="3"/>
  <c r="BJ35" i="3"/>
  <c r="BN20" i="3"/>
  <c r="BQ20" i="3"/>
  <c r="BN5" i="3"/>
  <c r="BM25" i="3"/>
  <c r="BM5" i="3"/>
  <c r="BL10" i="3"/>
  <c r="BM30" i="3"/>
  <c r="BL15" i="3"/>
  <c r="BS25" i="3"/>
  <c r="BT10" i="3"/>
  <c r="BS35" i="3"/>
  <c r="BT20" i="3"/>
  <c r="BS10" i="3"/>
  <c r="BR15" i="3"/>
  <c r="BM10" i="3"/>
  <c r="BR10" i="3"/>
  <c r="BQ30" i="3"/>
  <c r="BR25" i="3"/>
  <c r="BP5" i="3"/>
  <c r="BL30" i="3"/>
  <c r="BP30" i="3"/>
  <c r="BN15" i="3"/>
  <c r="BS30" i="3"/>
  <c r="BM20" i="3"/>
  <c r="BR30" i="3"/>
  <c r="BT35" i="3"/>
  <c r="BL20" i="3"/>
  <c r="BK30" i="3"/>
  <c r="BL25" i="3"/>
  <c r="BL35" i="3"/>
  <c r="BP25" i="3"/>
  <c r="BT25" i="3"/>
  <c r="BB7" i="6" l="1"/>
  <c r="L14" i="6"/>
  <c r="BD7" i="6"/>
  <c r="BF6" i="6"/>
  <c r="BB6" i="6"/>
  <c r="BE7" i="6"/>
  <c r="AH8" i="5"/>
  <c r="AJ12" i="5"/>
  <c r="BF7" i="5"/>
  <c r="BB7" i="5"/>
  <c r="BD9" i="5"/>
  <c r="AX17" i="6"/>
  <c r="L15" i="5"/>
  <c r="BB6" i="5"/>
  <c r="BE10" i="5"/>
  <c r="L14" i="5"/>
  <c r="BD14" i="5" s="1"/>
  <c r="K8" i="5"/>
  <c r="BD8" i="5"/>
  <c r="BC45" i="3"/>
  <c r="BK10" i="3"/>
  <c r="AK42" i="3"/>
  <c r="BK5" i="3"/>
  <c r="BJ5" i="3"/>
  <c r="BG13" i="3"/>
  <c r="BK25" i="3"/>
  <c r="BG5" i="3"/>
  <c r="BG9" i="3"/>
  <c r="BG11" i="3"/>
  <c r="BG22" i="7"/>
  <c r="BG24" i="7"/>
  <c r="AK41" i="7"/>
  <c r="BK20" i="7"/>
  <c r="BG10" i="7"/>
  <c r="BG18" i="7"/>
  <c r="AH42" i="7"/>
  <c r="BG6" i="7"/>
  <c r="BG8" i="7"/>
  <c r="BG14" i="7"/>
  <c r="BG16" i="7"/>
  <c r="BG26" i="7"/>
  <c r="BG28" i="7"/>
  <c r="BG36" i="7"/>
  <c r="BG38" i="7"/>
  <c r="BG12" i="7"/>
  <c r="AJ41" i="7"/>
  <c r="BG32" i="7"/>
  <c r="BG34" i="7"/>
  <c r="BH30" i="3"/>
  <c r="AK41" i="3"/>
  <c r="AI28" i="3"/>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E28"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M14" i="5"/>
  <c r="BB10" i="5"/>
  <c r="BD10" i="5"/>
  <c r="BD11" i="5"/>
  <c r="L12" i="5"/>
  <c r="M15" i="5"/>
  <c r="AY19" i="5"/>
  <c r="C24" i="1" s="1"/>
  <c r="BE12" i="5"/>
  <c r="D19" i="1" s="1"/>
  <c r="BE7" i="5"/>
  <c r="BG8" i="5"/>
  <c r="BE13" i="5"/>
  <c r="D20" i="1" s="1"/>
  <c r="K14" i="5"/>
  <c r="BE11" i="5"/>
  <c r="AZ17" i="5"/>
  <c r="AZ19" i="5"/>
  <c r="BC11" i="5"/>
  <c r="L13" i="5"/>
  <c r="BD13" i="5" s="1"/>
  <c r="AW17" i="5"/>
  <c r="AW19" i="5"/>
  <c r="C23" i="1" s="1"/>
  <c r="AI15" i="5"/>
  <c r="BD15" i="5" s="1"/>
  <c r="AI12" i="5"/>
  <c r="BD12" i="5" s="1"/>
  <c r="BG7" i="5"/>
  <c r="BC8" i="5"/>
  <c r="AH9" i="5"/>
  <c r="AH13" i="5" s="1"/>
  <c r="BE9" i="5"/>
  <c r="BB11" i="5"/>
  <c r="BF11" i="5"/>
  <c r="AJ14" i="5"/>
  <c r="BE14" i="5" s="1"/>
  <c r="D21" i="1" s="1"/>
  <c r="BG10" i="5"/>
  <c r="BG11" i="5"/>
  <c r="AX19" i="6"/>
  <c r="BE5" i="6"/>
  <c r="BG6" i="6"/>
  <c r="AY17" i="6"/>
  <c r="AY19" i="6"/>
  <c r="C36" i="1" s="1"/>
  <c r="K6" i="6"/>
  <c r="BC6" i="6" s="1"/>
  <c r="BD6" i="6"/>
  <c r="J14" i="6"/>
  <c r="M14" i="6"/>
  <c r="BB11" i="6"/>
  <c r="AZ19" i="6"/>
  <c r="BE6" i="6"/>
  <c r="AW17" i="6"/>
  <c r="AW19" i="6"/>
  <c r="C35" i="1" s="1"/>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J42" i="3"/>
  <c r="C11"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0" i="6"/>
  <c r="BN43" i="3"/>
  <c r="G12" i="1" s="1"/>
  <c r="BN40" i="3"/>
  <c r="G9" i="1" s="1"/>
  <c r="BG8" i="3"/>
  <c r="K10" i="3"/>
  <c r="BH10" i="3" a="1"/>
  <c r="BH10" i="3" s="1"/>
  <c r="AI10" i="3"/>
  <c r="AI12" i="3"/>
  <c r="BE12" i="3" s="1"/>
  <c r="K13" i="3"/>
  <c r="BE13" i="3" s="1"/>
  <c r="BG18" i="3"/>
  <c r="K20" i="3"/>
  <c r="BE25" i="3"/>
  <c r="BE26" i="3"/>
  <c r="L42" i="3"/>
  <c r="BG33" i="3"/>
  <c r="K33" i="3"/>
  <c r="K42" i="3" s="1"/>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E35" i="3" s="1"/>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5" i="5"/>
  <c r="AH12"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BE10" i="7" s="1"/>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30" i="7"/>
  <c r="BK30" i="7"/>
  <c r="BJ10" i="7"/>
  <c r="BK10" i="7"/>
  <c r="BJ15" i="7"/>
  <c r="BK5" i="7"/>
  <c r="BJ20" i="7"/>
  <c r="BJ35" i="7"/>
  <c r="BK25" i="7"/>
  <c r="BJ10" i="3"/>
  <c r="BK20" i="3"/>
  <c r="BJ20" i="3"/>
  <c r="BJ15" i="3"/>
  <c r="BK35" i="3"/>
  <c r="BK15" i="3"/>
  <c r="BD12" i="6" l="1"/>
  <c r="BG14" i="5"/>
  <c r="AH15" i="5"/>
  <c r="BE14" i="6"/>
  <c r="D33" i="1" s="1"/>
  <c r="K12" i="5"/>
  <c r="BC12" i="5" s="1"/>
  <c r="C19" i="1" s="1"/>
  <c r="AI41" i="3"/>
  <c r="BH42" i="7"/>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<sst xmlns="http://schemas.openxmlformats.org/spreadsheetml/2006/main" count="1592" uniqueCount="595">
  <si>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</si>
  <si>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</si>
  <si>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</si>
  <si>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</si>
  <si>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</si>
  <si>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</si>
  <si>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</si>
  <si>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</si>
  <si>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</si>
  <si>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</si>
  <si>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</si>
  <si>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</si>
  <si>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</si>
  <si>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</si>
  <si>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</si>
  <si>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</si>
  <si>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</si>
  <si>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</si>
  <si>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</si>
  <si>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</si>
  <si>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</si>
  <si>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</si>
  <si>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</si>
  <si>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</si>
  <si>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</si>
  <si>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</si>
  <si>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</si>
  <si>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</si>
  <si>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</si>
  <si>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</si>
  <si>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</si>
  <si>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</si>
  <si>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</si>
  <si>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</si>
  <si>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</si>
  <si>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</si>
  <si>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</si>
  <si>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</si>
  <si>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</si>
  <si>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</si>
  <si>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</si>
  <si>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</si>
  <si>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</si>
  <si>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</si>
  <si>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</si>
  <si>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</si>
  <si>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</si>
  <si>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</si>
  <si>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</si>
  <si>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</si>
  <si>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</si>
  <si>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</si>
  <si>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</si>
  <si>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</si>
  <si>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</si>
  <si>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</si>
  <si>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</si>
  <si>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</si>
  <si>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</si>
  <si>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</si>
  <si>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</si>
  <si>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</si>
  <si>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</si>
  <si>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</si>
  <si>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</si>
  <si>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</si>
  <si>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</si>
  <si>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</si>
  <si>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</si>
  <si>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</si>
  <si>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</si>
  <si>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</si>
  <si>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</si>
  <si>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</si>
  <si>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</si>
  <si>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</si>
  <si>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</si>
  <si>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</si>
  <si>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</si>
  <si>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</si>
  <si>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</si>
  <si>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</si>
  <si>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</si>
  <si>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</si>
  <si>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</si>
  <si>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</si>
  <si>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</si>
  <si>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</si>
  <si>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</si>
  <si>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</si>
  <si>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</si>
  <si>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</si>
  <si>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</si>
  <si>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</si>
  <si>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</si>
  <si>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</si>
  <si>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</si>
  <si>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</si>
  <si>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</si>
  <si>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</si>
  <si>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</si>
  <si>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</si>
  <si>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</si>
  <si>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</si>
  <si>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</si>
  <si>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</si>
  <si>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</si>
  <si>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</si>
  <si>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</si>
  <si>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</si>
  <si>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</si>
  <si>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</si>
  <si>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</si>
  <si>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</si>
  <si>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</si>
  <si>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</si>
  <si>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</si>
  <si>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</si>
  <si>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</si>
  <si>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</si>
  <si>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</si>
  <si>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</si>
  <si>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</si>
  <si>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</si>
  <si>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</si>
  <si>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</si>
  <si>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</si>
  <si>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</si>
  <si>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</si>
  <si>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</si>
  <si>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</si>
  <si>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</si>
  <si>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</si>
  <si>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</si>
  <si>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</si>
  <si>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</si>
  <si>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</si>
  <si>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</si>
  <si>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</si>
  <si>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</si>
  <si>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</si>
  <si>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</si>
  <si>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</si>
  <si>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</si>
  <si>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</si>
  <si>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</si>
  <si>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</si>
  <si>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</si>
  <si>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</si>
  <si>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</si>
  <si>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</si>
  <si>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</si>
  <si>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</si>
  <si>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</si>
  <si>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</si>
  <si>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</si>
  <si>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</si>
  <si>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</si>
  <si>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</si>
  <si>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</si>
  <si>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</si>
  <si>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</si>
  <si>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</si>
  <si>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</si>
  <si>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</si>
  <si>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</si>
  <si>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</si>
  <si>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</si>
  <si>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</si>
  <si>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</si>
  <si>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</si>
  <si>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</si>
  <si>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</si>
  <si>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</si>
  <si>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</si>
  <si>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</si>
  <si>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</si>
  <si>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</si>
  <si>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</si>
  <si>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</si>
  <si>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</si>
  <si>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</si>
  <si>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</si>
  <si>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</si>
  <si>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</si>
  <si>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</si>
  <si>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</si>
  <si>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</si>
  <si>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</si>
  <si>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</si>
  <si>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</si>
  <si>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</si>
  <si>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</si>
  <si>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</si>
  <si>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</si>
  <si>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</si>
  <si>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</si>
  <si>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</si>
  <si>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</si>
  <si>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</si>
  <si>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</si>
  <si>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</si>
  <si>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</si>
  <si>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</si>
  <si>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</si>
  <si>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</si>
  <si>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</si>
  <si>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</si>
  <si>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</si>
  <si>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</si>
  <si>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</si>
  <si>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</si>
  <si>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</si>
  <si>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</si>
  <si>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</si>
  <si>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</si>
  <si>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</si>
  <si>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</si>
  <si>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</si>
  <si>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</si>
  <si>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</si>
  <si>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</si>
  <si>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</si>
  <si>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</si>
  <si>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</si>
  <si>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</si>
  <si>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</si>
  <si>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</si>
  <si>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</si>
  <si>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</si>
  <si>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</si>
  <si>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</si>
  <si>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</si>
  <si>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</si>
  <si>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</si>
  <si>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</si>
  <si>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</si>
  <si>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</si>
  <si>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</si>
  <si>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</si>
  <si>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</si>
  <si>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</si>
  <si>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</si>
  <si>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</si>
  <si>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</si>
  <si>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</si>
  <si>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</si>
  <si>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</si>
  <si>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</si>
  <si>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</si>
  <si>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</si>
  <si>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</si>
  <si>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</si>
  <si>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</si>
  <si>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</si>
  <si>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</si>
  <si>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</si>
  <si>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</si>
  <si>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</si>
  <si>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</si>
  <si>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</si>
  <si>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</si>
  <si>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</si>
  <si>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</si>
  <si>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</si>
  <si>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</si>
  <si>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</si>
  <si>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</si>
  <si>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</si>
  <si>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</si>
  <si>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</si>
  <si>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</si>
  <si>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</si>
  <si>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</si>
  <si>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</si>
  <si>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</si>
  <si>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</si>
  <si>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</si>
  <si>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</si>
  <si>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</si>
  <si>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</si>
  <si>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</si>
  <si>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</si>
  <si>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</si>
  <si>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</si>
  <si>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</si>
  <si>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</si>
  <si>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</si>
  <si>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</si>
  <si>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</si>
  <si>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</si>
  <si>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</si>
  <si>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</si>
  <si>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</si>
  <si>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</si>
  <si>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</si>
  <si>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</si>
  <si>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</si>
  <si>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</si>
  <si>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</si>
  <si>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</si>
  <si>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</si>
  <si>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</si>
  <si>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</si>
  <si>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</si>
  <si>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</si>
  <si>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</si>
  <si>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</si>
  <si>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</si>
  <si>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</si>
  <si>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</si>
  <si>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</si>
  <si>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</si>
  <si>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</si>
  <si>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</si>
  <si>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</si>
  <si>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</si>
  <si>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</si>
  <si>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</si>
  <si>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</si>
  <si>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</si>
  <si>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</si>
  <si>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</si>
  <si>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</si>
  <si>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</si>
  <si>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</si>
  <si>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</si>
  <si>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</si>
  <si>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</si>
  <si>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</si>
  <si>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</si>
  <si>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</si>
  <si>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</si>
  <si>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</si>
  <si>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</si>
  <si>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</si>
  <si>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</si>
  <si>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</si>
  <si>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</si>
  <si>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</si>
  <si>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</si>
  <si>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</si>
  <si>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</si>
  <si>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</si>
  <si>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</si>
  <si>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</si>
  <si>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</si>
  <si>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</si>
  <si>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</si>
  <si>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</si>
  <si>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</si>
  <si>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</si>
  <si>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</si>
  <si>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</si>
  <si>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</si>
  <si>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</si>
  <si>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</si>
  <si>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</si>
  <si>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</si>
  <si>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</si>
  <si>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</si>
  <si>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</si>
  <si>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</si>
  <si>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</si>
  <si>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</si>
  <si>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</si>
  <si>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</si>
  <si>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</si>
  <si>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</si>
  <si>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</si>
  <si>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</si>
  <si>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</si>
  <si>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</si>
  <si>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</si>
  <si>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</si>
  <si>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</si>
  <si>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</si>
  <si>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</si>
  <si>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</si>
  <si>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</si>
  <si>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</si>
  <si>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</si>
  <si>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</si>
  <si>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</si>
  <si>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</si>
  <si>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</si>
  <si>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</si>
  <si>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</si>
  <si>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</si>
  <si>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</si>
  <si>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</si>
  <si>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</si>
  <si>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</si>
  <si>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</si>
  <si>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</si>
  <si>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</si>
  <si>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</si>
  <si>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</si>
  <si>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</si>
  <si>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</si>
  <si>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</si>
  <si>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</si>
  <si>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</si>
  <si>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</si>
  <si>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</si>
  <si>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</si>
  <si>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</si>
  <si>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</si>
  <si>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</si>
  <si>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</si>
  <si>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</si>
  <si>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</si>
  <si>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</si>
  <si>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</si>
  <si>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</si>
  <si>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</si>
  <si>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</si>
  <si>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</si>
  <si>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</si>
  <si>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</si>
  <si>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</si>
  <si>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</si>
  <si>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</si>
  <si>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</si>
  <si>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</si>
  <si>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</si>
  <si>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</si>
  <si>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</si>
  <si>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</si>
  <si>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</si>
  <si>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</si>
  <si>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</si>
  <si>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</si>
  <si>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</si>
  <si>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</si>
  <si>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</si>
  <si>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</si>
  <si>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</si>
  <si>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</si>
  <si>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</si>
  <si>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</si>
  <si>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</si>
  <si>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</si>
  <si>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</si>
  <si>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</si>
  <si>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</si>
  <si>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</si>
  <si>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</si>
  <si>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</si>
  <si>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</si>
  <si>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</si>
  <si>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</si>
  <si>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</si>
  <si>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</si>
  <si>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</si>
  <si>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</si>
  <si>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</si>
  <si>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</si>
  <si>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</si>
  <si>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</si>
  <si>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</si>
  <si>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</si>
  <si>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</si>
  <si>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</si>
  <si>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</si>
  <si>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</si>
  <si>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</si>
  <si>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</si>
  <si>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</si>
  <si>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</si>
  <si>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</si>
  <si>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</si>
  <si>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</si>
  <si>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</si>
  <si>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</si>
  <si>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</si>
  <si>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</si>
  <si>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</si>
  <si>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</si>
  <si>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</si>
  <si>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</si>
  <si>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</si>
  <si>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</si>
  <si>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</si>
  <si>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</si>
  <si>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</si>
  <si>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</si>
  <si>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</si>
  <si>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</si>
  <si>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</si>
  <si>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</si>
  <si>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</si>
  <si>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</si>
  <si>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</si>
  <si>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</si>
  <si>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</si>
  <si>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</si>
  <si>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</si>
  <si>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</si>
  <si>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</si>
  <si>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</si>
  <si>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</si>
  <si>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</si>
  <si>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</si>
  <si>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</si>
  <si>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</si>
  <si>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</si>
  <si>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</si>
  <si>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</si>
  <si>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</si>
  <si>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</si>
  <si>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</si>
  <si>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</si>
  <si>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</si>
  <si>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</si>
  <si>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</si>
  <si>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</si>
  <si>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</si>
  <si>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</si>
  <si>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</si>
  <si>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</si>
  <si>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</si>
  <si>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</si>
  <si>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</si>
  <si>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</si>
  <si>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</si>
  <si>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</si>
  <si>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</si>
  <si>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</si>
  <si>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</si>
  <si>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</si>
  <si>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</si>
  <si>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</si>
  <si>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</si>
  <si>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</si>
  <si>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</si>
  <si>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</si>
  <si>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</si>
  <si>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</si>
  <si>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</si>
  <si>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</si>
  <si>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</si>
  <si>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</si>
  <si>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</si>
  <si>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</si>
  <si>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</si>
  <si>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</si>
  <si>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</si>
  <si>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</si>
  <si>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</si>
  <si>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</si>
  <si>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</si>
  <si>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</si>
  <si>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</si>
  <si>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</si>
  <si>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</si>
  <si>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</si>
  <si>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</si>
  <si>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</si>
  <si>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</si>
  <si>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</si>
  <si>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</si>
  <si>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</si>
  <si>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</si>
  <si>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</si>
  <si>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</si>
  <si>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</si>
  <si>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</si>
  <si>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</si>
  <si>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</si>
  <si>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</si>
  <si>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</si>
  <si>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</si>
  <si>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</si>
  <si>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</si>
  <si>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</si>
  <si>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</si>
  <si>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</si>
  <si>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</si>
  <si>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</si>
  <si>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</si>
  <si>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</si>
  <si>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</si>
  <si>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</si>
  <si>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</si>
  <si>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</si>
  <si>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</si>
  <si>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</si>
  <si>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</si>
  <si>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</si>
  <si>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vpcc8.0rc2</t>
  </si>
  <si>
    <t>vpcc80rc2</t>
  </si>
  <si>
    <t>inf</t>
  </si>
  <si>
    <t>vpcc r7.0</t>
  </si>
  <si>
    <t>rc1.0 + rc2.0 (m51485+51037)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</si>
</sst>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9">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10" fontId="0" fillId="8" borderId="0" xfId="0" applyNumberFormat="1" applyFill="1" applyAlignment="1">
      <alignment horizontal="center"/>
    </xf>
    <xf numFmtId="10" fontId="0" fillId="10" borderId="0" xfId="0" applyNumberFormat="1" applyFill="1" applyAlignment="1">
      <alignment horizontal="center"/>
    </xf>
    <xf numFmtId="10" fontId="0" fillId="10" borderId="3" xfId="0" applyNumberFormat="1" applyFill="1" applyBorder="1" applyAlignment="1">
      <alignment horizontal="center"/>
    </xf>
    <xf numFmtId="10" fontId="0" fillId="8" borderId="3" xfId="0" applyNumberFormat="1" applyFill="1" applyBorder="1" applyAlignment="1">
      <alignment horizontal="center"/>
    </xf>
    <xf numFmtId="10" fontId="0" fillId="0" borderId="0" xfId="0" applyNumberFormat="1" applyAlignment="1">
      <alignment horizontal="center"/>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66.354628124999991</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68.478524999999991</c:v>
                </c:pt>
                <c:pt idx="1">
                  <c:v>70.438459375000022</c:v>
                </c:pt>
                <c:pt idx="2">
                  <c:v>72.129403124999982</c:v>
                </c:pt>
                <c:pt idx="3">
                  <c:v>73.406981250000001</c:v>
                </c:pt>
                <c:pt idx="4">
                  <c:v>75.319240624999978</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vpcc8.0rc2</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32.10944687500001</c:v>
                </c:pt>
                <c:pt idx="1">
                  <c:v>34.365984374999996</c:v>
                </c:pt>
                <c:pt idx="2">
                  <c:v>36.915784375000001</c:v>
                </c:pt>
                <c:pt idx="3">
                  <c:v>39.549353125000003</c:v>
                </c:pt>
                <c:pt idx="4">
                  <c:v>42.149681250000008</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vpcc8.0rc2</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45.499918749999992</c:v>
                </c:pt>
                <c:pt idx="2">
                  <c:v>46.579393750000023</c:v>
                </c:pt>
                <c:pt idx="3">
                  <c:v>47.886118750000001</c:v>
                </c:pt>
                <c:pt idx="4">
                  <c:v>49.421931249999993</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vpcc8.0rc2</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47.950350000000007</c:v>
                </c:pt>
                <c:pt idx="4">
                  <c:v>49.547406250000009</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67" t="s">
        <v>1</v>
      </c>
      <c r="D1" s="59"/>
      <c r="E1" s="59"/>
    </row>
    <row r="2" spans="2:12" x14ac:dyDescent="0.2">
      <c r="B2" t="s">
        <v>2</v>
      </c>
      <c r="C2" s="68" t="s">
        <v>3</v>
      </c>
      <c r="D2" s="59"/>
      <c r="E2" s="59"/>
    </row>
    <row r="4" spans="2:12" s="1" customFormat="1" x14ac:dyDescent="0.2">
      <c r="B4" s="1" t="s">
        <v>4</v>
      </c>
    </row>
    <row r="6" spans="2:12" x14ac:dyDescent="0.2">
      <c r="B6" s="62"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1"/>
      <c r="C8" s="2" t="s">
        <v>11</v>
      </c>
      <c r="D8" s="2" t="s">
        <v>12</v>
      </c>
      <c r="E8" s="3" t="s">
        <v>13</v>
      </c>
      <c r="F8" s="3" t="s">
        <v>14</v>
      </c>
      <c r="G8" s="3" t="s">
        <v>15</v>
      </c>
      <c r="H8" s="2" t="s">
        <v>11</v>
      </c>
      <c r="I8" s="2" t="s">
        <v>12</v>
      </c>
      <c r="J8" s="3" t="s">
        <v>13</v>
      </c>
      <c r="K8" s="3" t="s">
        <v>14</v>
      </c>
      <c r="L8" s="3" t="s">
        <v>15</v>
      </c>
    </row>
    <row r="9" spans="2:12" x14ac:dyDescent="0.2">
      <c r="B9" t="s">
        <v>16</v>
      </c>
      <c r="C9" s="51" t="e">
        <f>'C2 lossyG,lossyA,intra'!$BJ$40:$BJ$40</f>
        <v>#DIV/0!</v>
      </c>
      <c r="D9" s="51" t="e">
        <f>'C2 lossyG,lossyA,intra'!$BK$40:$BK$40</f>
        <v>#DIV/0!</v>
      </c>
      <c r="E9" s="51" t="e">
        <f>'C2 lossyG,lossyA,intra'!$BL$40:$BL$40</f>
        <v>#DIV/0!</v>
      </c>
      <c r="F9" s="51" t="e">
        <f>'C2 lossyG,lossyA,intra'!$BM$40:$BM$40</f>
        <v>#DIV/0!</v>
      </c>
      <c r="G9" s="51" t="e">
        <f>'C2 lossyG,lossyA,intra'!$BN$40:$BN$40</f>
        <v>#DIV/0!</v>
      </c>
      <c r="H9" s="51" t="e">
        <f>'C2 lossyG,lossyA,intra'!$BP$40:$BP$40</f>
        <v>#DIV/0!</v>
      </c>
      <c r="I9" s="51" t="e">
        <f>'C2 lossyG,lossyA,intra'!$BQ$40:$BQ$40</f>
        <v>#DIV/0!</v>
      </c>
      <c r="J9" s="51" t="e">
        <f>'C2 lossyG,lossyA,intra'!$BR$40:$BR$40</f>
        <v>#DIV/0!</v>
      </c>
      <c r="K9" s="51" t="e">
        <f>'C2 lossyG,lossyA,intra'!$BS$40:$BS$40</f>
        <v>#DIV/0!</v>
      </c>
      <c r="L9" s="51" t="e">
        <f>'C2 lossyG,lossyA,intra'!$BT$40:$BT$40</f>
        <v>#DIV/0!</v>
      </c>
    </row>
    <row r="10" spans="2:12" x14ac:dyDescent="0.2">
      <c r="B10" t="s">
        <v>17</v>
      </c>
      <c r="C10" s="51" t="e">
        <f>'C2 lossyG,lossyA,intra'!$BJ$41:$BJ$41</f>
        <v>#DIV/0!</v>
      </c>
      <c r="D10" s="51" t="e">
        <f>'C2 lossyG,lossyA,intra'!$BK$41:$BK$41</f>
        <v>#DIV/0!</v>
      </c>
      <c r="E10" s="51" t="e">
        <f>'C2 lossyG,lossyA,intra'!$BL$41:$BL$41</f>
        <v>#DIV/0!</v>
      </c>
      <c r="F10" s="51" t="e">
        <f>'C2 lossyG,lossyA,intra'!$BM$41:$BM$41</f>
        <v>#DIV/0!</v>
      </c>
      <c r="G10" s="51" t="e">
        <f>'C2 lossyG,lossyA,intra'!$BN$41:$BN$41</f>
        <v>#DIV/0!</v>
      </c>
      <c r="H10" s="51" t="e">
        <f>'C2 lossyG,lossyA,intra'!$BP$41:$BP$41</f>
        <v>#DIV/0!</v>
      </c>
      <c r="I10" s="51" t="e">
        <f>'C2 lossyG,lossyA,intra'!$BQ$41:$BQ$41</f>
        <v>#DIV/0!</v>
      </c>
      <c r="J10" s="51" t="e">
        <f>'C2 lossyG,lossyA,intra'!$BR$41:$BR$41</f>
        <v>#DIV/0!</v>
      </c>
      <c r="K10" s="51" t="e">
        <f>'C2 lossyG,lossyA,intra'!$BS$41:$BS$41</f>
        <v>#DIV/0!</v>
      </c>
      <c r="L10" s="51" t="e">
        <f>'C2 lossyG,lossyA,intra'!$BT$41:$BT$41</f>
        <v>#DIV/0!</v>
      </c>
    </row>
    <row r="11" spans="2:12" x14ac:dyDescent="0.2">
      <c r="B11" t="s">
        <v>18</v>
      </c>
      <c r="C11" s="51" t="e">
        <f>'C2 lossyG,lossyA,intra'!$BJ$42:$BJ$42</f>
        <v>#DIV/0!</v>
      </c>
      <c r="D11" s="51" t="e">
        <f>'C2 lossyG,lossyA,intra'!$BK$42:$BK$42</f>
        <v>#DIV/0!</v>
      </c>
      <c r="E11" s="51" t="e">
        <f>'C2 lossyG,lossyA,intra'!$BL$42:$BL$42</f>
        <v>#DIV/0!</v>
      </c>
      <c r="F11" s="51" t="e">
        <f>'C2 lossyG,lossyA,intra'!$BM$42:$BM$42</f>
        <v>#DIV/0!</v>
      </c>
      <c r="G11" s="51" t="e">
        <f>'C2 lossyG,lossyA,intra'!$BN$42:$BN$42</f>
        <v>#DIV/0!</v>
      </c>
      <c r="H11" s="51" t="e">
        <f>'C2 lossyG,lossyA,intra'!$BP$42:$BP$42</f>
        <v>#DIV/0!</v>
      </c>
      <c r="I11" s="51" t="e">
        <f>'C2 lossyG,lossyA,intra'!$BQ$42:$BQ$42</f>
        <v>#DIV/0!</v>
      </c>
      <c r="J11" s="51" t="e">
        <f>'C2 lossyG,lossyA,intra'!$BR$42:$BR$42</f>
        <v>#DIV/0!</v>
      </c>
      <c r="K11" s="51" t="e">
        <f>'C2 lossyG,lossyA,intra'!$BS$42:$BS$42</f>
        <v>#DIV/0!</v>
      </c>
      <c r="L11" s="51" t="e">
        <f>'C2 lossyG,lossyA,intra'!$BT$42:$BT$42</f>
        <v>#DIV/0!</v>
      </c>
    </row>
    <row r="12" spans="2:12" x14ac:dyDescent="0.2">
      <c r="B12" s="4" t="s">
        <v>19</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
      <c r="B13" t="s">
        <v>20</v>
      </c>
      <c r="C13" s="58" t="e">
        <f>'C2 lossyG,lossyA,intra'!AZ47</f>
        <v>#NUM!</v>
      </c>
      <c r="D13" s="59"/>
      <c r="E13" s="59"/>
      <c r="F13" s="59"/>
      <c r="G13" s="59"/>
      <c r="H13" s="59"/>
      <c r="I13" s="59"/>
      <c r="J13" s="59"/>
      <c r="K13" s="59"/>
      <c r="L13" s="59"/>
    </row>
    <row r="14" spans="2:12" x14ac:dyDescent="0.2">
      <c r="B14" s="54" t="s">
        <v>21</v>
      </c>
      <c r="C14" s="60" t="e">
        <f>'C2 lossyG,lossyA,intra'!BB47</f>
        <v>#NUM!</v>
      </c>
      <c r="D14" s="61"/>
      <c r="E14" s="61"/>
      <c r="F14" s="61"/>
      <c r="G14" s="61"/>
      <c r="H14" s="61"/>
      <c r="I14" s="61"/>
      <c r="J14" s="61"/>
      <c r="K14" s="61"/>
      <c r="L14" s="61"/>
    </row>
    <row r="16" spans="2:12" x14ac:dyDescent="0.2">
      <c r="B16" s="62" t="s">
        <v>22</v>
      </c>
      <c r="C16" s="63" t="s">
        <v>23</v>
      </c>
      <c r="D16" s="64"/>
      <c r="E16" s="64"/>
    </row>
    <row r="17" spans="2:5" x14ac:dyDescent="0.2">
      <c r="B17" s="59"/>
      <c r="C17" s="65" t="s">
        <v>24</v>
      </c>
      <c r="D17" s="59"/>
      <c r="E17" s="59"/>
    </row>
    <row r="18" spans="2:5" ht="16" x14ac:dyDescent="0.2">
      <c r="B18" s="61"/>
      <c r="C18" s="2" t="s">
        <v>25</v>
      </c>
      <c r="D18" s="2" t="s">
        <v>26</v>
      </c>
      <c r="E18" s="2" t="s">
        <v>27</v>
      </c>
    </row>
    <row r="19" spans="2:5" x14ac:dyDescent="0.2">
      <c r="B19" t="s">
        <v>16</v>
      </c>
      <c r="C19" s="51">
        <f>'CW losslG,losslA,intra'!BC12</f>
        <v>1.0001233842436243</v>
      </c>
      <c r="D19" s="51">
        <f>'CW losslG,losslA,intra'!BE12</f>
        <v>1.0081416767810571</v>
      </c>
      <c r="E19" s="51">
        <f>'CW losslG,losslA,intra'!BB12</f>
        <v>1.0069238484401097</v>
      </c>
    </row>
    <row r="20" spans="2:5" x14ac:dyDescent="0.2">
      <c r="B20" t="s">
        <v>17</v>
      </c>
      <c r="C20" s="51">
        <f>'CW losslG,losslA,intra'!BC13</f>
        <v>1.0000980970021809</v>
      </c>
      <c r="D20" s="51">
        <f>'CW losslG,losslA,intra'!BE13</f>
        <v>1.0054597755260903</v>
      </c>
      <c r="E20" s="51">
        <f>'CW losslG,losslA,intra'!BB13</f>
        <v>1.0049188943345728</v>
      </c>
    </row>
    <row r="21" spans="2:5" x14ac:dyDescent="0.2">
      <c r="B21" t="s">
        <v>18</v>
      </c>
      <c r="C21" s="51">
        <f>'CW losslG,losslA,intra'!BC14</f>
        <v>1.0000732624196975</v>
      </c>
      <c r="D21" s="51">
        <f>'CW losslG,losslA,intra'!BE14</f>
        <v>1.0029937480355064</v>
      </c>
      <c r="E21" s="51">
        <f>'CW losslG,losslA,intra'!BB14</f>
        <v>1.002653451994661</v>
      </c>
    </row>
    <row r="22" spans="2:5" x14ac:dyDescent="0.2">
      <c r="B22" s="4" t="s">
        <v>19</v>
      </c>
      <c r="C22" s="5">
        <f>'CW losslG,losslA,intra'!BC15</f>
        <v>1.0000999011520912</v>
      </c>
      <c r="D22" s="5">
        <f>'CW losslG,losslA,intra'!BE15</f>
        <v>1.0053742524729115</v>
      </c>
      <c r="E22" s="5">
        <f>'CW losslG,losslA,intra'!BB15</f>
        <v>1.0046959260782826</v>
      </c>
    </row>
    <row r="23" spans="2:5" x14ac:dyDescent="0.2">
      <c r="B23" t="s">
        <v>20</v>
      </c>
      <c r="C23" s="58">
        <f>'CW losslG,losslA,intra'!AW19</f>
        <v>1.4787702012905561</v>
      </c>
      <c r="D23" s="59"/>
      <c r="E23" s="59"/>
    </row>
    <row r="24" spans="2:5" x14ac:dyDescent="0.2">
      <c r="B24" s="54" t="s">
        <v>21</v>
      </c>
      <c r="C24" s="60">
        <f>'CW losslG,losslA,intra'!AY19</f>
        <v>1.8894110978246419</v>
      </c>
      <c r="D24" s="61"/>
      <c r="E24" s="61"/>
    </row>
    <row r="26" spans="2:5" s="1" customFormat="1" x14ac:dyDescent="0.2">
      <c r="B26" s="1" t="s">
        <v>28</v>
      </c>
    </row>
    <row r="28" spans="2:5" x14ac:dyDescent="0.2">
      <c r="B28" s="62" t="s">
        <v>29</v>
      </c>
      <c r="C28" s="63" t="s">
        <v>30</v>
      </c>
      <c r="D28" s="64"/>
      <c r="E28" s="64"/>
    </row>
    <row r="29" spans="2:5" x14ac:dyDescent="0.2">
      <c r="B29" s="59"/>
      <c r="C29" s="65" t="s">
        <v>24</v>
      </c>
      <c r="D29" s="59"/>
      <c r="E29" s="59"/>
    </row>
    <row r="30" spans="2:5" ht="16" x14ac:dyDescent="0.2">
      <c r="B30" s="61"/>
      <c r="C30" s="2" t="s">
        <v>25</v>
      </c>
      <c r="D30" s="2" t="s">
        <v>26</v>
      </c>
      <c r="E30" s="2" t="s">
        <v>27</v>
      </c>
    </row>
    <row r="31" spans="2:5" x14ac:dyDescent="0.2">
      <c r="B31" t="s">
        <v>16</v>
      </c>
      <c r="C31" s="51">
        <f>'CW losslG,losslA,interLD'!BC12</f>
        <v>1.0001362370715496</v>
      </c>
      <c r="D31" s="51">
        <f>'CW losslG,losslA,interLD'!BE12</f>
        <v>1.0083556563684595</v>
      </c>
      <c r="E31" s="51">
        <f>'CW losslG,losslA,interLD'!BB12</f>
        <v>1.0071883742973746</v>
      </c>
    </row>
    <row r="32" spans="2:5" x14ac:dyDescent="0.2">
      <c r="B32" t="s">
        <v>17</v>
      </c>
      <c r="C32" s="51">
        <f>'CW losslG,losslA,interLD'!BC13</f>
        <v>1.0000977012882912</v>
      </c>
      <c r="D32" s="51">
        <f>'CW losslG,losslA,interLD'!BE13</f>
        <v>1.005498298437236</v>
      </c>
      <c r="E32" s="51">
        <f>'CW losslG,losslA,interLD'!BB13</f>
        <v>1.0049502921910669</v>
      </c>
    </row>
    <row r="33" spans="2:12" x14ac:dyDescent="0.2">
      <c r="B33" t="s">
        <v>18</v>
      </c>
      <c r="C33" s="51">
        <f>'CW losslG,losslA,interLD'!BC14</f>
        <v>1.0000731603148361</v>
      </c>
      <c r="D33" s="51">
        <f>'CW losslG,losslA,interLD'!BE14</f>
        <v>1.002997396310952</v>
      </c>
      <c r="E33" s="51">
        <f>'CW losslG,losslA,interLD'!BB14</f>
        <v>1.0026568189843319</v>
      </c>
    </row>
    <row r="34" spans="2:12" x14ac:dyDescent="0.2">
      <c r="B34" s="4" t="s">
        <v>19</v>
      </c>
      <c r="C34" s="5">
        <f>'CW losslG,losslA,interLD'!BC15</f>
        <v>1.0001044755770461</v>
      </c>
      <c r="D34" s="5">
        <f>'CW losslG,losslA,interLD'!BE15</f>
        <v>1.0054385455406671</v>
      </c>
      <c r="E34" s="5">
        <f>'CW losslG,losslA,interLD'!BB15</f>
        <v>1.0047746952803034</v>
      </c>
    </row>
    <row r="35" spans="2:12" x14ac:dyDescent="0.2">
      <c r="B35" t="s">
        <v>20</v>
      </c>
      <c r="C35" s="58">
        <f>'CW losslG,losslA,interLD'!AW19</f>
        <v>1.3893457449614173</v>
      </c>
      <c r="D35" s="59"/>
      <c r="E35" s="59"/>
    </row>
    <row r="36" spans="2:12" x14ac:dyDescent="0.2">
      <c r="B36" s="54" t="s">
        <v>21</v>
      </c>
      <c r="C36" s="60">
        <f>'CW losslG,losslA,interLD'!AY19</f>
        <v>1.8099597467010828</v>
      </c>
      <c r="D36" s="61"/>
      <c r="E36" s="61"/>
    </row>
    <row r="38" spans="2:12" s="1" customFormat="1" x14ac:dyDescent="0.2">
      <c r="B38" s="1" t="s">
        <v>31</v>
      </c>
    </row>
    <row r="40" spans="2:12" x14ac:dyDescent="0.2">
      <c r="B40" s="62"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1"/>
      <c r="C42" s="2" t="s">
        <v>11</v>
      </c>
      <c r="D42" s="2" t="s">
        <v>12</v>
      </c>
      <c r="E42" s="3" t="s">
        <v>13</v>
      </c>
      <c r="F42" s="3" t="s">
        <v>14</v>
      </c>
      <c r="G42" s="3" t="s">
        <v>15</v>
      </c>
      <c r="H42" s="2" t="s">
        <v>11</v>
      </c>
      <c r="I42" s="2" t="s">
        <v>12</v>
      </c>
      <c r="J42" s="3" t="s">
        <v>13</v>
      </c>
      <c r="K42" s="3" t="s">
        <v>14</v>
      </c>
      <c r="L42" s="3" t="s">
        <v>15</v>
      </c>
    </row>
    <row r="43" spans="2:12" x14ac:dyDescent="0.2">
      <c r="B43" t="s">
        <v>16</v>
      </c>
      <c r="C43" s="51" t="e">
        <f>'C2 lossyG,lossyA,interRA'!$BJ$40:$BJ$40</f>
        <v>#DIV/0!</v>
      </c>
      <c r="D43" s="51" t="e">
        <f>'C2 lossyG,lossyA,interRA'!$BK$40:$BK$40</f>
        <v>#DIV/0!</v>
      </c>
      <c r="E43" s="51" t="e">
        <f>'C2 lossyG,lossyA,interRA'!$BL$40:$BL$40</f>
        <v>#DIV/0!</v>
      </c>
      <c r="F43" s="51" t="e">
        <f>'C2 lossyG,lossyA,interRA'!$BM$40:$BM$40</f>
        <v>#DIV/0!</v>
      </c>
      <c r="G43" s="51" t="e">
        <f>'C2 lossyG,lossyA,interRA'!$BN$40:$BN$40</f>
        <v>#DIV/0!</v>
      </c>
      <c r="H43" s="51" t="e">
        <f>'C2 lossyG,lossyA,interRA'!$BP$40:$BP$40</f>
        <v>#DIV/0!</v>
      </c>
      <c r="I43" s="51" t="e">
        <f>'C2 lossyG,lossyA,interRA'!$BQ$40:$BQ$40</f>
        <v>#DIV/0!</v>
      </c>
      <c r="J43" s="51" t="e">
        <f>'C2 lossyG,lossyA,interRA'!$BR$40:$BR$40</f>
        <v>#DIV/0!</v>
      </c>
      <c r="K43" s="51" t="e">
        <f>'C2 lossyG,lossyA,interRA'!$BS$40:$BS$40</f>
        <v>#DIV/0!</v>
      </c>
      <c r="L43" s="51" t="e">
        <f>'C2 lossyG,lossyA,interRA'!$BT$40:$BT$40</f>
        <v>#DIV/0!</v>
      </c>
    </row>
    <row r="44" spans="2:12" x14ac:dyDescent="0.2">
      <c r="B44" t="s">
        <v>17</v>
      </c>
      <c r="C44" s="51" t="e">
        <f>'C2 lossyG,lossyA,interRA'!$BJ$41:$BJ$41</f>
        <v>#DIV/0!</v>
      </c>
      <c r="D44" s="51" t="e">
        <f>'C2 lossyG,lossyA,interRA'!$BK$41:$BK$41</f>
        <v>#DIV/0!</v>
      </c>
      <c r="E44" s="51" t="e">
        <f>'C2 lossyG,lossyA,interRA'!$BL$41:$BL$41</f>
        <v>#DIV/0!</v>
      </c>
      <c r="F44" s="51" t="e">
        <f>'C2 lossyG,lossyA,interRA'!$BM$41:$BM$41</f>
        <v>#DIV/0!</v>
      </c>
      <c r="G44" s="51" t="e">
        <f>'C2 lossyG,lossyA,interRA'!$BN$41:$BN$41</f>
        <v>#DIV/0!</v>
      </c>
      <c r="H44" s="51" t="e">
        <f>'C2 lossyG,lossyA,interRA'!$BP$41:$BP$41</f>
        <v>#DIV/0!</v>
      </c>
      <c r="I44" s="51" t="e">
        <f>'C2 lossyG,lossyA,interRA'!$BQ$41:$BQ$41</f>
        <v>#DIV/0!</v>
      </c>
      <c r="J44" s="51" t="e">
        <f>'C2 lossyG,lossyA,interRA'!$BR$41:$BR$41</f>
        <v>#DIV/0!</v>
      </c>
      <c r="K44" s="51" t="e">
        <f>'C2 lossyG,lossyA,interRA'!$BS$41:$BS$41</f>
        <v>#DIV/0!</v>
      </c>
      <c r="L44" s="51" t="e">
        <f>'C2 lossyG,lossyA,interRA'!$BT$41:$BT$41</f>
        <v>#DIV/0!</v>
      </c>
    </row>
    <row r="45" spans="2:12" x14ac:dyDescent="0.2">
      <c r="B45" t="s">
        <v>18</v>
      </c>
      <c r="C45" s="51" t="e">
        <f>'C2 lossyG,lossyA,interRA'!$BJ$42:$BJ$42</f>
        <v>#DIV/0!</v>
      </c>
      <c r="D45" s="51" t="e">
        <f>'C2 lossyG,lossyA,interRA'!$BK$42:$BK$42</f>
        <v>#DIV/0!</v>
      </c>
      <c r="E45" s="51" t="e">
        <f>'C2 lossyG,lossyA,interRA'!$BL$42:$BL$42</f>
        <v>#DIV/0!</v>
      </c>
      <c r="F45" s="51" t="e">
        <f>'C2 lossyG,lossyA,interRA'!$BM$42:$BM$42</f>
        <v>#DIV/0!</v>
      </c>
      <c r="G45" s="51" t="e">
        <f>'C2 lossyG,lossyA,interRA'!$BN$42:$BN$42</f>
        <v>#DIV/0!</v>
      </c>
      <c r="H45" s="51" t="e">
        <f>'C2 lossyG,lossyA,interRA'!$BP$42:$BP$42</f>
        <v>#DIV/0!</v>
      </c>
      <c r="I45" s="51" t="e">
        <f>'C2 lossyG,lossyA,interRA'!$BQ$42:$BQ$42</f>
        <v>#DIV/0!</v>
      </c>
      <c r="J45" s="51" t="e">
        <f>'C2 lossyG,lossyA,interRA'!$BR$42:$BR$42</f>
        <v>#DIV/0!</v>
      </c>
      <c r="K45" s="51" t="e">
        <f>'C2 lossyG,lossyA,interRA'!$BS$42:$BS$42</f>
        <v>#DIV/0!</v>
      </c>
      <c r="L45" s="51" t="e">
        <f>'C2 lossyG,lossyA,interRA'!$BT$42:$BT$42</f>
        <v>#DIV/0!</v>
      </c>
    </row>
    <row r="46" spans="2:12" x14ac:dyDescent="0.2">
      <c r="B46" s="4" t="s">
        <v>19</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
      <c r="B47" t="s">
        <v>20</v>
      </c>
      <c r="C47" s="58" t="e">
        <f>'C2 lossyG,lossyA,interRA'!AZ47</f>
        <v>#NUM!</v>
      </c>
      <c r="D47" s="59"/>
      <c r="E47" s="59"/>
      <c r="F47" s="59"/>
      <c r="G47" s="59"/>
      <c r="H47" s="59"/>
      <c r="I47" s="59"/>
      <c r="J47" s="59"/>
      <c r="K47" s="59"/>
      <c r="L47" s="59"/>
    </row>
    <row r="48" spans="2:12" x14ac:dyDescent="0.2">
      <c r="B48" s="54" t="s">
        <v>21</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D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1" t="s">
        <v>138</v>
      </c>
      <c r="B1" s="59"/>
      <c r="C1" s="59"/>
      <c r="D1" s="59"/>
      <c r="E1" s="59"/>
      <c r="F1" s="59"/>
      <c r="G1" s="59"/>
      <c r="I1" s="67" t="s">
        <v>590</v>
      </c>
      <c r="J1" s="59"/>
      <c r="K1" s="59"/>
      <c r="L1" s="59"/>
      <c r="M1" s="59"/>
      <c r="N1" s="59"/>
      <c r="O1" s="59"/>
      <c r="P1" s="59"/>
      <c r="Q1" s="59"/>
      <c r="R1" s="59"/>
      <c r="S1" s="59"/>
      <c r="T1" s="59"/>
      <c r="U1" s="59"/>
      <c r="V1" s="59"/>
      <c r="W1" s="59"/>
      <c r="X1" s="59"/>
      <c r="Y1" s="59"/>
      <c r="Z1" s="59"/>
      <c r="AA1" s="59"/>
      <c r="AB1" s="59"/>
      <c r="AC1" s="59"/>
      <c r="AD1" s="59"/>
      <c r="AE1" s="59"/>
      <c r="AG1" s="68"/>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c r="BV2" s="72" t="s">
        <v>86</v>
      </c>
      <c r="BW2" s="73" t="s">
        <v>88</v>
      </c>
      <c r="BX2" s="72" t="s">
        <v>84</v>
      </c>
      <c r="BY2" s="70" t="s">
        <v>150</v>
      </c>
      <c r="BZ2" s="59"/>
      <c r="CA2" s="59"/>
      <c r="CB2" s="59"/>
      <c r="CC2" s="69" t="s">
        <v>151</v>
      </c>
      <c r="CD2" s="59"/>
      <c r="CE2" s="70" t="s">
        <v>152</v>
      </c>
      <c r="CF2" s="59"/>
      <c r="CG2" s="59"/>
    </row>
    <row r="3" spans="1:88" ht="33" thickBot="1" x14ac:dyDescent="0.25">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c r="BV3" s="61"/>
      <c r="BW3" s="61"/>
      <c r="BX3" s="61"/>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66.354628124999991</v>
      </c>
      <c r="X5" s="14">
        <v>68.478524999999991</v>
      </c>
      <c r="Y5" s="14">
        <v>32.10944687500001</v>
      </c>
      <c r="Z5" s="14">
        <v>44.148171875000003</v>
      </c>
      <c r="AA5" s="14">
        <v>43.839812500000001</v>
      </c>
      <c r="AB5" s="15">
        <v>3039.45</v>
      </c>
      <c r="AC5" s="15">
        <v>1517.08</v>
      </c>
      <c r="AD5" s="15">
        <v>9.0839999999999996</v>
      </c>
      <c r="AE5" s="15">
        <v>6.056</v>
      </c>
      <c r="AG5" s="10" t="str">
        <f t="shared" ref="AG5:AG39" si="6">IF(OR(ISBLANK(AQ5),ISBLANK(G5)),"·",AQ5*G5/F5/1000000)</f>
        <v>·</v>
      </c>
      <c r="AH5" s="11" t="str">
        <f t="shared" ref="AH5:AH39" si="7">IF(ISBLANK(AQ5),"·",AQ5/D5)</f>
        <v>·</v>
      </c>
      <c r="AI5" s="11" t="str">
        <f t="shared" ref="AI5:AI39" si="8">IF(AL5="","·",AL5/D5)</f>
        <v>·</v>
      </c>
      <c r="AJ5" s="11" t="str">
        <f t="shared" ref="AJ5:AJ39" si="9">IF(AR5="","·",AR5/D5)</f>
        <v>·</v>
      </c>
      <c r="AK5" s="11" t="str">
        <f t="shared" ref="AK5:AK39" si="10">IF(ISBLANK(AT5),"·",AT5/D5)</f>
        <v>·</v>
      </c>
      <c r="AL5" s="52" t="str">
        <f t="shared" ref="AL5:AL39" si="11">IF(OR(ISBLANK(AR5),ISBLANK(AS5)),"",AR5+AS5)</f>
        <v/>
      </c>
      <c r="AM5" s="11">
        <v>16</v>
      </c>
      <c r="AN5" s="12"/>
      <c r="AO5" s="12"/>
      <c r="AP5" s="12"/>
      <c r="AQ5" s="13"/>
      <c r="AR5" s="13"/>
      <c r="AS5" s="13"/>
      <c r="AT5" s="13"/>
      <c r="AU5" s="14"/>
      <c r="AV5" s="14"/>
      <c r="AW5" s="14"/>
      <c r="AX5" s="14"/>
      <c r="AY5" s="14"/>
      <c r="AZ5" s="15"/>
      <c r="BA5" s="15"/>
      <c r="BB5" s="15"/>
      <c r="BC5" s="15"/>
      <c r="BE5" s="50" t="e">
        <f t="shared" ref="BE5:BE43" si="12">AI5/K5</f>
        <v>#VALUE!</v>
      </c>
      <c r="BF5" s="16" t="e">
        <f t="shared" ref="BF5:BF39" si="13">(AP5/AO5) - (R5/Q5)</f>
        <v>#DIV/0!</v>
      </c>
      <c r="BG5" s="16" t="e">
        <f t="shared" ref="BG5:BG39" si="14">(AL5/AQ5) - (N5/S5)</f>
        <v>#VALUE!</v>
      </c>
      <c r="BH5" s="16" t="e">
        <f t="array" ref="BH5">AVERAGE(AL5:AL9/AQ5:AQ9) - AVERAGE(N5:N9/S5:S9)</f>
        <v>#VALUE!</v>
      </c>
      <c r="BJ5" s="50" t="str">
        <f>IF( OR(ISBLANK(N5:N9),ISBLANK(AL5:AL9), ISBLANK(W5:W9),ISBLANK(AU5:AU9)), "·", bdRateExtend( N5:N9,W5:W9, AL5:AL9,AU5:AU9))</f>
        <v>·</v>
      </c>
      <c r="BK5" s="50" t="str">
        <f>IF( OR(ISBLANK(N5:N9),ISBLANK(AL5:AL9), ISBLANK(X5:X9),ISBLANK(AV5:AV9)), "·", bdRateExtend( N5:N9,X5:X9, AL5:AL9,AV5:AV9))</f>
        <v>·</v>
      </c>
      <c r="BL5" s="50" t="str">
        <f>IF( OR(ISBLANK(V5:V9),ISBLANK(AT5:AT9), ISBLANK(Y5:Y9),ISBLANK(AW5:AW9)), "·", bdRateExtend( V5:V9,Y5:Y9, AT5:AT9,AW5:AW9))</f>
        <v>·</v>
      </c>
      <c r="BM5" s="50" t="str">
        <f>IF( OR(ISBLANK(V5:V9),ISBLANK(AT5:AT9), ISBLANK(Z5:Z9),ISBLANK(AX5:AX9)), "·", bdRateExtend( V5:V9,Z5:Z9, AT5:AT9,AX5:AX9))</f>
        <v>·</v>
      </c>
      <c r="BN5" s="50" t="str">
        <f>IF( OR(ISBLANK(V5:V9),ISBLANK(AT5:AT9), ISBLANK(AA5:AA9),ISBLANK(AY5:AY9)), "·", bdRateExtend( V5:V9,AA5:AA9, AT5:AT9,AY5:AY9))</f>
        <v>·</v>
      </c>
      <c r="BP5" s="50" t="str">
        <f>IF( OR(ISBLANK(S5:S9),ISBLANK(AQ5:AQ9), ISBLANK(W5:W9),ISBLANK(AU5:AU9)), "·", bdRateExtend( S5:S9,W5:W9, AQ5:AQ9,AU5:AU9))</f>
        <v>·</v>
      </c>
      <c r="BQ5" s="50" t="str">
        <f>IF( OR(ISBLANK(S5:S9),ISBLANK(AQ5:AQ9), ISBLANK(X5:X9),ISBLANK(AV5:AV9)), "·", bdRateExtend( S5:S9,X5:X9, AQ5:AQ9,AV5:AV9))</f>
        <v>·</v>
      </c>
      <c r="BR5" s="50" t="str">
        <f>IF( OR(ISBLANK(S5:S9),ISBLANK(AQ5:AQ9), ISBLANK(Y5:Y9),ISBLANK(AW5:AW9)), "·", bdRateExtend( S5:S9,Y5:Y9, AQ5:AQ9,AW5:AW9))</f>
        <v>·</v>
      </c>
      <c r="BS5" s="50" t="str">
        <f>IF( OR(ISBLANK(S5:S9),ISBLANK(AQ5:AQ9), ISBLANK(Z5:Z9),ISBLANK(AX5:AX9)), "·", bdRateExtend( S5:S9,Z5:Z9, AQ5:AQ9,AX5:AX9))</f>
        <v>·</v>
      </c>
      <c r="BT5" s="50" t="str">
        <f>IF( OR(ISBLANK(S5:S9),ISBLANK(AQ5:AQ9), ISBLANK(AA5:AA9),ISBLANK(AY5:AY9)), "·", bdRateExtend( S5:S9,AA5:AA9, AQ5:AQ9,AY5:AY9))</f>
        <v>·</v>
      </c>
      <c r="BV5" s="53">
        <f>AN5-P5</f>
        <v>-21785839</v>
      </c>
      <c r="BW5" s="53">
        <f t="shared" ref="BW5:CG20" si="15">AO5-Q5</f>
        <v>-680807.46875</v>
      </c>
      <c r="BX5" s="53">
        <f t="shared" si="15"/>
        <v>-13493.8125</v>
      </c>
      <c r="BY5" s="53">
        <f t="shared" si="15"/>
        <v>-2331624</v>
      </c>
      <c r="BZ5" s="53">
        <f t="shared" si="15"/>
        <v>-839992</v>
      </c>
      <c r="CA5" s="53">
        <f t="shared" si="15"/>
        <v>-639160</v>
      </c>
      <c r="CB5" s="53">
        <f t="shared" si="15"/>
        <v>-852472</v>
      </c>
      <c r="CC5" s="53">
        <f t="shared" si="15"/>
        <v>-66.354628124999991</v>
      </c>
      <c r="CD5" s="53">
        <f t="shared" si="15"/>
        <v>-68.478524999999991</v>
      </c>
      <c r="CE5" s="53">
        <f t="shared" si="15"/>
        <v>-32.10944687500001</v>
      </c>
      <c r="CF5" s="53">
        <f t="shared" si="15"/>
        <v>-44.148171875000003</v>
      </c>
      <c r="CG5" s="53">
        <f t="shared" si="15"/>
        <v>-43.839812500000001</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68.255978124999999</v>
      </c>
      <c r="X6" s="23">
        <v>70.438459375000022</v>
      </c>
      <c r="Y6" s="23">
        <v>34.365984374999996</v>
      </c>
      <c r="Z6" s="23">
        <v>45.499918749999992</v>
      </c>
      <c r="AA6" s="23">
        <v>45.231668749999997</v>
      </c>
      <c r="AB6" s="24">
        <v>3292.79</v>
      </c>
      <c r="AC6" s="24">
        <v>1336.2</v>
      </c>
      <c r="AD6" s="24">
        <v>12.292</v>
      </c>
      <c r="AE6" s="24">
        <v>8.1479999999999997</v>
      </c>
      <c r="AG6" s="19" t="str">
        <f t="shared" si="6"/>
        <v>·</v>
      </c>
      <c r="AH6" s="20" t="str">
        <f t="shared" si="7"/>
        <v>·</v>
      </c>
      <c r="AI6" s="20" t="str">
        <f t="shared" si="8"/>
        <v>·</v>
      </c>
      <c r="AJ6" s="20" t="str">
        <f t="shared" si="9"/>
        <v>·</v>
      </c>
      <c r="AK6" s="20" t="str">
        <f t="shared" si="10"/>
        <v>·</v>
      </c>
      <c r="AL6" s="17" t="str">
        <f t="shared" si="11"/>
        <v/>
      </c>
      <c r="AM6" s="20">
        <v>16</v>
      </c>
      <c r="AN6" s="21"/>
      <c r="AO6" s="21"/>
      <c r="AP6" s="21"/>
      <c r="AQ6" s="22"/>
      <c r="AR6" s="22"/>
      <c r="AS6" s="22"/>
      <c r="AT6" s="22"/>
      <c r="AU6" s="23"/>
      <c r="AV6" s="23"/>
      <c r="AW6" s="23"/>
      <c r="AX6" s="23"/>
      <c r="AY6" s="23"/>
      <c r="AZ6" s="24"/>
      <c r="BA6" s="24"/>
      <c r="BB6" s="24"/>
      <c r="BC6" s="24"/>
      <c r="BE6" s="49" t="e">
        <f t="shared" si="12"/>
        <v>#VALUE!</v>
      </c>
      <c r="BF6" s="25" t="e">
        <f t="shared" si="13"/>
        <v>#DIV/0!</v>
      </c>
      <c r="BG6" s="25" t="e">
        <f t="shared" si="14"/>
        <v>#VALUE!</v>
      </c>
      <c r="BH6" s="25"/>
      <c r="BJ6" s="49"/>
      <c r="BK6" s="49"/>
      <c r="BL6" s="49"/>
      <c r="BM6" s="49"/>
      <c r="BN6" s="49"/>
      <c r="BP6" s="49"/>
      <c r="BQ6" s="49"/>
      <c r="BR6" s="49"/>
      <c r="BS6" s="49"/>
      <c r="BT6" s="49"/>
      <c r="BV6" s="53">
        <f t="shared" ref="BV6:CG39" si="16">AN6-P6</f>
        <v>-24191962</v>
      </c>
      <c r="BW6" s="53">
        <f t="shared" si="15"/>
        <v>-755998.8125</v>
      </c>
      <c r="BX6" s="53">
        <f t="shared" si="15"/>
        <v>-19085.96875</v>
      </c>
      <c r="BY6" s="53">
        <f t="shared" si="15"/>
        <v>-3634416</v>
      </c>
      <c r="BZ6" s="53">
        <f t="shared" si="15"/>
        <v>-1164872</v>
      </c>
      <c r="CA6" s="53">
        <f t="shared" si="15"/>
        <v>-639160</v>
      </c>
      <c r="CB6" s="53">
        <f t="shared" si="15"/>
        <v>-1830384</v>
      </c>
      <c r="CC6" s="53">
        <f t="shared" si="15"/>
        <v>-68.255978124999999</v>
      </c>
      <c r="CD6" s="53">
        <f t="shared" si="15"/>
        <v>-70.438459375000022</v>
      </c>
      <c r="CE6" s="53">
        <f t="shared" si="15"/>
        <v>-34.365984374999996</v>
      </c>
      <c r="CF6" s="53">
        <f t="shared" si="15"/>
        <v>-45.499918749999992</v>
      </c>
      <c r="CG6" s="53">
        <f t="shared" si="15"/>
        <v>-45.231668749999997</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72.129403124999982</v>
      </c>
      <c r="Y7" s="14">
        <v>36.915784375000001</v>
      </c>
      <c r="Z7" s="14">
        <v>46.579393750000023</v>
      </c>
      <c r="AA7" s="14">
        <v>46.454928125000002</v>
      </c>
      <c r="AB7" s="15">
        <v>3251.05</v>
      </c>
      <c r="AC7" s="15">
        <v>1431.85</v>
      </c>
      <c r="AD7" s="15">
        <v>12.404</v>
      </c>
      <c r="AE7" s="15">
        <v>8.6720000000000006</v>
      </c>
      <c r="AG7" s="10" t="str">
        <f t="shared" si="6"/>
        <v>·</v>
      </c>
      <c r="AH7" s="11" t="str">
        <f t="shared" si="7"/>
        <v>·</v>
      </c>
      <c r="AI7" s="11" t="str">
        <f t="shared" si="8"/>
        <v>·</v>
      </c>
      <c r="AJ7" s="11" t="str">
        <f t="shared" si="9"/>
        <v>·</v>
      </c>
      <c r="AK7" s="11" t="str">
        <f t="shared" si="10"/>
        <v>·</v>
      </c>
      <c r="AL7" s="52" t="str">
        <f t="shared" si="11"/>
        <v/>
      </c>
      <c r="AM7" s="11">
        <v>16</v>
      </c>
      <c r="AN7" s="12"/>
      <c r="AO7" s="12"/>
      <c r="AP7" s="12"/>
      <c r="AQ7" s="13"/>
      <c r="AR7" s="13"/>
      <c r="AS7" s="13"/>
      <c r="AT7" s="13"/>
      <c r="AU7" s="14"/>
      <c r="AV7" s="14"/>
      <c r="AW7" s="14"/>
      <c r="AX7" s="14"/>
      <c r="AY7" s="14"/>
      <c r="AZ7" s="15"/>
      <c r="BA7" s="15"/>
      <c r="BB7" s="15"/>
      <c r="BC7" s="15"/>
      <c r="BE7" s="50" t="e">
        <f t="shared" si="12"/>
        <v>#VALUE!</v>
      </c>
      <c r="BF7" s="16" t="e">
        <f t="shared" si="13"/>
        <v>#DIV/0!</v>
      </c>
      <c r="BG7" s="16" t="e">
        <f t="shared" si="14"/>
        <v>#VALUE!</v>
      </c>
      <c r="BH7" s="16"/>
      <c r="BJ7" s="50"/>
      <c r="BK7" s="50"/>
      <c r="BL7" s="50"/>
      <c r="BM7" s="50"/>
      <c r="BN7" s="50"/>
      <c r="BP7" s="50"/>
      <c r="BQ7" s="50"/>
      <c r="BR7" s="50"/>
      <c r="BS7" s="50"/>
      <c r="BT7" s="50"/>
      <c r="BV7" s="53">
        <f t="shared" si="16"/>
        <v>-24808216</v>
      </c>
      <c r="BW7" s="53">
        <f t="shared" si="15"/>
        <v>-775256.75</v>
      </c>
      <c r="BX7" s="53">
        <f t="shared" si="15"/>
        <v>-20954.78125</v>
      </c>
      <c r="BY7" s="53">
        <f t="shared" si="15"/>
        <v>-5961336</v>
      </c>
      <c r="BZ7" s="53">
        <f t="shared" si="15"/>
        <v>-1628616</v>
      </c>
      <c r="CA7" s="53">
        <f t="shared" si="15"/>
        <v>-639160</v>
      </c>
      <c r="CB7" s="53">
        <f t="shared" si="15"/>
        <v>-3693560</v>
      </c>
      <c r="CC7" s="53">
        <f t="shared" si="15"/>
        <v>-69.683724999999995</v>
      </c>
      <c r="CD7" s="53">
        <f t="shared" si="15"/>
        <v>-72.129403124999982</v>
      </c>
      <c r="CE7" s="53">
        <f t="shared" si="15"/>
        <v>-36.915784375000001</v>
      </c>
      <c r="CF7" s="53">
        <f t="shared" si="15"/>
        <v>-46.579393750000023</v>
      </c>
      <c r="CG7" s="53">
        <f t="shared" si="15"/>
        <v>-46.454928125000002</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70.836840624999994</v>
      </c>
      <c r="X8" s="23">
        <v>73.406981250000001</v>
      </c>
      <c r="Y8" s="23">
        <v>39.549353125000003</v>
      </c>
      <c r="Z8" s="23">
        <v>47.886118750000001</v>
      </c>
      <c r="AA8" s="23">
        <v>47.950350000000007</v>
      </c>
      <c r="AB8" s="24">
        <v>3307.52</v>
      </c>
      <c r="AC8" s="24">
        <v>1504.02</v>
      </c>
      <c r="AD8" s="24">
        <v>13.576000000000001</v>
      </c>
      <c r="AE8" s="24">
        <v>12.224</v>
      </c>
      <c r="AG8" s="19" t="str">
        <f t="shared" si="6"/>
        <v>·</v>
      </c>
      <c r="AH8" s="20" t="str">
        <f t="shared" si="7"/>
        <v>·</v>
      </c>
      <c r="AI8" s="20" t="str">
        <f t="shared" si="8"/>
        <v>·</v>
      </c>
      <c r="AJ8" s="20" t="str">
        <f t="shared" si="9"/>
        <v>·</v>
      </c>
      <c r="AK8" s="20" t="str">
        <f t="shared" si="10"/>
        <v>·</v>
      </c>
      <c r="AL8" s="17" t="str">
        <f t="shared" si="11"/>
        <v/>
      </c>
      <c r="AM8" s="20">
        <v>16</v>
      </c>
      <c r="AN8" s="21"/>
      <c r="AO8" s="21"/>
      <c r="AP8" s="21"/>
      <c r="AQ8" s="22"/>
      <c r="AR8" s="22"/>
      <c r="AS8" s="22"/>
      <c r="AT8" s="22"/>
      <c r="AU8" s="23"/>
      <c r="AV8" s="23"/>
      <c r="AW8" s="23"/>
      <c r="AX8" s="23"/>
      <c r="AY8" s="23"/>
      <c r="AZ8" s="24"/>
      <c r="BA8" s="24"/>
      <c r="BB8" s="24"/>
      <c r="BC8" s="24"/>
      <c r="BE8" s="49" t="e">
        <f t="shared" si="12"/>
        <v>#VALUE!</v>
      </c>
      <c r="BF8" s="25" t="e">
        <f t="shared" si="13"/>
        <v>#DIV/0!</v>
      </c>
      <c r="BG8" s="25" t="e">
        <f t="shared" si="14"/>
        <v>#VALUE!</v>
      </c>
      <c r="BH8" s="25"/>
      <c r="BJ8" s="49"/>
      <c r="BK8" s="49"/>
      <c r="BL8" s="49"/>
      <c r="BM8" s="49"/>
      <c r="BN8" s="49"/>
      <c r="BP8" s="49"/>
      <c r="BQ8" s="49"/>
      <c r="BR8" s="49"/>
      <c r="BS8" s="49"/>
      <c r="BT8" s="49"/>
      <c r="BV8" s="53">
        <f t="shared" si="16"/>
        <v>-25797809</v>
      </c>
      <c r="BW8" s="53">
        <f t="shared" si="15"/>
        <v>-806181.53125</v>
      </c>
      <c r="BX8" s="53">
        <f t="shared" si="15"/>
        <v>-24199.8125</v>
      </c>
      <c r="BY8" s="53">
        <f t="shared" si="15"/>
        <v>-10100936</v>
      </c>
      <c r="BZ8" s="53">
        <f t="shared" si="15"/>
        <v>-2405456</v>
      </c>
      <c r="CA8" s="53">
        <f t="shared" si="15"/>
        <v>-639160</v>
      </c>
      <c r="CB8" s="53">
        <f t="shared" si="15"/>
        <v>-7056320</v>
      </c>
      <c r="CC8" s="53">
        <f t="shared" si="15"/>
        <v>-70.836840624999994</v>
      </c>
      <c r="CD8" s="53">
        <f t="shared" si="15"/>
        <v>-73.406981250000001</v>
      </c>
      <c r="CE8" s="53">
        <f t="shared" si="15"/>
        <v>-39.549353125000003</v>
      </c>
      <c r="CF8" s="53">
        <f t="shared" si="15"/>
        <v>-47.886118750000001</v>
      </c>
      <c r="CG8" s="53">
        <f t="shared" si="15"/>
        <v>-47.950350000000007</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71.945243750000003</v>
      </c>
      <c r="X9" s="32">
        <v>75.319240624999978</v>
      </c>
      <c r="Y9" s="32">
        <v>42.149681250000008</v>
      </c>
      <c r="Z9" s="32">
        <v>49.421931249999993</v>
      </c>
      <c r="AA9" s="32">
        <v>49.547406250000009</v>
      </c>
      <c r="AB9" s="33">
        <v>3206.12</v>
      </c>
      <c r="AC9" s="33">
        <v>1968.86</v>
      </c>
      <c r="AD9" s="33">
        <v>12.964</v>
      </c>
      <c r="AE9" s="33">
        <v>13.776</v>
      </c>
      <c r="AG9" s="28" t="str">
        <f t="shared" si="6"/>
        <v>·</v>
      </c>
      <c r="AH9" s="29" t="str">
        <f t="shared" si="7"/>
        <v>·</v>
      </c>
      <c r="AI9" s="29" t="str">
        <f t="shared" si="8"/>
        <v>·</v>
      </c>
      <c r="AJ9" s="29" t="str">
        <f t="shared" si="9"/>
        <v>·</v>
      </c>
      <c r="AK9" s="29" t="str">
        <f t="shared" si="10"/>
        <v>·</v>
      </c>
      <c r="AL9" s="26" t="str">
        <f t="shared" si="11"/>
        <v/>
      </c>
      <c r="AM9" s="29">
        <v>16</v>
      </c>
      <c r="AN9" s="30"/>
      <c r="AO9" s="30"/>
      <c r="AP9" s="30"/>
      <c r="AQ9" s="31"/>
      <c r="AR9" s="31"/>
      <c r="AS9" s="31"/>
      <c r="AT9" s="31"/>
      <c r="AU9" s="32"/>
      <c r="AV9" s="32"/>
      <c r="AW9" s="32"/>
      <c r="AX9" s="32"/>
      <c r="AY9" s="32"/>
      <c r="AZ9" s="33"/>
      <c r="BA9" s="33"/>
      <c r="BB9" s="33"/>
      <c r="BC9" s="33"/>
      <c r="BE9" s="34" t="e">
        <f t="shared" si="12"/>
        <v>#VALUE!</v>
      </c>
      <c r="BF9" s="35" t="e">
        <f t="shared" si="13"/>
        <v>#DIV/0!</v>
      </c>
      <c r="BG9" s="35" t="e">
        <f t="shared" si="14"/>
        <v>#VALUE!</v>
      </c>
      <c r="BH9" s="35"/>
      <c r="BJ9" s="34"/>
      <c r="BK9" s="34"/>
      <c r="BL9" s="34"/>
      <c r="BM9" s="34"/>
      <c r="BN9" s="34"/>
      <c r="BP9" s="34"/>
      <c r="BQ9" s="34"/>
      <c r="BR9" s="34"/>
      <c r="BS9" s="34"/>
      <c r="BT9" s="34"/>
      <c r="BV9" s="53">
        <f t="shared" si="16"/>
        <v>-24868389</v>
      </c>
      <c r="BW9" s="53">
        <f t="shared" si="15"/>
        <v>-777137.15625</v>
      </c>
      <c r="BX9" s="53">
        <f t="shared" si="15"/>
        <v>-10635.96875</v>
      </c>
      <c r="BY9" s="53">
        <f t="shared" si="15"/>
        <v>-18024080</v>
      </c>
      <c r="BZ9" s="53">
        <f t="shared" si="15"/>
        <v>-3702648</v>
      </c>
      <c r="CA9" s="53">
        <f t="shared" si="15"/>
        <v>-1224568</v>
      </c>
      <c r="CB9" s="53">
        <f t="shared" si="15"/>
        <v>-13096864</v>
      </c>
      <c r="CC9" s="53">
        <f t="shared" si="15"/>
        <v>-71.945243750000003</v>
      </c>
      <c r="CD9" s="53">
        <f t="shared" si="15"/>
        <v>-75.319240624999978</v>
      </c>
      <c r="CE9" s="53">
        <f t="shared" si="15"/>
        <v>-42.149681250000008</v>
      </c>
      <c r="CF9" s="53">
        <f t="shared" si="15"/>
        <v>-49.421931249999993</v>
      </c>
      <c r="CG9" s="53">
        <f t="shared" si="15"/>
        <v>-49.547406250000009</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65.904412499999992</v>
      </c>
      <c r="X10" s="23">
        <v>67.82275937499999</v>
      </c>
      <c r="Y10" s="23">
        <v>32.384371874999992</v>
      </c>
      <c r="Z10" s="23">
        <v>39.164465624999991</v>
      </c>
      <c r="AA10" s="23">
        <v>32.081006249999987</v>
      </c>
      <c r="AB10" s="24">
        <v>2952.46</v>
      </c>
      <c r="AC10" s="24">
        <v>1614.9</v>
      </c>
      <c r="AD10" s="24">
        <v>12.76</v>
      </c>
      <c r="AE10" s="24">
        <v>10.472</v>
      </c>
      <c r="AG10" s="19" t="str">
        <f t="shared" si="6"/>
        <v>·</v>
      </c>
      <c r="AH10" s="20" t="str">
        <f t="shared" si="7"/>
        <v>·</v>
      </c>
      <c r="AI10" s="20" t="str">
        <f t="shared" si="8"/>
        <v>·</v>
      </c>
      <c r="AJ10" s="20" t="str">
        <f t="shared" si="9"/>
        <v>·</v>
      </c>
      <c r="AK10" s="20" t="str">
        <f t="shared" si="10"/>
        <v>·</v>
      </c>
      <c r="AL10" s="17" t="str">
        <f t="shared" si="11"/>
        <v/>
      </c>
      <c r="AM10" s="20">
        <v>16</v>
      </c>
      <c r="AN10" s="21"/>
      <c r="AO10" s="21"/>
      <c r="AP10" s="21"/>
      <c r="AQ10" s="22"/>
      <c r="AR10" s="22"/>
      <c r="AS10" s="22"/>
      <c r="AT10" s="22"/>
      <c r="AU10" s="23"/>
      <c r="AV10" s="23"/>
      <c r="AW10" s="23"/>
      <c r="AX10" s="23"/>
      <c r="AY10" s="23"/>
      <c r="AZ10" s="24"/>
      <c r="BA10" s="24"/>
      <c r="BB10" s="24"/>
      <c r="BC10" s="24"/>
      <c r="BE10" s="49" t="e">
        <f t="shared" si="12"/>
        <v>#VALUE!</v>
      </c>
      <c r="BF10" s="25" t="e">
        <f t="shared" si="13"/>
        <v>#DIV/0!</v>
      </c>
      <c r="BG10" s="25" t="e">
        <f t="shared" si="14"/>
        <v>#VALUE!</v>
      </c>
      <c r="BH10" s="25" t="e">
        <f t="array" ref="BH10">AVERAGE(AL10:AL14/AQ10:AQ14) - AVERAGE(N10:N14/S10:S14)</f>
        <v>#VALUE!</v>
      </c>
      <c r="BJ10" s="49" t="str">
        <f>IF( OR(ISBLANK(N10:N14),ISBLANK(AL10:AL14), ISBLANK(W10:W14),ISBLANK(AU10:AU14)), "·", bdRateExtend( N10:N14,W10:W14, AL10:AL14,AU10:AU14))</f>
        <v>·</v>
      </c>
      <c r="BK10" s="49" t="str">
        <f>IF( OR(ISBLANK(N10:N14),ISBLANK(AL10:AL14), ISBLANK(X10:X14),ISBLANK(AV10:AV14)), "·", bdRateExtend( N10:N14,X10:X14, AL10:AL14,AV10:AV14))</f>
        <v>·</v>
      </c>
      <c r="BL10" s="49" t="str">
        <f>IF( OR(ISBLANK(V10:V14),ISBLANK(AT10:AT14), ISBLANK(Y10:Y14),ISBLANK(AW10:AW14)), "·", bdRateExtend( V10:V14,Y10:Y14, AT10:AT14,AW10:AW14))</f>
        <v>·</v>
      </c>
      <c r="BM10" s="49" t="str">
        <f>IF( OR(ISBLANK(V10:V14),ISBLANK(AT10:AT14), ISBLANK(Z10:Z14),ISBLANK(AX10:AX14)), "·", bdRateExtend( V10:V14,Z10:Z14, AT10:AT14,AX10:AX14))</f>
        <v>·</v>
      </c>
      <c r="BN10" s="49" t="str">
        <f>IF( OR(ISBLANK(V10:V14),ISBLANK(AT10:AT14), ISBLANK(AA10:AA14),ISBLANK(AY10:AY14)), "·", bdRateExtend( V10:V14,AA10:AA14, AT10:AT14,AY10:AY14))</f>
        <v>·</v>
      </c>
      <c r="BP10" s="49" t="str">
        <f>IF( OR(ISBLANK(S10:S14),ISBLANK(AQ10:AQ14), ISBLANK(W10:W14),ISBLANK(AU10:AU14)), "·", bdRateExtend( S10:S14,W10:W14, AQ10:AQ14,AU10:AU14))</f>
        <v>·</v>
      </c>
      <c r="BQ10" s="49" t="str">
        <f>IF( OR(ISBLANK(S10:S14),ISBLANK(AQ10:AQ14), ISBLANK(X10:X14),ISBLANK(AV10:AV14)), "·", bdRateExtend( S10:S14,X10:X14, AQ10:AQ14,AV10:AV14))</f>
        <v>·</v>
      </c>
      <c r="BR10" s="49" t="str">
        <f>IF( OR(ISBLANK(S10:S14),ISBLANK(AQ10:AQ14), ISBLANK(Y10:Y14),ISBLANK(AW10:AW14)), "·", bdRateExtend( S10:S14,Y10:Y14, AQ10:AQ14,AW10:AW14))</f>
        <v>·</v>
      </c>
      <c r="BS10" s="49" t="str">
        <f>IF( OR(ISBLANK(S10:S14),ISBLANK(AQ10:AQ14), ISBLANK(Z10:Z14),ISBLANK(AX10:AX14)), "·", bdRateExtend( S10:S14,Z10:Z14, AQ10:AQ14,AX10:AX14))</f>
        <v>·</v>
      </c>
      <c r="BT10" s="49" t="str">
        <f>IF( OR(ISBLANK(S10:S14),ISBLANK(AQ10:AQ14), ISBLANK(AA10:AA14),ISBLANK(AY10:AY14)), "·", bdRateExtend( S10:S14,AA10:AA14, AQ10:AQ14,AY10:AY14))</f>
        <v>·</v>
      </c>
      <c r="BV10" s="53">
        <f t="shared" si="16"/>
        <v>-20666971</v>
      </c>
      <c r="BW10" s="53">
        <f t="shared" si="15"/>
        <v>-645842.84375</v>
      </c>
      <c r="BX10" s="53">
        <f t="shared" si="15"/>
        <v>-18163.46875</v>
      </c>
      <c r="BY10" s="53">
        <f t="shared" si="15"/>
        <v>-3427816</v>
      </c>
      <c r="BZ10" s="53">
        <f t="shared" si="15"/>
        <v>-933696</v>
      </c>
      <c r="CA10" s="53">
        <f t="shared" si="15"/>
        <v>-851760</v>
      </c>
      <c r="CB10" s="53">
        <f t="shared" si="15"/>
        <v>-1642360</v>
      </c>
      <c r="CC10" s="53">
        <f t="shared" si="15"/>
        <v>-65.904412499999992</v>
      </c>
      <c r="CD10" s="53">
        <f t="shared" si="15"/>
        <v>-67.82275937499999</v>
      </c>
      <c r="CE10" s="53">
        <f t="shared" si="15"/>
        <v>-32.384371874999992</v>
      </c>
      <c r="CF10" s="53">
        <f t="shared" si="15"/>
        <v>-39.164465624999991</v>
      </c>
      <c r="CG10" s="53">
        <f t="shared" si="15"/>
        <v>-32.081006249999987</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67.607918749999996</v>
      </c>
      <c r="X11" s="14">
        <v>69.699943750000003</v>
      </c>
      <c r="Y11" s="14">
        <v>34.252084375000003</v>
      </c>
      <c r="Z11" s="14">
        <v>40.021503125000002</v>
      </c>
      <c r="AA11" s="14">
        <v>33.864340624999997</v>
      </c>
      <c r="AB11" s="15">
        <v>2650.04</v>
      </c>
      <c r="AC11" s="15">
        <v>1251.0899999999999</v>
      </c>
      <c r="AD11" s="15">
        <v>12.692</v>
      </c>
      <c r="AE11" s="15">
        <v>11.48</v>
      </c>
      <c r="AG11" s="10" t="str">
        <f t="shared" si="6"/>
        <v>·</v>
      </c>
      <c r="AH11" s="11" t="str">
        <f t="shared" si="7"/>
        <v>·</v>
      </c>
      <c r="AI11" s="11" t="str">
        <f t="shared" si="8"/>
        <v>·</v>
      </c>
      <c r="AJ11" s="11" t="str">
        <f t="shared" si="9"/>
        <v>·</v>
      </c>
      <c r="AK11" s="11" t="str">
        <f t="shared" si="10"/>
        <v>·</v>
      </c>
      <c r="AL11" s="52" t="str">
        <f t="shared" si="11"/>
        <v/>
      </c>
      <c r="AM11" s="11">
        <v>16</v>
      </c>
      <c r="AN11" s="12"/>
      <c r="AO11" s="12"/>
      <c r="AP11" s="12"/>
      <c r="AQ11" s="13"/>
      <c r="AR11" s="13"/>
      <c r="AS11" s="13"/>
      <c r="AT11" s="13"/>
      <c r="AU11" s="14"/>
      <c r="AV11" s="14"/>
      <c r="AW11" s="14"/>
      <c r="AX11" s="14"/>
      <c r="AY11" s="14"/>
      <c r="AZ11" s="15"/>
      <c r="BA11" s="15"/>
      <c r="BB11" s="15"/>
      <c r="BC11" s="15"/>
      <c r="BE11" s="50" t="e">
        <f t="shared" si="12"/>
        <v>#VALUE!</v>
      </c>
      <c r="BF11" s="16" t="e">
        <f t="shared" si="13"/>
        <v>#DIV/0!</v>
      </c>
      <c r="BG11" s="16" t="e">
        <f t="shared" si="14"/>
        <v>#VALUE!</v>
      </c>
      <c r="BH11" s="16"/>
      <c r="BJ11" s="50"/>
      <c r="BK11" s="50"/>
      <c r="BL11" s="50"/>
      <c r="BM11" s="50"/>
      <c r="BN11" s="50"/>
      <c r="BP11" s="50"/>
      <c r="BQ11" s="50"/>
      <c r="BR11" s="50"/>
      <c r="BS11" s="50"/>
      <c r="BT11" s="50"/>
      <c r="BV11" s="53">
        <f t="shared" si="16"/>
        <v>-22097663</v>
      </c>
      <c r="BW11" s="53">
        <f t="shared" si="15"/>
        <v>-690551.96875</v>
      </c>
      <c r="BX11" s="53">
        <f t="shared" si="15"/>
        <v>-22957.28125</v>
      </c>
      <c r="BY11" s="53">
        <f t="shared" si="15"/>
        <v>-4943824</v>
      </c>
      <c r="BZ11" s="53">
        <f t="shared" si="15"/>
        <v>-1315392</v>
      </c>
      <c r="CA11" s="53">
        <f t="shared" si="15"/>
        <v>-851760</v>
      </c>
      <c r="CB11" s="53">
        <f t="shared" si="15"/>
        <v>-2776672</v>
      </c>
      <c r="CC11" s="53">
        <f t="shared" si="15"/>
        <v>-67.607918749999996</v>
      </c>
      <c r="CD11" s="53">
        <f t="shared" si="15"/>
        <v>-69.699943750000003</v>
      </c>
      <c r="CE11" s="53">
        <f t="shared" si="15"/>
        <v>-34.252084375000003</v>
      </c>
      <c r="CF11" s="53">
        <f t="shared" si="15"/>
        <v>-40.021503125000002</v>
      </c>
      <c r="CG11" s="53">
        <f t="shared" si="15"/>
        <v>-33.864340624999997</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68.956062500000002</v>
      </c>
      <c r="X12" s="23">
        <v>71.331965624999995</v>
      </c>
      <c r="Y12" s="23">
        <v>36.354259375000012</v>
      </c>
      <c r="Z12" s="23">
        <v>40.927831249999983</v>
      </c>
      <c r="AA12" s="23">
        <v>35.635178125000003</v>
      </c>
      <c r="AB12" s="24">
        <v>2631.95</v>
      </c>
      <c r="AC12" s="24">
        <v>1303.8399999999999</v>
      </c>
      <c r="AD12" s="24">
        <v>13.536</v>
      </c>
      <c r="AE12" s="24">
        <v>11.747999999999999</v>
      </c>
      <c r="AG12" s="19" t="str">
        <f t="shared" si="6"/>
        <v>·</v>
      </c>
      <c r="AH12" s="20" t="str">
        <f t="shared" si="7"/>
        <v>·</v>
      </c>
      <c r="AI12" s="20" t="str">
        <f t="shared" si="8"/>
        <v>·</v>
      </c>
      <c r="AJ12" s="20" t="str">
        <f t="shared" si="9"/>
        <v>·</v>
      </c>
      <c r="AK12" s="20" t="str">
        <f t="shared" si="10"/>
        <v>·</v>
      </c>
      <c r="AL12" s="17" t="str">
        <f t="shared" si="11"/>
        <v/>
      </c>
      <c r="AM12" s="20">
        <v>16</v>
      </c>
      <c r="AN12" s="21"/>
      <c r="AO12" s="21"/>
      <c r="AP12" s="21"/>
      <c r="AQ12" s="22"/>
      <c r="AR12" s="22"/>
      <c r="AS12" s="22"/>
      <c r="AT12" s="22"/>
      <c r="AU12" s="23"/>
      <c r="AV12" s="23"/>
      <c r="AW12" s="23"/>
      <c r="AX12" s="23"/>
      <c r="AY12" s="23"/>
      <c r="AZ12" s="24"/>
      <c r="BA12" s="24"/>
      <c r="BB12" s="24"/>
      <c r="BC12" s="24"/>
      <c r="BE12" s="49" t="e">
        <f t="shared" si="12"/>
        <v>#VALUE!</v>
      </c>
      <c r="BF12" s="25" t="e">
        <f t="shared" si="13"/>
        <v>#DIV/0!</v>
      </c>
      <c r="BG12" s="25" t="e">
        <f t="shared" si="14"/>
        <v>#VALUE!</v>
      </c>
      <c r="BH12" s="25"/>
      <c r="BJ12" s="49"/>
      <c r="BK12" s="49"/>
      <c r="BL12" s="49"/>
      <c r="BM12" s="49"/>
      <c r="BN12" s="49"/>
      <c r="BP12" s="49"/>
      <c r="BQ12" s="49"/>
      <c r="BR12" s="49"/>
      <c r="BS12" s="49"/>
      <c r="BT12" s="49"/>
      <c r="BV12" s="53">
        <f t="shared" si="16"/>
        <v>-22510846</v>
      </c>
      <c r="BW12" s="53">
        <f t="shared" si="15"/>
        <v>-703463.9375</v>
      </c>
      <c r="BX12" s="53">
        <f t="shared" si="15"/>
        <v>-24709.6875</v>
      </c>
      <c r="BY12" s="53">
        <f t="shared" si="15"/>
        <v>-7629992</v>
      </c>
      <c r="BZ12" s="53">
        <f t="shared" si="15"/>
        <v>-1900736</v>
      </c>
      <c r="CA12" s="53">
        <f t="shared" si="15"/>
        <v>-851760</v>
      </c>
      <c r="CB12" s="53">
        <f t="shared" si="15"/>
        <v>-4877496</v>
      </c>
      <c r="CC12" s="53">
        <f t="shared" si="15"/>
        <v>-68.956062500000002</v>
      </c>
      <c r="CD12" s="53">
        <f t="shared" si="15"/>
        <v>-71.331965624999995</v>
      </c>
      <c r="CE12" s="53">
        <f t="shared" si="15"/>
        <v>-36.354259375000012</v>
      </c>
      <c r="CF12" s="53">
        <f t="shared" si="15"/>
        <v>-40.927831249999983</v>
      </c>
      <c r="CG12" s="53">
        <f t="shared" si="15"/>
        <v>-35.635178125000003</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72.59020624999998</v>
      </c>
      <c r="Y13" s="14">
        <v>38.689725000000003</v>
      </c>
      <c r="Z13" s="14">
        <v>42.113684375000012</v>
      </c>
      <c r="AA13" s="14">
        <v>37.693637500000001</v>
      </c>
      <c r="AB13" s="15">
        <v>2635.56</v>
      </c>
      <c r="AC13" s="15">
        <v>1407.42</v>
      </c>
      <c r="AD13" s="15">
        <v>13.167999999999999</v>
      </c>
      <c r="AE13" s="15">
        <v>13.256</v>
      </c>
      <c r="AG13" s="10" t="str">
        <f t="shared" si="6"/>
        <v>·</v>
      </c>
      <c r="AH13" s="11" t="str">
        <f t="shared" si="7"/>
        <v>·</v>
      </c>
      <c r="AI13" s="11" t="str">
        <f t="shared" si="8"/>
        <v>·</v>
      </c>
      <c r="AJ13" s="11" t="str">
        <f t="shared" si="9"/>
        <v>·</v>
      </c>
      <c r="AK13" s="11" t="str">
        <f t="shared" si="10"/>
        <v>·</v>
      </c>
      <c r="AL13" s="52" t="str">
        <f t="shared" si="11"/>
        <v/>
      </c>
      <c r="AM13" s="11">
        <v>16</v>
      </c>
      <c r="AN13" s="12"/>
      <c r="AO13" s="12"/>
      <c r="AP13" s="12"/>
      <c r="AQ13" s="13"/>
      <c r="AR13" s="13"/>
      <c r="AS13" s="13"/>
      <c r="AT13" s="13"/>
      <c r="AU13" s="14"/>
      <c r="AV13" s="14"/>
      <c r="AW13" s="14"/>
      <c r="AX13" s="14"/>
      <c r="AY13" s="14"/>
      <c r="AZ13" s="15"/>
      <c r="BA13" s="15"/>
      <c r="BB13" s="15"/>
      <c r="BC13" s="15"/>
      <c r="BE13" s="50" t="e">
        <f t="shared" si="12"/>
        <v>#VALUE!</v>
      </c>
      <c r="BF13" s="16" t="e">
        <f t="shared" si="13"/>
        <v>#DIV/0!</v>
      </c>
      <c r="BG13" s="16" t="e">
        <f t="shared" si="14"/>
        <v>#VALUE!</v>
      </c>
      <c r="BH13" s="16"/>
      <c r="BJ13" s="50"/>
      <c r="BK13" s="50"/>
      <c r="BL13" s="50"/>
      <c r="BM13" s="50"/>
      <c r="BN13" s="50"/>
      <c r="BP13" s="50"/>
      <c r="BQ13" s="50"/>
      <c r="BR13" s="50"/>
      <c r="BS13" s="50"/>
      <c r="BT13" s="50"/>
      <c r="BV13" s="53">
        <f t="shared" si="16"/>
        <v>-23291739</v>
      </c>
      <c r="BW13" s="53">
        <f t="shared" si="15"/>
        <v>-727866.84375</v>
      </c>
      <c r="BX13" s="53">
        <f t="shared" si="15"/>
        <v>-28062.03125</v>
      </c>
      <c r="BY13" s="53">
        <f t="shared" si="15"/>
        <v>-12876824</v>
      </c>
      <c r="BZ13" s="53">
        <f t="shared" si="15"/>
        <v>-2921856</v>
      </c>
      <c r="CA13" s="53">
        <f t="shared" si="15"/>
        <v>-851760</v>
      </c>
      <c r="CB13" s="53">
        <f t="shared" si="15"/>
        <v>-9103208</v>
      </c>
      <c r="CC13" s="53">
        <f t="shared" si="15"/>
        <v>-70.072275000000005</v>
      </c>
      <c r="CD13" s="53">
        <f t="shared" si="15"/>
        <v>-72.59020624999998</v>
      </c>
      <c r="CE13" s="53">
        <f t="shared" si="15"/>
        <v>-38.689725000000003</v>
      </c>
      <c r="CF13" s="53">
        <f t="shared" si="15"/>
        <v>-42.113684375000012</v>
      </c>
      <c r="CG13" s="53">
        <f t="shared" si="15"/>
        <v>-37.693637500000001</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70.923046874999983</v>
      </c>
      <c r="X14" s="42">
        <v>74.675603124999995</v>
      </c>
      <c r="Y14" s="42">
        <v>40.970318750000011</v>
      </c>
      <c r="Z14" s="42">
        <v>43.413924999999999</v>
      </c>
      <c r="AA14" s="42">
        <v>39.478603124999999</v>
      </c>
      <c r="AB14" s="43">
        <v>3302.39</v>
      </c>
      <c r="AC14" s="43">
        <v>1954.01</v>
      </c>
      <c r="AD14" s="43">
        <v>12.644</v>
      </c>
      <c r="AE14" s="43">
        <v>15.167999999999999</v>
      </c>
      <c r="AG14" s="38" t="str">
        <f t="shared" si="6"/>
        <v>·</v>
      </c>
      <c r="AH14" s="39" t="str">
        <f t="shared" si="7"/>
        <v>·</v>
      </c>
      <c r="AI14" s="39" t="str">
        <f t="shared" si="8"/>
        <v>·</v>
      </c>
      <c r="AJ14" s="39" t="str">
        <f t="shared" si="9"/>
        <v>·</v>
      </c>
      <c r="AK14" s="39" t="str">
        <f t="shared" si="10"/>
        <v>·</v>
      </c>
      <c r="AL14" s="36" t="str">
        <f t="shared" si="11"/>
        <v/>
      </c>
      <c r="AM14" s="39">
        <v>16</v>
      </c>
      <c r="AN14" s="40"/>
      <c r="AO14" s="40"/>
      <c r="AP14" s="40"/>
      <c r="AQ14" s="41"/>
      <c r="AR14" s="41"/>
      <c r="AS14" s="41"/>
      <c r="AT14" s="41"/>
      <c r="AU14" s="42"/>
      <c r="AV14" s="42"/>
      <c r="AW14" s="42"/>
      <c r="AX14" s="42"/>
      <c r="AY14" s="42"/>
      <c r="AZ14" s="43"/>
      <c r="BA14" s="43"/>
      <c r="BB14" s="43"/>
      <c r="BC14" s="43"/>
      <c r="BE14" s="44" t="e">
        <f t="shared" si="12"/>
        <v>#VALUE!</v>
      </c>
      <c r="BF14" s="45" t="e">
        <f t="shared" si="13"/>
        <v>#DIV/0!</v>
      </c>
      <c r="BG14" s="45" t="e">
        <f t="shared" si="14"/>
        <v>#VALUE!</v>
      </c>
      <c r="BH14" s="45"/>
      <c r="BJ14" s="44"/>
      <c r="BK14" s="44"/>
      <c r="BL14" s="44"/>
      <c r="BM14" s="44"/>
      <c r="BN14" s="44"/>
      <c r="BP14" s="44"/>
      <c r="BQ14" s="44"/>
      <c r="BR14" s="44"/>
      <c r="BS14" s="44"/>
      <c r="BT14" s="44"/>
      <c r="BV14" s="53">
        <f t="shared" si="16"/>
        <v>-22124056</v>
      </c>
      <c r="BW14" s="53">
        <f t="shared" si="15"/>
        <v>-691376.75</v>
      </c>
      <c r="BX14" s="53">
        <f t="shared" si="15"/>
        <v>-13278.71875</v>
      </c>
      <c r="BY14" s="53">
        <f t="shared" si="15"/>
        <v>-23066712</v>
      </c>
      <c r="BZ14" s="53">
        <f t="shared" si="15"/>
        <v>-4614216</v>
      </c>
      <c r="CA14" s="53">
        <f t="shared" si="15"/>
        <v>-1576136</v>
      </c>
      <c r="CB14" s="53">
        <f t="shared" si="15"/>
        <v>-16876360</v>
      </c>
      <c r="CC14" s="53">
        <f t="shared" si="15"/>
        <v>-70.923046874999983</v>
      </c>
      <c r="CD14" s="53">
        <f t="shared" si="15"/>
        <v>-74.675603124999995</v>
      </c>
      <c r="CE14" s="53">
        <f t="shared" si="15"/>
        <v>-40.970318750000011</v>
      </c>
      <c r="CF14" s="53">
        <f t="shared" si="15"/>
        <v>-43.413924999999999</v>
      </c>
      <c r="CG14" s="53">
        <f t="shared" si="15"/>
        <v>-39.478603124999999</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65.923106250000004</v>
      </c>
      <c r="X15" s="14">
        <v>67.661793750000015</v>
      </c>
      <c r="Y15" s="14">
        <v>29.416059375</v>
      </c>
      <c r="Z15" s="14">
        <v>43.123156250000008</v>
      </c>
      <c r="AA15" s="14">
        <v>43.328384375000013</v>
      </c>
      <c r="AB15" s="15">
        <v>4747.95</v>
      </c>
      <c r="AC15" s="15">
        <v>1447.1</v>
      </c>
      <c r="AD15" s="15">
        <v>14.78</v>
      </c>
      <c r="AE15" s="15">
        <v>11.167999999999999</v>
      </c>
      <c r="AG15" s="10" t="str">
        <f t="shared" si="6"/>
        <v>·</v>
      </c>
      <c r="AH15" s="11" t="str">
        <f t="shared" si="7"/>
        <v>·</v>
      </c>
      <c r="AI15" s="11" t="str">
        <f t="shared" si="8"/>
        <v>·</v>
      </c>
      <c r="AJ15" s="11" t="str">
        <f t="shared" si="9"/>
        <v>·</v>
      </c>
      <c r="AK15" s="11" t="str">
        <f t="shared" si="10"/>
        <v>·</v>
      </c>
      <c r="AL15" s="52" t="str">
        <f t="shared" si="11"/>
        <v/>
      </c>
      <c r="AM15" s="11">
        <v>16</v>
      </c>
      <c r="AN15" s="12"/>
      <c r="AO15" s="12"/>
      <c r="AP15" s="12"/>
      <c r="AQ15" s="13"/>
      <c r="AR15" s="13"/>
      <c r="AS15" s="13"/>
      <c r="AT15" s="13"/>
      <c r="AU15" s="14"/>
      <c r="AV15" s="14"/>
      <c r="AW15" s="14"/>
      <c r="AX15" s="14"/>
      <c r="AY15" s="14"/>
      <c r="AZ15" s="15"/>
      <c r="BA15" s="15"/>
      <c r="BB15" s="15"/>
      <c r="BC15" s="15"/>
      <c r="BE15" s="50" t="e">
        <f t="shared" si="12"/>
        <v>#VALUE!</v>
      </c>
      <c r="BF15" s="16" t="e">
        <f t="shared" si="13"/>
        <v>#DIV/0!</v>
      </c>
      <c r="BG15" s="16" t="e">
        <f t="shared" si="14"/>
        <v>#VALUE!</v>
      </c>
      <c r="BH15" s="16" t="e">
        <f t="array" ref="BH15">AVERAGE(AL15:AL19/AQ15:AQ19) - AVERAGE(N15:N19/S15:S19)</f>
        <v>#VALUE!</v>
      </c>
      <c r="BJ15" s="50" t="str">
        <f>IF( OR(ISBLANK(N15:N19),ISBLANK(AL15:AL19), ISBLANK(W15:W19),ISBLANK(AU15:AU19)), "·", bdRateExtend( N15:N19,W15:W19, AL15:AL19,AU15:AU19))</f>
        <v>·</v>
      </c>
      <c r="BK15" s="50" t="str">
        <f>IF( OR(ISBLANK(N15:N19),ISBLANK(AL15:AL19), ISBLANK(X15:X19),ISBLANK(AV15:AV19)), "·", bdRateExtend( N15:N19,X15:X19, AL15:AL19,AV15:AV19))</f>
        <v>·</v>
      </c>
      <c r="BL15" s="50" t="str">
        <f>IF( OR(ISBLANK(V15:V19),ISBLANK(AT15:AT19), ISBLANK(Y15:Y19),ISBLANK(AW15:AW19)), "·", bdRateExtend( V15:V19,Y15:Y19, AT15:AT19,AW15:AW19))</f>
        <v>·</v>
      </c>
      <c r="BM15" s="50" t="str">
        <f>IF( OR(ISBLANK(V15:V19),ISBLANK(AT15:AT19), ISBLANK(Z15:Z19),ISBLANK(AX15:AX19)), "·", bdRateExtend( V15:V19,Z15:Z19, AT15:AT19,AX15:AX19))</f>
        <v>·</v>
      </c>
      <c r="BN15" s="50" t="str">
        <f>IF( OR(ISBLANK(V15:V19),ISBLANK(AT15:AT19), ISBLANK(AA15:AA19),ISBLANK(AY15:AY19)), "·", bdRateExtend( V15:V19,AA15:AA19, AT15:AT19,AY15:AY19))</f>
        <v>·</v>
      </c>
      <c r="BP15" s="50" t="str">
        <f>IF( OR(ISBLANK(S15:S19),ISBLANK(AQ15:AQ19), ISBLANK(W15:W19),ISBLANK(AU15:AU19)), "·", bdRateExtend( S15:S19,W15:W19, AQ15:AQ19,AU15:AU19))</f>
        <v>·</v>
      </c>
      <c r="BQ15" s="50" t="str">
        <f>IF( OR(ISBLANK(S15:S19),ISBLANK(AQ15:AQ19), ISBLANK(X15:X19),ISBLANK(AV15:AV19)), "·", bdRateExtend( S15:S19,X15:X19, AQ15:AQ19,AV15:AV19))</f>
        <v>·</v>
      </c>
      <c r="BR15" s="50" t="str">
        <f>IF( OR(ISBLANK(S15:S19),ISBLANK(AQ15:AQ19), ISBLANK(Y15:Y19),ISBLANK(AW15:AW19)), "·", bdRateExtend( S15:S19,Y15:Y19, AQ15:AQ19,AW15:AW19))</f>
        <v>·</v>
      </c>
      <c r="BS15" s="50" t="str">
        <f>IF( OR(ISBLANK(S15:S19),ISBLANK(AQ15:AQ19), ISBLANK(Z15:Z19),ISBLANK(AX15:AX19)), "·", bdRateExtend( S15:S19,Z15:Z19, AQ15:AQ19,AX15:AX19))</f>
        <v>·</v>
      </c>
      <c r="BT15" s="50" t="str">
        <f>IF( OR(ISBLANK(S15:S19),ISBLANK(AQ15:AQ19), ISBLANK(AA15:AA19),ISBLANK(AY15:AY19)), "·", bdRateExtend( S15:S19,AA15:AA19, AQ15:AQ19,AY15:AY19))</f>
        <v>·</v>
      </c>
      <c r="BV15" s="53">
        <f t="shared" si="16"/>
        <v>-31086837</v>
      </c>
      <c r="BW15" s="53">
        <f t="shared" si="15"/>
        <v>-971463.65625</v>
      </c>
      <c r="BX15" s="53">
        <f t="shared" si="15"/>
        <v>-27944.21875</v>
      </c>
      <c r="BY15" s="53">
        <f t="shared" si="15"/>
        <v>-4726936</v>
      </c>
      <c r="BZ15" s="53">
        <f t="shared" si="15"/>
        <v>-1416928</v>
      </c>
      <c r="CA15" s="53">
        <f t="shared" si="15"/>
        <v>-1266344</v>
      </c>
      <c r="CB15" s="53">
        <f t="shared" si="15"/>
        <v>-2043664</v>
      </c>
      <c r="CC15" s="53">
        <f t="shared" si="15"/>
        <v>-65.923106250000004</v>
      </c>
      <c r="CD15" s="53">
        <f t="shared" si="15"/>
        <v>-67.661793750000015</v>
      </c>
      <c r="CE15" s="53">
        <f t="shared" si="15"/>
        <v>-29.416059375</v>
      </c>
      <c r="CF15" s="53">
        <f t="shared" si="15"/>
        <v>-43.123156250000008</v>
      </c>
      <c r="CG15" s="53">
        <f t="shared" si="15"/>
        <v>-43.328384375000013</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69.741403124999991</v>
      </c>
      <c r="Y16" s="23">
        <v>31.814990625</v>
      </c>
      <c r="Z16" s="23">
        <v>43.952409375000002</v>
      </c>
      <c r="AA16" s="23">
        <v>44.25296250000001</v>
      </c>
      <c r="AB16" s="24">
        <v>4735.3500000000004</v>
      </c>
      <c r="AC16" s="24">
        <v>1555.22</v>
      </c>
      <c r="AD16" s="24">
        <v>14.336</v>
      </c>
      <c r="AE16" s="24">
        <v>11.076000000000001</v>
      </c>
      <c r="AG16" s="19" t="str">
        <f t="shared" si="6"/>
        <v>·</v>
      </c>
      <c r="AH16" s="20" t="str">
        <f t="shared" si="7"/>
        <v>·</v>
      </c>
      <c r="AI16" s="20" t="str">
        <f t="shared" si="8"/>
        <v>·</v>
      </c>
      <c r="AJ16" s="20" t="str">
        <f t="shared" si="9"/>
        <v>·</v>
      </c>
      <c r="AK16" s="20" t="str">
        <f t="shared" si="10"/>
        <v>·</v>
      </c>
      <c r="AL16" s="17" t="str">
        <f t="shared" si="11"/>
        <v/>
      </c>
      <c r="AM16" s="20">
        <v>16</v>
      </c>
      <c r="AN16" s="21"/>
      <c r="AO16" s="21"/>
      <c r="AP16" s="21"/>
      <c r="AQ16" s="22"/>
      <c r="AR16" s="22"/>
      <c r="AS16" s="22"/>
      <c r="AT16" s="22"/>
      <c r="AU16" s="23"/>
      <c r="AV16" s="23"/>
      <c r="AW16" s="23"/>
      <c r="AX16" s="23"/>
      <c r="AY16" s="23"/>
      <c r="AZ16" s="24"/>
      <c r="BA16" s="24"/>
      <c r="BB16" s="24"/>
      <c r="BC16" s="24"/>
      <c r="BE16" s="49" t="e">
        <f t="shared" si="12"/>
        <v>#VALUE!</v>
      </c>
      <c r="BF16" s="25" t="e">
        <f t="shared" si="13"/>
        <v>#DIV/0!</v>
      </c>
      <c r="BG16" s="25" t="e">
        <f t="shared" si="14"/>
        <v>#VALUE!</v>
      </c>
      <c r="BH16" s="25"/>
      <c r="BJ16" s="49"/>
      <c r="BK16" s="49"/>
      <c r="BL16" s="49"/>
      <c r="BM16" s="49"/>
      <c r="BN16" s="49"/>
      <c r="BP16" s="49"/>
      <c r="BQ16" s="49"/>
      <c r="BR16" s="49"/>
      <c r="BS16" s="49"/>
      <c r="BT16" s="49"/>
      <c r="BV16" s="53">
        <f t="shared" si="16"/>
        <v>-33185472</v>
      </c>
      <c r="BW16" s="53">
        <f t="shared" si="15"/>
        <v>-1037046</v>
      </c>
      <c r="BX16" s="53">
        <f t="shared" si="15"/>
        <v>-34748.59375</v>
      </c>
      <c r="BY16" s="53">
        <f t="shared" si="15"/>
        <v>-7502088</v>
      </c>
      <c r="BZ16" s="53">
        <f t="shared" si="15"/>
        <v>-1999328</v>
      </c>
      <c r="CA16" s="53">
        <f t="shared" si="15"/>
        <v>-1266344</v>
      </c>
      <c r="CB16" s="53">
        <f t="shared" si="15"/>
        <v>-4236416</v>
      </c>
      <c r="CC16" s="53">
        <f t="shared" si="15"/>
        <v>-67.712850000000003</v>
      </c>
      <c r="CD16" s="53">
        <f t="shared" si="15"/>
        <v>-69.741403124999991</v>
      </c>
      <c r="CE16" s="53">
        <f t="shared" si="15"/>
        <v>-31.814990625</v>
      </c>
      <c r="CF16" s="53">
        <f t="shared" si="15"/>
        <v>-43.952409375000002</v>
      </c>
      <c r="CG16" s="53">
        <f t="shared" si="15"/>
        <v>-44.25296250000001</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69.134437500000018</v>
      </c>
      <c r="X17" s="14">
        <v>71.597096875000005</v>
      </c>
      <c r="Y17" s="14">
        <v>34.361643749999999</v>
      </c>
      <c r="Z17" s="14">
        <v>44.79558437499999</v>
      </c>
      <c r="AA17" s="14">
        <v>45.197471874999991</v>
      </c>
      <c r="AB17" s="15">
        <v>4736.49</v>
      </c>
      <c r="AC17" s="15">
        <v>1667.64</v>
      </c>
      <c r="AD17" s="15">
        <v>14.96</v>
      </c>
      <c r="AE17" s="15">
        <v>11.311999999999999</v>
      </c>
      <c r="AG17" s="10" t="str">
        <f t="shared" si="6"/>
        <v>·</v>
      </c>
      <c r="AH17" s="11" t="str">
        <f t="shared" si="7"/>
        <v>·</v>
      </c>
      <c r="AI17" s="11" t="str">
        <f t="shared" si="8"/>
        <v>·</v>
      </c>
      <c r="AJ17" s="11" t="str">
        <f t="shared" si="9"/>
        <v>·</v>
      </c>
      <c r="AK17" s="11" t="str">
        <f t="shared" si="10"/>
        <v>·</v>
      </c>
      <c r="AL17" s="52" t="str">
        <f t="shared" si="11"/>
        <v/>
      </c>
      <c r="AM17" s="11">
        <v>16</v>
      </c>
      <c r="AN17" s="12"/>
      <c r="AO17" s="12"/>
      <c r="AP17" s="12"/>
      <c r="AQ17" s="13"/>
      <c r="AR17" s="13"/>
      <c r="AS17" s="13"/>
      <c r="AT17" s="13"/>
      <c r="AU17" s="14"/>
      <c r="AV17" s="14"/>
      <c r="AW17" s="14"/>
      <c r="AX17" s="14"/>
      <c r="AY17" s="14"/>
      <c r="AZ17" s="15"/>
      <c r="BA17" s="15"/>
      <c r="BB17" s="15"/>
      <c r="BC17" s="15"/>
      <c r="BE17" s="50" t="e">
        <f t="shared" si="12"/>
        <v>#VALUE!</v>
      </c>
      <c r="BF17" s="16" t="e">
        <f t="shared" si="13"/>
        <v>#DIV/0!</v>
      </c>
      <c r="BG17" s="16" t="e">
        <f t="shared" si="14"/>
        <v>#VALUE!</v>
      </c>
      <c r="BH17" s="16"/>
      <c r="BJ17" s="50"/>
      <c r="BK17" s="50"/>
      <c r="BL17" s="50"/>
      <c r="BM17" s="50"/>
      <c r="BN17" s="50"/>
      <c r="BP17" s="50"/>
      <c r="BQ17" s="50"/>
      <c r="BR17" s="50"/>
      <c r="BS17" s="50"/>
      <c r="BT17" s="50"/>
      <c r="BV17" s="53">
        <f t="shared" si="16"/>
        <v>-33604345</v>
      </c>
      <c r="BW17" s="53">
        <f t="shared" si="15"/>
        <v>-1050135.78125</v>
      </c>
      <c r="BX17" s="53">
        <f t="shared" si="15"/>
        <v>-36572.96875</v>
      </c>
      <c r="BY17" s="53">
        <f t="shared" si="15"/>
        <v>-12517520</v>
      </c>
      <c r="BZ17" s="53">
        <f t="shared" si="15"/>
        <v>-2889464</v>
      </c>
      <c r="CA17" s="53">
        <f t="shared" si="15"/>
        <v>-1266344</v>
      </c>
      <c r="CB17" s="53">
        <f t="shared" si="15"/>
        <v>-8361712</v>
      </c>
      <c r="CC17" s="53">
        <f t="shared" si="15"/>
        <v>-69.134437500000018</v>
      </c>
      <c r="CD17" s="53">
        <f t="shared" si="15"/>
        <v>-71.597096875000005</v>
      </c>
      <c r="CE17" s="53">
        <f t="shared" si="15"/>
        <v>-34.361643749999999</v>
      </c>
      <c r="CF17" s="53">
        <f t="shared" si="15"/>
        <v>-44.79558437499999</v>
      </c>
      <c r="CG17" s="53">
        <f t="shared" si="15"/>
        <v>-45.197471874999991</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72.951281249999965</v>
      </c>
      <c r="Y18" s="23">
        <v>37.068993749999997</v>
      </c>
      <c r="Z18" s="23">
        <v>46.119856250000012</v>
      </c>
      <c r="AA18" s="23">
        <v>46.648406250000001</v>
      </c>
      <c r="AB18" s="24">
        <v>4790.8599999999997</v>
      </c>
      <c r="AC18" s="24">
        <v>1890.77</v>
      </c>
      <c r="AD18" s="24">
        <v>15.036</v>
      </c>
      <c r="AE18" s="24">
        <v>12.843999999999999</v>
      </c>
      <c r="AG18" s="19" t="str">
        <f t="shared" si="6"/>
        <v>·</v>
      </c>
      <c r="AH18" s="20" t="str">
        <f t="shared" si="7"/>
        <v>·</v>
      </c>
      <c r="AI18" s="20" t="str">
        <f t="shared" si="8"/>
        <v>·</v>
      </c>
      <c r="AJ18" s="20" t="str">
        <f t="shared" si="9"/>
        <v>·</v>
      </c>
      <c r="AK18" s="20" t="str">
        <f t="shared" si="10"/>
        <v>·</v>
      </c>
      <c r="AL18" s="17" t="str">
        <f t="shared" si="11"/>
        <v/>
      </c>
      <c r="AM18" s="20">
        <v>16</v>
      </c>
      <c r="AN18" s="21"/>
      <c r="AO18" s="21"/>
      <c r="AP18" s="21"/>
      <c r="AQ18" s="22"/>
      <c r="AR18" s="22"/>
      <c r="AS18" s="22"/>
      <c r="AT18" s="22"/>
      <c r="AU18" s="23"/>
      <c r="AV18" s="23"/>
      <c r="AW18" s="23"/>
      <c r="AX18" s="23"/>
      <c r="AY18" s="23"/>
      <c r="AZ18" s="24"/>
      <c r="BA18" s="24"/>
      <c r="BB18" s="24"/>
      <c r="BC18" s="24"/>
      <c r="BE18" s="49" t="e">
        <f t="shared" si="12"/>
        <v>#VALUE!</v>
      </c>
      <c r="BF18" s="25" t="e">
        <f t="shared" si="13"/>
        <v>#DIV/0!</v>
      </c>
      <c r="BG18" s="25" t="e">
        <f t="shared" si="14"/>
        <v>#VALUE!</v>
      </c>
      <c r="BH18" s="25"/>
      <c r="BJ18" s="49"/>
      <c r="BK18" s="49"/>
      <c r="BL18" s="49"/>
      <c r="BM18" s="49"/>
      <c r="BN18" s="49"/>
      <c r="BP18" s="49"/>
      <c r="BQ18" s="49"/>
      <c r="BR18" s="49"/>
      <c r="BS18" s="49"/>
      <c r="BT18" s="49"/>
      <c r="BV18" s="53">
        <f t="shared" si="16"/>
        <v>-34799418</v>
      </c>
      <c r="BW18" s="53">
        <f t="shared" si="15"/>
        <v>-1087481.8125</v>
      </c>
      <c r="BX18" s="53">
        <f t="shared" si="15"/>
        <v>-40860.15625</v>
      </c>
      <c r="BY18" s="53">
        <f t="shared" si="15"/>
        <v>-21675544</v>
      </c>
      <c r="BZ18" s="53">
        <f t="shared" si="15"/>
        <v>-4342080</v>
      </c>
      <c r="CA18" s="53">
        <f t="shared" si="15"/>
        <v>-1266344</v>
      </c>
      <c r="CB18" s="53">
        <f t="shared" si="15"/>
        <v>-16067120</v>
      </c>
      <c r="CC18" s="53">
        <f t="shared" si="15"/>
        <v>-70.372874999999993</v>
      </c>
      <c r="CD18" s="53">
        <f t="shared" si="15"/>
        <v>-72.951281249999965</v>
      </c>
      <c r="CE18" s="53">
        <f t="shared" si="15"/>
        <v>-37.068993749999997</v>
      </c>
      <c r="CF18" s="53">
        <f t="shared" si="15"/>
        <v>-46.119856250000012</v>
      </c>
      <c r="CG18" s="53">
        <f t="shared" si="15"/>
        <v>-46.648406250000001</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71.149228125000022</v>
      </c>
      <c r="X19" s="32">
        <v>75.004365625000005</v>
      </c>
      <c r="Y19" s="32">
        <v>39.554531249999997</v>
      </c>
      <c r="Z19" s="32">
        <v>47.858968750000003</v>
      </c>
      <c r="AA19" s="32">
        <v>48.457106250000002</v>
      </c>
      <c r="AB19" s="33">
        <v>4786.74</v>
      </c>
      <c r="AC19" s="33">
        <v>2170.84</v>
      </c>
      <c r="AD19" s="33">
        <v>13.788</v>
      </c>
      <c r="AE19" s="33">
        <v>12.224</v>
      </c>
      <c r="AG19" s="28" t="str">
        <f t="shared" si="6"/>
        <v>·</v>
      </c>
      <c r="AH19" s="29" t="str">
        <f t="shared" si="7"/>
        <v>·</v>
      </c>
      <c r="AI19" s="29" t="str">
        <f t="shared" si="8"/>
        <v>·</v>
      </c>
      <c r="AJ19" s="29" t="str">
        <f t="shared" si="9"/>
        <v>·</v>
      </c>
      <c r="AK19" s="29" t="str">
        <f t="shared" si="10"/>
        <v>·</v>
      </c>
      <c r="AL19" s="26" t="str">
        <f t="shared" si="11"/>
        <v/>
      </c>
      <c r="AM19" s="29">
        <v>16</v>
      </c>
      <c r="AN19" s="30"/>
      <c r="AO19" s="30"/>
      <c r="AP19" s="30"/>
      <c r="AQ19" s="31"/>
      <c r="AR19" s="31"/>
      <c r="AS19" s="31"/>
      <c r="AT19" s="31"/>
      <c r="AU19" s="32"/>
      <c r="AV19" s="32"/>
      <c r="AW19" s="32"/>
      <c r="AX19" s="32"/>
      <c r="AY19" s="32"/>
      <c r="AZ19" s="33"/>
      <c r="BA19" s="33"/>
      <c r="BB19" s="33"/>
      <c r="BC19" s="33"/>
      <c r="BE19" s="34" t="e">
        <f t="shared" si="12"/>
        <v>#VALUE!</v>
      </c>
      <c r="BF19" s="35" t="e">
        <f t="shared" si="13"/>
        <v>#DIV/0!</v>
      </c>
      <c r="BG19" s="35" t="e">
        <f t="shared" si="14"/>
        <v>#VALUE!</v>
      </c>
      <c r="BH19" s="35"/>
      <c r="BJ19" s="34"/>
      <c r="BK19" s="34"/>
      <c r="BL19" s="34"/>
      <c r="BM19" s="34"/>
      <c r="BN19" s="34"/>
      <c r="BP19" s="34"/>
      <c r="BQ19" s="34"/>
      <c r="BR19" s="34"/>
      <c r="BS19" s="34"/>
      <c r="BT19" s="34"/>
      <c r="BV19" s="53">
        <f t="shared" si="16"/>
        <v>-33039030</v>
      </c>
      <c r="BW19" s="53">
        <f t="shared" si="15"/>
        <v>-1032469.6875</v>
      </c>
      <c r="BX19" s="53">
        <f t="shared" si="15"/>
        <v>-17754.53125</v>
      </c>
      <c r="BY19" s="53">
        <f t="shared" si="15"/>
        <v>-38360856</v>
      </c>
      <c r="BZ19" s="53">
        <f t="shared" si="15"/>
        <v>-6660824</v>
      </c>
      <c r="CA19" s="53">
        <f t="shared" si="15"/>
        <v>-2325040</v>
      </c>
      <c r="CB19" s="53">
        <f t="shared" si="15"/>
        <v>-29374992</v>
      </c>
      <c r="CC19" s="53">
        <f t="shared" si="15"/>
        <v>-71.149228125000022</v>
      </c>
      <c r="CD19" s="53">
        <f t="shared" si="15"/>
        <v>-75.004365625000005</v>
      </c>
      <c r="CE19" s="53">
        <f t="shared" si="15"/>
        <v>-39.554531249999997</v>
      </c>
      <c r="CF19" s="53">
        <f t="shared" si="15"/>
        <v>-47.858968750000003</v>
      </c>
      <c r="CG19" s="53">
        <f t="shared" si="15"/>
        <v>-48.457106250000002</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30.70466875</v>
      </c>
      <c r="Z20" s="23">
        <v>39.516743750000003</v>
      </c>
      <c r="AA20" s="23">
        <v>38.250818749999993</v>
      </c>
      <c r="AB20" s="24">
        <v>4403.7</v>
      </c>
      <c r="AC20" s="24">
        <v>1626.51</v>
      </c>
      <c r="AD20" s="24">
        <v>13.58</v>
      </c>
      <c r="AE20" s="24">
        <v>8.2880000000000003</v>
      </c>
      <c r="AG20" s="19" t="str">
        <f t="shared" si="6"/>
        <v>·</v>
      </c>
      <c r="AH20" s="20" t="str">
        <f t="shared" si="7"/>
        <v>·</v>
      </c>
      <c r="AI20" s="20" t="str">
        <f t="shared" si="8"/>
        <v>·</v>
      </c>
      <c r="AJ20" s="20" t="str">
        <f t="shared" si="9"/>
        <v>·</v>
      </c>
      <c r="AK20" s="20" t="str">
        <f t="shared" si="10"/>
        <v>·</v>
      </c>
      <c r="AL20" s="17" t="str">
        <f t="shared" si="11"/>
        <v/>
      </c>
      <c r="AM20" s="20">
        <v>16</v>
      </c>
      <c r="AN20" s="21"/>
      <c r="AO20" s="21"/>
      <c r="AP20" s="21"/>
      <c r="AQ20" s="22"/>
      <c r="AR20" s="22"/>
      <c r="AS20" s="22"/>
      <c r="AT20" s="22"/>
      <c r="AU20" s="23"/>
      <c r="AV20" s="23"/>
      <c r="AW20" s="23"/>
      <c r="AX20" s="23"/>
      <c r="AY20" s="23"/>
      <c r="AZ20" s="24"/>
      <c r="BA20" s="24"/>
      <c r="BB20" s="24"/>
      <c r="BC20" s="24"/>
      <c r="BE20" s="49" t="e">
        <f t="shared" si="12"/>
        <v>#VALUE!</v>
      </c>
      <c r="BF20" s="25" t="e">
        <f t="shared" si="13"/>
        <v>#DIV/0!</v>
      </c>
      <c r="BG20" s="25" t="e">
        <f t="shared" si="14"/>
        <v>#VALUE!</v>
      </c>
      <c r="BH20" s="25" t="e">
        <f t="array" ref="BH20">AVERAGE(AL20:AL24/AQ20:AQ24) - AVERAGE(N20:N24/S20:S24)</f>
        <v>#VALUE!</v>
      </c>
      <c r="BJ20" s="49" t="str">
        <f>IF( OR(ISBLANK(N20:N24),ISBLANK(AL20:AL24), ISBLANK(W20:W24),ISBLANK(AU20:AU24)), "·", bdRateExtend( N20:N24,W20:W24, AL20:AL24,AU20:AU24))</f>
        <v>·</v>
      </c>
      <c r="BK20" s="49" t="str">
        <f>IF( OR(ISBLANK(N20:N24),ISBLANK(AL20:AL24), ISBLANK(X20:X24),ISBLANK(AV20:AV24)), "·", bdRateExtend( N20:N24,X20:X24, AL20:AL24,AV20:AV24))</f>
        <v>·</v>
      </c>
      <c r="BL20" s="49" t="str">
        <f>IF( OR(ISBLANK(V20:V24),ISBLANK(AT20:AT24), ISBLANK(Y20:Y24),ISBLANK(AW20:AW24)), "·", bdRateExtend( V20:V24,Y20:Y24, AT20:AT24,AW20:AW24))</f>
        <v>·</v>
      </c>
      <c r="BM20" s="49" t="str">
        <f>IF( OR(ISBLANK(V20:V24),ISBLANK(AT20:AT24), ISBLANK(Z20:Z24),ISBLANK(AX20:AX24)), "·", bdRateExtend( V20:V24,Z20:Z24, AT20:AT24,AX20:AX24))</f>
        <v>·</v>
      </c>
      <c r="BN20" s="49" t="str">
        <f>IF( OR(ISBLANK(V20:V24),ISBLANK(AT20:AT24), ISBLANK(AA20:AA24),ISBLANK(AY20:AY24)), "·", bdRateExtend( V20:V24,AA20:AA24, AT20:AT24,AY20:AY24))</f>
        <v>·</v>
      </c>
      <c r="BP20" s="49" t="str">
        <f>IF( OR(ISBLANK(S20:S24),ISBLANK(AQ20:AQ24), ISBLANK(W20:W24),ISBLANK(AU20:AU24)), "·", bdRateExtend( S20:S24,W20:W24, AQ20:AQ24,AU20:AU24))</f>
        <v>·</v>
      </c>
      <c r="BQ20" s="49" t="str">
        <f>IF( OR(ISBLANK(S20:S24),ISBLANK(AQ20:AQ24), ISBLANK(X20:X24),ISBLANK(AV20:AV24)), "·", bdRateExtend( S20:S24,X20:X24, AQ20:AQ24,AV20:AV24))</f>
        <v>·</v>
      </c>
      <c r="BR20" s="49" t="str">
        <f>IF( OR(ISBLANK(S20:S24),ISBLANK(AQ20:AQ24), ISBLANK(Y20:Y24),ISBLANK(AW20:AW24)), "·", bdRateExtend( S20:S24,Y20:Y24, AQ20:AQ24,AW20:AW24))</f>
        <v>·</v>
      </c>
      <c r="BS20" s="49" t="str">
        <f>IF( OR(ISBLANK(S20:S24),ISBLANK(AQ20:AQ24), ISBLANK(Z20:Z24),ISBLANK(AX20:AX24)), "·", bdRateExtend( S20:S24,Z20:Z24, AQ20:AQ24,AX20:AX24))</f>
        <v>·</v>
      </c>
      <c r="BT20" s="49" t="str">
        <f>IF( OR(ISBLANK(S20:S24),ISBLANK(AQ20:AQ24), ISBLANK(AA20:AA24),ISBLANK(AY20:AY24)), "·", bdRateExtend( S20:S24,AA20:AA24, AQ20:AQ24,AY20:AY24))</f>
        <v>·</v>
      </c>
      <c r="BV20" s="53">
        <f t="shared" si="16"/>
        <v>-30274532</v>
      </c>
      <c r="BW20" s="53">
        <f t="shared" si="15"/>
        <v>-946079.125</v>
      </c>
      <c r="BX20" s="53">
        <f t="shared" si="15"/>
        <v>-27842.25</v>
      </c>
      <c r="BY20" s="53">
        <f t="shared" si="15"/>
        <v>-3319352</v>
      </c>
      <c r="BZ20" s="53">
        <f t="shared" si="15"/>
        <v>-948168</v>
      </c>
      <c r="CA20" s="53">
        <f t="shared" si="15"/>
        <v>-982960</v>
      </c>
      <c r="CB20" s="53">
        <f t="shared" si="15"/>
        <v>-1388224</v>
      </c>
      <c r="CC20" s="53">
        <f t="shared" si="15"/>
        <v>-67.105800000000002</v>
      </c>
      <c r="CD20" s="53">
        <f t="shared" si="15"/>
        <v>-68.817099999999996</v>
      </c>
      <c r="CE20" s="53">
        <f t="shared" si="15"/>
        <v>-30.70466875</v>
      </c>
      <c r="CF20" s="53">
        <f t="shared" si="15"/>
        <v>-39.516743750000003</v>
      </c>
      <c r="CG20" s="53">
        <f t="shared" si="15"/>
        <v>-38.250818749999993</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68.686528125000009</v>
      </c>
      <c r="X21" s="14">
        <v>70.761815624999997</v>
      </c>
      <c r="Y21" s="14">
        <v>32.563856249999994</v>
      </c>
      <c r="Z21" s="14">
        <v>40.66340000000001</v>
      </c>
      <c r="AA21" s="14">
        <v>39.598671875000001</v>
      </c>
      <c r="AB21" s="15">
        <v>4437.8900000000003</v>
      </c>
      <c r="AC21" s="15">
        <v>1723.13</v>
      </c>
      <c r="AD21" s="15">
        <v>13.96</v>
      </c>
      <c r="AE21" s="15">
        <v>11.3</v>
      </c>
      <c r="AG21" s="10" t="str">
        <f t="shared" si="6"/>
        <v>·</v>
      </c>
      <c r="AH21" s="11" t="str">
        <f t="shared" si="7"/>
        <v>·</v>
      </c>
      <c r="AI21" s="11" t="str">
        <f t="shared" si="8"/>
        <v>·</v>
      </c>
      <c r="AJ21" s="11" t="str">
        <f t="shared" si="9"/>
        <v>·</v>
      </c>
      <c r="AK21" s="11" t="str">
        <f t="shared" si="10"/>
        <v>·</v>
      </c>
      <c r="AL21" s="52" t="str">
        <f t="shared" si="11"/>
        <v/>
      </c>
      <c r="AM21" s="11">
        <v>16</v>
      </c>
      <c r="AN21" s="12"/>
      <c r="AO21" s="12"/>
      <c r="AP21" s="12"/>
      <c r="AQ21" s="13"/>
      <c r="AR21" s="13"/>
      <c r="AS21" s="13"/>
      <c r="AT21" s="13"/>
      <c r="AU21" s="14"/>
      <c r="AV21" s="14"/>
      <c r="AW21" s="14"/>
      <c r="AX21" s="14"/>
      <c r="AY21" s="14"/>
      <c r="AZ21" s="15"/>
      <c r="BA21" s="15"/>
      <c r="BB21" s="15"/>
      <c r="BC21" s="15"/>
      <c r="BE21" s="50" t="e">
        <f t="shared" si="12"/>
        <v>#VALUE!</v>
      </c>
      <c r="BF21" s="16" t="e">
        <f t="shared" si="13"/>
        <v>#DIV/0!</v>
      </c>
      <c r="BG21" s="16" t="e">
        <f t="shared" si="14"/>
        <v>#VALUE!</v>
      </c>
      <c r="BH21" s="16"/>
      <c r="BJ21" s="50"/>
      <c r="BK21" s="50"/>
      <c r="BL21" s="50"/>
      <c r="BM21" s="50"/>
      <c r="BN21" s="50"/>
      <c r="BP21" s="50"/>
      <c r="BQ21" s="50"/>
      <c r="BR21" s="50"/>
      <c r="BS21" s="50"/>
      <c r="BT21" s="50"/>
      <c r="BV21" s="53">
        <f t="shared" si="16"/>
        <v>-31505484</v>
      </c>
      <c r="BW21" s="53">
        <f t="shared" si="16"/>
        <v>-984546.375</v>
      </c>
      <c r="BX21" s="53">
        <f t="shared" si="16"/>
        <v>-33029.375</v>
      </c>
      <c r="BY21" s="53">
        <f t="shared" si="16"/>
        <v>-4970496</v>
      </c>
      <c r="BZ21" s="53">
        <f t="shared" si="16"/>
        <v>-1309880</v>
      </c>
      <c r="CA21" s="53">
        <f t="shared" si="16"/>
        <v>-982960</v>
      </c>
      <c r="CB21" s="53">
        <f t="shared" si="16"/>
        <v>-2677656</v>
      </c>
      <c r="CC21" s="53">
        <f t="shared" si="16"/>
        <v>-68.686528125000009</v>
      </c>
      <c r="CD21" s="53">
        <f t="shared" si="16"/>
        <v>-70.761815624999997</v>
      </c>
      <c r="CE21" s="53">
        <f t="shared" si="16"/>
        <v>-32.563856249999994</v>
      </c>
      <c r="CF21" s="53">
        <f t="shared" si="16"/>
        <v>-40.66340000000001</v>
      </c>
      <c r="CG21" s="53">
        <f t="shared" si="16"/>
        <v>-39.598671875000001</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69.861821875000004</v>
      </c>
      <c r="X22" s="23">
        <v>72.258756250000005</v>
      </c>
      <c r="Y22" s="23">
        <v>34.406353125000003</v>
      </c>
      <c r="Z22" s="23">
        <v>41.679393750000003</v>
      </c>
      <c r="AA22" s="23">
        <v>40.627628125000001</v>
      </c>
      <c r="AB22" s="24">
        <v>4512.8</v>
      </c>
      <c r="AC22" s="24">
        <v>1818.14</v>
      </c>
      <c r="AD22" s="24">
        <v>13.875999999999999</v>
      </c>
      <c r="AE22" s="24">
        <v>11.776</v>
      </c>
      <c r="AG22" s="19" t="str">
        <f t="shared" si="6"/>
        <v>·</v>
      </c>
      <c r="AH22" s="20" t="str">
        <f t="shared" si="7"/>
        <v>·</v>
      </c>
      <c r="AI22" s="20" t="str">
        <f t="shared" si="8"/>
        <v>·</v>
      </c>
      <c r="AJ22" s="20" t="str">
        <f t="shared" si="9"/>
        <v>·</v>
      </c>
      <c r="AK22" s="20" t="str">
        <f t="shared" si="10"/>
        <v>·</v>
      </c>
      <c r="AL22" s="17" t="str">
        <f t="shared" si="11"/>
        <v/>
      </c>
      <c r="AM22" s="20">
        <v>16</v>
      </c>
      <c r="AN22" s="21"/>
      <c r="AO22" s="21"/>
      <c r="AP22" s="21"/>
      <c r="AQ22" s="22"/>
      <c r="AR22" s="22"/>
      <c r="AS22" s="22"/>
      <c r="AT22" s="22"/>
      <c r="AU22" s="23"/>
      <c r="AV22" s="23"/>
      <c r="AW22" s="23"/>
      <c r="AX22" s="23"/>
      <c r="AY22" s="23"/>
      <c r="AZ22" s="24"/>
      <c r="BA22" s="24"/>
      <c r="BB22" s="24"/>
      <c r="BC22" s="24"/>
      <c r="BE22" s="49" t="e">
        <f t="shared" si="12"/>
        <v>#VALUE!</v>
      </c>
      <c r="BF22" s="25" t="e">
        <f t="shared" si="13"/>
        <v>#DIV/0!</v>
      </c>
      <c r="BG22" s="25" t="e">
        <f t="shared" si="14"/>
        <v>#VALUE!</v>
      </c>
      <c r="BH22" s="25"/>
      <c r="BJ22" s="49"/>
      <c r="BK22" s="49"/>
      <c r="BL22" s="49"/>
      <c r="BM22" s="49"/>
      <c r="BN22" s="49"/>
      <c r="BP22" s="49"/>
      <c r="BQ22" s="49"/>
      <c r="BR22" s="49"/>
      <c r="BS22" s="49"/>
      <c r="BT22" s="49"/>
      <c r="BV22" s="53">
        <f t="shared" si="16"/>
        <v>-32735750</v>
      </c>
      <c r="BW22" s="53">
        <f t="shared" si="16"/>
        <v>-1022992.1875</v>
      </c>
      <c r="BX22" s="53">
        <f t="shared" si="16"/>
        <v>-35066.4375</v>
      </c>
      <c r="BY22" s="53">
        <f t="shared" si="16"/>
        <v>-8135696</v>
      </c>
      <c r="BZ22" s="53">
        <f t="shared" si="16"/>
        <v>-1872496</v>
      </c>
      <c r="CA22" s="53">
        <f t="shared" si="16"/>
        <v>-982960</v>
      </c>
      <c r="CB22" s="53">
        <f t="shared" si="16"/>
        <v>-5280240</v>
      </c>
      <c r="CC22" s="53">
        <f t="shared" si="16"/>
        <v>-69.861821875000004</v>
      </c>
      <c r="CD22" s="53">
        <f t="shared" si="16"/>
        <v>-72.258756250000005</v>
      </c>
      <c r="CE22" s="53">
        <f t="shared" si="16"/>
        <v>-34.406353125000003</v>
      </c>
      <c r="CF22" s="53">
        <f t="shared" si="16"/>
        <v>-41.679393750000003</v>
      </c>
      <c r="CG22" s="53">
        <f t="shared" si="16"/>
        <v>-40.627628125000001</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70.888134374999979</v>
      </c>
      <c r="X23" s="14">
        <v>73.610840625000023</v>
      </c>
      <c r="Y23" s="14">
        <v>35.937868749999993</v>
      </c>
      <c r="Z23" s="14">
        <v>42.840609375000007</v>
      </c>
      <c r="AA23" s="14">
        <v>41.690131250000007</v>
      </c>
      <c r="AB23" s="15">
        <v>4440.0600000000004</v>
      </c>
      <c r="AC23" s="15">
        <v>1986.67</v>
      </c>
      <c r="AD23" s="15">
        <v>14.071999999999999</v>
      </c>
      <c r="AE23" s="15">
        <v>12.84</v>
      </c>
      <c r="AG23" s="10" t="str">
        <f t="shared" si="6"/>
        <v>·</v>
      </c>
      <c r="AH23" s="11" t="str">
        <f t="shared" si="7"/>
        <v>·</v>
      </c>
      <c r="AI23" s="11" t="str">
        <f t="shared" si="8"/>
        <v>·</v>
      </c>
      <c r="AJ23" s="11" t="str">
        <f t="shared" si="9"/>
        <v>·</v>
      </c>
      <c r="AK23" s="11" t="str">
        <f t="shared" si="10"/>
        <v>·</v>
      </c>
      <c r="AL23" s="52" t="str">
        <f t="shared" si="11"/>
        <v/>
      </c>
      <c r="AM23" s="11">
        <v>16</v>
      </c>
      <c r="AN23" s="12"/>
      <c r="AO23" s="12"/>
      <c r="AP23" s="12"/>
      <c r="AQ23" s="13"/>
      <c r="AR23" s="13"/>
      <c r="AS23" s="13"/>
      <c r="AT23" s="13"/>
      <c r="AU23" s="14"/>
      <c r="AV23" s="14"/>
      <c r="AW23" s="14"/>
      <c r="AX23" s="14"/>
      <c r="AY23" s="14"/>
      <c r="AZ23" s="15"/>
      <c r="BA23" s="15"/>
      <c r="BB23" s="15"/>
      <c r="BC23" s="15"/>
      <c r="BE23" s="50" t="e">
        <f t="shared" si="12"/>
        <v>#VALUE!</v>
      </c>
      <c r="BF23" s="16" t="e">
        <f t="shared" si="13"/>
        <v>#DIV/0!</v>
      </c>
      <c r="BG23" s="16" t="e">
        <f t="shared" si="14"/>
        <v>#VALUE!</v>
      </c>
      <c r="BH23" s="16"/>
      <c r="BJ23" s="50"/>
      <c r="BK23" s="50"/>
      <c r="BL23" s="50"/>
      <c r="BM23" s="50"/>
      <c r="BN23" s="50"/>
      <c r="BP23" s="50"/>
      <c r="BQ23" s="50"/>
      <c r="BR23" s="50"/>
      <c r="BS23" s="50"/>
      <c r="BT23" s="50"/>
      <c r="BV23" s="53">
        <f t="shared" si="16"/>
        <v>-32798890</v>
      </c>
      <c r="BW23" s="53">
        <f t="shared" si="16"/>
        <v>-1024965.3125</v>
      </c>
      <c r="BX23" s="53">
        <f t="shared" si="16"/>
        <v>-36962.65625</v>
      </c>
      <c r="BY23" s="53">
        <f t="shared" si="16"/>
        <v>-14442976</v>
      </c>
      <c r="BZ23" s="53">
        <f t="shared" si="16"/>
        <v>-2856880</v>
      </c>
      <c r="CA23" s="53">
        <f t="shared" si="16"/>
        <v>-982960</v>
      </c>
      <c r="CB23" s="53">
        <f t="shared" si="16"/>
        <v>-10603136</v>
      </c>
      <c r="CC23" s="53">
        <f t="shared" si="16"/>
        <v>-70.888134374999979</v>
      </c>
      <c r="CD23" s="53">
        <f t="shared" si="16"/>
        <v>-73.610840625000023</v>
      </c>
      <c r="CE23" s="53">
        <f t="shared" si="16"/>
        <v>-35.937868749999993</v>
      </c>
      <c r="CF23" s="53">
        <f t="shared" si="16"/>
        <v>-42.840609375000007</v>
      </c>
      <c r="CG23" s="53">
        <f t="shared" si="16"/>
        <v>-41.690131250000007</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71.730803125000023</v>
      </c>
      <c r="X24" s="42">
        <v>75.625753124999974</v>
      </c>
      <c r="Y24" s="42">
        <v>37.229371874999991</v>
      </c>
      <c r="Z24" s="42">
        <v>43.646537500000001</v>
      </c>
      <c r="AA24" s="42">
        <v>42.206934375000003</v>
      </c>
      <c r="AB24" s="43">
        <v>4394.66</v>
      </c>
      <c r="AC24" s="43">
        <v>2208.25</v>
      </c>
      <c r="AD24" s="43">
        <v>13.912000000000001</v>
      </c>
      <c r="AE24" s="43">
        <v>13.34</v>
      </c>
      <c r="AG24" s="38" t="str">
        <f t="shared" si="6"/>
        <v>·</v>
      </c>
      <c r="AH24" s="39" t="str">
        <f t="shared" si="7"/>
        <v>·</v>
      </c>
      <c r="AI24" s="39" t="str">
        <f t="shared" si="8"/>
        <v>·</v>
      </c>
      <c r="AJ24" s="39" t="str">
        <f t="shared" si="9"/>
        <v>·</v>
      </c>
      <c r="AK24" s="39" t="str">
        <f t="shared" si="10"/>
        <v>·</v>
      </c>
      <c r="AL24" s="36" t="str">
        <f t="shared" si="11"/>
        <v/>
      </c>
      <c r="AM24" s="39">
        <v>16</v>
      </c>
      <c r="AN24" s="40"/>
      <c r="AO24" s="40"/>
      <c r="AP24" s="40"/>
      <c r="AQ24" s="41"/>
      <c r="AR24" s="41"/>
      <c r="AS24" s="41"/>
      <c r="AT24" s="41"/>
      <c r="AU24" s="42"/>
      <c r="AV24" s="42"/>
      <c r="AW24" s="42"/>
      <c r="AX24" s="42"/>
      <c r="AY24" s="42"/>
      <c r="AZ24" s="43"/>
      <c r="BA24" s="43"/>
      <c r="BB24" s="43"/>
      <c r="BC24" s="43"/>
      <c r="BE24" s="44" t="e">
        <f t="shared" si="12"/>
        <v>#VALUE!</v>
      </c>
      <c r="BF24" s="45" t="e">
        <f t="shared" si="13"/>
        <v>#DIV/0!</v>
      </c>
      <c r="BG24" s="45" t="e">
        <f t="shared" si="14"/>
        <v>#VALUE!</v>
      </c>
      <c r="BH24" s="45"/>
      <c r="BJ24" s="44"/>
      <c r="BK24" s="44"/>
      <c r="BL24" s="44"/>
      <c r="BM24" s="44"/>
      <c r="BN24" s="44"/>
      <c r="BP24" s="44"/>
      <c r="BQ24" s="44"/>
      <c r="BR24" s="44"/>
      <c r="BS24" s="44"/>
      <c r="BT24" s="44"/>
      <c r="BV24" s="53">
        <f t="shared" si="16"/>
        <v>-31426902</v>
      </c>
      <c r="BW24" s="53">
        <f t="shared" si="16"/>
        <v>-982090.6875</v>
      </c>
      <c r="BX24" s="53">
        <f t="shared" si="16"/>
        <v>-18270.09375</v>
      </c>
      <c r="BY24" s="53">
        <f t="shared" si="16"/>
        <v>-25355288</v>
      </c>
      <c r="BZ24" s="53">
        <f t="shared" si="16"/>
        <v>-4487448</v>
      </c>
      <c r="CA24" s="53">
        <f t="shared" si="16"/>
        <v>-1864056</v>
      </c>
      <c r="CB24" s="53">
        <f t="shared" si="16"/>
        <v>-19003784</v>
      </c>
      <c r="CC24" s="53">
        <f t="shared" si="16"/>
        <v>-71.730803125000023</v>
      </c>
      <c r="CD24" s="53">
        <f t="shared" si="16"/>
        <v>-75.625753124999974</v>
      </c>
      <c r="CE24" s="53">
        <f t="shared" si="16"/>
        <v>-37.229371874999991</v>
      </c>
      <c r="CF24" s="53">
        <f t="shared" si="16"/>
        <v>-43.646537500000001</v>
      </c>
      <c r="CG24" s="53">
        <f t="shared" si="16"/>
        <v>-42.206934375000003</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66.208681249999998</v>
      </c>
      <c r="X25" s="14">
        <v>67.982928124999987</v>
      </c>
      <c r="Y25" s="14">
        <v>27.338421875000002</v>
      </c>
      <c r="Z25" s="14">
        <v>33.158384374999997</v>
      </c>
      <c r="AA25" s="14">
        <v>32.589131250000008</v>
      </c>
      <c r="AB25" s="15">
        <v>1552.8</v>
      </c>
      <c r="AC25" s="15">
        <v>1463.43</v>
      </c>
      <c r="AD25" s="15">
        <v>13.012</v>
      </c>
      <c r="AE25" s="15">
        <v>10.776</v>
      </c>
      <c r="AG25" s="10" t="str">
        <f t="shared" si="6"/>
        <v>·</v>
      </c>
      <c r="AH25" s="11" t="str">
        <f t="shared" si="7"/>
        <v>·</v>
      </c>
      <c r="AI25" s="11" t="str">
        <f t="shared" si="8"/>
        <v>·</v>
      </c>
      <c r="AJ25" s="11" t="str">
        <f t="shared" si="9"/>
        <v>·</v>
      </c>
      <c r="AK25" s="11" t="str">
        <f t="shared" si="10"/>
        <v>·</v>
      </c>
      <c r="AL25" s="52" t="str">
        <f t="shared" si="11"/>
        <v/>
      </c>
      <c r="AM25" s="11">
        <v>16</v>
      </c>
      <c r="AN25" s="12"/>
      <c r="AO25" s="12"/>
      <c r="AP25" s="12"/>
      <c r="AQ25" s="13"/>
      <c r="AR25" s="13"/>
      <c r="AS25" s="13"/>
      <c r="AT25" s="13"/>
      <c r="AU25" s="14"/>
      <c r="AV25" s="14"/>
      <c r="AW25" s="14"/>
      <c r="AX25" s="14"/>
      <c r="AY25" s="14"/>
      <c r="AZ25" s="15"/>
      <c r="BA25" s="15"/>
      <c r="BB25" s="15"/>
      <c r="BC25" s="15"/>
      <c r="BE25" s="50" t="e">
        <f t="shared" si="12"/>
        <v>#VALUE!</v>
      </c>
      <c r="BF25" s="16" t="e">
        <f t="shared" si="13"/>
        <v>#DIV/0!</v>
      </c>
      <c r="BG25" s="16" t="e">
        <f t="shared" si="14"/>
        <v>#VALUE!</v>
      </c>
      <c r="BH25" s="16" t="e">
        <f t="array" ref="BH25">AVERAGE(AL25:AL29/AQ25:AQ29) - AVERAGE(N25:N29/S25:S29)</f>
        <v>#VALUE!</v>
      </c>
      <c r="BJ25" s="50" t="str">
        <f>IF( OR(ISBLANK(N25:N29),ISBLANK(AL25:AL29), ISBLANK(W25:W29),ISBLANK(AU25:AU29)), "·", bdRateExtend( N25:N29,W25:W29, AL25:AL29,AU25:AU29))</f>
        <v>·</v>
      </c>
      <c r="BK25" s="50" t="str">
        <f>IF( OR(ISBLANK(N25:N29),ISBLANK(AL25:AL29), ISBLANK(X25:X29),ISBLANK(AV25:AV29)), "·", bdRateExtend( N25:N29,X25:X29, AL25:AL29,AV25:AV29))</f>
        <v>·</v>
      </c>
      <c r="BL25" s="50" t="str">
        <f>IF( OR(ISBLANK(V25:V29),ISBLANK(AT25:AT29), ISBLANK(Y25:Y29),ISBLANK(AW25:AW29)), "·", bdRateExtend( V25:V29,Y25:Y29, AT25:AT29,AW25:AW29))</f>
        <v>·</v>
      </c>
      <c r="BM25" s="50" t="str">
        <f>IF( OR(ISBLANK(V25:V29),ISBLANK(AT25:AT29), ISBLANK(Z25:Z29),ISBLANK(AX25:AX29)), "·", bdRateExtend( V25:V29,Z25:Z29, AT25:AT29,AX25:AX29))</f>
        <v>·</v>
      </c>
      <c r="BN25" s="50" t="str">
        <f>IF( OR(ISBLANK(V25:V29),ISBLANK(AT25:AT29), ISBLANK(AA25:AA29),ISBLANK(AY25:AY29)), "·", bdRateExtend( V25:V29,AA25:AA29, AT25:AT29,AY25:AY29))</f>
        <v>·</v>
      </c>
      <c r="BP25" s="50" t="str">
        <f>IF( OR(ISBLANK(S25:S29),ISBLANK(AQ25:AQ29), ISBLANK(W25:W29),ISBLANK(AU25:AU29)), "·", bdRateExtend( S25:S29,W25:W29, AQ25:AQ29,AU25:AU29))</f>
        <v>·</v>
      </c>
      <c r="BQ25" s="50" t="str">
        <f>IF( OR(ISBLANK(S25:S29),ISBLANK(AQ25:AQ29), ISBLANK(X25:X29),ISBLANK(AV25:AV29)), "·", bdRateExtend( S25:S29,X25:X29, AQ25:AQ29,AV25:AV29))</f>
        <v>·</v>
      </c>
      <c r="BR25" s="50" t="str">
        <f>IF( OR(ISBLANK(S25:S29),ISBLANK(AQ25:AQ29), ISBLANK(Y25:Y29),ISBLANK(AW25:AW29)), "·", bdRateExtend( S25:S29,Y25:Y29, AQ25:AQ29,AW25:AW29))</f>
        <v>·</v>
      </c>
      <c r="BS25" s="50" t="str">
        <f>IF( OR(ISBLANK(S25:S29),ISBLANK(AQ25:AQ29), ISBLANK(Z25:Z29),ISBLANK(AX25:AX29)), "·", bdRateExtend( S25:S29,Z25:Z29, AQ25:AQ29,AX25:AX29))</f>
        <v>·</v>
      </c>
      <c r="BT25" s="50" t="str">
        <f>IF( OR(ISBLANK(S25:S29),ISBLANK(AQ25:AQ29), ISBLANK(AA25:AA29),ISBLANK(AY25:AY29)), "·", bdRateExtend( S25:S29,AA25:AA29, AQ25:AQ29,AY25:AY29))</f>
        <v>·</v>
      </c>
      <c r="BV25" s="53">
        <f t="shared" si="16"/>
        <v>-23156910</v>
      </c>
      <c r="BW25" s="53">
        <f t="shared" si="16"/>
        <v>-723653.4375</v>
      </c>
      <c r="BX25" s="53">
        <f t="shared" si="16"/>
        <v>-14060.625</v>
      </c>
      <c r="BY25" s="53">
        <f t="shared" si="16"/>
        <v>-4685984</v>
      </c>
      <c r="BZ25" s="53">
        <f t="shared" si="16"/>
        <v>-932624</v>
      </c>
      <c r="CA25" s="53">
        <f t="shared" si="16"/>
        <v>-713080</v>
      </c>
      <c r="CB25" s="53">
        <f t="shared" si="16"/>
        <v>-3040280</v>
      </c>
      <c r="CC25" s="53">
        <f t="shared" si="16"/>
        <v>-66.208681249999998</v>
      </c>
      <c r="CD25" s="53">
        <f t="shared" si="16"/>
        <v>-67.982928124999987</v>
      </c>
      <c r="CE25" s="53">
        <f t="shared" si="16"/>
        <v>-27.338421875000002</v>
      </c>
      <c r="CF25" s="53">
        <f t="shared" si="16"/>
        <v>-33.158384374999997</v>
      </c>
      <c r="CG25" s="53">
        <f t="shared" si="16"/>
        <v>-32.589131250000008</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67.941556250000005</v>
      </c>
      <c r="X26" s="23">
        <v>69.941896874999998</v>
      </c>
      <c r="Y26" s="23">
        <v>29.720368749999992</v>
      </c>
      <c r="Z26" s="23">
        <v>34.340334374999998</v>
      </c>
      <c r="AA26" s="23">
        <v>33.888184375000009</v>
      </c>
      <c r="AB26" s="24">
        <v>1542.54</v>
      </c>
      <c r="AC26" s="24">
        <v>1695.48</v>
      </c>
      <c r="AD26" s="24">
        <v>13.148</v>
      </c>
      <c r="AE26" s="24">
        <v>11.444000000000001</v>
      </c>
      <c r="AG26" s="19" t="str">
        <f t="shared" si="6"/>
        <v>·</v>
      </c>
      <c r="AH26" s="20" t="str">
        <f t="shared" si="7"/>
        <v>·</v>
      </c>
      <c r="AI26" s="20" t="str">
        <f t="shared" si="8"/>
        <v>·</v>
      </c>
      <c r="AJ26" s="20" t="str">
        <f t="shared" si="9"/>
        <v>·</v>
      </c>
      <c r="AK26" s="20" t="str">
        <f t="shared" si="10"/>
        <v>·</v>
      </c>
      <c r="AL26" s="17" t="str">
        <f t="shared" si="11"/>
        <v/>
      </c>
      <c r="AM26" s="20">
        <v>16</v>
      </c>
      <c r="AN26" s="21"/>
      <c r="AO26" s="21"/>
      <c r="AP26" s="21"/>
      <c r="AQ26" s="22"/>
      <c r="AR26" s="22"/>
      <c r="AS26" s="22"/>
      <c r="AT26" s="22"/>
      <c r="AU26" s="23"/>
      <c r="AV26" s="23"/>
      <c r="AW26" s="23"/>
      <c r="AX26" s="23"/>
      <c r="AY26" s="23"/>
      <c r="AZ26" s="24"/>
      <c r="BA26" s="24"/>
      <c r="BB26" s="24"/>
      <c r="BC26" s="24"/>
      <c r="BE26" s="49" t="e">
        <f t="shared" si="12"/>
        <v>#VALUE!</v>
      </c>
      <c r="BF26" s="25" t="e">
        <f t="shared" si="13"/>
        <v>#DIV/0!</v>
      </c>
      <c r="BG26" s="25" t="e">
        <f t="shared" si="14"/>
        <v>#VALUE!</v>
      </c>
      <c r="BH26" s="25"/>
      <c r="BJ26" s="49"/>
      <c r="BK26" s="49"/>
      <c r="BL26" s="49"/>
      <c r="BM26" s="49"/>
      <c r="BN26" s="49"/>
      <c r="BP26" s="49"/>
      <c r="BQ26" s="49"/>
      <c r="BR26" s="49"/>
      <c r="BS26" s="49"/>
      <c r="BT26" s="49"/>
      <c r="BV26" s="53">
        <f t="shared" si="16"/>
        <v>-24564301</v>
      </c>
      <c r="BW26" s="53">
        <f t="shared" si="16"/>
        <v>-767634.40625</v>
      </c>
      <c r="BX26" s="53">
        <f t="shared" si="16"/>
        <v>-17714.59375</v>
      </c>
      <c r="BY26" s="53">
        <f t="shared" si="16"/>
        <v>-8028976</v>
      </c>
      <c r="BZ26" s="53">
        <f t="shared" si="16"/>
        <v>-1314696</v>
      </c>
      <c r="CA26" s="53">
        <f t="shared" si="16"/>
        <v>-713080</v>
      </c>
      <c r="CB26" s="53">
        <f t="shared" si="16"/>
        <v>-6001200</v>
      </c>
      <c r="CC26" s="53">
        <f t="shared" si="16"/>
        <v>-67.941556250000005</v>
      </c>
      <c r="CD26" s="53">
        <f t="shared" si="16"/>
        <v>-69.941896874999998</v>
      </c>
      <c r="CE26" s="53">
        <f t="shared" si="16"/>
        <v>-29.720368749999992</v>
      </c>
      <c r="CF26" s="53">
        <f t="shared" si="16"/>
        <v>-34.340334374999998</v>
      </c>
      <c r="CG26" s="53">
        <f t="shared" si="16"/>
        <v>-33.888184375000009</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69.263743750000003</v>
      </c>
      <c r="X27" s="14">
        <v>71.649234374999978</v>
      </c>
      <c r="Y27" s="14">
        <v>32.231909375000008</v>
      </c>
      <c r="Z27" s="14">
        <v>35.582793749999993</v>
      </c>
      <c r="AA27" s="14">
        <v>35.206625000000003</v>
      </c>
      <c r="AB27" s="15">
        <v>1539.13</v>
      </c>
      <c r="AC27" s="15">
        <v>1819.62</v>
      </c>
      <c r="AD27" s="15">
        <v>12.9</v>
      </c>
      <c r="AE27" s="15">
        <v>12.648</v>
      </c>
      <c r="AG27" s="10" t="str">
        <f t="shared" si="6"/>
        <v>·</v>
      </c>
      <c r="AH27" s="11" t="str">
        <f t="shared" si="7"/>
        <v>·</v>
      </c>
      <c r="AI27" s="11" t="str">
        <f t="shared" si="8"/>
        <v>·</v>
      </c>
      <c r="AJ27" s="11" t="str">
        <f t="shared" si="9"/>
        <v>·</v>
      </c>
      <c r="AK27" s="11" t="str">
        <f t="shared" si="10"/>
        <v>·</v>
      </c>
      <c r="AL27" s="52" t="str">
        <f t="shared" si="11"/>
        <v/>
      </c>
      <c r="AM27" s="11">
        <v>16</v>
      </c>
      <c r="AN27" s="12"/>
      <c r="AO27" s="12"/>
      <c r="AP27" s="12"/>
      <c r="AQ27" s="13"/>
      <c r="AR27" s="13"/>
      <c r="AS27" s="13"/>
      <c r="AT27" s="13"/>
      <c r="AU27" s="14"/>
      <c r="AV27" s="14"/>
      <c r="AW27" s="14"/>
      <c r="AX27" s="14"/>
      <c r="AY27" s="14"/>
      <c r="AZ27" s="15"/>
      <c r="BA27" s="15"/>
      <c r="BB27" s="15"/>
      <c r="BC27" s="15"/>
      <c r="BE27" s="50" t="e">
        <f t="shared" si="12"/>
        <v>#VALUE!</v>
      </c>
      <c r="BF27" s="16" t="e">
        <f t="shared" si="13"/>
        <v>#DIV/0!</v>
      </c>
      <c r="BG27" s="16" t="e">
        <f t="shared" si="14"/>
        <v>#VALUE!</v>
      </c>
      <c r="BH27" s="16"/>
      <c r="BJ27" s="50"/>
      <c r="BK27" s="50"/>
      <c r="BL27" s="50"/>
      <c r="BM27" s="50"/>
      <c r="BN27" s="50"/>
      <c r="BP27" s="50"/>
      <c r="BQ27" s="50"/>
      <c r="BR27" s="50"/>
      <c r="BS27" s="50"/>
      <c r="BT27" s="50"/>
      <c r="BV27" s="53">
        <f t="shared" si="16"/>
        <v>-24852477</v>
      </c>
      <c r="BW27" s="53">
        <f t="shared" si="16"/>
        <v>-776639.90625</v>
      </c>
      <c r="BX27" s="53">
        <f t="shared" si="16"/>
        <v>-18688.75</v>
      </c>
      <c r="BY27" s="53">
        <f t="shared" si="16"/>
        <v>-14129984</v>
      </c>
      <c r="BZ27" s="53">
        <f t="shared" si="16"/>
        <v>-1889480</v>
      </c>
      <c r="CA27" s="53">
        <f t="shared" si="16"/>
        <v>-713080</v>
      </c>
      <c r="CB27" s="53">
        <f t="shared" si="16"/>
        <v>-11527424</v>
      </c>
      <c r="CC27" s="53">
        <f t="shared" si="16"/>
        <v>-69.263743750000003</v>
      </c>
      <c r="CD27" s="53">
        <f t="shared" si="16"/>
        <v>-71.649234374999978</v>
      </c>
      <c r="CE27" s="53">
        <f t="shared" si="16"/>
        <v>-32.231909375000008</v>
      </c>
      <c r="CF27" s="53">
        <f t="shared" si="16"/>
        <v>-35.582793749999993</v>
      </c>
      <c r="CG27" s="53">
        <f t="shared" si="16"/>
        <v>-35.206625000000003</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70.432471875000005</v>
      </c>
      <c r="X28" s="23">
        <v>72.970199999999977</v>
      </c>
      <c r="Y28" s="23">
        <v>34.942618749999987</v>
      </c>
      <c r="Z28" s="23">
        <v>37.370328125</v>
      </c>
      <c r="AA28" s="23">
        <v>36.938165625000003</v>
      </c>
      <c r="AB28" s="24">
        <v>1547.28</v>
      </c>
      <c r="AC28" s="24">
        <v>2058.37</v>
      </c>
      <c r="AD28" s="24">
        <v>12.875999999999999</v>
      </c>
      <c r="AE28" s="24">
        <v>14.836</v>
      </c>
      <c r="AG28" s="19" t="str">
        <f t="shared" si="6"/>
        <v>·</v>
      </c>
      <c r="AH28" s="20" t="str">
        <f t="shared" si="7"/>
        <v>·</v>
      </c>
      <c r="AI28" s="20" t="str">
        <f t="shared" si="8"/>
        <v>·</v>
      </c>
      <c r="AJ28" s="20" t="str">
        <f t="shared" si="9"/>
        <v>·</v>
      </c>
      <c r="AK28" s="20" t="str">
        <f t="shared" si="10"/>
        <v>·</v>
      </c>
      <c r="AL28" s="17" t="str">
        <f t="shared" si="11"/>
        <v/>
      </c>
      <c r="AM28" s="20">
        <v>16</v>
      </c>
      <c r="AN28" s="21"/>
      <c r="AO28" s="21"/>
      <c r="AP28" s="21"/>
      <c r="AQ28" s="22"/>
      <c r="AR28" s="22"/>
      <c r="AS28" s="22"/>
      <c r="AT28" s="22"/>
      <c r="AU28" s="23"/>
      <c r="AV28" s="23"/>
      <c r="AW28" s="23"/>
      <c r="AX28" s="23"/>
      <c r="AY28" s="23"/>
      <c r="AZ28" s="24"/>
      <c r="BA28" s="24"/>
      <c r="BB28" s="24"/>
      <c r="BC28" s="24"/>
      <c r="BE28" s="49" t="e">
        <f t="shared" si="12"/>
        <v>#VALUE!</v>
      </c>
      <c r="BF28" s="25" t="e">
        <f t="shared" si="13"/>
        <v>#DIV/0!</v>
      </c>
      <c r="BG28" s="25" t="e">
        <f t="shared" si="14"/>
        <v>#VALUE!</v>
      </c>
      <c r="BH28" s="25"/>
      <c r="BJ28" s="49"/>
      <c r="BK28" s="49"/>
      <c r="BL28" s="49"/>
      <c r="BM28" s="49"/>
      <c r="BN28" s="49"/>
      <c r="BP28" s="49"/>
      <c r="BQ28" s="49"/>
      <c r="BR28" s="49"/>
      <c r="BS28" s="49"/>
      <c r="BT28" s="49"/>
      <c r="BV28" s="53">
        <f t="shared" si="16"/>
        <v>-25521142</v>
      </c>
      <c r="BW28" s="53">
        <f t="shared" si="16"/>
        <v>-797535.6875</v>
      </c>
      <c r="BX28" s="53">
        <f t="shared" si="16"/>
        <v>-20922.53125</v>
      </c>
      <c r="BY28" s="53">
        <f t="shared" si="16"/>
        <v>-26244888</v>
      </c>
      <c r="BZ28" s="53">
        <f t="shared" si="16"/>
        <v>-2854896</v>
      </c>
      <c r="CA28" s="53">
        <f t="shared" si="16"/>
        <v>-713080</v>
      </c>
      <c r="CB28" s="53">
        <f t="shared" si="16"/>
        <v>-22676912</v>
      </c>
      <c r="CC28" s="53">
        <f t="shared" si="16"/>
        <v>-70.432471875000005</v>
      </c>
      <c r="CD28" s="53">
        <f t="shared" si="16"/>
        <v>-72.970199999999977</v>
      </c>
      <c r="CE28" s="53">
        <f t="shared" si="16"/>
        <v>-34.942618749999987</v>
      </c>
      <c r="CF28" s="53">
        <f t="shared" si="16"/>
        <v>-37.370328125</v>
      </c>
      <c r="CG28" s="53">
        <f t="shared" si="16"/>
        <v>-36.938165625000003</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71.152737500000001</v>
      </c>
      <c r="X29" s="32">
        <v>74.9055125</v>
      </c>
      <c r="Y29" s="32">
        <v>37.394256249999998</v>
      </c>
      <c r="Z29" s="32">
        <v>39.396478125000002</v>
      </c>
      <c r="AA29" s="32">
        <v>38.749353125000013</v>
      </c>
      <c r="AB29" s="33">
        <v>1547.88</v>
      </c>
      <c r="AC29" s="33">
        <v>2387.44</v>
      </c>
      <c r="AD29" s="33">
        <v>11.484</v>
      </c>
      <c r="AE29" s="33">
        <v>13.651999999999999</v>
      </c>
      <c r="AG29" s="28" t="str">
        <f t="shared" si="6"/>
        <v>·</v>
      </c>
      <c r="AH29" s="29" t="str">
        <f t="shared" si="7"/>
        <v>·</v>
      </c>
      <c r="AI29" s="29" t="str">
        <f t="shared" si="8"/>
        <v>·</v>
      </c>
      <c r="AJ29" s="29" t="str">
        <f t="shared" si="9"/>
        <v>·</v>
      </c>
      <c r="AK29" s="29" t="str">
        <f t="shared" si="10"/>
        <v>·</v>
      </c>
      <c r="AL29" s="26" t="str">
        <f t="shared" si="11"/>
        <v/>
      </c>
      <c r="AM29" s="29">
        <v>16</v>
      </c>
      <c r="AN29" s="30"/>
      <c r="AO29" s="30"/>
      <c r="AP29" s="30"/>
      <c r="AQ29" s="31"/>
      <c r="AR29" s="31"/>
      <c r="AS29" s="31"/>
      <c r="AT29" s="31"/>
      <c r="AU29" s="32"/>
      <c r="AV29" s="32"/>
      <c r="AW29" s="32"/>
      <c r="AX29" s="32"/>
      <c r="AY29" s="32"/>
      <c r="AZ29" s="33"/>
      <c r="BA29" s="33"/>
      <c r="BB29" s="33"/>
      <c r="BC29" s="33"/>
      <c r="BE29" s="34" t="e">
        <f t="shared" si="12"/>
        <v>#VALUE!</v>
      </c>
      <c r="BF29" s="35" t="e">
        <f t="shared" si="13"/>
        <v>#DIV/0!</v>
      </c>
      <c r="BG29" s="35" t="e">
        <f t="shared" si="14"/>
        <v>#VALUE!</v>
      </c>
      <c r="BH29" s="35"/>
      <c r="BJ29" s="34"/>
      <c r="BK29" s="34"/>
      <c r="BL29" s="34"/>
      <c r="BM29" s="34"/>
      <c r="BN29" s="34"/>
      <c r="BP29" s="34"/>
      <c r="BQ29" s="34"/>
      <c r="BR29" s="34"/>
      <c r="BS29" s="34"/>
      <c r="BT29" s="34"/>
      <c r="BV29" s="53">
        <f t="shared" si="16"/>
        <v>-24571358</v>
      </c>
      <c r="BW29" s="53">
        <f t="shared" si="16"/>
        <v>-767854.9375</v>
      </c>
      <c r="BX29" s="53">
        <f t="shared" si="16"/>
        <v>-9744.125</v>
      </c>
      <c r="BY29" s="53">
        <f t="shared" si="16"/>
        <v>-47258864</v>
      </c>
      <c r="BZ29" s="53">
        <f t="shared" si="16"/>
        <v>-4415640</v>
      </c>
      <c r="CA29" s="53">
        <f t="shared" si="16"/>
        <v>-1339448</v>
      </c>
      <c r="CB29" s="53">
        <f t="shared" si="16"/>
        <v>-41503776</v>
      </c>
      <c r="CC29" s="53">
        <f t="shared" si="16"/>
        <v>-71.152737500000001</v>
      </c>
      <c r="CD29" s="53">
        <f t="shared" si="16"/>
        <v>-74.9055125</v>
      </c>
      <c r="CE29" s="53">
        <f t="shared" si="16"/>
        <v>-37.394256249999998</v>
      </c>
      <c r="CF29" s="53">
        <f t="shared" si="16"/>
        <v>-39.396478125000002</v>
      </c>
      <c r="CG29" s="53">
        <f t="shared" si="16"/>
        <v>-38.749353125000013</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73.460731249999995</v>
      </c>
      <c r="X30" s="23">
        <v>75.713606250000012</v>
      </c>
      <c r="Y30" s="23">
        <v>34.736618750000012</v>
      </c>
      <c r="Z30" s="23">
        <v>42.165665625000003</v>
      </c>
      <c r="AA30" s="23">
        <v>43.775818750000013</v>
      </c>
      <c r="AB30" s="24">
        <v>3384.13</v>
      </c>
      <c r="AC30" s="24">
        <v>4570.46</v>
      </c>
      <c r="AD30" s="24">
        <v>39.008000000000003</v>
      </c>
      <c r="AE30" s="24">
        <v>27.832000000000001</v>
      </c>
      <c r="AG30" s="19" t="str">
        <f t="shared" si="6"/>
        <v>·</v>
      </c>
      <c r="AH30" s="20" t="str">
        <f t="shared" si="7"/>
        <v>·</v>
      </c>
      <c r="AI30" s="20" t="str">
        <f t="shared" si="8"/>
        <v>·</v>
      </c>
      <c r="AJ30" s="20" t="str">
        <f t="shared" si="9"/>
        <v>·</v>
      </c>
      <c r="AK30" s="20" t="str">
        <f t="shared" si="10"/>
        <v>·</v>
      </c>
      <c r="AL30" s="17" t="str">
        <f t="shared" si="11"/>
        <v/>
      </c>
      <c r="AM30" s="20">
        <v>16</v>
      </c>
      <c r="AN30" s="21"/>
      <c r="AO30" s="21"/>
      <c r="AP30" s="21"/>
      <c r="AQ30" s="22"/>
      <c r="AR30" s="22"/>
      <c r="AS30" s="22"/>
      <c r="AT30" s="22"/>
      <c r="AU30" s="23"/>
      <c r="AV30" s="23"/>
      <c r="AW30" s="23"/>
      <c r="AX30" s="23"/>
      <c r="AY30" s="23"/>
      <c r="AZ30" s="24"/>
      <c r="BA30" s="24"/>
      <c r="BB30" s="24"/>
      <c r="BC30" s="24"/>
      <c r="BE30" s="49" t="e">
        <f t="shared" si="12"/>
        <v>#VALUE!</v>
      </c>
      <c r="BF30" s="25" t="e">
        <f t="shared" si="13"/>
        <v>#DIV/0!</v>
      </c>
      <c r="BG30" s="25" t="e">
        <f t="shared" si="14"/>
        <v>#VALUE!</v>
      </c>
      <c r="BH30" s="25" t="e">
        <f t="array" ref="BH30">AVERAGE(AL30:AL34/AQ30:AQ34) - AVERAGE(N30:N34/S30:S34)</f>
        <v>#VALUE!</v>
      </c>
      <c r="BJ30" s="49" t="str">
        <f>IF( OR(ISBLANK(N30:N34),ISBLANK(AL30:AL34), ISBLANK(W30:W34),ISBLANK(AU30:AU34)), "·", bdRateExtend( N30:N34,W30:W34, AL30:AL34,AU30:AU34))</f>
        <v>·</v>
      </c>
      <c r="BK30" s="49" t="str">
        <f>IF( OR(ISBLANK(N30:N34),ISBLANK(AL30:AL34), ISBLANK(X30:X34),ISBLANK(AV30:AV34)), "·", bdRateExtend( N30:N34,X30:X34, AL30:AL34,AV30:AV34))</f>
        <v>·</v>
      </c>
      <c r="BL30" s="49" t="str">
        <f>IF( OR(ISBLANK(V30:V34),ISBLANK(AT30:AT34), ISBLANK(Y30:Y34),ISBLANK(AW30:AW34)), "·", bdRateExtend( V30:V34,Y30:Y34, AT30:AT34,AW30:AW34))</f>
        <v>·</v>
      </c>
      <c r="BM30" s="49" t="str">
        <f>IF( OR(ISBLANK(V30:V34),ISBLANK(AT30:AT34), ISBLANK(Z30:Z34),ISBLANK(AX30:AX34)), "·", bdRateExtend( V30:V34,Z30:Z34, AT30:AT34,AX30:AX34))</f>
        <v>·</v>
      </c>
      <c r="BN30" s="49" t="str">
        <f>IF( OR(ISBLANK(V30:V34),ISBLANK(AT30:AT34), ISBLANK(AA30:AA34),ISBLANK(AY30:AY34)), "·", bdRateExtend( V30:V34,AA30:AA34, AT30:AT34,AY30:AY34))</f>
        <v>·</v>
      </c>
      <c r="BP30" s="49" t="str">
        <f>IF( OR(ISBLANK(S30:S34),ISBLANK(AQ30:AQ34), ISBLANK(W30:W34),ISBLANK(AU30:AU34)), "·", bdRateExtend( S30:S34,W30:W34, AQ30:AQ34,AU30:AU34))</f>
        <v>·</v>
      </c>
      <c r="BQ30" s="49" t="str">
        <f>IF( OR(ISBLANK(S30:S34),ISBLANK(AQ30:AQ34), ISBLANK(X30:X34),ISBLANK(AV30:AV34)), "·", bdRateExtend( S30:S34,X30:X34, AQ30:AQ34,AV30:AV34))</f>
        <v>·</v>
      </c>
      <c r="BR30" s="49" t="str">
        <f>IF( OR(ISBLANK(S30:S34),ISBLANK(AQ30:AQ34), ISBLANK(Y30:Y34),ISBLANK(AW30:AW34)), "·", bdRateExtend( S30:S34,Y30:Y34, AQ30:AQ34,AW30:AW34))</f>
        <v>·</v>
      </c>
      <c r="BS30" s="49" t="str">
        <f>IF( OR(ISBLANK(S30:S34),ISBLANK(AQ30:AQ34), ISBLANK(Z30:Z34),ISBLANK(AX30:AX34)), "·", bdRateExtend( S30:S34,Z30:Z34, AQ30:AQ34,AX30:AX34))</f>
        <v>·</v>
      </c>
      <c r="BT30" s="49" t="str">
        <f>IF( OR(ISBLANK(S30:S34),ISBLANK(AQ30:AQ34), ISBLANK(AA30:AA34),ISBLANK(AY30:AY34)), "·", bdRateExtend( S30:S34,AA30:AA34, AQ30:AQ34,AY30:AY34))</f>
        <v>·</v>
      </c>
      <c r="BV30" s="53">
        <f t="shared" si="16"/>
        <v>-84258322</v>
      </c>
      <c r="BW30" s="53">
        <f t="shared" si="16"/>
        <v>-2633072.5625</v>
      </c>
      <c r="BX30" s="53">
        <f t="shared" si="16"/>
        <v>-32425.28125</v>
      </c>
      <c r="BY30" s="53">
        <f t="shared" si="16"/>
        <v>-6114296</v>
      </c>
      <c r="BZ30" s="53">
        <f t="shared" si="16"/>
        <v>-2318320</v>
      </c>
      <c r="CA30" s="53">
        <f t="shared" si="16"/>
        <v>-1427456</v>
      </c>
      <c r="CB30" s="53">
        <f t="shared" si="16"/>
        <v>-2368520</v>
      </c>
      <c r="CC30" s="53">
        <f t="shared" si="16"/>
        <v>-73.460731249999995</v>
      </c>
      <c r="CD30" s="53">
        <f t="shared" si="16"/>
        <v>-75.713606250000012</v>
      </c>
      <c r="CE30" s="53">
        <f t="shared" si="16"/>
        <v>-34.736618750000012</v>
      </c>
      <c r="CF30" s="53">
        <f t="shared" si="16"/>
        <v>-42.165665625000003</v>
      </c>
      <c r="CG30" s="53">
        <f t="shared" si="16"/>
        <v>-43.775818750000013</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75.170684375000022</v>
      </c>
      <c r="X31" s="14">
        <v>77.575240625000006</v>
      </c>
      <c r="Y31" s="14">
        <v>36.653584375000001</v>
      </c>
      <c r="Z31" s="14">
        <v>42.688837499999991</v>
      </c>
      <c r="AA31" s="14">
        <v>45.00495937500002</v>
      </c>
      <c r="AB31" s="15">
        <v>3257.36</v>
      </c>
      <c r="AC31" s="15">
        <v>4179.96</v>
      </c>
      <c r="AD31" s="15">
        <v>39.299999999999997</v>
      </c>
      <c r="AE31" s="15">
        <v>28.004000000000001</v>
      </c>
      <c r="AG31" s="10" t="str">
        <f t="shared" si="6"/>
        <v>·</v>
      </c>
      <c r="AH31" s="11" t="str">
        <f t="shared" si="7"/>
        <v>·</v>
      </c>
      <c r="AI31" s="11" t="str">
        <f t="shared" si="8"/>
        <v>·</v>
      </c>
      <c r="AJ31" s="11" t="str">
        <f t="shared" si="9"/>
        <v>·</v>
      </c>
      <c r="AK31" s="11" t="str">
        <f t="shared" si="10"/>
        <v>·</v>
      </c>
      <c r="AL31" s="52" t="str">
        <f t="shared" si="11"/>
        <v/>
      </c>
      <c r="AM31" s="11">
        <v>16</v>
      </c>
      <c r="AN31" s="12"/>
      <c r="AO31" s="12"/>
      <c r="AP31" s="12"/>
      <c r="AQ31" s="13"/>
      <c r="AR31" s="13"/>
      <c r="AS31" s="13"/>
      <c r="AT31" s="13"/>
      <c r="AU31" s="14"/>
      <c r="AV31" s="14"/>
      <c r="AW31" s="14"/>
      <c r="AX31" s="14"/>
      <c r="AY31" s="14"/>
      <c r="AZ31" s="15"/>
      <c r="BA31" s="15"/>
      <c r="BB31" s="15"/>
      <c r="BC31" s="15"/>
      <c r="BE31" s="50" t="e">
        <f t="shared" si="12"/>
        <v>#VALUE!</v>
      </c>
      <c r="BF31" s="16" t="e">
        <f t="shared" si="13"/>
        <v>#DIV/0!</v>
      </c>
      <c r="BG31" s="16" t="e">
        <f t="shared" si="14"/>
        <v>#VALUE!</v>
      </c>
      <c r="BH31" s="16"/>
      <c r="BJ31" s="50"/>
      <c r="BK31" s="50"/>
      <c r="BL31" s="50"/>
      <c r="BM31" s="50"/>
      <c r="BN31" s="50"/>
      <c r="BP31" s="50"/>
      <c r="BQ31" s="50"/>
      <c r="BR31" s="50"/>
      <c r="BS31" s="50"/>
      <c r="BT31" s="50"/>
      <c r="BV31" s="53">
        <f t="shared" si="16"/>
        <v>-89857639</v>
      </c>
      <c r="BW31" s="53">
        <f t="shared" si="16"/>
        <v>-2808051.21875</v>
      </c>
      <c r="BX31" s="53">
        <f t="shared" si="16"/>
        <v>-41097.03125</v>
      </c>
      <c r="BY31" s="53">
        <f t="shared" si="16"/>
        <v>-8731216</v>
      </c>
      <c r="BZ31" s="53">
        <f t="shared" si="16"/>
        <v>-3180208</v>
      </c>
      <c r="CA31" s="53">
        <f t="shared" si="16"/>
        <v>-1427456</v>
      </c>
      <c r="CB31" s="53">
        <f t="shared" si="16"/>
        <v>-4123552</v>
      </c>
      <c r="CC31" s="53">
        <f t="shared" si="16"/>
        <v>-75.170684375000022</v>
      </c>
      <c r="CD31" s="53">
        <f t="shared" si="16"/>
        <v>-77.575240625000006</v>
      </c>
      <c r="CE31" s="53">
        <f t="shared" si="16"/>
        <v>-36.653584375000001</v>
      </c>
      <c r="CF31" s="53">
        <f t="shared" si="16"/>
        <v>-42.688837499999991</v>
      </c>
      <c r="CG31" s="53">
        <f t="shared" si="16"/>
        <v>-45.00495937500002</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76.466315624999979</v>
      </c>
      <c r="X32" s="23">
        <v>79.123750000000015</v>
      </c>
      <c r="Y32" s="23">
        <v>38.407431250000002</v>
      </c>
      <c r="Z32" s="23">
        <v>43.216706250000001</v>
      </c>
      <c r="AA32" s="23">
        <v>46.245334374999992</v>
      </c>
      <c r="AB32" s="24">
        <v>3261.29</v>
      </c>
      <c r="AC32" s="24">
        <v>4369.55</v>
      </c>
      <c r="AD32" s="24">
        <v>40.520000000000003</v>
      </c>
      <c r="AE32" s="24">
        <v>25.86</v>
      </c>
      <c r="AG32" s="19" t="str">
        <f t="shared" si="6"/>
        <v>·</v>
      </c>
      <c r="AH32" s="20" t="str">
        <f t="shared" si="7"/>
        <v>·</v>
      </c>
      <c r="AI32" s="20" t="str">
        <f t="shared" si="8"/>
        <v>·</v>
      </c>
      <c r="AJ32" s="20" t="str">
        <f t="shared" si="9"/>
        <v>·</v>
      </c>
      <c r="AK32" s="20" t="str">
        <f t="shared" si="10"/>
        <v>·</v>
      </c>
      <c r="AL32" s="17" t="str">
        <f t="shared" si="11"/>
        <v/>
      </c>
      <c r="AM32" s="20">
        <v>16</v>
      </c>
      <c r="AN32" s="21"/>
      <c r="AO32" s="21"/>
      <c r="AP32" s="21"/>
      <c r="AQ32" s="22"/>
      <c r="AR32" s="22"/>
      <c r="AS32" s="22"/>
      <c r="AT32" s="22"/>
      <c r="AU32" s="23"/>
      <c r="AV32" s="23"/>
      <c r="AW32" s="23"/>
      <c r="AX32" s="23"/>
      <c r="AY32" s="23"/>
      <c r="AZ32" s="24"/>
      <c r="BA32" s="24"/>
      <c r="BB32" s="24"/>
      <c r="BC32" s="24"/>
      <c r="BE32" s="49" t="e">
        <f t="shared" si="12"/>
        <v>#VALUE!</v>
      </c>
      <c r="BF32" s="25" t="e">
        <f t="shared" si="13"/>
        <v>#DIV/0!</v>
      </c>
      <c r="BG32" s="25" t="e">
        <f t="shared" si="14"/>
        <v>#VALUE!</v>
      </c>
      <c r="BH32" s="25"/>
      <c r="BJ32" s="49"/>
      <c r="BK32" s="49"/>
      <c r="BL32" s="49"/>
      <c r="BM32" s="49"/>
      <c r="BN32" s="49"/>
      <c r="BP32" s="49"/>
      <c r="BQ32" s="49"/>
      <c r="BR32" s="49"/>
      <c r="BS32" s="49"/>
      <c r="BT32" s="49"/>
      <c r="BV32" s="53">
        <f t="shared" si="16"/>
        <v>-91814344</v>
      </c>
      <c r="BW32" s="53">
        <f t="shared" si="16"/>
        <v>-2869198.25</v>
      </c>
      <c r="BX32" s="53">
        <f t="shared" si="16"/>
        <v>-44687.40625</v>
      </c>
      <c r="BY32" s="53">
        <f t="shared" si="16"/>
        <v>-13516000</v>
      </c>
      <c r="BZ32" s="53">
        <f t="shared" si="16"/>
        <v>-4421528</v>
      </c>
      <c r="CA32" s="53">
        <f t="shared" si="16"/>
        <v>-1427456</v>
      </c>
      <c r="CB32" s="53">
        <f t="shared" si="16"/>
        <v>-7667016</v>
      </c>
      <c r="CC32" s="53">
        <f t="shared" si="16"/>
        <v>-76.466315624999979</v>
      </c>
      <c r="CD32" s="53">
        <f t="shared" si="16"/>
        <v>-79.123750000000015</v>
      </c>
      <c r="CE32" s="53">
        <f t="shared" si="16"/>
        <v>-38.407431250000002</v>
      </c>
      <c r="CF32" s="53">
        <f t="shared" si="16"/>
        <v>-43.216706250000001</v>
      </c>
      <c r="CG32" s="53">
        <f t="shared" si="16"/>
        <v>-46.245334374999992</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77.598421875000014</v>
      </c>
      <c r="X33" s="14">
        <v>80.328506249999975</v>
      </c>
      <c r="Y33" s="14">
        <v>40.010034374999996</v>
      </c>
      <c r="Z33" s="14">
        <v>43.90810312499999</v>
      </c>
      <c r="AA33" s="14">
        <v>47.816250000000011</v>
      </c>
      <c r="AB33" s="15">
        <v>3272.57</v>
      </c>
      <c r="AC33" s="15">
        <v>4606.17</v>
      </c>
      <c r="AD33" s="15">
        <v>41.084000000000003</v>
      </c>
      <c r="AE33" s="15">
        <v>27.62</v>
      </c>
      <c r="AG33" s="10" t="str">
        <f t="shared" si="6"/>
        <v>·</v>
      </c>
      <c r="AH33" s="11" t="str">
        <f t="shared" si="7"/>
        <v>·</v>
      </c>
      <c r="AI33" s="11" t="str">
        <f t="shared" si="8"/>
        <v>·</v>
      </c>
      <c r="AJ33" s="11" t="str">
        <f t="shared" si="9"/>
        <v>·</v>
      </c>
      <c r="AK33" s="11" t="str">
        <f t="shared" si="10"/>
        <v>·</v>
      </c>
      <c r="AL33" s="52" t="str">
        <f t="shared" si="11"/>
        <v/>
      </c>
      <c r="AM33" s="11">
        <v>16</v>
      </c>
      <c r="AN33" s="12"/>
      <c r="AO33" s="12"/>
      <c r="AP33" s="12"/>
      <c r="AQ33" s="13"/>
      <c r="AR33" s="13"/>
      <c r="AS33" s="13"/>
      <c r="AT33" s="13"/>
      <c r="AU33" s="14"/>
      <c r="AV33" s="14"/>
      <c r="AW33" s="14"/>
      <c r="AX33" s="14"/>
      <c r="AY33" s="14"/>
      <c r="AZ33" s="15"/>
      <c r="BA33" s="15"/>
      <c r="BB33" s="15"/>
      <c r="BC33" s="15"/>
      <c r="BE33" s="50" t="e">
        <f t="shared" si="12"/>
        <v>#VALUE!</v>
      </c>
      <c r="BF33" s="16" t="e">
        <f t="shared" si="13"/>
        <v>#DIV/0!</v>
      </c>
      <c r="BG33" s="16" t="e">
        <f t="shared" si="14"/>
        <v>#VALUE!</v>
      </c>
      <c r="BH33" s="16"/>
      <c r="BJ33" s="50"/>
      <c r="BK33" s="50"/>
      <c r="BL33" s="50"/>
      <c r="BM33" s="50"/>
      <c r="BN33" s="50"/>
      <c r="BP33" s="50"/>
      <c r="BQ33" s="50"/>
      <c r="BR33" s="50"/>
      <c r="BS33" s="50"/>
      <c r="BT33" s="50"/>
      <c r="BV33" s="53">
        <f t="shared" si="16"/>
        <v>-93918250</v>
      </c>
      <c r="BW33" s="53">
        <f t="shared" si="16"/>
        <v>-2934945.3125</v>
      </c>
      <c r="BX33" s="53">
        <f t="shared" si="16"/>
        <v>-49412.375</v>
      </c>
      <c r="BY33" s="53">
        <f t="shared" si="16"/>
        <v>-22614600</v>
      </c>
      <c r="BZ33" s="53">
        <f t="shared" si="16"/>
        <v>-6474952</v>
      </c>
      <c r="CA33" s="53">
        <f t="shared" si="16"/>
        <v>-1427456</v>
      </c>
      <c r="CB33" s="53">
        <f t="shared" si="16"/>
        <v>-14712192</v>
      </c>
      <c r="CC33" s="53">
        <f t="shared" si="16"/>
        <v>-77.598421875000014</v>
      </c>
      <c r="CD33" s="53">
        <f t="shared" si="16"/>
        <v>-80.328506249999975</v>
      </c>
      <c r="CE33" s="53">
        <f t="shared" si="16"/>
        <v>-40.010034374999996</v>
      </c>
      <c r="CF33" s="53">
        <f t="shared" si="16"/>
        <v>-43.90810312499999</v>
      </c>
      <c r="CG33" s="53">
        <f t="shared" si="16"/>
        <v>-47.816250000000011</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78.535987500000005</v>
      </c>
      <c r="X34" s="42">
        <v>81.998384375000001</v>
      </c>
      <c r="Y34" s="42">
        <v>41.522762499999992</v>
      </c>
      <c r="Z34" s="42">
        <v>44.701212499999997</v>
      </c>
      <c r="AA34" s="42">
        <v>49.23008437499999</v>
      </c>
      <c r="AB34" s="43">
        <v>3266.44</v>
      </c>
      <c r="AC34" s="43">
        <v>5088.07</v>
      </c>
      <c r="AD34" s="43">
        <v>40.840000000000003</v>
      </c>
      <c r="AE34" s="43">
        <v>30.335999999999999</v>
      </c>
      <c r="AG34" s="38" t="str">
        <f t="shared" si="6"/>
        <v>·</v>
      </c>
      <c r="AH34" s="39" t="str">
        <f t="shared" si="7"/>
        <v>·</v>
      </c>
      <c r="AI34" s="39" t="str">
        <f t="shared" si="8"/>
        <v>·</v>
      </c>
      <c r="AJ34" s="39" t="str">
        <f t="shared" si="9"/>
        <v>·</v>
      </c>
      <c r="AK34" s="39" t="str">
        <f t="shared" si="10"/>
        <v>·</v>
      </c>
      <c r="AL34" s="36" t="str">
        <f t="shared" si="11"/>
        <v/>
      </c>
      <c r="AM34" s="39">
        <v>16</v>
      </c>
      <c r="AN34" s="40"/>
      <c r="AO34" s="40"/>
      <c r="AP34" s="40"/>
      <c r="AQ34" s="41"/>
      <c r="AR34" s="41"/>
      <c r="AS34" s="41"/>
      <c r="AT34" s="41"/>
      <c r="AU34" s="42"/>
      <c r="AV34" s="42"/>
      <c r="AW34" s="42"/>
      <c r="AX34" s="42"/>
      <c r="AY34" s="42"/>
      <c r="AZ34" s="43"/>
      <c r="BA34" s="43"/>
      <c r="BB34" s="43"/>
      <c r="BC34" s="43"/>
      <c r="BE34" s="44" t="e">
        <f t="shared" si="12"/>
        <v>#VALUE!</v>
      </c>
      <c r="BF34" s="45" t="e">
        <f t="shared" si="13"/>
        <v>#DIV/0!</v>
      </c>
      <c r="BG34" s="45" t="e">
        <f t="shared" si="14"/>
        <v>#VALUE!</v>
      </c>
      <c r="BH34" s="45"/>
      <c r="BJ34" s="44"/>
      <c r="BK34" s="44"/>
      <c r="BL34" s="44"/>
      <c r="BM34" s="44"/>
      <c r="BN34" s="44"/>
      <c r="BP34" s="44"/>
      <c r="BQ34" s="44"/>
      <c r="BR34" s="44"/>
      <c r="BS34" s="44"/>
      <c r="BT34" s="44"/>
      <c r="BV34" s="53">
        <f t="shared" si="16"/>
        <v>-92079625</v>
      </c>
      <c r="BW34" s="53">
        <f t="shared" si="16"/>
        <v>-2877488.28125</v>
      </c>
      <c r="BX34" s="53">
        <f t="shared" si="16"/>
        <v>-21318.28125</v>
      </c>
      <c r="BY34" s="53">
        <f t="shared" si="16"/>
        <v>-42531512</v>
      </c>
      <c r="BZ34" s="53">
        <f t="shared" si="16"/>
        <v>-9829024</v>
      </c>
      <c r="CA34" s="53">
        <f t="shared" si="16"/>
        <v>-2829168</v>
      </c>
      <c r="CB34" s="53">
        <f t="shared" si="16"/>
        <v>-29873320</v>
      </c>
      <c r="CC34" s="53">
        <f t="shared" si="16"/>
        <v>-78.535987500000005</v>
      </c>
      <c r="CD34" s="53">
        <f t="shared" si="16"/>
        <v>-81.998384375000001</v>
      </c>
      <c r="CE34" s="53">
        <f t="shared" si="16"/>
        <v>-41.522762499999992</v>
      </c>
      <c r="CF34" s="53">
        <f t="shared" si="16"/>
        <v>-44.701212499999997</v>
      </c>
      <c r="CG34" s="53">
        <f t="shared" si="16"/>
        <v>-49.23008437499999</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73.191281250000003</v>
      </c>
      <c r="X35" s="14">
        <v>75.430568749999978</v>
      </c>
      <c r="Y35" s="14">
        <v>33.985153124999997</v>
      </c>
      <c r="Z35" s="14">
        <v>42.563106249999997</v>
      </c>
      <c r="AA35" s="14">
        <v>44.055871875000001</v>
      </c>
      <c r="AB35" s="15">
        <v>3018.62</v>
      </c>
      <c r="AC35" s="15">
        <v>5987.55</v>
      </c>
      <c r="AD35" s="15">
        <v>47.875999999999998</v>
      </c>
      <c r="AE35" s="15">
        <v>39.012</v>
      </c>
      <c r="AG35" s="10" t="str">
        <f t="shared" si="6"/>
        <v>·</v>
      </c>
      <c r="AH35" s="11" t="str">
        <f t="shared" si="7"/>
        <v>·</v>
      </c>
      <c r="AI35" s="11" t="str">
        <f t="shared" si="8"/>
        <v>·</v>
      </c>
      <c r="AJ35" s="11" t="str">
        <f t="shared" si="9"/>
        <v>·</v>
      </c>
      <c r="AK35" s="11" t="str">
        <f t="shared" si="10"/>
        <v>·</v>
      </c>
      <c r="AL35" s="52" t="str">
        <f t="shared" si="11"/>
        <v/>
      </c>
      <c r="AM35" s="11">
        <v>16</v>
      </c>
      <c r="AN35" s="12"/>
      <c r="AO35" s="12"/>
      <c r="AP35" s="12"/>
      <c r="AQ35" s="13"/>
      <c r="AR35" s="13"/>
      <c r="AS35" s="13"/>
      <c r="AT35" s="13"/>
      <c r="AU35" s="14"/>
      <c r="AV35" s="14"/>
      <c r="AW35" s="14"/>
      <c r="AX35" s="14"/>
      <c r="AY35" s="14"/>
      <c r="AZ35" s="15"/>
      <c r="BA35" s="15"/>
      <c r="BB35" s="15"/>
      <c r="BC35" s="15"/>
      <c r="BE35" s="50" t="e">
        <f t="shared" si="12"/>
        <v>#VALUE!</v>
      </c>
      <c r="BF35" s="16" t="e">
        <f t="shared" si="13"/>
        <v>#DIV/0!</v>
      </c>
      <c r="BG35" s="16" t="e">
        <f t="shared" si="14"/>
        <v>#VALUE!</v>
      </c>
      <c r="BH35" s="16" t="e">
        <f t="array" ref="BH35">AVERAGE(AL35:AL39/AQ35:AQ39) - AVERAGE(N35:N39/S35:S39)</f>
        <v>#VALUE!</v>
      </c>
      <c r="BJ35" s="50" t="str">
        <f>IF( OR(ISBLANK(N35:N39),ISBLANK(AL35:AL39), ISBLANK(W35:W39),ISBLANK(AU35:AU39)), "·", bdRateExtend( N35:N39,W35:W39, AL35:AL39,AU35:AU39))</f>
        <v>·</v>
      </c>
      <c r="BK35" s="50" t="str">
        <f>IF( OR(ISBLANK(N35:N39),ISBLANK(AL35:AL39), ISBLANK(X35:X39),ISBLANK(AV35:AV39)), "·", bdRateExtend( N35:N39,X35:X39, AL35:AL39,AV35:AV39))</f>
        <v>·</v>
      </c>
      <c r="BL35" s="50" t="str">
        <f>IF( OR(ISBLANK(V35:V39),ISBLANK(AT35:AT39), ISBLANK(Y35:Y39),ISBLANK(AW35:AW39)), "·", bdRateExtend( V35:V39,Y35:Y39, AT35:AT39,AW35:AW39))</f>
        <v>·</v>
      </c>
      <c r="BM35" s="50" t="str">
        <f>IF( OR(ISBLANK(V35:V39),ISBLANK(AT35:AT39), ISBLANK(Z35:Z39),ISBLANK(AX35:AX39)), "·", bdRateExtend( V35:V39,Z35:Z39, AT35:AT39,AX35:AX39))</f>
        <v>·</v>
      </c>
      <c r="BN35" s="50" t="str">
        <f>IF( OR(ISBLANK(V35:V39),ISBLANK(AT35:AT39), ISBLANK(AA35:AA39),ISBLANK(AY35:AY39)), "·", bdRateExtend( V35:V39,AA35:AA39, AT35:AT39,AY35:AY39))</f>
        <v>·</v>
      </c>
      <c r="BP35" s="50" t="str">
        <f>IF( OR(ISBLANK(S35:S39),ISBLANK(AQ35:AQ39), ISBLANK(W35:W39),ISBLANK(AU35:AU39)), "·", bdRateExtend( S35:S39,W35:W39, AQ35:AQ39,AU35:AU39))</f>
        <v>·</v>
      </c>
      <c r="BQ35" s="50" t="str">
        <f>IF( OR(ISBLANK(S35:S39),ISBLANK(AQ35:AQ39), ISBLANK(X35:X39),ISBLANK(AV35:AV39)), "·", bdRateExtend( S35:S39,X35:X39, AQ35:AQ39,AV35:AV39))</f>
        <v>·</v>
      </c>
      <c r="BR35" s="50" t="str">
        <f>IF( OR(ISBLANK(S35:S39),ISBLANK(AQ35:AQ39), ISBLANK(Y35:Y39),ISBLANK(AW35:AW39)), "·", bdRateExtend( S35:S39,Y35:Y39, AQ35:AQ39,AW35:AW39))</f>
        <v>·</v>
      </c>
      <c r="BS35" s="50" t="str">
        <f>IF( OR(ISBLANK(S35:S39),ISBLANK(AQ35:AQ39), ISBLANK(Z35:Z39),ISBLANK(AX35:AX39)), "·", bdRateExtend( S35:S39,Z35:Z39, AQ35:AQ39,AX35:AX39))</f>
        <v>·</v>
      </c>
      <c r="BT35" s="50" t="str">
        <f>IF( OR(ISBLANK(S35:S39),ISBLANK(AQ35:AQ39), ISBLANK(AA35:AA39),ISBLANK(AY35:AY39)), "·", bdRateExtend( S35:S39,AA35:AA39, AQ35:AQ39,AY35:AY39))</f>
        <v>·</v>
      </c>
      <c r="BV35" s="53">
        <f t="shared" si="16"/>
        <v>-74688855</v>
      </c>
      <c r="BW35" s="53">
        <f t="shared" si="16"/>
        <v>-2334026.71875</v>
      </c>
      <c r="BX35" s="53">
        <f t="shared" si="16"/>
        <v>-31011.90625</v>
      </c>
      <c r="BY35" s="53">
        <f t="shared" si="16"/>
        <v>-6802112</v>
      </c>
      <c r="BZ35" s="53">
        <f t="shared" si="16"/>
        <v>-2402376</v>
      </c>
      <c r="CA35" s="53">
        <f t="shared" si="16"/>
        <v>-1539000</v>
      </c>
      <c r="CB35" s="53">
        <f t="shared" si="16"/>
        <v>-2860736</v>
      </c>
      <c r="CC35" s="53">
        <f t="shared" si="16"/>
        <v>-73.191281250000003</v>
      </c>
      <c r="CD35" s="53">
        <f t="shared" si="16"/>
        <v>-75.430568749999978</v>
      </c>
      <c r="CE35" s="53">
        <f t="shared" si="16"/>
        <v>-33.985153124999997</v>
      </c>
      <c r="CF35" s="53">
        <f t="shared" si="16"/>
        <v>-42.563106249999997</v>
      </c>
      <c r="CG35" s="53">
        <f t="shared" si="16"/>
        <v>-44.055871875000001</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74.930581249999975</v>
      </c>
      <c r="X36" s="23">
        <v>77.358815624999977</v>
      </c>
      <c r="Y36" s="23">
        <v>36.095068750000003</v>
      </c>
      <c r="Z36" s="23">
        <v>43.189968749999998</v>
      </c>
      <c r="AA36" s="23">
        <v>45.41667812499999</v>
      </c>
      <c r="AB36" s="24">
        <v>3029.84</v>
      </c>
      <c r="AC36" s="24">
        <v>6186.18</v>
      </c>
      <c r="AD36" s="24">
        <v>46.388000000000012</v>
      </c>
      <c r="AE36" s="24">
        <v>39.143999999999998</v>
      </c>
      <c r="AG36" s="19" t="str">
        <f t="shared" si="6"/>
        <v>·</v>
      </c>
      <c r="AH36" s="20" t="str">
        <f t="shared" si="7"/>
        <v>·</v>
      </c>
      <c r="AI36" s="20" t="str">
        <f t="shared" si="8"/>
        <v>·</v>
      </c>
      <c r="AJ36" s="20" t="str">
        <f t="shared" si="9"/>
        <v>·</v>
      </c>
      <c r="AK36" s="20" t="str">
        <f t="shared" si="10"/>
        <v>·</v>
      </c>
      <c r="AL36" s="17" t="str">
        <f t="shared" si="11"/>
        <v/>
      </c>
      <c r="AM36" s="20">
        <v>16</v>
      </c>
      <c r="AN36" s="21"/>
      <c r="AO36" s="21"/>
      <c r="AP36" s="21"/>
      <c r="AQ36" s="22"/>
      <c r="AR36" s="22"/>
      <c r="AS36" s="22"/>
      <c r="AT36" s="22"/>
      <c r="AU36" s="23"/>
      <c r="AV36" s="23"/>
      <c r="AW36" s="23"/>
      <c r="AX36" s="23"/>
      <c r="AY36" s="23"/>
      <c r="AZ36" s="24"/>
      <c r="BA36" s="24"/>
      <c r="BB36" s="24"/>
      <c r="BC36" s="24"/>
      <c r="BE36" s="49" t="e">
        <f t="shared" si="12"/>
        <v>#VALUE!</v>
      </c>
      <c r="BF36" s="25" t="e">
        <f t="shared" si="13"/>
        <v>#DIV/0!</v>
      </c>
      <c r="BG36" s="25" t="e">
        <f t="shared" si="14"/>
        <v>#VALUE!</v>
      </c>
      <c r="BH36" s="25"/>
      <c r="BJ36" s="49"/>
      <c r="BK36" s="49"/>
      <c r="BL36" s="49"/>
      <c r="BM36" s="49"/>
      <c r="BN36" s="49"/>
      <c r="BP36" s="49"/>
      <c r="BQ36" s="49"/>
      <c r="BR36" s="49"/>
      <c r="BS36" s="49"/>
      <c r="BT36" s="49"/>
      <c r="BV36" s="53">
        <f t="shared" si="16"/>
        <v>-79945808</v>
      </c>
      <c r="BW36" s="53">
        <f t="shared" si="16"/>
        <v>-2498306.5</v>
      </c>
      <c r="BX36" s="53">
        <f t="shared" si="16"/>
        <v>-39523.15625</v>
      </c>
      <c r="BY36" s="53">
        <f t="shared" si="16"/>
        <v>-9678728</v>
      </c>
      <c r="BZ36" s="53">
        <f t="shared" si="16"/>
        <v>-3267200</v>
      </c>
      <c r="CA36" s="53">
        <f t="shared" si="16"/>
        <v>-1539000</v>
      </c>
      <c r="CB36" s="53">
        <f t="shared" si="16"/>
        <v>-4872528</v>
      </c>
      <c r="CC36" s="53">
        <f t="shared" si="16"/>
        <v>-74.930581249999975</v>
      </c>
      <c r="CD36" s="53">
        <f t="shared" si="16"/>
        <v>-77.358815624999977</v>
      </c>
      <c r="CE36" s="53">
        <f t="shared" si="16"/>
        <v>-36.095068750000003</v>
      </c>
      <c r="CF36" s="53">
        <f t="shared" si="16"/>
        <v>-43.189968749999998</v>
      </c>
      <c r="CG36" s="53">
        <f t="shared" si="16"/>
        <v>-45.41667812499999</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76.238812500000023</v>
      </c>
      <c r="X37" s="14">
        <v>78.941209374999985</v>
      </c>
      <c r="Y37" s="14">
        <v>37.935643750000011</v>
      </c>
      <c r="Z37" s="14">
        <v>43.761018749999998</v>
      </c>
      <c r="AA37" s="14">
        <v>46.521678125000001</v>
      </c>
      <c r="AB37" s="15">
        <v>3013.57</v>
      </c>
      <c r="AC37" s="15">
        <v>6345.72</v>
      </c>
      <c r="AD37" s="15">
        <v>46.683999999999997</v>
      </c>
      <c r="AE37" s="15">
        <v>41.067999999999998</v>
      </c>
      <c r="AG37" s="10" t="str">
        <f t="shared" si="6"/>
        <v>·</v>
      </c>
      <c r="AH37" s="11" t="str">
        <f t="shared" si="7"/>
        <v>·</v>
      </c>
      <c r="AI37" s="11" t="str">
        <f t="shared" si="8"/>
        <v>·</v>
      </c>
      <c r="AJ37" s="11" t="str">
        <f t="shared" si="9"/>
        <v>·</v>
      </c>
      <c r="AK37" s="11" t="str">
        <f t="shared" si="10"/>
        <v>·</v>
      </c>
      <c r="AL37" s="52" t="str">
        <f t="shared" si="11"/>
        <v/>
      </c>
      <c r="AM37" s="11">
        <v>16</v>
      </c>
      <c r="AN37" s="12"/>
      <c r="AO37" s="12"/>
      <c r="AP37" s="12"/>
      <c r="AQ37" s="13"/>
      <c r="AR37" s="13"/>
      <c r="AS37" s="13"/>
      <c r="AT37" s="13"/>
      <c r="AU37" s="14"/>
      <c r="AV37" s="14"/>
      <c r="AW37" s="14"/>
      <c r="AX37" s="14"/>
      <c r="AY37" s="14"/>
      <c r="AZ37" s="15"/>
      <c r="BA37" s="15"/>
      <c r="BB37" s="15"/>
      <c r="BC37" s="15"/>
      <c r="BE37" s="50" t="e">
        <f t="shared" si="12"/>
        <v>#VALUE!</v>
      </c>
      <c r="BF37" s="16" t="e">
        <f t="shared" si="13"/>
        <v>#DIV/0!</v>
      </c>
      <c r="BG37" s="16" t="e">
        <f t="shared" si="14"/>
        <v>#VALUE!</v>
      </c>
      <c r="BH37" s="16"/>
      <c r="BJ37" s="50"/>
      <c r="BK37" s="50"/>
      <c r="BL37" s="50"/>
      <c r="BM37" s="50"/>
      <c r="BN37" s="50"/>
      <c r="BP37" s="50"/>
      <c r="BQ37" s="50"/>
      <c r="BR37" s="50"/>
      <c r="BS37" s="50"/>
      <c r="BT37" s="50"/>
      <c r="BV37" s="53">
        <f t="shared" si="16"/>
        <v>-81780101</v>
      </c>
      <c r="BW37" s="53">
        <f t="shared" si="16"/>
        <v>-2555628.15625</v>
      </c>
      <c r="BX37" s="53">
        <f t="shared" si="16"/>
        <v>-43014.71875</v>
      </c>
      <c r="BY37" s="53">
        <f t="shared" si="16"/>
        <v>-14717688</v>
      </c>
      <c r="BZ37" s="53">
        <f t="shared" si="16"/>
        <v>-4533024</v>
      </c>
      <c r="CA37" s="53">
        <f t="shared" si="16"/>
        <v>-1539000</v>
      </c>
      <c r="CB37" s="53">
        <f t="shared" si="16"/>
        <v>-8645664</v>
      </c>
      <c r="CC37" s="53">
        <f t="shared" si="16"/>
        <v>-76.238812500000023</v>
      </c>
      <c r="CD37" s="53">
        <f t="shared" si="16"/>
        <v>-78.941209374999985</v>
      </c>
      <c r="CE37" s="53">
        <f t="shared" si="16"/>
        <v>-37.935643750000011</v>
      </c>
      <c r="CF37" s="53">
        <f t="shared" si="16"/>
        <v>-43.761018749999998</v>
      </c>
      <c r="CG37" s="53">
        <f t="shared" si="16"/>
        <v>-46.521678125000001</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77.418415624999994</v>
      </c>
      <c r="X38" s="23">
        <v>80.140518749999998</v>
      </c>
      <c r="Y38" s="23">
        <v>39.70821875</v>
      </c>
      <c r="Z38" s="23">
        <v>44.538234375000009</v>
      </c>
      <c r="AA38" s="23">
        <v>47.814162500000009</v>
      </c>
      <c r="AB38" s="24">
        <v>3118.66</v>
      </c>
      <c r="AC38" s="24">
        <v>7579.62</v>
      </c>
      <c r="AD38" s="24">
        <v>47.915999999999997</v>
      </c>
      <c r="AE38" s="24">
        <v>42.683999999999997</v>
      </c>
      <c r="AG38" s="19" t="str">
        <f t="shared" si="6"/>
        <v>·</v>
      </c>
      <c r="AH38" s="20" t="str">
        <f t="shared" si="7"/>
        <v>·</v>
      </c>
      <c r="AI38" s="20" t="str">
        <f t="shared" si="8"/>
        <v>·</v>
      </c>
      <c r="AJ38" s="20" t="str">
        <f t="shared" si="9"/>
        <v>·</v>
      </c>
      <c r="AK38" s="20" t="str">
        <f t="shared" si="10"/>
        <v>·</v>
      </c>
      <c r="AL38" s="17" t="str">
        <f t="shared" si="11"/>
        <v/>
      </c>
      <c r="AM38" s="20">
        <v>16</v>
      </c>
      <c r="AN38" s="21"/>
      <c r="AO38" s="21"/>
      <c r="AP38" s="21"/>
      <c r="AQ38" s="22"/>
      <c r="AR38" s="22"/>
      <c r="AS38" s="22"/>
      <c r="AT38" s="22"/>
      <c r="AU38" s="23"/>
      <c r="AV38" s="23"/>
      <c r="AW38" s="23"/>
      <c r="AX38" s="23"/>
      <c r="AY38" s="23"/>
      <c r="AZ38" s="24"/>
      <c r="BA38" s="24"/>
      <c r="BB38" s="24"/>
      <c r="BC38" s="24"/>
      <c r="BE38" s="49" t="e">
        <f t="shared" si="12"/>
        <v>#VALUE!</v>
      </c>
      <c r="BF38" s="25" t="e">
        <f t="shared" si="13"/>
        <v>#DIV/0!</v>
      </c>
      <c r="BG38" s="25" t="e">
        <f t="shared" si="14"/>
        <v>#VALUE!</v>
      </c>
      <c r="BH38" s="25"/>
      <c r="BJ38" s="49"/>
      <c r="BK38" s="49"/>
      <c r="BL38" s="49"/>
      <c r="BM38" s="49"/>
      <c r="BN38" s="49"/>
      <c r="BP38" s="49"/>
      <c r="BQ38" s="49"/>
      <c r="BR38" s="49"/>
      <c r="BS38" s="49"/>
      <c r="BT38" s="49"/>
      <c r="BV38" s="53">
        <f t="shared" si="16"/>
        <v>-83963908</v>
      </c>
      <c r="BW38" s="53">
        <f t="shared" si="16"/>
        <v>-2623872.125</v>
      </c>
      <c r="BX38" s="53">
        <f t="shared" si="16"/>
        <v>-48278.125</v>
      </c>
      <c r="BY38" s="53">
        <f t="shared" si="16"/>
        <v>-24609912</v>
      </c>
      <c r="BZ38" s="53">
        <f t="shared" si="16"/>
        <v>-6596984</v>
      </c>
      <c r="CA38" s="53">
        <f t="shared" si="16"/>
        <v>-1539000</v>
      </c>
      <c r="CB38" s="53">
        <f t="shared" si="16"/>
        <v>-16473928</v>
      </c>
      <c r="CC38" s="53">
        <f t="shared" si="16"/>
        <v>-77.418415624999994</v>
      </c>
      <c r="CD38" s="53">
        <f t="shared" si="16"/>
        <v>-80.140518749999998</v>
      </c>
      <c r="CE38" s="53">
        <f t="shared" si="16"/>
        <v>-39.70821875</v>
      </c>
      <c r="CF38" s="53">
        <f t="shared" si="16"/>
        <v>-44.538234375000009</v>
      </c>
      <c r="CG38" s="53">
        <f t="shared" si="16"/>
        <v>-47.814162500000009</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78.318231249999997</v>
      </c>
      <c r="X39" s="32">
        <v>81.877509374999974</v>
      </c>
      <c r="Y39" s="32">
        <v>41.303937499999989</v>
      </c>
      <c r="Z39" s="32">
        <v>45.534306250000007</v>
      </c>
      <c r="AA39" s="32">
        <v>49.130743749999993</v>
      </c>
      <c r="AB39" s="33">
        <v>3108.16</v>
      </c>
      <c r="AC39" s="33">
        <v>8136.05</v>
      </c>
      <c r="AD39" s="33">
        <v>50.872</v>
      </c>
      <c r="AE39" s="33">
        <v>48.18</v>
      </c>
      <c r="AG39" s="28" t="str">
        <f t="shared" si="6"/>
        <v>·</v>
      </c>
      <c r="AH39" s="29" t="str">
        <f t="shared" si="7"/>
        <v>·</v>
      </c>
      <c r="AI39" s="29" t="str">
        <f t="shared" si="8"/>
        <v>·</v>
      </c>
      <c r="AJ39" s="29" t="str">
        <f t="shared" si="9"/>
        <v>·</v>
      </c>
      <c r="AK39" s="29" t="str">
        <f t="shared" si="10"/>
        <v>·</v>
      </c>
      <c r="AL39" s="26" t="str">
        <f t="shared" si="11"/>
        <v/>
      </c>
      <c r="AM39" s="29">
        <v>16</v>
      </c>
      <c r="AN39" s="30"/>
      <c r="AO39" s="30"/>
      <c r="AP39" s="30"/>
      <c r="AQ39" s="31"/>
      <c r="AR39" s="31"/>
      <c r="AS39" s="31"/>
      <c r="AT39" s="31"/>
      <c r="AU39" s="32"/>
      <c r="AV39" s="32"/>
      <c r="AW39" s="32"/>
      <c r="AX39" s="32"/>
      <c r="AY39" s="32"/>
      <c r="AZ39" s="33"/>
      <c r="BA39" s="33"/>
      <c r="BB39" s="33"/>
      <c r="BC39" s="33"/>
      <c r="BE39" s="34" t="e">
        <f t="shared" si="12"/>
        <v>#VALUE!</v>
      </c>
      <c r="BF39" s="35" t="e">
        <f t="shared" si="13"/>
        <v>#DIV/0!</v>
      </c>
      <c r="BG39" s="35" t="e">
        <f t="shared" si="14"/>
        <v>#VALUE!</v>
      </c>
      <c r="BH39" s="35"/>
      <c r="BJ39" s="34"/>
      <c r="BK39" s="34"/>
      <c r="BL39" s="34"/>
      <c r="BM39" s="34"/>
      <c r="BN39" s="34"/>
      <c r="BP39" s="34"/>
      <c r="BQ39" s="34"/>
      <c r="BR39" s="34"/>
      <c r="BS39" s="34"/>
      <c r="BT39" s="34"/>
      <c r="BV39" s="53">
        <f t="shared" si="16"/>
        <v>-82025858</v>
      </c>
      <c r="BW39" s="53">
        <f t="shared" si="16"/>
        <v>-2563308.0625</v>
      </c>
      <c r="BX39" s="53">
        <f t="shared" si="16"/>
        <v>-19366.5625</v>
      </c>
      <c r="BY39" s="53">
        <f t="shared" si="16"/>
        <v>-45267408</v>
      </c>
      <c r="BZ39" s="53">
        <f t="shared" si="16"/>
        <v>-10034760</v>
      </c>
      <c r="CA39" s="53">
        <f t="shared" si="16"/>
        <v>-3122960</v>
      </c>
      <c r="CB39" s="53">
        <f t="shared" si="16"/>
        <v>-32109688</v>
      </c>
      <c r="CC39" s="53">
        <f t="shared" si="16"/>
        <v>-78.318231249999997</v>
      </c>
      <c r="CD39" s="53">
        <f t="shared" si="16"/>
        <v>-81.877509374999974</v>
      </c>
      <c r="CE39" s="53">
        <f t="shared" si="16"/>
        <v>-41.303937499999989</v>
      </c>
      <c r="CF39" s="53">
        <f t="shared" si="16"/>
        <v>-45.534306250000007</v>
      </c>
      <c r="CG39" s="53">
        <f t="shared" si="16"/>
        <v>-49.130743749999993</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t="e">
        <f>AVERAGE(AH5:AH24)</f>
        <v>#DIV/0!</v>
      </c>
      <c r="AI40" s="47" t="e">
        <f>AVERAGE(AI5:AI24)</f>
        <v>#DIV/0!</v>
      </c>
      <c r="AJ40" s="47" t="e">
        <f>AVERAGE(AJ5:AJ24)</f>
        <v>#DIV/0!</v>
      </c>
      <c r="AK40" s="47" t="e">
        <f>AVERAGE(AK5:AK24)</f>
        <v>#DIV/0!</v>
      </c>
      <c r="BE40" s="51" t="e">
        <f t="shared" si="12"/>
        <v>#DIV/0!</v>
      </c>
      <c r="BH40" s="55" t="e">
        <f>AVERAGE(BH5:BH24)</f>
        <v>#VALUE!</v>
      </c>
      <c r="BJ40" s="51" t="e">
        <f>AVERAGE(BJ5:BJ24)</f>
        <v>#DIV/0!</v>
      </c>
      <c r="BK40" s="51" t="e">
        <f>AVERAGE(BK5:BK24)</f>
        <v>#DIV/0!</v>
      </c>
      <c r="BL40" s="51" t="e">
        <f>AVERAGE(BL5:BL24)</f>
        <v>#DIV/0!</v>
      </c>
      <c r="BM40" s="51" t="e">
        <f>AVERAGE(BM5:BM24)</f>
        <v>#DIV/0!</v>
      </c>
      <c r="BN40" s="51" t="e">
        <f>AVERAGE(BN5:BN24)</f>
        <v>#DIV/0!</v>
      </c>
      <c r="BP40" s="51" t="e">
        <f>AVERAGE(BP5:BP24)</f>
        <v>#DIV/0!</v>
      </c>
      <c r="BQ40" s="51" t="e">
        <f>AVERAGE(BQ5:BQ24)</f>
        <v>#DIV/0!</v>
      </c>
      <c r="BR40" s="51" t="e">
        <f>AVERAGE(BR5:BR24)</f>
        <v>#DIV/0!</v>
      </c>
      <c r="BS40" s="51" t="e">
        <f>AVERAGE(BS5:BS24)</f>
        <v>#DIV/0!</v>
      </c>
      <c r="BT40" s="51" t="e">
        <f>AVERAGE(BT5:BT24)</f>
        <v>#DIV/0!</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t="e">
        <f>AVERAGE(AH25:AH29)</f>
        <v>#DIV/0!</v>
      </c>
      <c r="AI41" s="47" t="e">
        <f>AVERAGE(AI25:AI29)</f>
        <v>#DIV/0!</v>
      </c>
      <c r="AJ41" s="47" t="e">
        <f>AVERAGE(AJ25:AJ29)</f>
        <v>#DIV/0!</v>
      </c>
      <c r="AK41" s="47" t="e">
        <f>AVERAGE(AK25:AK29)</f>
        <v>#DIV/0!</v>
      </c>
      <c r="BE41" s="51" t="e">
        <f t="shared" si="12"/>
        <v>#DIV/0!</v>
      </c>
      <c r="BH41" s="55" t="e">
        <f>AVERAGE(BH25:BH29)</f>
        <v>#VALUE!</v>
      </c>
      <c r="BJ41" s="51" t="e">
        <f>AVERAGE(BJ25:BJ29)</f>
        <v>#DIV/0!</v>
      </c>
      <c r="BK41" s="51" t="e">
        <f>AVERAGE(BK25:BK29)</f>
        <v>#DIV/0!</v>
      </c>
      <c r="BL41" s="51" t="e">
        <f>AVERAGE(BL25:BL29)</f>
        <v>#DIV/0!</v>
      </c>
      <c r="BM41" s="51" t="e">
        <f>AVERAGE(BM25:BM29)</f>
        <v>#DIV/0!</v>
      </c>
      <c r="BN41" s="51" t="e">
        <f>AVERAGE(BN25:BN29)</f>
        <v>#DIV/0!</v>
      </c>
      <c r="BP41" s="51" t="e">
        <f>AVERAGE(BP25:BP29)</f>
        <v>#DIV/0!</v>
      </c>
      <c r="BQ41" s="51" t="e">
        <f>AVERAGE(BQ25:BQ29)</f>
        <v>#DIV/0!</v>
      </c>
      <c r="BR41" s="51" t="e">
        <f>AVERAGE(BR25:BR29)</f>
        <v>#DIV/0!</v>
      </c>
      <c r="BS41" s="51" t="e">
        <f>AVERAGE(BS25:BS29)</f>
        <v>#DIV/0!</v>
      </c>
      <c r="BT41" s="51" t="e">
        <f>AVERAGE(BT25:BT29)</f>
        <v>#DIV/0!</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t="e">
        <f>AVERAGE(AH30:AH39)</f>
        <v>#DIV/0!</v>
      </c>
      <c r="AI42" s="47" t="e">
        <f>AVERAGE(AI30:AI39)</f>
        <v>#DIV/0!</v>
      </c>
      <c r="AJ42" s="47" t="e">
        <f>AVERAGE(AJ30:AJ39)</f>
        <v>#DIV/0!</v>
      </c>
      <c r="AK42" s="47" t="e">
        <f>AVERAGE(AK30:AK39)</f>
        <v>#DIV/0!</v>
      </c>
      <c r="BE42" s="51" t="e">
        <f t="shared" si="12"/>
        <v>#DIV/0!</v>
      </c>
      <c r="BH42" s="55" t="e">
        <f>AVERAGE(BH30:BH39)</f>
        <v>#VALUE!</v>
      </c>
      <c r="BJ42" s="51" t="e">
        <f>AVERAGE(BJ30:BJ39)</f>
        <v>#DIV/0!</v>
      </c>
      <c r="BK42" s="51" t="e">
        <f>AVERAGE(BK30:BK39)</f>
        <v>#DIV/0!</v>
      </c>
      <c r="BL42" s="51" t="e">
        <f>AVERAGE(BL30:BL39)</f>
        <v>#DIV/0!</v>
      </c>
      <c r="BM42" s="51" t="e">
        <f>AVERAGE(BM30:BM39)</f>
        <v>#DIV/0!</v>
      </c>
      <c r="BN42" s="51" t="e">
        <f>AVERAGE(BN30:BN39)</f>
        <v>#DIV/0!</v>
      </c>
      <c r="BP42" s="51" t="e">
        <f>AVERAGE(BP30:BP39)</f>
        <v>#DIV/0!</v>
      </c>
      <c r="BQ42" s="51" t="e">
        <f>AVERAGE(BQ30:BQ39)</f>
        <v>#DIV/0!</v>
      </c>
      <c r="BR42" s="51" t="e">
        <f>AVERAGE(BR30:BR39)</f>
        <v>#DIV/0!</v>
      </c>
      <c r="BS42" s="51" t="e">
        <f>AVERAGE(BS30:BS39)</f>
        <v>#DIV/0!</v>
      </c>
      <c r="BT42" s="51" t="e">
        <f>AVERAGE(BT30:BT39)</f>
        <v>#DIV/0!</v>
      </c>
    </row>
    <row r="43" spans="1:88" ht="16" x14ac:dyDescent="0.2">
      <c r="B43" s="46" t="s">
        <v>19</v>
      </c>
      <c r="J43" s="47">
        <f>AVERAGE(J5:J39)</f>
        <v>5.2767392250359257E-2</v>
      </c>
      <c r="K43" s="47">
        <f>AVERAGE(K5:K39)</f>
        <v>1.5485506889257174E-2</v>
      </c>
      <c r="L43" s="47">
        <f>AVERAGE(L5:L39)</f>
        <v>1.1139730587674238E-2</v>
      </c>
      <c r="M43" s="47">
        <f>AVERAGE(M5:M39)</f>
        <v>3.728188536110208E-2</v>
      </c>
      <c r="AH43" s="47" t="e">
        <f>AVERAGE(AH5:AH39)</f>
        <v>#DIV/0!</v>
      </c>
      <c r="AI43" s="47" t="e">
        <f>AVERAGE(AI5:AI39)</f>
        <v>#DIV/0!</v>
      </c>
      <c r="AJ43" s="47" t="e">
        <f>AVERAGE(AJ5:AJ39)</f>
        <v>#DIV/0!</v>
      </c>
      <c r="AK43" s="47" t="e">
        <f>AVERAGE(AK5:AK39)</f>
        <v>#DIV/0!</v>
      </c>
      <c r="BE43" s="51" t="e">
        <f t="shared" si="12"/>
        <v>#DIV/0!</v>
      </c>
      <c r="BH43" s="55" t="e">
        <f>AVERAGE(BH5:BH39)</f>
        <v>#VALUE!</v>
      </c>
      <c r="BJ43" s="51" t="e">
        <f>AVERAGE(BJ5:BJ39)</f>
        <v>#DIV/0!</v>
      </c>
      <c r="BK43" s="51" t="e">
        <f>AVERAGE(BK5:BK39)</f>
        <v>#DIV/0!</v>
      </c>
      <c r="BL43" s="51" t="e">
        <f>AVERAGE(BL5:BL39)</f>
        <v>#DIV/0!</v>
      </c>
      <c r="BM43" s="51" t="e">
        <f>AVERAGE(BM5:BM39)</f>
        <v>#DIV/0!</v>
      </c>
      <c r="BN43" s="51" t="e">
        <f>AVERAGE(BN5:BN39)</f>
        <v>#DIV/0!</v>
      </c>
      <c r="BP43" s="51" t="e">
        <f>AVERAGE(BP5:BP39)</f>
        <v>#DIV/0!</v>
      </c>
      <c r="BQ43" s="51" t="e">
        <f>AVERAGE(BQ5:BQ39)</f>
        <v>#DIV/0!</v>
      </c>
      <c r="BR43" s="51" t="e">
        <f>AVERAGE(BR5:BR39)</f>
        <v>#DIV/0!</v>
      </c>
      <c r="BS43" s="51" t="e">
        <f>AVERAGE(BS5:BS39)</f>
        <v>#DIV/0!</v>
      </c>
      <c r="BT43" s="51" t="e">
        <f>AVERAGE(BT5:BT39)</f>
        <v>#DIV/0!</v>
      </c>
    </row>
    <row r="44" spans="1:88" ht="16" hidden="1" outlineLevel="2" x14ac:dyDescent="0.2">
      <c r="A44" s="46" t="s">
        <v>245</v>
      </c>
      <c r="B44" s="46" t="s">
        <v>246</v>
      </c>
      <c r="AB44" s="48">
        <f>SUM(AB5:AB24,AB25:AB29,AB30:AB39)</f>
        <v>115716.1</v>
      </c>
      <c r="AC44" s="48">
        <f>SUM(AC5:AC24,AC25:AC29,AC30:AC39)</f>
        <v>99857.21</v>
      </c>
      <c r="AD44" s="48">
        <f>SUM(AD5:AD24,AD25:AD29,AD30:AD39)</f>
        <v>771.32799999999986</v>
      </c>
      <c r="AE44" s="48">
        <f>SUM(AE5:AE24,AE25:AE29,AE30:AE39)</f>
        <v>640.26400000000001</v>
      </c>
      <c r="AZ44" s="48">
        <f>SUM(AZ5:AZ24,AZ25:AZ29,AZ30:AZ39)</f>
        <v>0</v>
      </c>
      <c r="BA44" s="48">
        <f>SUM(BA5:BA24,BA25:BA29,BA30:BA39)</f>
        <v>0</v>
      </c>
      <c r="BB44" s="48">
        <f>SUM(BB5:BB24,BB25:BB29,BB30:BB39)</f>
        <v>0</v>
      </c>
      <c r="BC44" s="48">
        <f>SUM(BC5:BC24,BC25:BC29,BC30:BC39)</f>
        <v>0</v>
      </c>
    </row>
    <row r="45" spans="1:88" ht="16" hidden="1" outlineLevel="2" x14ac:dyDescent="0.2">
      <c r="B45" s="46" t="s">
        <v>247</v>
      </c>
      <c r="AZ45" s="55">
        <f>AZ44/AB44</f>
        <v>0</v>
      </c>
      <c r="BA45" s="55">
        <f>BA44/AC44</f>
        <v>0</v>
      </c>
      <c r="BB45" s="55">
        <f>BB44/AD44</f>
        <v>0</v>
      </c>
      <c r="BC45" s="55">
        <f>BC44/AE44</f>
        <v>0</v>
      </c>
    </row>
    <row r="46" spans="1:88" ht="16" hidden="1" outlineLevel="2" x14ac:dyDescent="0.2">
      <c r="B46" s="46" t="s">
        <v>248</v>
      </c>
      <c r="AB46" s="48">
        <f>GEOMEAN(AB5:AB24,AB25:AB29,AB30:AB39)</f>
        <v>3135.7980604223867</v>
      </c>
      <c r="AC46" s="48">
        <f>GEOMEAN(AC5:AC24,AC25:AC29,AC30:AC39)</f>
        <v>2372.164310088971</v>
      </c>
      <c r="AD46" s="48">
        <f>GEOMEAN(AD5:AD24,AD25:AD29,AD30:AD39)</f>
        <v>18.575603744785184</v>
      </c>
      <c r="AE46" s="48">
        <f>GEOMEAN(AE5:AE24,AE25:AE29,AE30:AE39)</f>
        <v>15.607504487029411</v>
      </c>
      <c r="AZ46" s="48" t="e">
        <f>GEOMEAN(AZ5:AZ24,AZ25:AZ29,AZ30:AZ39)</f>
        <v>#NUM!</v>
      </c>
      <c r="BA46" s="48" t="e">
        <f>GEOMEAN(BA5:BA24,BA25:BA29,BA30:BA39)</f>
        <v>#NUM!</v>
      </c>
      <c r="BB46" s="48" t="e">
        <f>GEOMEAN(BB5:BB24,BB25:BB29,BB30:BB39)</f>
        <v>#NUM!</v>
      </c>
      <c r="BC46" s="48" t="e">
        <f>GEOMEAN(BC5:BC24,BC25:BC29,BC30:BC39)</f>
        <v>#NUM!</v>
      </c>
    </row>
    <row r="47" spans="1:88" ht="16" outlineLevel="2" collapsed="1" x14ac:dyDescent="0.2">
      <c r="B47" s="46" t="s">
        <v>249</v>
      </c>
      <c r="AZ47" s="55" t="e">
        <f>AZ46/AB46</f>
        <v>#NUM!</v>
      </c>
      <c r="BA47" s="55" t="e">
        <f>BA46/AC46</f>
        <v>#NUM!</v>
      </c>
      <c r="BB47" s="55" t="e">
        <f>BB46/AD46</f>
        <v>#NUM!</v>
      </c>
      <c r="BC47" s="55" t="e">
        <f>BC46/AE46</f>
        <v>#NUM!</v>
      </c>
    </row>
  </sheetData>
  <mergeCells count="48">
    <mergeCell ref="CE2:CG2"/>
    <mergeCell ref="BV2:BV3"/>
    <mergeCell ref="BW2:BW3"/>
    <mergeCell ref="BX2:BX3"/>
    <mergeCell ref="BY2:CB2"/>
    <mergeCell ref="CC2:CD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tabSelected="1" zoomScale="80" zoomScaleNormal="80" workbookViewId="0">
      <pane xSplit="2" ySplit="4" topLeftCell="X5" activePane="bottomRight" state="frozen"/>
      <selection pane="topRight" activeCell="C1" sqref="C1"/>
      <selection pane="bottomLeft" activeCell="A5" sqref="A5"/>
      <selection pane="bottomRight" activeCell="BC5" sqref="BC5:BC15"/>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1" t="s">
        <v>572</v>
      </c>
      <c r="B1" s="59"/>
      <c r="C1" s="59"/>
      <c r="D1" s="59"/>
      <c r="E1" s="59"/>
      <c r="F1" s="59"/>
      <c r="H1" s="67" t="s">
        <v>593</v>
      </c>
      <c r="I1" s="59"/>
      <c r="J1" s="59"/>
      <c r="K1" s="59"/>
      <c r="L1" s="59"/>
      <c r="M1" s="59"/>
      <c r="N1" s="59"/>
      <c r="O1" s="59"/>
      <c r="P1" s="59"/>
      <c r="Q1" s="59"/>
      <c r="R1" s="59"/>
      <c r="S1" s="59"/>
      <c r="T1" s="59"/>
      <c r="U1" s="59"/>
      <c r="V1" s="59"/>
      <c r="W1" s="59"/>
      <c r="X1" s="59"/>
      <c r="Y1" s="59"/>
      <c r="Z1" s="59"/>
      <c r="AA1" s="59"/>
      <c r="AB1" s="59"/>
      <c r="AC1" s="59"/>
      <c r="AE1" s="68" t="s">
        <v>594</v>
      </c>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3" t="s">
        <v>139</v>
      </c>
      <c r="B2" s="72" t="s">
        <v>140</v>
      </c>
      <c r="C2" s="73" t="s">
        <v>142</v>
      </c>
      <c r="D2" s="72" t="s">
        <v>143</v>
      </c>
      <c r="E2" s="73" t="s">
        <v>144</v>
      </c>
      <c r="F2" s="72" t="s">
        <v>145</v>
      </c>
      <c r="H2" s="73" t="s">
        <v>573</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573</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c r="BI2" s="73" t="s">
        <v>86</v>
      </c>
      <c r="BJ2" s="69" t="s">
        <v>150</v>
      </c>
      <c r="BK2" s="59"/>
      <c r="BL2" s="59"/>
      <c r="BM2" s="59"/>
    </row>
    <row r="3" spans="1:68" ht="29" customHeight="1" thickBot="1" x14ac:dyDescent="0.25">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c r="BI3" s="61"/>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1.7246264730099159E-2</v>
      </c>
      <c r="I5" s="10">
        <f t="shared" ref="I5:I11" si="1">IF(OR(ISBLANK(Q5),ISBLANK(F5)),"·",Q5*F5/E5/1000000)</f>
        <v>207.923745</v>
      </c>
      <c r="J5" s="11">
        <f t="shared" ref="J5:J11" si="2">IF(ISBLANK(Q5),"·",Q5/C5)</f>
        <v>0.93129829542535458</v>
      </c>
      <c r="K5" s="11">
        <f t="shared" ref="K5:K11" si="3">IF(N5="","·",N5/C5)</f>
        <v>0.14563999838233954</v>
      </c>
      <c r="L5" s="11">
        <f t="shared" ref="L5:L11" si="4">IF(R5="","·",R5/C5)</f>
        <v>0.13670905472592276</v>
      </c>
      <c r="M5" s="11">
        <f t="shared" ref="M5:M11" si="5">IF(ISBLANK(T5),"·",T5/C5)</f>
        <v>0.78565829704301504</v>
      </c>
      <c r="N5" s="52">
        <f t="shared" ref="N5:N11" si="6">IF(OR(ISBLANK(R5),ISBLANK(S5)),"",R5+S5)</f>
        <v>34683640</v>
      </c>
      <c r="O5" s="11">
        <v>16</v>
      </c>
      <c r="P5" s="12">
        <v>24964341</v>
      </c>
      <c r="Q5" s="13">
        <v>221785328</v>
      </c>
      <c r="R5" s="13">
        <v>32556768</v>
      </c>
      <c r="S5" s="13">
        <v>2126872</v>
      </c>
      <c r="T5" s="13">
        <v>187101688</v>
      </c>
      <c r="U5" s="14" t="s">
        <v>592</v>
      </c>
      <c r="V5" s="14" t="s">
        <v>592</v>
      </c>
      <c r="W5" s="14" t="s">
        <v>592</v>
      </c>
      <c r="X5" s="14" t="s">
        <v>592</v>
      </c>
      <c r="Y5" s="14" t="s">
        <v>592</v>
      </c>
      <c r="Z5" s="15">
        <v>2774.65</v>
      </c>
      <c r="AA5" s="15">
        <v>4254.18</v>
      </c>
      <c r="AB5" s="15">
        <v>3.5830000000000002</v>
      </c>
      <c r="AC5" s="15">
        <v>18.701000000000001</v>
      </c>
      <c r="AE5" s="16">
        <f t="shared" ref="AE5:AE11" si="7">IF(ISBLANK(Q5),"·",Q5/(C5*(D5*3+IF(AND(ISNUMBER(T5),T5&gt;0),24,0))))</f>
        <v>1.7246264730099159E-2</v>
      </c>
      <c r="AF5" s="10">
        <f t="shared" ref="AF5:AF11" si="8">IF(OR(ISBLANK(AN5),ISBLANK(F5)),"·",AN5*F5/E5/1000000)</f>
        <v>208.68609749999999</v>
      </c>
      <c r="AG5" s="11">
        <f t="shared" ref="AG5:AG11" si="9">IF(ISBLANK(AN5),"·",AN5/C5)</f>
        <v>0.93471290102397564</v>
      </c>
      <c r="AH5" s="11">
        <f t="shared" ref="AH5:AH11" si="10">IF(AK5="","·",AK5/C5)</f>
        <v>0.14565948219639407</v>
      </c>
      <c r="AI5" s="11">
        <f t="shared" ref="AI5:AI11" si="11">IF(AO5="","·",AO5/C5)</f>
        <v>0.13670905472592276</v>
      </c>
      <c r="AJ5" s="11">
        <f t="shared" ref="AJ5:AJ11" si="12">IF(ISBLANK(AQ5),"·",AQ5/C5)</f>
        <v>0.78905341882758151</v>
      </c>
      <c r="AK5" s="52">
        <f t="shared" ref="AK5:AK11" si="13">IF(OR(ISBLANK(AO5),ISBLANK(AP5)),"",AO5+AP5)</f>
        <v>34688280</v>
      </c>
      <c r="AL5" s="11">
        <v>16</v>
      </c>
      <c r="AM5" s="12">
        <v>24964341</v>
      </c>
      <c r="AN5" s="13">
        <v>222598504</v>
      </c>
      <c r="AO5" s="13">
        <v>32556768</v>
      </c>
      <c r="AP5" s="13">
        <v>2131512</v>
      </c>
      <c r="AQ5" s="13">
        <v>187910224</v>
      </c>
      <c r="AR5" s="14"/>
      <c r="AS5" s="14"/>
      <c r="AT5" s="14"/>
      <c r="AU5" s="14"/>
      <c r="AV5" s="14"/>
      <c r="AW5" s="14">
        <v>3903.12</v>
      </c>
      <c r="AX5" s="14">
        <v>5230.1099999999997</v>
      </c>
      <c r="AY5" s="14">
        <v>7.2640000000000002</v>
      </c>
      <c r="AZ5" s="14">
        <v>34.384</v>
      </c>
      <c r="BB5" s="50">
        <f t="shared" ref="BB5:BB15" si="14">AG5/J5</f>
        <v>1.0036665004278371</v>
      </c>
      <c r="BC5" s="74">
        <f t="shared" ref="BC5:BC15" si="15">AH5/K5</f>
        <v>1.0001337806527804</v>
      </c>
      <c r="BD5" s="50">
        <f t="shared" ref="BD5:BD15" si="16">AI5/L5</f>
        <v>1</v>
      </c>
      <c r="BE5" s="50">
        <f t="shared" ref="BE5:BE15" si="17">AJ5/M5</f>
        <v>1.0043213720231108</v>
      </c>
      <c r="BF5" s="16">
        <f t="shared" ref="BF5:BF11" si="18">(AK5/AN5) - (N5/Q5)</f>
        <v>-5.5044206810550556E-4</v>
      </c>
      <c r="BG5" s="16">
        <f t="array" ref="BG5">AVERAGE(AK5:AK5/AN5:AN5) - AVERAGE(N5:N5/Q5:Q5)</f>
        <v>-5.5044206810550556E-4</v>
      </c>
      <c r="BI5" s="53">
        <f>AM5-P5</f>
        <v>0</v>
      </c>
      <c r="BJ5" s="53">
        <f t="shared" ref="BJ5:BM11" si="19">AN5-Q5</f>
        <v>813176</v>
      </c>
      <c r="BK5" s="53">
        <f t="shared" si="19"/>
        <v>0</v>
      </c>
      <c r="BL5" s="53">
        <f t="shared" si="19"/>
        <v>4640</v>
      </c>
      <c r="BM5" s="53">
        <f t="shared" si="19"/>
        <v>808536</v>
      </c>
      <c r="BP5" t="s">
        <v>233</v>
      </c>
    </row>
    <row r="6" spans="1:68" collapsed="1" x14ac:dyDescent="0.2">
      <c r="A6" s="17"/>
      <c r="B6" s="17" t="s">
        <v>59</v>
      </c>
      <c r="C6" s="17">
        <v>218121242</v>
      </c>
      <c r="D6" s="18">
        <v>10</v>
      </c>
      <c r="E6" s="18">
        <v>32</v>
      </c>
      <c r="F6" s="18">
        <v>30</v>
      </c>
      <c r="H6" s="25">
        <f t="shared" si="0"/>
        <v>2.4546267577049512E-2</v>
      </c>
      <c r="I6" s="19">
        <f t="shared" si="1"/>
        <v>271.04940749999997</v>
      </c>
      <c r="J6" s="20">
        <f t="shared" si="2"/>
        <v>1.3254984491606736</v>
      </c>
      <c r="K6" s="20">
        <f t="shared" si="3"/>
        <v>0.17699316052858347</v>
      </c>
      <c r="L6" s="20">
        <f t="shared" si="4"/>
        <v>0.16167694478834849</v>
      </c>
      <c r="M6" s="20">
        <f t="shared" si="5"/>
        <v>1.1485052886320901</v>
      </c>
      <c r="N6" s="17">
        <f t="shared" si="6"/>
        <v>38605968</v>
      </c>
      <c r="O6" s="20">
        <v>16</v>
      </c>
      <c r="P6" s="21">
        <v>22654789</v>
      </c>
      <c r="Q6" s="22">
        <v>289119368</v>
      </c>
      <c r="R6" s="22">
        <v>35265176</v>
      </c>
      <c r="S6" s="22">
        <v>3340792</v>
      </c>
      <c r="T6" s="22">
        <v>250513400</v>
      </c>
      <c r="U6" s="23" t="s">
        <v>592</v>
      </c>
      <c r="V6" s="23" t="s">
        <v>592</v>
      </c>
      <c r="W6" s="23" t="s">
        <v>592</v>
      </c>
      <c r="X6" s="23" t="s">
        <v>592</v>
      </c>
      <c r="Y6" s="23" t="s">
        <v>592</v>
      </c>
      <c r="Z6" s="24">
        <v>2526.75</v>
      </c>
      <c r="AA6" s="24">
        <v>4340.82</v>
      </c>
      <c r="AB6" s="24">
        <v>3.4420000000000002</v>
      </c>
      <c r="AC6" s="24">
        <v>20.407</v>
      </c>
      <c r="AE6" s="25">
        <f t="shared" si="7"/>
        <v>2.4546267577049512E-2</v>
      </c>
      <c r="AF6" s="19">
        <f t="shared" si="8"/>
        <v>272.51167500000003</v>
      </c>
      <c r="AG6" s="20">
        <f t="shared" si="9"/>
        <v>1.3326492978615994</v>
      </c>
      <c r="AH6" s="20">
        <f t="shared" si="10"/>
        <v>0.17701072873956952</v>
      </c>
      <c r="AI6" s="20">
        <f t="shared" si="11"/>
        <v>0.16167694478834849</v>
      </c>
      <c r="AJ6" s="20">
        <f t="shared" si="12"/>
        <v>1.1556385691220299</v>
      </c>
      <c r="AK6" s="17">
        <f t="shared" si="13"/>
        <v>38609800</v>
      </c>
      <c r="AL6" s="20">
        <v>16</v>
      </c>
      <c r="AM6" s="21">
        <v>22654789</v>
      </c>
      <c r="AN6" s="22">
        <v>290679120</v>
      </c>
      <c r="AO6" s="22">
        <v>35265176</v>
      </c>
      <c r="AP6" s="22">
        <v>3344624</v>
      </c>
      <c r="AQ6" s="22">
        <v>252069320</v>
      </c>
      <c r="AR6" s="23"/>
      <c r="AS6" s="23"/>
      <c r="AT6" s="23"/>
      <c r="AU6" s="23"/>
      <c r="AV6" s="23"/>
      <c r="AW6" s="23">
        <v>4252.8</v>
      </c>
      <c r="AX6" s="23">
        <v>5503.57</v>
      </c>
      <c r="AY6" s="23">
        <v>6.9359999999999999</v>
      </c>
      <c r="AZ6" s="23">
        <v>36.901000000000003</v>
      </c>
      <c r="BB6" s="49">
        <f t="shared" si="14"/>
        <v>1.0053948374707293</v>
      </c>
      <c r="BC6" s="75">
        <f t="shared" si="15"/>
        <v>1.000099259264785</v>
      </c>
      <c r="BD6" s="49">
        <f t="shared" si="16"/>
        <v>1</v>
      </c>
      <c r="BE6" s="49">
        <f t="shared" si="17"/>
        <v>1.0062109252439193</v>
      </c>
      <c r="BF6" s="25">
        <f t="shared" si="18"/>
        <v>-7.0332166534761709E-4</v>
      </c>
      <c r="BG6" s="25">
        <f t="array" ref="BG6">AVERAGE(AK6:AK6/AN6:AN6) - AVERAGE(N6:N6/Q6:Q6)</f>
        <v>-7.0332166534761709E-4</v>
      </c>
      <c r="BI6" s="53">
        <f t="shared" ref="BI6:BI11" si="20">AM6-P6</f>
        <v>0</v>
      </c>
      <c r="BJ6" s="53">
        <f t="shared" si="19"/>
        <v>1559752</v>
      </c>
      <c r="BK6" s="53">
        <f t="shared" si="19"/>
        <v>0</v>
      </c>
      <c r="BL6" s="53">
        <f t="shared" si="19"/>
        <v>3832</v>
      </c>
      <c r="BM6" s="53">
        <f t="shared" si="19"/>
        <v>1555920</v>
      </c>
      <c r="BP6" t="s">
        <v>233</v>
      </c>
    </row>
    <row r="7" spans="1:68" collapsed="1" x14ac:dyDescent="0.2">
      <c r="A7" s="52"/>
      <c r="B7" s="52" t="s">
        <v>64</v>
      </c>
      <c r="C7" s="52">
        <v>322589704</v>
      </c>
      <c r="D7" s="9">
        <v>10</v>
      </c>
      <c r="E7" s="9">
        <v>32</v>
      </c>
      <c r="F7" s="9">
        <v>30</v>
      </c>
      <c r="H7" s="16">
        <f t="shared" si="0"/>
        <v>1.9382873445357721E-2</v>
      </c>
      <c r="I7" s="10">
        <f t="shared" si="1"/>
        <v>316.54371750000001</v>
      </c>
      <c r="J7" s="11">
        <f t="shared" si="2"/>
        <v>1.046675166049317</v>
      </c>
      <c r="K7" s="11">
        <f t="shared" si="3"/>
        <v>0.1733904067812406</v>
      </c>
      <c r="L7" s="11">
        <f t="shared" si="4"/>
        <v>0.16060016596189938</v>
      </c>
      <c r="M7" s="11">
        <f t="shared" si="5"/>
        <v>0.87328475926807636</v>
      </c>
      <c r="N7" s="52">
        <f t="shared" si="6"/>
        <v>55933960</v>
      </c>
      <c r="O7" s="11">
        <v>16</v>
      </c>
      <c r="P7" s="12">
        <v>33947718</v>
      </c>
      <c r="Q7" s="13">
        <v>337646632</v>
      </c>
      <c r="R7" s="13">
        <v>51807960</v>
      </c>
      <c r="S7" s="13">
        <v>4126000</v>
      </c>
      <c r="T7" s="13">
        <v>281712672</v>
      </c>
      <c r="U7" s="14" t="s">
        <v>592</v>
      </c>
      <c r="V7" s="14" t="s">
        <v>592</v>
      </c>
      <c r="W7" s="14" t="s">
        <v>592</v>
      </c>
      <c r="X7" s="14" t="s">
        <v>592</v>
      </c>
      <c r="Y7" s="14" t="s">
        <v>592</v>
      </c>
      <c r="Z7" s="15">
        <v>3679.12</v>
      </c>
      <c r="AA7" s="15">
        <v>5763.1</v>
      </c>
      <c r="AB7" s="15">
        <v>4.88</v>
      </c>
      <c r="AC7" s="15">
        <v>22.954000000000001</v>
      </c>
      <c r="AE7" s="16">
        <f t="shared" si="7"/>
        <v>1.9382873445357721E-2</v>
      </c>
      <c r="AF7" s="10">
        <f t="shared" si="8"/>
        <v>318.8324475</v>
      </c>
      <c r="AG7" s="11">
        <f t="shared" si="9"/>
        <v>1.0542430207257947</v>
      </c>
      <c r="AH7" s="11">
        <f t="shared" si="10"/>
        <v>0.17341649564860259</v>
      </c>
      <c r="AI7" s="11">
        <f t="shared" si="11"/>
        <v>0.16060016596189938</v>
      </c>
      <c r="AJ7" s="11">
        <f t="shared" si="12"/>
        <v>0.88082652507719217</v>
      </c>
      <c r="AK7" s="52">
        <f t="shared" si="13"/>
        <v>55942376</v>
      </c>
      <c r="AL7" s="11">
        <v>16</v>
      </c>
      <c r="AM7" s="12">
        <v>33947718</v>
      </c>
      <c r="AN7" s="13">
        <v>340087944</v>
      </c>
      <c r="AO7" s="13">
        <v>51807960</v>
      </c>
      <c r="AP7" s="13">
        <v>4134416</v>
      </c>
      <c r="AQ7" s="13">
        <v>284145568</v>
      </c>
      <c r="AR7" s="14"/>
      <c r="AS7" s="14"/>
      <c r="AT7" s="14"/>
      <c r="AU7" s="14"/>
      <c r="AV7" s="14"/>
      <c r="AW7" s="14">
        <v>5654.3</v>
      </c>
      <c r="AX7" s="14">
        <v>7128.4</v>
      </c>
      <c r="AY7" s="14">
        <v>8.9719999999999995</v>
      </c>
      <c r="AZ7" s="14">
        <v>39.866999999999997</v>
      </c>
      <c r="BB7" s="50">
        <f t="shared" si="14"/>
        <v>1.0072303756905236</v>
      </c>
      <c r="BC7" s="74">
        <f t="shared" si="15"/>
        <v>1.0001504631533329</v>
      </c>
      <c r="BD7" s="50">
        <f t="shared" si="16"/>
        <v>1</v>
      </c>
      <c r="BE7" s="50">
        <f t="shared" si="17"/>
        <v>1.0086360900371567</v>
      </c>
      <c r="BF7" s="16">
        <f t="shared" si="18"/>
        <v>-1.1644268832379512E-3</v>
      </c>
      <c r="BG7" s="16">
        <f t="array" ref="BG7">AVERAGE(AK7:AK7/AN7:AN7) - AVERAGE(N7:N7/Q7:Q7)</f>
        <v>-1.1644268832379512E-3</v>
      </c>
      <c r="BI7" s="53">
        <f t="shared" si="20"/>
        <v>0</v>
      </c>
      <c r="BJ7" s="53">
        <f t="shared" si="19"/>
        <v>2441312</v>
      </c>
      <c r="BK7" s="53">
        <f t="shared" si="19"/>
        <v>0</v>
      </c>
      <c r="BL7" s="53">
        <f t="shared" si="19"/>
        <v>8416</v>
      </c>
      <c r="BM7" s="53">
        <f t="shared" si="19"/>
        <v>2432896</v>
      </c>
      <c r="BP7" t="s">
        <v>241</v>
      </c>
    </row>
    <row r="8" spans="1:68" ht="16" collapsed="1" thickBot="1" x14ac:dyDescent="0.25">
      <c r="A8" s="36"/>
      <c r="B8" s="36" t="s">
        <v>70</v>
      </c>
      <c r="C8" s="36">
        <v>250602891</v>
      </c>
      <c r="D8" s="37">
        <v>10</v>
      </c>
      <c r="E8" s="37">
        <v>32</v>
      </c>
      <c r="F8" s="37">
        <v>50</v>
      </c>
      <c r="H8" s="45">
        <f t="shared" si="0"/>
        <v>1.9264459855466445E-2</v>
      </c>
      <c r="I8" s="38">
        <f t="shared" si="1"/>
        <v>407.33966249999997</v>
      </c>
      <c r="J8" s="39">
        <f t="shared" si="2"/>
        <v>1.040280832195188</v>
      </c>
      <c r="K8" s="39">
        <f t="shared" si="3"/>
        <v>0.16371105631020036</v>
      </c>
      <c r="L8" s="39">
        <f t="shared" si="4"/>
        <v>0.14309820551910551</v>
      </c>
      <c r="M8" s="39">
        <f t="shared" si="5"/>
        <v>0.87656977588498775</v>
      </c>
      <c r="N8" s="36">
        <f t="shared" si="6"/>
        <v>41026464</v>
      </c>
      <c r="O8" s="39">
        <v>16</v>
      </c>
      <c r="P8" s="40">
        <v>32209643</v>
      </c>
      <c r="Q8" s="41">
        <v>260697384</v>
      </c>
      <c r="R8" s="41">
        <v>35860824</v>
      </c>
      <c r="S8" s="41">
        <v>5165640</v>
      </c>
      <c r="T8" s="41">
        <v>219670920</v>
      </c>
      <c r="U8" s="42" t="s">
        <v>592</v>
      </c>
      <c r="V8" s="42" t="s">
        <v>592</v>
      </c>
      <c r="W8" s="42" t="s">
        <v>592</v>
      </c>
      <c r="X8" s="42" t="s">
        <v>592</v>
      </c>
      <c r="Y8" s="42" t="s">
        <v>592</v>
      </c>
      <c r="Z8" s="43">
        <v>3575.41</v>
      </c>
      <c r="AA8" s="43">
        <v>4561.07</v>
      </c>
      <c r="AB8" s="43">
        <v>4.33</v>
      </c>
      <c r="AC8" s="43">
        <v>21.745000000000001</v>
      </c>
      <c r="AE8" s="45">
        <f t="shared" si="7"/>
        <v>1.9264459855466445E-2</v>
      </c>
      <c r="AF8" s="38">
        <f t="shared" si="8"/>
        <v>412.01582500000001</v>
      </c>
      <c r="AG8" s="39">
        <f t="shared" si="9"/>
        <v>1.052223008871833</v>
      </c>
      <c r="AH8" s="39">
        <f t="shared" si="10"/>
        <v>0.1637293162751263</v>
      </c>
      <c r="AI8" s="39">
        <f t="shared" si="11"/>
        <v>0.14309820551910551</v>
      </c>
      <c r="AJ8" s="39">
        <f t="shared" si="12"/>
        <v>0.88849369259670674</v>
      </c>
      <c r="AK8" s="36">
        <f t="shared" si="13"/>
        <v>41031040</v>
      </c>
      <c r="AL8" s="39">
        <v>16</v>
      </c>
      <c r="AM8" s="40">
        <v>32209643</v>
      </c>
      <c r="AN8" s="41">
        <v>263690128</v>
      </c>
      <c r="AO8" s="41">
        <v>35860824</v>
      </c>
      <c r="AP8" s="41">
        <v>5170216</v>
      </c>
      <c r="AQ8" s="41">
        <v>222659088</v>
      </c>
      <c r="AR8" s="42"/>
      <c r="AS8" s="42"/>
      <c r="AT8" s="42"/>
      <c r="AU8" s="42"/>
      <c r="AV8" s="42"/>
      <c r="AW8" s="42">
        <v>5164.42</v>
      </c>
      <c r="AX8" s="42">
        <v>5651.78</v>
      </c>
      <c r="AY8" s="42">
        <v>8.109</v>
      </c>
      <c r="AZ8" s="42">
        <v>38.993000000000002</v>
      </c>
      <c r="BB8" s="44">
        <f t="shared" si="14"/>
        <v>1.0114797622978833</v>
      </c>
      <c r="BC8" s="76">
        <f t="shared" si="15"/>
        <v>1.0001115377625525</v>
      </c>
      <c r="BD8" s="44">
        <f t="shared" si="16"/>
        <v>1</v>
      </c>
      <c r="BE8" s="44">
        <f t="shared" si="17"/>
        <v>1.0136029293271953</v>
      </c>
      <c r="BF8" s="45">
        <f t="shared" si="18"/>
        <v>-1.7687353644223747E-3</v>
      </c>
      <c r="BG8" s="45">
        <f t="array" ref="BG8">AVERAGE(AK8:AK8/AN8:AN8) - AVERAGE(N8:N8/Q8:Q8)</f>
        <v>-1.7687353644223747E-3</v>
      </c>
      <c r="BI8" s="53">
        <f t="shared" si="20"/>
        <v>0</v>
      </c>
      <c r="BJ8" s="53">
        <f t="shared" si="19"/>
        <v>2992744</v>
      </c>
      <c r="BK8" s="53">
        <f t="shared" si="19"/>
        <v>0</v>
      </c>
      <c r="BL8" s="53">
        <f t="shared" si="19"/>
        <v>4576</v>
      </c>
      <c r="BM8" s="53">
        <f t="shared" si="19"/>
        <v>2988168</v>
      </c>
      <c r="BP8" t="s">
        <v>579</v>
      </c>
    </row>
    <row r="9" spans="1:68" ht="16" collapsed="1" thickBot="1" x14ac:dyDescent="0.25">
      <c r="A9" s="26" t="s">
        <v>240</v>
      </c>
      <c r="B9" s="26" t="s">
        <v>73</v>
      </c>
      <c r="C9" s="26">
        <v>250294582</v>
      </c>
      <c r="D9" s="27">
        <v>10</v>
      </c>
      <c r="E9" s="27">
        <v>32</v>
      </c>
      <c r="F9" s="27">
        <v>30</v>
      </c>
      <c r="H9" s="35">
        <f t="shared" si="0"/>
        <v>2.7932178879673222E-2</v>
      </c>
      <c r="I9" s="28">
        <f t="shared" si="1"/>
        <v>353.93319750000001</v>
      </c>
      <c r="J9" s="29">
        <f t="shared" si="2"/>
        <v>1.5083376595023539</v>
      </c>
      <c r="K9" s="29">
        <f t="shared" si="3"/>
        <v>0.15215971394858238</v>
      </c>
      <c r="L9" s="29">
        <f t="shared" si="4"/>
        <v>0.14248046328066341</v>
      </c>
      <c r="M9" s="29">
        <f t="shared" si="5"/>
        <v>1.3561779455537715</v>
      </c>
      <c r="N9" s="26">
        <f t="shared" si="6"/>
        <v>38084752</v>
      </c>
      <c r="O9" s="29">
        <v>16</v>
      </c>
      <c r="P9" s="30">
        <v>25312408</v>
      </c>
      <c r="Q9" s="31">
        <v>377528744</v>
      </c>
      <c r="R9" s="31">
        <v>35662088</v>
      </c>
      <c r="S9" s="31">
        <v>2422664</v>
      </c>
      <c r="T9" s="31">
        <v>339443992</v>
      </c>
      <c r="U9" s="32" t="s">
        <v>592</v>
      </c>
      <c r="V9" s="32" t="s">
        <v>592</v>
      </c>
      <c r="W9" s="32" t="s">
        <v>592</v>
      </c>
      <c r="X9" s="32" t="s">
        <v>592</v>
      </c>
      <c r="Y9" s="32" t="s">
        <v>592</v>
      </c>
      <c r="Z9" s="33">
        <v>1179.9000000000001</v>
      </c>
      <c r="AA9" s="33">
        <v>4869.26</v>
      </c>
      <c r="AB9" s="33">
        <v>3.653</v>
      </c>
      <c r="AC9" s="33">
        <v>22.413</v>
      </c>
      <c r="AE9" s="35">
        <f t="shared" si="7"/>
        <v>2.7932178879673222E-2</v>
      </c>
      <c r="AF9" s="28">
        <f t="shared" si="8"/>
        <v>355.67415749999998</v>
      </c>
      <c r="AG9" s="29">
        <f t="shared" si="9"/>
        <v>1.5157570130703029</v>
      </c>
      <c r="AH9" s="29">
        <f t="shared" si="10"/>
        <v>0.15217464036037345</v>
      </c>
      <c r="AI9" s="29">
        <f t="shared" si="11"/>
        <v>0.14248046328066341</v>
      </c>
      <c r="AJ9" s="29">
        <f t="shared" si="12"/>
        <v>1.3635823727099294</v>
      </c>
      <c r="AK9" s="26">
        <f t="shared" si="13"/>
        <v>38088488</v>
      </c>
      <c r="AL9" s="29">
        <v>16</v>
      </c>
      <c r="AM9" s="30">
        <v>25312408</v>
      </c>
      <c r="AN9" s="31">
        <v>379385768</v>
      </c>
      <c r="AO9" s="31">
        <v>35662088</v>
      </c>
      <c r="AP9" s="31">
        <v>2426400</v>
      </c>
      <c r="AQ9" s="31">
        <v>341297280</v>
      </c>
      <c r="AR9" s="32"/>
      <c r="AS9" s="32"/>
      <c r="AT9" s="32"/>
      <c r="AU9" s="32"/>
      <c r="AV9" s="32"/>
      <c r="AW9" s="32">
        <v>1415.57</v>
      </c>
      <c r="AX9" s="32">
        <v>4535.45</v>
      </c>
      <c r="AY9" s="32">
        <v>5.5620000000000003</v>
      </c>
      <c r="AZ9" s="32">
        <v>28.555</v>
      </c>
      <c r="BB9" s="34">
        <f t="shared" si="14"/>
        <v>1.0049188943345728</v>
      </c>
      <c r="BC9" s="77">
        <f t="shared" si="15"/>
        <v>1.0000980970021809</v>
      </c>
      <c r="BD9" s="34">
        <f t="shared" si="16"/>
        <v>1</v>
      </c>
      <c r="BE9" s="34">
        <f t="shared" si="17"/>
        <v>1.0054597755260903</v>
      </c>
      <c r="BF9" s="35">
        <f t="shared" si="18"/>
        <v>-4.8393715930433734E-4</v>
      </c>
      <c r="BG9" s="35">
        <f t="array" ref="BG9">AVERAGE(AK9:AK9/AN9:AN9) - AVERAGE(N9:N9/Q9:Q9)</f>
        <v>-4.8393715930433734E-4</v>
      </c>
      <c r="BI9" s="53">
        <f t="shared" si="20"/>
        <v>0</v>
      </c>
      <c r="BJ9" s="53">
        <f t="shared" si="19"/>
        <v>1857024</v>
      </c>
      <c r="BK9" s="53">
        <f t="shared" si="19"/>
        <v>0</v>
      </c>
      <c r="BL9" s="53">
        <f t="shared" si="19"/>
        <v>3736</v>
      </c>
      <c r="BM9" s="53">
        <f t="shared" si="19"/>
        <v>1853288</v>
      </c>
      <c r="BP9" t="s">
        <v>239</v>
      </c>
    </row>
    <row r="10" spans="1:68" collapsed="1" x14ac:dyDescent="0.2">
      <c r="A10" s="17" t="s">
        <v>242</v>
      </c>
      <c r="B10" s="17" t="s">
        <v>77</v>
      </c>
      <c r="C10" s="17">
        <v>375422539</v>
      </c>
      <c r="D10" s="18">
        <v>11</v>
      </c>
      <c r="E10" s="18">
        <v>32</v>
      </c>
      <c r="F10" s="18">
        <v>30</v>
      </c>
      <c r="H10" s="25">
        <f t="shared" si="0"/>
        <v>4.2419744383943012E-2</v>
      </c>
      <c r="I10" s="19">
        <f t="shared" si="1"/>
        <v>851.00972249999995</v>
      </c>
      <c r="J10" s="20">
        <f t="shared" si="2"/>
        <v>2.4179254298847517</v>
      </c>
      <c r="K10" s="20">
        <f t="shared" si="3"/>
        <v>0.27551935553874668</v>
      </c>
      <c r="L10" s="20">
        <f t="shared" si="4"/>
        <v>0.26326304292561403</v>
      </c>
      <c r="M10" s="20">
        <f t="shared" si="5"/>
        <v>2.1424060743460052</v>
      </c>
      <c r="N10" s="17">
        <f t="shared" si="6"/>
        <v>103436176</v>
      </c>
      <c r="O10" s="20">
        <v>16</v>
      </c>
      <c r="P10" s="21">
        <v>92854683</v>
      </c>
      <c r="Q10" s="22">
        <v>907743704</v>
      </c>
      <c r="R10" s="22">
        <v>98834880</v>
      </c>
      <c r="S10" s="22">
        <v>4601296</v>
      </c>
      <c r="T10" s="22">
        <v>804307528</v>
      </c>
      <c r="U10" s="23" t="s">
        <v>592</v>
      </c>
      <c r="V10" s="23" t="s">
        <v>592</v>
      </c>
      <c r="W10" s="23" t="s">
        <v>592</v>
      </c>
      <c r="X10" s="23" t="s">
        <v>592</v>
      </c>
      <c r="Y10" s="23" t="s">
        <v>592</v>
      </c>
      <c r="Z10" s="24">
        <v>2515.04</v>
      </c>
      <c r="AA10" s="24">
        <v>13902.4</v>
      </c>
      <c r="AB10" s="24">
        <v>11.909000000000001</v>
      </c>
      <c r="AC10" s="24">
        <v>60.41</v>
      </c>
      <c r="AE10" s="25">
        <f t="shared" si="7"/>
        <v>4.2419744383943012E-2</v>
      </c>
      <c r="AF10" s="19">
        <f t="shared" si="8"/>
        <v>853.06649249999998</v>
      </c>
      <c r="AG10" s="20">
        <f t="shared" si="9"/>
        <v>2.4237692132810387</v>
      </c>
      <c r="AH10" s="20">
        <f t="shared" si="10"/>
        <v>0.27554130414103878</v>
      </c>
      <c r="AI10" s="20">
        <f t="shared" si="11"/>
        <v>0.26326304292561403</v>
      </c>
      <c r="AJ10" s="20">
        <f t="shared" si="12"/>
        <v>2.1482279091399996</v>
      </c>
      <c r="AK10" s="17">
        <f t="shared" si="13"/>
        <v>103444416</v>
      </c>
      <c r="AL10" s="20">
        <v>16</v>
      </c>
      <c r="AM10" s="21">
        <v>92854683</v>
      </c>
      <c r="AN10" s="22">
        <v>909937592</v>
      </c>
      <c r="AO10" s="22">
        <v>98834880</v>
      </c>
      <c r="AP10" s="22">
        <v>4609536</v>
      </c>
      <c r="AQ10" s="22">
        <v>806493176</v>
      </c>
      <c r="AR10" s="23"/>
      <c r="AS10" s="23"/>
      <c r="AT10" s="23"/>
      <c r="AU10" s="23"/>
      <c r="AV10" s="23"/>
      <c r="AW10" s="23">
        <v>3749.06</v>
      </c>
      <c r="AX10" s="23">
        <v>14786.5</v>
      </c>
      <c r="AY10" s="23">
        <v>21.538</v>
      </c>
      <c r="AZ10" s="23">
        <v>84.878</v>
      </c>
      <c r="BB10" s="49">
        <f t="shared" si="14"/>
        <v>1.0024168584043411</v>
      </c>
      <c r="BC10" s="75">
        <f t="shared" si="15"/>
        <v>1.0000796626511019</v>
      </c>
      <c r="BD10" s="49">
        <f t="shared" si="16"/>
        <v>1</v>
      </c>
      <c r="BE10" s="49">
        <f t="shared" si="17"/>
        <v>1.0027174282521447</v>
      </c>
      <c r="BF10" s="25">
        <f t="shared" si="18"/>
        <v>-2.6567821068600173E-4</v>
      </c>
      <c r="BG10" s="25">
        <f t="array" ref="BG10">AVERAGE(AK10:AK10/AN10:AN10) - AVERAGE(N10:N10/Q10:Q10)</f>
        <v>-2.6567821068600173E-4</v>
      </c>
      <c r="BI10" s="53">
        <f t="shared" si="20"/>
        <v>0</v>
      </c>
      <c r="BJ10" s="53">
        <f t="shared" si="19"/>
        <v>2193888</v>
      </c>
      <c r="BK10" s="53">
        <f t="shared" si="19"/>
        <v>0</v>
      </c>
      <c r="BL10" s="53">
        <f t="shared" si="19"/>
        <v>8240</v>
      </c>
      <c r="BM10" s="53">
        <f t="shared" si="19"/>
        <v>2185648</v>
      </c>
      <c r="BP10" t="s">
        <v>580</v>
      </c>
    </row>
    <row r="11" spans="1:68" ht="16" collapsed="1" thickBot="1" x14ac:dyDescent="0.25">
      <c r="A11" s="26"/>
      <c r="B11" s="26" t="s">
        <v>82</v>
      </c>
      <c r="C11" s="26">
        <v>333190689</v>
      </c>
      <c r="D11" s="27">
        <v>11</v>
      </c>
      <c r="E11" s="27">
        <v>32</v>
      </c>
      <c r="F11" s="27">
        <v>30</v>
      </c>
      <c r="H11" s="35">
        <f t="shared" si="0"/>
        <v>4.3594405379414072E-2</v>
      </c>
      <c r="I11" s="28">
        <f t="shared" si="1"/>
        <v>776.19304499999998</v>
      </c>
      <c r="J11" s="29">
        <f t="shared" si="2"/>
        <v>2.4848811066266019</v>
      </c>
      <c r="K11" s="29">
        <f t="shared" si="3"/>
        <v>0.29575743636701685</v>
      </c>
      <c r="L11" s="29">
        <f t="shared" si="4"/>
        <v>0.28138445369342241</v>
      </c>
      <c r="M11" s="29">
        <f t="shared" si="5"/>
        <v>2.1891236702595851</v>
      </c>
      <c r="N11" s="26">
        <f t="shared" si="6"/>
        <v>98543624</v>
      </c>
      <c r="O11" s="29">
        <v>16</v>
      </c>
      <c r="P11" s="30">
        <v>83104648</v>
      </c>
      <c r="Q11" s="31">
        <v>827939248</v>
      </c>
      <c r="R11" s="31">
        <v>93754680</v>
      </c>
      <c r="S11" s="31">
        <v>4788944</v>
      </c>
      <c r="T11" s="31">
        <v>729395624</v>
      </c>
      <c r="U11" s="32" t="s">
        <v>592</v>
      </c>
      <c r="V11" s="32" t="s">
        <v>592</v>
      </c>
      <c r="W11" s="32" t="s">
        <v>592</v>
      </c>
      <c r="X11" s="32" t="s">
        <v>592</v>
      </c>
      <c r="Y11" s="32" t="s">
        <v>592</v>
      </c>
      <c r="Z11" s="33">
        <v>2219.91</v>
      </c>
      <c r="AA11" s="33">
        <v>15592.1</v>
      </c>
      <c r="AB11" s="33">
        <v>13.412000000000001</v>
      </c>
      <c r="AC11" s="33">
        <v>80.790000000000006</v>
      </c>
      <c r="AE11" s="35">
        <f t="shared" si="7"/>
        <v>4.3594405379414072E-2</v>
      </c>
      <c r="AF11" s="28">
        <f t="shared" si="8"/>
        <v>778.43133</v>
      </c>
      <c r="AG11" s="29">
        <f t="shared" si="9"/>
        <v>2.4920466850140581</v>
      </c>
      <c r="AH11" s="29">
        <f t="shared" si="10"/>
        <v>0.29577734088481689</v>
      </c>
      <c r="AI11" s="29">
        <f t="shared" si="11"/>
        <v>0.28138445369342241</v>
      </c>
      <c r="AJ11" s="29">
        <f t="shared" si="12"/>
        <v>2.1962693441292411</v>
      </c>
      <c r="AK11" s="26">
        <f t="shared" si="13"/>
        <v>98550256</v>
      </c>
      <c r="AL11" s="29">
        <v>16</v>
      </c>
      <c r="AM11" s="30">
        <v>83104648</v>
      </c>
      <c r="AN11" s="31">
        <v>830326752</v>
      </c>
      <c r="AO11" s="31">
        <v>93754680</v>
      </c>
      <c r="AP11" s="31">
        <v>4795576</v>
      </c>
      <c r="AQ11" s="31">
        <v>731776496</v>
      </c>
      <c r="AR11" s="32"/>
      <c r="AS11" s="32"/>
      <c r="AT11" s="32"/>
      <c r="AU11" s="32"/>
      <c r="AV11" s="32"/>
      <c r="AW11" s="32">
        <v>3651.99</v>
      </c>
      <c r="AX11" s="32">
        <v>20488.400000000001</v>
      </c>
      <c r="AY11" s="32">
        <v>29.763999999999999</v>
      </c>
      <c r="AZ11" s="32">
        <v>136.10599999999999</v>
      </c>
      <c r="BB11" s="34">
        <f t="shared" si="14"/>
        <v>1.0028836705178157</v>
      </c>
      <c r="BC11" s="77">
        <f t="shared" si="15"/>
        <v>1.0000673001431326</v>
      </c>
      <c r="BD11" s="34">
        <f t="shared" si="16"/>
        <v>1</v>
      </c>
      <c r="BE11" s="34">
        <f t="shared" si="17"/>
        <v>1.0032641709405155</v>
      </c>
      <c r="BF11" s="35">
        <f t="shared" si="18"/>
        <v>-3.3424834570125461E-4</v>
      </c>
      <c r="BG11" s="35">
        <f t="array" ref="BG11">AVERAGE(AK11:AK11/AN11:AN11) - AVERAGE(N11:N11/Q11:Q11)</f>
        <v>-3.3424834570125461E-4</v>
      </c>
      <c r="BI11" s="53">
        <f t="shared" si="20"/>
        <v>0</v>
      </c>
      <c r="BJ11" s="53">
        <f t="shared" si="19"/>
        <v>2387504</v>
      </c>
      <c r="BK11" s="53">
        <f t="shared" si="19"/>
        <v>0</v>
      </c>
      <c r="BL11" s="53">
        <f t="shared" si="19"/>
        <v>6632</v>
      </c>
      <c r="BM11" s="53">
        <f t="shared" si="19"/>
        <v>2380872</v>
      </c>
      <c r="BP11" t="s">
        <v>581</v>
      </c>
    </row>
    <row r="12" spans="1:68" ht="16" x14ac:dyDescent="0.2">
      <c r="B12" s="46" t="s">
        <v>16</v>
      </c>
      <c r="J12" s="47">
        <f>AVERAGE(J5:J8)</f>
        <v>1.0859381857076333</v>
      </c>
      <c r="K12" s="47">
        <f>AVERAGE(K5:K8)</f>
        <v>0.164933655500591</v>
      </c>
      <c r="L12" s="47">
        <f>AVERAGE(L5:L8)</f>
        <v>0.15052109274881903</v>
      </c>
      <c r="M12" s="47">
        <f>AVERAGE(M5:M8)</f>
        <v>0.92100453020704232</v>
      </c>
      <c r="AG12" s="47">
        <f>AVERAGE(AG5:AG8)</f>
        <v>1.0934570571208007</v>
      </c>
      <c r="AH12" s="47">
        <f>AVERAGE(AH5:AH8)</f>
        <v>0.16495400571492314</v>
      </c>
      <c r="AI12" s="47">
        <f>AVERAGE(AI5:AI8)</f>
        <v>0.15052109274881903</v>
      </c>
      <c r="AJ12" s="47">
        <f>AVERAGE(AJ5:AJ8)</f>
        <v>0.92850305140587752</v>
      </c>
      <c r="BB12" s="51">
        <f t="shared" si="14"/>
        <v>1.0069238484401097</v>
      </c>
      <c r="BC12" s="78">
        <f t="shared" si="15"/>
        <v>1.0001233842436243</v>
      </c>
      <c r="BD12" s="51">
        <f t="shared" si="16"/>
        <v>1</v>
      </c>
      <c r="BE12" s="51">
        <f t="shared" si="17"/>
        <v>1.0081416767810571</v>
      </c>
      <c r="BG12" s="55">
        <f>AVERAGE(BG5:BG8)</f>
        <v>-1.0467314952783621E-3</v>
      </c>
    </row>
    <row r="13" spans="1:68" ht="16" x14ac:dyDescent="0.2">
      <c r="B13" s="46" t="s">
        <v>17</v>
      </c>
      <c r="J13" s="47">
        <f>AVERAGE(J9:J9)</f>
        <v>1.5083376595023539</v>
      </c>
      <c r="K13" s="47">
        <f>AVERAGE(K9:K9)</f>
        <v>0.15215971394858238</v>
      </c>
      <c r="L13" s="47">
        <f>AVERAGE(L9:L9)</f>
        <v>0.14248046328066341</v>
      </c>
      <c r="M13" s="47">
        <f>AVERAGE(M9:M9)</f>
        <v>1.3561779455537715</v>
      </c>
      <c r="AG13" s="47">
        <f>AVERAGE(AG9:AG9)</f>
        <v>1.5157570130703029</v>
      </c>
      <c r="AH13" s="47">
        <f>AVERAGE(AH9:AH9)</f>
        <v>0.15217464036037345</v>
      </c>
      <c r="AI13" s="47">
        <f>AVERAGE(AI9:AI9)</f>
        <v>0.14248046328066341</v>
      </c>
      <c r="AJ13" s="47">
        <f>AVERAGE(AJ9:AJ9)</f>
        <v>1.3635823727099294</v>
      </c>
      <c r="BB13" s="51">
        <f t="shared" si="14"/>
        <v>1.0049188943345728</v>
      </c>
      <c r="BC13" s="78">
        <f t="shared" si="15"/>
        <v>1.0000980970021809</v>
      </c>
      <c r="BD13" s="51">
        <f t="shared" si="16"/>
        <v>1</v>
      </c>
      <c r="BE13" s="51">
        <f t="shared" si="17"/>
        <v>1.0054597755260903</v>
      </c>
      <c r="BG13" s="55">
        <f>AVERAGE(BG9:BG9)</f>
        <v>-4.8393715930433734E-4</v>
      </c>
    </row>
    <row r="14" spans="1:68" ht="16" x14ac:dyDescent="0.2">
      <c r="B14" s="46" t="s">
        <v>18</v>
      </c>
      <c r="J14" s="47">
        <f>AVERAGE(J10:J11)</f>
        <v>2.4514032682556768</v>
      </c>
      <c r="K14" s="47">
        <f>AVERAGE(K10:K11)</f>
        <v>0.28563839595288176</v>
      </c>
      <c r="L14" s="47">
        <f>AVERAGE(L10:L11)</f>
        <v>0.27232374830951822</v>
      </c>
      <c r="M14" s="47">
        <f>AVERAGE(M10:M11)</f>
        <v>2.1657648723027951</v>
      </c>
      <c r="AG14" s="47">
        <f>AVERAGE(AG10:AG11)</f>
        <v>2.4579079491475486</v>
      </c>
      <c r="AH14" s="47">
        <f>AVERAGE(AH10:AH11)</f>
        <v>0.2856593225129278</v>
      </c>
      <c r="AI14" s="47">
        <f>AVERAGE(AI10:AI11)</f>
        <v>0.27232374830951822</v>
      </c>
      <c r="AJ14" s="47">
        <f>AVERAGE(AJ10:AJ11)</f>
        <v>2.1722486266346204</v>
      </c>
      <c r="BB14" s="51">
        <f t="shared" si="14"/>
        <v>1.002653451994661</v>
      </c>
      <c r="BC14" s="78">
        <f t="shared" si="15"/>
        <v>1.0000732624196975</v>
      </c>
      <c r="BD14" s="51">
        <f t="shared" si="16"/>
        <v>1</v>
      </c>
      <c r="BE14" s="51">
        <f t="shared" si="17"/>
        <v>1.0029937480355064</v>
      </c>
      <c r="BG14" s="55">
        <f>AVERAGE(BG10:BG11)</f>
        <v>-2.9996327819362817E-4</v>
      </c>
    </row>
    <row r="15" spans="1:68" ht="16" x14ac:dyDescent="0.2">
      <c r="B15" s="46" t="s">
        <v>19</v>
      </c>
      <c r="J15" s="47">
        <f>AVERAGE(J5:J11)</f>
        <v>1.5364138484063203</v>
      </c>
      <c r="K15" s="47">
        <f>AVERAGE(K5:K11)</f>
        <v>0.19759587540810139</v>
      </c>
      <c r="L15" s="47">
        <f>AVERAGE(L5:L11)</f>
        <v>0.18417319012785374</v>
      </c>
      <c r="M15" s="47">
        <f>AVERAGE(M5:M11)</f>
        <v>1.3388179729982188</v>
      </c>
      <c r="AG15" s="47">
        <f>AVERAGE(AG5:AG11)</f>
        <v>1.543628734264086</v>
      </c>
      <c r="AH15" s="47">
        <f>AVERAGE(AH5:AH11)</f>
        <v>0.19761561546370313</v>
      </c>
      <c r="AI15" s="47">
        <f>AVERAGE(AI5:AI11)</f>
        <v>0.18417319012785374</v>
      </c>
      <c r="AJ15" s="47">
        <f>AVERAGE(AJ5:AJ11)</f>
        <v>1.3460131188003828</v>
      </c>
      <c r="BB15" s="51">
        <f t="shared" si="14"/>
        <v>1.0046959260782826</v>
      </c>
      <c r="BC15" s="78">
        <f t="shared" si="15"/>
        <v>1.0000999011520912</v>
      </c>
      <c r="BD15" s="51">
        <f t="shared" si="16"/>
        <v>1</v>
      </c>
      <c r="BE15" s="51">
        <f t="shared" si="17"/>
        <v>1.0053742524729115</v>
      </c>
      <c r="BG15" s="55">
        <f>AVERAGE(BG5:BG11)</f>
        <v>-7.5296995668643464E-4</v>
      </c>
    </row>
    <row r="16" spans="1:68" ht="16" hidden="1" outlineLevel="2" x14ac:dyDescent="0.2">
      <c r="A16" s="46" t="s">
        <v>245</v>
      </c>
      <c r="B16" s="46" t="s">
        <v>246</v>
      </c>
      <c r="Z16" s="48">
        <f>SUM(Z5:Z8,Z9:Z9,Z10:Z11)</f>
        <v>18470.78</v>
      </c>
      <c r="AA16" s="48">
        <f>SUM(AA5:AA8,AA9:AA9,AA10:AA11)</f>
        <v>53282.93</v>
      </c>
      <c r="AB16" s="48">
        <f>SUM(AB5:AB8,AB9:AB9,AB10:AB11)</f>
        <v>45.208999999999996</v>
      </c>
      <c r="AC16" s="48">
        <f>SUM(AC5:AC8,AC9:AC9,AC10:AC11)</f>
        <v>247.42000000000002</v>
      </c>
      <c r="AW16" s="48">
        <f>SUM(AW5:AW8,AW9:AW9,AW10:AW11)</f>
        <v>27791.260000000002</v>
      </c>
      <c r="AX16" s="48">
        <f>SUM(AX5:AX8,AX9:AX9,AX10:AX11)</f>
        <v>63324.21</v>
      </c>
      <c r="AY16" s="48">
        <f>SUM(AY5:AY8,AY9:AY9,AY10:AY11)</f>
        <v>88.144999999999996</v>
      </c>
      <c r="AZ16" s="48">
        <f>SUM(AZ5:AZ8,AZ9:AZ9,AZ10:AZ11)</f>
        <v>399.68399999999997</v>
      </c>
    </row>
    <row r="17" spans="2:52" ht="16" hidden="1" outlineLevel="2" x14ac:dyDescent="0.2">
      <c r="B17" s="46" t="s">
        <v>247</v>
      </c>
      <c r="AW17" s="55">
        <f>AW16/Z16</f>
        <v>1.5046067356115986</v>
      </c>
      <c r="AX17" s="55">
        <f>AX16/AA16</f>
        <v>1.1884520990118224</v>
      </c>
      <c r="AY17" s="55">
        <f>AY16/AB16</f>
        <v>1.9497224004069986</v>
      </c>
      <c r="AZ17" s="55">
        <f>AZ16/AC16</f>
        <v>1.6154070002425025</v>
      </c>
    </row>
    <row r="18" spans="2:52" ht="16" hidden="1" outlineLevel="2" x14ac:dyDescent="0.2">
      <c r="B18" s="46" t="s">
        <v>248</v>
      </c>
      <c r="Z18" s="48">
        <f>GEOMEAN(Z5:Z8,Z9:Z9,Z10:Z11)</f>
        <v>2498.3440778183904</v>
      </c>
      <c r="AA18" s="48">
        <f>GEOMEAN(AA5:AA8,AA9:AA9,AA10:AA11)</f>
        <v>6541.1266103798353</v>
      </c>
      <c r="AB18" s="48">
        <f>GEOMEAN(AB5:AB8,AB9:AB9,AB10:AB11)</f>
        <v>5.4989961416789566</v>
      </c>
      <c r="AC18" s="48">
        <f>GEOMEAN(AC5:AC8,AC9:AC9,AC10:AC11)</f>
        <v>29.793279919745444</v>
      </c>
      <c r="AW18" s="48">
        <f>GEOMEAN(AW5:AW8,AW9:AW9,AW10:AW11)</f>
        <v>3694.4767748485701</v>
      </c>
      <c r="AX18" s="48">
        <f>GEOMEAN(AX5:AX8,AX9:AX9,AX10:AX11)</f>
        <v>7692.1303425883088</v>
      </c>
      <c r="AY18" s="48">
        <f>GEOMEAN(AY5:AY8,AY9:AY9,AY10:AY11)</f>
        <v>10.389864336983107</v>
      </c>
      <c r="AZ18" s="48">
        <f>GEOMEAN(AZ5:AZ8,AZ9:AZ9,AZ10:AZ11)</f>
        <v>48.710358996559549</v>
      </c>
    </row>
    <row r="19" spans="2:52" ht="16" outlineLevel="2" collapsed="1" x14ac:dyDescent="0.2">
      <c r="B19" s="46" t="s">
        <v>249</v>
      </c>
      <c r="AW19" s="55">
        <f>AW18/Z18</f>
        <v>1.4787702012905561</v>
      </c>
      <c r="AX19" s="55">
        <f>AX18/AA18</f>
        <v>1.1759641420763809</v>
      </c>
      <c r="AY19" s="55">
        <f>AY18/AB18</f>
        <v>1.8894110978246419</v>
      </c>
      <c r="AZ19" s="55">
        <f>AZ18/AC18</f>
        <v>1.6349444951267968</v>
      </c>
    </row>
  </sheetData>
  <mergeCells count="36">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U5" activePane="bottomRight" state="frozen"/>
      <selection pane="topRight" activeCell="C1" sqref="C1"/>
      <selection pane="bottomLeft" activeCell="A5" sqref="A5"/>
      <selection pane="bottomRight" activeCell="AM29" sqref="AM29"/>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1" t="s">
        <v>582</v>
      </c>
      <c r="B1" s="59"/>
      <c r="C1" s="59"/>
      <c r="D1" s="59"/>
      <c r="E1" s="59"/>
      <c r="F1" s="59"/>
      <c r="H1" s="67" t="s">
        <v>593</v>
      </c>
      <c r="I1" s="59"/>
      <c r="J1" s="59"/>
      <c r="K1" s="59"/>
      <c r="L1" s="59"/>
      <c r="M1" s="59"/>
      <c r="N1" s="59"/>
      <c r="O1" s="59"/>
      <c r="P1" s="59"/>
      <c r="Q1" s="59"/>
      <c r="R1" s="59"/>
      <c r="S1" s="59"/>
      <c r="T1" s="59"/>
      <c r="U1" s="59"/>
      <c r="V1" s="59"/>
      <c r="W1" s="59"/>
      <c r="X1" s="59"/>
      <c r="Y1" s="59"/>
      <c r="Z1" s="59"/>
      <c r="AA1" s="59"/>
      <c r="AB1" s="59"/>
      <c r="AC1" s="59"/>
      <c r="AE1" s="68" t="s">
        <v>594</v>
      </c>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3" t="s">
        <v>139</v>
      </c>
      <c r="B2" s="72" t="s">
        <v>140</v>
      </c>
      <c r="C2" s="73" t="s">
        <v>142</v>
      </c>
      <c r="D2" s="72" t="s">
        <v>143</v>
      </c>
      <c r="E2" s="73" t="s">
        <v>144</v>
      </c>
      <c r="F2" s="72" t="s">
        <v>145</v>
      </c>
      <c r="H2" s="73" t="s">
        <v>573</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573</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c r="BI2" s="73" t="s">
        <v>86</v>
      </c>
      <c r="BJ2" s="69" t="s">
        <v>150</v>
      </c>
      <c r="BK2" s="59"/>
      <c r="BL2" s="59"/>
      <c r="BM2" s="59"/>
    </row>
    <row r="3" spans="1:68" ht="29" customHeight="1" thickBot="1" x14ac:dyDescent="0.25">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c r="BI3" s="61"/>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1.7106541770709367E-2</v>
      </c>
      <c r="I5" s="10">
        <f t="shared" ref="I5:I11" si="1">IF(OR(ISBLANK(Q5),ISBLANK(F5)),"·",Q5*F5/E5/1000000)</f>
        <v>206.23922250000001</v>
      </c>
      <c r="J5" s="11">
        <f t="shared" ref="J5:J11" si="2">IF(ISBLANK(Q5),"·",Q5/C5)</f>
        <v>0.92375325561830579</v>
      </c>
      <c r="K5" s="11">
        <f t="shared" ref="K5:K11" si="3">IF(N5="","·",N5/C5)</f>
        <v>0.14306695917974252</v>
      </c>
      <c r="L5" s="11">
        <f t="shared" ref="L5:L11" si="4">IF(R5="","·",R5/C5)</f>
        <v>0.13400974025258269</v>
      </c>
      <c r="M5" s="11">
        <f t="shared" ref="M5:M11" si="5">IF(ISBLANK(T5),"·",T5/C5)</f>
        <v>0.78068629643856324</v>
      </c>
      <c r="N5" s="52">
        <f t="shared" ref="N5:N11" si="6">IF(OR(ISBLANK(R5),ISBLANK(S5)),"",R5+S5)</f>
        <v>34070880</v>
      </c>
      <c r="O5" s="11">
        <v>16</v>
      </c>
      <c r="P5" s="12">
        <v>24964341</v>
      </c>
      <c r="Q5" s="13">
        <v>219988504</v>
      </c>
      <c r="R5" s="13">
        <v>31913936</v>
      </c>
      <c r="S5" s="13">
        <v>2156944</v>
      </c>
      <c r="T5" s="13">
        <v>185917624</v>
      </c>
      <c r="U5" s="14" t="s">
        <v>592</v>
      </c>
      <c r="V5" s="14" t="s">
        <v>592</v>
      </c>
      <c r="W5" s="14" t="s">
        <v>592</v>
      </c>
      <c r="X5" s="14" t="s">
        <v>592</v>
      </c>
      <c r="Y5" s="14" t="s">
        <v>592</v>
      </c>
      <c r="Z5" s="15">
        <v>2777.85</v>
      </c>
      <c r="AA5" s="15">
        <v>5719.68</v>
      </c>
      <c r="AB5" s="15">
        <v>3.5369999999999999</v>
      </c>
      <c r="AC5" s="15">
        <v>18.356000000000002</v>
      </c>
      <c r="AE5" s="16">
        <f t="shared" ref="AE5:AE11" si="7">IF(ISBLANK(Q5),"·",Q5/(C5*(D5*3+IF(AND(ISNUMBER(T5),T5&gt;0),24,0))))</f>
        <v>1.7106541770709367E-2</v>
      </c>
      <c r="AF5" s="10">
        <f t="shared" ref="AF5:AF11" si="8">IF(OR(ISBLANK(AN5),ISBLANK(F5)),"·",AN5*F5/E5/1000000)</f>
        <v>207.00339</v>
      </c>
      <c r="AG5" s="11">
        <f t="shared" ref="AG5:AG11" si="9">IF(ISBLANK(AN5),"·",AN5/C5)</f>
        <v>0.92717599067037715</v>
      </c>
      <c r="AH5" s="11">
        <f t="shared" ref="AH5:AH11" si="10">IF(AK5="","·",AK5/C5)</f>
        <v>0.14308640940101419</v>
      </c>
      <c r="AI5" s="11">
        <f t="shared" ref="AI5:AI11" si="11">IF(AO5="","·",AO5/C5)</f>
        <v>0.13400974025258269</v>
      </c>
      <c r="AJ5" s="11">
        <f t="shared" ref="AJ5:AJ11" si="12">IF(ISBLANK(AQ5),"·",AQ5/C5)</f>
        <v>0.78408958126936301</v>
      </c>
      <c r="AK5" s="52">
        <f t="shared" ref="AK5:AK11" si="13">IF(OR(ISBLANK(AO5),ISBLANK(AP5)),"",AO5+AP5)</f>
        <v>34075512</v>
      </c>
      <c r="AL5" s="11">
        <v>16</v>
      </c>
      <c r="AM5" s="12">
        <v>24964341</v>
      </c>
      <c r="AN5" s="13">
        <v>220803616</v>
      </c>
      <c r="AO5" s="13">
        <v>31913936</v>
      </c>
      <c r="AP5" s="13">
        <v>2161576</v>
      </c>
      <c r="AQ5" s="13">
        <v>186728104</v>
      </c>
      <c r="AR5" s="14"/>
      <c r="AS5" s="14"/>
      <c r="AT5" s="14"/>
      <c r="AU5" s="14"/>
      <c r="AV5" s="14"/>
      <c r="AW5" s="15">
        <v>4265.7</v>
      </c>
      <c r="AX5" s="15">
        <v>6715.96</v>
      </c>
      <c r="AY5" s="15">
        <v>7.6890000000000001</v>
      </c>
      <c r="AZ5" s="15">
        <v>34.924999999999997</v>
      </c>
      <c r="BB5" s="50">
        <f t="shared" ref="BB5:BB15" si="14">AG5/J5</f>
        <v>1.003705248161513</v>
      </c>
      <c r="BC5" s="50">
        <f t="shared" ref="BC5:BC15" si="15">AH5/K5</f>
        <v>1.0001359518744453</v>
      </c>
      <c r="BD5" s="50">
        <f t="shared" ref="BD5:BD15" si="16">AI5/L5</f>
        <v>1</v>
      </c>
      <c r="BE5" s="50">
        <f t="shared" ref="BE5:BE15" si="17">AJ5/M5</f>
        <v>1.0043593500312806</v>
      </c>
      <c r="BF5" s="16">
        <f t="shared" ref="BF5:BF11" si="18">(AK5/AN5) - (N5/Q5)</f>
        <v>-5.5075667547552221E-4</v>
      </c>
      <c r="BG5" s="16">
        <f t="array" ref="BG5">AVERAGE(AK5:AK5/AN5:AN5) - AVERAGE(N5:N5/Q5:Q5)</f>
        <v>-5.5075667547552221E-4</v>
      </c>
      <c r="BI5" s="53">
        <f>AM5-P5</f>
        <v>0</v>
      </c>
      <c r="BJ5" s="53">
        <f t="shared" ref="BJ5:BM11" si="19">AN5-Q5</f>
        <v>815112</v>
      </c>
      <c r="BK5" s="53">
        <f t="shared" si="19"/>
        <v>0</v>
      </c>
      <c r="BL5" s="53">
        <f t="shared" si="19"/>
        <v>4632</v>
      </c>
      <c r="BM5" s="53">
        <f t="shared" si="19"/>
        <v>810480</v>
      </c>
      <c r="BP5" t="s">
        <v>233</v>
      </c>
    </row>
    <row r="6" spans="1:68" collapsed="1" x14ac:dyDescent="0.2">
      <c r="A6" s="17"/>
      <c r="B6" s="17" t="s">
        <v>59</v>
      </c>
      <c r="C6" s="17">
        <v>218121242</v>
      </c>
      <c r="D6" s="18">
        <v>10</v>
      </c>
      <c r="E6" s="18">
        <v>32</v>
      </c>
      <c r="F6" s="18">
        <v>30</v>
      </c>
      <c r="H6" s="25">
        <f t="shared" si="0"/>
        <v>2.4427222673471426E-2</v>
      </c>
      <c r="I6" s="19">
        <f t="shared" si="1"/>
        <v>269.73486750000001</v>
      </c>
      <c r="J6" s="20">
        <f t="shared" si="2"/>
        <v>1.3190700243674571</v>
      </c>
      <c r="K6" s="20">
        <f t="shared" si="3"/>
        <v>0.17674489493325002</v>
      </c>
      <c r="L6" s="20">
        <f t="shared" si="4"/>
        <v>0.16079413301708598</v>
      </c>
      <c r="M6" s="20">
        <f t="shared" si="5"/>
        <v>1.1423251294342072</v>
      </c>
      <c r="N6" s="17">
        <f t="shared" si="6"/>
        <v>38551816</v>
      </c>
      <c r="O6" s="20">
        <v>16</v>
      </c>
      <c r="P6" s="21">
        <v>22654789</v>
      </c>
      <c r="Q6" s="22">
        <v>287717192</v>
      </c>
      <c r="R6" s="22">
        <v>35072616</v>
      </c>
      <c r="S6" s="22">
        <v>3479200</v>
      </c>
      <c r="T6" s="22">
        <v>249165376</v>
      </c>
      <c r="U6" s="23" t="s">
        <v>592</v>
      </c>
      <c r="V6" s="23" t="s">
        <v>592</v>
      </c>
      <c r="W6" s="23" t="s">
        <v>592</v>
      </c>
      <c r="X6" s="23" t="s">
        <v>592</v>
      </c>
      <c r="Y6" s="23" t="s">
        <v>592</v>
      </c>
      <c r="Z6" s="24">
        <v>2526.63</v>
      </c>
      <c r="AA6" s="24">
        <v>7232.02</v>
      </c>
      <c r="AB6" s="24">
        <v>3.2759999999999998</v>
      </c>
      <c r="AC6" s="24">
        <v>19.443999999999999</v>
      </c>
      <c r="AE6" s="25">
        <f t="shared" si="7"/>
        <v>2.4427222673471426E-2</v>
      </c>
      <c r="AF6" s="19">
        <f t="shared" si="8"/>
        <v>271.19961000000001</v>
      </c>
      <c r="AG6" s="20">
        <f t="shared" si="9"/>
        <v>1.3262329764287699</v>
      </c>
      <c r="AH6" s="20">
        <f t="shared" si="10"/>
        <v>0.17676242646738644</v>
      </c>
      <c r="AI6" s="20">
        <f t="shared" si="11"/>
        <v>0.16079413301708598</v>
      </c>
      <c r="AJ6" s="20">
        <f t="shared" si="12"/>
        <v>1.1494705499613833</v>
      </c>
      <c r="AK6" s="17">
        <f t="shared" si="13"/>
        <v>38555640</v>
      </c>
      <c r="AL6" s="20">
        <v>16</v>
      </c>
      <c r="AM6" s="21">
        <v>22654789</v>
      </c>
      <c r="AN6" s="22">
        <v>289279584</v>
      </c>
      <c r="AO6" s="22">
        <v>35072616</v>
      </c>
      <c r="AP6" s="22">
        <v>3483024</v>
      </c>
      <c r="AQ6" s="22">
        <v>250723944</v>
      </c>
      <c r="AR6" s="23"/>
      <c r="AS6" s="23"/>
      <c r="AT6" s="23"/>
      <c r="AU6" s="23"/>
      <c r="AV6" s="23"/>
      <c r="AW6" s="24">
        <v>3908.37</v>
      </c>
      <c r="AX6" s="24">
        <v>7337.72</v>
      </c>
      <c r="AY6" s="24">
        <v>6.8470000000000004</v>
      </c>
      <c r="AZ6" s="24">
        <v>35.677</v>
      </c>
      <c r="BB6" s="49">
        <f t="shared" si="14"/>
        <v>1.0054303046305275</v>
      </c>
      <c r="BC6" s="49">
        <f t="shared" si="15"/>
        <v>1.0000991911768826</v>
      </c>
      <c r="BD6" s="49">
        <f t="shared" si="16"/>
        <v>1</v>
      </c>
      <c r="BE6" s="49">
        <f t="shared" si="17"/>
        <v>1.0062551548093102</v>
      </c>
      <c r="BF6" s="25">
        <f t="shared" si="18"/>
        <v>-7.1046875171132395E-4</v>
      </c>
      <c r="BG6" s="25">
        <f t="array" ref="BG6">AVERAGE(AK6:AK6/AN6:AN6) - AVERAGE(N6:N6/Q6:Q6)</f>
        <v>-7.1046875171132395E-4</v>
      </c>
      <c r="BI6" s="53">
        <f t="shared" ref="BI6:BI11" si="20">AM6-P6</f>
        <v>0</v>
      </c>
      <c r="BJ6" s="53">
        <f t="shared" si="19"/>
        <v>1562392</v>
      </c>
      <c r="BK6" s="53">
        <f t="shared" si="19"/>
        <v>0</v>
      </c>
      <c r="BL6" s="53">
        <f t="shared" si="19"/>
        <v>3824</v>
      </c>
      <c r="BM6" s="53">
        <f t="shared" si="19"/>
        <v>1558568</v>
      </c>
      <c r="BP6" t="s">
        <v>233</v>
      </c>
    </row>
    <row r="7" spans="1:68" collapsed="1" x14ac:dyDescent="0.2">
      <c r="A7" s="52"/>
      <c r="B7" s="52" t="s">
        <v>64</v>
      </c>
      <c r="C7" s="52">
        <v>322589704</v>
      </c>
      <c r="D7" s="9">
        <v>10</v>
      </c>
      <c r="E7" s="9">
        <v>32</v>
      </c>
      <c r="F7" s="9">
        <v>30</v>
      </c>
      <c r="H7" s="16">
        <f t="shared" si="0"/>
        <v>1.8798636296583474E-2</v>
      </c>
      <c r="I7" s="10">
        <f t="shared" si="1"/>
        <v>307.00247999999999</v>
      </c>
      <c r="J7" s="11">
        <f t="shared" si="2"/>
        <v>1.0151263600155076</v>
      </c>
      <c r="K7" s="11">
        <f t="shared" si="3"/>
        <v>0.15736130251695821</v>
      </c>
      <c r="L7" s="11">
        <f t="shared" si="4"/>
        <v>0.14511731595748636</v>
      </c>
      <c r="M7" s="11">
        <f t="shared" si="5"/>
        <v>0.85776505749854925</v>
      </c>
      <c r="N7" s="52">
        <f t="shared" si="6"/>
        <v>50763136</v>
      </c>
      <c r="O7" s="11">
        <v>16</v>
      </c>
      <c r="P7" s="12">
        <v>33947718</v>
      </c>
      <c r="Q7" s="13">
        <v>327469312</v>
      </c>
      <c r="R7" s="13">
        <v>46813352</v>
      </c>
      <c r="S7" s="13">
        <v>3949784</v>
      </c>
      <c r="T7" s="13">
        <v>276706176</v>
      </c>
      <c r="U7" s="14" t="s">
        <v>592</v>
      </c>
      <c r="V7" s="14" t="s">
        <v>592</v>
      </c>
      <c r="W7" s="14" t="s">
        <v>592</v>
      </c>
      <c r="X7" s="14" t="s">
        <v>592</v>
      </c>
      <c r="Y7" s="14" t="s">
        <v>592</v>
      </c>
      <c r="Z7" s="15">
        <v>3677.17</v>
      </c>
      <c r="AA7" s="15">
        <v>7356.98</v>
      </c>
      <c r="AB7" s="15">
        <v>4.9260000000000002</v>
      </c>
      <c r="AC7" s="15">
        <v>23.303999999999998</v>
      </c>
      <c r="AE7" s="16">
        <f t="shared" si="7"/>
        <v>1.8798636296583474E-2</v>
      </c>
      <c r="AF7" s="10">
        <f t="shared" si="8"/>
        <v>309.29945249999997</v>
      </c>
      <c r="AG7" s="11">
        <f t="shared" si="9"/>
        <v>1.0227214691266153</v>
      </c>
      <c r="AH7" s="11">
        <f t="shared" si="10"/>
        <v>0.15738731698640945</v>
      </c>
      <c r="AI7" s="11">
        <f t="shared" si="11"/>
        <v>0.14511731595748636</v>
      </c>
      <c r="AJ7" s="11">
        <f t="shared" si="12"/>
        <v>0.86533415214020593</v>
      </c>
      <c r="AK7" s="52">
        <f t="shared" si="13"/>
        <v>50771528</v>
      </c>
      <c r="AL7" s="11">
        <v>16</v>
      </c>
      <c r="AM7" s="12">
        <v>33947718</v>
      </c>
      <c r="AN7" s="13">
        <v>329919416</v>
      </c>
      <c r="AO7" s="13">
        <v>46813352</v>
      </c>
      <c r="AP7" s="13">
        <v>3958176</v>
      </c>
      <c r="AQ7" s="13">
        <v>279147888</v>
      </c>
      <c r="AR7" s="14"/>
      <c r="AS7" s="14"/>
      <c r="AT7" s="14"/>
      <c r="AU7" s="14"/>
      <c r="AV7" s="14"/>
      <c r="AW7" s="15">
        <v>4746.4799999999996</v>
      </c>
      <c r="AX7" s="15">
        <v>6733.54</v>
      </c>
      <c r="AY7" s="15">
        <v>7.45</v>
      </c>
      <c r="AZ7" s="15">
        <v>29.777000000000001</v>
      </c>
      <c r="BB7" s="50">
        <f t="shared" si="14"/>
        <v>1.0074819346736219</v>
      </c>
      <c r="BC7" s="50">
        <f t="shared" si="15"/>
        <v>1.0001653168157301</v>
      </c>
      <c r="BD7" s="50">
        <f t="shared" si="16"/>
        <v>1</v>
      </c>
      <c r="BE7" s="50">
        <f t="shared" si="17"/>
        <v>1.0088242049212519</v>
      </c>
      <c r="BF7" s="16">
        <f t="shared" si="18"/>
        <v>-1.1257732930158859E-3</v>
      </c>
      <c r="BG7" s="16">
        <f t="array" ref="BG7">AVERAGE(AK7:AK7/AN7:AN7) - AVERAGE(N7:N7/Q7:Q7)</f>
        <v>-1.1257732930158859E-3</v>
      </c>
      <c r="BI7" s="53">
        <f t="shared" si="20"/>
        <v>0</v>
      </c>
      <c r="BJ7" s="53">
        <f t="shared" si="19"/>
        <v>2450104</v>
      </c>
      <c r="BK7" s="53">
        <f t="shared" si="19"/>
        <v>0</v>
      </c>
      <c r="BL7" s="53">
        <f t="shared" si="19"/>
        <v>8392</v>
      </c>
      <c r="BM7" s="53">
        <f t="shared" si="19"/>
        <v>2441712</v>
      </c>
      <c r="BP7" t="s">
        <v>239</v>
      </c>
    </row>
    <row r="8" spans="1:68" ht="16" collapsed="1" thickBot="1" x14ac:dyDescent="0.25">
      <c r="A8" s="36"/>
      <c r="B8" s="36" t="s">
        <v>70</v>
      </c>
      <c r="C8" s="36">
        <v>250602891</v>
      </c>
      <c r="D8" s="37">
        <v>10</v>
      </c>
      <c r="E8" s="37">
        <v>32</v>
      </c>
      <c r="F8" s="37">
        <v>50</v>
      </c>
      <c r="H8" s="45">
        <f t="shared" si="0"/>
        <v>1.7288516820407697E-2</v>
      </c>
      <c r="I8" s="38">
        <f t="shared" si="1"/>
        <v>365.5591</v>
      </c>
      <c r="J8" s="39">
        <f t="shared" si="2"/>
        <v>0.93357990830201554</v>
      </c>
      <c r="K8" s="39">
        <f t="shared" si="3"/>
        <v>0.11808754432924719</v>
      </c>
      <c r="L8" s="39">
        <f t="shared" si="4"/>
        <v>0.10408365161278207</v>
      </c>
      <c r="M8" s="39">
        <f t="shared" si="5"/>
        <v>0.81549236397276836</v>
      </c>
      <c r="N8" s="36">
        <f t="shared" si="6"/>
        <v>29593080</v>
      </c>
      <c r="O8" s="39">
        <v>16</v>
      </c>
      <c r="P8" s="40">
        <v>32209643</v>
      </c>
      <c r="Q8" s="41">
        <v>233957824</v>
      </c>
      <c r="R8" s="41">
        <v>26083664</v>
      </c>
      <c r="S8" s="41">
        <v>3509416</v>
      </c>
      <c r="T8" s="41">
        <v>204364744</v>
      </c>
      <c r="U8" s="42" t="s">
        <v>592</v>
      </c>
      <c r="V8" s="42" t="s">
        <v>592</v>
      </c>
      <c r="W8" s="42" t="s">
        <v>592</v>
      </c>
      <c r="X8" s="42" t="s">
        <v>592</v>
      </c>
      <c r="Y8" s="42" t="s">
        <v>592</v>
      </c>
      <c r="Z8" s="43">
        <v>3559.15</v>
      </c>
      <c r="AA8" s="43">
        <v>5724.11</v>
      </c>
      <c r="AB8" s="43">
        <v>4.3179999999999996</v>
      </c>
      <c r="AC8" s="43">
        <v>19.478999999999999</v>
      </c>
      <c r="AE8" s="45">
        <f t="shared" si="7"/>
        <v>1.7288516820407697E-2</v>
      </c>
      <c r="AF8" s="38">
        <f t="shared" si="8"/>
        <v>370.23812500000003</v>
      </c>
      <c r="AG8" s="39">
        <f t="shared" si="9"/>
        <v>0.94552939534923397</v>
      </c>
      <c r="AH8" s="39">
        <f t="shared" si="10"/>
        <v>0.11810564467909511</v>
      </c>
      <c r="AI8" s="39">
        <f t="shared" si="11"/>
        <v>0.10408365161278207</v>
      </c>
      <c r="AJ8" s="39">
        <f t="shared" si="12"/>
        <v>0.82742375067013896</v>
      </c>
      <c r="AK8" s="36">
        <f t="shared" si="13"/>
        <v>29597616</v>
      </c>
      <c r="AL8" s="39">
        <v>16</v>
      </c>
      <c r="AM8" s="40">
        <v>32209643</v>
      </c>
      <c r="AN8" s="41">
        <v>236952400</v>
      </c>
      <c r="AO8" s="41">
        <v>26083664</v>
      </c>
      <c r="AP8" s="41">
        <v>3513952</v>
      </c>
      <c r="AQ8" s="41">
        <v>207354784</v>
      </c>
      <c r="AR8" s="42"/>
      <c r="AS8" s="42"/>
      <c r="AT8" s="42"/>
      <c r="AU8" s="42"/>
      <c r="AV8" s="42"/>
      <c r="AW8" s="43">
        <v>4475.95</v>
      </c>
      <c r="AX8" s="43">
        <v>5153.92</v>
      </c>
      <c r="AY8" s="43">
        <v>6.9509999999999996</v>
      </c>
      <c r="AZ8" s="43">
        <v>25.84</v>
      </c>
      <c r="BB8" s="44">
        <f t="shared" si="14"/>
        <v>1.0127996403317547</v>
      </c>
      <c r="BC8" s="44">
        <f t="shared" si="15"/>
        <v>1.0001532790774059</v>
      </c>
      <c r="BD8" s="44">
        <f t="shared" si="16"/>
        <v>1</v>
      </c>
      <c r="BE8" s="44">
        <f t="shared" si="17"/>
        <v>1.0146308993492539</v>
      </c>
      <c r="BF8" s="45">
        <f t="shared" si="18"/>
        <v>-1.5794091146949796E-3</v>
      </c>
      <c r="BG8" s="45">
        <f t="array" ref="BG8">AVERAGE(AK8:AK8/AN8:AN8) - AVERAGE(N8:N8/Q8:Q8)</f>
        <v>-1.5794091146949796E-3</v>
      </c>
      <c r="BI8" s="53">
        <f t="shared" si="20"/>
        <v>0</v>
      </c>
      <c r="BJ8" s="53">
        <f t="shared" si="19"/>
        <v>2994576</v>
      </c>
      <c r="BK8" s="53">
        <f t="shared" si="19"/>
        <v>0</v>
      </c>
      <c r="BL8" s="53">
        <f t="shared" si="19"/>
        <v>4536</v>
      </c>
      <c r="BM8" s="53">
        <f t="shared" si="19"/>
        <v>2990040</v>
      </c>
      <c r="BP8" t="s">
        <v>579</v>
      </c>
    </row>
    <row r="9" spans="1:68" ht="16" collapsed="1" thickBot="1" x14ac:dyDescent="0.25">
      <c r="A9" s="26" t="s">
        <v>240</v>
      </c>
      <c r="B9" s="26" t="s">
        <v>73</v>
      </c>
      <c r="C9" s="26">
        <v>250294582</v>
      </c>
      <c r="D9" s="27">
        <v>10</v>
      </c>
      <c r="E9" s="27">
        <v>32</v>
      </c>
      <c r="F9" s="27">
        <v>30</v>
      </c>
      <c r="H9" s="35">
        <f t="shared" si="0"/>
        <v>2.7762189553226645E-2</v>
      </c>
      <c r="I9" s="28">
        <f t="shared" si="1"/>
        <v>351.77923500000003</v>
      </c>
      <c r="J9" s="29">
        <f t="shared" si="2"/>
        <v>1.4991582358742388</v>
      </c>
      <c r="K9" s="29">
        <f t="shared" si="3"/>
        <v>0.15212171072884031</v>
      </c>
      <c r="L9" s="29">
        <f t="shared" si="4"/>
        <v>0.14210963623655265</v>
      </c>
      <c r="M9" s="29">
        <f t="shared" si="5"/>
        <v>1.3470365251453984</v>
      </c>
      <c r="N9" s="26">
        <f t="shared" si="6"/>
        <v>38075240</v>
      </c>
      <c r="O9" s="29">
        <v>16</v>
      </c>
      <c r="P9" s="30">
        <v>25312408</v>
      </c>
      <c r="Q9" s="31">
        <v>375231184</v>
      </c>
      <c r="R9" s="31">
        <v>35569272</v>
      </c>
      <c r="S9" s="31">
        <v>2505968</v>
      </c>
      <c r="T9" s="31">
        <v>337155944</v>
      </c>
      <c r="U9" s="32" t="s">
        <v>592</v>
      </c>
      <c r="V9" s="32" t="s">
        <v>592</v>
      </c>
      <c r="W9" s="32" t="s">
        <v>592</v>
      </c>
      <c r="X9" s="32" t="s">
        <v>592</v>
      </c>
      <c r="Y9" s="32" t="s">
        <v>592</v>
      </c>
      <c r="Z9" s="33">
        <v>1179.93</v>
      </c>
      <c r="AA9" s="33">
        <v>8006.34</v>
      </c>
      <c r="AB9" s="33">
        <v>3.827</v>
      </c>
      <c r="AC9" s="33">
        <v>23.512</v>
      </c>
      <c r="AE9" s="35">
        <f t="shared" si="7"/>
        <v>2.7762189553226645E-2</v>
      </c>
      <c r="AF9" s="28">
        <f t="shared" si="8"/>
        <v>353.520645</v>
      </c>
      <c r="AG9" s="29">
        <f t="shared" si="9"/>
        <v>1.5065795071824608</v>
      </c>
      <c r="AH9" s="29">
        <f t="shared" si="10"/>
        <v>0.15213657321595558</v>
      </c>
      <c r="AI9" s="29">
        <f t="shared" si="11"/>
        <v>0.14210963623655265</v>
      </c>
      <c r="AJ9" s="29">
        <f t="shared" si="12"/>
        <v>1.3544429339665052</v>
      </c>
      <c r="AK9" s="26">
        <f t="shared" si="13"/>
        <v>38078960</v>
      </c>
      <c r="AL9" s="29">
        <v>16</v>
      </c>
      <c r="AM9" s="30">
        <v>25312408</v>
      </c>
      <c r="AN9" s="31">
        <v>377088688</v>
      </c>
      <c r="AO9" s="31">
        <v>35569272</v>
      </c>
      <c r="AP9" s="31">
        <v>2509688</v>
      </c>
      <c r="AQ9" s="31">
        <v>339009728</v>
      </c>
      <c r="AR9" s="32"/>
      <c r="AS9" s="32"/>
      <c r="AT9" s="32"/>
      <c r="AU9" s="32"/>
      <c r="AV9" s="32"/>
      <c r="AW9" s="33">
        <v>1722.47</v>
      </c>
      <c r="AX9" s="33">
        <v>8405.31</v>
      </c>
      <c r="AY9" s="33">
        <v>7.4489999999999998</v>
      </c>
      <c r="AZ9" s="33">
        <v>42.465000000000003</v>
      </c>
      <c r="BB9" s="34">
        <f t="shared" si="14"/>
        <v>1.0049502921910669</v>
      </c>
      <c r="BC9" s="34">
        <f t="shared" si="15"/>
        <v>1.0000977012882912</v>
      </c>
      <c r="BD9" s="34">
        <f t="shared" si="16"/>
        <v>1</v>
      </c>
      <c r="BE9" s="34">
        <f t="shared" si="17"/>
        <v>1.005498298437236</v>
      </c>
      <c r="BF9" s="35">
        <f t="shared" si="18"/>
        <v>-4.8997376247202074E-4</v>
      </c>
      <c r="BG9" s="35">
        <f t="array" ref="BG9">AVERAGE(AK9:AK9/AN9:AN9) - AVERAGE(N9:N9/Q9:Q9)</f>
        <v>-4.8997376247202074E-4</v>
      </c>
      <c r="BI9" s="53">
        <f t="shared" si="20"/>
        <v>0</v>
      </c>
      <c r="BJ9" s="53">
        <f t="shared" si="19"/>
        <v>1857504</v>
      </c>
      <c r="BK9" s="53">
        <f t="shared" si="19"/>
        <v>0</v>
      </c>
      <c r="BL9" s="53">
        <f t="shared" si="19"/>
        <v>3720</v>
      </c>
      <c r="BM9" s="53">
        <f t="shared" si="19"/>
        <v>1853784</v>
      </c>
      <c r="BP9" t="s">
        <v>583</v>
      </c>
    </row>
    <row r="10" spans="1:68" collapsed="1" x14ac:dyDescent="0.2">
      <c r="A10" s="17" t="s">
        <v>242</v>
      </c>
      <c r="B10" s="17" t="s">
        <v>77</v>
      </c>
      <c r="C10" s="17">
        <v>375422539</v>
      </c>
      <c r="D10" s="18">
        <v>11</v>
      </c>
      <c r="E10" s="18">
        <v>32</v>
      </c>
      <c r="F10" s="18">
        <v>30</v>
      </c>
      <c r="H10" s="25">
        <f t="shared" si="0"/>
        <v>4.2399916620022626E-2</v>
      </c>
      <c r="I10" s="19">
        <f t="shared" si="1"/>
        <v>850.61194499999999</v>
      </c>
      <c r="J10" s="20">
        <f t="shared" si="2"/>
        <v>2.4167952473412897</v>
      </c>
      <c r="K10" s="20">
        <f t="shared" si="3"/>
        <v>0.27505903155164585</v>
      </c>
      <c r="L10" s="20">
        <f t="shared" si="4"/>
        <v>0.26234100984544245</v>
      </c>
      <c r="M10" s="20">
        <f t="shared" si="5"/>
        <v>2.1417362157896438</v>
      </c>
      <c r="N10" s="17">
        <f t="shared" si="6"/>
        <v>103263360</v>
      </c>
      <c r="O10" s="20">
        <v>16</v>
      </c>
      <c r="P10" s="21">
        <v>92854683</v>
      </c>
      <c r="Q10" s="22">
        <v>907319408</v>
      </c>
      <c r="R10" s="22">
        <v>98488728</v>
      </c>
      <c r="S10" s="22">
        <v>4774632</v>
      </c>
      <c r="T10" s="22">
        <v>804056048</v>
      </c>
      <c r="U10" s="23" t="s">
        <v>592</v>
      </c>
      <c r="V10" s="23" t="s">
        <v>592</v>
      </c>
      <c r="W10" s="23" t="s">
        <v>592</v>
      </c>
      <c r="X10" s="23" t="s">
        <v>592</v>
      </c>
      <c r="Y10" s="23" t="s">
        <v>592</v>
      </c>
      <c r="Z10" s="24">
        <v>2508.6999999999998</v>
      </c>
      <c r="AA10" s="24">
        <v>25093.7</v>
      </c>
      <c r="AB10" s="24">
        <v>12.569000000000001</v>
      </c>
      <c r="AC10" s="24">
        <v>69.03</v>
      </c>
      <c r="AE10" s="25">
        <f t="shared" si="7"/>
        <v>4.2399916620022626E-2</v>
      </c>
      <c r="AF10" s="19">
        <f t="shared" si="8"/>
        <v>852.66578249999998</v>
      </c>
      <c r="AG10" s="20">
        <f t="shared" si="9"/>
        <v>2.4226306987924344</v>
      </c>
      <c r="AH10" s="20">
        <f t="shared" si="10"/>
        <v>0.27508093753529272</v>
      </c>
      <c r="AI10" s="20">
        <f t="shared" si="11"/>
        <v>0.26234100984544245</v>
      </c>
      <c r="AJ10" s="20">
        <f t="shared" si="12"/>
        <v>2.1475497612571419</v>
      </c>
      <c r="AK10" s="17">
        <f t="shared" si="13"/>
        <v>103271584</v>
      </c>
      <c r="AL10" s="20">
        <v>16</v>
      </c>
      <c r="AM10" s="21">
        <v>92854683</v>
      </c>
      <c r="AN10" s="22">
        <v>909510168</v>
      </c>
      <c r="AO10" s="22">
        <v>98488728</v>
      </c>
      <c r="AP10" s="22">
        <v>4782856</v>
      </c>
      <c r="AQ10" s="22">
        <v>806238584</v>
      </c>
      <c r="AR10" s="23"/>
      <c r="AS10" s="23"/>
      <c r="AT10" s="23"/>
      <c r="AU10" s="23"/>
      <c r="AV10" s="23"/>
      <c r="AW10" s="24">
        <v>3271.64</v>
      </c>
      <c r="AX10" s="24">
        <v>21112.400000000001</v>
      </c>
      <c r="AY10" s="24">
        <v>20.824000000000002</v>
      </c>
      <c r="AZ10" s="24">
        <v>90.424000000000007</v>
      </c>
      <c r="BB10" s="49">
        <f t="shared" si="14"/>
        <v>1.0024145410984089</v>
      </c>
      <c r="BC10" s="49">
        <f t="shared" si="15"/>
        <v>1.0000796410265946</v>
      </c>
      <c r="BD10" s="49">
        <f t="shared" si="16"/>
        <v>1</v>
      </c>
      <c r="BE10" s="49">
        <f t="shared" si="17"/>
        <v>1.0027144077896422</v>
      </c>
      <c r="BF10" s="25">
        <f t="shared" si="18"/>
        <v>-2.6509833002745509E-4</v>
      </c>
      <c r="BG10" s="25">
        <f t="array" ref="BG10">AVERAGE(AK10:AK10/AN10:AN10) - AVERAGE(N10:N10/Q10:Q10)</f>
        <v>-2.6509833002745509E-4</v>
      </c>
      <c r="BI10" s="53">
        <f t="shared" si="20"/>
        <v>0</v>
      </c>
      <c r="BJ10" s="53">
        <f t="shared" si="19"/>
        <v>2190760</v>
      </c>
      <c r="BK10" s="53">
        <f t="shared" si="19"/>
        <v>0</v>
      </c>
      <c r="BL10" s="53">
        <f t="shared" si="19"/>
        <v>8224</v>
      </c>
      <c r="BM10" s="53">
        <f t="shared" si="19"/>
        <v>2182536</v>
      </c>
      <c r="BP10" t="s">
        <v>584</v>
      </c>
    </row>
    <row r="11" spans="1:68" ht="16" collapsed="1" thickBot="1" x14ac:dyDescent="0.25">
      <c r="A11" s="26"/>
      <c r="B11" s="26" t="s">
        <v>82</v>
      </c>
      <c r="C11" s="26">
        <v>333190689</v>
      </c>
      <c r="D11" s="27">
        <v>11</v>
      </c>
      <c r="E11" s="27">
        <v>32</v>
      </c>
      <c r="F11" s="27">
        <v>30</v>
      </c>
      <c r="H11" s="35">
        <f t="shared" si="0"/>
        <v>4.3587035488752549E-2</v>
      </c>
      <c r="I11" s="28">
        <f t="shared" si="1"/>
        <v>776.061825</v>
      </c>
      <c r="J11" s="29">
        <f t="shared" si="2"/>
        <v>2.4844610228588953</v>
      </c>
      <c r="K11" s="29">
        <f t="shared" si="3"/>
        <v>0.29577614037107741</v>
      </c>
      <c r="L11" s="29">
        <f t="shared" si="4"/>
        <v>0.28100381880719361</v>
      </c>
      <c r="M11" s="29">
        <f t="shared" si="5"/>
        <v>2.1886848824878178</v>
      </c>
      <c r="N11" s="26">
        <f t="shared" si="6"/>
        <v>98549856</v>
      </c>
      <c r="O11" s="29">
        <v>16</v>
      </c>
      <c r="P11" s="30">
        <v>83104648</v>
      </c>
      <c r="Q11" s="31">
        <v>827799280</v>
      </c>
      <c r="R11" s="31">
        <v>93627856</v>
      </c>
      <c r="S11" s="31">
        <v>4922000</v>
      </c>
      <c r="T11" s="31">
        <v>729249424</v>
      </c>
      <c r="U11" s="32" t="s">
        <v>592</v>
      </c>
      <c r="V11" s="32" t="s">
        <v>592</v>
      </c>
      <c r="W11" s="32" t="s">
        <v>592</v>
      </c>
      <c r="X11" s="32" t="s">
        <v>592</v>
      </c>
      <c r="Y11" s="32" t="s">
        <v>592</v>
      </c>
      <c r="Z11" s="33">
        <v>2214.23</v>
      </c>
      <c r="AA11" s="33">
        <v>29230.2</v>
      </c>
      <c r="AB11" s="33">
        <v>12.816000000000001</v>
      </c>
      <c r="AC11" s="33">
        <v>71.846999999999994</v>
      </c>
      <c r="AE11" s="35">
        <f t="shared" si="7"/>
        <v>4.3587035488752549E-2</v>
      </c>
      <c r="AF11" s="28">
        <f t="shared" si="8"/>
        <v>778.30658249999999</v>
      </c>
      <c r="AG11" s="29">
        <f t="shared" si="9"/>
        <v>2.491647322113494</v>
      </c>
      <c r="AH11" s="29">
        <f t="shared" si="10"/>
        <v>0.29579599686832786</v>
      </c>
      <c r="AI11" s="29">
        <f t="shared" si="11"/>
        <v>0.28100381880719361</v>
      </c>
      <c r="AJ11" s="29">
        <f t="shared" si="12"/>
        <v>2.1958513252451661</v>
      </c>
      <c r="AK11" s="26">
        <f t="shared" si="13"/>
        <v>98556472</v>
      </c>
      <c r="AL11" s="29">
        <v>16</v>
      </c>
      <c r="AM11" s="30">
        <v>83104648</v>
      </c>
      <c r="AN11" s="31">
        <v>830193688</v>
      </c>
      <c r="AO11" s="31">
        <v>93627856</v>
      </c>
      <c r="AP11" s="31">
        <v>4928616</v>
      </c>
      <c r="AQ11" s="31">
        <v>731637216</v>
      </c>
      <c r="AR11" s="32"/>
      <c r="AS11" s="32"/>
      <c r="AT11" s="32"/>
      <c r="AU11" s="32"/>
      <c r="AV11" s="32"/>
      <c r="AW11" s="33">
        <v>3014.05</v>
      </c>
      <c r="AX11" s="33">
        <v>24451.200000000001</v>
      </c>
      <c r="AY11" s="33">
        <v>22.861999999999998</v>
      </c>
      <c r="AZ11" s="33">
        <v>100.22199999999999</v>
      </c>
      <c r="BB11" s="34">
        <f t="shared" si="14"/>
        <v>1.0028924982877492</v>
      </c>
      <c r="BC11" s="34">
        <f t="shared" si="15"/>
        <v>1.0000671335328994</v>
      </c>
      <c r="BD11" s="34">
        <f t="shared" si="16"/>
        <v>1</v>
      </c>
      <c r="BE11" s="34">
        <f t="shared" si="17"/>
        <v>1.0032743145505727</v>
      </c>
      <c r="BF11" s="35">
        <f t="shared" si="18"/>
        <v>-3.3539075731676971E-4</v>
      </c>
      <c r="BG11" s="35">
        <f t="array" ref="BG11">AVERAGE(AK11:AK11/AN11:AN11) - AVERAGE(N11:N11/Q11:Q11)</f>
        <v>-3.3539075731676971E-4</v>
      </c>
      <c r="BI11" s="53">
        <f t="shared" si="20"/>
        <v>0</v>
      </c>
      <c r="BJ11" s="53">
        <f t="shared" si="19"/>
        <v>2394408</v>
      </c>
      <c r="BK11" s="53">
        <f t="shared" si="19"/>
        <v>0</v>
      </c>
      <c r="BL11" s="53">
        <f t="shared" si="19"/>
        <v>6616</v>
      </c>
      <c r="BM11" s="53">
        <f t="shared" si="19"/>
        <v>2387792</v>
      </c>
      <c r="BP11" t="s">
        <v>585</v>
      </c>
    </row>
    <row r="12" spans="1:68" ht="16" x14ac:dyDescent="0.2">
      <c r="B12" s="46" t="s">
        <v>16</v>
      </c>
      <c r="J12" s="47">
        <f>AVERAGE(J5:J8)</f>
        <v>1.0478823870758216</v>
      </c>
      <c r="K12" s="47">
        <f>AVERAGE(K5:K8)</f>
        <v>0.14881517523979948</v>
      </c>
      <c r="L12" s="47">
        <f>AVERAGE(L5:L8)</f>
        <v>0.13600121020998429</v>
      </c>
      <c r="M12" s="47">
        <f>AVERAGE(M5:M8)</f>
        <v>0.89906721183602201</v>
      </c>
      <c r="AG12" s="47">
        <f>AVERAGE(AG5:AG8)</f>
        <v>1.0554149578937491</v>
      </c>
      <c r="AH12" s="47">
        <f>AVERAGE(AH5:AH8)</f>
        <v>0.14883544938347629</v>
      </c>
      <c r="AI12" s="47">
        <f>AVERAGE(AI5:AI8)</f>
        <v>0.13600121020998429</v>
      </c>
      <c r="AJ12" s="47">
        <f>AVERAGE(AJ5:AJ8)</f>
        <v>0.9065795085102728</v>
      </c>
      <c r="BB12" s="51">
        <f t="shared" si="14"/>
        <v>1.0071883742973746</v>
      </c>
      <c r="BC12" s="51">
        <f t="shared" si="15"/>
        <v>1.0001362370715496</v>
      </c>
      <c r="BD12" s="51">
        <f t="shared" si="16"/>
        <v>1</v>
      </c>
      <c r="BE12" s="51">
        <f t="shared" si="17"/>
        <v>1.0083556563684595</v>
      </c>
      <c r="BG12" s="55">
        <f>AVERAGE(BG5:BG8)</f>
        <v>-9.9160195872442791E-4</v>
      </c>
    </row>
    <row r="13" spans="1:68" ht="16" x14ac:dyDescent="0.2">
      <c r="B13" s="46" t="s">
        <v>17</v>
      </c>
      <c r="J13" s="47">
        <f>AVERAGE(J9:J9)</f>
        <v>1.4991582358742388</v>
      </c>
      <c r="K13" s="47">
        <f>AVERAGE(K9:K9)</f>
        <v>0.15212171072884031</v>
      </c>
      <c r="L13" s="47">
        <f>AVERAGE(L9:L9)</f>
        <v>0.14210963623655265</v>
      </c>
      <c r="M13" s="47">
        <f>AVERAGE(M9:M9)</f>
        <v>1.3470365251453984</v>
      </c>
      <c r="AG13" s="47">
        <f>AVERAGE(AG9:AG9)</f>
        <v>1.5065795071824608</v>
      </c>
      <c r="AH13" s="47">
        <f>AVERAGE(AH9:AH9)</f>
        <v>0.15213657321595558</v>
      </c>
      <c r="AI13" s="47">
        <f>AVERAGE(AI9:AI9)</f>
        <v>0.14210963623655265</v>
      </c>
      <c r="AJ13" s="47">
        <f>AVERAGE(AJ9:AJ9)</f>
        <v>1.3544429339665052</v>
      </c>
      <c r="BB13" s="51">
        <f t="shared" si="14"/>
        <v>1.0049502921910669</v>
      </c>
      <c r="BC13" s="51">
        <f t="shared" si="15"/>
        <v>1.0000977012882912</v>
      </c>
      <c r="BD13" s="51">
        <f t="shared" si="16"/>
        <v>1</v>
      </c>
      <c r="BE13" s="51">
        <f t="shared" si="17"/>
        <v>1.005498298437236</v>
      </c>
      <c r="BG13" s="55">
        <f>AVERAGE(BG9:BG9)</f>
        <v>-4.8997376247202074E-4</v>
      </c>
    </row>
    <row r="14" spans="1:68" ht="16" x14ac:dyDescent="0.2">
      <c r="B14" s="46" t="s">
        <v>18</v>
      </c>
      <c r="J14" s="47">
        <f>AVERAGE(J10:J11)</f>
        <v>2.4506281351000925</v>
      </c>
      <c r="K14" s="47">
        <f>AVERAGE(K10:K11)</f>
        <v>0.28541758596136163</v>
      </c>
      <c r="L14" s="47">
        <f>AVERAGE(L10:L11)</f>
        <v>0.27167241432631806</v>
      </c>
      <c r="M14" s="47">
        <f>AVERAGE(M10:M11)</f>
        <v>2.165210549138731</v>
      </c>
      <c r="AG14" s="47">
        <f>AVERAGE(AG10:AG11)</f>
        <v>2.4571390104529645</v>
      </c>
      <c r="AH14" s="47">
        <f>AVERAGE(AH10:AH11)</f>
        <v>0.28543846720181032</v>
      </c>
      <c r="AI14" s="47">
        <f>AVERAGE(AI10:AI11)</f>
        <v>0.27167241432631806</v>
      </c>
      <c r="AJ14" s="47">
        <f>AVERAGE(AJ10:AJ11)</f>
        <v>2.1717005432511538</v>
      </c>
      <c r="BB14" s="51">
        <f t="shared" si="14"/>
        <v>1.0026568189843319</v>
      </c>
      <c r="BC14" s="51">
        <f t="shared" si="15"/>
        <v>1.0000731603148361</v>
      </c>
      <c r="BD14" s="51">
        <f t="shared" si="16"/>
        <v>1</v>
      </c>
      <c r="BE14" s="51">
        <f t="shared" si="17"/>
        <v>1.002997396310952</v>
      </c>
      <c r="BG14" s="55">
        <f>AVERAGE(BG10:BG11)</f>
        <v>-3.002445436721124E-4</v>
      </c>
    </row>
    <row r="15" spans="1:68" ht="16" x14ac:dyDescent="0.2">
      <c r="B15" s="46" t="s">
        <v>19</v>
      </c>
      <c r="J15" s="47">
        <f>AVERAGE(J5:J11)</f>
        <v>1.5131348649111014</v>
      </c>
      <c r="K15" s="47">
        <f>AVERAGE(K5:K11)</f>
        <v>0.1883167976586802</v>
      </c>
      <c r="L15" s="47">
        <f>AVERAGE(L5:L11)</f>
        <v>0.17563704367558941</v>
      </c>
      <c r="M15" s="47">
        <f>AVERAGE(M5:M11)</f>
        <v>1.3248180672524212</v>
      </c>
      <c r="AG15" s="47">
        <f>AVERAGE(AG5:AG11)</f>
        <v>1.520359622809055</v>
      </c>
      <c r="AH15" s="47">
        <f>AVERAGE(AH5:AH11)</f>
        <v>0.18833647216478305</v>
      </c>
      <c r="AI15" s="47">
        <f>AVERAGE(AI5:AI11)</f>
        <v>0.17563704367558941</v>
      </c>
      <c r="AJ15" s="47">
        <f>AVERAGE(AJ5:AJ11)</f>
        <v>1.3320231506442721</v>
      </c>
      <c r="BB15" s="51">
        <f t="shared" si="14"/>
        <v>1.0047746952803034</v>
      </c>
      <c r="BC15" s="51">
        <f t="shared" si="15"/>
        <v>1.0001044755770461</v>
      </c>
      <c r="BD15" s="51">
        <f t="shared" si="16"/>
        <v>1</v>
      </c>
      <c r="BE15" s="51">
        <f t="shared" si="17"/>
        <v>1.0054385455406671</v>
      </c>
      <c r="BG15" s="55">
        <f>AVERAGE(BG5:BG11)</f>
        <v>-7.2241009781627964E-4</v>
      </c>
    </row>
    <row r="16" spans="1:68" ht="16" hidden="1" outlineLevel="2" x14ac:dyDescent="0.2">
      <c r="A16" s="46" t="s">
        <v>245</v>
      </c>
      <c r="B16" s="46" t="s">
        <v>246</v>
      </c>
      <c r="Z16" s="48">
        <f>SUM(Z5:Z8,Z9:Z9,Z10:Z11)</f>
        <v>18443.66</v>
      </c>
      <c r="AA16" s="48">
        <f>SUM(AA5:AA8,AA9:AA9,AA10:AA11)</f>
        <v>88363.03</v>
      </c>
      <c r="AB16" s="48">
        <f>SUM(AB5:AB8,AB9:AB9,AB10:AB11)</f>
        <v>45.269000000000005</v>
      </c>
      <c r="AC16" s="48">
        <f>SUM(AC5:AC8,AC9:AC9,AC10:AC11)</f>
        <v>244.97199999999998</v>
      </c>
      <c r="AW16" s="48">
        <f>SUM(AW5:AW8,AW9:AW9,AW10:AW11)</f>
        <v>25404.66</v>
      </c>
      <c r="AX16" s="48">
        <f>SUM(AX5:AX8,AX9:AX9,AX10:AX11)</f>
        <v>79910.05</v>
      </c>
      <c r="AY16" s="48">
        <f>SUM(AY5:AY8,AY9:AY9,AY10:AY11)</f>
        <v>80.072000000000003</v>
      </c>
      <c r="AZ16" s="48">
        <f>SUM(AZ5:AZ8,AZ9:AZ9,AZ10:AZ11)</f>
        <v>359.33000000000004</v>
      </c>
    </row>
    <row r="17" spans="2:52" ht="16" hidden="1" outlineLevel="2" x14ac:dyDescent="0.2">
      <c r="B17" s="46" t="s">
        <v>247</v>
      </c>
      <c r="AW17" s="55">
        <f>AW16/Z16</f>
        <v>1.3774196661617055</v>
      </c>
      <c r="AX17" s="55">
        <f>AX16/AA16</f>
        <v>0.90433804725799927</v>
      </c>
      <c r="AY17" s="55">
        <f>AY16/AB16</f>
        <v>1.7688042589851773</v>
      </c>
      <c r="AZ17" s="55">
        <f>AZ16/AC16</f>
        <v>1.4668206978756759</v>
      </c>
    </row>
    <row r="18" spans="2:52" ht="16" hidden="1" outlineLevel="2" x14ac:dyDescent="0.2">
      <c r="B18" s="46" t="s">
        <v>248</v>
      </c>
      <c r="Z18" s="48">
        <f>GEOMEAN(Z5:Z8,Z9:Z9,Z10:Z11)</f>
        <v>2495.1184252455687</v>
      </c>
      <c r="AA18" s="48">
        <f>GEOMEAN(AA5:AA8,AA9:AA9,AA10:AA11)</f>
        <v>10032.517277897274</v>
      </c>
      <c r="AB18" s="48">
        <f>GEOMEAN(AB5:AB8,AB9:AB9,AB10:AB11)</f>
        <v>5.4984241803987306</v>
      </c>
      <c r="AC18" s="48">
        <f>GEOMEAN(AC5:AC8,AC9:AC9,AC10:AC11)</f>
        <v>29.379365407999728</v>
      </c>
      <c r="AW18" s="48">
        <f>GEOMEAN(AW5:AW8,AW9:AW9,AW10:AW11)</f>
        <v>3466.5821672897628</v>
      </c>
      <c r="AX18" s="48">
        <f>GEOMEAN(AX5:AX8,AX9:AX9,AX10:AX11)</f>
        <v>9582.7839345114335</v>
      </c>
      <c r="AY18" s="48">
        <f>GEOMEAN(AY5:AY8,AY9:AY9,AY10:AY11)</f>
        <v>9.951926436809595</v>
      </c>
      <c r="AZ18" s="48">
        <f>GEOMEAN(AZ5:AZ8,AZ9:AZ9,AZ10:AZ11)</f>
        <v>44.91849092771394</v>
      </c>
    </row>
    <row r="19" spans="2:52" ht="16" outlineLevel="2" collapsed="1" x14ac:dyDescent="0.2">
      <c r="B19" s="46" t="s">
        <v>249</v>
      </c>
      <c r="AW19" s="55">
        <f>AW18/Z18</f>
        <v>1.3893457449614173</v>
      </c>
      <c r="AX19" s="55">
        <f>AX18/AA18</f>
        <v>0.95517243270772612</v>
      </c>
      <c r="AY19" s="55">
        <f>AY18/AB18</f>
        <v>1.8099597467010828</v>
      </c>
      <c r="AZ19" s="55">
        <f>AZ18/AC18</f>
        <v>1.5289129055007789</v>
      </c>
    </row>
  </sheetData>
  <mergeCells count="36">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O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1" t="s">
        <v>586</v>
      </c>
      <c r="B1" s="59"/>
      <c r="C1" s="59"/>
      <c r="D1" s="59"/>
      <c r="E1" s="59"/>
      <c r="F1" s="59"/>
      <c r="G1" s="59"/>
      <c r="I1" s="67" t="s">
        <v>591</v>
      </c>
      <c r="J1" s="59"/>
      <c r="K1" s="59"/>
      <c r="L1" s="59"/>
      <c r="M1" s="59"/>
      <c r="N1" s="59"/>
      <c r="O1" s="59"/>
      <c r="P1" s="59"/>
      <c r="Q1" s="59"/>
      <c r="R1" s="59"/>
      <c r="S1" s="59"/>
      <c r="T1" s="59"/>
      <c r="U1" s="59"/>
      <c r="V1" s="59"/>
      <c r="W1" s="59"/>
      <c r="X1" s="59"/>
      <c r="Y1" s="59"/>
      <c r="Z1" s="59"/>
      <c r="AA1" s="59"/>
      <c r="AB1" s="59"/>
      <c r="AC1" s="59"/>
      <c r="AD1" s="59"/>
      <c r="AE1" s="59"/>
      <c r="AG1" s="68"/>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c r="BV2" s="72" t="s">
        <v>86</v>
      </c>
      <c r="BW2" s="73" t="s">
        <v>88</v>
      </c>
      <c r="BX2" s="72" t="s">
        <v>84</v>
      </c>
      <c r="BY2" s="70" t="s">
        <v>150</v>
      </c>
      <c r="BZ2" s="59"/>
      <c r="CA2" s="59"/>
      <c r="CB2" s="59"/>
      <c r="CC2" s="69" t="s">
        <v>151</v>
      </c>
      <c r="CD2" s="59"/>
      <c r="CE2" s="70" t="s">
        <v>152</v>
      </c>
      <c r="CF2" s="59"/>
      <c r="CG2" s="59"/>
    </row>
    <row r="3" spans="1:88" ht="33" thickBot="1" x14ac:dyDescent="0.25">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c r="BV3" s="61"/>
      <c r="BW3" s="61"/>
      <c r="BX3" s="61"/>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66.845706250000006</v>
      </c>
      <c r="X5" s="14">
        <v>68.619975000000011</v>
      </c>
      <c r="Y5" s="14">
        <v>31.71370000000001</v>
      </c>
      <c r="Z5" s="14">
        <v>44.621000000000002</v>
      </c>
      <c r="AA5" s="14">
        <v>44.121778124999999</v>
      </c>
      <c r="AB5" s="15">
        <v>3335.76</v>
      </c>
      <c r="AC5" s="15">
        <v>4190.62</v>
      </c>
      <c r="AD5" s="15">
        <v>11.492000000000001</v>
      </c>
      <c r="AE5" s="15">
        <v>7.68</v>
      </c>
      <c r="AG5" s="10" t="str">
        <f t="shared" ref="AG5:AG39" si="6">IF(OR(ISBLANK(AQ5),ISBLANK(G5)),"·",AQ5*G5/F5/1000000)</f>
        <v>·</v>
      </c>
      <c r="AH5" s="11" t="str">
        <f t="shared" ref="AH5:AH39" si="7">IF(ISBLANK(AQ5),"·",AQ5/D5)</f>
        <v>·</v>
      </c>
      <c r="AI5" s="11" t="str">
        <f t="shared" ref="AI5:AI39" si="8">IF(AL5="","·",AL5/D5)</f>
        <v>·</v>
      </c>
      <c r="AJ5" s="11" t="str">
        <f t="shared" ref="AJ5:AJ39" si="9">IF(AR5="","·",AR5/D5)</f>
        <v>·</v>
      </c>
      <c r="AK5" s="11" t="str">
        <f t="shared" ref="AK5:AK39" si="10">IF(ISBLANK(AT5),"·",AT5/D5)</f>
        <v>·</v>
      </c>
      <c r="AL5" s="52" t="str">
        <f t="shared" ref="AL5:AL39" si="11">IF(OR(ISBLANK(AR5),ISBLANK(AS5)),"",AR5+AS5)</f>
        <v/>
      </c>
      <c r="AM5" s="11">
        <v>16</v>
      </c>
      <c r="AN5" s="12"/>
      <c r="AO5" s="12"/>
      <c r="AP5" s="12"/>
      <c r="AQ5" s="13"/>
      <c r="AR5" s="13"/>
      <c r="AS5" s="13"/>
      <c r="AT5" s="13"/>
      <c r="AU5" s="14"/>
      <c r="AV5" s="14"/>
      <c r="AW5" s="14"/>
      <c r="AX5" s="14"/>
      <c r="AY5" s="14"/>
      <c r="AZ5" s="15"/>
      <c r="BA5" s="15"/>
      <c r="BB5" s="15"/>
      <c r="BC5" s="15"/>
      <c r="BE5" s="50" t="e">
        <f t="shared" ref="BE5:BE43" si="12">AI5/K5</f>
        <v>#VALUE!</v>
      </c>
      <c r="BF5" s="16" t="e">
        <f t="shared" ref="BF5:BF39" si="13">(AP5/AO5) - (R5/Q5)</f>
        <v>#DIV/0!</v>
      </c>
      <c r="BG5" s="16" t="e">
        <f t="shared" ref="BG5:BG39" si="14">(AL5/AQ5) - (N5/S5)</f>
        <v>#VALUE!</v>
      </c>
      <c r="BH5" s="16" t="e">
        <f t="array" ref="BH5">AVERAGE(AL5:AL9/AQ5:AQ9) - AVERAGE(N5:N9/S5:S9)</f>
        <v>#VALUE!</v>
      </c>
      <c r="BJ5" s="50" t="str">
        <f>IF( OR(ISBLANK(N5:N9),ISBLANK(AL5:AL9), ISBLANK(W5:W9),ISBLANK(AU5:AU9)), "·", bdRateExtend( N5:N9,W5:W9, AL5:AL9,AU5:AU9))</f>
        <v>·</v>
      </c>
      <c r="BK5" s="50" t="str">
        <f>IF( OR(ISBLANK(N5:N9),ISBLANK(AL5:AL9), ISBLANK(X5:X9),ISBLANK(AV5:AV9)), "·", bdRateExtend( N5:N9,X5:X9, AL5:AL9,AV5:AV9))</f>
        <v>·</v>
      </c>
      <c r="BL5" s="50" t="str">
        <f>IF( OR(ISBLANK(V5:V9),ISBLANK(AT5:AT9), ISBLANK(Y5:Y9),ISBLANK(AW5:AW9)), "·", bdRateExtend( V5:V9,Y5:Y9, AT5:AT9,AW5:AW9))</f>
        <v>·</v>
      </c>
      <c r="BM5" s="50" t="str">
        <f>IF( OR(ISBLANK(V5:V9),ISBLANK(AT5:AT9), ISBLANK(Z5:Z9),ISBLANK(AX5:AX9)), "·", bdRateExtend( V5:V9,Z5:Z9, AT5:AT9,AX5:AX9))</f>
        <v>·</v>
      </c>
      <c r="BN5" s="50" t="str">
        <f>IF( OR(ISBLANK(V5:V9),ISBLANK(AT5:AT9), ISBLANK(AA5:AA9),ISBLANK(AY5:AY9)), "·", bdRateExtend( V5:V9,AA5:AA9, AT5:AT9,AY5:AY9))</f>
        <v>·</v>
      </c>
      <c r="BP5" s="50" t="str">
        <f>IF( OR(ISBLANK(S5:S9),ISBLANK(AQ5:AQ9), ISBLANK(W5:W9),ISBLANK(AU5:AU9)), "·", bdRateExtend( S5:S9,W5:W9, AQ5:AQ9,AU5:AU9))</f>
        <v>·</v>
      </c>
      <c r="BQ5" s="50" t="str">
        <f>IF( OR(ISBLANK(S5:S9),ISBLANK(AQ5:AQ9), ISBLANK(X5:X9),ISBLANK(AV5:AV9)), "·", bdRateExtend( S5:S9,X5:X9, AQ5:AQ9,AV5:AV9))</f>
        <v>·</v>
      </c>
      <c r="BR5" s="50" t="str">
        <f>IF( OR(ISBLANK(S5:S9),ISBLANK(AQ5:AQ9), ISBLANK(Y5:Y9),ISBLANK(AW5:AW9)), "·", bdRateExtend( S5:S9,Y5:Y9, AQ5:AQ9,AW5:AW9))</f>
        <v>·</v>
      </c>
      <c r="BS5" s="50" t="str">
        <f>IF( OR(ISBLANK(S5:S9),ISBLANK(AQ5:AQ9), ISBLANK(Z5:Z9),ISBLANK(AX5:AX9)), "·", bdRateExtend( S5:S9,Z5:Z9, AQ5:AQ9,AX5:AX9))</f>
        <v>·</v>
      </c>
      <c r="BT5" s="50" t="str">
        <f>IF( OR(ISBLANK(S5:S9),ISBLANK(AQ5:AQ9), ISBLANK(AA5:AA9),ISBLANK(AY5:AY9)), "·", bdRateExtend( S5:S9,AA5:AA9, AQ5:AQ9,AY5:AY9))</f>
        <v>·</v>
      </c>
      <c r="BV5" s="53">
        <f>AN5-P5</f>
        <v>-23582209</v>
      </c>
      <c r="BW5" s="53">
        <f t="shared" ref="BW5:CG20" si="15">AO5-Q5</f>
        <v>-736944.03125</v>
      </c>
      <c r="BX5" s="53">
        <f t="shared" si="15"/>
        <v>-16984.9375</v>
      </c>
      <c r="BY5" s="53">
        <f t="shared" si="15"/>
        <v>-1113936</v>
      </c>
      <c r="BZ5" s="53">
        <f t="shared" si="15"/>
        <v>-607520</v>
      </c>
      <c r="CA5" s="53">
        <f t="shared" si="15"/>
        <v>-358792</v>
      </c>
      <c r="CB5" s="53">
        <f t="shared" si="15"/>
        <v>-147624</v>
      </c>
      <c r="CC5" s="53">
        <f t="shared" si="15"/>
        <v>-66.845706250000006</v>
      </c>
      <c r="CD5" s="53">
        <f t="shared" si="15"/>
        <v>-68.619975000000011</v>
      </c>
      <c r="CE5" s="53">
        <f t="shared" si="15"/>
        <v>-31.71370000000001</v>
      </c>
      <c r="CF5" s="53">
        <f t="shared" si="15"/>
        <v>-44.621000000000002</v>
      </c>
      <c r="CG5" s="53">
        <f t="shared" si="15"/>
        <v>-44.121778124999999</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68.552896875000002</v>
      </c>
      <c r="X6" s="23">
        <v>70.622062499999984</v>
      </c>
      <c r="Y6" s="23">
        <v>33.784087499999991</v>
      </c>
      <c r="Z6" s="23">
        <v>45.602718750000008</v>
      </c>
      <c r="AA6" s="23">
        <v>45.241318749999976</v>
      </c>
      <c r="AB6" s="24">
        <v>3272.79</v>
      </c>
      <c r="AC6" s="24">
        <v>4044.76</v>
      </c>
      <c r="AD6" s="24">
        <v>11.956</v>
      </c>
      <c r="AE6" s="24">
        <v>7.0119999999999996</v>
      </c>
      <c r="AG6" s="19" t="str">
        <f t="shared" si="6"/>
        <v>·</v>
      </c>
      <c r="AH6" s="20" t="str">
        <f t="shared" si="7"/>
        <v>·</v>
      </c>
      <c r="AI6" s="20" t="str">
        <f t="shared" si="8"/>
        <v>·</v>
      </c>
      <c r="AJ6" s="20" t="str">
        <f t="shared" si="9"/>
        <v>·</v>
      </c>
      <c r="AK6" s="20" t="str">
        <f t="shared" si="10"/>
        <v>·</v>
      </c>
      <c r="AL6" s="17" t="str">
        <f t="shared" si="11"/>
        <v/>
      </c>
      <c r="AM6" s="20">
        <v>16</v>
      </c>
      <c r="AN6" s="21"/>
      <c r="AO6" s="21"/>
      <c r="AP6" s="21"/>
      <c r="AQ6" s="22"/>
      <c r="AR6" s="22"/>
      <c r="AS6" s="22"/>
      <c r="AT6" s="22"/>
      <c r="AU6" s="23"/>
      <c r="AV6" s="23"/>
      <c r="AW6" s="23"/>
      <c r="AX6" s="23"/>
      <c r="AY6" s="23"/>
      <c r="AZ6" s="24"/>
      <c r="BA6" s="24"/>
      <c r="BB6" s="24"/>
      <c r="BC6" s="24"/>
      <c r="BE6" s="49" t="e">
        <f t="shared" si="12"/>
        <v>#VALUE!</v>
      </c>
      <c r="BF6" s="25" t="e">
        <f t="shared" si="13"/>
        <v>#DIV/0!</v>
      </c>
      <c r="BG6" s="25" t="e">
        <f t="shared" si="14"/>
        <v>#VALUE!</v>
      </c>
      <c r="BH6" s="25"/>
      <c r="BJ6" s="49"/>
      <c r="BK6" s="49"/>
      <c r="BL6" s="49"/>
      <c r="BM6" s="49"/>
      <c r="BN6" s="49"/>
      <c r="BP6" s="49"/>
      <c r="BQ6" s="49"/>
      <c r="BR6" s="49"/>
      <c r="BS6" s="49"/>
      <c r="BT6" s="49"/>
      <c r="BV6" s="53">
        <f t="shared" ref="BV6:CG39" si="16">AN6-P6</f>
        <v>-24777501</v>
      </c>
      <c r="BW6" s="53">
        <f t="shared" si="15"/>
        <v>-774296.90625</v>
      </c>
      <c r="BX6" s="53">
        <f t="shared" si="15"/>
        <v>-19924.3125</v>
      </c>
      <c r="BY6" s="53">
        <f t="shared" si="15"/>
        <v>-1446008</v>
      </c>
      <c r="BZ6" s="53">
        <f t="shared" si="15"/>
        <v>-819528</v>
      </c>
      <c r="CA6" s="53">
        <f t="shared" si="15"/>
        <v>-358792</v>
      </c>
      <c r="CB6" s="53">
        <f t="shared" si="15"/>
        <v>-267688</v>
      </c>
      <c r="CC6" s="53">
        <f t="shared" si="15"/>
        <v>-68.552896875000002</v>
      </c>
      <c r="CD6" s="53">
        <f t="shared" si="15"/>
        <v>-70.622062499999984</v>
      </c>
      <c r="CE6" s="53">
        <f t="shared" si="15"/>
        <v>-33.784087499999991</v>
      </c>
      <c r="CF6" s="53">
        <f t="shared" si="15"/>
        <v>-45.602718750000008</v>
      </c>
      <c r="CG6" s="53">
        <f t="shared" si="15"/>
        <v>-45.241318749999976</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69.837434374999987</v>
      </c>
      <c r="X7" s="14">
        <v>72.274171875000022</v>
      </c>
      <c r="Y7" s="14">
        <v>36.196365624999991</v>
      </c>
      <c r="Z7" s="14">
        <v>46.918012500000003</v>
      </c>
      <c r="AA7" s="14">
        <v>46.584559374999998</v>
      </c>
      <c r="AB7" s="15">
        <v>3267.26</v>
      </c>
      <c r="AC7" s="15">
        <v>4320.3900000000003</v>
      </c>
      <c r="AD7" s="15">
        <v>12.007999999999999</v>
      </c>
      <c r="AE7" s="15">
        <v>7.476</v>
      </c>
      <c r="AG7" s="10" t="str">
        <f t="shared" si="6"/>
        <v>·</v>
      </c>
      <c r="AH7" s="11" t="str">
        <f t="shared" si="7"/>
        <v>·</v>
      </c>
      <c r="AI7" s="11" t="str">
        <f t="shared" si="8"/>
        <v>·</v>
      </c>
      <c r="AJ7" s="11" t="str">
        <f t="shared" si="9"/>
        <v>·</v>
      </c>
      <c r="AK7" s="11" t="str">
        <f t="shared" si="10"/>
        <v>·</v>
      </c>
      <c r="AL7" s="52" t="str">
        <f t="shared" si="11"/>
        <v/>
      </c>
      <c r="AM7" s="11">
        <v>16</v>
      </c>
      <c r="AN7" s="12"/>
      <c r="AO7" s="12"/>
      <c r="AP7" s="12"/>
      <c r="AQ7" s="13"/>
      <c r="AR7" s="13"/>
      <c r="AS7" s="13"/>
      <c r="AT7" s="13"/>
      <c r="AU7" s="14"/>
      <c r="AV7" s="14"/>
      <c r="AW7" s="14"/>
      <c r="AX7" s="14"/>
      <c r="AY7" s="14"/>
      <c r="AZ7" s="15"/>
      <c r="BA7" s="15"/>
      <c r="BB7" s="15"/>
      <c r="BC7" s="15"/>
      <c r="BE7" s="50" t="e">
        <f t="shared" si="12"/>
        <v>#VALUE!</v>
      </c>
      <c r="BF7" s="16" t="e">
        <f t="shared" si="13"/>
        <v>#DIV/0!</v>
      </c>
      <c r="BG7" s="16" t="e">
        <f t="shared" si="14"/>
        <v>#VALUE!</v>
      </c>
      <c r="BH7" s="16"/>
      <c r="BJ7" s="50"/>
      <c r="BK7" s="50"/>
      <c r="BL7" s="50"/>
      <c r="BM7" s="50"/>
      <c r="BN7" s="50"/>
      <c r="BP7" s="50"/>
      <c r="BQ7" s="50"/>
      <c r="BR7" s="50"/>
      <c r="BS7" s="50"/>
      <c r="BT7" s="50"/>
      <c r="BV7" s="53">
        <f t="shared" si="16"/>
        <v>-24923704</v>
      </c>
      <c r="BW7" s="53">
        <f t="shared" si="15"/>
        <v>-778865.75</v>
      </c>
      <c r="BX7" s="53">
        <f t="shared" si="15"/>
        <v>-21104.875</v>
      </c>
      <c r="BY7" s="53">
        <f t="shared" si="15"/>
        <v>-2005328</v>
      </c>
      <c r="BZ7" s="53">
        <f t="shared" si="15"/>
        <v>-1104976</v>
      </c>
      <c r="CA7" s="53">
        <f t="shared" si="15"/>
        <v>-358792</v>
      </c>
      <c r="CB7" s="53">
        <f t="shared" si="15"/>
        <v>-541560</v>
      </c>
      <c r="CC7" s="53">
        <f t="shared" si="15"/>
        <v>-69.837434374999987</v>
      </c>
      <c r="CD7" s="53">
        <f t="shared" si="15"/>
        <v>-72.274171875000022</v>
      </c>
      <c r="CE7" s="53">
        <f t="shared" si="15"/>
        <v>-36.196365624999991</v>
      </c>
      <c r="CF7" s="53">
        <f t="shared" si="15"/>
        <v>-46.918012500000003</v>
      </c>
      <c r="CG7" s="53">
        <f t="shared" si="15"/>
        <v>-46.584559374999998</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70.899381250000005</v>
      </c>
      <c r="X8" s="23">
        <v>73.460275000000024</v>
      </c>
      <c r="Y8" s="23">
        <v>38.677993749999999</v>
      </c>
      <c r="Z8" s="23">
        <v>48.11969062499999</v>
      </c>
      <c r="AA8" s="23">
        <v>48.028525000000009</v>
      </c>
      <c r="AB8" s="24">
        <v>3261.38</v>
      </c>
      <c r="AC8" s="24">
        <v>4677.22</v>
      </c>
      <c r="AD8" s="24">
        <v>12.148</v>
      </c>
      <c r="AE8" s="24">
        <v>7.976</v>
      </c>
      <c r="AG8" s="19" t="str">
        <f t="shared" si="6"/>
        <v>·</v>
      </c>
      <c r="AH8" s="20" t="str">
        <f t="shared" si="7"/>
        <v>·</v>
      </c>
      <c r="AI8" s="20" t="str">
        <f t="shared" si="8"/>
        <v>·</v>
      </c>
      <c r="AJ8" s="20" t="str">
        <f t="shared" si="9"/>
        <v>·</v>
      </c>
      <c r="AK8" s="20" t="str">
        <f t="shared" si="10"/>
        <v>·</v>
      </c>
      <c r="AL8" s="17" t="str">
        <f t="shared" si="11"/>
        <v/>
      </c>
      <c r="AM8" s="20">
        <v>16</v>
      </c>
      <c r="AN8" s="21"/>
      <c r="AO8" s="21"/>
      <c r="AP8" s="21"/>
      <c r="AQ8" s="22"/>
      <c r="AR8" s="22"/>
      <c r="AS8" s="22"/>
      <c r="AT8" s="22"/>
      <c r="AU8" s="23"/>
      <c r="AV8" s="23"/>
      <c r="AW8" s="23"/>
      <c r="AX8" s="23"/>
      <c r="AY8" s="23"/>
      <c r="AZ8" s="24"/>
      <c r="BA8" s="24"/>
      <c r="BB8" s="24"/>
      <c r="BC8" s="24"/>
      <c r="BE8" s="49" t="e">
        <f t="shared" si="12"/>
        <v>#VALUE!</v>
      </c>
      <c r="BF8" s="25" t="e">
        <f t="shared" si="13"/>
        <v>#DIV/0!</v>
      </c>
      <c r="BG8" s="25" t="e">
        <f t="shared" si="14"/>
        <v>#VALUE!</v>
      </c>
      <c r="BH8" s="25"/>
      <c r="BJ8" s="49"/>
      <c r="BK8" s="49"/>
      <c r="BL8" s="49"/>
      <c r="BM8" s="49"/>
      <c r="BN8" s="49"/>
      <c r="BP8" s="49"/>
      <c r="BQ8" s="49"/>
      <c r="BR8" s="49"/>
      <c r="BS8" s="49"/>
      <c r="BT8" s="49"/>
      <c r="BV8" s="53">
        <f t="shared" si="16"/>
        <v>-25894561</v>
      </c>
      <c r="BW8" s="53">
        <f t="shared" si="15"/>
        <v>-809205.03125</v>
      </c>
      <c r="BX8" s="53">
        <f t="shared" si="15"/>
        <v>-24362.65625</v>
      </c>
      <c r="BY8" s="53">
        <f t="shared" si="15"/>
        <v>-3318792</v>
      </c>
      <c r="BZ8" s="53">
        <f t="shared" si="15"/>
        <v>-1751424</v>
      </c>
      <c r="CA8" s="53">
        <f t="shared" si="15"/>
        <v>-358792</v>
      </c>
      <c r="CB8" s="53">
        <f t="shared" si="15"/>
        <v>-1208576</v>
      </c>
      <c r="CC8" s="53">
        <f t="shared" si="15"/>
        <v>-70.899381250000005</v>
      </c>
      <c r="CD8" s="53">
        <f t="shared" si="15"/>
        <v>-73.460275000000024</v>
      </c>
      <c r="CE8" s="53">
        <f t="shared" si="15"/>
        <v>-38.677993749999999</v>
      </c>
      <c r="CF8" s="53">
        <f t="shared" si="15"/>
        <v>-48.11969062499999</v>
      </c>
      <c r="CG8" s="53">
        <f t="shared" si="15"/>
        <v>-48.028525000000009</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71.932043749999977</v>
      </c>
      <c r="X9" s="32">
        <v>75.246165625000017</v>
      </c>
      <c r="Y9" s="32">
        <v>41.146812500000003</v>
      </c>
      <c r="Z9" s="32">
        <v>49.540606250000003</v>
      </c>
      <c r="AA9" s="32">
        <v>49.645290625000001</v>
      </c>
      <c r="AB9" s="33">
        <v>3303.13</v>
      </c>
      <c r="AC9" s="33">
        <v>5148.42</v>
      </c>
      <c r="AD9" s="33">
        <v>12.388</v>
      </c>
      <c r="AE9" s="33">
        <v>12.7</v>
      </c>
      <c r="AG9" s="28" t="str">
        <f t="shared" si="6"/>
        <v>·</v>
      </c>
      <c r="AH9" s="29" t="str">
        <f t="shared" si="7"/>
        <v>·</v>
      </c>
      <c r="AI9" s="29" t="str">
        <f t="shared" si="8"/>
        <v>·</v>
      </c>
      <c r="AJ9" s="29" t="str">
        <f t="shared" si="9"/>
        <v>·</v>
      </c>
      <c r="AK9" s="29" t="str">
        <f t="shared" si="10"/>
        <v>·</v>
      </c>
      <c r="AL9" s="26" t="str">
        <f t="shared" si="11"/>
        <v/>
      </c>
      <c r="AM9" s="29">
        <v>16</v>
      </c>
      <c r="AN9" s="30"/>
      <c r="AO9" s="30"/>
      <c r="AP9" s="30"/>
      <c r="AQ9" s="31"/>
      <c r="AR9" s="31"/>
      <c r="AS9" s="31"/>
      <c r="AT9" s="31"/>
      <c r="AU9" s="32"/>
      <c r="AV9" s="32"/>
      <c r="AW9" s="32"/>
      <c r="AX9" s="32"/>
      <c r="AY9" s="32"/>
      <c r="AZ9" s="33"/>
      <c r="BA9" s="33"/>
      <c r="BB9" s="33"/>
      <c r="BC9" s="33"/>
      <c r="BE9" s="34" t="e">
        <f t="shared" si="12"/>
        <v>#VALUE!</v>
      </c>
      <c r="BF9" s="35" t="e">
        <f t="shared" si="13"/>
        <v>#DIV/0!</v>
      </c>
      <c r="BG9" s="35" t="e">
        <f t="shared" si="14"/>
        <v>#VALUE!</v>
      </c>
      <c r="BH9" s="35"/>
      <c r="BJ9" s="34"/>
      <c r="BK9" s="34"/>
      <c r="BL9" s="34"/>
      <c r="BM9" s="34"/>
      <c r="BN9" s="34"/>
      <c r="BP9" s="34"/>
      <c r="BQ9" s="34"/>
      <c r="BR9" s="34"/>
      <c r="BS9" s="34"/>
      <c r="BT9" s="34"/>
      <c r="BV9" s="53">
        <f t="shared" si="16"/>
        <v>-24903158</v>
      </c>
      <c r="BW9" s="53">
        <f t="shared" si="15"/>
        <v>-778223.6875</v>
      </c>
      <c r="BX9" s="53">
        <f t="shared" si="15"/>
        <v>-10582.96875</v>
      </c>
      <c r="BY9" s="53">
        <f t="shared" si="15"/>
        <v>-6802712</v>
      </c>
      <c r="BZ9" s="53">
        <f t="shared" si="15"/>
        <v>-2892920</v>
      </c>
      <c r="CA9" s="53">
        <f t="shared" si="15"/>
        <v>-815032</v>
      </c>
      <c r="CB9" s="53">
        <f t="shared" si="15"/>
        <v>-3094760</v>
      </c>
      <c r="CC9" s="53">
        <f t="shared" si="15"/>
        <v>-71.932043749999977</v>
      </c>
      <c r="CD9" s="53">
        <f t="shared" si="15"/>
        <v>-75.246165625000017</v>
      </c>
      <c r="CE9" s="53">
        <f t="shared" si="15"/>
        <v>-41.146812500000003</v>
      </c>
      <c r="CF9" s="53">
        <f t="shared" si="15"/>
        <v>-49.540606250000003</v>
      </c>
      <c r="CG9" s="53">
        <f t="shared" si="15"/>
        <v>-49.645290625000001</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65.984046875000004</v>
      </c>
      <c r="X10" s="23">
        <v>67.859693750000005</v>
      </c>
      <c r="Y10" s="23">
        <v>31.013375</v>
      </c>
      <c r="Z10" s="23">
        <v>38.767165624999997</v>
      </c>
      <c r="AA10" s="23">
        <v>30.131440625</v>
      </c>
      <c r="AB10" s="24">
        <v>2994.39</v>
      </c>
      <c r="AC10" s="24">
        <v>4757.9399999999996</v>
      </c>
      <c r="AD10" s="24">
        <v>11.215999999999999</v>
      </c>
      <c r="AE10" s="24">
        <v>8.9239999999999995</v>
      </c>
      <c r="AG10" s="19" t="str">
        <f t="shared" si="6"/>
        <v>·</v>
      </c>
      <c r="AH10" s="20" t="str">
        <f t="shared" si="7"/>
        <v>·</v>
      </c>
      <c r="AI10" s="20" t="str">
        <f t="shared" si="8"/>
        <v>·</v>
      </c>
      <c r="AJ10" s="20" t="str">
        <f t="shared" si="9"/>
        <v>·</v>
      </c>
      <c r="AK10" s="20" t="str">
        <f t="shared" si="10"/>
        <v>·</v>
      </c>
      <c r="AL10" s="17" t="str">
        <f t="shared" si="11"/>
        <v/>
      </c>
      <c r="AM10" s="20">
        <v>16</v>
      </c>
      <c r="AN10" s="21"/>
      <c r="AO10" s="21"/>
      <c r="AP10" s="21"/>
      <c r="AQ10" s="22"/>
      <c r="AR10" s="22"/>
      <c r="AS10" s="22"/>
      <c r="AT10" s="22"/>
      <c r="AU10" s="23"/>
      <c r="AV10" s="23"/>
      <c r="AW10" s="23"/>
      <c r="AX10" s="23"/>
      <c r="AY10" s="23"/>
      <c r="AZ10" s="24"/>
      <c r="BA10" s="24"/>
      <c r="BB10" s="24"/>
      <c r="BC10" s="24"/>
      <c r="BE10" s="49" t="e">
        <f t="shared" si="12"/>
        <v>#VALUE!</v>
      </c>
      <c r="BF10" s="25" t="e">
        <f t="shared" si="13"/>
        <v>#DIV/0!</v>
      </c>
      <c r="BG10" s="25" t="e">
        <f t="shared" si="14"/>
        <v>#VALUE!</v>
      </c>
      <c r="BH10" s="25" t="e">
        <f t="array" ref="BH10">AVERAGE(AL10:AL14/AQ10:AQ14) - AVERAGE(N10:N14/S10:S14)</f>
        <v>#VALUE!</v>
      </c>
      <c r="BJ10" s="49" t="str">
        <f>IF( OR(ISBLANK(N10:N14),ISBLANK(AL10:AL14), ISBLANK(W10:W14),ISBLANK(AU10:AU14)), "·", bdRateExtend( N10:N14,W10:W14, AL10:AL14,AU10:AU14))</f>
        <v>·</v>
      </c>
      <c r="BK10" s="49" t="str">
        <f>IF( OR(ISBLANK(N10:N14),ISBLANK(AL10:AL14), ISBLANK(X10:X14),ISBLANK(AV10:AV14)), "·", bdRateExtend( N10:N14,X10:X14, AL10:AL14,AV10:AV14))</f>
        <v>·</v>
      </c>
      <c r="BL10" s="49" t="str">
        <f>IF( OR(ISBLANK(V10:V14),ISBLANK(AT10:AT14), ISBLANK(Y10:Y14),ISBLANK(AW10:AW14)), "·", bdRateExtend( V10:V14,Y10:Y14, AT10:AT14,AW10:AW14))</f>
        <v>·</v>
      </c>
      <c r="BM10" s="49" t="str">
        <f>IF( OR(ISBLANK(V10:V14),ISBLANK(AT10:AT14), ISBLANK(Z10:Z14),ISBLANK(AX10:AX14)), "·", bdRateExtend( V10:V14,Z10:Z14, AT10:AT14,AX10:AX14))</f>
        <v>·</v>
      </c>
      <c r="BN10" s="49" t="str">
        <f>IF( OR(ISBLANK(V10:V14),ISBLANK(AT10:AT14), ISBLANK(AA10:AA14),ISBLANK(AY10:AY14)), "·", bdRateExtend( V10:V14,AA10:AA14, AT10:AT14,AY10:AY14))</f>
        <v>·</v>
      </c>
      <c r="BP10" s="49" t="str">
        <f>IF( OR(ISBLANK(S10:S14),ISBLANK(AQ10:AQ14), ISBLANK(W10:W14),ISBLANK(AU10:AU14)), "·", bdRateExtend( S10:S14,W10:W14, AQ10:AQ14,AU10:AU14))</f>
        <v>·</v>
      </c>
      <c r="BQ10" s="49" t="str">
        <f>IF( OR(ISBLANK(S10:S14),ISBLANK(AQ10:AQ14), ISBLANK(X10:X14),ISBLANK(AV10:AV14)), "·", bdRateExtend( S10:S14,X10:X14, AQ10:AQ14,AV10:AV14))</f>
        <v>·</v>
      </c>
      <c r="BR10" s="49" t="str">
        <f>IF( OR(ISBLANK(S10:S14),ISBLANK(AQ10:AQ14), ISBLANK(Y10:Y14),ISBLANK(AW10:AW14)), "·", bdRateExtend( S10:S14,Y10:Y14, AQ10:AQ14,AW10:AW14))</f>
        <v>·</v>
      </c>
      <c r="BS10" s="49" t="str">
        <f>IF( OR(ISBLANK(S10:S14),ISBLANK(AQ10:AQ14), ISBLANK(Z10:Z14),ISBLANK(AX10:AX14)), "·", bdRateExtend( S10:S14,Z10:Z14, AQ10:AQ14,AX10:AX14))</f>
        <v>·</v>
      </c>
      <c r="BT10" s="49" t="str">
        <f>IF( OR(ISBLANK(S10:S14),ISBLANK(AQ10:AQ14), ISBLANK(AA10:AA14),ISBLANK(AY10:AY14)), "·", bdRateExtend( S10:S14,AA10:AA14, AQ10:AQ14,AY10:AY14))</f>
        <v>·</v>
      </c>
      <c r="BV10" s="53">
        <f t="shared" si="16"/>
        <v>-20942558</v>
      </c>
      <c r="BW10" s="53">
        <f t="shared" si="15"/>
        <v>-654454.9375</v>
      </c>
      <c r="BX10" s="53">
        <f t="shared" si="15"/>
        <v>-18943.59375</v>
      </c>
      <c r="BY10" s="53">
        <f t="shared" si="15"/>
        <v>-2109440</v>
      </c>
      <c r="BZ10" s="53">
        <f t="shared" si="15"/>
        <v>-896584</v>
      </c>
      <c r="CA10" s="53">
        <f t="shared" si="15"/>
        <v>-685008</v>
      </c>
      <c r="CB10" s="53">
        <f t="shared" si="15"/>
        <v>-527848</v>
      </c>
      <c r="CC10" s="53">
        <f t="shared" si="15"/>
        <v>-65.984046875000004</v>
      </c>
      <c r="CD10" s="53">
        <f t="shared" si="15"/>
        <v>-67.859693750000005</v>
      </c>
      <c r="CE10" s="53">
        <f t="shared" si="15"/>
        <v>-31.013375</v>
      </c>
      <c r="CF10" s="53">
        <f t="shared" si="15"/>
        <v>-38.767165624999997</v>
      </c>
      <c r="CG10" s="53">
        <f t="shared" si="15"/>
        <v>-30.131440625</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67.674731250000008</v>
      </c>
      <c r="X11" s="14">
        <v>69.753456249999999</v>
      </c>
      <c r="Y11" s="14">
        <v>32.828746874999993</v>
      </c>
      <c r="Z11" s="14">
        <v>39.653337500000013</v>
      </c>
      <c r="AA11" s="14">
        <v>32.228321874999999</v>
      </c>
      <c r="AB11" s="15">
        <v>2979.1</v>
      </c>
      <c r="AC11" s="15">
        <v>5047.7299999999996</v>
      </c>
      <c r="AD11" s="15">
        <v>11.324</v>
      </c>
      <c r="AE11" s="15">
        <v>9.3879999999999999</v>
      </c>
      <c r="AG11" s="10" t="str">
        <f t="shared" si="6"/>
        <v>·</v>
      </c>
      <c r="AH11" s="11" t="str">
        <f t="shared" si="7"/>
        <v>·</v>
      </c>
      <c r="AI11" s="11" t="str">
        <f t="shared" si="8"/>
        <v>·</v>
      </c>
      <c r="AJ11" s="11" t="str">
        <f t="shared" si="9"/>
        <v>·</v>
      </c>
      <c r="AK11" s="11" t="str">
        <f t="shared" si="10"/>
        <v>·</v>
      </c>
      <c r="AL11" s="52" t="str">
        <f t="shared" si="11"/>
        <v/>
      </c>
      <c r="AM11" s="11">
        <v>16</v>
      </c>
      <c r="AN11" s="12"/>
      <c r="AO11" s="12"/>
      <c r="AP11" s="12"/>
      <c r="AQ11" s="13"/>
      <c r="AR11" s="13"/>
      <c r="AS11" s="13"/>
      <c r="AT11" s="13"/>
      <c r="AU11" s="14"/>
      <c r="AV11" s="14"/>
      <c r="AW11" s="14"/>
      <c r="AX11" s="14"/>
      <c r="AY11" s="14"/>
      <c r="AZ11" s="15"/>
      <c r="BA11" s="15"/>
      <c r="BB11" s="15"/>
      <c r="BC11" s="15"/>
      <c r="BE11" s="50" t="e">
        <f t="shared" si="12"/>
        <v>#VALUE!</v>
      </c>
      <c r="BF11" s="16" t="e">
        <f t="shared" si="13"/>
        <v>#DIV/0!</v>
      </c>
      <c r="BG11" s="16" t="e">
        <f t="shared" si="14"/>
        <v>#VALUE!</v>
      </c>
      <c r="BH11" s="16"/>
      <c r="BJ11" s="50"/>
      <c r="BK11" s="50"/>
      <c r="BL11" s="50"/>
      <c r="BM11" s="50"/>
      <c r="BN11" s="50"/>
      <c r="BP11" s="50"/>
      <c r="BQ11" s="50"/>
      <c r="BR11" s="50"/>
      <c r="BS11" s="50"/>
      <c r="BT11" s="50"/>
      <c r="BV11" s="53">
        <f t="shared" si="16"/>
        <v>-22233167</v>
      </c>
      <c r="BW11" s="53">
        <f t="shared" si="15"/>
        <v>-694786.46875</v>
      </c>
      <c r="BX11" s="53">
        <f t="shared" si="15"/>
        <v>-23204.09375</v>
      </c>
      <c r="BY11" s="53">
        <f t="shared" si="15"/>
        <v>-2882552</v>
      </c>
      <c r="BZ11" s="53">
        <f t="shared" si="15"/>
        <v>-1256240</v>
      </c>
      <c r="CA11" s="53">
        <f t="shared" si="15"/>
        <v>-685008</v>
      </c>
      <c r="CB11" s="53">
        <f t="shared" si="15"/>
        <v>-941304</v>
      </c>
      <c r="CC11" s="53">
        <f t="shared" si="15"/>
        <v>-67.674731250000008</v>
      </c>
      <c r="CD11" s="53">
        <f t="shared" si="15"/>
        <v>-69.753456249999999</v>
      </c>
      <c r="CE11" s="53">
        <f t="shared" si="15"/>
        <v>-32.828746874999993</v>
      </c>
      <c r="CF11" s="53">
        <f t="shared" si="15"/>
        <v>-39.653337500000013</v>
      </c>
      <c r="CG11" s="53">
        <f t="shared" si="15"/>
        <v>-32.228321874999999</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69.009450000000015</v>
      </c>
      <c r="X12" s="23">
        <v>71.379971874999995</v>
      </c>
      <c r="Y12" s="23">
        <v>34.879440624999987</v>
      </c>
      <c r="Z12" s="23">
        <v>40.634481249999993</v>
      </c>
      <c r="AA12" s="23">
        <v>34.126809374999993</v>
      </c>
      <c r="AB12" s="24">
        <v>3002.95</v>
      </c>
      <c r="AC12" s="24">
        <v>5401.59</v>
      </c>
      <c r="AD12" s="24">
        <v>11.412000000000001</v>
      </c>
      <c r="AE12" s="24">
        <v>9.98</v>
      </c>
      <c r="AG12" s="19" t="str">
        <f t="shared" si="6"/>
        <v>·</v>
      </c>
      <c r="AH12" s="20" t="str">
        <f t="shared" si="7"/>
        <v>·</v>
      </c>
      <c r="AI12" s="20" t="str">
        <f t="shared" si="8"/>
        <v>·</v>
      </c>
      <c r="AJ12" s="20" t="str">
        <f t="shared" si="9"/>
        <v>·</v>
      </c>
      <c r="AK12" s="20" t="str">
        <f t="shared" si="10"/>
        <v>·</v>
      </c>
      <c r="AL12" s="17" t="str">
        <f t="shared" si="11"/>
        <v/>
      </c>
      <c r="AM12" s="20">
        <v>16</v>
      </c>
      <c r="AN12" s="21"/>
      <c r="AO12" s="21"/>
      <c r="AP12" s="21"/>
      <c r="AQ12" s="22"/>
      <c r="AR12" s="22"/>
      <c r="AS12" s="22"/>
      <c r="AT12" s="22"/>
      <c r="AU12" s="23"/>
      <c r="AV12" s="23"/>
      <c r="AW12" s="23"/>
      <c r="AX12" s="23"/>
      <c r="AY12" s="23"/>
      <c r="AZ12" s="24"/>
      <c r="BA12" s="24"/>
      <c r="BB12" s="24"/>
      <c r="BC12" s="24"/>
      <c r="BE12" s="49" t="e">
        <f t="shared" si="12"/>
        <v>#VALUE!</v>
      </c>
      <c r="BF12" s="25" t="e">
        <f t="shared" si="13"/>
        <v>#DIV/0!</v>
      </c>
      <c r="BG12" s="25" t="e">
        <f t="shared" si="14"/>
        <v>#VALUE!</v>
      </c>
      <c r="BH12" s="25"/>
      <c r="BJ12" s="49"/>
      <c r="BK12" s="49"/>
      <c r="BL12" s="49"/>
      <c r="BM12" s="49"/>
      <c r="BN12" s="49"/>
      <c r="BP12" s="49"/>
      <c r="BQ12" s="49"/>
      <c r="BR12" s="49"/>
      <c r="BS12" s="49"/>
      <c r="BT12" s="49"/>
      <c r="BV12" s="53">
        <f t="shared" si="16"/>
        <v>-22569901</v>
      </c>
      <c r="BW12" s="53">
        <f t="shared" si="15"/>
        <v>-705309.40625</v>
      </c>
      <c r="BX12" s="53">
        <f t="shared" si="15"/>
        <v>-24721.9375</v>
      </c>
      <c r="BY12" s="53">
        <f t="shared" si="15"/>
        <v>-4110664</v>
      </c>
      <c r="BZ12" s="53">
        <f t="shared" si="15"/>
        <v>-1805408</v>
      </c>
      <c r="CA12" s="53">
        <f t="shared" si="15"/>
        <v>-685008</v>
      </c>
      <c r="CB12" s="53">
        <f t="shared" si="15"/>
        <v>-1620248</v>
      </c>
      <c r="CC12" s="53">
        <f t="shared" si="15"/>
        <v>-69.009450000000015</v>
      </c>
      <c r="CD12" s="53">
        <f t="shared" si="15"/>
        <v>-71.379971874999995</v>
      </c>
      <c r="CE12" s="53">
        <f t="shared" si="15"/>
        <v>-34.879440624999987</v>
      </c>
      <c r="CF12" s="53">
        <f t="shared" si="15"/>
        <v>-40.634481249999993</v>
      </c>
      <c r="CG12" s="53">
        <f t="shared" si="15"/>
        <v>-34.126809374999993</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70.060287500000001</v>
      </c>
      <c r="X13" s="14">
        <v>72.567171875</v>
      </c>
      <c r="Y13" s="14">
        <v>37.06</v>
      </c>
      <c r="Z13" s="14">
        <v>41.690990624999991</v>
      </c>
      <c r="AA13" s="14">
        <v>36.083268750000002</v>
      </c>
      <c r="AB13" s="15">
        <v>3060.39</v>
      </c>
      <c r="AC13" s="15">
        <v>6411.92</v>
      </c>
      <c r="AD13" s="15">
        <v>11.571999999999999</v>
      </c>
      <c r="AE13" s="15">
        <v>10.532</v>
      </c>
      <c r="AG13" s="10" t="str">
        <f t="shared" si="6"/>
        <v>·</v>
      </c>
      <c r="AH13" s="11" t="str">
        <f t="shared" si="7"/>
        <v>·</v>
      </c>
      <c r="AI13" s="11" t="str">
        <f t="shared" si="8"/>
        <v>·</v>
      </c>
      <c r="AJ13" s="11" t="str">
        <f t="shared" si="9"/>
        <v>·</v>
      </c>
      <c r="AK13" s="11" t="str">
        <f t="shared" si="10"/>
        <v>·</v>
      </c>
      <c r="AL13" s="52" t="str">
        <f t="shared" si="11"/>
        <v/>
      </c>
      <c r="AM13" s="11">
        <v>16</v>
      </c>
      <c r="AN13" s="12"/>
      <c r="AO13" s="12"/>
      <c r="AP13" s="12"/>
      <c r="AQ13" s="13"/>
      <c r="AR13" s="13"/>
      <c r="AS13" s="13"/>
      <c r="AT13" s="13"/>
      <c r="AU13" s="14"/>
      <c r="AV13" s="14"/>
      <c r="AW13" s="14"/>
      <c r="AX13" s="14"/>
      <c r="AY13" s="14"/>
      <c r="AZ13" s="15"/>
      <c r="BA13" s="15"/>
      <c r="BB13" s="15"/>
      <c r="BC13" s="15"/>
      <c r="BE13" s="50" t="e">
        <f t="shared" si="12"/>
        <v>#VALUE!</v>
      </c>
      <c r="BF13" s="16" t="e">
        <f t="shared" si="13"/>
        <v>#DIV/0!</v>
      </c>
      <c r="BG13" s="16" t="e">
        <f t="shared" si="14"/>
        <v>#VALUE!</v>
      </c>
      <c r="BH13" s="16"/>
      <c r="BJ13" s="50"/>
      <c r="BK13" s="50"/>
      <c r="BL13" s="50"/>
      <c r="BM13" s="50"/>
      <c r="BN13" s="50"/>
      <c r="BP13" s="50"/>
      <c r="BQ13" s="50"/>
      <c r="BR13" s="50"/>
      <c r="BS13" s="50"/>
      <c r="BT13" s="50"/>
      <c r="BV13" s="53">
        <f t="shared" si="16"/>
        <v>-23308443</v>
      </c>
      <c r="BW13" s="53">
        <f t="shared" si="15"/>
        <v>-728388.84375</v>
      </c>
      <c r="BX13" s="53">
        <f t="shared" si="15"/>
        <v>-27991.21875</v>
      </c>
      <c r="BY13" s="53">
        <f t="shared" si="15"/>
        <v>-6639768</v>
      </c>
      <c r="BZ13" s="53">
        <f t="shared" si="15"/>
        <v>-2787480</v>
      </c>
      <c r="CA13" s="53">
        <f t="shared" si="15"/>
        <v>-685008</v>
      </c>
      <c r="CB13" s="53">
        <f t="shared" si="15"/>
        <v>-3167280</v>
      </c>
      <c r="CC13" s="53">
        <f t="shared" si="15"/>
        <v>-70.060287500000001</v>
      </c>
      <c r="CD13" s="53">
        <f t="shared" si="15"/>
        <v>-72.567171875</v>
      </c>
      <c r="CE13" s="53">
        <f t="shared" si="15"/>
        <v>-37.06</v>
      </c>
      <c r="CF13" s="53">
        <f t="shared" si="15"/>
        <v>-41.690990624999991</v>
      </c>
      <c r="CG13" s="53">
        <f t="shared" si="15"/>
        <v>-36.083268750000002</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70.920671875000025</v>
      </c>
      <c r="X14" s="42">
        <v>74.632662499999981</v>
      </c>
      <c r="Y14" s="42">
        <v>39.462553124999999</v>
      </c>
      <c r="Z14" s="42">
        <v>42.973531250000008</v>
      </c>
      <c r="AA14" s="42">
        <v>38.239546875000002</v>
      </c>
      <c r="AB14" s="43">
        <v>3062.86</v>
      </c>
      <c r="AC14" s="43">
        <v>7034.47</v>
      </c>
      <c r="AD14" s="43">
        <v>11.692</v>
      </c>
      <c r="AE14" s="43">
        <v>10.46</v>
      </c>
      <c r="AG14" s="38" t="str">
        <f t="shared" si="6"/>
        <v>·</v>
      </c>
      <c r="AH14" s="39" t="str">
        <f t="shared" si="7"/>
        <v>·</v>
      </c>
      <c r="AI14" s="39" t="str">
        <f t="shared" si="8"/>
        <v>·</v>
      </c>
      <c r="AJ14" s="39" t="str">
        <f t="shared" si="9"/>
        <v>·</v>
      </c>
      <c r="AK14" s="39" t="str">
        <f t="shared" si="10"/>
        <v>·</v>
      </c>
      <c r="AL14" s="36" t="str">
        <f t="shared" si="11"/>
        <v/>
      </c>
      <c r="AM14" s="39">
        <v>16</v>
      </c>
      <c r="AN14" s="40"/>
      <c r="AO14" s="40"/>
      <c r="AP14" s="40"/>
      <c r="AQ14" s="41"/>
      <c r="AR14" s="41"/>
      <c r="AS14" s="41"/>
      <c r="AT14" s="41"/>
      <c r="AU14" s="42"/>
      <c r="AV14" s="42"/>
      <c r="AW14" s="42"/>
      <c r="AX14" s="42"/>
      <c r="AY14" s="42"/>
      <c r="AZ14" s="43"/>
      <c r="BA14" s="43"/>
      <c r="BB14" s="43"/>
      <c r="BC14" s="43"/>
      <c r="BE14" s="44" t="e">
        <f t="shared" si="12"/>
        <v>#VALUE!</v>
      </c>
      <c r="BF14" s="45" t="e">
        <f t="shared" si="13"/>
        <v>#DIV/0!</v>
      </c>
      <c r="BG14" s="45" t="e">
        <f t="shared" si="14"/>
        <v>#VALUE!</v>
      </c>
      <c r="BH14" s="45"/>
      <c r="BJ14" s="44"/>
      <c r="BK14" s="44"/>
      <c r="BL14" s="44"/>
      <c r="BM14" s="44"/>
      <c r="BN14" s="44"/>
      <c r="BP14" s="44"/>
      <c r="BQ14" s="44"/>
      <c r="BR14" s="44"/>
      <c r="BS14" s="44"/>
      <c r="BT14" s="44"/>
      <c r="BV14" s="53">
        <f t="shared" si="16"/>
        <v>-22150010</v>
      </c>
      <c r="BW14" s="53">
        <f t="shared" si="15"/>
        <v>-692187.8125</v>
      </c>
      <c r="BX14" s="53">
        <f t="shared" si="15"/>
        <v>-13331.5625</v>
      </c>
      <c r="BY14" s="53">
        <f t="shared" si="15"/>
        <v>-13085504</v>
      </c>
      <c r="BZ14" s="53">
        <f t="shared" si="15"/>
        <v>-4524160</v>
      </c>
      <c r="CA14" s="53">
        <f t="shared" si="15"/>
        <v>-1326776</v>
      </c>
      <c r="CB14" s="53">
        <f t="shared" si="15"/>
        <v>-7234568</v>
      </c>
      <c r="CC14" s="53">
        <f t="shared" si="15"/>
        <v>-70.920671875000025</v>
      </c>
      <c r="CD14" s="53">
        <f t="shared" si="15"/>
        <v>-74.632662499999981</v>
      </c>
      <c r="CE14" s="53">
        <f t="shared" si="15"/>
        <v>-39.462553124999999</v>
      </c>
      <c r="CF14" s="53">
        <f t="shared" si="15"/>
        <v>-42.973531250000008</v>
      </c>
      <c r="CG14" s="53">
        <f t="shared" si="15"/>
        <v>-38.239546875000002</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66.298768749999994</v>
      </c>
      <c r="X15" s="14">
        <v>67.85019062500001</v>
      </c>
      <c r="Y15" s="14">
        <v>29.2416375</v>
      </c>
      <c r="Z15" s="14">
        <v>43.356131249999997</v>
      </c>
      <c r="AA15" s="14">
        <v>43.670806250000012</v>
      </c>
      <c r="AB15" s="15">
        <v>4718.78</v>
      </c>
      <c r="AC15" s="15">
        <v>4411.58</v>
      </c>
      <c r="AD15" s="15">
        <v>13.94</v>
      </c>
      <c r="AE15" s="15">
        <v>6.3920000000000003</v>
      </c>
      <c r="AG15" s="10" t="str">
        <f t="shared" si="6"/>
        <v>·</v>
      </c>
      <c r="AH15" s="11" t="str">
        <f t="shared" si="7"/>
        <v>·</v>
      </c>
      <c r="AI15" s="11" t="str">
        <f t="shared" si="8"/>
        <v>·</v>
      </c>
      <c r="AJ15" s="11" t="str">
        <f t="shared" si="9"/>
        <v>·</v>
      </c>
      <c r="AK15" s="11" t="str">
        <f t="shared" si="10"/>
        <v>·</v>
      </c>
      <c r="AL15" s="52" t="str">
        <f t="shared" si="11"/>
        <v/>
      </c>
      <c r="AM15" s="11">
        <v>16</v>
      </c>
      <c r="AN15" s="12"/>
      <c r="AO15" s="12"/>
      <c r="AP15" s="12"/>
      <c r="AQ15" s="13"/>
      <c r="AR15" s="13"/>
      <c r="AS15" s="13"/>
      <c r="AT15" s="13"/>
      <c r="AU15" s="14"/>
      <c r="AV15" s="14"/>
      <c r="AW15" s="14"/>
      <c r="AX15" s="14"/>
      <c r="AY15" s="14"/>
      <c r="AZ15" s="15"/>
      <c r="BA15" s="15"/>
      <c r="BB15" s="15"/>
      <c r="BC15" s="15"/>
      <c r="BE15" s="50" t="e">
        <f t="shared" si="12"/>
        <v>#VALUE!</v>
      </c>
      <c r="BF15" s="16" t="e">
        <f t="shared" si="13"/>
        <v>#DIV/0!</v>
      </c>
      <c r="BG15" s="16" t="e">
        <f t="shared" si="14"/>
        <v>#VALUE!</v>
      </c>
      <c r="BH15" s="16" t="e">
        <f t="array" ref="BH15">AVERAGE(AL15:AL19/AQ15:AQ19) - AVERAGE(N15:N19/S15:S19)</f>
        <v>#VALUE!</v>
      </c>
      <c r="BJ15" s="50" t="str">
        <f>IF( OR(ISBLANK(N15:N19),ISBLANK(AL15:AL19), ISBLANK(W15:W19),ISBLANK(AU15:AU19)), "·", bdRateExtend( N15:N19,W15:W19, AL15:AL19,AU15:AU19))</f>
        <v>·</v>
      </c>
      <c r="BK15" s="50" t="str">
        <f>IF( OR(ISBLANK(N15:N19),ISBLANK(AL15:AL19), ISBLANK(X15:X19),ISBLANK(AV15:AV19)), "·", bdRateExtend( N15:N19,X15:X19, AL15:AL19,AV15:AV19))</f>
        <v>·</v>
      </c>
      <c r="BL15" s="50" t="str">
        <f>IF( OR(ISBLANK(V15:V19),ISBLANK(AT15:AT19), ISBLANK(Y15:Y19),ISBLANK(AW15:AW19)), "·", bdRateExtend( V15:V19,Y15:Y19, AT15:AT19,AW15:AW19))</f>
        <v>·</v>
      </c>
      <c r="BM15" s="50" t="str">
        <f>IF( OR(ISBLANK(V15:V19),ISBLANK(AT15:AT19), ISBLANK(Z15:Z19),ISBLANK(AX15:AX19)), "·", bdRateExtend( V15:V19,Z15:Z19, AT15:AT19,AX15:AX19))</f>
        <v>·</v>
      </c>
      <c r="BN15" s="50" t="str">
        <f>IF( OR(ISBLANK(V15:V19),ISBLANK(AT15:AT19), ISBLANK(AA15:AA19),ISBLANK(AY15:AY19)), "·", bdRateExtend( V15:V19,AA15:AA19, AT15:AT19,AY15:AY19))</f>
        <v>·</v>
      </c>
      <c r="BP15" s="50" t="str">
        <f>IF( OR(ISBLANK(S15:S19),ISBLANK(AQ15:AQ19), ISBLANK(W15:W19),ISBLANK(AU15:AU19)), "·", bdRateExtend( S15:S19,W15:W19, AQ15:AQ19,AU15:AU19))</f>
        <v>·</v>
      </c>
      <c r="BQ15" s="50" t="str">
        <f>IF( OR(ISBLANK(S15:S19),ISBLANK(AQ15:AQ19), ISBLANK(X15:X19),ISBLANK(AV15:AV19)), "·", bdRateExtend( S15:S19,X15:X19, AQ15:AQ19,AV15:AV19))</f>
        <v>·</v>
      </c>
      <c r="BR15" s="50" t="str">
        <f>IF( OR(ISBLANK(S15:S19),ISBLANK(AQ15:AQ19), ISBLANK(Y15:Y19),ISBLANK(AW15:AW19)), "·", bdRateExtend( S15:S19,Y15:Y19, AQ15:AQ19,AW15:AW19))</f>
        <v>·</v>
      </c>
      <c r="BS15" s="50" t="str">
        <f>IF( OR(ISBLANK(S15:S19),ISBLANK(AQ15:AQ19), ISBLANK(Z15:Z19),ISBLANK(AX15:AX19)), "·", bdRateExtend( S15:S19,Z15:Z19, AQ15:AQ19,AX15:AX19))</f>
        <v>·</v>
      </c>
      <c r="BT15" s="50" t="str">
        <f>IF( OR(ISBLANK(S15:S19),ISBLANK(AQ15:AQ19), ISBLANK(AA15:AA19),ISBLANK(AY15:AY19)), "·", bdRateExtend( S15:S19,AA15:AA19, AQ15:AQ19,AY15:AY19))</f>
        <v>·</v>
      </c>
      <c r="BV15" s="53">
        <f t="shared" si="16"/>
        <v>-32415907</v>
      </c>
      <c r="BW15" s="53">
        <f t="shared" si="15"/>
        <v>-1012997.09375</v>
      </c>
      <c r="BX15" s="53">
        <f t="shared" si="15"/>
        <v>-32038.09375</v>
      </c>
      <c r="BY15" s="53">
        <f t="shared" si="15"/>
        <v>-1736592</v>
      </c>
      <c r="BZ15" s="53">
        <f t="shared" si="15"/>
        <v>-763136</v>
      </c>
      <c r="CA15" s="53">
        <f t="shared" si="15"/>
        <v>-697096</v>
      </c>
      <c r="CB15" s="53">
        <f t="shared" si="15"/>
        <v>-276360</v>
      </c>
      <c r="CC15" s="53">
        <f t="shared" si="15"/>
        <v>-66.298768749999994</v>
      </c>
      <c r="CD15" s="53">
        <f t="shared" si="15"/>
        <v>-67.85019062500001</v>
      </c>
      <c r="CE15" s="53">
        <f t="shared" si="15"/>
        <v>-29.2416375</v>
      </c>
      <c r="CF15" s="53">
        <f t="shared" si="15"/>
        <v>-43.356131249999997</v>
      </c>
      <c r="CG15" s="53">
        <f t="shared" si="15"/>
        <v>-43.670806250000012</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68.029634375000001</v>
      </c>
      <c r="X16" s="23">
        <v>70.006815625000002</v>
      </c>
      <c r="Y16" s="23">
        <v>31.530703124999999</v>
      </c>
      <c r="Z16" s="23">
        <v>44.119390625000001</v>
      </c>
      <c r="AA16" s="23">
        <v>44.541440625000007</v>
      </c>
      <c r="AB16" s="24">
        <v>4712.13</v>
      </c>
      <c r="AC16" s="24">
        <v>4714.59</v>
      </c>
      <c r="AD16" s="24">
        <v>14.412000000000001</v>
      </c>
      <c r="AE16" s="24">
        <v>7.0039999999999996</v>
      </c>
      <c r="AG16" s="19" t="str">
        <f t="shared" si="6"/>
        <v>·</v>
      </c>
      <c r="AH16" s="20" t="str">
        <f t="shared" si="7"/>
        <v>·</v>
      </c>
      <c r="AI16" s="20" t="str">
        <f t="shared" si="8"/>
        <v>·</v>
      </c>
      <c r="AJ16" s="20" t="str">
        <f t="shared" si="9"/>
        <v>·</v>
      </c>
      <c r="AK16" s="20" t="str">
        <f t="shared" si="10"/>
        <v>·</v>
      </c>
      <c r="AL16" s="17" t="str">
        <f t="shared" si="11"/>
        <v/>
      </c>
      <c r="AM16" s="20">
        <v>16</v>
      </c>
      <c r="AN16" s="21"/>
      <c r="AO16" s="21"/>
      <c r="AP16" s="21"/>
      <c r="AQ16" s="22"/>
      <c r="AR16" s="22"/>
      <c r="AS16" s="22"/>
      <c r="AT16" s="22"/>
      <c r="AU16" s="23"/>
      <c r="AV16" s="23"/>
      <c r="AW16" s="23"/>
      <c r="AX16" s="23"/>
      <c r="AY16" s="23"/>
      <c r="AZ16" s="24"/>
      <c r="BA16" s="24"/>
      <c r="BB16" s="24"/>
      <c r="BC16" s="24"/>
      <c r="BE16" s="49" t="e">
        <f t="shared" si="12"/>
        <v>#VALUE!</v>
      </c>
      <c r="BF16" s="25" t="e">
        <f t="shared" si="13"/>
        <v>#DIV/0!</v>
      </c>
      <c r="BG16" s="25" t="e">
        <f t="shared" si="14"/>
        <v>#VALUE!</v>
      </c>
      <c r="BH16" s="25"/>
      <c r="BJ16" s="49"/>
      <c r="BK16" s="49"/>
      <c r="BL16" s="49"/>
      <c r="BM16" s="49"/>
      <c r="BN16" s="49"/>
      <c r="BP16" s="49"/>
      <c r="BQ16" s="49"/>
      <c r="BR16" s="49"/>
      <c r="BS16" s="49"/>
      <c r="BT16" s="49"/>
      <c r="BV16" s="53">
        <f t="shared" si="16"/>
        <v>-33874164</v>
      </c>
      <c r="BW16" s="53">
        <f t="shared" si="15"/>
        <v>-1058567.625</v>
      </c>
      <c r="BX16" s="53">
        <f t="shared" si="15"/>
        <v>-36864.21875</v>
      </c>
      <c r="BY16" s="53">
        <f t="shared" si="15"/>
        <v>-2275664</v>
      </c>
      <c r="BZ16" s="53">
        <f t="shared" si="15"/>
        <v>-1063248</v>
      </c>
      <c r="CA16" s="53">
        <f t="shared" si="15"/>
        <v>-697096</v>
      </c>
      <c r="CB16" s="53">
        <f t="shared" si="15"/>
        <v>-515320</v>
      </c>
      <c r="CC16" s="53">
        <f t="shared" si="15"/>
        <v>-68.029634375000001</v>
      </c>
      <c r="CD16" s="53">
        <f t="shared" si="15"/>
        <v>-70.006815625000002</v>
      </c>
      <c r="CE16" s="53">
        <f t="shared" si="15"/>
        <v>-31.530703124999999</v>
      </c>
      <c r="CF16" s="53">
        <f t="shared" si="15"/>
        <v>-44.119390625000001</v>
      </c>
      <c r="CG16" s="53">
        <f t="shared" si="15"/>
        <v>-44.541440625000007</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69.351503125000008</v>
      </c>
      <c r="X17" s="14">
        <v>71.840315625000002</v>
      </c>
      <c r="Y17" s="14">
        <v>33.946487500000003</v>
      </c>
      <c r="Z17" s="14">
        <v>45.134740624999999</v>
      </c>
      <c r="AA17" s="14">
        <v>45.742221875000013</v>
      </c>
      <c r="AB17" s="15">
        <v>4720.22</v>
      </c>
      <c r="AC17" s="15">
        <v>5024.43</v>
      </c>
      <c r="AD17" s="15">
        <v>15.044</v>
      </c>
      <c r="AE17" s="15">
        <v>10.128</v>
      </c>
      <c r="AG17" s="10" t="str">
        <f t="shared" si="6"/>
        <v>·</v>
      </c>
      <c r="AH17" s="11" t="str">
        <f t="shared" si="7"/>
        <v>·</v>
      </c>
      <c r="AI17" s="11" t="str">
        <f t="shared" si="8"/>
        <v>·</v>
      </c>
      <c r="AJ17" s="11" t="str">
        <f t="shared" si="9"/>
        <v>·</v>
      </c>
      <c r="AK17" s="11" t="str">
        <f t="shared" si="10"/>
        <v>·</v>
      </c>
      <c r="AL17" s="52" t="str">
        <f t="shared" si="11"/>
        <v/>
      </c>
      <c r="AM17" s="11">
        <v>16</v>
      </c>
      <c r="AN17" s="12"/>
      <c r="AO17" s="12"/>
      <c r="AP17" s="12"/>
      <c r="AQ17" s="13"/>
      <c r="AR17" s="13"/>
      <c r="AS17" s="13"/>
      <c r="AT17" s="13"/>
      <c r="AU17" s="14"/>
      <c r="AV17" s="14"/>
      <c r="AW17" s="14"/>
      <c r="AX17" s="14"/>
      <c r="AY17" s="14"/>
      <c r="AZ17" s="15"/>
      <c r="BA17" s="15"/>
      <c r="BB17" s="15"/>
      <c r="BC17" s="15"/>
      <c r="BE17" s="50" t="e">
        <f t="shared" si="12"/>
        <v>#VALUE!</v>
      </c>
      <c r="BF17" s="16" t="e">
        <f t="shared" si="13"/>
        <v>#DIV/0!</v>
      </c>
      <c r="BG17" s="16" t="e">
        <f t="shared" si="14"/>
        <v>#VALUE!</v>
      </c>
      <c r="BH17" s="16"/>
      <c r="BJ17" s="50"/>
      <c r="BK17" s="50"/>
      <c r="BL17" s="50"/>
      <c r="BM17" s="50"/>
      <c r="BN17" s="50"/>
      <c r="BP17" s="50"/>
      <c r="BQ17" s="50"/>
      <c r="BR17" s="50"/>
      <c r="BS17" s="50"/>
      <c r="BT17" s="50"/>
      <c r="BV17" s="53">
        <f t="shared" si="16"/>
        <v>-33778649</v>
      </c>
      <c r="BW17" s="53">
        <f t="shared" si="15"/>
        <v>-1055582.78125</v>
      </c>
      <c r="BX17" s="53">
        <f t="shared" si="15"/>
        <v>-37421.1875</v>
      </c>
      <c r="BY17" s="53">
        <f t="shared" si="15"/>
        <v>-3217776</v>
      </c>
      <c r="BZ17" s="53">
        <f t="shared" si="15"/>
        <v>-1451888</v>
      </c>
      <c r="CA17" s="53">
        <f t="shared" si="15"/>
        <v>-697096</v>
      </c>
      <c r="CB17" s="53">
        <f t="shared" si="15"/>
        <v>-1068792</v>
      </c>
      <c r="CC17" s="53">
        <f t="shared" si="15"/>
        <v>-69.351503125000008</v>
      </c>
      <c r="CD17" s="53">
        <f t="shared" si="15"/>
        <v>-71.840315625000002</v>
      </c>
      <c r="CE17" s="53">
        <f t="shared" si="15"/>
        <v>-33.946487500000003</v>
      </c>
      <c r="CF17" s="53">
        <f t="shared" si="15"/>
        <v>-45.134740624999999</v>
      </c>
      <c r="CG17" s="53">
        <f t="shared" si="15"/>
        <v>-45.742221875000013</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70.529849999999982</v>
      </c>
      <c r="X18" s="23">
        <v>73.133384375000006</v>
      </c>
      <c r="Y18" s="23">
        <v>36.289246875000003</v>
      </c>
      <c r="Z18" s="23">
        <v>46.428246874999992</v>
      </c>
      <c r="AA18" s="23">
        <v>46.981940625000007</v>
      </c>
      <c r="AB18" s="24">
        <v>4718.8</v>
      </c>
      <c r="AC18" s="24">
        <v>5503.41</v>
      </c>
      <c r="AD18" s="24">
        <v>15.26</v>
      </c>
      <c r="AE18" s="24">
        <v>10.62</v>
      </c>
      <c r="AG18" s="19" t="str">
        <f t="shared" si="6"/>
        <v>·</v>
      </c>
      <c r="AH18" s="20" t="str">
        <f t="shared" si="7"/>
        <v>·</v>
      </c>
      <c r="AI18" s="20" t="str">
        <f t="shared" si="8"/>
        <v>·</v>
      </c>
      <c r="AJ18" s="20" t="str">
        <f t="shared" si="9"/>
        <v>·</v>
      </c>
      <c r="AK18" s="20" t="str">
        <f t="shared" si="10"/>
        <v>·</v>
      </c>
      <c r="AL18" s="17" t="str">
        <f t="shared" si="11"/>
        <v/>
      </c>
      <c r="AM18" s="20">
        <v>16</v>
      </c>
      <c r="AN18" s="21"/>
      <c r="AO18" s="21"/>
      <c r="AP18" s="21"/>
      <c r="AQ18" s="22"/>
      <c r="AR18" s="22"/>
      <c r="AS18" s="22"/>
      <c r="AT18" s="22"/>
      <c r="AU18" s="23"/>
      <c r="AV18" s="23"/>
      <c r="AW18" s="23"/>
      <c r="AX18" s="23"/>
      <c r="AY18" s="23"/>
      <c r="AZ18" s="24"/>
      <c r="BA18" s="24"/>
      <c r="BB18" s="24"/>
      <c r="BC18" s="24"/>
      <c r="BE18" s="49" t="e">
        <f t="shared" si="12"/>
        <v>#VALUE!</v>
      </c>
      <c r="BF18" s="25" t="e">
        <f t="shared" si="13"/>
        <v>#DIV/0!</v>
      </c>
      <c r="BG18" s="25" t="e">
        <f t="shared" si="14"/>
        <v>#VALUE!</v>
      </c>
      <c r="BH18" s="25"/>
      <c r="BJ18" s="49"/>
      <c r="BK18" s="49"/>
      <c r="BL18" s="49"/>
      <c r="BM18" s="49"/>
      <c r="BN18" s="49"/>
      <c r="BP18" s="49"/>
      <c r="BQ18" s="49"/>
      <c r="BR18" s="49"/>
      <c r="BS18" s="49"/>
      <c r="BT18" s="49"/>
      <c r="BV18" s="53">
        <f t="shared" si="16"/>
        <v>-34914325</v>
      </c>
      <c r="BW18" s="53">
        <f t="shared" si="15"/>
        <v>-1091072.65625</v>
      </c>
      <c r="BX18" s="53">
        <f t="shared" si="15"/>
        <v>-41603.21875</v>
      </c>
      <c r="BY18" s="53">
        <f t="shared" si="15"/>
        <v>-5705840</v>
      </c>
      <c r="BZ18" s="53">
        <f t="shared" si="15"/>
        <v>-2504208</v>
      </c>
      <c r="CA18" s="53">
        <f t="shared" si="15"/>
        <v>-697096</v>
      </c>
      <c r="CB18" s="53">
        <f t="shared" si="15"/>
        <v>-2504536</v>
      </c>
      <c r="CC18" s="53">
        <f t="shared" si="15"/>
        <v>-70.529849999999982</v>
      </c>
      <c r="CD18" s="53">
        <f t="shared" si="15"/>
        <v>-73.133384375000006</v>
      </c>
      <c r="CE18" s="53">
        <f t="shared" si="15"/>
        <v>-36.289246875000003</v>
      </c>
      <c r="CF18" s="53">
        <f t="shared" si="15"/>
        <v>-46.428246874999992</v>
      </c>
      <c r="CG18" s="53">
        <f t="shared" si="15"/>
        <v>-46.981940625000007</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71.185568750000016</v>
      </c>
      <c r="X19" s="32">
        <v>75.071018750000022</v>
      </c>
      <c r="Y19" s="32">
        <v>38.695609374999997</v>
      </c>
      <c r="Z19" s="32">
        <v>48.186309375</v>
      </c>
      <c r="AA19" s="32">
        <v>48.786537500000001</v>
      </c>
      <c r="AB19" s="33">
        <v>4633.71</v>
      </c>
      <c r="AC19" s="33">
        <v>5379.22</v>
      </c>
      <c r="AD19" s="33">
        <v>13.948</v>
      </c>
      <c r="AE19" s="33">
        <v>12.38</v>
      </c>
      <c r="AG19" s="28" t="str">
        <f t="shared" si="6"/>
        <v>·</v>
      </c>
      <c r="AH19" s="29" t="str">
        <f t="shared" si="7"/>
        <v>·</v>
      </c>
      <c r="AI19" s="29" t="str">
        <f t="shared" si="8"/>
        <v>·</v>
      </c>
      <c r="AJ19" s="29" t="str">
        <f t="shared" si="9"/>
        <v>·</v>
      </c>
      <c r="AK19" s="29" t="str">
        <f t="shared" si="10"/>
        <v>·</v>
      </c>
      <c r="AL19" s="26" t="str">
        <f t="shared" si="11"/>
        <v/>
      </c>
      <c r="AM19" s="29">
        <v>16</v>
      </c>
      <c r="AN19" s="30"/>
      <c r="AO19" s="30"/>
      <c r="AP19" s="30"/>
      <c r="AQ19" s="31"/>
      <c r="AR19" s="31"/>
      <c r="AS19" s="31"/>
      <c r="AT19" s="31"/>
      <c r="AU19" s="32"/>
      <c r="AV19" s="32"/>
      <c r="AW19" s="32"/>
      <c r="AX19" s="32"/>
      <c r="AY19" s="32"/>
      <c r="AZ19" s="33"/>
      <c r="BA19" s="33"/>
      <c r="BB19" s="33"/>
      <c r="BC19" s="33"/>
      <c r="BE19" s="34" t="e">
        <f t="shared" si="12"/>
        <v>#VALUE!</v>
      </c>
      <c r="BF19" s="35" t="e">
        <f t="shared" si="13"/>
        <v>#DIV/0!</v>
      </c>
      <c r="BG19" s="35" t="e">
        <f t="shared" si="14"/>
        <v>#VALUE!</v>
      </c>
      <c r="BH19" s="35"/>
      <c r="BJ19" s="34"/>
      <c r="BK19" s="34"/>
      <c r="BL19" s="34"/>
      <c r="BM19" s="34"/>
      <c r="BN19" s="34"/>
      <c r="BP19" s="34"/>
      <c r="BQ19" s="34"/>
      <c r="BR19" s="34"/>
      <c r="BS19" s="34"/>
      <c r="BT19" s="34"/>
      <c r="BV19" s="53">
        <f t="shared" si="16"/>
        <v>-33019287</v>
      </c>
      <c r="BW19" s="53">
        <f t="shared" si="15"/>
        <v>-1031852.71875</v>
      </c>
      <c r="BX19" s="53">
        <f t="shared" si="15"/>
        <v>-17790.15625</v>
      </c>
      <c r="BY19" s="53">
        <f t="shared" si="15"/>
        <v>-12402480</v>
      </c>
      <c r="BZ19" s="53">
        <f t="shared" si="15"/>
        <v>-4132968</v>
      </c>
      <c r="CA19" s="53">
        <f t="shared" si="15"/>
        <v>-1496368</v>
      </c>
      <c r="CB19" s="53">
        <f t="shared" si="15"/>
        <v>-6773144</v>
      </c>
      <c r="CC19" s="53">
        <f t="shared" si="15"/>
        <v>-71.185568750000016</v>
      </c>
      <c r="CD19" s="53">
        <f t="shared" si="15"/>
        <v>-75.071018750000022</v>
      </c>
      <c r="CE19" s="53">
        <f t="shared" si="15"/>
        <v>-38.695609374999997</v>
      </c>
      <c r="CF19" s="53">
        <f t="shared" si="15"/>
        <v>-48.186309375</v>
      </c>
      <c r="CG19" s="53">
        <f t="shared" si="15"/>
        <v>-48.786537500000001</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67.24823750000003</v>
      </c>
      <c r="X20" s="23">
        <v>68.985434374999997</v>
      </c>
      <c r="Y20" s="23">
        <v>30.072700000000001</v>
      </c>
      <c r="Z20" s="23">
        <v>39.540096875000003</v>
      </c>
      <c r="AA20" s="23">
        <v>38.074331249999993</v>
      </c>
      <c r="AB20" s="24">
        <v>4355.0600000000004</v>
      </c>
      <c r="AC20" s="24">
        <v>4618.49</v>
      </c>
      <c r="AD20" s="24">
        <v>13.348000000000001</v>
      </c>
      <c r="AE20" s="24">
        <v>9.4879999999999995</v>
      </c>
      <c r="AG20" s="19" t="str">
        <f t="shared" si="6"/>
        <v>·</v>
      </c>
      <c r="AH20" s="20" t="str">
        <f t="shared" si="7"/>
        <v>·</v>
      </c>
      <c r="AI20" s="20" t="str">
        <f t="shared" si="8"/>
        <v>·</v>
      </c>
      <c r="AJ20" s="20" t="str">
        <f t="shared" si="9"/>
        <v>·</v>
      </c>
      <c r="AK20" s="20" t="str">
        <f t="shared" si="10"/>
        <v>·</v>
      </c>
      <c r="AL20" s="17" t="str">
        <f t="shared" si="11"/>
        <v/>
      </c>
      <c r="AM20" s="20">
        <v>16</v>
      </c>
      <c r="AN20" s="21"/>
      <c r="AO20" s="21"/>
      <c r="AP20" s="21"/>
      <c r="AQ20" s="22"/>
      <c r="AR20" s="22"/>
      <c r="AS20" s="22"/>
      <c r="AT20" s="22"/>
      <c r="AU20" s="23"/>
      <c r="AV20" s="23"/>
      <c r="AW20" s="23"/>
      <c r="AX20" s="23"/>
      <c r="AY20" s="23"/>
      <c r="AZ20" s="24"/>
      <c r="BA20" s="24"/>
      <c r="BB20" s="24"/>
      <c r="BC20" s="24"/>
      <c r="BE20" s="49" t="e">
        <f t="shared" si="12"/>
        <v>#VALUE!</v>
      </c>
      <c r="BF20" s="25" t="e">
        <f t="shared" si="13"/>
        <v>#DIV/0!</v>
      </c>
      <c r="BG20" s="25" t="e">
        <f t="shared" si="14"/>
        <v>#VALUE!</v>
      </c>
      <c r="BH20" s="25" t="e">
        <f t="array" ref="BH20">AVERAGE(AL20:AL24/AQ20:AQ24) - AVERAGE(N20:N24/S20:S24)</f>
        <v>#VALUE!</v>
      </c>
      <c r="BJ20" s="49" t="str">
        <f>IF( OR(ISBLANK(N20:N24),ISBLANK(AL20:AL24), ISBLANK(W20:W24),ISBLANK(AU20:AU24)), "·", bdRateExtend( N20:N24,W20:W24, AL20:AL24,AU20:AU24))</f>
        <v>·</v>
      </c>
      <c r="BK20" s="49" t="str">
        <f>IF( OR(ISBLANK(N20:N24),ISBLANK(AL20:AL24), ISBLANK(X20:X24),ISBLANK(AV20:AV24)), "·", bdRateExtend( N20:N24,X20:X24, AL20:AL24,AV20:AV24))</f>
        <v>·</v>
      </c>
      <c r="BL20" s="49" t="str">
        <f>IF( OR(ISBLANK(V20:V24),ISBLANK(AT20:AT24), ISBLANK(Y20:Y24),ISBLANK(AW20:AW24)), "·", bdRateExtend( V20:V24,Y20:Y24, AT20:AT24,AW20:AW24))</f>
        <v>·</v>
      </c>
      <c r="BM20" s="49" t="str">
        <f>IF( OR(ISBLANK(V20:V24),ISBLANK(AT20:AT24), ISBLANK(Z20:Z24),ISBLANK(AX20:AX24)), "·", bdRateExtend( V20:V24,Z20:Z24, AT20:AT24,AX20:AX24))</f>
        <v>·</v>
      </c>
      <c r="BN20" s="49" t="str">
        <f>IF( OR(ISBLANK(V20:V24),ISBLANK(AT20:AT24), ISBLANK(AA20:AA24),ISBLANK(AY20:AY24)), "·", bdRateExtend( V20:V24,AA20:AA24, AT20:AT24,AY20:AY24))</f>
        <v>·</v>
      </c>
      <c r="BP20" s="49" t="str">
        <f>IF( OR(ISBLANK(S20:S24),ISBLANK(AQ20:AQ24), ISBLANK(W20:W24),ISBLANK(AU20:AU24)), "·", bdRateExtend( S20:S24,W20:W24, AQ20:AQ24,AU20:AU24))</f>
        <v>·</v>
      </c>
      <c r="BQ20" s="49" t="str">
        <f>IF( OR(ISBLANK(S20:S24),ISBLANK(AQ20:AQ24), ISBLANK(X20:X24),ISBLANK(AV20:AV24)), "·", bdRateExtend( S20:S24,X20:X24, AQ20:AQ24,AV20:AV24))</f>
        <v>·</v>
      </c>
      <c r="BR20" s="49" t="str">
        <f>IF( OR(ISBLANK(S20:S24),ISBLANK(AQ20:AQ24), ISBLANK(Y20:Y24),ISBLANK(AW20:AW24)), "·", bdRateExtend( S20:S24,Y20:Y24, AQ20:AQ24,AW20:AW24))</f>
        <v>·</v>
      </c>
      <c r="BS20" s="49" t="str">
        <f>IF( OR(ISBLANK(S20:S24),ISBLANK(AQ20:AQ24), ISBLANK(Z20:Z24),ISBLANK(AX20:AX24)), "·", bdRateExtend( S20:S24,Z20:Z24, AQ20:AQ24,AX20:AX24))</f>
        <v>·</v>
      </c>
      <c r="BT20" s="49" t="str">
        <f>IF( OR(ISBLANK(S20:S24),ISBLANK(AQ20:AQ24), ISBLANK(AA20:AA24),ISBLANK(AY20:AY24)), "·", bdRateExtend( S20:S24,AA20:AA24, AQ20:AQ24,AY20:AY24))</f>
        <v>·</v>
      </c>
      <c r="BV20" s="53">
        <f t="shared" si="16"/>
        <v>-30379563</v>
      </c>
      <c r="BW20" s="53">
        <f t="shared" si="15"/>
        <v>-949361.34375</v>
      </c>
      <c r="BX20" s="53">
        <f t="shared" si="15"/>
        <v>-28806.71875</v>
      </c>
      <c r="BY20" s="53">
        <f t="shared" si="15"/>
        <v>-1273592</v>
      </c>
      <c r="BZ20" s="53">
        <f t="shared" si="15"/>
        <v>-575888</v>
      </c>
      <c r="CA20" s="53">
        <f t="shared" si="15"/>
        <v>-413936</v>
      </c>
      <c r="CB20" s="53">
        <f t="shared" si="15"/>
        <v>-283768</v>
      </c>
      <c r="CC20" s="53">
        <f t="shared" si="15"/>
        <v>-67.24823750000003</v>
      </c>
      <c r="CD20" s="53">
        <f t="shared" si="15"/>
        <v>-68.985434374999997</v>
      </c>
      <c r="CE20" s="53">
        <f t="shared" si="15"/>
        <v>-30.072700000000001</v>
      </c>
      <c r="CF20" s="53">
        <f t="shared" si="15"/>
        <v>-39.540096875000003</v>
      </c>
      <c r="CG20" s="53">
        <f t="shared" si="15"/>
        <v>-38.074331249999993</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68.873231249999989</v>
      </c>
      <c r="X21" s="14">
        <v>70.998265625000002</v>
      </c>
      <c r="Y21" s="14">
        <v>31.541346874999999</v>
      </c>
      <c r="Z21" s="14">
        <v>40.515546875000013</v>
      </c>
      <c r="AA21" s="14">
        <v>39.215978124999992</v>
      </c>
      <c r="AB21" s="15">
        <v>4419.2700000000004</v>
      </c>
      <c r="AC21" s="15">
        <v>4896.28</v>
      </c>
      <c r="AD21" s="15">
        <v>15.196</v>
      </c>
      <c r="AE21" s="15">
        <v>9.2520000000000007</v>
      </c>
      <c r="AG21" s="10" t="str">
        <f t="shared" si="6"/>
        <v>·</v>
      </c>
      <c r="AH21" s="11" t="str">
        <f t="shared" si="7"/>
        <v>·</v>
      </c>
      <c r="AI21" s="11" t="str">
        <f t="shared" si="8"/>
        <v>·</v>
      </c>
      <c r="AJ21" s="11" t="str">
        <f t="shared" si="9"/>
        <v>·</v>
      </c>
      <c r="AK21" s="11" t="str">
        <f t="shared" si="10"/>
        <v>·</v>
      </c>
      <c r="AL21" s="52" t="str">
        <f t="shared" si="11"/>
        <v/>
      </c>
      <c r="AM21" s="11">
        <v>16</v>
      </c>
      <c r="AN21" s="12"/>
      <c r="AO21" s="12"/>
      <c r="AP21" s="12"/>
      <c r="AQ21" s="13"/>
      <c r="AR21" s="13"/>
      <c r="AS21" s="13"/>
      <c r="AT21" s="13"/>
      <c r="AU21" s="14"/>
      <c r="AV21" s="14"/>
      <c r="AW21" s="14"/>
      <c r="AX21" s="14"/>
      <c r="AY21" s="14"/>
      <c r="AZ21" s="15"/>
      <c r="BA21" s="15"/>
      <c r="BB21" s="15"/>
      <c r="BC21" s="15"/>
      <c r="BE21" s="50" t="e">
        <f t="shared" si="12"/>
        <v>#VALUE!</v>
      </c>
      <c r="BF21" s="16" t="e">
        <f t="shared" si="13"/>
        <v>#DIV/0!</v>
      </c>
      <c r="BG21" s="16" t="e">
        <f t="shared" si="14"/>
        <v>#VALUE!</v>
      </c>
      <c r="BH21" s="16"/>
      <c r="BJ21" s="50"/>
      <c r="BK21" s="50"/>
      <c r="BL21" s="50"/>
      <c r="BM21" s="50"/>
      <c r="BN21" s="50"/>
      <c r="BP21" s="50"/>
      <c r="BQ21" s="50"/>
      <c r="BR21" s="50"/>
      <c r="BS21" s="50"/>
      <c r="BT21" s="50"/>
      <c r="BV21" s="53">
        <f t="shared" si="16"/>
        <v>-31696812</v>
      </c>
      <c r="BW21" s="53">
        <f t="shared" si="16"/>
        <v>-990525.375</v>
      </c>
      <c r="BX21" s="53">
        <f t="shared" si="16"/>
        <v>-33593.15625</v>
      </c>
      <c r="BY21" s="53">
        <f t="shared" si="16"/>
        <v>-1724424</v>
      </c>
      <c r="BZ21" s="53">
        <f t="shared" si="16"/>
        <v>-762392</v>
      </c>
      <c r="CA21" s="53">
        <f t="shared" si="16"/>
        <v>-413936</v>
      </c>
      <c r="CB21" s="53">
        <f t="shared" si="16"/>
        <v>-548096</v>
      </c>
      <c r="CC21" s="53">
        <f t="shared" si="16"/>
        <v>-68.873231249999989</v>
      </c>
      <c r="CD21" s="53">
        <f t="shared" si="16"/>
        <v>-70.998265625000002</v>
      </c>
      <c r="CE21" s="53">
        <f t="shared" si="16"/>
        <v>-31.541346874999999</v>
      </c>
      <c r="CF21" s="53">
        <f t="shared" si="16"/>
        <v>-40.515546875000013</v>
      </c>
      <c r="CG21" s="53">
        <f t="shared" si="16"/>
        <v>-39.215978124999992</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70.092034374999997</v>
      </c>
      <c r="X22" s="23">
        <v>72.552462500000004</v>
      </c>
      <c r="Y22" s="23">
        <v>33.405968749999992</v>
      </c>
      <c r="Z22" s="23">
        <v>41.661025000000002</v>
      </c>
      <c r="AA22" s="23">
        <v>40.480746874999987</v>
      </c>
      <c r="AB22" s="24">
        <v>4440.7299999999996</v>
      </c>
      <c r="AC22" s="24">
        <v>5092.91</v>
      </c>
      <c r="AD22" s="24">
        <v>13.848000000000001</v>
      </c>
      <c r="AE22" s="24">
        <v>10.212</v>
      </c>
      <c r="AG22" s="19" t="str">
        <f t="shared" si="6"/>
        <v>·</v>
      </c>
      <c r="AH22" s="20" t="str">
        <f t="shared" si="7"/>
        <v>·</v>
      </c>
      <c r="AI22" s="20" t="str">
        <f t="shared" si="8"/>
        <v>·</v>
      </c>
      <c r="AJ22" s="20" t="str">
        <f t="shared" si="9"/>
        <v>·</v>
      </c>
      <c r="AK22" s="20" t="str">
        <f t="shared" si="10"/>
        <v>·</v>
      </c>
      <c r="AL22" s="17" t="str">
        <f t="shared" si="11"/>
        <v/>
      </c>
      <c r="AM22" s="20">
        <v>16</v>
      </c>
      <c r="AN22" s="21"/>
      <c r="AO22" s="21"/>
      <c r="AP22" s="21"/>
      <c r="AQ22" s="22"/>
      <c r="AR22" s="22"/>
      <c r="AS22" s="22"/>
      <c r="AT22" s="22"/>
      <c r="AU22" s="23"/>
      <c r="AV22" s="23"/>
      <c r="AW22" s="23"/>
      <c r="AX22" s="23"/>
      <c r="AY22" s="23"/>
      <c r="AZ22" s="24"/>
      <c r="BA22" s="24"/>
      <c r="BB22" s="24"/>
      <c r="BC22" s="24"/>
      <c r="BE22" s="49" t="e">
        <f t="shared" si="12"/>
        <v>#VALUE!</v>
      </c>
      <c r="BF22" s="25" t="e">
        <f t="shared" si="13"/>
        <v>#DIV/0!</v>
      </c>
      <c r="BG22" s="25" t="e">
        <f t="shared" si="14"/>
        <v>#VALUE!</v>
      </c>
      <c r="BH22" s="25"/>
      <c r="BJ22" s="49"/>
      <c r="BK22" s="49"/>
      <c r="BL22" s="49"/>
      <c r="BM22" s="49"/>
      <c r="BN22" s="49"/>
      <c r="BP22" s="49"/>
      <c r="BQ22" s="49"/>
      <c r="BR22" s="49"/>
      <c r="BS22" s="49"/>
      <c r="BT22" s="49"/>
      <c r="BV22" s="53">
        <f t="shared" si="16"/>
        <v>-32604849</v>
      </c>
      <c r="BW22" s="53">
        <f t="shared" si="16"/>
        <v>-1018901.53125</v>
      </c>
      <c r="BX22" s="53">
        <f t="shared" si="16"/>
        <v>-35090.5625</v>
      </c>
      <c r="BY22" s="53">
        <f t="shared" si="16"/>
        <v>-2685232</v>
      </c>
      <c r="BZ22" s="53">
        <f t="shared" si="16"/>
        <v>-982504</v>
      </c>
      <c r="CA22" s="53">
        <f t="shared" si="16"/>
        <v>-413936</v>
      </c>
      <c r="CB22" s="53">
        <f t="shared" si="16"/>
        <v>-1288792</v>
      </c>
      <c r="CC22" s="53">
        <f t="shared" si="16"/>
        <v>-70.092034374999997</v>
      </c>
      <c r="CD22" s="53">
        <f t="shared" si="16"/>
        <v>-72.552462500000004</v>
      </c>
      <c r="CE22" s="53">
        <f t="shared" si="16"/>
        <v>-33.405968749999992</v>
      </c>
      <c r="CF22" s="53">
        <f t="shared" si="16"/>
        <v>-41.661025000000002</v>
      </c>
      <c r="CG22" s="53">
        <f t="shared" si="16"/>
        <v>-40.480746874999987</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71.045559374999982</v>
      </c>
      <c r="X23" s="14">
        <v>73.797390624999977</v>
      </c>
      <c r="Y23" s="14">
        <v>35.293249999999993</v>
      </c>
      <c r="Z23" s="14">
        <v>42.754381250000002</v>
      </c>
      <c r="AA23" s="14">
        <v>41.481662500000013</v>
      </c>
      <c r="AB23" s="15">
        <v>3557.47</v>
      </c>
      <c r="AC23" s="15">
        <v>4099.84</v>
      </c>
      <c r="AD23" s="15">
        <v>15.272</v>
      </c>
      <c r="AE23" s="15">
        <v>9.9720000000000013</v>
      </c>
      <c r="AG23" s="10" t="str">
        <f t="shared" si="6"/>
        <v>·</v>
      </c>
      <c r="AH23" s="11" t="str">
        <f t="shared" si="7"/>
        <v>·</v>
      </c>
      <c r="AI23" s="11" t="str">
        <f t="shared" si="8"/>
        <v>·</v>
      </c>
      <c r="AJ23" s="11" t="str">
        <f t="shared" si="9"/>
        <v>·</v>
      </c>
      <c r="AK23" s="11" t="str">
        <f t="shared" si="10"/>
        <v>·</v>
      </c>
      <c r="AL23" s="52" t="str">
        <f t="shared" si="11"/>
        <v/>
      </c>
      <c r="AM23" s="11">
        <v>16</v>
      </c>
      <c r="AN23" s="12"/>
      <c r="AO23" s="12"/>
      <c r="AP23" s="12"/>
      <c r="AQ23" s="13"/>
      <c r="AR23" s="13"/>
      <c r="AS23" s="13"/>
      <c r="AT23" s="13"/>
      <c r="AU23" s="14"/>
      <c r="AV23" s="14"/>
      <c r="AW23" s="14"/>
      <c r="AX23" s="14"/>
      <c r="AY23" s="14"/>
      <c r="AZ23" s="15"/>
      <c r="BA23" s="15"/>
      <c r="BB23" s="15"/>
      <c r="BC23" s="15"/>
      <c r="BE23" s="50" t="e">
        <f t="shared" si="12"/>
        <v>#VALUE!</v>
      </c>
      <c r="BF23" s="16" t="e">
        <f t="shared" si="13"/>
        <v>#DIV/0!</v>
      </c>
      <c r="BG23" s="16" t="e">
        <f t="shared" si="14"/>
        <v>#VALUE!</v>
      </c>
      <c r="BH23" s="16"/>
      <c r="BJ23" s="50"/>
      <c r="BK23" s="50"/>
      <c r="BL23" s="50"/>
      <c r="BM23" s="50"/>
      <c r="BN23" s="50"/>
      <c r="BP23" s="50"/>
      <c r="BQ23" s="50"/>
      <c r="BR23" s="50"/>
      <c r="BS23" s="50"/>
      <c r="BT23" s="50"/>
      <c r="BV23" s="53">
        <f t="shared" si="16"/>
        <v>-32813316</v>
      </c>
      <c r="BW23" s="53">
        <f t="shared" si="16"/>
        <v>-1025416.125</v>
      </c>
      <c r="BX23" s="53">
        <f t="shared" si="16"/>
        <v>-37028.40625</v>
      </c>
      <c r="BY23" s="53">
        <f t="shared" si="16"/>
        <v>-5101648</v>
      </c>
      <c r="BZ23" s="53">
        <f t="shared" si="16"/>
        <v>-1658696</v>
      </c>
      <c r="CA23" s="53">
        <f t="shared" si="16"/>
        <v>-413936</v>
      </c>
      <c r="CB23" s="53">
        <f t="shared" si="16"/>
        <v>-3029016</v>
      </c>
      <c r="CC23" s="53">
        <f t="shared" si="16"/>
        <v>-71.045559374999982</v>
      </c>
      <c r="CD23" s="53">
        <f t="shared" si="16"/>
        <v>-73.797390624999977</v>
      </c>
      <c r="CE23" s="53">
        <f t="shared" si="16"/>
        <v>-35.293249999999993</v>
      </c>
      <c r="CF23" s="53">
        <f t="shared" si="16"/>
        <v>-42.754381250000002</v>
      </c>
      <c r="CG23" s="53">
        <f t="shared" si="16"/>
        <v>-41.481662500000013</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71.767975000000021</v>
      </c>
      <c r="X24" s="42">
        <v>75.81079687499998</v>
      </c>
      <c r="Y24" s="42">
        <v>36.874640624999998</v>
      </c>
      <c r="Z24" s="42">
        <v>43.507331250000007</v>
      </c>
      <c r="AA24" s="42">
        <v>42.057256250000002</v>
      </c>
      <c r="AB24" s="43">
        <v>3591.91</v>
      </c>
      <c r="AC24" s="43">
        <v>4507.2</v>
      </c>
      <c r="AD24" s="43">
        <v>12.82</v>
      </c>
      <c r="AE24" s="43">
        <v>11.656000000000001</v>
      </c>
      <c r="AG24" s="38" t="str">
        <f t="shared" si="6"/>
        <v>·</v>
      </c>
      <c r="AH24" s="39" t="str">
        <f t="shared" si="7"/>
        <v>·</v>
      </c>
      <c r="AI24" s="39" t="str">
        <f t="shared" si="8"/>
        <v>·</v>
      </c>
      <c r="AJ24" s="39" t="str">
        <f t="shared" si="9"/>
        <v>·</v>
      </c>
      <c r="AK24" s="39" t="str">
        <f t="shared" si="10"/>
        <v>·</v>
      </c>
      <c r="AL24" s="36" t="str">
        <f t="shared" si="11"/>
        <v/>
      </c>
      <c r="AM24" s="39">
        <v>16</v>
      </c>
      <c r="AN24" s="40"/>
      <c r="AO24" s="40"/>
      <c r="AP24" s="40"/>
      <c r="AQ24" s="41"/>
      <c r="AR24" s="41"/>
      <c r="AS24" s="41"/>
      <c r="AT24" s="41"/>
      <c r="AU24" s="42"/>
      <c r="AV24" s="42"/>
      <c r="AW24" s="42"/>
      <c r="AX24" s="42"/>
      <c r="AY24" s="42"/>
      <c r="AZ24" s="43"/>
      <c r="BA24" s="43"/>
      <c r="BB24" s="43"/>
      <c r="BC24" s="43"/>
      <c r="BE24" s="44" t="e">
        <f t="shared" si="12"/>
        <v>#VALUE!</v>
      </c>
      <c r="BF24" s="45" t="e">
        <f t="shared" si="13"/>
        <v>#DIV/0!</v>
      </c>
      <c r="BG24" s="45" t="e">
        <f t="shared" si="14"/>
        <v>#VALUE!</v>
      </c>
      <c r="BH24" s="45"/>
      <c r="BJ24" s="44"/>
      <c r="BK24" s="44"/>
      <c r="BL24" s="44"/>
      <c r="BM24" s="44"/>
      <c r="BN24" s="44"/>
      <c r="BP24" s="44"/>
      <c r="BQ24" s="44"/>
      <c r="BR24" s="44"/>
      <c r="BS24" s="44"/>
      <c r="BT24" s="44"/>
      <c r="BV24" s="53">
        <f t="shared" si="16"/>
        <v>-31274990</v>
      </c>
      <c r="BW24" s="53">
        <f t="shared" si="16"/>
        <v>-977343.4375</v>
      </c>
      <c r="BX24" s="53">
        <f t="shared" si="16"/>
        <v>-17914.71875</v>
      </c>
      <c r="BY24" s="53">
        <f t="shared" si="16"/>
        <v>-10521432</v>
      </c>
      <c r="BZ24" s="53">
        <f t="shared" si="16"/>
        <v>-2660104</v>
      </c>
      <c r="CA24" s="53">
        <f t="shared" si="16"/>
        <v>-908936</v>
      </c>
      <c r="CB24" s="53">
        <f t="shared" si="16"/>
        <v>-6952392</v>
      </c>
      <c r="CC24" s="53">
        <f t="shared" si="16"/>
        <v>-71.767975000000021</v>
      </c>
      <c r="CD24" s="53">
        <f t="shared" si="16"/>
        <v>-75.81079687499998</v>
      </c>
      <c r="CE24" s="53">
        <f t="shared" si="16"/>
        <v>-36.874640624999998</v>
      </c>
      <c r="CF24" s="53">
        <f t="shared" si="16"/>
        <v>-43.507331250000007</v>
      </c>
      <c r="CG24" s="53">
        <f t="shared" si="16"/>
        <v>-42.057256250000002</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66.249556249999998</v>
      </c>
      <c r="X25" s="14">
        <v>68.002121874999986</v>
      </c>
      <c r="Y25" s="14">
        <v>25.895034374999991</v>
      </c>
      <c r="Z25" s="14">
        <v>32.454721874999997</v>
      </c>
      <c r="AA25" s="14">
        <v>31.646274999999999</v>
      </c>
      <c r="AB25" s="15">
        <v>1266.48</v>
      </c>
      <c r="AC25" s="15">
        <v>4491.72</v>
      </c>
      <c r="AD25" s="15">
        <v>12.516</v>
      </c>
      <c r="AE25" s="15">
        <v>10.683999999999999</v>
      </c>
      <c r="AG25" s="10" t="str">
        <f t="shared" si="6"/>
        <v>·</v>
      </c>
      <c r="AH25" s="11" t="str">
        <f t="shared" si="7"/>
        <v>·</v>
      </c>
      <c r="AI25" s="11" t="str">
        <f t="shared" si="8"/>
        <v>·</v>
      </c>
      <c r="AJ25" s="11" t="str">
        <f t="shared" si="9"/>
        <v>·</v>
      </c>
      <c r="AK25" s="11" t="str">
        <f t="shared" si="10"/>
        <v>·</v>
      </c>
      <c r="AL25" s="52" t="str">
        <f t="shared" si="11"/>
        <v/>
      </c>
      <c r="AM25" s="11">
        <v>16</v>
      </c>
      <c r="AN25" s="12"/>
      <c r="AO25" s="12"/>
      <c r="AP25" s="12"/>
      <c r="AQ25" s="13"/>
      <c r="AR25" s="13"/>
      <c r="AS25" s="13"/>
      <c r="AT25" s="13"/>
      <c r="AU25" s="14"/>
      <c r="AV25" s="14"/>
      <c r="AW25" s="14"/>
      <c r="AX25" s="14"/>
      <c r="AY25" s="14"/>
      <c r="AZ25" s="15"/>
      <c r="BA25" s="15"/>
      <c r="BB25" s="15"/>
      <c r="BC25" s="15"/>
      <c r="BE25" s="50" t="e">
        <f t="shared" si="12"/>
        <v>#VALUE!</v>
      </c>
      <c r="BF25" s="16" t="e">
        <f t="shared" si="13"/>
        <v>#DIV/0!</v>
      </c>
      <c r="BG25" s="16" t="e">
        <f t="shared" si="14"/>
        <v>#VALUE!</v>
      </c>
      <c r="BH25" s="16" t="e">
        <f t="array" ref="BH25">AVERAGE(AL25:AL29/AQ25:AQ29) - AVERAGE(N25:N29/S25:S29)</f>
        <v>#VALUE!</v>
      </c>
      <c r="BJ25" s="50" t="str">
        <f>IF( OR(ISBLANK(N25:N29),ISBLANK(AL25:AL29), ISBLANK(W25:W29),ISBLANK(AU25:AU29)), "·", bdRateExtend( N25:N29,W25:W29, AL25:AL29,AU25:AU29))</f>
        <v>·</v>
      </c>
      <c r="BK25" s="50" t="str">
        <f>IF( OR(ISBLANK(N25:N29),ISBLANK(AL25:AL29), ISBLANK(X25:X29),ISBLANK(AV25:AV29)), "·", bdRateExtend( N25:N29,X25:X29, AL25:AL29,AV25:AV29))</f>
        <v>·</v>
      </c>
      <c r="BL25" s="50" t="str">
        <f>IF( OR(ISBLANK(V25:V29),ISBLANK(AT25:AT29), ISBLANK(Y25:Y29),ISBLANK(AW25:AW29)), "·", bdRateExtend( V25:V29,Y25:Y29, AT25:AT29,AW25:AW29))</f>
        <v>·</v>
      </c>
      <c r="BM25" s="50" t="str">
        <f>IF( OR(ISBLANK(V25:V29),ISBLANK(AT25:AT29), ISBLANK(Z25:Z29),ISBLANK(AX25:AX29)), "·", bdRateExtend( V25:V29,Z25:Z29, AT25:AT29,AX25:AX29))</f>
        <v>·</v>
      </c>
      <c r="BN25" s="50" t="str">
        <f>IF( OR(ISBLANK(V25:V29),ISBLANK(AT25:AT29), ISBLANK(AA25:AA29),ISBLANK(AY25:AY29)), "·", bdRateExtend( V25:V29,AA25:AA29, AT25:AT29,AY25:AY29))</f>
        <v>·</v>
      </c>
      <c r="BP25" s="50" t="str">
        <f>IF( OR(ISBLANK(S25:S29),ISBLANK(AQ25:AQ29), ISBLANK(W25:W29),ISBLANK(AU25:AU29)), "·", bdRateExtend( S25:S29,W25:W29, AQ25:AQ29,AU25:AU29))</f>
        <v>·</v>
      </c>
      <c r="BQ25" s="50" t="str">
        <f>IF( OR(ISBLANK(S25:S29),ISBLANK(AQ25:AQ29), ISBLANK(X25:X29),ISBLANK(AV25:AV29)), "·", bdRateExtend( S25:S29,X25:X29, AQ25:AQ29,AV25:AV29))</f>
        <v>·</v>
      </c>
      <c r="BR25" s="50" t="str">
        <f>IF( OR(ISBLANK(S25:S29),ISBLANK(AQ25:AQ29), ISBLANK(Y25:Y29),ISBLANK(AW25:AW29)), "·", bdRateExtend( S25:S29,Y25:Y29, AQ25:AQ29,AW25:AW29))</f>
        <v>·</v>
      </c>
      <c r="BS25" s="50" t="str">
        <f>IF( OR(ISBLANK(S25:S29),ISBLANK(AQ25:AQ29), ISBLANK(Z25:Z29),ISBLANK(AX25:AX29)), "·", bdRateExtend( S25:S29,Z25:Z29, AQ25:AQ29,AX25:AX29))</f>
        <v>·</v>
      </c>
      <c r="BT25" s="50" t="str">
        <f>IF( OR(ISBLANK(S25:S29),ISBLANK(AQ25:AQ29), ISBLANK(AA25:AA29),ISBLANK(AY25:AY29)), "·", bdRateExtend( S25:S29,AA25:AA29, AQ25:AQ29,AY25:AY29))</f>
        <v>·</v>
      </c>
      <c r="BV25" s="53">
        <f t="shared" si="16"/>
        <v>-23423729</v>
      </c>
      <c r="BW25" s="53">
        <f t="shared" si="16"/>
        <v>-731991.53125</v>
      </c>
      <c r="BX25" s="53">
        <f t="shared" si="16"/>
        <v>-14601.28125</v>
      </c>
      <c r="BY25" s="53">
        <f t="shared" si="16"/>
        <v>-2196896</v>
      </c>
      <c r="BZ25" s="53">
        <f t="shared" si="16"/>
        <v>-877408</v>
      </c>
      <c r="CA25" s="53">
        <f t="shared" si="16"/>
        <v>-553056</v>
      </c>
      <c r="CB25" s="53">
        <f t="shared" si="16"/>
        <v>-766432</v>
      </c>
      <c r="CC25" s="53">
        <f t="shared" si="16"/>
        <v>-66.249556249999998</v>
      </c>
      <c r="CD25" s="53">
        <f t="shared" si="16"/>
        <v>-68.002121874999986</v>
      </c>
      <c r="CE25" s="53">
        <f t="shared" si="16"/>
        <v>-25.895034374999991</v>
      </c>
      <c r="CF25" s="53">
        <f t="shared" si="16"/>
        <v>-32.454721874999997</v>
      </c>
      <c r="CG25" s="53">
        <f t="shared" si="16"/>
        <v>-31.646274999999999</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68.005359375000012</v>
      </c>
      <c r="X26" s="23">
        <v>70.016609375000016</v>
      </c>
      <c r="Y26" s="23">
        <v>27.912871875</v>
      </c>
      <c r="Z26" s="23">
        <v>33.647859375000003</v>
      </c>
      <c r="AA26" s="23">
        <v>33.01885</v>
      </c>
      <c r="AB26" s="24">
        <v>1559.7</v>
      </c>
      <c r="AC26" s="24">
        <v>6437.68</v>
      </c>
      <c r="AD26" s="24">
        <v>12.676</v>
      </c>
      <c r="AE26" s="24">
        <v>11.528</v>
      </c>
      <c r="AG26" s="19" t="str">
        <f t="shared" si="6"/>
        <v>·</v>
      </c>
      <c r="AH26" s="20" t="str">
        <f t="shared" si="7"/>
        <v>·</v>
      </c>
      <c r="AI26" s="20" t="str">
        <f t="shared" si="8"/>
        <v>·</v>
      </c>
      <c r="AJ26" s="20" t="str">
        <f t="shared" si="9"/>
        <v>·</v>
      </c>
      <c r="AK26" s="20" t="str">
        <f t="shared" si="10"/>
        <v>·</v>
      </c>
      <c r="AL26" s="17" t="str">
        <f t="shared" si="11"/>
        <v/>
      </c>
      <c r="AM26" s="20">
        <v>16</v>
      </c>
      <c r="AN26" s="21"/>
      <c r="AO26" s="21"/>
      <c r="AP26" s="21"/>
      <c r="AQ26" s="22"/>
      <c r="AR26" s="22"/>
      <c r="AS26" s="22"/>
      <c r="AT26" s="22"/>
      <c r="AU26" s="23"/>
      <c r="AV26" s="23"/>
      <c r="AW26" s="23"/>
      <c r="AX26" s="23"/>
      <c r="AY26" s="23"/>
      <c r="AZ26" s="24"/>
      <c r="BA26" s="24"/>
      <c r="BB26" s="24"/>
      <c r="BC26" s="24"/>
      <c r="BE26" s="49" t="e">
        <f t="shared" si="12"/>
        <v>#VALUE!</v>
      </c>
      <c r="BF26" s="25" t="e">
        <f t="shared" si="13"/>
        <v>#DIV/0!</v>
      </c>
      <c r="BG26" s="25" t="e">
        <f t="shared" si="14"/>
        <v>#VALUE!</v>
      </c>
      <c r="BH26" s="25"/>
      <c r="BJ26" s="49"/>
      <c r="BK26" s="49"/>
      <c r="BL26" s="49"/>
      <c r="BM26" s="49"/>
      <c r="BN26" s="49"/>
      <c r="BP26" s="49"/>
      <c r="BQ26" s="49"/>
      <c r="BR26" s="49"/>
      <c r="BS26" s="49"/>
      <c r="BT26" s="49"/>
      <c r="BV26" s="53">
        <f t="shared" si="16"/>
        <v>-24642332</v>
      </c>
      <c r="BW26" s="53">
        <f t="shared" si="16"/>
        <v>-770072.875</v>
      </c>
      <c r="BX26" s="53">
        <f t="shared" si="16"/>
        <v>-17838.375</v>
      </c>
      <c r="BY26" s="53">
        <f t="shared" si="16"/>
        <v>-3392064</v>
      </c>
      <c r="BZ26" s="53">
        <f t="shared" si="16"/>
        <v>-1246424</v>
      </c>
      <c r="CA26" s="53">
        <f t="shared" si="16"/>
        <v>-553056</v>
      </c>
      <c r="CB26" s="53">
        <f t="shared" si="16"/>
        <v>-1592584</v>
      </c>
      <c r="CC26" s="53">
        <f t="shared" si="16"/>
        <v>-68.005359375000012</v>
      </c>
      <c r="CD26" s="53">
        <f t="shared" si="16"/>
        <v>-70.016609375000016</v>
      </c>
      <c r="CE26" s="53">
        <f t="shared" si="16"/>
        <v>-27.912871875</v>
      </c>
      <c r="CF26" s="53">
        <f t="shared" si="16"/>
        <v>-33.647859375000003</v>
      </c>
      <c r="CG26" s="53">
        <f t="shared" si="16"/>
        <v>-33.01885</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69.301756250000011</v>
      </c>
      <c r="X27" s="14">
        <v>71.690518750000024</v>
      </c>
      <c r="Y27" s="14">
        <v>30.208674999999999</v>
      </c>
      <c r="Z27" s="14">
        <v>34.93565000000001</v>
      </c>
      <c r="AA27" s="14">
        <v>34.363496875000003</v>
      </c>
      <c r="AB27" s="15">
        <v>1363.24</v>
      </c>
      <c r="AC27" s="15">
        <v>6748.66</v>
      </c>
      <c r="AD27" s="15">
        <v>12.635999999999999</v>
      </c>
      <c r="AE27" s="15">
        <v>9.06</v>
      </c>
      <c r="AG27" s="10" t="str">
        <f t="shared" si="6"/>
        <v>·</v>
      </c>
      <c r="AH27" s="11" t="str">
        <f t="shared" si="7"/>
        <v>·</v>
      </c>
      <c r="AI27" s="11" t="str">
        <f t="shared" si="8"/>
        <v>·</v>
      </c>
      <c r="AJ27" s="11" t="str">
        <f t="shared" si="9"/>
        <v>·</v>
      </c>
      <c r="AK27" s="11" t="str">
        <f t="shared" si="10"/>
        <v>·</v>
      </c>
      <c r="AL27" s="52" t="str">
        <f t="shared" si="11"/>
        <v/>
      </c>
      <c r="AM27" s="11">
        <v>16</v>
      </c>
      <c r="AN27" s="12"/>
      <c r="AO27" s="12"/>
      <c r="AP27" s="12"/>
      <c r="AQ27" s="13"/>
      <c r="AR27" s="13"/>
      <c r="AS27" s="13"/>
      <c r="AT27" s="13"/>
      <c r="AU27" s="14"/>
      <c r="AV27" s="14"/>
      <c r="AW27" s="14"/>
      <c r="AX27" s="14"/>
      <c r="AY27" s="14"/>
      <c r="AZ27" s="15"/>
      <c r="BA27" s="15"/>
      <c r="BB27" s="15"/>
      <c r="BC27" s="15"/>
      <c r="BE27" s="50" t="e">
        <f t="shared" si="12"/>
        <v>#VALUE!</v>
      </c>
      <c r="BF27" s="16" t="e">
        <f t="shared" si="13"/>
        <v>#DIV/0!</v>
      </c>
      <c r="BG27" s="16" t="e">
        <f t="shared" si="14"/>
        <v>#VALUE!</v>
      </c>
      <c r="BH27" s="16"/>
      <c r="BJ27" s="50"/>
      <c r="BK27" s="50"/>
      <c r="BL27" s="50"/>
      <c r="BM27" s="50"/>
      <c r="BN27" s="50"/>
      <c r="BP27" s="50"/>
      <c r="BQ27" s="50"/>
      <c r="BR27" s="50"/>
      <c r="BS27" s="50"/>
      <c r="BT27" s="50"/>
      <c r="BV27" s="53">
        <f t="shared" si="16"/>
        <v>-24875407</v>
      </c>
      <c r="BW27" s="53">
        <f t="shared" si="16"/>
        <v>-777356.46875</v>
      </c>
      <c r="BX27" s="53">
        <f t="shared" si="16"/>
        <v>-18687.4375</v>
      </c>
      <c r="BY27" s="53">
        <f t="shared" si="16"/>
        <v>-5730296</v>
      </c>
      <c r="BZ27" s="53">
        <f t="shared" si="16"/>
        <v>-1787808</v>
      </c>
      <c r="CA27" s="53">
        <f t="shared" si="16"/>
        <v>-553056</v>
      </c>
      <c r="CB27" s="53">
        <f t="shared" si="16"/>
        <v>-3389432</v>
      </c>
      <c r="CC27" s="53">
        <f t="shared" si="16"/>
        <v>-69.301756250000011</v>
      </c>
      <c r="CD27" s="53">
        <f t="shared" si="16"/>
        <v>-71.690518750000024</v>
      </c>
      <c r="CE27" s="53">
        <f t="shared" si="16"/>
        <v>-30.208674999999999</v>
      </c>
      <c r="CF27" s="53">
        <f t="shared" si="16"/>
        <v>-34.93565000000001</v>
      </c>
      <c r="CG27" s="53">
        <f t="shared" si="16"/>
        <v>-34.363496875000003</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70.462115625000024</v>
      </c>
      <c r="X28" s="23">
        <v>72.993593750000016</v>
      </c>
      <c r="Y28" s="23">
        <v>32.718546875000001</v>
      </c>
      <c r="Z28" s="23">
        <v>36.415940624999998</v>
      </c>
      <c r="AA28" s="23">
        <v>35.862046874999997</v>
      </c>
      <c r="AB28" s="24">
        <v>1412.37</v>
      </c>
      <c r="AC28" s="24">
        <v>6320.43</v>
      </c>
      <c r="AD28" s="24">
        <v>12.656000000000001</v>
      </c>
      <c r="AE28" s="24">
        <v>10.135999999999999</v>
      </c>
      <c r="AG28" s="19" t="str">
        <f t="shared" si="6"/>
        <v>·</v>
      </c>
      <c r="AH28" s="20" t="str">
        <f t="shared" si="7"/>
        <v>·</v>
      </c>
      <c r="AI28" s="20" t="str">
        <f t="shared" si="8"/>
        <v>·</v>
      </c>
      <c r="AJ28" s="20" t="str">
        <f t="shared" si="9"/>
        <v>·</v>
      </c>
      <c r="AK28" s="20" t="str">
        <f t="shared" si="10"/>
        <v>·</v>
      </c>
      <c r="AL28" s="17" t="str">
        <f t="shared" si="11"/>
        <v/>
      </c>
      <c r="AM28" s="20">
        <v>16</v>
      </c>
      <c r="AN28" s="21"/>
      <c r="AO28" s="21"/>
      <c r="AP28" s="21"/>
      <c r="AQ28" s="22"/>
      <c r="AR28" s="22"/>
      <c r="AS28" s="22"/>
      <c r="AT28" s="22"/>
      <c r="AU28" s="23"/>
      <c r="AV28" s="23"/>
      <c r="AW28" s="23"/>
      <c r="AX28" s="23"/>
      <c r="AY28" s="23"/>
      <c r="AZ28" s="24"/>
      <c r="BA28" s="24"/>
      <c r="BB28" s="24"/>
      <c r="BC28" s="24"/>
      <c r="BE28" s="49" t="e">
        <f t="shared" si="12"/>
        <v>#VALUE!</v>
      </c>
      <c r="BF28" s="25" t="e">
        <f t="shared" si="13"/>
        <v>#DIV/0!</v>
      </c>
      <c r="BG28" s="25" t="e">
        <f t="shared" si="14"/>
        <v>#VALUE!</v>
      </c>
      <c r="BH28" s="25"/>
      <c r="BJ28" s="49"/>
      <c r="BK28" s="49"/>
      <c r="BL28" s="49"/>
      <c r="BM28" s="49"/>
      <c r="BN28" s="49"/>
      <c r="BP28" s="49"/>
      <c r="BQ28" s="49"/>
      <c r="BR28" s="49"/>
      <c r="BS28" s="49"/>
      <c r="BT28" s="49"/>
      <c r="BV28" s="53">
        <f t="shared" si="16"/>
        <v>-25558634</v>
      </c>
      <c r="BW28" s="53">
        <f t="shared" si="16"/>
        <v>-798707.3125</v>
      </c>
      <c r="BX28" s="53">
        <f t="shared" si="16"/>
        <v>-21108.9375</v>
      </c>
      <c r="BY28" s="53">
        <f t="shared" si="16"/>
        <v>-11084296</v>
      </c>
      <c r="BZ28" s="53">
        <f t="shared" si="16"/>
        <v>-2747480</v>
      </c>
      <c r="CA28" s="53">
        <f t="shared" si="16"/>
        <v>-553056</v>
      </c>
      <c r="CB28" s="53">
        <f t="shared" si="16"/>
        <v>-7783760</v>
      </c>
      <c r="CC28" s="53">
        <f t="shared" si="16"/>
        <v>-70.462115625000024</v>
      </c>
      <c r="CD28" s="53">
        <f t="shared" si="16"/>
        <v>-72.993593750000016</v>
      </c>
      <c r="CE28" s="53">
        <f t="shared" si="16"/>
        <v>-32.718546875000001</v>
      </c>
      <c r="CF28" s="53">
        <f t="shared" si="16"/>
        <v>-36.415940624999998</v>
      </c>
      <c r="CG28" s="53">
        <f t="shared" si="16"/>
        <v>-35.862046874999997</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71.138031249999997</v>
      </c>
      <c r="X29" s="32">
        <v>74.865934374999995</v>
      </c>
      <c r="Y29" s="32">
        <v>35.7631625</v>
      </c>
      <c r="Z29" s="32">
        <v>38.359853125000001</v>
      </c>
      <c r="AA29" s="32">
        <v>37.754875000000013</v>
      </c>
      <c r="AB29" s="33">
        <v>1406.36</v>
      </c>
      <c r="AC29" s="33">
        <v>7063.88</v>
      </c>
      <c r="AD29" s="33">
        <v>13.364000000000001</v>
      </c>
      <c r="AE29" s="33">
        <v>14.952</v>
      </c>
      <c r="AG29" s="28" t="str">
        <f t="shared" si="6"/>
        <v>·</v>
      </c>
      <c r="AH29" s="29" t="str">
        <f t="shared" si="7"/>
        <v>·</v>
      </c>
      <c r="AI29" s="29" t="str">
        <f t="shared" si="8"/>
        <v>·</v>
      </c>
      <c r="AJ29" s="29" t="str">
        <f t="shared" si="9"/>
        <v>·</v>
      </c>
      <c r="AK29" s="29" t="str">
        <f t="shared" si="10"/>
        <v>·</v>
      </c>
      <c r="AL29" s="26" t="str">
        <f t="shared" si="11"/>
        <v/>
      </c>
      <c r="AM29" s="29">
        <v>16</v>
      </c>
      <c r="AN29" s="30"/>
      <c r="AO29" s="30"/>
      <c r="AP29" s="30"/>
      <c r="AQ29" s="31"/>
      <c r="AR29" s="31"/>
      <c r="AS29" s="31"/>
      <c r="AT29" s="31"/>
      <c r="AU29" s="32"/>
      <c r="AV29" s="32"/>
      <c r="AW29" s="32"/>
      <c r="AX29" s="32"/>
      <c r="AY29" s="32"/>
      <c r="AZ29" s="33"/>
      <c r="BA29" s="33"/>
      <c r="BB29" s="33"/>
      <c r="BC29" s="33"/>
      <c r="BE29" s="34" t="e">
        <f t="shared" si="12"/>
        <v>#VALUE!</v>
      </c>
      <c r="BF29" s="35" t="e">
        <f t="shared" si="13"/>
        <v>#DIV/0!</v>
      </c>
      <c r="BG29" s="35" t="e">
        <f t="shared" si="14"/>
        <v>#VALUE!</v>
      </c>
      <c r="BH29" s="35"/>
      <c r="BJ29" s="34"/>
      <c r="BK29" s="34"/>
      <c r="BL29" s="34"/>
      <c r="BM29" s="34"/>
      <c r="BN29" s="34"/>
      <c r="BP29" s="34"/>
      <c r="BQ29" s="34"/>
      <c r="BR29" s="34"/>
      <c r="BS29" s="34"/>
      <c r="BT29" s="34"/>
      <c r="BV29" s="53">
        <f t="shared" si="16"/>
        <v>-24591050</v>
      </c>
      <c r="BW29" s="53">
        <f t="shared" si="16"/>
        <v>-768470.3125</v>
      </c>
      <c r="BX29" s="53">
        <f t="shared" si="16"/>
        <v>-9839.84375</v>
      </c>
      <c r="BY29" s="53">
        <f t="shared" si="16"/>
        <v>-25546664</v>
      </c>
      <c r="BZ29" s="53">
        <f t="shared" si="16"/>
        <v>-4312888</v>
      </c>
      <c r="CA29" s="53">
        <f t="shared" si="16"/>
        <v>-1104192</v>
      </c>
      <c r="CB29" s="53">
        <f t="shared" si="16"/>
        <v>-20129584</v>
      </c>
      <c r="CC29" s="53">
        <f t="shared" si="16"/>
        <v>-71.138031249999997</v>
      </c>
      <c r="CD29" s="53">
        <f t="shared" si="16"/>
        <v>-74.865934374999995</v>
      </c>
      <c r="CE29" s="53">
        <f t="shared" si="16"/>
        <v>-35.7631625</v>
      </c>
      <c r="CF29" s="53">
        <f t="shared" si="16"/>
        <v>-38.359853125000001</v>
      </c>
      <c r="CG29" s="53">
        <f t="shared" si="16"/>
        <v>-37.754875000000013</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75.742599999999982</v>
      </c>
      <c r="Y30" s="23">
        <v>33.214593749999999</v>
      </c>
      <c r="Z30" s="23">
        <v>41.966721874999998</v>
      </c>
      <c r="AA30" s="23">
        <v>43.243725000000012</v>
      </c>
      <c r="AB30" s="24">
        <v>3276.62</v>
      </c>
      <c r="AC30" s="24">
        <v>21983.3</v>
      </c>
      <c r="AD30" s="24">
        <v>51.744</v>
      </c>
      <c r="AE30" s="24">
        <v>37.159999999999997</v>
      </c>
      <c r="AG30" s="19" t="str">
        <f t="shared" si="6"/>
        <v>·</v>
      </c>
      <c r="AH30" s="20" t="str">
        <f t="shared" si="7"/>
        <v>·</v>
      </c>
      <c r="AI30" s="20" t="str">
        <f t="shared" si="8"/>
        <v>·</v>
      </c>
      <c r="AJ30" s="20" t="str">
        <f t="shared" si="9"/>
        <v>·</v>
      </c>
      <c r="AK30" s="20" t="str">
        <f t="shared" si="10"/>
        <v>·</v>
      </c>
      <c r="AL30" s="17" t="str">
        <f t="shared" si="11"/>
        <v/>
      </c>
      <c r="AM30" s="20">
        <v>16</v>
      </c>
      <c r="AN30" s="21"/>
      <c r="AO30" s="21"/>
      <c r="AP30" s="21"/>
      <c r="AQ30" s="22"/>
      <c r="AR30" s="22"/>
      <c r="AS30" s="22"/>
      <c r="AT30" s="22"/>
      <c r="AU30" s="23"/>
      <c r="AV30" s="23"/>
      <c r="AW30" s="23"/>
      <c r="AX30" s="23"/>
      <c r="AY30" s="23"/>
      <c r="AZ30" s="24"/>
      <c r="BA30" s="24"/>
      <c r="BB30" s="24"/>
      <c r="BC30" s="24"/>
      <c r="BE30" s="49" t="e">
        <f t="shared" si="12"/>
        <v>#VALUE!</v>
      </c>
      <c r="BF30" s="25" t="e">
        <f t="shared" si="13"/>
        <v>#DIV/0!</v>
      </c>
      <c r="BG30" s="25" t="e">
        <f t="shared" si="14"/>
        <v>#VALUE!</v>
      </c>
      <c r="BH30" s="25" t="e">
        <f t="array" ref="BH30">AVERAGE(AL30:AL34/AQ30:AQ34) - AVERAGE(N30:N34/S30:S34)</f>
        <v>#VALUE!</v>
      </c>
      <c r="BJ30" s="49" t="str">
        <f>IF( OR(ISBLANK(N30:N34),ISBLANK(AL30:AL34), ISBLANK(W30:W34),ISBLANK(AU30:AU34)), "·", bdRateExtend( N30:N34,W30:W34, AL30:AL34,AU30:AU34))</f>
        <v>·</v>
      </c>
      <c r="BK30" s="49" t="str">
        <f>IF( OR(ISBLANK(N30:N34),ISBLANK(AL30:AL34), ISBLANK(X30:X34),ISBLANK(AV30:AV34)), "·", bdRateExtend( N30:N34,X30:X34, AL30:AL34,AV30:AV34))</f>
        <v>·</v>
      </c>
      <c r="BL30" s="49" t="str">
        <f>IF( OR(ISBLANK(V30:V34),ISBLANK(AT30:AT34), ISBLANK(Y30:Y34),ISBLANK(AW30:AW34)), "·", bdRateExtend( V30:V34,Y30:Y34, AT30:AT34,AW30:AW34))</f>
        <v>·</v>
      </c>
      <c r="BM30" s="49" t="str">
        <f>IF( OR(ISBLANK(V30:V34),ISBLANK(AT30:AT34), ISBLANK(Z30:Z34),ISBLANK(AX30:AX34)), "·", bdRateExtend( V30:V34,Z30:Z34, AT30:AT34,AX30:AX34))</f>
        <v>·</v>
      </c>
      <c r="BN30" s="49" t="str">
        <f>IF( OR(ISBLANK(V30:V34),ISBLANK(AT30:AT34), ISBLANK(AA30:AA34),ISBLANK(AY30:AY34)), "·", bdRateExtend( V30:V34,AA30:AA34, AT30:AT34,AY30:AY34))</f>
        <v>·</v>
      </c>
      <c r="BP30" s="49" t="str">
        <f>IF( OR(ISBLANK(S30:S34),ISBLANK(AQ30:AQ34), ISBLANK(W30:W34),ISBLANK(AU30:AU34)), "·", bdRateExtend( S30:S34,W30:W34, AQ30:AQ34,AU30:AU34))</f>
        <v>·</v>
      </c>
      <c r="BQ30" s="49" t="str">
        <f>IF( OR(ISBLANK(S30:S34),ISBLANK(AQ30:AQ34), ISBLANK(X30:X34),ISBLANK(AV30:AV34)), "·", bdRateExtend( S30:S34,X30:X34, AQ30:AQ34,AV30:AV34))</f>
        <v>·</v>
      </c>
      <c r="BR30" s="49" t="str">
        <f>IF( OR(ISBLANK(S30:S34),ISBLANK(AQ30:AQ34), ISBLANK(Y30:Y34),ISBLANK(AW30:AW34)), "·", bdRateExtend( S30:S34,Y30:Y34, AQ30:AQ34,AW30:AW34))</f>
        <v>·</v>
      </c>
      <c r="BS30" s="49" t="str">
        <f>IF( OR(ISBLANK(S30:S34),ISBLANK(AQ30:AQ34), ISBLANK(Z30:Z34),ISBLANK(AX30:AX34)), "·", bdRateExtend( S30:S34,Z30:Z34, AQ30:AQ34,AX30:AX34))</f>
        <v>·</v>
      </c>
      <c r="BT30" s="49" t="str">
        <f>IF( OR(ISBLANK(S30:S34),ISBLANK(AQ30:AQ34), ISBLANK(AA30:AA34),ISBLANK(AY30:AY34)), "·", bdRateExtend( S30:S34,AA30:AA34, AQ30:AQ34,AY30:AY34))</f>
        <v>·</v>
      </c>
      <c r="BV30" s="53">
        <f t="shared" si="16"/>
        <v>-86243398</v>
      </c>
      <c r="BW30" s="53">
        <f t="shared" si="16"/>
        <v>-2695106.1875</v>
      </c>
      <c r="BX30" s="53">
        <f t="shared" si="16"/>
        <v>-33846.0625</v>
      </c>
      <c r="BY30" s="53">
        <f t="shared" si="16"/>
        <v>-3966016</v>
      </c>
      <c r="BZ30" s="53">
        <f t="shared" si="16"/>
        <v>-1980608</v>
      </c>
      <c r="CA30" s="53">
        <f t="shared" si="16"/>
        <v>-1166200</v>
      </c>
      <c r="CB30" s="53">
        <f t="shared" si="16"/>
        <v>-819208</v>
      </c>
      <c r="CC30" s="53">
        <f t="shared" si="16"/>
        <v>-73.637074999999996</v>
      </c>
      <c r="CD30" s="53">
        <f t="shared" si="16"/>
        <v>-75.742599999999982</v>
      </c>
      <c r="CE30" s="53">
        <f t="shared" si="16"/>
        <v>-33.214593749999999</v>
      </c>
      <c r="CF30" s="53">
        <f t="shared" si="16"/>
        <v>-41.966721874999998</v>
      </c>
      <c r="CG30" s="53">
        <f t="shared" si="16"/>
        <v>-43.243725000000012</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75.252650000000017</v>
      </c>
      <c r="X31" s="14">
        <v>77.584662500000022</v>
      </c>
      <c r="Y31" s="14">
        <v>35.17078750000001</v>
      </c>
      <c r="Z31" s="14">
        <v>42.536018749999997</v>
      </c>
      <c r="AA31" s="14">
        <v>44.678146875000003</v>
      </c>
      <c r="AB31" s="15">
        <v>3365.1</v>
      </c>
      <c r="AC31" s="15">
        <v>22893.200000000001</v>
      </c>
      <c r="AD31" s="15">
        <v>42.663999999999987</v>
      </c>
      <c r="AE31" s="15">
        <v>28.776</v>
      </c>
      <c r="AG31" s="10" t="str">
        <f t="shared" si="6"/>
        <v>·</v>
      </c>
      <c r="AH31" s="11" t="str">
        <f t="shared" si="7"/>
        <v>·</v>
      </c>
      <c r="AI31" s="11" t="str">
        <f t="shared" si="8"/>
        <v>·</v>
      </c>
      <c r="AJ31" s="11" t="str">
        <f t="shared" si="9"/>
        <v>·</v>
      </c>
      <c r="AK31" s="11" t="str">
        <f t="shared" si="10"/>
        <v>·</v>
      </c>
      <c r="AL31" s="52" t="str">
        <f t="shared" si="11"/>
        <v/>
      </c>
      <c r="AM31" s="11">
        <v>16</v>
      </c>
      <c r="AN31" s="12"/>
      <c r="AO31" s="12"/>
      <c r="AP31" s="12"/>
      <c r="AQ31" s="13"/>
      <c r="AR31" s="13"/>
      <c r="AS31" s="13"/>
      <c r="AT31" s="13"/>
      <c r="AU31" s="14"/>
      <c r="AV31" s="14"/>
      <c r="AW31" s="14"/>
      <c r="AX31" s="14"/>
      <c r="AY31" s="14"/>
      <c r="AZ31" s="15"/>
      <c r="BA31" s="15"/>
      <c r="BB31" s="15"/>
      <c r="BC31" s="15"/>
      <c r="BE31" s="50" t="e">
        <f t="shared" si="12"/>
        <v>#VALUE!</v>
      </c>
      <c r="BF31" s="16" t="e">
        <f t="shared" si="13"/>
        <v>#DIV/0!</v>
      </c>
      <c r="BG31" s="16" t="e">
        <f t="shared" si="14"/>
        <v>#VALUE!</v>
      </c>
      <c r="BH31" s="16"/>
      <c r="BJ31" s="50"/>
      <c r="BK31" s="50"/>
      <c r="BL31" s="50"/>
      <c r="BM31" s="50"/>
      <c r="BN31" s="50"/>
      <c r="BP31" s="50"/>
      <c r="BQ31" s="50"/>
      <c r="BR31" s="50"/>
      <c r="BS31" s="50"/>
      <c r="BT31" s="50"/>
      <c r="BV31" s="53">
        <f t="shared" si="16"/>
        <v>-90541792</v>
      </c>
      <c r="BW31" s="53">
        <f t="shared" si="16"/>
        <v>-2829431</v>
      </c>
      <c r="BX31" s="53">
        <f t="shared" si="16"/>
        <v>-41460.6875</v>
      </c>
      <c r="BY31" s="53">
        <f t="shared" si="16"/>
        <v>-5291952</v>
      </c>
      <c r="BZ31" s="53">
        <f t="shared" si="16"/>
        <v>-2708872</v>
      </c>
      <c r="CA31" s="53">
        <f t="shared" si="16"/>
        <v>-1166200</v>
      </c>
      <c r="CB31" s="53">
        <f t="shared" si="16"/>
        <v>-1416880</v>
      </c>
      <c r="CC31" s="53">
        <f t="shared" si="16"/>
        <v>-75.252650000000017</v>
      </c>
      <c r="CD31" s="53">
        <f t="shared" si="16"/>
        <v>-77.584662500000022</v>
      </c>
      <c r="CE31" s="53">
        <f t="shared" si="16"/>
        <v>-35.17078750000001</v>
      </c>
      <c r="CF31" s="53">
        <f t="shared" si="16"/>
        <v>-42.536018749999997</v>
      </c>
      <c r="CG31" s="53">
        <f t="shared" si="16"/>
        <v>-44.678146875000003</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76.469399999999951</v>
      </c>
      <c r="X32" s="23">
        <v>79.114190624999978</v>
      </c>
      <c r="Y32" s="23">
        <v>36.955215625000001</v>
      </c>
      <c r="Z32" s="23">
        <v>43.140440624999997</v>
      </c>
      <c r="AA32" s="23">
        <v>45.958556250000008</v>
      </c>
      <c r="AB32" s="24">
        <v>3289.38</v>
      </c>
      <c r="AC32" s="24">
        <v>24032.1</v>
      </c>
      <c r="AD32" s="24">
        <v>52.823999999999998</v>
      </c>
      <c r="AE32" s="24">
        <v>40.9</v>
      </c>
      <c r="AG32" s="19" t="str">
        <f t="shared" si="6"/>
        <v>·</v>
      </c>
      <c r="AH32" s="20" t="str">
        <f t="shared" si="7"/>
        <v>·</v>
      </c>
      <c r="AI32" s="20" t="str">
        <f t="shared" si="8"/>
        <v>·</v>
      </c>
      <c r="AJ32" s="20" t="str">
        <f t="shared" si="9"/>
        <v>·</v>
      </c>
      <c r="AK32" s="20" t="str">
        <f t="shared" si="10"/>
        <v>·</v>
      </c>
      <c r="AL32" s="17" t="str">
        <f t="shared" si="11"/>
        <v/>
      </c>
      <c r="AM32" s="20">
        <v>16</v>
      </c>
      <c r="AN32" s="21"/>
      <c r="AO32" s="21"/>
      <c r="AP32" s="21"/>
      <c r="AQ32" s="22"/>
      <c r="AR32" s="22"/>
      <c r="AS32" s="22"/>
      <c r="AT32" s="22"/>
      <c r="AU32" s="23"/>
      <c r="AV32" s="23"/>
      <c r="AW32" s="23"/>
      <c r="AX32" s="23"/>
      <c r="AY32" s="23"/>
      <c r="AZ32" s="24"/>
      <c r="BA32" s="24"/>
      <c r="BB32" s="24"/>
      <c r="BC32" s="24"/>
      <c r="BE32" s="49" t="e">
        <f t="shared" si="12"/>
        <v>#VALUE!</v>
      </c>
      <c r="BF32" s="25" t="e">
        <f t="shared" si="13"/>
        <v>#DIV/0!</v>
      </c>
      <c r="BG32" s="25" t="e">
        <f t="shared" si="14"/>
        <v>#VALUE!</v>
      </c>
      <c r="BH32" s="25"/>
      <c r="BJ32" s="49"/>
      <c r="BK32" s="49"/>
      <c r="BL32" s="49"/>
      <c r="BM32" s="49"/>
      <c r="BN32" s="49"/>
      <c r="BP32" s="49"/>
      <c r="BQ32" s="49"/>
      <c r="BR32" s="49"/>
      <c r="BS32" s="49"/>
      <c r="BT32" s="49"/>
      <c r="BV32" s="53">
        <f t="shared" si="16"/>
        <v>-91787366</v>
      </c>
      <c r="BW32" s="53">
        <f t="shared" si="16"/>
        <v>-2868355.1875</v>
      </c>
      <c r="BX32" s="53">
        <f t="shared" si="16"/>
        <v>-44534.90625</v>
      </c>
      <c r="BY32" s="53">
        <f t="shared" si="16"/>
        <v>-7650032</v>
      </c>
      <c r="BZ32" s="53">
        <f t="shared" si="16"/>
        <v>-3794344</v>
      </c>
      <c r="CA32" s="53">
        <f t="shared" si="16"/>
        <v>-1166200</v>
      </c>
      <c r="CB32" s="53">
        <f t="shared" si="16"/>
        <v>-2689488</v>
      </c>
      <c r="CC32" s="53">
        <f t="shared" si="16"/>
        <v>-76.469399999999951</v>
      </c>
      <c r="CD32" s="53">
        <f t="shared" si="16"/>
        <v>-79.114190624999978</v>
      </c>
      <c r="CE32" s="53">
        <f t="shared" si="16"/>
        <v>-36.955215625000001</v>
      </c>
      <c r="CF32" s="53">
        <f t="shared" si="16"/>
        <v>-43.140440624999997</v>
      </c>
      <c r="CG32" s="53">
        <f t="shared" si="16"/>
        <v>-45.958556250000008</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77.566353124999978</v>
      </c>
      <c r="X33" s="14">
        <v>80.266603124999975</v>
      </c>
      <c r="Y33" s="14">
        <v>38.719509375000001</v>
      </c>
      <c r="Z33" s="14">
        <v>43.700431250000001</v>
      </c>
      <c r="AA33" s="14">
        <v>47.37855312500001</v>
      </c>
      <c r="AB33" s="15">
        <v>3273.97</v>
      </c>
      <c r="AC33" s="15">
        <v>25351.9</v>
      </c>
      <c r="AD33" s="15">
        <v>53.54</v>
      </c>
      <c r="AE33" s="15">
        <v>44.095999999999997</v>
      </c>
      <c r="AG33" s="10" t="str">
        <f t="shared" si="6"/>
        <v>·</v>
      </c>
      <c r="AH33" s="11" t="str">
        <f t="shared" si="7"/>
        <v>·</v>
      </c>
      <c r="AI33" s="11" t="str">
        <f t="shared" si="8"/>
        <v>·</v>
      </c>
      <c r="AJ33" s="11" t="str">
        <f t="shared" si="9"/>
        <v>·</v>
      </c>
      <c r="AK33" s="11" t="str">
        <f t="shared" si="10"/>
        <v>·</v>
      </c>
      <c r="AL33" s="52" t="str">
        <f t="shared" si="11"/>
        <v/>
      </c>
      <c r="AM33" s="11">
        <v>16</v>
      </c>
      <c r="AN33" s="12"/>
      <c r="AO33" s="12"/>
      <c r="AP33" s="12"/>
      <c r="AQ33" s="13"/>
      <c r="AR33" s="13"/>
      <c r="AS33" s="13"/>
      <c r="AT33" s="13"/>
      <c r="AU33" s="14"/>
      <c r="AV33" s="14"/>
      <c r="AW33" s="14"/>
      <c r="AX33" s="14"/>
      <c r="AY33" s="14"/>
      <c r="AZ33" s="15"/>
      <c r="BA33" s="15"/>
      <c r="BB33" s="15"/>
      <c r="BC33" s="15"/>
      <c r="BE33" s="50" t="e">
        <f t="shared" si="12"/>
        <v>#VALUE!</v>
      </c>
      <c r="BF33" s="16" t="e">
        <f t="shared" si="13"/>
        <v>#DIV/0!</v>
      </c>
      <c r="BG33" s="16" t="e">
        <f t="shared" si="14"/>
        <v>#VALUE!</v>
      </c>
      <c r="BH33" s="16"/>
      <c r="BJ33" s="50"/>
      <c r="BK33" s="50"/>
      <c r="BL33" s="50"/>
      <c r="BM33" s="50"/>
      <c r="BN33" s="50"/>
      <c r="BP33" s="50"/>
      <c r="BQ33" s="50"/>
      <c r="BR33" s="50"/>
      <c r="BS33" s="50"/>
      <c r="BT33" s="50"/>
      <c r="BV33" s="53">
        <f t="shared" si="16"/>
        <v>-94114766</v>
      </c>
      <c r="BW33" s="53">
        <f t="shared" si="16"/>
        <v>-2941086.4375</v>
      </c>
      <c r="BX33" s="53">
        <f t="shared" si="16"/>
        <v>-49715.25</v>
      </c>
      <c r="BY33" s="53">
        <f t="shared" si="16"/>
        <v>-12812880</v>
      </c>
      <c r="BZ33" s="53">
        <f t="shared" si="16"/>
        <v>-5795360</v>
      </c>
      <c r="CA33" s="53">
        <f t="shared" si="16"/>
        <v>-1166200</v>
      </c>
      <c r="CB33" s="53">
        <f t="shared" si="16"/>
        <v>-5851320</v>
      </c>
      <c r="CC33" s="53">
        <f t="shared" si="16"/>
        <v>-77.566353124999978</v>
      </c>
      <c r="CD33" s="53">
        <f t="shared" si="16"/>
        <v>-80.266603124999975</v>
      </c>
      <c r="CE33" s="53">
        <f t="shared" si="16"/>
        <v>-38.719509375000001</v>
      </c>
      <c r="CF33" s="53">
        <f t="shared" si="16"/>
        <v>-43.700431250000001</v>
      </c>
      <c r="CG33" s="53">
        <f t="shared" si="16"/>
        <v>-47.37855312500001</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78.500296874999975</v>
      </c>
      <c r="X34" s="42">
        <v>81.895681249999996</v>
      </c>
      <c r="Y34" s="42">
        <v>40.507659374999989</v>
      </c>
      <c r="Z34" s="42">
        <v>44.373981249999993</v>
      </c>
      <c r="AA34" s="42">
        <v>48.810296874999999</v>
      </c>
      <c r="AB34" s="43">
        <v>3500.64</v>
      </c>
      <c r="AC34" s="43">
        <v>32732.400000000001</v>
      </c>
      <c r="AD34" s="43">
        <v>52.696000000000012</v>
      </c>
      <c r="AE34" s="43">
        <v>50.276000000000003</v>
      </c>
      <c r="AG34" s="38" t="str">
        <f t="shared" si="6"/>
        <v>·</v>
      </c>
      <c r="AH34" s="39" t="str">
        <f t="shared" si="7"/>
        <v>·</v>
      </c>
      <c r="AI34" s="39" t="str">
        <f t="shared" si="8"/>
        <v>·</v>
      </c>
      <c r="AJ34" s="39" t="str">
        <f t="shared" si="9"/>
        <v>·</v>
      </c>
      <c r="AK34" s="39" t="str">
        <f t="shared" si="10"/>
        <v>·</v>
      </c>
      <c r="AL34" s="36" t="str">
        <f t="shared" si="11"/>
        <v/>
      </c>
      <c r="AM34" s="39">
        <v>16</v>
      </c>
      <c r="AN34" s="40"/>
      <c r="AO34" s="40"/>
      <c r="AP34" s="40"/>
      <c r="AQ34" s="41"/>
      <c r="AR34" s="41"/>
      <c r="AS34" s="41"/>
      <c r="AT34" s="41"/>
      <c r="AU34" s="42"/>
      <c r="AV34" s="42"/>
      <c r="AW34" s="42"/>
      <c r="AX34" s="42"/>
      <c r="AY34" s="42"/>
      <c r="AZ34" s="43"/>
      <c r="BA34" s="43"/>
      <c r="BB34" s="43"/>
      <c r="BC34" s="43"/>
      <c r="BE34" s="44" t="e">
        <f t="shared" si="12"/>
        <v>#VALUE!</v>
      </c>
      <c r="BF34" s="45" t="e">
        <f t="shared" si="13"/>
        <v>#DIV/0!</v>
      </c>
      <c r="BG34" s="45" t="e">
        <f t="shared" si="14"/>
        <v>#VALUE!</v>
      </c>
      <c r="BH34" s="45"/>
      <c r="BJ34" s="44"/>
      <c r="BK34" s="44"/>
      <c r="BL34" s="44"/>
      <c r="BM34" s="44"/>
      <c r="BN34" s="44"/>
      <c r="BP34" s="44"/>
      <c r="BQ34" s="44"/>
      <c r="BR34" s="44"/>
      <c r="BS34" s="44"/>
      <c r="BT34" s="44"/>
      <c r="BV34" s="53">
        <f t="shared" si="16"/>
        <v>-92205535</v>
      </c>
      <c r="BW34" s="53">
        <f t="shared" si="16"/>
        <v>-2881422.96875</v>
      </c>
      <c r="BX34" s="53">
        <f t="shared" si="16"/>
        <v>-21180.46875</v>
      </c>
      <c r="BY34" s="53">
        <f t="shared" si="16"/>
        <v>-26282016</v>
      </c>
      <c r="BZ34" s="53">
        <f t="shared" si="16"/>
        <v>-9234488</v>
      </c>
      <c r="CA34" s="53">
        <f t="shared" si="16"/>
        <v>-2395128</v>
      </c>
      <c r="CB34" s="53">
        <f t="shared" si="16"/>
        <v>-14652400</v>
      </c>
      <c r="CC34" s="53">
        <f t="shared" si="16"/>
        <v>-78.500296874999975</v>
      </c>
      <c r="CD34" s="53">
        <f t="shared" si="16"/>
        <v>-81.895681249999996</v>
      </c>
      <c r="CE34" s="53">
        <f t="shared" si="16"/>
        <v>-40.507659374999989</v>
      </c>
      <c r="CF34" s="53">
        <f t="shared" si="16"/>
        <v>-44.373981249999993</v>
      </c>
      <c r="CG34" s="53">
        <f t="shared" si="16"/>
        <v>-48.810296874999999</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73.186065624999998</v>
      </c>
      <c r="X35" s="14">
        <v>75.395090625000023</v>
      </c>
      <c r="Y35" s="14">
        <v>31.7822125</v>
      </c>
      <c r="Z35" s="14">
        <v>42.191984374999997</v>
      </c>
      <c r="AA35" s="14">
        <v>43.412915625000011</v>
      </c>
      <c r="AB35" s="15">
        <v>2965.69</v>
      </c>
      <c r="AC35" s="15">
        <v>24997</v>
      </c>
      <c r="AD35" s="15">
        <v>51.14</v>
      </c>
      <c r="AE35" s="15">
        <v>39.776000000000003</v>
      </c>
      <c r="AG35" s="10" t="str">
        <f t="shared" si="6"/>
        <v>·</v>
      </c>
      <c r="AH35" s="11" t="str">
        <f t="shared" si="7"/>
        <v>·</v>
      </c>
      <c r="AI35" s="11" t="str">
        <f t="shared" si="8"/>
        <v>·</v>
      </c>
      <c r="AJ35" s="11" t="str">
        <f t="shared" si="9"/>
        <v>·</v>
      </c>
      <c r="AK35" s="11" t="str">
        <f t="shared" si="10"/>
        <v>·</v>
      </c>
      <c r="AL35" s="52" t="str">
        <f t="shared" si="11"/>
        <v/>
      </c>
      <c r="AM35" s="11">
        <v>16</v>
      </c>
      <c r="AN35" s="12"/>
      <c r="AO35" s="12"/>
      <c r="AP35" s="12"/>
      <c r="AQ35" s="13"/>
      <c r="AR35" s="13"/>
      <c r="AS35" s="13"/>
      <c r="AT35" s="13"/>
      <c r="AU35" s="14"/>
      <c r="AV35" s="14"/>
      <c r="AW35" s="14"/>
      <c r="AX35" s="14"/>
      <c r="AY35" s="14"/>
      <c r="AZ35" s="15"/>
      <c r="BA35" s="15"/>
      <c r="BB35" s="15"/>
      <c r="BC35" s="15"/>
      <c r="BE35" s="50" t="e">
        <f t="shared" si="12"/>
        <v>#VALUE!</v>
      </c>
      <c r="BF35" s="16" t="e">
        <f t="shared" si="13"/>
        <v>#DIV/0!</v>
      </c>
      <c r="BG35" s="16" t="e">
        <f t="shared" si="14"/>
        <v>#VALUE!</v>
      </c>
      <c r="BH35" s="16" t="e">
        <f t="array" ref="BH35">AVERAGE(AL35:AL39/AQ35:AQ39) - AVERAGE(N35:N39/S35:S39)</f>
        <v>#VALUE!</v>
      </c>
      <c r="BJ35" s="50" t="str">
        <f>IF( OR(ISBLANK(N35:N39),ISBLANK(AL35:AL39), ISBLANK(W35:W39),ISBLANK(AU35:AU39)), "·", bdRateExtend( N35:N39,W35:W39, AL35:AL39,AU35:AU39))</f>
        <v>·</v>
      </c>
      <c r="BK35" s="50" t="str">
        <f>IF( OR(ISBLANK(N35:N39),ISBLANK(AL35:AL39), ISBLANK(X35:X39),ISBLANK(AV35:AV39)), "·", bdRateExtend( N35:N39,X35:X39, AL35:AL39,AV35:AV39))</f>
        <v>·</v>
      </c>
      <c r="BL35" s="50" t="str">
        <f>IF( OR(ISBLANK(V35:V39),ISBLANK(AT35:AT39), ISBLANK(Y35:Y39),ISBLANK(AW35:AW39)), "·", bdRateExtend( V35:V39,Y35:Y39, AT35:AT39,AW35:AW39))</f>
        <v>·</v>
      </c>
      <c r="BM35" s="50" t="str">
        <f>IF( OR(ISBLANK(V35:V39),ISBLANK(AT35:AT39), ISBLANK(Z35:Z39),ISBLANK(AX35:AX39)), "·", bdRateExtend( V35:V39,Z35:Z39, AT35:AT39,AX35:AX39))</f>
        <v>·</v>
      </c>
      <c r="BN35" s="50" t="str">
        <f>IF( OR(ISBLANK(V35:V39),ISBLANK(AT35:AT39), ISBLANK(AA35:AA39),ISBLANK(AY35:AY39)), "·", bdRateExtend( V35:V39,AA35:AA39, AT35:AT39,AY35:AY39))</f>
        <v>·</v>
      </c>
      <c r="BP35" s="50" t="str">
        <f>IF( OR(ISBLANK(S35:S39),ISBLANK(AQ35:AQ39), ISBLANK(W35:W39),ISBLANK(AU35:AU39)), "·", bdRateExtend( S35:S39,W35:W39, AQ35:AQ39,AU35:AU39))</f>
        <v>·</v>
      </c>
      <c r="BQ35" s="50" t="str">
        <f>IF( OR(ISBLANK(S35:S39),ISBLANK(AQ35:AQ39), ISBLANK(X35:X39),ISBLANK(AV35:AV39)), "·", bdRateExtend( S35:S39,X35:X39, AQ35:AQ39,AV35:AV39))</f>
        <v>·</v>
      </c>
      <c r="BR35" s="50" t="str">
        <f>IF( OR(ISBLANK(S35:S39),ISBLANK(AQ35:AQ39), ISBLANK(Y35:Y39),ISBLANK(AW35:AW39)), "·", bdRateExtend( S35:S39,Y35:Y39, AQ35:AQ39,AW35:AW39))</f>
        <v>·</v>
      </c>
      <c r="BS35" s="50" t="str">
        <f>IF( OR(ISBLANK(S35:S39),ISBLANK(AQ35:AQ39), ISBLANK(Z35:Z39),ISBLANK(AX35:AX39)), "·", bdRateExtend( S35:S39,Z35:Z39, AQ35:AQ39,AX35:AX39))</f>
        <v>·</v>
      </c>
      <c r="BT35" s="50" t="str">
        <f>IF( OR(ISBLANK(S35:S39),ISBLANK(AQ35:AQ39), ISBLANK(AA35:AA39),ISBLANK(AY35:AY39)), "·", bdRateExtend( S35:S39,AA35:AA39, AQ35:AQ39,AY35:AY39))</f>
        <v>·</v>
      </c>
      <c r="BV35" s="53">
        <f t="shared" si="16"/>
        <v>-74793925</v>
      </c>
      <c r="BW35" s="53">
        <f t="shared" si="16"/>
        <v>-2337310.15625</v>
      </c>
      <c r="BX35" s="53">
        <f t="shared" si="16"/>
        <v>-30824.78125</v>
      </c>
      <c r="BY35" s="53">
        <f t="shared" si="16"/>
        <v>-4967368</v>
      </c>
      <c r="BZ35" s="53">
        <f t="shared" si="16"/>
        <v>-2384200</v>
      </c>
      <c r="CA35" s="53">
        <f t="shared" si="16"/>
        <v>-1339336</v>
      </c>
      <c r="CB35" s="53">
        <f t="shared" si="16"/>
        <v>-1243832</v>
      </c>
      <c r="CC35" s="53">
        <f t="shared" si="16"/>
        <v>-73.186065624999998</v>
      </c>
      <c r="CD35" s="53">
        <f t="shared" si="16"/>
        <v>-75.395090625000023</v>
      </c>
      <c r="CE35" s="53">
        <f t="shared" si="16"/>
        <v>-31.7822125</v>
      </c>
      <c r="CF35" s="53">
        <f t="shared" si="16"/>
        <v>-42.191984374999997</v>
      </c>
      <c r="CG35" s="53">
        <f t="shared" si="16"/>
        <v>-43.412915625000011</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74.938500000000019</v>
      </c>
      <c r="X36" s="23">
        <v>77.355887499999994</v>
      </c>
      <c r="Y36" s="23">
        <v>34.0428</v>
      </c>
      <c r="Z36" s="23">
        <v>42.958225000000013</v>
      </c>
      <c r="AA36" s="23">
        <v>44.998650000000012</v>
      </c>
      <c r="AB36" s="24">
        <v>3058.14</v>
      </c>
      <c r="AC36" s="24">
        <v>28595.9</v>
      </c>
      <c r="AD36" s="24">
        <v>53.223999999999997</v>
      </c>
      <c r="AE36" s="24">
        <v>36.747999999999998</v>
      </c>
      <c r="AG36" s="19" t="str">
        <f t="shared" si="6"/>
        <v>·</v>
      </c>
      <c r="AH36" s="20" t="str">
        <f t="shared" si="7"/>
        <v>·</v>
      </c>
      <c r="AI36" s="20" t="str">
        <f t="shared" si="8"/>
        <v>·</v>
      </c>
      <c r="AJ36" s="20" t="str">
        <f t="shared" si="9"/>
        <v>·</v>
      </c>
      <c r="AK36" s="20" t="str">
        <f t="shared" si="10"/>
        <v>·</v>
      </c>
      <c r="AL36" s="17" t="str">
        <f t="shared" si="11"/>
        <v/>
      </c>
      <c r="AM36" s="20">
        <v>16</v>
      </c>
      <c r="AN36" s="21"/>
      <c r="AO36" s="21"/>
      <c r="AP36" s="21"/>
      <c r="AQ36" s="22"/>
      <c r="AR36" s="22"/>
      <c r="AS36" s="22"/>
      <c r="AT36" s="22"/>
      <c r="AU36" s="23"/>
      <c r="AV36" s="23"/>
      <c r="AW36" s="23"/>
      <c r="AX36" s="23"/>
      <c r="AY36" s="23"/>
      <c r="AZ36" s="24"/>
      <c r="BA36" s="24"/>
      <c r="BB36" s="24"/>
      <c r="BC36" s="24"/>
      <c r="BE36" s="49" t="e">
        <f t="shared" si="12"/>
        <v>#VALUE!</v>
      </c>
      <c r="BF36" s="25" t="e">
        <f t="shared" si="13"/>
        <v>#DIV/0!</v>
      </c>
      <c r="BG36" s="25" t="e">
        <f t="shared" si="14"/>
        <v>#VALUE!</v>
      </c>
      <c r="BH36" s="25"/>
      <c r="BJ36" s="49"/>
      <c r="BK36" s="49"/>
      <c r="BL36" s="49"/>
      <c r="BM36" s="49"/>
      <c r="BN36" s="49"/>
      <c r="BP36" s="49"/>
      <c r="BQ36" s="49"/>
      <c r="BR36" s="49"/>
      <c r="BS36" s="49"/>
      <c r="BT36" s="49"/>
      <c r="BV36" s="53">
        <f t="shared" si="16"/>
        <v>-79976742</v>
      </c>
      <c r="BW36" s="53">
        <f t="shared" si="16"/>
        <v>-2499273.1875</v>
      </c>
      <c r="BX36" s="53">
        <f t="shared" si="16"/>
        <v>-39105.5</v>
      </c>
      <c r="BY36" s="53">
        <f t="shared" si="16"/>
        <v>-6654856</v>
      </c>
      <c r="BZ36" s="53">
        <f t="shared" si="16"/>
        <v>-3243856</v>
      </c>
      <c r="CA36" s="53">
        <f t="shared" si="16"/>
        <v>-1339336</v>
      </c>
      <c r="CB36" s="53">
        <f t="shared" si="16"/>
        <v>-2071664</v>
      </c>
      <c r="CC36" s="53">
        <f t="shared" si="16"/>
        <v>-74.938500000000019</v>
      </c>
      <c r="CD36" s="53">
        <f t="shared" si="16"/>
        <v>-77.355887499999994</v>
      </c>
      <c r="CE36" s="53">
        <f t="shared" si="16"/>
        <v>-34.0428</v>
      </c>
      <c r="CF36" s="53">
        <f t="shared" si="16"/>
        <v>-42.958225000000013</v>
      </c>
      <c r="CG36" s="53">
        <f t="shared" si="16"/>
        <v>-44.998650000000012</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76.246068749999978</v>
      </c>
      <c r="X37" s="14">
        <v>78.937634374999988</v>
      </c>
      <c r="Y37" s="14">
        <v>36.130121875</v>
      </c>
      <c r="Z37" s="14">
        <v>43.529096874999993</v>
      </c>
      <c r="AA37" s="14">
        <v>46.101628125000012</v>
      </c>
      <c r="AB37" s="15">
        <v>2962.69</v>
      </c>
      <c r="AC37" s="15">
        <v>27814.799999999999</v>
      </c>
      <c r="AD37" s="15">
        <v>53.636000000000003</v>
      </c>
      <c r="AE37" s="15">
        <v>39.192</v>
      </c>
      <c r="AG37" s="10" t="str">
        <f t="shared" si="6"/>
        <v>·</v>
      </c>
      <c r="AH37" s="11" t="str">
        <f t="shared" si="7"/>
        <v>·</v>
      </c>
      <c r="AI37" s="11" t="str">
        <f t="shared" si="8"/>
        <v>·</v>
      </c>
      <c r="AJ37" s="11" t="str">
        <f t="shared" si="9"/>
        <v>·</v>
      </c>
      <c r="AK37" s="11" t="str">
        <f t="shared" si="10"/>
        <v>·</v>
      </c>
      <c r="AL37" s="52" t="str">
        <f t="shared" si="11"/>
        <v/>
      </c>
      <c r="AM37" s="11">
        <v>16</v>
      </c>
      <c r="AN37" s="12"/>
      <c r="AO37" s="12"/>
      <c r="AP37" s="12"/>
      <c r="AQ37" s="13"/>
      <c r="AR37" s="13"/>
      <c r="AS37" s="13"/>
      <c r="AT37" s="13"/>
      <c r="AU37" s="14"/>
      <c r="AV37" s="14"/>
      <c r="AW37" s="14"/>
      <c r="AX37" s="14"/>
      <c r="AY37" s="14"/>
      <c r="AZ37" s="15"/>
      <c r="BA37" s="15"/>
      <c r="BB37" s="15"/>
      <c r="BC37" s="15"/>
      <c r="BE37" s="50" t="e">
        <f t="shared" si="12"/>
        <v>#VALUE!</v>
      </c>
      <c r="BF37" s="16" t="e">
        <f t="shared" si="13"/>
        <v>#DIV/0!</v>
      </c>
      <c r="BG37" s="16" t="e">
        <f t="shared" si="14"/>
        <v>#VALUE!</v>
      </c>
      <c r="BH37" s="16"/>
      <c r="BJ37" s="50"/>
      <c r="BK37" s="50"/>
      <c r="BL37" s="50"/>
      <c r="BM37" s="50"/>
      <c r="BN37" s="50"/>
      <c r="BP37" s="50"/>
      <c r="BQ37" s="50"/>
      <c r="BR37" s="50"/>
      <c r="BS37" s="50"/>
      <c r="BT37" s="50"/>
      <c r="BV37" s="53">
        <f t="shared" si="16"/>
        <v>-81787481</v>
      </c>
      <c r="BW37" s="53">
        <f t="shared" si="16"/>
        <v>-2555858.78125</v>
      </c>
      <c r="BX37" s="53">
        <f t="shared" si="16"/>
        <v>-42911.78125</v>
      </c>
      <c r="BY37" s="53">
        <f t="shared" si="16"/>
        <v>-9501824</v>
      </c>
      <c r="BZ37" s="53">
        <f t="shared" si="16"/>
        <v>-4473624</v>
      </c>
      <c r="CA37" s="53">
        <f t="shared" si="16"/>
        <v>-1339336</v>
      </c>
      <c r="CB37" s="53">
        <f t="shared" si="16"/>
        <v>-3688864</v>
      </c>
      <c r="CC37" s="53">
        <f t="shared" si="16"/>
        <v>-76.246068749999978</v>
      </c>
      <c r="CD37" s="53">
        <f t="shared" si="16"/>
        <v>-78.937634374999988</v>
      </c>
      <c r="CE37" s="53">
        <f t="shared" si="16"/>
        <v>-36.130121875</v>
      </c>
      <c r="CF37" s="53">
        <f t="shared" si="16"/>
        <v>-43.529096874999993</v>
      </c>
      <c r="CG37" s="53">
        <f t="shared" si="16"/>
        <v>-46.101628125000012</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77.415709375000006</v>
      </c>
      <c r="X38" s="23">
        <v>80.131399999999999</v>
      </c>
      <c r="Y38" s="23">
        <v>38.085528125000003</v>
      </c>
      <c r="Z38" s="23">
        <v>44.206915625000008</v>
      </c>
      <c r="AA38" s="23">
        <v>47.257871874999999</v>
      </c>
      <c r="AB38" s="24">
        <v>3191.14</v>
      </c>
      <c r="AC38" s="24">
        <v>33916.300000000003</v>
      </c>
      <c r="AD38" s="24">
        <v>57.96</v>
      </c>
      <c r="AE38" s="24">
        <v>45.14</v>
      </c>
      <c r="AG38" s="19" t="str">
        <f t="shared" si="6"/>
        <v>·</v>
      </c>
      <c r="AH38" s="20" t="str">
        <f t="shared" si="7"/>
        <v>·</v>
      </c>
      <c r="AI38" s="20" t="str">
        <f t="shared" si="8"/>
        <v>·</v>
      </c>
      <c r="AJ38" s="20" t="str">
        <f t="shared" si="9"/>
        <v>·</v>
      </c>
      <c r="AK38" s="20" t="str">
        <f t="shared" si="10"/>
        <v>·</v>
      </c>
      <c r="AL38" s="17" t="str">
        <f t="shared" si="11"/>
        <v/>
      </c>
      <c r="AM38" s="20">
        <v>16</v>
      </c>
      <c r="AN38" s="21"/>
      <c r="AO38" s="21"/>
      <c r="AP38" s="21"/>
      <c r="AQ38" s="22"/>
      <c r="AR38" s="22"/>
      <c r="AS38" s="22"/>
      <c r="AT38" s="22"/>
      <c r="AU38" s="23"/>
      <c r="AV38" s="23"/>
      <c r="AW38" s="23"/>
      <c r="AX38" s="23"/>
      <c r="AY38" s="23"/>
      <c r="AZ38" s="24"/>
      <c r="BA38" s="24"/>
      <c r="BB38" s="24"/>
      <c r="BC38" s="24"/>
      <c r="BE38" s="49" t="e">
        <f t="shared" si="12"/>
        <v>#VALUE!</v>
      </c>
      <c r="BF38" s="25" t="e">
        <f t="shared" si="13"/>
        <v>#DIV/0!</v>
      </c>
      <c r="BG38" s="25" t="e">
        <f t="shared" si="14"/>
        <v>#VALUE!</v>
      </c>
      <c r="BH38" s="25"/>
      <c r="BJ38" s="49"/>
      <c r="BK38" s="49"/>
      <c r="BL38" s="49"/>
      <c r="BM38" s="49"/>
      <c r="BN38" s="49"/>
      <c r="BP38" s="49"/>
      <c r="BQ38" s="49"/>
      <c r="BR38" s="49"/>
      <c r="BS38" s="49"/>
      <c r="BT38" s="49"/>
      <c r="BV38" s="53">
        <f t="shared" si="16"/>
        <v>-83859347</v>
      </c>
      <c r="BW38" s="53">
        <f t="shared" si="16"/>
        <v>-2620604.59375</v>
      </c>
      <c r="BX38" s="53">
        <f t="shared" si="16"/>
        <v>-48103.65625</v>
      </c>
      <c r="BY38" s="53">
        <f t="shared" si="16"/>
        <v>-15396904</v>
      </c>
      <c r="BZ38" s="53">
        <f t="shared" si="16"/>
        <v>-6562480</v>
      </c>
      <c r="CA38" s="53">
        <f t="shared" si="16"/>
        <v>-1339336</v>
      </c>
      <c r="CB38" s="53">
        <f t="shared" si="16"/>
        <v>-7495088</v>
      </c>
      <c r="CC38" s="53">
        <f t="shared" si="16"/>
        <v>-77.415709375000006</v>
      </c>
      <c r="CD38" s="53">
        <f t="shared" si="16"/>
        <v>-80.131399999999999</v>
      </c>
      <c r="CE38" s="53">
        <f t="shared" si="16"/>
        <v>-38.085528125000003</v>
      </c>
      <c r="CF38" s="53">
        <f t="shared" si="16"/>
        <v>-44.206915625000008</v>
      </c>
      <c r="CG38" s="53">
        <f t="shared" si="16"/>
        <v>-47.257871874999999</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78.311515624999998</v>
      </c>
      <c r="X39" s="32">
        <v>81.848193750000021</v>
      </c>
      <c r="Y39" s="32">
        <v>40.156068750000003</v>
      </c>
      <c r="Z39" s="32">
        <v>45.115956249999989</v>
      </c>
      <c r="AA39" s="32">
        <v>48.630465624999999</v>
      </c>
      <c r="AB39" s="33">
        <v>2964.08</v>
      </c>
      <c r="AC39" s="33">
        <v>31215.5</v>
      </c>
      <c r="AD39" s="33">
        <v>52.031999999999996</v>
      </c>
      <c r="AE39" s="33">
        <v>51.76</v>
      </c>
      <c r="AG39" s="28" t="str">
        <f t="shared" si="6"/>
        <v>·</v>
      </c>
      <c r="AH39" s="29" t="str">
        <f t="shared" si="7"/>
        <v>·</v>
      </c>
      <c r="AI39" s="29" t="str">
        <f t="shared" si="8"/>
        <v>·</v>
      </c>
      <c r="AJ39" s="29" t="str">
        <f t="shared" si="9"/>
        <v>·</v>
      </c>
      <c r="AK39" s="29" t="str">
        <f t="shared" si="10"/>
        <v>·</v>
      </c>
      <c r="AL39" s="26" t="str">
        <f t="shared" si="11"/>
        <v/>
      </c>
      <c r="AM39" s="29">
        <v>16</v>
      </c>
      <c r="AN39" s="30"/>
      <c r="AO39" s="30"/>
      <c r="AP39" s="30"/>
      <c r="AQ39" s="31"/>
      <c r="AR39" s="31"/>
      <c r="AS39" s="31"/>
      <c r="AT39" s="31"/>
      <c r="AU39" s="32"/>
      <c r="AV39" s="32"/>
      <c r="AW39" s="32"/>
      <c r="AX39" s="32"/>
      <c r="AY39" s="32"/>
      <c r="AZ39" s="33"/>
      <c r="BA39" s="33"/>
      <c r="BB39" s="33"/>
      <c r="BC39" s="33"/>
      <c r="BE39" s="34" t="e">
        <f t="shared" si="12"/>
        <v>#VALUE!</v>
      </c>
      <c r="BF39" s="35" t="e">
        <f t="shared" si="13"/>
        <v>#DIV/0!</v>
      </c>
      <c r="BG39" s="35" t="e">
        <f t="shared" si="14"/>
        <v>#VALUE!</v>
      </c>
      <c r="BH39" s="35"/>
      <c r="BJ39" s="34"/>
      <c r="BK39" s="34"/>
      <c r="BL39" s="34"/>
      <c r="BM39" s="34"/>
      <c r="BN39" s="34"/>
      <c r="BP39" s="34"/>
      <c r="BQ39" s="34"/>
      <c r="BR39" s="34"/>
      <c r="BS39" s="34"/>
      <c r="BT39" s="34"/>
      <c r="BV39" s="53">
        <f t="shared" si="16"/>
        <v>-82067544</v>
      </c>
      <c r="BW39" s="53">
        <f t="shared" si="16"/>
        <v>-2564610.75</v>
      </c>
      <c r="BX39" s="53">
        <f t="shared" si="16"/>
        <v>-19264.46875</v>
      </c>
      <c r="BY39" s="53">
        <f t="shared" si="16"/>
        <v>-30571432</v>
      </c>
      <c r="BZ39" s="53">
        <f t="shared" si="16"/>
        <v>-10118360</v>
      </c>
      <c r="CA39" s="53">
        <f t="shared" si="16"/>
        <v>-2700664</v>
      </c>
      <c r="CB39" s="53">
        <f t="shared" si="16"/>
        <v>-17752408</v>
      </c>
      <c r="CC39" s="53">
        <f t="shared" si="16"/>
        <v>-78.311515624999998</v>
      </c>
      <c r="CD39" s="53">
        <f t="shared" si="16"/>
        <v>-81.848193750000021</v>
      </c>
      <c r="CE39" s="53">
        <f t="shared" si="16"/>
        <v>-40.156068750000003</v>
      </c>
      <c r="CF39" s="53">
        <f t="shared" si="16"/>
        <v>-45.115956249999989</v>
      </c>
      <c r="CG39" s="53">
        <f t="shared" si="16"/>
        <v>-48.630465624999999</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t="e">
        <f>AVERAGE(AH5:AH24)</f>
        <v>#DIV/0!</v>
      </c>
      <c r="AI40" s="47" t="e">
        <f>AVERAGE(AI5:AI24)</f>
        <v>#DIV/0!</v>
      </c>
      <c r="AJ40" s="47" t="e">
        <f>AVERAGE(AJ5:AJ24)</f>
        <v>#DIV/0!</v>
      </c>
      <c r="AK40" s="47" t="e">
        <f>AVERAGE(AK5:AK24)</f>
        <v>#DIV/0!</v>
      </c>
      <c r="BE40" s="51" t="e">
        <f t="shared" si="12"/>
        <v>#DIV/0!</v>
      </c>
      <c r="BH40" s="55" t="e">
        <f>AVERAGE(BH5:BH24)</f>
        <v>#VALUE!</v>
      </c>
      <c r="BJ40" s="51" t="e">
        <f>AVERAGE(BJ5:BJ24)</f>
        <v>#DIV/0!</v>
      </c>
      <c r="BK40" s="51" t="e">
        <f>AVERAGE(BK5:BK24)</f>
        <v>#DIV/0!</v>
      </c>
      <c r="BL40" s="51" t="e">
        <f>AVERAGE(BL5:BL24)</f>
        <v>#DIV/0!</v>
      </c>
      <c r="BM40" s="51" t="e">
        <f>AVERAGE(BM5:BM24)</f>
        <v>#DIV/0!</v>
      </c>
      <c r="BN40" s="51" t="e">
        <f>AVERAGE(BN5:BN24)</f>
        <v>#DIV/0!</v>
      </c>
      <c r="BP40" s="51" t="e">
        <f>AVERAGE(BP5:BP24)</f>
        <v>#DIV/0!</v>
      </c>
      <c r="BQ40" s="51" t="e">
        <f>AVERAGE(BQ5:BQ24)</f>
        <v>#DIV/0!</v>
      </c>
      <c r="BR40" s="51" t="e">
        <f>AVERAGE(BR5:BR24)</f>
        <v>#DIV/0!</v>
      </c>
      <c r="BS40" s="51" t="e">
        <f>AVERAGE(BS5:BS24)</f>
        <v>#DIV/0!</v>
      </c>
      <c r="BT40" s="51" t="e">
        <f>AVERAGE(BT5:BT24)</f>
        <v>#DIV/0!</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t="e">
        <f>AVERAGE(AH25:AH29)</f>
        <v>#DIV/0!</v>
      </c>
      <c r="AI41" s="47" t="e">
        <f>AVERAGE(AI25:AI29)</f>
        <v>#DIV/0!</v>
      </c>
      <c r="AJ41" s="47" t="e">
        <f>AVERAGE(AJ25:AJ29)</f>
        <v>#DIV/0!</v>
      </c>
      <c r="AK41" s="47" t="e">
        <f>AVERAGE(AK25:AK29)</f>
        <v>#DIV/0!</v>
      </c>
      <c r="BE41" s="51" t="e">
        <f t="shared" si="12"/>
        <v>#DIV/0!</v>
      </c>
      <c r="BH41" s="55" t="e">
        <f>AVERAGE(BH25:BH29)</f>
        <v>#VALUE!</v>
      </c>
      <c r="BJ41" s="51" t="e">
        <f>AVERAGE(BJ25:BJ29)</f>
        <v>#DIV/0!</v>
      </c>
      <c r="BK41" s="51" t="e">
        <f>AVERAGE(BK25:BK29)</f>
        <v>#DIV/0!</v>
      </c>
      <c r="BL41" s="51" t="e">
        <f>AVERAGE(BL25:BL29)</f>
        <v>#DIV/0!</v>
      </c>
      <c r="BM41" s="51" t="e">
        <f>AVERAGE(BM25:BM29)</f>
        <v>#DIV/0!</v>
      </c>
      <c r="BN41" s="51" t="e">
        <f>AVERAGE(BN25:BN29)</f>
        <v>#DIV/0!</v>
      </c>
      <c r="BP41" s="51" t="e">
        <f>AVERAGE(BP25:BP29)</f>
        <v>#DIV/0!</v>
      </c>
      <c r="BQ41" s="51" t="e">
        <f>AVERAGE(BQ25:BQ29)</f>
        <v>#DIV/0!</v>
      </c>
      <c r="BR41" s="51" t="e">
        <f>AVERAGE(BR25:BR29)</f>
        <v>#DIV/0!</v>
      </c>
      <c r="BS41" s="51" t="e">
        <f>AVERAGE(BS25:BS29)</f>
        <v>#DIV/0!</v>
      </c>
      <c r="BT41" s="51" t="e">
        <f>AVERAGE(BT25:BT29)</f>
        <v>#DIV/0!</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t="e">
        <f>AVERAGE(AH30:AH39)</f>
        <v>#DIV/0!</v>
      </c>
      <c r="AI42" s="47" t="e">
        <f>AVERAGE(AI30:AI39)</f>
        <v>#DIV/0!</v>
      </c>
      <c r="AJ42" s="47" t="e">
        <f>AVERAGE(AJ30:AJ39)</f>
        <v>#DIV/0!</v>
      </c>
      <c r="AK42" s="47" t="e">
        <f>AVERAGE(AK30:AK39)</f>
        <v>#DIV/0!</v>
      </c>
      <c r="BE42" s="51" t="e">
        <f t="shared" si="12"/>
        <v>#DIV/0!</v>
      </c>
      <c r="BH42" s="55" t="e">
        <f>AVERAGE(BH30:BH39)</f>
        <v>#VALUE!</v>
      </c>
      <c r="BJ42" s="51" t="e">
        <f>AVERAGE(BJ30:BJ39)</f>
        <v>#DIV/0!</v>
      </c>
      <c r="BK42" s="51" t="e">
        <f>AVERAGE(BK30:BK39)</f>
        <v>#DIV/0!</v>
      </c>
      <c r="BL42" s="51" t="e">
        <f>AVERAGE(BL30:BL39)</f>
        <v>#DIV/0!</v>
      </c>
      <c r="BM42" s="51" t="e">
        <f>AVERAGE(BM30:BM39)</f>
        <v>#DIV/0!</v>
      </c>
      <c r="BN42" s="51" t="e">
        <f>AVERAGE(BN30:BN39)</f>
        <v>#DIV/0!</v>
      </c>
      <c r="BP42" s="51" t="e">
        <f>AVERAGE(BP30:BP39)</f>
        <v>#DIV/0!</v>
      </c>
      <c r="BQ42" s="51" t="e">
        <f>AVERAGE(BQ30:BQ39)</f>
        <v>#DIV/0!</v>
      </c>
      <c r="BR42" s="51" t="e">
        <f>AVERAGE(BR30:BR39)</f>
        <v>#DIV/0!</v>
      </c>
      <c r="BS42" s="51" t="e">
        <f>AVERAGE(BS30:BS39)</f>
        <v>#DIV/0!</v>
      </c>
      <c r="BT42" s="51" t="e">
        <f>AVERAGE(BT30:BT39)</f>
        <v>#DIV/0!</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t="e">
        <f>AVERAGE(AH5:AH39)</f>
        <v>#DIV/0!</v>
      </c>
      <c r="AI43" s="47" t="e">
        <f>AVERAGE(AI5:AI39)</f>
        <v>#DIV/0!</v>
      </c>
      <c r="AJ43" s="47" t="e">
        <f>AVERAGE(AJ5:AJ39)</f>
        <v>#DIV/0!</v>
      </c>
      <c r="AK43" s="47" t="e">
        <f>AVERAGE(AK5:AK39)</f>
        <v>#DIV/0!</v>
      </c>
      <c r="BE43" s="51" t="e">
        <f t="shared" si="12"/>
        <v>#DIV/0!</v>
      </c>
      <c r="BH43" s="55" t="e">
        <f>AVERAGE(BH5:BH39)</f>
        <v>#VALUE!</v>
      </c>
      <c r="BJ43" s="51" t="e">
        <f>AVERAGE(BJ5:BJ39)</f>
        <v>#DIV/0!</v>
      </c>
      <c r="BK43" s="51" t="e">
        <f>AVERAGE(BK5:BK39)</f>
        <v>#DIV/0!</v>
      </c>
      <c r="BL43" s="51" t="e">
        <f>AVERAGE(BL5:BL39)</f>
        <v>#DIV/0!</v>
      </c>
      <c r="BM43" s="51" t="e">
        <f>AVERAGE(BM5:BM39)</f>
        <v>#DIV/0!</v>
      </c>
      <c r="BN43" s="51" t="e">
        <f>AVERAGE(BN5:BN39)</f>
        <v>#DIV/0!</v>
      </c>
      <c r="BP43" s="51" t="e">
        <f>AVERAGE(BP5:BP39)</f>
        <v>#DIV/0!</v>
      </c>
      <c r="BQ43" s="51" t="e">
        <f>AVERAGE(BQ5:BQ39)</f>
        <v>#DIV/0!</v>
      </c>
      <c r="BR43" s="51" t="e">
        <f>AVERAGE(BR5:BR39)</f>
        <v>#DIV/0!</v>
      </c>
      <c r="BS43" s="51" t="e">
        <f>AVERAGE(BS5:BS39)</f>
        <v>#DIV/0!</v>
      </c>
      <c r="BT43" s="51" t="e">
        <f>AVERAGE(BT5:BT39)</f>
        <v>#DIV/0!</v>
      </c>
    </row>
    <row r="44" spans="1:88" ht="16" hidden="1" outlineLevel="2" x14ac:dyDescent="0.2">
      <c r="A44" s="46" t="s">
        <v>245</v>
      </c>
      <c r="B44" s="46" t="s">
        <v>246</v>
      </c>
      <c r="AB44" s="48">
        <f>SUM(AB5:AB24,AB25:AB29,AB30:AB39)</f>
        <v>114263.69</v>
      </c>
      <c r="AC44" s="48">
        <f>SUM(AC5:AC24,AC25:AC29,AC30:AC39)</f>
        <v>403877.78</v>
      </c>
      <c r="AD44" s="48">
        <f>SUM(AD5:AD24,AD25:AD29,AD30:AD39)</f>
        <v>845.60400000000016</v>
      </c>
      <c r="AE44" s="48">
        <f>SUM(AE5:AE24,AE25:AE29,AE30:AE39)</f>
        <v>659.41599999999994</v>
      </c>
      <c r="AZ44" s="48">
        <f>SUM(AZ5:AZ24,AZ25:AZ29,AZ30:AZ39)</f>
        <v>0</v>
      </c>
      <c r="BA44" s="48">
        <f>SUM(BA5:BA24,BA25:BA29,BA30:BA39)</f>
        <v>0</v>
      </c>
      <c r="BB44" s="48">
        <f>SUM(BB5:BB24,BB25:BB29,BB30:BB39)</f>
        <v>0</v>
      </c>
      <c r="BC44" s="48">
        <f>SUM(BC5:BC24,BC25:BC29,BC30:BC39)</f>
        <v>0</v>
      </c>
    </row>
    <row r="45" spans="1:88" ht="16" hidden="1" outlineLevel="2" x14ac:dyDescent="0.2">
      <c r="B45" s="46" t="s">
        <v>247</v>
      </c>
      <c r="AZ45" s="55">
        <f>AZ44/AB44</f>
        <v>0</v>
      </c>
      <c r="BA45" s="55">
        <f>BA44/AC44</f>
        <v>0</v>
      </c>
      <c r="BB45" s="55">
        <f>BB44/AD44</f>
        <v>0</v>
      </c>
      <c r="BC45" s="55">
        <f>BC44/AE44</f>
        <v>0</v>
      </c>
    </row>
    <row r="46" spans="1:88" ht="16" hidden="1" outlineLevel="2" x14ac:dyDescent="0.2">
      <c r="B46" s="46" t="s">
        <v>248</v>
      </c>
      <c r="AB46" s="48">
        <f>GEOMEAN(AB5:AB24,AB25:AB29,AB30:AB39)</f>
        <v>3087.3746394952109</v>
      </c>
      <c r="AC46" s="48">
        <f>GEOMEAN(AC5:AC24,AC25:AC29,AC30:AC39)</f>
        <v>8261.5041431862574</v>
      </c>
      <c r="AD46" s="48">
        <f>GEOMEAN(AD5:AD24,AD25:AD29,AD30:AD39)</f>
        <v>19.2149967787654</v>
      </c>
      <c r="AE46" s="48">
        <f>GEOMEAN(AE5:AE24,AE25:AE29,AE30:AE39)</f>
        <v>14.558757596533441</v>
      </c>
      <c r="AZ46" s="48" t="e">
        <f>GEOMEAN(AZ5:AZ24,AZ25:AZ29,AZ30:AZ39)</f>
        <v>#NUM!</v>
      </c>
      <c r="BA46" s="48" t="e">
        <f>GEOMEAN(BA5:BA24,BA25:BA29,BA30:BA39)</f>
        <v>#NUM!</v>
      </c>
      <c r="BB46" s="48" t="e">
        <f>GEOMEAN(BB5:BB24,BB25:BB29,BB30:BB39)</f>
        <v>#NUM!</v>
      </c>
      <c r="BC46" s="48" t="e">
        <f>GEOMEAN(BC5:BC24,BC25:BC29,BC30:BC39)</f>
        <v>#NUM!</v>
      </c>
    </row>
    <row r="47" spans="1:88" ht="16" outlineLevel="2" collapsed="1" x14ac:dyDescent="0.2">
      <c r="B47" s="46" t="s">
        <v>249</v>
      </c>
      <c r="AZ47" s="55" t="e">
        <f>AZ46/AB46</f>
        <v>#NUM!</v>
      </c>
      <c r="BA47" s="55" t="e">
        <f>BA46/AC46</f>
        <v>#NUM!</v>
      </c>
      <c r="BB47" s="55" t="e">
        <f>BB46/AD46</f>
        <v>#NUM!</v>
      </c>
      <c r="BC47" s="55" t="e">
        <f>BC46/AE46</f>
        <v>#NUM!</v>
      </c>
    </row>
  </sheetData>
  <mergeCells count="48">
    <mergeCell ref="CE2:CG2"/>
    <mergeCell ref="BV2:BV3"/>
    <mergeCell ref="BW2:BW3"/>
    <mergeCell ref="BX2:BX3"/>
    <mergeCell ref="BY2:CB2"/>
    <mergeCell ref="CC2:CD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2019-10-21T22:09:05Z</dcterms:modified>
</cp:coreProperties>
</file>