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9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/VPCC50_rcOurs/mpeg-pcc-tmc2/test/"/>
    </mc:Choice>
  </mc:AlternateContent>
  <xr:revisionPtr revIDLastSave="0" documentId="13_ncr:1_{0F4BF43E-1AC3-7C42-A5B3-48E0C9A7AFDC}" xr6:coauthVersionLast="36" xr6:coauthVersionMax="36" xr10:uidLastSave="{00000000-0000-0000-0000-000000000000}"/>
  <bookViews>
    <workbookView xWindow="0" yWindow="460" windowWidth="28800" windowHeight="16320" firstSheet="1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state="hidden" r:id="rId5"/>
    <sheet name="CW losslG,losslA,interLD" sheetId="6" state="hidden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J25" i="7"/>
  <c r="BM10" i="3"/>
  <c r="BO20" i="3"/>
  <c r="BL5" i="3"/>
  <c r="BQ25" i="3"/>
  <c r="BS15" i="3"/>
  <c r="BQ15" i="3"/>
  <c r="BO15" i="3"/>
  <c r="BK5" i="7"/>
  <c r="BP5" i="3"/>
  <c r="BR10" i="3"/>
  <c r="BS20" i="3"/>
  <c r="BK10" i="3"/>
  <c r="BP10" i="3"/>
  <c r="BM15" i="3"/>
  <c r="BR25" i="3"/>
  <c r="BL15" i="3"/>
  <c r="BR15" i="7"/>
  <c r="BK20" i="7"/>
  <c r="BR15" i="3"/>
  <c r="BM25" i="3"/>
  <c r="BS25" i="3"/>
  <c r="BO10" i="7"/>
  <c r="BO15" i="7"/>
  <c r="BP15" i="7"/>
  <c r="BM5" i="3"/>
  <c r="BL10" i="3"/>
  <c r="BR5" i="3"/>
  <c r="BL5" i="7"/>
  <c r="BR10" i="7"/>
  <c r="BL20" i="3"/>
  <c r="BP10" i="7"/>
  <c r="BL15" i="7"/>
  <c r="BL20" i="7"/>
  <c r="BQ20" i="7"/>
  <c r="BP25" i="7"/>
  <c r="BS25" i="7"/>
  <c r="BQ25" i="7"/>
  <c r="BR20" i="7"/>
  <c r="BR25" i="7"/>
  <c r="BM10" i="7"/>
  <c r="BO10" i="3"/>
  <c r="BQ10" i="7"/>
  <c r="BO25" i="7"/>
  <c r="BK10" i="7"/>
  <c r="BK5" i="3"/>
  <c r="BK15" i="7"/>
  <c r="BK25" i="3"/>
  <c r="BR5" i="7"/>
  <c r="BP25" i="3"/>
  <c r="BS20" i="7"/>
  <c r="BO20" i="7"/>
  <c r="BL25" i="7"/>
  <c r="BQ15" i="7"/>
  <c r="BS5" i="3"/>
  <c r="BP20" i="3"/>
  <c r="BP20" i="7"/>
  <c r="BL25" i="3"/>
  <c r="BL10" i="7"/>
  <c r="BS5" i="7"/>
  <c r="BO5" i="3"/>
  <c r="BM5" i="7"/>
  <c r="BR20" i="3"/>
  <c r="BM20" i="7"/>
  <c r="BM15" i="7"/>
  <c r="BM25" i="7"/>
  <c r="BM20" i="3"/>
  <c r="BS10" i="7"/>
  <c r="BQ10" i="3"/>
  <c r="BK25" i="7"/>
  <c r="BP5" i="7"/>
  <c r="BS15" i="7"/>
  <c r="BQ20" i="3"/>
  <c r="BK20" i="3"/>
  <c r="BP15" i="3"/>
  <c r="BO25" i="3"/>
  <c r="BQ5" i="3"/>
  <c r="BO5" i="7"/>
  <c r="BS10" i="3"/>
  <c r="BK15" i="3"/>
  <c r="BQ5" i="7"/>
  <c r="BJ15" i="3"/>
  <c r="BF7" i="6" l="1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5" i="3"/>
  <c r="BJ10" i="7"/>
  <c r="BI15" i="3"/>
  <c r="BJ5" i="7"/>
  <c r="BI25" i="7"/>
  <c r="BJ10" i="3"/>
  <c r="BI25" i="3"/>
  <c r="BI5" i="3"/>
  <c r="BI10" i="7"/>
  <c r="BI10" i="3"/>
  <c r="BJ15" i="7"/>
  <c r="BJ20" i="3"/>
  <c r="BI5" i="7"/>
  <c r="BI15" i="7"/>
  <c r="BI20" i="7"/>
  <c r="BJ20" i="7"/>
  <c r="BI20" i="3"/>
  <c r="BJ2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<sst xmlns="http://schemas.openxmlformats.org/spreadsheetml/2006/main" count="1410" uniqueCount="555">
  <si>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</si>
  <si>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</si>
  <si>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</si>
  <si>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</si>
  <si>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</si>
  <si>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</si>
  <si>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</si>
  <si>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</si>
  <si>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</si>
  <si>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</si>
  <si>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</si>
  <si>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</si>
  <si>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</si>
  <si>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</si>
  <si>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</si>
  <si>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</si>
  <si>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</si>
  <si>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</si>
  <si>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</si>
  <si>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</si>
  <si>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</si>
  <si>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</si>
  <si>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</si>
  <si>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</si>
  <si>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</si>
  <si>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</si>
  <si>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</si>
  <si>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</si>
  <si>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</si>
  <si>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</si>
  <si>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</si>
  <si>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</si>
  <si>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</si>
  <si>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</si>
  <si>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</si>
  <si>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</si>
  <si>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</si>
  <si>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</si>
  <si>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</si>
  <si>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</si>
  <si>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</si>
  <si>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</si>
  <si>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</si>
  <si>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</si>
  <si>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</si>
  <si>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</si>
  <si>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</si>
  <si>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</si>
  <si>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</si>
  <si>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</si>
  <si>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</si>
  <si>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</si>
  <si>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</si>
  <si>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</si>
  <si>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</si>
  <si>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</si>
  <si>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</si>
  <si>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</si>
  <si>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</si>
  <si>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</si>
  <si>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</si>
  <si>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</si>
  <si>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</si>
  <si>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</si>
  <si>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</si>
  <si>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</si>
  <si>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</si>
  <si>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</si>
  <si>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</si>
  <si>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</si>
  <si>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</si>
  <si>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</si>
  <si>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</si>
  <si>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</si>
  <si>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</si>
  <si>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</si>
  <si>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</si>
  <si>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</si>
  <si>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</si>
  <si>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</si>
  <si>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</si>
  <si>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</si>
  <si>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</si>
  <si>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</si>
  <si>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</si>
  <si>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</si>
  <si>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</si>
  <si>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</si>
  <si>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</si>
  <si>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</si>
  <si>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</si>
  <si>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</si>
  <si>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</si>
  <si>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</si>
  <si>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</si>
  <si>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</si>
  <si>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</si>
  <si>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</si>
  <si>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</si>
  <si>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</si>
  <si>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</si>
  <si>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</si>
  <si>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</si>
  <si>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</si>
  <si>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</si>
  <si>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</si>
  <si>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</si>
  <si>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</si>
  <si>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</si>
  <si>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</si>
  <si>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</si>
  <si>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</si>
  <si>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</si>
  <si>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</si>
  <si>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</si>
  <si>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</si>
  <si>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</si>
  <si>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</si>
  <si>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</si>
  <si>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</si>
  <si>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</si>
  <si>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</si>
  <si>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</si>
  <si>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</si>
  <si>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</si>
  <si>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</si>
  <si>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</si>
  <si>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</si>
  <si>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</si>
  <si>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</si>
  <si>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</si>
  <si>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</si>
  <si>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</si>
  <si>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</si>
  <si>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</si>
  <si>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</si>
  <si>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</si>
  <si>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</si>
  <si>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</si>
  <si>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</si>
  <si>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</si>
  <si>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</si>
  <si>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</si>
  <si>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</si>
  <si>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</si>
  <si>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</si>
  <si>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</si>
  <si>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</si>
  <si>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</si>
  <si>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</si>
  <si>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</si>
  <si>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</si>
  <si>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</si>
  <si>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</si>
  <si>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</si>
  <si>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</si>
  <si>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</si>
  <si>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</si>
  <si>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</si>
  <si>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</si>
  <si>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</si>
  <si>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</si>
  <si>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</si>
  <si>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</si>
  <si>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</si>
  <si>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</si>
  <si>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</si>
  <si>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</si>
  <si>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</si>
  <si>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</si>
  <si>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</si>
  <si>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</si>
  <si>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</si>
  <si>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</si>
  <si>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</si>
  <si>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</si>
  <si>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</si>
  <si>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</si>
  <si>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</si>
  <si>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</si>
  <si>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</si>
  <si>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</si>
  <si>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</si>
  <si>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</si>
  <si>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</si>
  <si>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</si>
  <si>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</si>
  <si>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</si>
  <si>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</si>
  <si>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</si>
  <si>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</si>
  <si>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</si>
  <si>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</si>
  <si>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</si>
  <si>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</si>
  <si>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</si>
  <si>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</si>
  <si>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</si>
  <si>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</si>
  <si>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</si>
  <si>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</si>
  <si>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</si>
  <si>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</si>
  <si>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</si>
  <si>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</si>
  <si>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</si>
  <si>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</si>
  <si>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</si>
  <si>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</si>
  <si>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</si>
  <si>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</si>
  <si>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</si>
  <si>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</si>
  <si>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</si>
  <si>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</si>
  <si>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</si>
  <si>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</si>
  <si>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</si>
  <si>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</si>
  <si>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</si>
  <si>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</si>
  <si>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</si>
  <si>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</si>
  <si>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</si>
  <si>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</si>
  <si>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</si>
  <si>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</si>
  <si>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</si>
  <si>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</si>
  <si>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</si>
  <si>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</si>
  <si>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</si>
  <si>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</si>
  <si>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</si>
  <si>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</si>
  <si>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</si>
  <si>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</si>
  <si>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</si>
  <si>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</si>
  <si>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</si>
  <si>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</si>
  <si>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</si>
  <si>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</si>
  <si>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</si>
  <si>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</si>
  <si>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</si>
  <si>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</si>
  <si>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</si>
  <si>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</si>
  <si>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</si>
  <si>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</si>
  <si>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</si>
  <si>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</si>
  <si>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</si>
  <si>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</si>
  <si>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</si>
  <si>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</si>
  <si>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</si>
  <si>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</si>
  <si>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</si>
  <si>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</si>
  <si>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</si>
  <si>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</si>
  <si>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</si>
  <si>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</si>
  <si>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</si>
  <si>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</si>
  <si>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</si>
  <si>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</si>
  <si>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</si>
  <si>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</si>
  <si>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</si>
  <si>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</si>
  <si>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</si>
  <si>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</si>
  <si>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</si>
  <si>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</si>
  <si>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</si>
  <si>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</si>
  <si>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</si>
  <si>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</si>
  <si>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</si>
  <si>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</si>
  <si>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</si>
  <si>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</si>
  <si>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</si>
  <si>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</si>
  <si>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</si>
  <si>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</si>
  <si>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</si>
  <si>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</si>
  <si>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</si>
  <si>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</si>
  <si>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</si>
  <si>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</si>
  <si>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</si>
  <si>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</si>
  <si>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</si>
  <si>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</si>
  <si>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</si>
  <si>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</si>
  <si>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</si>
  <si>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</si>
  <si>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</si>
  <si>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</si>
  <si>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</si>
  <si>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</si>
  <si>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</si>
  <si>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</si>
  <si>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</si>
  <si>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</si>
  <si>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</si>
  <si>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</si>
  <si>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</si>
  <si>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</si>
  <si>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</si>
  <si>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</si>
  <si>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</si>
  <si>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</si>
  <si>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</si>
  <si>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</si>
  <si>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</si>
  <si>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</si>
  <si>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</si>
  <si>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</si>
  <si>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</si>
  <si>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</si>
  <si>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</si>
  <si>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</si>
  <si>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</si>
  <si>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</si>
  <si>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</si>
  <si>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</si>
  <si>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</si>
  <si>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</si>
  <si>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</si>
  <si>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</si>
  <si>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</si>
  <si>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</si>
  <si>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</si>
  <si>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</si>
  <si>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</si>
  <si>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</si>
  <si>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</si>
  <si>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</si>
  <si>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</si>
  <si>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</si>
  <si>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</si>
  <si>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</si>
  <si>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</si>
  <si>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</si>
  <si>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</si>
  <si>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</si>
  <si>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</si>
  <si>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</si>
  <si>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</si>
  <si>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</si>
  <si>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</si>
  <si>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</si>
  <si>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</si>
  <si>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</si>
  <si>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</si>
  <si>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</si>
  <si>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</si>
  <si>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</si>
  <si>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</si>
  <si>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</si>
  <si>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</si>
  <si>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</si>
  <si>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</si>
  <si>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</si>
  <si>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</si>
  <si>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</si>
  <si>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</si>
  <si>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</si>
  <si>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</si>
  <si>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</si>
  <si>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</si>
  <si>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</si>
  <si>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</si>
  <si>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</si>
  <si>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</si>
  <si>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</si>
  <si>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</si>
  <si>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</si>
  <si>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</si>
  <si>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</si>
  <si>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</si>
  <si>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</si>
  <si>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</si>
  <si>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</si>
  <si>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</si>
  <si>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</si>
  <si>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</si>
  <si>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</si>
  <si>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</si>
  <si>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</si>
  <si>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</si>
  <si>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</si>
  <si>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</si>
  <si>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</si>
  <si>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</si>
  <si>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</si>
  <si>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</si>
  <si>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</si>
  <si>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</si>
  <si>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</si>
  <si>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</si>
  <si>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</si>
  <si>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</si>
  <si>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</si>
  <si>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</si>
  <si>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</si>
  <si>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</si>
  <si>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</si>
  <si>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</si>
  <si>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</si>
  <si>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</si>
  <si>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</si>
  <si>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</si>
  <si>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</si>
  <si>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</si>
  <si>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</si>
  <si>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</si>
  <si>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</si>
  <si>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</si>
  <si>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</si>
  <si>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</si>
  <si>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</si>
  <si>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</si>
  <si>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</si>
  <si>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</si>
  <si>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</si>
  <si>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</si>
  <si>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</si>
  <si>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</si>
  <si>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</si>
  <si>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</si>
  <si>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</si>
  <si>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</si>
  <si>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</si>
  <si>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</si>
  <si>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</si>
  <si>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</si>
  <si>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</si>
  <si>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</si>
  <si>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</si>
  <si>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</si>
  <si>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</si>
  <si>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</si>
  <si>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</si>
  <si>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</si>
  <si>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</si>
  <si>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</si>
  <si>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</si>
  <si>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</si>
  <si>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</si>
  <si>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</si>
  <si>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</si>
  <si>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</si>
  <si>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</si>
  <si>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</si>
  <si>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</si>
  <si>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</si>
  <si>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</si>
  <si>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</si>
  <si>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</si>
  <si>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</si>
  <si>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</si>
  <si>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</si>
  <si>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</si>
  <si>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</si>
  <si>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</si>
  <si>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</si>
  <si>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</si>
  <si>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</si>
  <si>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</si>
  <si>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</si>
  <si>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</si>
  <si>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</si>
  <si>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</si>
  <si>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</si>
  <si>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</si>
  <si>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</si>
  <si>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</si>
  <si>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</si>
  <si>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</si>
  <si>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</si>
  <si>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</si>
  <si>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</si>
  <si>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</si>
  <si>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</si>
  <si>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</si>
  <si>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</si>
  <si>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</si>
  <si>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</si>
  <si>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</si>
  <si>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</si>
  <si>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</si>
  <si>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</si>
  <si>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</si>
  <si>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</si>
  <si>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</si>
  <si>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</si>
  <si>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</si>
  <si>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</si>
  <si>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</si>
  <si>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</si>
  <si>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</si>
  <si>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</si>
  <si>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</si>
  <si>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</si>
  <si>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</si>
  <si>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</si>
  <si>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</si>
  <si>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</si>
  <si>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</si>
  <si>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</si>
  <si>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</si>
  <si>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</si>
  <si>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</si>
  <si>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</si>
  <si>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</si>
  <si>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</si>
  <si>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</si>
  <si>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</si>
  <si>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</si>
  <si>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</si>
  <si>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</si>
  <si>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</si>
  <si>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</si>
  <si>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</si>
  <si>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</si>
  <si>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</si>
  <si>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</si>
  <si>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</si>
  <si>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</si>
  <si>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</si>
  <si>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</si>
  <si>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</si>
  <si>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</si>
  <si>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</si>
  <si>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</si>
  <si>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</si>
  <si>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</si>
  <si>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</si>
  <si>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</si>
  <si>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</si>
  <si>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</si>
  <si>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</si>
  <si>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</si>
  <si>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tested (TMC2v5.0-RC6.0)</t>
  </si>
  <si>
    <t>reference (TMC2v5.0-RC5.0, lossy-missed-points-patch tool OFF)</t>
  </si>
  <si>
    <t>reference (TMC2v5.0-RC6.0, averageNormals in pc_error = 1)</t>
  </si>
  <si>
    <t>RC8.0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</si>
</sst>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66.395741000000001</c:v>
                </c:pt>
                <c:pt idx="1">
                  <c:v>68.286641000000003</c:v>
                </c:pt>
                <c:pt idx="2">
                  <c:v>69.669156000000001</c:v>
                </c:pt>
                <c:pt idx="3">
                  <c:v>70.735516000000004</c:v>
                </c:pt>
                <c:pt idx="4">
                  <c:v>72.150533999999993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68.439758999999995</c:v>
                </c:pt>
                <c:pt idx="1">
                  <c:v>70.352028000000004</c:v>
                </c:pt>
                <c:pt idx="2">
                  <c:v>72.027444000000003</c:v>
                </c:pt>
                <c:pt idx="3">
                  <c:v>73.265771999999998</c:v>
                </c:pt>
                <c:pt idx="4">
                  <c:v>75.324377999999996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32.151172000000003</c:v>
                </c:pt>
                <c:pt idx="1">
                  <c:v>34.433368999999999</c:v>
                </c:pt>
                <c:pt idx="2">
                  <c:v>36.978884000000001</c:v>
                </c:pt>
                <c:pt idx="3">
                  <c:v>39.621791000000002</c:v>
                </c:pt>
                <c:pt idx="4">
                  <c:v>42.047184000000001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32.145581</c:v>
                </c:pt>
                <c:pt idx="1">
                  <c:v>34.432240999999998</c:v>
                </c:pt>
                <c:pt idx="2">
                  <c:v>36.982143999999998</c:v>
                </c:pt>
                <c:pt idx="3">
                  <c:v>39.614396999999997</c:v>
                </c:pt>
                <c:pt idx="4">
                  <c:v>42.046658999999998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44.135159000000002</c:v>
                </c:pt>
                <c:pt idx="1">
                  <c:v>45.414081000000003</c:v>
                </c:pt>
                <c:pt idx="2">
                  <c:v>46.488531000000002</c:v>
                </c:pt>
                <c:pt idx="3">
                  <c:v>47.778500000000001</c:v>
                </c:pt>
                <c:pt idx="4">
                  <c:v>49.397309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44.165478</c:v>
                </c:pt>
                <c:pt idx="1">
                  <c:v>45.420068999999998</c:v>
                </c:pt>
                <c:pt idx="2">
                  <c:v>46.478253000000002</c:v>
                </c:pt>
                <c:pt idx="3">
                  <c:v>47.773330999999999</c:v>
                </c:pt>
                <c:pt idx="4">
                  <c:v>49.395961999999997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43.713462</c:v>
                </c:pt>
                <c:pt idx="1">
                  <c:v>45.089016000000001</c:v>
                </c:pt>
                <c:pt idx="2">
                  <c:v>46.325428000000002</c:v>
                </c:pt>
                <c:pt idx="3">
                  <c:v>47.798988000000001</c:v>
                </c:pt>
                <c:pt idx="4">
                  <c:v>49.537184000000003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43.821796999999997</c:v>
                </c:pt>
                <c:pt idx="1">
                  <c:v>45.178562999999997</c:v>
                </c:pt>
                <c:pt idx="2">
                  <c:v>46.367972000000002</c:v>
                </c:pt>
                <c:pt idx="3">
                  <c:v>47.843631000000002</c:v>
                </c:pt>
                <c:pt idx="4">
                  <c:v>49.548983999999997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 (TMC2v5.0-RC6.0, averageNormals in pc_error = 1)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/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59" t="s">
        <v>2</v>
      </c>
      <c r="D1" s="59"/>
      <c r="E1" s="59"/>
    </row>
    <row r="2" spans="2:12" x14ac:dyDescent="0.2">
      <c r="B2" t="s">
        <v>1</v>
      </c>
      <c r="C2" s="60" t="s">
        <v>3</v>
      </c>
      <c r="D2" s="60"/>
      <c r="E2" s="60"/>
    </row>
    <row r="4" spans="2:12" s="1" customFormat="1" x14ac:dyDescent="0.2">
      <c r="B4" s="1" t="s">
        <v>296</v>
      </c>
    </row>
    <row r="6" spans="2:12" x14ac:dyDescent="0.2">
      <c r="B6" s="61" t="s">
        <v>297</v>
      </c>
      <c r="C6" s="62" t="s">
        <v>298</v>
      </c>
      <c r="D6" s="62"/>
      <c r="E6" s="62"/>
      <c r="F6" s="62"/>
      <c r="G6" s="62"/>
      <c r="H6" s="62"/>
      <c r="I6" s="62"/>
      <c r="J6" s="62"/>
      <c r="K6" s="62"/>
      <c r="L6" s="62"/>
    </row>
    <row r="7" spans="2:12" x14ac:dyDescent="0.2">
      <c r="B7" s="61"/>
      <c r="C7" s="63" t="s">
        <v>237</v>
      </c>
      <c r="D7" s="63"/>
      <c r="E7" s="64" t="s">
        <v>242</v>
      </c>
      <c r="F7" s="64"/>
      <c r="G7" s="64"/>
      <c r="H7" s="63" t="s">
        <v>249</v>
      </c>
      <c r="I7" s="63"/>
      <c r="J7" s="64" t="s">
        <v>254</v>
      </c>
      <c r="K7" s="64"/>
      <c r="L7" s="64"/>
    </row>
    <row r="8" spans="2:12" ht="16" x14ac:dyDescent="0.2">
      <c r="B8" s="61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">
      <c r="B9" s="4" t="s">
        <v>288</v>
      </c>
      <c r="C9" s="5">
        <f>'C2 lossyG,lossyA,intra'!$BI$30:$BI$30</f>
        <v>9.75342296010967E-3</v>
      </c>
      <c r="D9" s="5">
        <f>'C2 lossyG,lossyA,intra'!$BJ$30:$BJ$30</f>
        <v>7.7882408176326301E-3</v>
      </c>
      <c r="E9" s="5">
        <f>'C2 lossyG,lossyA,intra'!$BK$30:$BK$30</f>
        <v>1.2331173507720339E-2</v>
      </c>
      <c r="F9" s="5">
        <f>'C2 lossyG,lossyA,intra'!$BL$30:$BL$30</f>
        <v>2.7277288785785003E-3</v>
      </c>
      <c r="G9" s="5">
        <f>'C2 lossyG,lossyA,intra'!$BM$30:$BM$30</f>
        <v>-6.2398046390172157E-3</v>
      </c>
      <c r="H9" s="5">
        <f>'C2 lossyG,lossyA,intra'!$BO$30:$BO$30</f>
        <v>8.2789932719981307E-3</v>
      </c>
      <c r="I9" s="5">
        <f>'C2 lossyG,lossyA,intra'!$BP$30:$BP$30</f>
        <v>2.9134296607907506E-3</v>
      </c>
      <c r="J9" s="5">
        <f>'C2 lossyG,lossyA,intra'!$BQ$30:$BQ$30</f>
        <v>1.1375142765346347E-2</v>
      </c>
      <c r="K9" s="5">
        <f>'C2 lossyG,lossyA,intra'!$BR$30:$BR$30</f>
        <v>4.4799582510419711E-3</v>
      </c>
      <c r="L9" s="5">
        <f>'C2 lossyG,lossyA,intra'!$BS$30:$BS$30</f>
        <v>-1.8130960475205571E-3</v>
      </c>
    </row>
    <row r="10" spans="2:12" x14ac:dyDescent="0.2">
      <c r="B10" s="4" t="s">
        <v>289</v>
      </c>
      <c r="C10" s="5">
        <f>'C2 lossyG,lossyA,intra'!$BI$31:$BI$31</f>
        <v>6.0415914650480129E-3</v>
      </c>
      <c r="D10" s="5">
        <f>'C2 lossyG,lossyA,intra'!$BJ$31:$BJ$31</f>
        <v>5.653791849084211E-3</v>
      </c>
      <c r="E10" s="5">
        <f>'C2 lossyG,lossyA,intra'!$BK$31:$BK$31</f>
        <v>1.1455396016647912E-2</v>
      </c>
      <c r="F10" s="5">
        <f>'C2 lossyG,lossyA,intra'!$BL$31:$BL$31</f>
        <v>7.4382362870590857E-3</v>
      </c>
      <c r="G10" s="5">
        <f>'C2 lossyG,lossyA,intra'!$BM$31:$BM$31</f>
        <v>8.1218610269755409E-3</v>
      </c>
      <c r="H10" s="5">
        <f>'C2 lossyG,lossyA,intra'!$BO$31:$BO$31</f>
        <v>7.9506439799990059E-3</v>
      </c>
      <c r="I10" s="5">
        <f>'C2 lossyG,lossyA,intra'!$BP$31:$BP$31</f>
        <v>6.011121260335095E-3</v>
      </c>
      <c r="J10" s="5">
        <f>'C2 lossyG,lossyA,intra'!$BQ$31:$BQ$31</f>
        <v>1.0296711740572784E-2</v>
      </c>
      <c r="K10" s="5">
        <f>'C2 lossyG,lossyA,intra'!$BR$31:$BR$31</f>
        <v>6.9711401802963202E-3</v>
      </c>
      <c r="L10" s="5">
        <f>'C2 lossyG,lossyA,intra'!$BS$31:$BS$31</f>
        <v>7.6755530593255461E-3</v>
      </c>
    </row>
    <row r="11" spans="2:12" x14ac:dyDescent="0.2">
      <c r="B11" s="6" t="s">
        <v>290</v>
      </c>
      <c r="C11" s="7">
        <f>'C2 lossyG,lossyA,intra'!$BI$32:$BI$32</f>
        <v>9.0110566610973383E-3</v>
      </c>
      <c r="D11" s="7">
        <f>'C2 lossyG,lossyA,intra'!$BJ$32:$BJ$32</f>
        <v>7.3613510239229464E-3</v>
      </c>
      <c r="E11" s="7">
        <f>'C2 lossyG,lossyA,intra'!$BK$32:$BK$32</f>
        <v>1.2156018009505854E-2</v>
      </c>
      <c r="F11" s="7">
        <f>'C2 lossyG,lossyA,intra'!$BL$32:$BL$32</f>
        <v>3.6698303602746172E-3</v>
      </c>
      <c r="G11" s="7">
        <f>'C2 lossyG,lossyA,intra'!$BM$32:$BM$32</f>
        <v>-3.3674715058186642E-3</v>
      </c>
      <c r="H11" s="7">
        <f>'C2 lossyG,lossyA,intra'!$BO$32:$BO$32</f>
        <v>8.2133234135983064E-3</v>
      </c>
      <c r="I11" s="7">
        <f>'C2 lossyG,lossyA,intra'!$BP$32:$BP$32</f>
        <v>3.5329679806996193E-3</v>
      </c>
      <c r="J11" s="7">
        <f>'C2 lossyG,lossyA,intra'!$BQ$32:$BQ$32</f>
        <v>1.1159456560391634E-2</v>
      </c>
      <c r="K11" s="7">
        <f>'C2 lossyG,lossyA,intra'!$BR$32:$BR$32</f>
        <v>4.9781946368928406E-3</v>
      </c>
      <c r="L11" s="7">
        <f>'C2 lossyG,lossyA,intra'!$BS$32:$BS$32</f>
        <v>8.4633773848663549E-5</v>
      </c>
    </row>
    <row r="12" spans="2:12" x14ac:dyDescent="0.2">
      <c r="B12" t="s">
        <v>299</v>
      </c>
      <c r="C12" s="65">
        <f>'C2 lossyG,lossyA,intra'!AZ36</f>
        <v>1.1007101288739958</v>
      </c>
      <c r="D12" s="65"/>
      <c r="E12" s="65"/>
      <c r="F12" s="65"/>
      <c r="G12" s="65"/>
      <c r="H12" s="65"/>
      <c r="I12" s="65"/>
      <c r="J12" s="65"/>
      <c r="K12" s="65"/>
      <c r="L12" s="65"/>
    </row>
    <row r="13" spans="2:12" x14ac:dyDescent="0.2">
      <c r="B13" s="9" t="s">
        <v>300</v>
      </c>
      <c r="C13" s="66">
        <f>'C2 lossyG,lossyA,intra'!BB36</f>
        <v>1.0447292660621788</v>
      </c>
      <c r="D13" s="66"/>
      <c r="E13" s="66"/>
      <c r="F13" s="66"/>
      <c r="G13" s="66"/>
      <c r="H13" s="66"/>
      <c r="I13" s="66"/>
      <c r="J13" s="66"/>
      <c r="K13" s="66"/>
      <c r="L13" s="66"/>
    </row>
    <row r="15" spans="2:12" x14ac:dyDescent="0.2">
      <c r="B15" s="61" t="s">
        <v>381</v>
      </c>
      <c r="C15" s="62" t="s">
        <v>382</v>
      </c>
      <c r="D15" s="62"/>
      <c r="E15" s="62"/>
    </row>
    <row r="16" spans="2:12" x14ac:dyDescent="0.2">
      <c r="B16" s="61"/>
      <c r="C16" s="63" t="s">
        <v>357</v>
      </c>
      <c r="D16" s="63"/>
      <c r="E16" s="63"/>
    </row>
    <row r="17" spans="2:5" ht="16" x14ac:dyDescent="0.2">
      <c r="B17" s="61"/>
      <c r="C17" s="2" t="s">
        <v>124</v>
      </c>
      <c r="D17" s="2" t="s">
        <v>118</v>
      </c>
      <c r="E17" s="2" t="s">
        <v>150</v>
      </c>
    </row>
    <row r="18" spans="2:5" x14ac:dyDescent="0.2">
      <c r="B18" s="4" t="s">
        <v>288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 x14ac:dyDescent="0.2">
      <c r="B19" s="4" t="s">
        <v>289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 x14ac:dyDescent="0.2">
      <c r="B20" s="6" t="s">
        <v>290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 x14ac:dyDescent="0.2">
      <c r="B21" t="s">
        <v>299</v>
      </c>
      <c r="C21" s="65">
        <f>'CW losslG,losslA,intra'!AW16</f>
        <v>1.2520438438889336</v>
      </c>
      <c r="D21" s="65"/>
      <c r="E21" s="65"/>
    </row>
    <row r="22" spans="2:5" x14ac:dyDescent="0.2">
      <c r="B22" s="9" t="s">
        <v>300</v>
      </c>
      <c r="C22" s="66">
        <f>'CW losslG,losslA,intra'!AY16</f>
        <v>1.0203816590679531</v>
      </c>
      <c r="D22" s="66"/>
      <c r="E22" s="66"/>
    </row>
    <row r="24" spans="2:5" s="1" customFormat="1" x14ac:dyDescent="0.2">
      <c r="B24" s="1" t="s">
        <v>456</v>
      </c>
    </row>
    <row r="26" spans="2:5" x14ac:dyDescent="0.2">
      <c r="B26" s="61" t="s">
        <v>457</v>
      </c>
      <c r="C26" s="62" t="s">
        <v>458</v>
      </c>
      <c r="D26" s="62"/>
      <c r="E26" s="62"/>
    </row>
    <row r="27" spans="2:5" x14ac:dyDescent="0.2">
      <c r="B27" s="61"/>
      <c r="C27" s="63" t="s">
        <v>357</v>
      </c>
      <c r="D27" s="63"/>
      <c r="E27" s="63"/>
    </row>
    <row r="28" spans="2:5" ht="16" x14ac:dyDescent="0.2">
      <c r="B28" s="61"/>
      <c r="C28" s="2" t="s">
        <v>118</v>
      </c>
      <c r="D28" s="2" t="s">
        <v>124</v>
      </c>
      <c r="E28" s="2" t="s">
        <v>150</v>
      </c>
    </row>
    <row r="29" spans="2:5" x14ac:dyDescent="0.2">
      <c r="B29" s="4" t="s">
        <v>288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 x14ac:dyDescent="0.2">
      <c r="B30" s="4" t="s">
        <v>289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 x14ac:dyDescent="0.2">
      <c r="B31" s="6" t="s">
        <v>290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 x14ac:dyDescent="0.2">
      <c r="B32" t="s">
        <v>299</v>
      </c>
      <c r="C32" s="65">
        <f>'CW losslG,losslA,interLD'!AW16</f>
        <v>1.3973042577887946</v>
      </c>
      <c r="D32" s="65"/>
      <c r="E32" s="65"/>
    </row>
    <row r="33" spans="2:12" x14ac:dyDescent="0.2">
      <c r="B33" s="9" t="s">
        <v>300</v>
      </c>
      <c r="C33" s="66">
        <f>'CW losslG,losslA,interLD'!AY16</f>
        <v>1.6139076615127825</v>
      </c>
      <c r="D33" s="66"/>
      <c r="E33" s="66"/>
    </row>
    <row r="35" spans="2:12" s="1" customFormat="1" x14ac:dyDescent="0.2">
      <c r="B35" s="1" t="s">
        <v>543</v>
      </c>
    </row>
    <row r="37" spans="2:12" x14ac:dyDescent="0.2">
      <c r="B37" s="61" t="s">
        <v>544</v>
      </c>
      <c r="C37" s="62" t="s">
        <v>545</v>
      </c>
      <c r="D37" s="62"/>
      <c r="E37" s="62"/>
      <c r="F37" s="62"/>
      <c r="G37" s="62"/>
      <c r="H37" s="62"/>
      <c r="I37" s="62"/>
      <c r="J37" s="62"/>
      <c r="K37" s="62"/>
      <c r="L37" s="62"/>
    </row>
    <row r="38" spans="2:12" x14ac:dyDescent="0.2">
      <c r="B38" s="61"/>
      <c r="C38" s="63" t="s">
        <v>237</v>
      </c>
      <c r="D38" s="63"/>
      <c r="E38" s="64" t="s">
        <v>242</v>
      </c>
      <c r="F38" s="64"/>
      <c r="G38" s="64"/>
      <c r="H38" s="63" t="s">
        <v>249</v>
      </c>
      <c r="I38" s="63"/>
      <c r="J38" s="64" t="s">
        <v>254</v>
      </c>
      <c r="K38" s="64"/>
      <c r="L38" s="64"/>
    </row>
    <row r="39" spans="2:12" ht="16" x14ac:dyDescent="0.2">
      <c r="B39" s="61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">
      <c r="B40" s="4" t="s">
        <v>288</v>
      </c>
      <c r="C40" s="5">
        <f>'C2 lossyG,lossyA,interRA'!$BI$30:$BI$30</f>
        <v>-2.1917363497231085E-2</v>
      </c>
      <c r="D40" s="5">
        <f>'C2 lossyG,lossyA,interRA'!$BJ$30:$BJ$30</f>
        <v>-2.0831607284331782E-2</v>
      </c>
      <c r="E40" s="5">
        <f>'C2 lossyG,lossyA,interRA'!$BK$30:$BK$30</f>
        <v>-5.4479742197621167E-2</v>
      </c>
      <c r="F40" s="5">
        <f>'C2 lossyG,lossyA,interRA'!$BL$30:$BL$30</f>
        <v>-8.7969306533788066E-2</v>
      </c>
      <c r="G40" s="5">
        <f>'C2 lossyG,lossyA,interRA'!$BM$30:$BM$30</f>
        <v>-8.9147609440919373E-2</v>
      </c>
      <c r="H40" s="5">
        <f>'C2 lossyG,lossyA,interRA'!$BO$30:$BO$30</f>
        <v>-3.0981669368884357E-2</v>
      </c>
      <c r="I40" s="5">
        <f>'C2 lossyG,lossyA,interRA'!$BP$30:$BP$30</f>
        <v>-2.9945358026799401E-2</v>
      </c>
      <c r="J40" s="5">
        <f>'C2 lossyG,lossyA,interRA'!$BQ$30:$BQ$30</f>
        <v>-3.6178828892828307E-2</v>
      </c>
      <c r="K40" s="5">
        <f>'C2 lossyG,lossyA,interRA'!$BR$30:$BR$30</f>
        <v>-5.7558256613058523E-2</v>
      </c>
      <c r="L40" s="5">
        <f>'C2 lossyG,lossyA,interRA'!$BS$30:$BS$30</f>
        <v>-5.8962513323850746E-2</v>
      </c>
    </row>
    <row r="41" spans="2:12" x14ac:dyDescent="0.2">
      <c r="B41" s="4" t="s">
        <v>289</v>
      </c>
      <c r="C41" s="5">
        <f>'C2 lossyG,lossyA,interRA'!$BI$31:$BI$31</f>
        <v>-3.4436880637290779E-3</v>
      </c>
      <c r="D41" s="5">
        <f>'C2 lossyG,lossyA,interRA'!$BJ$31:$BJ$31</f>
        <v>-4.4603847818573961E-3</v>
      </c>
      <c r="E41" s="5">
        <f>'C2 lossyG,lossyA,interRA'!$BK$31:$BK$31</f>
        <v>-2.5016318518807035E-2</v>
      </c>
      <c r="F41" s="5">
        <f>'C2 lossyG,lossyA,interRA'!$BL$31:$BL$31</f>
        <v>-3.0438119889780402E-2</v>
      </c>
      <c r="G41" s="5">
        <f>'C2 lossyG,lossyA,interRA'!$BM$31:$BM$31</f>
        <v>-3.0798370546985532E-2</v>
      </c>
      <c r="H41" s="5">
        <f>'C2 lossyG,lossyA,interRA'!$BO$31:$BO$31</f>
        <v>-9.4064292577119568E-3</v>
      </c>
      <c r="I41" s="5">
        <f>'C2 lossyG,lossyA,interRA'!$BP$31:$BP$31</f>
        <v>-1.1867610246737326E-2</v>
      </c>
      <c r="J41" s="5">
        <f>'C2 lossyG,lossyA,interRA'!$BQ$31:$BQ$31</f>
        <v>-1.8361833498537705E-2</v>
      </c>
      <c r="K41" s="5">
        <f>'C2 lossyG,lossyA,interRA'!$BR$31:$BR$31</f>
        <v>-2.3018202123580633E-2</v>
      </c>
      <c r="L41" s="5">
        <f>'C2 lossyG,lossyA,interRA'!$BS$31:$BS$31</f>
        <v>-2.2665064787689038E-2</v>
      </c>
    </row>
    <row r="42" spans="2:12" x14ac:dyDescent="0.2">
      <c r="B42" s="6" t="s">
        <v>290</v>
      </c>
      <c r="C42" s="7">
        <f>'C2 lossyG,lossyA,interRA'!$BI$32:$BI$32</f>
        <v>-1.8222628410530683E-2</v>
      </c>
      <c r="D42" s="7">
        <f>'C2 lossyG,lossyA,interRA'!$BJ$32:$BJ$32</f>
        <v>-1.7557362783836905E-2</v>
      </c>
      <c r="E42" s="7">
        <f>'C2 lossyG,lossyA,interRA'!$BK$32:$BK$32</f>
        <v>-4.8587057461858339E-2</v>
      </c>
      <c r="F42" s="7">
        <f>'C2 lossyG,lossyA,interRA'!$BL$32:$BL$32</f>
        <v>-7.6463069204986536E-2</v>
      </c>
      <c r="G42" s="7">
        <f>'C2 lossyG,lossyA,interRA'!$BM$32:$BM$32</f>
        <v>-7.7477761662132605E-2</v>
      </c>
      <c r="H42" s="7">
        <f>'C2 lossyG,lossyA,interRA'!$BO$32:$BO$32</f>
        <v>-2.6666621346649877E-2</v>
      </c>
      <c r="I42" s="7">
        <f>'C2 lossyG,lossyA,interRA'!$BP$32:$BP$32</f>
        <v>-2.6329808470786985E-2</v>
      </c>
      <c r="J42" s="7">
        <f>'C2 lossyG,lossyA,interRA'!$BQ$32:$BQ$32</f>
        <v>-3.2615429813970184E-2</v>
      </c>
      <c r="K42" s="7">
        <f>'C2 lossyG,lossyA,interRA'!$BR$32:$BR$32</f>
        <v>-5.0650245715162946E-2</v>
      </c>
      <c r="L42" s="7">
        <f>'C2 lossyG,lossyA,interRA'!$BS$32:$BS$32</f>
        <v>-5.1703023616618403E-2</v>
      </c>
    </row>
    <row r="43" spans="2:12" x14ac:dyDescent="0.2">
      <c r="B43" t="s">
        <v>299</v>
      </c>
      <c r="C43" s="65">
        <f>'C2 lossyG,lossyA,interRA'!AZ36</f>
        <v>0.9693982490405243</v>
      </c>
      <c r="D43" s="65"/>
      <c r="E43" s="65"/>
      <c r="F43" s="65"/>
      <c r="G43" s="65"/>
      <c r="H43" s="65"/>
      <c r="I43" s="65"/>
      <c r="J43" s="65"/>
      <c r="K43" s="65"/>
      <c r="L43" s="65"/>
    </row>
    <row r="44" spans="2:12" x14ac:dyDescent="0.2">
      <c r="B44" s="9" t="s">
        <v>300</v>
      </c>
      <c r="C44" s="66">
        <f>'C2 lossyG,lossyA,interRA'!BB36</f>
        <v>0.99950420455084876</v>
      </c>
      <c r="D44" s="66"/>
      <c r="E44" s="66"/>
      <c r="F44" s="66"/>
      <c r="G44" s="66"/>
      <c r="H44" s="66"/>
      <c r="I44" s="66"/>
      <c r="J44" s="66"/>
      <c r="K44" s="66"/>
      <c r="L44" s="66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">
      <c r="I10" t="s">
        <v>21</v>
      </c>
      <c r="J10" t="s">
        <v>22</v>
      </c>
    </row>
    <row r="11" spans="1:16" x14ac:dyDescent="0.2">
      <c r="I11" t="s">
        <v>23</v>
      </c>
      <c r="J11" t="s">
        <v>24</v>
      </c>
    </row>
    <row r="12" spans="1:16" x14ac:dyDescent="0.2">
      <c r="I12" t="s">
        <v>25</v>
      </c>
      <c r="J12" t="s">
        <v>26</v>
      </c>
    </row>
    <row r="13" spans="1:16" x14ac:dyDescent="0.2">
      <c r="I13" t="s">
        <v>27</v>
      </c>
      <c r="J13" t="s">
        <v>28</v>
      </c>
    </row>
    <row r="14" spans="1:16" x14ac:dyDescent="0.2">
      <c r="I14" t="s">
        <v>29</v>
      </c>
      <c r="J14" t="s">
        <v>30</v>
      </c>
    </row>
    <row r="15" spans="1:16" x14ac:dyDescent="0.2">
      <c r="I15" t="s">
        <v>31</v>
      </c>
      <c r="J15" t="s">
        <v>32</v>
      </c>
    </row>
    <row r="16" spans="1:16" x14ac:dyDescent="0.2">
      <c r="I16" t="s">
        <v>33</v>
      </c>
      <c r="J16" t="s">
        <v>34</v>
      </c>
    </row>
    <row r="17" spans="9:10" x14ac:dyDescent="0.2">
      <c r="I17" t="s">
        <v>35</v>
      </c>
      <c r="J17" t="s">
        <v>36</v>
      </c>
    </row>
    <row r="18" spans="9:10" x14ac:dyDescent="0.2">
      <c r="I18" t="s">
        <v>37</v>
      </c>
      <c r="J18" t="s">
        <v>38</v>
      </c>
    </row>
    <row r="19" spans="9:10" x14ac:dyDescent="0.2">
      <c r="I19" t="s">
        <v>39</v>
      </c>
      <c r="J19" t="s">
        <v>40</v>
      </c>
    </row>
    <row r="20" spans="9:10" x14ac:dyDescent="0.2">
      <c r="I20" t="s">
        <v>41</v>
      </c>
      <c r="J20" t="s">
        <v>42</v>
      </c>
    </row>
    <row r="21" spans="9:10" x14ac:dyDescent="0.2">
      <c r="I21" t="s">
        <v>43</v>
      </c>
      <c r="J21" t="s">
        <v>44</v>
      </c>
    </row>
    <row r="22" spans="9:10" x14ac:dyDescent="0.2">
      <c r="I22" t="s">
        <v>45</v>
      </c>
      <c r="J22" t="s">
        <v>46</v>
      </c>
    </row>
    <row r="23" spans="9:10" x14ac:dyDescent="0.2">
      <c r="I23" t="s">
        <v>47</v>
      </c>
      <c r="J23" t="s">
        <v>48</v>
      </c>
    </row>
    <row r="24" spans="9:10" x14ac:dyDescent="0.2">
      <c r="I24" t="s">
        <v>49</v>
      </c>
      <c r="J24" t="s">
        <v>50</v>
      </c>
    </row>
    <row r="25" spans="9:10" x14ac:dyDescent="0.2">
      <c r="I25" t="s">
        <v>51</v>
      </c>
      <c r="J25" t="s">
        <v>52</v>
      </c>
    </row>
    <row r="26" spans="9:10" x14ac:dyDescent="0.2">
      <c r="I26" t="s">
        <v>53</v>
      </c>
      <c r="J26" t="s">
        <v>54</v>
      </c>
    </row>
    <row r="27" spans="9:10" x14ac:dyDescent="0.2">
      <c r="I27" t="s">
        <v>55</v>
      </c>
      <c r="J27" t="s">
        <v>56</v>
      </c>
    </row>
    <row r="28" spans="9:10" x14ac:dyDescent="0.2">
      <c r="I28" t="s">
        <v>57</v>
      </c>
      <c r="J28" t="s">
        <v>58</v>
      </c>
    </row>
    <row r="29" spans="9:10" x14ac:dyDescent="0.2">
      <c r="I29" t="s">
        <v>59</v>
      </c>
      <c r="J29" t="s">
        <v>60</v>
      </c>
    </row>
    <row r="30" spans="9:10" x14ac:dyDescent="0.2">
      <c r="I30" t="s">
        <v>61</v>
      </c>
      <c r="J30" t="s">
        <v>62</v>
      </c>
    </row>
    <row r="31" spans="9:10" x14ac:dyDescent="0.2">
      <c r="I31" t="s">
        <v>63</v>
      </c>
      <c r="J31" t="s">
        <v>64</v>
      </c>
    </row>
    <row r="32" spans="9:10" x14ac:dyDescent="0.2">
      <c r="I32" t="s">
        <v>65</v>
      </c>
      <c r="J32" t="s">
        <v>66</v>
      </c>
    </row>
    <row r="33" spans="9:10" x14ac:dyDescent="0.2">
      <c r="I33" t="s">
        <v>67</v>
      </c>
      <c r="J33" t="s">
        <v>68</v>
      </c>
    </row>
    <row r="34" spans="9:10" x14ac:dyDescent="0.2">
      <c r="I34" t="s">
        <v>69</v>
      </c>
      <c r="J34" t="s">
        <v>70</v>
      </c>
    </row>
    <row r="35" spans="9:10" x14ac:dyDescent="0.2">
      <c r="I35" t="s">
        <v>71</v>
      </c>
      <c r="J35" t="s">
        <v>72</v>
      </c>
    </row>
    <row r="36" spans="9:10" x14ac:dyDescent="0.2">
      <c r="I36" t="s">
        <v>73</v>
      </c>
      <c r="J36" t="s">
        <v>74</v>
      </c>
    </row>
    <row r="37" spans="9:10" x14ac:dyDescent="0.2">
      <c r="I37" t="s">
        <v>75</v>
      </c>
      <c r="J37" t="s">
        <v>76</v>
      </c>
    </row>
    <row r="38" spans="9:10" x14ac:dyDescent="0.2">
      <c r="I38" t="s">
        <v>77</v>
      </c>
      <c r="J38" t="s">
        <v>78</v>
      </c>
    </row>
    <row r="39" spans="9:10" x14ac:dyDescent="0.2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94"/>
  <sheetViews>
    <sheetView zoomScale="85" zoomScaleNormal="85" workbookViewId="0">
      <pane xSplit="2" topLeftCell="AC1" activePane="topRight" state="frozen"/>
      <selection pane="topRight" activeCell="AG2" sqref="AG2:AG3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x14ac:dyDescent="0.2">
      <c r="A1" s="71" t="s">
        <v>261</v>
      </c>
      <c r="B1" s="71"/>
      <c r="C1" s="71"/>
      <c r="D1" s="71"/>
      <c r="E1" s="71"/>
      <c r="F1" s="71"/>
      <c r="G1" s="71"/>
      <c r="I1" s="59" t="s">
        <v>553</v>
      </c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G1" s="60" t="s">
        <v>554</v>
      </c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</row>
    <row r="2" spans="1:73" ht="30" customHeight="1" x14ac:dyDescent="0.2">
      <c r="A2" s="67" t="s">
        <v>93</v>
      </c>
      <c r="B2" s="68" t="s">
        <v>96</v>
      </c>
      <c r="C2" s="67" t="s">
        <v>99</v>
      </c>
      <c r="D2" s="68" t="s">
        <v>102</v>
      </c>
      <c r="E2" s="67" t="s">
        <v>105</v>
      </c>
      <c r="F2" s="68" t="s">
        <v>108</v>
      </c>
      <c r="G2" s="67" t="s">
        <v>111</v>
      </c>
      <c r="I2" s="68" t="s">
        <v>114</v>
      </c>
      <c r="J2" s="69" t="s">
        <v>117</v>
      </c>
      <c r="K2" s="69"/>
      <c r="L2" s="69"/>
      <c r="M2" s="69"/>
      <c r="N2" s="67" t="s">
        <v>130</v>
      </c>
      <c r="O2" s="68" t="s">
        <v>133</v>
      </c>
      <c r="P2" s="67" t="s">
        <v>24</v>
      </c>
      <c r="Q2" s="68" t="s">
        <v>26</v>
      </c>
      <c r="R2" s="67" t="s">
        <v>22</v>
      </c>
      <c r="S2" s="70" t="s">
        <v>142</v>
      </c>
      <c r="T2" s="70"/>
      <c r="U2" s="70"/>
      <c r="V2" s="70"/>
      <c r="W2" s="69" t="s">
        <v>153</v>
      </c>
      <c r="X2" s="69"/>
      <c r="Y2" s="70" t="s">
        <v>160</v>
      </c>
      <c r="Z2" s="70"/>
      <c r="AA2" s="70"/>
      <c r="AB2" s="69" t="s">
        <v>170</v>
      </c>
      <c r="AC2" s="69"/>
      <c r="AD2" s="70" t="s">
        <v>177</v>
      </c>
      <c r="AE2" s="70"/>
      <c r="AG2" s="67" t="s">
        <v>114</v>
      </c>
      <c r="AH2" s="70" t="s">
        <v>117</v>
      </c>
      <c r="AI2" s="70"/>
      <c r="AJ2" s="70"/>
      <c r="AK2" s="70"/>
      <c r="AL2" s="68" t="s">
        <v>192</v>
      </c>
      <c r="AM2" s="67" t="s">
        <v>133</v>
      </c>
      <c r="AN2" s="68" t="s">
        <v>24</v>
      </c>
      <c r="AO2" s="67" t="s">
        <v>26</v>
      </c>
      <c r="AP2" s="68" t="s">
        <v>22</v>
      </c>
      <c r="AQ2" s="69" t="s">
        <v>142</v>
      </c>
      <c r="AR2" s="69"/>
      <c r="AS2" s="69"/>
      <c r="AT2" s="69"/>
      <c r="AU2" s="70" t="s">
        <v>153</v>
      </c>
      <c r="AV2" s="70"/>
      <c r="AW2" s="69" t="s">
        <v>160</v>
      </c>
      <c r="AX2" s="69"/>
      <c r="AY2" s="69"/>
      <c r="AZ2" s="70" t="s">
        <v>170</v>
      </c>
      <c r="BA2" s="70"/>
      <c r="BB2" s="69" t="s">
        <v>177</v>
      </c>
      <c r="BC2" s="69"/>
      <c r="BE2" s="68" t="s">
        <v>229</v>
      </c>
      <c r="BF2" s="67" t="s">
        <v>232</v>
      </c>
      <c r="BG2" s="68" t="s">
        <v>232</v>
      </c>
      <c r="BI2" s="69" t="s">
        <v>237</v>
      </c>
      <c r="BJ2" s="69"/>
      <c r="BK2" s="70" t="s">
        <v>242</v>
      </c>
      <c r="BL2" s="70"/>
      <c r="BM2" s="70"/>
      <c r="BO2" s="69" t="s">
        <v>249</v>
      </c>
      <c r="BP2" s="69"/>
      <c r="BQ2" s="70" t="s">
        <v>254</v>
      </c>
      <c r="BR2" s="70"/>
      <c r="BS2" s="70"/>
      <c r="BU2" t="s">
        <v>549</v>
      </c>
    </row>
    <row r="3" spans="1:73" ht="17" thickBot="1" x14ac:dyDescent="0.25">
      <c r="A3" s="67"/>
      <c r="B3" s="68"/>
      <c r="C3" s="67"/>
      <c r="D3" s="68"/>
      <c r="E3" s="67"/>
      <c r="F3" s="68"/>
      <c r="G3" s="67"/>
      <c r="I3" s="68"/>
      <c r="J3" s="11" t="s">
        <v>118</v>
      </c>
      <c r="K3" s="11" t="s">
        <v>121</v>
      </c>
      <c r="L3" s="11" t="s">
        <v>124</v>
      </c>
      <c r="M3" s="11" t="s">
        <v>127</v>
      </c>
      <c r="N3" s="67"/>
      <c r="O3" s="68"/>
      <c r="P3" s="67"/>
      <c r="Q3" s="68"/>
      <c r="R3" s="67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7"/>
      <c r="AH3" s="12" t="s">
        <v>118</v>
      </c>
      <c r="AI3" s="12" t="s">
        <v>121</v>
      </c>
      <c r="AJ3" s="12" t="s">
        <v>124</v>
      </c>
      <c r="AK3" s="12" t="s">
        <v>127</v>
      </c>
      <c r="AL3" s="68"/>
      <c r="AM3" s="67"/>
      <c r="AN3" s="68"/>
      <c r="AO3" s="67"/>
      <c r="AP3" s="68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8"/>
      <c r="BF3" s="67"/>
      <c r="BG3" s="68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19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2.2393874999999999</v>
      </c>
      <c r="J5" s="18">
        <f t="shared" ref="J5:J29" si="1">IF(ISBLANK(S5),"·",S5/D5)</f>
        <v>9.5683679372910349E-2</v>
      </c>
      <c r="K5" s="18">
        <f t="shared" ref="K5:K29" si="2">IF(N5="","·",N5/D5)</f>
        <v>6.0954783464943055E-2</v>
      </c>
      <c r="L5" s="18">
        <f t="shared" ref="L5:L29" si="3">IF(T5="","·",T5/D5)</f>
        <v>3.2430257221690732E-2</v>
      </c>
      <c r="M5" s="18">
        <f t="shared" ref="M5:M29" si="4">IF(ISBLANK(V5),"·",V5/D5)</f>
        <v>3.4709668482737037E-2</v>
      </c>
      <c r="N5" s="15">
        <f t="shared" ref="N5:N29" si="5">IF(OR(ISBLANK(T5),ISBLANK(U5)),"",T5+U5)</f>
        <v>1521696</v>
      </c>
      <c r="O5" s="18">
        <f t="shared" ref="O5:O29" si="6">IF(ISBLANK(S5),"·",S5/P5)</f>
        <v>0.10938036400196004</v>
      </c>
      <c r="P5" s="19">
        <v>21838289</v>
      </c>
      <c r="Q5" s="19">
        <v>682446.53125</v>
      </c>
      <c r="R5" s="19">
        <v>14074.5625</v>
      </c>
      <c r="S5" s="20">
        <v>2388680</v>
      </c>
      <c r="T5" s="20">
        <v>809600</v>
      </c>
      <c r="U5" s="20">
        <v>712096</v>
      </c>
      <c r="V5" s="20">
        <v>866504</v>
      </c>
      <c r="W5" s="21">
        <v>66.395741000000001</v>
      </c>
      <c r="X5" s="21">
        <v>68.439758999999995</v>
      </c>
      <c r="Y5" s="21">
        <v>32.151172000000003</v>
      </c>
      <c r="Z5" s="21">
        <v>44.135159000000002</v>
      </c>
      <c r="AA5" s="21">
        <v>43.713462</v>
      </c>
      <c r="AB5" s="22">
        <v>3923.86</v>
      </c>
      <c r="AC5" s="22">
        <v>636.73699999999997</v>
      </c>
      <c r="AD5" s="22">
        <v>8.375</v>
      </c>
      <c r="AE5" s="22">
        <v>9.9890000000000008</v>
      </c>
      <c r="AG5" s="17">
        <f t="shared" ref="AG5:AG29" si="7">IF(OR(ISBLANK(AQ5),ISBLANK(G5)),"·",AQ5*G5/F5/1000000)</f>
        <v>2.2648725000000001</v>
      </c>
      <c r="AH5" s="18">
        <f t="shared" ref="AH5:AH29" si="8">IF(ISBLANK(AQ5),"·",AQ5/D5)</f>
        <v>9.6772592555116915E-2</v>
      </c>
      <c r="AI5" s="18">
        <f t="shared" ref="AI5:AI29" si="9">IF(AL5="","·",AL5/D5)</f>
        <v>6.116692605665016E-2</v>
      </c>
      <c r="AJ5" s="18">
        <f t="shared" ref="AJ5:AJ29" si="10">IF(AR5="","·",AR5/D5)</f>
        <v>3.3512761262153884E-2</v>
      </c>
      <c r="AK5" s="18">
        <f t="shared" ref="AK5:AK29" si="11">IF(ISBLANK(AT5),"·",AT5/D5)</f>
        <v>3.5586439073236505E-2</v>
      </c>
      <c r="AL5" s="15">
        <f t="shared" ref="AL5:AL29" si="12">IF(OR(ISBLANK(AR5),ISBLANK(AS5)),"",AR5+AS5)</f>
        <v>1526992</v>
      </c>
      <c r="AM5" s="18">
        <f t="shared" ref="AM5:AM29" si="13">IF(ISBLANK(AQ5),"·",AQ5/AN5)</f>
        <v>0.11100275684616798</v>
      </c>
      <c r="AN5" s="19">
        <v>21764000</v>
      </c>
      <c r="AO5" s="19">
        <v>680125</v>
      </c>
      <c r="AP5" s="19">
        <v>13890.21875</v>
      </c>
      <c r="AQ5" s="20">
        <v>2415864</v>
      </c>
      <c r="AR5" s="20">
        <v>836624</v>
      </c>
      <c r="AS5" s="20">
        <v>690368</v>
      </c>
      <c r="AT5" s="20">
        <v>888392</v>
      </c>
      <c r="AU5" s="21">
        <v>66.372247000000002</v>
      </c>
      <c r="AV5" s="21">
        <v>68.418744000000004</v>
      </c>
      <c r="AW5" s="21">
        <v>32.145581</v>
      </c>
      <c r="AX5" s="21">
        <v>44.165478</v>
      </c>
      <c r="AY5" s="21">
        <v>43.821796999999997</v>
      </c>
      <c r="AZ5" s="22">
        <v>5227.2700000000004</v>
      </c>
      <c r="BA5" s="22">
        <v>873.76499999999999</v>
      </c>
      <c r="BB5" s="22">
        <v>8.82</v>
      </c>
      <c r="BC5" s="22">
        <v>13.419</v>
      </c>
      <c r="BE5" s="23">
        <f t="shared" ref="BE5:BE29" si="14">(AP5/AO5) - (R5/Q5)</f>
        <v>-2.0064726346985529E-4</v>
      </c>
      <c r="BF5" s="23">
        <f t="shared" ref="BF5:BF29" si="15">(AL5/AQ5) - (N5/S5)</f>
        <v>-4.9760350234733242E-3</v>
      </c>
      <c r="BG5" s="23">
        <f t="array" ref="BG5">AVERAGE(AL5:AL9/AQ5:AQ9) - AVERAGE(N5:N9/S5:S9)</f>
        <v>-1.9085050050293151E-3</v>
      </c>
      <c r="BI5" s="24">
        <f>IF( OR(ISBLANK(N5:N9),ISBLANK(AL5:AL9), ISBLANK(W5:W9),ISBLANK(AU5:AU9)), "·", bdRateExtend( N5:N9,W5:W9, AL5:AL9,AU5:AU9))</f>
        <v>9.6180764650526385E-3</v>
      </c>
      <c r="BJ5" s="24">
        <f>IF( OR(ISBLANK(N5:N9),ISBLANK(AL5:AL9), ISBLANK(X5:X9),ISBLANK(AV5:AV9)), "·", bdRateExtend( N5:N9,X5:X9, AL5:AL9,AV5:AV9))</f>
        <v>6.8711267446939228E-3</v>
      </c>
      <c r="BK5" s="24">
        <f>IF( OR(ISBLANK(V5:V9),ISBLANK(AT5:AT9), ISBLANK(Y5:Y9),ISBLANK(AW5:AW9)), "·", bdRateExtend( V5:V9,Y5:Y9, AT5:AT9,AW5:AW9))</f>
        <v>1.7047921895029461E-2</v>
      </c>
      <c r="BL5" s="24">
        <f>IF( OR(ISBLANK(V5:V9),ISBLANK(AT5:AT9), ISBLANK(Z5:Z9),ISBLANK(AX5:AX9)), "·", bdRateExtend( V5:V9,Z5:Z9, AT5:AT9,AX5:AX9))</f>
        <v>1.5477616707886277E-2</v>
      </c>
      <c r="BM5" s="24">
        <f>IF( OR(ISBLANK(V5:V9),ISBLANK(AT5:AT9), ISBLANK(AA5:AA9),ISBLANK(AY5:AY9)), "·", bdRateExtend( V5:V9,AA5:AA9, AT5:AT9,AY5:AY9))</f>
        <v>-1.4048963139377091E-2</v>
      </c>
      <c r="BO5" s="24">
        <f>IF( OR(ISBLANK(S5:S9),ISBLANK(AQ5:AQ9), ISBLANK(W5:W9),ISBLANK(AU5:AU9)), "·", bdRateExtend( S5:S9,W5:W9, AQ5:AQ9,AU5:AU9))</f>
        <v>1.496768454391928E-2</v>
      </c>
      <c r="BP5" s="24">
        <f>IF( OR(ISBLANK(S5:S9),ISBLANK(AQ5:AQ9), ISBLANK(X5:X9),ISBLANK(AV5:AV9)), "·", bdRateExtend( S5:S9,X5:X9, AQ5:AQ9,AV5:AV9))</f>
        <v>7.8517138140319354E-3</v>
      </c>
      <c r="BQ5" s="24">
        <f>IF( OR(ISBLANK(S5:S9),ISBLANK(AQ5:AQ9), ISBLANK(Y5:Y9),ISBLANK(AW5:AW9)), "·", bdRateExtend( S5:S9,Y5:Y9, AQ5:AQ9,AW5:AW9))</f>
        <v>1.3274810397080783E-2</v>
      </c>
      <c r="BR5" s="24">
        <f>IF( OR(ISBLANK(S5:S9),ISBLANK(AQ5:AQ9), ISBLANK(Z5:Z9),ISBLANK(AX5:AX9)), "·", bdRateExtend( S5:S9,Z5:Z9, AQ5:AQ9,AX5:AX9))</f>
        <v>1.2859148555414812E-2</v>
      </c>
      <c r="BS5" s="24">
        <f>IF( OR(ISBLANK(S5:S9),ISBLANK(AQ5:AQ9), ISBLANK(AA5:AA9),ISBLANK(AY5:AY9)), "·", bdRateExtend( S5:S9,AA5:AA9, AQ5:AQ9,AY5:AY9))</f>
        <v>-8.0111920182712737E-3</v>
      </c>
      <c r="BU5">
        <f>AQ5-S5</f>
        <v>27184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3.4729649999999999</v>
      </c>
      <c r="J6" s="28">
        <f t="shared" si="1"/>
        <v>0.1483914996995114</v>
      </c>
      <c r="K6" s="28">
        <f t="shared" si="2"/>
        <v>7.3573101729382723E-2</v>
      </c>
      <c r="L6" s="28">
        <f t="shared" si="3"/>
        <v>4.50485754861304E-2</v>
      </c>
      <c r="M6" s="28">
        <f t="shared" si="4"/>
        <v>7.4799170544898416E-2</v>
      </c>
      <c r="N6" s="25">
        <f t="shared" si="5"/>
        <v>1836704</v>
      </c>
      <c r="O6" s="28">
        <f t="shared" si="6"/>
        <v>0.15248313360607585</v>
      </c>
      <c r="P6" s="29">
        <v>24294464</v>
      </c>
      <c r="Q6" s="29">
        <v>759202</v>
      </c>
      <c r="R6" s="29">
        <v>19637.125</v>
      </c>
      <c r="S6" s="30">
        <v>3704496</v>
      </c>
      <c r="T6" s="30">
        <v>1124608</v>
      </c>
      <c r="U6" s="30">
        <v>712096</v>
      </c>
      <c r="V6" s="30">
        <v>1867312</v>
      </c>
      <c r="W6" s="31">
        <v>68.286641000000003</v>
      </c>
      <c r="X6" s="31">
        <v>70.352028000000004</v>
      </c>
      <c r="Y6" s="31">
        <v>34.433368999999999</v>
      </c>
      <c r="Z6" s="31">
        <v>45.414081000000003</v>
      </c>
      <c r="AA6" s="31">
        <v>45.089016000000001</v>
      </c>
      <c r="AB6" s="32">
        <v>3601.43</v>
      </c>
      <c r="AC6" s="32">
        <v>610.93399999999997</v>
      </c>
      <c r="AD6" s="32">
        <v>7.7759999999999998</v>
      </c>
      <c r="AE6" s="32">
        <v>9.1329999999999991</v>
      </c>
      <c r="AG6" s="27">
        <f t="shared" si="7"/>
        <v>3.5196225000000001</v>
      </c>
      <c r="AH6" s="28">
        <f t="shared" si="8"/>
        <v>0.1503850632388013</v>
      </c>
      <c r="AI6" s="28">
        <f t="shared" si="9"/>
        <v>7.4037764505780465E-2</v>
      </c>
      <c r="AJ6" s="28">
        <f t="shared" si="10"/>
        <v>4.6383599711284189E-2</v>
      </c>
      <c r="AK6" s="28">
        <f t="shared" si="11"/>
        <v>7.6328071307790582E-2</v>
      </c>
      <c r="AL6" s="25">
        <f t="shared" si="12"/>
        <v>1848304</v>
      </c>
      <c r="AM6" s="28">
        <f t="shared" si="13"/>
        <v>0.15553795070415125</v>
      </c>
      <c r="AN6" s="29">
        <v>24137286</v>
      </c>
      <c r="AO6" s="29">
        <v>754290.1875</v>
      </c>
      <c r="AP6" s="29">
        <v>19180.0625</v>
      </c>
      <c r="AQ6" s="30">
        <v>3754264</v>
      </c>
      <c r="AR6" s="30">
        <v>1157936</v>
      </c>
      <c r="AS6" s="30">
        <v>690368</v>
      </c>
      <c r="AT6" s="30">
        <v>1905480</v>
      </c>
      <c r="AU6" s="31">
        <v>68.256456</v>
      </c>
      <c r="AV6" s="31">
        <v>70.369106000000002</v>
      </c>
      <c r="AW6" s="31">
        <v>34.432240999999998</v>
      </c>
      <c r="AX6" s="31">
        <v>45.420068999999998</v>
      </c>
      <c r="AY6" s="31">
        <v>45.178562999999997</v>
      </c>
      <c r="AZ6" s="32">
        <v>3753.42</v>
      </c>
      <c r="BA6" s="32">
        <v>754.32</v>
      </c>
      <c r="BB6" s="32">
        <v>8.6039999999999992</v>
      </c>
      <c r="BC6" s="32">
        <v>12.612</v>
      </c>
      <c r="BE6" s="33">
        <f t="shared" si="14"/>
        <v>-4.3751875865226386E-4</v>
      </c>
      <c r="BF6" s="33">
        <f t="shared" si="15"/>
        <v>-3.4827530371182025E-3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49768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5.6994075000000004</v>
      </c>
      <c r="J7" s="18">
        <f t="shared" si="1"/>
        <v>0.24352207013996485</v>
      </c>
      <c r="K7" s="18">
        <f t="shared" si="2"/>
        <v>9.1061726804645068E-2</v>
      </c>
      <c r="L7" s="18">
        <f t="shared" si="3"/>
        <v>6.2537200561392753E-2</v>
      </c>
      <c r="M7" s="18">
        <f t="shared" si="4"/>
        <v>0.15244111591008952</v>
      </c>
      <c r="N7" s="15">
        <f t="shared" si="5"/>
        <v>2273296</v>
      </c>
      <c r="O7" s="18">
        <f t="shared" si="6"/>
        <v>0.2449113077113628</v>
      </c>
      <c r="P7" s="19">
        <v>24822733</v>
      </c>
      <c r="Q7" s="19">
        <v>775710.40625</v>
      </c>
      <c r="R7" s="19">
        <v>21328.78125</v>
      </c>
      <c r="S7" s="20">
        <v>6079368</v>
      </c>
      <c r="T7" s="20">
        <v>1561200</v>
      </c>
      <c r="U7" s="20">
        <v>712096</v>
      </c>
      <c r="V7" s="20">
        <v>3805592</v>
      </c>
      <c r="W7" s="21">
        <v>69.669156000000001</v>
      </c>
      <c r="X7" s="21">
        <v>72.027444000000003</v>
      </c>
      <c r="Y7" s="21">
        <v>36.978884000000001</v>
      </c>
      <c r="Z7" s="21">
        <v>46.488531000000002</v>
      </c>
      <c r="AA7" s="21">
        <v>46.325428000000002</v>
      </c>
      <c r="AB7" s="22">
        <v>3862.2</v>
      </c>
      <c r="AC7" s="22">
        <v>697.43499999999995</v>
      </c>
      <c r="AD7" s="22">
        <v>8.4629999999999992</v>
      </c>
      <c r="AE7" s="22">
        <v>10.375999999999999</v>
      </c>
      <c r="AG7" s="17">
        <f t="shared" si="7"/>
        <v>5.7765825</v>
      </c>
      <c r="AH7" s="18">
        <f t="shared" si="8"/>
        <v>0.24681957356695297</v>
      </c>
      <c r="AI7" s="18">
        <f t="shared" si="9"/>
        <v>9.1839155698121566E-2</v>
      </c>
      <c r="AJ7" s="18">
        <f t="shared" si="10"/>
        <v>6.4184990903625297E-2</v>
      </c>
      <c r="AK7" s="18">
        <f t="shared" si="11"/>
        <v>0.15496119044360113</v>
      </c>
      <c r="AL7" s="15">
        <f t="shared" si="12"/>
        <v>2292704</v>
      </c>
      <c r="AM7" s="18">
        <f t="shared" si="13"/>
        <v>0.24884197007848893</v>
      </c>
      <c r="AN7" s="19">
        <v>24761450</v>
      </c>
      <c r="AO7" s="19">
        <v>773795.3125</v>
      </c>
      <c r="AP7" s="19">
        <v>21257.5</v>
      </c>
      <c r="AQ7" s="20">
        <v>6161688</v>
      </c>
      <c r="AR7" s="20">
        <v>1602336</v>
      </c>
      <c r="AS7" s="20">
        <v>690368</v>
      </c>
      <c r="AT7" s="20">
        <v>3868504</v>
      </c>
      <c r="AU7" s="21">
        <v>69.668394000000006</v>
      </c>
      <c r="AV7" s="21">
        <v>72.053578000000002</v>
      </c>
      <c r="AW7" s="21">
        <v>36.982143999999998</v>
      </c>
      <c r="AX7" s="21">
        <v>46.478253000000002</v>
      </c>
      <c r="AY7" s="21">
        <v>46.367972000000002</v>
      </c>
      <c r="AZ7" s="22">
        <v>5181.41</v>
      </c>
      <c r="BA7" s="22">
        <v>972.03499999999997</v>
      </c>
      <c r="BB7" s="22">
        <v>8.8870000000000005</v>
      </c>
      <c r="BC7" s="22">
        <v>13.579000000000001</v>
      </c>
      <c r="BE7" s="23">
        <f t="shared" si="14"/>
        <v>-2.40686489162735E-5</v>
      </c>
      <c r="BF7" s="23">
        <f t="shared" si="15"/>
        <v>-1.8459927086749151E-3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82320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9.9691949999999991</v>
      </c>
      <c r="J8" s="28">
        <f t="shared" si="1"/>
        <v>0.4259598921517696</v>
      </c>
      <c r="K8" s="28">
        <f t="shared" si="2"/>
        <v>0.12027331304279172</v>
      </c>
      <c r="L8" s="28">
        <f t="shared" si="3"/>
        <v>9.1748786799539392E-2</v>
      </c>
      <c r="M8" s="28">
        <f t="shared" si="4"/>
        <v>0.30566735168374765</v>
      </c>
      <c r="N8" s="25">
        <f t="shared" si="5"/>
        <v>3002544</v>
      </c>
      <c r="O8" s="28">
        <f t="shared" si="6"/>
        <v>0.40949162818258988</v>
      </c>
      <c r="P8" s="29">
        <v>25968316</v>
      </c>
      <c r="Q8" s="29">
        <v>811509.875</v>
      </c>
      <c r="R8" s="29">
        <v>24839.96875</v>
      </c>
      <c r="S8" s="30">
        <v>10633808</v>
      </c>
      <c r="T8" s="30">
        <v>2290448</v>
      </c>
      <c r="U8" s="30">
        <v>712096</v>
      </c>
      <c r="V8" s="30">
        <v>7630784</v>
      </c>
      <c r="W8" s="31">
        <v>70.735516000000004</v>
      </c>
      <c r="X8" s="31">
        <v>73.265771999999998</v>
      </c>
      <c r="Y8" s="31">
        <v>39.621791000000002</v>
      </c>
      <c r="Z8" s="31">
        <v>47.778500000000001</v>
      </c>
      <c r="AA8" s="31">
        <v>47.798988000000001</v>
      </c>
      <c r="AB8" s="32">
        <v>3765.85</v>
      </c>
      <c r="AC8" s="32">
        <v>715.97500000000002</v>
      </c>
      <c r="AD8" s="32">
        <v>7.8019999999999996</v>
      </c>
      <c r="AE8" s="32">
        <v>9.8239999999999998</v>
      </c>
      <c r="AG8" s="27">
        <f t="shared" si="7"/>
        <v>10.0881525</v>
      </c>
      <c r="AH8" s="28">
        <f t="shared" si="8"/>
        <v>0.43104266201138658</v>
      </c>
      <c r="AI8" s="28">
        <f t="shared" si="9"/>
        <v>0.12192078292793709</v>
      </c>
      <c r="AJ8" s="28">
        <f t="shared" si="10"/>
        <v>9.426661813344081E-2</v>
      </c>
      <c r="AK8" s="28">
        <f t="shared" si="11"/>
        <v>0.30910265165821921</v>
      </c>
      <c r="AL8" s="25">
        <f t="shared" si="12"/>
        <v>3043672</v>
      </c>
      <c r="AM8" s="28">
        <f t="shared" si="13"/>
        <v>0.41445856897559979</v>
      </c>
      <c r="AN8" s="29">
        <v>25963261</v>
      </c>
      <c r="AO8" s="29">
        <v>811351.90625</v>
      </c>
      <c r="AP8" s="29">
        <v>24836.3125</v>
      </c>
      <c r="AQ8" s="30">
        <v>10760696</v>
      </c>
      <c r="AR8" s="30">
        <v>2353304</v>
      </c>
      <c r="AS8" s="30">
        <v>690368</v>
      </c>
      <c r="AT8" s="30">
        <v>7716544</v>
      </c>
      <c r="AU8" s="31">
        <v>70.747600000000006</v>
      </c>
      <c r="AV8" s="31">
        <v>73.283812999999995</v>
      </c>
      <c r="AW8" s="31">
        <v>39.614396999999997</v>
      </c>
      <c r="AX8" s="31">
        <v>47.773330999999999</v>
      </c>
      <c r="AY8" s="31">
        <v>47.843631000000002</v>
      </c>
      <c r="AZ8" s="32">
        <v>5186.84</v>
      </c>
      <c r="BA8" s="32">
        <v>1059.45</v>
      </c>
      <c r="BB8" s="32">
        <v>9.5169999999999995</v>
      </c>
      <c r="BC8" s="32">
        <v>15.012</v>
      </c>
      <c r="BE8" s="33">
        <f t="shared" si="14"/>
        <v>1.4532603974694303E-6</v>
      </c>
      <c r="BF8" s="33">
        <f t="shared" si="15"/>
        <v>4.9254429508011066E-4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126888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18.119152499999998</v>
      </c>
      <c r="J9" s="38">
        <f t="shared" si="1"/>
        <v>0.77418811095394025</v>
      </c>
      <c r="K9" s="38">
        <f t="shared" si="2"/>
        <v>0.19476965164031368</v>
      </c>
      <c r="L9" s="38">
        <f t="shared" si="3"/>
        <v>0.14154557494628037</v>
      </c>
      <c r="M9" s="38">
        <f t="shared" si="4"/>
        <v>0.57939923188839637</v>
      </c>
      <c r="N9" s="35">
        <f t="shared" si="5"/>
        <v>4862296</v>
      </c>
      <c r="O9" s="38">
        <f t="shared" si="6"/>
        <v>0.77295654951542581</v>
      </c>
      <c r="P9" s="39">
        <v>25004117</v>
      </c>
      <c r="Q9" s="39">
        <v>781378.65625</v>
      </c>
      <c r="R9" s="39">
        <v>7647.65625</v>
      </c>
      <c r="S9" s="40">
        <v>19327096</v>
      </c>
      <c r="T9" s="40">
        <v>3533592</v>
      </c>
      <c r="U9" s="40">
        <v>1328704</v>
      </c>
      <c r="V9" s="40">
        <v>14464320</v>
      </c>
      <c r="W9" s="41">
        <v>72.150533999999993</v>
      </c>
      <c r="X9" s="41">
        <v>75.324377999999996</v>
      </c>
      <c r="Y9" s="41">
        <v>42.047184000000001</v>
      </c>
      <c r="Z9" s="41">
        <v>49.397309</v>
      </c>
      <c r="AA9" s="41">
        <v>49.537184000000003</v>
      </c>
      <c r="AB9" s="42">
        <v>3679.61</v>
      </c>
      <c r="AC9" s="42">
        <v>868.09699999999998</v>
      </c>
      <c r="AD9" s="42">
        <v>8.7390000000000008</v>
      </c>
      <c r="AE9" s="42">
        <v>11.029</v>
      </c>
      <c r="AG9" s="37">
        <f t="shared" si="7"/>
        <v>18.347962500000001</v>
      </c>
      <c r="AH9" s="38">
        <f t="shared" si="8"/>
        <v>0.78396461576934873</v>
      </c>
      <c r="AI9" s="38">
        <f t="shared" si="9"/>
        <v>0.19744066146188277</v>
      </c>
      <c r="AJ9" s="38">
        <f t="shared" si="10"/>
        <v>0.14507893478942624</v>
      </c>
      <c r="AK9" s="38">
        <f t="shared" si="11"/>
        <v>0.58650472688223576</v>
      </c>
      <c r="AL9" s="35">
        <f t="shared" si="12"/>
        <v>4928976</v>
      </c>
      <c r="AM9" s="38">
        <f t="shared" si="13"/>
        <v>0.78287934356277711</v>
      </c>
      <c r="AN9" s="39">
        <v>24998948</v>
      </c>
      <c r="AO9" s="39">
        <v>781217.125</v>
      </c>
      <c r="AP9" s="39">
        <v>7639.8125</v>
      </c>
      <c r="AQ9" s="40">
        <v>19571160</v>
      </c>
      <c r="AR9" s="40">
        <v>3621800</v>
      </c>
      <c r="AS9" s="40">
        <v>1307176</v>
      </c>
      <c r="AT9" s="40">
        <v>14641704</v>
      </c>
      <c r="AU9" s="41">
        <v>72.149621999999994</v>
      </c>
      <c r="AV9" s="41">
        <v>75.331956000000005</v>
      </c>
      <c r="AW9" s="41">
        <v>42.046658999999998</v>
      </c>
      <c r="AX9" s="41">
        <v>49.395961999999997</v>
      </c>
      <c r="AY9" s="41">
        <v>49.548983999999997</v>
      </c>
      <c r="AZ9" s="42">
        <v>5133.87</v>
      </c>
      <c r="BA9" s="42">
        <v>1224.8499999999999</v>
      </c>
      <c r="BB9" s="42">
        <v>10.029999999999999</v>
      </c>
      <c r="BC9" s="42">
        <v>15.516</v>
      </c>
      <c r="BE9" s="43">
        <f t="shared" si="14"/>
        <v>-8.0166969557062678E-6</v>
      </c>
      <c r="BF9" s="43">
        <f t="shared" si="15"/>
        <v>2.6971144903992217E-4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244064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3.2486625</v>
      </c>
      <c r="J10" s="28">
        <f t="shared" si="1"/>
        <v>0.15295838773868078</v>
      </c>
      <c r="K10" s="28">
        <f t="shared" si="2"/>
        <v>7.8435336563937988E-2</v>
      </c>
      <c r="L10" s="28">
        <f t="shared" si="3"/>
        <v>3.8155994302131881E-2</v>
      </c>
      <c r="M10" s="28">
        <f t="shared" si="4"/>
        <v>7.4501863601554627E-2</v>
      </c>
      <c r="N10" s="25">
        <f t="shared" si="5"/>
        <v>1776936</v>
      </c>
      <c r="O10" s="28">
        <f t="shared" si="6"/>
        <v>0.16657567729954775</v>
      </c>
      <c r="P10" s="29">
        <v>20802797</v>
      </c>
      <c r="Q10" s="29">
        <v>650087.40625</v>
      </c>
      <c r="R10" s="29">
        <v>19199.34375</v>
      </c>
      <c r="S10" s="30">
        <v>3465240</v>
      </c>
      <c r="T10" s="30">
        <v>864416</v>
      </c>
      <c r="U10" s="30">
        <v>912520</v>
      </c>
      <c r="V10" s="30">
        <v>1687824</v>
      </c>
      <c r="W10" s="31">
        <v>65.946162999999999</v>
      </c>
      <c r="X10" s="31">
        <v>67.842168999999998</v>
      </c>
      <c r="Y10" s="31">
        <v>32.503250000000001</v>
      </c>
      <c r="Z10" s="31">
        <v>39.247293999999997</v>
      </c>
      <c r="AA10" s="31">
        <v>32.195580999999997</v>
      </c>
      <c r="AB10" s="32">
        <v>3447.64</v>
      </c>
      <c r="AC10" s="32">
        <v>677.79399999999998</v>
      </c>
      <c r="AD10" s="32">
        <v>7.5519999999999996</v>
      </c>
      <c r="AE10" s="32">
        <v>10.458</v>
      </c>
      <c r="AG10" s="27">
        <f t="shared" si="7"/>
        <v>3.2717100000000001</v>
      </c>
      <c r="AH10" s="28">
        <f t="shared" si="8"/>
        <v>0.15404354461213476</v>
      </c>
      <c r="AI10" s="28">
        <f t="shared" si="9"/>
        <v>7.9165601586490164E-2</v>
      </c>
      <c r="AJ10" s="28">
        <f t="shared" si="10"/>
        <v>3.9382048537287197E-2</v>
      </c>
      <c r="AK10" s="28">
        <f t="shared" si="11"/>
        <v>7.485675545245643E-2</v>
      </c>
      <c r="AL10" s="25">
        <f t="shared" si="12"/>
        <v>1793480</v>
      </c>
      <c r="AM10" s="28">
        <f t="shared" si="13"/>
        <v>0.16917989859165417</v>
      </c>
      <c r="AN10" s="29">
        <v>20627888</v>
      </c>
      <c r="AO10" s="29">
        <v>644621.5</v>
      </c>
      <c r="AP10" s="29">
        <v>18898.25</v>
      </c>
      <c r="AQ10" s="30">
        <v>3489824</v>
      </c>
      <c r="AR10" s="30">
        <v>892192</v>
      </c>
      <c r="AS10" s="30">
        <v>901288</v>
      </c>
      <c r="AT10" s="30">
        <v>1695864</v>
      </c>
      <c r="AU10" s="31">
        <v>65.903077999999994</v>
      </c>
      <c r="AV10" s="31">
        <v>67.881922000000003</v>
      </c>
      <c r="AW10" s="31">
        <v>32.480459000000003</v>
      </c>
      <c r="AX10" s="31">
        <v>39.268571999999999</v>
      </c>
      <c r="AY10" s="31">
        <v>32.180300000000003</v>
      </c>
      <c r="AZ10" s="32">
        <v>4717.6000000000004</v>
      </c>
      <c r="BA10" s="32">
        <v>815.96500000000003</v>
      </c>
      <c r="BB10" s="32">
        <v>8.0670000000000002</v>
      </c>
      <c r="BC10" s="32">
        <v>11.792999999999999</v>
      </c>
      <c r="BE10" s="33">
        <f t="shared" si="14"/>
        <v>-2.1666437472413896E-4</v>
      </c>
      <c r="BF10" s="33">
        <f t="shared" si="15"/>
        <v>1.1283096209628862E-3</v>
      </c>
      <c r="BG10" s="33">
        <f t="array" ref="BG10">AVERAGE(AL10:AL14/AQ10:AQ14) - AVERAGE(N10:N14/S10:S14)</f>
        <v>1.5208743854563389E-3</v>
      </c>
      <c r="BI10" s="34">
        <f>IF( OR(ISBLANK(N10:N14),ISBLANK(AL10:AL14), ISBLANK(W10:W14),ISBLANK(AU10:AU14)), "·", bdRateExtend( N10:N14,W10:W14, AL10:AL14,AU10:AU14))</f>
        <v>1.4998801894614777E-2</v>
      </c>
      <c r="BJ10" s="34">
        <f>IF( OR(ISBLANK(N10:N14),ISBLANK(AL10:AL14), ISBLANK(X10:X14),ISBLANK(AV10:AV14)), "·", bdRateExtend( N10:N14,X10:X14, AL10:AL14,AV10:AV14))</f>
        <v>1.2071137080465144E-2</v>
      </c>
      <c r="BK10" s="34">
        <f>IF( OR(ISBLANK(V10:V14),ISBLANK(AT10:AT14), ISBLANK(Y10:Y14),ISBLANK(AW10:AW14)), "·", bdRateExtend( V10:V14,Y10:Y14, AT10:AT14,AW10:AW14))</f>
        <v>7.3911317758761363E-3</v>
      </c>
      <c r="BL10" s="34">
        <f>IF( OR(ISBLANK(V10:V14),ISBLANK(AT10:AT14), ISBLANK(Z10:Z14),ISBLANK(AX10:AX14)), "·", bdRateExtend( V10:V14,Z10:Z14, AT10:AT14,AX10:AX14))</f>
        <v>-1.4166371399648714E-3</v>
      </c>
      <c r="BM10" s="34">
        <f>IF( OR(ISBLANK(V10:V14),ISBLANK(AT10:AT14), ISBLANK(AA10:AA14),ISBLANK(AY10:AY14)), "·", bdRateExtend( V10:V14,AA10:AA14, AT10:AT14,AY10:AY14))</f>
        <v>6.3516608636029481E-3</v>
      </c>
      <c r="BO10" s="34">
        <f>IF( OR(ISBLANK(S10:S14),ISBLANK(AQ10:AQ14), ISBLANK(W10:W14),ISBLANK(AU10:AU14)), "·", bdRateExtend( S10:S14,W10:W14, AQ10:AQ14,AU10:AU14))</f>
        <v>1.1964588016362576E-2</v>
      </c>
      <c r="BP10" s="34">
        <f>IF( OR(ISBLANK(S10:S14),ISBLANK(AQ10:AQ14), ISBLANK(X10:X14),ISBLANK(AV10:AV14)), "·", bdRateExtend( S10:S14,X10:X14, AQ10:AQ14,AV10:AV14))</f>
        <v>5.3041395242772182E-3</v>
      </c>
      <c r="BQ10" s="34">
        <f>IF( OR(ISBLANK(S10:S14),ISBLANK(AQ10:AQ14), ISBLANK(Y10:Y14),ISBLANK(AW10:AW14)), "·", bdRateExtend( S10:S14,Y10:Y14, AQ10:AQ14,AW10:AW14))</f>
        <v>9.3793188107331726E-3</v>
      </c>
      <c r="BR10" s="34">
        <f>IF( OR(ISBLANK(S10:S14),ISBLANK(AQ10:AQ14), ISBLANK(Z10:Z14),ISBLANK(AX10:AX14)), "·", bdRateExtend( S10:S14,Z10:Z14, AQ10:AQ14,AX10:AX14))</f>
        <v>2.3634327302208824E-3</v>
      </c>
      <c r="BS10" s="34">
        <f>IF( OR(ISBLANK(S10:S14),ISBLANK(AQ10:AQ14), ISBLANK(AA10:AA14),ISBLANK(AY10:AY14)), "·", bdRateExtend( S10:S14,AA10:AA14, AQ10:AQ14,AY10:AY14))</f>
        <v>8.6784971580349257E-3</v>
      </c>
      <c r="BU10" s="4">
        <f t="shared" si="16"/>
        <v>24584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4.6986074999999996</v>
      </c>
      <c r="J11" s="18">
        <f t="shared" si="1"/>
        <v>0.2212268673082764</v>
      </c>
      <c r="K11" s="18">
        <f t="shared" si="2"/>
        <v>9.4114140723182194E-2</v>
      </c>
      <c r="L11" s="18">
        <f t="shared" si="3"/>
        <v>5.3834798461376093E-2</v>
      </c>
      <c r="M11" s="18">
        <f t="shared" si="4"/>
        <v>0.12709153901190604</v>
      </c>
      <c r="N11" s="15">
        <f t="shared" si="5"/>
        <v>2132136</v>
      </c>
      <c r="O11" s="18">
        <f t="shared" si="6"/>
        <v>0.22302786237375147</v>
      </c>
      <c r="P11" s="19">
        <v>22471847</v>
      </c>
      <c r="Q11" s="19">
        <v>702245.21875</v>
      </c>
      <c r="R11" s="19">
        <v>25286.25</v>
      </c>
      <c r="S11" s="20">
        <v>5011848</v>
      </c>
      <c r="T11" s="20">
        <v>1219616</v>
      </c>
      <c r="U11" s="20">
        <v>912520</v>
      </c>
      <c r="V11" s="20">
        <v>2879232</v>
      </c>
      <c r="W11" s="21">
        <v>67.675600000000003</v>
      </c>
      <c r="X11" s="21">
        <v>69.695696999999996</v>
      </c>
      <c r="Y11" s="21">
        <v>34.388627999999997</v>
      </c>
      <c r="Z11" s="21">
        <v>40.108455999999997</v>
      </c>
      <c r="AA11" s="21">
        <v>33.973350000000003</v>
      </c>
      <c r="AB11" s="22">
        <v>4572.13</v>
      </c>
      <c r="AC11" s="22">
        <v>867.91899999999998</v>
      </c>
      <c r="AD11" s="22">
        <v>8.0109999999999992</v>
      </c>
      <c r="AE11" s="22">
        <v>12.65</v>
      </c>
      <c r="AG11" s="17">
        <f t="shared" si="7"/>
        <v>4.7485274999999998</v>
      </c>
      <c r="AH11" s="18">
        <f t="shared" si="8"/>
        <v>0.22357727542728384</v>
      </c>
      <c r="AI11" s="18">
        <f t="shared" si="9"/>
        <v>9.5375860706537585E-2</v>
      </c>
      <c r="AJ11" s="18">
        <f t="shared" si="10"/>
        <v>5.5592307657334618E-2</v>
      </c>
      <c r="AK11" s="18">
        <f t="shared" si="11"/>
        <v>0.12818022714755808</v>
      </c>
      <c r="AL11" s="15">
        <f t="shared" si="12"/>
        <v>2160720</v>
      </c>
      <c r="AM11" s="18">
        <f t="shared" si="13"/>
        <v>0.22662170708457929</v>
      </c>
      <c r="AN11" s="19">
        <v>22350445</v>
      </c>
      <c r="AO11" s="19">
        <v>698451.40625</v>
      </c>
      <c r="AP11" s="19">
        <v>24752.78125</v>
      </c>
      <c r="AQ11" s="20">
        <v>5065096</v>
      </c>
      <c r="AR11" s="20">
        <v>1259432</v>
      </c>
      <c r="AS11" s="20">
        <v>901288</v>
      </c>
      <c r="AT11" s="20">
        <v>2903896</v>
      </c>
      <c r="AU11" s="21">
        <v>67.649506000000002</v>
      </c>
      <c r="AV11" s="21">
        <v>69.713063000000005</v>
      </c>
      <c r="AW11" s="21">
        <v>34.382190999999999</v>
      </c>
      <c r="AX11" s="21">
        <v>40.116149999999998</v>
      </c>
      <c r="AY11" s="21">
        <v>33.982430999999998</v>
      </c>
      <c r="AZ11" s="22">
        <v>4838.3999999999996</v>
      </c>
      <c r="BA11" s="22">
        <v>864.09299999999996</v>
      </c>
      <c r="BB11" s="22">
        <v>8.14</v>
      </c>
      <c r="BC11" s="22">
        <v>11.877000000000001</v>
      </c>
      <c r="BE11" s="23">
        <f t="shared" si="14"/>
        <v>-5.6820303307861253E-4</v>
      </c>
      <c r="BF11" s="23">
        <f t="shared" si="15"/>
        <v>1.1710108424758392E-3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53248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7.3323074999999998</v>
      </c>
      <c r="J12" s="28">
        <f t="shared" si="1"/>
        <v>0.3452306706542268</v>
      </c>
      <c r="K12" s="28">
        <f t="shared" si="2"/>
        <v>0.11743989317225599</v>
      </c>
      <c r="L12" s="28">
        <f t="shared" si="3"/>
        <v>7.7160550910449877E-2</v>
      </c>
      <c r="M12" s="28">
        <f t="shared" si="4"/>
        <v>0.22776958990878265</v>
      </c>
      <c r="N12" s="25">
        <f t="shared" si="5"/>
        <v>2660576</v>
      </c>
      <c r="O12" s="28">
        <f t="shared" si="6"/>
        <v>0.342635629640822</v>
      </c>
      <c r="P12" s="29">
        <v>22826371</v>
      </c>
      <c r="Q12" s="29">
        <v>713324.09375</v>
      </c>
      <c r="R12" s="29">
        <v>26845.03125</v>
      </c>
      <c r="S12" s="30">
        <v>7821128</v>
      </c>
      <c r="T12" s="30">
        <v>1748056</v>
      </c>
      <c r="U12" s="30">
        <v>912520</v>
      </c>
      <c r="V12" s="30">
        <v>5160072</v>
      </c>
      <c r="W12" s="31">
        <v>69.029246999999998</v>
      </c>
      <c r="X12" s="31">
        <v>71.329274999999996</v>
      </c>
      <c r="Y12" s="31">
        <v>36.513683999999998</v>
      </c>
      <c r="Z12" s="31">
        <v>41.002600000000001</v>
      </c>
      <c r="AA12" s="31">
        <v>35.772680999999999</v>
      </c>
      <c r="AB12" s="32">
        <v>4751.8900000000003</v>
      </c>
      <c r="AC12" s="32">
        <v>915.95600000000002</v>
      </c>
      <c r="AD12" s="32">
        <v>8.2110000000000003</v>
      </c>
      <c r="AE12" s="32">
        <v>12.680999999999999</v>
      </c>
      <c r="AG12" s="27">
        <f t="shared" si="7"/>
        <v>7.3982025</v>
      </c>
      <c r="AH12" s="28">
        <f t="shared" si="8"/>
        <v>0.34833323762141416</v>
      </c>
      <c r="AI12" s="28">
        <f t="shared" si="9"/>
        <v>0.11896222030582584</v>
      </c>
      <c r="AJ12" s="28">
        <f t="shared" si="10"/>
        <v>7.917866725662287E-2</v>
      </c>
      <c r="AK12" s="28">
        <f t="shared" si="11"/>
        <v>0.22934982974240017</v>
      </c>
      <c r="AL12" s="25">
        <f t="shared" si="12"/>
        <v>2695064</v>
      </c>
      <c r="AM12" s="28">
        <f t="shared" si="13"/>
        <v>0.34612534831659969</v>
      </c>
      <c r="AN12" s="29">
        <v>22799301</v>
      </c>
      <c r="AO12" s="29">
        <v>712478.15625</v>
      </c>
      <c r="AP12" s="29">
        <v>26661.90625</v>
      </c>
      <c r="AQ12" s="30">
        <v>7891416</v>
      </c>
      <c r="AR12" s="30">
        <v>1793776</v>
      </c>
      <c r="AS12" s="30">
        <v>901288</v>
      </c>
      <c r="AT12" s="30">
        <v>5195872</v>
      </c>
      <c r="AU12" s="31">
        <v>69.030156000000005</v>
      </c>
      <c r="AV12" s="31">
        <v>71.352169000000004</v>
      </c>
      <c r="AW12" s="31">
        <v>36.512987000000003</v>
      </c>
      <c r="AX12" s="31">
        <v>41.018419000000002</v>
      </c>
      <c r="AY12" s="31">
        <v>35.772753000000002</v>
      </c>
      <c r="AZ12" s="32">
        <v>3507.03</v>
      </c>
      <c r="BA12" s="32">
        <v>763.947</v>
      </c>
      <c r="BB12" s="32">
        <v>7.5339999999999998</v>
      </c>
      <c r="BC12" s="32">
        <v>11.5</v>
      </c>
      <c r="BE12" s="33">
        <f t="shared" si="14"/>
        <v>-2.1234227759023283E-4</v>
      </c>
      <c r="BF12" s="33">
        <f t="shared" si="15"/>
        <v>1.3403888310064005E-3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70288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12.770925</v>
      </c>
      <c r="J13" s="18">
        <f t="shared" si="1"/>
        <v>0.60129979581800563</v>
      </c>
      <c r="K13" s="18">
        <f t="shared" si="2"/>
        <v>0.15827540923025149</v>
      </c>
      <c r="L13" s="18">
        <f t="shared" si="3"/>
        <v>0.11799606696844539</v>
      </c>
      <c r="M13" s="18">
        <f t="shared" si="4"/>
        <v>0.44300319901456597</v>
      </c>
      <c r="N13" s="15">
        <f t="shared" si="5"/>
        <v>3585696</v>
      </c>
      <c r="O13" s="18">
        <f t="shared" si="6"/>
        <v>0.57375463168993679</v>
      </c>
      <c r="P13" s="19">
        <v>23742414</v>
      </c>
      <c r="Q13" s="19">
        <v>741950.4375</v>
      </c>
      <c r="R13" s="19">
        <v>30595</v>
      </c>
      <c r="S13" s="20">
        <v>13622320</v>
      </c>
      <c r="T13" s="20">
        <v>2673176</v>
      </c>
      <c r="U13" s="20">
        <v>912520</v>
      </c>
      <c r="V13" s="20">
        <v>10036144</v>
      </c>
      <c r="W13" s="21">
        <v>70.031555999999995</v>
      </c>
      <c r="X13" s="21">
        <v>72.565393999999998</v>
      </c>
      <c r="Y13" s="21">
        <v>38.857306000000001</v>
      </c>
      <c r="Z13" s="21">
        <v>42.181359</v>
      </c>
      <c r="AA13" s="21">
        <v>37.871034000000002</v>
      </c>
      <c r="AB13" s="22">
        <v>4727.9399999999996</v>
      </c>
      <c r="AC13" s="22">
        <v>1020.55</v>
      </c>
      <c r="AD13" s="22">
        <v>8.7409999999999997</v>
      </c>
      <c r="AE13" s="22">
        <v>13.36</v>
      </c>
      <c r="AG13" s="17">
        <f t="shared" si="7"/>
        <v>12.877762499999999</v>
      </c>
      <c r="AH13" s="18">
        <f t="shared" si="8"/>
        <v>0.60633007881909651</v>
      </c>
      <c r="AI13" s="18">
        <f t="shared" si="9"/>
        <v>0.1606886738163838</v>
      </c>
      <c r="AJ13" s="18">
        <f t="shared" si="10"/>
        <v>0.12090512076718084</v>
      </c>
      <c r="AK13" s="18">
        <f t="shared" si="11"/>
        <v>0.44562021742952451</v>
      </c>
      <c r="AL13" s="15">
        <f t="shared" si="12"/>
        <v>3640368</v>
      </c>
      <c r="AM13" s="18">
        <f t="shared" si="13"/>
        <v>0.57903138909184593</v>
      </c>
      <c r="AN13" s="19">
        <v>23722859</v>
      </c>
      <c r="AO13" s="19">
        <v>741339.34375</v>
      </c>
      <c r="AP13" s="19">
        <v>30376.21875</v>
      </c>
      <c r="AQ13" s="20">
        <v>13736280</v>
      </c>
      <c r="AR13" s="20">
        <v>2739080</v>
      </c>
      <c r="AS13" s="20">
        <v>901288</v>
      </c>
      <c r="AT13" s="20">
        <v>10095432</v>
      </c>
      <c r="AU13" s="21">
        <v>70.032518999999994</v>
      </c>
      <c r="AV13" s="21">
        <v>72.569333999999998</v>
      </c>
      <c r="AW13" s="21">
        <v>38.859262000000001</v>
      </c>
      <c r="AX13" s="21">
        <v>42.200769000000001</v>
      </c>
      <c r="AY13" s="21">
        <v>37.868372000000001</v>
      </c>
      <c r="AZ13" s="22">
        <v>4700.53</v>
      </c>
      <c r="BA13" s="22">
        <v>1030.43</v>
      </c>
      <c r="BB13" s="22">
        <v>8.1929999999999996</v>
      </c>
      <c r="BC13" s="22">
        <v>14.058999999999999</v>
      </c>
      <c r="BE13" s="23">
        <f t="shared" si="14"/>
        <v>-2.6112501105231278E-4</v>
      </c>
      <c r="BF13" s="23">
        <f t="shared" si="15"/>
        <v>1.7963529270049738E-3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113960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23.088539999999998</v>
      </c>
      <c r="J14" s="48">
        <f t="shared" si="1"/>
        <v>1.0870891801287577</v>
      </c>
      <c r="K14" s="48">
        <f t="shared" si="2"/>
        <v>0.2612410117790106</v>
      </c>
      <c r="L14" s="48">
        <f t="shared" si="3"/>
        <v>0.18695031765689807</v>
      </c>
      <c r="M14" s="48">
        <f t="shared" si="4"/>
        <v>0.82582698077655903</v>
      </c>
      <c r="N14" s="45">
        <f t="shared" si="5"/>
        <v>5918360</v>
      </c>
      <c r="O14" s="48">
        <f t="shared" si="6"/>
        <v>1.0947415212102543</v>
      </c>
      <c r="P14" s="49">
        <v>22496430</v>
      </c>
      <c r="Q14" s="49">
        <v>703013.4375</v>
      </c>
      <c r="R14" s="49">
        <v>8273.3125</v>
      </c>
      <c r="S14" s="50">
        <v>24627776</v>
      </c>
      <c r="T14" s="50">
        <v>4235320</v>
      </c>
      <c r="U14" s="50">
        <v>1683040</v>
      </c>
      <c r="V14" s="50">
        <v>18708936</v>
      </c>
      <c r="W14" s="51">
        <v>71.408906000000002</v>
      </c>
      <c r="X14" s="51">
        <v>74.809208999999996</v>
      </c>
      <c r="Y14" s="51">
        <v>41.186096999999997</v>
      </c>
      <c r="Z14" s="51">
        <v>43.538350000000001</v>
      </c>
      <c r="AA14" s="51">
        <v>39.759259</v>
      </c>
      <c r="AB14" s="52">
        <v>3477.1</v>
      </c>
      <c r="AC14" s="52">
        <v>984.33299999999997</v>
      </c>
      <c r="AD14" s="52">
        <v>8.5050000000000008</v>
      </c>
      <c r="AE14" s="52">
        <v>13.356999999999999</v>
      </c>
      <c r="AG14" s="47">
        <f t="shared" si="7"/>
        <v>23.2589325</v>
      </c>
      <c r="AH14" s="48">
        <f t="shared" si="8"/>
        <v>1.0951118547164576</v>
      </c>
      <c r="AI14" s="48">
        <f t="shared" si="9"/>
        <v>0.26554350164108792</v>
      </c>
      <c r="AJ14" s="48">
        <f t="shared" si="10"/>
        <v>0.19165819641930895</v>
      </c>
      <c r="AK14" s="48">
        <f t="shared" si="11"/>
        <v>0.82954716550218144</v>
      </c>
      <c r="AL14" s="45">
        <f t="shared" si="12"/>
        <v>6015832</v>
      </c>
      <c r="AM14" s="48">
        <f t="shared" si="13"/>
        <v>1.1024636108987511</v>
      </c>
      <c r="AN14" s="49">
        <v>22503716</v>
      </c>
      <c r="AO14" s="49">
        <v>703241.125</v>
      </c>
      <c r="AP14" s="49">
        <v>8268.15625</v>
      </c>
      <c r="AQ14" s="50">
        <v>24809528</v>
      </c>
      <c r="AR14" s="50">
        <v>4341976</v>
      </c>
      <c r="AS14" s="50">
        <v>1673856</v>
      </c>
      <c r="AT14" s="50">
        <v>18793216</v>
      </c>
      <c r="AU14" s="51">
        <v>71.412609000000003</v>
      </c>
      <c r="AV14" s="51">
        <v>74.811031</v>
      </c>
      <c r="AW14" s="51">
        <v>41.190044</v>
      </c>
      <c r="AX14" s="51">
        <v>43.540550000000003</v>
      </c>
      <c r="AY14" s="51">
        <v>39.764521999999999</v>
      </c>
      <c r="AZ14" s="52">
        <v>4677.8100000000004</v>
      </c>
      <c r="BA14" s="52">
        <v>1214.93</v>
      </c>
      <c r="BB14" s="52">
        <v>9.3260000000000005</v>
      </c>
      <c r="BC14" s="52">
        <v>15.877000000000001</v>
      </c>
      <c r="BE14" s="53">
        <f t="shared" si="14"/>
        <v>-1.1142348348052236E-5</v>
      </c>
      <c r="BF14" s="53">
        <f t="shared" si="15"/>
        <v>2.168309705831678E-3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181752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4.4030474999999996</v>
      </c>
      <c r="J15" s="18">
        <f t="shared" si="1"/>
        <v>0.13834756138836785</v>
      </c>
      <c r="K15" s="18">
        <f t="shared" si="2"/>
        <v>7.6947734749063246E-2</v>
      </c>
      <c r="L15" s="18">
        <f t="shared" si="3"/>
        <v>3.8476341767655783E-2</v>
      </c>
      <c r="M15" s="18">
        <f t="shared" si="4"/>
        <v>6.1385687250023697E-2</v>
      </c>
      <c r="N15" s="15">
        <f t="shared" si="5"/>
        <v>2612200</v>
      </c>
      <c r="O15" s="18">
        <f t="shared" si="6"/>
        <v>0.15088475871447907</v>
      </c>
      <c r="P15" s="19">
        <v>31126961</v>
      </c>
      <c r="Q15" s="19">
        <v>972717.53125</v>
      </c>
      <c r="R15" s="19">
        <v>30954.71875</v>
      </c>
      <c r="S15" s="20">
        <v>4696584</v>
      </c>
      <c r="T15" s="20">
        <v>1306184</v>
      </c>
      <c r="U15" s="20">
        <v>1306016</v>
      </c>
      <c r="V15" s="20">
        <v>2083904</v>
      </c>
      <c r="W15" s="21">
        <v>66.004113000000004</v>
      </c>
      <c r="X15" s="21">
        <v>67.779469000000006</v>
      </c>
      <c r="Y15" s="21">
        <v>29.573128000000001</v>
      </c>
      <c r="Z15" s="21">
        <v>43.198422000000001</v>
      </c>
      <c r="AA15" s="21">
        <v>43.441077999999997</v>
      </c>
      <c r="AB15" s="22">
        <v>7144.99</v>
      </c>
      <c r="AC15" s="22">
        <v>887.32500000000005</v>
      </c>
      <c r="AD15" s="22">
        <v>11.439</v>
      </c>
      <c r="AE15" s="22">
        <v>13.093</v>
      </c>
      <c r="AG15" s="17">
        <f t="shared" si="7"/>
        <v>4.4729999999999999</v>
      </c>
      <c r="AH15" s="18">
        <f t="shared" si="8"/>
        <v>0.14054552945208276</v>
      </c>
      <c r="AI15" s="18">
        <f t="shared" si="9"/>
        <v>7.7795391136452827E-2</v>
      </c>
      <c r="AJ15" s="18">
        <f t="shared" si="10"/>
        <v>4.0048406199203142E-2</v>
      </c>
      <c r="AK15" s="18">
        <f t="shared" si="11"/>
        <v>6.273599892634904E-2</v>
      </c>
      <c r="AL15" s="15">
        <f t="shared" si="12"/>
        <v>2640976</v>
      </c>
      <c r="AM15" s="18">
        <f t="shared" si="13"/>
        <v>0.15438408477146223</v>
      </c>
      <c r="AN15" s="19">
        <v>30904740</v>
      </c>
      <c r="AO15" s="19">
        <v>965773.125</v>
      </c>
      <c r="AP15" s="19">
        <v>30604.59375</v>
      </c>
      <c r="AQ15" s="20">
        <v>4771200</v>
      </c>
      <c r="AR15" s="20">
        <v>1359552</v>
      </c>
      <c r="AS15" s="20">
        <v>1281424</v>
      </c>
      <c r="AT15" s="20">
        <v>2129744</v>
      </c>
      <c r="AU15" s="21">
        <v>65.969628</v>
      </c>
      <c r="AV15" s="21">
        <v>67.824433999999997</v>
      </c>
      <c r="AW15" s="21">
        <v>29.568087999999999</v>
      </c>
      <c r="AX15" s="21">
        <v>43.254640999999999</v>
      </c>
      <c r="AY15" s="21">
        <v>43.526806000000001</v>
      </c>
      <c r="AZ15" s="22">
        <v>7041.09</v>
      </c>
      <c r="BA15" s="22">
        <v>967.73900000000003</v>
      </c>
      <c r="BB15" s="22">
        <v>11.851000000000001</v>
      </c>
      <c r="BC15" s="22">
        <v>14.170999999999999</v>
      </c>
      <c r="BE15" s="23">
        <f t="shared" si="14"/>
        <v>-1.3371014911109369E-4</v>
      </c>
      <c r="BF15" s="23">
        <f t="shared" si="15"/>
        <v>-2.6669985282269382E-3</v>
      </c>
      <c r="BG15" s="23">
        <f t="array" ref="BG15">AVERAGE(AL15:AL19/AQ15:AQ19) - AVERAGE(N15:N19/S15:S19)</f>
        <v>6.9892283417583023E-5</v>
      </c>
      <c r="BI15" s="24">
        <f>IF( OR(ISBLANK(N15:N19),ISBLANK(AL15:AL19), ISBLANK(W15:W19),ISBLANK(AU15:AU19)), "·", bdRateExtend( N15:N19,W15:W19, AL15:AL19,AU15:AU19))</f>
        <v>1.9039048514572832E-2</v>
      </c>
      <c r="BJ15" s="24">
        <f>IF( OR(ISBLANK(N15:N19),ISBLANK(AL15:AL19), ISBLANK(X15:X19),ISBLANK(AV15:AV19)), "·", bdRateExtend( N15:N19,X15:X19, AL15:AL19,AV15:AV19))</f>
        <v>1.5723421447239483E-2</v>
      </c>
      <c r="BK15" s="24">
        <f>IF( OR(ISBLANK(V15:V19),ISBLANK(AT15:AT19), ISBLANK(Y15:Y19),ISBLANK(AW15:AW19)), "·", bdRateExtend( V15:V19,Y15:Y19, AT15:AT19,AW15:AW19))</f>
        <v>1.5798125381266237E-2</v>
      </c>
      <c r="BL15" s="24">
        <f>IF( OR(ISBLANK(V15:V19),ISBLANK(AT15:AT19), ISBLANK(Z15:Z19),ISBLANK(AX15:AX19)), "·", bdRateExtend( V15:V19,Z15:Z19, AT15:AT19,AX15:AX19))</f>
        <v>2.308191703336071E-3</v>
      </c>
      <c r="BM15" s="24">
        <f>IF( OR(ISBLANK(V15:V19),ISBLANK(AT15:AT19), ISBLANK(AA15:AA19),ISBLANK(AY15:AY19)), "·", bdRateExtend( V15:V19,AA15:AA19, AT15:AT19,AY15:AY19))</f>
        <v>-1.3262027294344558E-2</v>
      </c>
      <c r="BO15" s="24">
        <f>IF( OR(ISBLANK(S15:S19),ISBLANK(AQ15:AQ19), ISBLANK(W15:W19),ISBLANK(AU15:AU19)), "·", bdRateExtend( S15:S19,W15:W19, AQ15:AQ19,AU15:AU19))</f>
        <v>2.0284821212181336E-2</v>
      </c>
      <c r="BP15" s="24">
        <f>IF( OR(ISBLANK(S15:S19),ISBLANK(AQ15:AQ19), ISBLANK(X15:X19),ISBLANK(AV15:AV19)), "·", bdRateExtend( S15:S19,X15:X19, AQ15:AQ19,AV15:AV19))</f>
        <v>1.090988931251502E-2</v>
      </c>
      <c r="BQ15" s="24">
        <f>IF( OR(ISBLANK(S15:S19),ISBLANK(AQ15:AQ19), ISBLANK(Y15:Y19),ISBLANK(AW15:AW19)), "·", bdRateExtend( S15:S19,Y15:Y19, AQ15:AQ19,AW15:AW19))</f>
        <v>1.5404670195706904E-2</v>
      </c>
      <c r="BR15" s="24">
        <f>IF( OR(ISBLANK(S15:S19),ISBLANK(AQ15:AQ19), ISBLANK(Z15:Z19),ISBLANK(AX15:AX19)), "·", bdRateExtend( S15:S19,Z15:Z19, AQ15:AQ19,AX15:AX19))</f>
        <v>5.9015630267138519E-3</v>
      </c>
      <c r="BS15" s="24">
        <f>IF( OR(ISBLANK(S15:S19),ISBLANK(AQ15:AQ19), ISBLANK(AA15:AA19),ISBLANK(AY15:AY19)), "·", bdRateExtend( S15:S19,AA15:AA19, AQ15:AQ19,AY15:AY19))</f>
        <v>-5.874695470036051E-3</v>
      </c>
      <c r="BU15" s="4">
        <f t="shared" si="16"/>
        <v>74616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7.0890825</v>
      </c>
      <c r="J16" s="28">
        <f t="shared" si="1"/>
        <v>0.22274510469304593</v>
      </c>
      <c r="K16" s="28">
        <f t="shared" si="2"/>
        <v>9.2777488018487717E-2</v>
      </c>
      <c r="L16" s="28">
        <f t="shared" si="3"/>
        <v>5.4306095037080254E-2</v>
      </c>
      <c r="M16" s="28">
        <f t="shared" si="4"/>
        <v>0.12995347728527731</v>
      </c>
      <c r="N16" s="25">
        <f t="shared" si="5"/>
        <v>3149584</v>
      </c>
      <c r="O16" s="28">
        <f t="shared" si="6"/>
        <v>0.22390436088168422</v>
      </c>
      <c r="P16" s="29">
        <v>33771955</v>
      </c>
      <c r="Q16" s="29">
        <v>1055373.59375</v>
      </c>
      <c r="R16" s="29">
        <v>39996.875</v>
      </c>
      <c r="S16" s="30">
        <v>7561688</v>
      </c>
      <c r="T16" s="30">
        <v>1843568</v>
      </c>
      <c r="U16" s="30">
        <v>1306016</v>
      </c>
      <c r="V16" s="30">
        <v>4411624</v>
      </c>
      <c r="W16" s="31">
        <v>67.859421999999995</v>
      </c>
      <c r="X16" s="31">
        <v>69.838588000000001</v>
      </c>
      <c r="Y16" s="31">
        <v>32.039056000000002</v>
      </c>
      <c r="Z16" s="31">
        <v>44.041055999999998</v>
      </c>
      <c r="AA16" s="31">
        <v>44.373041000000001</v>
      </c>
      <c r="AB16" s="32">
        <v>6817.17</v>
      </c>
      <c r="AC16" s="32">
        <v>930.971</v>
      </c>
      <c r="AD16" s="32">
        <v>12.728</v>
      </c>
      <c r="AE16" s="32">
        <v>13.696</v>
      </c>
      <c r="AG16" s="27">
        <f t="shared" si="7"/>
        <v>7.2236399999999996</v>
      </c>
      <c r="AH16" s="28">
        <f t="shared" si="8"/>
        <v>0.22697301774452114</v>
      </c>
      <c r="AI16" s="28">
        <f t="shared" si="9"/>
        <v>9.4235259053347856E-2</v>
      </c>
      <c r="AJ16" s="28">
        <f t="shared" si="10"/>
        <v>5.6488274116098171E-2</v>
      </c>
      <c r="AK16" s="28">
        <f t="shared" si="11"/>
        <v>0.13272361930189239</v>
      </c>
      <c r="AL16" s="25">
        <f t="shared" si="12"/>
        <v>3199072</v>
      </c>
      <c r="AM16" s="28">
        <f t="shared" si="13"/>
        <v>0.22994540583599704</v>
      </c>
      <c r="AN16" s="29">
        <v>33508893</v>
      </c>
      <c r="AO16" s="29">
        <v>1047152.90625</v>
      </c>
      <c r="AP16" s="29">
        <v>38737.96875</v>
      </c>
      <c r="AQ16" s="30">
        <v>7705216</v>
      </c>
      <c r="AR16" s="30">
        <v>1917648</v>
      </c>
      <c r="AS16" s="30">
        <v>1281424</v>
      </c>
      <c r="AT16" s="30">
        <v>4505664</v>
      </c>
      <c r="AU16" s="31">
        <v>67.827230999999998</v>
      </c>
      <c r="AV16" s="31">
        <v>69.865883999999994</v>
      </c>
      <c r="AW16" s="31">
        <v>32.036512999999999</v>
      </c>
      <c r="AX16" s="31">
        <v>44.048147</v>
      </c>
      <c r="AY16" s="31">
        <v>44.436681</v>
      </c>
      <c r="AZ16" s="32">
        <v>5104.53</v>
      </c>
      <c r="BA16" s="32">
        <v>840.69600000000003</v>
      </c>
      <c r="BB16" s="32">
        <v>10.557</v>
      </c>
      <c r="BC16" s="32">
        <v>12.451000000000001</v>
      </c>
      <c r="BE16" s="33">
        <f t="shared" si="14"/>
        <v>-9.0469699878648752E-4</v>
      </c>
      <c r="BF16" s="33">
        <f t="shared" si="15"/>
        <v>-1.3359894552642526E-3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143528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12.0601425</v>
      </c>
      <c r="J17" s="18">
        <f t="shared" si="1"/>
        <v>0.37894011020122176</v>
      </c>
      <c r="K17" s="18">
        <f t="shared" si="2"/>
        <v>0.11565360593604554</v>
      </c>
      <c r="L17" s="18">
        <f t="shared" si="3"/>
        <v>7.7182212954638077E-2</v>
      </c>
      <c r="M17" s="18">
        <f t="shared" si="4"/>
        <v>0.26327236487589534</v>
      </c>
      <c r="N17" s="15">
        <f t="shared" si="5"/>
        <v>3926176</v>
      </c>
      <c r="O17" s="18">
        <f t="shared" si="6"/>
        <v>0.37772166177010424</v>
      </c>
      <c r="P17" s="19">
        <v>34057226</v>
      </c>
      <c r="Q17" s="19">
        <v>1064288.3125</v>
      </c>
      <c r="R17" s="19">
        <v>41259.5</v>
      </c>
      <c r="S17" s="20">
        <v>12864152</v>
      </c>
      <c r="T17" s="20">
        <v>2620160</v>
      </c>
      <c r="U17" s="20">
        <v>1306016</v>
      </c>
      <c r="V17" s="20">
        <v>8937496</v>
      </c>
      <c r="W17" s="21">
        <v>69.260086999999999</v>
      </c>
      <c r="X17" s="21">
        <v>71.648612</v>
      </c>
      <c r="Y17" s="21">
        <v>34.605716000000001</v>
      </c>
      <c r="Z17" s="21">
        <v>44.834133999999999</v>
      </c>
      <c r="AA17" s="21">
        <v>45.275283999999999</v>
      </c>
      <c r="AB17" s="22">
        <v>5742.07</v>
      </c>
      <c r="AC17" s="22">
        <v>886.149</v>
      </c>
      <c r="AD17" s="22">
        <v>11.688000000000001</v>
      </c>
      <c r="AE17" s="22">
        <v>12.574999999999999</v>
      </c>
      <c r="AG17" s="17">
        <f t="shared" si="7"/>
        <v>12.234037499999999</v>
      </c>
      <c r="AH17" s="18">
        <f t="shared" si="8"/>
        <v>0.38440404153233509</v>
      </c>
      <c r="AI17" s="18">
        <f t="shared" si="9"/>
        <v>0.11759140923699202</v>
      </c>
      <c r="AJ17" s="18">
        <f t="shared" si="10"/>
        <v>7.9844424299742325E-2</v>
      </c>
      <c r="AK17" s="18">
        <f t="shared" si="11"/>
        <v>0.26679849290606222</v>
      </c>
      <c r="AL17" s="15">
        <f t="shared" si="12"/>
        <v>3991960</v>
      </c>
      <c r="AM17" s="18">
        <f t="shared" si="13"/>
        <v>0.38290418566312606</v>
      </c>
      <c r="AN17" s="19">
        <v>34080693</v>
      </c>
      <c r="AO17" s="19">
        <v>1065021.65625</v>
      </c>
      <c r="AP17" s="19">
        <v>41025.71875</v>
      </c>
      <c r="AQ17" s="20">
        <v>13049640</v>
      </c>
      <c r="AR17" s="20">
        <v>2710536</v>
      </c>
      <c r="AS17" s="20">
        <v>1281424</v>
      </c>
      <c r="AT17" s="20">
        <v>9057200</v>
      </c>
      <c r="AU17" s="21">
        <v>69.264027999999996</v>
      </c>
      <c r="AV17" s="21">
        <v>71.666833999999994</v>
      </c>
      <c r="AW17" s="21">
        <v>34.604422</v>
      </c>
      <c r="AX17" s="21">
        <v>44.884072000000003</v>
      </c>
      <c r="AY17" s="21">
        <v>45.332878000000001</v>
      </c>
      <c r="AZ17" s="22">
        <v>7149.25</v>
      </c>
      <c r="BA17" s="22">
        <v>1142.79</v>
      </c>
      <c r="BB17" s="22">
        <v>12.789</v>
      </c>
      <c r="BC17" s="22">
        <v>16.091000000000001</v>
      </c>
      <c r="BE17" s="23">
        <f t="shared" si="14"/>
        <v>-2.4620245751432596E-4</v>
      </c>
      <c r="BF17" s="23">
        <f t="shared" si="15"/>
        <v>7.0289537818452041E-4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185488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21.963817500000001</v>
      </c>
      <c r="J18" s="28">
        <f t="shared" si="1"/>
        <v>0.6901221460600091</v>
      </c>
      <c r="K18" s="28">
        <f t="shared" si="2"/>
        <v>0.15423646443628405</v>
      </c>
      <c r="L18" s="28">
        <f t="shared" si="3"/>
        <v>0.11576507145487658</v>
      </c>
      <c r="M18" s="28">
        <f t="shared" si="4"/>
        <v>0.53587154223444411</v>
      </c>
      <c r="N18" s="25">
        <f t="shared" si="5"/>
        <v>5235976</v>
      </c>
      <c r="O18" s="28">
        <f t="shared" si="6"/>
        <v>0.65836052490517549</v>
      </c>
      <c r="P18" s="29">
        <v>35585475</v>
      </c>
      <c r="Q18" s="29">
        <v>1112046.09375</v>
      </c>
      <c r="R18" s="29">
        <v>46814.3125</v>
      </c>
      <c r="S18" s="30">
        <v>23428072</v>
      </c>
      <c r="T18" s="30">
        <v>3929960</v>
      </c>
      <c r="U18" s="30">
        <v>1306016</v>
      </c>
      <c r="V18" s="30">
        <v>18191616</v>
      </c>
      <c r="W18" s="31">
        <v>70.364344000000003</v>
      </c>
      <c r="X18" s="31">
        <v>72.976409000000004</v>
      </c>
      <c r="Y18" s="31">
        <v>37.267677999999997</v>
      </c>
      <c r="Z18" s="31">
        <v>46.198950000000004</v>
      </c>
      <c r="AA18" s="31">
        <v>46.691428000000002</v>
      </c>
      <c r="AB18" s="32">
        <v>5255.26</v>
      </c>
      <c r="AC18" s="32">
        <v>1041.81</v>
      </c>
      <c r="AD18" s="32">
        <v>11.901</v>
      </c>
      <c r="AE18" s="32">
        <v>13.347</v>
      </c>
      <c r="AG18" s="27">
        <f t="shared" si="7"/>
        <v>22.231237499999999</v>
      </c>
      <c r="AH18" s="28">
        <f t="shared" si="8"/>
        <v>0.69852471379666814</v>
      </c>
      <c r="AI18" s="28">
        <f t="shared" si="9"/>
        <v>0.15714399418541181</v>
      </c>
      <c r="AJ18" s="28">
        <f t="shared" si="10"/>
        <v>0.11939700924816213</v>
      </c>
      <c r="AK18" s="28">
        <f t="shared" si="11"/>
        <v>0.54136658022197548</v>
      </c>
      <c r="AL18" s="25">
        <f t="shared" si="12"/>
        <v>5334680</v>
      </c>
      <c r="AM18" s="28">
        <f t="shared" si="13"/>
        <v>0.66643971730386964</v>
      </c>
      <c r="AN18" s="29">
        <v>35582093</v>
      </c>
      <c r="AO18" s="29">
        <v>1111940.40625</v>
      </c>
      <c r="AP18" s="29">
        <v>46642.40625</v>
      </c>
      <c r="AQ18" s="30">
        <v>23713320</v>
      </c>
      <c r="AR18" s="30">
        <v>4053256</v>
      </c>
      <c r="AS18" s="30">
        <v>1281424</v>
      </c>
      <c r="AT18" s="30">
        <v>18378160</v>
      </c>
      <c r="AU18" s="31">
        <v>70.361975000000001</v>
      </c>
      <c r="AV18" s="31">
        <v>72.977984000000006</v>
      </c>
      <c r="AW18" s="31">
        <v>37.268500000000003</v>
      </c>
      <c r="AX18" s="31">
        <v>46.199488000000002</v>
      </c>
      <c r="AY18" s="31">
        <v>46.717806000000003</v>
      </c>
      <c r="AZ18" s="32">
        <v>6991.43</v>
      </c>
      <c r="BA18" s="32">
        <v>1329.7</v>
      </c>
      <c r="BB18" s="32">
        <v>13.515000000000001</v>
      </c>
      <c r="BC18" s="32">
        <v>17.033999999999999</v>
      </c>
      <c r="BE18" s="33">
        <f t="shared" si="14"/>
        <v>-1.5059896563059116E-4</v>
      </c>
      <c r="BF18" s="33">
        <f t="shared" si="15"/>
        <v>1.4740021163210104E-3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285248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39.563760000000002</v>
      </c>
      <c r="J19" s="38">
        <f t="shared" si="1"/>
        <v>1.2431275645685522</v>
      </c>
      <c r="K19" s="38">
        <f t="shared" si="2"/>
        <v>0.24930948230452485</v>
      </c>
      <c r="L19" s="38">
        <f t="shared" si="3"/>
        <v>0.1783691027479373</v>
      </c>
      <c r="M19" s="38">
        <f t="shared" si="4"/>
        <v>0.99380394287474638</v>
      </c>
      <c r="N19" s="35">
        <f t="shared" si="5"/>
        <v>8463488</v>
      </c>
      <c r="O19" s="38">
        <f t="shared" si="6"/>
        <v>1.2485891022649187</v>
      </c>
      <c r="P19" s="39">
        <v>33799225</v>
      </c>
      <c r="Q19" s="39">
        <v>1056225.78125</v>
      </c>
      <c r="R19" s="39">
        <v>12642.71875</v>
      </c>
      <c r="S19" s="40">
        <v>42201344</v>
      </c>
      <c r="T19" s="40">
        <v>6055224</v>
      </c>
      <c r="U19" s="40">
        <v>2408264</v>
      </c>
      <c r="V19" s="40">
        <v>33737376</v>
      </c>
      <c r="W19" s="41">
        <v>71.738059000000007</v>
      </c>
      <c r="X19" s="41">
        <v>75.168780999999996</v>
      </c>
      <c r="Y19" s="41">
        <v>39.364283999999998</v>
      </c>
      <c r="Z19" s="41">
        <v>47.980375000000002</v>
      </c>
      <c r="AA19" s="41">
        <v>48.539955999999997</v>
      </c>
      <c r="AB19" s="42">
        <v>5140.05</v>
      </c>
      <c r="AC19" s="42">
        <v>1212.82</v>
      </c>
      <c r="AD19" s="42">
        <v>11.544</v>
      </c>
      <c r="AE19" s="42">
        <v>14.055</v>
      </c>
      <c r="AG19" s="37">
        <f t="shared" si="7"/>
        <v>40.079392499999997</v>
      </c>
      <c r="AH19" s="38">
        <f t="shared" si="8"/>
        <v>1.2593291837760641</v>
      </c>
      <c r="AI19" s="38">
        <f t="shared" si="9"/>
        <v>0.25529845629093539</v>
      </c>
      <c r="AJ19" s="38">
        <f t="shared" si="10"/>
        <v>0.18498350905353933</v>
      </c>
      <c r="AK19" s="38">
        <f t="shared" si="11"/>
        <v>1.0040165880958478</v>
      </c>
      <c r="AL19" s="35">
        <f t="shared" si="12"/>
        <v>8666800</v>
      </c>
      <c r="AM19" s="38">
        <f t="shared" si="13"/>
        <v>1.2648483170859952</v>
      </c>
      <c r="AN19" s="39">
        <v>33799588</v>
      </c>
      <c r="AO19" s="39">
        <v>1056237.125</v>
      </c>
      <c r="AP19" s="39">
        <v>12656.25</v>
      </c>
      <c r="AQ19" s="40">
        <v>42751352</v>
      </c>
      <c r="AR19" s="40">
        <v>6279768</v>
      </c>
      <c r="AS19" s="40">
        <v>2387032</v>
      </c>
      <c r="AT19" s="40">
        <v>34084072</v>
      </c>
      <c r="AU19" s="41">
        <v>71.729691000000003</v>
      </c>
      <c r="AV19" s="41">
        <v>75.157955999999999</v>
      </c>
      <c r="AW19" s="41">
        <v>39.365900000000003</v>
      </c>
      <c r="AX19" s="41">
        <v>47.984419000000003</v>
      </c>
      <c r="AY19" s="41">
        <v>48.553452999999998</v>
      </c>
      <c r="AZ19" s="42">
        <v>6930.72</v>
      </c>
      <c r="BA19" s="42">
        <v>1634.32</v>
      </c>
      <c r="BB19" s="42">
        <v>13.465999999999999</v>
      </c>
      <c r="BC19" s="42">
        <v>19.227</v>
      </c>
      <c r="BE19" s="43">
        <f t="shared" si="14"/>
        <v>1.2682255015258881E-5</v>
      </c>
      <c r="BF19" s="43">
        <f t="shared" si="15"/>
        <v>2.1755519060734918E-3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550008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5.2680125000000002</v>
      </c>
      <c r="J20" s="28">
        <f t="shared" si="1"/>
        <v>0.10467449142481958</v>
      </c>
      <c r="K20" s="28">
        <f t="shared" si="2"/>
        <v>5.9153465314719572E-2</v>
      </c>
      <c r="L20" s="28">
        <f t="shared" si="3"/>
        <v>2.8262592044252088E-2</v>
      </c>
      <c r="M20" s="28">
        <f t="shared" si="4"/>
        <v>4.5506123740644999E-2</v>
      </c>
      <c r="N20" s="25">
        <f t="shared" si="5"/>
        <v>1905312</v>
      </c>
      <c r="O20" s="28">
        <f t="shared" si="6"/>
        <v>0.110225172317146</v>
      </c>
      <c r="P20" s="29">
        <v>30587641</v>
      </c>
      <c r="Q20" s="29">
        <v>955863.78125</v>
      </c>
      <c r="R20" s="29">
        <v>27495.84375</v>
      </c>
      <c r="S20" s="30">
        <v>3371528</v>
      </c>
      <c r="T20" s="30">
        <v>910328</v>
      </c>
      <c r="U20" s="30">
        <v>994984</v>
      </c>
      <c r="V20" s="30">
        <v>1465736</v>
      </c>
      <c r="W20" s="31">
        <v>67.020144000000002</v>
      </c>
      <c r="X20" s="31">
        <v>68.653322000000003</v>
      </c>
      <c r="Y20" s="31">
        <v>30.842065999999999</v>
      </c>
      <c r="Z20" s="31">
        <v>39.512447000000002</v>
      </c>
      <c r="AA20" s="31">
        <v>38.325375000000001</v>
      </c>
      <c r="AB20" s="32">
        <v>6925.22</v>
      </c>
      <c r="AC20" s="32">
        <v>876.36699999999996</v>
      </c>
      <c r="AD20" s="32">
        <v>10.752000000000001</v>
      </c>
      <c r="AE20" s="32">
        <v>12.474</v>
      </c>
      <c r="AG20" s="27">
        <f t="shared" si="7"/>
        <v>5.2940500000000004</v>
      </c>
      <c r="AH20" s="28">
        <f t="shared" si="8"/>
        <v>0.10519185201773271</v>
      </c>
      <c r="AI20" s="28">
        <f t="shared" si="9"/>
        <v>5.9048155237237492E-2</v>
      </c>
      <c r="AJ20" s="28">
        <f t="shared" si="10"/>
        <v>2.8755612100388694E-2</v>
      </c>
      <c r="AK20" s="28">
        <f t="shared" si="11"/>
        <v>4.6128794411040196E-2</v>
      </c>
      <c r="AL20" s="25">
        <f t="shared" si="12"/>
        <v>1901920</v>
      </c>
      <c r="AM20" s="28">
        <f t="shared" si="13"/>
        <v>0.1115397753055187</v>
      </c>
      <c r="AN20" s="29">
        <v>30376536</v>
      </c>
      <c r="AO20" s="29">
        <v>949266.75</v>
      </c>
      <c r="AP20" s="29">
        <v>26821.40625</v>
      </c>
      <c r="AQ20" s="30">
        <v>3388192</v>
      </c>
      <c r="AR20" s="30">
        <v>926208</v>
      </c>
      <c r="AS20" s="30">
        <v>975712</v>
      </c>
      <c r="AT20" s="30">
        <v>1485792</v>
      </c>
      <c r="AU20" s="31">
        <v>67.108824999999996</v>
      </c>
      <c r="AV20" s="31">
        <v>68.764990999999995</v>
      </c>
      <c r="AW20" s="31">
        <v>30.847937999999999</v>
      </c>
      <c r="AX20" s="31">
        <v>39.547359</v>
      </c>
      <c r="AY20" s="31">
        <v>38.378616000000001</v>
      </c>
      <c r="AZ20" s="32">
        <v>5115.47</v>
      </c>
      <c r="BA20" s="32">
        <v>675.61599999999999</v>
      </c>
      <c r="BB20" s="32">
        <v>8.93</v>
      </c>
      <c r="BC20" s="32">
        <v>9.8970000000000002</v>
      </c>
      <c r="BE20" s="33">
        <f t="shared" si="14"/>
        <v>-5.1057406469972449E-4</v>
      </c>
      <c r="BF20" s="33">
        <f t="shared" si="15"/>
        <v>-3.7805208507230015E-3</v>
      </c>
      <c r="BG20" s="33">
        <f t="array" ref="BG20">AVERAGE(AL20:AL24/AQ20:AQ24) - AVERAGE(N20:N24/S20:S24)</f>
        <v>-6.0958030516161665E-4</v>
      </c>
      <c r="BI20" s="34">
        <f>IF( OR(ISBLANK(N20:N24),ISBLANK(AL20:AL24), ISBLANK(W20:W24),ISBLANK(AU20:AU24)), "·", bdRateExtend( N20:N24,W20:W24, AL20:AL24,AU20:AU24))</f>
        <v>-4.6422350338015672E-3</v>
      </c>
      <c r="BJ20" s="34">
        <f>IF( OR(ISBLANK(N20:N24),ISBLANK(AL20:AL24), ISBLANK(X20:X24),ISBLANK(AV20:AV24)), "·", bdRateExtend( N20:N24,X20:X24, AL20:AL24,AV20:AV24))</f>
        <v>-3.5127220018680294E-3</v>
      </c>
      <c r="BK20" s="34">
        <f>IF( OR(ISBLANK(V20:V24),ISBLANK(AT20:AT24), ISBLANK(Y20:Y24),ISBLANK(AW20:AW24)), "·", bdRateExtend( V20:V24,Y20:Y24, AT20:AT24,AW20:AW24))</f>
        <v>9.0875149787095211E-3</v>
      </c>
      <c r="BL20" s="34">
        <f>IF( OR(ISBLANK(V20:V24),ISBLANK(AT20:AT24), ISBLANK(Z20:Z24),ISBLANK(AX20:AX24)), "·", bdRateExtend( V20:V24,Z20:Z24, AT20:AT24,AX20:AX24))</f>
        <v>-5.4582557569434753E-3</v>
      </c>
      <c r="BM20" s="34">
        <f>IF( OR(ISBLANK(V20:V24),ISBLANK(AT20:AT24), ISBLANK(AA20:AA24),ISBLANK(AY20:AY24)), "·", bdRateExtend( V20:V24,AA20:AA24, AT20:AT24,AY20:AY24))</f>
        <v>-3.9998889859501618E-3</v>
      </c>
      <c r="BO20" s="34">
        <f>IF( OR(ISBLANK(S20:S24),ISBLANK(AQ20:AQ24), ISBLANK(W20:W24),ISBLANK(AU20:AU24)), "·", bdRateExtend( S20:S24,W20:W24, AQ20:AQ24,AU20:AU24))</f>
        <v>-1.4101120684470669E-2</v>
      </c>
      <c r="BP20" s="34">
        <f>IF( OR(ISBLANK(S20:S24),ISBLANK(AQ20:AQ24), ISBLANK(X20:X24),ISBLANK(AV20:AV24)), "·", bdRateExtend( S20:S24,X20:X24, AQ20:AQ24,AV20:AV24))</f>
        <v>-1.2412024007661171E-2</v>
      </c>
      <c r="BQ20" s="34">
        <f>IF( OR(ISBLANK(S20:S24),ISBLANK(AQ20:AQ24), ISBLANK(Y20:Y24),ISBLANK(AW20:AW24)), "·", bdRateExtend( S20:S24,Y20:Y24, AQ20:AQ24,AW20:AW24))</f>
        <v>7.4417716578645265E-3</v>
      </c>
      <c r="BR20" s="34">
        <f>IF( OR(ISBLANK(S20:S24),ISBLANK(AQ20:AQ24), ISBLANK(Z20:Z24),ISBLANK(AX20:AX24)), "·", bdRateExtend( S20:S24,Z20:Z24, AQ20:AQ24,AX20:AX24))</f>
        <v>-3.2043113081816621E-3</v>
      </c>
      <c r="BS20" s="34">
        <f>IF( OR(ISBLANK(S20:S24),ISBLANK(AQ20:AQ24), ISBLANK(AA20:AA24),ISBLANK(AY20:AY24)), "·", bdRateExtend( S20:S24,AA20:AA24, AQ20:AQ24,AY20:AY24))</f>
        <v>-2.0449938598098294E-3</v>
      </c>
      <c r="BU20" s="4">
        <f t="shared" si="16"/>
        <v>16664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8.3442249999999998</v>
      </c>
      <c r="J21" s="18">
        <f t="shared" si="1"/>
        <v>0.16579829835431581</v>
      </c>
      <c r="K21" s="18">
        <f t="shared" si="2"/>
        <v>6.9731167153886178E-2</v>
      </c>
      <c r="L21" s="18">
        <f t="shared" si="3"/>
        <v>3.8840293883418704E-2</v>
      </c>
      <c r="M21" s="18">
        <f t="shared" si="4"/>
        <v>9.6052228830974626E-2</v>
      </c>
      <c r="N21" s="15">
        <f t="shared" si="5"/>
        <v>2246016</v>
      </c>
      <c r="O21" s="18">
        <f t="shared" si="6"/>
        <v>0.16868822520554549</v>
      </c>
      <c r="P21" s="19">
        <v>31657835</v>
      </c>
      <c r="Q21" s="19">
        <v>989307.34375</v>
      </c>
      <c r="R21" s="19">
        <v>32532.3125</v>
      </c>
      <c r="S21" s="20">
        <v>5340304</v>
      </c>
      <c r="T21" s="20">
        <v>1251032</v>
      </c>
      <c r="U21" s="20">
        <v>994984</v>
      </c>
      <c r="V21" s="20">
        <v>3093808</v>
      </c>
      <c r="W21" s="21">
        <v>68.592930999999993</v>
      </c>
      <c r="X21" s="21">
        <v>70.641109</v>
      </c>
      <c r="Y21" s="21">
        <v>32.755375000000001</v>
      </c>
      <c r="Z21" s="21">
        <v>40.610008999999998</v>
      </c>
      <c r="AA21" s="21">
        <v>39.613965999999998</v>
      </c>
      <c r="AB21" s="22">
        <v>6930.02</v>
      </c>
      <c r="AC21" s="22">
        <v>947.12400000000002</v>
      </c>
      <c r="AD21" s="22">
        <v>10.76</v>
      </c>
      <c r="AE21" s="22">
        <v>13.257999999999999</v>
      </c>
      <c r="AG21" s="17">
        <f t="shared" si="7"/>
        <v>8.3861000000000008</v>
      </c>
      <c r="AH21" s="18">
        <f t="shared" si="8"/>
        <v>0.16663034731555393</v>
      </c>
      <c r="AI21" s="18">
        <f t="shared" si="9"/>
        <v>6.993036215893482E-2</v>
      </c>
      <c r="AJ21" s="18">
        <f t="shared" si="10"/>
        <v>3.9637819022086025E-2</v>
      </c>
      <c r="AK21" s="18">
        <f t="shared" si="11"/>
        <v>9.6685082787164076E-2</v>
      </c>
      <c r="AL21" s="15">
        <f t="shared" si="12"/>
        <v>2252432</v>
      </c>
      <c r="AM21" s="18">
        <f t="shared" si="13"/>
        <v>0.17015225811638601</v>
      </c>
      <c r="AN21" s="19">
        <v>31542949</v>
      </c>
      <c r="AO21" s="19">
        <v>985717.15625</v>
      </c>
      <c r="AP21" s="19">
        <v>32280.0625</v>
      </c>
      <c r="AQ21" s="20">
        <v>5367104</v>
      </c>
      <c r="AR21" s="20">
        <v>1276720</v>
      </c>
      <c r="AS21" s="20">
        <v>975712</v>
      </c>
      <c r="AT21" s="20">
        <v>3114192</v>
      </c>
      <c r="AU21" s="21">
        <v>68.660206000000002</v>
      </c>
      <c r="AV21" s="21">
        <v>70.722278000000003</v>
      </c>
      <c r="AW21" s="21">
        <v>32.746225000000003</v>
      </c>
      <c r="AX21" s="21">
        <v>40.643062</v>
      </c>
      <c r="AY21" s="21">
        <v>39.639418999999997</v>
      </c>
      <c r="AZ21" s="22">
        <v>6821.05</v>
      </c>
      <c r="BA21" s="22">
        <v>935.02599999999995</v>
      </c>
      <c r="BB21" s="22">
        <v>10.054</v>
      </c>
      <c r="BC21" s="22">
        <v>12.599</v>
      </c>
      <c r="BE21" s="23">
        <f t="shared" si="14"/>
        <v>-1.3613492280705602E-4</v>
      </c>
      <c r="BF21" s="23">
        <f t="shared" si="15"/>
        <v>-9.0467756007589495E-4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26800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13.9256875</v>
      </c>
      <c r="J22" s="28">
        <f t="shared" si="1"/>
        <v>0.2767009867200329</v>
      </c>
      <c r="K22" s="28">
        <f t="shared" si="2"/>
        <v>8.6265097691396328E-2</v>
      </c>
      <c r="L22" s="28">
        <f t="shared" si="3"/>
        <v>5.5374224420928847E-2</v>
      </c>
      <c r="M22" s="28">
        <f t="shared" si="4"/>
        <v>0.19042098665918153</v>
      </c>
      <c r="N22" s="25">
        <f t="shared" si="5"/>
        <v>2778568</v>
      </c>
      <c r="O22" s="28">
        <f t="shared" si="6"/>
        <v>0.27010483775037902</v>
      </c>
      <c r="P22" s="29">
        <v>32996225</v>
      </c>
      <c r="Q22" s="29">
        <v>1031132.03125</v>
      </c>
      <c r="R22" s="29">
        <v>34910.03125</v>
      </c>
      <c r="S22" s="30">
        <v>8912440</v>
      </c>
      <c r="T22" s="30">
        <v>1783584</v>
      </c>
      <c r="U22" s="30">
        <v>994984</v>
      </c>
      <c r="V22" s="30">
        <v>6133392</v>
      </c>
      <c r="W22" s="31">
        <v>69.795838000000003</v>
      </c>
      <c r="X22" s="31">
        <v>72.192380999999997</v>
      </c>
      <c r="Y22" s="31">
        <v>34.611944000000001</v>
      </c>
      <c r="Z22" s="31">
        <v>41.691915999999999</v>
      </c>
      <c r="AA22" s="31">
        <v>40.689765999999999</v>
      </c>
      <c r="AB22" s="32">
        <v>4916.84</v>
      </c>
      <c r="AC22" s="32">
        <v>819.11699999999996</v>
      </c>
      <c r="AD22" s="32">
        <v>9.4819999999999993</v>
      </c>
      <c r="AE22" s="32">
        <v>11.205</v>
      </c>
      <c r="AG22" s="27">
        <f t="shared" si="7"/>
        <v>13.984825000000001</v>
      </c>
      <c r="AH22" s="28">
        <f t="shared" si="8"/>
        <v>0.27787603855156046</v>
      </c>
      <c r="AI22" s="28">
        <f t="shared" si="9"/>
        <v>8.6538307798071534E-2</v>
      </c>
      <c r="AJ22" s="28">
        <f t="shared" si="10"/>
        <v>5.6245764661222726E-2</v>
      </c>
      <c r="AK22" s="28">
        <f t="shared" si="11"/>
        <v>0.19132282838403394</v>
      </c>
      <c r="AL22" s="25">
        <f t="shared" si="12"/>
        <v>2787368</v>
      </c>
      <c r="AM22" s="28">
        <f t="shared" si="13"/>
        <v>0.27103875151031104</v>
      </c>
      <c r="AN22" s="29">
        <v>33022171</v>
      </c>
      <c r="AO22" s="29">
        <v>1031942.84375</v>
      </c>
      <c r="AP22" s="29">
        <v>34952.15625</v>
      </c>
      <c r="AQ22" s="30">
        <v>8950288</v>
      </c>
      <c r="AR22" s="30">
        <v>1811656</v>
      </c>
      <c r="AS22" s="30">
        <v>975712</v>
      </c>
      <c r="AT22" s="30">
        <v>6162440</v>
      </c>
      <c r="AU22" s="31">
        <v>69.826172</v>
      </c>
      <c r="AV22" s="31">
        <v>72.227346999999995</v>
      </c>
      <c r="AW22" s="31">
        <v>34.611880999999997</v>
      </c>
      <c r="AX22" s="31">
        <v>41.697280999999997</v>
      </c>
      <c r="AY22" s="31">
        <v>40.690497000000001</v>
      </c>
      <c r="AZ22" s="32">
        <v>6666.26</v>
      </c>
      <c r="BA22" s="32">
        <v>1013.31</v>
      </c>
      <c r="BB22" s="32">
        <v>10.57</v>
      </c>
      <c r="BC22" s="32">
        <v>13.576000000000001</v>
      </c>
      <c r="BE22" s="33">
        <f t="shared" si="14"/>
        <v>1.4219888507686906E-5</v>
      </c>
      <c r="BF22" s="33">
        <f t="shared" si="15"/>
        <v>-3.3514023712394314E-4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37848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24.380749999999999</v>
      </c>
      <c r="J23" s="18">
        <f t="shared" si="1"/>
        <v>0.48444125878700361</v>
      </c>
      <c r="K23" s="18">
        <f t="shared" si="2"/>
        <v>0.11453365068343042</v>
      </c>
      <c r="L23" s="18">
        <f t="shared" si="3"/>
        <v>8.3642777412962943E-2</v>
      </c>
      <c r="M23" s="18">
        <f t="shared" si="4"/>
        <v>0.3698927057341182</v>
      </c>
      <c r="N23" s="15">
        <f t="shared" si="5"/>
        <v>3689088</v>
      </c>
      <c r="O23" s="18">
        <f t="shared" si="6"/>
        <v>0.47261353740253736</v>
      </c>
      <c r="P23" s="19">
        <v>33015728</v>
      </c>
      <c r="Q23" s="19">
        <v>1031741.5</v>
      </c>
      <c r="R23" s="19">
        <v>36525.53125</v>
      </c>
      <c r="S23" s="20">
        <v>15603680</v>
      </c>
      <c r="T23" s="20">
        <v>2694104</v>
      </c>
      <c r="U23" s="20">
        <v>994984</v>
      </c>
      <c r="V23" s="20">
        <v>11914112</v>
      </c>
      <c r="W23" s="21">
        <v>70.797381000000001</v>
      </c>
      <c r="X23" s="21">
        <v>73.509150000000005</v>
      </c>
      <c r="Y23" s="21">
        <v>36.296261999999999</v>
      </c>
      <c r="Z23" s="21">
        <v>42.884687</v>
      </c>
      <c r="AA23" s="21">
        <v>41.799809000000003</v>
      </c>
      <c r="AB23" s="22">
        <v>6869.06</v>
      </c>
      <c r="AC23" s="22">
        <v>1145.3800000000001</v>
      </c>
      <c r="AD23" s="22">
        <v>10.342000000000001</v>
      </c>
      <c r="AE23" s="22">
        <v>13.842000000000001</v>
      </c>
      <c r="AG23" s="17">
        <f t="shared" si="7"/>
        <v>24.437024999999998</v>
      </c>
      <c r="AH23" s="18">
        <f t="shared" si="8"/>
        <v>0.48555943324177792</v>
      </c>
      <c r="AI23" s="18">
        <f t="shared" si="9"/>
        <v>0.11520624429149991</v>
      </c>
      <c r="AJ23" s="18">
        <f t="shared" si="10"/>
        <v>8.4913701154651106E-2</v>
      </c>
      <c r="AK23" s="18">
        <f t="shared" si="11"/>
        <v>0.37033828658082302</v>
      </c>
      <c r="AL23" s="15">
        <f t="shared" si="12"/>
        <v>3710752</v>
      </c>
      <c r="AM23" s="18">
        <f t="shared" si="13"/>
        <v>0.47486971875172784</v>
      </c>
      <c r="AN23" s="19">
        <v>32934709</v>
      </c>
      <c r="AO23" s="19">
        <v>1029209.65625</v>
      </c>
      <c r="AP23" s="19">
        <v>36478.8125</v>
      </c>
      <c r="AQ23" s="20">
        <v>15639696</v>
      </c>
      <c r="AR23" s="20">
        <v>2735040</v>
      </c>
      <c r="AS23" s="20">
        <v>975712</v>
      </c>
      <c r="AT23" s="20">
        <v>11928464</v>
      </c>
      <c r="AU23" s="21">
        <v>70.835519000000005</v>
      </c>
      <c r="AV23" s="21">
        <v>73.560028000000003</v>
      </c>
      <c r="AW23" s="21">
        <v>36.271500000000003</v>
      </c>
      <c r="AX23" s="21">
        <v>42.891002999999998</v>
      </c>
      <c r="AY23" s="21">
        <v>41.804577999999999</v>
      </c>
      <c r="AZ23" s="22">
        <v>6698.43</v>
      </c>
      <c r="BA23" s="22">
        <v>1144.01</v>
      </c>
      <c r="BB23" s="22">
        <v>10.49</v>
      </c>
      <c r="BC23" s="22">
        <v>14.379</v>
      </c>
      <c r="BE23" s="23">
        <f t="shared" si="14"/>
        <v>4.1695234002610271E-5</v>
      </c>
      <c r="BF23" s="23">
        <f t="shared" si="15"/>
        <v>8.4074172539166936E-4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36016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40.628900000000002</v>
      </c>
      <c r="J24" s="48">
        <f t="shared" si="1"/>
        <v>0.80728917113424692</v>
      </c>
      <c r="K24" s="48">
        <f t="shared" si="2"/>
        <v>0.18937210822237302</v>
      </c>
      <c r="L24" s="48">
        <f t="shared" si="3"/>
        <v>0.13005372335235135</v>
      </c>
      <c r="M24" s="48">
        <f t="shared" si="4"/>
        <v>0.61790216054241898</v>
      </c>
      <c r="N24" s="45">
        <f t="shared" si="5"/>
        <v>6099608</v>
      </c>
      <c r="O24" s="48">
        <f t="shared" si="6"/>
        <v>0.82324650288377732</v>
      </c>
      <c r="P24" s="49">
        <v>31585310</v>
      </c>
      <c r="Q24" s="49">
        <v>987040.9375</v>
      </c>
      <c r="R24" s="49">
        <v>10355.59375</v>
      </c>
      <c r="S24" s="50">
        <v>26002496</v>
      </c>
      <c r="T24" s="50">
        <v>4188984</v>
      </c>
      <c r="U24" s="50">
        <v>1910624</v>
      </c>
      <c r="V24" s="50">
        <v>19902408</v>
      </c>
      <c r="W24" s="51">
        <v>72.182593999999995</v>
      </c>
      <c r="X24" s="51">
        <v>75.994269000000003</v>
      </c>
      <c r="Y24" s="51">
        <v>37.536743999999999</v>
      </c>
      <c r="Z24" s="51">
        <v>44.034813</v>
      </c>
      <c r="AA24" s="51">
        <v>42.726050000000001</v>
      </c>
      <c r="AB24" s="52">
        <v>7066.31</v>
      </c>
      <c r="AC24" s="52">
        <v>1298.46</v>
      </c>
      <c r="AD24" s="52">
        <v>10.733000000000001</v>
      </c>
      <c r="AE24" s="52">
        <v>15.17</v>
      </c>
      <c r="AG24" s="47">
        <f t="shared" si="7"/>
        <v>40.793225</v>
      </c>
      <c r="AH24" s="48">
        <f t="shared" si="8"/>
        <v>0.81055428028183985</v>
      </c>
      <c r="AI24" s="48">
        <f t="shared" si="9"/>
        <v>0.19105533085231649</v>
      </c>
      <c r="AJ24" s="48">
        <f t="shared" si="10"/>
        <v>0.13233900170827723</v>
      </c>
      <c r="AK24" s="48">
        <f t="shared" si="11"/>
        <v>0.61948404706006832</v>
      </c>
      <c r="AL24" s="45">
        <f t="shared" si="12"/>
        <v>6153824</v>
      </c>
      <c r="AM24" s="48">
        <f t="shared" si="13"/>
        <v>0.82633614146064227</v>
      </c>
      <c r="AN24" s="49">
        <v>31594484</v>
      </c>
      <c r="AO24" s="49">
        <v>987327.625</v>
      </c>
      <c r="AP24" s="49">
        <v>10438.0625</v>
      </c>
      <c r="AQ24" s="50">
        <v>26107664</v>
      </c>
      <c r="AR24" s="50">
        <v>4262592</v>
      </c>
      <c r="AS24" s="50">
        <v>1891232</v>
      </c>
      <c r="AT24" s="50">
        <v>19953360</v>
      </c>
      <c r="AU24" s="51">
        <v>72.179900000000004</v>
      </c>
      <c r="AV24" s="51">
        <v>75.990559000000005</v>
      </c>
      <c r="AW24" s="51">
        <v>37.521715999999998</v>
      </c>
      <c r="AX24" s="51">
        <v>44.040587000000002</v>
      </c>
      <c r="AY24" s="51">
        <v>42.728265999999998</v>
      </c>
      <c r="AZ24" s="52">
        <v>6881.62</v>
      </c>
      <c r="BA24" s="52">
        <v>1312.56</v>
      </c>
      <c r="BB24" s="52">
        <v>11.164</v>
      </c>
      <c r="BC24" s="52">
        <v>15.526</v>
      </c>
      <c r="BE24" s="53">
        <f t="shared" si="14"/>
        <v>8.0480835812486023E-5</v>
      </c>
      <c r="BF24" s="53">
        <f t="shared" si="15"/>
        <v>1.1316953967230314E-3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105168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4.6757324999999996</v>
      </c>
      <c r="J25" s="18">
        <f t="shared" si="1"/>
        <v>0.19703569885567584</v>
      </c>
      <c r="K25" s="18">
        <f t="shared" si="2"/>
        <v>6.8769751182898131E-2</v>
      </c>
      <c r="L25" s="18">
        <f t="shared" si="3"/>
        <v>3.6444734929999549E-2</v>
      </c>
      <c r="M25" s="18">
        <f t="shared" si="4"/>
        <v>0.12824698464089232</v>
      </c>
      <c r="N25" s="15">
        <f t="shared" si="5"/>
        <v>1740728</v>
      </c>
      <c r="O25" s="18">
        <f t="shared" si="6"/>
        <v>0.21627543496099477</v>
      </c>
      <c r="P25" s="19">
        <v>23060631</v>
      </c>
      <c r="Q25" s="19">
        <v>720644.71875</v>
      </c>
      <c r="R25" s="19">
        <v>17794.15625</v>
      </c>
      <c r="S25" s="20">
        <v>4987448</v>
      </c>
      <c r="T25" s="20">
        <v>922504</v>
      </c>
      <c r="U25" s="20">
        <v>818224</v>
      </c>
      <c r="V25" s="20">
        <v>3246240</v>
      </c>
      <c r="W25" s="21">
        <v>66.213971999999998</v>
      </c>
      <c r="X25" s="21">
        <v>68.031302999999994</v>
      </c>
      <c r="Y25" s="21">
        <v>27.491409000000001</v>
      </c>
      <c r="Z25" s="21">
        <v>33.278869</v>
      </c>
      <c r="AA25" s="21">
        <v>32.699599999999997</v>
      </c>
      <c r="AB25" s="22">
        <v>3961.45</v>
      </c>
      <c r="AC25" s="22">
        <v>663.95899999999995</v>
      </c>
      <c r="AD25" s="22">
        <v>7.6980000000000004</v>
      </c>
      <c r="AE25" s="22">
        <v>10.336</v>
      </c>
      <c r="AG25" s="17">
        <f t="shared" si="7"/>
        <v>4.7381099999999998</v>
      </c>
      <c r="AH25" s="18">
        <f t="shared" si="8"/>
        <v>0.19966429112552231</v>
      </c>
      <c r="AI25" s="18">
        <f t="shared" si="9"/>
        <v>6.9112349958960845E-2</v>
      </c>
      <c r="AJ25" s="18">
        <f t="shared" si="10"/>
        <v>3.7330308519047256E-2</v>
      </c>
      <c r="AK25" s="18">
        <f t="shared" si="11"/>
        <v>0.1305329781346761</v>
      </c>
      <c r="AL25" s="15">
        <f t="shared" si="12"/>
        <v>1749400</v>
      </c>
      <c r="AM25" s="18">
        <f t="shared" si="13"/>
        <v>0.21982700595061497</v>
      </c>
      <c r="AN25" s="19">
        <v>22990733</v>
      </c>
      <c r="AO25" s="19">
        <v>718460.40625</v>
      </c>
      <c r="AP25" s="19">
        <v>17744.96875</v>
      </c>
      <c r="AQ25" s="20">
        <v>5053984</v>
      </c>
      <c r="AR25" s="20">
        <v>944920</v>
      </c>
      <c r="AS25" s="20">
        <v>804480</v>
      </c>
      <c r="AT25" s="20">
        <v>3304104</v>
      </c>
      <c r="AU25" s="21">
        <v>66.204752999999997</v>
      </c>
      <c r="AV25" s="21">
        <v>68.064625000000007</v>
      </c>
      <c r="AW25" s="21">
        <v>27.490634</v>
      </c>
      <c r="AX25" s="21">
        <v>33.273305999999998</v>
      </c>
      <c r="AY25" s="21">
        <v>32.710050000000003</v>
      </c>
      <c r="AZ25" s="22">
        <v>5399.5</v>
      </c>
      <c r="BA25" s="22">
        <v>1167.97</v>
      </c>
      <c r="BB25" s="22">
        <v>9.57</v>
      </c>
      <c r="BC25" s="22">
        <v>17.931000000000001</v>
      </c>
      <c r="BE25" s="23">
        <f t="shared" si="14"/>
        <v>6.6079281125334954E-6</v>
      </c>
      <c r="BF25" s="23">
        <f t="shared" si="15"/>
        <v>-2.87901850091693E-3</v>
      </c>
      <c r="BG25" s="23">
        <f t="array" ref="BG25">AVERAGE(AL25:AL29/AQ25:AQ29) - AVERAGE(N25:N29/S25:S29)</f>
        <v>-8.0691163538071375E-4</v>
      </c>
      <c r="BI25" s="24">
        <f>IF( OR(ISBLANK(N25:N29),ISBLANK(AL25:AL29), ISBLANK(W25:W29),ISBLANK(AU25:AU29)), "·", bdRateExtend( N25:N29,W25:W29, AL25:AL29,AU25:AU29))</f>
        <v>6.0415914650480129E-3</v>
      </c>
      <c r="BJ25" s="24">
        <f>IF( OR(ISBLANK(N25:N29),ISBLANK(AL25:AL29), ISBLANK(X25:X29),ISBLANK(AV25:AV29)), "·", bdRateExtend( N25:N29,X25:X29, AL25:AL29,AV25:AV29))</f>
        <v>5.653791849084211E-3</v>
      </c>
      <c r="BK25" s="24">
        <f>IF( OR(ISBLANK(V25:V29),ISBLANK(AT25:AT29), ISBLANK(Y25:Y29),ISBLANK(AW25:AW29)), "·", bdRateExtend( V25:V29,Y25:Y29, AT25:AT29,AW25:AW29))</f>
        <v>1.1455396016647912E-2</v>
      </c>
      <c r="BL25" s="24">
        <f>IF( OR(ISBLANK(V25:V29),ISBLANK(AT25:AT29), ISBLANK(Z25:Z29),ISBLANK(AX25:AX29)), "·", bdRateExtend( V25:V29,Z25:Z29, AT25:AT29,AX25:AX29))</f>
        <v>7.4382362870590857E-3</v>
      </c>
      <c r="BM25" s="24">
        <f>IF( OR(ISBLANK(V25:V29),ISBLANK(AT25:AT29), ISBLANK(AA25:AA29),ISBLANK(AY25:AY29)), "·", bdRateExtend( V25:V29,AA25:AA29, AT25:AT29,AY25:AY29))</f>
        <v>8.1218610269755409E-3</v>
      </c>
      <c r="BO25" s="24">
        <f>IF( OR(ISBLANK(S25:S29),ISBLANK(AQ25:AQ29), ISBLANK(W25:W29),ISBLANK(AU25:AU29)), "·", bdRateExtend( S25:S29,W25:W29, AQ25:AQ29,AU25:AU29))</f>
        <v>7.9506439799990059E-3</v>
      </c>
      <c r="BP25" s="24">
        <f>IF( OR(ISBLANK(S25:S29),ISBLANK(AQ25:AQ29), ISBLANK(X25:X29),ISBLANK(AV25:AV29)), "·", bdRateExtend( S25:S29,X25:X29, AQ25:AQ29,AV25:AV29))</f>
        <v>6.011121260335095E-3</v>
      </c>
      <c r="BQ25" s="24">
        <f>IF( OR(ISBLANK(S25:S29),ISBLANK(AQ25:AQ29), ISBLANK(Y25:Y29),ISBLANK(AW25:AW29)), "·", bdRateExtend( S25:S29,Y25:Y29, AQ25:AQ29,AW25:AW29))</f>
        <v>1.0296711740572784E-2</v>
      </c>
      <c r="BR25" s="24">
        <f>IF( OR(ISBLANK(S25:S29),ISBLANK(AQ25:AQ29), ISBLANK(Z25:Z29),ISBLANK(AX25:AX29)), "·", bdRateExtend( S25:S29,Z25:Z29, AQ25:AQ29,AX25:AX29))</f>
        <v>6.9711401802963202E-3</v>
      </c>
      <c r="BS25" s="24">
        <f>IF( OR(ISBLANK(S25:S29),ISBLANK(AQ25:AQ29), ISBLANK(AA25:AA29),ISBLANK(AY25:AY29)), "·", bdRateExtend( S25:S29,AA25:AA29, AQ25:AQ29,AY25:AY29))</f>
        <v>7.6755530593255461E-3</v>
      </c>
      <c r="BU25" s="4">
        <f t="shared" si="16"/>
        <v>66536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8.0947200000000006</v>
      </c>
      <c r="J26" s="28">
        <f t="shared" si="1"/>
        <v>0.34111207436289742</v>
      </c>
      <c r="K26" s="28">
        <f t="shared" si="2"/>
        <v>8.3279315030004256E-2</v>
      </c>
      <c r="L26" s="28">
        <f t="shared" si="3"/>
        <v>5.095429877710568E-2</v>
      </c>
      <c r="M26" s="28">
        <f t="shared" si="4"/>
        <v>0.25781379630100781</v>
      </c>
      <c r="N26" s="25">
        <f t="shared" si="5"/>
        <v>2108000</v>
      </c>
      <c r="O26" s="28">
        <f t="shared" si="6"/>
        <v>0.34444221847077844</v>
      </c>
      <c r="P26" s="29">
        <v>25067682</v>
      </c>
      <c r="Q26" s="29">
        <v>783365.0625</v>
      </c>
      <c r="R26" s="29">
        <v>23471.96875</v>
      </c>
      <c r="S26" s="30">
        <v>8634368</v>
      </c>
      <c r="T26" s="30">
        <v>1289776</v>
      </c>
      <c r="U26" s="30">
        <v>818224</v>
      </c>
      <c r="V26" s="30">
        <v>6525888</v>
      </c>
      <c r="W26" s="31">
        <v>68.024269000000004</v>
      </c>
      <c r="X26" s="31">
        <v>69.974141000000003</v>
      </c>
      <c r="Y26" s="31">
        <v>29.920506</v>
      </c>
      <c r="Z26" s="31">
        <v>34.446249999999999</v>
      </c>
      <c r="AA26" s="31">
        <v>34.026671999999998</v>
      </c>
      <c r="AB26" s="32">
        <v>5125.09</v>
      </c>
      <c r="AC26" s="32">
        <v>931.84699999999998</v>
      </c>
      <c r="AD26" s="32">
        <v>9.3849999999999998</v>
      </c>
      <c r="AE26" s="32">
        <v>13.653</v>
      </c>
      <c r="AG26" s="27">
        <f t="shared" si="7"/>
        <v>8.1711074999999997</v>
      </c>
      <c r="AH26" s="28">
        <f t="shared" si="8"/>
        <v>0.34433104902544237</v>
      </c>
      <c r="AI26" s="28">
        <f t="shared" si="9"/>
        <v>8.3663948526746246E-2</v>
      </c>
      <c r="AJ26" s="28">
        <f t="shared" si="10"/>
        <v>5.1881907086832671E-2</v>
      </c>
      <c r="AK26" s="28">
        <f t="shared" si="11"/>
        <v>0.26064813746681076</v>
      </c>
      <c r="AL26" s="25">
        <f t="shared" si="12"/>
        <v>2117736</v>
      </c>
      <c r="AM26" s="28">
        <f t="shared" si="13"/>
        <v>0.34741792945347849</v>
      </c>
      <c r="AN26" s="29">
        <v>25087502</v>
      </c>
      <c r="AO26" s="29">
        <v>783984.4375</v>
      </c>
      <c r="AP26" s="29">
        <v>23409.0625</v>
      </c>
      <c r="AQ26" s="30">
        <v>8715848</v>
      </c>
      <c r="AR26" s="30">
        <v>1313256</v>
      </c>
      <c r="AS26" s="30">
        <v>804480</v>
      </c>
      <c r="AT26" s="30">
        <v>6597632</v>
      </c>
      <c r="AU26" s="31">
        <v>68.038596999999996</v>
      </c>
      <c r="AV26" s="31">
        <v>69.991293999999996</v>
      </c>
      <c r="AW26" s="31">
        <v>29.912641000000001</v>
      </c>
      <c r="AX26" s="31">
        <v>34.451478000000002</v>
      </c>
      <c r="AY26" s="31">
        <v>34.033487999999998</v>
      </c>
      <c r="AZ26" s="32">
        <v>5268.1</v>
      </c>
      <c r="BA26" s="32">
        <v>1239.21</v>
      </c>
      <c r="BB26" s="32">
        <v>9.81</v>
      </c>
      <c r="BC26" s="32">
        <v>18.122</v>
      </c>
      <c r="BE26" s="33">
        <f t="shared" si="14"/>
        <v>-1.0391097108727876E-4</v>
      </c>
      <c r="BF26" s="33">
        <f t="shared" si="15"/>
        <v>-1.1653000516989309E-3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81480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14.68431</v>
      </c>
      <c r="J27" s="18">
        <f t="shared" si="1"/>
        <v>0.61879786387766822</v>
      </c>
      <c r="K27" s="18">
        <f t="shared" si="2"/>
        <v>0.10432796437225569</v>
      </c>
      <c r="L27" s="18">
        <f t="shared" si="3"/>
        <v>7.2002948119357119E-2</v>
      </c>
      <c r="M27" s="18">
        <f t="shared" si="4"/>
        <v>0.51445093647352713</v>
      </c>
      <c r="N27" s="15">
        <f t="shared" si="5"/>
        <v>2640792</v>
      </c>
      <c r="O27" s="18">
        <f t="shared" si="6"/>
        <v>0.61790005336265819</v>
      </c>
      <c r="P27" s="19">
        <v>25349187</v>
      </c>
      <c r="Q27" s="19">
        <v>792162.09375</v>
      </c>
      <c r="R27" s="19">
        <v>24713.28125</v>
      </c>
      <c r="S27" s="20">
        <v>15663264</v>
      </c>
      <c r="T27" s="20">
        <v>1822568</v>
      </c>
      <c r="U27" s="20">
        <v>818224</v>
      </c>
      <c r="V27" s="20">
        <v>13021992</v>
      </c>
      <c r="W27" s="21">
        <v>69.399496999999997</v>
      </c>
      <c r="X27" s="21">
        <v>71.719666000000004</v>
      </c>
      <c r="Y27" s="21">
        <v>32.419097000000001</v>
      </c>
      <c r="Z27" s="21">
        <v>35.707549999999998</v>
      </c>
      <c r="AA27" s="21">
        <v>35.368006000000001</v>
      </c>
      <c r="AB27" s="22">
        <v>3810.26</v>
      </c>
      <c r="AC27" s="22">
        <v>860.66200000000003</v>
      </c>
      <c r="AD27" s="22">
        <v>8.5890000000000004</v>
      </c>
      <c r="AE27" s="22">
        <v>12.513</v>
      </c>
      <c r="AG27" s="17">
        <f t="shared" si="7"/>
        <v>14.8056675</v>
      </c>
      <c r="AH27" s="18">
        <f t="shared" si="8"/>
        <v>0.62391187752662647</v>
      </c>
      <c r="AI27" s="18">
        <f t="shared" si="9"/>
        <v>0.10506056950409459</v>
      </c>
      <c r="AJ27" s="18">
        <f t="shared" si="10"/>
        <v>7.3278528064181017E-2</v>
      </c>
      <c r="AK27" s="18">
        <f t="shared" si="11"/>
        <v>0.51883234499064645</v>
      </c>
      <c r="AL27" s="15">
        <f t="shared" si="12"/>
        <v>2659336</v>
      </c>
      <c r="AM27" s="18">
        <f t="shared" si="13"/>
        <v>0.62329322366519357</v>
      </c>
      <c r="AN27" s="19">
        <v>25337532</v>
      </c>
      <c r="AO27" s="19">
        <v>791797.875</v>
      </c>
      <c r="AP27" s="19">
        <v>24601.4375</v>
      </c>
      <c r="AQ27" s="20">
        <v>15792712</v>
      </c>
      <c r="AR27" s="20">
        <v>1854856</v>
      </c>
      <c r="AS27" s="20">
        <v>804480</v>
      </c>
      <c r="AT27" s="20">
        <v>13132896</v>
      </c>
      <c r="AU27" s="21">
        <v>69.398893999999999</v>
      </c>
      <c r="AV27" s="21">
        <v>71.726594000000006</v>
      </c>
      <c r="AW27" s="21">
        <v>32.416322000000001</v>
      </c>
      <c r="AX27" s="21">
        <v>35.715341000000002</v>
      </c>
      <c r="AY27" s="21">
        <v>35.371222000000003</v>
      </c>
      <c r="AZ27" s="22">
        <v>5367.64</v>
      </c>
      <c r="BA27" s="22">
        <v>1389.82</v>
      </c>
      <c r="BB27" s="22">
        <v>9.827</v>
      </c>
      <c r="BC27" s="22">
        <v>19.363</v>
      </c>
      <c r="BE27" s="23">
        <f t="shared" si="14"/>
        <v>-1.2690249454324135E-4</v>
      </c>
      <c r="BF27" s="23">
        <f t="shared" si="15"/>
        <v>-2.0773184770220277E-4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129448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27.9111525</v>
      </c>
      <c r="J28" s="28">
        <f t="shared" si="1"/>
        <v>1.176177944034404</v>
      </c>
      <c r="K28" s="28">
        <f t="shared" si="2"/>
        <v>0.13937954855974194</v>
      </c>
      <c r="L28" s="28">
        <f t="shared" si="3"/>
        <v>0.10705453230684335</v>
      </c>
      <c r="M28" s="28">
        <f t="shared" si="4"/>
        <v>1.0367794324427766</v>
      </c>
      <c r="N28" s="25">
        <f t="shared" si="5"/>
        <v>3528032</v>
      </c>
      <c r="O28" s="28">
        <f t="shared" si="6"/>
        <v>1.1322786963977955</v>
      </c>
      <c r="P28" s="29">
        <v>26293788</v>
      </c>
      <c r="Q28" s="29">
        <v>821680.875</v>
      </c>
      <c r="R28" s="29">
        <v>28168.09375</v>
      </c>
      <c r="S28" s="30">
        <v>29771896</v>
      </c>
      <c r="T28" s="30">
        <v>2709808</v>
      </c>
      <c r="U28" s="30">
        <v>818224</v>
      </c>
      <c r="V28" s="30">
        <v>26243384</v>
      </c>
      <c r="W28" s="31">
        <v>70.456653000000003</v>
      </c>
      <c r="X28" s="31">
        <v>73.016683999999998</v>
      </c>
      <c r="Y28" s="31">
        <v>34.892353</v>
      </c>
      <c r="Z28" s="31">
        <v>37.535249999999998</v>
      </c>
      <c r="AA28" s="31">
        <v>37.146465999999997</v>
      </c>
      <c r="AB28" s="32">
        <v>5424.32</v>
      </c>
      <c r="AC28" s="32">
        <v>1220.57</v>
      </c>
      <c r="AD28" s="32">
        <v>9.4009999999999998</v>
      </c>
      <c r="AE28" s="32">
        <v>15.862</v>
      </c>
      <c r="AG28" s="27">
        <f t="shared" si="7"/>
        <v>28.128435</v>
      </c>
      <c r="AH28" s="28">
        <f t="shared" si="8"/>
        <v>1.1853342439802645</v>
      </c>
      <c r="AI28" s="28">
        <f t="shared" si="9"/>
        <v>0.1405840171349956</v>
      </c>
      <c r="AJ28" s="28">
        <f t="shared" si="10"/>
        <v>0.10880197569508203</v>
      </c>
      <c r="AK28" s="28">
        <f t="shared" si="11"/>
        <v>1.0447312638133834</v>
      </c>
      <c r="AL28" s="25">
        <f t="shared" si="12"/>
        <v>3558520</v>
      </c>
      <c r="AM28" s="28">
        <f t="shared" si="13"/>
        <v>1.1408967783336392</v>
      </c>
      <c r="AN28" s="29">
        <v>26298316</v>
      </c>
      <c r="AO28" s="29">
        <v>821822.375</v>
      </c>
      <c r="AP28" s="29">
        <v>28110.9375</v>
      </c>
      <c r="AQ28" s="30">
        <v>30003664</v>
      </c>
      <c r="AR28" s="30">
        <v>2754040</v>
      </c>
      <c r="AS28" s="30">
        <v>804480</v>
      </c>
      <c r="AT28" s="30">
        <v>26444664</v>
      </c>
      <c r="AU28" s="31">
        <v>70.452944000000002</v>
      </c>
      <c r="AV28" s="31">
        <v>73.014055999999997</v>
      </c>
      <c r="AW28" s="31">
        <v>34.882347000000003</v>
      </c>
      <c r="AX28" s="31">
        <v>37.538165999999997</v>
      </c>
      <c r="AY28" s="31">
        <v>37.142583999999999</v>
      </c>
      <c r="AZ28" s="32">
        <v>5196.75</v>
      </c>
      <c r="BA28" s="32">
        <v>1559.79</v>
      </c>
      <c r="BB28" s="32">
        <v>10.039</v>
      </c>
      <c r="BC28" s="32">
        <v>21.411999999999999</v>
      </c>
      <c r="BE28" s="33">
        <f t="shared" si="14"/>
        <v>-7.545063542312852E-5</v>
      </c>
      <c r="BF28" s="33">
        <f t="shared" si="15"/>
        <v>1.0075458852827623E-4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231768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48.801389999999998</v>
      </c>
      <c r="J29" s="38">
        <f t="shared" si="1"/>
        <v>2.0564940324918908</v>
      </c>
      <c r="K29" s="38">
        <f t="shared" si="2"/>
        <v>0.22469549321423707</v>
      </c>
      <c r="L29" s="38">
        <f t="shared" si="3"/>
        <v>0.16390506979817962</v>
      </c>
      <c r="M29" s="38">
        <f t="shared" si="4"/>
        <v>1.8317795762457685</v>
      </c>
      <c r="N29" s="35">
        <f t="shared" si="5"/>
        <v>5687584</v>
      </c>
      <c r="O29" s="38">
        <f t="shared" si="6"/>
        <v>2.0704592645295405</v>
      </c>
      <c r="P29" s="39">
        <v>25141676</v>
      </c>
      <c r="Q29" s="39">
        <v>785677.375</v>
      </c>
      <c r="R29" s="39">
        <v>7380.625</v>
      </c>
      <c r="S29" s="40">
        <v>52054816</v>
      </c>
      <c r="T29" s="40">
        <v>4148832</v>
      </c>
      <c r="U29" s="40">
        <v>1538752</v>
      </c>
      <c r="V29" s="40">
        <v>46366752</v>
      </c>
      <c r="W29" s="41">
        <v>71.745975000000001</v>
      </c>
      <c r="X29" s="41">
        <v>75.120780999999994</v>
      </c>
      <c r="Y29" s="41">
        <v>36.580081</v>
      </c>
      <c r="Z29" s="41">
        <v>39.639890999999999</v>
      </c>
      <c r="AA29" s="41">
        <v>39.047159000000001</v>
      </c>
      <c r="AB29" s="42">
        <v>5184.8</v>
      </c>
      <c r="AC29" s="42">
        <v>1475</v>
      </c>
      <c r="AD29" s="42">
        <v>10.047000000000001</v>
      </c>
      <c r="AE29" s="42">
        <v>17.018000000000001</v>
      </c>
      <c r="AG29" s="37">
        <f t="shared" si="7"/>
        <v>49.094895000000001</v>
      </c>
      <c r="AH29" s="38">
        <f t="shared" si="8"/>
        <v>2.0688623539886053</v>
      </c>
      <c r="AI29" s="38">
        <f t="shared" si="9"/>
        <v>0.22628838789260983</v>
      </c>
      <c r="AJ29" s="38">
        <f t="shared" si="10"/>
        <v>0.16674415172195392</v>
      </c>
      <c r="AK29" s="38">
        <f t="shared" si="11"/>
        <v>1.8425550030641098</v>
      </c>
      <c r="AL29" s="35">
        <f t="shared" si="12"/>
        <v>5727904</v>
      </c>
      <c r="AM29" s="38">
        <f t="shared" si="13"/>
        <v>2.0832157524035817</v>
      </c>
      <c r="AN29" s="39">
        <v>25138005</v>
      </c>
      <c r="AO29" s="39">
        <v>785562.65625</v>
      </c>
      <c r="AP29" s="39">
        <v>7379.21875</v>
      </c>
      <c r="AQ29" s="40">
        <v>52367888</v>
      </c>
      <c r="AR29" s="40">
        <v>4220696</v>
      </c>
      <c r="AS29" s="40">
        <v>1507208</v>
      </c>
      <c r="AT29" s="40">
        <v>46639504</v>
      </c>
      <c r="AU29" s="41">
        <v>71.746288000000007</v>
      </c>
      <c r="AV29" s="41">
        <v>75.121509000000003</v>
      </c>
      <c r="AW29" s="41">
        <v>36.584597000000002</v>
      </c>
      <c r="AX29" s="41">
        <v>39.640188000000002</v>
      </c>
      <c r="AY29" s="41">
        <v>39.045361999999997</v>
      </c>
      <c r="AZ29" s="42">
        <v>3824.9</v>
      </c>
      <c r="BA29" s="42">
        <v>1494.74</v>
      </c>
      <c r="BB29" s="42">
        <v>9.4789999999999992</v>
      </c>
      <c r="BC29" s="42">
        <v>18.896999999999998</v>
      </c>
      <c r="BE29" s="43">
        <f t="shared" si="14"/>
        <v>-4.182813252498474E-7</v>
      </c>
      <c r="BF29" s="43">
        <f t="shared" si="15"/>
        <v>1.1673763488617706E-4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313072</v>
      </c>
    </row>
    <row r="30" spans="1:73" ht="16" x14ac:dyDescent="0.2">
      <c r="B30" s="55" t="s">
        <v>288</v>
      </c>
      <c r="J30" s="56">
        <f>AVERAGE(J5:J24)</f>
        <v>0.43038684236488295</v>
      </c>
      <c r="K30" s="56">
        <f>AVERAGE(K5:K24)</f>
        <v>0.12290593163304628</v>
      </c>
      <c r="L30" s="56">
        <f>AVERAGE(L5:L24)</f>
        <v>8.2384027919521832E-2</v>
      </c>
      <c r="M30" s="56">
        <f>AVERAGE(M5:M24)</f>
        <v>0.30746354654254815</v>
      </c>
      <c r="AH30" s="56">
        <f>AVERAGE(AH5:AH24)</f>
        <v>0.43459844680240634</v>
      </c>
      <c r="AI30" s="56">
        <f>AVERAGE(AI5:AI24)</f>
        <v>0.12449920294739487</v>
      </c>
      <c r="AJ30" s="56">
        <f>AVERAGE(AJ5:AJ24)</f>
        <v>8.4639838350051788E-2</v>
      </c>
      <c r="AK30" s="56">
        <f>AVERAGE(AK5:AK24)</f>
        <v>0.31008187966572304</v>
      </c>
      <c r="BG30" s="8">
        <f>AVERAGE(BG5:BG24)</f>
        <v>-2.3182966032925245E-4</v>
      </c>
      <c r="BI30" s="5">
        <f>AVERAGE(BI5:BI24)</f>
        <v>9.75342296010967E-3</v>
      </c>
      <c r="BJ30" s="5">
        <f>AVERAGE(BJ5:BJ24)</f>
        <v>7.7882408176326301E-3</v>
      </c>
      <c r="BK30" s="5">
        <f>AVERAGE(BK5:BK24)</f>
        <v>1.2331173507720339E-2</v>
      </c>
      <c r="BL30" s="5">
        <f>AVERAGE(BL5:BL24)</f>
        <v>2.7277288785785003E-3</v>
      </c>
      <c r="BM30" s="5">
        <f>AVERAGE(BM5:BM24)</f>
        <v>-6.2398046390172157E-3</v>
      </c>
      <c r="BO30" s="5">
        <f>AVERAGE(BO5:BO24)</f>
        <v>8.2789932719981307E-3</v>
      </c>
      <c r="BP30" s="5">
        <f>AVERAGE(BP5:BP24)</f>
        <v>2.9134296607907506E-3</v>
      </c>
      <c r="BQ30" s="5">
        <f>AVERAGE(BQ5:BQ24)</f>
        <v>1.1375142765346347E-2</v>
      </c>
      <c r="BR30" s="5">
        <f>AVERAGE(BR5:BR24)</f>
        <v>4.4799582510419711E-3</v>
      </c>
      <c r="BS30" s="5">
        <f>AVERAGE(BS5:BS24)</f>
        <v>-1.8130960475205571E-3</v>
      </c>
    </row>
    <row r="31" spans="1:73" ht="16" x14ac:dyDescent="0.2">
      <c r="B31" s="55" t="s">
        <v>289</v>
      </c>
      <c r="J31" s="56">
        <f>AVERAGE(J25:J29)</f>
        <v>0.87792352272450724</v>
      </c>
      <c r="K31" s="56">
        <f>AVERAGE(K25:K29)</f>
        <v>0.12409041447182741</v>
      </c>
      <c r="L31" s="56">
        <f>AVERAGE(L25:L29)</f>
        <v>8.6072316786297051E-2</v>
      </c>
      <c r="M31" s="56">
        <f>AVERAGE(M25:M29)</f>
        <v>0.75381414522079448</v>
      </c>
      <c r="AH31" s="56">
        <f>AVERAGE(AH25:AH29)</f>
        <v>0.88442076312929208</v>
      </c>
      <c r="AI31" s="56">
        <f>AVERAGE(AI25:AI29)</f>
        <v>0.12494185460348142</v>
      </c>
      <c r="AJ31" s="56">
        <f>AVERAGE(AJ25:AJ29)</f>
        <v>8.7607374217419376E-2</v>
      </c>
      <c r="AK31" s="56">
        <f>AVERAGE(AK25:AK29)</f>
        <v>0.75945994549392526</v>
      </c>
      <c r="BG31" s="8">
        <f>AVERAGE(BG25:BG29)</f>
        <v>-8.0691163538071375E-4</v>
      </c>
      <c r="BI31" s="5">
        <f>AVERAGE(BI25:BI29)</f>
        <v>6.0415914650480129E-3</v>
      </c>
      <c r="BJ31" s="5">
        <f>AVERAGE(BJ25:BJ29)</f>
        <v>5.653791849084211E-3</v>
      </c>
      <c r="BK31" s="5">
        <f>AVERAGE(BK25:BK29)</f>
        <v>1.1455396016647912E-2</v>
      </c>
      <c r="BL31" s="5">
        <f>AVERAGE(BL25:BL29)</f>
        <v>7.4382362870590857E-3</v>
      </c>
      <c r="BM31" s="5">
        <f>AVERAGE(BM25:BM29)</f>
        <v>8.1218610269755409E-3</v>
      </c>
      <c r="BO31" s="5">
        <f>AVERAGE(BO25:BO29)</f>
        <v>7.9506439799990059E-3</v>
      </c>
      <c r="BP31" s="5">
        <f>AVERAGE(BP25:BP29)</f>
        <v>6.011121260335095E-3</v>
      </c>
      <c r="BQ31" s="5">
        <f>AVERAGE(BQ25:BQ29)</f>
        <v>1.0296711740572784E-2</v>
      </c>
      <c r="BR31" s="5">
        <f>AVERAGE(BR25:BR29)</f>
        <v>6.9711401802963202E-3</v>
      </c>
      <c r="BS31" s="5">
        <f>AVERAGE(BS25:BS29)</f>
        <v>7.6755530593255461E-3</v>
      </c>
    </row>
    <row r="32" spans="1:73" ht="16" x14ac:dyDescent="0.2">
      <c r="B32" s="55" t="s">
        <v>290</v>
      </c>
      <c r="J32" s="56">
        <f>AVERAGE(J5:J29)</f>
        <v>0.51989417843680774</v>
      </c>
      <c r="K32" s="56">
        <f>AVERAGE(K5:K29)</f>
        <v>0.12314282820080252</v>
      </c>
      <c r="L32" s="56">
        <f>AVERAGE(L5:L29)</f>
        <v>8.3121685692876868E-2</v>
      </c>
      <c r="M32" s="56">
        <f>AVERAGE(M5:M29)</f>
        <v>0.39673366627819739</v>
      </c>
      <c r="AH32" s="56">
        <f>AVERAGE(AH5:AH29)</f>
        <v>0.52456291006778355</v>
      </c>
      <c r="AI32" s="56">
        <f>AVERAGE(AI5:AI29)</f>
        <v>0.12458773327861218</v>
      </c>
      <c r="AJ32" s="56">
        <f>AVERAGE(AJ5:AJ29)</f>
        <v>8.5233345523525295E-2</v>
      </c>
      <c r="AK32" s="56">
        <f>AVERAGE(AK5:AK29)</f>
        <v>0.3999574928313635</v>
      </c>
      <c r="BG32" s="8">
        <f>AVERAGE(BG5:BG29)</f>
        <v>-3.4684605533954473E-4</v>
      </c>
      <c r="BI32" s="5">
        <f>AVERAGE(BI5:BI29)</f>
        <v>9.0110566610973383E-3</v>
      </c>
      <c r="BJ32" s="5">
        <f>AVERAGE(BJ5:BJ29)</f>
        <v>7.3613510239229464E-3</v>
      </c>
      <c r="BK32" s="5">
        <f>AVERAGE(BK5:BK29)</f>
        <v>1.2156018009505854E-2</v>
      </c>
      <c r="BL32" s="5">
        <f>AVERAGE(BL5:BL29)</f>
        <v>3.6698303602746172E-3</v>
      </c>
      <c r="BM32" s="5">
        <f>AVERAGE(BM5:BM29)</f>
        <v>-3.3674715058186642E-3</v>
      </c>
      <c r="BO32" s="5">
        <f>AVERAGE(BO5:BO29)</f>
        <v>8.2133234135983064E-3</v>
      </c>
      <c r="BP32" s="5">
        <f>AVERAGE(BP5:BP29)</f>
        <v>3.5329679806996193E-3</v>
      </c>
      <c r="BQ32" s="5">
        <f>AVERAGE(BQ5:BQ29)</f>
        <v>1.1159456560391634E-2</v>
      </c>
      <c r="BR32" s="5">
        <f>AVERAGE(BR5:BR29)</f>
        <v>4.9781946368928406E-3</v>
      </c>
      <c r="BS32" s="5">
        <f>AVERAGE(BS5:BS29)</f>
        <v>8.4633773848663549E-5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126122.55999999998</v>
      </c>
      <c r="AC33" s="57">
        <f>SUM(AC5:AC24,AC25:AC29)</f>
        <v>23193.290999999997</v>
      </c>
      <c r="AD33" s="57">
        <f>SUM(AD5:AD24,AD25:AD29)</f>
        <v>238.66400000000004</v>
      </c>
      <c r="AE33" s="57">
        <f>SUM(AE5:AE24,AE25:AE29)</f>
        <v>314.95400000000006</v>
      </c>
      <c r="AZ33" s="57">
        <f>SUM(AZ5:AZ24,AZ25:AZ29)</f>
        <v>137380.92000000001</v>
      </c>
      <c r="BA33" s="57">
        <f>SUM(BA5:BA24,BA25:BA29)</f>
        <v>27421.082000000002</v>
      </c>
      <c r="BB33" s="57">
        <f>SUM(BB5:BB24,BB25:BB29)</f>
        <v>249.22899999999998</v>
      </c>
      <c r="BC33" s="57">
        <f>SUM(BC5:BC24,BC25:BC29)</f>
        <v>375.91999999999996</v>
      </c>
    </row>
    <row r="34" spans="1:55" ht="16" hidden="1" outlineLevel="2" x14ac:dyDescent="0.2">
      <c r="B34" s="55" t="s">
        <v>293</v>
      </c>
      <c r="AZ34" s="8">
        <f>AZ33/AB33</f>
        <v>1.0892652353393399</v>
      </c>
      <c r="BA34" s="8">
        <f>BA33/AC33</f>
        <v>1.1822850840788401</v>
      </c>
      <c r="BB34" s="8">
        <f>BB33/AD33</f>
        <v>1.0442672543827303</v>
      </c>
      <c r="BC34" s="8">
        <f>BC33/AE33</f>
        <v>1.1935711246721741</v>
      </c>
    </row>
    <row r="35" spans="1:55" ht="16" hidden="1" outlineLevel="2" x14ac:dyDescent="0.2">
      <c r="B35" s="55" t="s">
        <v>294</v>
      </c>
      <c r="AB35" s="57">
        <f>GEOMEAN(AB5:AB24,AB25:AB29)</f>
        <v>4895.0153998443802</v>
      </c>
      <c r="AC35" s="57">
        <f>GEOMEAN(AC5:AC24,AC25:AC29)</f>
        <v>904.7281655517246</v>
      </c>
      <c r="AD35" s="57">
        <f>GEOMEAN(AD5:AD24,AD25:AD29)</f>
        <v>9.4315995984383214</v>
      </c>
      <c r="AE35" s="57">
        <f>GEOMEAN(AE5:AE24,AE25:AE29)</f>
        <v>12.45299109061623</v>
      </c>
      <c r="AZ35" s="57">
        <f>GEOMEAN(AZ5:AZ24,AZ25:AZ29)</f>
        <v>5387.9930316029013</v>
      </c>
      <c r="BA35" s="57">
        <f>GEOMEAN(BA5:BA24,BA25:BA29)</f>
        <v>1067.3918272469703</v>
      </c>
      <c r="BB35" s="57">
        <f>GEOMEAN(BB5:BB24,BB25:BB29)</f>
        <v>9.8534681262688082</v>
      </c>
      <c r="BC35" s="57">
        <f>GEOMEAN(BC5:BC24,BC25:BC29)</f>
        <v>14.772011677180048</v>
      </c>
    </row>
    <row r="36" spans="1:55" ht="16" outlineLevel="2" collapsed="1" x14ac:dyDescent="0.2">
      <c r="B36" s="55" t="s">
        <v>295</v>
      </c>
      <c r="AZ36" s="8">
        <f>AZ35/AB35</f>
        <v>1.1007101288739958</v>
      </c>
      <c r="BA36" s="8">
        <f>BA35/AC35</f>
        <v>1.1797928570025777</v>
      </c>
      <c r="BB36" s="8">
        <f>BB35/AD35</f>
        <v>1.0447292660621788</v>
      </c>
      <c r="BC36" s="8">
        <f>BC35/AE35</f>
        <v>1.1862219742782345</v>
      </c>
    </row>
    <row r="40" spans="1:55" x14ac:dyDescent="0.2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2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2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2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2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2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2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2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2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2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2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2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2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2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2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2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2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 x14ac:dyDescent="0.2">
      <c r="AQ65" s="4"/>
      <c r="AR65" s="4"/>
      <c r="AS65" s="4"/>
      <c r="AT65" s="4"/>
      <c r="AU65" s="4"/>
      <c r="AV65" s="4"/>
      <c r="AW65" s="4"/>
      <c r="AX65" s="4"/>
      <c r="AY65" s="4"/>
    </row>
    <row r="66" spans="40:51" x14ac:dyDescent="0.2">
      <c r="AQ66" s="4"/>
      <c r="AR66" s="4"/>
      <c r="AS66" s="4"/>
      <c r="AT66" s="4"/>
      <c r="AU66" s="4"/>
      <c r="AV66" s="4"/>
      <c r="AW66" s="4"/>
      <c r="AX66" s="4"/>
      <c r="AY66" s="4"/>
    </row>
    <row r="67" spans="40:51" x14ac:dyDescent="0.2">
      <c r="AQ67" s="4"/>
      <c r="AR67" s="4"/>
      <c r="AS67" s="4"/>
      <c r="AT67" s="4"/>
      <c r="AU67" s="4"/>
      <c r="AV67" s="4"/>
      <c r="AW67" s="4"/>
      <c r="AX67" s="4"/>
      <c r="AY67" s="4"/>
    </row>
    <row r="68" spans="40:51" x14ac:dyDescent="0.2">
      <c r="AQ68" s="4"/>
      <c r="AR68" s="4"/>
      <c r="AS68" s="4"/>
      <c r="AT68" s="4"/>
      <c r="AU68" s="4"/>
      <c r="AV68" s="4"/>
      <c r="AW68" s="4"/>
      <c r="AX68" s="4"/>
      <c r="AY68" s="4"/>
    </row>
    <row r="69" spans="40:51" x14ac:dyDescent="0.2">
      <c r="AQ69" s="4"/>
      <c r="AR69" s="4"/>
      <c r="AS69" s="4"/>
      <c r="AT69" s="4"/>
      <c r="AU69" s="4"/>
      <c r="AV69" s="4"/>
      <c r="AW69" s="4"/>
      <c r="AX69" s="4"/>
      <c r="AY69" s="4"/>
    </row>
    <row r="70" spans="40:51" x14ac:dyDescent="0.2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 x14ac:dyDescent="0.2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 x14ac:dyDescent="0.2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 x14ac:dyDescent="0.2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 x14ac:dyDescent="0.2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 x14ac:dyDescent="0.2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 x14ac:dyDescent="0.2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 x14ac:dyDescent="0.2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 x14ac:dyDescent="0.2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 x14ac:dyDescent="0.2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 x14ac:dyDescent="0.2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 x14ac:dyDescent="0.2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 x14ac:dyDescent="0.2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 x14ac:dyDescent="0.2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 x14ac:dyDescent="0.2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 x14ac:dyDescent="0.2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 x14ac:dyDescent="0.2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 x14ac:dyDescent="0.2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 x14ac:dyDescent="0.2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 x14ac:dyDescent="0.2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 x14ac:dyDescent="0.2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 x14ac:dyDescent="0.2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 x14ac:dyDescent="0.2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 x14ac:dyDescent="0.2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 x14ac:dyDescent="0.2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95</v>
      </c>
      <c r="B1">
        <v>1</v>
      </c>
    </row>
    <row r="2" spans="1:2" x14ac:dyDescent="0.2">
      <c r="A2" t="s">
        <v>98</v>
      </c>
      <c r="B2">
        <v>2</v>
      </c>
    </row>
    <row r="3" spans="1:2" x14ac:dyDescent="0.2">
      <c r="A3" t="s">
        <v>101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107</v>
      </c>
      <c r="B5">
        <v>5</v>
      </c>
    </row>
    <row r="6" spans="1:2" x14ac:dyDescent="0.2">
      <c r="A6" t="s">
        <v>110</v>
      </c>
      <c r="B6">
        <v>6</v>
      </c>
    </row>
    <row r="7" spans="1:2" x14ac:dyDescent="0.2">
      <c r="A7" t="s">
        <v>113</v>
      </c>
      <c r="B7">
        <v>7</v>
      </c>
    </row>
    <row r="8" spans="1:2" x14ac:dyDescent="0.2">
      <c r="A8" t="s">
        <v>116</v>
      </c>
      <c r="B8">
        <v>9</v>
      </c>
    </row>
    <row r="9" spans="1:2" x14ac:dyDescent="0.2">
      <c r="A9" t="s">
        <v>120</v>
      </c>
      <c r="B9">
        <v>10</v>
      </c>
    </row>
    <row r="10" spans="1:2" x14ac:dyDescent="0.2">
      <c r="A10" t="s">
        <v>123</v>
      </c>
      <c r="B10">
        <v>11</v>
      </c>
    </row>
    <row r="11" spans="1:2" x14ac:dyDescent="0.2">
      <c r="A11" t="s">
        <v>126</v>
      </c>
      <c r="B11">
        <v>12</v>
      </c>
    </row>
    <row r="12" spans="1:2" x14ac:dyDescent="0.2">
      <c r="A12" t="s">
        <v>129</v>
      </c>
      <c r="B12">
        <v>13</v>
      </c>
    </row>
    <row r="13" spans="1:2" x14ac:dyDescent="0.2">
      <c r="A13" t="s">
        <v>132</v>
      </c>
      <c r="B13">
        <v>14</v>
      </c>
    </row>
    <row r="14" spans="1:2" x14ac:dyDescent="0.2">
      <c r="A14" t="s">
        <v>135</v>
      </c>
      <c r="B14">
        <v>15</v>
      </c>
    </row>
    <row r="15" spans="1:2" x14ac:dyDescent="0.2">
      <c r="A15" t="s">
        <v>137</v>
      </c>
      <c r="B15">
        <v>16</v>
      </c>
    </row>
    <row r="16" spans="1:2" x14ac:dyDescent="0.2">
      <c r="A16" t="s">
        <v>139</v>
      </c>
      <c r="B16">
        <v>17</v>
      </c>
    </row>
    <row r="17" spans="1:2" x14ac:dyDescent="0.2">
      <c r="A17" t="s">
        <v>141</v>
      </c>
      <c r="B17">
        <v>18</v>
      </c>
    </row>
    <row r="18" spans="1:2" x14ac:dyDescent="0.2">
      <c r="A18" t="s">
        <v>144</v>
      </c>
      <c r="B18">
        <v>19</v>
      </c>
    </row>
    <row r="19" spans="1:2" x14ac:dyDescent="0.2">
      <c r="A19" t="s">
        <v>146</v>
      </c>
      <c r="B19">
        <v>20</v>
      </c>
    </row>
    <row r="20" spans="1:2" x14ac:dyDescent="0.2">
      <c r="A20" t="s">
        <v>149</v>
      </c>
      <c r="B20">
        <v>21</v>
      </c>
    </row>
    <row r="21" spans="1:2" x14ac:dyDescent="0.2">
      <c r="A21" t="s">
        <v>152</v>
      </c>
      <c r="B21">
        <v>22</v>
      </c>
    </row>
    <row r="22" spans="1:2" x14ac:dyDescent="0.2">
      <c r="A22" t="s">
        <v>156</v>
      </c>
      <c r="B22">
        <v>23</v>
      </c>
    </row>
    <row r="23" spans="1:2" x14ac:dyDescent="0.2">
      <c r="A23" t="s">
        <v>159</v>
      </c>
      <c r="B23">
        <v>24</v>
      </c>
    </row>
    <row r="24" spans="1:2" x14ac:dyDescent="0.2">
      <c r="A24" t="s">
        <v>163</v>
      </c>
      <c r="B24">
        <v>25</v>
      </c>
    </row>
    <row r="25" spans="1:2" x14ac:dyDescent="0.2">
      <c r="A25" t="s">
        <v>166</v>
      </c>
      <c r="B25">
        <v>26</v>
      </c>
    </row>
    <row r="26" spans="1:2" x14ac:dyDescent="0.2">
      <c r="A26" t="s">
        <v>169</v>
      </c>
      <c r="B26">
        <v>27</v>
      </c>
    </row>
    <row r="27" spans="1:2" x14ac:dyDescent="0.2">
      <c r="A27" t="s">
        <v>173</v>
      </c>
      <c r="B27">
        <v>28</v>
      </c>
    </row>
    <row r="28" spans="1:2" x14ac:dyDescent="0.2">
      <c r="A28" t="s">
        <v>176</v>
      </c>
      <c r="B28">
        <v>29</v>
      </c>
    </row>
    <row r="29" spans="1:2" x14ac:dyDescent="0.2">
      <c r="A29" t="s">
        <v>179</v>
      </c>
      <c r="B29">
        <v>30</v>
      </c>
    </row>
    <row r="30" spans="1:2" x14ac:dyDescent="0.2">
      <c r="A30" t="s">
        <v>181</v>
      </c>
      <c r="B30">
        <v>31</v>
      </c>
    </row>
    <row r="31" spans="1:2" x14ac:dyDescent="0.2">
      <c r="A31" t="s">
        <v>183</v>
      </c>
      <c r="B31">
        <v>33</v>
      </c>
    </row>
    <row r="32" spans="1:2" x14ac:dyDescent="0.2">
      <c r="A32" t="s">
        <v>185</v>
      </c>
      <c r="B32">
        <v>34</v>
      </c>
    </row>
    <row r="33" spans="1:2" x14ac:dyDescent="0.2">
      <c r="A33" t="s">
        <v>187</v>
      </c>
      <c r="B33">
        <v>35</v>
      </c>
    </row>
    <row r="34" spans="1:2" x14ac:dyDescent="0.2">
      <c r="A34" t="s">
        <v>189</v>
      </c>
      <c r="B34">
        <v>36</v>
      </c>
    </row>
    <row r="35" spans="1:2" x14ac:dyDescent="0.2">
      <c r="A35" t="s">
        <v>191</v>
      </c>
      <c r="B35">
        <v>37</v>
      </c>
    </row>
    <row r="36" spans="1:2" x14ac:dyDescent="0.2">
      <c r="A36" t="s">
        <v>194</v>
      </c>
      <c r="B36">
        <v>38</v>
      </c>
    </row>
    <row r="37" spans="1:2" x14ac:dyDescent="0.2">
      <c r="A37" t="s">
        <v>196</v>
      </c>
      <c r="B37">
        <v>39</v>
      </c>
    </row>
    <row r="38" spans="1:2" x14ac:dyDescent="0.2">
      <c r="A38" t="s">
        <v>198</v>
      </c>
      <c r="B38">
        <v>40</v>
      </c>
    </row>
    <row r="39" spans="1:2" x14ac:dyDescent="0.2">
      <c r="A39" t="s">
        <v>200</v>
      </c>
      <c r="B39">
        <v>41</v>
      </c>
    </row>
    <row r="40" spans="1:2" x14ac:dyDescent="0.2">
      <c r="A40" t="s">
        <v>202</v>
      </c>
      <c r="B40">
        <v>42</v>
      </c>
    </row>
    <row r="41" spans="1:2" x14ac:dyDescent="0.2">
      <c r="A41" t="s">
        <v>204</v>
      </c>
      <c r="B41">
        <v>43</v>
      </c>
    </row>
    <row r="42" spans="1:2" x14ac:dyDescent="0.2">
      <c r="A42" t="s">
        <v>206</v>
      </c>
      <c r="B42">
        <v>44</v>
      </c>
    </row>
    <row r="43" spans="1:2" x14ac:dyDescent="0.2">
      <c r="A43" t="s">
        <v>208</v>
      </c>
      <c r="B43">
        <v>45</v>
      </c>
    </row>
    <row r="44" spans="1:2" x14ac:dyDescent="0.2">
      <c r="A44" t="s">
        <v>210</v>
      </c>
      <c r="B44">
        <v>46</v>
      </c>
    </row>
    <row r="45" spans="1:2" x14ac:dyDescent="0.2">
      <c r="A45" t="s">
        <v>212</v>
      </c>
      <c r="B45">
        <v>47</v>
      </c>
    </row>
    <row r="46" spans="1:2" x14ac:dyDescent="0.2">
      <c r="A46" t="s">
        <v>214</v>
      </c>
      <c r="B46">
        <v>48</v>
      </c>
    </row>
    <row r="47" spans="1:2" x14ac:dyDescent="0.2">
      <c r="A47" t="s">
        <v>216</v>
      </c>
      <c r="B47">
        <v>49</v>
      </c>
    </row>
    <row r="48" spans="1:2" x14ac:dyDescent="0.2">
      <c r="A48" t="s">
        <v>218</v>
      </c>
      <c r="B48">
        <v>50</v>
      </c>
    </row>
    <row r="49" spans="1:2" x14ac:dyDescent="0.2">
      <c r="A49" t="s">
        <v>220</v>
      </c>
      <c r="B49">
        <v>51</v>
      </c>
    </row>
    <row r="50" spans="1:2" x14ac:dyDescent="0.2">
      <c r="A50" t="s">
        <v>222</v>
      </c>
      <c r="B50">
        <v>52</v>
      </c>
    </row>
    <row r="51" spans="1:2" x14ac:dyDescent="0.2">
      <c r="A51" t="s">
        <v>224</v>
      </c>
      <c r="B51">
        <v>53</v>
      </c>
    </row>
    <row r="52" spans="1:2" x14ac:dyDescent="0.2">
      <c r="A52" t="s">
        <v>226</v>
      </c>
      <c r="B52">
        <v>54</v>
      </c>
    </row>
    <row r="53" spans="1:2" x14ac:dyDescent="0.2">
      <c r="A53" t="s">
        <v>228</v>
      </c>
      <c r="B53">
        <v>55</v>
      </c>
    </row>
    <row r="54" spans="1:2" x14ac:dyDescent="0.2">
      <c r="A54" t="s">
        <v>231</v>
      </c>
      <c r="B54">
        <v>57</v>
      </c>
    </row>
    <row r="55" spans="1:2" x14ac:dyDescent="0.2">
      <c r="A55" t="s">
        <v>234</v>
      </c>
      <c r="B55">
        <v>58</v>
      </c>
    </row>
    <row r="56" spans="1:2" x14ac:dyDescent="0.2">
      <c r="A56" t="s">
        <v>236</v>
      </c>
      <c r="B56">
        <v>59</v>
      </c>
    </row>
    <row r="57" spans="1:2" x14ac:dyDescent="0.2">
      <c r="A57" t="s">
        <v>239</v>
      </c>
      <c r="B57">
        <v>61</v>
      </c>
    </row>
    <row r="58" spans="1:2" x14ac:dyDescent="0.2">
      <c r="A58" t="s">
        <v>241</v>
      </c>
      <c r="B58">
        <v>62</v>
      </c>
    </row>
    <row r="59" spans="1:2" x14ac:dyDescent="0.2">
      <c r="A59" t="s">
        <v>244</v>
      </c>
      <c r="B59">
        <v>63</v>
      </c>
    </row>
    <row r="60" spans="1:2" x14ac:dyDescent="0.2">
      <c r="A60" t="s">
        <v>246</v>
      </c>
      <c r="B60">
        <v>64</v>
      </c>
    </row>
    <row r="61" spans="1:2" x14ac:dyDescent="0.2">
      <c r="A61" t="s">
        <v>248</v>
      </c>
      <c r="B61">
        <v>65</v>
      </c>
    </row>
    <row r="62" spans="1:2" x14ac:dyDescent="0.2">
      <c r="A62" t="s">
        <v>251</v>
      </c>
      <c r="B62">
        <v>67</v>
      </c>
    </row>
    <row r="63" spans="1:2" x14ac:dyDescent="0.2">
      <c r="A63" t="s">
        <v>253</v>
      </c>
      <c r="B63">
        <v>68</v>
      </c>
    </row>
    <row r="64" spans="1:2" x14ac:dyDescent="0.2">
      <c r="A64" t="s">
        <v>256</v>
      </c>
      <c r="B64">
        <v>69</v>
      </c>
    </row>
    <row r="65" spans="1:24" x14ac:dyDescent="0.2">
      <c r="A65" t="s">
        <v>258</v>
      </c>
      <c r="B65">
        <v>70</v>
      </c>
    </row>
    <row r="66" spans="1:24" x14ac:dyDescent="0.2">
      <c r="A66" t="s">
        <v>260</v>
      </c>
      <c r="B66">
        <v>71</v>
      </c>
    </row>
    <row r="67" spans="1:24" x14ac:dyDescent="0.2">
      <c r="A67" t="s">
        <v>262</v>
      </c>
      <c r="B67" t="s">
        <v>263</v>
      </c>
    </row>
    <row r="68" spans="1:24" x14ac:dyDescent="0.2">
      <c r="A68" t="s">
        <v>264</v>
      </c>
      <c r="B68" t="s">
        <v>265</v>
      </c>
    </row>
    <row r="69" spans="1:24" x14ac:dyDescent="0.2">
      <c r="A69" t="s">
        <v>273</v>
      </c>
      <c r="B69" t="s">
        <v>274</v>
      </c>
    </row>
    <row r="70" spans="1:24" x14ac:dyDescent="0.2">
      <c r="A70" t="s">
        <v>276</v>
      </c>
      <c r="B70" t="s">
        <v>277</v>
      </c>
    </row>
    <row r="71" spans="1:24" x14ac:dyDescent="0.2">
      <c r="A71" t="s">
        <v>279</v>
      </c>
      <c r="B71" t="s">
        <v>280</v>
      </c>
    </row>
    <row r="72" spans="1:24" x14ac:dyDescent="0.2">
      <c r="A72" t="s">
        <v>282</v>
      </c>
      <c r="B72" t="s">
        <v>283</v>
      </c>
    </row>
    <row r="73" spans="1:24" x14ac:dyDescent="0.2">
      <c r="A73" t="s">
        <v>286</v>
      </c>
      <c r="B73" t="s">
        <v>287</v>
      </c>
    </row>
    <row r="74" spans="1:24" x14ac:dyDescent="0.2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">
      <c r="A75" t="s">
        <v>304</v>
      </c>
      <c r="B75">
        <v>1</v>
      </c>
    </row>
    <row r="76" spans="1:24" x14ac:dyDescent="0.2">
      <c r="A76" t="s">
        <v>305</v>
      </c>
      <c r="B76">
        <v>2</v>
      </c>
    </row>
    <row r="77" spans="1:24" x14ac:dyDescent="0.2">
      <c r="A77" t="s">
        <v>306</v>
      </c>
      <c r="B77">
        <v>3</v>
      </c>
    </row>
    <row r="78" spans="1:24" x14ac:dyDescent="0.2">
      <c r="A78" t="s">
        <v>307</v>
      </c>
      <c r="B78">
        <v>4</v>
      </c>
    </row>
    <row r="79" spans="1:24" x14ac:dyDescent="0.2">
      <c r="A79" t="s">
        <v>308</v>
      </c>
      <c r="B79">
        <v>5</v>
      </c>
    </row>
    <row r="80" spans="1:24" x14ac:dyDescent="0.2">
      <c r="A80" t="s">
        <v>309</v>
      </c>
      <c r="B80">
        <v>6</v>
      </c>
    </row>
    <row r="81" spans="1:2" x14ac:dyDescent="0.2">
      <c r="A81" t="s">
        <v>312</v>
      </c>
      <c r="B81">
        <v>8</v>
      </c>
    </row>
    <row r="82" spans="1:2" x14ac:dyDescent="0.2">
      <c r="A82" t="s">
        <v>313</v>
      </c>
      <c r="B82">
        <v>9</v>
      </c>
    </row>
    <row r="83" spans="1:2" x14ac:dyDescent="0.2">
      <c r="A83" t="s">
        <v>314</v>
      </c>
      <c r="B83">
        <v>10</v>
      </c>
    </row>
    <row r="84" spans="1:2" x14ac:dyDescent="0.2">
      <c r="A84" t="s">
        <v>315</v>
      </c>
      <c r="B84">
        <v>11</v>
      </c>
    </row>
    <row r="85" spans="1:2" x14ac:dyDescent="0.2">
      <c r="A85" t="s">
        <v>316</v>
      </c>
      <c r="B85">
        <v>12</v>
      </c>
    </row>
    <row r="86" spans="1:2" x14ac:dyDescent="0.2">
      <c r="A86" t="s">
        <v>317</v>
      </c>
      <c r="B86">
        <v>13</v>
      </c>
    </row>
    <row r="87" spans="1:2" x14ac:dyDescent="0.2">
      <c r="A87" t="s">
        <v>318</v>
      </c>
      <c r="B87">
        <v>14</v>
      </c>
    </row>
    <row r="88" spans="1:2" x14ac:dyDescent="0.2">
      <c r="A88" t="s">
        <v>319</v>
      </c>
      <c r="B88">
        <v>15</v>
      </c>
    </row>
    <row r="89" spans="1:2" x14ac:dyDescent="0.2">
      <c r="A89" t="s">
        <v>320</v>
      </c>
      <c r="B89">
        <v>16</v>
      </c>
    </row>
    <row r="90" spans="1:2" x14ac:dyDescent="0.2">
      <c r="A90" t="s">
        <v>321</v>
      </c>
      <c r="B90">
        <v>17</v>
      </c>
    </row>
    <row r="91" spans="1:2" x14ac:dyDescent="0.2">
      <c r="A91" t="s">
        <v>322</v>
      </c>
      <c r="B91">
        <v>18</v>
      </c>
    </row>
    <row r="92" spans="1:2" x14ac:dyDescent="0.2">
      <c r="A92" t="s">
        <v>323</v>
      </c>
      <c r="B92">
        <v>19</v>
      </c>
    </row>
    <row r="93" spans="1:2" x14ac:dyDescent="0.2">
      <c r="A93" t="s">
        <v>324</v>
      </c>
      <c r="B93">
        <v>20</v>
      </c>
    </row>
    <row r="94" spans="1:2" x14ac:dyDescent="0.2">
      <c r="A94" t="s">
        <v>325</v>
      </c>
      <c r="B94">
        <v>21</v>
      </c>
    </row>
    <row r="95" spans="1:2" x14ac:dyDescent="0.2">
      <c r="A95" t="s">
        <v>326</v>
      </c>
      <c r="B95">
        <v>22</v>
      </c>
    </row>
    <row r="96" spans="1:2" x14ac:dyDescent="0.2">
      <c r="A96" t="s">
        <v>327</v>
      </c>
      <c r="B96">
        <v>23</v>
      </c>
    </row>
    <row r="97" spans="1:2" x14ac:dyDescent="0.2">
      <c r="A97" t="s">
        <v>328</v>
      </c>
      <c r="B97">
        <v>24</v>
      </c>
    </row>
    <row r="98" spans="1:2" x14ac:dyDescent="0.2">
      <c r="A98" t="s">
        <v>329</v>
      </c>
      <c r="B98">
        <v>25</v>
      </c>
    </row>
    <row r="99" spans="1:2" x14ac:dyDescent="0.2">
      <c r="A99" t="s">
        <v>330</v>
      </c>
      <c r="B99">
        <v>26</v>
      </c>
    </row>
    <row r="100" spans="1:2" x14ac:dyDescent="0.2">
      <c r="A100" t="s">
        <v>331</v>
      </c>
      <c r="B100">
        <v>27</v>
      </c>
    </row>
    <row r="101" spans="1:2" x14ac:dyDescent="0.2">
      <c r="A101" t="s">
        <v>332</v>
      </c>
      <c r="B101">
        <v>28</v>
      </c>
    </row>
    <row r="102" spans="1:2" x14ac:dyDescent="0.2">
      <c r="A102" t="s">
        <v>333</v>
      </c>
      <c r="B102">
        <v>29</v>
      </c>
    </row>
    <row r="103" spans="1:2" x14ac:dyDescent="0.2">
      <c r="A103" t="s">
        <v>335</v>
      </c>
      <c r="B103">
        <v>31</v>
      </c>
    </row>
    <row r="104" spans="1:2" x14ac:dyDescent="0.2">
      <c r="A104" t="s">
        <v>336</v>
      </c>
      <c r="B104">
        <v>32</v>
      </c>
    </row>
    <row r="105" spans="1:2" x14ac:dyDescent="0.2">
      <c r="A105" t="s">
        <v>337</v>
      </c>
      <c r="B105">
        <v>33</v>
      </c>
    </row>
    <row r="106" spans="1:2" x14ac:dyDescent="0.2">
      <c r="A106" t="s">
        <v>338</v>
      </c>
      <c r="B106">
        <v>34</v>
      </c>
    </row>
    <row r="107" spans="1:2" x14ac:dyDescent="0.2">
      <c r="A107" t="s">
        <v>339</v>
      </c>
      <c r="B107">
        <v>35</v>
      </c>
    </row>
    <row r="108" spans="1:2" x14ac:dyDescent="0.2">
      <c r="A108" t="s">
        <v>340</v>
      </c>
      <c r="B108">
        <v>36</v>
      </c>
    </row>
    <row r="109" spans="1:2" x14ac:dyDescent="0.2">
      <c r="A109" t="s">
        <v>341</v>
      </c>
      <c r="B109">
        <v>37</v>
      </c>
    </row>
    <row r="110" spans="1:2" x14ac:dyDescent="0.2">
      <c r="A110" t="s">
        <v>342</v>
      </c>
      <c r="B110">
        <v>38</v>
      </c>
    </row>
    <row r="111" spans="1:2" x14ac:dyDescent="0.2">
      <c r="A111" t="s">
        <v>343</v>
      </c>
      <c r="B111">
        <v>39</v>
      </c>
    </row>
    <row r="112" spans="1:2" x14ac:dyDescent="0.2">
      <c r="A112" t="s">
        <v>344</v>
      </c>
      <c r="B112">
        <v>40</v>
      </c>
    </row>
    <row r="113" spans="1:2" x14ac:dyDescent="0.2">
      <c r="A113" t="s">
        <v>345</v>
      </c>
      <c r="B113">
        <v>41</v>
      </c>
    </row>
    <row r="114" spans="1:2" x14ac:dyDescent="0.2">
      <c r="A114" t="s">
        <v>346</v>
      </c>
      <c r="B114">
        <v>42</v>
      </c>
    </row>
    <row r="115" spans="1:2" x14ac:dyDescent="0.2">
      <c r="A115" t="s">
        <v>347</v>
      </c>
      <c r="B115">
        <v>43</v>
      </c>
    </row>
    <row r="116" spans="1:2" x14ac:dyDescent="0.2">
      <c r="A116" t="s">
        <v>348</v>
      </c>
      <c r="B116">
        <v>44</v>
      </c>
    </row>
    <row r="117" spans="1:2" x14ac:dyDescent="0.2">
      <c r="A117" t="s">
        <v>349</v>
      </c>
      <c r="B117">
        <v>45</v>
      </c>
    </row>
    <row r="118" spans="1:2" x14ac:dyDescent="0.2">
      <c r="A118" t="s">
        <v>350</v>
      </c>
      <c r="B118">
        <v>46</v>
      </c>
    </row>
    <row r="119" spans="1:2" x14ac:dyDescent="0.2">
      <c r="A119" t="s">
        <v>351</v>
      </c>
      <c r="B119">
        <v>47</v>
      </c>
    </row>
    <row r="120" spans="1:2" x14ac:dyDescent="0.2">
      <c r="A120" t="s">
        <v>352</v>
      </c>
      <c r="B120">
        <v>48</v>
      </c>
    </row>
    <row r="121" spans="1:2" x14ac:dyDescent="0.2">
      <c r="A121" t="s">
        <v>353</v>
      </c>
      <c r="B121">
        <v>49</v>
      </c>
    </row>
    <row r="122" spans="1:2" x14ac:dyDescent="0.2">
      <c r="A122" t="s">
        <v>354</v>
      </c>
      <c r="B122">
        <v>50</v>
      </c>
    </row>
    <row r="123" spans="1:2" x14ac:dyDescent="0.2">
      <c r="A123" t="s">
        <v>355</v>
      </c>
      <c r="B123">
        <v>51</v>
      </c>
    </row>
    <row r="124" spans="1:2" x14ac:dyDescent="0.2">
      <c r="A124" t="s">
        <v>356</v>
      </c>
      <c r="B124">
        <v>52</v>
      </c>
    </row>
    <row r="125" spans="1:2" x14ac:dyDescent="0.2">
      <c r="A125" t="s">
        <v>359</v>
      </c>
      <c r="B125">
        <v>54</v>
      </c>
    </row>
    <row r="126" spans="1:2" x14ac:dyDescent="0.2">
      <c r="A126" t="s">
        <v>361</v>
      </c>
      <c r="B126">
        <v>55</v>
      </c>
    </row>
    <row r="127" spans="1:2" x14ac:dyDescent="0.2">
      <c r="A127" t="s">
        <v>363</v>
      </c>
      <c r="B127">
        <v>56</v>
      </c>
    </row>
    <row r="128" spans="1:2" x14ac:dyDescent="0.2">
      <c r="A128" t="s">
        <v>364</v>
      </c>
      <c r="B128">
        <v>57</v>
      </c>
    </row>
    <row r="129" spans="1:23" x14ac:dyDescent="0.2">
      <c r="A129" t="s">
        <v>365</v>
      </c>
      <c r="B129">
        <v>58</v>
      </c>
    </row>
    <row r="130" spans="1:23" x14ac:dyDescent="0.2">
      <c r="A130" t="s">
        <v>367</v>
      </c>
      <c r="B130" t="s">
        <v>368</v>
      </c>
    </row>
    <row r="131" spans="1:23" x14ac:dyDescent="0.2">
      <c r="A131" t="s">
        <v>369</v>
      </c>
      <c r="B131" t="s">
        <v>370</v>
      </c>
    </row>
    <row r="132" spans="1:23" x14ac:dyDescent="0.2">
      <c r="A132" t="s">
        <v>371</v>
      </c>
      <c r="B132" t="s">
        <v>372</v>
      </c>
    </row>
    <row r="133" spans="1:23" x14ac:dyDescent="0.2">
      <c r="A133" t="s">
        <v>373</v>
      </c>
      <c r="B133" t="s">
        <v>374</v>
      </c>
    </row>
    <row r="134" spans="1:23" x14ac:dyDescent="0.2">
      <c r="A134" t="s">
        <v>375</v>
      </c>
      <c r="B134" t="s">
        <v>376</v>
      </c>
    </row>
    <row r="135" spans="1:23" x14ac:dyDescent="0.2">
      <c r="A135" t="s">
        <v>377</v>
      </c>
      <c r="B135" t="s">
        <v>378</v>
      </c>
    </row>
    <row r="136" spans="1:23" x14ac:dyDescent="0.2">
      <c r="A136" t="s">
        <v>379</v>
      </c>
      <c r="B136" t="s">
        <v>380</v>
      </c>
    </row>
    <row r="137" spans="1:23" x14ac:dyDescent="0.2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">
      <c r="A138" t="s">
        <v>386</v>
      </c>
      <c r="B138">
        <v>1</v>
      </c>
    </row>
    <row r="139" spans="1:23" x14ac:dyDescent="0.2">
      <c r="A139" t="s">
        <v>387</v>
      </c>
      <c r="B139">
        <v>2</v>
      </c>
    </row>
    <row r="140" spans="1:23" x14ac:dyDescent="0.2">
      <c r="A140" t="s">
        <v>388</v>
      </c>
      <c r="B140">
        <v>3</v>
      </c>
    </row>
    <row r="141" spans="1:23" x14ac:dyDescent="0.2">
      <c r="A141" t="s">
        <v>389</v>
      </c>
      <c r="B141">
        <v>4</v>
      </c>
    </row>
    <row r="142" spans="1:23" x14ac:dyDescent="0.2">
      <c r="A142" t="s">
        <v>390</v>
      </c>
      <c r="B142">
        <v>5</v>
      </c>
    </row>
    <row r="143" spans="1:23" x14ac:dyDescent="0.2">
      <c r="A143" t="s">
        <v>391</v>
      </c>
      <c r="B143">
        <v>6</v>
      </c>
    </row>
    <row r="144" spans="1:23" x14ac:dyDescent="0.2">
      <c r="A144" t="s">
        <v>392</v>
      </c>
      <c r="B144">
        <v>8</v>
      </c>
    </row>
    <row r="145" spans="1:2" x14ac:dyDescent="0.2">
      <c r="A145" t="s">
        <v>393</v>
      </c>
      <c r="B145">
        <v>9</v>
      </c>
    </row>
    <row r="146" spans="1:2" x14ac:dyDescent="0.2">
      <c r="A146" t="s">
        <v>394</v>
      </c>
      <c r="B146">
        <v>10</v>
      </c>
    </row>
    <row r="147" spans="1:2" x14ac:dyDescent="0.2">
      <c r="A147" t="s">
        <v>395</v>
      </c>
      <c r="B147">
        <v>11</v>
      </c>
    </row>
    <row r="148" spans="1:2" x14ac:dyDescent="0.2">
      <c r="A148" t="s">
        <v>396</v>
      </c>
      <c r="B148">
        <v>12</v>
      </c>
    </row>
    <row r="149" spans="1:2" x14ac:dyDescent="0.2">
      <c r="A149" t="s">
        <v>397</v>
      </c>
      <c r="B149">
        <v>13</v>
      </c>
    </row>
    <row r="150" spans="1:2" x14ac:dyDescent="0.2">
      <c r="A150" t="s">
        <v>398</v>
      </c>
      <c r="B150">
        <v>14</v>
      </c>
    </row>
    <row r="151" spans="1:2" x14ac:dyDescent="0.2">
      <c r="A151" t="s">
        <v>399</v>
      </c>
      <c r="B151">
        <v>15</v>
      </c>
    </row>
    <row r="152" spans="1:2" x14ac:dyDescent="0.2">
      <c r="A152" t="s">
        <v>400</v>
      </c>
      <c r="B152">
        <v>16</v>
      </c>
    </row>
    <row r="153" spans="1:2" x14ac:dyDescent="0.2">
      <c r="A153" t="s">
        <v>401</v>
      </c>
      <c r="B153">
        <v>17</v>
      </c>
    </row>
    <row r="154" spans="1:2" x14ac:dyDescent="0.2">
      <c r="A154" t="s">
        <v>402</v>
      </c>
      <c r="B154">
        <v>18</v>
      </c>
    </row>
    <row r="155" spans="1:2" x14ac:dyDescent="0.2">
      <c r="A155" t="s">
        <v>403</v>
      </c>
      <c r="B155">
        <v>19</v>
      </c>
    </row>
    <row r="156" spans="1:2" x14ac:dyDescent="0.2">
      <c r="A156" t="s">
        <v>404</v>
      </c>
      <c r="B156">
        <v>20</v>
      </c>
    </row>
    <row r="157" spans="1:2" x14ac:dyDescent="0.2">
      <c r="A157" t="s">
        <v>405</v>
      </c>
      <c r="B157">
        <v>21</v>
      </c>
    </row>
    <row r="158" spans="1:2" x14ac:dyDescent="0.2">
      <c r="A158" t="s">
        <v>406</v>
      </c>
      <c r="B158">
        <v>22</v>
      </c>
    </row>
    <row r="159" spans="1:2" x14ac:dyDescent="0.2">
      <c r="A159" t="s">
        <v>407</v>
      </c>
      <c r="B159">
        <v>23</v>
      </c>
    </row>
    <row r="160" spans="1:2" x14ac:dyDescent="0.2">
      <c r="A160" t="s">
        <v>408</v>
      </c>
      <c r="B160">
        <v>24</v>
      </c>
    </row>
    <row r="161" spans="1:2" x14ac:dyDescent="0.2">
      <c r="A161" t="s">
        <v>409</v>
      </c>
      <c r="B161">
        <v>25</v>
      </c>
    </row>
    <row r="162" spans="1:2" x14ac:dyDescent="0.2">
      <c r="A162" t="s">
        <v>410</v>
      </c>
      <c r="B162">
        <v>26</v>
      </c>
    </row>
    <row r="163" spans="1:2" x14ac:dyDescent="0.2">
      <c r="A163" t="s">
        <v>411</v>
      </c>
      <c r="B163">
        <v>27</v>
      </c>
    </row>
    <row r="164" spans="1:2" x14ac:dyDescent="0.2">
      <c r="A164" t="s">
        <v>412</v>
      </c>
      <c r="B164">
        <v>28</v>
      </c>
    </row>
    <row r="165" spans="1:2" x14ac:dyDescent="0.2">
      <c r="A165" t="s">
        <v>413</v>
      </c>
      <c r="B165">
        <v>29</v>
      </c>
    </row>
    <row r="166" spans="1:2" x14ac:dyDescent="0.2">
      <c r="A166" t="s">
        <v>414</v>
      </c>
      <c r="B166">
        <v>31</v>
      </c>
    </row>
    <row r="167" spans="1:2" x14ac:dyDescent="0.2">
      <c r="A167" t="s">
        <v>415</v>
      </c>
      <c r="B167">
        <v>32</v>
      </c>
    </row>
    <row r="168" spans="1:2" x14ac:dyDescent="0.2">
      <c r="A168" t="s">
        <v>416</v>
      </c>
      <c r="B168">
        <v>33</v>
      </c>
    </row>
    <row r="169" spans="1:2" x14ac:dyDescent="0.2">
      <c r="A169" t="s">
        <v>417</v>
      </c>
      <c r="B169">
        <v>34</v>
      </c>
    </row>
    <row r="170" spans="1:2" x14ac:dyDescent="0.2">
      <c r="A170" t="s">
        <v>418</v>
      </c>
      <c r="B170">
        <v>35</v>
      </c>
    </row>
    <row r="171" spans="1:2" x14ac:dyDescent="0.2">
      <c r="A171" t="s">
        <v>419</v>
      </c>
      <c r="B171">
        <v>36</v>
      </c>
    </row>
    <row r="172" spans="1:2" x14ac:dyDescent="0.2">
      <c r="A172" t="s">
        <v>420</v>
      </c>
      <c r="B172">
        <v>37</v>
      </c>
    </row>
    <row r="173" spans="1:2" x14ac:dyDescent="0.2">
      <c r="A173" t="s">
        <v>421</v>
      </c>
      <c r="B173">
        <v>38</v>
      </c>
    </row>
    <row r="174" spans="1:2" x14ac:dyDescent="0.2">
      <c r="A174" t="s">
        <v>422</v>
      </c>
      <c r="B174">
        <v>39</v>
      </c>
    </row>
    <row r="175" spans="1:2" x14ac:dyDescent="0.2">
      <c r="A175" t="s">
        <v>423</v>
      </c>
      <c r="B175">
        <v>40</v>
      </c>
    </row>
    <row r="176" spans="1:2" x14ac:dyDescent="0.2">
      <c r="A176" t="s">
        <v>424</v>
      </c>
      <c r="B176">
        <v>41</v>
      </c>
    </row>
    <row r="177" spans="1:2" x14ac:dyDescent="0.2">
      <c r="A177" t="s">
        <v>425</v>
      </c>
      <c r="B177">
        <v>42</v>
      </c>
    </row>
    <row r="178" spans="1:2" x14ac:dyDescent="0.2">
      <c r="A178" t="s">
        <v>426</v>
      </c>
      <c r="B178">
        <v>43</v>
      </c>
    </row>
    <row r="179" spans="1:2" x14ac:dyDescent="0.2">
      <c r="A179" t="s">
        <v>427</v>
      </c>
      <c r="B179">
        <v>44</v>
      </c>
    </row>
    <row r="180" spans="1:2" x14ac:dyDescent="0.2">
      <c r="A180" t="s">
        <v>428</v>
      </c>
      <c r="B180">
        <v>45</v>
      </c>
    </row>
    <row r="181" spans="1:2" x14ac:dyDescent="0.2">
      <c r="A181" t="s">
        <v>429</v>
      </c>
      <c r="B181">
        <v>46</v>
      </c>
    </row>
    <row r="182" spans="1:2" x14ac:dyDescent="0.2">
      <c r="A182" t="s">
        <v>430</v>
      </c>
      <c r="B182">
        <v>47</v>
      </c>
    </row>
    <row r="183" spans="1:2" x14ac:dyDescent="0.2">
      <c r="A183" t="s">
        <v>431</v>
      </c>
      <c r="B183">
        <v>48</v>
      </c>
    </row>
    <row r="184" spans="1:2" x14ac:dyDescent="0.2">
      <c r="A184" t="s">
        <v>432</v>
      </c>
      <c r="B184">
        <v>49</v>
      </c>
    </row>
    <row r="185" spans="1:2" x14ac:dyDescent="0.2">
      <c r="A185" t="s">
        <v>433</v>
      </c>
      <c r="B185">
        <v>50</v>
      </c>
    </row>
    <row r="186" spans="1:2" x14ac:dyDescent="0.2">
      <c r="A186" t="s">
        <v>434</v>
      </c>
      <c r="B186">
        <v>51</v>
      </c>
    </row>
    <row r="187" spans="1:2" x14ac:dyDescent="0.2">
      <c r="A187" t="s">
        <v>435</v>
      </c>
      <c r="B187">
        <v>52</v>
      </c>
    </row>
    <row r="188" spans="1:2" x14ac:dyDescent="0.2">
      <c r="A188" t="s">
        <v>436</v>
      </c>
      <c r="B188">
        <v>54</v>
      </c>
    </row>
    <row r="189" spans="1:2" x14ac:dyDescent="0.2">
      <c r="A189" t="s">
        <v>437</v>
      </c>
      <c r="B189">
        <v>55</v>
      </c>
    </row>
    <row r="190" spans="1:2" x14ac:dyDescent="0.2">
      <c r="A190" t="s">
        <v>438</v>
      </c>
      <c r="B190">
        <v>56</v>
      </c>
    </row>
    <row r="191" spans="1:2" x14ac:dyDescent="0.2">
      <c r="A191" t="s">
        <v>439</v>
      </c>
      <c r="B191">
        <v>57</v>
      </c>
    </row>
    <row r="192" spans="1:2" x14ac:dyDescent="0.2">
      <c r="A192" t="s">
        <v>440</v>
      </c>
      <c r="B192">
        <v>58</v>
      </c>
    </row>
    <row r="193" spans="1:23" x14ac:dyDescent="0.2">
      <c r="A193" t="s">
        <v>442</v>
      </c>
      <c r="B193" t="s">
        <v>443</v>
      </c>
    </row>
    <row r="194" spans="1:23" x14ac:dyDescent="0.2">
      <c r="A194" t="s">
        <v>444</v>
      </c>
      <c r="B194" t="s">
        <v>445</v>
      </c>
    </row>
    <row r="195" spans="1:23" x14ac:dyDescent="0.2">
      <c r="A195" t="s">
        <v>446</v>
      </c>
      <c r="B195" t="s">
        <v>447</v>
      </c>
    </row>
    <row r="196" spans="1:23" x14ac:dyDescent="0.2">
      <c r="A196" t="s">
        <v>448</v>
      </c>
      <c r="B196" t="s">
        <v>449</v>
      </c>
    </row>
    <row r="197" spans="1:23" x14ac:dyDescent="0.2">
      <c r="A197" t="s">
        <v>450</v>
      </c>
      <c r="B197" t="s">
        <v>451</v>
      </c>
    </row>
    <row r="198" spans="1:23" x14ac:dyDescent="0.2">
      <c r="A198" t="s">
        <v>452</v>
      </c>
      <c r="B198" t="s">
        <v>453</v>
      </c>
    </row>
    <row r="199" spans="1:23" x14ac:dyDescent="0.2">
      <c r="A199" t="s">
        <v>454</v>
      </c>
      <c r="B199" t="s">
        <v>455</v>
      </c>
    </row>
    <row r="200" spans="1:23" x14ac:dyDescent="0.2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">
      <c r="A201" t="s">
        <v>462</v>
      </c>
      <c r="B201">
        <v>1</v>
      </c>
    </row>
    <row r="202" spans="1:23" x14ac:dyDescent="0.2">
      <c r="A202" t="s">
        <v>463</v>
      </c>
      <c r="B202">
        <v>2</v>
      </c>
    </row>
    <row r="203" spans="1:23" x14ac:dyDescent="0.2">
      <c r="A203" t="s">
        <v>464</v>
      </c>
      <c r="B203">
        <v>3</v>
      </c>
    </row>
    <row r="204" spans="1:23" x14ac:dyDescent="0.2">
      <c r="A204" t="s">
        <v>465</v>
      </c>
      <c r="B204">
        <v>4</v>
      </c>
    </row>
    <row r="205" spans="1:23" x14ac:dyDescent="0.2">
      <c r="A205" t="s">
        <v>466</v>
      </c>
      <c r="B205">
        <v>5</v>
      </c>
    </row>
    <row r="206" spans="1:23" x14ac:dyDescent="0.2">
      <c r="A206" t="s">
        <v>467</v>
      </c>
      <c r="B206">
        <v>6</v>
      </c>
    </row>
    <row r="207" spans="1:23" x14ac:dyDescent="0.2">
      <c r="A207" t="s">
        <v>468</v>
      </c>
      <c r="B207">
        <v>7</v>
      </c>
    </row>
    <row r="208" spans="1:23" x14ac:dyDescent="0.2">
      <c r="A208" t="s">
        <v>469</v>
      </c>
      <c r="B208">
        <v>9</v>
      </c>
    </row>
    <row r="209" spans="1:2" x14ac:dyDescent="0.2">
      <c r="A209" t="s">
        <v>470</v>
      </c>
      <c r="B209">
        <v>10</v>
      </c>
    </row>
    <row r="210" spans="1:2" x14ac:dyDescent="0.2">
      <c r="A210" t="s">
        <v>471</v>
      </c>
      <c r="B210">
        <v>11</v>
      </c>
    </row>
    <row r="211" spans="1:2" x14ac:dyDescent="0.2">
      <c r="A211" t="s">
        <v>472</v>
      </c>
      <c r="B211">
        <v>12</v>
      </c>
    </row>
    <row r="212" spans="1:2" x14ac:dyDescent="0.2">
      <c r="A212" t="s">
        <v>473</v>
      </c>
      <c r="B212">
        <v>13</v>
      </c>
    </row>
    <row r="213" spans="1:2" x14ac:dyDescent="0.2">
      <c r="A213" t="s">
        <v>474</v>
      </c>
      <c r="B213">
        <v>14</v>
      </c>
    </row>
    <row r="214" spans="1:2" x14ac:dyDescent="0.2">
      <c r="A214" t="s">
        <v>475</v>
      </c>
      <c r="B214">
        <v>15</v>
      </c>
    </row>
    <row r="215" spans="1:2" x14ac:dyDescent="0.2">
      <c r="A215" t="s">
        <v>476</v>
      </c>
      <c r="B215">
        <v>16</v>
      </c>
    </row>
    <row r="216" spans="1:2" x14ac:dyDescent="0.2">
      <c r="A216" t="s">
        <v>477</v>
      </c>
      <c r="B216">
        <v>17</v>
      </c>
    </row>
    <row r="217" spans="1:2" x14ac:dyDescent="0.2">
      <c r="A217" t="s">
        <v>478</v>
      </c>
      <c r="B217">
        <v>18</v>
      </c>
    </row>
    <row r="218" spans="1:2" x14ac:dyDescent="0.2">
      <c r="A218" t="s">
        <v>479</v>
      </c>
      <c r="B218">
        <v>19</v>
      </c>
    </row>
    <row r="219" spans="1:2" x14ac:dyDescent="0.2">
      <c r="A219" t="s">
        <v>480</v>
      </c>
      <c r="B219">
        <v>20</v>
      </c>
    </row>
    <row r="220" spans="1:2" x14ac:dyDescent="0.2">
      <c r="A220" t="s">
        <v>481</v>
      </c>
      <c r="B220">
        <v>21</v>
      </c>
    </row>
    <row r="221" spans="1:2" x14ac:dyDescent="0.2">
      <c r="A221" t="s">
        <v>482</v>
      </c>
      <c r="B221">
        <v>22</v>
      </c>
    </row>
    <row r="222" spans="1:2" x14ac:dyDescent="0.2">
      <c r="A222" t="s">
        <v>483</v>
      </c>
      <c r="B222">
        <v>23</v>
      </c>
    </row>
    <row r="223" spans="1:2" x14ac:dyDescent="0.2">
      <c r="A223" t="s">
        <v>484</v>
      </c>
      <c r="B223">
        <v>24</v>
      </c>
    </row>
    <row r="224" spans="1:2" x14ac:dyDescent="0.2">
      <c r="A224" t="s">
        <v>485</v>
      </c>
      <c r="B224">
        <v>25</v>
      </c>
    </row>
    <row r="225" spans="1:2" x14ac:dyDescent="0.2">
      <c r="A225" t="s">
        <v>486</v>
      </c>
      <c r="B225">
        <v>26</v>
      </c>
    </row>
    <row r="226" spans="1:2" x14ac:dyDescent="0.2">
      <c r="A226" t="s">
        <v>487</v>
      </c>
      <c r="B226">
        <v>27</v>
      </c>
    </row>
    <row r="227" spans="1:2" x14ac:dyDescent="0.2">
      <c r="A227" t="s">
        <v>488</v>
      </c>
      <c r="B227">
        <v>28</v>
      </c>
    </row>
    <row r="228" spans="1:2" x14ac:dyDescent="0.2">
      <c r="A228" t="s">
        <v>489</v>
      </c>
      <c r="B228">
        <v>29</v>
      </c>
    </row>
    <row r="229" spans="1:2" x14ac:dyDescent="0.2">
      <c r="A229" t="s">
        <v>490</v>
      </c>
      <c r="B229">
        <v>30</v>
      </c>
    </row>
    <row r="230" spans="1:2" x14ac:dyDescent="0.2">
      <c r="A230" t="s">
        <v>491</v>
      </c>
      <c r="B230">
        <v>31</v>
      </c>
    </row>
    <row r="231" spans="1:2" x14ac:dyDescent="0.2">
      <c r="A231" t="s">
        <v>492</v>
      </c>
      <c r="B231">
        <v>33</v>
      </c>
    </row>
    <row r="232" spans="1:2" x14ac:dyDescent="0.2">
      <c r="A232" t="s">
        <v>493</v>
      </c>
      <c r="B232">
        <v>34</v>
      </c>
    </row>
    <row r="233" spans="1:2" x14ac:dyDescent="0.2">
      <c r="A233" t="s">
        <v>494</v>
      </c>
      <c r="B233">
        <v>35</v>
      </c>
    </row>
    <row r="234" spans="1:2" x14ac:dyDescent="0.2">
      <c r="A234" t="s">
        <v>495</v>
      </c>
      <c r="B234">
        <v>36</v>
      </c>
    </row>
    <row r="235" spans="1:2" x14ac:dyDescent="0.2">
      <c r="A235" t="s">
        <v>496</v>
      </c>
      <c r="B235">
        <v>37</v>
      </c>
    </row>
    <row r="236" spans="1:2" x14ac:dyDescent="0.2">
      <c r="A236" t="s">
        <v>497</v>
      </c>
      <c r="B236">
        <v>38</v>
      </c>
    </row>
    <row r="237" spans="1:2" x14ac:dyDescent="0.2">
      <c r="A237" t="s">
        <v>498</v>
      </c>
      <c r="B237">
        <v>39</v>
      </c>
    </row>
    <row r="238" spans="1:2" x14ac:dyDescent="0.2">
      <c r="A238" t="s">
        <v>499</v>
      </c>
      <c r="B238">
        <v>40</v>
      </c>
    </row>
    <row r="239" spans="1:2" x14ac:dyDescent="0.2">
      <c r="A239" t="s">
        <v>500</v>
      </c>
      <c r="B239">
        <v>41</v>
      </c>
    </row>
    <row r="240" spans="1:2" x14ac:dyDescent="0.2">
      <c r="A240" t="s">
        <v>501</v>
      </c>
      <c r="B240">
        <v>42</v>
      </c>
    </row>
    <row r="241" spans="1:2" x14ac:dyDescent="0.2">
      <c r="A241" t="s">
        <v>502</v>
      </c>
      <c r="B241">
        <v>43</v>
      </c>
    </row>
    <row r="242" spans="1:2" x14ac:dyDescent="0.2">
      <c r="A242" t="s">
        <v>503</v>
      </c>
      <c r="B242">
        <v>44</v>
      </c>
    </row>
    <row r="243" spans="1:2" x14ac:dyDescent="0.2">
      <c r="A243" t="s">
        <v>504</v>
      </c>
      <c r="B243">
        <v>45</v>
      </c>
    </row>
    <row r="244" spans="1:2" x14ac:dyDescent="0.2">
      <c r="A244" t="s">
        <v>505</v>
      </c>
      <c r="B244">
        <v>46</v>
      </c>
    </row>
    <row r="245" spans="1:2" x14ac:dyDescent="0.2">
      <c r="A245" t="s">
        <v>506</v>
      </c>
      <c r="B245">
        <v>47</v>
      </c>
    </row>
    <row r="246" spans="1:2" x14ac:dyDescent="0.2">
      <c r="A246" t="s">
        <v>507</v>
      </c>
      <c r="B246">
        <v>48</v>
      </c>
    </row>
    <row r="247" spans="1:2" x14ac:dyDescent="0.2">
      <c r="A247" t="s">
        <v>508</v>
      </c>
      <c r="B247">
        <v>49</v>
      </c>
    </row>
    <row r="248" spans="1:2" x14ac:dyDescent="0.2">
      <c r="A248" t="s">
        <v>509</v>
      </c>
      <c r="B248">
        <v>50</v>
      </c>
    </row>
    <row r="249" spans="1:2" x14ac:dyDescent="0.2">
      <c r="A249" t="s">
        <v>510</v>
      </c>
      <c r="B249">
        <v>51</v>
      </c>
    </row>
    <row r="250" spans="1:2" x14ac:dyDescent="0.2">
      <c r="A250" t="s">
        <v>511</v>
      </c>
      <c r="B250">
        <v>52</v>
      </c>
    </row>
    <row r="251" spans="1:2" x14ac:dyDescent="0.2">
      <c r="A251" t="s">
        <v>512</v>
      </c>
      <c r="B251">
        <v>53</v>
      </c>
    </row>
    <row r="252" spans="1:2" x14ac:dyDescent="0.2">
      <c r="A252" t="s">
        <v>513</v>
      </c>
      <c r="B252">
        <v>54</v>
      </c>
    </row>
    <row r="253" spans="1:2" x14ac:dyDescent="0.2">
      <c r="A253" t="s">
        <v>514</v>
      </c>
      <c r="B253">
        <v>55</v>
      </c>
    </row>
    <row r="254" spans="1:2" x14ac:dyDescent="0.2">
      <c r="A254" t="s">
        <v>515</v>
      </c>
      <c r="B254">
        <v>57</v>
      </c>
    </row>
    <row r="255" spans="1:2" x14ac:dyDescent="0.2">
      <c r="A255" t="s">
        <v>516</v>
      </c>
      <c r="B255">
        <v>58</v>
      </c>
    </row>
    <row r="256" spans="1:2" x14ac:dyDescent="0.2">
      <c r="A256" t="s">
        <v>517</v>
      </c>
      <c r="B256">
        <v>59</v>
      </c>
    </row>
    <row r="257" spans="1:2" x14ac:dyDescent="0.2">
      <c r="A257" t="s">
        <v>518</v>
      </c>
      <c r="B257">
        <v>61</v>
      </c>
    </row>
    <row r="258" spans="1:2" x14ac:dyDescent="0.2">
      <c r="A258" t="s">
        <v>519</v>
      </c>
      <c r="B258">
        <v>62</v>
      </c>
    </row>
    <row r="259" spans="1:2" x14ac:dyDescent="0.2">
      <c r="A259" t="s">
        <v>520</v>
      </c>
      <c r="B259">
        <v>63</v>
      </c>
    </row>
    <row r="260" spans="1:2" x14ac:dyDescent="0.2">
      <c r="A260" t="s">
        <v>521</v>
      </c>
      <c r="B260">
        <v>64</v>
      </c>
    </row>
    <row r="261" spans="1:2" x14ac:dyDescent="0.2">
      <c r="A261" t="s">
        <v>522</v>
      </c>
      <c r="B261">
        <v>65</v>
      </c>
    </row>
    <row r="262" spans="1:2" x14ac:dyDescent="0.2">
      <c r="A262" t="s">
        <v>523</v>
      </c>
      <c r="B262">
        <v>67</v>
      </c>
    </row>
    <row r="263" spans="1:2" x14ac:dyDescent="0.2">
      <c r="A263" t="s">
        <v>524</v>
      </c>
      <c r="B263">
        <v>68</v>
      </c>
    </row>
    <row r="264" spans="1:2" x14ac:dyDescent="0.2">
      <c r="A264" t="s">
        <v>525</v>
      </c>
      <c r="B264">
        <v>69</v>
      </c>
    </row>
    <row r="265" spans="1:2" x14ac:dyDescent="0.2">
      <c r="A265" t="s">
        <v>526</v>
      </c>
      <c r="B265">
        <v>70</v>
      </c>
    </row>
    <row r="266" spans="1:2" x14ac:dyDescent="0.2">
      <c r="A266" t="s">
        <v>527</v>
      </c>
      <c r="B266">
        <v>71</v>
      </c>
    </row>
    <row r="267" spans="1:2" x14ac:dyDescent="0.2">
      <c r="A267" t="s">
        <v>529</v>
      </c>
      <c r="B267" t="s">
        <v>530</v>
      </c>
    </row>
    <row r="268" spans="1:2" x14ac:dyDescent="0.2">
      <c r="A268" t="s">
        <v>531</v>
      </c>
      <c r="B268" t="s">
        <v>532</v>
      </c>
    </row>
    <row r="269" spans="1:2" x14ac:dyDescent="0.2">
      <c r="A269" t="s">
        <v>533</v>
      </c>
      <c r="B269" t="s">
        <v>534</v>
      </c>
    </row>
    <row r="270" spans="1:2" x14ac:dyDescent="0.2">
      <c r="A270" t="s">
        <v>535</v>
      </c>
      <c r="B270" t="s">
        <v>536</v>
      </c>
    </row>
    <row r="271" spans="1:2" x14ac:dyDescent="0.2">
      <c r="A271" t="s">
        <v>537</v>
      </c>
      <c r="B271" t="s">
        <v>538</v>
      </c>
    </row>
    <row r="272" spans="1:2" x14ac:dyDescent="0.2">
      <c r="A272" t="s">
        <v>539</v>
      </c>
      <c r="B272" t="s">
        <v>540</v>
      </c>
    </row>
    <row r="273" spans="1:24" x14ac:dyDescent="0.2">
      <c r="A273" t="s">
        <v>541</v>
      </c>
      <c r="B273" t="s">
        <v>542</v>
      </c>
    </row>
    <row r="274" spans="1:24" x14ac:dyDescent="0.2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AO1" activePane="topRight" state="frozen"/>
      <selection pane="topRight" activeCell="AV31" sqref="AV31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x14ac:dyDescent="0.2">
      <c r="A1" s="71" t="s">
        <v>366</v>
      </c>
      <c r="B1" s="71"/>
      <c r="C1" s="71"/>
      <c r="D1" s="71"/>
      <c r="E1" s="71"/>
      <c r="F1" s="71"/>
      <c r="H1" s="59" t="s">
        <v>552</v>
      </c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E1" s="60" t="s">
        <v>551</v>
      </c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</row>
    <row r="2" spans="1:60" ht="30" customHeight="1" x14ac:dyDescent="0.2">
      <c r="A2" s="67" t="s">
        <v>93</v>
      </c>
      <c r="B2" s="68" t="s">
        <v>96</v>
      </c>
      <c r="C2" s="67" t="s">
        <v>102</v>
      </c>
      <c r="D2" s="68" t="s">
        <v>105</v>
      </c>
      <c r="E2" s="67" t="s">
        <v>108</v>
      </c>
      <c r="F2" s="68" t="s">
        <v>111</v>
      </c>
      <c r="H2" s="67" t="s">
        <v>310</v>
      </c>
      <c r="I2" s="68" t="s">
        <v>114</v>
      </c>
      <c r="J2" s="69" t="s">
        <v>117</v>
      </c>
      <c r="K2" s="69"/>
      <c r="L2" s="69"/>
      <c r="M2" s="69"/>
      <c r="N2" s="67" t="s">
        <v>130</v>
      </c>
      <c r="O2" s="68" t="s">
        <v>133</v>
      </c>
      <c r="P2" s="67" t="s">
        <v>24</v>
      </c>
      <c r="Q2" s="70" t="s">
        <v>142</v>
      </c>
      <c r="R2" s="70"/>
      <c r="S2" s="70"/>
      <c r="T2" s="70"/>
      <c r="U2" s="69" t="s">
        <v>153</v>
      </c>
      <c r="V2" s="69"/>
      <c r="W2" s="70" t="s">
        <v>160</v>
      </c>
      <c r="X2" s="70"/>
      <c r="Y2" s="70"/>
      <c r="Z2" s="69" t="s">
        <v>170</v>
      </c>
      <c r="AA2" s="69"/>
      <c r="AB2" s="70" t="s">
        <v>177</v>
      </c>
      <c r="AC2" s="70"/>
      <c r="AE2" s="67" t="s">
        <v>310</v>
      </c>
      <c r="AF2" s="68" t="s">
        <v>114</v>
      </c>
      <c r="AG2" s="69" t="s">
        <v>117</v>
      </c>
      <c r="AH2" s="69"/>
      <c r="AI2" s="69"/>
      <c r="AJ2" s="69"/>
      <c r="AK2" s="67" t="s">
        <v>192</v>
      </c>
      <c r="AL2" s="68" t="s">
        <v>133</v>
      </c>
      <c r="AM2" s="67" t="s">
        <v>24</v>
      </c>
      <c r="AN2" s="70" t="s">
        <v>142</v>
      </c>
      <c r="AO2" s="70"/>
      <c r="AP2" s="70"/>
      <c r="AQ2" s="70"/>
      <c r="AR2" s="69" t="s">
        <v>153</v>
      </c>
      <c r="AS2" s="69"/>
      <c r="AT2" s="70" t="s">
        <v>160</v>
      </c>
      <c r="AU2" s="70"/>
      <c r="AV2" s="70"/>
      <c r="AW2" s="69" t="s">
        <v>170</v>
      </c>
      <c r="AX2" s="69"/>
      <c r="AY2" s="70" t="s">
        <v>177</v>
      </c>
      <c r="AZ2" s="70"/>
      <c r="BB2" s="69" t="s">
        <v>357</v>
      </c>
      <c r="BC2" s="69"/>
      <c r="BD2" s="69"/>
      <c r="BE2" s="68" t="s">
        <v>232</v>
      </c>
      <c r="BF2" s="67" t="s">
        <v>232</v>
      </c>
      <c r="BH2" t="s">
        <v>549</v>
      </c>
    </row>
    <row r="3" spans="1:60" ht="17" thickBot="1" x14ac:dyDescent="0.25">
      <c r="A3" s="67"/>
      <c r="B3" s="68"/>
      <c r="C3" s="67"/>
      <c r="D3" s="68"/>
      <c r="E3" s="67"/>
      <c r="F3" s="68"/>
      <c r="H3" s="67"/>
      <c r="I3" s="68"/>
      <c r="J3" s="11" t="s">
        <v>118</v>
      </c>
      <c r="K3" s="11" t="s">
        <v>121</v>
      </c>
      <c r="L3" s="11" t="s">
        <v>124</v>
      </c>
      <c r="M3" s="11" t="s">
        <v>127</v>
      </c>
      <c r="N3" s="67"/>
      <c r="O3" s="68"/>
      <c r="P3" s="67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7"/>
      <c r="AF3" s="68"/>
      <c r="AG3" s="11" t="s">
        <v>118</v>
      </c>
      <c r="AH3" s="11" t="s">
        <v>121</v>
      </c>
      <c r="AI3" s="11" t="s">
        <v>124</v>
      </c>
      <c r="AJ3" s="11" t="s">
        <v>127</v>
      </c>
      <c r="AK3" s="67"/>
      <c r="AL3" s="68"/>
      <c r="AM3" s="67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8"/>
      <c r="BF3" s="67"/>
    </row>
    <row r="4" spans="1:60" ht="119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0.30036788874178572</v>
      </c>
      <c r="I5" s="17">
        <f>IF(OR(ISBLANK(Q5),ISBLANK(F5)),"·",Q5*F5/E5/1000000)</f>
        <v>210.89492999999999</v>
      </c>
      <c r="J5" s="18">
        <f>IF(ISBLANK(Q5),"·",Q5/C5)</f>
        <v>9.0110366622535718</v>
      </c>
      <c r="K5" s="18">
        <f>IF(N5="","·",N5/C5)</f>
        <v>1.3669359828084386</v>
      </c>
      <c r="L5" s="18">
        <f>IF(R5="","·",R5/C5)</f>
        <v>1.28520244135425</v>
      </c>
      <c r="M5" s="18">
        <f>IF(ISBLANK(T5),"·",T5/C5)</f>
        <v>7.643998774091413</v>
      </c>
      <c r="N5" s="15">
        <f>IF(OR(ISBLANK(R5),ISBLANK(S5)),"",R5+S5)</f>
        <v>34124656</v>
      </c>
      <c r="O5" s="18">
        <f>IF(ISBLANK(Q5),"·",Q5/P5)</f>
        <v>9.0110366622535718</v>
      </c>
      <c r="P5" s="19">
        <v>24964341</v>
      </c>
      <c r="Q5" s="20">
        <v>224954592</v>
      </c>
      <c r="R5" s="20">
        <v>32084232</v>
      </c>
      <c r="S5" s="20">
        <v>2040424</v>
      </c>
      <c r="T5" s="20">
        <v>190827392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0.30036788874178572</v>
      </c>
      <c r="AF5" s="17">
        <f>IF(OR(ISBLANK(AN5),ISBLANK(F5)),"·",AN5*F5/E5/1000000)</f>
        <v>210.89492999999999</v>
      </c>
      <c r="AG5" s="18">
        <f>IF(ISBLANK(AN5),"·",AN5/C5)</f>
        <v>9.0110366622535718</v>
      </c>
      <c r="AH5" s="18">
        <f>IF(AK5="","·",AK5/C5)</f>
        <v>1.3669359828084386</v>
      </c>
      <c r="AI5" s="18">
        <f>IF(AO5="","·",AO5/C5)</f>
        <v>1.28520244135425</v>
      </c>
      <c r="AJ5" s="18">
        <f>IF(ISBLANK(AQ5),"·",AQ5/C5)</f>
        <v>7.643998774091413</v>
      </c>
      <c r="AK5" s="15">
        <f>IF(OR(ISBLANK(AO5),ISBLANK(AP5)),"",AO5+AP5)</f>
        <v>34124656</v>
      </c>
      <c r="AL5" s="18">
        <f>IF(ISBLANK(AN5),"·",AN5/AM5)</f>
        <v>9.0110366622535718</v>
      </c>
      <c r="AM5" s="19">
        <v>24964341</v>
      </c>
      <c r="AN5" s="20">
        <v>224954592</v>
      </c>
      <c r="AO5" s="20">
        <v>32084232</v>
      </c>
      <c r="AP5" s="20">
        <v>2040424</v>
      </c>
      <c r="AQ5" s="20">
        <v>190827392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0.42926508239236599</v>
      </c>
      <c r="I6" s="27">
        <f>IF(OR(ISBLANK(Q6),ISBLANK(F6)),"·",Q6*F6/E6/1000000)</f>
        <v>273.51308999999998</v>
      </c>
      <c r="J6" s="28">
        <f>IF(ISBLANK(Q6),"·",Q6/C6)</f>
        <v>12.87795247177098</v>
      </c>
      <c r="K6" s="28">
        <f>IF(N6="","·",N6/C6)</f>
        <v>1.667922133373213</v>
      </c>
      <c r="L6" s="28">
        <f>IF(R6="","·",R6/C6)</f>
        <v>1.525547291568242</v>
      </c>
      <c r="M6" s="28">
        <f>IF(ISBLANK(T6),"·",T6/C6)</f>
        <v>11.209918044259869</v>
      </c>
      <c r="N6" s="25">
        <f>IF(OR(ISBLANK(R6),ISBLANK(S6)),"",R6+S6)</f>
        <v>37786424</v>
      </c>
      <c r="O6" s="28">
        <f>IF(ISBLANK(Q6),"·",Q6/P6)</f>
        <v>12.87795247177098</v>
      </c>
      <c r="P6" s="29">
        <v>22654789</v>
      </c>
      <c r="Q6" s="30">
        <v>291747296</v>
      </c>
      <c r="R6" s="30">
        <v>34560952</v>
      </c>
      <c r="S6" s="30">
        <v>3225472</v>
      </c>
      <c r="T6" s="30">
        <v>253958328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0.42926508239236599</v>
      </c>
      <c r="AF6" s="27">
        <f>IF(OR(ISBLANK(AN6),ISBLANK(F6)),"·",AN6*F6/E6/1000000)</f>
        <v>273.51308999999998</v>
      </c>
      <c r="AG6" s="28">
        <f>IF(ISBLANK(AN6),"·",AN6/C6)</f>
        <v>12.87795247177098</v>
      </c>
      <c r="AH6" s="28">
        <f>IF(AK6="","·",AK6/C6)</f>
        <v>1.667922133373213</v>
      </c>
      <c r="AI6" s="28">
        <f>IF(AO6="","·",AO6/C6)</f>
        <v>1.525547291568242</v>
      </c>
      <c r="AJ6" s="28">
        <f>IF(ISBLANK(AQ6),"·",AQ6/C6)</f>
        <v>11.209918044259869</v>
      </c>
      <c r="AK6" s="25">
        <f>IF(OR(ISBLANK(AO6),ISBLANK(AP6)),"",AO6+AP6)</f>
        <v>37786424</v>
      </c>
      <c r="AL6" s="28">
        <f>IF(ISBLANK(AN6),"·",AN6/AM6)</f>
        <v>12.87795247177098</v>
      </c>
      <c r="AM6" s="29">
        <v>22654789</v>
      </c>
      <c r="AN6" s="30">
        <v>291747296</v>
      </c>
      <c r="AO6" s="30">
        <v>34560952</v>
      </c>
      <c r="AP6" s="30">
        <v>3225472</v>
      </c>
      <c r="AQ6" s="30">
        <v>253958328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0.34255221121686785</v>
      </c>
      <c r="I7" s="17">
        <f>IF(OR(ISBLANK(Q7),ISBLANK(F7)),"·",Q7*F7/E7/1000000)</f>
        <v>327.06185249999999</v>
      </c>
      <c r="J7" s="18">
        <f>IF(ISBLANK(Q7),"·",Q7/C7)</f>
        <v>10.276566336506036</v>
      </c>
      <c r="K7" s="18">
        <f>IF(N7="","·",N7/C7)</f>
        <v>1.5514633413650956</v>
      </c>
      <c r="L7" s="18">
        <f>IF(R7="","·",R7/C7)</f>
        <v>1.4372250882960675</v>
      </c>
      <c r="M7" s="18">
        <f>IF(ISBLANK(T7),"·",T7/C7)</f>
        <v>8.7250280563777505</v>
      </c>
      <c r="N7" s="15">
        <f>IF(OR(ISBLANK(R7),ISBLANK(S7)),"",R7+S7)</f>
        <v>52668640</v>
      </c>
      <c r="O7" s="18">
        <f>IF(ISBLANK(Q7),"·",Q7/P7)</f>
        <v>10.276566336506036</v>
      </c>
      <c r="P7" s="19">
        <v>33947718</v>
      </c>
      <c r="Q7" s="20">
        <v>348865976</v>
      </c>
      <c r="R7" s="20">
        <v>48790512</v>
      </c>
      <c r="S7" s="20">
        <v>3878128</v>
      </c>
      <c r="T7" s="20">
        <v>296194792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0.34255221121686785</v>
      </c>
      <c r="AF7" s="17">
        <f>IF(OR(ISBLANK(AN7),ISBLANK(F7)),"·",AN7*F7/E7/1000000)</f>
        <v>327.06185249999999</v>
      </c>
      <c r="AG7" s="18">
        <f>IF(ISBLANK(AN7),"·",AN7/C7)</f>
        <v>10.276566336506036</v>
      </c>
      <c r="AH7" s="18">
        <f>IF(AK7="","·",AK7/C7)</f>
        <v>1.5514633413650956</v>
      </c>
      <c r="AI7" s="18">
        <f>IF(AO7="","·",AO7/C7)</f>
        <v>1.4372250882960675</v>
      </c>
      <c r="AJ7" s="18">
        <f>IF(ISBLANK(AQ7),"·",AQ7/C7)</f>
        <v>8.7250280563777505</v>
      </c>
      <c r="AK7" s="15">
        <f>IF(OR(ISBLANK(AO7),ISBLANK(AP7)),"",AO7+AP7)</f>
        <v>52668640</v>
      </c>
      <c r="AL7" s="18">
        <f>IF(ISBLANK(AN7),"·",AN7/AM7)</f>
        <v>10.276566336506036</v>
      </c>
      <c r="AM7" s="19">
        <v>33947718</v>
      </c>
      <c r="AN7" s="20">
        <v>348865976</v>
      </c>
      <c r="AO7" s="20">
        <v>48790512</v>
      </c>
      <c r="AP7" s="20">
        <v>3878128</v>
      </c>
      <c r="AQ7" s="20">
        <v>296194792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0.27155199453778484</v>
      </c>
      <c r="I8" s="47">
        <f>IF(OR(ISBLANK(Q8),ISBLANK(F8)),"·",Q8*F8/E8/1000000)</f>
        <v>409.99653749999999</v>
      </c>
      <c r="J8" s="48">
        <f>IF(ISBLANK(Q8),"·",Q8/C8)</f>
        <v>8.1465598361335463</v>
      </c>
      <c r="K8" s="48">
        <f>IF(N8="","·",N8/C8)</f>
        <v>1.0717672344272799</v>
      </c>
      <c r="L8" s="48">
        <f>IF(R8="","·",R8/C8)</f>
        <v>0.91922831929556004</v>
      </c>
      <c r="M8" s="48">
        <f>IF(ISBLANK(T8),"·",T8/C8)</f>
        <v>7.0747136191481541</v>
      </c>
      <c r="N8" s="45">
        <f>IF(OR(ISBLANK(R8),ISBLANK(S8)),"",R8+S8)</f>
        <v>34521240</v>
      </c>
      <c r="O8" s="48">
        <f>IF(ISBLANK(Q8),"·",Q8/P8)</f>
        <v>8.1465598361335463</v>
      </c>
      <c r="P8" s="49">
        <v>32209643</v>
      </c>
      <c r="Q8" s="50">
        <v>262397784</v>
      </c>
      <c r="R8" s="50">
        <v>29608016</v>
      </c>
      <c r="S8" s="50">
        <v>4913224</v>
      </c>
      <c r="T8" s="50">
        <v>227874000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0.27155199453778484</v>
      </c>
      <c r="AF8" s="47">
        <f>IF(OR(ISBLANK(AN8),ISBLANK(F8)),"·",AN8*F8/E8/1000000)</f>
        <v>409.99653749999999</v>
      </c>
      <c r="AG8" s="48">
        <f>IF(ISBLANK(AN8),"·",AN8/C8)</f>
        <v>8.1465598361335463</v>
      </c>
      <c r="AH8" s="48">
        <f>IF(AK8="","·",AK8/C8)</f>
        <v>1.0717672344272799</v>
      </c>
      <c r="AI8" s="48">
        <f>IF(AO8="","·",AO8/C8)</f>
        <v>0.91922831929556004</v>
      </c>
      <c r="AJ8" s="48">
        <f>IF(ISBLANK(AQ8),"·",AQ8/C8)</f>
        <v>7.0747136191481541</v>
      </c>
      <c r="AK8" s="45">
        <f>IF(OR(ISBLANK(AO8),ISBLANK(AP8)),"",AO8+AP8)</f>
        <v>34521240</v>
      </c>
      <c r="AL8" s="48">
        <f>IF(ISBLANK(AN8),"·",AN8/AM8)</f>
        <v>8.1465598361335463</v>
      </c>
      <c r="AM8" s="49">
        <v>32209643</v>
      </c>
      <c r="AN8" s="50">
        <v>262397784</v>
      </c>
      <c r="AO8" s="50">
        <v>29608016</v>
      </c>
      <c r="AP8" s="50">
        <v>4913224</v>
      </c>
      <c r="AQ8" s="50">
        <v>227874000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0.50428603500175351</v>
      </c>
      <c r="I9" s="37">
        <f>IF(OR(ISBLANK(Q9),ISBLANK(F9)),"·",Q9*F9/E9/1000000)</f>
        <v>359.00701500000002</v>
      </c>
      <c r="J9" s="38">
        <f>IF(ISBLANK(Q9),"·",Q9/C9)</f>
        <v>15.128581050052606</v>
      </c>
      <c r="K9" s="38">
        <f>IF(N9="","·",N9/C9)</f>
        <v>1.5091548777184691</v>
      </c>
      <c r="L9" s="38">
        <f>IF(R9="","·",R9/C9)</f>
        <v>1.4090332298689243</v>
      </c>
      <c r="M9" s="38">
        <f>IF(ISBLANK(T9),"·",T9/C9)</f>
        <v>13.619325668265144</v>
      </c>
      <c r="N9" s="35">
        <f>IF(OR(ISBLANK(R9),ISBLANK(S9)),"",R9+S9)</f>
        <v>38200344</v>
      </c>
      <c r="O9" s="38">
        <f>IF(ISBLANK(Q9),"·",Q9/P9)</f>
        <v>15.128581050052606</v>
      </c>
      <c r="P9" s="39">
        <v>25312408</v>
      </c>
      <c r="Q9" s="40">
        <v>382940816</v>
      </c>
      <c r="R9" s="40">
        <v>35666024</v>
      </c>
      <c r="S9" s="40">
        <v>2534320</v>
      </c>
      <c r="T9" s="40">
        <v>344737928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0.50428603500175351</v>
      </c>
      <c r="AF9" s="37">
        <f>IF(OR(ISBLANK(AN9),ISBLANK(F9)),"·",AN9*F9/E9/1000000)</f>
        <v>359.00701500000002</v>
      </c>
      <c r="AG9" s="38">
        <f>IF(ISBLANK(AN9),"·",AN9/C9)</f>
        <v>15.128581050052606</v>
      </c>
      <c r="AH9" s="38">
        <f>IF(AK9="","·",AK9/C9)</f>
        <v>1.5091548777184691</v>
      </c>
      <c r="AI9" s="38">
        <f>IF(AO9="","·",AO9/C9)</f>
        <v>1.4090332298689243</v>
      </c>
      <c r="AJ9" s="38">
        <f>IF(ISBLANK(AQ9),"·",AQ9/C9)</f>
        <v>13.619325668265144</v>
      </c>
      <c r="AK9" s="35">
        <f>IF(OR(ISBLANK(AO9),ISBLANK(AP9)),"",AO9+AP9)</f>
        <v>38200344</v>
      </c>
      <c r="AL9" s="38">
        <f>IF(ISBLANK(AN9),"·",AN9/AM9)</f>
        <v>15.128581050052606</v>
      </c>
      <c r="AM9" s="39">
        <v>25312408</v>
      </c>
      <c r="AN9" s="40">
        <v>382940816</v>
      </c>
      <c r="AO9" s="40">
        <v>35666024</v>
      </c>
      <c r="AP9" s="40">
        <v>2534320</v>
      </c>
      <c r="AQ9" s="40">
        <v>344737928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10.078028826666035</v>
      </c>
      <c r="K10" s="56">
        <f>AVERAGE(K5:K8)</f>
        <v>1.4145221729935067</v>
      </c>
      <c r="L10" s="56">
        <f>AVERAGE(L5:L8)</f>
        <v>1.2918007851285298</v>
      </c>
      <c r="M10" s="56">
        <f>AVERAGE(M5:M8)</f>
        <v>8.663414623469297</v>
      </c>
      <c r="AG10" s="56">
        <f>AVERAGE(AG5:AG8)</f>
        <v>10.078028826666035</v>
      </c>
      <c r="AH10" s="56">
        <f>AVERAGE(AH5:AH8)</f>
        <v>1.4145221729935067</v>
      </c>
      <c r="AI10" s="56">
        <f>AVERAGE(AI5:AI8)</f>
        <v>1.2918007851285298</v>
      </c>
      <c r="AJ10" s="56">
        <f>AVERAGE(AJ5:AJ8)</f>
        <v>8.663414623469297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15.128581050052606</v>
      </c>
      <c r="K11" s="56">
        <f>AVERAGE(K9:K9)</f>
        <v>1.5091548777184691</v>
      </c>
      <c r="L11" s="56">
        <f>AVERAGE(L9:L9)</f>
        <v>1.4090332298689243</v>
      </c>
      <c r="M11" s="56">
        <f>AVERAGE(M9:M9)</f>
        <v>13.619325668265144</v>
      </c>
      <c r="AG11" s="56">
        <f>AVERAGE(AG9:AG9)</f>
        <v>15.128581050052606</v>
      </c>
      <c r="AH11" s="56">
        <f>AVERAGE(AH9:AH9)</f>
        <v>1.5091548777184691</v>
      </c>
      <c r="AI11" s="56">
        <f>AVERAGE(AI9:AI9)</f>
        <v>1.4090332298689243</v>
      </c>
      <c r="AJ11" s="56">
        <f>AVERAGE(AJ9:AJ9)</f>
        <v>13.619325668265144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collapsed="1" x14ac:dyDescent="0.2">
      <c r="B12" s="55" t="s">
        <v>290</v>
      </c>
      <c r="J12" s="56">
        <f>AVERAGE(J5:J9)</f>
        <v>11.088139271343348</v>
      </c>
      <c r="K12" s="56">
        <f>AVERAGE(K5:K9)</f>
        <v>1.4334487139384993</v>
      </c>
      <c r="L12" s="56">
        <f>AVERAGE(L5:L9)</f>
        <v>1.3152472740766086</v>
      </c>
      <c r="M12" s="56">
        <f>AVERAGE(M5:M9)</f>
        <v>9.6545968324284672</v>
      </c>
      <c r="AG12" s="56">
        <f>AVERAGE(AG5:AG9)</f>
        <v>11.088139271343348</v>
      </c>
      <c r="AH12" s="56">
        <f>AVERAGE(AH5:AH9)</f>
        <v>1.4334487139384993</v>
      </c>
      <c r="AI12" s="56">
        <f>AVERAGE(AI5:AI9)</f>
        <v>1.3152472740766086</v>
      </c>
      <c r="AJ12" s="56">
        <f>AVERAGE(AJ5:AJ9)</f>
        <v>9.6545968324284672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t="16" hidden="1" outlineLevel="2" x14ac:dyDescent="0.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t="16" hidden="1" outlineLevel="2" x14ac:dyDescent="0.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ht="16" outlineLevel="2" collapsed="1" x14ac:dyDescent="0.2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2">
      <c r="AO23" s="4"/>
    </row>
    <row r="24" spans="41:41" x14ac:dyDescent="0.2">
      <c r="AO24" s="4"/>
    </row>
    <row r="25" spans="41:41" x14ac:dyDescent="0.2">
      <c r="AO25" s="4"/>
    </row>
    <row r="26" spans="41:41" x14ac:dyDescent="0.2">
      <c r="AO26" s="4"/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AL1" activePane="topRight" state="frozen"/>
      <selection pane="topRight" activeCell="AP28" sqref="AP28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x14ac:dyDescent="0.2">
      <c r="A1" s="71" t="s">
        <v>441</v>
      </c>
      <c r="B1" s="71"/>
      <c r="C1" s="71"/>
      <c r="D1" s="71"/>
      <c r="E1" s="71"/>
      <c r="F1" s="71"/>
      <c r="H1" s="59" t="s">
        <v>552</v>
      </c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E1" s="60" t="s">
        <v>551</v>
      </c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</row>
    <row r="2" spans="1:60" ht="30" customHeight="1" x14ac:dyDescent="0.2">
      <c r="A2" s="67" t="s">
        <v>93</v>
      </c>
      <c r="B2" s="68" t="s">
        <v>96</v>
      </c>
      <c r="C2" s="67" t="s">
        <v>102</v>
      </c>
      <c r="D2" s="68" t="s">
        <v>105</v>
      </c>
      <c r="E2" s="67" t="s">
        <v>108</v>
      </c>
      <c r="F2" s="68" t="s">
        <v>111</v>
      </c>
      <c r="H2" s="67" t="s">
        <v>310</v>
      </c>
      <c r="I2" s="68" t="s">
        <v>114</v>
      </c>
      <c r="J2" s="69" t="s">
        <v>117</v>
      </c>
      <c r="K2" s="69"/>
      <c r="L2" s="69"/>
      <c r="M2" s="69"/>
      <c r="N2" s="67" t="s">
        <v>130</v>
      </c>
      <c r="O2" s="68" t="s">
        <v>133</v>
      </c>
      <c r="P2" s="67" t="s">
        <v>24</v>
      </c>
      <c r="Q2" s="70" t="s">
        <v>142</v>
      </c>
      <c r="R2" s="70"/>
      <c r="S2" s="70"/>
      <c r="T2" s="70"/>
      <c r="U2" s="69" t="s">
        <v>153</v>
      </c>
      <c r="V2" s="69"/>
      <c r="W2" s="70" t="s">
        <v>160</v>
      </c>
      <c r="X2" s="70"/>
      <c r="Y2" s="70"/>
      <c r="Z2" s="69" t="s">
        <v>170</v>
      </c>
      <c r="AA2" s="69"/>
      <c r="AB2" s="70" t="s">
        <v>177</v>
      </c>
      <c r="AC2" s="70"/>
      <c r="AE2" s="67" t="s">
        <v>310</v>
      </c>
      <c r="AF2" s="68" t="s">
        <v>114</v>
      </c>
      <c r="AG2" s="69" t="s">
        <v>117</v>
      </c>
      <c r="AH2" s="69"/>
      <c r="AI2" s="69"/>
      <c r="AJ2" s="69"/>
      <c r="AK2" s="67" t="s">
        <v>192</v>
      </c>
      <c r="AL2" s="68" t="s">
        <v>133</v>
      </c>
      <c r="AM2" s="67" t="s">
        <v>24</v>
      </c>
      <c r="AN2" s="70" t="s">
        <v>142</v>
      </c>
      <c r="AO2" s="70"/>
      <c r="AP2" s="70"/>
      <c r="AQ2" s="70"/>
      <c r="AR2" s="69" t="s">
        <v>153</v>
      </c>
      <c r="AS2" s="69"/>
      <c r="AT2" s="70" t="s">
        <v>160</v>
      </c>
      <c r="AU2" s="70"/>
      <c r="AV2" s="70"/>
      <c r="AW2" s="69" t="s">
        <v>170</v>
      </c>
      <c r="AX2" s="69"/>
      <c r="AY2" s="70" t="s">
        <v>177</v>
      </c>
      <c r="AZ2" s="70"/>
      <c r="BB2" s="69" t="s">
        <v>357</v>
      </c>
      <c r="BC2" s="69"/>
      <c r="BD2" s="69"/>
      <c r="BE2" s="68" t="s">
        <v>232</v>
      </c>
      <c r="BF2" s="67" t="s">
        <v>232</v>
      </c>
      <c r="BH2" t="s">
        <v>549</v>
      </c>
    </row>
    <row r="3" spans="1:60" ht="17" thickBot="1" x14ac:dyDescent="0.25">
      <c r="A3" s="67"/>
      <c r="B3" s="68"/>
      <c r="C3" s="67"/>
      <c r="D3" s="68"/>
      <c r="E3" s="67"/>
      <c r="F3" s="68"/>
      <c r="H3" s="67"/>
      <c r="I3" s="68"/>
      <c r="J3" s="11" t="s">
        <v>118</v>
      </c>
      <c r="K3" s="11" t="s">
        <v>121</v>
      </c>
      <c r="L3" s="11" t="s">
        <v>124</v>
      </c>
      <c r="M3" s="11" t="s">
        <v>127</v>
      </c>
      <c r="N3" s="67"/>
      <c r="O3" s="68"/>
      <c r="P3" s="67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7"/>
      <c r="AF3" s="68"/>
      <c r="AG3" s="11" t="s">
        <v>118</v>
      </c>
      <c r="AH3" s="11" t="s">
        <v>121</v>
      </c>
      <c r="AI3" s="11" t="s">
        <v>124</v>
      </c>
      <c r="AJ3" s="11" t="s">
        <v>127</v>
      </c>
      <c r="AK3" s="67"/>
      <c r="AL3" s="68"/>
      <c r="AM3" s="67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8"/>
      <c r="BF3" s="67"/>
    </row>
    <row r="4" spans="1:60" ht="119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0.29415612720026002</v>
      </c>
      <c r="I5" s="17">
        <f>IF(OR(ISBLANK(Q5),ISBLANK(F5)),"·",Q5*F5/E5/1000000)</f>
        <v>206.53351499999999</v>
      </c>
      <c r="J5" s="18">
        <f>IF(ISBLANK(Q5),"·",Q5/C5)</f>
        <v>8.8246838160078003</v>
      </c>
      <c r="K5" s="18">
        <f>IF(N5="","·",N5/C5)</f>
        <v>1.3640867988464025</v>
      </c>
      <c r="L5" s="18">
        <f>IF(R5="","·",R5/C5)</f>
        <v>1.2797889597806729</v>
      </c>
      <c r="M5" s="18">
        <f>IF(ISBLANK(T5),"·",T5/C5)</f>
        <v>7.4604951118076777</v>
      </c>
      <c r="N5" s="15">
        <f>IF(OR(ISBLANK(R5),ISBLANK(S5)),"",R5+S5)</f>
        <v>34053528</v>
      </c>
      <c r="O5" s="18">
        <f>IF(ISBLANK(Q5),"·",Q5/P5)</f>
        <v>8.8246838160078003</v>
      </c>
      <c r="P5" s="19">
        <v>24964341</v>
      </c>
      <c r="Q5" s="20">
        <v>220302416</v>
      </c>
      <c r="R5" s="20">
        <v>31949088</v>
      </c>
      <c r="S5" s="20">
        <v>2104440</v>
      </c>
      <c r="T5" s="20">
        <v>186246344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0.29415612720026002</v>
      </c>
      <c r="AF5" s="17">
        <f>IF(OR(ISBLANK(AN5),ISBLANK(F5)),"·",AN5*F5/E5/1000000)</f>
        <v>206.53351499999999</v>
      </c>
      <c r="AG5" s="18">
        <f>IF(ISBLANK(AN5),"·",AN5/C5)</f>
        <v>8.8246838160078003</v>
      </c>
      <c r="AH5" s="18">
        <f>IF(AK5="","·",AK5/C5)</f>
        <v>1.3640867988464025</v>
      </c>
      <c r="AI5" s="18">
        <f>IF(AO5="","·",AO5/C5)</f>
        <v>1.2797889597806729</v>
      </c>
      <c r="AJ5" s="18">
        <f>IF(ISBLANK(AQ5),"·",AQ5/C5)</f>
        <v>7.4604951118076777</v>
      </c>
      <c r="AK5" s="15">
        <f>IF(OR(ISBLANK(AO5),ISBLANK(AP5)),"",AO5+AP5)</f>
        <v>34053528</v>
      </c>
      <c r="AL5" s="18">
        <f>IF(ISBLANK(AN5),"·",AN5/AM5)</f>
        <v>8.8246838160078003</v>
      </c>
      <c r="AM5" s="19">
        <v>24964341</v>
      </c>
      <c r="AN5" s="20">
        <v>220302416</v>
      </c>
      <c r="AO5" s="20">
        <v>31949088</v>
      </c>
      <c r="AP5" s="20">
        <v>2104440</v>
      </c>
      <c r="AQ5" s="20">
        <v>186246344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0.42340266922518383</v>
      </c>
      <c r="I6" s="27">
        <f>IF(OR(ISBLANK(Q6),ISBLANK(F6)),"·",Q6*F6/E6/1000000)</f>
        <v>269.77776</v>
      </c>
      <c r="J6" s="28">
        <f>IF(ISBLANK(Q6),"·",Q6/C6)</f>
        <v>12.702080076755514</v>
      </c>
      <c r="K6" s="28">
        <f>IF(N6="","·",N6/C6)</f>
        <v>1.6756877320728965</v>
      </c>
      <c r="L6" s="28">
        <f>IF(R6="","·",R6/C6)</f>
        <v>1.524806079632876</v>
      </c>
      <c r="M6" s="28">
        <f>IF(ISBLANK(T6),"·",T6/C6)</f>
        <v>11.026280050544722</v>
      </c>
      <c r="N6" s="25">
        <f>IF(OR(ISBLANK(R6),ISBLANK(S6)),"",R6+S6)</f>
        <v>37962352</v>
      </c>
      <c r="O6" s="28">
        <f>IF(ISBLANK(Q6),"·",Q6/P6)</f>
        <v>12.702080076755514</v>
      </c>
      <c r="P6" s="29">
        <v>22654789</v>
      </c>
      <c r="Q6" s="30">
        <v>287762944</v>
      </c>
      <c r="R6" s="30">
        <v>34544160</v>
      </c>
      <c r="S6" s="30">
        <v>3418192</v>
      </c>
      <c r="T6" s="30">
        <v>249798048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0.42340266922518383</v>
      </c>
      <c r="AF6" s="27">
        <f>IF(OR(ISBLANK(AN6),ISBLANK(F6)),"·",AN6*F6/E6/1000000)</f>
        <v>269.77776</v>
      </c>
      <c r="AG6" s="28">
        <f>IF(ISBLANK(AN6),"·",AN6/C6)</f>
        <v>12.702080076755514</v>
      </c>
      <c r="AH6" s="28">
        <f>IF(AK6="","·",AK6/C6)</f>
        <v>1.6756877320728965</v>
      </c>
      <c r="AI6" s="28">
        <f>IF(AO6="","·",AO6/C6)</f>
        <v>1.524806079632876</v>
      </c>
      <c r="AJ6" s="28">
        <f>IF(ISBLANK(AQ6),"·",AQ6/C6)</f>
        <v>11.026280050544722</v>
      </c>
      <c r="AK6" s="25">
        <f>IF(OR(ISBLANK(AO6),ISBLANK(AP6)),"",AO6+AP6)</f>
        <v>37962352</v>
      </c>
      <c r="AL6" s="28">
        <f>IF(ISBLANK(AN6),"·",AN6/AM6)</f>
        <v>12.702080076755514</v>
      </c>
      <c r="AM6" s="29">
        <v>22654789</v>
      </c>
      <c r="AN6" s="30">
        <v>287762944</v>
      </c>
      <c r="AO6" s="30">
        <v>34544160</v>
      </c>
      <c r="AP6" s="30">
        <v>3418192</v>
      </c>
      <c r="AQ6" s="30">
        <v>249798048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0.32390894728181729</v>
      </c>
      <c r="I7" s="17">
        <f>IF(OR(ISBLANK(Q7),ISBLANK(F7)),"·",Q7*F7/E7/1000000)</f>
        <v>309.26164499999999</v>
      </c>
      <c r="J7" s="18">
        <f>IF(ISBLANK(Q7),"·",Q7/C7)</f>
        <v>9.7172684184545179</v>
      </c>
      <c r="K7" s="18">
        <f>IF(N7="","·",N7/C7)</f>
        <v>1.5139258550456911</v>
      </c>
      <c r="L7" s="18">
        <f>IF(R7="","·",R7/C7)</f>
        <v>1.3971264872649172</v>
      </c>
      <c r="M7" s="18">
        <f>IF(ISBLANK(T7),"·",T7/C7)</f>
        <v>8.2032676246456386</v>
      </c>
      <c r="N7" s="15">
        <f>IF(OR(ISBLANK(R7),ISBLANK(S7)),"",R7+S7)</f>
        <v>51394328</v>
      </c>
      <c r="O7" s="18">
        <f>IF(ISBLANK(Q7),"·",Q7/P7)</f>
        <v>9.7172684184545179</v>
      </c>
      <c r="P7" s="19">
        <v>33947718</v>
      </c>
      <c r="Q7" s="20">
        <v>329879088</v>
      </c>
      <c r="R7" s="20">
        <v>47429256</v>
      </c>
      <c r="S7" s="20">
        <v>3965072</v>
      </c>
      <c r="T7" s="20">
        <v>278482216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0.32390894728181729</v>
      </c>
      <c r="AF7" s="17">
        <f>IF(OR(ISBLANK(AN7),ISBLANK(F7)),"·",AN7*F7/E7/1000000)</f>
        <v>309.26164499999999</v>
      </c>
      <c r="AG7" s="18">
        <f>IF(ISBLANK(AN7),"·",AN7/C7)</f>
        <v>9.7172684184545179</v>
      </c>
      <c r="AH7" s="18">
        <f>IF(AK7="","·",AK7/C7)</f>
        <v>1.5139258550456911</v>
      </c>
      <c r="AI7" s="18">
        <f>IF(AO7="","·",AO7/C7)</f>
        <v>1.3971264872649172</v>
      </c>
      <c r="AJ7" s="18">
        <f>IF(ISBLANK(AQ7),"·",AQ7/C7)</f>
        <v>8.2032676246456386</v>
      </c>
      <c r="AK7" s="15">
        <f>IF(OR(ISBLANK(AO7),ISBLANK(AP7)),"",AO7+AP7)</f>
        <v>51394328</v>
      </c>
      <c r="AL7" s="18">
        <f>IF(ISBLANK(AN7),"·",AN7/AM7)</f>
        <v>9.7172684184545179</v>
      </c>
      <c r="AM7" s="19">
        <v>33947718</v>
      </c>
      <c r="AN7" s="20">
        <v>329879088</v>
      </c>
      <c r="AO7" s="20">
        <v>47429256</v>
      </c>
      <c r="AP7" s="20">
        <v>3965072</v>
      </c>
      <c r="AQ7" s="20">
        <v>278482216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0.2437920262988737</v>
      </c>
      <c r="I8" s="47">
        <f>IF(OR(ISBLANK(Q8),ISBLANK(F8)),"·",Q8*F8/E8/1000000)</f>
        <v>368.08378750000003</v>
      </c>
      <c r="J8" s="48">
        <f>IF(ISBLANK(Q8),"·",Q8/C8)</f>
        <v>7.3137607889662108</v>
      </c>
      <c r="K8" s="48">
        <f>IF(N8="","·",N8/C8)</f>
        <v>0.93946225979592513</v>
      </c>
      <c r="L8" s="48">
        <f>IF(R8="","·",R8/C8)</f>
        <v>0.83620299672368303</v>
      </c>
      <c r="M8" s="48">
        <f>IF(ISBLANK(T8),"·",T8/C8)</f>
        <v>6.3742195466121743</v>
      </c>
      <c r="N8" s="45">
        <f>IF(OR(ISBLANK(R8),ISBLANK(S8)),"",R8+S8)</f>
        <v>30259744</v>
      </c>
      <c r="O8" s="48">
        <f>IF(ISBLANK(Q8),"·",Q8/P8)</f>
        <v>7.3137607889662108</v>
      </c>
      <c r="P8" s="49">
        <v>32209643</v>
      </c>
      <c r="Q8" s="50">
        <v>235573624</v>
      </c>
      <c r="R8" s="50">
        <v>26933800</v>
      </c>
      <c r="S8" s="50">
        <v>3325944</v>
      </c>
      <c r="T8" s="50">
        <v>205311336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0.2437920262988737</v>
      </c>
      <c r="AF8" s="47">
        <f>IF(OR(ISBLANK(AN8),ISBLANK(F8)),"·",AN8*F8/E8/1000000)</f>
        <v>368.08378750000003</v>
      </c>
      <c r="AG8" s="48">
        <f>IF(ISBLANK(AN8),"·",AN8/C8)</f>
        <v>7.3137607889662108</v>
      </c>
      <c r="AH8" s="48">
        <f>IF(AK8="","·",AK8/C8)</f>
        <v>0.93946225979592513</v>
      </c>
      <c r="AI8" s="48">
        <f>IF(AO8="","·",AO8/C8)</f>
        <v>0.83620299672368303</v>
      </c>
      <c r="AJ8" s="48">
        <f>IF(ISBLANK(AQ8),"·",AQ8/C8)</f>
        <v>6.3742195466121743</v>
      </c>
      <c r="AK8" s="45">
        <f>IF(OR(ISBLANK(AO8),ISBLANK(AP8)),"",AO8+AP8)</f>
        <v>30259744</v>
      </c>
      <c r="AL8" s="48">
        <f>IF(ISBLANK(AN8),"·",AN8/AM8)</f>
        <v>7.3137607889662108</v>
      </c>
      <c r="AM8" s="49">
        <v>32209643</v>
      </c>
      <c r="AN8" s="50">
        <v>235573624</v>
      </c>
      <c r="AO8" s="50">
        <v>26933800</v>
      </c>
      <c r="AP8" s="50">
        <v>3325944</v>
      </c>
      <c r="AQ8" s="50">
        <v>205311336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0.49740031581876104</v>
      </c>
      <c r="I9" s="37">
        <f>IF(OR(ISBLANK(Q9),ISBLANK(F9)),"·",Q9*F9/E9/1000000)</f>
        <v>354.10499249999998</v>
      </c>
      <c r="J9" s="38">
        <f>IF(ISBLANK(Q9),"·",Q9/C9)</f>
        <v>14.922009474562831</v>
      </c>
      <c r="K9" s="38">
        <f>IF(N9="","·",N9/C9)</f>
        <v>1.5150511164326996</v>
      </c>
      <c r="L9" s="38">
        <f>IF(R9="","·",R9/C9)</f>
        <v>1.4082788172504173</v>
      </c>
      <c r="M9" s="38">
        <f>IF(ISBLANK(T9),"·",T9/C9)</f>
        <v>13.406857854061139</v>
      </c>
      <c r="N9" s="35">
        <f>IF(OR(ISBLANK(R9),ISBLANK(S9)),"",R9+S9)</f>
        <v>38349592</v>
      </c>
      <c r="O9" s="38">
        <f>IF(ISBLANK(Q9),"·",Q9/P9)</f>
        <v>14.922009474562831</v>
      </c>
      <c r="P9" s="39">
        <v>25312408</v>
      </c>
      <c r="Q9" s="40">
        <v>377711992</v>
      </c>
      <c r="R9" s="40">
        <v>35646928</v>
      </c>
      <c r="S9" s="40">
        <v>2702664</v>
      </c>
      <c r="T9" s="40">
        <v>339359856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0.49740031581876104</v>
      </c>
      <c r="AF9" s="37">
        <f>IF(OR(ISBLANK(AN9),ISBLANK(F9)),"·",AN9*F9/E9/1000000)</f>
        <v>354.10499249999998</v>
      </c>
      <c r="AG9" s="38">
        <f>IF(ISBLANK(AN9),"·",AN9/C9)</f>
        <v>14.922009474562831</v>
      </c>
      <c r="AH9" s="38">
        <f>IF(AK9="","·",AK9/C9)</f>
        <v>1.5150511164326996</v>
      </c>
      <c r="AI9" s="38">
        <f>IF(AO9="","·",AO9/C9)</f>
        <v>1.4082788172504173</v>
      </c>
      <c r="AJ9" s="38">
        <f>IF(ISBLANK(AQ9),"·",AQ9/C9)</f>
        <v>13.406857854061139</v>
      </c>
      <c r="AK9" s="35">
        <f>IF(OR(ISBLANK(AO9),ISBLANK(AP9)),"",AO9+AP9)</f>
        <v>38349592</v>
      </c>
      <c r="AL9" s="38">
        <f>IF(ISBLANK(AN9),"·",AN9/AM9)</f>
        <v>14.922009474562831</v>
      </c>
      <c r="AM9" s="39">
        <v>25312408</v>
      </c>
      <c r="AN9" s="40">
        <v>377711992</v>
      </c>
      <c r="AO9" s="40">
        <v>35646928</v>
      </c>
      <c r="AP9" s="40">
        <v>2702664</v>
      </c>
      <c r="AQ9" s="40">
        <v>339359856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9.6394482750460107</v>
      </c>
      <c r="K10" s="56">
        <f>AVERAGE(K5:K8)</f>
        <v>1.3732906614402289</v>
      </c>
      <c r="L10" s="56">
        <f>AVERAGE(L5:L8)</f>
        <v>1.2594811308505374</v>
      </c>
      <c r="M10" s="56">
        <f>AVERAGE(M5:M8)</f>
        <v>8.266065583402554</v>
      </c>
      <c r="AG10" s="56">
        <f>AVERAGE(AG5:AG8)</f>
        <v>9.6394482750460107</v>
      </c>
      <c r="AH10" s="56">
        <f>AVERAGE(AH5:AH8)</f>
        <v>1.3732906614402289</v>
      </c>
      <c r="AI10" s="56">
        <f>AVERAGE(AI5:AI8)</f>
        <v>1.2594811308505374</v>
      </c>
      <c r="AJ10" s="56">
        <f>AVERAGE(AJ5:AJ8)</f>
        <v>8.266065583402554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14.922009474562831</v>
      </c>
      <c r="K11" s="56">
        <f>AVERAGE(K9:K9)</f>
        <v>1.5150511164326996</v>
      </c>
      <c r="L11" s="56">
        <f>AVERAGE(L9:L9)</f>
        <v>1.4082788172504173</v>
      </c>
      <c r="M11" s="56">
        <f>AVERAGE(M9:M9)</f>
        <v>13.406857854061139</v>
      </c>
      <c r="AG11" s="56">
        <f>AVERAGE(AG9:AG9)</f>
        <v>14.922009474562831</v>
      </c>
      <c r="AH11" s="56">
        <f>AVERAGE(AH9:AH9)</f>
        <v>1.5150511164326996</v>
      </c>
      <c r="AI11" s="56">
        <f>AVERAGE(AI9:AI9)</f>
        <v>1.4082788172504173</v>
      </c>
      <c r="AJ11" s="56">
        <f>AVERAGE(AJ9:AJ9)</f>
        <v>13.406857854061139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collapsed="1" x14ac:dyDescent="0.2">
      <c r="B12" s="55" t="s">
        <v>290</v>
      </c>
      <c r="J12" s="56">
        <f>AVERAGE(J5:J9)</f>
        <v>10.695960514949373</v>
      </c>
      <c r="K12" s="56">
        <f>AVERAGE(K5:K9)</f>
        <v>1.4016427524387232</v>
      </c>
      <c r="L12" s="56">
        <f>AVERAGE(L5:L9)</f>
        <v>1.2892406681305133</v>
      </c>
      <c r="M12" s="56">
        <f>AVERAGE(M5:M9)</f>
        <v>9.2942240375342706</v>
      </c>
      <c r="AG12" s="56">
        <f>AVERAGE(AG5:AG9)</f>
        <v>10.695960514949373</v>
      </c>
      <c r="AH12" s="56">
        <f>AVERAGE(AH5:AH9)</f>
        <v>1.4016427524387232</v>
      </c>
      <c r="AI12" s="56">
        <f>AVERAGE(AI5:AI9)</f>
        <v>1.2892406681305133</v>
      </c>
      <c r="AJ12" s="56">
        <f>AVERAGE(AJ5:AJ9)</f>
        <v>9.2942240375342706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t="16" hidden="1" outlineLevel="2" x14ac:dyDescent="0.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t="16" hidden="1" outlineLevel="2" x14ac:dyDescent="0.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ht="16" outlineLevel="2" collapsed="1" x14ac:dyDescent="0.2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94"/>
  <sheetViews>
    <sheetView tabSelected="1" topLeftCell="A2" zoomScale="85" zoomScaleNormal="85" workbookViewId="0">
      <pane xSplit="2" topLeftCell="AH1" activePane="topRight" state="frozen"/>
      <selection pane="topRight" activeCell="AR21" activeCellId="1" sqref="P5:AE29 AR21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x14ac:dyDescent="0.2">
      <c r="A1" s="71" t="s">
        <v>528</v>
      </c>
      <c r="B1" s="71"/>
      <c r="C1" s="71"/>
      <c r="D1" s="71"/>
      <c r="E1" s="71"/>
      <c r="F1" s="71"/>
      <c r="G1" s="71"/>
      <c r="I1" s="59" t="s">
        <v>553</v>
      </c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G1" s="60" t="s">
        <v>554</v>
      </c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</row>
    <row r="2" spans="1:73" ht="30" customHeight="1" x14ac:dyDescent="0.2">
      <c r="A2" s="67" t="s">
        <v>93</v>
      </c>
      <c r="B2" s="68" t="s">
        <v>96</v>
      </c>
      <c r="C2" s="67" t="s">
        <v>99</v>
      </c>
      <c r="D2" s="68" t="s">
        <v>102</v>
      </c>
      <c r="E2" s="67" t="s">
        <v>105</v>
      </c>
      <c r="F2" s="68" t="s">
        <v>108</v>
      </c>
      <c r="G2" s="67" t="s">
        <v>111</v>
      </c>
      <c r="I2" s="68" t="s">
        <v>114</v>
      </c>
      <c r="J2" s="69" t="s">
        <v>117</v>
      </c>
      <c r="K2" s="69"/>
      <c r="L2" s="69"/>
      <c r="M2" s="69"/>
      <c r="N2" s="67" t="s">
        <v>130</v>
      </c>
      <c r="O2" s="68" t="s">
        <v>133</v>
      </c>
      <c r="P2" s="67" t="s">
        <v>24</v>
      </c>
      <c r="Q2" s="68" t="s">
        <v>26</v>
      </c>
      <c r="R2" s="67" t="s">
        <v>22</v>
      </c>
      <c r="S2" s="70" t="s">
        <v>142</v>
      </c>
      <c r="T2" s="70"/>
      <c r="U2" s="70"/>
      <c r="V2" s="70"/>
      <c r="W2" s="69" t="s">
        <v>153</v>
      </c>
      <c r="X2" s="69"/>
      <c r="Y2" s="70" t="s">
        <v>160</v>
      </c>
      <c r="Z2" s="70"/>
      <c r="AA2" s="70"/>
      <c r="AB2" s="69" t="s">
        <v>170</v>
      </c>
      <c r="AC2" s="69"/>
      <c r="AD2" s="70" t="s">
        <v>177</v>
      </c>
      <c r="AE2" s="70"/>
      <c r="AG2" s="67" t="s">
        <v>114</v>
      </c>
      <c r="AH2" s="70" t="s">
        <v>117</v>
      </c>
      <c r="AI2" s="70"/>
      <c r="AJ2" s="70"/>
      <c r="AK2" s="70"/>
      <c r="AL2" s="68" t="s">
        <v>192</v>
      </c>
      <c r="AM2" s="67" t="s">
        <v>133</v>
      </c>
      <c r="AN2" s="68" t="s">
        <v>24</v>
      </c>
      <c r="AO2" s="67" t="s">
        <v>26</v>
      </c>
      <c r="AP2" s="68" t="s">
        <v>22</v>
      </c>
      <c r="AQ2" s="69" t="s">
        <v>142</v>
      </c>
      <c r="AR2" s="69"/>
      <c r="AS2" s="69"/>
      <c r="AT2" s="69"/>
      <c r="AU2" s="70" t="s">
        <v>153</v>
      </c>
      <c r="AV2" s="70"/>
      <c r="AW2" s="69" t="s">
        <v>160</v>
      </c>
      <c r="AX2" s="69"/>
      <c r="AY2" s="69"/>
      <c r="AZ2" s="70" t="s">
        <v>170</v>
      </c>
      <c r="BA2" s="70"/>
      <c r="BB2" s="69" t="s">
        <v>177</v>
      </c>
      <c r="BC2" s="69"/>
      <c r="BE2" s="68" t="s">
        <v>229</v>
      </c>
      <c r="BF2" s="67" t="s">
        <v>232</v>
      </c>
      <c r="BG2" s="68" t="s">
        <v>232</v>
      </c>
      <c r="BI2" s="69" t="s">
        <v>237</v>
      </c>
      <c r="BJ2" s="69"/>
      <c r="BK2" s="70" t="s">
        <v>242</v>
      </c>
      <c r="BL2" s="70"/>
      <c r="BM2" s="70"/>
      <c r="BO2" s="69" t="s">
        <v>249</v>
      </c>
      <c r="BP2" s="69"/>
      <c r="BQ2" s="70" t="s">
        <v>254</v>
      </c>
      <c r="BR2" s="70"/>
      <c r="BS2" s="70"/>
      <c r="BU2" t="s">
        <v>549</v>
      </c>
    </row>
    <row r="3" spans="1:73" ht="17" thickBot="1" x14ac:dyDescent="0.25">
      <c r="A3" s="67"/>
      <c r="B3" s="68"/>
      <c r="C3" s="67"/>
      <c r="D3" s="68"/>
      <c r="E3" s="67"/>
      <c r="F3" s="68"/>
      <c r="G3" s="67"/>
      <c r="I3" s="68"/>
      <c r="J3" s="11" t="s">
        <v>118</v>
      </c>
      <c r="K3" s="11" t="s">
        <v>121</v>
      </c>
      <c r="L3" s="11" t="s">
        <v>124</v>
      </c>
      <c r="M3" s="11" t="s">
        <v>127</v>
      </c>
      <c r="N3" s="67"/>
      <c r="O3" s="68"/>
      <c r="P3" s="67"/>
      <c r="Q3" s="68"/>
      <c r="R3" s="67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7"/>
      <c r="AH3" s="12" t="s">
        <v>118</v>
      </c>
      <c r="AI3" s="12" t="s">
        <v>121</v>
      </c>
      <c r="AJ3" s="12" t="s">
        <v>124</v>
      </c>
      <c r="AK3" s="12" t="s">
        <v>127</v>
      </c>
      <c r="AL3" s="68"/>
      <c r="AM3" s="67"/>
      <c r="AN3" s="68"/>
      <c r="AO3" s="67"/>
      <c r="AP3" s="68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8"/>
      <c r="BF3" s="67"/>
      <c r="BG3" s="68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19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1.3665449999999999</v>
      </c>
      <c r="J5" s="18">
        <f t="shared" ref="J5:J29" si="1">IF(ISBLANK(S5),"·",S5/D5)</f>
        <v>5.8389204025053175E-2</v>
      </c>
      <c r="K5" s="18">
        <f t="shared" ref="K5:K29" si="2">IF(N5="","·",N5/D5)</f>
        <v>4.7467065123008856E-2</v>
      </c>
      <c r="L5" s="18">
        <f t="shared" ref="L5:L29" si="3">IF(T5="","·",T5/D5)</f>
        <v>2.747150425480889E-2</v>
      </c>
      <c r="M5" s="18">
        <f t="shared" ref="M5:M29" si="4">IF(ISBLANK(V5),"·",V5/D5)</f>
        <v>1.0902911476814069E-2</v>
      </c>
      <c r="N5" s="15">
        <f t="shared" ref="N5:N29" si="5">IF(OR(ISBLANK(T5),ISBLANK(U5)),"",T5+U5)</f>
        <v>1184984</v>
      </c>
      <c r="O5" s="18">
        <f t="shared" ref="O5:O29" si="6">IF(ISBLANK(S5),"·",S5/P5)</f>
        <v>6.316417755742687E-2</v>
      </c>
      <c r="P5" s="19">
        <v>23077131</v>
      </c>
      <c r="Q5" s="19">
        <v>721160.34375</v>
      </c>
      <c r="R5" s="19">
        <v>15865.875</v>
      </c>
      <c r="S5" s="20">
        <v>1457648</v>
      </c>
      <c r="T5" s="20">
        <v>685808</v>
      </c>
      <c r="U5" s="20">
        <v>499176</v>
      </c>
      <c r="V5" s="20">
        <v>272184</v>
      </c>
      <c r="W5" s="21">
        <v>66.697141000000002</v>
      </c>
      <c r="X5" s="21">
        <v>68.476271999999994</v>
      </c>
      <c r="Y5" s="21">
        <v>31.336321999999999</v>
      </c>
      <c r="Z5" s="21">
        <v>43.356966</v>
      </c>
      <c r="AA5" s="21">
        <v>42.911453000000002</v>
      </c>
      <c r="AB5" s="22">
        <v>5223.25</v>
      </c>
      <c r="AC5" s="22">
        <v>2370.1999999999998</v>
      </c>
      <c r="AD5" s="22">
        <v>8.6869999999999994</v>
      </c>
      <c r="AE5" s="22">
        <v>11.701000000000001</v>
      </c>
      <c r="AG5" s="17">
        <f t="shared" ref="AG5:AG29" si="7">IF(OR(ISBLANK(AQ5),ISBLANK(G5)),"·",AQ5*G5/F5/1000000)</f>
        <v>1.3013325</v>
      </c>
      <c r="AH5" s="18">
        <f t="shared" ref="AH5:AH29" si="8">IF(ISBLANK(AQ5),"·",AQ5/D5)</f>
        <v>5.5602829652102573E-2</v>
      </c>
      <c r="AI5" s="18">
        <f t="shared" ref="AI5:AI29" si="9">IF(AL5="","·",AL5/D5)</f>
        <v>4.5632768756042871E-2</v>
      </c>
      <c r="AJ5" s="18">
        <f t="shared" ref="AJ5:AJ29" si="10">IF(AR5="","·",AR5/D5)</f>
        <v>2.7466376941414156E-2</v>
      </c>
      <c r="AK5" s="18">
        <f t="shared" ref="AK5:AK29" si="11">IF(ISBLANK(AT5),"·",AT5/D5)</f>
        <v>9.9508334708294528E-3</v>
      </c>
      <c r="AL5" s="15">
        <f t="shared" ref="AL5:AL29" si="12">IF(OR(ISBLANK(AR5),ISBLANK(AS5)),"",AR5+AS5)</f>
        <v>1139192</v>
      </c>
      <c r="AM5" s="18">
        <f t="shared" ref="AM5:AM29" si="13">IF(ISBLANK(AQ5),"·",AQ5/AN5)</f>
        <v>5.9447957918653371E-2</v>
      </c>
      <c r="AN5" s="19">
        <v>23349633</v>
      </c>
      <c r="AO5" s="19">
        <v>729676.03125</v>
      </c>
      <c r="AP5" s="19">
        <v>16544.21875</v>
      </c>
      <c r="AQ5" s="20">
        <v>1388088</v>
      </c>
      <c r="AR5" s="20">
        <v>685680</v>
      </c>
      <c r="AS5" s="20">
        <v>453512</v>
      </c>
      <c r="AT5" s="20">
        <v>248416</v>
      </c>
      <c r="AU5" s="21">
        <v>66.724784</v>
      </c>
      <c r="AV5" s="21">
        <v>68.433678</v>
      </c>
      <c r="AW5" s="21">
        <v>31.466303</v>
      </c>
      <c r="AX5" s="21">
        <v>43.806294000000001</v>
      </c>
      <c r="AY5" s="21">
        <v>43.226883999999998</v>
      </c>
      <c r="AZ5" s="22">
        <v>3669.8</v>
      </c>
      <c r="BA5" s="22">
        <v>2095.89</v>
      </c>
      <c r="BB5" s="22">
        <v>7.9939999999999998</v>
      </c>
      <c r="BC5" s="22">
        <v>10.909000000000001</v>
      </c>
      <c r="BE5" s="23">
        <f t="shared" ref="BE5:BE29" si="14">(AP5/AO5) - (R5/Q5)</f>
        <v>6.7289386155102576E-4</v>
      </c>
      <c r="BF5" s="23">
        <f t="shared" ref="BF5:BF29" si="15">(AL5/AQ5) - (N5/S5)</f>
        <v>7.7489898760457754E-3</v>
      </c>
      <c r="BG5" s="23">
        <f t="array" ref="BG5">AVERAGE(AL5:AL9/AQ5:AQ9) - AVERAGE(N5:N9/S5:S9)</f>
        <v>9.2746854469507589E-3</v>
      </c>
      <c r="BI5" s="24">
        <f>IF( OR(ISBLANK(N5:N9),ISBLANK(AL5:AL9), ISBLANK(W5:W9),ISBLANK(AU5:AU9)), "·", bdRateExtend( N5:N9,W5:W9, AL5:AL9,AU5:AU9))</f>
        <v>-2.9689532041274891E-2</v>
      </c>
      <c r="BJ5" s="24">
        <f>IF( OR(ISBLANK(N5:N9),ISBLANK(AL5:AL9), ISBLANK(X5:X9),ISBLANK(AV5:AV9)), "·", bdRateExtend( N5:N9,X5:X9, AL5:AL9,AV5:AV9))</f>
        <v>-2.6320482169156834E-2</v>
      </c>
      <c r="BK5" s="24">
        <f>IF( OR(ISBLANK(V5:V9),ISBLANK(AT5:AT9), ISBLANK(Y5:Y9),ISBLANK(AW5:AW9)), "·", bdRateExtend( V5:V9,Y5:Y9, AT5:AT9,AW5:AW9))</f>
        <v>-0.10627942377642197</v>
      </c>
      <c r="BL5" s="24">
        <f>IF( OR(ISBLANK(V5:V9),ISBLANK(AT5:AT9), ISBLANK(Z5:Z9),ISBLANK(AX5:AX9)), "·", bdRateExtend( V5:V9,Z5:Z9, AT5:AT9,AX5:AX9))</f>
        <v>-0.17020371762386544</v>
      </c>
      <c r="BM5" s="24">
        <f>IF( OR(ISBLANK(V5:V9),ISBLANK(AT5:AT9), ISBLANK(AA5:AA9),ISBLANK(AY5:AY9)), "·", bdRateExtend( V5:V9,AA5:AA9, AT5:AT9,AY5:AY9))</f>
        <v>-0.16995237165798149</v>
      </c>
      <c r="BO5" s="24">
        <f>IF( OR(ISBLANK(S5:S9),ISBLANK(AQ5:AQ9), ISBLANK(W5:W9),ISBLANK(AU5:AU9)), "·", bdRateExtend( S5:S9,W5:W9, AQ5:AQ9,AU5:AU9))</f>
        <v>-4.5328530715196824E-2</v>
      </c>
      <c r="BP5" s="24">
        <f>IF( OR(ISBLANK(S5:S9),ISBLANK(AQ5:AQ9), ISBLANK(X5:X9),ISBLANK(AV5:AV9)), "·", bdRateExtend( S5:S9,X5:X9, AQ5:AQ9,AV5:AV9))</f>
        <v>-4.117809608167522E-2</v>
      </c>
      <c r="BQ5" s="24">
        <f>IF( OR(ISBLANK(S5:S9),ISBLANK(AQ5:AQ9), ISBLANK(Y5:Y9),ISBLANK(AW5:AW9)), "·", bdRateExtend( S5:S9,Y5:Y9, AQ5:AQ9,AW5:AW9))</f>
        <v>-6.4525070273195873E-2</v>
      </c>
      <c r="BR5" s="24">
        <f>IF( OR(ISBLANK(S5:S9),ISBLANK(AQ5:AQ9), ISBLANK(Z5:Z9),ISBLANK(AX5:AX9)), "·", bdRateExtend( S5:S9,Z5:Z9, AQ5:AQ9,AX5:AX9))</f>
        <v>-0.10453461953387455</v>
      </c>
      <c r="BS5" s="24">
        <f>IF( OR(ISBLANK(S5:S9),ISBLANK(AQ5:AQ9), ISBLANK(AA5:AA9),ISBLANK(AY5:AY9)), "·", bdRateExtend( S5:S9,AA5:AA9, AQ5:AQ9,AY5:AY9))</f>
        <v>-0.10867300186047302</v>
      </c>
      <c r="BU5">
        <f>AQ5-S5</f>
        <v>-69560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1.786815</v>
      </c>
      <c r="J6" s="28">
        <f t="shared" si="1"/>
        <v>7.6346337361759317E-2</v>
      </c>
      <c r="K6" s="28">
        <f t="shared" si="2"/>
        <v>5.7033350089233277E-2</v>
      </c>
      <c r="L6" s="28">
        <f t="shared" si="3"/>
        <v>3.7037789221033311E-2</v>
      </c>
      <c r="M6" s="28">
        <f t="shared" si="4"/>
        <v>1.929375984729579E-2</v>
      </c>
      <c r="N6" s="25">
        <f t="shared" si="5"/>
        <v>1423800</v>
      </c>
      <c r="O6" s="28">
        <f t="shared" si="6"/>
        <v>7.718512514129483E-2</v>
      </c>
      <c r="P6" s="29">
        <v>24693048</v>
      </c>
      <c r="Q6" s="29">
        <v>771657.75</v>
      </c>
      <c r="R6" s="29">
        <v>19943.125</v>
      </c>
      <c r="S6" s="30">
        <v>1905936</v>
      </c>
      <c r="T6" s="30">
        <v>924624</v>
      </c>
      <c r="U6" s="30">
        <v>499176</v>
      </c>
      <c r="V6" s="30">
        <v>481656</v>
      </c>
      <c r="W6" s="31">
        <v>68.437730999999999</v>
      </c>
      <c r="X6" s="31">
        <v>70.442346999999998</v>
      </c>
      <c r="Y6" s="31">
        <v>33.412202999999998</v>
      </c>
      <c r="Z6" s="31">
        <v>44.839784000000002</v>
      </c>
      <c r="AA6" s="31">
        <v>44.466915999999998</v>
      </c>
      <c r="AB6" s="32">
        <v>5171.5</v>
      </c>
      <c r="AC6" s="32">
        <v>2573.36</v>
      </c>
      <c r="AD6" s="32">
        <v>8.6419999999999995</v>
      </c>
      <c r="AE6" s="32">
        <v>11.991</v>
      </c>
      <c r="AG6" s="27">
        <f t="shared" si="7"/>
        <v>1.7071425</v>
      </c>
      <c r="AH6" s="28">
        <f t="shared" si="8"/>
        <v>7.2942121724743306E-2</v>
      </c>
      <c r="AI6" s="28">
        <f t="shared" si="9"/>
        <v>5.5147460131232784E-2</v>
      </c>
      <c r="AJ6" s="28">
        <f t="shared" si="10"/>
        <v>3.6981068316604068E-2</v>
      </c>
      <c r="AK6" s="28">
        <f t="shared" si="11"/>
        <v>1.7775434168280268E-2</v>
      </c>
      <c r="AL6" s="25">
        <f t="shared" si="12"/>
        <v>1376720</v>
      </c>
      <c r="AM6" s="28">
        <f t="shared" si="13"/>
        <v>7.3627993510699929E-2</v>
      </c>
      <c r="AN6" s="29">
        <v>24731789</v>
      </c>
      <c r="AO6" s="29">
        <v>772868.40625</v>
      </c>
      <c r="AP6" s="29">
        <v>20180.96875</v>
      </c>
      <c r="AQ6" s="30">
        <v>1820952</v>
      </c>
      <c r="AR6" s="30">
        <v>923208</v>
      </c>
      <c r="AS6" s="30">
        <v>453512</v>
      </c>
      <c r="AT6" s="30">
        <v>443752</v>
      </c>
      <c r="AU6" s="31">
        <v>68.456211999999994</v>
      </c>
      <c r="AV6" s="31">
        <v>70.450034000000002</v>
      </c>
      <c r="AW6" s="31">
        <v>33.587190999999997</v>
      </c>
      <c r="AX6" s="31">
        <v>45.135230999999997</v>
      </c>
      <c r="AY6" s="31">
        <v>44.680872000000001</v>
      </c>
      <c r="AZ6" s="32">
        <v>4008.59</v>
      </c>
      <c r="BA6" s="32">
        <v>2291.92</v>
      </c>
      <c r="BB6" s="32">
        <v>8.25</v>
      </c>
      <c r="BC6" s="32">
        <v>11.228999999999999</v>
      </c>
      <c r="BE6" s="33">
        <f t="shared" si="14"/>
        <v>2.6725755294766673E-4</v>
      </c>
      <c r="BF6" s="33">
        <f t="shared" si="15"/>
        <v>9.0095633056211932E-3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-84984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2.49003</v>
      </c>
      <c r="J7" s="18">
        <f t="shared" si="1"/>
        <v>0.10639303476907322</v>
      </c>
      <c r="K7" s="18">
        <f t="shared" si="2"/>
        <v>6.9324161210584323E-2</v>
      </c>
      <c r="L7" s="18">
        <f t="shared" si="3"/>
        <v>4.9328600342384364E-2</v>
      </c>
      <c r="M7" s="18">
        <f t="shared" si="4"/>
        <v>3.7049646133258632E-2</v>
      </c>
      <c r="N7" s="15">
        <f t="shared" si="5"/>
        <v>1730632</v>
      </c>
      <c r="O7" s="18">
        <f t="shared" si="6"/>
        <v>0.10677084202226202</v>
      </c>
      <c r="P7" s="19">
        <v>24876005</v>
      </c>
      <c r="Q7" s="19">
        <v>777375.15625</v>
      </c>
      <c r="R7" s="19">
        <v>21136.9375</v>
      </c>
      <c r="S7" s="20">
        <v>2656032</v>
      </c>
      <c r="T7" s="20">
        <v>1231456</v>
      </c>
      <c r="U7" s="20">
        <v>499176</v>
      </c>
      <c r="V7" s="20">
        <v>924920</v>
      </c>
      <c r="W7" s="21">
        <v>69.746521999999999</v>
      </c>
      <c r="X7" s="21">
        <v>72.101208999999997</v>
      </c>
      <c r="Y7" s="21">
        <v>35.850994</v>
      </c>
      <c r="Z7" s="21">
        <v>46.146180999999999</v>
      </c>
      <c r="AA7" s="21">
        <v>45.917096999999998</v>
      </c>
      <c r="AB7" s="22">
        <v>5063.54</v>
      </c>
      <c r="AC7" s="22">
        <v>2741.36</v>
      </c>
      <c r="AD7" s="22">
        <v>8.9990000000000006</v>
      </c>
      <c r="AE7" s="22">
        <v>12.433999999999999</v>
      </c>
      <c r="AG7" s="17">
        <f t="shared" si="7"/>
        <v>2.3800124999999999</v>
      </c>
      <c r="AH7" s="18">
        <f t="shared" si="8"/>
        <v>0.10169224975736392</v>
      </c>
      <c r="AI7" s="18">
        <f t="shared" si="9"/>
        <v>6.7238306030189224E-2</v>
      </c>
      <c r="AJ7" s="18">
        <f t="shared" si="10"/>
        <v>4.9071914215560508E-2</v>
      </c>
      <c r="AK7" s="18">
        <f t="shared" si="11"/>
        <v>3.4434716301944439E-2</v>
      </c>
      <c r="AL7" s="15">
        <f t="shared" si="12"/>
        <v>1678560</v>
      </c>
      <c r="AM7" s="18">
        <f t="shared" si="13"/>
        <v>0.1018822622334524</v>
      </c>
      <c r="AN7" s="19">
        <v>24917782</v>
      </c>
      <c r="AO7" s="19">
        <v>778680.6875</v>
      </c>
      <c r="AP7" s="19">
        <v>21312.59375</v>
      </c>
      <c r="AQ7" s="20">
        <v>2538680</v>
      </c>
      <c r="AR7" s="20">
        <v>1225048</v>
      </c>
      <c r="AS7" s="20">
        <v>453512</v>
      </c>
      <c r="AT7" s="20">
        <v>859640</v>
      </c>
      <c r="AU7" s="21">
        <v>69.764097000000007</v>
      </c>
      <c r="AV7" s="21">
        <v>72.103230999999994</v>
      </c>
      <c r="AW7" s="21">
        <v>36.009197</v>
      </c>
      <c r="AX7" s="21">
        <v>46.360427999999999</v>
      </c>
      <c r="AY7" s="21">
        <v>46.092122000000003</v>
      </c>
      <c r="AZ7" s="22">
        <v>5090.99</v>
      </c>
      <c r="BA7" s="22">
        <v>3029.59</v>
      </c>
      <c r="BB7" s="22">
        <v>8.9949999999999992</v>
      </c>
      <c r="BC7" s="22">
        <v>13.942</v>
      </c>
      <c r="BE7" s="23">
        <f t="shared" si="14"/>
        <v>1.7999505813229288E-4</v>
      </c>
      <c r="BF7" s="23">
        <f t="shared" si="15"/>
        <v>9.6084832680132237E-3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-117352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4.1190674999999999</v>
      </c>
      <c r="J8" s="28">
        <f t="shared" si="1"/>
        <v>0.1759979163880192</v>
      </c>
      <c r="K8" s="28">
        <f t="shared" si="2"/>
        <v>9.5772445986056678E-2</v>
      </c>
      <c r="L8" s="28">
        <f t="shared" si="3"/>
        <v>7.5776885117856713E-2</v>
      </c>
      <c r="M8" s="28">
        <f t="shared" si="4"/>
        <v>8.0206242976732289E-2</v>
      </c>
      <c r="N8" s="25">
        <f t="shared" si="5"/>
        <v>2390896</v>
      </c>
      <c r="O8" s="28">
        <f t="shared" si="6"/>
        <v>0.168712577781959</v>
      </c>
      <c r="P8" s="29">
        <v>26042350</v>
      </c>
      <c r="Q8" s="29">
        <v>813823.4375</v>
      </c>
      <c r="R8" s="29">
        <v>24959.15625</v>
      </c>
      <c r="S8" s="30">
        <v>4393672</v>
      </c>
      <c r="T8" s="30">
        <v>1891720</v>
      </c>
      <c r="U8" s="30">
        <v>499176</v>
      </c>
      <c r="V8" s="30">
        <v>2002296</v>
      </c>
      <c r="W8" s="31">
        <v>70.765908999999994</v>
      </c>
      <c r="X8" s="31">
        <v>73.298597000000001</v>
      </c>
      <c r="Y8" s="31">
        <v>38.416184000000001</v>
      </c>
      <c r="Z8" s="31">
        <v>47.510184000000002</v>
      </c>
      <c r="AA8" s="31">
        <v>47.331428000000002</v>
      </c>
      <c r="AB8" s="32">
        <v>5246.07</v>
      </c>
      <c r="AC8" s="32">
        <v>2970.89</v>
      </c>
      <c r="AD8" s="32">
        <v>9.7309999999999999</v>
      </c>
      <c r="AE8" s="32">
        <v>13.202999999999999</v>
      </c>
      <c r="AG8" s="27">
        <f t="shared" si="7"/>
        <v>3.9601649999999999</v>
      </c>
      <c r="AH8" s="28">
        <f t="shared" si="8"/>
        <v>0.16920839208213026</v>
      </c>
      <c r="AI8" s="28">
        <f t="shared" si="9"/>
        <v>9.3941674647049569E-2</v>
      </c>
      <c r="AJ8" s="28">
        <f t="shared" si="10"/>
        <v>7.5775282832420854E-2</v>
      </c>
      <c r="AK8" s="28">
        <f t="shared" si="11"/>
        <v>7.5247490009850454E-2</v>
      </c>
      <c r="AL8" s="25">
        <f t="shared" si="12"/>
        <v>2345192</v>
      </c>
      <c r="AM8" s="28">
        <f t="shared" si="13"/>
        <v>0.16214753621057726</v>
      </c>
      <c r="AN8" s="29">
        <v>26051435</v>
      </c>
      <c r="AO8" s="29">
        <v>814107.34375</v>
      </c>
      <c r="AP8" s="29">
        <v>25021.125</v>
      </c>
      <c r="AQ8" s="30">
        <v>4224176</v>
      </c>
      <c r="AR8" s="30">
        <v>1891680</v>
      </c>
      <c r="AS8" s="30">
        <v>453512</v>
      </c>
      <c r="AT8" s="30">
        <v>1878504</v>
      </c>
      <c r="AU8" s="31">
        <v>70.767750000000007</v>
      </c>
      <c r="AV8" s="31">
        <v>73.299706</v>
      </c>
      <c r="AW8" s="31">
        <v>38.533675000000002</v>
      </c>
      <c r="AX8" s="31">
        <v>47.679659000000001</v>
      </c>
      <c r="AY8" s="31">
        <v>47.651031000000003</v>
      </c>
      <c r="AZ8" s="32">
        <v>5139.72</v>
      </c>
      <c r="BA8" s="32">
        <v>3291.19</v>
      </c>
      <c r="BB8" s="32">
        <v>9.2560000000000002</v>
      </c>
      <c r="BC8" s="32">
        <v>14.686999999999999</v>
      </c>
      <c r="BE8" s="33">
        <f t="shared" si="14"/>
        <v>6.5423347176258445E-5</v>
      </c>
      <c r="BF8" s="33">
        <f t="shared" si="15"/>
        <v>1.1015239590470571E-2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-169496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8.5507574999999996</v>
      </c>
      <c r="J9" s="38">
        <f t="shared" si="1"/>
        <v>0.36535344554058125</v>
      </c>
      <c r="K9" s="38">
        <f t="shared" si="2"/>
        <v>0.16237079921316569</v>
      </c>
      <c r="L9" s="38">
        <f t="shared" si="3"/>
        <v>0.12224732869976419</v>
      </c>
      <c r="M9" s="38">
        <f t="shared" si="4"/>
        <v>0.20296341890218533</v>
      </c>
      <c r="N9" s="35">
        <f t="shared" si="5"/>
        <v>4053480</v>
      </c>
      <c r="O9" s="38">
        <f t="shared" si="6"/>
        <v>0.36395226885581589</v>
      </c>
      <c r="P9" s="39">
        <v>25060451</v>
      </c>
      <c r="Q9" s="39">
        <v>783139.09375</v>
      </c>
      <c r="R9" s="39">
        <v>7622.25</v>
      </c>
      <c r="S9" s="40">
        <v>9120808</v>
      </c>
      <c r="T9" s="40">
        <v>3051824</v>
      </c>
      <c r="U9" s="40">
        <v>1001656</v>
      </c>
      <c r="V9" s="40">
        <v>5066848</v>
      </c>
      <c r="W9" s="41">
        <v>72.129934000000006</v>
      </c>
      <c r="X9" s="41">
        <v>75.243352999999999</v>
      </c>
      <c r="Y9" s="41">
        <v>41.025038000000002</v>
      </c>
      <c r="Z9" s="41">
        <v>49.209865999999998</v>
      </c>
      <c r="AA9" s="41">
        <v>49.264519</v>
      </c>
      <c r="AB9" s="42">
        <v>3986.28</v>
      </c>
      <c r="AC9" s="42">
        <v>2888.57</v>
      </c>
      <c r="AD9" s="42">
        <v>9.3810000000000002</v>
      </c>
      <c r="AE9" s="42">
        <v>12.682</v>
      </c>
      <c r="AG9" s="37">
        <f t="shared" si="7"/>
        <v>8.2854224999999992</v>
      </c>
      <c r="AH9" s="38">
        <f t="shared" si="8"/>
        <v>0.3540163147106507</v>
      </c>
      <c r="AI9" s="38">
        <f t="shared" si="9"/>
        <v>0.16051535267844644</v>
      </c>
      <c r="AJ9" s="38">
        <f t="shared" si="10"/>
        <v>0.12300264605422591</v>
      </c>
      <c r="AK9" s="38">
        <f t="shared" si="11"/>
        <v>0.19348173460697402</v>
      </c>
      <c r="AL9" s="35">
        <f t="shared" si="12"/>
        <v>4007160</v>
      </c>
      <c r="AM9" s="38">
        <f t="shared" si="13"/>
        <v>0.35215610834639538</v>
      </c>
      <c r="AN9" s="39">
        <v>25096211</v>
      </c>
      <c r="AO9" s="39">
        <v>784256.59375</v>
      </c>
      <c r="AP9" s="39">
        <v>7639.375</v>
      </c>
      <c r="AQ9" s="40">
        <v>8837784</v>
      </c>
      <c r="AR9" s="40">
        <v>3070680</v>
      </c>
      <c r="AS9" s="40">
        <v>936480</v>
      </c>
      <c r="AT9" s="40">
        <v>4830144</v>
      </c>
      <c r="AU9" s="41">
        <v>72.139640999999997</v>
      </c>
      <c r="AV9" s="41">
        <v>75.228609000000006</v>
      </c>
      <c r="AW9" s="41">
        <v>41.085934000000002</v>
      </c>
      <c r="AX9" s="41">
        <v>49.358280999999998</v>
      </c>
      <c r="AY9" s="41">
        <v>49.425009000000003</v>
      </c>
      <c r="AZ9" s="42">
        <v>5101.62</v>
      </c>
      <c r="BA9" s="42">
        <v>3701.68</v>
      </c>
      <c r="BB9" s="42">
        <v>10.577</v>
      </c>
      <c r="BC9" s="42">
        <v>16.193000000000001</v>
      </c>
      <c r="BE9" s="43">
        <f t="shared" si="14"/>
        <v>7.9673331693733834E-6</v>
      </c>
      <c r="BF9" s="43">
        <f t="shared" si="15"/>
        <v>8.9911511946023648E-3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-283024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2.1041699999999999</v>
      </c>
      <c r="J10" s="28">
        <f t="shared" si="1"/>
        <v>9.9071679722993675E-2</v>
      </c>
      <c r="K10" s="28">
        <f t="shared" si="2"/>
        <v>7.1505234500308087E-2</v>
      </c>
      <c r="L10" s="28">
        <f t="shared" si="3"/>
        <v>3.8061709601444532E-2</v>
      </c>
      <c r="M10" s="28">
        <f t="shared" si="4"/>
        <v>2.7545257649497421E-2</v>
      </c>
      <c r="N10" s="25">
        <f t="shared" si="5"/>
        <v>1619936</v>
      </c>
      <c r="O10" s="28">
        <f t="shared" si="6"/>
        <v>0.1069111044413507</v>
      </c>
      <c r="P10" s="29">
        <v>20993591</v>
      </c>
      <c r="Q10" s="29">
        <v>656049.71875</v>
      </c>
      <c r="R10" s="29">
        <v>19815.4375</v>
      </c>
      <c r="S10" s="30">
        <v>2244448</v>
      </c>
      <c r="T10" s="30">
        <v>862280</v>
      </c>
      <c r="U10" s="30">
        <v>757656</v>
      </c>
      <c r="V10" s="30">
        <v>624032</v>
      </c>
      <c r="W10" s="31">
        <v>65.961984000000001</v>
      </c>
      <c r="X10" s="31">
        <v>67.819225000000003</v>
      </c>
      <c r="Y10" s="31">
        <v>30.780919000000001</v>
      </c>
      <c r="Z10" s="31">
        <v>38.347727999999996</v>
      </c>
      <c r="AA10" s="31">
        <v>29.883928000000001</v>
      </c>
      <c r="AB10" s="32">
        <v>3516.99</v>
      </c>
      <c r="AC10" s="32">
        <v>2319.91</v>
      </c>
      <c r="AD10" s="32">
        <v>7.6710000000000003</v>
      </c>
      <c r="AE10" s="32">
        <v>10.605</v>
      </c>
      <c r="AG10" s="27">
        <f t="shared" si="7"/>
        <v>2.1252599999999999</v>
      </c>
      <c r="AH10" s="28">
        <f t="shared" si="8"/>
        <v>0.10006467065307914</v>
      </c>
      <c r="AI10" s="28">
        <f t="shared" si="9"/>
        <v>7.2044105111727152E-2</v>
      </c>
      <c r="AJ10" s="28">
        <f t="shared" si="10"/>
        <v>3.9283173195742413E-2</v>
      </c>
      <c r="AK10" s="28">
        <f t="shared" si="11"/>
        <v>2.7999377968163819E-2</v>
      </c>
      <c r="AL10" s="25">
        <f t="shared" si="12"/>
        <v>1632144</v>
      </c>
      <c r="AM10" s="28">
        <f t="shared" si="13"/>
        <v>0.10857057771941653</v>
      </c>
      <c r="AN10" s="29">
        <v>20879911</v>
      </c>
      <c r="AO10" s="29">
        <v>652497.21875</v>
      </c>
      <c r="AP10" s="29">
        <v>19393.90625</v>
      </c>
      <c r="AQ10" s="30">
        <v>2266944</v>
      </c>
      <c r="AR10" s="30">
        <v>889952</v>
      </c>
      <c r="AS10" s="30">
        <v>742192</v>
      </c>
      <c r="AT10" s="30">
        <v>634320</v>
      </c>
      <c r="AU10" s="31">
        <v>65.949196999999998</v>
      </c>
      <c r="AV10" s="31">
        <v>67.854293999999996</v>
      </c>
      <c r="AW10" s="31">
        <v>30.837527999999999</v>
      </c>
      <c r="AX10" s="31">
        <v>38.427090999999997</v>
      </c>
      <c r="AY10" s="31">
        <v>29.937131000000001</v>
      </c>
      <c r="AZ10" s="32">
        <v>3518.6</v>
      </c>
      <c r="BA10" s="32">
        <v>2744.94</v>
      </c>
      <c r="BB10" s="32">
        <v>7.3840000000000003</v>
      </c>
      <c r="BC10" s="32">
        <v>13.304</v>
      </c>
      <c r="BE10" s="33">
        <f t="shared" si="14"/>
        <v>-4.8158202916834258E-4</v>
      </c>
      <c r="BF10" s="33">
        <f t="shared" si="15"/>
        <v>-1.777081696693994E-3</v>
      </c>
      <c r="BG10" s="33">
        <f t="array" ref="BG10">AVERAGE(AL10:AL14/AQ10:AQ14) - AVERAGE(N10:N14/S10:S14)</f>
        <v>-4.6727598672313686E-4</v>
      </c>
      <c r="BI10" s="34">
        <f>IF( OR(ISBLANK(N10:N14),ISBLANK(AL10:AL14), ISBLANK(W10:W14),ISBLANK(AU10:AU14)), "·", bdRateExtend( N10:N14,W10:W14, AL10:AL14,AU10:AU14))</f>
        <v>7.3530479117949188E-3</v>
      </c>
      <c r="BJ10" s="34">
        <f>IF( OR(ISBLANK(N10:N14),ISBLANK(AL10:AL14), ISBLANK(X10:X14),ISBLANK(AV10:AV14)), "·", bdRateExtend( N10:N14,X10:X14, AL10:AL14,AV10:AV14))</f>
        <v>5.8067876617704517E-3</v>
      </c>
      <c r="BK10" s="34">
        <f>IF( OR(ISBLANK(V10:V14),ISBLANK(AT10:AT14), ISBLANK(Y10:Y14),ISBLANK(AW10:AW14)), "·", bdRateExtend( V10:V14,Y10:Y14, AT10:AT14,AW10:AW14))</f>
        <v>4.5232457412502924E-3</v>
      </c>
      <c r="BL10" s="34">
        <f>IF( OR(ISBLANK(V10:V14),ISBLANK(AT10:AT14), ISBLANK(Z10:Z14),ISBLANK(AX10:AX14)), "·", bdRateExtend( V10:V14,Z10:Z14, AT10:AT14,AX10:AX14))</f>
        <v>-1.7577888691089893E-2</v>
      </c>
      <c r="BM10" s="34">
        <f>IF( OR(ISBLANK(V10:V14),ISBLANK(AT10:AT14), ISBLANK(AA10:AA14),ISBLANK(AY10:AY14)), "·", bdRateExtend( V10:V14,AA10:AA14, AT10:AT14,AY10:AY14))</f>
        <v>6.7448904523392805E-4</v>
      </c>
      <c r="BO10" s="34">
        <f>IF( OR(ISBLANK(S10:S14),ISBLANK(AQ10:AQ14), ISBLANK(W10:W14),ISBLANK(AU10:AU14)), "·", bdRateExtend( S10:S14,W10:W14, AQ10:AQ14,AU10:AU14))</f>
        <v>7.520359243614827E-3</v>
      </c>
      <c r="BP10" s="34">
        <f>IF( OR(ISBLANK(S10:S14),ISBLANK(AQ10:AQ14), ISBLANK(X10:X14),ISBLANK(AV10:AV14)), "·", bdRateExtend( S10:S14,X10:X14, AQ10:AQ14,AV10:AV14))</f>
        <v>4.9931547119177466E-3</v>
      </c>
      <c r="BQ10" s="34">
        <f>IF( OR(ISBLANK(S10:S14),ISBLANK(AQ10:AQ14), ISBLANK(Y10:Y14),ISBLANK(AW10:AW14)), "·", bdRateExtend( S10:S14,Y10:Y14, AQ10:AQ14,AW10:AW14))</f>
        <v>5.387249986103182E-3</v>
      </c>
      <c r="BR10" s="34">
        <f>IF( OR(ISBLANK(S10:S14),ISBLANK(AQ10:AQ14), ISBLANK(Z10:Z14),ISBLANK(AX10:AX14)), "·", bdRateExtend( S10:S14,Z10:Z14, AQ10:AQ14,AX10:AX14))</f>
        <v>-1.004277231217765E-2</v>
      </c>
      <c r="BS10" s="34">
        <f>IF( OR(ISBLANK(S10:S14),ISBLANK(AQ10:AQ14), ISBLANK(AA10:AA14),ISBLANK(AY10:AY14)), "·", bdRateExtend( S10:S14,AA10:AA14, AQ10:AQ14,AY10:AY14))</f>
        <v>2.6672016873947602E-3</v>
      </c>
      <c r="BU10" s="4">
        <f t="shared" si="16"/>
        <v>22496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2.9042699999999999</v>
      </c>
      <c r="J11" s="18">
        <f t="shared" si="1"/>
        <v>0.13674318485155612</v>
      </c>
      <c r="K11" s="18">
        <f t="shared" si="2"/>
        <v>8.6959097257537907E-2</v>
      </c>
      <c r="L11" s="18">
        <f t="shared" si="3"/>
        <v>5.3515572358674365E-2</v>
      </c>
      <c r="M11" s="18">
        <f t="shared" si="4"/>
        <v>4.9762900020830031E-2</v>
      </c>
      <c r="N11" s="15">
        <f t="shared" si="5"/>
        <v>1970040</v>
      </c>
      <c r="O11" s="18">
        <f t="shared" si="6"/>
        <v>0.1378679556406944</v>
      </c>
      <c r="P11" s="19">
        <v>22469964</v>
      </c>
      <c r="Q11" s="19">
        <v>702186.375</v>
      </c>
      <c r="R11" s="19">
        <v>25184.25</v>
      </c>
      <c r="S11" s="20">
        <v>3097888</v>
      </c>
      <c r="T11" s="20">
        <v>1212384</v>
      </c>
      <c r="U11" s="20">
        <v>757656</v>
      </c>
      <c r="V11" s="20">
        <v>1127368</v>
      </c>
      <c r="W11" s="21">
        <v>67.681241</v>
      </c>
      <c r="X11" s="21">
        <v>69.702297000000002</v>
      </c>
      <c r="Y11" s="21">
        <v>32.694363000000003</v>
      </c>
      <c r="Z11" s="21">
        <v>39.520256000000003</v>
      </c>
      <c r="AA11" s="21">
        <v>32.160274999999999</v>
      </c>
      <c r="AB11" s="22">
        <v>3456</v>
      </c>
      <c r="AC11" s="22">
        <v>2582.92</v>
      </c>
      <c r="AD11" s="22">
        <v>8.0990000000000002</v>
      </c>
      <c r="AE11" s="22">
        <v>11.176</v>
      </c>
      <c r="AG11" s="17">
        <f t="shared" si="7"/>
        <v>2.9256224999999998</v>
      </c>
      <c r="AH11" s="18">
        <f t="shared" si="8"/>
        <v>0.13774853519933467</v>
      </c>
      <c r="AI11" s="18">
        <f t="shared" si="9"/>
        <v>8.7603199482458219E-2</v>
      </c>
      <c r="AJ11" s="18">
        <f t="shared" si="10"/>
        <v>5.4842267566473472E-2</v>
      </c>
      <c r="AK11" s="18">
        <f t="shared" si="11"/>
        <v>5.0124148143688298E-2</v>
      </c>
      <c r="AL11" s="15">
        <f t="shared" si="12"/>
        <v>1984632</v>
      </c>
      <c r="AM11" s="18">
        <f t="shared" si="13"/>
        <v>0.13908414837352745</v>
      </c>
      <c r="AN11" s="19">
        <v>22437237</v>
      </c>
      <c r="AO11" s="19">
        <v>701163.65625</v>
      </c>
      <c r="AP11" s="19">
        <v>24852.75</v>
      </c>
      <c r="AQ11" s="20">
        <v>3120664</v>
      </c>
      <c r="AR11" s="20">
        <v>1242440</v>
      </c>
      <c r="AS11" s="20">
        <v>742192</v>
      </c>
      <c r="AT11" s="20">
        <v>1135552</v>
      </c>
      <c r="AU11" s="21">
        <v>67.676962000000003</v>
      </c>
      <c r="AV11" s="21">
        <v>69.730159</v>
      </c>
      <c r="AW11" s="21">
        <v>32.691730999999997</v>
      </c>
      <c r="AX11" s="21">
        <v>39.556178000000003</v>
      </c>
      <c r="AY11" s="21">
        <v>32.185969</v>
      </c>
      <c r="AZ11" s="22">
        <v>4548.34</v>
      </c>
      <c r="BA11" s="22">
        <v>3810.4</v>
      </c>
      <c r="BB11" s="22">
        <v>8.7680000000000007</v>
      </c>
      <c r="BC11" s="22">
        <v>16.788</v>
      </c>
      <c r="BE11" s="23">
        <f t="shared" si="14"/>
        <v>-4.2047202606853434E-4</v>
      </c>
      <c r="BF11" s="23">
        <f t="shared" si="15"/>
        <v>3.4626509373247849E-5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22776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4.1676599999999997</v>
      </c>
      <c r="J12" s="28">
        <f t="shared" si="1"/>
        <v>0.19622800282977695</v>
      </c>
      <c r="K12" s="28">
        <f t="shared" si="2"/>
        <v>0.10953198460599213</v>
      </c>
      <c r="L12" s="28">
        <f t="shared" si="3"/>
        <v>7.6088459707128589E-2</v>
      </c>
      <c r="M12" s="28">
        <f t="shared" si="4"/>
        <v>8.6674830650596654E-2</v>
      </c>
      <c r="N12" s="25">
        <f t="shared" si="5"/>
        <v>2481424</v>
      </c>
      <c r="O12" s="28">
        <f t="shared" si="6"/>
        <v>0.19492969273135871</v>
      </c>
      <c r="P12" s="29">
        <v>22805679</v>
      </c>
      <c r="Q12" s="29">
        <v>712677.46875</v>
      </c>
      <c r="R12" s="29">
        <v>26777.15625</v>
      </c>
      <c r="S12" s="30">
        <v>4445504</v>
      </c>
      <c r="T12" s="30">
        <v>1723768</v>
      </c>
      <c r="U12" s="30">
        <v>757656</v>
      </c>
      <c r="V12" s="30">
        <v>1963600</v>
      </c>
      <c r="W12" s="31">
        <v>69.028450000000007</v>
      </c>
      <c r="X12" s="31">
        <v>71.349162000000007</v>
      </c>
      <c r="Y12" s="31">
        <v>34.763063000000002</v>
      </c>
      <c r="Z12" s="31">
        <v>40.446319000000003</v>
      </c>
      <c r="AA12" s="31">
        <v>34.072181</v>
      </c>
      <c r="AB12" s="32">
        <v>4636.3500000000004</v>
      </c>
      <c r="AC12" s="32">
        <v>3222.96</v>
      </c>
      <c r="AD12" s="32">
        <v>8.5259999999999998</v>
      </c>
      <c r="AE12" s="32">
        <v>13.381</v>
      </c>
      <c r="AG12" s="27">
        <f t="shared" si="7"/>
        <v>4.2089474999999998</v>
      </c>
      <c r="AH12" s="28">
        <f t="shared" si="8"/>
        <v>0.19817196266979137</v>
      </c>
      <c r="AI12" s="28">
        <f t="shared" si="9"/>
        <v>0.11060231017821441</v>
      </c>
      <c r="AJ12" s="28">
        <f t="shared" si="10"/>
        <v>7.7841378262229671E-2</v>
      </c>
      <c r="AK12" s="28">
        <f t="shared" si="11"/>
        <v>8.7548464918388774E-2</v>
      </c>
      <c r="AL12" s="25">
        <f t="shared" si="12"/>
        <v>2505672</v>
      </c>
      <c r="AM12" s="28">
        <f t="shared" si="13"/>
        <v>0.19671447328490715</v>
      </c>
      <c r="AN12" s="29">
        <v>22822642</v>
      </c>
      <c r="AO12" s="29">
        <v>713207.5625</v>
      </c>
      <c r="AP12" s="29">
        <v>26622.59375</v>
      </c>
      <c r="AQ12" s="30">
        <v>4489544</v>
      </c>
      <c r="AR12" s="30">
        <v>1763480</v>
      </c>
      <c r="AS12" s="30">
        <v>742192</v>
      </c>
      <c r="AT12" s="30">
        <v>1983392</v>
      </c>
      <c r="AU12" s="31">
        <v>69.036018999999996</v>
      </c>
      <c r="AV12" s="31">
        <v>71.350246999999996</v>
      </c>
      <c r="AW12" s="31">
        <v>34.784649999999999</v>
      </c>
      <c r="AX12" s="31">
        <v>40.498255999999998</v>
      </c>
      <c r="AY12" s="31">
        <v>34.102406000000002</v>
      </c>
      <c r="AZ12" s="32">
        <v>3404.37</v>
      </c>
      <c r="BA12" s="32">
        <v>3216.24</v>
      </c>
      <c r="BB12" s="32">
        <v>7.5</v>
      </c>
      <c r="BC12" s="32">
        <v>14.087</v>
      </c>
      <c r="BE12" s="33">
        <f t="shared" si="14"/>
        <v>-2.4464057537972039E-4</v>
      </c>
      <c r="BF12" s="33">
        <f t="shared" si="15"/>
        <v>-7.4522029704593429E-5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44040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6.8598150000000002</v>
      </c>
      <c r="J13" s="18">
        <f t="shared" si="1"/>
        <v>0.32298407193287038</v>
      </c>
      <c r="K13" s="18">
        <f t="shared" si="2"/>
        <v>0.15014856240770991</v>
      </c>
      <c r="L13" s="18">
        <f t="shared" si="3"/>
        <v>0.11670503750884637</v>
      </c>
      <c r="M13" s="18">
        <f t="shared" si="4"/>
        <v>0.17281432195197227</v>
      </c>
      <c r="N13" s="15">
        <f t="shared" si="5"/>
        <v>3401584</v>
      </c>
      <c r="O13" s="18">
        <f t="shared" si="6"/>
        <v>0.3074153833562851</v>
      </c>
      <c r="P13" s="19">
        <v>23802114</v>
      </c>
      <c r="Q13" s="19">
        <v>743816.0625</v>
      </c>
      <c r="R13" s="19">
        <v>30639.71875</v>
      </c>
      <c r="S13" s="20">
        <v>7317136</v>
      </c>
      <c r="T13" s="20">
        <v>2643928</v>
      </c>
      <c r="U13" s="20">
        <v>757656</v>
      </c>
      <c r="V13" s="20">
        <v>3915072</v>
      </c>
      <c r="W13" s="21">
        <v>70.005983999999998</v>
      </c>
      <c r="X13" s="21">
        <v>72.529561999999999</v>
      </c>
      <c r="Y13" s="21">
        <v>37.030693999999997</v>
      </c>
      <c r="Z13" s="21">
        <v>41.526387</v>
      </c>
      <c r="AA13" s="21">
        <v>36.097665999999997</v>
      </c>
      <c r="AB13" s="22">
        <v>4860.33</v>
      </c>
      <c r="AC13" s="22">
        <v>3512.96</v>
      </c>
      <c r="AD13" s="22">
        <v>8.8610000000000007</v>
      </c>
      <c r="AE13" s="22">
        <v>13.952999999999999</v>
      </c>
      <c r="AG13" s="17">
        <f t="shared" si="7"/>
        <v>6.9105825000000003</v>
      </c>
      <c r="AH13" s="18">
        <f t="shared" si="8"/>
        <v>0.32537438331471547</v>
      </c>
      <c r="AI13" s="18">
        <f t="shared" si="9"/>
        <v>0.15128033194217788</v>
      </c>
      <c r="AJ13" s="18">
        <f t="shared" si="10"/>
        <v>0.11851940002619314</v>
      </c>
      <c r="AK13" s="18">
        <f t="shared" si="11"/>
        <v>0.17407286379934944</v>
      </c>
      <c r="AL13" s="15">
        <f t="shared" si="12"/>
        <v>3427224</v>
      </c>
      <c r="AM13" s="18">
        <f t="shared" si="13"/>
        <v>0.31011977071975394</v>
      </c>
      <c r="AN13" s="19">
        <v>23769165</v>
      </c>
      <c r="AO13" s="19">
        <v>742786.40625</v>
      </c>
      <c r="AP13" s="19">
        <v>30633.59375</v>
      </c>
      <c r="AQ13" s="20">
        <v>7371288</v>
      </c>
      <c r="AR13" s="20">
        <v>2685032</v>
      </c>
      <c r="AS13" s="20">
        <v>742192</v>
      </c>
      <c r="AT13" s="20">
        <v>3943584</v>
      </c>
      <c r="AU13" s="21">
        <v>70.012952999999996</v>
      </c>
      <c r="AV13" s="21">
        <v>72.539574999999999</v>
      </c>
      <c r="AW13" s="21">
        <v>37.044396999999996</v>
      </c>
      <c r="AX13" s="21">
        <v>41.577244</v>
      </c>
      <c r="AY13" s="21">
        <v>36.120538000000003</v>
      </c>
      <c r="AZ13" s="22">
        <v>3263.05</v>
      </c>
      <c r="BA13" s="22">
        <v>3496.03</v>
      </c>
      <c r="BB13" s="22">
        <v>8.3840000000000003</v>
      </c>
      <c r="BC13" s="22">
        <v>15.435</v>
      </c>
      <c r="BE13" s="23">
        <f t="shared" si="14"/>
        <v>4.8855524843668952E-5</v>
      </c>
      <c r="BF13" s="23">
        <f t="shared" si="15"/>
        <v>6.3199810348080199E-5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54152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13.8426525</v>
      </c>
      <c r="J14" s="48">
        <f t="shared" si="1"/>
        <v>0.65176047324916597</v>
      </c>
      <c r="K14" s="48">
        <f t="shared" si="2"/>
        <v>0.25202582994703682</v>
      </c>
      <c r="L14" s="48">
        <f t="shared" si="3"/>
        <v>0.18768376081542848</v>
      </c>
      <c r="M14" s="48">
        <f t="shared" si="4"/>
        <v>0.39971345572894101</v>
      </c>
      <c r="N14" s="45">
        <f t="shared" si="5"/>
        <v>5709592</v>
      </c>
      <c r="O14" s="48">
        <f t="shared" si="6"/>
        <v>0.65609012922564058</v>
      </c>
      <c r="P14" s="49">
        <v>22505286</v>
      </c>
      <c r="Q14" s="49">
        <v>703290.1875</v>
      </c>
      <c r="R14" s="49">
        <v>8270.5</v>
      </c>
      <c r="S14" s="50">
        <v>14765496</v>
      </c>
      <c r="T14" s="50">
        <v>4251936</v>
      </c>
      <c r="U14" s="50">
        <v>1457656</v>
      </c>
      <c r="V14" s="50">
        <v>9055424</v>
      </c>
      <c r="W14" s="51">
        <v>71.406424999999999</v>
      </c>
      <c r="X14" s="51">
        <v>74.796430999999998</v>
      </c>
      <c r="Y14" s="51">
        <v>39.622359000000003</v>
      </c>
      <c r="Z14" s="51">
        <v>42.934441</v>
      </c>
      <c r="AA14" s="51">
        <v>38.468653000000003</v>
      </c>
      <c r="AB14" s="52">
        <v>4611.1400000000003</v>
      </c>
      <c r="AC14" s="52">
        <v>3921.96</v>
      </c>
      <c r="AD14" s="52">
        <v>9.32</v>
      </c>
      <c r="AE14" s="52">
        <v>15.089</v>
      </c>
      <c r="AG14" s="47">
        <f t="shared" si="7"/>
        <v>13.97805</v>
      </c>
      <c r="AH14" s="48">
        <f t="shared" si="8"/>
        <v>0.65813546089526587</v>
      </c>
      <c r="AI14" s="48">
        <f t="shared" si="9"/>
        <v>0.25410750901277429</v>
      </c>
      <c r="AJ14" s="48">
        <f t="shared" si="10"/>
        <v>0.19056809577877773</v>
      </c>
      <c r="AK14" s="48">
        <f t="shared" si="11"/>
        <v>0.40400676430930343</v>
      </c>
      <c r="AL14" s="45">
        <f t="shared" si="12"/>
        <v>5756752</v>
      </c>
      <c r="AM14" s="48">
        <f t="shared" si="13"/>
        <v>0.66219077778699098</v>
      </c>
      <c r="AN14" s="49">
        <v>22516049</v>
      </c>
      <c r="AO14" s="49">
        <v>703626.53125</v>
      </c>
      <c r="AP14" s="49">
        <v>8247.125</v>
      </c>
      <c r="AQ14" s="50">
        <v>14909920</v>
      </c>
      <c r="AR14" s="50">
        <v>4317280</v>
      </c>
      <c r="AS14" s="50">
        <v>1439472</v>
      </c>
      <c r="AT14" s="50">
        <v>9152688</v>
      </c>
      <c r="AU14" s="51">
        <v>71.405311999999995</v>
      </c>
      <c r="AV14" s="51">
        <v>74.790583999999996</v>
      </c>
      <c r="AW14" s="51">
        <v>39.633125</v>
      </c>
      <c r="AX14" s="51">
        <v>42.953128</v>
      </c>
      <c r="AY14" s="51">
        <v>38.487015999999997</v>
      </c>
      <c r="AZ14" s="52">
        <v>3535</v>
      </c>
      <c r="BA14" s="52">
        <v>3875.57</v>
      </c>
      <c r="BB14" s="52">
        <v>8.5589999999999993</v>
      </c>
      <c r="BC14" s="52">
        <v>16.297999999999998</v>
      </c>
      <c r="BE14" s="53">
        <f t="shared" si="14"/>
        <v>-3.8842069157649095E-5</v>
      </c>
      <c r="BF14" s="53">
        <f t="shared" si="15"/>
        <v>-5.8260252693859149E-4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144424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2.1970125</v>
      </c>
      <c r="J15" s="18">
        <f t="shared" si="1"/>
        <v>6.9032033316642968E-2</v>
      </c>
      <c r="K15" s="18">
        <f t="shared" si="2"/>
        <v>5.4727684494138902E-2</v>
      </c>
      <c r="L15" s="18">
        <f t="shared" si="3"/>
        <v>2.8180509806285066E-2</v>
      </c>
      <c r="M15" s="18">
        <f t="shared" si="4"/>
        <v>1.4290209433223169E-2</v>
      </c>
      <c r="N15" s="15">
        <f t="shared" si="5"/>
        <v>1857880</v>
      </c>
      <c r="O15" s="18">
        <f t="shared" si="6"/>
        <v>7.1498156820669651E-2</v>
      </c>
      <c r="P15" s="19">
        <v>32776789</v>
      </c>
      <c r="Q15" s="19">
        <v>1024274.65625</v>
      </c>
      <c r="R15" s="19">
        <v>34476.84375</v>
      </c>
      <c r="S15" s="20">
        <v>2343480</v>
      </c>
      <c r="T15" s="20">
        <v>956664</v>
      </c>
      <c r="U15" s="20">
        <v>901216</v>
      </c>
      <c r="V15" s="20">
        <v>485120</v>
      </c>
      <c r="W15" s="21">
        <v>66.346266</v>
      </c>
      <c r="X15" s="21">
        <v>67.896418999999995</v>
      </c>
      <c r="Y15" s="21">
        <v>28.651700000000002</v>
      </c>
      <c r="Z15" s="21">
        <v>42.734605999999999</v>
      </c>
      <c r="AA15" s="21">
        <v>42.747813000000001</v>
      </c>
      <c r="AB15" s="22">
        <v>6941.27</v>
      </c>
      <c r="AC15" s="22">
        <v>2866.6</v>
      </c>
      <c r="AD15" s="22">
        <v>12.387</v>
      </c>
      <c r="AE15" s="22">
        <v>14.439</v>
      </c>
      <c r="AG15" s="17">
        <f t="shared" si="7"/>
        <v>2.080635</v>
      </c>
      <c r="AH15" s="18">
        <f t="shared" si="8"/>
        <v>6.5375351592115855E-2</v>
      </c>
      <c r="AI15" s="18">
        <f t="shared" si="9"/>
        <v>5.2090452736764221E-2</v>
      </c>
      <c r="AJ15" s="18">
        <f t="shared" si="10"/>
        <v>2.7924115547324858E-2</v>
      </c>
      <c r="AK15" s="18">
        <f t="shared" si="11"/>
        <v>1.3270759466070739E-2</v>
      </c>
      <c r="AL15" s="15">
        <f t="shared" si="12"/>
        <v>1768352</v>
      </c>
      <c r="AM15" s="18">
        <f t="shared" si="13"/>
        <v>6.7420238636119234E-2</v>
      </c>
      <c r="AN15" s="19">
        <v>32918068</v>
      </c>
      <c r="AO15" s="19">
        <v>1028689.625</v>
      </c>
      <c r="AP15" s="19">
        <v>34873.375</v>
      </c>
      <c r="AQ15" s="20">
        <v>2219344</v>
      </c>
      <c r="AR15" s="20">
        <v>947960</v>
      </c>
      <c r="AS15" s="20">
        <v>820392</v>
      </c>
      <c r="AT15" s="20">
        <v>450512</v>
      </c>
      <c r="AU15" s="21">
        <v>66.365893999999997</v>
      </c>
      <c r="AV15" s="21">
        <v>67.929571999999993</v>
      </c>
      <c r="AW15" s="21">
        <v>28.768719000000001</v>
      </c>
      <c r="AX15" s="21">
        <v>43.038466</v>
      </c>
      <c r="AY15" s="21">
        <v>43.147680999999999</v>
      </c>
      <c r="AZ15" s="22">
        <v>7107.32</v>
      </c>
      <c r="BA15" s="22">
        <v>3074.07</v>
      </c>
      <c r="BB15" s="22">
        <v>12.374000000000001</v>
      </c>
      <c r="BC15" s="22">
        <v>16.486999999999998</v>
      </c>
      <c r="BE15" s="23">
        <f t="shared" si="14"/>
        <v>2.4100995617539617E-4</v>
      </c>
      <c r="BF15" s="23">
        <f t="shared" si="15"/>
        <v>4.0036072243428977E-3</v>
      </c>
      <c r="BG15" s="23">
        <f t="array" ref="BG15">AVERAGE(AL15:AL19/AQ15:AQ19) - AVERAGE(N15:N19/S15:S19)</f>
        <v>6.179579541257918E-3</v>
      </c>
      <c r="BI15" s="24">
        <f>IF( OR(ISBLANK(N15:N19),ISBLANK(AL15:AL19), ISBLANK(W15:W19),ISBLANK(AU15:AU19)), "·", bdRateExtend( N15:N19,W15:W19, AL15:AL19,AU15:AU19))</f>
        <v>-3.0522595695392396E-2</v>
      </c>
      <c r="BJ15" s="24">
        <f>IF( OR(ISBLANK(N15:N19),ISBLANK(AL15:AL19), ISBLANK(X15:X19),ISBLANK(AV15:AV19)), "·", bdRateExtend( N15:N19,X15:X19, AL15:AL19,AV15:AV19))</f>
        <v>-2.9182388750400023E-2</v>
      </c>
      <c r="BK15" s="24">
        <f>IF( OR(ISBLANK(V15:V19),ISBLANK(AT15:AT19), ISBLANK(Y15:Y19),ISBLANK(AW15:AW19)), "·", bdRateExtend( V15:V19,Y15:Y19, AT15:AT19,AW15:AW19))</f>
        <v>-8.5301348434063118E-2</v>
      </c>
      <c r="BL15" s="24">
        <f>IF( OR(ISBLANK(V15:V19),ISBLANK(AT15:AT19), ISBLANK(Z15:Z19),ISBLANK(AX15:AX19)), "·", bdRateExtend( V15:V19,Z15:Z19, AT15:AT19,AX15:AX19))</f>
        <v>-9.9921327835414742E-2</v>
      </c>
      <c r="BM15" s="24">
        <f>IF( OR(ISBLANK(V15:V19),ISBLANK(AT15:AT19), ISBLANK(AA15:AA19),ISBLANK(AY15:AY19)), "·", bdRateExtend( V15:V19,AA15:AA19, AT15:AT19,AY15:AY19))</f>
        <v>-0.12742418189433447</v>
      </c>
      <c r="BO15" s="24">
        <f>IF( OR(ISBLANK(S15:S19),ISBLANK(AQ15:AQ19), ISBLANK(W15:W19),ISBLANK(AU15:AU19)), "·", bdRateExtend( S15:S19,W15:W19, AQ15:AQ19,AU15:AU19))</f>
        <v>-4.387281425066536E-2</v>
      </c>
      <c r="BP15" s="24">
        <f>IF( OR(ISBLANK(S15:S19),ISBLANK(AQ15:AQ19), ISBLANK(X15:X19),ISBLANK(AV15:AV19)), "·", bdRateExtend( S15:S19,X15:X19, AQ15:AQ19,AV15:AV19))</f>
        <v>-4.3041293159240546E-2</v>
      </c>
      <c r="BQ15" s="24">
        <f>IF( OR(ISBLANK(S15:S19),ISBLANK(AQ15:AQ19), ISBLANK(Y15:Y19),ISBLANK(AW15:AW19)), "·", bdRateExtend( S15:S19,Y15:Y19, AQ15:AQ19,AW15:AW19))</f>
        <v>-5.7295767488896532E-2</v>
      </c>
      <c r="BR15" s="24">
        <f>IF( OR(ISBLANK(S15:S19),ISBLANK(AQ15:AQ19), ISBLANK(Z15:Z19),ISBLANK(AX15:AX19)), "·", bdRateExtend( S15:S19,Z15:Z19, AQ15:AQ19,AX15:AX19))</f>
        <v>-6.7690115722415345E-2</v>
      </c>
      <c r="BS15" s="24">
        <f>IF( OR(ISBLANK(S15:S19),ISBLANK(AQ15:AQ19), ISBLANK(AA15:AA19),ISBLANK(AY15:AY19)), "·", bdRateExtend( S15:S19,AA15:AA19, AQ15:AQ19,AY15:AY19))</f>
        <v>-8.6186164584810765E-2</v>
      </c>
      <c r="BU15" s="4">
        <f t="shared" si="16"/>
        <v>-124136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2.9151224999999998</v>
      </c>
      <c r="J16" s="28">
        <f t="shared" si="1"/>
        <v>9.1595670731093023E-2</v>
      </c>
      <c r="K16" s="28">
        <f t="shared" si="2"/>
        <v>6.3980265183067681E-2</v>
      </c>
      <c r="L16" s="28">
        <f t="shared" si="3"/>
        <v>3.7433090495213844E-2</v>
      </c>
      <c r="M16" s="28">
        <f t="shared" si="4"/>
        <v>2.7601266158744454E-2</v>
      </c>
      <c r="N16" s="25">
        <f t="shared" si="5"/>
        <v>2171984</v>
      </c>
      <c r="O16" s="28">
        <f t="shared" si="6"/>
        <v>9.0512708690316149E-2</v>
      </c>
      <c r="P16" s="29">
        <v>34353894</v>
      </c>
      <c r="Q16" s="29">
        <v>1073559.1875</v>
      </c>
      <c r="R16" s="29">
        <v>40795</v>
      </c>
      <c r="S16" s="30">
        <v>3109464</v>
      </c>
      <c r="T16" s="30">
        <v>1270768</v>
      </c>
      <c r="U16" s="30">
        <v>901216</v>
      </c>
      <c r="V16" s="30">
        <v>937000</v>
      </c>
      <c r="W16" s="31">
        <v>68.030227999999994</v>
      </c>
      <c r="X16" s="31">
        <v>70.012030999999993</v>
      </c>
      <c r="Y16" s="31">
        <v>31.046575000000001</v>
      </c>
      <c r="Z16" s="31">
        <v>43.784452999999999</v>
      </c>
      <c r="AA16" s="31">
        <v>44.093853000000003</v>
      </c>
      <c r="AB16" s="32">
        <v>5228.3599999999997</v>
      </c>
      <c r="AC16" s="32">
        <v>2659.26</v>
      </c>
      <c r="AD16" s="32">
        <v>11.88</v>
      </c>
      <c r="AE16" s="32">
        <v>13.172000000000001</v>
      </c>
      <c r="AG16" s="27">
        <f t="shared" si="7"/>
        <v>2.7887624999999998</v>
      </c>
      <c r="AH16" s="28">
        <f t="shared" si="8"/>
        <v>8.7625330221018094E-2</v>
      </c>
      <c r="AI16" s="28">
        <f t="shared" si="9"/>
        <v>6.1816231653626909E-2</v>
      </c>
      <c r="AJ16" s="28">
        <f t="shared" si="10"/>
        <v>3.7649894464187546E-2</v>
      </c>
      <c r="AK16" s="28">
        <f t="shared" si="11"/>
        <v>2.5794959178110293E-2</v>
      </c>
      <c r="AL16" s="25">
        <f t="shared" si="12"/>
        <v>2098520</v>
      </c>
      <c r="AM16" s="28">
        <f t="shared" si="13"/>
        <v>8.6876653918811206E-2</v>
      </c>
      <c r="AN16" s="29">
        <v>34240269</v>
      </c>
      <c r="AO16" s="29">
        <v>1070008.40625</v>
      </c>
      <c r="AP16" s="29">
        <v>40445.6875</v>
      </c>
      <c r="AQ16" s="30">
        <v>2974680</v>
      </c>
      <c r="AR16" s="30">
        <v>1278128</v>
      </c>
      <c r="AS16" s="30">
        <v>820392</v>
      </c>
      <c r="AT16" s="30">
        <v>875680</v>
      </c>
      <c r="AU16" s="31">
        <v>68.035809</v>
      </c>
      <c r="AV16" s="31">
        <v>70.025380999999996</v>
      </c>
      <c r="AW16" s="31">
        <v>31.159462999999999</v>
      </c>
      <c r="AX16" s="31">
        <v>43.782969000000001</v>
      </c>
      <c r="AY16" s="31">
        <v>44.168565999999998</v>
      </c>
      <c r="AZ16" s="32">
        <v>7254.55</v>
      </c>
      <c r="BA16" s="32">
        <v>3446.8</v>
      </c>
      <c r="BB16" s="32">
        <v>13.241</v>
      </c>
      <c r="BC16" s="32">
        <v>16.939</v>
      </c>
      <c r="BE16" s="33">
        <f t="shared" si="14"/>
        <v>-2.0035696469770936E-4</v>
      </c>
      <c r="BF16" s="33">
        <f t="shared" si="15"/>
        <v>6.9532313162575798E-3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-134784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4.2557549999999997</v>
      </c>
      <c r="J17" s="18">
        <f t="shared" si="1"/>
        <v>0.13371950362024335</v>
      </c>
      <c r="K17" s="18">
        <f t="shared" si="2"/>
        <v>7.6386165338123757E-2</v>
      </c>
      <c r="L17" s="18">
        <f t="shared" si="3"/>
        <v>4.9838990650269921E-2</v>
      </c>
      <c r="M17" s="18">
        <f t="shared" si="4"/>
        <v>5.7319198892838687E-2</v>
      </c>
      <c r="N17" s="15">
        <f t="shared" si="5"/>
        <v>2593136</v>
      </c>
      <c r="O17" s="18">
        <f t="shared" si="6"/>
        <v>0.13242800774391372</v>
      </c>
      <c r="P17" s="19">
        <v>34278791</v>
      </c>
      <c r="Q17" s="19">
        <v>1071212.21875</v>
      </c>
      <c r="R17" s="19">
        <v>41638.15625</v>
      </c>
      <c r="S17" s="20">
        <v>4539472</v>
      </c>
      <c r="T17" s="20">
        <v>1691920</v>
      </c>
      <c r="U17" s="20">
        <v>901216</v>
      </c>
      <c r="V17" s="20">
        <v>1945856</v>
      </c>
      <c r="W17" s="21">
        <v>69.417018999999996</v>
      </c>
      <c r="X17" s="21">
        <v>71.795984000000004</v>
      </c>
      <c r="Y17" s="21">
        <v>33.567861999999998</v>
      </c>
      <c r="Z17" s="21">
        <v>44.754266000000001</v>
      </c>
      <c r="AA17" s="21">
        <v>45.117027999999998</v>
      </c>
      <c r="AB17" s="22">
        <v>7176.36</v>
      </c>
      <c r="AC17" s="22">
        <v>3342.82</v>
      </c>
      <c r="AD17" s="22">
        <v>12.769</v>
      </c>
      <c r="AE17" s="22">
        <v>17.792000000000002</v>
      </c>
      <c r="AG17" s="17">
        <f t="shared" si="7"/>
        <v>4.0615649999999999</v>
      </c>
      <c r="AH17" s="18">
        <f t="shared" si="8"/>
        <v>0.1276178858325617</v>
      </c>
      <c r="AI17" s="18">
        <f t="shared" si="9"/>
        <v>7.3928268168128419E-2</v>
      </c>
      <c r="AJ17" s="18">
        <f t="shared" si="10"/>
        <v>4.9761930978689056E-2</v>
      </c>
      <c r="AK17" s="18">
        <f t="shared" si="11"/>
        <v>5.36754782751524E-2</v>
      </c>
      <c r="AL17" s="15">
        <f t="shared" si="12"/>
        <v>2509696</v>
      </c>
      <c r="AM17" s="18">
        <f t="shared" si="13"/>
        <v>0.12623629198987077</v>
      </c>
      <c r="AN17" s="19">
        <v>34319259</v>
      </c>
      <c r="AO17" s="19">
        <v>1072476.84375</v>
      </c>
      <c r="AP17" s="19">
        <v>41652.03125</v>
      </c>
      <c r="AQ17" s="20">
        <v>4332336</v>
      </c>
      <c r="AR17" s="20">
        <v>1689304</v>
      </c>
      <c r="AS17" s="20">
        <v>820392</v>
      </c>
      <c r="AT17" s="20">
        <v>1822160</v>
      </c>
      <c r="AU17" s="21">
        <v>69.422893999999999</v>
      </c>
      <c r="AV17" s="21">
        <v>71.808352999999997</v>
      </c>
      <c r="AW17" s="21">
        <v>33.695791</v>
      </c>
      <c r="AX17" s="21">
        <v>44.885627999999997</v>
      </c>
      <c r="AY17" s="21">
        <v>45.268940999999998</v>
      </c>
      <c r="AZ17" s="22">
        <v>5102.24</v>
      </c>
      <c r="BA17" s="22">
        <v>2815.79</v>
      </c>
      <c r="BB17" s="22">
        <v>11.295999999999999</v>
      </c>
      <c r="BC17" s="22">
        <v>13.782</v>
      </c>
      <c r="BE17" s="23">
        <f t="shared" si="14"/>
        <v>-3.2896874234911166E-5</v>
      </c>
      <c r="BF17" s="23">
        <f t="shared" si="15"/>
        <v>8.0521765512840959E-3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-207136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7.6115025000000003</v>
      </c>
      <c r="J18" s="28">
        <f t="shared" si="1"/>
        <v>0.23915999302221139</v>
      </c>
      <c r="K18" s="28">
        <f t="shared" si="2"/>
        <v>0.10603151587390941</v>
      </c>
      <c r="L18" s="28">
        <f t="shared" si="3"/>
        <v>7.9484341186055574E-2</v>
      </c>
      <c r="M18" s="28">
        <f t="shared" si="4"/>
        <v>0.1331143377590211</v>
      </c>
      <c r="N18" s="25">
        <f t="shared" si="5"/>
        <v>3599528</v>
      </c>
      <c r="O18" s="28">
        <f t="shared" si="6"/>
        <v>0.22736213873876449</v>
      </c>
      <c r="P18" s="29">
        <v>35709270</v>
      </c>
      <c r="Q18" s="29">
        <v>1115914.6875</v>
      </c>
      <c r="R18" s="29">
        <v>47065.3125</v>
      </c>
      <c r="S18" s="30">
        <v>8118936</v>
      </c>
      <c r="T18" s="30">
        <v>2698312</v>
      </c>
      <c r="U18" s="30">
        <v>901216</v>
      </c>
      <c r="V18" s="30">
        <v>4518928</v>
      </c>
      <c r="W18" s="31">
        <v>70.436640999999995</v>
      </c>
      <c r="X18" s="31">
        <v>73.058622</v>
      </c>
      <c r="Y18" s="31">
        <v>36.109034000000001</v>
      </c>
      <c r="Z18" s="31">
        <v>45.990869000000004</v>
      </c>
      <c r="AA18" s="31">
        <v>46.386809</v>
      </c>
      <c r="AB18" s="32">
        <v>6985.42</v>
      </c>
      <c r="AC18" s="32">
        <v>3637.25</v>
      </c>
      <c r="AD18" s="32">
        <v>12.581</v>
      </c>
      <c r="AE18" s="32">
        <v>16.425999999999998</v>
      </c>
      <c r="AG18" s="27">
        <f t="shared" si="7"/>
        <v>7.3828424999999998</v>
      </c>
      <c r="AH18" s="28">
        <f t="shared" si="8"/>
        <v>0.23197529801561331</v>
      </c>
      <c r="AI18" s="28">
        <f t="shared" si="9"/>
        <v>0.10451176718270136</v>
      </c>
      <c r="AJ18" s="28">
        <f t="shared" si="10"/>
        <v>8.0345429993261996E-2</v>
      </c>
      <c r="AK18" s="28">
        <f t="shared" si="11"/>
        <v>0.12744939144363104</v>
      </c>
      <c r="AL18" s="25">
        <f t="shared" si="12"/>
        <v>3547936</v>
      </c>
      <c r="AM18" s="28">
        <f t="shared" si="13"/>
        <v>0.22059103479100045</v>
      </c>
      <c r="AN18" s="29">
        <v>35699692</v>
      </c>
      <c r="AO18" s="29">
        <v>1115615.375</v>
      </c>
      <c r="AP18" s="29">
        <v>47077.96875</v>
      </c>
      <c r="AQ18" s="30">
        <v>7875032</v>
      </c>
      <c r="AR18" s="30">
        <v>2727544</v>
      </c>
      <c r="AS18" s="30">
        <v>820392</v>
      </c>
      <c r="AT18" s="30">
        <v>4326616</v>
      </c>
      <c r="AU18" s="31">
        <v>70.456969000000001</v>
      </c>
      <c r="AV18" s="31">
        <v>73.083236999999997</v>
      </c>
      <c r="AW18" s="31">
        <v>36.201656</v>
      </c>
      <c r="AX18" s="31">
        <v>46.091481000000002</v>
      </c>
      <c r="AY18" s="31">
        <v>46.539147</v>
      </c>
      <c r="AZ18" s="32">
        <v>4620.97</v>
      </c>
      <c r="BA18" s="32">
        <v>3122.54</v>
      </c>
      <c r="BB18" s="32">
        <v>11.332000000000001</v>
      </c>
      <c r="BC18" s="32">
        <v>14.263</v>
      </c>
      <c r="BE18" s="33">
        <f t="shared" si="14"/>
        <v>2.2660306804360431E-5</v>
      </c>
      <c r="BF18" s="33">
        <f t="shared" si="15"/>
        <v>7.1800051146264643E-3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-243904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16.843612499999999</v>
      </c>
      <c r="J19" s="38">
        <f t="shared" si="1"/>
        <v>0.52924087563116906</v>
      </c>
      <c r="K19" s="38">
        <f t="shared" si="2"/>
        <v>0.18184880644996521</v>
      </c>
      <c r="L19" s="38">
        <f t="shared" si="3"/>
        <v>0.12915766532525103</v>
      </c>
      <c r="M19" s="38">
        <f t="shared" si="4"/>
        <v>0.347377929791923</v>
      </c>
      <c r="N19" s="35">
        <f t="shared" si="5"/>
        <v>6173352</v>
      </c>
      <c r="O19" s="38">
        <f t="shared" si="6"/>
        <v>0.53268060747669088</v>
      </c>
      <c r="P19" s="39">
        <v>33728504</v>
      </c>
      <c r="Q19" s="39">
        <v>1054015.75</v>
      </c>
      <c r="R19" s="39">
        <v>12613.78125</v>
      </c>
      <c r="S19" s="40">
        <v>17966520</v>
      </c>
      <c r="T19" s="40">
        <v>4384608</v>
      </c>
      <c r="U19" s="40">
        <v>1788744</v>
      </c>
      <c r="V19" s="40">
        <v>11792688</v>
      </c>
      <c r="W19" s="41">
        <v>71.728999999999999</v>
      </c>
      <c r="X19" s="41">
        <v>75.199466000000001</v>
      </c>
      <c r="Y19" s="41">
        <v>38.677574999999997</v>
      </c>
      <c r="Z19" s="41">
        <v>47.887602999999999</v>
      </c>
      <c r="AA19" s="41">
        <v>48.322031000000003</v>
      </c>
      <c r="AB19" s="42">
        <v>5218.2700000000004</v>
      </c>
      <c r="AC19" s="42">
        <v>3404.43</v>
      </c>
      <c r="AD19" s="42">
        <v>11.532</v>
      </c>
      <c r="AE19" s="42">
        <v>14.859</v>
      </c>
      <c r="AG19" s="37">
        <f t="shared" si="7"/>
        <v>16.5173475</v>
      </c>
      <c r="AH19" s="38">
        <f t="shared" si="8"/>
        <v>0.51898934708954514</v>
      </c>
      <c r="AI19" s="38">
        <f t="shared" si="9"/>
        <v>0.18077020670432103</v>
      </c>
      <c r="AJ19" s="38">
        <f t="shared" si="10"/>
        <v>0.13103914672556194</v>
      </c>
      <c r="AK19" s="38">
        <f t="shared" si="11"/>
        <v>0.33820500099594325</v>
      </c>
      <c r="AL19" s="35">
        <f t="shared" si="12"/>
        <v>6136736</v>
      </c>
      <c r="AM19" s="38">
        <f t="shared" si="13"/>
        <v>0.52225361312655116</v>
      </c>
      <c r="AN19" s="39">
        <v>33735533</v>
      </c>
      <c r="AO19" s="39">
        <v>1054235.40625</v>
      </c>
      <c r="AP19" s="39">
        <v>12673</v>
      </c>
      <c r="AQ19" s="40">
        <v>17618504</v>
      </c>
      <c r="AR19" s="40">
        <v>4448480</v>
      </c>
      <c r="AS19" s="40">
        <v>1688256</v>
      </c>
      <c r="AT19" s="40">
        <v>11481288</v>
      </c>
      <c r="AU19" s="41">
        <v>71.734933999999996</v>
      </c>
      <c r="AV19" s="41">
        <v>75.206344000000001</v>
      </c>
      <c r="AW19" s="41">
        <v>38.714812999999999</v>
      </c>
      <c r="AX19" s="41">
        <v>47.905191000000002</v>
      </c>
      <c r="AY19" s="41">
        <v>48.430525000000003</v>
      </c>
      <c r="AZ19" s="42">
        <v>6884.61</v>
      </c>
      <c r="BA19" s="42">
        <v>4602.71</v>
      </c>
      <c r="BB19" s="42">
        <v>13.651999999999999</v>
      </c>
      <c r="BC19" s="42">
        <v>20.282</v>
      </c>
      <c r="BE19" s="43">
        <f t="shared" si="14"/>
        <v>5.3678756394413829E-5</v>
      </c>
      <c r="BF19" s="43">
        <f t="shared" si="15"/>
        <v>4.7088774997776084E-3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-348016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2.4330625000000001</v>
      </c>
      <c r="J20" s="28">
        <f t="shared" si="1"/>
        <v>4.8344528376176039E-2</v>
      </c>
      <c r="K20" s="28">
        <f t="shared" si="2"/>
        <v>3.6082610415768969E-2</v>
      </c>
      <c r="L20" s="28">
        <f t="shared" si="3"/>
        <v>1.9892924612669567E-2</v>
      </c>
      <c r="M20" s="28">
        <f t="shared" si="4"/>
        <v>1.2247015590952063E-2</v>
      </c>
      <c r="N20" s="25">
        <f t="shared" si="5"/>
        <v>1162208</v>
      </c>
      <c r="O20" s="28">
        <f t="shared" si="6"/>
        <v>5.0539037411078125E-2</v>
      </c>
      <c r="P20" s="29">
        <v>30811034</v>
      </c>
      <c r="Q20" s="29">
        <v>962844.8125</v>
      </c>
      <c r="R20" s="29">
        <v>28036.625</v>
      </c>
      <c r="S20" s="30">
        <v>1557160</v>
      </c>
      <c r="T20" s="30">
        <v>640744</v>
      </c>
      <c r="U20" s="30">
        <v>521464</v>
      </c>
      <c r="V20" s="30">
        <v>394472</v>
      </c>
      <c r="W20" s="31">
        <v>67.068512999999996</v>
      </c>
      <c r="X20" s="31">
        <v>68.702747000000002</v>
      </c>
      <c r="Y20" s="31">
        <v>29.861671999999999</v>
      </c>
      <c r="Z20" s="31">
        <v>39.039372</v>
      </c>
      <c r="AA20" s="31">
        <v>37.703819000000003</v>
      </c>
      <c r="AB20" s="32">
        <v>6616.94</v>
      </c>
      <c r="AC20" s="32">
        <v>2163.5500000000002</v>
      </c>
      <c r="AD20" s="32">
        <v>10.02</v>
      </c>
      <c r="AE20" s="32">
        <v>11.074999999999999</v>
      </c>
      <c r="AG20" s="27">
        <f t="shared" si="7"/>
        <v>2.3244125000000002</v>
      </c>
      <c r="AH20" s="28">
        <f t="shared" si="8"/>
        <v>4.6185671787793488E-2</v>
      </c>
      <c r="AI20" s="28">
        <f t="shared" si="9"/>
        <v>3.4578464592109885E-2</v>
      </c>
      <c r="AJ20" s="28">
        <f t="shared" si="10"/>
        <v>1.9799288057927248E-2</v>
      </c>
      <c r="AK20" s="28">
        <f t="shared" si="11"/>
        <v>1.1592304826228592E-2</v>
      </c>
      <c r="AL20" s="25">
        <f t="shared" si="12"/>
        <v>1113760</v>
      </c>
      <c r="AM20" s="28">
        <f t="shared" si="13"/>
        <v>4.8361612630252571E-2</v>
      </c>
      <c r="AN20" s="29">
        <v>30760430</v>
      </c>
      <c r="AO20" s="29">
        <v>961263.4375</v>
      </c>
      <c r="AP20" s="29">
        <v>27933</v>
      </c>
      <c r="AQ20" s="30">
        <v>1487624</v>
      </c>
      <c r="AR20" s="30">
        <v>637728</v>
      </c>
      <c r="AS20" s="30">
        <v>476032</v>
      </c>
      <c r="AT20" s="30">
        <v>373384</v>
      </c>
      <c r="AU20" s="31">
        <v>67.152118999999999</v>
      </c>
      <c r="AV20" s="31">
        <v>68.815347000000003</v>
      </c>
      <c r="AW20" s="31">
        <v>29.880606</v>
      </c>
      <c r="AX20" s="31">
        <v>39.304887000000001</v>
      </c>
      <c r="AY20" s="31">
        <v>37.891241000000001</v>
      </c>
      <c r="AZ20" s="32">
        <v>4955.13</v>
      </c>
      <c r="BA20" s="32">
        <v>1933.32</v>
      </c>
      <c r="BB20" s="32">
        <v>9.0020000000000007</v>
      </c>
      <c r="BC20" s="32">
        <v>10.705</v>
      </c>
      <c r="BE20" s="33">
        <f t="shared" si="14"/>
        <v>-5.9897925263504431E-5</v>
      </c>
      <c r="BF20" s="33">
        <f t="shared" si="15"/>
        <v>2.3199139570508898E-3</v>
      </c>
      <c r="BG20" s="33">
        <f t="array" ref="BG20">AVERAGE(AL20:AL24/AQ20:AQ24) - AVERAGE(N20:N24/S20:S24)</f>
        <v>1.3095660997877179E-3</v>
      </c>
      <c r="BI20" s="34">
        <f>IF( OR(ISBLANK(N20:N24),ISBLANK(AL20:AL24), ISBLANK(W20:W24),ISBLANK(AU20:AU24)), "·", bdRateExtend( N20:N24,W20:W24, AL20:AL24,AU20:AU24))</f>
        <v>-3.4810374164051971E-2</v>
      </c>
      <c r="BJ20" s="34">
        <f>IF( OR(ISBLANK(N20:N24),ISBLANK(AL20:AL24), ISBLANK(X20:X24),ISBLANK(AV20:AV24)), "·", bdRateExtend( N20:N24,X20:X24, AL20:AL24,AV20:AV24))</f>
        <v>-3.3630345879540724E-2</v>
      </c>
      <c r="BK20" s="34">
        <f>IF( OR(ISBLANK(V20:V24),ISBLANK(AT20:AT24), ISBLANK(Y20:Y24),ISBLANK(AW20:AW24)), "·", bdRateExtend( V20:V24,Y20:Y24, AT20:AT24,AW20:AW24))</f>
        <v>-3.0861442321249877E-2</v>
      </c>
      <c r="BL20" s="34">
        <f>IF( OR(ISBLANK(V20:V24),ISBLANK(AT20:AT24), ISBLANK(Z20:Z24),ISBLANK(AX20:AX24)), "·", bdRateExtend( V20:V24,Z20:Z24, AT20:AT24,AX20:AX24))</f>
        <v>-6.4174291984782195E-2</v>
      </c>
      <c r="BM20" s="34">
        <f>IF( OR(ISBLANK(V20:V24),ISBLANK(AT20:AT24), ISBLANK(AA20:AA24),ISBLANK(AY20:AY24)), "·", bdRateExtend( V20:V24,AA20:AA24, AT20:AT24,AY20:AY24))</f>
        <v>-5.9888373256595462E-2</v>
      </c>
      <c r="BO20" s="34">
        <f>IF( OR(ISBLANK(S20:S24),ISBLANK(AQ20:AQ24), ISBLANK(W20:W24),ISBLANK(AU20:AU24)), "·", bdRateExtend( S20:S24,W20:W24, AQ20:AQ24,AU20:AU24))</f>
        <v>-4.2245691753290071E-2</v>
      </c>
      <c r="BP20" s="34">
        <f>IF( OR(ISBLANK(S20:S24),ISBLANK(AQ20:AQ24), ISBLANK(X20:X24),ISBLANK(AV20:AV24)), "·", bdRateExtend( S20:S24,X20:X24, AQ20:AQ24,AV20:AV24))</f>
        <v>-4.0555197578199587E-2</v>
      </c>
      <c r="BQ20" s="34">
        <f>IF( OR(ISBLANK(S20:S24),ISBLANK(AQ20:AQ24), ISBLANK(Y20:Y24),ISBLANK(AW20:AW24)), "·", bdRateExtend( S20:S24,Y20:Y24, AQ20:AQ24,AW20:AW24))</f>
        <v>-2.8281727795324008E-2</v>
      </c>
      <c r="BR20" s="34">
        <f>IF( OR(ISBLANK(S20:S24),ISBLANK(AQ20:AQ24), ISBLANK(Z20:Z24),ISBLANK(AX20:AX24)), "·", bdRateExtend( S20:S24,Z20:Z24, AQ20:AQ24,AX20:AX24))</f>
        <v>-4.7965518883766545E-2</v>
      </c>
      <c r="BS20" s="34">
        <f>IF( OR(ISBLANK(S20:S24),ISBLANK(AQ20:AQ24), ISBLANK(AA20:AA24),ISBLANK(AY20:AY24)), "·", bdRateExtend( S20:S24,AA20:AA24, AQ20:AQ24,AY20:AY24))</f>
        <v>-4.3658088537513962E-2</v>
      </c>
      <c r="BU20" s="4">
        <f t="shared" si="16"/>
        <v>-69536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3.3669875</v>
      </c>
      <c r="J21" s="18">
        <f t="shared" si="1"/>
        <v>6.6901455567203894E-2</v>
      </c>
      <c r="K21" s="18">
        <f t="shared" si="2"/>
        <v>4.2489139044478076E-2</v>
      </c>
      <c r="L21" s="18">
        <f t="shared" si="3"/>
        <v>2.6299453241378678E-2</v>
      </c>
      <c r="M21" s="18">
        <f t="shared" si="4"/>
        <v>2.4397414153270808E-2</v>
      </c>
      <c r="N21" s="15">
        <f t="shared" si="5"/>
        <v>1368560</v>
      </c>
      <c r="O21" s="18">
        <f t="shared" si="6"/>
        <v>6.7660698523445972E-2</v>
      </c>
      <c r="P21" s="19">
        <v>31848208</v>
      </c>
      <c r="Q21" s="19">
        <v>995256.5</v>
      </c>
      <c r="R21" s="19">
        <v>32402.28125</v>
      </c>
      <c r="S21" s="20">
        <v>2154872</v>
      </c>
      <c r="T21" s="20">
        <v>847096</v>
      </c>
      <c r="U21" s="20">
        <v>521464</v>
      </c>
      <c r="V21" s="20">
        <v>785832</v>
      </c>
      <c r="W21" s="21">
        <v>68.705831000000003</v>
      </c>
      <c r="X21" s="21">
        <v>70.773572000000001</v>
      </c>
      <c r="Y21" s="21">
        <v>31.418202999999998</v>
      </c>
      <c r="Z21" s="21">
        <v>40.323430999999999</v>
      </c>
      <c r="AA21" s="21">
        <v>39.086153000000003</v>
      </c>
      <c r="AB21" s="22">
        <v>5181</v>
      </c>
      <c r="AC21" s="22">
        <v>1976.39</v>
      </c>
      <c r="AD21" s="22">
        <v>9.6720000000000006</v>
      </c>
      <c r="AE21" s="22">
        <v>10.141999999999999</v>
      </c>
      <c r="AG21" s="17">
        <f t="shared" si="7"/>
        <v>3.2472375000000002</v>
      </c>
      <c r="AH21" s="18">
        <f t="shared" si="8"/>
        <v>6.4522043910887186E-2</v>
      </c>
      <c r="AI21" s="18">
        <f t="shared" si="9"/>
        <v>4.1085087468991817E-2</v>
      </c>
      <c r="AJ21" s="18">
        <f t="shared" si="10"/>
        <v>2.630591093480918E-2</v>
      </c>
      <c r="AK21" s="18">
        <f t="shared" si="11"/>
        <v>2.3422054072440357E-2</v>
      </c>
      <c r="AL21" s="15">
        <f t="shared" si="12"/>
        <v>1323336</v>
      </c>
      <c r="AM21" s="18">
        <f t="shared" si="13"/>
        <v>6.5455124056998687E-2</v>
      </c>
      <c r="AN21" s="19">
        <v>31750486</v>
      </c>
      <c r="AO21" s="19">
        <v>992202.6875</v>
      </c>
      <c r="AP21" s="19">
        <v>32268.8125</v>
      </c>
      <c r="AQ21" s="20">
        <v>2078232</v>
      </c>
      <c r="AR21" s="20">
        <v>847304</v>
      </c>
      <c r="AS21" s="20">
        <v>476032</v>
      </c>
      <c r="AT21" s="20">
        <v>754416</v>
      </c>
      <c r="AU21" s="21">
        <v>68.755590999999995</v>
      </c>
      <c r="AV21" s="21">
        <v>70.840683999999996</v>
      </c>
      <c r="AW21" s="21">
        <v>31.426375</v>
      </c>
      <c r="AX21" s="21">
        <v>40.427081000000001</v>
      </c>
      <c r="AY21" s="21">
        <v>39.184052999999999</v>
      </c>
      <c r="AZ21" s="22">
        <v>6769.4</v>
      </c>
      <c r="BA21" s="22">
        <v>2889.19</v>
      </c>
      <c r="BB21" s="22">
        <v>10.494</v>
      </c>
      <c r="BC21" s="22">
        <v>13.821</v>
      </c>
      <c r="BE21" s="23">
        <f t="shared" si="14"/>
        <v>-3.4314208363535326E-5</v>
      </c>
      <c r="BF21" s="23">
        <f t="shared" si="15"/>
        <v>1.6601092643456772E-3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-76640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5.5169125000000001</v>
      </c>
      <c r="J22" s="28">
        <f t="shared" si="1"/>
        <v>0.10962009110128913</v>
      </c>
      <c r="K22" s="28">
        <f t="shared" si="2"/>
        <v>5.0538653905602124E-2</v>
      </c>
      <c r="L22" s="28">
        <f t="shared" si="3"/>
        <v>3.4348968102502722E-2</v>
      </c>
      <c r="M22" s="28">
        <f t="shared" si="4"/>
        <v>5.906653482623201E-2</v>
      </c>
      <c r="N22" s="25">
        <f t="shared" si="5"/>
        <v>1627832</v>
      </c>
      <c r="O22" s="28">
        <f t="shared" si="6"/>
        <v>0.10815910099285875</v>
      </c>
      <c r="P22" s="29">
        <v>32644724</v>
      </c>
      <c r="Q22" s="29">
        <v>1020147.625</v>
      </c>
      <c r="R22" s="29">
        <v>34408.53125</v>
      </c>
      <c r="S22" s="30">
        <v>3530824</v>
      </c>
      <c r="T22" s="30">
        <v>1106368</v>
      </c>
      <c r="U22" s="30">
        <v>521464</v>
      </c>
      <c r="V22" s="30">
        <v>1902512</v>
      </c>
      <c r="W22" s="31">
        <v>69.971631000000002</v>
      </c>
      <c r="X22" s="31">
        <v>72.413656000000003</v>
      </c>
      <c r="Y22" s="31">
        <v>33.451216000000002</v>
      </c>
      <c r="Z22" s="31">
        <v>41.544905999999997</v>
      </c>
      <c r="AA22" s="31">
        <v>40.409722000000002</v>
      </c>
      <c r="AB22" s="32">
        <v>4972.6099999999997</v>
      </c>
      <c r="AC22" s="32">
        <v>1949.96</v>
      </c>
      <c r="AD22" s="32">
        <v>8.8689999999999998</v>
      </c>
      <c r="AE22" s="32">
        <v>9.7149999999999999</v>
      </c>
      <c r="AG22" s="27">
        <f t="shared" si="7"/>
        <v>5.3326374999999997</v>
      </c>
      <c r="AH22" s="28">
        <f t="shared" si="8"/>
        <v>0.10595857892619301</v>
      </c>
      <c r="AI22" s="28">
        <f t="shared" si="9"/>
        <v>4.8954532032534477E-2</v>
      </c>
      <c r="AJ22" s="28">
        <f t="shared" si="10"/>
        <v>3.4175355498351843E-2</v>
      </c>
      <c r="AK22" s="28">
        <f t="shared" si="11"/>
        <v>5.6989144524203512E-2</v>
      </c>
      <c r="AL22" s="25">
        <f t="shared" si="12"/>
        <v>1576808</v>
      </c>
      <c r="AM22" s="28">
        <f t="shared" si="13"/>
        <v>0.10460675626117115</v>
      </c>
      <c r="AN22" s="29">
        <v>32625885</v>
      </c>
      <c r="AO22" s="29">
        <v>1019558.90625</v>
      </c>
      <c r="AP22" s="29">
        <v>34416.375</v>
      </c>
      <c r="AQ22" s="30">
        <v>3412888</v>
      </c>
      <c r="AR22" s="30">
        <v>1100776</v>
      </c>
      <c r="AS22" s="30">
        <v>476032</v>
      </c>
      <c r="AT22" s="30">
        <v>1835600</v>
      </c>
      <c r="AU22" s="31">
        <v>69.986822000000004</v>
      </c>
      <c r="AV22" s="31">
        <v>72.427774999999997</v>
      </c>
      <c r="AW22" s="31">
        <v>33.431131000000001</v>
      </c>
      <c r="AX22" s="31">
        <v>41.481966</v>
      </c>
      <c r="AY22" s="31">
        <v>40.404947</v>
      </c>
      <c r="AZ22" s="32">
        <v>6884.52</v>
      </c>
      <c r="BA22" s="32">
        <v>2803.05</v>
      </c>
      <c r="BB22" s="32">
        <v>10.596</v>
      </c>
      <c r="BC22" s="32">
        <v>13.637</v>
      </c>
      <c r="BE22" s="33">
        <f t="shared" si="14"/>
        <v>2.7169228177061078E-5</v>
      </c>
      <c r="BF22" s="33">
        <f t="shared" si="15"/>
        <v>9.8115600819503879E-4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-117936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10.180362499999999</v>
      </c>
      <c r="J23" s="18">
        <f t="shared" si="1"/>
        <v>0.20228203088124883</v>
      </c>
      <c r="K23" s="18">
        <f t="shared" si="2"/>
        <v>7.1333420243124085E-2</v>
      </c>
      <c r="L23" s="18">
        <f t="shared" si="3"/>
        <v>5.5143734440024683E-2</v>
      </c>
      <c r="M23" s="18">
        <f t="shared" si="4"/>
        <v>0.13093370826866974</v>
      </c>
      <c r="N23" s="15">
        <f t="shared" si="5"/>
        <v>2297624</v>
      </c>
      <c r="O23" s="18">
        <f t="shared" si="6"/>
        <v>0.19766296261025956</v>
      </c>
      <c r="P23" s="19">
        <v>32962331</v>
      </c>
      <c r="Q23" s="19">
        <v>1030072.84375</v>
      </c>
      <c r="R23" s="19">
        <v>36672.65625</v>
      </c>
      <c r="S23" s="20">
        <v>6515432</v>
      </c>
      <c r="T23" s="20">
        <v>1776160</v>
      </c>
      <c r="U23" s="20">
        <v>521464</v>
      </c>
      <c r="V23" s="20">
        <v>4217328</v>
      </c>
      <c r="W23" s="21">
        <v>70.896390999999994</v>
      </c>
      <c r="X23" s="21">
        <v>73.619405999999998</v>
      </c>
      <c r="Y23" s="21">
        <v>35.412227999999999</v>
      </c>
      <c r="Z23" s="21">
        <v>42.618422000000002</v>
      </c>
      <c r="AA23" s="21">
        <v>41.455531000000001</v>
      </c>
      <c r="AB23" s="22">
        <v>4732.1099999999997</v>
      </c>
      <c r="AC23" s="22">
        <v>2117.94</v>
      </c>
      <c r="AD23" s="22">
        <v>8.99</v>
      </c>
      <c r="AE23" s="22">
        <v>9.9369999999999994</v>
      </c>
      <c r="AG23" s="17">
        <f t="shared" si="7"/>
        <v>9.9387624999999993</v>
      </c>
      <c r="AH23" s="18">
        <f t="shared" si="8"/>
        <v>0.19748148093414136</v>
      </c>
      <c r="AI23" s="18">
        <f t="shared" si="9"/>
        <v>6.9778109617669462E-2</v>
      </c>
      <c r="AJ23" s="18">
        <f t="shared" si="10"/>
        <v>5.4998933083486828E-2</v>
      </c>
      <c r="AK23" s="18">
        <f t="shared" si="11"/>
        <v>0.12768846894701688</v>
      </c>
      <c r="AL23" s="15">
        <f t="shared" si="12"/>
        <v>2247528</v>
      </c>
      <c r="AM23" s="18">
        <f t="shared" si="13"/>
        <v>0.19286054261030752</v>
      </c>
      <c r="AN23" s="19">
        <v>32981386</v>
      </c>
      <c r="AO23" s="19">
        <v>1030668.3125</v>
      </c>
      <c r="AP23" s="19">
        <v>36522.5625</v>
      </c>
      <c r="AQ23" s="20">
        <v>6360808</v>
      </c>
      <c r="AR23" s="20">
        <v>1771496</v>
      </c>
      <c r="AS23" s="20">
        <v>476032</v>
      </c>
      <c r="AT23" s="20">
        <v>4112800</v>
      </c>
      <c r="AU23" s="21">
        <v>70.917291000000006</v>
      </c>
      <c r="AV23" s="21">
        <v>73.648009000000002</v>
      </c>
      <c r="AW23" s="21">
        <v>35.394269000000001</v>
      </c>
      <c r="AX23" s="21">
        <v>42.681066000000001</v>
      </c>
      <c r="AY23" s="21">
        <v>41.453786999999998</v>
      </c>
      <c r="AZ23" s="22">
        <v>4760.16</v>
      </c>
      <c r="BA23" s="22">
        <v>2418.29</v>
      </c>
      <c r="BB23" s="22">
        <v>9.1579999999999995</v>
      </c>
      <c r="BC23" s="22">
        <v>11.599</v>
      </c>
      <c r="BE23" s="23">
        <f t="shared" si="14"/>
        <v>-1.6619665901949215E-4</v>
      </c>
      <c r="BF23" s="23">
        <f t="shared" si="15"/>
        <v>6.9663018845128599E-4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-154624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19.00395</v>
      </c>
      <c r="J24" s="48">
        <f t="shared" si="1"/>
        <v>0.37760517867273474</v>
      </c>
      <c r="K24" s="48">
        <f t="shared" si="2"/>
        <v>0.12129783617905979</v>
      </c>
      <c r="L24" s="48">
        <f t="shared" si="3"/>
        <v>8.8183032640256218E-2</v>
      </c>
      <c r="M24" s="48">
        <f t="shared" si="4"/>
        <v>0.25629244012421992</v>
      </c>
      <c r="N24" s="45">
        <f t="shared" si="5"/>
        <v>3906960</v>
      </c>
      <c r="O24" s="48">
        <f t="shared" si="6"/>
        <v>0.38578303117459106</v>
      </c>
      <c r="P24" s="49">
        <v>31526861</v>
      </c>
      <c r="Q24" s="49">
        <v>985214.40625</v>
      </c>
      <c r="R24" s="49">
        <v>10289.78125</v>
      </c>
      <c r="S24" s="50">
        <v>12162528</v>
      </c>
      <c r="T24" s="50">
        <v>2840344</v>
      </c>
      <c r="U24" s="50">
        <v>1066616</v>
      </c>
      <c r="V24" s="50">
        <v>8255088</v>
      </c>
      <c r="W24" s="51">
        <v>72.220256000000006</v>
      </c>
      <c r="X24" s="51">
        <v>76.107500000000002</v>
      </c>
      <c r="Y24" s="51">
        <v>37.145119000000001</v>
      </c>
      <c r="Z24" s="51">
        <v>43.816259000000002</v>
      </c>
      <c r="AA24" s="51">
        <v>42.481274999999997</v>
      </c>
      <c r="AB24" s="52">
        <v>6905.77</v>
      </c>
      <c r="AC24" s="52">
        <v>3096.95</v>
      </c>
      <c r="AD24" s="52">
        <v>11.412000000000001</v>
      </c>
      <c r="AE24" s="52">
        <v>14.496</v>
      </c>
      <c r="AG24" s="47">
        <f t="shared" si="7"/>
        <v>18.672274999999999</v>
      </c>
      <c r="AH24" s="48">
        <f t="shared" si="8"/>
        <v>0.37101485415408048</v>
      </c>
      <c r="AI24" s="48">
        <f t="shared" si="9"/>
        <v>0.11951104208140401</v>
      </c>
      <c r="AJ24" s="48">
        <f t="shared" si="10"/>
        <v>8.8065552294385882E-2</v>
      </c>
      <c r="AK24" s="48">
        <f t="shared" si="11"/>
        <v>0.25148890970322146</v>
      </c>
      <c r="AL24" s="45">
        <f t="shared" si="12"/>
        <v>3849408</v>
      </c>
      <c r="AM24" s="48">
        <f t="shared" si="13"/>
        <v>0.3792946140969457</v>
      </c>
      <c r="AN24" s="49">
        <v>31506527</v>
      </c>
      <c r="AO24" s="49">
        <v>984578.96875</v>
      </c>
      <c r="AP24" s="49">
        <v>10275.65625</v>
      </c>
      <c r="AQ24" s="50">
        <v>11950256</v>
      </c>
      <c r="AR24" s="50">
        <v>2836560</v>
      </c>
      <c r="AS24" s="50">
        <v>1012848</v>
      </c>
      <c r="AT24" s="50">
        <v>8100368</v>
      </c>
      <c r="AU24" s="51">
        <v>72.228328000000005</v>
      </c>
      <c r="AV24" s="51">
        <v>76.141862000000003</v>
      </c>
      <c r="AW24" s="51">
        <v>37.146946999999997</v>
      </c>
      <c r="AX24" s="51">
        <v>43.815855999999997</v>
      </c>
      <c r="AY24" s="51">
        <v>42.483809000000001</v>
      </c>
      <c r="AZ24" s="52">
        <v>6855.69</v>
      </c>
      <c r="BA24" s="52">
        <v>3384.93</v>
      </c>
      <c r="BB24" s="52">
        <v>11.19</v>
      </c>
      <c r="BC24" s="52">
        <v>16.189</v>
      </c>
      <c r="BE24" s="53">
        <f t="shared" si="14"/>
        <v>-7.6056473972008903E-6</v>
      </c>
      <c r="BF24" s="53">
        <f t="shared" si="15"/>
        <v>8.9002108089586418E-4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-212272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2.3286375000000001</v>
      </c>
      <c r="J25" s="18">
        <f t="shared" si="1"/>
        <v>9.812894924892171E-2</v>
      </c>
      <c r="K25" s="18">
        <f t="shared" si="2"/>
        <v>6.188206195159307E-2</v>
      </c>
      <c r="L25" s="18">
        <f t="shared" si="3"/>
        <v>3.5299683854653416E-2</v>
      </c>
      <c r="M25" s="18">
        <f t="shared" si="4"/>
        <v>3.6227924265443259E-2</v>
      </c>
      <c r="N25" s="15">
        <f t="shared" si="5"/>
        <v>1566384</v>
      </c>
      <c r="O25" s="18">
        <f t="shared" si="6"/>
        <v>0.10530660711327078</v>
      </c>
      <c r="P25" s="19">
        <v>23587124</v>
      </c>
      <c r="Q25" s="19">
        <v>737097.625</v>
      </c>
      <c r="R25" s="19">
        <v>19103.28125</v>
      </c>
      <c r="S25" s="20">
        <v>2483880</v>
      </c>
      <c r="T25" s="20">
        <v>893520</v>
      </c>
      <c r="U25" s="20">
        <v>672864</v>
      </c>
      <c r="V25" s="20">
        <v>917016</v>
      </c>
      <c r="W25" s="21">
        <v>66.302324999999996</v>
      </c>
      <c r="X25" s="21">
        <v>68.016093999999995</v>
      </c>
      <c r="Y25" s="21">
        <v>25.817105999999999</v>
      </c>
      <c r="Z25" s="21">
        <v>32.337266</v>
      </c>
      <c r="AA25" s="21">
        <v>31.505772</v>
      </c>
      <c r="AB25" s="22">
        <v>5279.06</v>
      </c>
      <c r="AC25" s="22">
        <v>3117.72</v>
      </c>
      <c r="AD25" s="22">
        <v>9.1240000000000006</v>
      </c>
      <c r="AE25" s="22">
        <v>14.632999999999999</v>
      </c>
      <c r="AG25" s="17">
        <f t="shared" si="7"/>
        <v>2.3173650000000001</v>
      </c>
      <c r="AH25" s="18">
        <f t="shared" si="8"/>
        <v>9.7653925300192693E-2</v>
      </c>
      <c r="AI25" s="18">
        <f t="shared" si="9"/>
        <v>6.1466139452240179E-2</v>
      </c>
      <c r="AJ25" s="18">
        <f t="shared" si="10"/>
        <v>3.5911557683488665E-2</v>
      </c>
      <c r="AK25" s="18">
        <f t="shared" si="11"/>
        <v>3.6168822816067127E-2</v>
      </c>
      <c r="AL25" s="15">
        <f t="shared" si="12"/>
        <v>1555856</v>
      </c>
      <c r="AM25" s="18">
        <f t="shared" si="13"/>
        <v>0.10543512180257471</v>
      </c>
      <c r="AN25" s="19">
        <v>23444332</v>
      </c>
      <c r="AO25" s="19">
        <v>732635.375</v>
      </c>
      <c r="AP25" s="19">
        <v>18826.84375</v>
      </c>
      <c r="AQ25" s="20">
        <v>2471856</v>
      </c>
      <c r="AR25" s="20">
        <v>909008</v>
      </c>
      <c r="AS25" s="20">
        <v>646848</v>
      </c>
      <c r="AT25" s="20">
        <v>915520</v>
      </c>
      <c r="AU25" s="21">
        <v>66.296750000000003</v>
      </c>
      <c r="AV25" s="21">
        <v>68.033671999999996</v>
      </c>
      <c r="AW25" s="21">
        <v>25.867497</v>
      </c>
      <c r="AX25" s="21">
        <v>32.388146999999996</v>
      </c>
      <c r="AY25" s="21">
        <v>31.566597000000002</v>
      </c>
      <c r="AZ25" s="22">
        <v>3839.82</v>
      </c>
      <c r="BA25" s="22">
        <v>2823.53</v>
      </c>
      <c r="BB25" s="22">
        <v>8.25</v>
      </c>
      <c r="BC25" s="22">
        <v>13.268000000000001</v>
      </c>
      <c r="BE25" s="23">
        <f t="shared" si="14"/>
        <v>-2.1946775136881883E-4</v>
      </c>
      <c r="BF25" s="23">
        <f t="shared" si="15"/>
        <v>-1.1915852231820789E-3</v>
      </c>
      <c r="BG25" s="23">
        <f t="array" ref="BG25">AVERAGE(AL25:AL29/AQ25:AQ29) - AVERAGE(N25:N29/S25:S29)</f>
        <v>1.3126027478927993E-3</v>
      </c>
      <c r="BI25" s="24">
        <f>IF( OR(ISBLANK(N25:N29),ISBLANK(AL25:AL29), ISBLANK(W25:W29),ISBLANK(AU25:AU29)), "·", bdRateExtend( N25:N29,W25:W29, AL25:AL29,AU25:AU29))</f>
        <v>-3.4436880637290779E-3</v>
      </c>
      <c r="BJ25" s="24">
        <f>IF( OR(ISBLANK(N25:N29),ISBLANK(AL25:AL29), ISBLANK(X25:X29),ISBLANK(AV25:AV29)), "·", bdRateExtend( N25:N29,X25:X29, AL25:AL29,AV25:AV29))</f>
        <v>-4.4603847818573961E-3</v>
      </c>
      <c r="BK25" s="24">
        <f>IF( OR(ISBLANK(V25:V29),ISBLANK(AT25:AT29), ISBLANK(Y25:Y29),ISBLANK(AW25:AW29)), "·", bdRateExtend( V25:V29,Y25:Y29, AT25:AT29,AW25:AW29))</f>
        <v>-2.5016318518807035E-2</v>
      </c>
      <c r="BL25" s="24">
        <f>IF( OR(ISBLANK(V25:V29),ISBLANK(AT25:AT29), ISBLANK(Z25:Z29),ISBLANK(AX25:AX29)), "·", bdRateExtend( V25:V29,Z25:Z29, AT25:AT29,AX25:AX29))</f>
        <v>-3.0438119889780402E-2</v>
      </c>
      <c r="BM25" s="24">
        <f>IF( OR(ISBLANK(V25:V29),ISBLANK(AT25:AT29), ISBLANK(AA25:AA29),ISBLANK(AY25:AY29)), "·", bdRateExtend( V25:V29,AA25:AA29, AT25:AT29,AY25:AY29))</f>
        <v>-3.0798370546985532E-2</v>
      </c>
      <c r="BO25" s="24">
        <f>IF( OR(ISBLANK(S25:S29),ISBLANK(AQ25:AQ29), ISBLANK(W25:W29),ISBLANK(AU25:AU29)), "·", bdRateExtend( S25:S29,W25:W29, AQ25:AQ29,AU25:AU29))</f>
        <v>-9.4064292577119568E-3</v>
      </c>
      <c r="BP25" s="24">
        <f>IF( OR(ISBLANK(S25:S29),ISBLANK(AQ25:AQ29), ISBLANK(X25:X29),ISBLANK(AV25:AV29)), "·", bdRateExtend( S25:S29,X25:X29, AQ25:AQ29,AV25:AV29))</f>
        <v>-1.1867610246737326E-2</v>
      </c>
      <c r="BQ25" s="24">
        <f>IF( OR(ISBLANK(S25:S29),ISBLANK(AQ25:AQ29), ISBLANK(Y25:Y29),ISBLANK(AW25:AW29)), "·", bdRateExtend( S25:S29,Y25:Y29, AQ25:AQ29,AW25:AW29))</f>
        <v>-1.8361833498537705E-2</v>
      </c>
      <c r="BR25" s="24">
        <f>IF( OR(ISBLANK(S25:S29),ISBLANK(AQ25:AQ29), ISBLANK(Z25:Z29),ISBLANK(AX25:AX29)), "·", bdRateExtend( S25:S29,Z25:Z29, AQ25:AQ29,AX25:AX29))</f>
        <v>-2.3018202123580633E-2</v>
      </c>
      <c r="BS25" s="24">
        <f>IF( OR(ISBLANK(S25:S29),ISBLANK(AQ25:AQ29), ISBLANK(AA25:AA29),ISBLANK(AY25:AY29)), "·", bdRateExtend( S25:S29,AA25:AA29, AQ25:AQ29,AY25:AY29))</f>
        <v>-2.2665064787689038E-2</v>
      </c>
      <c r="BU25" s="4">
        <f t="shared" si="16"/>
        <v>-12024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3.59694</v>
      </c>
      <c r="J26" s="28">
        <f t="shared" si="1"/>
        <v>0.15157530646629905</v>
      </c>
      <c r="K26" s="28">
        <f t="shared" si="2"/>
        <v>7.5654912009951794E-2</v>
      </c>
      <c r="L26" s="28">
        <f t="shared" si="3"/>
        <v>4.9072533913012147E-2</v>
      </c>
      <c r="M26" s="28">
        <f t="shared" si="4"/>
        <v>7.5901431424461874E-2</v>
      </c>
      <c r="N26" s="25">
        <f t="shared" si="5"/>
        <v>1915008</v>
      </c>
      <c r="O26" s="28">
        <f t="shared" si="6"/>
        <v>0.15251024208344041</v>
      </c>
      <c r="P26" s="29">
        <v>25157235</v>
      </c>
      <c r="Q26" s="29">
        <v>786163.59375</v>
      </c>
      <c r="R26" s="29">
        <v>23660.5</v>
      </c>
      <c r="S26" s="30">
        <v>3836736</v>
      </c>
      <c r="T26" s="30">
        <v>1242144</v>
      </c>
      <c r="U26" s="30">
        <v>672864</v>
      </c>
      <c r="V26" s="30">
        <v>1921248</v>
      </c>
      <c r="W26" s="31">
        <v>68.050475000000006</v>
      </c>
      <c r="X26" s="31">
        <v>69.994980999999996</v>
      </c>
      <c r="Y26" s="31">
        <v>27.873328000000001</v>
      </c>
      <c r="Z26" s="31">
        <v>33.630606</v>
      </c>
      <c r="AA26" s="31">
        <v>32.988174999999998</v>
      </c>
      <c r="AB26" s="32">
        <v>3679.61</v>
      </c>
      <c r="AC26" s="32">
        <v>2679.55</v>
      </c>
      <c r="AD26" s="32">
        <v>8.3070000000000004</v>
      </c>
      <c r="AE26" s="32">
        <v>12.209</v>
      </c>
      <c r="AG26" s="27">
        <f t="shared" si="7"/>
        <v>3.5685750000000001</v>
      </c>
      <c r="AH26" s="28">
        <f t="shared" si="8"/>
        <v>0.15038000335645665</v>
      </c>
      <c r="AI26" s="28">
        <f t="shared" si="9"/>
        <v>7.5284816837655269E-2</v>
      </c>
      <c r="AJ26" s="28">
        <f t="shared" si="10"/>
        <v>4.9730235068903755E-2</v>
      </c>
      <c r="AK26" s="28">
        <f t="shared" si="11"/>
        <v>7.5076223486915977E-2</v>
      </c>
      <c r="AL26" s="25">
        <f t="shared" si="12"/>
        <v>1905640</v>
      </c>
      <c r="AM26" s="28">
        <f t="shared" si="13"/>
        <v>0.15161746392220288</v>
      </c>
      <c r="AN26" s="29">
        <v>25105815</v>
      </c>
      <c r="AO26" s="29">
        <v>784556.71875</v>
      </c>
      <c r="AP26" s="29">
        <v>23475</v>
      </c>
      <c r="AQ26" s="30">
        <v>3806480</v>
      </c>
      <c r="AR26" s="30">
        <v>1258792</v>
      </c>
      <c r="AS26" s="30">
        <v>646848</v>
      </c>
      <c r="AT26" s="30">
        <v>1900360</v>
      </c>
      <c r="AU26" s="31">
        <v>68.068686999999997</v>
      </c>
      <c r="AV26" s="31">
        <v>70.023927999999998</v>
      </c>
      <c r="AW26" s="31">
        <v>27.925699999999999</v>
      </c>
      <c r="AX26" s="31">
        <v>33.663696999999999</v>
      </c>
      <c r="AY26" s="31">
        <v>33.043638000000001</v>
      </c>
      <c r="AZ26" s="32">
        <v>4069.58</v>
      </c>
      <c r="BA26" s="32">
        <v>3326.45</v>
      </c>
      <c r="BB26" s="32">
        <v>9.24</v>
      </c>
      <c r="BC26" s="32">
        <v>14.808999999999999</v>
      </c>
      <c r="BE26" s="33">
        <f t="shared" si="14"/>
        <v>-1.7479838036301223E-4</v>
      </c>
      <c r="BF26" s="33">
        <f t="shared" si="15"/>
        <v>1.5062481552395868E-3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-30256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6.1634099999999998</v>
      </c>
      <c r="J27" s="18">
        <f t="shared" si="1"/>
        <v>0.25972653411718077</v>
      </c>
      <c r="K27" s="18">
        <f t="shared" si="2"/>
        <v>9.5606866008164856E-2</v>
      </c>
      <c r="L27" s="18">
        <f t="shared" si="3"/>
        <v>6.9024487911225202E-2</v>
      </c>
      <c r="M27" s="18">
        <f t="shared" si="4"/>
        <v>0.16410070507713057</v>
      </c>
      <c r="N27" s="15">
        <f t="shared" si="5"/>
        <v>2420040</v>
      </c>
      <c r="O27" s="18">
        <f t="shared" si="6"/>
        <v>0.25975809002947647</v>
      </c>
      <c r="P27" s="19">
        <v>25309333</v>
      </c>
      <c r="Q27" s="19">
        <v>790916.65625</v>
      </c>
      <c r="R27" s="19">
        <v>24590.8125</v>
      </c>
      <c r="S27" s="20">
        <v>6574304</v>
      </c>
      <c r="T27" s="20">
        <v>1747176</v>
      </c>
      <c r="U27" s="20">
        <v>672864</v>
      </c>
      <c r="V27" s="20">
        <v>4153784</v>
      </c>
      <c r="W27" s="21">
        <v>69.417627999999993</v>
      </c>
      <c r="X27" s="21">
        <v>71.751233999999997</v>
      </c>
      <c r="Y27" s="21">
        <v>30.219646999999998</v>
      </c>
      <c r="Z27" s="21">
        <v>34.888072000000001</v>
      </c>
      <c r="AA27" s="21">
        <v>34.375062999999997</v>
      </c>
      <c r="AB27" s="22">
        <v>3846.43</v>
      </c>
      <c r="AC27" s="22">
        <v>3084.65</v>
      </c>
      <c r="AD27" s="22">
        <v>8.8710000000000004</v>
      </c>
      <c r="AE27" s="22">
        <v>13.157999999999999</v>
      </c>
      <c r="AG27" s="17">
        <f t="shared" si="7"/>
        <v>6.0908024999999997</v>
      </c>
      <c r="AH27" s="18">
        <f t="shared" si="8"/>
        <v>0.2566668489224731</v>
      </c>
      <c r="AI27" s="18">
        <f t="shared" si="9"/>
        <v>9.5349916926117814E-2</v>
      </c>
      <c r="AJ27" s="18">
        <f t="shared" si="10"/>
        <v>6.9795335157366301E-2</v>
      </c>
      <c r="AK27" s="18">
        <f t="shared" si="11"/>
        <v>0.16129796896446991</v>
      </c>
      <c r="AL27" s="15">
        <f t="shared" si="12"/>
        <v>2413536</v>
      </c>
      <c r="AM27" s="18">
        <f t="shared" si="13"/>
        <v>0.25686945306153303</v>
      </c>
      <c r="AN27" s="19">
        <v>25292443</v>
      </c>
      <c r="AO27" s="19">
        <v>790388.84375</v>
      </c>
      <c r="AP27" s="19">
        <v>24524.78125</v>
      </c>
      <c r="AQ27" s="20">
        <v>6496856</v>
      </c>
      <c r="AR27" s="20">
        <v>1766688</v>
      </c>
      <c r="AS27" s="20">
        <v>646848</v>
      </c>
      <c r="AT27" s="20">
        <v>4082840</v>
      </c>
      <c r="AU27" s="21">
        <v>69.417490999999998</v>
      </c>
      <c r="AV27" s="21">
        <v>71.759243999999995</v>
      </c>
      <c r="AW27" s="21">
        <v>30.281255999999999</v>
      </c>
      <c r="AX27" s="21">
        <v>34.926352999999999</v>
      </c>
      <c r="AY27" s="21">
        <v>34.411968999999999</v>
      </c>
      <c r="AZ27" s="22">
        <v>5193.1099999999997</v>
      </c>
      <c r="BA27" s="22">
        <v>4053.59</v>
      </c>
      <c r="BB27" s="22">
        <v>9.2780000000000005</v>
      </c>
      <c r="BC27" s="22">
        <v>17.169</v>
      </c>
      <c r="BE27" s="23">
        <f t="shared" si="14"/>
        <v>-6.2780174393966409E-5</v>
      </c>
      <c r="BF27" s="23">
        <f t="shared" si="15"/>
        <v>3.3870328469053912E-3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-77448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12.374459999999999</v>
      </c>
      <c r="J28" s="28">
        <f t="shared" si="1"/>
        <v>0.52146062120996151</v>
      </c>
      <c r="K28" s="28">
        <f t="shared" si="2"/>
        <v>0.12987022017028171</v>
      </c>
      <c r="L28" s="28">
        <f t="shared" si="3"/>
        <v>0.10328784207334206</v>
      </c>
      <c r="M28" s="28">
        <f t="shared" si="4"/>
        <v>0.39157143800779443</v>
      </c>
      <c r="N28" s="25">
        <f t="shared" si="5"/>
        <v>3287328</v>
      </c>
      <c r="O28" s="28">
        <f t="shared" si="6"/>
        <v>0.50133604289436051</v>
      </c>
      <c r="P28" s="29">
        <v>26328496</v>
      </c>
      <c r="Q28" s="29">
        <v>822765.5</v>
      </c>
      <c r="R28" s="29">
        <v>28125.34375</v>
      </c>
      <c r="S28" s="30">
        <v>13199424</v>
      </c>
      <c r="T28" s="30">
        <v>2614464</v>
      </c>
      <c r="U28" s="30">
        <v>672864</v>
      </c>
      <c r="V28" s="30">
        <v>9911616</v>
      </c>
      <c r="W28" s="31">
        <v>70.424097000000003</v>
      </c>
      <c r="X28" s="31">
        <v>72.966525000000004</v>
      </c>
      <c r="Y28" s="31">
        <v>32.775624999999998</v>
      </c>
      <c r="Z28" s="31">
        <v>36.414712999999999</v>
      </c>
      <c r="AA28" s="31">
        <v>35.915244000000001</v>
      </c>
      <c r="AB28" s="32">
        <v>3668.09</v>
      </c>
      <c r="AC28" s="32">
        <v>3204.2</v>
      </c>
      <c r="AD28" s="32">
        <v>8.2940000000000005</v>
      </c>
      <c r="AE28" s="32">
        <v>13.385</v>
      </c>
      <c r="AG28" s="27">
        <f t="shared" si="7"/>
        <v>12.288577500000001</v>
      </c>
      <c r="AH28" s="28">
        <f t="shared" si="8"/>
        <v>0.51784152657463489</v>
      </c>
      <c r="AI28" s="28">
        <f t="shared" si="9"/>
        <v>0.12991541539627521</v>
      </c>
      <c r="AJ28" s="28">
        <f t="shared" si="10"/>
        <v>0.1043608336275237</v>
      </c>
      <c r="AK28" s="28">
        <f t="shared" si="11"/>
        <v>0.38790714814647426</v>
      </c>
      <c r="AL28" s="25">
        <f t="shared" si="12"/>
        <v>3288472</v>
      </c>
      <c r="AM28" s="28">
        <f t="shared" si="13"/>
        <v>0.49811812223096513</v>
      </c>
      <c r="AN28" s="29">
        <v>26314674</v>
      </c>
      <c r="AO28" s="29">
        <v>822333.5625</v>
      </c>
      <c r="AP28" s="29">
        <v>28184.28125</v>
      </c>
      <c r="AQ28" s="30">
        <v>13107816</v>
      </c>
      <c r="AR28" s="30">
        <v>2641624</v>
      </c>
      <c r="AS28" s="30">
        <v>646848</v>
      </c>
      <c r="AT28" s="30">
        <v>9818864</v>
      </c>
      <c r="AU28" s="31">
        <v>70.428855999999996</v>
      </c>
      <c r="AV28" s="31">
        <v>72.974494000000007</v>
      </c>
      <c r="AW28" s="31">
        <v>32.810327999999998</v>
      </c>
      <c r="AX28" s="31">
        <v>36.458011999999997</v>
      </c>
      <c r="AY28" s="31">
        <v>35.949599999999997</v>
      </c>
      <c r="AZ28" s="32">
        <v>5253.32</v>
      </c>
      <c r="BA28" s="32">
        <v>4450.0600000000004</v>
      </c>
      <c r="BB28" s="32">
        <v>9.5649999999999995</v>
      </c>
      <c r="BC28" s="32">
        <v>18.928000000000001</v>
      </c>
      <c r="BE28" s="33">
        <f t="shared" si="14"/>
        <v>8.9626420480326541E-5</v>
      </c>
      <c r="BF28" s="33">
        <f t="shared" si="15"/>
        <v>1.8278446909767432E-3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-91608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28.284585</v>
      </c>
      <c r="J29" s="38">
        <f t="shared" si="1"/>
        <v>1.1919144160444948</v>
      </c>
      <c r="K29" s="38">
        <f t="shared" si="2"/>
        <v>0.21245201167743505</v>
      </c>
      <c r="L29" s="38">
        <f t="shared" si="3"/>
        <v>0.16085075746250613</v>
      </c>
      <c r="M29" s="38">
        <f t="shared" si="4"/>
        <v>0.97944344133517447</v>
      </c>
      <c r="N29" s="35">
        <f t="shared" si="5"/>
        <v>5377672</v>
      </c>
      <c r="O29" s="38">
        <f t="shared" si="6"/>
        <v>1.1988534643190558</v>
      </c>
      <c r="P29" s="39">
        <v>25165898</v>
      </c>
      <c r="Q29" s="39">
        <v>786434.3125</v>
      </c>
      <c r="R29" s="39">
        <v>7391.28125</v>
      </c>
      <c r="S29" s="40">
        <v>30170224</v>
      </c>
      <c r="T29" s="40">
        <v>4071520</v>
      </c>
      <c r="U29" s="40">
        <v>1306152</v>
      </c>
      <c r="V29" s="40">
        <v>24792072</v>
      </c>
      <c r="W29" s="41">
        <v>71.740909000000002</v>
      </c>
      <c r="X29" s="41">
        <v>75.091175000000007</v>
      </c>
      <c r="Y29" s="41">
        <v>35.532209000000002</v>
      </c>
      <c r="Z29" s="41">
        <v>38.494211999999997</v>
      </c>
      <c r="AA29" s="41">
        <v>37.956256000000003</v>
      </c>
      <c r="AB29" s="42">
        <v>5366.08</v>
      </c>
      <c r="AC29" s="42">
        <v>4720.55</v>
      </c>
      <c r="AD29" s="42">
        <v>10.209</v>
      </c>
      <c r="AE29" s="42">
        <v>18.491</v>
      </c>
      <c r="AG29" s="37">
        <f t="shared" si="7"/>
        <v>28.185457499999998</v>
      </c>
      <c r="AH29" s="38">
        <f t="shared" si="8"/>
        <v>1.187737176170675</v>
      </c>
      <c r="AI29" s="38">
        <f t="shared" si="9"/>
        <v>0.21293493688944964</v>
      </c>
      <c r="AJ29" s="38">
        <f t="shared" si="10"/>
        <v>0.16260641816456181</v>
      </c>
      <c r="AK29" s="38">
        <f t="shared" si="11"/>
        <v>0.9747832762493398</v>
      </c>
      <c r="AL29" s="35">
        <f t="shared" si="12"/>
        <v>5389896</v>
      </c>
      <c r="AM29" s="38">
        <f t="shared" si="13"/>
        <v>1.1961157582868482</v>
      </c>
      <c r="AN29" s="39">
        <v>25135099</v>
      </c>
      <c r="AO29" s="39">
        <v>785471.84375</v>
      </c>
      <c r="AP29" s="39">
        <v>7375.5</v>
      </c>
      <c r="AQ29" s="40">
        <v>30064488</v>
      </c>
      <c r="AR29" s="40">
        <v>4115960</v>
      </c>
      <c r="AS29" s="40">
        <v>1273936</v>
      </c>
      <c r="AT29" s="40">
        <v>24674112</v>
      </c>
      <c r="AU29" s="41">
        <v>71.725769</v>
      </c>
      <c r="AV29" s="41">
        <v>75.094937999999999</v>
      </c>
      <c r="AW29" s="41">
        <v>35.536059000000002</v>
      </c>
      <c r="AX29" s="41">
        <v>38.523952999999999</v>
      </c>
      <c r="AY29" s="41">
        <v>37.977291000000001</v>
      </c>
      <c r="AZ29" s="42">
        <v>3893.21</v>
      </c>
      <c r="BA29" s="42">
        <v>4087.62</v>
      </c>
      <c r="BB29" s="42">
        <v>9.07</v>
      </c>
      <c r="BC29" s="42">
        <v>16.872</v>
      </c>
      <c r="BE29" s="43">
        <f t="shared" si="14"/>
        <v>-8.5751182371859164E-6</v>
      </c>
      <c r="BF29" s="43">
        <f t="shared" si="15"/>
        <v>1.033473269524382E-3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-105736</v>
      </c>
    </row>
    <row r="30" spans="1:73" ht="16" x14ac:dyDescent="0.2">
      <c r="B30" s="55" t="s">
        <v>288</v>
      </c>
      <c r="J30" s="56">
        <f>AVERAGE(J5:J24)</f>
        <v>0.20283843557954309</v>
      </c>
      <c r="K30" s="56">
        <f>AVERAGE(K5:K24)</f>
        <v>9.534273137339358E-2</v>
      </c>
      <c r="L30" s="56">
        <f>AVERAGE(L5:L24)</f>
        <v>6.6593967906363849E-2</v>
      </c>
      <c r="M30" s="56">
        <f>AVERAGE(M5:M24)</f>
        <v>0.10747834001686092</v>
      </c>
      <c r="AH30" s="56">
        <f>AVERAGE(AH5:AH24)</f>
        <v>0.19948513815615634</v>
      </c>
      <c r="AI30" s="56">
        <f>AVERAGE(AI5:AI24)</f>
        <v>9.4256859010428226E-2</v>
      </c>
      <c r="AJ30" s="56">
        <f>AVERAGE(AJ5:AJ24)</f>
        <v>6.7170858038381423E-2</v>
      </c>
      <c r="AK30" s="56">
        <f>AVERAGE(AK5:AK24)</f>
        <v>0.10521091495643956</v>
      </c>
      <c r="BG30" s="8">
        <f>AVERAGE(BG5:BG24)</f>
        <v>4.0741387753183145E-3</v>
      </c>
      <c r="BI30" s="5">
        <f>AVERAGE(BI5:BI24)</f>
        <v>-2.1917363497231085E-2</v>
      </c>
      <c r="BJ30" s="5">
        <f>AVERAGE(BJ5:BJ24)</f>
        <v>-2.0831607284331782E-2</v>
      </c>
      <c r="BK30" s="5">
        <f>AVERAGE(BK5:BK24)</f>
        <v>-5.4479742197621167E-2</v>
      </c>
      <c r="BL30" s="5">
        <f>AVERAGE(BL5:BL24)</f>
        <v>-8.7969306533788066E-2</v>
      </c>
      <c r="BM30" s="5">
        <f>AVERAGE(BM5:BM24)</f>
        <v>-8.9147609440919373E-2</v>
      </c>
      <c r="BO30" s="5">
        <f>AVERAGE(BO5:BO24)</f>
        <v>-3.0981669368884357E-2</v>
      </c>
      <c r="BP30" s="5">
        <f>AVERAGE(BP5:BP24)</f>
        <v>-2.9945358026799401E-2</v>
      </c>
      <c r="BQ30" s="5">
        <f>AVERAGE(BQ5:BQ24)</f>
        <v>-3.6178828892828307E-2</v>
      </c>
      <c r="BR30" s="5">
        <f>AVERAGE(BR5:BR24)</f>
        <v>-5.7558256613058523E-2</v>
      </c>
      <c r="BS30" s="5">
        <f>AVERAGE(BS5:BS24)</f>
        <v>-5.8962513323850746E-2</v>
      </c>
    </row>
    <row r="31" spans="1:73" ht="16" x14ac:dyDescent="0.2">
      <c r="B31" s="55" t="s">
        <v>289</v>
      </c>
      <c r="J31" s="56">
        <f>AVERAGE(J25:J29)</f>
        <v>0.44456116541737156</v>
      </c>
      <c r="K31" s="56">
        <f>AVERAGE(K25:K29)</f>
        <v>0.1150932143634853</v>
      </c>
      <c r="L31" s="56">
        <f>AVERAGE(L25:L29)</f>
        <v>8.3507061042947778E-2</v>
      </c>
      <c r="M31" s="56">
        <f>AVERAGE(M25:M29)</f>
        <v>0.32944898802200095</v>
      </c>
      <c r="AH31" s="56">
        <f>AVERAGE(AH25:AH29)</f>
        <v>0.44205589606488649</v>
      </c>
      <c r="AI31" s="56">
        <f>AVERAGE(AI25:AI29)</f>
        <v>0.11499024510034764</v>
      </c>
      <c r="AJ31" s="56">
        <f>AVERAGE(AJ25:AJ29)</f>
        <v>8.4480875940368835E-2</v>
      </c>
      <c r="AK31" s="56">
        <f>AVERAGE(AK25:AK29)</f>
        <v>0.3270466879326534</v>
      </c>
      <c r="BG31" s="8">
        <f>AVERAGE(BG25:BG29)</f>
        <v>1.3126027478927993E-3</v>
      </c>
      <c r="BI31" s="5">
        <f>AVERAGE(BI25:BI29)</f>
        <v>-3.4436880637290779E-3</v>
      </c>
      <c r="BJ31" s="5">
        <f>AVERAGE(BJ25:BJ29)</f>
        <v>-4.4603847818573961E-3</v>
      </c>
      <c r="BK31" s="5">
        <f>AVERAGE(BK25:BK29)</f>
        <v>-2.5016318518807035E-2</v>
      </c>
      <c r="BL31" s="5">
        <f>AVERAGE(BL25:BL29)</f>
        <v>-3.0438119889780402E-2</v>
      </c>
      <c r="BM31" s="5">
        <f>AVERAGE(BM25:BM29)</f>
        <v>-3.0798370546985532E-2</v>
      </c>
      <c r="BO31" s="5">
        <f>AVERAGE(BO25:BO29)</f>
        <v>-9.4064292577119568E-3</v>
      </c>
      <c r="BP31" s="5">
        <f>AVERAGE(BP25:BP29)</f>
        <v>-1.1867610246737326E-2</v>
      </c>
      <c r="BQ31" s="5">
        <f>AVERAGE(BQ25:BQ29)</f>
        <v>-1.8361833498537705E-2</v>
      </c>
      <c r="BR31" s="5">
        <f>AVERAGE(BR25:BR29)</f>
        <v>-2.3018202123580633E-2</v>
      </c>
      <c r="BS31" s="5">
        <f>AVERAGE(BS25:BS29)</f>
        <v>-2.2665064787689038E-2</v>
      </c>
    </row>
    <row r="32" spans="1:73" ht="16" x14ac:dyDescent="0.2">
      <c r="B32" s="55" t="s">
        <v>290</v>
      </c>
      <c r="J32" s="56">
        <f>AVERAGE(J5:J29)</f>
        <v>0.25118298154710872</v>
      </c>
      <c r="K32" s="56">
        <f>AVERAGE(K5:K29)</f>
        <v>9.9292827971411909E-2</v>
      </c>
      <c r="L32" s="56">
        <f>AVERAGE(L5:L29)</f>
        <v>6.9976586533680635E-2</v>
      </c>
      <c r="M32" s="56">
        <f>AVERAGE(M5:M29)</f>
        <v>0.15187246961788892</v>
      </c>
      <c r="AH32" s="56">
        <f>AVERAGE(AH5:AH29)</f>
        <v>0.24799928973790236</v>
      </c>
      <c r="AI32" s="56">
        <f>AVERAGE(AI5:AI29)</f>
        <v>9.8403536228412122E-2</v>
      </c>
      <c r="AJ32" s="56">
        <f>AVERAGE(AJ5:AJ29)</f>
        <v>7.0632861618778908E-2</v>
      </c>
      <c r="AK32" s="56">
        <f>AVERAGE(AK5:AK29)</f>
        <v>0.14957806955168232</v>
      </c>
      <c r="BG32" s="8">
        <f>AVERAGE(BG5:BG29)</f>
        <v>3.5218315698332114E-3</v>
      </c>
      <c r="BI32" s="5">
        <f>AVERAGE(BI5:BI29)</f>
        <v>-1.8222628410530683E-2</v>
      </c>
      <c r="BJ32" s="5">
        <f>AVERAGE(BJ5:BJ29)</f>
        <v>-1.7557362783836905E-2</v>
      </c>
      <c r="BK32" s="5">
        <f>AVERAGE(BK5:BK29)</f>
        <v>-4.8587057461858339E-2</v>
      </c>
      <c r="BL32" s="5">
        <f>AVERAGE(BL5:BL29)</f>
        <v>-7.6463069204986536E-2</v>
      </c>
      <c r="BM32" s="5">
        <f>AVERAGE(BM5:BM29)</f>
        <v>-7.7477761662132605E-2</v>
      </c>
      <c r="BO32" s="5">
        <f>AVERAGE(BO5:BO29)</f>
        <v>-2.6666621346649877E-2</v>
      </c>
      <c r="BP32" s="5">
        <f>AVERAGE(BP5:BP29)</f>
        <v>-2.6329808470786985E-2</v>
      </c>
      <c r="BQ32" s="5">
        <f>AVERAGE(BQ5:BQ29)</f>
        <v>-3.2615429813970184E-2</v>
      </c>
      <c r="BR32" s="5">
        <f>AVERAGE(BR5:BR29)</f>
        <v>-5.0650245715162946E-2</v>
      </c>
      <c r="BS32" s="5">
        <f>AVERAGE(BS5:BS29)</f>
        <v>-5.1703023616618403E-2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127568.83</v>
      </c>
      <c r="AC33" s="57">
        <f>SUM(AC5:AC24,AC25:AC29)</f>
        <v>73126.91</v>
      </c>
      <c r="AD33" s="57">
        <f>SUM(AD5:AD24,AD25:AD29)</f>
        <v>242.83400000000003</v>
      </c>
      <c r="AE33" s="57">
        <f>SUM(AE5:AE24,AE25:AE29)</f>
        <v>330.14399999999995</v>
      </c>
      <c r="AZ33" s="57">
        <f>SUM(AZ5:AZ24,AZ25:AZ29)</f>
        <v>124723.71000000004</v>
      </c>
      <c r="BA33" s="57">
        <f>SUM(BA5:BA24,BA25:BA29)</f>
        <v>80785.39</v>
      </c>
      <c r="BB33" s="57">
        <f>SUM(BB5:BB24,BB25:BB29)</f>
        <v>243.40499999999994</v>
      </c>
      <c r="BC33" s="57">
        <f>SUM(BC5:BC24,BC25:BC29)</f>
        <v>371.62200000000007</v>
      </c>
    </row>
    <row r="34" spans="1:55" ht="16" hidden="1" outlineLevel="2" x14ac:dyDescent="0.2">
      <c r="B34" s="55" t="s">
        <v>293</v>
      </c>
      <c r="AZ34" s="8">
        <f>AZ33/AB33</f>
        <v>0.97769737325332551</v>
      </c>
      <c r="BA34" s="8">
        <f>BA33/AC33</f>
        <v>1.1047286149517326</v>
      </c>
      <c r="BB34" s="8">
        <f>BB33/AD33</f>
        <v>1.0023514005452281</v>
      </c>
      <c r="BC34" s="8">
        <f>BC33/AE33</f>
        <v>1.1256360860715329</v>
      </c>
    </row>
    <row r="35" spans="1:55" ht="16" hidden="1" outlineLevel="2" x14ac:dyDescent="0.2">
      <c r="B35" s="55" t="s">
        <v>294</v>
      </c>
      <c r="AB35" s="57">
        <f>GEOMEAN(AB5:AB24,AB25:AB29)</f>
        <v>4988.234617865457</v>
      </c>
      <c r="AC35" s="57">
        <f>GEOMEAN(AC5:AC24,AC25:AC29)</f>
        <v>2860.1244124499453</v>
      </c>
      <c r="AD35" s="57">
        <f>GEOMEAN(AD5:AD24,AD25:AD29)</f>
        <v>9.6093063547611024</v>
      </c>
      <c r="AE35" s="57">
        <f>GEOMEAN(AE5:AE24,AE25:AE29)</f>
        <v>13.022421921265465</v>
      </c>
      <c r="AZ35" s="57">
        <f>GEOMEAN(AZ5:AZ24,AZ25:AZ29)</f>
        <v>4835.5859043621031</v>
      </c>
      <c r="BA35" s="57">
        <f>GEOMEAN(BA5:BA24,BA25:BA29)</f>
        <v>3158.7659884227533</v>
      </c>
      <c r="BB35" s="57">
        <f>GEOMEAN(BB5:BB24,BB25:BB29)</f>
        <v>9.6045421044009114</v>
      </c>
      <c r="BC35" s="57">
        <f>GEOMEAN(BC5:BC24,BC25:BC29)</f>
        <v>14.675264617622611</v>
      </c>
    </row>
    <row r="36" spans="1:55" ht="16" outlineLevel="2" collapsed="1" x14ac:dyDescent="0.2">
      <c r="B36" s="55" t="s">
        <v>295</v>
      </c>
      <c r="AZ36" s="8">
        <f>AZ35/AB35</f>
        <v>0.9693982490405243</v>
      </c>
      <c r="BA36" s="8">
        <f>BA35/AC35</f>
        <v>1.1044155892914447</v>
      </c>
      <c r="BB36" s="8">
        <f>BB35/AD35</f>
        <v>0.99950420455084876</v>
      </c>
      <c r="BC36" s="8">
        <f>BC35/AE35</f>
        <v>1.1269228340434949</v>
      </c>
    </row>
    <row r="40" spans="1:55" x14ac:dyDescent="0.2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 x14ac:dyDescent="0.2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 x14ac:dyDescent="0.2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 x14ac:dyDescent="0.2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 x14ac:dyDescent="0.2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 x14ac:dyDescent="0.2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 x14ac:dyDescent="0.2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 x14ac:dyDescent="0.2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 x14ac:dyDescent="0.2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 x14ac:dyDescent="0.2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 x14ac:dyDescent="0.2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 x14ac:dyDescent="0.2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 x14ac:dyDescent="0.2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 x14ac:dyDescent="0.2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 x14ac:dyDescent="0.2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 x14ac:dyDescent="0.2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 x14ac:dyDescent="0.2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 x14ac:dyDescent="0.2">
      <c r="P65" s="4"/>
      <c r="Q65" s="4"/>
      <c r="R65" s="4"/>
      <c r="S65" s="4"/>
      <c r="T65" s="4"/>
      <c r="U65" s="58"/>
      <c r="V65" s="4"/>
    </row>
    <row r="66" spans="16:51" x14ac:dyDescent="0.2">
      <c r="P66" s="4"/>
      <c r="Q66" s="4"/>
      <c r="R66" s="4"/>
      <c r="S66" s="4"/>
      <c r="T66" s="4"/>
      <c r="U66" s="58"/>
      <c r="V66" s="4"/>
    </row>
    <row r="67" spans="16:51" x14ac:dyDescent="0.2">
      <c r="P67" s="4"/>
      <c r="Q67" s="4"/>
      <c r="R67" s="4"/>
      <c r="S67" s="4"/>
      <c r="T67" s="4"/>
      <c r="U67" s="58"/>
      <c r="V67" s="4"/>
    </row>
    <row r="68" spans="16:51" x14ac:dyDescent="0.2">
      <c r="P68" s="4"/>
      <c r="Q68" s="4"/>
      <c r="R68" s="4"/>
      <c r="S68" s="4"/>
      <c r="T68" s="4"/>
      <c r="U68" s="58"/>
      <c r="V68" s="4"/>
    </row>
    <row r="69" spans="16:51" x14ac:dyDescent="0.2">
      <c r="P69" s="4"/>
      <c r="Q69" s="4"/>
      <c r="R69" s="4"/>
      <c r="S69" s="4"/>
      <c r="U69" s="58"/>
    </row>
    <row r="70" spans="16:51" x14ac:dyDescent="0.2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 x14ac:dyDescent="0.2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 x14ac:dyDescent="0.2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 x14ac:dyDescent="0.2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 x14ac:dyDescent="0.2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 x14ac:dyDescent="0.2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 x14ac:dyDescent="0.2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 x14ac:dyDescent="0.2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 x14ac:dyDescent="0.2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 x14ac:dyDescent="0.2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 x14ac:dyDescent="0.2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 x14ac:dyDescent="0.2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 x14ac:dyDescent="0.2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 x14ac:dyDescent="0.2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 x14ac:dyDescent="0.2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 x14ac:dyDescent="0.2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 x14ac:dyDescent="0.2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 x14ac:dyDescent="0.2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 x14ac:dyDescent="0.2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 x14ac:dyDescent="0.2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 x14ac:dyDescent="0.2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 x14ac:dyDescent="0.2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 x14ac:dyDescent="0.2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 x14ac:dyDescent="0.2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 x14ac:dyDescent="0.2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Jungsun Kim</cp:lastModifiedBy>
  <dcterms:created xsi:type="dcterms:W3CDTF">2018-08-31T19:13:00Z</dcterms:created>
  <dcterms:modified xsi:type="dcterms:W3CDTF">2019-02-01T07:37:07Z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