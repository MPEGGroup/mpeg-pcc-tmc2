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1" defaultThemeVersion="124226"/>
  <mc:AlternateContent xmlns:mc="http://schemas.openxmlformats.org/markup-compatibility/2006">
    <mc:Choice Requires="x15">
      <x15ac:absPath xmlns:x15ac="http://schemas.microsoft.com/office/spreadsheetml/2010/11/ac" url="\\renwekasmb01\wp21\PCC\ricardj\gitint15\tm2_r141\test\"/>
    </mc:Choice>
  </mc:AlternateContent>
  <xr:revisionPtr revIDLastSave="0" documentId="13_ncr:1_{25284922-A9C7-4D0D-83FB-B4EA8F88000A}" xr6:coauthVersionLast="47" xr6:coauthVersionMax="47" xr10:uidLastSave="{00000000-0000-0000-0000-000000000000}"/>
  <bookViews>
    <workbookView xWindow="1410" yWindow="1650" windowWidth="21600" windowHeight="14295" firstSheet="2" activeTab="6"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C46" i="7" l="1"/>
  <c r="BB46" i="7"/>
  <c r="BA46" i="7"/>
  <c r="AZ46" i="7"/>
  <c r="AE46" i="7"/>
  <c r="AD46" i="7"/>
  <c r="BB47" i="7" s="1"/>
  <c r="C48" i="1" s="1"/>
  <c r="AC46" i="7"/>
  <c r="BA47" i="7" s="1"/>
  <c r="AB46" i="7"/>
  <c r="AZ47" i="7" s="1"/>
  <c r="BC44" i="7"/>
  <c r="BB44" i="7"/>
  <c r="BB45" i="7" s="1"/>
  <c r="BA44" i="7"/>
  <c r="AZ44" i="7"/>
  <c r="AE44" i="7"/>
  <c r="AD44" i="7"/>
  <c r="AC44" i="7"/>
  <c r="AB44" i="7"/>
  <c r="AZ45" i="7" s="1"/>
  <c r="BF39" i="7"/>
  <c r="AL39" i="7"/>
  <c r="BG39" i="7" s="1"/>
  <c r="AK39" i="7"/>
  <c r="AJ39" i="7"/>
  <c r="AI39" i="7"/>
  <c r="AH39" i="7"/>
  <c r="AG39" i="7"/>
  <c r="N39" i="7"/>
  <c r="M39" i="7"/>
  <c r="L39" i="7"/>
  <c r="K39" i="7"/>
  <c r="J39" i="7"/>
  <c r="I39" i="7"/>
  <c r="BF38" i="7"/>
  <c r="AL38" i="7"/>
  <c r="BH35" i="7" s="1" a="1"/>
  <c r="AK38" i="7"/>
  <c r="AJ38" i="7"/>
  <c r="AH38" i="7"/>
  <c r="AG38" i="7"/>
  <c r="N38" i="7"/>
  <c r="M38" i="7"/>
  <c r="L38" i="7"/>
  <c r="K38" i="7"/>
  <c r="J38" i="7"/>
  <c r="I38" i="7"/>
  <c r="BF37" i="7"/>
  <c r="AL37" i="7"/>
  <c r="AK37" i="7"/>
  <c r="AJ37" i="7"/>
  <c r="AI37" i="7"/>
  <c r="AH37" i="7"/>
  <c r="AG37" i="7"/>
  <c r="N37" i="7"/>
  <c r="M37" i="7"/>
  <c r="L37" i="7"/>
  <c r="J37" i="7"/>
  <c r="I37" i="7"/>
  <c r="BF36" i="7"/>
  <c r="AL36" i="7"/>
  <c r="AK36" i="7"/>
  <c r="AJ36" i="7"/>
  <c r="AI36" i="7"/>
  <c r="AH36" i="7"/>
  <c r="AG36" i="7"/>
  <c r="N36" i="7"/>
  <c r="M36" i="7"/>
  <c r="L36" i="7"/>
  <c r="J36" i="7"/>
  <c r="I36" i="7"/>
  <c r="BF35" i="7"/>
  <c r="AL35" i="7"/>
  <c r="AK35" i="7"/>
  <c r="AJ35" i="7"/>
  <c r="AI35" i="7"/>
  <c r="AH35" i="7"/>
  <c r="AG35" i="7"/>
  <c r="N35" i="7"/>
  <c r="K35" i="7" s="1"/>
  <c r="M35" i="7"/>
  <c r="L35" i="7"/>
  <c r="J35" i="7"/>
  <c r="I35" i="7"/>
  <c r="BF34" i="7"/>
  <c r="AL34" i="7"/>
  <c r="AK34" i="7"/>
  <c r="AJ34" i="7"/>
  <c r="AH34" i="7"/>
  <c r="AG34" i="7"/>
  <c r="N34" i="7"/>
  <c r="K34" i="7" s="1"/>
  <c r="M34" i="7"/>
  <c r="L34" i="7"/>
  <c r="J34" i="7"/>
  <c r="I34" i="7"/>
  <c r="BF33" i="7"/>
  <c r="AL33" i="7"/>
  <c r="AK33" i="7"/>
  <c r="AJ33" i="7"/>
  <c r="AI33" i="7"/>
  <c r="BE33" i="7" s="1"/>
  <c r="AH33" i="7"/>
  <c r="AG33" i="7"/>
  <c r="N33" i="7"/>
  <c r="M33" i="7"/>
  <c r="L33" i="7"/>
  <c r="K33" i="7"/>
  <c r="J33" i="7"/>
  <c r="I33" i="7"/>
  <c r="BF32" i="7"/>
  <c r="AL32" i="7"/>
  <c r="AI32" i="7" s="1"/>
  <c r="AK32" i="7"/>
  <c r="AJ32" i="7"/>
  <c r="AH32" i="7"/>
  <c r="AG32" i="7"/>
  <c r="N32" i="7"/>
  <c r="M32" i="7"/>
  <c r="L32" i="7"/>
  <c r="J32" i="7"/>
  <c r="I32" i="7"/>
  <c r="BF31" i="7"/>
  <c r="AL31" i="7"/>
  <c r="AI31" i="7" s="1"/>
  <c r="AK31" i="7"/>
  <c r="AJ31" i="7"/>
  <c r="AH31" i="7"/>
  <c r="AG31" i="7"/>
  <c r="N31" i="7"/>
  <c r="M31" i="7"/>
  <c r="L31" i="7"/>
  <c r="K31" i="7"/>
  <c r="J31" i="7"/>
  <c r="I31" i="7"/>
  <c r="BG30" i="7"/>
  <c r="BF30" i="7"/>
  <c r="AL30" i="7"/>
  <c r="AK30" i="7"/>
  <c r="AJ30" i="7"/>
  <c r="AH30" i="7"/>
  <c r="AG30" i="7"/>
  <c r="N30" i="7"/>
  <c r="M30" i="7"/>
  <c r="L30" i="7"/>
  <c r="K30" i="7"/>
  <c r="J30" i="7"/>
  <c r="I30" i="7"/>
  <c r="BG29" i="7"/>
  <c r="BF29" i="7"/>
  <c r="AL29" i="7"/>
  <c r="AI29" i="7" s="1"/>
  <c r="AK29" i="7"/>
  <c r="AJ29" i="7"/>
  <c r="AH29" i="7"/>
  <c r="AG29" i="7"/>
  <c r="N29" i="7"/>
  <c r="M29" i="7"/>
  <c r="L29" i="7"/>
  <c r="K29" i="7"/>
  <c r="J29" i="7"/>
  <c r="I29" i="7"/>
  <c r="BF28" i="7"/>
  <c r="AL28" i="7"/>
  <c r="AI28" i="7" s="1"/>
  <c r="AK28" i="7"/>
  <c r="AJ28" i="7"/>
  <c r="AH28" i="7"/>
  <c r="AG28" i="7"/>
  <c r="N28" i="7"/>
  <c r="BG28" i="7" s="1"/>
  <c r="M28" i="7"/>
  <c r="M41" i="7" s="1"/>
  <c r="L28" i="7"/>
  <c r="J28" i="7"/>
  <c r="I28" i="7"/>
  <c r="BF27" i="7"/>
  <c r="AL27" i="7"/>
  <c r="AI27" i="7" s="1"/>
  <c r="AK27" i="7"/>
  <c r="AJ27" i="7"/>
  <c r="AH27" i="7"/>
  <c r="AG27" i="7"/>
  <c r="N27" i="7"/>
  <c r="K27" i="7" s="1"/>
  <c r="M27" i="7"/>
  <c r="L27" i="7"/>
  <c r="J27" i="7"/>
  <c r="I27" i="7"/>
  <c r="BF26" i="7"/>
  <c r="AL26" i="7"/>
  <c r="BH25" i="7" s="1" a="1"/>
  <c r="AK26" i="7"/>
  <c r="AJ26" i="7"/>
  <c r="AJ41" i="7" s="1"/>
  <c r="AH26" i="7"/>
  <c r="AG26" i="7"/>
  <c r="N26" i="7"/>
  <c r="K26" i="7" s="1"/>
  <c r="M26" i="7"/>
  <c r="L26" i="7"/>
  <c r="J26" i="7"/>
  <c r="I26" i="7"/>
  <c r="BG25" i="7"/>
  <c r="BF25" i="7"/>
  <c r="AL25" i="7"/>
  <c r="AK25" i="7"/>
  <c r="AJ25" i="7"/>
  <c r="AI25" i="7"/>
  <c r="BE25" i="7" s="1"/>
  <c r="AH25" i="7"/>
  <c r="AG25" i="7"/>
  <c r="N25" i="7"/>
  <c r="M25" i="7"/>
  <c r="L25" i="7"/>
  <c r="K25" i="7"/>
  <c r="J25" i="7"/>
  <c r="I25" i="7"/>
  <c r="BF24" i="7"/>
  <c r="AL24" i="7"/>
  <c r="AK24" i="7"/>
  <c r="AJ24" i="7"/>
  <c r="AI24" i="7"/>
  <c r="AH24" i="7"/>
  <c r="AG24" i="7"/>
  <c r="N24" i="7"/>
  <c r="BG24" i="7" s="1"/>
  <c r="M24" i="7"/>
  <c r="L24" i="7"/>
  <c r="J24" i="7"/>
  <c r="I24" i="7"/>
  <c r="BG23" i="7"/>
  <c r="BF23" i="7"/>
  <c r="AL23" i="7"/>
  <c r="AK23" i="7"/>
  <c r="AJ23" i="7"/>
  <c r="AI23" i="7"/>
  <c r="AH23" i="7"/>
  <c r="AG23" i="7"/>
  <c r="N23" i="7"/>
  <c r="M23" i="7"/>
  <c r="L23" i="7"/>
  <c r="K23" i="7"/>
  <c r="J23" i="7"/>
  <c r="I23" i="7"/>
  <c r="BF22" i="7"/>
  <c r="AL22" i="7"/>
  <c r="AI22" i="7" s="1"/>
  <c r="AK22" i="7"/>
  <c r="AJ22" i="7"/>
  <c r="AH22" i="7"/>
  <c r="AG22" i="7"/>
  <c r="N22" i="7"/>
  <c r="M22" i="7"/>
  <c r="L22" i="7"/>
  <c r="K22" i="7"/>
  <c r="J22" i="7"/>
  <c r="I22" i="7"/>
  <c r="BF21" i="7"/>
  <c r="AL21" i="7"/>
  <c r="BG21" i="7" s="1"/>
  <c r="AK21" i="7"/>
  <c r="AJ21" i="7"/>
  <c r="AI21" i="7"/>
  <c r="AH21" i="7"/>
  <c r="AG21" i="7"/>
  <c r="N21" i="7"/>
  <c r="M21" i="7"/>
  <c r="L21" i="7"/>
  <c r="K21" i="7"/>
  <c r="J21" i="7"/>
  <c r="I21" i="7"/>
  <c r="BH20" i="7" a="1"/>
  <c r="BF20" i="7"/>
  <c r="AL20" i="7"/>
  <c r="AI20" i="7" s="1"/>
  <c r="AK20" i="7"/>
  <c r="AJ20" i="7"/>
  <c r="AH20" i="7"/>
  <c r="AG20" i="7"/>
  <c r="N20" i="7"/>
  <c r="M20" i="7"/>
  <c r="L20" i="7"/>
  <c r="J20" i="7"/>
  <c r="I20" i="7"/>
  <c r="BF19" i="7"/>
  <c r="AL19" i="7"/>
  <c r="AI19" i="7" s="1"/>
  <c r="AK19" i="7"/>
  <c r="AJ19" i="7"/>
  <c r="AH19" i="7"/>
  <c r="AG19" i="7"/>
  <c r="N19" i="7"/>
  <c r="K19" i="7" s="1"/>
  <c r="M19" i="7"/>
  <c r="L19" i="7"/>
  <c r="J19" i="7"/>
  <c r="I19" i="7"/>
  <c r="BF18" i="7"/>
  <c r="AL18" i="7"/>
  <c r="BH15" i="7" s="1" a="1"/>
  <c r="BH15" i="7" s="1"/>
  <c r="AK18" i="7"/>
  <c r="AJ18" i="7"/>
  <c r="AH18" i="7"/>
  <c r="AG18" i="7"/>
  <c r="N18" i="7"/>
  <c r="M18" i="7"/>
  <c r="L18" i="7"/>
  <c r="K18" i="7"/>
  <c r="J18" i="7"/>
  <c r="I18" i="7"/>
  <c r="BG17" i="7"/>
  <c r="BF17" i="7"/>
  <c r="AL17" i="7"/>
  <c r="AI17" i="7" s="1"/>
  <c r="AK17" i="7"/>
  <c r="AJ17" i="7"/>
  <c r="AH17" i="7"/>
  <c r="AG17" i="7"/>
  <c r="N17" i="7"/>
  <c r="M17" i="7"/>
  <c r="L17" i="7"/>
  <c r="K17" i="7"/>
  <c r="J17" i="7"/>
  <c r="I17" i="7"/>
  <c r="BF16" i="7"/>
  <c r="AL16" i="7"/>
  <c r="AI16" i="7" s="1"/>
  <c r="AK16" i="7"/>
  <c r="AJ16" i="7"/>
  <c r="AH16" i="7"/>
  <c r="AG16" i="7"/>
  <c r="N16" i="7"/>
  <c r="BG16" i="7" s="1"/>
  <c r="M16" i="7"/>
  <c r="L16" i="7"/>
  <c r="J16" i="7"/>
  <c r="I16" i="7"/>
  <c r="BG15" i="7"/>
  <c r="BF15" i="7"/>
  <c r="AL15" i="7"/>
  <c r="AI15" i="7" s="1"/>
  <c r="AK15" i="7"/>
  <c r="AJ15" i="7"/>
  <c r="AH15" i="7"/>
  <c r="AG15" i="7"/>
  <c r="N15" i="7"/>
  <c r="M15" i="7"/>
  <c r="L15" i="7"/>
  <c r="K15" i="7"/>
  <c r="J15" i="7"/>
  <c r="I15" i="7"/>
  <c r="BF14" i="7"/>
  <c r="AL14" i="7"/>
  <c r="AK14" i="7"/>
  <c r="AJ14" i="7"/>
  <c r="AH14" i="7"/>
  <c r="AG14" i="7"/>
  <c r="N14" i="7"/>
  <c r="M14" i="7"/>
  <c r="L14" i="7"/>
  <c r="K14" i="7"/>
  <c r="J14" i="7"/>
  <c r="I14" i="7"/>
  <c r="BG13" i="7"/>
  <c r="BF13" i="7"/>
  <c r="AL13" i="7"/>
  <c r="AK13" i="7"/>
  <c r="AJ13" i="7"/>
  <c r="AI13" i="7"/>
  <c r="AH13" i="7"/>
  <c r="AG13" i="7"/>
  <c r="N13" i="7"/>
  <c r="M13" i="7"/>
  <c r="L13" i="7"/>
  <c r="K13" i="7"/>
  <c r="J13" i="7"/>
  <c r="I13" i="7"/>
  <c r="BF12" i="7"/>
  <c r="AL12" i="7"/>
  <c r="AK12" i="7"/>
  <c r="AJ12" i="7"/>
  <c r="AI12" i="7"/>
  <c r="AH12" i="7"/>
  <c r="AG12" i="7"/>
  <c r="N12" i="7"/>
  <c r="BG12" i="7" s="1"/>
  <c r="M12" i="7"/>
  <c r="L12" i="7"/>
  <c r="J12" i="7"/>
  <c r="I12" i="7"/>
  <c r="BF11" i="7"/>
  <c r="AL11" i="7"/>
  <c r="AK11" i="7"/>
  <c r="AJ11" i="7"/>
  <c r="AI11" i="7"/>
  <c r="AH11" i="7"/>
  <c r="AG11" i="7"/>
  <c r="N11" i="7"/>
  <c r="K11" i="7" s="1"/>
  <c r="M11" i="7"/>
  <c r="L11" i="7"/>
  <c r="J11" i="7"/>
  <c r="I11" i="7"/>
  <c r="BF10" i="7"/>
  <c r="AL10" i="7"/>
  <c r="AK10" i="7"/>
  <c r="AJ10" i="7"/>
  <c r="AH10" i="7"/>
  <c r="AG10" i="7"/>
  <c r="N10" i="7"/>
  <c r="K10" i="7" s="1"/>
  <c r="M10" i="7"/>
  <c r="L10" i="7"/>
  <c r="J10" i="7"/>
  <c r="I10" i="7"/>
  <c r="BF9" i="7"/>
  <c r="AL9" i="7"/>
  <c r="AK9" i="7"/>
  <c r="AJ9" i="7"/>
  <c r="AI9" i="7"/>
  <c r="BE9" i="7" s="1"/>
  <c r="AH9" i="7"/>
  <c r="AG9" i="7"/>
  <c r="N9" i="7"/>
  <c r="BG9" i="7" s="1"/>
  <c r="M9" i="7"/>
  <c r="L9" i="7"/>
  <c r="K9" i="7"/>
  <c r="J9" i="7"/>
  <c r="I9" i="7"/>
  <c r="BF8" i="7"/>
  <c r="AL8" i="7"/>
  <c r="AI8" i="7" s="1"/>
  <c r="AK8" i="7"/>
  <c r="AJ8" i="7"/>
  <c r="AH8" i="7"/>
  <c r="AG8" i="7"/>
  <c r="N8" i="7"/>
  <c r="M8" i="7"/>
  <c r="L8" i="7"/>
  <c r="J8" i="7"/>
  <c r="I8" i="7"/>
  <c r="BF7" i="7"/>
  <c r="AL7" i="7"/>
  <c r="BG7" i="7" s="1"/>
  <c r="AK7" i="7"/>
  <c r="AJ7" i="7"/>
  <c r="AI7" i="7"/>
  <c r="AH7" i="7"/>
  <c r="AG7" i="7"/>
  <c r="N7" i="7"/>
  <c r="M7" i="7"/>
  <c r="L7" i="7"/>
  <c r="K7" i="7"/>
  <c r="J7" i="7"/>
  <c r="I7" i="7"/>
  <c r="BF6" i="7"/>
  <c r="AL6" i="7"/>
  <c r="BG6" i="7" s="1"/>
  <c r="AK6" i="7"/>
  <c r="AJ6" i="7"/>
  <c r="AH6" i="7"/>
  <c r="AG6" i="7"/>
  <c r="N6" i="7"/>
  <c r="M6" i="7"/>
  <c r="L6" i="7"/>
  <c r="K6" i="7"/>
  <c r="J6" i="7"/>
  <c r="I6" i="7"/>
  <c r="BF5" i="7"/>
  <c r="AL5" i="7"/>
  <c r="AK5" i="7"/>
  <c r="AJ5" i="7"/>
  <c r="AI5" i="7"/>
  <c r="AH5" i="7"/>
  <c r="AG5" i="7"/>
  <c r="N5" i="7"/>
  <c r="M5" i="7"/>
  <c r="L5" i="7"/>
  <c r="J5" i="7"/>
  <c r="I5" i="7"/>
  <c r="AG1" i="7"/>
  <c r="I1" i="7"/>
  <c r="AZ18" i="6"/>
  <c r="AY18" i="6"/>
  <c r="AX18" i="6"/>
  <c r="AW18" i="6"/>
  <c r="AC18" i="6"/>
  <c r="AB18" i="6"/>
  <c r="AA18" i="6"/>
  <c r="Z18" i="6"/>
  <c r="AZ16" i="6"/>
  <c r="AY16" i="6"/>
  <c r="AX16" i="6"/>
  <c r="AX17" i="6" s="1"/>
  <c r="AW16" i="6"/>
  <c r="AC16" i="6"/>
  <c r="AB16" i="6"/>
  <c r="AA16" i="6"/>
  <c r="Z16" i="6"/>
  <c r="M13" i="6"/>
  <c r="BG11" i="6" a="1"/>
  <c r="AK11" i="6"/>
  <c r="BG11" i="6" s="1"/>
  <c r="AJ11" i="6"/>
  <c r="AI11" i="6"/>
  <c r="AH11" i="6"/>
  <c r="AG11" i="6"/>
  <c r="AF11" i="6"/>
  <c r="AE11" i="6"/>
  <c r="N11" i="6"/>
  <c r="M11" i="6"/>
  <c r="L11" i="6"/>
  <c r="K11" i="6"/>
  <c r="J11" i="6"/>
  <c r="I11" i="6"/>
  <c r="H11" i="6"/>
  <c r="AK10" i="6"/>
  <c r="AJ10" i="6"/>
  <c r="AI10" i="6"/>
  <c r="AG10" i="6"/>
  <c r="AF10" i="6"/>
  <c r="AE10" i="6"/>
  <c r="N10" i="6"/>
  <c r="K10" i="6" s="1"/>
  <c r="M10" i="6"/>
  <c r="L10" i="6"/>
  <c r="J10" i="6"/>
  <c r="J14" i="6" s="1"/>
  <c r="I10" i="6"/>
  <c r="H10" i="6"/>
  <c r="BG9" i="6" a="1"/>
  <c r="AK9" i="6"/>
  <c r="AJ9" i="6"/>
  <c r="AJ13" i="6" s="1"/>
  <c r="AI9" i="6"/>
  <c r="BD9" i="6" s="1"/>
  <c r="AH9" i="6"/>
  <c r="AG9" i="6"/>
  <c r="AF9" i="6"/>
  <c r="AE9" i="6"/>
  <c r="N9" i="6"/>
  <c r="M9" i="6"/>
  <c r="L9" i="6"/>
  <c r="L13" i="6" s="1"/>
  <c r="J9" i="6"/>
  <c r="J13" i="6" s="1"/>
  <c r="I9" i="6"/>
  <c r="H9" i="6"/>
  <c r="AK8" i="6"/>
  <c r="AH8" i="6" s="1"/>
  <c r="AJ8" i="6"/>
  <c r="AJ12" i="6" s="1"/>
  <c r="AI8" i="6"/>
  <c r="BD8" i="6" s="1"/>
  <c r="AG8" i="6"/>
  <c r="AF8" i="6"/>
  <c r="AE8" i="6"/>
  <c r="N8" i="6"/>
  <c r="M8" i="6"/>
  <c r="L8" i="6"/>
  <c r="J8" i="6"/>
  <c r="BB8" i="6" s="1"/>
  <c r="I8" i="6"/>
  <c r="H8" i="6"/>
  <c r="BG7" i="6" a="1"/>
  <c r="AK7" i="6"/>
  <c r="AH7" i="6" s="1"/>
  <c r="AJ7" i="6"/>
  <c r="AI7" i="6"/>
  <c r="AG7" i="6"/>
  <c r="AF7" i="6"/>
  <c r="AE7" i="6"/>
  <c r="N7" i="6"/>
  <c r="M7" i="6"/>
  <c r="L7" i="6"/>
  <c r="J7" i="6"/>
  <c r="BB7" i="6" s="1"/>
  <c r="I7" i="6"/>
  <c r="H7" i="6"/>
  <c r="AK6" i="6"/>
  <c r="AJ6" i="6"/>
  <c r="AI6" i="6"/>
  <c r="BD6" i="6" s="1"/>
  <c r="AG6" i="6"/>
  <c r="AF6" i="6"/>
  <c r="AE6" i="6"/>
  <c r="N6" i="6"/>
  <c r="K6" i="6" s="1"/>
  <c r="M6" i="6"/>
  <c r="L6" i="6"/>
  <c r="J6" i="6"/>
  <c r="I6" i="6"/>
  <c r="H6" i="6"/>
  <c r="BG5" i="6" a="1"/>
  <c r="AK5" i="6"/>
  <c r="AH5" i="6" s="1"/>
  <c r="AJ5" i="6"/>
  <c r="AI5" i="6"/>
  <c r="AG5" i="6"/>
  <c r="AF5" i="6"/>
  <c r="AE5" i="6"/>
  <c r="N5" i="6"/>
  <c r="BF5" i="6" s="1"/>
  <c r="M5" i="6"/>
  <c r="M15" i="6" s="1"/>
  <c r="L5" i="6"/>
  <c r="K5" i="6"/>
  <c r="J5" i="6"/>
  <c r="I5" i="6"/>
  <c r="H5" i="6"/>
  <c r="AE1" i="6"/>
  <c r="H1" i="6"/>
  <c r="AZ18" i="5"/>
  <c r="AY18" i="5"/>
  <c r="AX18" i="5"/>
  <c r="AW18" i="5"/>
  <c r="AC18" i="5"/>
  <c r="AB18" i="5"/>
  <c r="AY19" i="5" s="1"/>
  <c r="C24" i="1" s="1"/>
  <c r="AA18" i="5"/>
  <c r="AX19" i="5" s="1"/>
  <c r="Z18" i="5"/>
  <c r="AW19" i="5" s="1"/>
  <c r="AZ16" i="5"/>
  <c r="AY16" i="5"/>
  <c r="AX16" i="5"/>
  <c r="AW16" i="5"/>
  <c r="AC16" i="5"/>
  <c r="AZ17" i="5" s="1"/>
  <c r="AB16" i="5"/>
  <c r="AY17" i="5" s="1"/>
  <c r="AA16" i="5"/>
  <c r="AX17" i="5" s="1"/>
  <c r="Z16" i="5"/>
  <c r="AW17" i="5" s="1"/>
  <c r="J13" i="5"/>
  <c r="M12" i="5"/>
  <c r="AK11" i="5"/>
  <c r="AJ11" i="5"/>
  <c r="AI11" i="5"/>
  <c r="AG11" i="5"/>
  <c r="AF11" i="5"/>
  <c r="AE11" i="5"/>
  <c r="N11" i="5"/>
  <c r="M11" i="5"/>
  <c r="L11" i="5"/>
  <c r="BD11" i="5" s="1"/>
  <c r="K11" i="5"/>
  <c r="J11" i="5"/>
  <c r="I11" i="5"/>
  <c r="H11" i="5"/>
  <c r="BG10" i="5" a="1"/>
  <c r="AK10" i="5"/>
  <c r="AH10" i="5" s="1"/>
  <c r="AJ10" i="5"/>
  <c r="AI10" i="5"/>
  <c r="AG10" i="5"/>
  <c r="AF10" i="5"/>
  <c r="AE10" i="5"/>
  <c r="N10" i="5"/>
  <c r="BF10" i="5" s="1"/>
  <c r="M10" i="5"/>
  <c r="L10" i="5"/>
  <c r="L14" i="5" s="1"/>
  <c r="J10" i="5"/>
  <c r="I10" i="5"/>
  <c r="H10" i="5"/>
  <c r="BE9" i="5"/>
  <c r="AK9" i="5"/>
  <c r="AJ9" i="5"/>
  <c r="AJ13" i="5" s="1"/>
  <c r="AI9" i="5"/>
  <c r="AI13" i="5" s="1"/>
  <c r="AH9" i="5"/>
  <c r="AH13" i="5" s="1"/>
  <c r="AG9" i="5"/>
  <c r="BB9" i="5" s="1"/>
  <c r="AF9" i="5"/>
  <c r="AE9" i="5"/>
  <c r="N9" i="5"/>
  <c r="M9" i="5"/>
  <c r="M13" i="5" s="1"/>
  <c r="L9" i="5"/>
  <c r="L13" i="5" s="1"/>
  <c r="J9" i="5"/>
  <c r="I9" i="5"/>
  <c r="H9" i="5"/>
  <c r="BG8" i="5" a="1"/>
  <c r="AK8" i="5"/>
  <c r="AH8" i="5" s="1"/>
  <c r="AJ8" i="5"/>
  <c r="AI8" i="5"/>
  <c r="AG8" i="5"/>
  <c r="AF8" i="5"/>
  <c r="AE8" i="5"/>
  <c r="N8" i="5"/>
  <c r="M8" i="5"/>
  <c r="L8" i="5"/>
  <c r="J8" i="5"/>
  <c r="BB8" i="5" s="1"/>
  <c r="I8" i="5"/>
  <c r="H8" i="5"/>
  <c r="BD7" i="5"/>
  <c r="AK7" i="5"/>
  <c r="AJ7" i="5"/>
  <c r="AI7" i="5"/>
  <c r="AG7" i="5"/>
  <c r="AF7" i="5"/>
  <c r="AE7" i="5"/>
  <c r="N7" i="5"/>
  <c r="K7" i="5" s="1"/>
  <c r="M7" i="5"/>
  <c r="L7" i="5"/>
  <c r="J7" i="5"/>
  <c r="I7" i="5"/>
  <c r="H7" i="5"/>
  <c r="BG6" i="5" a="1"/>
  <c r="AK6" i="5"/>
  <c r="BF6" i="5" s="1"/>
  <c r="AJ6" i="5"/>
  <c r="BE6" i="5" s="1"/>
  <c r="AI6" i="5"/>
  <c r="AH6" i="5"/>
  <c r="AG6" i="5"/>
  <c r="AG12" i="5" s="1"/>
  <c r="AF6" i="5"/>
  <c r="AE6" i="5"/>
  <c r="N6" i="5"/>
  <c r="M6" i="5"/>
  <c r="L6" i="5"/>
  <c r="K6" i="5"/>
  <c r="J6" i="5"/>
  <c r="I6" i="5"/>
  <c r="H6" i="5"/>
  <c r="AK5" i="5"/>
  <c r="AJ5" i="5"/>
  <c r="AI5" i="5"/>
  <c r="AH5" i="5"/>
  <c r="AG5" i="5"/>
  <c r="AF5" i="5"/>
  <c r="AE5" i="5"/>
  <c r="N5" i="5"/>
  <c r="BF5" i="5" s="1"/>
  <c r="M5" i="5"/>
  <c r="L5" i="5"/>
  <c r="J5" i="5"/>
  <c r="BB5" i="5" s="1"/>
  <c r="I5" i="5"/>
  <c r="H5" i="5"/>
  <c r="AE1" i="5"/>
  <c r="H1" i="5"/>
  <c r="BC47" i="3"/>
  <c r="BB47" i="3"/>
  <c r="BA47" i="3"/>
  <c r="BC46" i="3"/>
  <c r="BB46" i="3"/>
  <c r="BA46" i="3"/>
  <c r="AZ46" i="3"/>
  <c r="AE46" i="3"/>
  <c r="AD46" i="3"/>
  <c r="AC46" i="3"/>
  <c r="AB46" i="3"/>
  <c r="AZ47" i="3" s="1"/>
  <c r="BB45" i="3"/>
  <c r="BA45" i="3"/>
  <c r="BC44" i="3"/>
  <c r="BC45" i="3" s="1"/>
  <c r="BB44" i="3"/>
  <c r="BA44" i="3"/>
  <c r="AZ44" i="3"/>
  <c r="AE44" i="3"/>
  <c r="AD44" i="3"/>
  <c r="AC44" i="3"/>
  <c r="AB44" i="3"/>
  <c r="BF39" i="3"/>
  <c r="AL39" i="3"/>
  <c r="AI39" i="3" s="1"/>
  <c r="AK39" i="3"/>
  <c r="AJ39" i="3"/>
  <c r="AH39" i="3"/>
  <c r="AG39" i="3"/>
  <c r="N39" i="3"/>
  <c r="K39" i="3" s="1"/>
  <c r="M39" i="3"/>
  <c r="L39" i="3"/>
  <c r="J39" i="3"/>
  <c r="I39" i="3"/>
  <c r="BF38" i="3"/>
  <c r="AL38" i="3"/>
  <c r="AK38" i="3"/>
  <c r="AJ38" i="3"/>
  <c r="AH38" i="3"/>
  <c r="AG38" i="3"/>
  <c r="N38" i="3"/>
  <c r="K38" i="3" s="1"/>
  <c r="M38" i="3"/>
  <c r="L38" i="3"/>
  <c r="J38" i="3"/>
  <c r="I38" i="3"/>
  <c r="BF37" i="3"/>
  <c r="AL37" i="3"/>
  <c r="AI37" i="3" s="1"/>
  <c r="AK37" i="3"/>
  <c r="AJ37" i="3"/>
  <c r="AH37" i="3"/>
  <c r="AG37" i="3"/>
  <c r="N37" i="3"/>
  <c r="M37" i="3"/>
  <c r="L37" i="3"/>
  <c r="K37" i="3"/>
  <c r="J37" i="3"/>
  <c r="I37" i="3"/>
  <c r="BF36" i="3"/>
  <c r="AL36" i="3"/>
  <c r="AI36" i="3" s="1"/>
  <c r="AK36" i="3"/>
  <c r="AJ36" i="3"/>
  <c r="AH36" i="3"/>
  <c r="AG36" i="3"/>
  <c r="N36" i="3"/>
  <c r="M36" i="3"/>
  <c r="L36" i="3"/>
  <c r="J36" i="3"/>
  <c r="I36" i="3"/>
  <c r="BF35" i="3"/>
  <c r="AL35" i="3"/>
  <c r="AI35" i="3" s="1"/>
  <c r="AK35" i="3"/>
  <c r="AJ35" i="3"/>
  <c r="AH35" i="3"/>
  <c r="AG35" i="3"/>
  <c r="N35" i="3"/>
  <c r="K35" i="3" s="1"/>
  <c r="M35" i="3"/>
  <c r="L35" i="3"/>
  <c r="J35" i="3"/>
  <c r="I35" i="3"/>
  <c r="BF34" i="3"/>
  <c r="AL34" i="3"/>
  <c r="AK34" i="3"/>
  <c r="AJ34" i="3"/>
  <c r="AH34" i="3"/>
  <c r="AG34" i="3"/>
  <c r="N34" i="3"/>
  <c r="K34" i="3" s="1"/>
  <c r="M34" i="3"/>
  <c r="L34" i="3"/>
  <c r="J34" i="3"/>
  <c r="I34" i="3"/>
  <c r="BF33" i="3"/>
  <c r="AL33" i="3"/>
  <c r="AI33" i="3" s="1"/>
  <c r="AK33" i="3"/>
  <c r="AJ33" i="3"/>
  <c r="AH33" i="3"/>
  <c r="AG33" i="3"/>
  <c r="N33" i="3"/>
  <c r="K33" i="3" s="1"/>
  <c r="M33" i="3"/>
  <c r="L33" i="3"/>
  <c r="J33" i="3"/>
  <c r="I33" i="3"/>
  <c r="BF32" i="3"/>
  <c r="AL32" i="3"/>
  <c r="AI32" i="3" s="1"/>
  <c r="AK32" i="3"/>
  <c r="AJ32" i="3"/>
  <c r="AH32" i="3"/>
  <c r="AG32" i="3"/>
  <c r="N32" i="3"/>
  <c r="M32" i="3"/>
  <c r="L32" i="3"/>
  <c r="J32" i="3"/>
  <c r="I32" i="3"/>
  <c r="BF31" i="3"/>
  <c r="AL31" i="3"/>
  <c r="AI31" i="3" s="1"/>
  <c r="AK31" i="3"/>
  <c r="AJ31" i="3"/>
  <c r="AH31" i="3"/>
  <c r="AG31" i="3"/>
  <c r="N31" i="3"/>
  <c r="K31" i="3" s="1"/>
  <c r="M31" i="3"/>
  <c r="L31" i="3"/>
  <c r="J31" i="3"/>
  <c r="I31" i="3"/>
  <c r="BF30" i="3"/>
  <c r="AL30" i="3"/>
  <c r="AK30" i="3"/>
  <c r="AK42" i="3" s="1"/>
  <c r="AJ30" i="3"/>
  <c r="AH30" i="3"/>
  <c r="AG30" i="3"/>
  <c r="N30" i="3"/>
  <c r="K30" i="3" s="1"/>
  <c r="M30" i="3"/>
  <c r="L30" i="3"/>
  <c r="J30" i="3"/>
  <c r="I30" i="3"/>
  <c r="BF29" i="3"/>
  <c r="AL29" i="3"/>
  <c r="AI29" i="3" s="1"/>
  <c r="AK29" i="3"/>
  <c r="AJ29" i="3"/>
  <c r="AH29" i="3"/>
  <c r="AG29" i="3"/>
  <c r="N29" i="3"/>
  <c r="M29" i="3"/>
  <c r="L29" i="3"/>
  <c r="K29" i="3"/>
  <c r="J29" i="3"/>
  <c r="I29" i="3"/>
  <c r="BF28" i="3"/>
  <c r="AL28" i="3"/>
  <c r="AI28" i="3" s="1"/>
  <c r="AK28" i="3"/>
  <c r="AJ28" i="3"/>
  <c r="AH28" i="3"/>
  <c r="AG28" i="3"/>
  <c r="N28" i="3"/>
  <c r="M28" i="3"/>
  <c r="L28" i="3"/>
  <c r="J28" i="3"/>
  <c r="I28" i="3"/>
  <c r="BG27" i="3"/>
  <c r="BF27" i="3"/>
  <c r="AL27" i="3"/>
  <c r="AI27" i="3" s="1"/>
  <c r="AK27" i="3"/>
  <c r="AJ27" i="3"/>
  <c r="AH27" i="3"/>
  <c r="AG27" i="3"/>
  <c r="N27" i="3"/>
  <c r="K27" i="3" s="1"/>
  <c r="M27" i="3"/>
  <c r="L27" i="3"/>
  <c r="J27" i="3"/>
  <c r="I27" i="3"/>
  <c r="BF26" i="3"/>
  <c r="AL26" i="3"/>
  <c r="AK26" i="3"/>
  <c r="AJ26" i="3"/>
  <c r="AH26" i="3"/>
  <c r="AG26" i="3"/>
  <c r="N26" i="3"/>
  <c r="K26" i="3" s="1"/>
  <c r="M26" i="3"/>
  <c r="L26" i="3"/>
  <c r="J26" i="3"/>
  <c r="I26" i="3"/>
  <c r="BG25" i="3"/>
  <c r="BF25" i="3"/>
  <c r="AL25" i="3"/>
  <c r="AI25" i="3" s="1"/>
  <c r="AK25" i="3"/>
  <c r="AJ25" i="3"/>
  <c r="AH25" i="3"/>
  <c r="AG25" i="3"/>
  <c r="N25" i="3"/>
  <c r="M25" i="3"/>
  <c r="L25" i="3"/>
  <c r="L41" i="3" s="1"/>
  <c r="K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K22" i="3"/>
  <c r="AJ22" i="3"/>
  <c r="AH22" i="3"/>
  <c r="AG22" i="3"/>
  <c r="N22" i="3"/>
  <c r="K22" i="3" s="1"/>
  <c r="M22" i="3"/>
  <c r="L22" i="3"/>
  <c r="J22" i="3"/>
  <c r="I22" i="3"/>
  <c r="BF21" i="3"/>
  <c r="AL21" i="3"/>
  <c r="AI21" i="3" s="1"/>
  <c r="AK21" i="3"/>
  <c r="AJ21" i="3"/>
  <c r="AH21" i="3"/>
  <c r="AG21" i="3"/>
  <c r="N21" i="3"/>
  <c r="K21" i="3" s="1"/>
  <c r="M21" i="3"/>
  <c r="L21" i="3"/>
  <c r="J21" i="3"/>
  <c r="I21" i="3"/>
  <c r="BH20" i="3" a="1"/>
  <c r="BH20" i="3" s="1"/>
  <c r="BF20" i="3"/>
  <c r="AL20" i="3"/>
  <c r="AI20" i="3" s="1"/>
  <c r="AK20" i="3"/>
  <c r="AJ20" i="3"/>
  <c r="AH20" i="3"/>
  <c r="AG20" i="3"/>
  <c r="N20" i="3"/>
  <c r="M20" i="3"/>
  <c r="L20" i="3"/>
  <c r="J20" i="3"/>
  <c r="I20" i="3"/>
  <c r="BF19" i="3"/>
  <c r="AL19" i="3"/>
  <c r="BG19" i="3" s="1"/>
  <c r="AK19" i="3"/>
  <c r="AJ19" i="3"/>
  <c r="AH19" i="3"/>
  <c r="AG19" i="3"/>
  <c r="N19" i="3"/>
  <c r="M19" i="3"/>
  <c r="L19" i="3"/>
  <c r="K19" i="3"/>
  <c r="J19" i="3"/>
  <c r="I19" i="3"/>
  <c r="BF18" i="3"/>
  <c r="AL18" i="3"/>
  <c r="AK18" i="3"/>
  <c r="AJ18" i="3"/>
  <c r="AH18" i="3"/>
  <c r="AG18" i="3"/>
  <c r="N18" i="3"/>
  <c r="M18" i="3"/>
  <c r="L18" i="3"/>
  <c r="K18" i="3"/>
  <c r="J18" i="3"/>
  <c r="I18" i="3"/>
  <c r="BG17" i="3"/>
  <c r="BF17" i="3"/>
  <c r="AL17" i="3"/>
  <c r="AI17" i="3" s="1"/>
  <c r="AK17" i="3"/>
  <c r="AJ17" i="3"/>
  <c r="AH17" i="3"/>
  <c r="AG17" i="3"/>
  <c r="N17" i="3"/>
  <c r="M17" i="3"/>
  <c r="L17" i="3"/>
  <c r="K17" i="3"/>
  <c r="J17" i="3"/>
  <c r="I17" i="3"/>
  <c r="BF16" i="3"/>
  <c r="AL16" i="3"/>
  <c r="AI16" i="3" s="1"/>
  <c r="AK16" i="3"/>
  <c r="AJ16" i="3"/>
  <c r="AH16" i="3"/>
  <c r="AG16" i="3"/>
  <c r="N16" i="3"/>
  <c r="M16" i="3"/>
  <c r="L16" i="3"/>
  <c r="J16" i="3"/>
  <c r="I16" i="3"/>
  <c r="BG15" i="3"/>
  <c r="BF15" i="3"/>
  <c r="AL15" i="3"/>
  <c r="AK15" i="3"/>
  <c r="AJ15" i="3"/>
  <c r="AI15" i="3"/>
  <c r="AH15" i="3"/>
  <c r="AG15" i="3"/>
  <c r="N15" i="3"/>
  <c r="M15" i="3"/>
  <c r="L15" i="3"/>
  <c r="K15" i="3"/>
  <c r="J15" i="3"/>
  <c r="I15" i="3"/>
  <c r="BF14" i="3"/>
  <c r="AL14" i="3"/>
  <c r="AK14" i="3"/>
  <c r="AJ14" i="3"/>
  <c r="AH14" i="3"/>
  <c r="AG14" i="3"/>
  <c r="N14" i="3"/>
  <c r="M14" i="3"/>
  <c r="L14" i="3"/>
  <c r="K14" i="3"/>
  <c r="J14" i="3"/>
  <c r="I14" i="3"/>
  <c r="BF13" i="3"/>
  <c r="AL13" i="3"/>
  <c r="AK13" i="3"/>
  <c r="AJ13" i="3"/>
  <c r="AI13" i="3"/>
  <c r="AH13" i="3"/>
  <c r="AG13" i="3"/>
  <c r="N13" i="3"/>
  <c r="BG13" i="3" s="1"/>
  <c r="M13" i="3"/>
  <c r="L13" i="3"/>
  <c r="K13" i="3"/>
  <c r="J13" i="3"/>
  <c r="I13" i="3"/>
  <c r="BF12" i="3"/>
  <c r="AL12" i="3"/>
  <c r="AK12" i="3"/>
  <c r="AJ12" i="3"/>
  <c r="AI12" i="3"/>
  <c r="AH12" i="3"/>
  <c r="AG12" i="3"/>
  <c r="N12" i="3"/>
  <c r="M12" i="3"/>
  <c r="L12" i="3"/>
  <c r="J12" i="3"/>
  <c r="I12" i="3"/>
  <c r="BF11" i="3"/>
  <c r="AL11" i="3"/>
  <c r="AK11" i="3"/>
  <c r="AJ11" i="3"/>
  <c r="AI11" i="3"/>
  <c r="AH11" i="3"/>
  <c r="AG11" i="3"/>
  <c r="N11" i="3"/>
  <c r="K11" i="3" s="1"/>
  <c r="M11" i="3"/>
  <c r="L11" i="3"/>
  <c r="J11" i="3"/>
  <c r="I11" i="3"/>
  <c r="BF10" i="3"/>
  <c r="AL10" i="3"/>
  <c r="AK10" i="3"/>
  <c r="AJ10" i="3"/>
  <c r="AH10" i="3"/>
  <c r="AG10" i="3"/>
  <c r="N10" i="3"/>
  <c r="K10" i="3" s="1"/>
  <c r="M10" i="3"/>
  <c r="L10" i="3"/>
  <c r="J10" i="3"/>
  <c r="I10" i="3"/>
  <c r="BF9" i="3"/>
  <c r="AL9" i="3"/>
  <c r="AK9" i="3"/>
  <c r="AJ9" i="3"/>
  <c r="AI9" i="3"/>
  <c r="AH9" i="3"/>
  <c r="AG9" i="3"/>
  <c r="N9" i="3"/>
  <c r="BG9" i="3" s="1"/>
  <c r="M9" i="3"/>
  <c r="L9" i="3"/>
  <c r="K9" i="3"/>
  <c r="J9" i="3"/>
  <c r="I9" i="3"/>
  <c r="BF8" i="3"/>
  <c r="AL8" i="3"/>
  <c r="AK8" i="3"/>
  <c r="AJ8" i="3"/>
  <c r="AI8" i="3"/>
  <c r="AH8" i="3"/>
  <c r="AG8" i="3"/>
  <c r="N8" i="3"/>
  <c r="M8" i="3"/>
  <c r="L8" i="3"/>
  <c r="J8" i="3"/>
  <c r="I8" i="3"/>
  <c r="BF7" i="3"/>
  <c r="AL7" i="3"/>
  <c r="BG7" i="3" s="1"/>
  <c r="AK7" i="3"/>
  <c r="AJ7" i="3"/>
  <c r="AI7" i="3"/>
  <c r="BE7" i="3" s="1"/>
  <c r="AH7" i="3"/>
  <c r="AG7" i="3"/>
  <c r="N7" i="3"/>
  <c r="M7" i="3"/>
  <c r="L7" i="3"/>
  <c r="K7" i="3"/>
  <c r="J7" i="3"/>
  <c r="I7" i="3"/>
  <c r="BF6" i="3"/>
  <c r="AL6" i="3"/>
  <c r="AK6" i="3"/>
  <c r="AJ6" i="3"/>
  <c r="AH6" i="3"/>
  <c r="AG6" i="3"/>
  <c r="N6" i="3"/>
  <c r="M6" i="3"/>
  <c r="L6" i="3"/>
  <c r="K6" i="3"/>
  <c r="J6" i="3"/>
  <c r="I6" i="3"/>
  <c r="BF5" i="3"/>
  <c r="AL5" i="3"/>
  <c r="AI5" i="3" s="1"/>
  <c r="AK5" i="3"/>
  <c r="AJ5" i="3"/>
  <c r="AH5" i="3"/>
  <c r="AG5" i="3"/>
  <c r="N5" i="3"/>
  <c r="M5" i="3"/>
  <c r="L5" i="3"/>
  <c r="K5" i="3"/>
  <c r="J5" i="3"/>
  <c r="I5" i="3"/>
  <c r="AG1" i="3"/>
  <c r="I1" i="3"/>
  <c r="B2" i="2"/>
  <c r="B1" i="2"/>
  <c r="BS35" i="7"/>
  <c r="BN25" i="7"/>
  <c r="BL15" i="7"/>
  <c r="BR10" i="7"/>
  <c r="BS5" i="7"/>
  <c r="BR35" i="3"/>
  <c r="BM20" i="3"/>
  <c r="BP15" i="3"/>
  <c r="BT10" i="3"/>
  <c r="BT5" i="3"/>
  <c r="BQ15" i="3"/>
  <c r="BR35" i="7"/>
  <c r="BM25" i="7"/>
  <c r="BK15" i="7"/>
  <c r="BQ10" i="7"/>
  <c r="BR5" i="7"/>
  <c r="BQ35" i="3"/>
  <c r="BL20" i="3"/>
  <c r="BN15" i="3"/>
  <c r="BS10" i="3"/>
  <c r="BS5" i="3"/>
  <c r="BT5" i="7"/>
  <c r="BQ35" i="7"/>
  <c r="BK30" i="7"/>
  <c r="BL25" i="7"/>
  <c r="BT20" i="7"/>
  <c r="BJ15" i="7"/>
  <c r="BP10" i="7"/>
  <c r="BQ5" i="7"/>
  <c r="BP35" i="3"/>
  <c r="BT30" i="3"/>
  <c r="BT25" i="3"/>
  <c r="BJ20" i="3"/>
  <c r="BM15" i="3"/>
  <c r="BR10" i="3"/>
  <c r="BR5" i="3"/>
  <c r="BP35" i="7"/>
  <c r="BK25" i="7"/>
  <c r="BS20" i="7"/>
  <c r="BN10" i="7"/>
  <c r="BP5" i="7"/>
  <c r="BN35" i="3"/>
  <c r="BS30" i="3"/>
  <c r="BS25" i="3"/>
  <c r="BL15" i="3"/>
  <c r="BQ10" i="3"/>
  <c r="BQ5" i="3"/>
  <c r="BJ25" i="3"/>
  <c r="BN35" i="7"/>
  <c r="BT30" i="7"/>
  <c r="BJ25" i="7"/>
  <c r="BR20" i="7"/>
  <c r="BM10" i="7"/>
  <c r="BN5" i="7"/>
  <c r="BM35" i="3"/>
  <c r="BR30" i="3"/>
  <c r="BR25" i="3"/>
  <c r="BK15" i="3"/>
  <c r="BP10" i="3"/>
  <c r="BP5" i="3"/>
  <c r="BM15" i="7"/>
  <c r="BM35" i="7"/>
  <c r="BS30" i="7"/>
  <c r="BQ20" i="7"/>
  <c r="BT15" i="7"/>
  <c r="BL10" i="7"/>
  <c r="BM5" i="7"/>
  <c r="BL35" i="3"/>
  <c r="BQ30" i="3"/>
  <c r="BQ25" i="3"/>
  <c r="BJ15" i="3"/>
  <c r="BN10" i="3"/>
  <c r="BN5" i="3"/>
  <c r="BS10" i="7"/>
  <c r="BL35" i="7"/>
  <c r="BR30" i="7"/>
  <c r="BP20" i="7"/>
  <c r="BK20" i="7"/>
  <c r="BS15" i="7"/>
  <c r="BL5" i="7"/>
  <c r="BK35" i="3"/>
  <c r="BP30" i="3"/>
  <c r="BP25" i="3"/>
  <c r="BT20" i="3"/>
  <c r="BM10" i="3"/>
  <c r="BM5" i="3"/>
  <c r="BK35" i="7"/>
  <c r="BQ30" i="7"/>
  <c r="BT25" i="7"/>
  <c r="BN20" i="7"/>
  <c r="BR15" i="7"/>
  <c r="BK10" i="7"/>
  <c r="BK5" i="7"/>
  <c r="BJ35" i="3"/>
  <c r="BN30" i="3"/>
  <c r="BN25" i="3"/>
  <c r="BS20" i="3"/>
  <c r="BL10" i="3"/>
  <c r="BL5" i="3"/>
  <c r="BP25" i="7"/>
  <c r="BJ35" i="7"/>
  <c r="BP30" i="7"/>
  <c r="BS25" i="7"/>
  <c r="BM20" i="7"/>
  <c r="BQ15" i="7"/>
  <c r="BJ5" i="7"/>
  <c r="BM30" i="3"/>
  <c r="BM25" i="3"/>
  <c r="BR20" i="3"/>
  <c r="BT15" i="3"/>
  <c r="BK5" i="3"/>
  <c r="BN20" i="3"/>
  <c r="BN30" i="7"/>
  <c r="BR25" i="7"/>
  <c r="BL20" i="7"/>
  <c r="BP15" i="7"/>
  <c r="BL30" i="3"/>
  <c r="BL25" i="3"/>
  <c r="BQ20" i="3"/>
  <c r="BS15" i="3"/>
  <c r="BJ5" i="3"/>
  <c r="BM30" i="7"/>
  <c r="BQ25" i="7"/>
  <c r="BN15" i="7"/>
  <c r="BT10" i="7"/>
  <c r="BT35" i="3"/>
  <c r="BK25" i="3"/>
  <c r="BP20" i="3"/>
  <c r="BR15" i="3"/>
  <c r="BT35" i="7"/>
  <c r="BL30" i="7"/>
  <c r="BS35" i="3"/>
  <c r="J14" i="5" l="1"/>
  <c r="M14" i="5"/>
  <c r="J15" i="5"/>
  <c r="BD10" i="5"/>
  <c r="AI14" i="6"/>
  <c r="BE11" i="6"/>
  <c r="AG14" i="6"/>
  <c r="BG5" i="3"/>
  <c r="BG29" i="3"/>
  <c r="BG31" i="3"/>
  <c r="BE29" i="3"/>
  <c r="BG37" i="3"/>
  <c r="BG39" i="3"/>
  <c r="BE21" i="3"/>
  <c r="BE37" i="3"/>
  <c r="AZ45" i="3"/>
  <c r="AI19" i="3"/>
  <c r="BE19" i="3" s="1"/>
  <c r="AH41" i="3"/>
  <c r="BE9" i="3"/>
  <c r="BE13" i="3"/>
  <c r="BE33" i="3"/>
  <c r="AJ41" i="3"/>
  <c r="AH43" i="3"/>
  <c r="BE17" i="3"/>
  <c r="AK41" i="3"/>
  <c r="AJ43" i="3"/>
  <c r="AJ42" i="3"/>
  <c r="J41" i="3"/>
  <c r="J42" i="3"/>
  <c r="BE31" i="3"/>
  <c r="BE11" i="3"/>
  <c r="BE23" i="3"/>
  <c r="BE35" i="3"/>
  <c r="M41" i="3"/>
  <c r="M43" i="3"/>
  <c r="BE15" i="3"/>
  <c r="BG21" i="3"/>
  <c r="BG33" i="3"/>
  <c r="BG11" i="3"/>
  <c r="BE27" i="3"/>
  <c r="BE39" i="3"/>
  <c r="L43" i="3"/>
  <c r="BG23" i="3"/>
  <c r="M42" i="3"/>
  <c r="L42" i="3"/>
  <c r="BG35" i="3"/>
  <c r="AG13" i="5"/>
  <c r="BE5" i="5"/>
  <c r="AZ19" i="5"/>
  <c r="BE8" i="5"/>
  <c r="BG8" i="5"/>
  <c r="BD13" i="5"/>
  <c r="BE13" i="5"/>
  <c r="D20" i="1" s="1"/>
  <c r="BF9" i="5"/>
  <c r="BD5" i="5"/>
  <c r="BG6" i="5"/>
  <c r="BD9" i="5"/>
  <c r="BB13" i="5"/>
  <c r="E20" i="1" s="1"/>
  <c r="J12" i="5"/>
  <c r="BE10" i="5"/>
  <c r="BB12" i="5"/>
  <c r="K10" i="5"/>
  <c r="K14" i="5" s="1"/>
  <c r="K8" i="5"/>
  <c r="BC8" i="5" s="1"/>
  <c r="BG10" i="5"/>
  <c r="BG14" i="5" s="1"/>
  <c r="BD6" i="5"/>
  <c r="BF8" i="5"/>
  <c r="M15" i="5"/>
  <c r="BB11" i="5"/>
  <c r="AI12" i="6"/>
  <c r="AI13" i="6"/>
  <c r="BF8" i="6"/>
  <c r="BG7" i="6"/>
  <c r="AX19" i="6"/>
  <c r="BE8" i="6"/>
  <c r="AY19" i="6"/>
  <c r="C36" i="1" s="1"/>
  <c r="AZ19" i="6"/>
  <c r="BE9" i="6"/>
  <c r="BB11" i="6"/>
  <c r="BF11" i="6"/>
  <c r="AY17" i="6"/>
  <c r="BF9" i="6"/>
  <c r="BD10" i="6"/>
  <c r="AZ17" i="6"/>
  <c r="M12" i="6"/>
  <c r="BD13" i="6"/>
  <c r="BE5" i="6"/>
  <c r="BE13" i="6"/>
  <c r="D32" i="1" s="1"/>
  <c r="BB14" i="6"/>
  <c r="E33" i="1" s="1"/>
  <c r="BG5" i="6"/>
  <c r="BC9" i="6"/>
  <c r="K14" i="6"/>
  <c r="L14" i="6"/>
  <c r="J15" i="6"/>
  <c r="AW19" i="6"/>
  <c r="C35" i="1" s="1"/>
  <c r="BE12" i="6"/>
  <c r="D31" i="1" s="1"/>
  <c r="K9" i="6"/>
  <c r="K13" i="6" s="1"/>
  <c r="K7" i="6"/>
  <c r="BF7" i="6"/>
  <c r="BG9" i="6"/>
  <c r="BG13" i="6" s="1"/>
  <c r="AW17" i="6"/>
  <c r="BD5" i="6"/>
  <c r="AH43" i="7"/>
  <c r="BE29" i="7"/>
  <c r="BE17" i="7"/>
  <c r="BG18" i="7"/>
  <c r="BG31" i="7"/>
  <c r="AH41" i="7"/>
  <c r="BE21" i="7"/>
  <c r="BG22" i="7"/>
  <c r="AK41" i="7"/>
  <c r="BG32" i="7"/>
  <c r="BA45" i="7"/>
  <c r="BG5" i="7"/>
  <c r="BG33" i="7"/>
  <c r="BG36" i="7"/>
  <c r="BG37" i="7"/>
  <c r="BE13" i="7"/>
  <c r="AK42" i="7"/>
  <c r="BG8" i="7"/>
  <c r="L41" i="7"/>
  <c r="K5" i="7"/>
  <c r="BE5" i="7" s="1"/>
  <c r="BE19" i="7"/>
  <c r="BE35" i="7"/>
  <c r="BE11" i="7"/>
  <c r="BE27" i="7"/>
  <c r="BH25" i="7"/>
  <c r="BH41" i="7" s="1"/>
  <c r="J42" i="7"/>
  <c r="BG34" i="7"/>
  <c r="L42" i="7"/>
  <c r="BG26" i="7"/>
  <c r="M42" i="7"/>
  <c r="M40" i="7"/>
  <c r="BG19" i="7"/>
  <c r="BG35" i="7"/>
  <c r="BE39" i="7"/>
  <c r="BC47" i="7"/>
  <c r="BG11" i="7"/>
  <c r="BE15" i="7"/>
  <c r="BH20" i="7"/>
  <c r="BG27" i="7"/>
  <c r="BC45" i="7"/>
  <c r="BE23" i="7"/>
  <c r="BE31" i="7"/>
  <c r="BH35" i="7"/>
  <c r="BE7" i="7"/>
  <c r="BG14" i="7"/>
  <c r="BE22" i="7"/>
  <c r="K37" i="7"/>
  <c r="BE37" i="7" s="1"/>
  <c r="BL42" i="7"/>
  <c r="E45" i="1" s="1"/>
  <c r="BK41" i="3"/>
  <c r="D10" i="1" s="1"/>
  <c r="BQ41" i="7"/>
  <c r="I44" i="1" s="1"/>
  <c r="BM42" i="7"/>
  <c r="F45" i="1" s="1"/>
  <c r="BL41" i="3"/>
  <c r="E10" i="1" s="1"/>
  <c r="BL42" i="3"/>
  <c r="E11" i="1" s="1"/>
  <c r="BN42" i="7"/>
  <c r="G45" i="1" s="1"/>
  <c r="BM41" i="3"/>
  <c r="F10" i="1" s="1"/>
  <c r="BM42" i="3"/>
  <c r="F11" i="1" s="1"/>
  <c r="BP42" i="7"/>
  <c r="H45" i="1" s="1"/>
  <c r="BP41" i="7"/>
  <c r="BL43" i="3"/>
  <c r="E12" i="1" s="1"/>
  <c r="BN41" i="3"/>
  <c r="G10" i="1" s="1"/>
  <c r="BN42" i="3"/>
  <c r="G11" i="1" s="1"/>
  <c r="BK43" i="7"/>
  <c r="D46" i="1" s="1"/>
  <c r="BT41" i="7"/>
  <c r="BQ42" i="7"/>
  <c r="I45" i="1" s="1"/>
  <c r="BM43" i="3"/>
  <c r="F12" i="1" s="1"/>
  <c r="BP41" i="3"/>
  <c r="H10" i="1" s="1"/>
  <c r="BL43" i="7"/>
  <c r="E46" i="1" s="1"/>
  <c r="BR42" i="7"/>
  <c r="BN43" i="3"/>
  <c r="G12" i="1" s="1"/>
  <c r="BQ41" i="3"/>
  <c r="I10" i="1" s="1"/>
  <c r="BM43" i="7"/>
  <c r="F46" i="1" s="1"/>
  <c r="BS42" i="7"/>
  <c r="K45" i="1" s="1"/>
  <c r="BP43" i="3"/>
  <c r="H12" i="1" s="1"/>
  <c r="BR41" i="3"/>
  <c r="J10" i="1" s="1"/>
  <c r="BN43" i="7"/>
  <c r="G46" i="1" s="1"/>
  <c r="BJ41" i="7"/>
  <c r="C44" i="1" s="1"/>
  <c r="BT42" i="7"/>
  <c r="L45" i="1" s="1"/>
  <c r="BJ41" i="3"/>
  <c r="C10" i="1" s="1"/>
  <c r="BQ40" i="3"/>
  <c r="BQ43" i="3"/>
  <c r="BP43" i="7"/>
  <c r="BP40" i="7"/>
  <c r="H43" i="1" s="1"/>
  <c r="BK41" i="7"/>
  <c r="D44" i="1" s="1"/>
  <c r="BR40" i="3"/>
  <c r="BR43" i="3"/>
  <c r="J12" i="1" s="1"/>
  <c r="BT42" i="3"/>
  <c r="L11" i="1" s="1"/>
  <c r="BQ43" i="7"/>
  <c r="BQ40" i="7"/>
  <c r="I43" i="1" s="1"/>
  <c r="BL41" i="7"/>
  <c r="E44" i="1" s="1"/>
  <c r="BK42" i="7"/>
  <c r="D45" i="1" s="1"/>
  <c r="BM41" i="7"/>
  <c r="F44" i="1" s="1"/>
  <c r="BN41" i="7"/>
  <c r="G44" i="1" s="1"/>
  <c r="E19" i="1"/>
  <c r="AJ14" i="5"/>
  <c r="BE14" i="5" s="1"/>
  <c r="BE11" i="5"/>
  <c r="BC11" i="6"/>
  <c r="BG16" i="3"/>
  <c r="K16" i="3"/>
  <c r="BE16" i="3" s="1"/>
  <c r="BS41" i="3"/>
  <c r="AI26" i="3"/>
  <c r="BG26" i="3"/>
  <c r="BH25" i="3" a="1"/>
  <c r="BH25" i="3" s="1"/>
  <c r="BH41" i="3" s="1"/>
  <c r="I9" i="1"/>
  <c r="BB9" i="6"/>
  <c r="AG13" i="6"/>
  <c r="BB13" i="6" s="1"/>
  <c r="AH13" i="6"/>
  <c r="BC13" i="6" s="1"/>
  <c r="AJ42" i="7"/>
  <c r="AH40" i="7"/>
  <c r="BT43" i="3"/>
  <c r="BT40" i="3"/>
  <c r="AJ15" i="5"/>
  <c r="BE7" i="5"/>
  <c r="AJ12" i="5"/>
  <c r="BE12" i="5" s="1"/>
  <c r="AG12" i="6"/>
  <c r="BB5" i="6"/>
  <c r="BS43" i="7"/>
  <c r="BS40" i="7"/>
  <c r="BG20" i="3"/>
  <c r="K20" i="3"/>
  <c r="BE20" i="3" s="1"/>
  <c r="BE25" i="3"/>
  <c r="AI30" i="3"/>
  <c r="BH30" i="3" a="1"/>
  <c r="BH30" i="3" s="1"/>
  <c r="BG30" i="3"/>
  <c r="AI34" i="3"/>
  <c r="BE34" i="3" s="1"/>
  <c r="BG34" i="3"/>
  <c r="AH7" i="5"/>
  <c r="BC7" i="5" s="1"/>
  <c r="BG7" i="5" a="1"/>
  <c r="BG7" i="5" s="1"/>
  <c r="BF7" i="5"/>
  <c r="BC5" i="6"/>
  <c r="BC7" i="6"/>
  <c r="J9" i="1"/>
  <c r="AJ43" i="7"/>
  <c r="AJ40" i="7"/>
  <c r="AK43" i="3"/>
  <c r="AH11" i="5"/>
  <c r="BC11" i="5" s="1"/>
  <c r="BG11" i="5" a="1"/>
  <c r="BG11" i="5" s="1"/>
  <c r="BF11" i="5"/>
  <c r="BD11" i="6"/>
  <c r="J43" i="3"/>
  <c r="J40" i="3"/>
  <c r="L12" i="6"/>
  <c r="BD12" i="6" s="1"/>
  <c r="L15" i="6"/>
  <c r="BD7" i="6"/>
  <c r="BD14" i="6"/>
  <c r="J43" i="7"/>
  <c r="J40" i="7"/>
  <c r="H44" i="1"/>
  <c r="AK43" i="7"/>
  <c r="AK40" i="7"/>
  <c r="AI10" i="3"/>
  <c r="BE10" i="3" s="1"/>
  <c r="BH10" i="3" a="1"/>
  <c r="BH10" i="3" s="1"/>
  <c r="BG10" i="3"/>
  <c r="AI14" i="3"/>
  <c r="BE14" i="3" s="1"/>
  <c r="BG14" i="3"/>
  <c r="BG24" i="3"/>
  <c r="K24" i="3"/>
  <c r="BE24" i="3" s="1"/>
  <c r="AI38" i="3"/>
  <c r="BE38" i="3" s="1"/>
  <c r="BH35" i="3" a="1"/>
  <c r="BH35" i="3" s="1"/>
  <c r="BG38" i="3"/>
  <c r="BB10" i="5"/>
  <c r="AG14" i="5"/>
  <c r="BB14" i="5" s="1"/>
  <c r="C23" i="1"/>
  <c r="BS43" i="3"/>
  <c r="BS40" i="3"/>
  <c r="BE10" i="6"/>
  <c r="AJ14" i="6"/>
  <c r="AG15" i="6"/>
  <c r="BR41" i="7"/>
  <c r="I12" i="1"/>
  <c r="BE5" i="3"/>
  <c r="BG32" i="3"/>
  <c r="K32" i="3"/>
  <c r="BB6" i="5"/>
  <c r="AG15" i="5"/>
  <c r="BB15" i="5" s="1"/>
  <c r="K9" i="5"/>
  <c r="BG9" i="5" a="1"/>
  <c r="BG9" i="5" s="1"/>
  <c r="BG13" i="5" s="1"/>
  <c r="AH10" i="6"/>
  <c r="BG10" i="6" a="1"/>
  <c r="BG10" i="6" s="1"/>
  <c r="BG14" i="6" s="1"/>
  <c r="BF10" i="6"/>
  <c r="BS41" i="7"/>
  <c r="AH42" i="7"/>
  <c r="C47" i="1"/>
  <c r="AI6" i="3"/>
  <c r="BG6" i="3"/>
  <c r="BH5" i="3" a="1"/>
  <c r="BH5" i="3" s="1"/>
  <c r="BR43" i="7"/>
  <c r="BR40" i="7"/>
  <c r="BG28" i="3"/>
  <c r="K28" i="3"/>
  <c r="K41" i="3" s="1"/>
  <c r="BP42" i="3"/>
  <c r="AH42" i="3"/>
  <c r="BC6" i="5"/>
  <c r="AH12" i="5"/>
  <c r="L43" i="7"/>
  <c r="L40" i="7"/>
  <c r="M43" i="7"/>
  <c r="BT41" i="3"/>
  <c r="K8" i="6"/>
  <c r="BC8" i="6" s="1"/>
  <c r="BG8" i="6" a="1"/>
  <c r="BG8" i="6" s="1"/>
  <c r="BG8" i="3"/>
  <c r="K8" i="3"/>
  <c r="BG12" i="3"/>
  <c r="K12" i="3"/>
  <c r="BE12" i="3" s="1"/>
  <c r="AI22" i="3"/>
  <c r="BE22" i="3" s="1"/>
  <c r="BG22" i="3"/>
  <c r="BQ42" i="3"/>
  <c r="BG36" i="3"/>
  <c r="K36" i="3"/>
  <c r="BE36" i="3" s="1"/>
  <c r="AH40" i="3"/>
  <c r="K5" i="5"/>
  <c r="BG5" i="5" a="1"/>
  <c r="BG5" i="5" s="1"/>
  <c r="L15" i="5"/>
  <c r="L12" i="5"/>
  <c r="BD8" i="5"/>
  <c r="BE6" i="6"/>
  <c r="AJ15" i="6"/>
  <c r="BE15" i="6" s="1"/>
  <c r="J41" i="7"/>
  <c r="J45" i="1"/>
  <c r="AI18" i="3"/>
  <c r="BE18" i="3" s="1"/>
  <c r="BH15" i="3" a="1"/>
  <c r="BH15" i="3" s="1"/>
  <c r="BG18" i="3"/>
  <c r="BE28" i="3"/>
  <c r="BE32" i="3"/>
  <c r="C13" i="1"/>
  <c r="AH6" i="6"/>
  <c r="BC6" i="6" s="1"/>
  <c r="BG6" i="6" a="1"/>
  <c r="BG6" i="6" s="1"/>
  <c r="BF6" i="6"/>
  <c r="M40" i="3"/>
  <c r="BP40" i="3"/>
  <c r="M14" i="6"/>
  <c r="AI6" i="7"/>
  <c r="K8" i="7"/>
  <c r="BE8" i="7" s="1"/>
  <c r="AI10" i="7"/>
  <c r="BE10" i="7" s="1"/>
  <c r="K12" i="7"/>
  <c r="BE12" i="7" s="1"/>
  <c r="AI14" i="7"/>
  <c r="BE14" i="7" s="1"/>
  <c r="K16" i="7"/>
  <c r="BE16" i="7" s="1"/>
  <c r="AI18" i="7"/>
  <c r="BE18" i="7" s="1"/>
  <c r="K20" i="7"/>
  <c r="BE20" i="7" s="1"/>
  <c r="BG20" i="7"/>
  <c r="K24" i="7"/>
  <c r="BE24" i="7" s="1"/>
  <c r="AI26" i="7"/>
  <c r="K28" i="7"/>
  <c r="BE28" i="7" s="1"/>
  <c r="AI30" i="7"/>
  <c r="K32" i="7"/>
  <c r="AI34" i="7"/>
  <c r="BE34" i="7" s="1"/>
  <c r="K36" i="7"/>
  <c r="BE36" i="7" s="1"/>
  <c r="AI38" i="7"/>
  <c r="BE38" i="7" s="1"/>
  <c r="BN40" i="7"/>
  <c r="G43" i="1" s="1"/>
  <c r="BB6" i="6"/>
  <c r="BE7" i="6"/>
  <c r="BB10" i="6"/>
  <c r="AK40" i="3"/>
  <c r="AI12" i="5"/>
  <c r="AI15" i="6"/>
  <c r="BB7" i="5"/>
  <c r="BH5" i="7" a="1"/>
  <c r="BH5" i="7" s="1"/>
  <c r="BT40" i="7"/>
  <c r="BT43" i="7"/>
  <c r="BG10" i="7"/>
  <c r="BG38" i="7"/>
  <c r="AJ40" i="3"/>
  <c r="AI14" i="5"/>
  <c r="BD14" i="5" s="1"/>
  <c r="BS42" i="3"/>
  <c r="AI15" i="5"/>
  <c r="BD15" i="5" s="1"/>
  <c r="J12" i="6"/>
  <c r="BH10" i="7" a="1"/>
  <c r="BH10" i="7" s="1"/>
  <c r="BH30" i="7" a="1"/>
  <c r="BH30" i="7" s="1"/>
  <c r="BH42" i="7" s="1"/>
  <c r="C14" i="1"/>
  <c r="BL40" i="3"/>
  <c r="E9" i="1" s="1"/>
  <c r="BK40" i="7"/>
  <c r="D43" i="1" s="1"/>
  <c r="BR42" i="3"/>
  <c r="BM40" i="3"/>
  <c r="F9" i="1" s="1"/>
  <c r="BL40" i="7"/>
  <c r="E43" i="1" s="1"/>
  <c r="L40" i="3"/>
  <c r="BN40" i="3"/>
  <c r="G9" i="1" s="1"/>
  <c r="BM40" i="7"/>
  <c r="F43" i="1" s="1"/>
  <c r="BK10" i="3"/>
  <c r="BJ20" i="7"/>
  <c r="BJ30" i="3"/>
  <c r="BJ10" i="3"/>
  <c r="BJ10" i="7"/>
  <c r="BJ30" i="7"/>
  <c r="BK20" i="3"/>
  <c r="BK30" i="3"/>
  <c r="AH15" i="5" l="1"/>
  <c r="AH14" i="5"/>
  <c r="BD15" i="6"/>
  <c r="K43" i="3"/>
  <c r="BH42" i="3"/>
  <c r="BE8" i="3"/>
  <c r="BC14" i="5"/>
  <c r="BE15" i="5"/>
  <c r="BC10" i="5"/>
  <c r="BG12" i="6"/>
  <c r="BB15" i="6"/>
  <c r="E34" i="1" s="1"/>
  <c r="BK42" i="3"/>
  <c r="D11" i="1" s="1"/>
  <c r="BJ42" i="7"/>
  <c r="C45" i="1" s="1"/>
  <c r="BJ40" i="7"/>
  <c r="C43" i="1" s="1"/>
  <c r="BJ43" i="7"/>
  <c r="C46" i="1" s="1"/>
  <c r="BJ40" i="3"/>
  <c r="C9" i="1" s="1"/>
  <c r="BJ43" i="3"/>
  <c r="C12" i="1" s="1"/>
  <c r="BJ42" i="3"/>
  <c r="C11" i="1" s="1"/>
  <c r="BK40" i="3"/>
  <c r="D9" i="1" s="1"/>
  <c r="BK43" i="3"/>
  <c r="D12" i="1" s="1"/>
  <c r="L44" i="1"/>
  <c r="I46" i="1"/>
  <c r="H46" i="1"/>
  <c r="AI41" i="7"/>
  <c r="BE26" i="7"/>
  <c r="I11" i="1"/>
  <c r="BE6" i="3"/>
  <c r="AI40" i="3"/>
  <c r="AI43" i="3"/>
  <c r="BE43" i="3" s="1"/>
  <c r="L43" i="1"/>
  <c r="BG15" i="6"/>
  <c r="BC9" i="5"/>
  <c r="K13" i="5"/>
  <c r="BC13" i="5" s="1"/>
  <c r="J44" i="1"/>
  <c r="K15" i="6"/>
  <c r="BH43" i="7"/>
  <c r="BH40" i="7"/>
  <c r="E22" i="1"/>
  <c r="AH12" i="6"/>
  <c r="BC12" i="6" s="1"/>
  <c r="AI42" i="3"/>
  <c r="BE30" i="3"/>
  <c r="K10" i="1"/>
  <c r="AI41" i="3"/>
  <c r="BE41" i="3" s="1"/>
  <c r="BE26" i="3"/>
  <c r="J11" i="1"/>
  <c r="L10" i="1"/>
  <c r="H11" i="1"/>
  <c r="BE14" i="6"/>
  <c r="K43" i="7"/>
  <c r="AH15" i="6"/>
  <c r="BB12" i="6"/>
  <c r="K41" i="7"/>
  <c r="K42" i="3"/>
  <c r="D19" i="1"/>
  <c r="K11" i="1"/>
  <c r="C21" i="1"/>
  <c r="C32" i="1"/>
  <c r="D22" i="1"/>
  <c r="E32" i="1"/>
  <c r="H9" i="1"/>
  <c r="K12" i="6"/>
  <c r="BD12" i="5"/>
  <c r="BG12" i="5"/>
  <c r="BG15" i="5"/>
  <c r="J43" i="1"/>
  <c r="K44" i="1"/>
  <c r="K40" i="3"/>
  <c r="E21" i="1"/>
  <c r="D21" i="1"/>
  <c r="BC10" i="6"/>
  <c r="AH14" i="6"/>
  <c r="BC14" i="6" s="1"/>
  <c r="BE32" i="7"/>
  <c r="K42" i="7"/>
  <c r="K12" i="5"/>
  <c r="BC12" i="5" s="1"/>
  <c r="BC5" i="5"/>
  <c r="K15" i="5"/>
  <c r="BC15" i="5" s="1"/>
  <c r="J46" i="1"/>
  <c r="K9" i="1"/>
  <c r="L9" i="1"/>
  <c r="L46" i="1"/>
  <c r="AI42" i="7"/>
  <c r="BE30" i="7"/>
  <c r="BE6" i="7"/>
  <c r="AI43" i="7"/>
  <c r="AI40" i="7"/>
  <c r="K12" i="1"/>
  <c r="K43" i="1"/>
  <c r="L12" i="1"/>
  <c r="K40" i="7"/>
  <c r="D34" i="1"/>
  <c r="BH40" i="3"/>
  <c r="BH43" i="3"/>
  <c r="K46" i="1"/>
  <c r="BC15" i="6" l="1"/>
  <c r="BE43" i="7"/>
  <c r="BE42" i="7"/>
  <c r="BE42" i="3"/>
  <c r="BE40" i="7"/>
  <c r="C19" i="1"/>
  <c r="C31" i="1"/>
  <c r="C33" i="1"/>
  <c r="D33" i="1"/>
  <c r="C22" i="1"/>
  <c r="BE40" i="3"/>
  <c r="E31" i="1"/>
  <c r="C34" i="1"/>
  <c r="C20" i="1"/>
  <c r="BE41" i="7"/>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<sst xmlns="http://schemas.openxmlformats.org/spreadsheetml/2006/main" count="1459" uniqueCount="575">
  <si>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</si>
  <si>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</si>
  <si>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</si>
  <si>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</si>
  <si>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</si>
  <si>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</si>
  <si>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</si>
  <si>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</si>
  <si>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</si>
  <si>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</si>
  <si>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</si>
  <si>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</si>
  <si>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</si>
  <si>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</si>
  <si>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</si>
  <si>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</si>
  <si>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</si>
  <si>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</si>
  <si>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</si>
  <si>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</si>
  <si>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</si>
  <si>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</si>
  <si>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</si>
  <si>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</si>
  <si>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</si>
  <si>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</si>
  <si>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</si>
  <si>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</si>
  <si>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</si>
  <si>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</si>
  <si>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</si>
  <si>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</si>
  <si>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</si>
  <si>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</si>
  <si>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</si>
  <si>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</si>
  <si>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</si>
  <si>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</si>
  <si>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</si>
  <si>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</si>
  <si>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</si>
  <si>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</si>
  <si>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</si>
  <si>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</si>
  <si>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</si>
  <si>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</si>
  <si>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</si>
  <si>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</si>
  <si>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</si>
  <si>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</si>
  <si>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</si>
  <si>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</si>
  <si>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</si>
  <si>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</si>
  <si>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</si>
  <si>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</si>
  <si>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</si>
  <si>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</si>
  <si>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</si>
  <si>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</si>
  <si>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</si>
  <si>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</si>
  <si>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</si>
  <si>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</si>
  <si>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</si>
  <si>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</si>
  <si>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</si>
  <si>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</si>
  <si>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</si>
  <si>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</si>
  <si>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</si>
  <si>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</si>
  <si>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</si>
  <si>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</si>
  <si>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</si>
  <si>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</si>
  <si>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</si>
  <si>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</si>
  <si>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</si>
  <si>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</si>
  <si>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</si>
  <si>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</si>
  <si>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</si>
  <si>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</si>
  <si>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</si>
  <si>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</si>
  <si>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</si>
  <si>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</si>
  <si>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</si>
  <si>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</si>
  <si>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</si>
  <si>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</si>
  <si>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</si>
  <si>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</si>
  <si>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</si>
  <si>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</si>
  <si>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</si>
  <si>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</si>
  <si>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</si>
  <si>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</si>
  <si>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</si>
  <si>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</si>
  <si>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</si>
  <si>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</si>
  <si>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</si>
  <si>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</si>
  <si>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</si>
  <si>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</si>
  <si>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</si>
  <si>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</si>
  <si>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</si>
  <si>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</si>
  <si>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</si>
  <si>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</si>
  <si>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</si>
  <si>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</si>
  <si>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</si>
  <si>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</si>
  <si>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</si>
  <si>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</si>
  <si>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</si>
  <si>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</si>
  <si>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</si>
  <si>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</si>
  <si>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</si>
  <si>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</si>
  <si>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</si>
  <si>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</si>
  <si>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</si>
  <si>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</si>
  <si>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</si>
  <si>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</si>
  <si>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</si>
  <si>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</si>
  <si>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</si>
  <si>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</si>
  <si>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</si>
  <si>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</si>
  <si>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</si>
  <si>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</si>
  <si>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</si>
  <si>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</si>
  <si>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</si>
  <si>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</si>
  <si>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</si>
  <si>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</si>
  <si>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</si>
  <si>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</si>
  <si>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</si>
  <si>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</si>
  <si>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</si>
  <si>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</si>
  <si>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</si>
  <si>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</si>
  <si>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</si>
  <si>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</si>
  <si>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</si>
  <si>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</si>
  <si>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</si>
  <si>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</si>
  <si>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</si>
  <si>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</si>
  <si>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</si>
  <si>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</si>
  <si>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</si>
  <si>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</si>
  <si>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</si>
  <si>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</si>
  <si>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</si>
  <si>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</si>
  <si>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</si>
  <si>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</si>
  <si>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</si>
  <si>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</si>
  <si>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</si>
  <si>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</si>
  <si>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</si>
  <si>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</si>
  <si>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</si>
  <si>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</si>
  <si>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</si>
  <si>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</si>
  <si>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</si>
  <si>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</si>
  <si>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</si>
  <si>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</si>
  <si>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</si>
  <si>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</si>
  <si>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</si>
  <si>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</si>
  <si>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</si>
  <si>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</si>
  <si>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</si>
  <si>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</si>
  <si>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</si>
  <si>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</si>
  <si>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</si>
  <si>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</si>
  <si>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</si>
  <si>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</si>
  <si>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</si>
  <si>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</si>
  <si>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</si>
  <si>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</si>
  <si>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</si>
  <si>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</si>
  <si>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</si>
  <si>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</si>
  <si>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</si>
  <si>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</si>
  <si>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</si>
  <si>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</si>
  <si>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</si>
  <si>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</si>
  <si>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</si>
  <si>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</si>
  <si>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</si>
  <si>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</si>
  <si>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</si>
  <si>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</si>
  <si>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</si>
  <si>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</si>
  <si>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</si>
  <si>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</si>
  <si>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</si>
  <si>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</si>
  <si>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</si>
  <si>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</si>
  <si>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</si>
  <si>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</si>
  <si>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</si>
  <si>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</si>
  <si>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</si>
  <si>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</si>
  <si>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</si>
  <si>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</si>
  <si>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</si>
  <si>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</si>
  <si>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</si>
  <si>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</si>
  <si>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</si>
  <si>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</si>
  <si>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</si>
  <si>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</si>
  <si>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</si>
  <si>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</si>
  <si>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</si>
  <si>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</si>
  <si>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</si>
  <si>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</si>
  <si>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</si>
  <si>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</si>
  <si>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</si>
  <si>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</si>
  <si>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</si>
  <si>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</si>
  <si>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</si>
  <si>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</si>
  <si>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</si>
  <si>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</si>
  <si>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</si>
  <si>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</si>
  <si>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</si>
  <si>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</si>
  <si>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</si>
  <si>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</si>
  <si>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</si>
  <si>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</si>
  <si>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</si>
  <si>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</si>
  <si>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</si>
  <si>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</si>
  <si>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</si>
  <si>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</si>
  <si>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</si>
  <si>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</si>
  <si>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</si>
  <si>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</si>
  <si>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</si>
  <si>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</si>
  <si>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</si>
  <si>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</si>
  <si>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</si>
  <si>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</si>
  <si>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</si>
  <si>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</si>
  <si>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</si>
  <si>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</si>
  <si>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</si>
  <si>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</si>
  <si>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</si>
  <si>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</si>
  <si>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</si>
  <si>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</si>
  <si>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</si>
  <si>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</si>
  <si>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</si>
  <si>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</si>
  <si>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</si>
  <si>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</si>
  <si>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</si>
  <si>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</si>
  <si>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</si>
  <si>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</si>
  <si>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</si>
  <si>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</si>
  <si>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</si>
  <si>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</si>
  <si>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</si>
  <si>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</si>
  <si>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</si>
  <si>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</si>
  <si>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</si>
  <si>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</si>
  <si>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</si>
  <si>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</si>
  <si>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</si>
  <si>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</si>
  <si>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</si>
  <si>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</si>
  <si>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</si>
  <si>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</si>
  <si>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</si>
  <si>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</si>
  <si>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</si>
  <si>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</si>
  <si>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</si>
  <si>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</si>
  <si>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</si>
  <si>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</si>
  <si>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</si>
  <si>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</si>
  <si>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</si>
  <si>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</si>
  <si>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</si>
  <si>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</si>
  <si>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</si>
  <si>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</si>
  <si>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</si>
  <si>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</si>
  <si>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</si>
  <si>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</si>
  <si>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</si>
  <si>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</si>
  <si>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</si>
  <si>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</si>
  <si>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</si>
  <si>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</si>
  <si>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</si>
  <si>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</si>
  <si>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</si>
  <si>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</si>
  <si>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</si>
  <si>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</si>
  <si>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</si>
  <si>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</si>
  <si>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</si>
  <si>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</si>
  <si>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</si>
  <si>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</si>
  <si>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</si>
  <si>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</si>
  <si>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</si>
  <si>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</si>
  <si>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</si>
  <si>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</si>
  <si>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</si>
  <si>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</si>
  <si>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</si>
  <si>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</si>
  <si>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</si>
  <si>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</si>
  <si>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</si>
  <si>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</si>
  <si>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</si>
  <si>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</si>
  <si>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</si>
  <si>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</si>
  <si>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</si>
  <si>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</si>
  <si>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</si>
  <si>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</si>
  <si>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</si>
  <si>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</si>
  <si>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</si>
  <si>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</si>
  <si>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</si>
  <si>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</si>
  <si>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</si>
  <si>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</si>
  <si>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</si>
  <si>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</si>
  <si>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</si>
  <si>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</si>
  <si>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</si>
  <si>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</si>
  <si>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</si>
  <si>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</si>
  <si>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</si>
  <si>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</si>
  <si>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</si>
  <si>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</si>
  <si>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</si>
  <si>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</si>
  <si>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</si>
  <si>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</si>
  <si>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</si>
  <si>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</si>
  <si>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</si>
  <si>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</si>
  <si>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</si>
  <si>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</si>
  <si>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</si>
  <si>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</si>
  <si>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</si>
  <si>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</si>
  <si>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</si>
  <si>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</si>
  <si>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</si>
  <si>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</si>
  <si>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</si>
  <si>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</si>
  <si>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</si>
  <si>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</si>
  <si>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</si>
  <si>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</si>
  <si>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</si>
  <si>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</si>
  <si>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</si>
  <si>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</si>
  <si>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</si>
  <si>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</si>
  <si>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</si>
  <si>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</si>
  <si>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</si>
  <si>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</si>
  <si>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</si>
  <si>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</si>
  <si>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</si>
  <si>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</si>
  <si>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</si>
  <si>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</si>
  <si>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</si>
  <si>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</si>
  <si>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</si>
  <si>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</si>
  <si>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</si>
  <si>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</si>
  <si>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</si>
  <si>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</si>
  <si>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</si>
  <si>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</si>
  <si>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</si>
  <si>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</si>
  <si>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</si>
  <si>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</si>
  <si>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</si>
  <si>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</si>
  <si>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</si>
  <si>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</si>
  <si>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</si>
  <si>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</si>
  <si>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</si>
  <si>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</si>
  <si>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</si>
  <si>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</si>
  <si>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</si>
  <si>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</si>
  <si>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</si>
  <si>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</si>
  <si>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</si>
  <si>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</si>
  <si>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</si>
  <si>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</si>
  <si>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</si>
  <si>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</si>
  <si>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</si>
  <si>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</si>
  <si>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</si>
  <si>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</si>
  <si>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</si>
  <si>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</si>
  <si>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</si>
  <si>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</si>
  <si>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</si>
  <si>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</si>
  <si>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</si>
  <si>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</si>
  <si>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</si>
  <si>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</si>
  <si>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</si>
  <si>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</si>
  <si>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</si>
  <si>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</si>
  <si>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</si>
  <si>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</si>
  <si>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</si>
  <si>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</si>
  <si>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</si>
  <si>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</si>
  <si>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</si>
  <si>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</si>
  <si>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</si>
  <si>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</si>
  <si>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</si>
  <si>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</si>
  <si>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</si>
  <si>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</si>
  <si>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</si>
  <si>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</si>
  <si>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</si>
  <si>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</si>
  <si>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</si>
  <si>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</si>
  <si>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</si>
  <si>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</si>
  <si>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</si>
  <si>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</si>
  <si>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</si>
  <si>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</si>
  <si>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</si>
  <si>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</si>
  <si>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</si>
  <si>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</si>
  <si>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</si>
  <si>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</si>
  <si>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</si>
  <si>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</si>
  <si>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</si>
  <si>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</si>
  <si>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</si>
  <si>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</si>
  <si>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</si>
  <si>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</si>
  <si>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</si>
  <si>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</si>
  <si>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</si>
  <si>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</si>
  <si>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</si>
  <si>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</si>
  <si>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</si>
  <si>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</si>
  <si>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</si>
  <si>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</si>
  <si>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</si>
  <si>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</si>
  <si>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</si>
  <si>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</si>
  <si>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</si>
  <si>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</si>
  <si>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</si>
  <si>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</si>
  <si>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</si>
  <si>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</si>
  <si>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</si>
  <si>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</si>
  <si>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</si>
  <si>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</si>
  <si>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</si>
  <si>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</si>
  <si>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</si>
  <si>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</si>
  <si>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</si>
  <si>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</si>
  <si>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</si>
  <si>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</si>
  <si>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</si>
  <si>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</si>
  <si>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</si>
  <si>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</si>
  <si>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</si>
  <si>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</si>
  <si>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</si>
  <si>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</si>
  <si>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ALL_master+r140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</si>
</sst>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ALL_master+r140</c:v>
                </c:pt>
              </c:strCache>
            </c:strRef>
          </c:tx>
          <c:spPr>
            <a:ln>
              <a:prstDash val="solid"/>
            </a:ln>
          </c:spPr>
          <c:marker>
            <c:symbol val="none"/>
          </c:marker>
          <c:xVal>
            <c:numRef>
              <c:f>Graphs!graph_a_x_range_A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Graphs!graph_a_y_range_A</c:f>
              <c:numCache>
                <c:formatCode>0.00</c:formatCode>
                <c:ptCount val="5"/>
                <c:pt idx="0">
                  <c:v>66.310020333333298</c:v>
                </c:pt>
                <c:pt idx="1">
                  <c:v>68.156284666666593</c:v>
                </c:pt>
                <c:pt idx="2">
                  <c:v>69.562783000000096</c:v>
                </c:pt>
                <c:pt idx="3">
                  <c:v>70.706426333333397</c:v>
                </c:pt>
                <c:pt idx="4">
                  <c:v>71.790261666666694</c:v>
                </c:pt>
              </c:numCache>
            </c:numRef>
          </c:yVal>
          <c:smooth val="1"/>
          <c:extLst>
            <c:ext xmlns:c16="http://schemas.microsoft.com/office/drawing/2014/chart" uri="{C3380CC4-5D6E-409C-BE32-E72D297353CC}">
              <c16:uniqueId val="{00000000-8E80-4C6E-A175-629DA8CCA219}"/>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8E80-4C6E-A175-629DA8CCA21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ALL_master+r140</c:v>
                </c:pt>
              </c:strCache>
            </c:strRef>
          </c:tx>
          <c:spPr>
            <a:ln>
              <a:prstDash val="solid"/>
            </a:ln>
          </c:spPr>
          <c:marker>
            <c:symbol val="none"/>
          </c:marker>
          <c:xVal>
            <c:numRef>
              <c:f>Graphs!graph_b_x_range_A</c:f>
              <c:numCache>
                <c:formatCode>0.00</c:formatCode>
                <c:ptCount val="5"/>
                <c:pt idx="0">
                  <c:v>3.463771995604166E-2</c:v>
                </c:pt>
                <c:pt idx="1">
                  <c:v>4.797721247012305E-2</c:v>
                </c:pt>
                <c:pt idx="2">
                  <c:v>6.7351010160804831E-2</c:v>
                </c:pt>
                <c:pt idx="3">
                  <c:v>0.1002631360472727</c:v>
                </c:pt>
                <c:pt idx="4">
                  <c:v>0.15537505248189967</c:v>
                </c:pt>
              </c:numCache>
            </c:numRef>
          </c:xVal>
          <c:yVal>
            <c:numRef>
              <c:f>Graphs!graph_b_y_range_A</c:f>
              <c:numCache>
                <c:formatCode>0.00</c:formatCode>
                <c:ptCount val="5"/>
                <c:pt idx="0">
                  <c:v>68.377399333333301</c:v>
                </c:pt>
                <c:pt idx="1">
                  <c:v>70.311282666666699</c:v>
                </c:pt>
                <c:pt idx="2">
                  <c:v>72.001826333333298</c:v>
                </c:pt>
                <c:pt idx="3">
                  <c:v>73.284367666666597</c:v>
                </c:pt>
                <c:pt idx="4">
                  <c:v>75.226133666666698</c:v>
                </c:pt>
              </c:numCache>
            </c:numRef>
          </c:yVal>
          <c:smooth val="1"/>
          <c:extLst>
            <c:ext xmlns:c16="http://schemas.microsoft.com/office/drawing/2014/chart" uri="{C3380CC4-5D6E-409C-BE32-E72D297353CC}">
              <c16:uniqueId val="{00000000-F35A-4426-ADF5-3B72FA5FA1D1}"/>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F35A-4426-ADF5-3B72FA5FA1D1}"/>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ALL_master+r140</c:v>
                </c:pt>
              </c:strCache>
            </c:strRef>
          </c:tx>
          <c:spPr>
            <a:ln>
              <a:prstDash val="solid"/>
            </a:ln>
          </c:spPr>
          <c:marker>
            <c:symbol val="none"/>
          </c:marker>
          <c:xVal>
            <c:numRef>
              <c:f>Graphs!graph_c_x_range_A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Graphs!graph_c_y_range_A</c:f>
              <c:numCache>
                <c:formatCode>0.00</c:formatCode>
                <c:ptCount val="5"/>
                <c:pt idx="0">
                  <c:v>32.325254000000001</c:v>
                </c:pt>
                <c:pt idx="1">
                  <c:v>34.599119999999999</c:v>
                </c:pt>
                <c:pt idx="2">
                  <c:v>37.138455666666701</c:v>
                </c:pt>
                <c:pt idx="3">
                  <c:v>39.743429999999996</c:v>
                </c:pt>
                <c:pt idx="4">
                  <c:v>42.256806333333301</c:v>
                </c:pt>
              </c:numCache>
            </c:numRef>
          </c:yVal>
          <c:smooth val="1"/>
          <c:extLst>
            <c:ext xmlns:c16="http://schemas.microsoft.com/office/drawing/2014/chart" uri="{C3380CC4-5D6E-409C-BE32-E72D297353CC}">
              <c16:uniqueId val="{00000000-B2D2-4A45-9159-5AFD4CBAACB2}"/>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B2D2-4A45-9159-5AFD4CBAACB2}"/>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ALL_master+r140</c:v>
                </c:pt>
              </c:strCache>
            </c:strRef>
          </c:tx>
          <c:spPr>
            <a:ln>
              <a:prstDash val="solid"/>
            </a:ln>
          </c:spPr>
          <c:marker>
            <c:symbol val="none"/>
          </c:marker>
          <c:xVal>
            <c:numRef>
              <c:f>Graphs!graph_d_x_range_A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Graphs!graph_d_y_range_A</c:f>
              <c:numCache>
                <c:formatCode>0.00</c:formatCode>
                <c:ptCount val="5"/>
                <c:pt idx="0">
                  <c:v>44.156723999999997</c:v>
                </c:pt>
                <c:pt idx="1">
                  <c:v>45.4689196666667</c:v>
                </c:pt>
                <c:pt idx="2">
                  <c:v>46.573172333333297</c:v>
                </c:pt>
                <c:pt idx="3">
                  <c:v>47.915923333333403</c:v>
                </c:pt>
                <c:pt idx="4">
                  <c:v>49.430841333333397</c:v>
                </c:pt>
              </c:numCache>
            </c:numRef>
          </c:yVal>
          <c:smooth val="1"/>
          <c:extLst>
            <c:ext xmlns:c16="http://schemas.microsoft.com/office/drawing/2014/chart" uri="{C3380CC4-5D6E-409C-BE32-E72D297353CC}">
              <c16:uniqueId val="{00000000-BB83-4C86-B124-735F79929D24}"/>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BB83-4C86-B124-735F79929D2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ALL_master+r140</c:v>
                </c:pt>
              </c:strCache>
            </c:strRef>
          </c:tx>
          <c:spPr>
            <a:ln>
              <a:prstDash val="solid"/>
            </a:ln>
          </c:spPr>
          <c:marker>
            <c:symbol val="none"/>
          </c:marker>
          <c:xVal>
            <c:numRef>
              <c:f>Graphs!graph_e_x_range_A</c:f>
              <c:numCache>
                <c:formatCode>0.00</c:formatCode>
                <c:ptCount val="5"/>
                <c:pt idx="0">
                  <c:v>3.4440563913479584E-2</c:v>
                </c:pt>
                <c:pt idx="1">
                  <c:v>7.1837662238601802E-2</c:v>
                </c:pt>
                <c:pt idx="2">
                  <c:v>0.14241146320793918</c:v>
                </c:pt>
                <c:pt idx="3">
                  <c:v>0.26866718295134695</c:v>
                </c:pt>
                <c:pt idx="4">
                  <c:v>0.49386029956674843</c:v>
                </c:pt>
              </c:numCache>
            </c:numRef>
          </c:xVal>
          <c:yVal>
            <c:numRef>
              <c:f>Graphs!graph_e_y_range_A</c:f>
              <c:numCache>
                <c:formatCode>0.00</c:formatCode>
                <c:ptCount val="5"/>
                <c:pt idx="0">
                  <c:v>43.81803</c:v>
                </c:pt>
                <c:pt idx="1">
                  <c:v>45.243023666666701</c:v>
                </c:pt>
                <c:pt idx="2">
                  <c:v>46.484943999999999</c:v>
                </c:pt>
                <c:pt idx="3">
                  <c:v>47.998491333333398</c:v>
                </c:pt>
                <c:pt idx="4">
                  <c:v>49.580412666666703</c:v>
                </c:pt>
              </c:numCache>
            </c:numRef>
          </c:yVal>
          <c:smooth val="1"/>
          <c:extLst>
            <c:ext xmlns:c16="http://schemas.microsoft.com/office/drawing/2014/chart" uri="{C3380CC4-5D6E-409C-BE32-E72D297353CC}">
              <c16:uniqueId val="{00000000-09BE-4B45-8774-CF023BED3284}"/>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09BE-4B45-8774-CF023BED3284}"/>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ALL_master+r140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F57B-4357-8F81-10E47CC56E23}"/>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F57B-4357-8F81-10E47CC56E23}"/>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G17" sqref="G17"/>
    </sheetView>
  </sheetViews>
  <sheetFormatPr defaultRowHeight="15" x14ac:dyDescent="0.25"/>
  <cols>
    <col min="2" max="2" width="16.7109375" style="53" customWidth="1"/>
    <col min="3" max="12" width="24.7109375" style="53" customWidth="1"/>
  </cols>
  <sheetData>
    <row r="1" spans="2:12" x14ac:dyDescent="0.25">
      <c r="B1" t="s">
        <v>0</v>
      </c>
      <c r="C1" s="58" t="s">
        <v>574</v>
      </c>
      <c r="D1" s="59"/>
      <c r="E1" s="59"/>
    </row>
    <row r="2" spans="2:12" x14ac:dyDescent="0.25">
      <c r="B2" t="s">
        <v>1</v>
      </c>
      <c r="C2" s="60"/>
      <c r="D2" s="59"/>
      <c r="E2" s="59"/>
    </row>
    <row r="4" spans="2:12" s="1" customFormat="1" x14ac:dyDescent="0.25">
      <c r="B4" s="1" t="s">
        <v>2</v>
      </c>
    </row>
    <row r="6" spans="2:12" x14ac:dyDescent="0.25">
      <c r="B6" s="61"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2"/>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67" t="e">
        <f>'C2 lossyG,lossyA,intra'!AZ47</f>
        <v>#NUM!</v>
      </c>
      <c r="D13" s="59"/>
      <c r="E13" s="59"/>
      <c r="F13" s="59"/>
      <c r="G13" s="59"/>
      <c r="H13" s="59"/>
      <c r="I13" s="59"/>
      <c r="J13" s="59"/>
      <c r="K13" s="59"/>
      <c r="L13" s="59"/>
    </row>
    <row r="14" spans="2:12" x14ac:dyDescent="0.25">
      <c r="B14" s="6" t="s">
        <v>19</v>
      </c>
      <c r="C14" s="68" t="e">
        <f>'C2 lossyG,lossyA,intra'!BB47</f>
        <v>#NUM!</v>
      </c>
      <c r="D14" s="62"/>
      <c r="E14" s="62"/>
      <c r="F14" s="62"/>
      <c r="G14" s="62"/>
      <c r="H14" s="62"/>
      <c r="I14" s="62"/>
      <c r="J14" s="62"/>
      <c r="K14" s="62"/>
      <c r="L14" s="62"/>
    </row>
    <row r="16" spans="2:12" x14ac:dyDescent="0.25">
      <c r="B16" s="61" t="s">
        <v>20</v>
      </c>
      <c r="C16" s="63" t="s">
        <v>21</v>
      </c>
      <c r="D16" s="64"/>
      <c r="E16" s="64"/>
    </row>
    <row r="17" spans="2:5" x14ac:dyDescent="0.25">
      <c r="B17" s="59"/>
      <c r="C17" s="65" t="s">
        <v>22</v>
      </c>
      <c r="D17" s="59"/>
      <c r="E17" s="59"/>
    </row>
    <row r="18" spans="2:5" x14ac:dyDescent="0.25">
      <c r="B18" s="62"/>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67" t="e">
        <f>'CW losslG,losslA,intra'!AW19</f>
        <v>#NUM!</v>
      </c>
      <c r="D23" s="59"/>
      <c r="E23" s="59"/>
    </row>
    <row r="24" spans="2:5" x14ac:dyDescent="0.25">
      <c r="B24" s="6" t="s">
        <v>19</v>
      </c>
      <c r="C24" s="68" t="e">
        <f>'CW losslG,losslA,intra'!AY19</f>
        <v>#NUM!</v>
      </c>
      <c r="D24" s="62"/>
      <c r="E24" s="62"/>
    </row>
    <row r="26" spans="2:5" s="1" customFormat="1" x14ac:dyDescent="0.25">
      <c r="B26" s="1" t="s">
        <v>26</v>
      </c>
    </row>
    <row r="28" spans="2:5" x14ac:dyDescent="0.25">
      <c r="B28" s="61" t="s">
        <v>27</v>
      </c>
      <c r="C28" s="63" t="s">
        <v>28</v>
      </c>
      <c r="D28" s="64"/>
      <c r="E28" s="64"/>
    </row>
    <row r="29" spans="2:5" x14ac:dyDescent="0.25">
      <c r="B29" s="59"/>
      <c r="C29" s="65" t="s">
        <v>22</v>
      </c>
      <c r="D29" s="59"/>
      <c r="E29" s="59"/>
    </row>
    <row r="30" spans="2:5" x14ac:dyDescent="0.25">
      <c r="B30" s="62"/>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67" t="e">
        <f>'CW losslG,losslA,interLD'!AW19</f>
        <v>#NUM!</v>
      </c>
      <c r="D35" s="59"/>
      <c r="E35" s="59"/>
    </row>
    <row r="36" spans="2:12" x14ac:dyDescent="0.25">
      <c r="B36" s="6" t="s">
        <v>19</v>
      </c>
      <c r="C36" s="68" t="e">
        <f>'CW losslG,losslA,interLD'!AY19</f>
        <v>#NUM!</v>
      </c>
      <c r="D36" s="62"/>
      <c r="E36" s="62"/>
    </row>
    <row r="38" spans="2:12" s="1" customFormat="1" x14ac:dyDescent="0.25">
      <c r="B38" s="1" t="s">
        <v>29</v>
      </c>
    </row>
    <row r="40" spans="2:12" x14ac:dyDescent="0.25">
      <c r="B40" s="61"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2"/>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67" t="e">
        <f>'C2 lossyG,lossyA,interRA'!AZ47</f>
        <v>#NUM!</v>
      </c>
      <c r="D47" s="59"/>
      <c r="E47" s="59"/>
      <c r="F47" s="59"/>
      <c r="G47" s="59"/>
      <c r="H47" s="59"/>
      <c r="I47" s="59"/>
      <c r="J47" s="59"/>
      <c r="K47" s="59"/>
      <c r="L47" s="59"/>
    </row>
    <row r="48" spans="2:12" x14ac:dyDescent="0.25">
      <c r="B48" s="6" t="s">
        <v>19</v>
      </c>
      <c r="C48" s="68" t="e">
        <f>'C2 lossyG,lossyA,interRA'!BB47</f>
        <v>#NUM!</v>
      </c>
      <c r="D48" s="62"/>
      <c r="E48" s="62"/>
      <c r="F48" s="62"/>
      <c r="G48" s="62"/>
      <c r="H48" s="62"/>
      <c r="I48" s="62"/>
      <c r="J48" s="62"/>
      <c r="K48" s="62"/>
      <c r="L48" s="62"/>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C9" activePane="bottomRight" state="frozen"/>
      <selection pane="topRight" activeCell="C1" sqref="C1"/>
      <selection pane="bottomLeft" activeCell="A5" sqref="A5"/>
      <selection pane="bottomRight" activeCell="K57" sqref="K57"/>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136</v>
      </c>
      <c r="B1" s="59"/>
      <c r="C1" s="59"/>
      <c r="D1" s="59"/>
      <c r="E1" s="59"/>
      <c r="F1" s="59"/>
      <c r="G1" s="59"/>
      <c r="I1" s="58" t="str">
        <f>Summary!$C$1</f>
        <v>ALL_master+r140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2.2757032000000001</v>
      </c>
      <c r="J5" s="12">
        <f t="shared" ref="J5:J39" si="1">IF(ISBLANK(S5),"·",S5/D5)</f>
        <v>9.5559004293287828E-2</v>
      </c>
      <c r="K5" s="12">
        <f t="shared" ref="K5:K39" si="2">IF(N5="","·",N5/D5)</f>
        <v>6.1118440379808237E-2</v>
      </c>
      <c r="L5" s="12">
        <f t="shared" ref="L5:L39" si="3">IF(T5="","·",T5/D5)</f>
        <v>3.463771995604166E-2</v>
      </c>
      <c r="M5" s="12">
        <f t="shared" ref="M5:M39" si="4">IF(ISBLANK(V5),"·",V5/D5)</f>
        <v>3.4440563913479584E-2</v>
      </c>
      <c r="N5" s="54">
        <f t="shared" ref="N5:N39" si="5">IF(OR(ISBLANK(T5),ISBLANK(U5)),"",T5+U5)</f>
        <v>14555136</v>
      </c>
      <c r="O5" s="12">
        <v>32</v>
      </c>
      <c r="P5" s="13">
        <v>210239817</v>
      </c>
      <c r="Q5" s="13">
        <v>700799.39</v>
      </c>
      <c r="R5" s="13">
        <v>14454.6266666667</v>
      </c>
      <c r="S5" s="14">
        <v>22757032</v>
      </c>
      <c r="T5" s="14">
        <v>8248848</v>
      </c>
      <c r="U5" s="14">
        <v>6306288</v>
      </c>
      <c r="V5" s="14">
        <v>8201896</v>
      </c>
      <c r="W5" s="15">
        <v>66.310020333333298</v>
      </c>
      <c r="X5" s="15">
        <v>68.377399333333301</v>
      </c>
      <c r="Y5" s="15">
        <v>32.325254000000001</v>
      </c>
      <c r="Z5" s="15">
        <v>44.156723999999997</v>
      </c>
      <c r="AA5" s="15">
        <v>43.81803</v>
      </c>
      <c r="AB5" s="16">
        <v>21143.3</v>
      </c>
      <c r="AC5" s="16">
        <v>0</v>
      </c>
      <c r="AD5" s="16">
        <v>674.51499999999999</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3.4839767999999998</v>
      </c>
      <c r="J6" s="21">
        <f t="shared" si="1"/>
        <v>0.14629559513249143</v>
      </c>
      <c r="K6" s="21">
        <f t="shared" si="2"/>
        <v>7.445793289388962E-2</v>
      </c>
      <c r="L6" s="21">
        <f t="shared" si="3"/>
        <v>4.797721247012305E-2</v>
      </c>
      <c r="M6" s="21">
        <f t="shared" si="4"/>
        <v>7.1837662238601802E-2</v>
      </c>
      <c r="N6" s="18">
        <f t="shared" si="5"/>
        <v>17731888</v>
      </c>
      <c r="O6" s="21">
        <v>28</v>
      </c>
      <c r="P6" s="22">
        <v>230728902</v>
      </c>
      <c r="Q6" s="22">
        <v>769096.34</v>
      </c>
      <c r="R6" s="22">
        <v>19629.386666666702</v>
      </c>
      <c r="S6" s="23">
        <v>34839768</v>
      </c>
      <c r="T6" s="23">
        <v>11425600</v>
      </c>
      <c r="U6" s="23">
        <v>6306288</v>
      </c>
      <c r="V6" s="23">
        <v>17107880</v>
      </c>
      <c r="W6" s="24">
        <v>68.156284666666593</v>
      </c>
      <c r="X6" s="24">
        <v>70.311282666666699</v>
      </c>
      <c r="Y6" s="24">
        <v>34.599119999999999</v>
      </c>
      <c r="Z6" s="24">
        <v>45.4689196666667</v>
      </c>
      <c r="AA6" s="24">
        <v>45.243023666666701</v>
      </c>
      <c r="AB6" s="25">
        <v>21610.5</v>
      </c>
      <c r="AC6" s="25">
        <v>0</v>
      </c>
      <c r="AD6" s="25">
        <v>711.01300000000003</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5.6260464000000008</v>
      </c>
      <c r="J7" s="12">
        <f t="shared" si="1"/>
        <v>0.2362431937925106</v>
      </c>
      <c r="K7" s="12">
        <f t="shared" si="2"/>
        <v>9.3831730584571407E-2</v>
      </c>
      <c r="L7" s="12">
        <f t="shared" si="3"/>
        <v>6.7351010160804831E-2</v>
      </c>
      <c r="M7" s="12">
        <f t="shared" si="4"/>
        <v>0.14241146320793918</v>
      </c>
      <c r="N7" s="54">
        <f t="shared" si="5"/>
        <v>22345688</v>
      </c>
      <c r="O7" s="12">
        <v>24</v>
      </c>
      <c r="P7" s="13">
        <v>236162831</v>
      </c>
      <c r="Q7" s="13">
        <v>787209.436666667</v>
      </c>
      <c r="R7" s="13">
        <v>21576.880000000001</v>
      </c>
      <c r="S7" s="14">
        <v>56260464</v>
      </c>
      <c r="T7" s="14">
        <v>16039400</v>
      </c>
      <c r="U7" s="14">
        <v>6306288</v>
      </c>
      <c r="V7" s="14">
        <v>33914776</v>
      </c>
      <c r="W7" s="15">
        <v>69.562783000000096</v>
      </c>
      <c r="X7" s="15">
        <v>72.001826333333298</v>
      </c>
      <c r="Y7" s="15">
        <v>37.138455666666701</v>
      </c>
      <c r="Z7" s="15">
        <v>46.573172333333297</v>
      </c>
      <c r="AA7" s="15">
        <v>46.484943999999999</v>
      </c>
      <c r="AB7" s="16">
        <v>21827.8</v>
      </c>
      <c r="AC7" s="16">
        <v>0</v>
      </c>
      <c r="AD7" s="16">
        <v>689.30499999999995</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9.4165711999999999</v>
      </c>
      <c r="J8" s="21">
        <f t="shared" si="1"/>
        <v>0.3954110394223862</v>
      </c>
      <c r="K8" s="21">
        <f t="shared" si="2"/>
        <v>0.12674385647103928</v>
      </c>
      <c r="L8" s="21">
        <f t="shared" si="3"/>
        <v>0.1002631360472727</v>
      </c>
      <c r="M8" s="21">
        <f t="shared" si="4"/>
        <v>0.26866718295134695</v>
      </c>
      <c r="N8" s="18">
        <f t="shared" si="5"/>
        <v>30183592</v>
      </c>
      <c r="O8" s="21">
        <v>20</v>
      </c>
      <c r="P8" s="22">
        <v>245560197</v>
      </c>
      <c r="Q8" s="22">
        <v>818533.99</v>
      </c>
      <c r="R8" s="22">
        <v>24834.94</v>
      </c>
      <c r="S8" s="23">
        <v>94165712</v>
      </c>
      <c r="T8" s="23">
        <v>23877304</v>
      </c>
      <c r="U8" s="23">
        <v>6306288</v>
      </c>
      <c r="V8" s="23">
        <v>63982120</v>
      </c>
      <c r="W8" s="24">
        <v>70.706426333333397</v>
      </c>
      <c r="X8" s="24">
        <v>73.284367666666597</v>
      </c>
      <c r="Y8" s="24">
        <v>39.743429999999996</v>
      </c>
      <c r="Z8" s="24">
        <v>47.915923333333403</v>
      </c>
      <c r="AA8" s="24">
        <v>47.998491333333398</v>
      </c>
      <c r="AB8" s="25">
        <v>22595.200000000001</v>
      </c>
      <c r="AC8" s="25">
        <v>0</v>
      </c>
      <c r="AD8" s="25">
        <v>755.94600000000003</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16.675096</v>
      </c>
      <c r="J9" s="30">
        <f t="shared" si="1"/>
        <v>0.70020359871840343</v>
      </c>
      <c r="K9" s="30">
        <f t="shared" si="2"/>
        <v>0.206343299151655</v>
      </c>
      <c r="L9" s="30">
        <f t="shared" si="3"/>
        <v>0.15537505248189967</v>
      </c>
      <c r="M9" s="30">
        <f t="shared" si="4"/>
        <v>0.49386029956674843</v>
      </c>
      <c r="N9" s="27">
        <f t="shared" si="5"/>
        <v>49139912</v>
      </c>
      <c r="O9" s="30">
        <v>16</v>
      </c>
      <c r="P9" s="31">
        <v>236237060</v>
      </c>
      <c r="Q9" s="31">
        <v>787456.86666666705</v>
      </c>
      <c r="R9" s="31">
        <v>10916.106666666699</v>
      </c>
      <c r="S9" s="32">
        <v>166750960</v>
      </c>
      <c r="T9" s="32">
        <v>37002008</v>
      </c>
      <c r="U9" s="32">
        <v>12137904</v>
      </c>
      <c r="V9" s="32">
        <v>117611048</v>
      </c>
      <c r="W9" s="33">
        <v>71.790261666666694</v>
      </c>
      <c r="X9" s="33">
        <v>75.226133666666698</v>
      </c>
      <c r="Y9" s="33">
        <v>42.256806333333301</v>
      </c>
      <c r="Z9" s="33">
        <v>49.430841333333397</v>
      </c>
      <c r="AA9" s="33">
        <v>49.580412666666703</v>
      </c>
      <c r="AB9" s="34">
        <v>24440.400000000001</v>
      </c>
      <c r="AC9" s="34">
        <v>0</v>
      </c>
      <c r="AD9" s="34">
        <v>660.39700000000005</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3.3861687999999996</v>
      </c>
      <c r="J10" s="21">
        <f t="shared" si="1"/>
        <v>0.15524250499178802</v>
      </c>
      <c r="K10" s="21">
        <f t="shared" si="2"/>
        <v>8.162286183938014E-2</v>
      </c>
      <c r="L10" s="21">
        <f t="shared" si="3"/>
        <v>4.3125740133095336E-2</v>
      </c>
      <c r="M10" s="21">
        <f t="shared" si="4"/>
        <v>7.3619643152407876E-2</v>
      </c>
      <c r="N10" s="18">
        <f t="shared" si="5"/>
        <v>17803680</v>
      </c>
      <c r="O10" s="21">
        <v>32</v>
      </c>
      <c r="P10" s="22">
        <v>199410189</v>
      </c>
      <c r="Q10" s="22">
        <v>664700.63</v>
      </c>
      <c r="R10" s="22">
        <v>19506.6466666667</v>
      </c>
      <c r="S10" s="23">
        <v>33861688</v>
      </c>
      <c r="T10" s="23">
        <v>9406640</v>
      </c>
      <c r="U10" s="23">
        <v>8397040</v>
      </c>
      <c r="V10" s="23">
        <v>16058008</v>
      </c>
      <c r="W10" s="24">
        <v>65.806778333333398</v>
      </c>
      <c r="X10" s="24">
        <v>67.681218333333405</v>
      </c>
      <c r="Y10" s="24">
        <v>32.285028333333301</v>
      </c>
      <c r="Z10" s="24">
        <v>39.166212000000002</v>
      </c>
      <c r="AA10" s="24">
        <v>31.9873673333333</v>
      </c>
      <c r="AB10" s="25">
        <v>20930</v>
      </c>
      <c r="AC10" s="25">
        <v>0</v>
      </c>
      <c r="AD10" s="25">
        <v>637.52</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4.8851639999999996</v>
      </c>
      <c r="J11" s="12">
        <f t="shared" si="1"/>
        <v>0.22396553197693603</v>
      </c>
      <c r="K11" s="12">
        <f t="shared" si="2"/>
        <v>9.9560005256159323E-2</v>
      </c>
      <c r="L11" s="12">
        <f t="shared" si="3"/>
        <v>6.1062883549874526E-2</v>
      </c>
      <c r="M11" s="12">
        <f t="shared" si="4"/>
        <v>0.12440552672077669</v>
      </c>
      <c r="N11" s="54">
        <f t="shared" si="5"/>
        <v>21716152</v>
      </c>
      <c r="O11" s="12">
        <v>28</v>
      </c>
      <c r="P11" s="13">
        <v>213502745</v>
      </c>
      <c r="Q11" s="13">
        <v>711675.816666667</v>
      </c>
      <c r="R11" s="13">
        <v>24850.633333333299</v>
      </c>
      <c r="S11" s="14">
        <v>48851640</v>
      </c>
      <c r="T11" s="14">
        <v>13319112</v>
      </c>
      <c r="U11" s="14">
        <v>8397040</v>
      </c>
      <c r="V11" s="14">
        <v>27135488</v>
      </c>
      <c r="W11" s="15">
        <v>67.519887333333301</v>
      </c>
      <c r="X11" s="15">
        <v>69.566591000000003</v>
      </c>
      <c r="Y11" s="15">
        <v>34.112534666666697</v>
      </c>
      <c r="Z11" s="15">
        <v>40.015892333333298</v>
      </c>
      <c r="AA11" s="15">
        <v>33.7427796666666</v>
      </c>
      <c r="AB11" s="16">
        <v>21403.8</v>
      </c>
      <c r="AC11" s="16">
        <v>0</v>
      </c>
      <c r="AD11" s="16">
        <v>695.37199999999996</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7.5523552</v>
      </c>
      <c r="J12" s="21">
        <f t="shared" si="1"/>
        <v>0.34624574529059393</v>
      </c>
      <c r="K12" s="21">
        <f t="shared" si="2"/>
        <v>0.12702557415292914</v>
      </c>
      <c r="L12" s="21">
        <f t="shared" si="3"/>
        <v>8.8528452446644326E-2</v>
      </c>
      <c r="M12" s="21">
        <f t="shared" si="4"/>
        <v>0.21922017113766482</v>
      </c>
      <c r="N12" s="18">
        <f t="shared" si="5"/>
        <v>27706976</v>
      </c>
      <c r="O12" s="21">
        <v>24</v>
      </c>
      <c r="P12" s="22">
        <v>217188193</v>
      </c>
      <c r="Q12" s="22">
        <v>723960.64333333296</v>
      </c>
      <c r="R12" s="22">
        <v>26570.6733333333</v>
      </c>
      <c r="S12" s="23">
        <v>75523552</v>
      </c>
      <c r="T12" s="23">
        <v>19309936</v>
      </c>
      <c r="U12" s="23">
        <v>8397040</v>
      </c>
      <c r="V12" s="23">
        <v>47816576</v>
      </c>
      <c r="W12" s="24">
        <v>68.867548666666707</v>
      </c>
      <c r="X12" s="24">
        <v>71.221512666666598</v>
      </c>
      <c r="Y12" s="24">
        <v>36.196982666666599</v>
      </c>
      <c r="Z12" s="24">
        <v>40.909953666666702</v>
      </c>
      <c r="AA12" s="24">
        <v>35.495703666666699</v>
      </c>
      <c r="AB12" s="25">
        <v>22014.5</v>
      </c>
      <c r="AC12" s="25">
        <v>0</v>
      </c>
      <c r="AD12" s="25">
        <v>793.71600000000001</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12.763636</v>
      </c>
      <c r="J13" s="12">
        <f t="shared" si="1"/>
        <v>0.58516244832312114</v>
      </c>
      <c r="K13" s="12">
        <f t="shared" si="2"/>
        <v>0.17481393215246777</v>
      </c>
      <c r="L13" s="12">
        <f t="shared" si="3"/>
        <v>0.13631681044618296</v>
      </c>
      <c r="M13" s="12">
        <f t="shared" si="4"/>
        <v>0.41034851617065338</v>
      </c>
      <c r="N13" s="54">
        <f t="shared" si="5"/>
        <v>38130632</v>
      </c>
      <c r="O13" s="12">
        <v>20</v>
      </c>
      <c r="P13" s="13">
        <v>224895114</v>
      </c>
      <c r="Q13" s="13">
        <v>749650.38</v>
      </c>
      <c r="R13" s="13">
        <v>30070.29</v>
      </c>
      <c r="S13" s="14">
        <v>127636360</v>
      </c>
      <c r="T13" s="14">
        <v>29733592</v>
      </c>
      <c r="U13" s="14">
        <v>8397040</v>
      </c>
      <c r="V13" s="14">
        <v>89505728</v>
      </c>
      <c r="W13" s="15">
        <v>69.952204666666702</v>
      </c>
      <c r="X13" s="15">
        <v>72.486855333333295</v>
      </c>
      <c r="Y13" s="15">
        <v>38.516728000000001</v>
      </c>
      <c r="Z13" s="15">
        <v>42.0759166666666</v>
      </c>
      <c r="AA13" s="15">
        <v>37.513782333333303</v>
      </c>
      <c r="AB13" s="16">
        <v>23259.7</v>
      </c>
      <c r="AC13" s="16">
        <v>0</v>
      </c>
      <c r="AD13" s="16">
        <v>755.62800000000004</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22.904113600000002</v>
      </c>
      <c r="J14" s="40">
        <f t="shared" si="1"/>
        <v>1.0500634138145977</v>
      </c>
      <c r="K14" s="40">
        <f t="shared" si="2"/>
        <v>0.28835746313969735</v>
      </c>
      <c r="L14" s="40">
        <f t="shared" si="3"/>
        <v>0.21558138752941816</v>
      </c>
      <c r="M14" s="40">
        <f t="shared" si="4"/>
        <v>0.76170595067490032</v>
      </c>
      <c r="N14" s="37">
        <f t="shared" si="5"/>
        <v>62896888</v>
      </c>
      <c r="O14" s="40">
        <v>16</v>
      </c>
      <c r="P14" s="41">
        <v>212722422</v>
      </c>
      <c r="Q14" s="41">
        <v>709074.74</v>
      </c>
      <c r="R14" s="41">
        <v>14194.12</v>
      </c>
      <c r="S14" s="42">
        <v>229041136</v>
      </c>
      <c r="T14" s="42">
        <v>47022880</v>
      </c>
      <c r="U14" s="42">
        <v>15874008</v>
      </c>
      <c r="V14" s="42">
        <v>166144248</v>
      </c>
      <c r="W14" s="43">
        <v>70.818431333333393</v>
      </c>
      <c r="X14" s="43">
        <v>74.624568999999994</v>
      </c>
      <c r="Y14" s="43">
        <v>40.733933</v>
      </c>
      <c r="Z14" s="43">
        <v>43.388286333333397</v>
      </c>
      <c r="AA14" s="43">
        <v>39.238894000000002</v>
      </c>
      <c r="AB14" s="44">
        <v>24632.7</v>
      </c>
      <c r="AC14" s="44">
        <v>0</v>
      </c>
      <c r="AD14" s="44">
        <v>680.77700000000004</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4.3770959999999999</v>
      </c>
      <c r="J15" s="12">
        <f t="shared" si="1"/>
        <v>0.13568616560682295</v>
      </c>
      <c r="K15" s="12">
        <f t="shared" si="2"/>
        <v>7.7042855651710443E-2</v>
      </c>
      <c r="L15" s="12">
        <f t="shared" si="3"/>
        <v>4.1833672410077911E-2</v>
      </c>
      <c r="M15" s="12">
        <f t="shared" si="4"/>
        <v>5.8643309955112514E-2</v>
      </c>
      <c r="N15" s="54">
        <f t="shared" si="5"/>
        <v>24853232</v>
      </c>
      <c r="O15" s="12">
        <v>32</v>
      </c>
      <c r="P15" s="13">
        <v>295422650</v>
      </c>
      <c r="Q15" s="13">
        <v>984742.16666666698</v>
      </c>
      <c r="R15" s="13">
        <v>28156.9</v>
      </c>
      <c r="S15" s="14">
        <v>43770960</v>
      </c>
      <c r="T15" s="14">
        <v>13495112</v>
      </c>
      <c r="U15" s="14">
        <v>11358120</v>
      </c>
      <c r="V15" s="14">
        <v>18917728</v>
      </c>
      <c r="W15" s="15">
        <v>65.949674666666695</v>
      </c>
      <c r="X15" s="15">
        <v>67.738233999999906</v>
      </c>
      <c r="Y15" s="15">
        <v>29.509218333333401</v>
      </c>
      <c r="Z15" s="15">
        <v>43.190304333333302</v>
      </c>
      <c r="AA15" s="15">
        <v>43.413907666666702</v>
      </c>
      <c r="AB15" s="16">
        <v>24578.3</v>
      </c>
      <c r="AC15" s="16">
        <v>0</v>
      </c>
      <c r="AD15" s="16">
        <v>927.54499999999996</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6.968432</v>
      </c>
      <c r="J16" s="21">
        <f t="shared" si="1"/>
        <v>0.21601532577121557</v>
      </c>
      <c r="K16" s="21">
        <f t="shared" si="2"/>
        <v>9.431376024325934E-2</v>
      </c>
      <c r="L16" s="21">
        <f t="shared" si="3"/>
        <v>5.9104577001626808E-2</v>
      </c>
      <c r="M16" s="21">
        <f t="shared" si="4"/>
        <v>0.12170156552795622</v>
      </c>
      <c r="N16" s="18">
        <f t="shared" si="5"/>
        <v>30424648</v>
      </c>
      <c r="O16" s="21">
        <v>28</v>
      </c>
      <c r="P16" s="22">
        <v>315923834</v>
      </c>
      <c r="Q16" s="22">
        <v>1053079.44666667</v>
      </c>
      <c r="R16" s="22">
        <v>35008.956666666701</v>
      </c>
      <c r="S16" s="23">
        <v>69684320</v>
      </c>
      <c r="T16" s="23">
        <v>19066528</v>
      </c>
      <c r="U16" s="23">
        <v>11358120</v>
      </c>
      <c r="V16" s="23">
        <v>39259672</v>
      </c>
      <c r="W16" s="24">
        <v>67.759123666666696</v>
      </c>
      <c r="X16" s="24">
        <v>69.811672000000002</v>
      </c>
      <c r="Y16" s="24">
        <v>31.9163483333333</v>
      </c>
      <c r="Z16" s="24">
        <v>44.056364333333299</v>
      </c>
      <c r="AA16" s="24">
        <v>44.366212666666698</v>
      </c>
      <c r="AB16" s="25">
        <v>24842.400000000001</v>
      </c>
      <c r="AC16" s="25">
        <v>0</v>
      </c>
      <c r="AD16" s="25">
        <v>888.01199999999994</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11.581686400000001</v>
      </c>
      <c r="J17" s="12">
        <f t="shared" si="1"/>
        <v>0.35902219619507758</v>
      </c>
      <c r="K17" s="12">
        <f t="shared" si="2"/>
        <v>0.12027625035422705</v>
      </c>
      <c r="L17" s="12">
        <f t="shared" si="3"/>
        <v>8.5067067112594513E-2</v>
      </c>
      <c r="M17" s="12">
        <f t="shared" si="4"/>
        <v>0.23874594584085052</v>
      </c>
      <c r="N17" s="54">
        <f t="shared" si="5"/>
        <v>38799880</v>
      </c>
      <c r="O17" s="12">
        <v>24</v>
      </c>
      <c r="P17" s="13">
        <v>320026327</v>
      </c>
      <c r="Q17" s="13">
        <v>1066754.4233333301</v>
      </c>
      <c r="R17" s="13">
        <v>36813.6233333333</v>
      </c>
      <c r="S17" s="14">
        <v>115816864</v>
      </c>
      <c r="T17" s="14">
        <v>27441760</v>
      </c>
      <c r="U17" s="14">
        <v>11358120</v>
      </c>
      <c r="V17" s="14">
        <v>77016984</v>
      </c>
      <c r="W17" s="15">
        <v>69.147543999999996</v>
      </c>
      <c r="X17" s="15">
        <v>71.608294666666694</v>
      </c>
      <c r="Y17" s="15">
        <v>34.469015333333303</v>
      </c>
      <c r="Z17" s="15">
        <v>44.923260333333403</v>
      </c>
      <c r="AA17" s="15">
        <v>45.333474666666703</v>
      </c>
      <c r="AB17" s="16">
        <v>26454.9</v>
      </c>
      <c r="AC17" s="16">
        <v>0</v>
      </c>
      <c r="AD17" s="16">
        <v>959.16399999999999</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19.950235199999998</v>
      </c>
      <c r="J18" s="21">
        <f t="shared" si="1"/>
        <v>0.61843992392268043</v>
      </c>
      <c r="K18" s="21">
        <f t="shared" si="2"/>
        <v>0.16343447836760469</v>
      </c>
      <c r="L18" s="21">
        <f t="shared" si="3"/>
        <v>0.12822529512597217</v>
      </c>
      <c r="M18" s="21">
        <f t="shared" si="4"/>
        <v>0.45500544555507577</v>
      </c>
      <c r="N18" s="18">
        <f t="shared" si="5"/>
        <v>52722280</v>
      </c>
      <c r="O18" s="21">
        <v>20</v>
      </c>
      <c r="P18" s="22">
        <v>330647273</v>
      </c>
      <c r="Q18" s="22">
        <v>1102157.5766666699</v>
      </c>
      <c r="R18" s="22">
        <v>41264.550000000003</v>
      </c>
      <c r="S18" s="23">
        <v>199502352</v>
      </c>
      <c r="T18" s="23">
        <v>41364160</v>
      </c>
      <c r="U18" s="23">
        <v>11358120</v>
      </c>
      <c r="V18" s="23">
        <v>146780072</v>
      </c>
      <c r="W18" s="24">
        <v>70.362966</v>
      </c>
      <c r="X18" s="24">
        <v>72.955811999999995</v>
      </c>
      <c r="Y18" s="24">
        <v>37.1520473333333</v>
      </c>
      <c r="Z18" s="24">
        <v>46.291668000000001</v>
      </c>
      <c r="AA18" s="24">
        <v>46.797496000000002</v>
      </c>
      <c r="AB18" s="25">
        <v>27843.3</v>
      </c>
      <c r="AC18" s="25">
        <v>0</v>
      </c>
      <c r="AD18" s="25">
        <v>949.99</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35.289793600000003</v>
      </c>
      <c r="J19" s="30">
        <f t="shared" si="1"/>
        <v>1.0939528807776209</v>
      </c>
      <c r="K19" s="30">
        <f t="shared" si="2"/>
        <v>0.26317283827508642</v>
      </c>
      <c r="L19" s="30">
        <f t="shared" si="3"/>
        <v>0.19736476152382099</v>
      </c>
      <c r="M19" s="30">
        <f t="shared" si="4"/>
        <v>0.83078004250253445</v>
      </c>
      <c r="N19" s="27">
        <f t="shared" si="5"/>
        <v>84896848</v>
      </c>
      <c r="O19" s="30">
        <v>16</v>
      </c>
      <c r="P19" s="31">
        <v>314349023</v>
      </c>
      <c r="Q19" s="31">
        <v>1047830.07666667</v>
      </c>
      <c r="R19" s="31">
        <v>18181.946666666699</v>
      </c>
      <c r="S19" s="32">
        <v>352897936</v>
      </c>
      <c r="T19" s="32">
        <v>63667840</v>
      </c>
      <c r="U19" s="32">
        <v>21229008</v>
      </c>
      <c r="V19" s="32">
        <v>268001088</v>
      </c>
      <c r="W19" s="33">
        <v>71.1514223333334</v>
      </c>
      <c r="X19" s="33">
        <v>75.004448666666704</v>
      </c>
      <c r="Y19" s="33">
        <v>39.631977333333303</v>
      </c>
      <c r="Z19" s="33">
        <v>48.063805333333299</v>
      </c>
      <c r="AA19" s="33">
        <v>48.6488363333333</v>
      </c>
      <c r="AB19" s="34">
        <v>30627.200000000001</v>
      </c>
      <c r="AC19" s="34">
        <v>0</v>
      </c>
      <c r="AD19" s="34">
        <v>889.77599999999995</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4.8383056</v>
      </c>
      <c r="J20" s="21">
        <f t="shared" si="1"/>
        <v>9.6533315730982533E-2</v>
      </c>
      <c r="K20" s="21">
        <f t="shared" si="2"/>
        <v>5.8069625381935441E-2</v>
      </c>
      <c r="L20" s="21">
        <f t="shared" si="3"/>
        <v>2.9233884616279227E-2</v>
      </c>
      <c r="M20" s="21">
        <f t="shared" si="4"/>
        <v>3.8463690349047092E-2</v>
      </c>
      <c r="N20" s="18">
        <f t="shared" si="5"/>
        <v>14552416</v>
      </c>
      <c r="O20" s="21">
        <v>32</v>
      </c>
      <c r="P20" s="22">
        <v>234344951</v>
      </c>
      <c r="Q20" s="22">
        <v>937379.804</v>
      </c>
      <c r="R20" s="22">
        <v>27879.392</v>
      </c>
      <c r="S20" s="23">
        <v>24191528</v>
      </c>
      <c r="T20" s="23">
        <v>7326096</v>
      </c>
      <c r="U20" s="23">
        <v>7226320</v>
      </c>
      <c r="V20" s="23">
        <v>9639112</v>
      </c>
      <c r="W20" s="24">
        <v>67.283175999999997</v>
      </c>
      <c r="X20" s="24">
        <v>69.087839199999905</v>
      </c>
      <c r="Y20" s="24">
        <v>31.108772399999999</v>
      </c>
      <c r="Z20" s="24">
        <v>40.3095316</v>
      </c>
      <c r="AA20" s="24">
        <v>39.105474800000003</v>
      </c>
      <c r="AB20" s="25">
        <v>21012.1</v>
      </c>
      <c r="AC20" s="25">
        <v>0</v>
      </c>
      <c r="AD20" s="25">
        <v>671.13400000000001</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7.1138544000000001</v>
      </c>
      <c r="J21" s="12">
        <f t="shared" si="1"/>
        <v>0.14193480313840434</v>
      </c>
      <c r="K21" s="12">
        <f t="shared" si="2"/>
        <v>6.9062826573696626E-2</v>
      </c>
      <c r="L21" s="12">
        <f t="shared" si="3"/>
        <v>4.0227085808040422E-2</v>
      </c>
      <c r="M21" s="12">
        <f t="shared" si="4"/>
        <v>7.2871976564707702E-2</v>
      </c>
      <c r="N21" s="54">
        <f t="shared" si="5"/>
        <v>17307344</v>
      </c>
      <c r="O21" s="12">
        <v>28</v>
      </c>
      <c r="P21" s="13">
        <v>244418623</v>
      </c>
      <c r="Q21" s="13">
        <v>977674.49199999997</v>
      </c>
      <c r="R21" s="13">
        <v>33388.767999999996</v>
      </c>
      <c r="S21" s="14">
        <v>35569272</v>
      </c>
      <c r="T21" s="14">
        <v>10081024</v>
      </c>
      <c r="U21" s="14">
        <v>7226320</v>
      </c>
      <c r="V21" s="14">
        <v>18261928</v>
      </c>
      <c r="W21" s="15">
        <v>68.882727199999906</v>
      </c>
      <c r="X21" s="15">
        <v>71.012206800000001</v>
      </c>
      <c r="Y21" s="15">
        <v>32.865431200000003</v>
      </c>
      <c r="Z21" s="15">
        <v>41.5023208</v>
      </c>
      <c r="AA21" s="15">
        <v>40.435036799999999</v>
      </c>
      <c r="AB21" s="16">
        <v>21696.799999999999</v>
      </c>
      <c r="AC21" s="16">
        <v>0</v>
      </c>
      <c r="AD21" s="16">
        <v>697.72</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11.5009408</v>
      </c>
      <c r="J22" s="21">
        <f t="shared" si="1"/>
        <v>0.22946544539264713</v>
      </c>
      <c r="K22" s="21">
        <f t="shared" si="2"/>
        <v>8.5934874550190249E-2</v>
      </c>
      <c r="L22" s="21">
        <f t="shared" si="3"/>
        <v>5.7099133784534031E-2</v>
      </c>
      <c r="M22" s="21">
        <f t="shared" si="4"/>
        <v>0.14353057084245688</v>
      </c>
      <c r="N22" s="18">
        <f t="shared" si="5"/>
        <v>21535528</v>
      </c>
      <c r="O22" s="21">
        <v>24</v>
      </c>
      <c r="P22" s="22">
        <v>255501856</v>
      </c>
      <c r="Q22" s="22">
        <v>1022007.424</v>
      </c>
      <c r="R22" s="22">
        <v>35824.023999999998</v>
      </c>
      <c r="S22" s="23">
        <v>57504704</v>
      </c>
      <c r="T22" s="23">
        <v>14309208</v>
      </c>
      <c r="U22" s="23">
        <v>7226320</v>
      </c>
      <c r="V22" s="23">
        <v>35969176</v>
      </c>
      <c r="W22" s="24">
        <v>70.037562399999999</v>
      </c>
      <c r="X22" s="24">
        <v>72.449156799999997</v>
      </c>
      <c r="Y22" s="24">
        <v>34.7699304</v>
      </c>
      <c r="Z22" s="24">
        <v>42.602234000000003</v>
      </c>
      <c r="AA22" s="24">
        <v>41.609101199999998</v>
      </c>
      <c r="AB22" s="25">
        <v>21989.7</v>
      </c>
      <c r="AC22" s="25">
        <v>0</v>
      </c>
      <c r="AD22" s="25">
        <v>698.92899999999997</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20.236385600000002</v>
      </c>
      <c r="J23" s="12">
        <f t="shared" si="1"/>
        <v>0.40375403330841864</v>
      </c>
      <c r="K23" s="12">
        <f t="shared" si="2"/>
        <v>0.11539040066381358</v>
      </c>
      <c r="L23" s="12">
        <f t="shared" si="3"/>
        <v>8.655465989815736E-2</v>
      </c>
      <c r="M23" s="12">
        <f t="shared" si="4"/>
        <v>0.28836363264460507</v>
      </c>
      <c r="N23" s="54">
        <f t="shared" si="5"/>
        <v>28917168</v>
      </c>
      <c r="O23" s="12">
        <v>20</v>
      </c>
      <c r="P23" s="13">
        <v>255604397</v>
      </c>
      <c r="Q23" s="13">
        <v>1022417.588</v>
      </c>
      <c r="R23" s="13">
        <v>37908.771999999997</v>
      </c>
      <c r="S23" s="14">
        <v>101181928</v>
      </c>
      <c r="T23" s="14">
        <v>21690848</v>
      </c>
      <c r="U23" s="14">
        <v>7226320</v>
      </c>
      <c r="V23" s="14">
        <v>72264760</v>
      </c>
      <c r="W23" s="15">
        <v>71.075855599999997</v>
      </c>
      <c r="X23" s="15">
        <v>73.823894000000095</v>
      </c>
      <c r="Y23" s="15">
        <v>36.323972400000002</v>
      </c>
      <c r="Z23" s="15">
        <v>43.931924799999997</v>
      </c>
      <c r="AA23" s="15">
        <v>42.863043599999997</v>
      </c>
      <c r="AB23" s="16">
        <v>24009.5</v>
      </c>
      <c r="AC23" s="16">
        <v>0</v>
      </c>
      <c r="AD23" s="16">
        <v>705.68100000000004</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35.405712000000001</v>
      </c>
      <c r="J24" s="40">
        <f t="shared" si="1"/>
        <v>0.70641068542182139</v>
      </c>
      <c r="K24" s="40">
        <f t="shared" si="2"/>
        <v>0.19151083137344971</v>
      </c>
      <c r="L24" s="40">
        <f t="shared" si="3"/>
        <v>0.13632455660697065</v>
      </c>
      <c r="M24" s="40">
        <f t="shared" si="4"/>
        <v>0.51489985404837169</v>
      </c>
      <c r="N24" s="37">
        <f t="shared" si="5"/>
        <v>47993168</v>
      </c>
      <c r="O24" s="40">
        <v>16</v>
      </c>
      <c r="P24" s="41">
        <v>245205918</v>
      </c>
      <c r="Q24" s="41">
        <v>980823.67200000002</v>
      </c>
      <c r="R24" s="41">
        <v>19016.876</v>
      </c>
      <c r="S24" s="42">
        <v>177028560</v>
      </c>
      <c r="T24" s="42">
        <v>34163328</v>
      </c>
      <c r="U24" s="42">
        <v>13829840</v>
      </c>
      <c r="V24" s="42">
        <v>129035392</v>
      </c>
      <c r="W24" s="43">
        <v>71.9153728</v>
      </c>
      <c r="X24" s="43">
        <v>75.797576800000002</v>
      </c>
      <c r="Y24" s="43">
        <v>37.196370799999997</v>
      </c>
      <c r="Z24" s="43">
        <v>44.905498399999999</v>
      </c>
      <c r="AA24" s="43">
        <v>43.526711599999999</v>
      </c>
      <c r="AB24" s="44">
        <v>24919.4</v>
      </c>
      <c r="AC24" s="44">
        <v>0</v>
      </c>
      <c r="AD24" s="44">
        <v>728.83600000000001</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4.6418359999999996</v>
      </c>
      <c r="J25" s="12">
        <f t="shared" si="1"/>
        <v>0.18545491328294114</v>
      </c>
      <c r="K25" s="12">
        <f t="shared" si="2"/>
        <v>6.400013884439576E-2</v>
      </c>
      <c r="L25" s="12">
        <f t="shared" si="3"/>
        <v>3.6510834261686095E-2</v>
      </c>
      <c r="M25" s="12">
        <f t="shared" si="4"/>
        <v>0.12145477443854538</v>
      </c>
      <c r="N25" s="54">
        <f t="shared" si="5"/>
        <v>16018888</v>
      </c>
      <c r="O25" s="12">
        <v>32</v>
      </c>
      <c r="P25" s="13">
        <v>229549745</v>
      </c>
      <c r="Q25" s="13">
        <v>765165.816666667</v>
      </c>
      <c r="R25" s="13">
        <v>15668.2166666667</v>
      </c>
      <c r="S25" s="14">
        <v>46418360</v>
      </c>
      <c r="T25" s="14">
        <v>9138464</v>
      </c>
      <c r="U25" s="14">
        <v>6880424</v>
      </c>
      <c r="V25" s="14">
        <v>30399472</v>
      </c>
      <c r="W25" s="15">
        <v>66.280959666666703</v>
      </c>
      <c r="X25" s="15">
        <v>68.083962333333304</v>
      </c>
      <c r="Y25" s="15">
        <v>27.2838833333333</v>
      </c>
      <c r="Z25" s="15">
        <v>33.101353666666697</v>
      </c>
      <c r="AA25" s="15">
        <v>32.535156000000001</v>
      </c>
      <c r="AB25" s="16">
        <v>18875.7</v>
      </c>
      <c r="AC25" s="16">
        <v>0</v>
      </c>
      <c r="AD25" s="16">
        <v>731.69100000000003</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7.9759168000000003</v>
      </c>
      <c r="J26" s="21">
        <f t="shared" si="1"/>
        <v>0.31866118460366832</v>
      </c>
      <c r="K26" s="21">
        <f t="shared" si="2"/>
        <v>7.9095183930110002E-2</v>
      </c>
      <c r="L26" s="21">
        <f t="shared" si="3"/>
        <v>5.1605879347400338E-2</v>
      </c>
      <c r="M26" s="21">
        <f t="shared" si="4"/>
        <v>0.23956600067355832</v>
      </c>
      <c r="N26" s="18">
        <f t="shared" si="5"/>
        <v>19797096</v>
      </c>
      <c r="O26" s="21">
        <v>28</v>
      </c>
      <c r="P26" s="22">
        <v>243582465</v>
      </c>
      <c r="Q26" s="22">
        <v>811941.55</v>
      </c>
      <c r="R26" s="22">
        <v>19479.483333333301</v>
      </c>
      <c r="S26" s="23">
        <v>79759168</v>
      </c>
      <c r="T26" s="23">
        <v>12916672</v>
      </c>
      <c r="U26" s="23">
        <v>6880424</v>
      </c>
      <c r="V26" s="23">
        <v>59962072</v>
      </c>
      <c r="W26" s="24">
        <v>68.012913333333401</v>
      </c>
      <c r="X26" s="24">
        <v>70.047618999999997</v>
      </c>
      <c r="Y26" s="24">
        <v>29.676307666666698</v>
      </c>
      <c r="Z26" s="24">
        <v>34.2711786666667</v>
      </c>
      <c r="AA26" s="24">
        <v>33.846210333333303</v>
      </c>
      <c r="AB26" s="25">
        <v>19459.599999999999</v>
      </c>
      <c r="AC26" s="25">
        <v>0</v>
      </c>
      <c r="AD26" s="25">
        <v>778.024</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14.0502664</v>
      </c>
      <c r="J27" s="12">
        <f t="shared" si="1"/>
        <v>0.56134920251689668</v>
      </c>
      <c r="K27" s="12">
        <f t="shared" si="2"/>
        <v>0.10182082167483754</v>
      </c>
      <c r="L27" s="12">
        <f t="shared" si="3"/>
        <v>7.4331517092127861E-2</v>
      </c>
      <c r="M27" s="12">
        <f t="shared" si="4"/>
        <v>0.45952838084205916</v>
      </c>
      <c r="N27" s="54">
        <f t="shared" si="5"/>
        <v>25485200</v>
      </c>
      <c r="O27" s="12">
        <v>24</v>
      </c>
      <c r="P27" s="13">
        <v>246324575</v>
      </c>
      <c r="Q27" s="13">
        <v>821081.91666666698</v>
      </c>
      <c r="R27" s="13">
        <v>20471.919999999998</v>
      </c>
      <c r="S27" s="14">
        <v>140502664</v>
      </c>
      <c r="T27" s="14">
        <v>18604776</v>
      </c>
      <c r="U27" s="14">
        <v>6880424</v>
      </c>
      <c r="V27" s="14">
        <v>115017464</v>
      </c>
      <c r="W27" s="15">
        <v>69.319557666666697</v>
      </c>
      <c r="X27" s="15">
        <v>71.739876666666703</v>
      </c>
      <c r="Y27" s="15">
        <v>32.184531333333297</v>
      </c>
      <c r="Z27" s="15">
        <v>35.538517666666699</v>
      </c>
      <c r="AA27" s="15">
        <v>35.188724999999998</v>
      </c>
      <c r="AB27" s="16">
        <v>19923.3</v>
      </c>
      <c r="AC27" s="16">
        <v>0</v>
      </c>
      <c r="AD27" s="16">
        <v>736.39700000000005</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25.97438</v>
      </c>
      <c r="J28" s="21">
        <f t="shared" si="1"/>
        <v>1.0377523873049717</v>
      </c>
      <c r="K28" s="21">
        <f t="shared" si="2"/>
        <v>0.13957965738147701</v>
      </c>
      <c r="L28" s="21">
        <f t="shared" si="3"/>
        <v>0.11209035279876733</v>
      </c>
      <c r="M28" s="21">
        <f t="shared" si="4"/>
        <v>0.89817272992349473</v>
      </c>
      <c r="N28" s="18">
        <f t="shared" si="5"/>
        <v>34936032</v>
      </c>
      <c r="O28" s="21">
        <v>20</v>
      </c>
      <c r="P28" s="22">
        <v>252954006</v>
      </c>
      <c r="Q28" s="22">
        <v>843180.02</v>
      </c>
      <c r="R28" s="22">
        <v>22921.383333333299</v>
      </c>
      <c r="S28" s="23">
        <v>259743800</v>
      </c>
      <c r="T28" s="23">
        <v>28055608</v>
      </c>
      <c r="U28" s="23">
        <v>6880424</v>
      </c>
      <c r="V28" s="23">
        <v>224807768</v>
      </c>
      <c r="W28" s="24">
        <v>70.464837000000003</v>
      </c>
      <c r="X28" s="24">
        <v>73.030774333333397</v>
      </c>
      <c r="Y28" s="24">
        <v>34.863075666666703</v>
      </c>
      <c r="Z28" s="24">
        <v>37.363215666666697</v>
      </c>
      <c r="AA28" s="24">
        <v>36.933240333333401</v>
      </c>
      <c r="AB28" s="25">
        <v>21973.200000000001</v>
      </c>
      <c r="AC28" s="25">
        <v>0</v>
      </c>
      <c r="AD28" s="25">
        <v>759.20100000000002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46.778912800000001</v>
      </c>
      <c r="J29" s="30">
        <f t="shared" si="1"/>
        <v>1.8689542708519356</v>
      </c>
      <c r="K29" s="30">
        <f t="shared" si="2"/>
        <v>0.2258720885935917</v>
      </c>
      <c r="L29" s="30">
        <f t="shared" si="3"/>
        <v>0.17329126205376671</v>
      </c>
      <c r="M29" s="30">
        <f t="shared" si="4"/>
        <v>1.6430821822583439</v>
      </c>
      <c r="N29" s="27">
        <f t="shared" si="5"/>
        <v>56534560</v>
      </c>
      <c r="O29" s="30">
        <v>16</v>
      </c>
      <c r="P29" s="31">
        <v>243390697</v>
      </c>
      <c r="Q29" s="31">
        <v>811302.32333333301</v>
      </c>
      <c r="R29" s="31">
        <v>10619.64</v>
      </c>
      <c r="S29" s="32">
        <v>467789128</v>
      </c>
      <c r="T29" s="32">
        <v>43373864</v>
      </c>
      <c r="U29" s="32">
        <v>13160696</v>
      </c>
      <c r="V29" s="32">
        <v>411254568</v>
      </c>
      <c r="W29" s="33">
        <v>71.193378333333399</v>
      </c>
      <c r="X29" s="33">
        <v>74.956125</v>
      </c>
      <c r="Y29" s="33">
        <v>37.254650666666599</v>
      </c>
      <c r="Z29" s="33">
        <v>39.405225333333398</v>
      </c>
      <c r="AA29" s="33">
        <v>38.758076000000003</v>
      </c>
      <c r="AB29" s="34">
        <v>24826.9</v>
      </c>
      <c r="AC29" s="34">
        <v>0</v>
      </c>
      <c r="AD29" s="34">
        <v>799.10799999999995</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5.8360200000000004</v>
      </c>
      <c r="J30" s="21">
        <f t="shared" si="1"/>
        <v>6.6611255802326824E-2</v>
      </c>
      <c r="K30" s="21">
        <f t="shared" si="2"/>
        <v>4.0528047835044143E-2</v>
      </c>
      <c r="L30" s="21">
        <f t="shared" si="3"/>
        <v>2.5308152822636674E-2</v>
      </c>
      <c r="M30" s="21">
        <f t="shared" si="4"/>
        <v>2.6083207967282682E-2</v>
      </c>
      <c r="N30" s="18">
        <f t="shared" si="5"/>
        <v>7575016</v>
      </c>
      <c r="O30" s="21">
        <v>32</v>
      </c>
      <c r="P30" s="22">
        <v>169467345</v>
      </c>
      <c r="Q30" s="22">
        <v>2647927.265625</v>
      </c>
      <c r="R30" s="22">
        <v>31706.875</v>
      </c>
      <c r="S30" s="23">
        <v>12450176</v>
      </c>
      <c r="T30" s="23">
        <v>4730296</v>
      </c>
      <c r="U30" s="23">
        <v>2844720</v>
      </c>
      <c r="V30" s="23">
        <v>4875160</v>
      </c>
      <c r="W30" s="24">
        <v>73.426517187499996</v>
      </c>
      <c r="X30" s="24">
        <v>75.645079687500001</v>
      </c>
      <c r="Y30" s="24">
        <v>34.756176562500002</v>
      </c>
      <c r="Z30" s="24">
        <v>42.242481249999997</v>
      </c>
      <c r="AA30" s="24">
        <v>43.855589062500002</v>
      </c>
      <c r="AB30" s="25">
        <v>12457</v>
      </c>
      <c r="AC30" s="25">
        <v>0</v>
      </c>
      <c r="AD30" s="25">
        <v>507.209</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8.3161500000000004</v>
      </c>
      <c r="J31" s="12">
        <f t="shared" si="1"/>
        <v>9.4919002152240778E-2</v>
      </c>
      <c r="K31" s="12">
        <f t="shared" si="2"/>
        <v>4.9856616349806038E-2</v>
      </c>
      <c r="L31" s="12">
        <f t="shared" si="3"/>
        <v>3.463672133739857E-2</v>
      </c>
      <c r="M31" s="12">
        <f t="shared" si="4"/>
        <v>4.506238580243474E-2</v>
      </c>
      <c r="N31" s="54">
        <f t="shared" si="5"/>
        <v>9318600</v>
      </c>
      <c r="O31" s="12">
        <v>28</v>
      </c>
      <c r="P31" s="13">
        <v>180443510</v>
      </c>
      <c r="Q31" s="13">
        <v>2819429.84375</v>
      </c>
      <c r="R31" s="13">
        <v>39863.4375</v>
      </c>
      <c r="S31" s="14">
        <v>17741120</v>
      </c>
      <c r="T31" s="14">
        <v>6473880</v>
      </c>
      <c r="U31" s="14">
        <v>2844720</v>
      </c>
      <c r="V31" s="14">
        <v>8422520</v>
      </c>
      <c r="W31" s="15">
        <v>75.127545312500004</v>
      </c>
      <c r="X31" s="15">
        <v>77.550109375000005</v>
      </c>
      <c r="Y31" s="15">
        <v>36.698226562499997</v>
      </c>
      <c r="Z31" s="15">
        <v>42.773429687499998</v>
      </c>
      <c r="AA31" s="15">
        <v>45.071959374999999</v>
      </c>
      <c r="AB31" s="16">
        <v>12848.5</v>
      </c>
      <c r="AC31" s="16">
        <v>0</v>
      </c>
      <c r="AD31" s="16">
        <v>550.65</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12.814897500000001</v>
      </c>
      <c r="J32" s="21">
        <f t="shared" si="1"/>
        <v>0.14626687630493015</v>
      </c>
      <c r="K32" s="21">
        <f t="shared" si="2"/>
        <v>6.331598738333237E-2</v>
      </c>
      <c r="L32" s="21">
        <f t="shared" si="3"/>
        <v>4.8096092370924902E-2</v>
      </c>
      <c r="M32" s="21">
        <f t="shared" si="4"/>
        <v>8.2950888921597798E-2</v>
      </c>
      <c r="N32" s="18">
        <f t="shared" si="5"/>
        <v>11834264</v>
      </c>
      <c r="O32" s="21">
        <v>24</v>
      </c>
      <c r="P32" s="22">
        <v>184144045</v>
      </c>
      <c r="Q32" s="22">
        <v>2877250.703125</v>
      </c>
      <c r="R32" s="22">
        <v>42856.84375</v>
      </c>
      <c r="S32" s="23">
        <v>27338448</v>
      </c>
      <c r="T32" s="23">
        <v>8989544</v>
      </c>
      <c r="U32" s="23">
        <v>2844720</v>
      </c>
      <c r="V32" s="23">
        <v>15504184</v>
      </c>
      <c r="W32" s="24">
        <v>76.421289062499994</v>
      </c>
      <c r="X32" s="24">
        <v>79.129990625000005</v>
      </c>
      <c r="Y32" s="24">
        <v>38.446987499999999</v>
      </c>
      <c r="Z32" s="24">
        <v>43.3095984375</v>
      </c>
      <c r="AA32" s="24">
        <v>46.2941734375</v>
      </c>
      <c r="AB32" s="25">
        <v>13160.3</v>
      </c>
      <c r="AC32" s="25">
        <v>0</v>
      </c>
      <c r="AD32" s="25">
        <v>555.48199999999997</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21.350422500000001</v>
      </c>
      <c r="J33" s="12">
        <f t="shared" si="1"/>
        <v>0.24368978424255816</v>
      </c>
      <c r="K33" s="12">
        <f t="shared" si="2"/>
        <v>8.5753508527091279E-2</v>
      </c>
      <c r="L33" s="12">
        <f t="shared" si="3"/>
        <v>7.0533613514683804E-2</v>
      </c>
      <c r="M33" s="12">
        <f t="shared" si="4"/>
        <v>0.15793627571546687</v>
      </c>
      <c r="N33" s="54">
        <f t="shared" si="5"/>
        <v>16028016</v>
      </c>
      <c r="O33" s="12">
        <v>20</v>
      </c>
      <c r="P33" s="13">
        <v>188717930</v>
      </c>
      <c r="Q33" s="13">
        <v>2948717.65625</v>
      </c>
      <c r="R33" s="13">
        <v>47696.953125</v>
      </c>
      <c r="S33" s="14">
        <v>45547568</v>
      </c>
      <c r="T33" s="14">
        <v>13183296</v>
      </c>
      <c r="U33" s="14">
        <v>2844720</v>
      </c>
      <c r="V33" s="14">
        <v>29519552</v>
      </c>
      <c r="W33" s="15">
        <v>77.574853125000004</v>
      </c>
      <c r="X33" s="15">
        <v>80.321349999999995</v>
      </c>
      <c r="Y33" s="15">
        <v>40.048462499999999</v>
      </c>
      <c r="Z33" s="15">
        <v>44.015973437500001</v>
      </c>
      <c r="AA33" s="15">
        <v>47.882385937499997</v>
      </c>
      <c r="AB33" s="16">
        <v>14213.4</v>
      </c>
      <c r="AC33" s="16">
        <v>0</v>
      </c>
      <c r="AD33" s="16">
        <v>579.19600000000003</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40.011360000000003</v>
      </c>
      <c r="J34" s="40">
        <f t="shared" si="1"/>
        <v>0.45668228278158529</v>
      </c>
      <c r="K34" s="40">
        <f t="shared" si="2"/>
        <v>0.13780174866894804</v>
      </c>
      <c r="L34" s="40">
        <f t="shared" si="3"/>
        <v>0.10720748691798844</v>
      </c>
      <c r="M34" s="40">
        <f t="shared" si="4"/>
        <v>0.31888053411263728</v>
      </c>
      <c r="N34" s="37">
        <f t="shared" si="5"/>
        <v>25756248</v>
      </c>
      <c r="O34" s="40">
        <v>16</v>
      </c>
      <c r="P34" s="41">
        <v>184975250</v>
      </c>
      <c r="Q34" s="41">
        <v>2890238.28125</v>
      </c>
      <c r="R34" s="41">
        <v>19017.921875</v>
      </c>
      <c r="S34" s="42">
        <v>85357568</v>
      </c>
      <c r="T34" s="42">
        <v>20037936</v>
      </c>
      <c r="U34" s="42">
        <v>5718312</v>
      </c>
      <c r="V34" s="42">
        <v>59601320</v>
      </c>
      <c r="W34" s="43">
        <v>78.495978124999993</v>
      </c>
      <c r="X34" s="43">
        <v>81.989742187499999</v>
      </c>
      <c r="Y34" s="43">
        <v>41.535765625000003</v>
      </c>
      <c r="Z34" s="43">
        <v>44.804067187500003</v>
      </c>
      <c r="AA34" s="43">
        <v>49.268604687500002</v>
      </c>
      <c r="AB34" s="44">
        <v>14854</v>
      </c>
      <c r="AC34" s="44">
        <v>0</v>
      </c>
      <c r="AD34" s="44">
        <v>583.47699999999998</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6.0268312499999999</v>
      </c>
      <c r="J35" s="12">
        <f t="shared" si="1"/>
        <v>7.7439855916974554E-2</v>
      </c>
      <c r="K35" s="12">
        <f t="shared" si="2"/>
        <v>4.6007173289141459E-2</v>
      </c>
      <c r="L35" s="12">
        <f t="shared" si="3"/>
        <v>2.8201675327035894E-2</v>
      </c>
      <c r="M35" s="12">
        <f t="shared" si="4"/>
        <v>3.1432682627833095E-2</v>
      </c>
      <c r="N35" s="54">
        <f t="shared" si="5"/>
        <v>7638512</v>
      </c>
      <c r="O35" s="12">
        <v>32</v>
      </c>
      <c r="P35" s="13">
        <v>149545538</v>
      </c>
      <c r="Q35" s="13">
        <v>2336649.03125</v>
      </c>
      <c r="R35" s="13">
        <v>31152.765625</v>
      </c>
      <c r="S35" s="14">
        <v>12857240</v>
      </c>
      <c r="T35" s="14">
        <v>4682288</v>
      </c>
      <c r="U35" s="14">
        <v>2956224</v>
      </c>
      <c r="V35" s="14">
        <v>5218728</v>
      </c>
      <c r="W35" s="15">
        <v>73.2070171875</v>
      </c>
      <c r="X35" s="15">
        <v>75.42889375</v>
      </c>
      <c r="Y35" s="15">
        <v>34.0914984375</v>
      </c>
      <c r="Z35" s="15">
        <v>42.537112499999999</v>
      </c>
      <c r="AA35" s="15">
        <v>44.052021875000001</v>
      </c>
      <c r="AB35" s="16">
        <v>11783.1</v>
      </c>
      <c r="AC35" s="16">
        <v>0</v>
      </c>
      <c r="AD35" s="16">
        <v>471.10300000000001</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8.6064787500000008</v>
      </c>
      <c r="J36" s="21">
        <f t="shared" si="1"/>
        <v>0.11058621798187949</v>
      </c>
      <c r="K36" s="21">
        <f t="shared" si="2"/>
        <v>5.6415155840690165E-2</v>
      </c>
      <c r="L36" s="21">
        <f t="shared" si="3"/>
        <v>3.8609657878584593E-2</v>
      </c>
      <c r="M36" s="21">
        <f t="shared" si="4"/>
        <v>5.417106214118933E-2</v>
      </c>
      <c r="N36" s="18">
        <f t="shared" si="5"/>
        <v>9366536</v>
      </c>
      <c r="O36" s="21">
        <v>28</v>
      </c>
      <c r="P36" s="22">
        <v>159586642</v>
      </c>
      <c r="Q36" s="22">
        <v>2493541.28125</v>
      </c>
      <c r="R36" s="22">
        <v>39248.171875</v>
      </c>
      <c r="S36" s="23">
        <v>18360488</v>
      </c>
      <c r="T36" s="23">
        <v>6410312</v>
      </c>
      <c r="U36" s="23">
        <v>2956224</v>
      </c>
      <c r="V36" s="23">
        <v>8993952</v>
      </c>
      <c r="W36" s="24">
        <v>74.931009375000002</v>
      </c>
      <c r="X36" s="24">
        <v>77.379592187499995</v>
      </c>
      <c r="Y36" s="24">
        <v>36.168960937500003</v>
      </c>
      <c r="Z36" s="24">
        <v>43.160814062500002</v>
      </c>
      <c r="AA36" s="24">
        <v>45.339751562499998</v>
      </c>
      <c r="AB36" s="25">
        <v>11858.4</v>
      </c>
      <c r="AC36" s="25">
        <v>0</v>
      </c>
      <c r="AD36" s="25">
        <v>481.68700000000001</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13.16284875</v>
      </c>
      <c r="J37" s="12">
        <f t="shared" si="1"/>
        <v>0.169131848623923</v>
      </c>
      <c r="K37" s="12">
        <f t="shared" si="2"/>
        <v>7.1458240134095352E-2</v>
      </c>
      <c r="L37" s="12">
        <f t="shared" si="3"/>
        <v>5.3652742171989787E-2</v>
      </c>
      <c r="M37" s="12">
        <f t="shared" si="4"/>
        <v>9.7673608489827646E-2</v>
      </c>
      <c r="N37" s="54">
        <f t="shared" si="5"/>
        <v>11864120</v>
      </c>
      <c r="O37" s="12">
        <v>24</v>
      </c>
      <c r="P37" s="13">
        <v>163066851</v>
      </c>
      <c r="Q37" s="13">
        <v>2547919.546875</v>
      </c>
      <c r="R37" s="13">
        <v>42178.46875</v>
      </c>
      <c r="S37" s="14">
        <v>28080744</v>
      </c>
      <c r="T37" s="14">
        <v>8907896</v>
      </c>
      <c r="U37" s="14">
        <v>2956224</v>
      </c>
      <c r="V37" s="14">
        <v>16216624</v>
      </c>
      <c r="W37" s="15">
        <v>76.234851562499998</v>
      </c>
      <c r="X37" s="15">
        <v>78.986576562500005</v>
      </c>
      <c r="Y37" s="15">
        <v>38.020762499999996</v>
      </c>
      <c r="Z37" s="15">
        <v>43.7403609375</v>
      </c>
      <c r="AA37" s="15">
        <v>46.521048437499999</v>
      </c>
      <c r="AB37" s="16">
        <v>12489.1</v>
      </c>
      <c r="AC37" s="16">
        <v>0</v>
      </c>
      <c r="AD37" s="16">
        <v>510.46100000000001</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22.10309625</v>
      </c>
      <c r="J38" s="21">
        <f t="shared" si="1"/>
        <v>0.28400672225873597</v>
      </c>
      <c r="K38" s="21">
        <f t="shared" si="2"/>
        <v>9.6782003701311486E-2</v>
      </c>
      <c r="L38" s="21">
        <f t="shared" si="3"/>
        <v>7.8976505739205907E-2</v>
      </c>
      <c r="M38" s="21">
        <f t="shared" si="4"/>
        <v>0.18722471855742451</v>
      </c>
      <c r="N38" s="18">
        <f t="shared" si="5"/>
        <v>16068592</v>
      </c>
      <c r="O38" s="21">
        <v>20</v>
      </c>
      <c r="P38" s="22">
        <v>167198468</v>
      </c>
      <c r="Q38" s="22">
        <v>2612476.0625</v>
      </c>
      <c r="R38" s="22">
        <v>47014.421875</v>
      </c>
      <c r="S38" s="23">
        <v>47153272</v>
      </c>
      <c r="T38" s="23">
        <v>13112368</v>
      </c>
      <c r="U38" s="23">
        <v>2956224</v>
      </c>
      <c r="V38" s="23">
        <v>31084680</v>
      </c>
      <c r="W38" s="24">
        <v>77.427510937500003</v>
      </c>
      <c r="X38" s="24">
        <v>80.210454687500004</v>
      </c>
      <c r="Y38" s="24">
        <v>39.781779687499998</v>
      </c>
      <c r="Z38" s="24">
        <v>44.509001562500004</v>
      </c>
      <c r="AA38" s="24">
        <v>47.852315625000003</v>
      </c>
      <c r="AB38" s="25">
        <v>13196.8</v>
      </c>
      <c r="AC38" s="25">
        <v>0</v>
      </c>
      <c r="AD38" s="25">
        <v>528.18100000000004</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40.557176249999998</v>
      </c>
      <c r="J39" s="30">
        <f t="shared" si="1"/>
        <v>0.5211265679953031</v>
      </c>
      <c r="K39" s="30">
        <f t="shared" si="2"/>
        <v>0.15550986787719459</v>
      </c>
      <c r="L39" s="30">
        <f t="shared" si="3"/>
        <v>0.1199210367931649</v>
      </c>
      <c r="M39" s="30">
        <f t="shared" si="4"/>
        <v>0.36561670011810848</v>
      </c>
      <c r="N39" s="27">
        <f t="shared" si="5"/>
        <v>25819104</v>
      </c>
      <c r="O39" s="30">
        <v>16</v>
      </c>
      <c r="P39" s="31">
        <v>163661760</v>
      </c>
      <c r="Q39" s="31">
        <v>2557215</v>
      </c>
      <c r="R39" s="31">
        <v>18597.78125</v>
      </c>
      <c r="S39" s="32">
        <v>86521976</v>
      </c>
      <c r="T39" s="32">
        <v>19910336</v>
      </c>
      <c r="U39" s="32">
        <v>5908768</v>
      </c>
      <c r="V39" s="32">
        <v>60702872</v>
      </c>
      <c r="W39" s="33">
        <v>78.299709375000006</v>
      </c>
      <c r="X39" s="33">
        <v>81.903595312500002</v>
      </c>
      <c r="Y39" s="33">
        <v>41.362353124999998</v>
      </c>
      <c r="Z39" s="33">
        <v>45.497612500000002</v>
      </c>
      <c r="AA39" s="33">
        <v>49.192414062499999</v>
      </c>
      <c r="AB39" s="34">
        <v>13830.8</v>
      </c>
      <c r="AC39" s="34">
        <v>0</v>
      </c>
      <c r="AD39" s="34">
        <v>541.24900000000002</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0.3967803425510904</v>
      </c>
      <c r="K40" s="48">
        <f>AVERAGE(K5:K24)</f>
        <v>0.12860419187282854</v>
      </c>
      <c r="L40" s="48">
        <f>AVERAGE(L5:L24)</f>
        <v>9.0562704955471571E-2</v>
      </c>
      <c r="M40" s="48">
        <f>AVERAGE(M5:M24)</f>
        <v>0.26817615067826184</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0.79443439171208263</v>
      </c>
      <c r="K41" s="48">
        <f>AVERAGE(K25:K29)</f>
        <v>0.12207357808488242</v>
      </c>
      <c r="L41" s="48">
        <f>AVERAGE(L25:L29)</f>
        <v>8.9565969110749669E-2</v>
      </c>
      <c r="M41" s="48">
        <f>AVERAGE(M25:M29)</f>
        <v>0.67236081362720035</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0.21704604140604572</v>
      </c>
      <c r="K42" s="48">
        <f>AVERAGE(K30:K39)</f>
        <v>8.0342834960665493E-2</v>
      </c>
      <c r="L42" s="48">
        <f>AVERAGE(L30:L39)</f>
        <v>6.0514368487361345E-2</v>
      </c>
      <c r="M42" s="48">
        <f>AVERAGE(M30:M39)</f>
        <v>0.13670320644538023</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0.40223540638979083</v>
      </c>
      <c r="K43" s="48">
        <f>AVERAGE(K5:K39)</f>
        <v>0.11388228792821821</v>
      </c>
      <c r="L43" s="48">
        <f>AVERAGE(L5:L39)</f>
        <v>8.1835075129622653E-2</v>
      </c>
      <c r="M43" s="48">
        <f>AVERAGE(M5:M39)</f>
        <v>0.28835311846157263</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707581.60000000021</v>
      </c>
      <c r="AC44" s="49">
        <f>SUM(AC5:AC24,AC25:AC29,AC30:AC39)</f>
        <v>0</v>
      </c>
      <c r="AD44" s="49">
        <f>SUM(AD5:AD24,AD25:AD29,AD30:AD39)</f>
        <v>24284.092000000004</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19514.56632654347</v>
      </c>
      <c r="AC46" s="49" t="e">
        <f>GEOMEAN(AC5:AC24,AC25:AC29,AC30:AC39)</f>
        <v>#NUM!</v>
      </c>
      <c r="AD46" s="49">
        <f>GEOMEAN(AD5:AD24,AD25:AD29,AD30:AD39)</f>
        <v>681.48962656013259</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F28" sqref="F28"/>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564</v>
      </c>
      <c r="B1" s="59"/>
      <c r="C1" s="59"/>
      <c r="D1" s="59"/>
      <c r="E1" s="59"/>
      <c r="F1" s="59"/>
      <c r="H1" s="58" t="str">
        <f>Summary!$C$1</f>
        <v>ALL_master+r140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0.16784023932262429</v>
      </c>
      <c r="I5" s="11">
        <f t="shared" ref="I5:I11" si="1">IF(OR(ISBLANK(Q5),ISBLANK(F5)),"·",Q5*F5/E5/1000000)</f>
        <v>215.8409552</v>
      </c>
      <c r="J5" s="12">
        <f t="shared" ref="J5:J11" si="2">IF(ISBLANK(Q5),"·",Q5/C5)</f>
        <v>9.0633729234217117</v>
      </c>
      <c r="K5" s="12">
        <f t="shared" ref="K5:K11" si="3">IF(N5="","·",N5/C5)</f>
        <v>1.3852295078450296</v>
      </c>
      <c r="L5" s="12">
        <f t="shared" ref="L5:L11" si="4">IF(R5="","·",R5/C5)</f>
        <v>1.2880002703883091</v>
      </c>
      <c r="M5" s="12">
        <f t="shared" ref="M5:M11" si="5">IF(ISBLANK(T5),"·",T5/C5)</f>
        <v>7.6781434155766819</v>
      </c>
      <c r="N5" s="54">
        <f t="shared" ref="N5:N11" si="6">IF(OR(ISBLANK(R5),ISBLANK(S5)),"",R5+S5)</f>
        <v>329887408</v>
      </c>
      <c r="O5" s="12">
        <v>-12</v>
      </c>
      <c r="P5" s="13">
        <v>238146391</v>
      </c>
      <c r="Q5" s="14">
        <v>2158409552</v>
      </c>
      <c r="R5" s="14">
        <v>306732616</v>
      </c>
      <c r="S5" s="14">
        <v>23154792</v>
      </c>
      <c r="T5" s="14">
        <v>1828522144</v>
      </c>
      <c r="U5" s="15" t="s">
        <v>571</v>
      </c>
      <c r="V5" s="15" t="s">
        <v>571</v>
      </c>
      <c r="W5" s="15" t="s">
        <v>571</v>
      </c>
      <c r="X5" s="15" t="s">
        <v>571</v>
      </c>
      <c r="Y5" s="15" t="s">
        <v>571</v>
      </c>
      <c r="Z5" s="16">
        <v>55117.9</v>
      </c>
      <c r="AA5" s="16">
        <v>0</v>
      </c>
      <c r="AB5" s="16">
        <v>609.52200000000005</v>
      </c>
      <c r="AC5" s="16">
        <v>0</v>
      </c>
      <c r="AE5" s="17">
        <f t="shared" ref="AE5:AE11" si="7">IF(ISBLANK(Q5),"·",Q5/(C5*(D5*3+IF(AND(ISNUMBER(T5),T5&gt;0),24,0))))</f>
        <v>0.16784023932262429</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0.23975314236100484</v>
      </c>
      <c r="I6" s="20">
        <f t="shared" si="1"/>
        <v>282.39436719999998</v>
      </c>
      <c r="J6" s="21">
        <f t="shared" si="2"/>
        <v>12.946669687494261</v>
      </c>
      <c r="K6" s="21">
        <f t="shared" si="3"/>
        <v>1.7122330524782177</v>
      </c>
      <c r="L6" s="21">
        <f t="shared" si="4"/>
        <v>1.550577343585821</v>
      </c>
      <c r="M6" s="21">
        <f t="shared" si="5"/>
        <v>11.234436635016044</v>
      </c>
      <c r="N6" s="18">
        <f t="shared" si="6"/>
        <v>373474400</v>
      </c>
      <c r="O6" s="21">
        <v>-12</v>
      </c>
      <c r="P6" s="22">
        <v>218121242</v>
      </c>
      <c r="Q6" s="23">
        <v>2823943672</v>
      </c>
      <c r="R6" s="23">
        <v>338213856</v>
      </c>
      <c r="S6" s="23">
        <v>35260544</v>
      </c>
      <c r="T6" s="23">
        <v>2450469272</v>
      </c>
      <c r="U6" s="24" t="s">
        <v>571</v>
      </c>
      <c r="V6" s="24" t="s">
        <v>571</v>
      </c>
      <c r="W6" s="24" t="s">
        <v>571</v>
      </c>
      <c r="X6" s="24" t="s">
        <v>571</v>
      </c>
      <c r="Y6" s="24" t="s">
        <v>571</v>
      </c>
      <c r="Z6" s="25">
        <v>55419.199999999997</v>
      </c>
      <c r="AA6" s="25">
        <v>0</v>
      </c>
      <c r="AB6" s="25">
        <v>583.68600000000004</v>
      </c>
      <c r="AC6" s="25">
        <v>0</v>
      </c>
      <c r="AE6" s="26">
        <f t="shared" si="7"/>
        <v>0.23975314236100484</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0.18715079360099823</v>
      </c>
      <c r="I7" s="11">
        <f t="shared" si="1"/>
        <v>326.01376319999997</v>
      </c>
      <c r="J7" s="12">
        <f t="shared" si="2"/>
        <v>10.106142854453903</v>
      </c>
      <c r="K7" s="12">
        <f t="shared" si="3"/>
        <v>1.5936133659120131</v>
      </c>
      <c r="L7" s="12">
        <f t="shared" si="4"/>
        <v>1.4738200571956257</v>
      </c>
      <c r="M7" s="12">
        <f t="shared" si="5"/>
        <v>8.5125294885418903</v>
      </c>
      <c r="N7" s="54">
        <f t="shared" si="6"/>
        <v>514083264</v>
      </c>
      <c r="O7" s="12">
        <v>-12</v>
      </c>
      <c r="P7" s="13">
        <v>322589704</v>
      </c>
      <c r="Q7" s="14">
        <v>3260137632</v>
      </c>
      <c r="R7" s="14">
        <v>475439176</v>
      </c>
      <c r="S7" s="14">
        <v>38644088</v>
      </c>
      <c r="T7" s="14">
        <v>2746054368</v>
      </c>
      <c r="U7" s="15" t="s">
        <v>571</v>
      </c>
      <c r="V7" s="15" t="s">
        <v>571</v>
      </c>
      <c r="W7" s="15" t="s">
        <v>571</v>
      </c>
      <c r="X7" s="15" t="s">
        <v>571</v>
      </c>
      <c r="Y7" s="15" t="s">
        <v>571</v>
      </c>
      <c r="Z7" s="16">
        <v>76110.2</v>
      </c>
      <c r="AA7" s="16">
        <v>0</v>
      </c>
      <c r="AB7" s="16">
        <v>802.39800000000002</v>
      </c>
      <c r="AC7" s="16">
        <v>0</v>
      </c>
      <c r="AE7" s="17">
        <f t="shared" si="7"/>
        <v>0.18715079360099823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0.16002608684989192</v>
      </c>
      <c r="I8" s="39">
        <f t="shared" si="1"/>
        <v>433.11239999999998</v>
      </c>
      <c r="J8" s="40">
        <f t="shared" si="2"/>
        <v>8.6414086898941633</v>
      </c>
      <c r="K8" s="40">
        <f t="shared" si="3"/>
        <v>1.1826109699588421</v>
      </c>
      <c r="L8" s="40">
        <f t="shared" si="4"/>
        <v>1.0399424163067617</v>
      </c>
      <c r="M8" s="40">
        <f t="shared" si="5"/>
        <v>7.4587977199353217</v>
      </c>
      <c r="N8" s="37">
        <f t="shared" si="6"/>
        <v>296365728</v>
      </c>
      <c r="O8" s="40">
        <v>-12</v>
      </c>
      <c r="P8" s="41">
        <v>250602891</v>
      </c>
      <c r="Q8" s="42">
        <v>2165562000</v>
      </c>
      <c r="R8" s="42">
        <v>260612576</v>
      </c>
      <c r="S8" s="42">
        <v>35753152</v>
      </c>
      <c r="T8" s="42">
        <v>1869196272</v>
      </c>
      <c r="U8" s="43" t="s">
        <v>571</v>
      </c>
      <c r="V8" s="43" t="s">
        <v>571</v>
      </c>
      <c r="W8" s="43" t="s">
        <v>571</v>
      </c>
      <c r="X8" s="43" t="s">
        <v>571</v>
      </c>
      <c r="Y8" s="43" t="s">
        <v>571</v>
      </c>
      <c r="Z8" s="44">
        <v>52786.400000000001</v>
      </c>
      <c r="AA8" s="44">
        <v>0</v>
      </c>
      <c r="AB8" s="44">
        <v>597.98599999999999</v>
      </c>
      <c r="AC8" s="44">
        <v>0</v>
      </c>
      <c r="AE8" s="46">
        <f t="shared" si="7"/>
        <v>0.16002608684989192</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0.27485071999710353</v>
      </c>
      <c r="I9" s="29">
        <f t="shared" si="1"/>
        <v>371.48568879999999</v>
      </c>
      <c r="J9" s="30">
        <f t="shared" si="2"/>
        <v>14.841938879843593</v>
      </c>
      <c r="K9" s="30">
        <f t="shared" si="3"/>
        <v>1.4734655662662326</v>
      </c>
      <c r="L9" s="30">
        <f t="shared" si="4"/>
        <v>1.3736768461092776</v>
      </c>
      <c r="M9" s="30">
        <f t="shared" si="5"/>
        <v>13.368473313577359</v>
      </c>
      <c r="N9" s="27">
        <f t="shared" si="6"/>
        <v>368800448</v>
      </c>
      <c r="O9" s="30">
        <v>-12</v>
      </c>
      <c r="P9" s="31">
        <v>250294582</v>
      </c>
      <c r="Q9" s="32">
        <v>3714856888</v>
      </c>
      <c r="R9" s="32">
        <v>343823872</v>
      </c>
      <c r="S9" s="32">
        <v>24976576</v>
      </c>
      <c r="T9" s="32">
        <v>3346056440</v>
      </c>
      <c r="U9" s="33" t="s">
        <v>571</v>
      </c>
      <c r="V9" s="33" t="s">
        <v>571</v>
      </c>
      <c r="W9" s="33" t="s">
        <v>571</v>
      </c>
      <c r="X9" s="33" t="s">
        <v>571</v>
      </c>
      <c r="Y9" s="33" t="s">
        <v>571</v>
      </c>
      <c r="Z9" s="34">
        <v>55011.8</v>
      </c>
      <c r="AA9" s="34">
        <v>0</v>
      </c>
      <c r="AB9" s="34">
        <v>625.71500000000003</v>
      </c>
      <c r="AC9" s="34">
        <v>0</v>
      </c>
      <c r="AE9" s="36">
        <f t="shared" si="7"/>
        <v>0.27485071999710353</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0.17204574314067886</v>
      </c>
      <c r="I10" s="20">
        <f t="shared" si="1"/>
        <v>859.18747499999995</v>
      </c>
      <c r="J10" s="21">
        <f t="shared" si="2"/>
        <v>9.8066073590186953</v>
      </c>
      <c r="K10" s="21">
        <f t="shared" si="3"/>
        <v>1.0911743628981598</v>
      </c>
      <c r="L10" s="21">
        <f t="shared" si="4"/>
        <v>1.0407721518979891</v>
      </c>
      <c r="M10" s="21">
        <f t="shared" si="5"/>
        <v>8.7154329961205352</v>
      </c>
      <c r="N10" s="18">
        <f t="shared" si="6"/>
        <v>203949208</v>
      </c>
      <c r="O10" s="21">
        <v>-12</v>
      </c>
      <c r="P10" s="22">
        <v>186907991</v>
      </c>
      <c r="Q10" s="23">
        <v>1832933280</v>
      </c>
      <c r="R10" s="23">
        <v>194528632</v>
      </c>
      <c r="S10" s="23">
        <v>9420576</v>
      </c>
      <c r="T10" s="23">
        <v>1628984072</v>
      </c>
      <c r="U10" s="24" t="s">
        <v>571</v>
      </c>
      <c r="V10" s="24" t="s">
        <v>571</v>
      </c>
      <c r="W10" s="24" t="s">
        <v>571</v>
      </c>
      <c r="X10" s="24" t="s">
        <v>571</v>
      </c>
      <c r="Y10" s="24" t="s">
        <v>571</v>
      </c>
      <c r="Z10" s="25">
        <v>39210.699999999997</v>
      </c>
      <c r="AA10" s="25">
        <v>0</v>
      </c>
      <c r="AB10" s="25">
        <v>478.35</v>
      </c>
      <c r="AC10" s="25">
        <v>0</v>
      </c>
      <c r="AE10" s="26">
        <f t="shared" si="7"/>
        <v>0.17204574314067886</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0.17459536845295917</v>
      </c>
      <c r="I11" s="29">
        <f t="shared" si="1"/>
        <v>774.51898874999995</v>
      </c>
      <c r="J11" s="30">
        <f t="shared" si="2"/>
        <v>9.9519360018186731</v>
      </c>
      <c r="K11" s="30">
        <f t="shared" si="3"/>
        <v>1.1549034306221651</v>
      </c>
      <c r="L11" s="30">
        <f t="shared" si="4"/>
        <v>1.0969990384434578</v>
      </c>
      <c r="M11" s="30">
        <f t="shared" si="5"/>
        <v>8.7970325711965085</v>
      </c>
      <c r="N11" s="27">
        <f t="shared" si="6"/>
        <v>191747136</v>
      </c>
      <c r="O11" s="30">
        <v>-12</v>
      </c>
      <c r="P11" s="31">
        <v>166028718</v>
      </c>
      <c r="Q11" s="32">
        <v>1652307176</v>
      </c>
      <c r="R11" s="32">
        <v>182133344</v>
      </c>
      <c r="S11" s="32">
        <v>9613792</v>
      </c>
      <c r="T11" s="32">
        <v>1460560040</v>
      </c>
      <c r="U11" s="33" t="s">
        <v>571</v>
      </c>
      <c r="V11" s="33" t="s">
        <v>571</v>
      </c>
      <c r="W11" s="33" t="s">
        <v>571</v>
      </c>
      <c r="X11" s="33" t="s">
        <v>571</v>
      </c>
      <c r="Y11" s="33" t="s">
        <v>571</v>
      </c>
      <c r="Z11" s="34">
        <v>35358.9</v>
      </c>
      <c r="AA11" s="34">
        <v>0</v>
      </c>
      <c r="AB11" s="34">
        <v>427.63299999999998</v>
      </c>
      <c r="AC11" s="34">
        <v>0</v>
      </c>
      <c r="AE11" s="36">
        <f t="shared" si="7"/>
        <v>0.17459536845295917</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10.189398538816011</v>
      </c>
      <c r="K12" s="48">
        <f>AVERAGE(K5:K8)</f>
        <v>1.4684217240485258</v>
      </c>
      <c r="L12" s="48">
        <f>AVERAGE(L5:L8)</f>
        <v>1.3380850218691294</v>
      </c>
      <c r="M12" s="48">
        <f>AVERAGE(M5:M8)</f>
        <v>8.720976814767484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14.841938879843593</v>
      </c>
      <c r="K13" s="48">
        <f>AVERAGE(K9:K9)</f>
        <v>1.4734655662662326</v>
      </c>
      <c r="L13" s="48">
        <f>AVERAGE(L9:L9)</f>
        <v>1.3736768461092776</v>
      </c>
      <c r="M13" s="48">
        <f>AVERAGE(M9:M9)</f>
        <v>13.368473313577359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9.8792716804186842</v>
      </c>
      <c r="K14" s="48">
        <f>AVERAGE(K10:K11)</f>
        <v>1.1230388967601623</v>
      </c>
      <c r="L14" s="48">
        <f>AVERAGE(L10:L11)</f>
        <v>1.0688855951707235</v>
      </c>
      <c r="M14" s="48">
        <f>AVERAGE(M10:M11)</f>
        <v>8.7562327836585219</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10.765439485135001</v>
      </c>
      <c r="K15" s="48">
        <f>AVERAGE(K5:K11)</f>
        <v>1.3704614651400944</v>
      </c>
      <c r="L15" s="48">
        <f>AVERAGE(L5:L11)</f>
        <v>1.2662554462753202</v>
      </c>
      <c r="M15" s="48">
        <f>AVERAGE(M5:M11)</f>
        <v>9.3949780199949053</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369015.10000000003</v>
      </c>
      <c r="AA16" s="49">
        <f>SUM(AA5:AA8,AA9:AA9,AA10:AA11)</f>
        <v>0</v>
      </c>
      <c r="AB16" s="49">
        <f>SUM(AB5:AB8,AB9:AB9,AB10:AB11)</f>
        <v>4125.29</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51307.686364362933</v>
      </c>
      <c r="AA18" s="49" t="e">
        <f>GEOMEAN(AA5:AA8,AA9:AA9,AA10:AA11)</f>
        <v>#NUM!</v>
      </c>
      <c r="AB18" s="49">
        <f>GEOMEAN(AB5:AB8,AB9:AB9,AB10:AB11)</f>
        <v>579.13202563899313</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C5" activePane="bottomRight" state="frozen"/>
      <selection pane="topRight" activeCell="C1" sqref="C1"/>
      <selection pane="bottomLeft" activeCell="A5" sqref="A5"/>
      <selection pane="bottomRight" activeCell="C10" sqref="C10:E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3" t="s">
        <v>572</v>
      </c>
      <c r="B1" s="59"/>
      <c r="C1" s="59"/>
      <c r="D1" s="59"/>
      <c r="E1" s="59"/>
      <c r="F1" s="59"/>
      <c r="H1" s="58" t="str">
        <f>Summary!$C$1</f>
        <v>ALL_master+r140</v>
      </c>
      <c r="I1" s="59"/>
      <c r="J1" s="59"/>
      <c r="K1" s="59"/>
      <c r="L1" s="59"/>
      <c r="M1" s="59"/>
      <c r="N1" s="59"/>
      <c r="O1" s="59"/>
      <c r="P1" s="59"/>
      <c r="Q1" s="59"/>
      <c r="R1" s="59"/>
      <c r="S1" s="59"/>
      <c r="T1" s="59"/>
      <c r="U1" s="59"/>
      <c r="V1" s="59"/>
      <c r="W1" s="59"/>
      <c r="X1" s="59"/>
      <c r="Y1" s="59"/>
      <c r="Z1" s="59"/>
      <c r="AA1" s="59"/>
      <c r="AB1" s="59"/>
      <c r="AC1" s="59"/>
      <c r="AE1" s="60">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69" t="s">
        <v>137</v>
      </c>
      <c r="B2" s="70" t="s">
        <v>138</v>
      </c>
      <c r="C2" s="69" t="s">
        <v>140</v>
      </c>
      <c r="D2" s="70" t="s">
        <v>141</v>
      </c>
      <c r="E2" s="69" t="s">
        <v>142</v>
      </c>
      <c r="F2" s="70" t="s">
        <v>143</v>
      </c>
      <c r="H2" s="69" t="s">
        <v>565</v>
      </c>
      <c r="I2" s="70" t="s">
        <v>144</v>
      </c>
      <c r="J2" s="71" t="s">
        <v>145</v>
      </c>
      <c r="K2" s="59"/>
      <c r="L2" s="59"/>
      <c r="M2" s="59"/>
      <c r="N2" s="69" t="s">
        <v>146</v>
      </c>
      <c r="O2" s="70" t="s">
        <v>147</v>
      </c>
      <c r="P2" s="69" t="s">
        <v>84</v>
      </c>
      <c r="Q2" s="72" t="s">
        <v>148</v>
      </c>
      <c r="R2" s="59"/>
      <c r="S2" s="59"/>
      <c r="T2" s="59"/>
      <c r="U2" s="71" t="s">
        <v>149</v>
      </c>
      <c r="V2" s="59"/>
      <c r="W2" s="72" t="s">
        <v>150</v>
      </c>
      <c r="X2" s="59"/>
      <c r="Y2" s="59"/>
      <c r="Z2" s="71" t="s">
        <v>151</v>
      </c>
      <c r="AA2" s="59"/>
      <c r="AB2" s="72" t="s">
        <v>152</v>
      </c>
      <c r="AC2" s="59"/>
      <c r="AE2" s="69" t="s">
        <v>565</v>
      </c>
      <c r="AF2" s="70" t="s">
        <v>144</v>
      </c>
      <c r="AG2" s="71" t="s">
        <v>145</v>
      </c>
      <c r="AH2" s="59"/>
      <c r="AI2" s="59"/>
      <c r="AJ2" s="59"/>
      <c r="AK2" s="69" t="s">
        <v>153</v>
      </c>
      <c r="AL2" s="70" t="s">
        <v>147</v>
      </c>
      <c r="AM2" s="69" t="s">
        <v>84</v>
      </c>
      <c r="AN2" s="72" t="s">
        <v>148</v>
      </c>
      <c r="AO2" s="59"/>
      <c r="AP2" s="59"/>
      <c r="AQ2" s="59"/>
      <c r="AR2" s="71" t="s">
        <v>149</v>
      </c>
      <c r="AS2" s="59"/>
      <c r="AT2" s="72" t="s">
        <v>150</v>
      </c>
      <c r="AU2" s="59"/>
      <c r="AV2" s="59"/>
      <c r="AW2" s="71" t="s">
        <v>151</v>
      </c>
      <c r="AX2" s="59"/>
      <c r="AY2" s="72" t="s">
        <v>152</v>
      </c>
      <c r="AZ2" s="59"/>
      <c r="BB2" s="71" t="s">
        <v>22</v>
      </c>
      <c r="BC2" s="59"/>
      <c r="BD2" s="59"/>
      <c r="BE2" s="59"/>
      <c r="BF2" s="70" t="s">
        <v>156</v>
      </c>
      <c r="BG2" s="69" t="s">
        <v>156</v>
      </c>
    </row>
    <row r="3" spans="1:59" ht="28.9" customHeight="1" x14ac:dyDescent="0.25">
      <c r="A3" s="62"/>
      <c r="B3" s="62"/>
      <c r="C3" s="62"/>
      <c r="D3" s="62"/>
      <c r="E3" s="62"/>
      <c r="F3" s="62"/>
      <c r="H3" s="62"/>
      <c r="I3" s="62"/>
      <c r="J3" s="56" t="s">
        <v>25</v>
      </c>
      <c r="K3" s="56" t="s">
        <v>23</v>
      </c>
      <c r="L3" s="56" t="s">
        <v>157</v>
      </c>
      <c r="M3" s="56" t="s">
        <v>158</v>
      </c>
      <c r="N3" s="62"/>
      <c r="O3" s="62"/>
      <c r="P3" s="62"/>
      <c r="Q3" s="57" t="s">
        <v>25</v>
      </c>
      <c r="R3" s="57" t="s">
        <v>157</v>
      </c>
      <c r="S3" s="57" t="s">
        <v>159</v>
      </c>
      <c r="T3" s="57" t="s">
        <v>24</v>
      </c>
      <c r="U3" s="56" t="s">
        <v>9</v>
      </c>
      <c r="V3" s="56" t="s">
        <v>10</v>
      </c>
      <c r="W3" s="57" t="s">
        <v>11</v>
      </c>
      <c r="X3" s="57" t="s">
        <v>12</v>
      </c>
      <c r="Y3" s="57" t="s">
        <v>13</v>
      </c>
      <c r="Z3" s="56" t="s">
        <v>160</v>
      </c>
      <c r="AA3" s="56" t="s">
        <v>161</v>
      </c>
      <c r="AB3" s="57" t="s">
        <v>160</v>
      </c>
      <c r="AC3" s="57" t="s">
        <v>161</v>
      </c>
      <c r="AE3" s="62"/>
      <c r="AF3" s="62"/>
      <c r="AG3" s="56" t="s">
        <v>25</v>
      </c>
      <c r="AH3" s="56" t="s">
        <v>23</v>
      </c>
      <c r="AI3" s="56" t="s">
        <v>157</v>
      </c>
      <c r="AJ3" s="56" t="s">
        <v>158</v>
      </c>
      <c r="AK3" s="62"/>
      <c r="AL3" s="62"/>
      <c r="AM3" s="62"/>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2"/>
      <c r="BG3" s="62"/>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300</v>
      </c>
      <c r="F5" s="10">
        <v>30</v>
      </c>
      <c r="H5" s="17">
        <f t="shared" ref="H5:H11" si="0">IF(ISBLANK(Q5),"·",Q5/(C5*(D5*3+IF(AND(ISNUMBER(T5),T5&gt;0),24,0))))</f>
        <v>0.16627004857696961</v>
      </c>
      <c r="I5" s="11">
        <f t="shared" ref="I5:I11" si="1">IF(OR(ISBLANK(Q5),ISBLANK(F5)),"·",Q5*F5/E5/1000000)</f>
        <v>213.82170480000002</v>
      </c>
      <c r="J5" s="12">
        <f t="shared" ref="J5:J11" si="2">IF(ISBLANK(Q5),"·",Q5/C5)</f>
        <v>8.9785826231563597</v>
      </c>
      <c r="K5" s="12">
        <f t="shared" ref="K5:K11" si="3">IF(N5="","·",N5/C5)</f>
        <v>1.3594501711344431</v>
      </c>
      <c r="L5" s="12">
        <f t="shared" ref="L5:L11" si="4">IF(R5="","·",R5/C5)</f>
        <v>1.2616961136312159</v>
      </c>
      <c r="M5" s="12">
        <f t="shared" ref="M5:M11" si="5">IF(ISBLANK(T5),"·",T5/C5)</f>
        <v>7.6191324520219164</v>
      </c>
      <c r="N5" s="54">
        <f t="shared" ref="N5:N11" si="6">IF(OR(ISBLANK(R5),ISBLANK(S5)),"",R5+S5)</f>
        <v>323748152</v>
      </c>
      <c r="O5" s="12">
        <v>-12</v>
      </c>
      <c r="P5" s="13">
        <v>238146391</v>
      </c>
      <c r="Q5" s="14">
        <v>2138217048</v>
      </c>
      <c r="R5" s="14">
        <v>300468376</v>
      </c>
      <c r="S5" s="14">
        <v>23279776</v>
      </c>
      <c r="T5" s="14">
        <v>1814468896</v>
      </c>
      <c r="U5" s="15" t="s">
        <v>571</v>
      </c>
      <c r="V5" s="15" t="s">
        <v>571</v>
      </c>
      <c r="W5" s="15" t="s">
        <v>571</v>
      </c>
      <c r="X5" s="15" t="s">
        <v>571</v>
      </c>
      <c r="Y5" s="15" t="s">
        <v>571</v>
      </c>
      <c r="Z5" s="16">
        <v>77852.7</v>
      </c>
      <c r="AA5" s="16">
        <v>0</v>
      </c>
      <c r="AB5" s="16">
        <v>581.23900000000003</v>
      </c>
      <c r="AC5" s="16">
        <v>0</v>
      </c>
      <c r="AE5" s="17">
        <f t="shared" ref="AE5:AE11" si="7">IF(ISBLANK(Q5),"·",Q5/(C5*(D5*3+IF(AND(ISNUMBER(T5),T5&gt;0),24,0))))</f>
        <v>0.16627004857696961</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-12</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300</v>
      </c>
      <c r="F6" s="19">
        <v>30</v>
      </c>
      <c r="H6" s="26">
        <f t="shared" si="0"/>
        <v>0.23819979355708426</v>
      </c>
      <c r="I6" s="20">
        <f t="shared" si="1"/>
        <v>280.56474800000001</v>
      </c>
      <c r="J6" s="21">
        <f t="shared" si="2"/>
        <v>12.86278885208255</v>
      </c>
      <c r="K6" s="21">
        <f t="shared" si="3"/>
        <v>1.7071535288617143</v>
      </c>
      <c r="L6" s="21">
        <f t="shared" si="4"/>
        <v>1.5406054583166182</v>
      </c>
      <c r="M6" s="21">
        <f t="shared" si="5"/>
        <v>11.155635323220835</v>
      </c>
      <c r="N6" s="18">
        <f t="shared" si="6"/>
        <v>372366448</v>
      </c>
      <c r="O6" s="21">
        <v>-12</v>
      </c>
      <c r="P6" s="22">
        <v>218121242</v>
      </c>
      <c r="Q6" s="23">
        <v>2805647480</v>
      </c>
      <c r="R6" s="23">
        <v>336038776</v>
      </c>
      <c r="S6" s="23">
        <v>36327672</v>
      </c>
      <c r="T6" s="23">
        <v>2433281032</v>
      </c>
      <c r="U6" s="24" t="s">
        <v>571</v>
      </c>
      <c r="V6" s="24" t="s">
        <v>571</v>
      </c>
      <c r="W6" s="24" t="s">
        <v>571</v>
      </c>
      <c r="X6" s="24" t="s">
        <v>571</v>
      </c>
      <c r="Y6" s="24" t="s">
        <v>571</v>
      </c>
      <c r="Z6" s="25">
        <v>89944.2</v>
      </c>
      <c r="AA6" s="25">
        <v>0</v>
      </c>
      <c r="AB6" s="25">
        <v>591.61099999999999</v>
      </c>
      <c r="AC6" s="25">
        <v>0</v>
      </c>
      <c r="AE6" s="26">
        <f t="shared" si="7"/>
        <v>0.23819979355708426</v>
      </c>
      <c r="AF6" s="20" t="str">
        <f t="shared" si="8"/>
        <v>·</v>
      </c>
      <c r="AG6" s="21" t="str">
        <f t="shared" si="9"/>
        <v>·</v>
      </c>
      <c r="AH6" s="21" t="str">
        <f t="shared" si="10"/>
        <v>·</v>
      </c>
      <c r="AI6" s="21" t="str">
        <f t="shared" si="11"/>
        <v>·</v>
      </c>
      <c r="AJ6" s="21" t="str">
        <f t="shared" si="12"/>
        <v>·</v>
      </c>
      <c r="AK6" s="18" t="str">
        <f t="shared" si="13"/>
        <v/>
      </c>
      <c r="AL6" s="21">
        <v>-12</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300</v>
      </c>
      <c r="F7" s="10">
        <v>30</v>
      </c>
      <c r="H7" s="17">
        <f t="shared" si="0"/>
        <v>0.18276603286893633</v>
      </c>
      <c r="I7" s="11">
        <f t="shared" si="1"/>
        <v>318.37557839999999</v>
      </c>
      <c r="J7" s="12">
        <f t="shared" si="2"/>
        <v>9.8693657749225618</v>
      </c>
      <c r="K7" s="12">
        <f t="shared" si="3"/>
        <v>1.4787282609614845</v>
      </c>
      <c r="L7" s="12">
        <f t="shared" si="4"/>
        <v>1.3633599415807764</v>
      </c>
      <c r="M7" s="12">
        <f t="shared" si="5"/>
        <v>8.390637513961078</v>
      </c>
      <c r="N7" s="54">
        <f t="shared" si="6"/>
        <v>477022512</v>
      </c>
      <c r="O7" s="12">
        <v>-12</v>
      </c>
      <c r="P7" s="13">
        <v>322589704</v>
      </c>
      <c r="Q7" s="14">
        <v>3183755784</v>
      </c>
      <c r="R7" s="14">
        <v>439805880</v>
      </c>
      <c r="S7" s="14">
        <v>37216632</v>
      </c>
      <c r="T7" s="14">
        <v>2706733272</v>
      </c>
      <c r="U7" s="15" t="s">
        <v>571</v>
      </c>
      <c r="V7" s="15" t="s">
        <v>571</v>
      </c>
      <c r="W7" s="15" t="s">
        <v>571</v>
      </c>
      <c r="X7" s="15" t="s">
        <v>571</v>
      </c>
      <c r="Y7" s="15" t="s">
        <v>571</v>
      </c>
      <c r="Z7" s="16">
        <v>96544.2</v>
      </c>
      <c r="AA7" s="16">
        <v>0</v>
      </c>
      <c r="AB7" s="16">
        <v>870.73299999999995</v>
      </c>
      <c r="AC7" s="16">
        <v>0</v>
      </c>
      <c r="AE7" s="17">
        <f t="shared" si="7"/>
        <v>0.18276603286893633</v>
      </c>
      <c r="AF7" s="11" t="str">
        <f t="shared" si="8"/>
        <v>·</v>
      </c>
      <c r="AG7" s="12" t="str">
        <f t="shared" si="9"/>
        <v>·</v>
      </c>
      <c r="AH7" s="12" t="str">
        <f t="shared" si="10"/>
        <v>·</v>
      </c>
      <c r="AI7" s="12" t="str">
        <f t="shared" si="11"/>
        <v>·</v>
      </c>
      <c r="AJ7" s="12" t="str">
        <f t="shared" si="12"/>
        <v>·</v>
      </c>
      <c r="AK7" s="54" t="str">
        <f t="shared" si="13"/>
        <v/>
      </c>
      <c r="AL7" s="12">
        <v>-12</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250</v>
      </c>
      <c r="F8" s="38">
        <v>50</v>
      </c>
      <c r="H8" s="46">
        <f t="shared" si="0"/>
        <v>0.15142352876557227</v>
      </c>
      <c r="I8" s="39">
        <f t="shared" si="1"/>
        <v>409.82947999999999</v>
      </c>
      <c r="J8" s="40">
        <f t="shared" si="2"/>
        <v>8.176870553340903</v>
      </c>
      <c r="K8" s="40">
        <f t="shared" si="3"/>
        <v>0.93645687431435098</v>
      </c>
      <c r="L8" s="40">
        <f t="shared" si="4"/>
        <v>0.8219426008138111</v>
      </c>
      <c r="M8" s="40">
        <f t="shared" si="5"/>
        <v>7.2404136790265516</v>
      </c>
      <c r="N8" s="37">
        <f t="shared" si="6"/>
        <v>234678800</v>
      </c>
      <c r="O8" s="40">
        <v>-12</v>
      </c>
      <c r="P8" s="41">
        <v>250602891</v>
      </c>
      <c r="Q8" s="42">
        <v>2049147400</v>
      </c>
      <c r="R8" s="42">
        <v>205981192</v>
      </c>
      <c r="S8" s="42">
        <v>28697608</v>
      </c>
      <c r="T8" s="42">
        <v>1814468600</v>
      </c>
      <c r="U8" s="43" t="s">
        <v>571</v>
      </c>
      <c r="V8" s="43" t="s">
        <v>571</v>
      </c>
      <c r="W8" s="43" t="s">
        <v>571</v>
      </c>
      <c r="X8" s="43" t="s">
        <v>571</v>
      </c>
      <c r="Y8" s="43" t="s">
        <v>571</v>
      </c>
      <c r="Z8" s="44">
        <v>66995.199999999997</v>
      </c>
      <c r="AA8" s="44">
        <v>0</v>
      </c>
      <c r="AB8" s="44">
        <v>648.06600000000003</v>
      </c>
      <c r="AC8" s="44">
        <v>0</v>
      </c>
      <c r="AE8" s="46">
        <f t="shared" si="7"/>
        <v>0.15142352876557227</v>
      </c>
      <c r="AF8" s="39" t="str">
        <f t="shared" si="8"/>
        <v>·</v>
      </c>
      <c r="AG8" s="40" t="str">
        <f t="shared" si="9"/>
        <v>·</v>
      </c>
      <c r="AH8" s="40" t="str">
        <f t="shared" si="10"/>
        <v>·</v>
      </c>
      <c r="AI8" s="40" t="str">
        <f t="shared" si="11"/>
        <v>·</v>
      </c>
      <c r="AJ8" s="40" t="str">
        <f t="shared" si="12"/>
        <v>·</v>
      </c>
      <c r="AK8" s="37" t="str">
        <f t="shared" si="13"/>
        <v/>
      </c>
      <c r="AL8" s="40">
        <v>-12</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300</v>
      </c>
      <c r="F9" s="28">
        <v>30</v>
      </c>
      <c r="H9" s="36">
        <f t="shared" si="0"/>
        <v>0.27298912630581534</v>
      </c>
      <c r="I9" s="29">
        <f t="shared" si="1"/>
        <v>368.96957600000002</v>
      </c>
      <c r="J9" s="30">
        <f t="shared" si="2"/>
        <v>14.741412820514029</v>
      </c>
      <c r="K9" s="30">
        <f t="shared" si="3"/>
        <v>1.4641721329788913</v>
      </c>
      <c r="L9" s="30">
        <f t="shared" si="4"/>
        <v>1.3624459837488612</v>
      </c>
      <c r="M9" s="30">
        <f t="shared" si="5"/>
        <v>13.277240687535139</v>
      </c>
      <c r="N9" s="27">
        <f t="shared" si="6"/>
        <v>366474352</v>
      </c>
      <c r="O9" s="30">
        <v>-12</v>
      </c>
      <c r="P9" s="31">
        <v>250294582</v>
      </c>
      <c r="Q9" s="32">
        <v>3689695760</v>
      </c>
      <c r="R9" s="32">
        <v>341012848</v>
      </c>
      <c r="S9" s="32">
        <v>25461504</v>
      </c>
      <c r="T9" s="32">
        <v>3323221408</v>
      </c>
      <c r="U9" s="33" t="s">
        <v>571</v>
      </c>
      <c r="V9" s="33" t="s">
        <v>571</v>
      </c>
      <c r="W9" s="33" t="s">
        <v>571</v>
      </c>
      <c r="X9" s="33" t="s">
        <v>571</v>
      </c>
      <c r="Y9" s="33" t="s">
        <v>571</v>
      </c>
      <c r="Z9" s="34">
        <v>87421.3</v>
      </c>
      <c r="AA9" s="34">
        <v>0</v>
      </c>
      <c r="AB9" s="34">
        <v>638.27099999999996</v>
      </c>
      <c r="AC9" s="34">
        <v>0</v>
      </c>
      <c r="AE9" s="36">
        <f t="shared" si="7"/>
        <v>0.27298912630581534</v>
      </c>
      <c r="AF9" s="29" t="str">
        <f t="shared" si="8"/>
        <v>·</v>
      </c>
      <c r="AG9" s="30" t="str">
        <f t="shared" si="9"/>
        <v>·</v>
      </c>
      <c r="AH9" s="30" t="str">
        <f t="shared" si="10"/>
        <v>·</v>
      </c>
      <c r="AI9" s="30" t="str">
        <f t="shared" si="11"/>
        <v>·</v>
      </c>
      <c r="AJ9" s="30" t="str">
        <f t="shared" si="12"/>
        <v>·</v>
      </c>
      <c r="AK9" s="27" t="str">
        <f t="shared" si="13"/>
        <v/>
      </c>
      <c r="AL9" s="30">
        <v>-12</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186907991</v>
      </c>
      <c r="D10" s="19">
        <v>11</v>
      </c>
      <c r="E10" s="19">
        <v>64</v>
      </c>
      <c r="F10" s="19">
        <v>30</v>
      </c>
      <c r="H10" s="26">
        <f t="shared" si="0"/>
        <v>0.17195384540553799</v>
      </c>
      <c r="I10" s="20">
        <f t="shared" si="1"/>
        <v>858.7285425</v>
      </c>
      <c r="J10" s="21">
        <f t="shared" si="2"/>
        <v>9.8013691881156646</v>
      </c>
      <c r="K10" s="21">
        <f t="shared" si="3"/>
        <v>1.0874269361763136</v>
      </c>
      <c r="L10" s="21">
        <f t="shared" si="4"/>
        <v>1.0354871130148737</v>
      </c>
      <c r="M10" s="21">
        <f t="shared" si="5"/>
        <v>8.7139422519393506</v>
      </c>
      <c r="N10" s="18">
        <f t="shared" si="6"/>
        <v>203248784</v>
      </c>
      <c r="O10" s="21">
        <v>-12</v>
      </c>
      <c r="P10" s="22">
        <v>186907991</v>
      </c>
      <c r="Q10" s="23">
        <v>1831954224</v>
      </c>
      <c r="R10" s="23">
        <v>193540816</v>
      </c>
      <c r="S10" s="23">
        <v>9707968</v>
      </c>
      <c r="T10" s="23">
        <v>1628705440</v>
      </c>
      <c r="U10" s="24" t="s">
        <v>571</v>
      </c>
      <c r="V10" s="24" t="s">
        <v>571</v>
      </c>
      <c r="W10" s="24" t="s">
        <v>571</v>
      </c>
      <c r="X10" s="24" t="s">
        <v>571</v>
      </c>
      <c r="Y10" s="24" t="s">
        <v>571</v>
      </c>
      <c r="Z10" s="25">
        <v>69409.3</v>
      </c>
      <c r="AA10" s="25">
        <v>0</v>
      </c>
      <c r="AB10" s="25">
        <v>486.61099999999999</v>
      </c>
      <c r="AC10" s="25">
        <v>0</v>
      </c>
      <c r="AE10" s="26">
        <f t="shared" si="7"/>
        <v>0.17195384540553799</v>
      </c>
      <c r="AF10" s="20" t="str">
        <f t="shared" si="8"/>
        <v>·</v>
      </c>
      <c r="AG10" s="21" t="str">
        <f t="shared" si="9"/>
        <v>·</v>
      </c>
      <c r="AH10" s="21" t="str">
        <f t="shared" si="10"/>
        <v>·</v>
      </c>
      <c r="AI10" s="21" t="str">
        <f t="shared" si="11"/>
        <v>·</v>
      </c>
      <c r="AJ10" s="21" t="str">
        <f t="shared" si="12"/>
        <v>·</v>
      </c>
      <c r="AK10" s="18" t="str">
        <f t="shared" si="13"/>
        <v/>
      </c>
      <c r="AL10" s="21">
        <v>-12</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166028718</v>
      </c>
      <c r="D11" s="28">
        <v>11</v>
      </c>
      <c r="E11" s="28">
        <v>64</v>
      </c>
      <c r="F11" s="28">
        <v>30</v>
      </c>
      <c r="H11" s="36">
        <f t="shared" si="0"/>
        <v>0.17455890044359887</v>
      </c>
      <c r="I11" s="29">
        <f t="shared" si="1"/>
        <v>774.35721375000003</v>
      </c>
      <c r="J11" s="30">
        <f t="shared" si="2"/>
        <v>9.9498573252851354</v>
      </c>
      <c r="K11" s="30">
        <f t="shared" si="3"/>
        <v>1.1551801056489517</v>
      </c>
      <c r="L11" s="30">
        <f t="shared" si="4"/>
        <v>1.0954151678747528</v>
      </c>
      <c r="M11" s="30">
        <f t="shared" si="5"/>
        <v>8.7946772196361831</v>
      </c>
      <c r="N11" s="27">
        <f t="shared" si="6"/>
        <v>191793072</v>
      </c>
      <c r="O11" s="30">
        <v>-12</v>
      </c>
      <c r="P11" s="31">
        <v>166028718</v>
      </c>
      <c r="Q11" s="32">
        <v>1651962056</v>
      </c>
      <c r="R11" s="32">
        <v>181870376</v>
      </c>
      <c r="S11" s="32">
        <v>9922696</v>
      </c>
      <c r="T11" s="32">
        <v>1460168984</v>
      </c>
      <c r="U11" s="33" t="s">
        <v>571</v>
      </c>
      <c r="V11" s="33" t="s">
        <v>571</v>
      </c>
      <c r="W11" s="33" t="s">
        <v>571</v>
      </c>
      <c r="X11" s="33" t="s">
        <v>571</v>
      </c>
      <c r="Y11" s="33" t="s">
        <v>571</v>
      </c>
      <c r="Z11" s="34">
        <v>64118.9</v>
      </c>
      <c r="AA11" s="34">
        <v>0</v>
      </c>
      <c r="AB11" s="34">
        <v>411.31099999999998</v>
      </c>
      <c r="AC11" s="34">
        <v>0</v>
      </c>
      <c r="AE11" s="36">
        <f t="shared" si="7"/>
        <v>0.17455890044359887</v>
      </c>
      <c r="AF11" s="29" t="str">
        <f t="shared" si="8"/>
        <v>·</v>
      </c>
      <c r="AG11" s="30" t="str">
        <f t="shared" si="9"/>
        <v>·</v>
      </c>
      <c r="AH11" s="30" t="str">
        <f t="shared" si="10"/>
        <v>·</v>
      </c>
      <c r="AI11" s="30" t="str">
        <f t="shared" si="11"/>
        <v>·</v>
      </c>
      <c r="AJ11" s="30" t="str">
        <f t="shared" si="12"/>
        <v>·</v>
      </c>
      <c r="AK11" s="27" t="str">
        <f t="shared" si="13"/>
        <v/>
      </c>
      <c r="AL11" s="30">
        <v>-12</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9.9719019508755942</v>
      </c>
      <c r="K12" s="48">
        <f>AVERAGE(K5:K8)</f>
        <v>1.3704472088179984</v>
      </c>
      <c r="L12" s="48">
        <f>AVERAGE(L5:L8)</f>
        <v>1.2469010285856053</v>
      </c>
      <c r="M12" s="48">
        <f>AVERAGE(M5:M8)</f>
        <v>8.6014547420575944</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14.741412820514029</v>
      </c>
      <c r="K13" s="48">
        <f>AVERAGE(K9:K9)</f>
        <v>1.4641721329788913</v>
      </c>
      <c r="L13" s="48">
        <f>AVERAGE(L9:L9)</f>
        <v>1.3624459837488612</v>
      </c>
      <c r="M13" s="48">
        <f>AVERAGE(M9:M9)</f>
        <v>13.277240687535139</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9.8756132567004009</v>
      </c>
      <c r="K14" s="48">
        <f>AVERAGE(K10:K11)</f>
        <v>1.1213035209126327</v>
      </c>
      <c r="L14" s="48">
        <f>AVERAGE(L10:L11)</f>
        <v>1.0654511404448133</v>
      </c>
      <c r="M14" s="48">
        <f>AVERAGE(M10:M11)</f>
        <v>8.7543097357877677</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10.6257495910596</v>
      </c>
      <c r="K15" s="48">
        <f>AVERAGE(K5:K11)</f>
        <v>1.3126525728680216</v>
      </c>
      <c r="L15" s="48">
        <f>AVERAGE(L5:L11)</f>
        <v>1.2115646255687014</v>
      </c>
      <c r="M15" s="48">
        <f>AVERAGE(M5:M11)</f>
        <v>9.3130970181915789</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552285.79999999993</v>
      </c>
      <c r="AA16" s="49">
        <f>SUM(AA5:AA8,AA9:AA9,AA10:AA11)</f>
        <v>0</v>
      </c>
      <c r="AB16" s="49">
        <f>SUM(AB5:AB8,AB9:AB9,AB10:AB11)</f>
        <v>4227.8419999999996</v>
      </c>
      <c r="AC16" s="49">
        <f>SUM(AC5:AC8,AC9:AC9,AC10:AC11)</f>
        <v>0</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t="e">
        <f>AX16/AA16</f>
        <v>#DIV/0!</v>
      </c>
      <c r="AY17" s="55">
        <f>AY16/AB16</f>
        <v>0</v>
      </c>
      <c r="AZ17" s="55" t="e">
        <f>AZ16/AC16</f>
        <v>#DIV/0!</v>
      </c>
    </row>
    <row r="18" spans="2:52" hidden="1" outlineLevel="2" x14ac:dyDescent="0.25">
      <c r="B18" s="47" t="s">
        <v>240</v>
      </c>
      <c r="Z18" s="49">
        <f>GEOMEAN(Z5:Z8,Z9:Z9,Z10:Z11)</f>
        <v>78035.299388245185</v>
      </c>
      <c r="AA18" s="49" t="e">
        <f>GEOMEAN(AA5:AA8,AA9:AA9,AA10:AA11)</f>
        <v>#NUM!</v>
      </c>
      <c r="AB18" s="49">
        <f>GEOMEAN(AB5:AB8,AB9:AB9,AB10:AB11)</f>
        <v>589.66793528172468</v>
      </c>
      <c r="AC18" s="49" t="e">
        <f>GEOMEAN(AC5:AC8,AC9:AC9,AC10:AC11)</f>
        <v>#NUM!</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tabSelected="1" zoomScale="55" zoomScaleNormal="55" workbookViewId="0">
      <pane xSplit="2" ySplit="4" topLeftCell="C5" activePane="bottomRight" state="frozen"/>
      <selection pane="topRight" activeCell="C1" sqref="C1"/>
      <selection pane="bottomLeft" activeCell="A5" sqref="A5"/>
      <selection pane="bottomRight" activeCell="Q52" sqref="Q52"/>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3" t="s">
        <v>573</v>
      </c>
      <c r="B1" s="59"/>
      <c r="C1" s="59"/>
      <c r="D1" s="59"/>
      <c r="E1" s="59"/>
      <c r="F1" s="59"/>
      <c r="G1" s="59"/>
      <c r="I1" s="58" t="str">
        <f>Summary!$C$1</f>
        <v>ALL_master+r140</v>
      </c>
      <c r="J1" s="59"/>
      <c r="K1" s="59"/>
      <c r="L1" s="59"/>
      <c r="M1" s="59"/>
      <c r="N1" s="59"/>
      <c r="O1" s="59"/>
      <c r="P1" s="59"/>
      <c r="Q1" s="59"/>
      <c r="R1" s="59"/>
      <c r="S1" s="59"/>
      <c r="T1" s="59"/>
      <c r="U1" s="59"/>
      <c r="V1" s="59"/>
      <c r="W1" s="59"/>
      <c r="X1" s="59"/>
      <c r="Y1" s="59"/>
      <c r="Z1" s="59"/>
      <c r="AA1" s="59"/>
      <c r="AB1" s="59"/>
      <c r="AC1" s="59"/>
      <c r="AD1" s="59"/>
      <c r="AE1" s="59"/>
      <c r="AG1" s="60">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69" t="s">
        <v>137</v>
      </c>
      <c r="B2" s="70" t="s">
        <v>138</v>
      </c>
      <c r="C2" s="69" t="s">
        <v>139</v>
      </c>
      <c r="D2" s="70" t="s">
        <v>140</v>
      </c>
      <c r="E2" s="69" t="s">
        <v>141</v>
      </c>
      <c r="F2" s="70" t="s">
        <v>142</v>
      </c>
      <c r="G2" s="69" t="s">
        <v>143</v>
      </c>
      <c r="I2" s="70" t="s">
        <v>144</v>
      </c>
      <c r="J2" s="71" t="s">
        <v>145</v>
      </c>
      <c r="K2" s="59"/>
      <c r="L2" s="59"/>
      <c r="M2" s="59"/>
      <c r="N2" s="69" t="s">
        <v>146</v>
      </c>
      <c r="O2" s="70" t="s">
        <v>147</v>
      </c>
      <c r="P2" s="69" t="s">
        <v>84</v>
      </c>
      <c r="Q2" s="70" t="s">
        <v>86</v>
      </c>
      <c r="R2" s="69" t="s">
        <v>82</v>
      </c>
      <c r="S2" s="72" t="s">
        <v>148</v>
      </c>
      <c r="T2" s="59"/>
      <c r="U2" s="59"/>
      <c r="V2" s="59"/>
      <c r="W2" s="71" t="s">
        <v>149</v>
      </c>
      <c r="X2" s="59"/>
      <c r="Y2" s="72" t="s">
        <v>150</v>
      </c>
      <c r="Z2" s="59"/>
      <c r="AA2" s="59"/>
      <c r="AB2" s="71" t="s">
        <v>151</v>
      </c>
      <c r="AC2" s="59"/>
      <c r="AD2" s="72" t="s">
        <v>152</v>
      </c>
      <c r="AE2" s="59"/>
      <c r="AG2" s="69" t="s">
        <v>144</v>
      </c>
      <c r="AH2" s="72" t="s">
        <v>145</v>
      </c>
      <c r="AI2" s="59"/>
      <c r="AJ2" s="59"/>
      <c r="AK2" s="59"/>
      <c r="AL2" s="70" t="s">
        <v>153</v>
      </c>
      <c r="AM2" s="69" t="s">
        <v>147</v>
      </c>
      <c r="AN2" s="70" t="s">
        <v>84</v>
      </c>
      <c r="AO2" s="69" t="s">
        <v>86</v>
      </c>
      <c r="AP2" s="70" t="s">
        <v>82</v>
      </c>
      <c r="AQ2" s="71" t="s">
        <v>148</v>
      </c>
      <c r="AR2" s="59"/>
      <c r="AS2" s="59"/>
      <c r="AT2" s="59"/>
      <c r="AU2" s="72" t="s">
        <v>149</v>
      </c>
      <c r="AV2" s="59"/>
      <c r="AW2" s="71" t="s">
        <v>150</v>
      </c>
      <c r="AX2" s="59"/>
      <c r="AY2" s="59"/>
      <c r="AZ2" s="72" t="s">
        <v>151</v>
      </c>
      <c r="BA2" s="59"/>
      <c r="BB2" s="71" t="s">
        <v>152</v>
      </c>
      <c r="BC2" s="59"/>
      <c r="BE2" s="70" t="s">
        <v>154</v>
      </c>
      <c r="BF2" s="69" t="s">
        <v>155</v>
      </c>
      <c r="BG2" s="70" t="s">
        <v>156</v>
      </c>
      <c r="BH2" s="69" t="s">
        <v>156</v>
      </c>
      <c r="BJ2" s="72" t="s">
        <v>5</v>
      </c>
      <c r="BK2" s="59"/>
      <c r="BL2" s="71" t="s">
        <v>6</v>
      </c>
      <c r="BM2" s="59"/>
      <c r="BN2" s="59"/>
      <c r="BP2" s="72" t="s">
        <v>7</v>
      </c>
      <c r="BQ2" s="59"/>
      <c r="BR2" s="71" t="s">
        <v>8</v>
      </c>
      <c r="BS2" s="59"/>
      <c r="BT2" s="59"/>
    </row>
    <row r="3" spans="1:72" x14ac:dyDescent="0.25">
      <c r="A3" s="62"/>
      <c r="B3" s="62"/>
      <c r="C3" s="62"/>
      <c r="D3" s="62"/>
      <c r="E3" s="62"/>
      <c r="F3" s="62"/>
      <c r="G3" s="62"/>
      <c r="I3" s="62"/>
      <c r="J3" s="56" t="s">
        <v>25</v>
      </c>
      <c r="K3" s="56" t="s">
        <v>23</v>
      </c>
      <c r="L3" s="56" t="s">
        <v>157</v>
      </c>
      <c r="M3" s="56" t="s">
        <v>158</v>
      </c>
      <c r="N3" s="62"/>
      <c r="O3" s="62"/>
      <c r="P3" s="62"/>
      <c r="Q3" s="62"/>
      <c r="R3" s="62"/>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2"/>
      <c r="AH3" s="57" t="s">
        <v>25</v>
      </c>
      <c r="AI3" s="57" t="s">
        <v>23</v>
      </c>
      <c r="AJ3" s="57" t="s">
        <v>157</v>
      </c>
      <c r="AK3" s="57" t="s">
        <v>158</v>
      </c>
      <c r="AL3" s="62"/>
      <c r="AM3" s="62"/>
      <c r="AN3" s="62"/>
      <c r="AO3" s="62"/>
      <c r="AP3" s="62"/>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2"/>
      <c r="BF3" s="62"/>
      <c r="BG3" s="62"/>
      <c r="BH3" s="62"/>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300</v>
      </c>
      <c r="G5" s="10">
        <v>30</v>
      </c>
      <c r="I5" s="11">
        <f t="shared" ref="I5:I39" si="0">IF(OR(ISBLANK(S5),ISBLANK(G5)),"·",S5*G5/F5/1000000)</f>
        <v>1.2502632</v>
      </c>
      <c r="J5" s="12">
        <f t="shared" ref="J5:J39" si="1">IF(ISBLANK(S5),"·",S5/D5)</f>
        <v>5.2499775232789481E-2</v>
      </c>
      <c r="K5" s="12">
        <f t="shared" ref="K5:K39" si="2">IF(N5="","·",N5/D5)</f>
        <v>4.4687336874233798E-2</v>
      </c>
      <c r="L5" s="12">
        <f t="shared" ref="L5:L39" si="3">IF(T5="","·",T5/D5)</f>
        <v>2.8122937206300137E-2</v>
      </c>
      <c r="M5" s="12">
        <f t="shared" ref="M5:M39" si="4">IF(ISBLANK(V5),"·",V5/D5)</f>
        <v>7.8124383585556831E-3</v>
      </c>
      <c r="N5" s="54">
        <f t="shared" ref="N5:N39" si="5">IF(OR(ISBLANK(T5),ISBLANK(U5)),"",T5+U5)</f>
        <v>10642128</v>
      </c>
      <c r="O5" s="12">
        <v>32</v>
      </c>
      <c r="P5" s="13">
        <v>222480528</v>
      </c>
      <c r="Q5" s="13">
        <v>741601.76</v>
      </c>
      <c r="R5" s="13">
        <v>16854.09</v>
      </c>
      <c r="S5" s="14">
        <v>12502632</v>
      </c>
      <c r="T5" s="14">
        <v>6697376</v>
      </c>
      <c r="U5" s="14">
        <v>3944752</v>
      </c>
      <c r="V5" s="14">
        <v>1860504</v>
      </c>
      <c r="W5" s="15">
        <v>66.613609999999895</v>
      </c>
      <c r="X5" s="15">
        <v>68.404904999999999</v>
      </c>
      <c r="Y5" s="15">
        <v>31.604634999999998</v>
      </c>
      <c r="Z5" s="15">
        <v>44.315839333333301</v>
      </c>
      <c r="AA5" s="15">
        <v>43.810914333333301</v>
      </c>
      <c r="AB5" s="16">
        <v>45842.9</v>
      </c>
      <c r="AC5" s="16">
        <v>0</v>
      </c>
      <c r="AD5" s="16">
        <v>619.69000000000005</v>
      </c>
      <c r="AE5" s="16">
        <v>0</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-12</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300</v>
      </c>
      <c r="G6" s="19">
        <v>30</v>
      </c>
      <c r="I6" s="20">
        <f t="shared" si="0"/>
        <v>1.6530743999999999</v>
      </c>
      <c r="J6" s="21">
        <f t="shared" si="1"/>
        <v>6.9414211698047526E-2</v>
      </c>
      <c r="K6" s="21">
        <f t="shared" si="2"/>
        <v>5.4944960303849405E-2</v>
      </c>
      <c r="L6" s="21">
        <f t="shared" si="3"/>
        <v>3.8380560635915745E-2</v>
      </c>
      <c r="M6" s="21">
        <f t="shared" si="4"/>
        <v>1.4469251394198118E-2</v>
      </c>
      <c r="N6" s="18">
        <f t="shared" si="5"/>
        <v>13084944</v>
      </c>
      <c r="O6" s="21">
        <v>28</v>
      </c>
      <c r="P6" s="22">
        <v>234624232</v>
      </c>
      <c r="Q6" s="22">
        <v>782080.77333333297</v>
      </c>
      <c r="R6" s="22">
        <v>20388.456666666701</v>
      </c>
      <c r="S6" s="23">
        <v>16530744</v>
      </c>
      <c r="T6" s="23">
        <v>9140192</v>
      </c>
      <c r="U6" s="23">
        <v>3944752</v>
      </c>
      <c r="V6" s="23">
        <v>3445800</v>
      </c>
      <c r="W6" s="24">
        <v>68.323657666666705</v>
      </c>
      <c r="X6" s="24">
        <v>70.403802333333303</v>
      </c>
      <c r="Y6" s="24">
        <v>33.6531916666667</v>
      </c>
      <c r="Z6" s="24">
        <v>45.411709333333299</v>
      </c>
      <c r="AA6" s="24">
        <v>45.033916666666599</v>
      </c>
      <c r="AB6" s="25">
        <v>48084.1</v>
      </c>
      <c r="AC6" s="25">
        <v>0</v>
      </c>
      <c r="AD6" s="25">
        <v>628.18299999999999</v>
      </c>
      <c r="AE6" s="25">
        <v>0</v>
      </c>
      <c r="AG6" s="20" t="str">
        <f t="shared" si="6"/>
        <v>·</v>
      </c>
      <c r="AH6" s="21" t="str">
        <f t="shared" si="7"/>
        <v>·</v>
      </c>
      <c r="AI6" s="21" t="str">
        <f t="shared" si="8"/>
        <v>·</v>
      </c>
      <c r="AJ6" s="21" t="str">
        <f t="shared" si="9"/>
        <v>·</v>
      </c>
      <c r="AK6" s="21" t="str">
        <f t="shared" si="10"/>
        <v>·</v>
      </c>
      <c r="AL6" s="18" t="str">
        <f t="shared" si="11"/>
        <v/>
      </c>
      <c r="AM6" s="21">
        <v>-12</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300</v>
      </c>
      <c r="G7" s="10">
        <v>30</v>
      </c>
      <c r="I7" s="11">
        <f t="shared" si="0"/>
        <v>2.337828</v>
      </c>
      <c r="J7" s="12">
        <f t="shared" si="1"/>
        <v>9.8167685438491484E-2</v>
      </c>
      <c r="K7" s="12">
        <f t="shared" si="2"/>
        <v>6.9017346561426579E-2</v>
      </c>
      <c r="L7" s="12">
        <f t="shared" si="3"/>
        <v>5.2452946893492919E-2</v>
      </c>
      <c r="M7" s="12">
        <f t="shared" si="4"/>
        <v>2.9150338877064905E-2</v>
      </c>
      <c r="N7" s="54">
        <f t="shared" si="5"/>
        <v>16436232</v>
      </c>
      <c r="O7" s="12">
        <v>24</v>
      </c>
      <c r="P7" s="13">
        <v>237199047</v>
      </c>
      <c r="Q7" s="13">
        <v>790663.49</v>
      </c>
      <c r="R7" s="13">
        <v>21739.403333333299</v>
      </c>
      <c r="S7" s="14">
        <v>23378280</v>
      </c>
      <c r="T7" s="14">
        <v>12491480</v>
      </c>
      <c r="U7" s="14">
        <v>3944752</v>
      </c>
      <c r="V7" s="14">
        <v>6942048</v>
      </c>
      <c r="W7" s="15">
        <v>69.651400333333299</v>
      </c>
      <c r="X7" s="15">
        <v>72.072477000000006</v>
      </c>
      <c r="Y7" s="15">
        <v>36.036795333333302</v>
      </c>
      <c r="Z7" s="15">
        <v>46.717066000000003</v>
      </c>
      <c r="AA7" s="15">
        <v>46.480288666666702</v>
      </c>
      <c r="AB7" s="16">
        <v>51770.9</v>
      </c>
      <c r="AC7" s="16">
        <v>0</v>
      </c>
      <c r="AD7" s="16">
        <v>660.30700000000002</v>
      </c>
      <c r="AE7" s="16">
        <v>0</v>
      </c>
      <c r="AG7" s="11" t="str">
        <f t="shared" si="6"/>
        <v>·</v>
      </c>
      <c r="AH7" s="12" t="str">
        <f t="shared" si="7"/>
        <v>·</v>
      </c>
      <c r="AI7" s="12" t="str">
        <f t="shared" si="8"/>
        <v>·</v>
      </c>
      <c r="AJ7" s="12" t="str">
        <f t="shared" si="9"/>
        <v>·</v>
      </c>
      <c r="AK7" s="12" t="str">
        <f t="shared" si="10"/>
        <v>·</v>
      </c>
      <c r="AL7" s="54" t="str">
        <f t="shared" si="11"/>
        <v/>
      </c>
      <c r="AM7" s="12">
        <v>-12</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300</v>
      </c>
      <c r="G8" s="19">
        <v>30</v>
      </c>
      <c r="I8" s="20">
        <f t="shared" si="0"/>
        <v>3.8734479999999998</v>
      </c>
      <c r="J8" s="21">
        <f t="shared" si="1"/>
        <v>0.16264987194368191</v>
      </c>
      <c r="K8" s="21">
        <f t="shared" si="2"/>
        <v>9.9363487729696484E-2</v>
      </c>
      <c r="L8" s="21">
        <f t="shared" si="3"/>
        <v>8.2799088061762824E-2</v>
      </c>
      <c r="M8" s="21">
        <f t="shared" si="4"/>
        <v>6.3286384213985428E-2</v>
      </c>
      <c r="N8" s="18">
        <f t="shared" si="5"/>
        <v>23663056</v>
      </c>
      <c r="O8" s="21">
        <v>20</v>
      </c>
      <c r="P8" s="22">
        <v>246300421</v>
      </c>
      <c r="Q8" s="22">
        <v>821001.40333333297</v>
      </c>
      <c r="R8" s="22">
        <v>24976.016666666699</v>
      </c>
      <c r="S8" s="23">
        <v>38734480</v>
      </c>
      <c r="T8" s="23">
        <v>19718304</v>
      </c>
      <c r="U8" s="23">
        <v>3944752</v>
      </c>
      <c r="V8" s="23">
        <v>15071424</v>
      </c>
      <c r="W8" s="24">
        <v>70.736514</v>
      </c>
      <c r="X8" s="24">
        <v>73.3102636666667</v>
      </c>
      <c r="Y8" s="24">
        <v>38.506507999999997</v>
      </c>
      <c r="Z8" s="24">
        <v>47.939310333333303</v>
      </c>
      <c r="AA8" s="24">
        <v>47.965738333333299</v>
      </c>
      <c r="AB8" s="25">
        <v>57014.1</v>
      </c>
      <c r="AC8" s="25">
        <v>0</v>
      </c>
      <c r="AD8" s="25">
        <v>739.77200000000005</v>
      </c>
      <c r="AE8" s="25">
        <v>0</v>
      </c>
      <c r="AG8" s="20" t="str">
        <f t="shared" si="6"/>
        <v>·</v>
      </c>
      <c r="AH8" s="21" t="str">
        <f t="shared" si="7"/>
        <v>·</v>
      </c>
      <c r="AI8" s="21" t="str">
        <f t="shared" si="8"/>
        <v>·</v>
      </c>
      <c r="AJ8" s="21" t="str">
        <f t="shared" si="9"/>
        <v>·</v>
      </c>
      <c r="AK8" s="21" t="str">
        <f t="shared" si="10"/>
        <v>·</v>
      </c>
      <c r="AL8" s="18" t="str">
        <f t="shared" si="11"/>
        <v/>
      </c>
      <c r="AM8" s="21">
        <v>-12</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300</v>
      </c>
      <c r="G9" s="28">
        <v>30</v>
      </c>
      <c r="I9" s="29">
        <f t="shared" si="0"/>
        <v>7.7067984000000003</v>
      </c>
      <c r="J9" s="30">
        <f t="shared" si="1"/>
        <v>0.32361600642522437</v>
      </c>
      <c r="K9" s="30">
        <f t="shared" si="2"/>
        <v>0.17096237246778181</v>
      </c>
      <c r="L9" s="30">
        <f t="shared" si="3"/>
        <v>0.13463920181767525</v>
      </c>
      <c r="M9" s="30">
        <f t="shared" si="4"/>
        <v>0.15265363395744258</v>
      </c>
      <c r="N9" s="27">
        <f t="shared" si="5"/>
        <v>40714072</v>
      </c>
      <c r="O9" s="30">
        <v>16</v>
      </c>
      <c r="P9" s="31">
        <v>236683423</v>
      </c>
      <c r="Q9" s="31">
        <v>788944.74333333306</v>
      </c>
      <c r="R9" s="31">
        <v>10914.45</v>
      </c>
      <c r="S9" s="32">
        <v>77067984</v>
      </c>
      <c r="T9" s="32">
        <v>32063840</v>
      </c>
      <c r="U9" s="32">
        <v>8650232</v>
      </c>
      <c r="V9" s="32">
        <v>36353912</v>
      </c>
      <c r="W9" s="33">
        <v>71.772390000000001</v>
      </c>
      <c r="X9" s="33">
        <v>75.151272333333296</v>
      </c>
      <c r="Y9" s="33">
        <v>41.028247666666701</v>
      </c>
      <c r="Z9" s="33">
        <v>49.432590666666698</v>
      </c>
      <c r="AA9" s="33">
        <v>49.486609333333298</v>
      </c>
      <c r="AB9" s="34">
        <v>60012.4</v>
      </c>
      <c r="AC9" s="34">
        <v>0</v>
      </c>
      <c r="AD9" s="34">
        <v>670.99400000000003</v>
      </c>
      <c r="AE9" s="34">
        <v>0</v>
      </c>
      <c r="AG9" s="29" t="str">
        <f t="shared" si="6"/>
        <v>·</v>
      </c>
      <c r="AH9" s="30" t="str">
        <f t="shared" si="7"/>
        <v>·</v>
      </c>
      <c r="AI9" s="30" t="str">
        <f t="shared" si="8"/>
        <v>·</v>
      </c>
      <c r="AJ9" s="30" t="str">
        <f t="shared" si="9"/>
        <v>·</v>
      </c>
      <c r="AK9" s="30" t="str">
        <f t="shared" si="10"/>
        <v>·</v>
      </c>
      <c r="AL9" s="27" t="str">
        <f t="shared" si="11"/>
        <v/>
      </c>
      <c r="AM9" s="30">
        <v>-12</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300</v>
      </c>
      <c r="G10" s="19">
        <v>30</v>
      </c>
      <c r="I10" s="20">
        <f t="shared" si="0"/>
        <v>2.115548</v>
      </c>
      <c r="J10" s="21">
        <f t="shared" si="1"/>
        <v>9.6989544924744195E-2</v>
      </c>
      <c r="K10" s="21">
        <f t="shared" si="2"/>
        <v>7.25133226593309E-2</v>
      </c>
      <c r="L10" s="21">
        <f t="shared" si="3"/>
        <v>4.1379335259790977E-2</v>
      </c>
      <c r="M10" s="21">
        <f t="shared" si="4"/>
        <v>2.4476222265413287E-2</v>
      </c>
      <c r="N10" s="18">
        <f t="shared" si="5"/>
        <v>15816696</v>
      </c>
      <c r="O10" s="21">
        <v>32</v>
      </c>
      <c r="P10" s="22">
        <v>203423665</v>
      </c>
      <c r="Q10" s="22">
        <v>678078.88333333295</v>
      </c>
      <c r="R10" s="22">
        <v>20690.483333333301</v>
      </c>
      <c r="S10" s="23">
        <v>21155480</v>
      </c>
      <c r="T10" s="23">
        <v>9025712</v>
      </c>
      <c r="U10" s="23">
        <v>6790984</v>
      </c>
      <c r="V10" s="23">
        <v>5338784</v>
      </c>
      <c r="W10" s="24">
        <v>65.918392999999995</v>
      </c>
      <c r="X10" s="24">
        <v>67.697318999999993</v>
      </c>
      <c r="Y10" s="24">
        <v>30.8753286666667</v>
      </c>
      <c r="Z10" s="24">
        <v>38.660013999999997</v>
      </c>
      <c r="AA10" s="24">
        <v>29.9092076666666</v>
      </c>
      <c r="AB10" s="25">
        <v>52377.4</v>
      </c>
      <c r="AC10" s="25">
        <v>0</v>
      </c>
      <c r="AD10" s="25">
        <v>593.41200000000003</v>
      </c>
      <c r="AE10" s="25">
        <v>0</v>
      </c>
      <c r="AG10" s="20" t="str">
        <f t="shared" si="6"/>
        <v>·</v>
      </c>
      <c r="AH10" s="21" t="str">
        <f t="shared" si="7"/>
        <v>·</v>
      </c>
      <c r="AI10" s="21" t="str">
        <f t="shared" si="8"/>
        <v>·</v>
      </c>
      <c r="AJ10" s="21" t="str">
        <f t="shared" si="9"/>
        <v>·</v>
      </c>
      <c r="AK10" s="21" t="str">
        <f t="shared" si="10"/>
        <v>·</v>
      </c>
      <c r="AL10" s="18" t="str">
        <f t="shared" si="11"/>
        <v/>
      </c>
      <c r="AM10" s="21">
        <v>-12</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300</v>
      </c>
      <c r="G11" s="10">
        <v>30</v>
      </c>
      <c r="I11" s="11">
        <f t="shared" si="0"/>
        <v>2.8934752000000001</v>
      </c>
      <c r="J11" s="12">
        <f t="shared" si="1"/>
        <v>0.13265444362360637</v>
      </c>
      <c r="K11" s="12">
        <f t="shared" si="2"/>
        <v>8.9275779935271041E-2</v>
      </c>
      <c r="L11" s="12">
        <f t="shared" si="3"/>
        <v>5.8141792535731117E-2</v>
      </c>
      <c r="M11" s="12">
        <f t="shared" si="4"/>
        <v>4.3378663688335317E-2</v>
      </c>
      <c r="N11" s="54">
        <f t="shared" si="5"/>
        <v>19472944</v>
      </c>
      <c r="O11" s="12">
        <v>28</v>
      </c>
      <c r="P11" s="13">
        <v>214721626</v>
      </c>
      <c r="Q11" s="13">
        <v>715738.75333333295</v>
      </c>
      <c r="R11" s="13">
        <v>25171.793333333299</v>
      </c>
      <c r="S11" s="14">
        <v>28934752</v>
      </c>
      <c r="T11" s="14">
        <v>12681960</v>
      </c>
      <c r="U11" s="14">
        <v>6790984</v>
      </c>
      <c r="V11" s="14">
        <v>9461808</v>
      </c>
      <c r="W11" s="15">
        <v>67.582183000000001</v>
      </c>
      <c r="X11" s="15">
        <v>69.613675999999998</v>
      </c>
      <c r="Y11" s="15">
        <v>32.672547333333398</v>
      </c>
      <c r="Z11" s="15">
        <v>39.622247666666702</v>
      </c>
      <c r="AA11" s="15">
        <v>32.105570999999998</v>
      </c>
      <c r="AB11" s="16">
        <v>57628.9</v>
      </c>
      <c r="AC11" s="16">
        <v>0</v>
      </c>
      <c r="AD11" s="16">
        <v>680.947</v>
      </c>
      <c r="AE11" s="16">
        <v>0</v>
      </c>
      <c r="AG11" s="11" t="str">
        <f t="shared" si="6"/>
        <v>·</v>
      </c>
      <c r="AH11" s="12" t="str">
        <f t="shared" si="7"/>
        <v>·</v>
      </c>
      <c r="AI11" s="12" t="str">
        <f t="shared" si="8"/>
        <v>·</v>
      </c>
      <c r="AJ11" s="12" t="str">
        <f t="shared" si="9"/>
        <v>·</v>
      </c>
      <c r="AK11" s="12" t="str">
        <f t="shared" si="10"/>
        <v>·</v>
      </c>
      <c r="AL11" s="54" t="str">
        <f t="shared" si="11"/>
        <v/>
      </c>
      <c r="AM11" s="12">
        <v>-12</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300</v>
      </c>
      <c r="G12" s="19">
        <v>30</v>
      </c>
      <c r="I12" s="20">
        <f t="shared" si="0"/>
        <v>4.1300695999999997</v>
      </c>
      <c r="J12" s="21">
        <f t="shared" si="1"/>
        <v>0.18934742724415626</v>
      </c>
      <c r="K12" s="21">
        <f t="shared" si="2"/>
        <v>0.11429654338755324</v>
      </c>
      <c r="L12" s="21">
        <f t="shared" si="3"/>
        <v>8.3162555988013309E-2</v>
      </c>
      <c r="M12" s="21">
        <f t="shared" si="4"/>
        <v>7.5050883856603023E-2</v>
      </c>
      <c r="N12" s="18">
        <f t="shared" si="5"/>
        <v>24930504</v>
      </c>
      <c r="O12" s="21">
        <v>24</v>
      </c>
      <c r="P12" s="22">
        <v>217488686</v>
      </c>
      <c r="Q12" s="22">
        <v>724962.28666666697</v>
      </c>
      <c r="R12" s="22">
        <v>26597.72</v>
      </c>
      <c r="S12" s="23">
        <v>41300696</v>
      </c>
      <c r="T12" s="23">
        <v>18139520</v>
      </c>
      <c r="U12" s="23">
        <v>6790984</v>
      </c>
      <c r="V12" s="23">
        <v>16370192</v>
      </c>
      <c r="W12" s="24">
        <v>68.905238666666705</v>
      </c>
      <c r="X12" s="24">
        <v>71.260606666666703</v>
      </c>
      <c r="Y12" s="24">
        <v>34.683140999999999</v>
      </c>
      <c r="Z12" s="24">
        <v>40.569273666666703</v>
      </c>
      <c r="AA12" s="24">
        <v>33.986041333333297</v>
      </c>
      <c r="AB12" s="25">
        <v>61608.9</v>
      </c>
      <c r="AC12" s="25">
        <v>0</v>
      </c>
      <c r="AD12" s="25">
        <v>725.21699999999998</v>
      </c>
      <c r="AE12" s="25">
        <v>0</v>
      </c>
      <c r="AG12" s="20" t="str">
        <f t="shared" si="6"/>
        <v>·</v>
      </c>
      <c r="AH12" s="21" t="str">
        <f t="shared" si="7"/>
        <v>·</v>
      </c>
      <c r="AI12" s="21" t="str">
        <f t="shared" si="8"/>
        <v>·</v>
      </c>
      <c r="AJ12" s="21" t="str">
        <f t="shared" si="9"/>
        <v>·</v>
      </c>
      <c r="AK12" s="21" t="str">
        <f t="shared" si="10"/>
        <v>·</v>
      </c>
      <c r="AL12" s="18" t="str">
        <f t="shared" si="11"/>
        <v/>
      </c>
      <c r="AM12" s="21">
        <v>-12</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300</v>
      </c>
      <c r="G13" s="10">
        <v>30</v>
      </c>
      <c r="I13" s="11">
        <f t="shared" si="0"/>
        <v>6.7137479999999998</v>
      </c>
      <c r="J13" s="12">
        <f t="shared" si="1"/>
        <v>0.30779890754518996</v>
      </c>
      <c r="K13" s="12">
        <f t="shared" si="2"/>
        <v>0.16153405178208183</v>
      </c>
      <c r="L13" s="12">
        <f t="shared" si="3"/>
        <v>0.1304000643825419</v>
      </c>
      <c r="M13" s="12">
        <f t="shared" si="4"/>
        <v>0.1462648557631081</v>
      </c>
      <c r="N13" s="54">
        <f t="shared" si="5"/>
        <v>35234008</v>
      </c>
      <c r="O13" s="12">
        <v>20</v>
      </c>
      <c r="P13" s="13">
        <v>225229598</v>
      </c>
      <c r="Q13" s="13">
        <v>750765.32666666701</v>
      </c>
      <c r="R13" s="13">
        <v>30236.0766666667</v>
      </c>
      <c r="S13" s="14">
        <v>67137480</v>
      </c>
      <c r="T13" s="14">
        <v>28443024</v>
      </c>
      <c r="U13" s="14">
        <v>6790984</v>
      </c>
      <c r="V13" s="14">
        <v>31903472</v>
      </c>
      <c r="W13" s="15">
        <v>69.956116000000094</v>
      </c>
      <c r="X13" s="15">
        <v>72.486503999999996</v>
      </c>
      <c r="Y13" s="15">
        <v>36.871490999999999</v>
      </c>
      <c r="Z13" s="15">
        <v>41.617722666666701</v>
      </c>
      <c r="AA13" s="15">
        <v>35.921081333333298</v>
      </c>
      <c r="AB13" s="16">
        <v>62996.1</v>
      </c>
      <c r="AC13" s="16">
        <v>0</v>
      </c>
      <c r="AD13" s="16">
        <v>661.59</v>
      </c>
      <c r="AE13" s="16">
        <v>0</v>
      </c>
      <c r="AG13" s="11" t="str">
        <f t="shared" si="6"/>
        <v>·</v>
      </c>
      <c r="AH13" s="12" t="str">
        <f t="shared" si="7"/>
        <v>·</v>
      </c>
      <c r="AI13" s="12" t="str">
        <f t="shared" si="8"/>
        <v>·</v>
      </c>
      <c r="AJ13" s="12" t="str">
        <f t="shared" si="9"/>
        <v>·</v>
      </c>
      <c r="AK13" s="12" t="str">
        <f t="shared" si="10"/>
        <v>·</v>
      </c>
      <c r="AL13" s="54" t="str">
        <f t="shared" si="11"/>
        <v/>
      </c>
      <c r="AM13" s="12">
        <v>-12</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300</v>
      </c>
      <c r="G14" s="38">
        <v>30</v>
      </c>
      <c r="I14" s="39">
        <f t="shared" si="0"/>
        <v>13.2166552</v>
      </c>
      <c r="J14" s="40">
        <f t="shared" si="1"/>
        <v>0.60593159468622504</v>
      </c>
      <c r="K14" s="40">
        <f t="shared" si="2"/>
        <v>0.27233092685214033</v>
      </c>
      <c r="L14" s="40">
        <f t="shared" si="3"/>
        <v>0.21063558770676724</v>
      </c>
      <c r="M14" s="40">
        <f t="shared" si="4"/>
        <v>0.33360066783408465</v>
      </c>
      <c r="N14" s="37">
        <f t="shared" si="5"/>
        <v>59401160</v>
      </c>
      <c r="O14" s="40">
        <v>16</v>
      </c>
      <c r="P14" s="41">
        <v>213009264</v>
      </c>
      <c r="Q14" s="41">
        <v>710030.88</v>
      </c>
      <c r="R14" s="41">
        <v>14270.0133333333</v>
      </c>
      <c r="S14" s="42">
        <v>132166552</v>
      </c>
      <c r="T14" s="42">
        <v>45944096</v>
      </c>
      <c r="U14" s="42">
        <v>13457064</v>
      </c>
      <c r="V14" s="42">
        <v>72765392</v>
      </c>
      <c r="W14" s="43">
        <v>70.811936666666696</v>
      </c>
      <c r="X14" s="43">
        <v>74.587800333333306</v>
      </c>
      <c r="Y14" s="43">
        <v>39.259962000000002</v>
      </c>
      <c r="Z14" s="43">
        <v>42.902484000000001</v>
      </c>
      <c r="AA14" s="43">
        <v>38.032774666666697</v>
      </c>
      <c r="AB14" s="44">
        <v>68809.100000000006</v>
      </c>
      <c r="AC14" s="44">
        <v>0</v>
      </c>
      <c r="AD14" s="44">
        <v>633.78300000000002</v>
      </c>
      <c r="AE14" s="44">
        <v>0</v>
      </c>
      <c r="AG14" s="39" t="str">
        <f t="shared" si="6"/>
        <v>·</v>
      </c>
      <c r="AH14" s="40" t="str">
        <f t="shared" si="7"/>
        <v>·</v>
      </c>
      <c r="AI14" s="40" t="str">
        <f t="shared" si="8"/>
        <v>·</v>
      </c>
      <c r="AJ14" s="40" t="str">
        <f t="shared" si="9"/>
        <v>·</v>
      </c>
      <c r="AK14" s="40" t="str">
        <f t="shared" si="10"/>
        <v>·</v>
      </c>
      <c r="AL14" s="37" t="str">
        <f t="shared" si="11"/>
        <v/>
      </c>
      <c r="AM14" s="40">
        <v>-12</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300</v>
      </c>
      <c r="G15" s="10">
        <v>30</v>
      </c>
      <c r="I15" s="11">
        <f t="shared" si="0"/>
        <v>1.8744400000000001</v>
      </c>
      <c r="J15" s="12">
        <f t="shared" si="1"/>
        <v>5.8106008243834092E-2</v>
      </c>
      <c r="K15" s="12">
        <f t="shared" si="2"/>
        <v>4.8231595141052609E-2</v>
      </c>
      <c r="L15" s="12">
        <f t="shared" si="3"/>
        <v>2.6924455096682193E-2</v>
      </c>
      <c r="M15" s="12">
        <f t="shared" si="4"/>
        <v>9.8744131027814833E-3</v>
      </c>
      <c r="N15" s="54">
        <f t="shared" si="5"/>
        <v>15559016</v>
      </c>
      <c r="O15" s="12">
        <v>32</v>
      </c>
      <c r="P15" s="13">
        <v>308568020</v>
      </c>
      <c r="Q15" s="13">
        <v>1028560.06666667</v>
      </c>
      <c r="R15" s="13">
        <v>31474.01</v>
      </c>
      <c r="S15" s="14">
        <v>18744400</v>
      </c>
      <c r="T15" s="14">
        <v>8685552</v>
      </c>
      <c r="U15" s="14">
        <v>6873464</v>
      </c>
      <c r="V15" s="14">
        <v>3185384</v>
      </c>
      <c r="W15" s="15">
        <v>66.292670333333405</v>
      </c>
      <c r="X15" s="15">
        <v>67.882902666666595</v>
      </c>
      <c r="Y15" s="15">
        <v>29.027573</v>
      </c>
      <c r="Z15" s="15">
        <v>43.392187</v>
      </c>
      <c r="AA15" s="15">
        <v>43.601365333333298</v>
      </c>
      <c r="AB15" s="16">
        <v>51994.400000000001</v>
      </c>
      <c r="AC15" s="16">
        <v>0</v>
      </c>
      <c r="AD15" s="16">
        <v>830.33299999999997</v>
      </c>
      <c r="AE15" s="16">
        <v>0</v>
      </c>
      <c r="AG15" s="11" t="str">
        <f t="shared" si="6"/>
        <v>·</v>
      </c>
      <c r="AH15" s="12" t="str">
        <f t="shared" si="7"/>
        <v>·</v>
      </c>
      <c r="AI15" s="12" t="str">
        <f t="shared" si="8"/>
        <v>·</v>
      </c>
      <c r="AJ15" s="12" t="str">
        <f t="shared" si="9"/>
        <v>·</v>
      </c>
      <c r="AK15" s="12" t="str">
        <f t="shared" si="10"/>
        <v>·</v>
      </c>
      <c r="AL15" s="54" t="str">
        <f t="shared" si="11"/>
        <v/>
      </c>
      <c r="AM15" s="12">
        <v>-12</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300</v>
      </c>
      <c r="G16" s="19">
        <v>30</v>
      </c>
      <c r="I16" s="20">
        <f t="shared" si="0"/>
        <v>2.4999639999999999</v>
      </c>
      <c r="J16" s="21">
        <f t="shared" si="1"/>
        <v>7.7496707706455503E-2</v>
      </c>
      <c r="K16" s="21">
        <f t="shared" si="2"/>
        <v>5.8524273297947536E-2</v>
      </c>
      <c r="L16" s="21">
        <f t="shared" si="3"/>
        <v>3.7217133253577117E-2</v>
      </c>
      <c r="M16" s="21">
        <f t="shared" si="4"/>
        <v>1.8972434408507967E-2</v>
      </c>
      <c r="N16" s="18">
        <f t="shared" si="5"/>
        <v>18879328</v>
      </c>
      <c r="O16" s="21">
        <v>28</v>
      </c>
      <c r="P16" s="22">
        <v>320786351</v>
      </c>
      <c r="Q16" s="22">
        <v>1069287.8366666699</v>
      </c>
      <c r="R16" s="22">
        <v>36368.023333333302</v>
      </c>
      <c r="S16" s="23">
        <v>24999640</v>
      </c>
      <c r="T16" s="23">
        <v>12005864</v>
      </c>
      <c r="U16" s="23">
        <v>6873464</v>
      </c>
      <c r="V16" s="23">
        <v>6120312</v>
      </c>
      <c r="W16" s="24">
        <v>68.004283000000001</v>
      </c>
      <c r="X16" s="24">
        <v>70.007956333333297</v>
      </c>
      <c r="Y16" s="24">
        <v>31.341947666666702</v>
      </c>
      <c r="Z16" s="24">
        <v>44.0194823333334</v>
      </c>
      <c r="AA16" s="24">
        <v>44.367089333333297</v>
      </c>
      <c r="AB16" s="25">
        <v>55503</v>
      </c>
      <c r="AC16" s="25">
        <v>0</v>
      </c>
      <c r="AD16" s="25">
        <v>867.34799999999996</v>
      </c>
      <c r="AE16" s="25">
        <v>0</v>
      </c>
      <c r="AG16" s="20" t="str">
        <f t="shared" si="6"/>
        <v>·</v>
      </c>
      <c r="AH16" s="21" t="str">
        <f t="shared" si="7"/>
        <v>·</v>
      </c>
      <c r="AI16" s="21" t="str">
        <f t="shared" si="8"/>
        <v>·</v>
      </c>
      <c r="AJ16" s="21" t="str">
        <f t="shared" si="9"/>
        <v>·</v>
      </c>
      <c r="AK16" s="21" t="str">
        <f t="shared" si="10"/>
        <v>·</v>
      </c>
      <c r="AL16" s="18" t="str">
        <f t="shared" si="11"/>
        <v/>
      </c>
      <c r="AM16" s="21">
        <v>-12</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300</v>
      </c>
      <c r="G17" s="10">
        <v>30</v>
      </c>
      <c r="I17" s="11">
        <f t="shared" si="0"/>
        <v>3.5934687999999997</v>
      </c>
      <c r="J17" s="12">
        <f t="shared" si="1"/>
        <v>0.11139440457777289</v>
      </c>
      <c r="K17" s="12">
        <f t="shared" si="2"/>
        <v>7.2552817742751019E-2</v>
      </c>
      <c r="L17" s="12">
        <f t="shared" si="3"/>
        <v>5.12456776983806E-2</v>
      </c>
      <c r="M17" s="12">
        <f t="shared" si="4"/>
        <v>3.8841586835021862E-2</v>
      </c>
      <c r="N17" s="54">
        <f t="shared" si="5"/>
        <v>23404792</v>
      </c>
      <c r="O17" s="12">
        <v>24</v>
      </c>
      <c r="P17" s="13">
        <v>321801817</v>
      </c>
      <c r="Q17" s="13">
        <v>1072672.7233333299</v>
      </c>
      <c r="R17" s="13">
        <v>37373.223333333299</v>
      </c>
      <c r="S17" s="14">
        <v>35934688</v>
      </c>
      <c r="T17" s="14">
        <v>16531328</v>
      </c>
      <c r="U17" s="14">
        <v>6873464</v>
      </c>
      <c r="V17" s="14">
        <v>12529896</v>
      </c>
      <c r="W17" s="15">
        <v>69.316821666666698</v>
      </c>
      <c r="X17" s="15">
        <v>71.769333333333293</v>
      </c>
      <c r="Y17" s="15">
        <v>33.744161333333302</v>
      </c>
      <c r="Z17" s="15">
        <v>45.1935753333333</v>
      </c>
      <c r="AA17" s="15">
        <v>45.614869333333303</v>
      </c>
      <c r="AB17" s="16">
        <v>57019.8</v>
      </c>
      <c r="AC17" s="16">
        <v>0</v>
      </c>
      <c r="AD17" s="16">
        <v>892.04700000000003</v>
      </c>
      <c r="AE17" s="16">
        <v>0</v>
      </c>
      <c r="AG17" s="11" t="str">
        <f t="shared" si="6"/>
        <v>·</v>
      </c>
      <c r="AH17" s="12" t="str">
        <f t="shared" si="7"/>
        <v>·</v>
      </c>
      <c r="AI17" s="12" t="str">
        <f t="shared" si="8"/>
        <v>·</v>
      </c>
      <c r="AJ17" s="12" t="str">
        <f t="shared" si="9"/>
        <v>·</v>
      </c>
      <c r="AK17" s="12" t="str">
        <f t="shared" si="10"/>
        <v>·</v>
      </c>
      <c r="AL17" s="54" t="str">
        <f t="shared" si="11"/>
        <v/>
      </c>
      <c r="AM17" s="12">
        <v>-12</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300</v>
      </c>
      <c r="G18" s="19">
        <v>30</v>
      </c>
      <c r="I18" s="20">
        <f t="shared" si="0"/>
        <v>6.2400184000000003</v>
      </c>
      <c r="J18" s="21">
        <f t="shared" si="1"/>
        <v>0.19343513827707284</v>
      </c>
      <c r="K18" s="21">
        <f t="shared" si="2"/>
        <v>0.10652273018608183</v>
      </c>
      <c r="L18" s="21">
        <f t="shared" si="3"/>
        <v>8.52155901417114E-2</v>
      </c>
      <c r="M18" s="21">
        <f t="shared" si="4"/>
        <v>8.6912408090991031E-2</v>
      </c>
      <c r="N18" s="18">
        <f t="shared" si="5"/>
        <v>34363136</v>
      </c>
      <c r="O18" s="21">
        <v>20</v>
      </c>
      <c r="P18" s="22">
        <v>331409396</v>
      </c>
      <c r="Q18" s="22">
        <v>1104697.9866666701</v>
      </c>
      <c r="R18" s="22">
        <v>41617.916666666701</v>
      </c>
      <c r="S18" s="23">
        <v>62400184</v>
      </c>
      <c r="T18" s="23">
        <v>27489672</v>
      </c>
      <c r="U18" s="23">
        <v>6873464</v>
      </c>
      <c r="V18" s="23">
        <v>28037048</v>
      </c>
      <c r="W18" s="24">
        <v>70.477661666666705</v>
      </c>
      <c r="X18" s="24">
        <v>73.080996333333303</v>
      </c>
      <c r="Y18" s="24">
        <v>36.1626196666667</v>
      </c>
      <c r="Z18" s="24">
        <v>46.509220333333403</v>
      </c>
      <c r="AA18" s="24">
        <v>47.0031446666666</v>
      </c>
      <c r="AB18" s="25">
        <v>61824.3</v>
      </c>
      <c r="AC18" s="25">
        <v>0</v>
      </c>
      <c r="AD18" s="25">
        <v>963.58399999999995</v>
      </c>
      <c r="AE18" s="25">
        <v>0</v>
      </c>
      <c r="AG18" s="20" t="str">
        <f t="shared" si="6"/>
        <v>·</v>
      </c>
      <c r="AH18" s="21" t="str">
        <f t="shared" si="7"/>
        <v>·</v>
      </c>
      <c r="AI18" s="21" t="str">
        <f t="shared" si="8"/>
        <v>·</v>
      </c>
      <c r="AJ18" s="21" t="str">
        <f t="shared" si="9"/>
        <v>·</v>
      </c>
      <c r="AK18" s="21" t="str">
        <f t="shared" si="10"/>
        <v>·</v>
      </c>
      <c r="AL18" s="18" t="str">
        <f t="shared" si="11"/>
        <v/>
      </c>
      <c r="AM18" s="21">
        <v>-12</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300</v>
      </c>
      <c r="G19" s="28">
        <v>30</v>
      </c>
      <c r="I19" s="29">
        <f t="shared" si="0"/>
        <v>13.090866400000001</v>
      </c>
      <c r="J19" s="30">
        <f t="shared" si="1"/>
        <v>0.40580546240868243</v>
      </c>
      <c r="K19" s="30">
        <f t="shared" si="2"/>
        <v>0.1842346214496666</v>
      </c>
      <c r="L19" s="30">
        <f t="shared" si="3"/>
        <v>0.13908359579882934</v>
      </c>
      <c r="M19" s="30">
        <f t="shared" si="4"/>
        <v>0.22157084095901586</v>
      </c>
      <c r="N19" s="27">
        <f t="shared" si="5"/>
        <v>59432192</v>
      </c>
      <c r="O19" s="30">
        <v>16</v>
      </c>
      <c r="P19" s="31">
        <v>314100769</v>
      </c>
      <c r="Q19" s="31">
        <v>1047002.56333333</v>
      </c>
      <c r="R19" s="31">
        <v>18131.233333333301</v>
      </c>
      <c r="S19" s="32">
        <v>130908664</v>
      </c>
      <c r="T19" s="32">
        <v>44866936</v>
      </c>
      <c r="U19" s="32">
        <v>14565256</v>
      </c>
      <c r="V19" s="32">
        <v>71476472</v>
      </c>
      <c r="W19" s="33">
        <v>71.164477666666599</v>
      </c>
      <c r="X19" s="33">
        <v>75.029448666666696</v>
      </c>
      <c r="Y19" s="33">
        <v>38.638706333333303</v>
      </c>
      <c r="Z19" s="33">
        <v>48.278673666666698</v>
      </c>
      <c r="AA19" s="33">
        <v>48.831350333333397</v>
      </c>
      <c r="AB19" s="34">
        <v>70018.7</v>
      </c>
      <c r="AC19" s="34">
        <v>0</v>
      </c>
      <c r="AD19" s="34">
        <v>914.59699999999998</v>
      </c>
      <c r="AE19" s="34">
        <v>0</v>
      </c>
      <c r="AG19" s="29" t="str">
        <f t="shared" si="6"/>
        <v>·</v>
      </c>
      <c r="AH19" s="30" t="str">
        <f t="shared" si="7"/>
        <v>·</v>
      </c>
      <c r="AI19" s="30" t="str">
        <f t="shared" si="8"/>
        <v>·</v>
      </c>
      <c r="AJ19" s="30" t="str">
        <f t="shared" si="9"/>
        <v>·</v>
      </c>
      <c r="AK19" s="30" t="str">
        <f t="shared" si="10"/>
        <v>·</v>
      </c>
      <c r="AL19" s="27" t="str">
        <f t="shared" si="11"/>
        <v/>
      </c>
      <c r="AM19" s="30">
        <v>-12</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250</v>
      </c>
      <c r="G20" s="19">
        <v>50</v>
      </c>
      <c r="I20" s="20">
        <f t="shared" si="0"/>
        <v>2.1705199999999998</v>
      </c>
      <c r="J20" s="21">
        <f t="shared" si="1"/>
        <v>4.3305964894076183E-2</v>
      </c>
      <c r="K20" s="21">
        <f t="shared" si="2"/>
        <v>3.4841736921542535E-2</v>
      </c>
      <c r="L20" s="21">
        <f t="shared" si="3"/>
        <v>2.0288704490643725E-2</v>
      </c>
      <c r="M20" s="21">
        <f t="shared" si="4"/>
        <v>8.4642279725336451E-3</v>
      </c>
      <c r="N20" s="18">
        <f t="shared" si="5"/>
        <v>8731440</v>
      </c>
      <c r="O20" s="21">
        <v>32</v>
      </c>
      <c r="P20" s="22">
        <v>237018345</v>
      </c>
      <c r="Q20" s="22">
        <v>948073.38</v>
      </c>
      <c r="R20" s="22">
        <v>29222.799999999999</v>
      </c>
      <c r="S20" s="23">
        <v>10852600</v>
      </c>
      <c r="T20" s="23">
        <v>5084408</v>
      </c>
      <c r="U20" s="23">
        <v>3647032</v>
      </c>
      <c r="V20" s="23">
        <v>2121160</v>
      </c>
      <c r="W20" s="24">
        <v>67.5032736</v>
      </c>
      <c r="X20" s="24">
        <v>69.260535599999997</v>
      </c>
      <c r="Y20" s="24">
        <v>30.353034000000001</v>
      </c>
      <c r="Z20" s="24">
        <v>40.308235199999999</v>
      </c>
      <c r="AA20" s="24">
        <v>38.863080799999999</v>
      </c>
      <c r="AB20" s="25">
        <v>40620.5</v>
      </c>
      <c r="AC20" s="25">
        <v>0</v>
      </c>
      <c r="AD20" s="25">
        <v>595.36599999999999</v>
      </c>
      <c r="AE20" s="25">
        <v>0</v>
      </c>
      <c r="AG20" s="20" t="str">
        <f t="shared" si="6"/>
        <v>·</v>
      </c>
      <c r="AH20" s="21" t="str">
        <f t="shared" si="7"/>
        <v>·</v>
      </c>
      <c r="AI20" s="21" t="str">
        <f t="shared" si="8"/>
        <v>·</v>
      </c>
      <c r="AJ20" s="21" t="str">
        <f t="shared" si="9"/>
        <v>·</v>
      </c>
      <c r="AK20" s="21" t="str">
        <f t="shared" si="10"/>
        <v>·</v>
      </c>
      <c r="AL20" s="18" t="str">
        <f t="shared" si="11"/>
        <v/>
      </c>
      <c r="AM20" s="21">
        <v>-12</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250</v>
      </c>
      <c r="G21" s="10">
        <v>50</v>
      </c>
      <c r="I21" s="11">
        <f t="shared" si="0"/>
        <v>2.8902672000000003</v>
      </c>
      <c r="J21" s="12">
        <f t="shared" si="1"/>
        <v>5.7666278079768839E-2</v>
      </c>
      <c r="K21" s="12">
        <f t="shared" si="2"/>
        <v>4.1706462197197876E-2</v>
      </c>
      <c r="L21" s="12">
        <f t="shared" si="3"/>
        <v>2.7153429766299066E-2</v>
      </c>
      <c r="M21" s="12">
        <f t="shared" si="4"/>
        <v>1.5959815882570963E-2</v>
      </c>
      <c r="N21" s="54">
        <f t="shared" si="5"/>
        <v>10451760</v>
      </c>
      <c r="O21" s="12">
        <v>28</v>
      </c>
      <c r="P21" s="13">
        <v>245886783</v>
      </c>
      <c r="Q21" s="13">
        <v>983547.13199999998</v>
      </c>
      <c r="R21" s="13">
        <v>33605.892</v>
      </c>
      <c r="S21" s="14">
        <v>14451336</v>
      </c>
      <c r="T21" s="14">
        <v>6804728</v>
      </c>
      <c r="U21" s="14">
        <v>3647032</v>
      </c>
      <c r="V21" s="14">
        <v>3999576</v>
      </c>
      <c r="W21" s="15">
        <v>69.0686848</v>
      </c>
      <c r="X21" s="15">
        <v>71.224064799999994</v>
      </c>
      <c r="Y21" s="15">
        <v>31.882514400000002</v>
      </c>
      <c r="Z21" s="15">
        <v>41.403127599999998</v>
      </c>
      <c r="AA21" s="15">
        <v>40.156720399999998</v>
      </c>
      <c r="AB21" s="16">
        <v>42625.9</v>
      </c>
      <c r="AC21" s="16">
        <v>0</v>
      </c>
      <c r="AD21" s="16">
        <v>619.44600000000003</v>
      </c>
      <c r="AE21" s="16">
        <v>0</v>
      </c>
      <c r="AG21" s="11" t="str">
        <f t="shared" si="6"/>
        <v>·</v>
      </c>
      <c r="AH21" s="12" t="str">
        <f t="shared" si="7"/>
        <v>·</v>
      </c>
      <c r="AI21" s="12" t="str">
        <f t="shared" si="8"/>
        <v>·</v>
      </c>
      <c r="AJ21" s="12" t="str">
        <f t="shared" si="9"/>
        <v>·</v>
      </c>
      <c r="AK21" s="12" t="str">
        <f t="shared" si="10"/>
        <v>·</v>
      </c>
      <c r="AL21" s="54" t="str">
        <f t="shared" si="11"/>
        <v/>
      </c>
      <c r="AM21" s="12">
        <v>-12</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250</v>
      </c>
      <c r="G22" s="19">
        <v>50</v>
      </c>
      <c r="I22" s="20">
        <f t="shared" si="0"/>
        <v>4.2673184000000006</v>
      </c>
      <c r="J22" s="21">
        <f t="shared" si="1"/>
        <v>8.5141044921145784E-2</v>
      </c>
      <c r="K22" s="21">
        <f t="shared" si="2"/>
        <v>4.9405240101559722E-2</v>
      </c>
      <c r="L22" s="21">
        <f t="shared" si="3"/>
        <v>3.4852207670660912E-2</v>
      </c>
      <c r="M22" s="21">
        <f t="shared" si="4"/>
        <v>3.5735804819586062E-2</v>
      </c>
      <c r="N22" s="18">
        <f t="shared" si="5"/>
        <v>12381096</v>
      </c>
      <c r="O22" s="21">
        <v>24</v>
      </c>
      <c r="P22" s="22">
        <v>252684195</v>
      </c>
      <c r="Q22" s="22">
        <v>1010736.78</v>
      </c>
      <c r="R22" s="22">
        <v>35728.872000000003</v>
      </c>
      <c r="S22" s="23">
        <v>21336592</v>
      </c>
      <c r="T22" s="23">
        <v>8734064</v>
      </c>
      <c r="U22" s="23">
        <v>3647032</v>
      </c>
      <c r="V22" s="23">
        <v>8955496</v>
      </c>
      <c r="W22" s="24">
        <v>70.264227199999993</v>
      </c>
      <c r="X22" s="24">
        <v>72.745652800000002</v>
      </c>
      <c r="Y22" s="24">
        <v>33.747084800000003</v>
      </c>
      <c r="Z22" s="24">
        <v>42.659627200000003</v>
      </c>
      <c r="AA22" s="24">
        <v>41.462639199999998</v>
      </c>
      <c r="AB22" s="25">
        <v>45444.800000000003</v>
      </c>
      <c r="AC22" s="25">
        <v>0</v>
      </c>
      <c r="AD22" s="25">
        <v>674.90899999999999</v>
      </c>
      <c r="AE22" s="25">
        <v>0</v>
      </c>
      <c r="AG22" s="20" t="str">
        <f t="shared" si="6"/>
        <v>·</v>
      </c>
      <c r="AH22" s="21" t="str">
        <f t="shared" si="7"/>
        <v>·</v>
      </c>
      <c r="AI22" s="21" t="str">
        <f t="shared" si="8"/>
        <v>·</v>
      </c>
      <c r="AJ22" s="21" t="str">
        <f t="shared" si="9"/>
        <v>·</v>
      </c>
      <c r="AK22" s="21" t="str">
        <f t="shared" si="10"/>
        <v>·</v>
      </c>
      <c r="AL22" s="18" t="str">
        <f t="shared" si="11"/>
        <v/>
      </c>
      <c r="AM22" s="21">
        <v>-12</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250</v>
      </c>
      <c r="G23" s="10">
        <v>50</v>
      </c>
      <c r="I23" s="11">
        <f t="shared" si="0"/>
        <v>7.8583632000000003</v>
      </c>
      <c r="J23" s="12">
        <f t="shared" si="1"/>
        <v>0.15678915691359682</v>
      </c>
      <c r="K23" s="12">
        <f t="shared" si="2"/>
        <v>7.2384288655313239E-2</v>
      </c>
      <c r="L23" s="12">
        <f t="shared" si="3"/>
        <v>5.7831256224414429E-2</v>
      </c>
      <c r="M23" s="12">
        <f t="shared" si="4"/>
        <v>8.4404868258283583E-2</v>
      </c>
      <c r="N23" s="54">
        <f t="shared" si="5"/>
        <v>18139712</v>
      </c>
      <c r="O23" s="12">
        <v>20</v>
      </c>
      <c r="P23" s="13">
        <v>255752821</v>
      </c>
      <c r="Q23" s="13">
        <v>1023011.284</v>
      </c>
      <c r="R23" s="13">
        <v>38087.656000000003</v>
      </c>
      <c r="S23" s="14">
        <v>39291816</v>
      </c>
      <c r="T23" s="14">
        <v>14492680</v>
      </c>
      <c r="U23" s="14">
        <v>3647032</v>
      </c>
      <c r="V23" s="14">
        <v>21152104</v>
      </c>
      <c r="W23" s="15">
        <v>71.207263600000005</v>
      </c>
      <c r="X23" s="15">
        <v>73.987683599999997</v>
      </c>
      <c r="Y23" s="15">
        <v>35.653225200000001</v>
      </c>
      <c r="Z23" s="15">
        <v>43.816416400000001</v>
      </c>
      <c r="AA23" s="15">
        <v>42.613813200000003</v>
      </c>
      <c r="AB23" s="16">
        <v>47861.8</v>
      </c>
      <c r="AC23" s="16">
        <v>0</v>
      </c>
      <c r="AD23" s="16">
        <v>636.625</v>
      </c>
      <c r="AE23" s="16">
        <v>0</v>
      </c>
      <c r="AG23" s="11" t="str">
        <f t="shared" si="6"/>
        <v>·</v>
      </c>
      <c r="AH23" s="12" t="str">
        <f t="shared" si="7"/>
        <v>·</v>
      </c>
      <c r="AI23" s="12" t="str">
        <f t="shared" si="8"/>
        <v>·</v>
      </c>
      <c r="AJ23" s="12" t="str">
        <f t="shared" si="9"/>
        <v>·</v>
      </c>
      <c r="AK23" s="12" t="str">
        <f t="shared" si="10"/>
        <v>·</v>
      </c>
      <c r="AL23" s="54" t="str">
        <f t="shared" si="11"/>
        <v/>
      </c>
      <c r="AM23" s="12">
        <v>-12</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250</v>
      </c>
      <c r="G24" s="38">
        <v>50</v>
      </c>
      <c r="I24" s="39">
        <f t="shared" si="0"/>
        <v>15.7721824</v>
      </c>
      <c r="J24" s="40">
        <f t="shared" si="1"/>
        <v>0.31468476554805586</v>
      </c>
      <c r="K24" s="40">
        <f t="shared" si="2"/>
        <v>0.12520292912343139</v>
      </c>
      <c r="L24" s="40">
        <f t="shared" si="3"/>
        <v>9.2969206807753862E-2</v>
      </c>
      <c r="M24" s="40">
        <f t="shared" si="4"/>
        <v>0.18948183642462449</v>
      </c>
      <c r="N24" s="37">
        <f t="shared" si="5"/>
        <v>31376216</v>
      </c>
      <c r="O24" s="40">
        <v>16</v>
      </c>
      <c r="P24" s="41">
        <v>244609621</v>
      </c>
      <c r="Q24" s="41">
        <v>978438.48400000005</v>
      </c>
      <c r="R24" s="41">
        <v>18826.132000000001</v>
      </c>
      <c r="S24" s="42">
        <v>78860912</v>
      </c>
      <c r="T24" s="42">
        <v>23298352</v>
      </c>
      <c r="U24" s="42">
        <v>8077864</v>
      </c>
      <c r="V24" s="42">
        <v>47484696</v>
      </c>
      <c r="W24" s="43">
        <v>71.975529199999997</v>
      </c>
      <c r="X24" s="43">
        <v>75.962815599999999</v>
      </c>
      <c r="Y24" s="43">
        <v>36.874413599999997</v>
      </c>
      <c r="Z24" s="43">
        <v>44.784684800000001</v>
      </c>
      <c r="AA24" s="43">
        <v>43.3640264</v>
      </c>
      <c r="AB24" s="44">
        <v>50260.7</v>
      </c>
      <c r="AC24" s="44">
        <v>0</v>
      </c>
      <c r="AD24" s="44">
        <v>603.81399999999996</v>
      </c>
      <c r="AE24" s="44">
        <v>0</v>
      </c>
      <c r="AG24" s="39" t="str">
        <f t="shared" si="6"/>
        <v>·</v>
      </c>
      <c r="AH24" s="40" t="str">
        <f t="shared" si="7"/>
        <v>·</v>
      </c>
      <c r="AI24" s="40" t="str">
        <f t="shared" si="8"/>
        <v>·</v>
      </c>
      <c r="AJ24" s="40" t="str">
        <f t="shared" si="9"/>
        <v>·</v>
      </c>
      <c r="AK24" s="40" t="str">
        <f t="shared" si="10"/>
        <v>·</v>
      </c>
      <c r="AL24" s="37" t="str">
        <f t="shared" si="11"/>
        <v/>
      </c>
      <c r="AM24" s="40">
        <v>-12</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300</v>
      </c>
      <c r="G25" s="10">
        <v>30</v>
      </c>
      <c r="I25" s="11">
        <f t="shared" si="0"/>
        <v>2.1614247999999998</v>
      </c>
      <c r="J25" s="12">
        <f t="shared" si="1"/>
        <v>8.6355237206053467E-2</v>
      </c>
      <c r="K25" s="12">
        <f t="shared" si="2"/>
        <v>5.5657553146715735E-2</v>
      </c>
      <c r="L25" s="12">
        <f t="shared" si="3"/>
        <v>3.4247645040914231E-2</v>
      </c>
      <c r="M25" s="12">
        <f t="shared" si="4"/>
        <v>3.0697684059337729E-2</v>
      </c>
      <c r="N25" s="54">
        <f t="shared" si="5"/>
        <v>13930784</v>
      </c>
      <c r="O25" s="12">
        <v>32</v>
      </c>
      <c r="P25" s="13">
        <v>232261685</v>
      </c>
      <c r="Q25" s="13">
        <v>774205.61666666705</v>
      </c>
      <c r="R25" s="13">
        <v>16147.07</v>
      </c>
      <c r="S25" s="14">
        <v>21614248</v>
      </c>
      <c r="T25" s="14">
        <v>8572000</v>
      </c>
      <c r="U25" s="14">
        <v>5358784</v>
      </c>
      <c r="V25" s="14">
        <v>7683464</v>
      </c>
      <c r="W25" s="15">
        <v>66.374413333333393</v>
      </c>
      <c r="X25" s="15">
        <v>68.133944999999997</v>
      </c>
      <c r="Y25" s="15">
        <v>25.855201666666701</v>
      </c>
      <c r="Z25" s="15">
        <v>32.413240999999999</v>
      </c>
      <c r="AA25" s="15">
        <v>31.576485000000002</v>
      </c>
      <c r="AB25" s="16">
        <v>49732.5</v>
      </c>
      <c r="AC25" s="16">
        <v>0</v>
      </c>
      <c r="AD25" s="16">
        <v>657.58399999999995</v>
      </c>
      <c r="AE25" s="16">
        <v>0</v>
      </c>
      <c r="AG25" s="11" t="str">
        <f t="shared" si="6"/>
        <v>·</v>
      </c>
      <c r="AH25" s="12" t="str">
        <f t="shared" si="7"/>
        <v>·</v>
      </c>
      <c r="AI25" s="12" t="str">
        <f t="shared" si="8"/>
        <v>·</v>
      </c>
      <c r="AJ25" s="12" t="str">
        <f t="shared" si="9"/>
        <v>·</v>
      </c>
      <c r="AK25" s="12" t="str">
        <f t="shared" si="10"/>
        <v>·</v>
      </c>
      <c r="AL25" s="54" t="str">
        <f t="shared" si="11"/>
        <v/>
      </c>
      <c r="AM25" s="12">
        <v>-12</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300</v>
      </c>
      <c r="G26" s="19">
        <v>30</v>
      </c>
      <c r="I26" s="20">
        <f t="shared" si="0"/>
        <v>3.3307623999999998</v>
      </c>
      <c r="J26" s="21">
        <f t="shared" si="1"/>
        <v>0.13307369154319129</v>
      </c>
      <c r="K26" s="21">
        <f t="shared" si="2"/>
        <v>6.9723410952619025E-2</v>
      </c>
      <c r="L26" s="21">
        <f t="shared" si="3"/>
        <v>4.8313502846817513E-2</v>
      </c>
      <c r="M26" s="21">
        <f t="shared" si="4"/>
        <v>6.3350280590572267E-2</v>
      </c>
      <c r="N26" s="18">
        <f t="shared" si="5"/>
        <v>17451392</v>
      </c>
      <c r="O26" s="21">
        <v>28</v>
      </c>
      <c r="P26" s="22">
        <v>244017051</v>
      </c>
      <c r="Q26" s="22">
        <v>813390.17</v>
      </c>
      <c r="R26" s="22">
        <v>19452.830000000002</v>
      </c>
      <c r="S26" s="23">
        <v>33307624</v>
      </c>
      <c r="T26" s="23">
        <v>12092608</v>
      </c>
      <c r="U26" s="23">
        <v>5358784</v>
      </c>
      <c r="V26" s="23">
        <v>15856232</v>
      </c>
      <c r="W26" s="24">
        <v>68.073436000000001</v>
      </c>
      <c r="X26" s="24">
        <v>70.121058999999903</v>
      </c>
      <c r="Y26" s="24">
        <v>27.8821053333333</v>
      </c>
      <c r="Z26" s="24">
        <v>33.601266333333299</v>
      </c>
      <c r="AA26" s="24">
        <v>32.965452333333403</v>
      </c>
      <c r="AB26" s="25">
        <v>52015</v>
      </c>
      <c r="AC26" s="25">
        <v>0</v>
      </c>
      <c r="AD26" s="25">
        <v>673.80499999999995</v>
      </c>
      <c r="AE26" s="25">
        <v>0</v>
      </c>
      <c r="AG26" s="20" t="str">
        <f t="shared" si="6"/>
        <v>·</v>
      </c>
      <c r="AH26" s="21" t="str">
        <f t="shared" si="7"/>
        <v>·</v>
      </c>
      <c r="AI26" s="21" t="str">
        <f t="shared" si="8"/>
        <v>·</v>
      </c>
      <c r="AJ26" s="21" t="str">
        <f t="shared" si="9"/>
        <v>·</v>
      </c>
      <c r="AK26" s="21" t="str">
        <f t="shared" si="10"/>
        <v>·</v>
      </c>
      <c r="AL26" s="18" t="str">
        <f t="shared" si="11"/>
        <v/>
      </c>
      <c r="AM26" s="21">
        <v>-12</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300</v>
      </c>
      <c r="G27" s="10">
        <v>30</v>
      </c>
      <c r="I27" s="11">
        <f t="shared" si="0"/>
        <v>5.6178415999999993</v>
      </c>
      <c r="J27" s="12">
        <f t="shared" si="1"/>
        <v>0.22444918923574622</v>
      </c>
      <c r="K27" s="12">
        <f t="shared" si="2"/>
        <v>9.040224450403804E-2</v>
      </c>
      <c r="L27" s="12">
        <f t="shared" si="3"/>
        <v>6.8992336398236542E-2</v>
      </c>
      <c r="M27" s="12">
        <f t="shared" si="4"/>
        <v>0.13404694473170817</v>
      </c>
      <c r="N27" s="54">
        <f t="shared" si="5"/>
        <v>22627192</v>
      </c>
      <c r="O27" s="12">
        <v>24</v>
      </c>
      <c r="P27" s="13">
        <v>246258006</v>
      </c>
      <c r="Q27" s="13">
        <v>820860.02</v>
      </c>
      <c r="R27" s="13">
        <v>20381.416666666701</v>
      </c>
      <c r="S27" s="14">
        <v>56178416</v>
      </c>
      <c r="T27" s="14">
        <v>17268408</v>
      </c>
      <c r="U27" s="14">
        <v>5358784</v>
      </c>
      <c r="V27" s="14">
        <v>33551224</v>
      </c>
      <c r="W27" s="15">
        <v>69.364096000000004</v>
      </c>
      <c r="X27" s="15">
        <v>71.800466333333304</v>
      </c>
      <c r="Y27" s="15">
        <v>30.184962333333299</v>
      </c>
      <c r="Z27" s="15">
        <v>34.850964666666698</v>
      </c>
      <c r="AA27" s="15">
        <v>34.304518666666702</v>
      </c>
      <c r="AB27" s="16">
        <v>54937.7</v>
      </c>
      <c r="AC27" s="16">
        <v>0</v>
      </c>
      <c r="AD27" s="16">
        <v>675.14099999999996</v>
      </c>
      <c r="AE27" s="16">
        <v>0</v>
      </c>
      <c r="AG27" s="11" t="str">
        <f t="shared" si="6"/>
        <v>·</v>
      </c>
      <c r="AH27" s="12" t="str">
        <f t="shared" si="7"/>
        <v>·</v>
      </c>
      <c r="AI27" s="12" t="str">
        <f t="shared" si="8"/>
        <v>·</v>
      </c>
      <c r="AJ27" s="12" t="str">
        <f t="shared" si="9"/>
        <v>·</v>
      </c>
      <c r="AK27" s="12" t="str">
        <f t="shared" si="10"/>
        <v>·</v>
      </c>
      <c r="AL27" s="54" t="str">
        <f t="shared" si="11"/>
        <v/>
      </c>
      <c r="AM27" s="12">
        <v>-12</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300</v>
      </c>
      <c r="G28" s="19">
        <v>30</v>
      </c>
      <c r="I28" s="20">
        <f t="shared" si="0"/>
        <v>10.8538584</v>
      </c>
      <c r="J28" s="21">
        <f t="shared" si="1"/>
        <v>0.43364336188467717</v>
      </c>
      <c r="K28" s="21">
        <f t="shared" si="2"/>
        <v>0.12778939018344393</v>
      </c>
      <c r="L28" s="21">
        <f t="shared" si="3"/>
        <v>0.10637948207764242</v>
      </c>
      <c r="M28" s="21">
        <f t="shared" si="4"/>
        <v>0.30585397170123324</v>
      </c>
      <c r="N28" s="18">
        <f t="shared" si="5"/>
        <v>31984992</v>
      </c>
      <c r="O28" s="21">
        <v>20</v>
      </c>
      <c r="P28" s="22">
        <v>253130702</v>
      </c>
      <c r="Q28" s="22">
        <v>843769.00666666694</v>
      </c>
      <c r="R28" s="22">
        <v>22971.599999999999</v>
      </c>
      <c r="S28" s="23">
        <v>108538584</v>
      </c>
      <c r="T28" s="23">
        <v>26626208</v>
      </c>
      <c r="U28" s="23">
        <v>5358784</v>
      </c>
      <c r="V28" s="23">
        <v>76553592</v>
      </c>
      <c r="W28" s="24">
        <v>70.489875999999995</v>
      </c>
      <c r="X28" s="24">
        <v>73.051126666666605</v>
      </c>
      <c r="Y28" s="24">
        <v>32.697090000000003</v>
      </c>
      <c r="Z28" s="24">
        <v>36.405289666666597</v>
      </c>
      <c r="AA28" s="24">
        <v>35.851776666666701</v>
      </c>
      <c r="AB28" s="25">
        <v>58709.2</v>
      </c>
      <c r="AC28" s="25">
        <v>0</v>
      </c>
      <c r="AD28" s="25">
        <v>724.20100000000002</v>
      </c>
      <c r="AE28" s="25">
        <v>0</v>
      </c>
      <c r="AG28" s="20" t="str">
        <f t="shared" si="6"/>
        <v>·</v>
      </c>
      <c r="AH28" s="21" t="str">
        <f t="shared" si="7"/>
        <v>·</v>
      </c>
      <c r="AI28" s="21" t="str">
        <f t="shared" si="8"/>
        <v>·</v>
      </c>
      <c r="AJ28" s="21" t="str">
        <f t="shared" si="9"/>
        <v>·</v>
      </c>
      <c r="AK28" s="21" t="str">
        <f t="shared" si="10"/>
        <v>·</v>
      </c>
      <c r="AL28" s="18" t="str">
        <f t="shared" si="11"/>
        <v/>
      </c>
      <c r="AM28" s="21">
        <v>-12</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300</v>
      </c>
      <c r="G29" s="28">
        <v>30</v>
      </c>
      <c r="I29" s="29">
        <f t="shared" si="0"/>
        <v>25.057192799999999</v>
      </c>
      <c r="J29" s="30">
        <f t="shared" si="1"/>
        <v>1.001108078320289</v>
      </c>
      <c r="K29" s="30">
        <f t="shared" si="2"/>
        <v>0.21113722709347341</v>
      </c>
      <c r="L29" s="30">
        <f t="shared" si="3"/>
        <v>0.1675664557533251</v>
      </c>
      <c r="M29" s="30">
        <f t="shared" si="4"/>
        <v>0.78997085122681565</v>
      </c>
      <c r="N29" s="27">
        <f t="shared" si="5"/>
        <v>52846504</v>
      </c>
      <c r="O29" s="30">
        <v>16</v>
      </c>
      <c r="P29" s="31">
        <v>243606103</v>
      </c>
      <c r="Q29" s="31">
        <v>812020.34333333303</v>
      </c>
      <c r="R29" s="31">
        <v>10652.176666666701</v>
      </c>
      <c r="S29" s="32">
        <v>250571928</v>
      </c>
      <c r="T29" s="32">
        <v>41940976</v>
      </c>
      <c r="U29" s="32">
        <v>10905528</v>
      </c>
      <c r="V29" s="32">
        <v>197725424</v>
      </c>
      <c r="W29" s="33">
        <v>71.188857333333303</v>
      </c>
      <c r="X29" s="33">
        <v>74.930261666666595</v>
      </c>
      <c r="Y29" s="33">
        <v>35.698859333333303</v>
      </c>
      <c r="Z29" s="33">
        <v>38.379231333333301</v>
      </c>
      <c r="AA29" s="33">
        <v>37.764484000000003</v>
      </c>
      <c r="AB29" s="34">
        <v>71910.3</v>
      </c>
      <c r="AC29" s="34">
        <v>0</v>
      </c>
      <c r="AD29" s="34">
        <v>743.19799999999998</v>
      </c>
      <c r="AE29" s="34">
        <v>0</v>
      </c>
      <c r="AG29" s="29" t="str">
        <f t="shared" si="6"/>
        <v>·</v>
      </c>
      <c r="AH29" s="30" t="str">
        <f t="shared" si="7"/>
        <v>·</v>
      </c>
      <c r="AI29" s="30" t="str">
        <f t="shared" si="8"/>
        <v>·</v>
      </c>
      <c r="AJ29" s="30" t="str">
        <f t="shared" si="9"/>
        <v>·</v>
      </c>
      <c r="AK29" s="30" t="str">
        <f t="shared" si="10"/>
        <v>·</v>
      </c>
      <c r="AL29" s="27" t="str">
        <f t="shared" si="11"/>
        <v/>
      </c>
      <c r="AM29" s="30">
        <v>-12</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186907991</v>
      </c>
      <c r="E30" s="19">
        <v>11</v>
      </c>
      <c r="F30" s="19">
        <v>64</v>
      </c>
      <c r="G30" s="19">
        <v>30</v>
      </c>
      <c r="I30" s="20">
        <f t="shared" si="0"/>
        <v>3.9568612500000002</v>
      </c>
      <c r="J30" s="21">
        <f t="shared" si="1"/>
        <v>4.5162884448316606E-2</v>
      </c>
      <c r="K30" s="21">
        <f t="shared" si="2"/>
        <v>3.5253281385919988E-2</v>
      </c>
      <c r="L30" s="21">
        <f t="shared" si="3"/>
        <v>2.2513579957103066E-2</v>
      </c>
      <c r="M30" s="21">
        <f t="shared" si="4"/>
        <v>9.9096030623966203E-3</v>
      </c>
      <c r="N30" s="18">
        <f t="shared" si="5"/>
        <v>6589120</v>
      </c>
      <c r="O30" s="21">
        <v>32</v>
      </c>
      <c r="P30" s="22">
        <v>172279877</v>
      </c>
      <c r="Q30" s="22">
        <v>2691873.078125</v>
      </c>
      <c r="R30" s="22">
        <v>32633.046875</v>
      </c>
      <c r="S30" s="23">
        <v>8441304</v>
      </c>
      <c r="T30" s="23">
        <v>4207968</v>
      </c>
      <c r="U30" s="23">
        <v>2381152</v>
      </c>
      <c r="V30" s="23">
        <v>1852184</v>
      </c>
      <c r="W30" s="24">
        <v>73.543334375000001</v>
      </c>
      <c r="X30" s="24">
        <v>75.641967187500001</v>
      </c>
      <c r="Y30" s="24">
        <v>32.978206249999999</v>
      </c>
      <c r="Z30" s="24">
        <v>41.915018750000002</v>
      </c>
      <c r="AA30" s="24">
        <v>43.292015624999998</v>
      </c>
      <c r="AB30" s="25">
        <v>41896.5</v>
      </c>
      <c r="AC30" s="25">
        <v>0</v>
      </c>
      <c r="AD30" s="25">
        <v>529.47400000000005</v>
      </c>
      <c r="AE30" s="25">
        <v>0</v>
      </c>
      <c r="AG30" s="20" t="str">
        <f t="shared" si="6"/>
        <v>·</v>
      </c>
      <c r="AH30" s="21" t="str">
        <f t="shared" si="7"/>
        <v>·</v>
      </c>
      <c r="AI30" s="21" t="str">
        <f t="shared" si="8"/>
        <v>·</v>
      </c>
      <c r="AJ30" s="21" t="str">
        <f t="shared" si="9"/>
        <v>·</v>
      </c>
      <c r="AK30" s="21" t="str">
        <f t="shared" si="10"/>
        <v>·</v>
      </c>
      <c r="AL30" s="18" t="str">
        <f t="shared" si="11"/>
        <v/>
      </c>
      <c r="AM30" s="21">
        <v>-12</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186907991</v>
      </c>
      <c r="E31" s="10">
        <v>11</v>
      </c>
      <c r="F31" s="10">
        <v>64</v>
      </c>
      <c r="G31" s="10">
        <v>30</v>
      </c>
      <c r="I31" s="11">
        <f t="shared" si="0"/>
        <v>5.3029312500000003</v>
      </c>
      <c r="J31" s="12">
        <f t="shared" si="1"/>
        <v>6.0526679140219315E-2</v>
      </c>
      <c r="K31" s="12">
        <f t="shared" si="2"/>
        <v>4.3622875385782731E-2</v>
      </c>
      <c r="L31" s="12">
        <f t="shared" si="3"/>
        <v>3.0883173956965809E-2</v>
      </c>
      <c r="M31" s="12">
        <f t="shared" si="4"/>
        <v>1.6903803754436588E-2</v>
      </c>
      <c r="N31" s="54">
        <f t="shared" si="5"/>
        <v>8153464</v>
      </c>
      <c r="O31" s="12">
        <v>28</v>
      </c>
      <c r="P31" s="13">
        <v>181511850</v>
      </c>
      <c r="Q31" s="13">
        <v>2836122.65625</v>
      </c>
      <c r="R31" s="13">
        <v>39904.75</v>
      </c>
      <c r="S31" s="14">
        <v>11312920</v>
      </c>
      <c r="T31" s="14">
        <v>5772312</v>
      </c>
      <c r="U31" s="14">
        <v>2381152</v>
      </c>
      <c r="V31" s="14">
        <v>3159456</v>
      </c>
      <c r="W31" s="15">
        <v>75.180518750000005</v>
      </c>
      <c r="X31" s="15">
        <v>77.545082812499999</v>
      </c>
      <c r="Y31" s="15">
        <v>35.004396874999998</v>
      </c>
      <c r="Z31" s="15">
        <v>42.569007812499997</v>
      </c>
      <c r="AA31" s="15">
        <v>44.483912500000002</v>
      </c>
      <c r="AB31" s="16">
        <v>45281.5</v>
      </c>
      <c r="AC31" s="16">
        <v>0</v>
      </c>
      <c r="AD31" s="16">
        <v>556.697</v>
      </c>
      <c r="AE31" s="16">
        <v>0</v>
      </c>
      <c r="AG31" s="11" t="str">
        <f t="shared" si="6"/>
        <v>·</v>
      </c>
      <c r="AH31" s="12" t="str">
        <f t="shared" si="7"/>
        <v>·</v>
      </c>
      <c r="AI31" s="12" t="str">
        <f t="shared" si="8"/>
        <v>·</v>
      </c>
      <c r="AJ31" s="12" t="str">
        <f t="shared" si="9"/>
        <v>·</v>
      </c>
      <c r="AK31" s="12" t="str">
        <f t="shared" si="10"/>
        <v>·</v>
      </c>
      <c r="AL31" s="54" t="str">
        <f t="shared" si="11"/>
        <v/>
      </c>
      <c r="AM31" s="12">
        <v>-12</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186907991</v>
      </c>
      <c r="E32" s="19">
        <v>11</v>
      </c>
      <c r="F32" s="19">
        <v>64</v>
      </c>
      <c r="G32" s="19">
        <v>30</v>
      </c>
      <c r="I32" s="20">
        <f t="shared" si="0"/>
        <v>7.6457850000000001</v>
      </c>
      <c r="J32" s="21">
        <f t="shared" si="1"/>
        <v>8.7267579693797045E-2</v>
      </c>
      <c r="K32" s="21">
        <f t="shared" si="2"/>
        <v>5.5850025160240471E-2</v>
      </c>
      <c r="L32" s="21">
        <f t="shared" si="3"/>
        <v>4.3110323731423553E-2</v>
      </c>
      <c r="M32" s="21">
        <f t="shared" si="4"/>
        <v>3.1417554533556567E-2</v>
      </c>
      <c r="N32" s="18">
        <f t="shared" si="5"/>
        <v>10438816</v>
      </c>
      <c r="O32" s="21">
        <v>24</v>
      </c>
      <c r="P32" s="22">
        <v>184180151</v>
      </c>
      <c r="Q32" s="22">
        <v>2877814.859375</v>
      </c>
      <c r="R32" s="22">
        <v>42774.359375</v>
      </c>
      <c r="S32" s="23">
        <v>16311008</v>
      </c>
      <c r="T32" s="23">
        <v>8057664</v>
      </c>
      <c r="U32" s="23">
        <v>2381152</v>
      </c>
      <c r="V32" s="23">
        <v>5872192</v>
      </c>
      <c r="W32" s="24">
        <v>76.420257812499997</v>
      </c>
      <c r="X32" s="24">
        <v>79.110500000000002</v>
      </c>
      <c r="Y32" s="24">
        <v>36.886706250000003</v>
      </c>
      <c r="Z32" s="24">
        <v>43.160054687500001</v>
      </c>
      <c r="AA32" s="24">
        <v>45.947653125000002</v>
      </c>
      <c r="AB32" s="25">
        <v>43218.1</v>
      </c>
      <c r="AC32" s="25">
        <v>0</v>
      </c>
      <c r="AD32" s="25">
        <v>525.53899999999999</v>
      </c>
      <c r="AE32" s="25">
        <v>0</v>
      </c>
      <c r="AG32" s="20" t="str">
        <f t="shared" si="6"/>
        <v>·</v>
      </c>
      <c r="AH32" s="21" t="str">
        <f t="shared" si="7"/>
        <v>·</v>
      </c>
      <c r="AI32" s="21" t="str">
        <f t="shared" si="8"/>
        <v>·</v>
      </c>
      <c r="AJ32" s="21" t="str">
        <f t="shared" si="9"/>
        <v>·</v>
      </c>
      <c r="AK32" s="21" t="str">
        <f t="shared" si="10"/>
        <v>·</v>
      </c>
      <c r="AL32" s="18" t="str">
        <f t="shared" si="11"/>
        <v/>
      </c>
      <c r="AM32" s="21">
        <v>-12</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186907991</v>
      </c>
      <c r="E33" s="10">
        <v>11</v>
      </c>
      <c r="F33" s="10">
        <v>64</v>
      </c>
      <c r="G33" s="10">
        <v>30</v>
      </c>
      <c r="I33" s="11">
        <f t="shared" si="0"/>
        <v>12.6392475</v>
      </c>
      <c r="J33" s="12">
        <f t="shared" si="1"/>
        <v>0.14426203960428852</v>
      </c>
      <c r="K33" s="12">
        <f t="shared" si="2"/>
        <v>7.7637344034156355E-2</v>
      </c>
      <c r="L33" s="12">
        <f t="shared" si="3"/>
        <v>6.4897642605339437E-2</v>
      </c>
      <c r="M33" s="12">
        <f t="shared" si="4"/>
        <v>6.6624695570132147E-2</v>
      </c>
      <c r="N33" s="54">
        <f t="shared" si="5"/>
        <v>14511040</v>
      </c>
      <c r="O33" s="12">
        <v>20</v>
      </c>
      <c r="P33" s="13">
        <v>188808885</v>
      </c>
      <c r="Q33" s="13">
        <v>2950138.828125</v>
      </c>
      <c r="R33" s="13">
        <v>47745.578125</v>
      </c>
      <c r="S33" s="14">
        <v>26963728</v>
      </c>
      <c r="T33" s="14">
        <v>12129888</v>
      </c>
      <c r="U33" s="14">
        <v>2381152</v>
      </c>
      <c r="V33" s="14">
        <v>12452688</v>
      </c>
      <c r="W33" s="15">
        <v>77.551310937500006</v>
      </c>
      <c r="X33" s="15">
        <v>80.269495312499998</v>
      </c>
      <c r="Y33" s="15">
        <v>38.694698437500001</v>
      </c>
      <c r="Z33" s="15">
        <v>43.74609375</v>
      </c>
      <c r="AA33" s="15">
        <v>47.272504687500003</v>
      </c>
      <c r="AB33" s="16">
        <v>47572.1</v>
      </c>
      <c r="AC33" s="16">
        <v>0</v>
      </c>
      <c r="AD33" s="16">
        <v>581.34299999999996</v>
      </c>
      <c r="AE33" s="16">
        <v>0</v>
      </c>
      <c r="AG33" s="11" t="str">
        <f t="shared" si="6"/>
        <v>·</v>
      </c>
      <c r="AH33" s="12" t="str">
        <f t="shared" si="7"/>
        <v>·</v>
      </c>
      <c r="AI33" s="12" t="str">
        <f t="shared" si="8"/>
        <v>·</v>
      </c>
      <c r="AJ33" s="12" t="str">
        <f t="shared" si="9"/>
        <v>·</v>
      </c>
      <c r="AK33" s="12" t="str">
        <f t="shared" si="10"/>
        <v>·</v>
      </c>
      <c r="AL33" s="54" t="str">
        <f t="shared" si="11"/>
        <v/>
      </c>
      <c r="AM33" s="12">
        <v>-12</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186907991</v>
      </c>
      <c r="E34" s="38">
        <v>11</v>
      </c>
      <c r="F34" s="38">
        <v>64</v>
      </c>
      <c r="G34" s="38">
        <v>30</v>
      </c>
      <c r="I34" s="39">
        <f t="shared" si="0"/>
        <v>25.56679875</v>
      </c>
      <c r="J34" s="40">
        <f t="shared" si="1"/>
        <v>0.29181472503227535</v>
      </c>
      <c r="K34" s="40">
        <f t="shared" si="2"/>
        <v>0.12904462709676229</v>
      </c>
      <c r="L34" s="40">
        <f t="shared" si="3"/>
        <v>0.10267618787898694</v>
      </c>
      <c r="M34" s="40">
        <f t="shared" si="4"/>
        <v>0.16277009793551309</v>
      </c>
      <c r="N34" s="37">
        <f t="shared" si="5"/>
        <v>24119472</v>
      </c>
      <c r="O34" s="40">
        <v>16</v>
      </c>
      <c r="P34" s="41">
        <v>185077129</v>
      </c>
      <c r="Q34" s="41">
        <v>2891830.140625</v>
      </c>
      <c r="R34" s="41">
        <v>18985.5625</v>
      </c>
      <c r="S34" s="42">
        <v>54542504</v>
      </c>
      <c r="T34" s="42">
        <v>19191000</v>
      </c>
      <c r="U34" s="42">
        <v>4928472</v>
      </c>
      <c r="V34" s="42">
        <v>30423032</v>
      </c>
      <c r="W34" s="43">
        <v>78.459995312499998</v>
      </c>
      <c r="X34" s="43">
        <v>81.912453124999999</v>
      </c>
      <c r="Y34" s="43">
        <v>40.515956250000002</v>
      </c>
      <c r="Z34" s="43">
        <v>44.455745312499999</v>
      </c>
      <c r="AA34" s="43">
        <v>48.740454687499998</v>
      </c>
      <c r="AB34" s="44">
        <v>51424.5</v>
      </c>
      <c r="AC34" s="44">
        <v>0</v>
      </c>
      <c r="AD34" s="44">
        <v>594.22</v>
      </c>
      <c r="AE34" s="44">
        <v>0</v>
      </c>
      <c r="AG34" s="39" t="str">
        <f t="shared" si="6"/>
        <v>·</v>
      </c>
      <c r="AH34" s="40" t="str">
        <f t="shared" si="7"/>
        <v>·</v>
      </c>
      <c r="AI34" s="40" t="str">
        <f t="shared" si="8"/>
        <v>·</v>
      </c>
      <c r="AJ34" s="40" t="str">
        <f t="shared" si="9"/>
        <v>·</v>
      </c>
      <c r="AK34" s="40" t="str">
        <f t="shared" si="10"/>
        <v>·</v>
      </c>
      <c r="AL34" s="37" t="str">
        <f t="shared" si="11"/>
        <v/>
      </c>
      <c r="AM34" s="40">
        <v>-12</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166028718</v>
      </c>
      <c r="E35" s="10">
        <v>11</v>
      </c>
      <c r="F35" s="10">
        <v>64</v>
      </c>
      <c r="G35" s="10">
        <v>30</v>
      </c>
      <c r="I35" s="11">
        <f t="shared" si="0"/>
        <v>4.3531162500000002</v>
      </c>
      <c r="J35" s="12">
        <f t="shared" si="1"/>
        <v>5.5933986071012125E-2</v>
      </c>
      <c r="K35" s="12">
        <f t="shared" si="2"/>
        <v>4.2952135545610851E-2</v>
      </c>
      <c r="L35" s="12">
        <f t="shared" si="3"/>
        <v>2.758264988831631E-2</v>
      </c>
      <c r="M35" s="12">
        <f t="shared" si="4"/>
        <v>1.2981850525401274E-2</v>
      </c>
      <c r="N35" s="54">
        <f t="shared" si="5"/>
        <v>7131288</v>
      </c>
      <c r="O35" s="12">
        <v>32</v>
      </c>
      <c r="P35" s="13">
        <v>149783644</v>
      </c>
      <c r="Q35" s="13">
        <v>2340369.4375</v>
      </c>
      <c r="R35" s="13">
        <v>30839.203125</v>
      </c>
      <c r="S35" s="14">
        <v>9286648</v>
      </c>
      <c r="T35" s="14">
        <v>4579512</v>
      </c>
      <c r="U35" s="14">
        <v>2551776</v>
      </c>
      <c r="V35" s="14">
        <v>2155360</v>
      </c>
      <c r="W35" s="15">
        <v>73.210621875000001</v>
      </c>
      <c r="X35" s="15">
        <v>75.410435937499997</v>
      </c>
      <c r="Y35" s="15">
        <v>31.882476562499999</v>
      </c>
      <c r="Z35" s="15">
        <v>42.072773437499997</v>
      </c>
      <c r="AA35" s="15">
        <v>43.235689062500001</v>
      </c>
      <c r="AB35" s="16">
        <v>36448.699999999997</v>
      </c>
      <c r="AC35" s="16">
        <v>0</v>
      </c>
      <c r="AD35" s="16">
        <v>435.14699999999999</v>
      </c>
      <c r="AE35" s="16">
        <v>0</v>
      </c>
      <c r="AG35" s="11" t="str">
        <f t="shared" si="6"/>
        <v>·</v>
      </c>
      <c r="AH35" s="12" t="str">
        <f t="shared" si="7"/>
        <v>·</v>
      </c>
      <c r="AI35" s="12" t="str">
        <f t="shared" si="8"/>
        <v>·</v>
      </c>
      <c r="AJ35" s="12" t="str">
        <f t="shared" si="9"/>
        <v>·</v>
      </c>
      <c r="AK35" s="12" t="str">
        <f t="shared" si="10"/>
        <v>·</v>
      </c>
      <c r="AL35" s="54" t="str">
        <f t="shared" si="11"/>
        <v/>
      </c>
      <c r="AM35" s="12">
        <v>-12</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166028718</v>
      </c>
      <c r="E36" s="19">
        <v>11</v>
      </c>
      <c r="F36" s="19">
        <v>64</v>
      </c>
      <c r="G36" s="19">
        <v>30</v>
      </c>
      <c r="I36" s="20">
        <f t="shared" si="0"/>
        <v>5.8636274999999998</v>
      </c>
      <c r="J36" s="21">
        <f t="shared" si="1"/>
        <v>7.5342821113634093E-2</v>
      </c>
      <c r="K36" s="21">
        <f t="shared" si="2"/>
        <v>5.3268712223628688E-2</v>
      </c>
      <c r="L36" s="21">
        <f t="shared" si="3"/>
        <v>3.7899226566334147E-2</v>
      </c>
      <c r="M36" s="21">
        <f t="shared" si="4"/>
        <v>2.2074108890005401E-2</v>
      </c>
      <c r="N36" s="18">
        <f t="shared" si="5"/>
        <v>8844136</v>
      </c>
      <c r="O36" s="21">
        <v>28</v>
      </c>
      <c r="P36" s="22">
        <v>159875215</v>
      </c>
      <c r="Q36" s="22">
        <v>2498050.234375</v>
      </c>
      <c r="R36" s="22">
        <v>38977.515625</v>
      </c>
      <c r="S36" s="23">
        <v>12509072</v>
      </c>
      <c r="T36" s="23">
        <v>6292360</v>
      </c>
      <c r="U36" s="23">
        <v>2551776</v>
      </c>
      <c r="V36" s="23">
        <v>3664936</v>
      </c>
      <c r="W36" s="24">
        <v>74.944845312499993</v>
      </c>
      <c r="X36" s="24">
        <v>77.366623437499996</v>
      </c>
      <c r="Y36" s="24">
        <v>34.096942187499998</v>
      </c>
      <c r="Z36" s="24">
        <v>42.914271874999997</v>
      </c>
      <c r="AA36" s="24">
        <v>44.878378124999998</v>
      </c>
      <c r="AB36" s="25">
        <v>37080.199999999997</v>
      </c>
      <c r="AC36" s="25">
        <v>0</v>
      </c>
      <c r="AD36" s="25">
        <v>436.74299999999999</v>
      </c>
      <c r="AE36" s="25">
        <v>0</v>
      </c>
      <c r="AG36" s="20" t="str">
        <f t="shared" si="6"/>
        <v>·</v>
      </c>
      <c r="AH36" s="21" t="str">
        <f t="shared" si="7"/>
        <v>·</v>
      </c>
      <c r="AI36" s="21" t="str">
        <f t="shared" si="8"/>
        <v>·</v>
      </c>
      <c r="AJ36" s="21" t="str">
        <f t="shared" si="9"/>
        <v>·</v>
      </c>
      <c r="AK36" s="21" t="str">
        <f t="shared" si="10"/>
        <v>·</v>
      </c>
      <c r="AL36" s="18" t="str">
        <f t="shared" si="11"/>
        <v/>
      </c>
      <c r="AM36" s="21">
        <v>-12</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166028718</v>
      </c>
      <c r="E37" s="10">
        <v>11</v>
      </c>
      <c r="F37" s="10">
        <v>64</v>
      </c>
      <c r="G37" s="10">
        <v>30</v>
      </c>
      <c r="I37" s="11">
        <f t="shared" si="0"/>
        <v>8.4475762499999991</v>
      </c>
      <c r="J37" s="12">
        <f t="shared" si="1"/>
        <v>0.10854445072568711</v>
      </c>
      <c r="K37" s="12">
        <f t="shared" si="2"/>
        <v>6.8182903152935265E-2</v>
      </c>
      <c r="L37" s="12">
        <f t="shared" si="3"/>
        <v>5.2813417495640724E-2</v>
      </c>
      <c r="M37" s="12">
        <f t="shared" si="4"/>
        <v>4.0361547572751844E-2</v>
      </c>
      <c r="N37" s="54">
        <f t="shared" si="5"/>
        <v>11320320</v>
      </c>
      <c r="O37" s="12">
        <v>24</v>
      </c>
      <c r="P37" s="13">
        <v>163075557</v>
      </c>
      <c r="Q37" s="13">
        <v>2548055.578125</v>
      </c>
      <c r="R37" s="13">
        <v>41994.140625</v>
      </c>
      <c r="S37" s="14">
        <v>18021496</v>
      </c>
      <c r="T37" s="14">
        <v>8768544</v>
      </c>
      <c r="U37" s="14">
        <v>2551776</v>
      </c>
      <c r="V37" s="14">
        <v>6701176</v>
      </c>
      <c r="W37" s="15">
        <v>76.243348437500003</v>
      </c>
      <c r="X37" s="15">
        <v>78.984892187499995</v>
      </c>
      <c r="Y37" s="15">
        <v>36.188376562499997</v>
      </c>
      <c r="Z37" s="15">
        <v>43.480804687499997</v>
      </c>
      <c r="AA37" s="15">
        <v>46.125068749999997</v>
      </c>
      <c r="AB37" s="16">
        <v>39148.6</v>
      </c>
      <c r="AC37" s="16">
        <v>0</v>
      </c>
      <c r="AD37" s="16">
        <v>452.69299999999998</v>
      </c>
      <c r="AE37" s="16">
        <v>0</v>
      </c>
      <c r="AG37" s="11" t="str">
        <f t="shared" si="6"/>
        <v>·</v>
      </c>
      <c r="AH37" s="12" t="str">
        <f t="shared" si="7"/>
        <v>·</v>
      </c>
      <c r="AI37" s="12" t="str">
        <f t="shared" si="8"/>
        <v>·</v>
      </c>
      <c r="AJ37" s="12" t="str">
        <f t="shared" si="9"/>
        <v>·</v>
      </c>
      <c r="AK37" s="12" t="str">
        <f t="shared" si="10"/>
        <v>·</v>
      </c>
      <c r="AL37" s="54" t="str">
        <f t="shared" si="11"/>
        <v/>
      </c>
      <c r="AM37" s="12">
        <v>-12</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166028718</v>
      </c>
      <c r="E38" s="19">
        <v>11</v>
      </c>
      <c r="F38" s="19">
        <v>64</v>
      </c>
      <c r="G38" s="19">
        <v>30</v>
      </c>
      <c r="I38" s="20">
        <f t="shared" si="0"/>
        <v>13.788768749999999</v>
      </c>
      <c r="J38" s="21">
        <f t="shared" si="1"/>
        <v>0.17717440906819507</v>
      </c>
      <c r="K38" s="21">
        <f t="shared" si="2"/>
        <v>9.3316916414424161E-2</v>
      </c>
      <c r="L38" s="21">
        <f t="shared" si="3"/>
        <v>7.7947430757129621E-2</v>
      </c>
      <c r="M38" s="21">
        <f t="shared" si="4"/>
        <v>8.3857492653770904E-2</v>
      </c>
      <c r="N38" s="18">
        <f t="shared" si="5"/>
        <v>15493288</v>
      </c>
      <c r="O38" s="21">
        <v>20</v>
      </c>
      <c r="P38" s="22">
        <v>167304628</v>
      </c>
      <c r="Q38" s="22">
        <v>2614134.8125</v>
      </c>
      <c r="R38" s="22">
        <v>47006.4375</v>
      </c>
      <c r="S38" s="23">
        <v>29416040</v>
      </c>
      <c r="T38" s="23">
        <v>12941512</v>
      </c>
      <c r="U38" s="23">
        <v>2551776</v>
      </c>
      <c r="V38" s="23">
        <v>13922752</v>
      </c>
      <c r="W38" s="24">
        <v>77.419457812499999</v>
      </c>
      <c r="X38" s="24">
        <v>80.179710937500005</v>
      </c>
      <c r="Y38" s="24">
        <v>38.161626562499997</v>
      </c>
      <c r="Z38" s="24">
        <v>44.155389062499999</v>
      </c>
      <c r="AA38" s="24">
        <v>47.278684374999997</v>
      </c>
      <c r="AB38" s="25">
        <v>43919.5</v>
      </c>
      <c r="AC38" s="25">
        <v>0</v>
      </c>
      <c r="AD38" s="25">
        <v>499.291</v>
      </c>
      <c r="AE38" s="25">
        <v>0</v>
      </c>
      <c r="AG38" s="20" t="str">
        <f t="shared" si="6"/>
        <v>·</v>
      </c>
      <c r="AH38" s="21" t="str">
        <f t="shared" si="7"/>
        <v>·</v>
      </c>
      <c r="AI38" s="21" t="str">
        <f t="shared" si="8"/>
        <v>·</v>
      </c>
      <c r="AJ38" s="21" t="str">
        <f t="shared" si="9"/>
        <v>·</v>
      </c>
      <c r="AK38" s="21" t="str">
        <f t="shared" si="10"/>
        <v>·</v>
      </c>
      <c r="AL38" s="18" t="str">
        <f t="shared" si="11"/>
        <v/>
      </c>
      <c r="AM38" s="21">
        <v>-12</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166028718</v>
      </c>
      <c r="E39" s="28">
        <v>11</v>
      </c>
      <c r="F39" s="28">
        <v>64</v>
      </c>
      <c r="G39" s="28">
        <v>30</v>
      </c>
      <c r="I39" s="29">
        <f t="shared" si="0"/>
        <v>27.482534999999999</v>
      </c>
      <c r="J39" s="30">
        <f t="shared" si="1"/>
        <v>0.35312811365561469</v>
      </c>
      <c r="K39" s="30">
        <f t="shared" si="2"/>
        <v>0.15178896942395231</v>
      </c>
      <c r="L39" s="30">
        <f t="shared" si="3"/>
        <v>0.12046050972940718</v>
      </c>
      <c r="M39" s="30">
        <f t="shared" si="4"/>
        <v>0.20133914423166238</v>
      </c>
      <c r="N39" s="27">
        <f t="shared" si="5"/>
        <v>25201328</v>
      </c>
      <c r="O39" s="30">
        <v>16</v>
      </c>
      <c r="P39" s="31">
        <v>163695879</v>
      </c>
      <c r="Q39" s="31">
        <v>2557748.109375</v>
      </c>
      <c r="R39" s="31">
        <v>18545.546875</v>
      </c>
      <c r="S39" s="32">
        <v>58629408</v>
      </c>
      <c r="T39" s="32">
        <v>19999904</v>
      </c>
      <c r="U39" s="32">
        <v>5201424</v>
      </c>
      <c r="V39" s="32">
        <v>33428080</v>
      </c>
      <c r="W39" s="33">
        <v>78.291479687500001</v>
      </c>
      <c r="X39" s="33">
        <v>81.883870312499994</v>
      </c>
      <c r="Y39" s="33">
        <v>40.24405625</v>
      </c>
      <c r="Z39" s="33">
        <v>45.056265625000002</v>
      </c>
      <c r="AA39" s="33">
        <v>48.672990624999997</v>
      </c>
      <c r="AB39" s="34">
        <v>46816.4</v>
      </c>
      <c r="AC39" s="34">
        <v>0</v>
      </c>
      <c r="AD39" s="34">
        <v>500.387</v>
      </c>
      <c r="AE39" s="34">
        <v>0</v>
      </c>
      <c r="AG39" s="29" t="str">
        <f t="shared" si="6"/>
        <v>·</v>
      </c>
      <c r="AH39" s="30" t="str">
        <f t="shared" si="7"/>
        <v>·</v>
      </c>
      <c r="AI39" s="30" t="str">
        <f t="shared" si="8"/>
        <v>·</v>
      </c>
      <c r="AJ39" s="30" t="str">
        <f t="shared" si="9"/>
        <v>·</v>
      </c>
      <c r="AK39" s="30" t="str">
        <f t="shared" si="10"/>
        <v>·</v>
      </c>
      <c r="AL39" s="27" t="str">
        <f t="shared" si="11"/>
        <v/>
      </c>
      <c r="AM39" s="30">
        <v>-12</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0.1771447200166309</v>
      </c>
      <c r="K40" s="48">
        <f>AVERAGE(K5:K24)</f>
        <v>9.7126641168495481E-2</v>
      </c>
      <c r="L40" s="48">
        <f>AVERAGE(L5:L24)</f>
        <v>7.1644766371847191E-2</v>
      </c>
      <c r="M40" s="48">
        <f>AVERAGE(M5:M24)</f>
        <v>8.0018078848135388E-2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0.37572591163799146</v>
      </c>
      <c r="K41" s="48">
        <f>AVERAGE(K25:K29)</f>
        <v>0.11094196517605803</v>
      </c>
      <c r="L41" s="48">
        <f>AVERAGE(L25:L29)</f>
        <v>8.5099884423387159E-2</v>
      </c>
      <c r="M41" s="48">
        <f>AVERAGE(M25:M29)</f>
        <v>0.26478394646193343</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0.13991576885530402</v>
      </c>
      <c r="K42" s="48">
        <f>AVERAGE(K30:K39)</f>
        <v>7.5091778982341317E-2</v>
      </c>
      <c r="L42" s="48">
        <f>AVERAGE(L30:L39)</f>
        <v>5.8078414256664677E-2</v>
      </c>
      <c r="M42" s="48">
        <f>AVERAGE(M30:M39)</f>
        <v>6.4823989872962687E-2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0.19487661848787469</v>
      </c>
      <c r="K43" s="48">
        <f>AVERAGE(K5:K39)</f>
        <v>9.2804583973531793E-2</v>
      </c>
      <c r="L43" s="48">
        <f>AVERAGE(L5:L39)</f>
        <v>6.9690825489157879E-2</v>
      </c>
      <c r="M43" s="48">
        <f>AVERAGE(M5:M39)</f>
        <v>0.10207203451434289</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1809429.5000000002</v>
      </c>
      <c r="AC44" s="49">
        <f>SUM(AC5:AC24,AC25:AC29,AC30:AC39)</f>
        <v>0</v>
      </c>
      <c r="AD44" s="49">
        <f>SUM(AD5:AD24,AD25:AD29,AD30:AD39)</f>
        <v>22797.427000000003</v>
      </c>
      <c r="AE44" s="49">
        <f>SUM(AE5:AE24,AE25:AE29,AE30:AE39)</f>
        <v>0</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t="e">
        <f>BA44/AC44</f>
        <v>#DIV/0!</v>
      </c>
      <c r="BB45" s="55">
        <f>BB44/AD44</f>
        <v>0</v>
      </c>
      <c r="BC45" s="55" t="e">
        <f>BC44/AE44</f>
        <v>#DIV/0!</v>
      </c>
    </row>
    <row r="46" spans="1:72" hidden="1" outlineLevel="2" x14ac:dyDescent="0.25">
      <c r="B46" s="47" t="s">
        <v>240</v>
      </c>
      <c r="AB46" s="49">
        <f>GEOMEAN(AB5:AB24,AB25:AB29,AB30:AB39)</f>
        <v>50932.354537340943</v>
      </c>
      <c r="AC46" s="49" t="e">
        <f>GEOMEAN(AC5:AC24,AC25:AC29,AC30:AC39)</f>
        <v>#NUM!</v>
      </c>
      <c r="AD46" s="49">
        <f>GEOMEAN(AD5:AD24,AD25:AD29,AD30:AD39)</f>
        <v>639.17447543517721</v>
      </c>
      <c r="AE46" s="49" t="e">
        <f>GEOMEAN(AE5:AE24,AE25:AE29,AE30:AE39)</f>
        <v>#NUM!</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2021-07-09T15:49:59Z</dcterms:modified>
</cp:coreProperties>
</file>