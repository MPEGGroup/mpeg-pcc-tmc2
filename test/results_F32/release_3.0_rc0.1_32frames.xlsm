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PointCloudCompresstion\RefSw\MPEG_git\mpeg-pcc-tmc2\test\results_F32\"/>
    </mc:Choice>
  </mc:AlternateContent>
  <bookViews>
    <workbookView xWindow="0" yWindow="0" windowWidth="14160" windowHeight="5955" tabRatio="916" firstSheet="6"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S9" i="20" s="1"/>
  <c r="L8" i="20"/>
  <c r="K8" i="20"/>
  <c r="P6" i="20"/>
  <c r="O6" i="20"/>
  <c r="N6" i="20"/>
  <c r="H6" i="20"/>
  <c r="G6" i="20"/>
  <c r="F6" i="20"/>
  <c r="P5" i="20"/>
  <c r="O5" i="20"/>
  <c r="V5" i="20" s="1"/>
  <c r="N5" i="20"/>
  <c r="H5" i="20"/>
  <c r="G5" i="20"/>
  <c r="F5" i="20"/>
  <c r="V4" i="20"/>
  <c r="P4" i="20"/>
  <c r="O4" i="20"/>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C26" i="18" s="1"/>
  <c r="C137" i="1" s="1"/>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Z8"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J12" i="13" s="1"/>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N9" i="10"/>
  <c r="M9" i="10"/>
  <c r="L9" i="10"/>
  <c r="K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K25" i="9"/>
  <c r="AJ25" i="9"/>
  <c r="AI25" i="9"/>
  <c r="AH25" i="9"/>
  <c r="AG25" i="9"/>
  <c r="AF25" i="9"/>
  <c r="BC25" i="9"/>
  <c r="K25" i="9" s="1"/>
  <c r="N25" i="9"/>
  <c r="M25" i="9"/>
  <c r="L25" i="9"/>
  <c r="J25" i="9"/>
  <c r="I25" i="9"/>
  <c r="BE24" i="9"/>
  <c r="BD24" i="9"/>
  <c r="AK24" i="9"/>
  <c r="AJ24" i="9"/>
  <c r="AI24" i="9"/>
  <c r="AH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K14" i="9"/>
  <c r="AJ14" i="9"/>
  <c r="AI14" i="9"/>
  <c r="AH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BD6" i="8" s="1" a="1"/>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AD13" i="7" s="1"/>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X46" i="3" s="1"/>
  <c r="M45" i="3"/>
  <c r="AB40" i="3" a="1"/>
  <c r="AB40" i="3"/>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c r="AA4" i="3"/>
  <c r="S4" i="3"/>
  <c r="R4" i="3"/>
  <c r="Q4" i="3"/>
  <c r="P4" i="3"/>
  <c r="I4" i="3"/>
  <c r="H4" i="3"/>
  <c r="G4" i="3"/>
  <c r="F4" i="3"/>
  <c r="B1" i="2"/>
  <c r="B2" i="2" s="1"/>
  <c r="C130" i="1"/>
  <c r="BB6" i="12" l="1"/>
  <c r="AG30" i="9"/>
  <c r="AW15" i="12"/>
  <c r="C89" i="1" s="1"/>
  <c r="AH5" i="11"/>
  <c r="BD6" i="8"/>
  <c r="AF13" i="7"/>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Z11" i="13" s="1"/>
  <c r="C97" i="1" s="1"/>
  <c r="X16" i="13"/>
  <c r="C100" i="1" s="1"/>
  <c r="T22" i="17"/>
  <c r="J31" i="10"/>
  <c r="AG30" i="10"/>
  <c r="BC4" i="12"/>
  <c r="BC8" i="12"/>
  <c r="U22" i="19"/>
  <c r="Z8" i="21"/>
  <c r="BG31" i="9" l="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BF82" i="6"/>
  <c r="BF130" i="6"/>
  <c r="BF88" i="6"/>
  <c r="AZ22" i="6"/>
  <c r="BB124" i="6"/>
  <c r="AZ220" i="6"/>
  <c r="AD10" i="16"/>
  <c r="BF220" i="6"/>
  <c r="BB148" i="6"/>
  <c r="AH4" i="22"/>
  <c r="AX178" i="6"/>
  <c r="AX46" i="6"/>
  <c r="BF112" i="6"/>
  <c r="BJ64" i="6"/>
  <c r="BE28" i="6"/>
  <c r="BA214" i="6"/>
  <c r="BB112" i="6"/>
  <c r="BS4" i="9"/>
  <c r="BD34" i="6"/>
  <c r="AX40" i="6"/>
  <c r="BE46" i="6"/>
  <c r="BF142" i="6"/>
  <c r="AH14" i="22"/>
  <c r="BA160" i="6"/>
  <c r="BD82" i="6"/>
  <c r="Y64" i="5"/>
  <c r="BB10" i="6"/>
  <c r="BL19" i="9"/>
  <c r="AX10" i="6"/>
  <c r="AA44" i="5"/>
  <c r="BE88" i="6"/>
  <c r="BJ22" i="6"/>
  <c r="Y12" i="5"/>
  <c r="Z60" i="5"/>
  <c r="AE4" i="18"/>
  <c r="BF58" i="6"/>
  <c r="AH9" i="22"/>
  <c r="AA24" i="5"/>
  <c r="BH220" i="6"/>
  <c r="BH58" i="6"/>
  <c r="BK14" i="9"/>
  <c r="BB190" i="6"/>
  <c r="AN16" i="14"/>
  <c r="BF70" i="6"/>
  <c r="BJ106" i="6"/>
  <c r="BD136" i="6"/>
  <c r="Z32" i="5"/>
  <c r="AX106" i="6"/>
  <c r="AD4" i="16"/>
  <c r="BJ28" i="6"/>
  <c r="AZ4" i="6"/>
  <c r="BB142" i="6"/>
  <c r="AC4" i="17"/>
  <c r="AO4" i="14"/>
  <c r="AY208" i="6"/>
  <c r="BA112" i="6"/>
  <c r="BE178" i="6"/>
  <c r="Y48" i="5"/>
  <c r="AN4" i="14"/>
  <c r="AX136" i="6"/>
  <c r="AC29" i="23"/>
  <c r="BM4" i="9"/>
  <c r="BH52" i="6"/>
  <c r="BI112" i="6"/>
  <c r="AF16" i="19"/>
  <c r="AK4" i="14"/>
  <c r="AZ142" i="6"/>
  <c r="BD208" i="6"/>
  <c r="AY142" i="6"/>
  <c r="BI19" i="9"/>
  <c r="AE19" i="23"/>
  <c r="AM16" i="14"/>
  <c r="BP4" i="9"/>
  <c r="BI100" i="6"/>
  <c r="Z24" i="5"/>
  <c r="BH208" i="6"/>
  <c r="BI130" i="6"/>
  <c r="BB64" i="6"/>
  <c r="BD40" i="6"/>
  <c r="BH82" i="6"/>
  <c r="AX214" i="6"/>
  <c r="AY184" i="6"/>
  <c r="AZ148" i="6"/>
  <c r="BD142" i="6"/>
  <c r="AA64" i="5"/>
  <c r="AZ10" i="6"/>
  <c r="BJ208" i="6"/>
  <c r="BB22" i="6"/>
  <c r="BE34" i="6"/>
  <c r="AK16" i="14"/>
  <c r="AN10" i="14"/>
  <c r="AZ136" i="6"/>
  <c r="BF118" i="6"/>
  <c r="BB52" i="6"/>
  <c r="BB34" i="6"/>
  <c r="AI14" i="22"/>
  <c r="Y32" i="5"/>
  <c r="AY124" i="6"/>
  <c r="BJ52" i="6"/>
  <c r="BI214" i="6"/>
  <c r="Z16" i="5"/>
  <c r="AZ52" i="6"/>
  <c r="BM19" i="9"/>
  <c r="BH118" i="6"/>
  <c r="BR14" i="9"/>
  <c r="BI106" i="6"/>
  <c r="BJ202" i="6"/>
  <c r="BE82" i="6"/>
  <c r="AZ202" i="6"/>
  <c r="BF124" i="6"/>
  <c r="BD196" i="6"/>
  <c r="BI34" i="6"/>
  <c r="BE130" i="6"/>
  <c r="BF148" i="6"/>
  <c r="BJ4" i="9"/>
  <c r="BD184" i="6"/>
  <c r="BI172" i="6"/>
  <c r="BA82" i="6"/>
  <c r="AM9" i="22"/>
  <c r="AI16" i="14"/>
  <c r="BI52" i="6"/>
  <c r="BJ16" i="6"/>
  <c r="AJ16" i="14"/>
  <c r="BA52" i="6"/>
  <c r="BH16" i="6"/>
  <c r="AE24" i="23"/>
  <c r="BH178" i="6"/>
  <c r="BI10" i="6"/>
  <c r="AY40" i="6"/>
  <c r="BH10" i="6"/>
  <c r="BA130" i="6"/>
  <c r="AZ160" i="6"/>
  <c r="BD166" i="6"/>
  <c r="BE64" i="6"/>
  <c r="BA28" i="6"/>
  <c r="BD16" i="6"/>
  <c r="AY16" i="6"/>
  <c r="BB40" i="6"/>
  <c r="BE52" i="6"/>
  <c r="Y36" i="5"/>
  <c r="AG10" i="18"/>
  <c r="Z4" i="5"/>
  <c r="BJ4" i="6"/>
  <c r="BE202" i="6"/>
  <c r="AZ106" i="6"/>
  <c r="AZ16" i="6"/>
  <c r="AX52" i="6"/>
  <c r="AZ118" i="6"/>
  <c r="BH40" i="6"/>
  <c r="AC10" i="17"/>
  <c r="BA40" i="6"/>
  <c r="AY112" i="6"/>
  <c r="BE94" i="6"/>
  <c r="BF208" i="6"/>
  <c r="BP9" i="9"/>
  <c r="AE9" i="23"/>
  <c r="AY190" i="6"/>
  <c r="AA12" i="5"/>
  <c r="AX196" i="6"/>
  <c r="BD148" i="6"/>
  <c r="BA4" i="6"/>
  <c r="AE10" i="19"/>
  <c r="BJ88" i="6"/>
  <c r="BB172" i="6"/>
  <c r="BE100" i="6"/>
  <c r="AA60" i="5"/>
  <c r="Y8" i="5"/>
  <c r="BO24" i="9"/>
  <c r="BH28" i="6"/>
  <c r="BE184" i="6"/>
  <c r="BI70" i="6"/>
  <c r="BF34" i="6"/>
  <c r="BH196" i="6"/>
  <c r="Y20" i="5"/>
  <c r="AZ46" i="6"/>
  <c r="AX58" i="6"/>
  <c r="AK10" i="14"/>
  <c r="AZ64" i="6"/>
  <c r="AY34" i="6"/>
  <c r="AF4" i="19"/>
  <c r="AA40" i="5"/>
  <c r="AG16" i="18"/>
  <c r="BE16" i="6"/>
  <c r="BI184" i="6"/>
  <c r="BA118" i="6"/>
  <c r="AZ70" i="6"/>
  <c r="BD46" i="6"/>
  <c r="BF214" i="6"/>
  <c r="BR4" i="9"/>
  <c r="BA136" i="6"/>
  <c r="AZ190" i="6"/>
  <c r="BE106" i="6"/>
  <c r="BB196" i="6"/>
  <c r="BB220" i="6"/>
  <c r="BI28" i="6"/>
  <c r="BH160" i="6"/>
  <c r="AY118" i="6"/>
  <c r="BI82" i="6"/>
  <c r="AX124" i="6"/>
  <c r="BI178" i="6"/>
  <c r="BJ76" i="6"/>
  <c r="BB58" i="6"/>
  <c r="BF46" i="6"/>
  <c r="BR19" i="9"/>
  <c r="BB88" i="6"/>
  <c r="BE10" i="6"/>
  <c r="AC4" i="15"/>
  <c r="AG4" i="19"/>
  <c r="Y44" i="5"/>
  <c r="AG16" i="19"/>
  <c r="AE4" i="19"/>
  <c r="BB4" i="6"/>
  <c r="AZ58" i="6"/>
  <c r="BA202" i="6"/>
  <c r="AZ76" i="6"/>
  <c r="BD28" i="6"/>
  <c r="BF184" i="6"/>
  <c r="BS19" i="9"/>
  <c r="BA10" i="6"/>
  <c r="BA94" i="6"/>
  <c r="BJ142" i="6"/>
  <c r="AE10" i="18"/>
  <c r="BB154" i="6"/>
  <c r="BA154" i="6"/>
  <c r="AG10" i="19"/>
  <c r="BL9" i="9"/>
  <c r="AX220" i="6"/>
  <c r="BI124" i="6"/>
  <c r="AD22" i="16"/>
  <c r="BO9" i="9"/>
  <c r="BH184" i="6"/>
  <c r="BB166" i="6"/>
  <c r="BE58" i="6"/>
  <c r="BA124" i="6"/>
  <c r="BF16" i="6"/>
  <c r="BB208" i="6"/>
  <c r="BS9" i="9"/>
  <c r="BE154" i="6"/>
  <c r="BI64" i="6"/>
  <c r="AE16" i="18"/>
  <c r="Z36" i="5"/>
  <c r="BE196" i="6"/>
  <c r="BD220" i="6"/>
  <c r="BH22" i="6"/>
  <c r="AG9" i="22"/>
  <c r="BA148" i="6"/>
  <c r="AY106" i="6"/>
  <c r="BI4" i="6"/>
  <c r="BH64" i="6"/>
  <c r="BQ14" i="9"/>
  <c r="BI202" i="6"/>
  <c r="BE136" i="6"/>
  <c r="BF106" i="6"/>
  <c r="AF10" i="18"/>
  <c r="AX172" i="6"/>
  <c r="AE14" i="23"/>
  <c r="BD202" i="6"/>
  <c r="AJ10" i="14"/>
  <c r="AC10" i="15"/>
  <c r="AY28" i="6"/>
  <c r="BE4" i="6"/>
  <c r="BD88" i="6"/>
  <c r="BM14" i="9"/>
  <c r="BF178" i="6"/>
  <c r="AZ112" i="6"/>
  <c r="AA16" i="5"/>
  <c r="AY70" i="6"/>
  <c r="AI4" i="14"/>
  <c r="BJ160" i="6"/>
  <c r="BI190" i="6"/>
  <c r="AX112" i="6"/>
  <c r="Y28" i="5"/>
  <c r="BF10" i="6"/>
  <c r="AY154" i="6"/>
  <c r="BP14" i="9"/>
  <c r="BE76" i="6"/>
  <c r="BF22" i="6"/>
  <c r="BD130" i="6"/>
  <c r="BH148" i="6"/>
  <c r="BF64" i="6"/>
  <c r="AY100" i="6"/>
  <c r="AZ94" i="6"/>
  <c r="AC16" i="16"/>
  <c r="BI76" i="6"/>
  <c r="AX100" i="6"/>
  <c r="AZ184" i="6"/>
  <c r="AX28" i="6"/>
  <c r="BD106" i="6"/>
  <c r="BQ24" i="9"/>
  <c r="AD10" i="17"/>
  <c r="BA16" i="6"/>
  <c r="BQ4" i="9"/>
  <c r="BD154" i="6"/>
  <c r="BD58" i="6"/>
  <c r="Z40" i="5"/>
  <c r="BD124" i="6"/>
  <c r="AX148" i="6"/>
  <c r="BD94" i="6"/>
  <c r="Z56" i="5"/>
  <c r="BL14" i="9"/>
  <c r="BH154" i="6"/>
  <c r="AC28" i="16"/>
  <c r="BH190" i="6"/>
  <c r="BI24" i="9"/>
  <c r="BA106" i="6"/>
  <c r="AZ34" i="6"/>
  <c r="BH214" i="6"/>
  <c r="Y16" i="5"/>
  <c r="BO19" i="9"/>
  <c r="Z12" i="5"/>
  <c r="BJ34" i="6"/>
  <c r="BJ172" i="6"/>
  <c r="BH142" i="6"/>
  <c r="BS14" i="9"/>
  <c r="BI9" i="9"/>
  <c r="BE22" i="6"/>
  <c r="BJ190" i="6"/>
  <c r="BB100" i="6"/>
  <c r="BH88" i="6"/>
  <c r="BK4" i="9"/>
  <c r="AC19" i="23"/>
  <c r="BA34" i="6"/>
  <c r="BH46" i="6"/>
  <c r="BJ58" i="6"/>
  <c r="AL9" i="22"/>
  <c r="BI4" i="9"/>
  <c r="BM24" i="9"/>
  <c r="BA142" i="6"/>
  <c r="AX34" i="6"/>
  <c r="AA28" i="5"/>
  <c r="BS24" i="9"/>
  <c r="BJ9" i="9"/>
  <c r="BQ9" i="9"/>
  <c r="BD172" i="6"/>
  <c r="AA36" i="5"/>
  <c r="BE208" i="6"/>
  <c r="Z64" i="5"/>
  <c r="BI160" i="6"/>
  <c r="AK9" i="22"/>
  <c r="BO14" i="10"/>
  <c r="BL14" i="10"/>
  <c r="BR19" i="10"/>
  <c r="BQ24" i="10"/>
  <c r="BO4" i="10"/>
  <c r="BI24" i="10"/>
  <c r="BK14" i="10"/>
  <c r="BK9" i="10"/>
  <c r="BO9" i="10"/>
  <c r="BM24" i="10"/>
  <c r="BR24" i="10"/>
  <c r="BQ4" i="10"/>
  <c r="AY94" i="6"/>
  <c r="BB130" i="6"/>
  <c r="BJ10" i="6"/>
  <c r="BI136" i="6"/>
  <c r="BD22" i="6"/>
  <c r="AD16" i="16"/>
  <c r="BB214" i="6"/>
  <c r="BK24" i="9"/>
  <c r="Z28" i="5"/>
  <c r="AY64" i="6"/>
  <c r="AY88" i="6"/>
  <c r="BA64" i="6"/>
  <c r="AX94" i="6"/>
  <c r="BF136" i="6"/>
  <c r="AJ4" i="14"/>
  <c r="BH130" i="6"/>
  <c r="AX160" i="6"/>
  <c r="AX202" i="6"/>
  <c r="BF52" i="6"/>
  <c r="BH136" i="6"/>
  <c r="AX190" i="6"/>
  <c r="BE112" i="6"/>
  <c r="AZ124" i="6"/>
  <c r="Y4" i="5"/>
  <c r="BI22" i="6"/>
  <c r="AX76" i="6"/>
  <c r="BJ148" i="6"/>
  <c r="AK14" i="22"/>
  <c r="AX166" i="6"/>
  <c r="BA166" i="6"/>
  <c r="BJ184" i="6"/>
  <c r="AZ166" i="6"/>
  <c r="BD214" i="6"/>
  <c r="AE16" i="15"/>
  <c r="BD118" i="6"/>
  <c r="AC4" i="23"/>
  <c r="BI58" i="6"/>
  <c r="BA196" i="6"/>
  <c r="BJ19" i="9"/>
  <c r="BJ112" i="6"/>
  <c r="BH100" i="6"/>
  <c r="BI148" i="6"/>
  <c r="BD112" i="6"/>
  <c r="AM4" i="14"/>
  <c r="BB178" i="6"/>
  <c r="BA70" i="6"/>
  <c r="AY130" i="6"/>
  <c r="BE124" i="6"/>
  <c r="BE172" i="6"/>
  <c r="AC16" i="17"/>
  <c r="AY82" i="6"/>
  <c r="AZ88" i="6"/>
  <c r="BH172" i="6"/>
  <c r="BF160" i="6"/>
  <c r="Y52" i="5"/>
  <c r="BI220" i="6"/>
  <c r="BI154" i="6"/>
  <c r="AZ100" i="6"/>
  <c r="BA220" i="6"/>
  <c r="BB118" i="6"/>
  <c r="BR24" i="9"/>
  <c r="AM4" i="22"/>
  <c r="Z44" i="5"/>
  <c r="BF40" i="6"/>
  <c r="BI14" i="9"/>
  <c r="BE190" i="6"/>
  <c r="BA190" i="6"/>
  <c r="AZ178" i="6"/>
  <c r="BE160" i="6"/>
  <c r="BA46" i="6"/>
  <c r="BB94" i="6"/>
  <c r="AX184" i="6"/>
  <c r="BI40" i="6"/>
  <c r="BE148" i="6"/>
  <c r="BD100" i="6"/>
  <c r="BB184" i="6"/>
  <c r="BB46" i="6"/>
  <c r="BD4" i="6"/>
  <c r="BI118" i="6"/>
  <c r="BF172" i="6"/>
  <c r="BL4" i="9"/>
  <c r="BO14" i="9"/>
  <c r="AK4" i="22"/>
  <c r="AM10" i="14"/>
  <c r="AG4" i="18"/>
  <c r="Y24" i="5"/>
  <c r="BA88" i="6"/>
  <c r="AC10" i="16"/>
  <c r="AZ82" i="6"/>
  <c r="BJ136" i="6"/>
  <c r="AZ214" i="6"/>
  <c r="BD190" i="6"/>
  <c r="Y60" i="5"/>
  <c r="BI196" i="6"/>
  <c r="BA172" i="6"/>
  <c r="BB76" i="6"/>
  <c r="AO10" i="14"/>
  <c r="AY136" i="6"/>
  <c r="AZ130" i="6"/>
  <c r="BD76" i="6"/>
  <c r="BM9" i="9"/>
  <c r="AY196" i="6"/>
  <c r="BO4" i="9"/>
  <c r="AY160" i="6"/>
  <c r="BP24" i="9"/>
  <c r="BF196" i="6"/>
  <c r="AE10" i="15"/>
  <c r="BJ24" i="9"/>
  <c r="AY172" i="6"/>
  <c r="AD34" i="16"/>
  <c r="AZ208" i="6"/>
  <c r="BA76" i="6"/>
  <c r="BH202" i="6"/>
  <c r="AX64" i="6"/>
  <c r="BK24" i="10"/>
  <c r="BP14" i="10"/>
  <c r="BQ9" i="10"/>
  <c r="BM14" i="10"/>
  <c r="BS24" i="10"/>
  <c r="BM9" i="10"/>
  <c r="BP9" i="10"/>
  <c r="BR9" i="10"/>
  <c r="BM19" i="10"/>
  <c r="BI14" i="10"/>
  <c r="BK4" i="10"/>
  <c r="BS9" i="10"/>
  <c r="BL24" i="10"/>
  <c r="AA48" i="5"/>
  <c r="BJ178" i="6"/>
  <c r="AF10" i="19"/>
  <c r="BB202" i="6"/>
  <c r="AM14" i="22"/>
  <c r="BF94" i="6"/>
  <c r="AI9" i="22"/>
  <c r="AC4" i="16"/>
  <c r="AX208" i="6"/>
  <c r="Z48" i="5"/>
  <c r="AF16" i="18"/>
  <c r="BE70" i="6"/>
  <c r="BJ70" i="6"/>
  <c r="AX16" i="6"/>
  <c r="BA58" i="6"/>
  <c r="BH76" i="6"/>
  <c r="AX22" i="6"/>
  <c r="BD70" i="6"/>
  <c r="Z52" i="5"/>
  <c r="BE214" i="6"/>
  <c r="AX88" i="6"/>
  <c r="BF4" i="6"/>
  <c r="AZ40" i="6"/>
  <c r="BH166" i="6"/>
  <c r="AE16" i="19"/>
  <c r="BD52" i="6"/>
  <c r="Z20" i="5"/>
  <c r="BD64" i="6"/>
  <c r="BD178" i="6"/>
  <c r="BA184" i="6"/>
  <c r="BJ166" i="6"/>
  <c r="AY76" i="6"/>
  <c r="AY220" i="6"/>
  <c r="AY166" i="6"/>
  <c r="AE4" i="15"/>
  <c r="AA52" i="5"/>
  <c r="BA208" i="6"/>
  <c r="AI10" i="14"/>
  <c r="BJ14" i="9"/>
  <c r="AL14" i="22"/>
  <c r="BF76" i="6"/>
  <c r="BJ196" i="6"/>
  <c r="BK9" i="9"/>
  <c r="AX154" i="6"/>
  <c r="BB160" i="6"/>
  <c r="BI142" i="6"/>
  <c r="BH106" i="6"/>
  <c r="AC16" i="15"/>
  <c r="BD160" i="6"/>
  <c r="BI208" i="6"/>
  <c r="AY46" i="6"/>
  <c r="BH34" i="6"/>
  <c r="BB16" i="6"/>
  <c r="AX118" i="6"/>
  <c r="BS4" i="10"/>
  <c r="BP19" i="10"/>
  <c r="BL9" i="10"/>
  <c r="BR4" i="10"/>
  <c r="BJ24" i="10"/>
  <c r="BR14" i="10"/>
  <c r="BP4" i="10"/>
  <c r="BE118" i="6"/>
  <c r="AY52" i="6"/>
  <c r="BJ154" i="6"/>
  <c r="AZ196" i="6"/>
  <c r="BR9" i="9"/>
  <c r="Z8" i="5"/>
  <c r="BE220" i="6"/>
  <c r="BJ124" i="6"/>
  <c r="BK19" i="9"/>
  <c r="BB106" i="6"/>
  <c r="BP19" i="9"/>
  <c r="BD10" i="6"/>
  <c r="BL24" i="9"/>
  <c r="AX70" i="6"/>
  <c r="BM4" i="10"/>
  <c r="BS14" i="10"/>
  <c r="BI4" i="10"/>
  <c r="AI4" i="22"/>
  <c r="AC14" i="23"/>
  <c r="BJ130" i="6"/>
  <c r="AC34" i="16"/>
  <c r="AA32" i="5"/>
  <c r="AY214" i="6"/>
  <c r="AC24" i="23"/>
  <c r="BJ94" i="6"/>
  <c r="AY4" i="6"/>
  <c r="BA22" i="6"/>
  <c r="BI94" i="6"/>
  <c r="AC9" i="23"/>
  <c r="BJ46" i="6"/>
  <c r="BI46" i="6"/>
  <c r="AX4" i="6"/>
  <c r="BK19" i="10"/>
  <c r="BQ14" i="10"/>
  <c r="BP24" i="10"/>
  <c r="BB70" i="6"/>
  <c r="BH112" i="6"/>
  <c r="AE29" i="23"/>
  <c r="AY58" i="6"/>
  <c r="BJ118" i="6"/>
  <c r="BF28" i="6"/>
  <c r="AG4" i="22"/>
  <c r="BE166" i="6"/>
  <c r="AX82" i="6"/>
  <c r="BQ19" i="9"/>
  <c r="AZ28" i="6"/>
  <c r="AC22" i="16"/>
  <c r="AZ154" i="6"/>
  <c r="AD28" i="16"/>
  <c r="AY22" i="6"/>
  <c r="BI166" i="6"/>
  <c r="AA20" i="5"/>
  <c r="AA56" i="5"/>
  <c r="BF202" i="6"/>
  <c r="BB136" i="6"/>
  <c r="BE40" i="6"/>
  <c r="AE4" i="23"/>
  <c r="AX130" i="6"/>
  <c r="BB28" i="6"/>
  <c r="AD16" i="17"/>
  <c r="BJ100" i="6"/>
  <c r="BF100" i="6"/>
  <c r="BI16" i="6"/>
  <c r="BJ82" i="6"/>
  <c r="BS19" i="10"/>
  <c r="BL19" i="10"/>
  <c r="BL4" i="10"/>
  <c r="BJ19" i="10"/>
  <c r="BJ4" i="10"/>
  <c r="BO24" i="10"/>
  <c r="BE142" i="6"/>
  <c r="BH70" i="6"/>
  <c r="BJ220" i="6"/>
  <c r="AY10" i="6"/>
  <c r="BF166" i="6"/>
  <c r="BF190" i="6"/>
  <c r="AZ172" i="6"/>
  <c r="BH94" i="6"/>
  <c r="Y56" i="5"/>
  <c r="BA178" i="6"/>
  <c r="BF154" i="6"/>
  <c r="AY148" i="6"/>
  <c r="AF4" i="18"/>
  <c r="AD4" i="17"/>
  <c r="Y40" i="5"/>
  <c r="BJ14" i="10"/>
  <c r="BO19" i="10"/>
  <c r="BI19" i="10"/>
  <c r="AY202" i="6"/>
  <c r="AL4" i="22"/>
  <c r="BH4" i="6"/>
  <c r="AA8" i="5"/>
  <c r="AO16" i="14"/>
  <c r="AX142" i="6"/>
  <c r="BJ214" i="6"/>
  <c r="BA100" i="6"/>
  <c r="AY178" i="6"/>
  <c r="BJ40" i="6"/>
  <c r="AA4" i="5"/>
  <c r="BH124" i="6"/>
  <c r="BI88" i="6"/>
  <c r="BB82" i="6"/>
  <c r="BJ9" i="10"/>
  <c r="BQ19" i="10"/>
  <c r="BI9" i="10"/>
  <c r="AK19" i="22" l="1"/>
  <c r="C165" i="1" s="1"/>
  <c r="BR31" i="10"/>
  <c r="BR29" i="10"/>
  <c r="BI29" i="10"/>
  <c r="C67" i="1" s="1"/>
  <c r="BI31" i="10"/>
  <c r="C69" i="1" s="1"/>
  <c r="BO29" i="9"/>
  <c r="BO31" i="9"/>
  <c r="BM30" i="9"/>
  <c r="G59" i="1" s="1"/>
  <c r="AY226" i="6"/>
  <c r="AY229" i="6"/>
  <c r="AZ228" i="6"/>
  <c r="BJ30" i="9"/>
  <c r="D59" i="1" s="1"/>
  <c r="BQ31" i="9"/>
  <c r="BQ29" i="9"/>
  <c r="BI29" i="9"/>
  <c r="C58" i="1" s="1"/>
  <c r="BI31" i="9"/>
  <c r="C60" i="1" s="1"/>
  <c r="BL30" i="9"/>
  <c r="F59" i="1" s="1"/>
  <c r="BP31" i="10"/>
  <c r="BP29" i="10"/>
  <c r="AD41" i="16"/>
  <c r="D120" i="1" s="1"/>
  <c r="BI228" i="6"/>
  <c r="BP31" i="9"/>
  <c r="BP29" i="9"/>
  <c r="BL31" i="9"/>
  <c r="F60" i="1" s="1"/>
  <c r="BL29" i="9"/>
  <c r="F58" i="1" s="1"/>
  <c r="BS30" i="9"/>
  <c r="BL30" i="10"/>
  <c r="F68" i="1" s="1"/>
  <c r="BI226" i="6"/>
  <c r="BI229" i="6"/>
  <c r="BI227" i="6"/>
  <c r="AX227" i="6"/>
  <c r="BJ31" i="10"/>
  <c r="D69" i="1" s="1"/>
  <c r="BJ29" i="10"/>
  <c r="D67" i="1" s="1"/>
  <c r="AY228" i="6"/>
  <c r="AE35" i="23"/>
  <c r="C173" i="1" s="1"/>
  <c r="AF22" i="18"/>
  <c r="D135" i="1" s="1"/>
  <c r="BK30" i="9"/>
  <c r="E59" i="1" s="1"/>
  <c r="BI30" i="9"/>
  <c r="C59" i="1" s="1"/>
  <c r="BP30" i="9"/>
  <c r="BQ30" i="9"/>
  <c r="AE36" i="23"/>
  <c r="C174" i="1" s="1"/>
  <c r="AE34" i="23"/>
  <c r="C172" i="1" s="1"/>
  <c r="AM22" i="14"/>
  <c r="AI22" i="14"/>
  <c r="C105" i="1" s="1"/>
  <c r="BA227" i="6"/>
  <c r="BF227" i="6"/>
  <c r="E29" i="1" s="1"/>
  <c r="BQ29" i="10"/>
  <c r="BQ31" i="10"/>
  <c r="BL29" i="10"/>
  <c r="F67" i="1" s="1"/>
  <c r="BL31" i="10"/>
  <c r="F69" i="1" s="1"/>
  <c r="BH227" i="6"/>
  <c r="AY227" i="6"/>
  <c r="AG22" i="18"/>
  <c r="E135" i="1" s="1"/>
  <c r="AA70" i="5"/>
  <c r="E21" i="1" s="1"/>
  <c r="AA68" i="5"/>
  <c r="E19" i="1" s="1"/>
  <c r="AX229" i="6"/>
  <c r="AX226" i="6"/>
  <c r="AK22" i="14"/>
  <c r="E105" i="1" s="1"/>
  <c r="BS29" i="10"/>
  <c r="BS31" i="10"/>
  <c r="BK31" i="10"/>
  <c r="E69" i="1" s="1"/>
  <c r="BK29" i="10"/>
  <c r="E67" i="1" s="1"/>
  <c r="BI30" i="10"/>
  <c r="C68" i="1" s="1"/>
  <c r="AL19" i="22"/>
  <c r="D165" i="1" s="1"/>
  <c r="AC35" i="23"/>
  <c r="BD229" i="6"/>
  <c r="C31" i="1" s="1"/>
  <c r="BD226" i="6"/>
  <c r="C28" i="1" s="1"/>
  <c r="AM19" i="22"/>
  <c r="E165" i="1" s="1"/>
  <c r="BF228" i="6"/>
  <c r="E30" i="1" s="1"/>
  <c r="BR31" i="9"/>
  <c r="BR29" i="9"/>
  <c r="BS29" i="9"/>
  <c r="BS31" i="9"/>
  <c r="BK31" i="9"/>
  <c r="E60" i="1" s="1"/>
  <c r="BK29" i="9"/>
  <c r="E58" i="1" s="1"/>
  <c r="BM29" i="9"/>
  <c r="G58" i="1" s="1"/>
  <c r="BM31" i="9"/>
  <c r="G60" i="1" s="1"/>
  <c r="BO30" i="9"/>
  <c r="BJ29" i="9"/>
  <c r="D58" i="1" s="1"/>
  <c r="BJ31" i="9"/>
  <c r="D60" i="1" s="1"/>
  <c r="BR30" i="9"/>
  <c r="BP30" i="10"/>
  <c r="BJ227" i="6"/>
  <c r="BJ229" i="6"/>
  <c r="BJ226" i="6"/>
  <c r="BM30" i="10"/>
  <c r="G68" i="1" s="1"/>
  <c r="Z68" i="5"/>
  <c r="D19" i="1" s="1"/>
  <c r="Z70" i="5"/>
  <c r="D21" i="1" s="1"/>
  <c r="BF226" i="6"/>
  <c r="E28" i="1" s="1"/>
  <c r="BF229" i="6"/>
  <c r="E31" i="1" s="1"/>
  <c r="AC41" i="16"/>
  <c r="C120" i="1" s="1"/>
  <c r="AN22" i="14"/>
  <c r="Z69" i="5"/>
  <c r="D20" i="1" s="1"/>
  <c r="BS30" i="10"/>
  <c r="BE226" i="6"/>
  <c r="D28" i="1" s="1"/>
  <c r="BE229" i="6"/>
  <c r="D31" i="1" s="1"/>
  <c r="Y69" i="5"/>
  <c r="C20" i="1" s="1"/>
  <c r="AI19" i="22"/>
  <c r="BH229" i="6"/>
  <c r="BH226" i="6"/>
  <c r="AC36" i="23"/>
  <c r="AC34" i="23"/>
  <c r="BE228" i="6"/>
  <c r="D30" i="1" s="1"/>
  <c r="AX228" i="6"/>
  <c r="BO30" i="10"/>
  <c r="BJ30" i="10"/>
  <c r="D68" i="1" s="1"/>
  <c r="BO31" i="10"/>
  <c r="BO29" i="10"/>
  <c r="BE227" i="6"/>
  <c r="D29" i="1" s="1"/>
  <c r="BB229" i="6"/>
  <c r="BB226" i="6"/>
  <c r="AH19" i="22"/>
  <c r="AE22" i="18"/>
  <c r="C135" i="1" s="1"/>
  <c r="Y70" i="5"/>
  <c r="C21" i="1" s="1"/>
  <c r="Y68" i="5"/>
  <c r="C19" i="1" s="1"/>
  <c r="BK30" i="10"/>
  <c r="E68" i="1" s="1"/>
  <c r="AE22" i="19"/>
  <c r="C142" i="1" s="1"/>
  <c r="BA229" i="6"/>
  <c r="BA226" i="6"/>
  <c r="AJ22" i="14"/>
  <c r="D105" i="1" s="1"/>
  <c r="AO22" i="14"/>
  <c r="BD227" i="6"/>
  <c r="C29" i="1" s="1"/>
  <c r="BJ228" i="6"/>
  <c r="AF22" i="19"/>
  <c r="D142" i="1" s="1"/>
  <c r="AC22" i="17"/>
  <c r="C128" i="1" s="1"/>
  <c r="BA228" i="6"/>
  <c r="BB227" i="6"/>
  <c r="BR30" i="10"/>
  <c r="AG22" i="19"/>
  <c r="E142" i="1" s="1"/>
  <c r="AZ229" i="6"/>
  <c r="AZ226" i="6"/>
  <c r="BD228" i="6"/>
  <c r="C30" i="1" s="1"/>
  <c r="AC42" i="16"/>
  <c r="C121" i="1" s="1"/>
  <c r="AC40" i="16"/>
  <c r="C119" i="1" s="1"/>
  <c r="AZ227" i="6"/>
  <c r="AC22" i="15"/>
  <c r="C112" i="1" s="1"/>
  <c r="AA69" i="5"/>
  <c r="E20" i="1" s="1"/>
  <c r="BB228" i="6"/>
  <c r="BQ30" i="10"/>
  <c r="AE22" i="15"/>
  <c r="AD42" i="16"/>
  <c r="D121" i="1" s="1"/>
  <c r="AD40" i="16"/>
  <c r="D119" i="1" s="1"/>
  <c r="BM29" i="10"/>
  <c r="G67" i="1" s="1"/>
  <c r="BM31" i="10"/>
  <c r="G69" i="1" s="1"/>
  <c r="AG19" i="22"/>
  <c r="BH228" i="6"/>
  <c r="AD22" i="17"/>
  <c r="D128" i="1" s="1"/>
</calcChain>
</file>

<file path=xl/sharedStrings.xml><?xml version="1.0" encoding="utf-8"?>
<sst xmlns="http://schemas.openxmlformats.org/spreadsheetml/2006/main" count="3730" uniqueCount="1478">
  <si>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</si>
  <si>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</si>
  <si>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</si>
  <si>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</si>
  <si>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</si>
  <si>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</si>
  <si>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</si>
  <si>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</si>
  <si>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</si>
  <si>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</si>
  <si>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</si>
  <si>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</si>
  <si>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</si>
  <si>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</si>
  <si>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</si>
  <si>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</si>
  <si>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</si>
  <si>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</si>
  <si>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</si>
  <si>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</si>
  <si>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</si>
  <si>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</si>
  <si>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</si>
  <si>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</si>
  <si>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</si>
  <si>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</si>
  <si>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</si>
  <si>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</si>
  <si>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</si>
  <si>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</si>
  <si>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</si>
  <si>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</si>
  <si>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</si>
  <si>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</si>
  <si>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</si>
  <si>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</si>
  <si>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</si>
  <si>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</si>
  <si>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</si>
  <si>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</si>
  <si>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</si>
  <si>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</si>
  <si>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</si>
  <si>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</si>
  <si>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</si>
  <si>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</si>
  <si>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</si>
  <si>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</si>
  <si>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</si>
  <si>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</si>
  <si>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</si>
  <si>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</si>
  <si>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</si>
  <si>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</si>
  <si>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</si>
  <si>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</si>
  <si>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</si>
  <si>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</si>
  <si>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</si>
  <si>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</si>
  <si>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</si>
  <si>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</si>
  <si>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</si>
  <si>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</si>
  <si>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</si>
  <si>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</si>
  <si>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</si>
  <si>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</si>
  <si>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</si>
  <si>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</si>
  <si>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</si>
  <si>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</si>
  <si>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</si>
  <si>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</si>
  <si>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</si>
  <si>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</si>
  <si>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</si>
  <si>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</si>
  <si>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</si>
  <si>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</si>
  <si>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</si>
  <si>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</si>
  <si>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</si>
  <si>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</si>
  <si>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</si>
  <si>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</si>
  <si>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</si>
  <si>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</si>
  <si>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</si>
  <si>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</si>
  <si>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</si>
  <si>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</si>
  <si>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</si>
  <si>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</si>
  <si>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</si>
  <si>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</si>
  <si>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</si>
  <si>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</si>
  <si>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</si>
  <si>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</si>
  <si>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</si>
  <si>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</si>
  <si>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</si>
  <si>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</si>
  <si>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</si>
  <si>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</si>
  <si>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</si>
  <si>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</si>
  <si>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</si>
  <si>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</si>
  <si>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</si>
  <si>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</si>
  <si>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</si>
  <si>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</si>
  <si>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</si>
  <si>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</si>
  <si>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</si>
  <si>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</si>
  <si>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</si>
  <si>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</si>
  <si>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</si>
  <si>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</si>
  <si>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</si>
  <si>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</si>
  <si>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</si>
  <si>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</si>
  <si>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</si>
  <si>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</si>
  <si>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</si>
  <si>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</si>
  <si>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</si>
  <si>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</si>
  <si>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</si>
  <si>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</si>
  <si>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</si>
  <si>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</si>
  <si>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</si>
  <si>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</si>
  <si>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</si>
  <si>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</si>
  <si>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</si>
  <si>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</si>
  <si>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</si>
  <si>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</si>
  <si>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</si>
  <si>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</si>
  <si>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</si>
  <si>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</si>
  <si>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</si>
  <si>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</si>
  <si>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</si>
  <si>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</si>
  <si>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</si>
  <si>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</si>
  <si>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</si>
  <si>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</si>
  <si>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</si>
  <si>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</si>
  <si>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</si>
  <si>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</si>
  <si>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</si>
  <si>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</si>
  <si>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</si>
  <si>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</si>
  <si>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</si>
  <si>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</si>
  <si>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</si>
  <si>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</si>
  <si>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</si>
  <si>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</si>
  <si>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</si>
  <si>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</si>
  <si>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</si>
  <si>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</si>
  <si>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</si>
  <si>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</si>
  <si>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</si>
  <si>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</si>
  <si>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</si>
  <si>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</si>
  <si>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</si>
  <si>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</si>
  <si>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</si>
  <si>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</si>
  <si>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</si>
  <si>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</si>
  <si>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</si>
  <si>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</si>
  <si>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</si>
  <si>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</si>
  <si>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</si>
  <si>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</si>
  <si>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</si>
  <si>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</si>
  <si>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</si>
  <si>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</si>
  <si>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</si>
  <si>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</si>
  <si>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</si>
  <si>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</si>
  <si>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</si>
  <si>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</si>
  <si>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</si>
  <si>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</si>
  <si>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</si>
  <si>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</si>
  <si>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</si>
  <si>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</si>
  <si>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</si>
  <si>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</si>
  <si>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</si>
  <si>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</si>
  <si>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</si>
  <si>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</si>
  <si>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</si>
  <si>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</si>
  <si>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</si>
  <si>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</si>
  <si>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</si>
  <si>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</si>
  <si>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</si>
  <si>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</si>
  <si>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</si>
  <si>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</si>
  <si>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</si>
  <si>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</si>
  <si>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</si>
  <si>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</si>
  <si>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</si>
  <si>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</si>
  <si>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</si>
  <si>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</si>
  <si>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</si>
  <si>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</si>
  <si>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</si>
  <si>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</si>
  <si>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</si>
  <si>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</si>
  <si>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</si>
  <si>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</si>
  <si>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</si>
  <si>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</si>
  <si>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</si>
  <si>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</si>
  <si>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</si>
  <si>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</si>
  <si>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</si>
  <si>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</si>
  <si>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</si>
  <si>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</si>
  <si>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</si>
  <si>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</si>
  <si>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</si>
  <si>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</si>
  <si>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</si>
  <si>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</si>
  <si>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</si>
  <si>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</si>
  <si>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</si>
  <si>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</si>
  <si>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</si>
  <si>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</si>
  <si>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</si>
  <si>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</si>
  <si>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</si>
  <si>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</si>
  <si>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</si>
  <si>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</si>
  <si>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</si>
  <si>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</si>
  <si>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</si>
  <si>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</si>
  <si>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</si>
  <si>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</si>
  <si>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</si>
  <si>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</si>
  <si>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</si>
  <si>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</si>
  <si>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</si>
  <si>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</si>
  <si>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</si>
  <si>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</si>
  <si>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</si>
  <si>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</si>
  <si>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</si>
  <si>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</si>
  <si>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</si>
  <si>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</si>
  <si>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</si>
  <si>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</si>
  <si>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</si>
  <si>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</si>
  <si>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</si>
  <si>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</si>
  <si>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</si>
  <si>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</si>
  <si>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</si>
  <si>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</si>
  <si>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</si>
  <si>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</si>
  <si>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</si>
  <si>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</si>
  <si>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</si>
  <si>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</si>
  <si>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</si>
  <si>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</si>
  <si>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</si>
  <si>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</si>
  <si>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</si>
  <si>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</si>
  <si>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</si>
  <si>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</si>
  <si>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</si>
  <si>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</si>
  <si>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</si>
  <si>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</si>
  <si>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</si>
  <si>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</si>
  <si>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</si>
  <si>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</si>
  <si>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</si>
  <si>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</si>
  <si>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</si>
  <si>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</si>
  <si>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</si>
  <si>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</si>
  <si>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</si>
  <si>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</si>
  <si>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</si>
  <si>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</si>
  <si>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</si>
  <si>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</si>
  <si>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</si>
  <si>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</si>
  <si>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</si>
  <si>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</si>
  <si>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</si>
  <si>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</si>
  <si>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</si>
  <si>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</si>
  <si>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</si>
  <si>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</si>
  <si>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</si>
  <si>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</si>
  <si>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</si>
  <si>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</si>
  <si>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</si>
  <si>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</si>
  <si>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</si>
  <si>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</si>
  <si>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</si>
  <si>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</si>
  <si>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</si>
  <si>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</si>
  <si>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</si>
  <si>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</si>
  <si>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</si>
  <si>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</si>
  <si>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</si>
  <si>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</si>
  <si>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</si>
  <si>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</si>
  <si>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</si>
  <si>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</si>
  <si>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</si>
  <si>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</si>
  <si>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</si>
  <si>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</si>
  <si>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</si>
  <si>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</si>
  <si>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</si>
  <si>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</si>
  <si>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</si>
  <si>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</si>
  <si>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</si>
  <si>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</si>
  <si>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</si>
  <si>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</si>
  <si>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</si>
  <si>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</si>
  <si>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</si>
  <si>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</si>
  <si>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</si>
  <si>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</si>
  <si>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</si>
  <si>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</si>
  <si>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</si>
  <si>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</si>
  <si>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</si>
  <si>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</si>
  <si>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</si>
  <si>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</si>
  <si>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</si>
  <si>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</si>
  <si>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</si>
  <si>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</si>
  <si>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</si>
  <si>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</si>
  <si>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</si>
  <si>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</si>
  <si>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</si>
  <si>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</si>
  <si>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</si>
  <si>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</si>
  <si>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</si>
  <si>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</si>
  <si>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</si>
  <si>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</si>
  <si>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</si>
  <si>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</si>
  <si>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</si>
  <si>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</si>
  <si>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</si>
  <si>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</si>
  <si>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</si>
  <si>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</si>
  <si>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</si>
  <si>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</si>
  <si>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</si>
  <si>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</si>
  <si>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</si>
  <si>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</si>
  <si>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</si>
  <si>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</si>
  <si>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</si>
  <si>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</si>
  <si>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</si>
  <si>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</si>
  <si>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</si>
  <si>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</si>
  <si>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</si>
  <si>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</si>
  <si>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</si>
  <si>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</si>
  <si>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</si>
  <si>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</si>
  <si>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</si>
  <si>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</si>
  <si>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</si>
  <si>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</si>
  <si>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</si>
  <si>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</si>
  <si>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</si>
  <si>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</si>
  <si>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</si>
  <si>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</si>
  <si>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</si>
  <si>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</si>
  <si>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</si>
  <si>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</si>
  <si>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</si>
  <si>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</si>
  <si>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</si>
  <si>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</si>
  <si>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</si>
  <si>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</si>
  <si>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</si>
  <si>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</si>
  <si>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</si>
  <si>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</si>
  <si>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</si>
  <si>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</si>
  <si>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</si>
  <si>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</si>
  <si>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</si>
  <si>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</si>
  <si>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</si>
  <si>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</si>
  <si>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</si>
  <si>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</si>
  <si>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</si>
  <si>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</si>
  <si>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</si>
  <si>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</si>
  <si>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</si>
  <si>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</si>
  <si>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</si>
  <si>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</si>
  <si>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</si>
  <si>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</si>
  <si>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</si>
  <si>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</si>
  <si>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</si>
  <si>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</si>
  <si>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</si>
  <si>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</si>
  <si>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</si>
  <si>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</si>
  <si>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</si>
  <si>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</si>
  <si>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</si>
  <si>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</si>
  <si>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</si>
  <si>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</si>
  <si>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</si>
  <si>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</si>
  <si>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</si>
  <si>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</si>
  <si>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</si>
  <si>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</si>
  <si>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</si>
  <si>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</si>
  <si>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</si>
  <si>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</si>
  <si>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</si>
  <si>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</si>
  <si>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</si>
  <si>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</si>
  <si>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</si>
  <si>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</si>
  <si>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</si>
  <si>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</si>
  <si>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</si>
  <si>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</si>
  <si>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</si>
  <si>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</si>
  <si>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</si>
  <si>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</si>
  <si>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</si>
  <si>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</si>
  <si>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</si>
  <si>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</si>
  <si>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</si>
  <si>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</si>
  <si>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</si>
  <si>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</si>
  <si>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</si>
  <si>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</si>
  <si>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</si>
  <si>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</si>
  <si>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</si>
  <si>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</si>
  <si>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</si>
  <si>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</si>
  <si>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</si>
  <si>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</si>
  <si>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</si>
  <si>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</si>
  <si>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</si>
  <si>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</si>
  <si>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</si>
  <si>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</si>
  <si>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</si>
  <si>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</si>
  <si>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</si>
  <si>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</si>
  <si>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</si>
  <si>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</si>
  <si>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</si>
  <si>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</si>
  <si>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</si>
  <si>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</si>
  <si>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</si>
  <si>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</si>
  <si>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</si>
  <si>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</si>
  <si>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</si>
  <si>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</si>
  <si>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</si>
  <si>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</si>
  <si>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</si>
  <si>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</si>
  <si>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</si>
  <si>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</si>
  <si>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</si>
  <si>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</si>
  <si>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</si>
  <si>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</si>
  <si>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</si>
  <si>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</si>
  <si>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</si>
  <si>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</si>
  <si>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</si>
  <si>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</si>
  <si>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</si>
  <si>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</si>
  <si>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</si>
  <si>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</si>
  <si>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</si>
  <si>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</si>
  <si>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</si>
  <si>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</si>
  <si>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</si>
  <si>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</si>
  <si>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</si>
  <si>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</si>
  <si>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</si>
  <si>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</si>
  <si>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</si>
  <si>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</si>
  <si>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</si>
  <si>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</si>
  <si>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</si>
  <si>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</si>
  <si>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</si>
  <si>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</si>
  <si>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</si>
  <si>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</si>
  <si>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</si>
  <si>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</si>
  <si>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</si>
  <si>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</si>
  <si>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</si>
  <si>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</si>
  <si>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</si>
  <si>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</si>
  <si>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</si>
  <si>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</si>
  <si>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</si>
  <si>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</si>
  <si>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</si>
  <si>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</si>
  <si>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</si>
  <si>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</si>
  <si>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</si>
  <si>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</si>
  <si>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</si>
  <si>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</si>
  <si>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</si>
  <si>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</si>
  <si>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</si>
  <si>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</si>
  <si>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</si>
  <si>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</si>
  <si>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</si>
  <si>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</si>
  <si>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</si>
  <si>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</si>
  <si>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</si>
  <si>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</si>
  <si>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</si>
  <si>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</si>
  <si>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</si>
  <si>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</si>
  <si>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</si>
  <si>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</si>
  <si>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</si>
  <si>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</si>
  <si>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</si>
  <si>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</si>
  <si>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</si>
  <si>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</si>
  <si>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</si>
  <si>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</si>
  <si>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</si>
  <si>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</si>
  <si>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</si>
  <si>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</si>
  <si>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</si>
  <si>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</si>
  <si>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</si>
  <si>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</si>
  <si>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</si>
  <si>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</si>
  <si>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</si>
  <si>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</si>
  <si>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</si>
  <si>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</si>
  <si>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</si>
  <si>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</si>
  <si>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</si>
  <si>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</si>
  <si>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</si>
  <si>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</si>
  <si>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</si>
  <si>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</si>
  <si>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</si>
  <si>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</si>
  <si>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</si>
  <si>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</si>
  <si>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</si>
  <si>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</si>
  <si>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</si>
  <si>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</si>
  <si>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</si>
  <si>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</si>
  <si>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</si>
  <si>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</si>
  <si>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</si>
  <si>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</si>
  <si>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</si>
  <si>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</si>
  <si>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</si>
  <si>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</si>
  <si>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</si>
  <si>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</si>
  <si>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</si>
  <si>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</si>
  <si>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</si>
  <si>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</si>
  <si>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</si>
  <si>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</si>
  <si>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</si>
  <si>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</si>
  <si>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</si>
  <si>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</si>
  <si>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</si>
  <si>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</si>
  <si>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</si>
  <si>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</si>
  <si>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</si>
  <si>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</si>
  <si>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</si>
  <si>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</si>
  <si>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</si>
  <si>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</si>
  <si>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</si>
  <si>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</si>
  <si>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</si>
  <si>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</si>
  <si>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</si>
  <si>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</si>
  <si>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</si>
  <si>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</si>
  <si>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</si>
  <si>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</si>
  <si>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</si>
  <si>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</si>
  <si>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</si>
  <si>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</si>
  <si>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</si>
  <si>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</si>
  <si>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</si>
  <si>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</si>
  <si>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</si>
  <si>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</si>
  <si>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</si>
  <si>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</si>
  <si>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</si>
  <si>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</si>
  <si>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</si>
  <si>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</si>
  <si>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</si>
  <si>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</si>
  <si>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</si>
  <si>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</si>
  <si>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</si>
  <si>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</si>
  <si>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</si>
  <si>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</si>
  <si>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</si>
  <si>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</si>
  <si>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</si>
  <si>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</si>
  <si>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</si>
  <si>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</si>
  <si>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</si>
  <si>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</si>
  <si>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</si>
  <si>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</si>
  <si>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</si>
  <si>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</si>
  <si>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</si>
  <si>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</si>
  <si>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</si>
  <si>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</si>
  <si>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</si>
  <si>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</si>
  <si>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</si>
  <si>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</si>
  <si>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</si>
  <si>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</si>
  <si>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</si>
  <si>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</si>
  <si>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</si>
  <si>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</si>
  <si>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</si>
  <si>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</si>
  <si>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</si>
  <si>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</si>
  <si>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</si>
  <si>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</si>
  <si>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</si>
  <si>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</si>
  <si>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</si>
  <si>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</si>
  <si>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</si>
  <si>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</si>
  <si>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</si>
  <si>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</si>
  <si>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</si>
  <si>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</si>
  <si>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</si>
  <si>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</si>
  <si>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</si>
  <si>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</si>
  <si>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</si>
  <si>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</si>
  <si>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</si>
  <si>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</si>
  <si>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</si>
  <si>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</si>
  <si>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</si>
  <si>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</si>
  <si>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</si>
  <si>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</si>
  <si>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</si>
  <si>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</si>
  <si>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</si>
  <si>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</si>
  <si>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</si>
  <si>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</si>
  <si>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</si>
  <si>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</si>
  <si>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</si>
  <si>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</si>
  <si>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</si>
  <si>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</si>
  <si>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</si>
  <si>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</si>
  <si>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</si>
  <si>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</si>
  <si>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</si>
  <si>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</si>
  <si>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</si>
  <si>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</si>
  <si>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</si>
  <si>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</si>
  <si>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</si>
  <si>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</si>
  <si>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</si>
  <si>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</si>
  <si>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</si>
  <si>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</si>
  <si>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</si>
  <si>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</si>
  <si>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</si>
  <si>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</si>
  <si>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</si>
  <si>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</si>
  <si>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</si>
  <si>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</si>
  <si>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</si>
  <si>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</si>
  <si>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</si>
  <si>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</si>
  <si>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</si>
  <si>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</si>
  <si>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</si>
  <si>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</si>
  <si>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</si>
  <si>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</si>
  <si>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</si>
  <si>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</si>
  <si>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</si>
  <si>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</si>
  <si>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</si>
  <si>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</si>
  <si>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</si>
  <si>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</si>
  <si>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</si>
  <si>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</si>
  <si>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</si>
  <si>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</si>
  <si>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</si>
  <si>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</si>
  <si>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</si>
  <si>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</si>
  <si>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</si>
  <si>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</si>
  <si>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</si>
  <si>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</si>
  <si>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</si>
  <si>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</si>
  <si>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</si>
  <si>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</si>
  <si>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</si>
  <si>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</si>
  <si>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</si>
  <si>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</si>
  <si>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</si>
  <si>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</si>
  <si>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</si>
  <si>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</si>
  <si>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</si>
  <si>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</si>
  <si>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</si>
  <si>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</si>
  <si>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</si>
  <si>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</si>
  <si>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</si>
  <si>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</si>
  <si>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</si>
  <si>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</si>
  <si>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</si>
  <si>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</si>
  <si>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</si>
  <si>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</si>
  <si>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</si>
  <si>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</si>
  <si>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</si>
  <si>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</si>
  <si>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</si>
  <si>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</si>
  <si>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</si>
  <si>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</si>
  <si>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</si>
  <si>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</si>
  <si>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</si>
  <si>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</si>
  <si>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</si>
  <si>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</si>
  <si>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</si>
  <si>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</si>
  <si>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</si>
  <si>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</si>
  <si>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</si>
  <si>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</si>
  <si>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</si>
  <si>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</si>
  <si>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</si>
  <si>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</si>
  <si>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</si>
  <si>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</si>
  <si>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</si>
  <si>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</si>
  <si>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</si>
  <si>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</si>
  <si>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</si>
  <si>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</si>
  <si>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</si>
  <si>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</si>
  <si>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</si>
  <si>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</si>
  <si>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</si>
  <si>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</si>
  <si>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</si>
  <si>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</si>
  <si>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</si>
  <si>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</si>
  <si>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</si>
  <si>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</si>
  <si>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</si>
  <si>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</si>
  <si>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</si>
  <si>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</si>
  <si>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</si>
  <si>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</si>
  <si>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</si>
  <si>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</si>
  <si>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</si>
  <si>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</si>
  <si>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</si>
  <si>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</si>
  <si>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</si>
  <si>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</si>
  <si>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</si>
  <si>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</si>
  <si>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</si>
  <si>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</si>
  <si>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</si>
  <si>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</si>
  <si>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</si>
  <si>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</si>
  <si>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</si>
  <si>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</si>
  <si>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</si>
  <si>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</si>
  <si>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</si>
  <si>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</si>
  <si>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</si>
  <si>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</si>
  <si>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</si>
  <si>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</si>
  <si>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</si>
  <si>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</si>
  <si>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</si>
  <si>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</si>
  <si>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</si>
  <si>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</si>
  <si>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</si>
  <si>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</si>
  <si>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</si>
  <si>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</si>
  <si>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</si>
  <si>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</si>
  <si>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</si>
  <si>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</si>
  <si>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</si>
  <si>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</si>
  <si>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</si>
  <si>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</si>
  <si>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</si>
  <si>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</si>
  <si>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</si>
  <si>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</si>
  <si>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</si>
  <si>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</si>
  <si>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</si>
  <si>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</si>
  <si>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</si>
  <si>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</si>
  <si>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</si>
  <si>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</si>
  <si>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</si>
  <si>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</si>
  <si>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</si>
  <si>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</si>
  <si>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</si>
  <si>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</si>
  <si>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</si>
  <si>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</si>
  <si>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</si>
  <si>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</si>
  <si>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</si>
  <si>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</si>
  <si>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</si>
  <si>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</si>
  <si>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</si>
  <si>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</si>
  <si>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</si>
  <si>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</si>
  <si>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</si>
  <si>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</si>
  <si>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</si>
  <si>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</si>
  <si>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</si>
  <si>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</si>
  <si>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</si>
  <si>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</si>
  <si>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</si>
  <si>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</si>
  <si>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</si>
  <si>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</si>
  <si>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</si>
  <si>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</si>
  <si>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</si>
  <si>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</si>
  <si>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</si>
  <si>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</si>
  <si>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</si>
  <si>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</si>
  <si>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</si>
  <si>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</si>
  <si>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</si>
  <si>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</si>
  <si>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</si>
  <si>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</si>
  <si>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</si>
  <si>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</si>
  <si>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</si>
  <si>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</si>
  <si>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</si>
  <si>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</si>
  <si>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</si>
  <si>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</si>
  <si>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</si>
  <si>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</si>
  <si>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</si>
  <si>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</si>
  <si>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</si>
  <si>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</si>
  <si>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</si>
  <si>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</si>
  <si>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</si>
  <si>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</si>
  <si>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</si>
  <si>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</si>
  <si>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</si>
  <si>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</si>
  <si>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</si>
  <si>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</si>
  <si>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</si>
  <si>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</si>
  <si>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</si>
  <si>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</si>
  <si>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</si>
  <si>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</si>
  <si>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</si>
  <si>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</si>
  <si>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</si>
  <si>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</si>
  <si>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</si>
  <si>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</si>
  <si>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</si>
  <si>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</si>
  <si>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</si>
  <si>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</si>
  <si>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</si>
  <si>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</si>
  <si>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</si>
  <si>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</si>
  <si>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</si>
  <si>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</si>
  <si>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</si>
  <si>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</si>
  <si>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</si>
  <si>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</si>
  <si>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</si>
  <si>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</si>
  <si>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</si>
  <si>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</si>
  <si>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</si>
  <si>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</si>
  <si>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</si>
  <si>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</si>
  <si>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</si>
  <si>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</si>
  <si>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</si>
  <si>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</si>
  <si>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</si>
  <si>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</si>
  <si>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</si>
  <si>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</si>
  <si>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</si>
  <si>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</si>
  <si>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</si>
  <si>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</si>
  <si>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</si>
  <si>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</si>
  <si>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</si>
  <si>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</si>
  <si>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</si>
  <si>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</si>
  <si>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</si>
  <si>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</si>
  <si>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</si>
  <si>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</si>
  <si>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</si>
  <si>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</si>
  <si>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</si>
  <si>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</si>
  <si>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</si>
  <si>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</si>
  <si>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</si>
  <si>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</si>
  <si>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</si>
  <si>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</si>
  <si>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</si>
  <si>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</si>
  <si>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</si>
  <si>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</si>
  <si>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</si>
  <si>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</si>
  <si>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</si>
  <si>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</si>
  <si>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</si>
  <si>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</si>
  <si>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</si>
  <si>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</si>
  <si>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</si>
  <si>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</si>
  <si>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</si>
  <si>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</si>
  <si>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</si>
  <si>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</si>
  <si>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</si>
  <si>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</si>
  <si>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</si>
  <si>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</si>
  <si>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</si>
  <si>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</si>
  <si>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</si>
  <si>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</si>
  <si>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</si>
  <si>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</si>
  <si>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</si>
  <si>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</si>
  <si>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</si>
  <si>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</si>
  <si>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</si>
  <si>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</si>
  <si>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</si>
  <si>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</si>
  <si>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</si>
  <si>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</si>
  <si>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</si>
  <si>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</si>
  <si>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</si>
  <si>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</si>
  <si>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</si>
  <si>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</si>
  <si>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</si>
  <si>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</si>
  <si>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</si>
  <si>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</si>
  <si>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</si>
  <si>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</si>
  <si>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</si>
  <si>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</si>
  <si>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</si>
  <si>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</si>
  <si>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</si>
  <si>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</si>
  <si>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</si>
  <si>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</si>
  <si>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</si>
  <si>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</si>
  <si>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</si>
  <si>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</si>
  <si>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</si>
  <si>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</si>
  <si>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</si>
  <si>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</si>
  <si>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</si>
  <si>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</si>
  <si>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</si>
  <si>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</si>
  <si>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</si>
  <si>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</si>
  <si>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</si>
  <si>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</si>
  <si>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</si>
  <si>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</si>
  <si>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</si>
  <si>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</si>
  <si>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</si>
  <si>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</si>
  <si>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</si>
  <si>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</si>
  <si>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</si>
  <si>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</si>
  <si>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</si>
  <si>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</si>
  <si>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</si>
  <si>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</si>
  <si>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</si>
  <si>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</si>
  <si>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</si>
  <si>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</si>
  <si>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</si>
  <si>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</si>
  <si>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</si>
  <si>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</si>
  <si>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</si>
  <si>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</si>
  <si>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</si>
  <si>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</si>
  <si>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</si>
  <si>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</si>
  <si>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</si>
  <si>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</si>
  <si>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</si>
  <si>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</si>
  <si>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</si>
  <si>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</si>
  <si>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</si>
  <si>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</si>
  <si>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</si>
  <si>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</si>
  <si>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</si>
  <si>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</si>
  <si>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</si>
  <si>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</si>
  <si>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</si>
  <si>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</si>
  <si>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</si>
  <si>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</si>
  <si>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</si>
  <si>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</si>
  <si>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</si>
  <si>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</si>
  <si>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</si>
  <si>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</si>
  <si>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</si>
  <si>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</si>
  <si>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</si>
  <si>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</si>
  <si>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</si>
  <si>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</si>
  <si>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</si>
  <si>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</si>
  <si>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</si>
  <si>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</si>
  <si>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</si>
  <si>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</si>
  <si>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</si>
  <si>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</si>
  <si>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</si>
  <si>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</si>
  <si>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</si>
  <si>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</si>
  <si>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</si>
  <si>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</si>
  <si>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</si>
  <si>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</si>
  <si>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</si>
  <si>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</si>
  <si>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</si>
  <si>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</si>
  <si>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</si>
  <si>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</si>
  <si>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</si>
  <si>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</si>
  <si>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</si>
  <si>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</si>
  <si>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</si>
  <si>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</si>
  <si>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</si>
  <si>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</si>
  <si>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</si>
  <si>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</si>
  <si>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</si>
  <si>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</si>
  <si>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</si>
  <si>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</si>
  <si>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</si>
  <si>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</si>
  <si>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</si>
  <si>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</si>
  <si>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</si>
  <si>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</si>
  <si>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</si>
  <si>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</si>
  <si>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</si>
  <si>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</si>
  <si>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</si>
  <si>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</si>
  <si>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</si>
  <si>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</si>
  <si>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</si>
  <si>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</si>
  <si>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</si>
  <si>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</si>
  <si>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</si>
  <si>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</si>
  <si>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</si>
  <si>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</si>
  <si>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</si>
  <si>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</si>
  <si>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</si>
  <si>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</si>
  <si>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</si>
  <si>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</si>
  <si>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</si>
  <si>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</si>
  <si>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</si>
  <si>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</si>
  <si>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</si>
  <si>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</si>
  <si>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</si>
  <si>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</si>
  <si>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</si>
  <si>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</si>
  <si>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</si>
  <si>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</si>
  <si>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</si>
  <si>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</si>
  <si>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</si>
  <si>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</si>
  <si>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</si>
  <si>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</si>
  <si>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</si>
  <si>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</si>
  <si>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</si>
  <si>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</si>
  <si>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</si>
  <si>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</si>
  <si>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</si>
  <si>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</si>
  <si>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</si>
  <si>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</si>
  <si>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</si>
  <si>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</si>
  <si>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</si>
  <si>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</si>
  <si>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</si>
  <si>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</si>
  <si>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</si>
  <si>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</si>
  <si>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</si>
  <si>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</si>
  <si>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</si>
  <si>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</si>
  <si>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</si>
  <si>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</si>
  <si>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</si>
  <si>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</si>
  <si>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</si>
  <si>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</si>
  <si>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</si>
  <si>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</si>
  <si>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</si>
  <si>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</si>
  <si>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</si>
  <si>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</si>
  <si>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</si>
  <si>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</si>
  <si>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</si>
  <si>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</si>
  <si>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</si>
  <si>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</si>
  <si>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</si>
  <si>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</si>
  <si>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</si>
  <si>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</si>
  <si>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</si>
  <si>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</si>
  <si>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</si>
  <si>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</si>
  <si>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</si>
  <si>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</si>
  <si>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</si>
  <si>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</si>
  <si>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</si>
  <si>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</si>
  <si>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</si>
  <si>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</si>
  <si>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</si>
  <si>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</si>
  <si>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</si>
  <si>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</si>
  <si>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</si>
  <si>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</si>
  <si>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</si>
  <si>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</si>
  <si>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</si>
  <si>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</si>
  <si>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</si>
  <si>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</si>
  <si>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</si>
  <si>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</si>
  <si>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</si>
  <si>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</si>
  <si>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</si>
  <si>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</si>
  <si>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</si>
  <si>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</si>
  <si>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</si>
  <si>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</si>
  <si>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</si>
  <si>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</si>
  <si>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</si>
  <si>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</si>
  <si>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</si>
  <si>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</si>
  <si>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</si>
  <si>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</si>
  <si>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</si>
  <si>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</si>
  <si>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</si>
  <si>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</si>
  <si>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</si>
  <si>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</si>
  <si>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</si>
  <si>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</si>
  <si>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</si>
  <si>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</si>
  <si>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</si>
  <si>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</si>
  <si>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</si>
  <si>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</si>
  <si>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</si>
  <si>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</si>
  <si>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</si>
  <si>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</si>
  <si>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</si>
  <si>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</si>
  <si>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</si>
  <si>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</si>
  <si>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</si>
  <si>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</si>
  <si>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</si>
  <si>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</si>
  <si>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</si>
  <si>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</si>
  <si>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</si>
  <si>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</si>
  <si>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</si>
  <si>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</si>
  <si>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</si>
  <si>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</si>
  <si>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</si>
  <si>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</si>
  <si>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</si>
  <si>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</si>
  <si>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</si>
  <si>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</si>
  <si>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</si>
  <si>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</si>
  <si>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</si>
  <si>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</si>
  <si>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</si>
  <si>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</si>
  <si>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</si>
  <si>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</si>
  <si>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inf</t>
  </si>
  <si>
    <t>tested (release3.0_rc0.1)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</si>
</sst>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54225696"/>
        <c:axId val="154226256"/>
      </c:scatterChart>
      <c:valAx>
        <c:axId val="154225696"/>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226256"/>
        <c:crosses val="autoZero"/>
        <c:crossBetween val="midCat"/>
      </c:valAx>
      <c:valAx>
        <c:axId val="154226256"/>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5422569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54229616"/>
        <c:axId val="154230176"/>
      </c:scatterChart>
      <c:valAx>
        <c:axId val="154229616"/>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230176"/>
        <c:crosses val="autoZero"/>
        <c:crossBetween val="midCat"/>
      </c:valAx>
      <c:valAx>
        <c:axId val="154230176"/>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5422961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54481504"/>
        <c:axId val="154482064"/>
      </c:scatterChart>
      <c:valAx>
        <c:axId val="154481504"/>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482064"/>
        <c:crosses val="autoZero"/>
        <c:crossBetween val="midCat"/>
      </c:valAx>
      <c:valAx>
        <c:axId val="15448206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44815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54485424"/>
        <c:axId val="154485984"/>
      </c:scatterChart>
      <c:valAx>
        <c:axId val="154485424"/>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485984"/>
        <c:crosses val="autoZero"/>
        <c:crossBetween val="midCat"/>
      </c:valAx>
      <c:valAx>
        <c:axId val="154485984"/>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448542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154862320"/>
        <c:axId val="154862880"/>
      </c:scatterChart>
      <c:valAx>
        <c:axId val="15486232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862880"/>
        <c:crosses val="autoZero"/>
        <c:crossBetween val="midCat"/>
      </c:valAx>
      <c:valAx>
        <c:axId val="154862880"/>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486232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154866240"/>
        <c:axId val="154866800"/>
      </c:scatterChart>
      <c:valAx>
        <c:axId val="15486624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54866800"/>
        <c:crosses val="autoZero"/>
        <c:crossBetween val="midCat"/>
      </c:valAx>
      <c:valAx>
        <c:axId val="15486680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548662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heetViews>
  <sheetFormatPr defaultRowHeight="15" x14ac:dyDescent="0.25"/>
  <cols>
    <col min="2" max="2" width="16.7109375" customWidth="1"/>
    <col min="3" max="7" width="24.7109375" customWidth="1"/>
  </cols>
  <sheetData>
    <row r="1" spans="2:5" x14ac:dyDescent="0.25">
      <c r="B1" t="s">
        <v>0</v>
      </c>
      <c r="C1" s="64" t="s">
        <v>2</v>
      </c>
      <c r="D1" s="64"/>
      <c r="E1" s="64"/>
    </row>
    <row r="2" spans="2:5" x14ac:dyDescent="0.25">
      <c r="B2" t="s">
        <v>1</v>
      </c>
      <c r="C2" s="65" t="s">
        <v>3</v>
      </c>
      <c r="D2" s="65"/>
      <c r="E2" s="65"/>
    </row>
    <row r="4" spans="2:5" s="1" customFormat="1" x14ac:dyDescent="0.25">
      <c r="B4" s="1" t="s">
        <v>264</v>
      </c>
    </row>
    <row r="6" spans="2:5" ht="30" x14ac:dyDescent="0.25">
      <c r="B6" s="66" t="s">
        <v>265</v>
      </c>
      <c r="C6" s="2" t="s">
        <v>266</v>
      </c>
    </row>
    <row r="7" spans="2:5" x14ac:dyDescent="0.25">
      <c r="B7" s="66"/>
      <c r="C7" s="3"/>
    </row>
    <row r="8" spans="2:5" x14ac:dyDescent="0.25">
      <c r="B8" s="66"/>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6" t="s">
        <v>351</v>
      </c>
      <c r="C16" s="67" t="s">
        <v>352</v>
      </c>
      <c r="D16" s="67"/>
      <c r="E16" s="67"/>
    </row>
    <row r="17" spans="2:5" x14ac:dyDescent="0.25">
      <c r="B17" s="66"/>
      <c r="C17" s="68" t="s">
        <v>301</v>
      </c>
      <c r="D17" s="68"/>
      <c r="E17" s="68"/>
    </row>
    <row r="18" spans="2:5" x14ac:dyDescent="0.25">
      <c r="B18" s="66"/>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69" t="e">
        <f>'C1.2 losslG,lossyC'!V74</f>
        <v>#NUM!</v>
      </c>
      <c r="D22" s="69"/>
      <c r="E22" s="69"/>
    </row>
    <row r="23" spans="2:5" x14ac:dyDescent="0.25">
      <c r="B23" s="9" t="s">
        <v>269</v>
      </c>
      <c r="C23" s="70" t="e">
        <f>'C1.2 losslG,lossyC'!W74</f>
        <v>#NUM!</v>
      </c>
      <c r="D23" s="70"/>
      <c r="E23" s="70"/>
    </row>
    <row r="25" spans="2:5" x14ac:dyDescent="0.25">
      <c r="B25" s="66" t="s">
        <v>504</v>
      </c>
      <c r="C25" s="67" t="s">
        <v>505</v>
      </c>
      <c r="D25" s="67"/>
      <c r="E25" s="67"/>
    </row>
    <row r="26" spans="2:5" x14ac:dyDescent="0.25">
      <c r="B26" s="66"/>
      <c r="C26" s="68" t="s">
        <v>301</v>
      </c>
      <c r="D26" s="68"/>
      <c r="E26" s="68"/>
    </row>
    <row r="27" spans="2:5" x14ac:dyDescent="0.25">
      <c r="B27" s="66"/>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69" t="e">
        <f>'C1.3 lossyG,lossyC'!AR233</f>
        <v>#NUM!</v>
      </c>
      <c r="D32" s="69"/>
      <c r="E32" s="69"/>
    </row>
    <row r="33" spans="2:5" x14ac:dyDescent="0.25">
      <c r="B33" s="9" t="s">
        <v>269</v>
      </c>
      <c r="C33" s="70" t="e">
        <f>'C1.3 lossyG,lossyC'!AS233</f>
        <v>#NUM!</v>
      </c>
      <c r="D33" s="70"/>
      <c r="E33" s="70"/>
    </row>
    <row r="35" spans="2:5" s="1" customFormat="1" x14ac:dyDescent="0.25">
      <c r="B35" s="1" t="s">
        <v>573</v>
      </c>
    </row>
    <row r="37" spans="2:5" ht="30" x14ac:dyDescent="0.25">
      <c r="B37" s="66" t="s">
        <v>574</v>
      </c>
      <c r="C37" s="2" t="s">
        <v>266</v>
      </c>
    </row>
    <row r="38" spans="2:5" x14ac:dyDescent="0.25">
      <c r="B38" s="66"/>
      <c r="C38" s="3"/>
    </row>
    <row r="39" spans="2:5" x14ac:dyDescent="0.25">
      <c r="B39" s="66"/>
      <c r="C39" s="4" t="s">
        <v>267</v>
      </c>
    </row>
    <row r="40" spans="2:5" x14ac:dyDescent="0.25">
      <c r="B40" s="5" t="s">
        <v>571</v>
      </c>
      <c r="C40" s="6" t="e">
        <f>'C2.1 losslG,noAttr'!AH9</f>
        <v>#DIV/0!</v>
      </c>
    </row>
    <row r="41" spans="2:5" x14ac:dyDescent="0.25">
      <c r="B41" s="5" t="s">
        <v>572</v>
      </c>
      <c r="C41" s="6" t="e">
        <f>'C2.1 losslG,noAttr'!AH10</f>
        <v>#DIV/0!</v>
      </c>
    </row>
    <row r="42" spans="2:5" x14ac:dyDescent="0.25">
      <c r="B42" s="7" t="s">
        <v>258</v>
      </c>
      <c r="C42" s="8" t="e">
        <f>'C2.1 losslG,noAttr'!AH11</f>
        <v>#DIV/0!</v>
      </c>
    </row>
    <row r="43" spans="2:5" x14ac:dyDescent="0.25">
      <c r="B43" t="s">
        <v>268</v>
      </c>
      <c r="C43" s="6" t="e">
        <f>'C2.1 losslG,noAttr'!AC15</f>
        <v>#NUM!</v>
      </c>
    </row>
    <row r="44" spans="2:5" x14ac:dyDescent="0.25">
      <c r="B44" s="9" t="s">
        <v>269</v>
      </c>
      <c r="C44" s="10" t="e">
        <f>'C2.1 losslG,noAttr'!AE15</f>
        <v>#NUM!</v>
      </c>
    </row>
    <row r="46" spans="2:5" ht="45" x14ac:dyDescent="0.25">
      <c r="B46" s="66" t="s">
        <v>650</v>
      </c>
      <c r="C46" s="2" t="s">
        <v>651</v>
      </c>
    </row>
    <row r="47" spans="2:5" x14ac:dyDescent="0.25">
      <c r="B47" s="66"/>
      <c r="C47" s="3"/>
    </row>
    <row r="48" spans="2:5" x14ac:dyDescent="0.25">
      <c r="B48" s="66"/>
      <c r="C48" s="4" t="s">
        <v>267</v>
      </c>
    </row>
    <row r="49" spans="2:7" x14ac:dyDescent="0.25">
      <c r="B49" s="5" t="s">
        <v>571</v>
      </c>
      <c r="C49" s="6" t="e">
        <f>'C2.2 losslG,losslAttr'!BB9</f>
        <v>#DIV/0!</v>
      </c>
    </row>
    <row r="50" spans="2:7" x14ac:dyDescent="0.25">
      <c r="B50" s="5" t="s">
        <v>572</v>
      </c>
      <c r="C50" s="6" t="e">
        <f>'C2.2 losslG,losslAttr'!BB10</f>
        <v>#DIV/0!</v>
      </c>
    </row>
    <row r="51" spans="2:7" x14ac:dyDescent="0.25">
      <c r="B51" s="7" t="s">
        <v>258</v>
      </c>
      <c r="C51" s="8" t="e">
        <f>'C2.2 losslG,losslAttr'!BB11</f>
        <v>#DIV/0!</v>
      </c>
    </row>
    <row r="52" spans="2:7" x14ac:dyDescent="0.25">
      <c r="B52" t="s">
        <v>268</v>
      </c>
      <c r="C52" s="6" t="e">
        <f>'C2.2 losslG,losslAttr'!AU15</f>
        <v>#NUM!</v>
      </c>
    </row>
    <row r="53" spans="2:7" x14ac:dyDescent="0.25">
      <c r="B53" s="9" t="s">
        <v>269</v>
      </c>
      <c r="C53" s="10" t="e">
        <f>'C2.2 losslG,losslAttr'!AW15</f>
        <v>#NUM!</v>
      </c>
    </row>
    <row r="55" spans="2:7" x14ac:dyDescent="0.25">
      <c r="B55" s="66" t="s">
        <v>738</v>
      </c>
      <c r="C55" s="67" t="s">
        <v>739</v>
      </c>
      <c r="D55" s="67"/>
      <c r="E55" s="67"/>
      <c r="F55" s="67"/>
      <c r="G55" s="67"/>
    </row>
    <row r="56" spans="2:7" x14ac:dyDescent="0.25">
      <c r="B56" s="66"/>
      <c r="C56" s="68" t="s">
        <v>409</v>
      </c>
      <c r="D56" s="68"/>
      <c r="E56" s="71" t="s">
        <v>412</v>
      </c>
      <c r="F56" s="71"/>
      <c r="G56" s="71"/>
    </row>
    <row r="57" spans="2:7" x14ac:dyDescent="0.25">
      <c r="B57" s="66"/>
      <c r="C57" s="4" t="s">
        <v>375</v>
      </c>
      <c r="D57" s="4" t="s">
        <v>740</v>
      </c>
      <c r="E57" s="14" t="s">
        <v>285</v>
      </c>
      <c r="F57" s="14" t="s">
        <v>353</v>
      </c>
      <c r="G57" s="14" t="s">
        <v>354</v>
      </c>
    </row>
    <row r="58" spans="2:7" x14ac:dyDescent="0.25">
      <c r="B58" s="5" t="s">
        <v>571</v>
      </c>
      <c r="C58" s="11">
        <f>'C2.3 lossyG,lossyAttr'!$BI$29:$BI$29</f>
        <v>1</v>
      </c>
      <c r="D58" s="11">
        <f>'C2.3 lossyG,lossyAttr'!$BJ$29:$BJ$29</f>
        <v>1</v>
      </c>
      <c r="E58" s="11">
        <f>'C2.3 lossyG,lossyAttr'!$BK$29:$BK$29</f>
        <v>1</v>
      </c>
      <c r="F58" s="11">
        <f>'C2.3 lossyG,lossyAttr'!$BL$29:$BL$29</f>
        <v>1</v>
      </c>
      <c r="G58" s="11">
        <f>'C2.3 lossyG,lossyAttr'!$BM$29:$BM$29</f>
        <v>1</v>
      </c>
    </row>
    <row r="59" spans="2:7" x14ac:dyDescent="0.25">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25">
      <c r="B60" s="7" t="s">
        <v>258</v>
      </c>
      <c r="C60" s="12">
        <f>'C2.3 lossyG,lossyAttr'!$BI$31:$BI$31</f>
        <v>1</v>
      </c>
      <c r="D60" s="12">
        <f>'C2.3 lossyG,lossyAttr'!$BJ$31:$BJ$31</f>
        <v>1</v>
      </c>
      <c r="E60" s="12">
        <f>'C2.3 lossyG,lossyAttr'!$BK$31:$BK$31</f>
        <v>1</v>
      </c>
      <c r="F60" s="12">
        <f>'C2.3 lossyG,lossyAttr'!$BL$31:$BL$31</f>
        <v>1</v>
      </c>
      <c r="G60" s="12">
        <f>'C2.3 lossyG,lossyAttr'!$BM$31:$BM$31</f>
        <v>1</v>
      </c>
    </row>
    <row r="61" spans="2:7" x14ac:dyDescent="0.25">
      <c r="B61" t="s">
        <v>268</v>
      </c>
      <c r="C61" s="69" t="e">
        <f>'C2.3 lossyG,lossyAttr'!AX35</f>
        <v>#NUM!</v>
      </c>
      <c r="D61" s="69"/>
      <c r="E61" s="69"/>
      <c r="F61" s="69"/>
      <c r="G61" s="69"/>
    </row>
    <row r="62" spans="2:7" x14ac:dyDescent="0.25">
      <c r="B62" s="9" t="s">
        <v>269</v>
      </c>
      <c r="C62" s="70" t="e">
        <f>'C2.3 lossyG,lossyAttr'!AZ35</f>
        <v>#NUM!</v>
      </c>
      <c r="D62" s="70"/>
      <c r="E62" s="70"/>
      <c r="F62" s="70"/>
      <c r="G62" s="70"/>
    </row>
    <row r="64" spans="2:7" x14ac:dyDescent="0.25">
      <c r="B64" s="66" t="s">
        <v>825</v>
      </c>
      <c r="C64" s="67" t="s">
        <v>826</v>
      </c>
      <c r="D64" s="67"/>
      <c r="E64" s="67"/>
      <c r="F64" s="67"/>
      <c r="G64" s="67"/>
    </row>
    <row r="65" spans="2:7" x14ac:dyDescent="0.25">
      <c r="B65" s="66"/>
      <c r="C65" s="68" t="s">
        <v>409</v>
      </c>
      <c r="D65" s="68"/>
      <c r="E65" s="71" t="s">
        <v>412</v>
      </c>
      <c r="F65" s="71"/>
      <c r="G65" s="71"/>
    </row>
    <row r="66" spans="2:7" x14ac:dyDescent="0.25">
      <c r="B66" s="66"/>
      <c r="C66" s="4" t="s">
        <v>375</v>
      </c>
      <c r="D66" s="4" t="s">
        <v>740</v>
      </c>
      <c r="E66" s="14" t="s">
        <v>285</v>
      </c>
      <c r="F66" s="14" t="s">
        <v>353</v>
      </c>
      <c r="G66" s="14" t="s">
        <v>354</v>
      </c>
    </row>
    <row r="67" spans="2:7" x14ac:dyDescent="0.25">
      <c r="B67" s="5" t="s">
        <v>571</v>
      </c>
      <c r="C67" s="11">
        <f>'C2.4 lossyG,lossyAttr,interRA'!$BI$29:$BI$29</f>
        <v>-0.29378848556262921</v>
      </c>
      <c r="D67" s="11">
        <f>'C2.4 lossyG,lossyAttr,interRA'!$BJ$29:$BJ$29</f>
        <v>-0.29294841076446598</v>
      </c>
      <c r="E67" s="11">
        <f>'C2.4 lossyG,lossyAttr,interRA'!$BK$29:$BK$29</f>
        <v>-1.6853282537043129E-2</v>
      </c>
      <c r="F67" s="11">
        <f>'C2.4 lossyG,lossyAttr,interRA'!$BL$29:$BL$29</f>
        <v>-3.8642094088478657E-2</v>
      </c>
      <c r="G67" s="11">
        <f>'C2.4 lossyG,lossyAttr,interRA'!$BM$29:$BM$29</f>
        <v>-1.5687370192468741E-2</v>
      </c>
    </row>
    <row r="68" spans="2:7" x14ac:dyDescent="0.25">
      <c r="B68" s="5" t="s">
        <v>572</v>
      </c>
      <c r="C68" s="11">
        <f>'C2.4 lossyG,lossyAttr,interRA'!$BI$30:$BI$30</f>
        <v>-0.40185840417530239</v>
      </c>
      <c r="D68" s="11">
        <f>'C2.4 lossyG,lossyAttr,interRA'!$BJ$30:$BJ$30</f>
        <v>-0.40664510537440424</v>
      </c>
      <c r="E68" s="11">
        <f>'C2.4 lossyG,lossyAttr,interRA'!$BK$30:$BK$30</f>
        <v>2.6769834937487413E-2</v>
      </c>
      <c r="F68" s="11">
        <f>'C2.4 lossyG,lossyAttr,interRA'!$BL$30:$BL$30</f>
        <v>-7.6649373981894864E-2</v>
      </c>
      <c r="G68" s="11">
        <f>'C2.4 lossyG,lossyAttr,interRA'!$BM$30:$BM$30</f>
        <v>-5.3903869489266731E-2</v>
      </c>
    </row>
    <row r="69" spans="2:7" x14ac:dyDescent="0.25">
      <c r="B69" s="7" t="s">
        <v>258</v>
      </c>
      <c r="C69" s="12">
        <f>'C2.4 lossyG,lossyAttr,interRA'!$BI$31:$BI$31</f>
        <v>-0.31540246928516386</v>
      </c>
      <c r="D69" s="12">
        <f>'C2.4 lossyG,lossyAttr,interRA'!$BJ$31:$BJ$31</f>
        <v>-0.31568774968645363</v>
      </c>
      <c r="E69" s="12">
        <f>'C2.4 lossyG,lossyAttr,interRA'!$BK$31:$BK$31</f>
        <v>-8.1286590421370212E-3</v>
      </c>
      <c r="F69" s="12">
        <f>'C2.4 lossyG,lossyAttr,interRA'!$BL$31:$BL$31</f>
        <v>-4.6243550067161895E-2</v>
      </c>
      <c r="G69" s="12">
        <f>'C2.4 lossyG,lossyAttr,interRA'!$BM$31:$BM$31</f>
        <v>-2.3330670051828338E-2</v>
      </c>
    </row>
    <row r="70" spans="2:7" x14ac:dyDescent="0.25">
      <c r="B70" t="s">
        <v>268</v>
      </c>
      <c r="C70" s="69" t="e">
        <f>'C2.4 lossyG,lossyAttr,interRA'!AX35</f>
        <v>#NUM!</v>
      </c>
      <c r="D70" s="69"/>
      <c r="E70" s="69"/>
      <c r="F70" s="69"/>
      <c r="G70" s="69"/>
    </row>
    <row r="71" spans="2:7" x14ac:dyDescent="0.25">
      <c r="B71" s="9" t="s">
        <v>269</v>
      </c>
      <c r="C71" s="70" t="e">
        <f>'C2.4 lossyG,lossyAttr,interRA'!AZ35</f>
        <v>#NUM!</v>
      </c>
      <c r="D71" s="70"/>
      <c r="E71" s="70"/>
      <c r="F71" s="70"/>
      <c r="G71" s="70"/>
    </row>
    <row r="73" spans="2:7" ht="45" x14ac:dyDescent="0.25">
      <c r="B73" s="66" t="s">
        <v>876</v>
      </c>
      <c r="C73" s="2" t="s">
        <v>877</v>
      </c>
    </row>
    <row r="74" spans="2:7" x14ac:dyDescent="0.25">
      <c r="B74" s="66"/>
      <c r="C74" s="3"/>
    </row>
    <row r="75" spans="2:7" x14ac:dyDescent="0.25">
      <c r="B75" s="66"/>
      <c r="C75" s="4" t="s">
        <v>267</v>
      </c>
    </row>
    <row r="76" spans="2:7" x14ac:dyDescent="0.25">
      <c r="B76" s="5" t="s">
        <v>571</v>
      </c>
      <c r="C76" s="6" t="e">
        <f>'C2.5 losslG,noAttr,interRA'!AH9</f>
        <v>#DIV/0!</v>
      </c>
    </row>
    <row r="77" spans="2:7" x14ac:dyDescent="0.25">
      <c r="B77" s="5" t="s">
        <v>572</v>
      </c>
      <c r="C77" s="6" t="e">
        <f>'C2.5 losslG,noAttr,interRA'!AH10</f>
        <v>#DIV/0!</v>
      </c>
    </row>
    <row r="78" spans="2:7" x14ac:dyDescent="0.25">
      <c r="B78" s="7" t="s">
        <v>258</v>
      </c>
      <c r="C78" s="8" t="e">
        <f>'C2.5 losslG,noAttr,interRA'!AH11</f>
        <v>#DIV/0!</v>
      </c>
    </row>
    <row r="79" spans="2:7" x14ac:dyDescent="0.25">
      <c r="B79" t="s">
        <v>268</v>
      </c>
      <c r="C79" s="6" t="e">
        <f>'C2.5 losslG,noAttr,interRA'!AC15</f>
        <v>#NUM!</v>
      </c>
    </row>
    <row r="80" spans="2:7" x14ac:dyDescent="0.25">
      <c r="B80" s="9" t="s">
        <v>269</v>
      </c>
      <c r="C80" s="10" t="e">
        <f>'C2.5 losslG,noAttr,interRA'!AE15</f>
        <v>#NUM!</v>
      </c>
    </row>
    <row r="82" spans="2:3" ht="45" x14ac:dyDescent="0.25">
      <c r="B82" s="66" t="s">
        <v>949</v>
      </c>
      <c r="C82" s="2" t="s">
        <v>950</v>
      </c>
    </row>
    <row r="83" spans="2:3" x14ac:dyDescent="0.25">
      <c r="B83" s="66"/>
      <c r="C83" s="3"/>
    </row>
    <row r="84" spans="2:3" x14ac:dyDescent="0.25">
      <c r="B84" s="66"/>
      <c r="C84" s="4" t="s">
        <v>267</v>
      </c>
    </row>
    <row r="85" spans="2:3" x14ac:dyDescent="0.25">
      <c r="B85" s="5" t="s">
        <v>571</v>
      </c>
      <c r="C85" s="6" t="e">
        <f>'C2.6 losslG,losslAttr,interRA'!BB9</f>
        <v>#DIV/0!</v>
      </c>
    </row>
    <row r="86" spans="2:3" x14ac:dyDescent="0.25">
      <c r="B86" s="5" t="s">
        <v>572</v>
      </c>
      <c r="C86" s="6" t="e">
        <f>'C2.6 losslG,losslAttr,interRA'!BB10</f>
        <v>#DIV/0!</v>
      </c>
    </row>
    <row r="87" spans="2:3" x14ac:dyDescent="0.25">
      <c r="B87" s="7" t="s">
        <v>258</v>
      </c>
      <c r="C87" s="8" t="e">
        <f>'C2.6 losslG,losslAttr,interRA'!BB11</f>
        <v>#DIV/0!</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1004</v>
      </c>
    </row>
    <row r="93" spans="2:3" ht="30" x14ac:dyDescent="0.25">
      <c r="B93" s="66" t="s">
        <v>1005</v>
      </c>
      <c r="C93" s="2" t="s">
        <v>266</v>
      </c>
    </row>
    <row r="94" spans="2:3" x14ac:dyDescent="0.25">
      <c r="B94" s="66"/>
      <c r="C94" s="3"/>
    </row>
    <row r="95" spans="2:3" x14ac:dyDescent="0.25">
      <c r="B95" s="66"/>
      <c r="C95" s="4" t="s">
        <v>267</v>
      </c>
    </row>
    <row r="96" spans="2:3" x14ac:dyDescent="0.25">
      <c r="B96" s="5" t="s">
        <v>1002</v>
      </c>
      <c r="C96" s="6" t="e">
        <f>'C3.1 losslG,noAttr'!Z10</f>
        <v>#DIV/0!</v>
      </c>
    </row>
    <row r="97" spans="2:5" x14ac:dyDescent="0.25">
      <c r="B97" s="5" t="s">
        <v>1003</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6" t="s">
        <v>1057</v>
      </c>
      <c r="C102" s="67" t="s">
        <v>352</v>
      </c>
      <c r="D102" s="67"/>
      <c r="E102" s="67"/>
    </row>
    <row r="103" spans="2:5" x14ac:dyDescent="0.25">
      <c r="B103" s="66"/>
      <c r="C103" s="68" t="s">
        <v>412</v>
      </c>
      <c r="D103" s="68"/>
      <c r="E103" s="68"/>
    </row>
    <row r="104" spans="2:5" x14ac:dyDescent="0.25">
      <c r="B104" s="66"/>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69" t="e">
        <f>'C3.2 losslG,lossyC'!AF26</f>
        <v>#NUM!</v>
      </c>
      <c r="D106" s="69"/>
      <c r="E106" s="69"/>
    </row>
    <row r="107" spans="2:5" x14ac:dyDescent="0.25">
      <c r="B107" s="9" t="s">
        <v>269</v>
      </c>
      <c r="C107" s="70" t="e">
        <f>'C3.2 losslG,lossyC'!AG26</f>
        <v>#NUM!</v>
      </c>
      <c r="D107" s="70"/>
      <c r="E107" s="70"/>
    </row>
    <row r="109" spans="2:5" ht="30" x14ac:dyDescent="0.25">
      <c r="B109" s="66" t="s">
        <v>1103</v>
      </c>
      <c r="C109" s="2" t="s">
        <v>1104</v>
      </c>
    </row>
    <row r="110" spans="2:5" ht="30" x14ac:dyDescent="0.25">
      <c r="B110" s="66"/>
      <c r="C110" s="3" t="s">
        <v>412</v>
      </c>
    </row>
    <row r="111" spans="2:5" x14ac:dyDescent="0.25">
      <c r="B111" s="66"/>
      <c r="C111" s="4" t="s">
        <v>1073</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6" t="s">
        <v>1152</v>
      </c>
      <c r="C116" s="67" t="s">
        <v>1153</v>
      </c>
      <c r="D116" s="67"/>
    </row>
    <row r="117" spans="2:4" x14ac:dyDescent="0.25">
      <c r="B117" s="66"/>
      <c r="C117" s="68" t="s">
        <v>409</v>
      </c>
      <c r="D117" s="68"/>
    </row>
    <row r="118" spans="2:4" x14ac:dyDescent="0.25">
      <c r="B118" s="66"/>
      <c r="C118" s="4" t="s">
        <v>375</v>
      </c>
      <c r="D118" s="4" t="s">
        <v>740</v>
      </c>
    </row>
    <row r="119" spans="2:4" x14ac:dyDescent="0.25">
      <c r="B119" s="5" t="s">
        <v>1002</v>
      </c>
      <c r="C119" s="11" t="e">
        <f>'C3.4 lossyG,noAttr'!$AC$40:$AC$40</f>
        <v>#VALUE!</v>
      </c>
      <c r="D119" s="11" t="e">
        <f>'C3.4 lossyG,noAttr'!$AD$40:$AD$40</f>
        <v>#VALUE!</v>
      </c>
    </row>
    <row r="120" spans="2:4" x14ac:dyDescent="0.25">
      <c r="B120" s="5" t="s">
        <v>1003</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69" t="e">
        <f>'C3.4 lossyG,noAttr'!Z46</f>
        <v>#NUM!</v>
      </c>
      <c r="D122" s="69"/>
    </row>
    <row r="123" spans="2:4" x14ac:dyDescent="0.25">
      <c r="B123" s="9" t="s">
        <v>269</v>
      </c>
      <c r="C123" s="70" t="e">
        <f>'C3.4 lossyG,noAttr'!AA46</f>
        <v>#NUM!</v>
      </c>
      <c r="D123" s="70"/>
    </row>
    <row r="125" spans="2:4" x14ac:dyDescent="0.25">
      <c r="B125" s="66" t="s">
        <v>1195</v>
      </c>
      <c r="C125" s="67" t="s">
        <v>1196</v>
      </c>
      <c r="D125" s="67"/>
    </row>
    <row r="126" spans="2:4" x14ac:dyDescent="0.25">
      <c r="B126" s="66"/>
      <c r="C126" s="68" t="s">
        <v>409</v>
      </c>
      <c r="D126" s="68"/>
    </row>
    <row r="127" spans="2:4" x14ac:dyDescent="0.25">
      <c r="B127" s="66"/>
      <c r="C127" s="4" t="s">
        <v>375</v>
      </c>
      <c r="D127" s="4" t="s">
        <v>740</v>
      </c>
    </row>
    <row r="128" spans="2:4" x14ac:dyDescent="0.25">
      <c r="B128" s="7" t="s">
        <v>258</v>
      </c>
      <c r="C128" s="12" t="e">
        <f>'C3.5 lossyG,noAttr,interRA'!$AC$22:$AC$22</f>
        <v>#VALUE!</v>
      </c>
      <c r="D128" s="12" t="e">
        <f>'C3.5 lossyG,noAttr,interRA'!$AD$22:$AD$22</f>
        <v>#VALUE!</v>
      </c>
    </row>
    <row r="129" spans="2:5" x14ac:dyDescent="0.25">
      <c r="B129" t="s">
        <v>268</v>
      </c>
      <c r="C129" s="69" t="e">
        <f>'C3.5 lossyG,noAttr,interRA'!Z26</f>
        <v>#NUM!</v>
      </c>
      <c r="D129" s="69"/>
    </row>
    <row r="130" spans="2:5" x14ac:dyDescent="0.25">
      <c r="B130" s="9" t="s">
        <v>269</v>
      </c>
      <c r="C130" s="70" t="e">
        <f>'C3.5 lossyG,noAttr,interRA'!AA26</f>
        <v>#NUM!</v>
      </c>
      <c r="D130" s="70"/>
    </row>
    <row r="132" spans="2:5" x14ac:dyDescent="0.25">
      <c r="B132" s="66" t="s">
        <v>1241</v>
      </c>
      <c r="C132" s="67" t="s">
        <v>1242</v>
      </c>
      <c r="D132" s="67"/>
      <c r="E132" s="67"/>
    </row>
    <row r="133" spans="2:5" ht="30" x14ac:dyDescent="0.25">
      <c r="B133" s="66"/>
      <c r="C133" s="68" t="s">
        <v>409</v>
      </c>
      <c r="D133" s="68"/>
      <c r="E133" s="13" t="s">
        <v>412</v>
      </c>
    </row>
    <row r="134" spans="2:5" x14ac:dyDescent="0.25">
      <c r="B134" s="66"/>
      <c r="C134" s="4" t="s">
        <v>375</v>
      </c>
      <c r="D134" s="4" t="s">
        <v>740</v>
      </c>
      <c r="E134" s="14" t="s">
        <v>1073</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69" t="e">
        <f>'C3.6 lossyG,lossyR'!AB26</f>
        <v>#NUM!</v>
      </c>
      <c r="D136" s="69"/>
      <c r="E136" s="69"/>
    </row>
    <row r="137" spans="2:5" x14ac:dyDescent="0.25">
      <c r="B137" s="9" t="s">
        <v>269</v>
      </c>
      <c r="C137" s="70" t="e">
        <f>'C3.6 lossyG,lossyR'!AC26</f>
        <v>#NUM!</v>
      </c>
      <c r="D137" s="70"/>
      <c r="E137" s="70"/>
    </row>
    <row r="139" spans="2:5" x14ac:dyDescent="0.25">
      <c r="B139" s="66" t="s">
        <v>1287</v>
      </c>
      <c r="C139" s="67" t="s">
        <v>1288</v>
      </c>
      <c r="D139" s="67"/>
      <c r="E139" s="67"/>
    </row>
    <row r="140" spans="2:5" ht="30" x14ac:dyDescent="0.25">
      <c r="B140" s="66"/>
      <c r="C140" s="68" t="s">
        <v>409</v>
      </c>
      <c r="D140" s="68"/>
      <c r="E140" s="13" t="s">
        <v>412</v>
      </c>
    </row>
    <row r="141" spans="2:5" x14ac:dyDescent="0.25">
      <c r="B141" s="66"/>
      <c r="C141" s="4" t="s">
        <v>375</v>
      </c>
      <c r="D141" s="4" t="s">
        <v>740</v>
      </c>
      <c r="E141" s="14" t="s">
        <v>1073</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69" t="e">
        <f>'C3.7 lossyG,lossyR,interRA'!AB26</f>
        <v>#NUM!</v>
      </c>
      <c r="D143" s="69"/>
      <c r="E143" s="69"/>
    </row>
    <row r="144" spans="2:5" x14ac:dyDescent="0.25">
      <c r="B144" s="9" t="s">
        <v>269</v>
      </c>
      <c r="C144" s="70" t="e">
        <f>'C3.7 lossyG,lossyR,interRA'!AC26</f>
        <v>#NUM!</v>
      </c>
      <c r="D144" s="70"/>
      <c r="E144" s="70"/>
    </row>
    <row r="146" spans="2:3" ht="30" x14ac:dyDescent="0.25">
      <c r="B146" s="66" t="s">
        <v>1322</v>
      </c>
      <c r="C146" s="2" t="s">
        <v>1323</v>
      </c>
    </row>
    <row r="147" spans="2:3" x14ac:dyDescent="0.25">
      <c r="B147" s="66"/>
      <c r="C147" s="3"/>
    </row>
    <row r="148" spans="2:3" x14ac:dyDescent="0.25">
      <c r="B148" s="66"/>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6" t="s">
        <v>1367</v>
      </c>
      <c r="C153" s="2" t="s">
        <v>1368</v>
      </c>
    </row>
    <row r="154" spans="2:3" x14ac:dyDescent="0.25">
      <c r="B154" s="66"/>
      <c r="C154" s="3"/>
    </row>
    <row r="155" spans="2:3" x14ac:dyDescent="0.25">
      <c r="B155" s="66"/>
      <c r="C155" s="4" t="s">
        <v>267</v>
      </c>
    </row>
    <row r="156" spans="2:3" x14ac:dyDescent="0.25">
      <c r="B156" s="5" t="s">
        <v>1002</v>
      </c>
      <c r="C156" s="6" t="e">
        <f>'C3.X losslG,losslR'!Z10</f>
        <v>#DIV/0!</v>
      </c>
    </row>
    <row r="157" spans="2:3" x14ac:dyDescent="0.25">
      <c r="B157" s="5" t="s">
        <v>1003</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6" t="s">
        <v>1420</v>
      </c>
      <c r="C162" s="67" t="s">
        <v>1421</v>
      </c>
      <c r="D162" s="67"/>
      <c r="E162" s="67"/>
    </row>
    <row r="163" spans="2:5" x14ac:dyDescent="0.25">
      <c r="B163" s="66"/>
      <c r="C163" s="68" t="s">
        <v>1405</v>
      </c>
      <c r="D163" s="68"/>
      <c r="E163" s="68"/>
    </row>
    <row r="164" spans="2:5" x14ac:dyDescent="0.25">
      <c r="B164" s="66"/>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69" t="e">
        <f>'C3.Y losslG,nearllC'!AD23</f>
        <v>#NUM!</v>
      </c>
      <c r="D166" s="69"/>
      <c r="E166" s="69"/>
    </row>
    <row r="167" spans="2:5" x14ac:dyDescent="0.25">
      <c r="B167" s="9" t="s">
        <v>269</v>
      </c>
      <c r="C167" s="70" t="e">
        <f>'C3.Y losslG,nearllC'!AE23</f>
        <v>#NUM!</v>
      </c>
      <c r="D167" s="70"/>
      <c r="E167" s="70"/>
    </row>
    <row r="169" spans="2:5" ht="45" x14ac:dyDescent="0.25">
      <c r="B169" s="66" t="s">
        <v>1471</v>
      </c>
      <c r="C169" s="2" t="s">
        <v>1472</v>
      </c>
    </row>
    <row r="170" spans="2:5" ht="30" x14ac:dyDescent="0.25">
      <c r="B170" s="66"/>
      <c r="C170" s="3" t="s">
        <v>1405</v>
      </c>
    </row>
    <row r="171" spans="2:5" x14ac:dyDescent="0.25">
      <c r="B171" s="66"/>
      <c r="C171" s="4" t="s">
        <v>1073</v>
      </c>
    </row>
    <row r="172" spans="2:5" x14ac:dyDescent="0.25">
      <c r="B172" s="5" t="s">
        <v>1002</v>
      </c>
      <c r="C172" s="11" t="e">
        <f>'C3.Z losslG,nearllR'!$AE$34:$AE$34</f>
        <v>#VALUE!</v>
      </c>
    </row>
    <row r="173" spans="2:5" x14ac:dyDescent="0.25">
      <c r="B173" s="5" t="s">
        <v>1003</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tr">
        <f>M1</f>
        <v>C1.1 losslG,noAttr</v>
      </c>
      <c r="C1" t="s">
        <v>86</v>
      </c>
      <c r="I1" t="s">
        <v>4</v>
      </c>
      <c r="M1" t="s">
        <v>270</v>
      </c>
      <c r="N1" t="s">
        <v>355</v>
      </c>
      <c r="O1" t="s">
        <v>506</v>
      </c>
      <c r="P1" t="s">
        <v>575</v>
      </c>
      <c r="Q1" t="s">
        <v>652</v>
      </c>
      <c r="R1" t="s">
        <v>741</v>
      </c>
      <c r="S1" t="s">
        <v>827</v>
      </c>
      <c r="T1" t="s">
        <v>878</v>
      </c>
      <c r="U1" t="s">
        <v>951</v>
      </c>
      <c r="V1" t="s">
        <v>1006</v>
      </c>
      <c r="W1" t="s">
        <v>1058</v>
      </c>
      <c r="X1" t="s">
        <v>1105</v>
      </c>
      <c r="Y1" t="s">
        <v>1154</v>
      </c>
      <c r="Z1" t="s">
        <v>1197</v>
      </c>
      <c r="AA1" t="s">
        <v>1243</v>
      </c>
      <c r="AB1" t="s">
        <v>1289</v>
      </c>
      <c r="AC1" t="s">
        <v>1324</v>
      </c>
      <c r="AD1" t="s">
        <v>1369</v>
      </c>
      <c r="AE1" t="s">
        <v>1422</v>
      </c>
      <c r="AF1" t="s">
        <v>1473</v>
      </c>
    </row>
    <row r="2" spans="1:32" x14ac:dyDescent="0.25">
      <c r="A2" t="s">
        <v>87</v>
      </c>
      <c r="B2" s="15" t="str">
        <f>HLOOKUP(B1,M1:ZZ3,3,0)</f>
        <v>arco_valentino_dense_vox12</v>
      </c>
      <c r="C2" t="s">
        <v>88</v>
      </c>
      <c r="I2" t="s">
        <v>5</v>
      </c>
      <c r="J2" t="s">
        <v>6</v>
      </c>
      <c r="M2" t="s">
        <v>272</v>
      </c>
      <c r="N2" t="s">
        <v>357</v>
      </c>
      <c r="O2" t="s">
        <v>508</v>
      </c>
      <c r="P2" t="s">
        <v>577</v>
      </c>
      <c r="Q2" t="s">
        <v>654</v>
      </c>
      <c r="R2" t="s">
        <v>743</v>
      </c>
      <c r="S2" t="s">
        <v>829</v>
      </c>
      <c r="T2" t="s">
        <v>880</v>
      </c>
      <c r="U2" t="s">
        <v>953</v>
      </c>
      <c r="V2" t="s">
        <v>1008</v>
      </c>
      <c r="W2" t="s">
        <v>1060</v>
      </c>
      <c r="X2" t="s">
        <v>1107</v>
      </c>
      <c r="Y2" t="s">
        <v>1156</v>
      </c>
      <c r="Z2" t="s">
        <v>1199</v>
      </c>
      <c r="AA2" t="s">
        <v>1245</v>
      </c>
      <c r="AB2" t="s">
        <v>1291</v>
      </c>
      <c r="AC2" t="s">
        <v>1326</v>
      </c>
      <c r="AD2" t="s">
        <v>1371</v>
      </c>
      <c r="AE2" t="s">
        <v>1424</v>
      </c>
      <c r="AF2" t="s">
        <v>1475</v>
      </c>
    </row>
    <row r="3" spans="1:32" x14ac:dyDescent="0.25">
      <c r="I3" t="s">
        <v>7</v>
      </c>
      <c r="J3" t="s">
        <v>8</v>
      </c>
      <c r="M3" t="s">
        <v>141</v>
      </c>
      <c r="N3" t="s">
        <v>147</v>
      </c>
      <c r="O3" t="s">
        <v>141</v>
      </c>
      <c r="P3" t="s">
        <v>554</v>
      </c>
      <c r="Q3" t="s">
        <v>554</v>
      </c>
      <c r="R3" t="s">
        <v>554</v>
      </c>
      <c r="S3" t="s">
        <v>554</v>
      </c>
      <c r="T3" t="s">
        <v>554</v>
      </c>
      <c r="U3" t="s">
        <v>554</v>
      </c>
      <c r="V3" t="s">
        <v>982</v>
      </c>
      <c r="W3" t="s">
        <v>982</v>
      </c>
      <c r="X3" t="s">
        <v>982</v>
      </c>
      <c r="Y3" t="s">
        <v>982</v>
      </c>
      <c r="Z3" t="s">
        <v>992</v>
      </c>
      <c r="AA3" t="s">
        <v>992</v>
      </c>
      <c r="AB3" t="s">
        <v>992</v>
      </c>
      <c r="AC3" t="s">
        <v>982</v>
      </c>
      <c r="AD3" t="s">
        <v>982</v>
      </c>
      <c r="AE3" t="s">
        <v>982</v>
      </c>
      <c r="AF3" t="s">
        <v>982</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985</v>
      </c>
      <c r="W4" t="s">
        <v>985</v>
      </c>
      <c r="X4" t="s">
        <v>985</v>
      </c>
      <c r="Y4" t="s">
        <v>985</v>
      </c>
      <c r="Z4" t="s">
        <v>995</v>
      </c>
      <c r="AA4" t="s">
        <v>995</v>
      </c>
      <c r="AB4" t="s">
        <v>995</v>
      </c>
      <c r="AC4" t="s">
        <v>985</v>
      </c>
      <c r="AD4" t="s">
        <v>985</v>
      </c>
      <c r="AE4" t="s">
        <v>985</v>
      </c>
      <c r="AF4" t="s">
        <v>985</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988</v>
      </c>
      <c r="W5" t="s">
        <v>988</v>
      </c>
      <c r="X5" t="s">
        <v>988</v>
      </c>
      <c r="Y5" t="s">
        <v>988</v>
      </c>
      <c r="Z5" t="s">
        <v>998</v>
      </c>
      <c r="AA5" t="s">
        <v>998</v>
      </c>
      <c r="AB5" t="s">
        <v>998</v>
      </c>
      <c r="AC5" t="s">
        <v>988</v>
      </c>
      <c r="AD5" t="s">
        <v>988</v>
      </c>
      <c r="AE5" t="s">
        <v>988</v>
      </c>
      <c r="AF5" t="s">
        <v>988</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992</v>
      </c>
      <c r="Y6" t="s">
        <v>992</v>
      </c>
      <c r="AD6" t="s">
        <v>992</v>
      </c>
      <c r="AF6" t="s">
        <v>992</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995</v>
      </c>
      <c r="Y7" t="s">
        <v>995</v>
      </c>
      <c r="AD7" t="s">
        <v>995</v>
      </c>
      <c r="AF7" t="s">
        <v>995</v>
      </c>
    </row>
    <row r="8" spans="1:32" x14ac:dyDescent="0.25">
      <c r="A8" t="s">
        <v>89</v>
      </c>
      <c r="B8" s="15" t="s">
        <v>73</v>
      </c>
      <c r="C8" t="s">
        <v>90</v>
      </c>
      <c r="D8" s="15" t="s">
        <v>11</v>
      </c>
      <c r="E8" t="s">
        <v>95</v>
      </c>
      <c r="I8" t="s">
        <v>17</v>
      </c>
      <c r="J8" t="s">
        <v>18</v>
      </c>
      <c r="M8" t="s">
        <v>156</v>
      </c>
      <c r="N8" t="s">
        <v>171</v>
      </c>
      <c r="O8" t="s">
        <v>156</v>
      </c>
      <c r="V8" t="s">
        <v>998</v>
      </c>
      <c r="Y8" t="s">
        <v>998</v>
      </c>
      <c r="AD8" t="s">
        <v>998</v>
      </c>
      <c r="AF8" t="s">
        <v>998</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5" t="s">
        <v>136</v>
      </c>
      <c r="B1" s="75"/>
      <c r="C1" s="75"/>
      <c r="D1" s="75"/>
      <c r="F1" s="64" t="s">
        <v>2</v>
      </c>
      <c r="G1" s="64"/>
      <c r="H1" s="64"/>
      <c r="I1" s="64"/>
      <c r="J1" s="64"/>
      <c r="K1" s="64"/>
      <c r="L1" s="64"/>
      <c r="M1" s="64"/>
      <c r="N1" s="64"/>
      <c r="P1" s="65" t="s">
        <v>3</v>
      </c>
      <c r="Q1" s="65"/>
      <c r="R1" s="65"/>
      <c r="S1" s="65"/>
      <c r="T1" s="65"/>
      <c r="U1" s="65"/>
      <c r="V1" s="65"/>
      <c r="W1" s="65"/>
      <c r="X1" s="65"/>
    </row>
    <row r="2" spans="1:28" ht="30" customHeight="1" x14ac:dyDescent="0.25">
      <c r="A2" s="74" t="s">
        <v>97</v>
      </c>
      <c r="B2" s="72" t="s">
        <v>99</v>
      </c>
      <c r="C2" s="74" t="s">
        <v>101</v>
      </c>
      <c r="D2" s="72" t="s">
        <v>103</v>
      </c>
      <c r="F2" s="74" t="s">
        <v>105</v>
      </c>
      <c r="G2" s="76" t="s">
        <v>107</v>
      </c>
      <c r="H2" s="76"/>
      <c r="I2" s="74" t="s">
        <v>112</v>
      </c>
      <c r="J2" s="72" t="s">
        <v>26</v>
      </c>
      <c r="K2" s="73" t="s">
        <v>115</v>
      </c>
      <c r="L2" s="73"/>
      <c r="M2" s="72" t="s">
        <v>118</v>
      </c>
      <c r="N2" s="74" t="s">
        <v>120</v>
      </c>
      <c r="P2" s="72" t="s">
        <v>105</v>
      </c>
      <c r="Q2" s="73" t="s">
        <v>107</v>
      </c>
      <c r="R2" s="73"/>
      <c r="S2" s="72" t="s">
        <v>112</v>
      </c>
      <c r="T2" s="74" t="s">
        <v>26</v>
      </c>
      <c r="U2" s="76" t="s">
        <v>115</v>
      </c>
      <c r="V2" s="76"/>
      <c r="W2" s="74" t="s">
        <v>118</v>
      </c>
      <c r="X2" s="72" t="s">
        <v>120</v>
      </c>
      <c r="Z2" s="74" t="s">
        <v>131</v>
      </c>
      <c r="AA2" s="72" t="s">
        <v>133</v>
      </c>
      <c r="AB2" s="74" t="s">
        <v>133</v>
      </c>
    </row>
    <row r="3" spans="1:28" x14ac:dyDescent="0.25">
      <c r="A3" s="74"/>
      <c r="B3" s="72"/>
      <c r="C3" s="74"/>
      <c r="D3" s="72"/>
      <c r="F3" s="74"/>
      <c r="G3" s="17" t="s">
        <v>108</v>
      </c>
      <c r="H3" s="17" t="s">
        <v>110</v>
      </c>
      <c r="I3" s="74"/>
      <c r="J3" s="72"/>
      <c r="K3" s="16" t="s">
        <v>108</v>
      </c>
      <c r="L3" s="16" t="s">
        <v>110</v>
      </c>
      <c r="M3" s="72"/>
      <c r="N3" s="74"/>
      <c r="P3" s="72"/>
      <c r="Q3" s="16" t="s">
        <v>108</v>
      </c>
      <c r="R3" s="16" t="s">
        <v>110</v>
      </c>
      <c r="S3" s="72"/>
      <c r="T3" s="74"/>
      <c r="U3" s="17" t="s">
        <v>108</v>
      </c>
      <c r="V3" s="17" t="s">
        <v>110</v>
      </c>
      <c r="W3" s="74"/>
      <c r="X3" s="72"/>
      <c r="Z3" s="74"/>
      <c r="AA3" s="72"/>
      <c r="AB3" s="74"/>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workbookViewId="0"/>
  </sheetViews>
  <sheetFormatPr defaultRowHeight="15" x14ac:dyDescent="0.25"/>
  <sheetData>
    <row r="1" spans="1:2" x14ac:dyDescent="0.25">
      <c r="A1" t="s">
        <v>98</v>
      </c>
      <c r="B1">
        <v>1</v>
      </c>
    </row>
    <row r="2" spans="1:2" x14ac:dyDescent="0.25">
      <c r="A2" t="s">
        <v>100</v>
      </c>
      <c r="B2">
        <v>2</v>
      </c>
    </row>
    <row r="3" spans="1:2" x14ac:dyDescent="0.25">
      <c r="A3" t="s">
        <v>102</v>
      </c>
      <c r="B3">
        <v>3</v>
      </c>
    </row>
    <row r="4" spans="1:2" x14ac:dyDescent="0.25">
      <c r="A4" t="s">
        <v>104</v>
      </c>
      <c r="B4">
        <v>4</v>
      </c>
    </row>
    <row r="5" spans="1:2" x14ac:dyDescent="0.25">
      <c r="A5" t="s">
        <v>106</v>
      </c>
      <c r="B5">
        <v>6</v>
      </c>
    </row>
    <row r="6" spans="1:2" x14ac:dyDescent="0.25">
      <c r="A6" t="s">
        <v>109</v>
      </c>
      <c r="B6">
        <v>7</v>
      </c>
    </row>
    <row r="7" spans="1:2" x14ac:dyDescent="0.25">
      <c r="A7" t="s">
        <v>111</v>
      </c>
      <c r="B7">
        <v>8</v>
      </c>
    </row>
    <row r="8" spans="1:2" x14ac:dyDescent="0.25">
      <c r="A8" t="s">
        <v>113</v>
      </c>
      <c r="B8">
        <v>9</v>
      </c>
    </row>
    <row r="9" spans="1:2" x14ac:dyDescent="0.25">
      <c r="A9" t="s">
        <v>114</v>
      </c>
      <c r="B9">
        <v>10</v>
      </c>
    </row>
    <row r="10" spans="1:2" x14ac:dyDescent="0.25">
      <c r="A10" t="s">
        <v>116</v>
      </c>
      <c r="B10">
        <v>11</v>
      </c>
    </row>
    <row r="11" spans="1:2" x14ac:dyDescent="0.25">
      <c r="A11" t="s">
        <v>117</v>
      </c>
      <c r="B11">
        <v>12</v>
      </c>
    </row>
    <row r="12" spans="1:2" x14ac:dyDescent="0.25">
      <c r="A12" t="s">
        <v>119</v>
      </c>
      <c r="B12">
        <v>13</v>
      </c>
    </row>
    <row r="13" spans="1:2" x14ac:dyDescent="0.25">
      <c r="A13" t="s">
        <v>121</v>
      </c>
      <c r="B13">
        <v>14</v>
      </c>
    </row>
    <row r="14" spans="1:2" x14ac:dyDescent="0.25">
      <c r="A14" t="s">
        <v>122</v>
      </c>
      <c r="B14">
        <v>16</v>
      </c>
    </row>
    <row r="15" spans="1:2" x14ac:dyDescent="0.25">
      <c r="A15" t="s">
        <v>123</v>
      </c>
      <c r="B15">
        <v>17</v>
      </c>
    </row>
    <row r="16" spans="1:2" x14ac:dyDescent="0.25">
      <c r="A16" t="s">
        <v>124</v>
      </c>
      <c r="B16">
        <v>18</v>
      </c>
    </row>
    <row r="17" spans="1:2" x14ac:dyDescent="0.25">
      <c r="A17" t="s">
        <v>125</v>
      </c>
      <c r="B17">
        <v>19</v>
      </c>
    </row>
    <row r="18" spans="1:2" x14ac:dyDescent="0.25">
      <c r="A18" t="s">
        <v>126</v>
      </c>
      <c r="B18">
        <v>20</v>
      </c>
    </row>
    <row r="19" spans="1:2" x14ac:dyDescent="0.25">
      <c r="A19" t="s">
        <v>127</v>
      </c>
      <c r="B19">
        <v>21</v>
      </c>
    </row>
    <row r="20" spans="1:2" x14ac:dyDescent="0.25">
      <c r="A20" t="s">
        <v>128</v>
      </c>
      <c r="B20">
        <v>22</v>
      </c>
    </row>
    <row r="21" spans="1:2" x14ac:dyDescent="0.25">
      <c r="A21" t="s">
        <v>129</v>
      </c>
      <c r="B21">
        <v>23</v>
      </c>
    </row>
    <row r="22" spans="1:2" x14ac:dyDescent="0.25">
      <c r="A22" t="s">
        <v>130</v>
      </c>
      <c r="B22">
        <v>24</v>
      </c>
    </row>
    <row r="23" spans="1:2" x14ac:dyDescent="0.25">
      <c r="A23" t="s">
        <v>132</v>
      </c>
      <c r="B23">
        <v>26</v>
      </c>
    </row>
    <row r="24" spans="1:2" x14ac:dyDescent="0.25">
      <c r="A24" t="s">
        <v>134</v>
      </c>
      <c r="B24">
        <v>27</v>
      </c>
    </row>
    <row r="25" spans="1:2" x14ac:dyDescent="0.25">
      <c r="A25" t="s">
        <v>135</v>
      </c>
      <c r="B25">
        <v>28</v>
      </c>
    </row>
    <row r="26" spans="1:2" x14ac:dyDescent="0.25">
      <c r="A26" t="s">
        <v>137</v>
      </c>
      <c r="B26" t="s">
        <v>138</v>
      </c>
    </row>
    <row r="27" spans="1:2" x14ac:dyDescent="0.25">
      <c r="A27" t="s">
        <v>139</v>
      </c>
      <c r="B27" t="s">
        <v>140</v>
      </c>
    </row>
    <row r="28" spans="1:2" x14ac:dyDescent="0.25">
      <c r="A28" t="s">
        <v>142</v>
      </c>
      <c r="B28" t="s">
        <v>143</v>
      </c>
    </row>
    <row r="29" spans="1:2" x14ac:dyDescent="0.25">
      <c r="A29" t="s">
        <v>145</v>
      </c>
      <c r="B29" t="s">
        <v>146</v>
      </c>
    </row>
    <row r="30" spans="1:2" x14ac:dyDescent="0.25">
      <c r="A30" t="s">
        <v>148</v>
      </c>
      <c r="B30" t="s">
        <v>149</v>
      </c>
    </row>
    <row r="31" spans="1:2" x14ac:dyDescent="0.25">
      <c r="A31" t="s">
        <v>151</v>
      </c>
      <c r="B31" t="s">
        <v>152</v>
      </c>
    </row>
    <row r="32" spans="1:2" x14ac:dyDescent="0.25">
      <c r="A32" t="s">
        <v>154</v>
      </c>
      <c r="B32" t="s">
        <v>155</v>
      </c>
    </row>
    <row r="33" spans="1:2" x14ac:dyDescent="0.25">
      <c r="A33" t="s">
        <v>157</v>
      </c>
      <c r="B33" t="s">
        <v>158</v>
      </c>
    </row>
    <row r="34" spans="1:2" x14ac:dyDescent="0.25">
      <c r="A34" t="s">
        <v>160</v>
      </c>
      <c r="B34" t="s">
        <v>161</v>
      </c>
    </row>
    <row r="35" spans="1:2" x14ac:dyDescent="0.25">
      <c r="A35" t="s">
        <v>163</v>
      </c>
      <c r="B35" t="s">
        <v>164</v>
      </c>
    </row>
    <row r="36" spans="1:2" x14ac:dyDescent="0.25">
      <c r="A36" t="s">
        <v>166</v>
      </c>
      <c r="B36" t="s">
        <v>167</v>
      </c>
    </row>
    <row r="37" spans="1:2" x14ac:dyDescent="0.25">
      <c r="A37" t="s">
        <v>169</v>
      </c>
      <c r="B37" t="s">
        <v>170</v>
      </c>
    </row>
    <row r="38" spans="1:2" x14ac:dyDescent="0.25">
      <c r="A38" t="s">
        <v>172</v>
      </c>
      <c r="B38" t="s">
        <v>173</v>
      </c>
    </row>
    <row r="39" spans="1:2" x14ac:dyDescent="0.25">
      <c r="A39" t="s">
        <v>175</v>
      </c>
      <c r="B39" t="s">
        <v>176</v>
      </c>
    </row>
    <row r="40" spans="1:2" x14ac:dyDescent="0.25">
      <c r="A40" t="s">
        <v>178</v>
      </c>
      <c r="B40" t="s">
        <v>179</v>
      </c>
    </row>
    <row r="41" spans="1:2" x14ac:dyDescent="0.25">
      <c r="A41" t="s">
        <v>181</v>
      </c>
      <c r="B41" t="s">
        <v>182</v>
      </c>
    </row>
    <row r="42" spans="1:2" x14ac:dyDescent="0.25">
      <c r="A42" t="s">
        <v>184</v>
      </c>
      <c r="B42" t="s">
        <v>185</v>
      </c>
    </row>
    <row r="43" spans="1:2" x14ac:dyDescent="0.25">
      <c r="A43" t="s">
        <v>187</v>
      </c>
      <c r="B43" t="s">
        <v>188</v>
      </c>
    </row>
    <row r="44" spans="1:2" x14ac:dyDescent="0.25">
      <c r="A44" t="s">
        <v>190</v>
      </c>
      <c r="B44" t="s">
        <v>191</v>
      </c>
    </row>
    <row r="45" spans="1:2" x14ac:dyDescent="0.25">
      <c r="A45" t="s">
        <v>193</v>
      </c>
      <c r="B45" t="s">
        <v>194</v>
      </c>
    </row>
    <row r="46" spans="1:2" x14ac:dyDescent="0.25">
      <c r="A46" t="s">
        <v>196</v>
      </c>
      <c r="B46" t="s">
        <v>197</v>
      </c>
    </row>
    <row r="47" spans="1:2" x14ac:dyDescent="0.25">
      <c r="A47" t="s">
        <v>199</v>
      </c>
      <c r="B47" t="s">
        <v>200</v>
      </c>
    </row>
    <row r="48" spans="1:2" x14ac:dyDescent="0.25">
      <c r="A48" t="s">
        <v>203</v>
      </c>
      <c r="B48" t="s">
        <v>204</v>
      </c>
    </row>
    <row r="49" spans="1:2" x14ac:dyDescent="0.25">
      <c r="A49" t="s">
        <v>206</v>
      </c>
      <c r="B49" t="s">
        <v>207</v>
      </c>
    </row>
    <row r="50" spans="1:2" x14ac:dyDescent="0.25">
      <c r="A50" t="s">
        <v>209</v>
      </c>
      <c r="B50" t="s">
        <v>210</v>
      </c>
    </row>
    <row r="51" spans="1:2" x14ac:dyDescent="0.25">
      <c r="A51" t="s">
        <v>212</v>
      </c>
      <c r="B51" t="s">
        <v>213</v>
      </c>
    </row>
    <row r="52" spans="1:2" x14ac:dyDescent="0.25">
      <c r="A52" t="s">
        <v>215</v>
      </c>
      <c r="B52" t="s">
        <v>216</v>
      </c>
    </row>
    <row r="53" spans="1:2" x14ac:dyDescent="0.25">
      <c r="A53" t="s">
        <v>218</v>
      </c>
      <c r="B53" t="s">
        <v>219</v>
      </c>
    </row>
    <row r="54" spans="1:2" x14ac:dyDescent="0.25">
      <c r="A54" t="s">
        <v>221</v>
      </c>
      <c r="B54" t="s">
        <v>222</v>
      </c>
    </row>
    <row r="55" spans="1:2" x14ac:dyDescent="0.25">
      <c r="A55" t="s">
        <v>224</v>
      </c>
      <c r="B55" t="s">
        <v>225</v>
      </c>
    </row>
    <row r="56" spans="1:2" x14ac:dyDescent="0.25">
      <c r="A56" t="s">
        <v>227</v>
      </c>
      <c r="B56" t="s">
        <v>228</v>
      </c>
    </row>
    <row r="57" spans="1:2" x14ac:dyDescent="0.25">
      <c r="A57" t="s">
        <v>231</v>
      </c>
      <c r="B57" t="s">
        <v>232</v>
      </c>
    </row>
    <row r="58" spans="1:2" x14ac:dyDescent="0.25">
      <c r="A58" t="s">
        <v>234</v>
      </c>
      <c r="B58" t="s">
        <v>235</v>
      </c>
    </row>
    <row r="59" spans="1:2" x14ac:dyDescent="0.25">
      <c r="A59" t="s">
        <v>237</v>
      </c>
      <c r="B59" t="s">
        <v>238</v>
      </c>
    </row>
    <row r="60" spans="1:2" x14ac:dyDescent="0.25">
      <c r="A60" t="s">
        <v>240</v>
      </c>
      <c r="B60" t="s">
        <v>241</v>
      </c>
    </row>
    <row r="61" spans="1:2" x14ac:dyDescent="0.25">
      <c r="A61" t="s">
        <v>243</v>
      </c>
      <c r="B61" t="s">
        <v>244</v>
      </c>
    </row>
    <row r="62" spans="1:2" x14ac:dyDescent="0.25">
      <c r="A62" t="s">
        <v>246</v>
      </c>
      <c r="B62" t="s">
        <v>247</v>
      </c>
    </row>
    <row r="63" spans="1:2" x14ac:dyDescent="0.25">
      <c r="A63" t="s">
        <v>249</v>
      </c>
      <c r="B63" t="s">
        <v>250</v>
      </c>
    </row>
    <row r="64" spans="1:2" x14ac:dyDescent="0.25">
      <c r="A64" t="s">
        <v>252</v>
      </c>
      <c r="B64" t="s">
        <v>253</v>
      </c>
    </row>
    <row r="65" spans="1:10" x14ac:dyDescent="0.25">
      <c r="A65" t="s">
        <v>271</v>
      </c>
      <c r="B65" t="s">
        <v>83</v>
      </c>
      <c r="C65" t="s">
        <v>77</v>
      </c>
      <c r="D65" t="s">
        <v>25</v>
      </c>
      <c r="E65" t="s">
        <v>73</v>
      </c>
      <c r="F65" t="s">
        <v>51</v>
      </c>
      <c r="G65" t="s">
        <v>71</v>
      </c>
      <c r="H65" t="s">
        <v>61</v>
      </c>
      <c r="I65" t="s">
        <v>39</v>
      </c>
      <c r="J65" t="s">
        <v>57</v>
      </c>
    </row>
    <row r="66" spans="1:10" x14ac:dyDescent="0.25">
      <c r="A66" t="s">
        <v>273</v>
      </c>
      <c r="B66">
        <v>1</v>
      </c>
    </row>
    <row r="67" spans="1:10" x14ac:dyDescent="0.25">
      <c r="A67" t="s">
        <v>274</v>
      </c>
      <c r="B67">
        <v>2</v>
      </c>
    </row>
    <row r="68" spans="1:10" x14ac:dyDescent="0.25">
      <c r="A68" t="s">
        <v>276</v>
      </c>
      <c r="B68">
        <v>3</v>
      </c>
    </row>
    <row r="69" spans="1:10" x14ac:dyDescent="0.25">
      <c r="A69" t="s">
        <v>277</v>
      </c>
      <c r="B69">
        <v>4</v>
      </c>
    </row>
    <row r="70" spans="1:10" x14ac:dyDescent="0.25">
      <c r="A70" t="s">
        <v>278</v>
      </c>
      <c r="B70">
        <v>5</v>
      </c>
    </row>
    <row r="71" spans="1:10" x14ac:dyDescent="0.25">
      <c r="A71" t="s">
        <v>280</v>
      </c>
      <c r="B71">
        <v>7</v>
      </c>
    </row>
    <row r="72" spans="1:10" x14ac:dyDescent="0.25">
      <c r="A72" t="s">
        <v>281</v>
      </c>
      <c r="B72">
        <v>8</v>
      </c>
    </row>
    <row r="73" spans="1:10" x14ac:dyDescent="0.25">
      <c r="A73" t="s">
        <v>283</v>
      </c>
      <c r="B73">
        <v>9</v>
      </c>
    </row>
    <row r="74" spans="1:10" x14ac:dyDescent="0.25">
      <c r="A74" t="s">
        <v>286</v>
      </c>
      <c r="B74">
        <v>10</v>
      </c>
    </row>
    <row r="75" spans="1:10" x14ac:dyDescent="0.25">
      <c r="A75" t="s">
        <v>288</v>
      </c>
      <c r="B75">
        <v>11</v>
      </c>
    </row>
    <row r="76" spans="1:10" x14ac:dyDescent="0.25">
      <c r="A76" t="s">
        <v>290</v>
      </c>
      <c r="B76">
        <v>12</v>
      </c>
    </row>
    <row r="77" spans="1:10" x14ac:dyDescent="0.25">
      <c r="A77" t="s">
        <v>291</v>
      </c>
      <c r="B77">
        <v>13</v>
      </c>
    </row>
    <row r="78" spans="1:10" x14ac:dyDescent="0.25">
      <c r="A78" t="s">
        <v>292</v>
      </c>
      <c r="B78">
        <v>14</v>
      </c>
    </row>
    <row r="79" spans="1:10" x14ac:dyDescent="0.25">
      <c r="A79" t="s">
        <v>293</v>
      </c>
      <c r="B79">
        <v>16</v>
      </c>
    </row>
    <row r="80" spans="1:10" x14ac:dyDescent="0.25">
      <c r="A80" t="s">
        <v>294</v>
      </c>
      <c r="B80">
        <v>17</v>
      </c>
    </row>
    <row r="81" spans="1:2" x14ac:dyDescent="0.25">
      <c r="A81" t="s">
        <v>295</v>
      </c>
      <c r="B81">
        <v>18</v>
      </c>
    </row>
    <row r="82" spans="1:2" x14ac:dyDescent="0.25">
      <c r="A82" t="s">
        <v>296</v>
      </c>
      <c r="B82">
        <v>19</v>
      </c>
    </row>
    <row r="83" spans="1:2" x14ac:dyDescent="0.25">
      <c r="A83" t="s">
        <v>297</v>
      </c>
      <c r="B83">
        <v>20</v>
      </c>
    </row>
    <row r="84" spans="1:2" x14ac:dyDescent="0.25">
      <c r="A84" t="s">
        <v>298</v>
      </c>
      <c r="B84">
        <v>21</v>
      </c>
    </row>
    <row r="85" spans="1:2" x14ac:dyDescent="0.25">
      <c r="A85" t="s">
        <v>299</v>
      </c>
      <c r="B85">
        <v>22</v>
      </c>
    </row>
    <row r="86" spans="1:2" x14ac:dyDescent="0.25">
      <c r="A86" t="s">
        <v>300</v>
      </c>
      <c r="B86">
        <v>23</v>
      </c>
    </row>
    <row r="87" spans="1:2" x14ac:dyDescent="0.25">
      <c r="A87" t="s">
        <v>302</v>
      </c>
      <c r="B87">
        <v>25</v>
      </c>
    </row>
    <row r="88" spans="1:2" x14ac:dyDescent="0.25">
      <c r="A88" t="s">
        <v>303</v>
      </c>
      <c r="B88">
        <v>26</v>
      </c>
    </row>
    <row r="89" spans="1:2" x14ac:dyDescent="0.25">
      <c r="A89" t="s">
        <v>304</v>
      </c>
      <c r="B89">
        <v>27</v>
      </c>
    </row>
    <row r="90" spans="1:2" x14ac:dyDescent="0.25">
      <c r="A90" t="s">
        <v>306</v>
      </c>
      <c r="B90" t="s">
        <v>307</v>
      </c>
    </row>
    <row r="91" spans="1:2" x14ac:dyDescent="0.25">
      <c r="A91" t="s">
        <v>308</v>
      </c>
      <c r="B91" t="s">
        <v>309</v>
      </c>
    </row>
    <row r="92" spans="1:2" x14ac:dyDescent="0.25">
      <c r="A92" t="s">
        <v>314</v>
      </c>
      <c r="B92" t="s">
        <v>315</v>
      </c>
    </row>
    <row r="93" spans="1:2" x14ac:dyDescent="0.25">
      <c r="A93" t="s">
        <v>316</v>
      </c>
      <c r="B93" t="s">
        <v>317</v>
      </c>
    </row>
    <row r="94" spans="1:2" x14ac:dyDescent="0.25">
      <c r="A94" t="s">
        <v>318</v>
      </c>
      <c r="B94" t="s">
        <v>319</v>
      </c>
    </row>
    <row r="95" spans="1:2" x14ac:dyDescent="0.25">
      <c r="A95" t="s">
        <v>320</v>
      </c>
      <c r="B95" t="s">
        <v>321</v>
      </c>
    </row>
    <row r="96" spans="1:2" x14ac:dyDescent="0.25">
      <c r="A96" t="s">
        <v>323</v>
      </c>
      <c r="B96" t="s">
        <v>324</v>
      </c>
    </row>
    <row r="97" spans="1:9" x14ac:dyDescent="0.25">
      <c r="A97" t="s">
        <v>325</v>
      </c>
      <c r="B97" t="s">
        <v>326</v>
      </c>
    </row>
    <row r="98" spans="1:9" x14ac:dyDescent="0.25">
      <c r="A98" t="s">
        <v>327</v>
      </c>
      <c r="B98" t="s">
        <v>328</v>
      </c>
    </row>
    <row r="99" spans="1:9" x14ac:dyDescent="0.25">
      <c r="A99" t="s">
        <v>329</v>
      </c>
      <c r="B99" t="s">
        <v>330</v>
      </c>
    </row>
    <row r="100" spans="1:9" x14ac:dyDescent="0.25">
      <c r="A100" t="s">
        <v>331</v>
      </c>
      <c r="B100" t="s">
        <v>332</v>
      </c>
    </row>
    <row r="101" spans="1:9" x14ac:dyDescent="0.25">
      <c r="A101" t="s">
        <v>333</v>
      </c>
      <c r="B101" t="s">
        <v>334</v>
      </c>
    </row>
    <row r="102" spans="1:9" x14ac:dyDescent="0.25">
      <c r="A102" t="s">
        <v>335</v>
      </c>
      <c r="B102" t="s">
        <v>336</v>
      </c>
    </row>
    <row r="103" spans="1:9" x14ac:dyDescent="0.25">
      <c r="A103" t="s">
        <v>338</v>
      </c>
      <c r="B103" t="s">
        <v>339</v>
      </c>
    </row>
    <row r="104" spans="1:9" x14ac:dyDescent="0.25">
      <c r="A104" t="s">
        <v>340</v>
      </c>
      <c r="B104" t="s">
        <v>341</v>
      </c>
    </row>
    <row r="105" spans="1:9" x14ac:dyDescent="0.25">
      <c r="A105" t="s">
        <v>342</v>
      </c>
      <c r="B105" t="s">
        <v>343</v>
      </c>
    </row>
    <row r="106" spans="1:9" x14ac:dyDescent="0.25">
      <c r="A106" t="s">
        <v>344</v>
      </c>
      <c r="B106" t="s">
        <v>345</v>
      </c>
    </row>
    <row r="107" spans="1:9" x14ac:dyDescent="0.25">
      <c r="A107" t="s">
        <v>346</v>
      </c>
      <c r="B107" t="s">
        <v>347</v>
      </c>
    </row>
    <row r="108" spans="1:9" x14ac:dyDescent="0.25">
      <c r="A108" t="s">
        <v>356</v>
      </c>
      <c r="B108" t="s">
        <v>47</v>
      </c>
      <c r="C108" t="s">
        <v>49</v>
      </c>
      <c r="D108" t="s">
        <v>11</v>
      </c>
      <c r="E108" t="s">
        <v>25</v>
      </c>
      <c r="F108" t="s">
        <v>7</v>
      </c>
      <c r="G108" t="s">
        <v>75</v>
      </c>
      <c r="H108" t="s">
        <v>61</v>
      </c>
      <c r="I108" t="s">
        <v>39</v>
      </c>
    </row>
    <row r="109" spans="1:9" x14ac:dyDescent="0.25">
      <c r="A109" t="s">
        <v>358</v>
      </c>
      <c r="B109">
        <v>1</v>
      </c>
    </row>
    <row r="110" spans="1:9" x14ac:dyDescent="0.25">
      <c r="A110" t="s">
        <v>359</v>
      </c>
      <c r="B110">
        <v>2</v>
      </c>
    </row>
    <row r="111" spans="1:9" x14ac:dyDescent="0.25">
      <c r="A111" t="s">
        <v>360</v>
      </c>
      <c r="B111">
        <v>3</v>
      </c>
    </row>
    <row r="112" spans="1:9" x14ac:dyDescent="0.25">
      <c r="A112" t="s">
        <v>361</v>
      </c>
      <c r="B112">
        <v>4</v>
      </c>
    </row>
    <row r="113" spans="1:2" x14ac:dyDescent="0.25">
      <c r="A113" t="s">
        <v>362</v>
      </c>
      <c r="B113">
        <v>5</v>
      </c>
    </row>
    <row r="114" spans="1:2" x14ac:dyDescent="0.25">
      <c r="A114" t="s">
        <v>363</v>
      </c>
      <c r="B114">
        <v>7</v>
      </c>
    </row>
    <row r="115" spans="1:2" x14ac:dyDescent="0.25">
      <c r="A115" t="s">
        <v>364</v>
      </c>
      <c r="B115">
        <v>8</v>
      </c>
    </row>
    <row r="116" spans="1:2" x14ac:dyDescent="0.25">
      <c r="A116" t="s">
        <v>365</v>
      </c>
      <c r="B116">
        <v>9</v>
      </c>
    </row>
    <row r="117" spans="1:2" x14ac:dyDescent="0.25">
      <c r="A117" t="s">
        <v>367</v>
      </c>
      <c r="B117">
        <v>10</v>
      </c>
    </row>
    <row r="118" spans="1:2" x14ac:dyDescent="0.25">
      <c r="A118" t="s">
        <v>368</v>
      </c>
      <c r="B118">
        <v>11</v>
      </c>
    </row>
    <row r="119" spans="1:2" x14ac:dyDescent="0.25">
      <c r="A119" t="s">
        <v>369</v>
      </c>
      <c r="B119">
        <v>12</v>
      </c>
    </row>
    <row r="120" spans="1:2" x14ac:dyDescent="0.25">
      <c r="A120" t="s">
        <v>370</v>
      </c>
      <c r="B120">
        <v>13</v>
      </c>
    </row>
    <row r="121" spans="1:2" x14ac:dyDescent="0.25">
      <c r="A121" t="s">
        <v>371</v>
      </c>
      <c r="B121">
        <v>14</v>
      </c>
    </row>
    <row r="122" spans="1:2" x14ac:dyDescent="0.25">
      <c r="A122" t="s">
        <v>373</v>
      </c>
      <c r="B122">
        <v>15</v>
      </c>
    </row>
    <row r="123" spans="1:2" x14ac:dyDescent="0.25">
      <c r="A123" t="s">
        <v>376</v>
      </c>
      <c r="B123">
        <v>16</v>
      </c>
    </row>
    <row r="124" spans="1:2" x14ac:dyDescent="0.25">
      <c r="A124" t="s">
        <v>378</v>
      </c>
      <c r="B124">
        <v>17</v>
      </c>
    </row>
    <row r="125" spans="1:2" x14ac:dyDescent="0.25">
      <c r="A125" t="s">
        <v>379</v>
      </c>
      <c r="B125">
        <v>18</v>
      </c>
    </row>
    <row r="126" spans="1:2" x14ac:dyDescent="0.25">
      <c r="A126" t="s">
        <v>380</v>
      </c>
      <c r="B126">
        <v>19</v>
      </c>
    </row>
    <row r="127" spans="1:2" x14ac:dyDescent="0.25">
      <c r="A127" t="s">
        <v>381</v>
      </c>
      <c r="B127">
        <v>20</v>
      </c>
    </row>
    <row r="128" spans="1:2" x14ac:dyDescent="0.25">
      <c r="A128" t="s">
        <v>383</v>
      </c>
      <c r="B128">
        <v>21</v>
      </c>
    </row>
    <row r="129" spans="1:2" x14ac:dyDescent="0.25">
      <c r="A129" t="s">
        <v>384</v>
      </c>
      <c r="B129">
        <v>22</v>
      </c>
    </row>
    <row r="130" spans="1:2" x14ac:dyDescent="0.25">
      <c r="A130" t="s">
        <v>385</v>
      </c>
      <c r="B130">
        <v>23</v>
      </c>
    </row>
    <row r="131" spans="1:2" x14ac:dyDescent="0.25">
      <c r="A131" t="s">
        <v>386</v>
      </c>
      <c r="B131">
        <v>24</v>
      </c>
    </row>
    <row r="132" spans="1:2" x14ac:dyDescent="0.25">
      <c r="A132" t="s">
        <v>387</v>
      </c>
      <c r="B132">
        <v>25</v>
      </c>
    </row>
    <row r="133" spans="1:2" x14ac:dyDescent="0.25">
      <c r="A133" t="s">
        <v>388</v>
      </c>
      <c r="B133">
        <v>27</v>
      </c>
    </row>
    <row r="134" spans="1:2" x14ac:dyDescent="0.25">
      <c r="A134" t="s">
        <v>389</v>
      </c>
      <c r="B134">
        <v>28</v>
      </c>
    </row>
    <row r="135" spans="1:2" x14ac:dyDescent="0.25">
      <c r="A135" t="s">
        <v>390</v>
      </c>
      <c r="B135">
        <v>29</v>
      </c>
    </row>
    <row r="136" spans="1:2" x14ac:dyDescent="0.25">
      <c r="A136" t="s">
        <v>391</v>
      </c>
      <c r="B136">
        <v>30</v>
      </c>
    </row>
    <row r="137" spans="1:2" x14ac:dyDescent="0.25">
      <c r="A137" t="s">
        <v>392</v>
      </c>
      <c r="B137">
        <v>31</v>
      </c>
    </row>
    <row r="138" spans="1:2" x14ac:dyDescent="0.25">
      <c r="A138" t="s">
        <v>393</v>
      </c>
      <c r="B138">
        <v>32</v>
      </c>
    </row>
    <row r="139" spans="1:2" x14ac:dyDescent="0.25">
      <c r="A139" t="s">
        <v>394</v>
      </c>
      <c r="B139">
        <v>33</v>
      </c>
    </row>
    <row r="140" spans="1:2" x14ac:dyDescent="0.25">
      <c r="A140" t="s">
        <v>395</v>
      </c>
      <c r="B140">
        <v>34</v>
      </c>
    </row>
    <row r="141" spans="1:2" x14ac:dyDescent="0.25">
      <c r="A141" t="s">
        <v>396</v>
      </c>
      <c r="B141">
        <v>35</v>
      </c>
    </row>
    <row r="142" spans="1:2" x14ac:dyDescent="0.25">
      <c r="A142" t="s">
        <v>397</v>
      </c>
      <c r="B142">
        <v>36</v>
      </c>
    </row>
    <row r="143" spans="1:2" x14ac:dyDescent="0.25">
      <c r="A143" t="s">
        <v>398</v>
      </c>
      <c r="B143">
        <v>37</v>
      </c>
    </row>
    <row r="144" spans="1:2" x14ac:dyDescent="0.25">
      <c r="A144" t="s">
        <v>399</v>
      </c>
      <c r="B144">
        <v>38</v>
      </c>
    </row>
    <row r="145" spans="1:2" x14ac:dyDescent="0.25">
      <c r="A145" t="s">
        <v>400</v>
      </c>
      <c r="B145">
        <v>39</v>
      </c>
    </row>
    <row r="146" spans="1:2" x14ac:dyDescent="0.25">
      <c r="A146" t="s">
        <v>401</v>
      </c>
      <c r="B146">
        <v>40</v>
      </c>
    </row>
    <row r="147" spans="1:2" x14ac:dyDescent="0.25">
      <c r="A147" t="s">
        <v>402</v>
      </c>
      <c r="B147">
        <v>41</v>
      </c>
    </row>
    <row r="148" spans="1:2" x14ac:dyDescent="0.25">
      <c r="A148" t="s">
        <v>403</v>
      </c>
      <c r="B148">
        <v>42</v>
      </c>
    </row>
    <row r="149" spans="1:2" x14ac:dyDescent="0.25">
      <c r="A149" t="s">
        <v>404</v>
      </c>
      <c r="B149">
        <v>43</v>
      </c>
    </row>
    <row r="150" spans="1:2" x14ac:dyDescent="0.25">
      <c r="A150" t="s">
        <v>405</v>
      </c>
      <c r="B150">
        <v>44</v>
      </c>
    </row>
    <row r="151" spans="1:2" x14ac:dyDescent="0.25">
      <c r="A151" t="s">
        <v>406</v>
      </c>
      <c r="B151">
        <v>45</v>
      </c>
    </row>
    <row r="152" spans="1:2" x14ac:dyDescent="0.25">
      <c r="A152" t="s">
        <v>407</v>
      </c>
      <c r="B152">
        <v>47</v>
      </c>
    </row>
    <row r="153" spans="1:2" x14ac:dyDescent="0.25">
      <c r="A153" t="s">
        <v>408</v>
      </c>
      <c r="B153">
        <v>48</v>
      </c>
    </row>
    <row r="154" spans="1:2" x14ac:dyDescent="0.25">
      <c r="A154" t="s">
        <v>410</v>
      </c>
      <c r="B154">
        <v>50</v>
      </c>
    </row>
    <row r="155" spans="1:2" x14ac:dyDescent="0.25">
      <c r="A155" t="s">
        <v>411</v>
      </c>
      <c r="B155">
        <v>51</v>
      </c>
    </row>
    <row r="156" spans="1:2" x14ac:dyDescent="0.25">
      <c r="A156" t="s">
        <v>413</v>
      </c>
      <c r="B156">
        <v>52</v>
      </c>
    </row>
    <row r="157" spans="1:2" x14ac:dyDescent="0.25">
      <c r="A157" t="s">
        <v>414</v>
      </c>
      <c r="B157">
        <v>53</v>
      </c>
    </row>
    <row r="158" spans="1:2" x14ac:dyDescent="0.25">
      <c r="A158" t="s">
        <v>415</v>
      </c>
      <c r="B158">
        <v>54</v>
      </c>
    </row>
    <row r="159" spans="1:2" x14ac:dyDescent="0.25">
      <c r="A159" t="s">
        <v>416</v>
      </c>
      <c r="B159">
        <v>56</v>
      </c>
    </row>
    <row r="160" spans="1:2" x14ac:dyDescent="0.25">
      <c r="A160" t="s">
        <v>417</v>
      </c>
      <c r="B160">
        <v>57</v>
      </c>
    </row>
    <row r="161" spans="1:2" x14ac:dyDescent="0.25">
      <c r="A161" t="s">
        <v>418</v>
      </c>
      <c r="B161">
        <v>58</v>
      </c>
    </row>
    <row r="162" spans="1:2" x14ac:dyDescent="0.25">
      <c r="A162" t="s">
        <v>420</v>
      </c>
      <c r="B162">
        <v>60</v>
      </c>
    </row>
    <row r="163" spans="1:2" x14ac:dyDescent="0.25">
      <c r="A163" t="s">
        <v>421</v>
      </c>
      <c r="B163">
        <v>61</v>
      </c>
    </row>
    <row r="164" spans="1:2" x14ac:dyDescent="0.25">
      <c r="A164" t="s">
        <v>422</v>
      </c>
      <c r="B164">
        <v>62</v>
      </c>
    </row>
    <row r="165" spans="1:2" x14ac:dyDescent="0.25">
      <c r="A165" t="s">
        <v>424</v>
      </c>
      <c r="B165" t="s">
        <v>425</v>
      </c>
    </row>
    <row r="166" spans="1:2" x14ac:dyDescent="0.25">
      <c r="A166" t="s">
        <v>426</v>
      </c>
      <c r="B166" t="s">
        <v>427</v>
      </c>
    </row>
    <row r="167" spans="1:2" x14ac:dyDescent="0.25">
      <c r="A167" t="s">
        <v>430</v>
      </c>
      <c r="B167" t="s">
        <v>431</v>
      </c>
    </row>
    <row r="168" spans="1:2" x14ac:dyDescent="0.25">
      <c r="A168" t="s">
        <v>432</v>
      </c>
      <c r="B168" t="s">
        <v>433</v>
      </c>
    </row>
    <row r="169" spans="1:2" x14ac:dyDescent="0.25">
      <c r="A169" t="s">
        <v>434</v>
      </c>
      <c r="B169" t="s">
        <v>435</v>
      </c>
    </row>
    <row r="170" spans="1:2" x14ac:dyDescent="0.25">
      <c r="A170" t="s">
        <v>436</v>
      </c>
      <c r="B170" t="s">
        <v>437</v>
      </c>
    </row>
    <row r="171" spans="1:2" x14ac:dyDescent="0.25">
      <c r="A171" t="s">
        <v>438</v>
      </c>
      <c r="B171" t="s">
        <v>439</v>
      </c>
    </row>
    <row r="172" spans="1:2" x14ac:dyDescent="0.25">
      <c r="A172" t="s">
        <v>440</v>
      </c>
      <c r="B172" t="s">
        <v>441</v>
      </c>
    </row>
    <row r="173" spans="1:2" x14ac:dyDescent="0.25">
      <c r="A173" t="s">
        <v>442</v>
      </c>
      <c r="B173" t="s">
        <v>443</v>
      </c>
    </row>
    <row r="174" spans="1:2" x14ac:dyDescent="0.25">
      <c r="A174" t="s">
        <v>444</v>
      </c>
      <c r="B174" t="s">
        <v>445</v>
      </c>
    </row>
    <row r="175" spans="1:2" x14ac:dyDescent="0.25">
      <c r="A175" t="s">
        <v>446</v>
      </c>
      <c r="B175" t="s">
        <v>447</v>
      </c>
    </row>
    <row r="176" spans="1:2" x14ac:dyDescent="0.25">
      <c r="A176" t="s">
        <v>448</v>
      </c>
      <c r="B176" t="s">
        <v>449</v>
      </c>
    </row>
    <row r="177" spans="1:2" x14ac:dyDescent="0.25">
      <c r="A177" t="s">
        <v>450</v>
      </c>
      <c r="B177" t="s">
        <v>451</v>
      </c>
    </row>
    <row r="178" spans="1:2" x14ac:dyDescent="0.25">
      <c r="A178" t="s">
        <v>452</v>
      </c>
      <c r="B178" t="s">
        <v>453</v>
      </c>
    </row>
    <row r="179" spans="1:2" x14ac:dyDescent="0.25">
      <c r="A179" t="s">
        <v>454</v>
      </c>
      <c r="B179" t="s">
        <v>455</v>
      </c>
    </row>
    <row r="180" spans="1:2" x14ac:dyDescent="0.25">
      <c r="A180" t="s">
        <v>456</v>
      </c>
      <c r="B180" t="s">
        <v>457</v>
      </c>
    </row>
    <row r="181" spans="1:2" x14ac:dyDescent="0.25">
      <c r="A181" t="s">
        <v>458</v>
      </c>
      <c r="B181" t="s">
        <v>459</v>
      </c>
    </row>
    <row r="182" spans="1:2" x14ac:dyDescent="0.25">
      <c r="A182" t="s">
        <v>460</v>
      </c>
      <c r="B182" t="s">
        <v>461</v>
      </c>
    </row>
    <row r="183" spans="1:2" x14ac:dyDescent="0.25">
      <c r="A183" t="s">
        <v>462</v>
      </c>
      <c r="B183" t="s">
        <v>463</v>
      </c>
    </row>
    <row r="184" spans="1:2" x14ac:dyDescent="0.25">
      <c r="A184" t="s">
        <v>464</v>
      </c>
      <c r="B184" t="s">
        <v>465</v>
      </c>
    </row>
    <row r="185" spans="1:2" x14ac:dyDescent="0.25">
      <c r="A185" t="s">
        <v>466</v>
      </c>
      <c r="B185" t="s">
        <v>467</v>
      </c>
    </row>
    <row r="186" spans="1:2" x14ac:dyDescent="0.25">
      <c r="A186" t="s">
        <v>468</v>
      </c>
      <c r="B186" t="s">
        <v>469</v>
      </c>
    </row>
    <row r="187" spans="1:2" x14ac:dyDescent="0.25">
      <c r="A187" t="s">
        <v>470</v>
      </c>
      <c r="B187" t="s">
        <v>471</v>
      </c>
    </row>
    <row r="188" spans="1:2" x14ac:dyDescent="0.25">
      <c r="A188" t="s">
        <v>472</v>
      </c>
      <c r="B188" t="s">
        <v>473</v>
      </c>
    </row>
    <row r="189" spans="1:2" x14ac:dyDescent="0.25">
      <c r="A189" t="s">
        <v>474</v>
      </c>
      <c r="B189" t="s">
        <v>475</v>
      </c>
    </row>
    <row r="190" spans="1:2" x14ac:dyDescent="0.25">
      <c r="A190" t="s">
        <v>476</v>
      </c>
      <c r="B190" t="s">
        <v>477</v>
      </c>
    </row>
    <row r="191" spans="1:2" x14ac:dyDescent="0.25">
      <c r="A191" t="s">
        <v>478</v>
      </c>
      <c r="B191" t="s">
        <v>479</v>
      </c>
    </row>
    <row r="192" spans="1:2" x14ac:dyDescent="0.25">
      <c r="A192" t="s">
        <v>480</v>
      </c>
      <c r="B192" t="s">
        <v>481</v>
      </c>
    </row>
    <row r="193" spans="1:20" x14ac:dyDescent="0.25">
      <c r="A193" t="s">
        <v>482</v>
      </c>
      <c r="B193" t="s">
        <v>483</v>
      </c>
    </row>
    <row r="194" spans="1:20" x14ac:dyDescent="0.25">
      <c r="A194" t="s">
        <v>484</v>
      </c>
      <c r="B194" t="s">
        <v>485</v>
      </c>
    </row>
    <row r="195" spans="1:20" x14ac:dyDescent="0.25">
      <c r="A195" t="s">
        <v>486</v>
      </c>
      <c r="B195" t="s">
        <v>487</v>
      </c>
    </row>
    <row r="196" spans="1:20" x14ac:dyDescent="0.25">
      <c r="A196" t="s">
        <v>488</v>
      </c>
      <c r="B196" t="s">
        <v>489</v>
      </c>
    </row>
    <row r="197" spans="1:20" x14ac:dyDescent="0.25">
      <c r="A197" t="s">
        <v>490</v>
      </c>
      <c r="B197" t="s">
        <v>491</v>
      </c>
    </row>
    <row r="198" spans="1:20" x14ac:dyDescent="0.25">
      <c r="A198" t="s">
        <v>492</v>
      </c>
      <c r="B198" t="s">
        <v>493</v>
      </c>
    </row>
    <row r="199" spans="1:20" x14ac:dyDescent="0.25">
      <c r="A199" t="s">
        <v>494</v>
      </c>
      <c r="B199" t="s">
        <v>495</v>
      </c>
    </row>
    <row r="200" spans="1:20" x14ac:dyDescent="0.25">
      <c r="A200" t="s">
        <v>496</v>
      </c>
      <c r="B200" t="s">
        <v>497</v>
      </c>
    </row>
    <row r="201" spans="1:20" x14ac:dyDescent="0.25">
      <c r="A201" t="s">
        <v>498</v>
      </c>
      <c r="B201" t="s">
        <v>499</v>
      </c>
    </row>
    <row r="202" spans="1:20" x14ac:dyDescent="0.25">
      <c r="A202" t="s">
        <v>500</v>
      </c>
      <c r="B202" t="s">
        <v>501</v>
      </c>
    </row>
    <row r="203" spans="1:20" x14ac:dyDescent="0.25">
      <c r="A203" t="s">
        <v>502</v>
      </c>
      <c r="B203" t="s">
        <v>503</v>
      </c>
    </row>
    <row r="204" spans="1:20" x14ac:dyDescent="0.25">
      <c r="A204" t="s">
        <v>507</v>
      </c>
      <c r="B204"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v>1</v>
      </c>
    </row>
    <row r="206" spans="1:20" x14ac:dyDescent="0.25">
      <c r="A206" t="s">
        <v>510</v>
      </c>
      <c r="B206">
        <v>2</v>
      </c>
    </row>
    <row r="207" spans="1:20" x14ac:dyDescent="0.25">
      <c r="A207" t="s">
        <v>511</v>
      </c>
      <c r="B207">
        <v>3</v>
      </c>
    </row>
    <row r="208" spans="1:20" x14ac:dyDescent="0.25">
      <c r="A208" t="s">
        <v>512</v>
      </c>
      <c r="B208">
        <v>4</v>
      </c>
    </row>
    <row r="209" spans="1:2" x14ac:dyDescent="0.25">
      <c r="A209" t="s">
        <v>514</v>
      </c>
      <c r="B209">
        <v>5</v>
      </c>
    </row>
    <row r="210" spans="1:2" x14ac:dyDescent="0.25">
      <c r="A210" t="s">
        <v>516</v>
      </c>
      <c r="B210">
        <v>6</v>
      </c>
    </row>
    <row r="211" spans="1:2" x14ac:dyDescent="0.25">
      <c r="A211" t="s">
        <v>517</v>
      </c>
      <c r="B211">
        <v>8</v>
      </c>
    </row>
    <row r="212" spans="1:2" x14ac:dyDescent="0.25">
      <c r="A212" t="s">
        <v>519</v>
      </c>
      <c r="B212">
        <v>9</v>
      </c>
    </row>
    <row r="213" spans="1:2" x14ac:dyDescent="0.25">
      <c r="A213" t="s">
        <v>521</v>
      </c>
      <c r="B213">
        <v>10</v>
      </c>
    </row>
    <row r="214" spans="1:2" x14ac:dyDescent="0.25">
      <c r="A214" t="s">
        <v>522</v>
      </c>
      <c r="B214">
        <v>11</v>
      </c>
    </row>
    <row r="215" spans="1:2" x14ac:dyDescent="0.25">
      <c r="A215" t="s">
        <v>523</v>
      </c>
      <c r="B215">
        <v>12</v>
      </c>
    </row>
    <row r="216" spans="1:2" x14ac:dyDescent="0.25">
      <c r="A216" t="s">
        <v>525</v>
      </c>
      <c r="B216">
        <v>13</v>
      </c>
    </row>
    <row r="217" spans="1:2" x14ac:dyDescent="0.25">
      <c r="A217" t="s">
        <v>526</v>
      </c>
      <c r="B217">
        <v>14</v>
      </c>
    </row>
    <row r="218" spans="1:2" x14ac:dyDescent="0.25">
      <c r="A218" t="s">
        <v>527</v>
      </c>
      <c r="B218">
        <v>15</v>
      </c>
    </row>
    <row r="219" spans="1:2" x14ac:dyDescent="0.25">
      <c r="A219" t="s">
        <v>530</v>
      </c>
      <c r="B219">
        <v>16</v>
      </c>
    </row>
    <row r="220" spans="1:2" x14ac:dyDescent="0.25">
      <c r="A220" t="s">
        <v>532</v>
      </c>
      <c r="B220">
        <v>17</v>
      </c>
    </row>
    <row r="221" spans="1:2" x14ac:dyDescent="0.25">
      <c r="A221" t="s">
        <v>534</v>
      </c>
      <c r="B221">
        <v>18</v>
      </c>
    </row>
    <row r="222" spans="1:2" x14ac:dyDescent="0.25">
      <c r="A222" t="s">
        <v>535</v>
      </c>
      <c r="B222">
        <v>19</v>
      </c>
    </row>
    <row r="223" spans="1:2" x14ac:dyDescent="0.25">
      <c r="A223" t="s">
        <v>536</v>
      </c>
      <c r="B223">
        <v>21</v>
      </c>
    </row>
    <row r="224" spans="1:2" x14ac:dyDescent="0.25">
      <c r="A224" t="s">
        <v>537</v>
      </c>
      <c r="B224">
        <v>22</v>
      </c>
    </row>
    <row r="225" spans="1:2" x14ac:dyDescent="0.25">
      <c r="A225" t="s">
        <v>538</v>
      </c>
      <c r="B225">
        <v>23</v>
      </c>
    </row>
    <row r="226" spans="1:2" x14ac:dyDescent="0.25">
      <c r="A226" t="s">
        <v>539</v>
      </c>
      <c r="B226">
        <v>24</v>
      </c>
    </row>
    <row r="227" spans="1:2" x14ac:dyDescent="0.25">
      <c r="A227" t="s">
        <v>540</v>
      </c>
      <c r="B227">
        <v>25</v>
      </c>
    </row>
    <row r="228" spans="1:2" x14ac:dyDescent="0.25">
      <c r="A228" t="s">
        <v>541</v>
      </c>
      <c r="B228">
        <v>26</v>
      </c>
    </row>
    <row r="229" spans="1:2" x14ac:dyDescent="0.25">
      <c r="A229" t="s">
        <v>542</v>
      </c>
      <c r="B229">
        <v>27</v>
      </c>
    </row>
    <row r="230" spans="1:2" x14ac:dyDescent="0.25">
      <c r="A230" t="s">
        <v>543</v>
      </c>
      <c r="B230">
        <v>28</v>
      </c>
    </row>
    <row r="231" spans="1:2" x14ac:dyDescent="0.25">
      <c r="A231" t="s">
        <v>544</v>
      </c>
      <c r="B231">
        <v>29</v>
      </c>
    </row>
    <row r="232" spans="1:2" x14ac:dyDescent="0.25">
      <c r="A232" t="s">
        <v>545</v>
      </c>
      <c r="B232">
        <v>30</v>
      </c>
    </row>
    <row r="233" spans="1:2" x14ac:dyDescent="0.25">
      <c r="A233" t="s">
        <v>546</v>
      </c>
      <c r="B233">
        <v>31</v>
      </c>
    </row>
    <row r="234" spans="1:2" x14ac:dyDescent="0.25">
      <c r="A234" t="s">
        <v>547</v>
      </c>
      <c r="B234">
        <v>32</v>
      </c>
    </row>
    <row r="235" spans="1:2" x14ac:dyDescent="0.25">
      <c r="A235" t="s">
        <v>548</v>
      </c>
      <c r="B235">
        <v>34</v>
      </c>
    </row>
    <row r="236" spans="1:2" x14ac:dyDescent="0.25">
      <c r="A236" t="s">
        <v>550</v>
      </c>
      <c r="B236" t="s">
        <v>551</v>
      </c>
    </row>
    <row r="237" spans="1:2" x14ac:dyDescent="0.25">
      <c r="A237" t="s">
        <v>552</v>
      </c>
      <c r="B237" t="s">
        <v>553</v>
      </c>
    </row>
    <row r="238" spans="1:2" x14ac:dyDescent="0.25">
      <c r="A238" t="s">
        <v>555</v>
      </c>
      <c r="B238" t="s">
        <v>556</v>
      </c>
    </row>
    <row r="239" spans="1:2" x14ac:dyDescent="0.25">
      <c r="A239" t="s">
        <v>558</v>
      </c>
      <c r="B239" t="s">
        <v>559</v>
      </c>
    </row>
    <row r="240" spans="1:2" x14ac:dyDescent="0.25">
      <c r="A240" t="s">
        <v>561</v>
      </c>
      <c r="B240" t="s">
        <v>562</v>
      </c>
    </row>
    <row r="241" spans="1:13" x14ac:dyDescent="0.25">
      <c r="A241" t="s">
        <v>564</v>
      </c>
      <c r="B241" t="s">
        <v>565</v>
      </c>
    </row>
    <row r="242" spans="1:13" x14ac:dyDescent="0.25">
      <c r="A242" t="s">
        <v>568</v>
      </c>
      <c r="B242" t="s">
        <v>569</v>
      </c>
    </row>
    <row r="243" spans="1:13" x14ac:dyDescent="0.25">
      <c r="A243" t="s">
        <v>576</v>
      </c>
      <c r="B243" t="s">
        <v>71</v>
      </c>
      <c r="C243" t="s">
        <v>73</v>
      </c>
      <c r="D243" t="s">
        <v>15</v>
      </c>
      <c r="E243" t="s">
        <v>43</v>
      </c>
      <c r="F243" t="s">
        <v>41</v>
      </c>
      <c r="G243" t="s">
        <v>57</v>
      </c>
      <c r="H243" t="s">
        <v>19</v>
      </c>
      <c r="I243" t="s">
        <v>25</v>
      </c>
      <c r="J243" t="s">
        <v>67</v>
      </c>
      <c r="K243" t="s">
        <v>65</v>
      </c>
      <c r="L243" t="s">
        <v>83</v>
      </c>
      <c r="M243" t="s">
        <v>63</v>
      </c>
    </row>
    <row r="244" spans="1:13" x14ac:dyDescent="0.25">
      <c r="A244" t="s">
        <v>578</v>
      </c>
      <c r="B244">
        <v>1</v>
      </c>
    </row>
    <row r="245" spans="1:13" x14ac:dyDescent="0.25">
      <c r="A245" t="s">
        <v>579</v>
      </c>
      <c r="B245">
        <v>2</v>
      </c>
    </row>
    <row r="246" spans="1:13" x14ac:dyDescent="0.25">
      <c r="A246" t="s">
        <v>580</v>
      </c>
      <c r="B246">
        <v>3</v>
      </c>
    </row>
    <row r="247" spans="1:13" x14ac:dyDescent="0.25">
      <c r="A247" t="s">
        <v>581</v>
      </c>
      <c r="B247">
        <v>4</v>
      </c>
    </row>
    <row r="248" spans="1:13" x14ac:dyDescent="0.25">
      <c r="A248" t="s">
        <v>582</v>
      </c>
      <c r="B248">
        <v>5</v>
      </c>
    </row>
    <row r="249" spans="1:13" x14ac:dyDescent="0.25">
      <c r="A249" t="s">
        <v>583</v>
      </c>
      <c r="B249">
        <v>6</v>
      </c>
    </row>
    <row r="250" spans="1:13" x14ac:dyDescent="0.25">
      <c r="A250" t="s">
        <v>584</v>
      </c>
      <c r="B250">
        <v>8</v>
      </c>
    </row>
    <row r="251" spans="1:13" x14ac:dyDescent="0.25">
      <c r="A251" t="s">
        <v>585</v>
      </c>
      <c r="B251">
        <v>9</v>
      </c>
    </row>
    <row r="252" spans="1:13" x14ac:dyDescent="0.25">
      <c r="A252" t="s">
        <v>586</v>
      </c>
      <c r="B252">
        <v>10</v>
      </c>
    </row>
    <row r="253" spans="1:13" x14ac:dyDescent="0.25">
      <c r="A253" t="s">
        <v>588</v>
      </c>
      <c r="B253">
        <v>11</v>
      </c>
    </row>
    <row r="254" spans="1:13" x14ac:dyDescent="0.25">
      <c r="A254" t="s">
        <v>589</v>
      </c>
      <c r="B254">
        <v>12</v>
      </c>
    </row>
    <row r="255" spans="1:13" x14ac:dyDescent="0.25">
      <c r="A255" t="s">
        <v>590</v>
      </c>
      <c r="B255">
        <v>13</v>
      </c>
    </row>
    <row r="256" spans="1:13" x14ac:dyDescent="0.25">
      <c r="A256" t="s">
        <v>591</v>
      </c>
      <c r="B256">
        <v>14</v>
      </c>
    </row>
    <row r="257" spans="1:2" x14ac:dyDescent="0.25">
      <c r="A257" t="s">
        <v>592</v>
      </c>
      <c r="B257">
        <v>15</v>
      </c>
    </row>
    <row r="258" spans="1:2" x14ac:dyDescent="0.25">
      <c r="A258" t="s">
        <v>593</v>
      </c>
      <c r="B258">
        <v>16</v>
      </c>
    </row>
    <row r="259" spans="1:2" x14ac:dyDescent="0.25">
      <c r="A259" t="s">
        <v>594</v>
      </c>
      <c r="B259">
        <v>17</v>
      </c>
    </row>
    <row r="260" spans="1:2" x14ac:dyDescent="0.25">
      <c r="A260" t="s">
        <v>596</v>
      </c>
      <c r="B260">
        <v>18</v>
      </c>
    </row>
    <row r="261" spans="1:2" x14ac:dyDescent="0.25">
      <c r="A261" t="s">
        <v>598</v>
      </c>
      <c r="B261">
        <v>19</v>
      </c>
    </row>
    <row r="262" spans="1:2" x14ac:dyDescent="0.25">
      <c r="A262" t="s">
        <v>599</v>
      </c>
      <c r="B262">
        <v>20</v>
      </c>
    </row>
    <row r="263" spans="1:2" x14ac:dyDescent="0.25">
      <c r="A263" t="s">
        <v>600</v>
      </c>
      <c r="B263">
        <v>21</v>
      </c>
    </row>
    <row r="264" spans="1:2" x14ac:dyDescent="0.25">
      <c r="A264" t="s">
        <v>601</v>
      </c>
      <c r="B264">
        <v>22</v>
      </c>
    </row>
    <row r="265" spans="1:2" x14ac:dyDescent="0.25">
      <c r="A265" t="s">
        <v>602</v>
      </c>
      <c r="B265">
        <v>23</v>
      </c>
    </row>
    <row r="266" spans="1:2" x14ac:dyDescent="0.25">
      <c r="A266" t="s">
        <v>603</v>
      </c>
      <c r="B266">
        <v>24</v>
      </c>
    </row>
    <row r="267" spans="1:2" x14ac:dyDescent="0.25">
      <c r="A267" t="s">
        <v>604</v>
      </c>
      <c r="B267">
        <v>25</v>
      </c>
    </row>
    <row r="268" spans="1:2" x14ac:dyDescent="0.25">
      <c r="A268" t="s">
        <v>605</v>
      </c>
      <c r="B268">
        <v>26</v>
      </c>
    </row>
    <row r="269" spans="1:2" x14ac:dyDescent="0.25">
      <c r="A269" t="s">
        <v>606</v>
      </c>
      <c r="B269">
        <v>27</v>
      </c>
    </row>
    <row r="270" spans="1:2" x14ac:dyDescent="0.25">
      <c r="A270" t="s">
        <v>607</v>
      </c>
      <c r="B270">
        <v>28</v>
      </c>
    </row>
    <row r="271" spans="1:2" x14ac:dyDescent="0.25">
      <c r="A271" t="s">
        <v>608</v>
      </c>
      <c r="B271">
        <v>29</v>
      </c>
    </row>
    <row r="272" spans="1:2" x14ac:dyDescent="0.25">
      <c r="A272" t="s">
        <v>609</v>
      </c>
      <c r="B272">
        <v>31</v>
      </c>
    </row>
    <row r="273" spans="1:2" x14ac:dyDescent="0.25">
      <c r="A273" t="s">
        <v>610</v>
      </c>
      <c r="B273">
        <v>32</v>
      </c>
    </row>
    <row r="274" spans="1:2" x14ac:dyDescent="0.25">
      <c r="A274" t="s">
        <v>611</v>
      </c>
      <c r="B274">
        <v>33</v>
      </c>
    </row>
    <row r="275" spans="1:2" x14ac:dyDescent="0.25">
      <c r="A275" t="s">
        <v>612</v>
      </c>
      <c r="B275">
        <v>34</v>
      </c>
    </row>
    <row r="276" spans="1:2" x14ac:dyDescent="0.25">
      <c r="A276" t="s">
        <v>613</v>
      </c>
      <c r="B276">
        <v>35</v>
      </c>
    </row>
    <row r="277" spans="1:2" x14ac:dyDescent="0.25">
      <c r="A277" t="s">
        <v>614</v>
      </c>
      <c r="B277">
        <v>36</v>
      </c>
    </row>
    <row r="278" spans="1:2" x14ac:dyDescent="0.25">
      <c r="A278" t="s">
        <v>615</v>
      </c>
      <c r="B278">
        <v>37</v>
      </c>
    </row>
    <row r="279" spans="1:2" x14ac:dyDescent="0.25">
      <c r="A279" t="s">
        <v>616</v>
      </c>
      <c r="B279">
        <v>38</v>
      </c>
    </row>
    <row r="280" spans="1:2" x14ac:dyDescent="0.25">
      <c r="A280" t="s">
        <v>617</v>
      </c>
      <c r="B280">
        <v>39</v>
      </c>
    </row>
    <row r="281" spans="1:2" x14ac:dyDescent="0.25">
      <c r="A281" t="s">
        <v>618</v>
      </c>
      <c r="B281">
        <v>40</v>
      </c>
    </row>
    <row r="282" spans="1:2" x14ac:dyDescent="0.25">
      <c r="A282" t="s">
        <v>620</v>
      </c>
      <c r="B282">
        <v>41</v>
      </c>
    </row>
    <row r="283" spans="1:2" x14ac:dyDescent="0.25">
      <c r="A283" t="s">
        <v>621</v>
      </c>
      <c r="B283">
        <v>42</v>
      </c>
    </row>
    <row r="284" spans="1:2" x14ac:dyDescent="0.25">
      <c r="A284" t="s">
        <v>622</v>
      </c>
      <c r="B284">
        <v>43</v>
      </c>
    </row>
    <row r="285" spans="1:2" x14ac:dyDescent="0.25">
      <c r="A285" t="s">
        <v>623</v>
      </c>
      <c r="B285">
        <v>44</v>
      </c>
    </row>
    <row r="286" spans="1:2" x14ac:dyDescent="0.25">
      <c r="A286" t="s">
        <v>624</v>
      </c>
      <c r="B286">
        <v>45</v>
      </c>
    </row>
    <row r="287" spans="1:2" x14ac:dyDescent="0.25">
      <c r="A287" t="s">
        <v>625</v>
      </c>
      <c r="B287">
        <v>46</v>
      </c>
    </row>
    <row r="288" spans="1:2" x14ac:dyDescent="0.25">
      <c r="A288" t="s">
        <v>626</v>
      </c>
      <c r="B288">
        <v>47</v>
      </c>
    </row>
    <row r="289" spans="1:23" x14ac:dyDescent="0.25">
      <c r="A289" t="s">
        <v>627</v>
      </c>
      <c r="B289">
        <v>48</v>
      </c>
    </row>
    <row r="290" spans="1:23" x14ac:dyDescent="0.25">
      <c r="A290" t="s">
        <v>628</v>
      </c>
      <c r="B290">
        <v>49</v>
      </c>
    </row>
    <row r="291" spans="1:23" x14ac:dyDescent="0.25">
      <c r="A291" t="s">
        <v>629</v>
      </c>
      <c r="B291">
        <v>50</v>
      </c>
    </row>
    <row r="292" spans="1:23" x14ac:dyDescent="0.25">
      <c r="A292" t="s">
        <v>630</v>
      </c>
      <c r="B292">
        <v>51</v>
      </c>
    </row>
    <row r="293" spans="1:23" x14ac:dyDescent="0.25">
      <c r="A293" t="s">
        <v>631</v>
      </c>
      <c r="B293">
        <v>52</v>
      </c>
    </row>
    <row r="294" spans="1:23" x14ac:dyDescent="0.25">
      <c r="A294" t="s">
        <v>632</v>
      </c>
      <c r="B294">
        <v>54</v>
      </c>
    </row>
    <row r="295" spans="1:23" x14ac:dyDescent="0.25">
      <c r="A295" t="s">
        <v>633</v>
      </c>
      <c r="B295">
        <v>55</v>
      </c>
    </row>
    <row r="296" spans="1:23" x14ac:dyDescent="0.25">
      <c r="A296" t="s">
        <v>634</v>
      </c>
      <c r="B296">
        <v>56</v>
      </c>
    </row>
    <row r="297" spans="1:23" x14ac:dyDescent="0.25">
      <c r="A297" t="s">
        <v>636</v>
      </c>
      <c r="B297" t="s">
        <v>637</v>
      </c>
    </row>
    <row r="298" spans="1:23" x14ac:dyDescent="0.25">
      <c r="A298" t="s">
        <v>638</v>
      </c>
      <c r="B298" t="s">
        <v>639</v>
      </c>
    </row>
    <row r="299" spans="1:23" x14ac:dyDescent="0.25">
      <c r="A299" t="s">
        <v>640</v>
      </c>
      <c r="B299" t="s">
        <v>641</v>
      </c>
    </row>
    <row r="300" spans="1:23" x14ac:dyDescent="0.25">
      <c r="A300" t="s">
        <v>642</v>
      </c>
      <c r="B300" t="s">
        <v>643</v>
      </c>
    </row>
    <row r="301" spans="1:23" x14ac:dyDescent="0.25">
      <c r="A301" t="s">
        <v>644</v>
      </c>
      <c r="B301" t="s">
        <v>645</v>
      </c>
    </row>
    <row r="302" spans="1:23" x14ac:dyDescent="0.25">
      <c r="A302" t="s">
        <v>646</v>
      </c>
      <c r="B302" t="s">
        <v>647</v>
      </c>
    </row>
    <row r="303" spans="1:23" x14ac:dyDescent="0.25">
      <c r="A303" t="s">
        <v>648</v>
      </c>
      <c r="B303" t="s">
        <v>649</v>
      </c>
    </row>
    <row r="304" spans="1:23" x14ac:dyDescent="0.25">
      <c r="A304" t="s">
        <v>653</v>
      </c>
      <c r="B304"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v>1</v>
      </c>
    </row>
    <row r="306" spans="1:2" x14ac:dyDescent="0.25">
      <c r="A306" t="s">
        <v>656</v>
      </c>
      <c r="B306">
        <v>2</v>
      </c>
    </row>
    <row r="307" spans="1:2" x14ac:dyDescent="0.25">
      <c r="A307" t="s">
        <v>657</v>
      </c>
      <c r="B307">
        <v>3</v>
      </c>
    </row>
    <row r="308" spans="1:2" x14ac:dyDescent="0.25">
      <c r="A308" t="s">
        <v>658</v>
      </c>
      <c r="B308">
        <v>4</v>
      </c>
    </row>
    <row r="309" spans="1:2" x14ac:dyDescent="0.25">
      <c r="A309" t="s">
        <v>659</v>
      </c>
      <c r="B309">
        <v>5</v>
      </c>
    </row>
    <row r="310" spans="1:2" x14ac:dyDescent="0.25">
      <c r="A310" t="s">
        <v>660</v>
      </c>
      <c r="B310">
        <v>6</v>
      </c>
    </row>
    <row r="311" spans="1:2" x14ac:dyDescent="0.25">
      <c r="A311" t="s">
        <v>661</v>
      </c>
      <c r="B311">
        <v>7</v>
      </c>
    </row>
    <row r="312" spans="1:2" x14ac:dyDescent="0.25">
      <c r="A312" t="s">
        <v>662</v>
      </c>
      <c r="B312">
        <v>9</v>
      </c>
    </row>
    <row r="313" spans="1:2" x14ac:dyDescent="0.25">
      <c r="A313" t="s">
        <v>663</v>
      </c>
      <c r="B313">
        <v>10</v>
      </c>
    </row>
    <row r="314" spans="1:2" x14ac:dyDescent="0.25">
      <c r="A314" t="s">
        <v>664</v>
      </c>
      <c r="B314">
        <v>11</v>
      </c>
    </row>
    <row r="315" spans="1:2" x14ac:dyDescent="0.25">
      <c r="A315" t="s">
        <v>665</v>
      </c>
      <c r="B315">
        <v>12</v>
      </c>
    </row>
    <row r="316" spans="1:2" x14ac:dyDescent="0.25">
      <c r="A316" t="s">
        <v>666</v>
      </c>
      <c r="B316">
        <v>13</v>
      </c>
    </row>
    <row r="317" spans="1:2" x14ac:dyDescent="0.25">
      <c r="A317" t="s">
        <v>667</v>
      </c>
      <c r="B317">
        <v>14</v>
      </c>
    </row>
    <row r="318" spans="1:2" x14ac:dyDescent="0.25">
      <c r="A318" t="s">
        <v>668</v>
      </c>
      <c r="B318">
        <v>15</v>
      </c>
    </row>
    <row r="319" spans="1:2" x14ac:dyDescent="0.25">
      <c r="A319" t="s">
        <v>669</v>
      </c>
      <c r="B319">
        <v>16</v>
      </c>
    </row>
    <row r="320" spans="1:2" x14ac:dyDescent="0.25">
      <c r="A320" t="s">
        <v>670</v>
      </c>
      <c r="B320">
        <v>17</v>
      </c>
    </row>
    <row r="321" spans="1:2" x14ac:dyDescent="0.25">
      <c r="A321" t="s">
        <v>671</v>
      </c>
      <c r="B321">
        <v>18</v>
      </c>
    </row>
    <row r="322" spans="1:2" x14ac:dyDescent="0.25">
      <c r="A322" t="s">
        <v>672</v>
      </c>
      <c r="B322">
        <v>19</v>
      </c>
    </row>
    <row r="323" spans="1:2" x14ac:dyDescent="0.25">
      <c r="A323" t="s">
        <v>673</v>
      </c>
      <c r="B323">
        <v>20</v>
      </c>
    </row>
    <row r="324" spans="1:2" x14ac:dyDescent="0.25">
      <c r="A324" t="s">
        <v>674</v>
      </c>
      <c r="B324">
        <v>21</v>
      </c>
    </row>
    <row r="325" spans="1:2" x14ac:dyDescent="0.25">
      <c r="A325" t="s">
        <v>675</v>
      </c>
      <c r="B325">
        <v>22</v>
      </c>
    </row>
    <row r="326" spans="1:2" x14ac:dyDescent="0.25">
      <c r="A326" t="s">
        <v>676</v>
      </c>
      <c r="B326">
        <v>23</v>
      </c>
    </row>
    <row r="327" spans="1:2" x14ac:dyDescent="0.25">
      <c r="A327" t="s">
        <v>677</v>
      </c>
      <c r="B327">
        <v>24</v>
      </c>
    </row>
    <row r="328" spans="1:2" x14ac:dyDescent="0.25">
      <c r="A328" t="s">
        <v>678</v>
      </c>
      <c r="B328">
        <v>25</v>
      </c>
    </row>
    <row r="329" spans="1:2" x14ac:dyDescent="0.25">
      <c r="A329" t="s">
        <v>679</v>
      </c>
      <c r="B329">
        <v>26</v>
      </c>
    </row>
    <row r="330" spans="1:2" x14ac:dyDescent="0.25">
      <c r="A330" t="s">
        <v>680</v>
      </c>
      <c r="B330">
        <v>27</v>
      </c>
    </row>
    <row r="331" spans="1:2" x14ac:dyDescent="0.25">
      <c r="A331" t="s">
        <v>681</v>
      </c>
      <c r="B331">
        <v>28</v>
      </c>
    </row>
    <row r="332" spans="1:2" x14ac:dyDescent="0.25">
      <c r="A332" t="s">
        <v>682</v>
      </c>
      <c r="B332">
        <v>29</v>
      </c>
    </row>
    <row r="333" spans="1:2" x14ac:dyDescent="0.25">
      <c r="A333" t="s">
        <v>683</v>
      </c>
      <c r="B333">
        <v>30</v>
      </c>
    </row>
    <row r="334" spans="1:2" x14ac:dyDescent="0.25">
      <c r="A334" t="s">
        <v>684</v>
      </c>
      <c r="B334">
        <v>31</v>
      </c>
    </row>
    <row r="335" spans="1:2" x14ac:dyDescent="0.25">
      <c r="A335" t="s">
        <v>685</v>
      </c>
      <c r="B335">
        <v>33</v>
      </c>
    </row>
    <row r="336" spans="1:2" x14ac:dyDescent="0.25">
      <c r="A336" t="s">
        <v>686</v>
      </c>
      <c r="B336">
        <v>34</v>
      </c>
    </row>
    <row r="337" spans="1:2" x14ac:dyDescent="0.25">
      <c r="A337" t="s">
        <v>687</v>
      </c>
      <c r="B337">
        <v>35</v>
      </c>
    </row>
    <row r="338" spans="1:2" x14ac:dyDescent="0.25">
      <c r="A338" t="s">
        <v>688</v>
      </c>
      <c r="B338">
        <v>36</v>
      </c>
    </row>
    <row r="339" spans="1:2" x14ac:dyDescent="0.25">
      <c r="A339" t="s">
        <v>689</v>
      </c>
      <c r="B339">
        <v>37</v>
      </c>
    </row>
    <row r="340" spans="1:2" x14ac:dyDescent="0.25">
      <c r="A340" t="s">
        <v>690</v>
      </c>
      <c r="B340">
        <v>38</v>
      </c>
    </row>
    <row r="341" spans="1:2" x14ac:dyDescent="0.25">
      <c r="A341" t="s">
        <v>691</v>
      </c>
      <c r="B341">
        <v>39</v>
      </c>
    </row>
    <row r="342" spans="1:2" x14ac:dyDescent="0.25">
      <c r="A342" t="s">
        <v>692</v>
      </c>
      <c r="B342">
        <v>40</v>
      </c>
    </row>
    <row r="343" spans="1:2" x14ac:dyDescent="0.25">
      <c r="A343" t="s">
        <v>693</v>
      </c>
      <c r="B343">
        <v>41</v>
      </c>
    </row>
    <row r="344" spans="1:2" x14ac:dyDescent="0.25">
      <c r="A344" t="s">
        <v>694</v>
      </c>
      <c r="B344">
        <v>42</v>
      </c>
    </row>
    <row r="345" spans="1:2" x14ac:dyDescent="0.25">
      <c r="A345" t="s">
        <v>695</v>
      </c>
      <c r="B345">
        <v>43</v>
      </c>
    </row>
    <row r="346" spans="1:2" x14ac:dyDescent="0.25">
      <c r="A346" t="s">
        <v>696</v>
      </c>
      <c r="B346">
        <v>44</v>
      </c>
    </row>
    <row r="347" spans="1:2" x14ac:dyDescent="0.25">
      <c r="A347" t="s">
        <v>697</v>
      </c>
      <c r="B347">
        <v>45</v>
      </c>
    </row>
    <row r="348" spans="1:2" x14ac:dyDescent="0.25">
      <c r="A348" t="s">
        <v>698</v>
      </c>
      <c r="B348">
        <v>46</v>
      </c>
    </row>
    <row r="349" spans="1:2" x14ac:dyDescent="0.25">
      <c r="A349" t="s">
        <v>699</v>
      </c>
      <c r="B349">
        <v>47</v>
      </c>
    </row>
    <row r="350" spans="1:2" x14ac:dyDescent="0.25">
      <c r="A350" t="s">
        <v>700</v>
      </c>
      <c r="B350">
        <v>48</v>
      </c>
    </row>
    <row r="351" spans="1:2" x14ac:dyDescent="0.25">
      <c r="A351" t="s">
        <v>701</v>
      </c>
      <c r="B351">
        <v>49</v>
      </c>
    </row>
    <row r="352" spans="1:2" x14ac:dyDescent="0.25">
      <c r="A352" t="s">
        <v>702</v>
      </c>
      <c r="B352">
        <v>50</v>
      </c>
    </row>
    <row r="353" spans="1:2" x14ac:dyDescent="0.25">
      <c r="A353" t="s">
        <v>703</v>
      </c>
      <c r="B353">
        <v>51</v>
      </c>
    </row>
    <row r="354" spans="1:2" x14ac:dyDescent="0.25">
      <c r="A354" t="s">
        <v>704</v>
      </c>
      <c r="B354">
        <v>52</v>
      </c>
    </row>
    <row r="355" spans="1:2" x14ac:dyDescent="0.25">
      <c r="A355" t="s">
        <v>705</v>
      </c>
      <c r="B355">
        <v>53</v>
      </c>
    </row>
    <row r="356" spans="1:2" x14ac:dyDescent="0.25">
      <c r="A356" t="s">
        <v>706</v>
      </c>
      <c r="B356">
        <v>54</v>
      </c>
    </row>
    <row r="357" spans="1:2" x14ac:dyDescent="0.25">
      <c r="A357" t="s">
        <v>707</v>
      </c>
      <c r="B357">
        <v>55</v>
      </c>
    </row>
    <row r="358" spans="1:2" x14ac:dyDescent="0.25">
      <c r="A358" t="s">
        <v>709</v>
      </c>
      <c r="B358">
        <v>57</v>
      </c>
    </row>
    <row r="359" spans="1:2" x14ac:dyDescent="0.25">
      <c r="A359" t="s">
        <v>710</v>
      </c>
      <c r="B359">
        <v>58</v>
      </c>
    </row>
    <row r="360" spans="1:2" x14ac:dyDescent="0.25">
      <c r="A360" t="s">
        <v>711</v>
      </c>
      <c r="B360">
        <v>59</v>
      </c>
    </row>
    <row r="361" spans="1:2" x14ac:dyDescent="0.25">
      <c r="A361" t="s">
        <v>712</v>
      </c>
      <c r="B361">
        <v>61</v>
      </c>
    </row>
    <row r="362" spans="1:2" x14ac:dyDescent="0.25">
      <c r="A362" t="s">
        <v>713</v>
      </c>
      <c r="B362">
        <v>62</v>
      </c>
    </row>
    <row r="363" spans="1:2" x14ac:dyDescent="0.25">
      <c r="A363" t="s">
        <v>714</v>
      </c>
      <c r="B363">
        <v>63</v>
      </c>
    </row>
    <row r="364" spans="1:2" x14ac:dyDescent="0.25">
      <c r="A364" t="s">
        <v>715</v>
      </c>
      <c r="B364">
        <v>64</v>
      </c>
    </row>
    <row r="365" spans="1:2" x14ac:dyDescent="0.25">
      <c r="A365" t="s">
        <v>716</v>
      </c>
      <c r="B365">
        <v>65</v>
      </c>
    </row>
    <row r="366" spans="1:2" x14ac:dyDescent="0.25">
      <c r="A366" t="s">
        <v>718</v>
      </c>
      <c r="B366">
        <v>67</v>
      </c>
    </row>
    <row r="367" spans="1:2" x14ac:dyDescent="0.25">
      <c r="A367" t="s">
        <v>719</v>
      </c>
      <c r="B367">
        <v>68</v>
      </c>
    </row>
    <row r="368" spans="1:2" x14ac:dyDescent="0.25">
      <c r="A368" t="s">
        <v>720</v>
      </c>
      <c r="B368">
        <v>69</v>
      </c>
    </row>
    <row r="369" spans="1:24" x14ac:dyDescent="0.25">
      <c r="A369" t="s">
        <v>721</v>
      </c>
      <c r="B369">
        <v>70</v>
      </c>
    </row>
    <row r="370" spans="1:24" x14ac:dyDescent="0.25">
      <c r="A370" t="s">
        <v>722</v>
      </c>
      <c r="B370">
        <v>71</v>
      </c>
    </row>
    <row r="371" spans="1:24" x14ac:dyDescent="0.25">
      <c r="A371" t="s">
        <v>724</v>
      </c>
      <c r="B371" t="s">
        <v>725</v>
      </c>
    </row>
    <row r="372" spans="1:24" x14ac:dyDescent="0.25">
      <c r="A372" t="s">
        <v>726</v>
      </c>
      <c r="B372" t="s">
        <v>727</v>
      </c>
    </row>
    <row r="373" spans="1:24" x14ac:dyDescent="0.25">
      <c r="A373" t="s">
        <v>728</v>
      </c>
      <c r="B373" t="s">
        <v>729</v>
      </c>
    </row>
    <row r="374" spans="1:24" x14ac:dyDescent="0.25">
      <c r="A374" t="s">
        <v>730</v>
      </c>
      <c r="B374" t="s">
        <v>731</v>
      </c>
    </row>
    <row r="375" spans="1:24" x14ac:dyDescent="0.25">
      <c r="A375" t="s">
        <v>732</v>
      </c>
      <c r="B375" t="s">
        <v>733</v>
      </c>
    </row>
    <row r="376" spans="1:24" x14ac:dyDescent="0.25">
      <c r="A376" t="s">
        <v>734</v>
      </c>
      <c r="B376" t="s">
        <v>735</v>
      </c>
    </row>
    <row r="377" spans="1:24" x14ac:dyDescent="0.25">
      <c r="A377" t="s">
        <v>736</v>
      </c>
      <c r="B377" t="s">
        <v>737</v>
      </c>
    </row>
    <row r="378" spans="1:24" x14ac:dyDescent="0.25">
      <c r="A378" t="s">
        <v>742</v>
      </c>
      <c r="B378"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744</v>
      </c>
      <c r="B379">
        <v>1</v>
      </c>
    </row>
    <row r="380" spans="1:24" x14ac:dyDescent="0.25">
      <c r="A380" t="s">
        <v>745</v>
      </c>
      <c r="B380">
        <v>2</v>
      </c>
    </row>
    <row r="381" spans="1:24" x14ac:dyDescent="0.25">
      <c r="A381" t="s">
        <v>746</v>
      </c>
      <c r="B381">
        <v>3</v>
      </c>
    </row>
    <row r="382" spans="1:24" x14ac:dyDescent="0.25">
      <c r="A382" t="s">
        <v>747</v>
      </c>
      <c r="B382">
        <v>4</v>
      </c>
    </row>
    <row r="383" spans="1:24" x14ac:dyDescent="0.25">
      <c r="A383" t="s">
        <v>748</v>
      </c>
      <c r="B383">
        <v>5</v>
      </c>
    </row>
    <row r="384" spans="1:24" x14ac:dyDescent="0.25">
      <c r="A384" t="s">
        <v>749</v>
      </c>
      <c r="B384">
        <v>6</v>
      </c>
    </row>
    <row r="385" spans="1:2" x14ac:dyDescent="0.25">
      <c r="A385" t="s">
        <v>750</v>
      </c>
      <c r="B385">
        <v>7</v>
      </c>
    </row>
    <row r="386" spans="1:2" x14ac:dyDescent="0.25">
      <c r="A386" t="s">
        <v>751</v>
      </c>
      <c r="B386">
        <v>9</v>
      </c>
    </row>
    <row r="387" spans="1:2" x14ac:dyDescent="0.25">
      <c r="A387" t="s">
        <v>752</v>
      </c>
      <c r="B387">
        <v>10</v>
      </c>
    </row>
    <row r="388" spans="1:2" x14ac:dyDescent="0.25">
      <c r="A388" t="s">
        <v>753</v>
      </c>
      <c r="B388">
        <v>11</v>
      </c>
    </row>
    <row r="389" spans="1:2" x14ac:dyDescent="0.25">
      <c r="A389" t="s">
        <v>754</v>
      </c>
      <c r="B389">
        <v>12</v>
      </c>
    </row>
    <row r="390" spans="1:2" x14ac:dyDescent="0.25">
      <c r="A390" t="s">
        <v>755</v>
      </c>
      <c r="B390">
        <v>13</v>
      </c>
    </row>
    <row r="391" spans="1:2" x14ac:dyDescent="0.25">
      <c r="A391" t="s">
        <v>756</v>
      </c>
      <c r="B391">
        <v>14</v>
      </c>
    </row>
    <row r="392" spans="1:2" x14ac:dyDescent="0.25">
      <c r="A392" t="s">
        <v>757</v>
      </c>
      <c r="B392">
        <v>15</v>
      </c>
    </row>
    <row r="393" spans="1:2" x14ac:dyDescent="0.25">
      <c r="A393" t="s">
        <v>758</v>
      </c>
      <c r="B393">
        <v>16</v>
      </c>
    </row>
    <row r="394" spans="1:2" x14ac:dyDescent="0.25">
      <c r="A394" t="s">
        <v>759</v>
      </c>
      <c r="B394">
        <v>17</v>
      </c>
    </row>
    <row r="395" spans="1:2" x14ac:dyDescent="0.25">
      <c r="A395" t="s">
        <v>760</v>
      </c>
      <c r="B395">
        <v>18</v>
      </c>
    </row>
    <row r="396" spans="1:2" x14ac:dyDescent="0.25">
      <c r="A396" t="s">
        <v>761</v>
      </c>
      <c r="B396">
        <v>19</v>
      </c>
    </row>
    <row r="397" spans="1:2" x14ac:dyDescent="0.25">
      <c r="A397" t="s">
        <v>762</v>
      </c>
      <c r="B397">
        <v>20</v>
      </c>
    </row>
    <row r="398" spans="1:2" x14ac:dyDescent="0.25">
      <c r="A398" t="s">
        <v>763</v>
      </c>
      <c r="B398">
        <v>21</v>
      </c>
    </row>
    <row r="399" spans="1:2" x14ac:dyDescent="0.25">
      <c r="A399" t="s">
        <v>764</v>
      </c>
      <c r="B399">
        <v>22</v>
      </c>
    </row>
    <row r="400" spans="1:2" x14ac:dyDescent="0.25">
      <c r="A400" t="s">
        <v>765</v>
      </c>
      <c r="B400">
        <v>23</v>
      </c>
    </row>
    <row r="401" spans="1:2" x14ac:dyDescent="0.25">
      <c r="A401" t="s">
        <v>766</v>
      </c>
      <c r="B401">
        <v>24</v>
      </c>
    </row>
    <row r="402" spans="1:2" x14ac:dyDescent="0.25">
      <c r="A402" t="s">
        <v>767</v>
      </c>
      <c r="B402">
        <v>25</v>
      </c>
    </row>
    <row r="403" spans="1:2" x14ac:dyDescent="0.25">
      <c r="A403" t="s">
        <v>768</v>
      </c>
      <c r="B403">
        <v>26</v>
      </c>
    </row>
    <row r="404" spans="1:2" x14ac:dyDescent="0.25">
      <c r="A404" t="s">
        <v>769</v>
      </c>
      <c r="B404">
        <v>27</v>
      </c>
    </row>
    <row r="405" spans="1:2" x14ac:dyDescent="0.25">
      <c r="A405" t="s">
        <v>770</v>
      </c>
      <c r="B405">
        <v>28</v>
      </c>
    </row>
    <row r="406" spans="1:2" x14ac:dyDescent="0.25">
      <c r="A406" t="s">
        <v>771</v>
      </c>
      <c r="B406">
        <v>29</v>
      </c>
    </row>
    <row r="407" spans="1:2" x14ac:dyDescent="0.25">
      <c r="A407" t="s">
        <v>772</v>
      </c>
      <c r="B407">
        <v>30</v>
      </c>
    </row>
    <row r="408" spans="1:2" x14ac:dyDescent="0.25">
      <c r="A408" t="s">
        <v>773</v>
      </c>
      <c r="B408">
        <v>31</v>
      </c>
    </row>
    <row r="409" spans="1:2" x14ac:dyDescent="0.25">
      <c r="A409" t="s">
        <v>774</v>
      </c>
      <c r="B409">
        <v>33</v>
      </c>
    </row>
    <row r="410" spans="1:2" x14ac:dyDescent="0.25">
      <c r="A410" t="s">
        <v>775</v>
      </c>
      <c r="B410">
        <v>34</v>
      </c>
    </row>
    <row r="411" spans="1:2" x14ac:dyDescent="0.25">
      <c r="A411" t="s">
        <v>776</v>
      </c>
      <c r="B411">
        <v>35</v>
      </c>
    </row>
    <row r="412" spans="1:2" x14ac:dyDescent="0.25">
      <c r="A412" t="s">
        <v>777</v>
      </c>
      <c r="B412">
        <v>36</v>
      </c>
    </row>
    <row r="413" spans="1:2" x14ac:dyDescent="0.25">
      <c r="A413" t="s">
        <v>778</v>
      </c>
      <c r="B413">
        <v>37</v>
      </c>
    </row>
    <row r="414" spans="1:2" x14ac:dyDescent="0.25">
      <c r="A414" t="s">
        <v>779</v>
      </c>
      <c r="B414">
        <v>38</v>
      </c>
    </row>
    <row r="415" spans="1:2" x14ac:dyDescent="0.25">
      <c r="A415" t="s">
        <v>780</v>
      </c>
      <c r="B415">
        <v>39</v>
      </c>
    </row>
    <row r="416" spans="1:2" x14ac:dyDescent="0.25">
      <c r="A416" t="s">
        <v>781</v>
      </c>
      <c r="B416">
        <v>40</v>
      </c>
    </row>
    <row r="417" spans="1:2" x14ac:dyDescent="0.25">
      <c r="A417" t="s">
        <v>782</v>
      </c>
      <c r="B417">
        <v>41</v>
      </c>
    </row>
    <row r="418" spans="1:2" x14ac:dyDescent="0.25">
      <c r="A418" t="s">
        <v>783</v>
      </c>
      <c r="B418">
        <v>42</v>
      </c>
    </row>
    <row r="419" spans="1:2" x14ac:dyDescent="0.25">
      <c r="A419" t="s">
        <v>784</v>
      </c>
      <c r="B419">
        <v>43</v>
      </c>
    </row>
    <row r="420" spans="1:2" x14ac:dyDescent="0.25">
      <c r="A420" t="s">
        <v>785</v>
      </c>
      <c r="B420">
        <v>44</v>
      </c>
    </row>
    <row r="421" spans="1:2" x14ac:dyDescent="0.25">
      <c r="A421" t="s">
        <v>786</v>
      </c>
      <c r="B421">
        <v>45</v>
      </c>
    </row>
    <row r="422" spans="1:2" x14ac:dyDescent="0.25">
      <c r="A422" t="s">
        <v>787</v>
      </c>
      <c r="B422">
        <v>46</v>
      </c>
    </row>
    <row r="423" spans="1:2" x14ac:dyDescent="0.25">
      <c r="A423" t="s">
        <v>788</v>
      </c>
      <c r="B423">
        <v>47</v>
      </c>
    </row>
    <row r="424" spans="1:2" x14ac:dyDescent="0.25">
      <c r="A424" t="s">
        <v>789</v>
      </c>
      <c r="B424">
        <v>48</v>
      </c>
    </row>
    <row r="425" spans="1:2" x14ac:dyDescent="0.25">
      <c r="A425" t="s">
        <v>790</v>
      </c>
      <c r="B425">
        <v>49</v>
      </c>
    </row>
    <row r="426" spans="1:2" x14ac:dyDescent="0.25">
      <c r="A426" t="s">
        <v>791</v>
      </c>
      <c r="B426">
        <v>50</v>
      </c>
    </row>
    <row r="427" spans="1:2" x14ac:dyDescent="0.25">
      <c r="A427" t="s">
        <v>792</v>
      </c>
      <c r="B427">
        <v>51</v>
      </c>
    </row>
    <row r="428" spans="1:2" x14ac:dyDescent="0.25">
      <c r="A428" t="s">
        <v>793</v>
      </c>
      <c r="B428">
        <v>52</v>
      </c>
    </row>
    <row r="429" spans="1:2" x14ac:dyDescent="0.25">
      <c r="A429" t="s">
        <v>794</v>
      </c>
      <c r="B429">
        <v>53</v>
      </c>
    </row>
    <row r="430" spans="1:2" x14ac:dyDescent="0.25">
      <c r="A430" t="s">
        <v>795</v>
      </c>
      <c r="B430">
        <v>54</v>
      </c>
    </row>
    <row r="431" spans="1:2" x14ac:dyDescent="0.25">
      <c r="A431" t="s">
        <v>796</v>
      </c>
      <c r="B431">
        <v>55</v>
      </c>
    </row>
    <row r="432" spans="1:2" x14ac:dyDescent="0.25">
      <c r="A432" t="s">
        <v>797</v>
      </c>
      <c r="B432">
        <v>57</v>
      </c>
    </row>
    <row r="433" spans="1:2" x14ac:dyDescent="0.25">
      <c r="A433" t="s">
        <v>798</v>
      </c>
      <c r="B433">
        <v>58</v>
      </c>
    </row>
    <row r="434" spans="1:2" x14ac:dyDescent="0.25">
      <c r="A434" t="s">
        <v>799</v>
      </c>
      <c r="B434">
        <v>59</v>
      </c>
    </row>
    <row r="435" spans="1:2" x14ac:dyDescent="0.25">
      <c r="A435" t="s">
        <v>800</v>
      </c>
      <c r="B435">
        <v>61</v>
      </c>
    </row>
    <row r="436" spans="1:2" x14ac:dyDescent="0.25">
      <c r="A436" t="s">
        <v>801</v>
      </c>
      <c r="B436">
        <v>62</v>
      </c>
    </row>
    <row r="437" spans="1:2" x14ac:dyDescent="0.25">
      <c r="A437" t="s">
        <v>802</v>
      </c>
      <c r="B437">
        <v>63</v>
      </c>
    </row>
    <row r="438" spans="1:2" x14ac:dyDescent="0.25">
      <c r="A438" t="s">
        <v>803</v>
      </c>
      <c r="B438">
        <v>64</v>
      </c>
    </row>
    <row r="439" spans="1:2" x14ac:dyDescent="0.25">
      <c r="A439" t="s">
        <v>804</v>
      </c>
      <c r="B439">
        <v>65</v>
      </c>
    </row>
    <row r="440" spans="1:2" x14ac:dyDescent="0.25">
      <c r="A440" t="s">
        <v>805</v>
      </c>
      <c r="B440">
        <v>67</v>
      </c>
    </row>
    <row r="441" spans="1:2" x14ac:dyDescent="0.25">
      <c r="A441" t="s">
        <v>806</v>
      </c>
      <c r="B441">
        <v>68</v>
      </c>
    </row>
    <row r="442" spans="1:2" x14ac:dyDescent="0.25">
      <c r="A442" t="s">
        <v>807</v>
      </c>
      <c r="B442">
        <v>69</v>
      </c>
    </row>
    <row r="443" spans="1:2" x14ac:dyDescent="0.25">
      <c r="A443" t="s">
        <v>808</v>
      </c>
      <c r="B443">
        <v>70</v>
      </c>
    </row>
    <row r="444" spans="1:2" x14ac:dyDescent="0.25">
      <c r="A444" t="s">
        <v>809</v>
      </c>
      <c r="B444">
        <v>71</v>
      </c>
    </row>
    <row r="445" spans="1:2" x14ac:dyDescent="0.25">
      <c r="A445" t="s">
        <v>811</v>
      </c>
      <c r="B445" t="s">
        <v>812</v>
      </c>
    </row>
    <row r="446" spans="1:2" x14ac:dyDescent="0.25">
      <c r="A446" t="s">
        <v>813</v>
      </c>
      <c r="B446" t="s">
        <v>814</v>
      </c>
    </row>
    <row r="447" spans="1:2" x14ac:dyDescent="0.25">
      <c r="A447" t="s">
        <v>815</v>
      </c>
      <c r="B447" t="s">
        <v>816</v>
      </c>
    </row>
    <row r="448" spans="1:2" x14ac:dyDescent="0.25">
      <c r="A448" t="s">
        <v>817</v>
      </c>
      <c r="B448" t="s">
        <v>818</v>
      </c>
    </row>
    <row r="449" spans="1:24" x14ac:dyDescent="0.25">
      <c r="A449" t="s">
        <v>819</v>
      </c>
      <c r="B449" t="s">
        <v>820</v>
      </c>
    </row>
    <row r="450" spans="1:24" x14ac:dyDescent="0.25">
      <c r="A450" t="s">
        <v>821</v>
      </c>
      <c r="B450" t="s">
        <v>822</v>
      </c>
    </row>
    <row r="451" spans="1:24" x14ac:dyDescent="0.25">
      <c r="A451" t="s">
        <v>823</v>
      </c>
      <c r="B451" t="s">
        <v>824</v>
      </c>
    </row>
    <row r="452" spans="1:24" x14ac:dyDescent="0.25">
      <c r="A452" t="s">
        <v>828</v>
      </c>
      <c r="B452"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830</v>
      </c>
      <c r="B453">
        <v>1</v>
      </c>
    </row>
    <row r="454" spans="1:24" x14ac:dyDescent="0.25">
      <c r="A454" t="s">
        <v>831</v>
      </c>
      <c r="B454">
        <v>2</v>
      </c>
    </row>
    <row r="455" spans="1:24" x14ac:dyDescent="0.25">
      <c r="A455" t="s">
        <v>832</v>
      </c>
      <c r="B455">
        <v>3</v>
      </c>
    </row>
    <row r="456" spans="1:24" x14ac:dyDescent="0.25">
      <c r="A456" t="s">
        <v>833</v>
      </c>
      <c r="B456">
        <v>4</v>
      </c>
    </row>
    <row r="457" spans="1:24" x14ac:dyDescent="0.25">
      <c r="A457" t="s">
        <v>834</v>
      </c>
      <c r="B457">
        <v>5</v>
      </c>
    </row>
    <row r="458" spans="1:24" x14ac:dyDescent="0.25">
      <c r="A458" t="s">
        <v>835</v>
      </c>
      <c r="B458">
        <v>6</v>
      </c>
    </row>
    <row r="459" spans="1:24" x14ac:dyDescent="0.25">
      <c r="A459" t="s">
        <v>836</v>
      </c>
      <c r="B459">
        <v>8</v>
      </c>
    </row>
    <row r="460" spans="1:24" x14ac:dyDescent="0.25">
      <c r="A460" t="s">
        <v>837</v>
      </c>
      <c r="B460">
        <v>9</v>
      </c>
    </row>
    <row r="461" spans="1:24" x14ac:dyDescent="0.25">
      <c r="A461" t="s">
        <v>838</v>
      </c>
      <c r="B461">
        <v>10</v>
      </c>
    </row>
    <row r="462" spans="1:24" x14ac:dyDescent="0.25">
      <c r="A462" t="s">
        <v>839</v>
      </c>
      <c r="B462">
        <v>11</v>
      </c>
    </row>
    <row r="463" spans="1:24" x14ac:dyDescent="0.25">
      <c r="A463" t="s">
        <v>840</v>
      </c>
      <c r="B463">
        <v>12</v>
      </c>
    </row>
    <row r="464" spans="1:24" x14ac:dyDescent="0.25">
      <c r="A464" t="s">
        <v>841</v>
      </c>
      <c r="B464">
        <v>13</v>
      </c>
    </row>
    <row r="465" spans="1:2" x14ac:dyDescent="0.25">
      <c r="A465" t="s">
        <v>842</v>
      </c>
      <c r="B465">
        <v>14</v>
      </c>
    </row>
    <row r="466" spans="1:2" x14ac:dyDescent="0.25">
      <c r="A466" t="s">
        <v>843</v>
      </c>
      <c r="B466">
        <v>15</v>
      </c>
    </row>
    <row r="467" spans="1:2" x14ac:dyDescent="0.25">
      <c r="A467" t="s">
        <v>844</v>
      </c>
      <c r="B467">
        <v>16</v>
      </c>
    </row>
    <row r="468" spans="1:2" x14ac:dyDescent="0.25">
      <c r="A468" t="s">
        <v>845</v>
      </c>
      <c r="B468">
        <v>17</v>
      </c>
    </row>
    <row r="469" spans="1:2" x14ac:dyDescent="0.25">
      <c r="A469" t="s">
        <v>846</v>
      </c>
      <c r="B469">
        <v>18</v>
      </c>
    </row>
    <row r="470" spans="1:2" x14ac:dyDescent="0.25">
      <c r="A470" t="s">
        <v>847</v>
      </c>
      <c r="B470">
        <v>19</v>
      </c>
    </row>
    <row r="471" spans="1:2" x14ac:dyDescent="0.25">
      <c r="A471" t="s">
        <v>848</v>
      </c>
      <c r="B471">
        <v>21</v>
      </c>
    </row>
    <row r="472" spans="1:2" x14ac:dyDescent="0.25">
      <c r="A472" t="s">
        <v>849</v>
      </c>
      <c r="B472">
        <v>22</v>
      </c>
    </row>
    <row r="473" spans="1:2" x14ac:dyDescent="0.25">
      <c r="A473" t="s">
        <v>850</v>
      </c>
      <c r="B473">
        <v>23</v>
      </c>
    </row>
    <row r="474" spans="1:2" x14ac:dyDescent="0.25">
      <c r="A474" t="s">
        <v>851</v>
      </c>
      <c r="B474">
        <v>24</v>
      </c>
    </row>
    <row r="475" spans="1:2" x14ac:dyDescent="0.25">
      <c r="A475" t="s">
        <v>852</v>
      </c>
      <c r="B475">
        <v>25</v>
      </c>
    </row>
    <row r="476" spans="1:2" x14ac:dyDescent="0.25">
      <c r="A476" t="s">
        <v>853</v>
      </c>
      <c r="B476">
        <v>26</v>
      </c>
    </row>
    <row r="477" spans="1:2" x14ac:dyDescent="0.25">
      <c r="A477" t="s">
        <v>854</v>
      </c>
      <c r="B477">
        <v>27</v>
      </c>
    </row>
    <row r="478" spans="1:2" x14ac:dyDescent="0.25">
      <c r="A478" t="s">
        <v>855</v>
      </c>
      <c r="B478">
        <v>28</v>
      </c>
    </row>
    <row r="479" spans="1:2" x14ac:dyDescent="0.25">
      <c r="A479" t="s">
        <v>856</v>
      </c>
      <c r="B479">
        <v>29</v>
      </c>
    </row>
    <row r="480" spans="1:2" x14ac:dyDescent="0.25">
      <c r="A480" t="s">
        <v>857</v>
      </c>
      <c r="B480">
        <v>30</v>
      </c>
    </row>
    <row r="481" spans="1:13" x14ac:dyDescent="0.25">
      <c r="A481" t="s">
        <v>858</v>
      </c>
      <c r="B481">
        <v>31</v>
      </c>
    </row>
    <row r="482" spans="1:13" x14ac:dyDescent="0.25">
      <c r="A482" t="s">
        <v>859</v>
      </c>
      <c r="B482">
        <v>32</v>
      </c>
    </row>
    <row r="483" spans="1:13" x14ac:dyDescent="0.25">
      <c r="A483" t="s">
        <v>860</v>
      </c>
      <c r="B483">
        <v>34</v>
      </c>
    </row>
    <row r="484" spans="1:13" x14ac:dyDescent="0.25">
      <c r="A484" t="s">
        <v>862</v>
      </c>
      <c r="B484" t="s">
        <v>863</v>
      </c>
    </row>
    <row r="485" spans="1:13" x14ac:dyDescent="0.25">
      <c r="A485" t="s">
        <v>864</v>
      </c>
      <c r="B485" t="s">
        <v>865</v>
      </c>
    </row>
    <row r="486" spans="1:13" x14ac:dyDescent="0.25">
      <c r="A486" t="s">
        <v>866</v>
      </c>
      <c r="B486" t="s">
        <v>867</v>
      </c>
    </row>
    <row r="487" spans="1:13" x14ac:dyDescent="0.25">
      <c r="A487" t="s">
        <v>868</v>
      </c>
      <c r="B487" t="s">
        <v>869</v>
      </c>
    </row>
    <row r="488" spans="1:13" x14ac:dyDescent="0.25">
      <c r="A488" t="s">
        <v>870</v>
      </c>
      <c r="B488" t="s">
        <v>871</v>
      </c>
    </row>
    <row r="489" spans="1:13" x14ac:dyDescent="0.25">
      <c r="A489" t="s">
        <v>872</v>
      </c>
      <c r="B489" t="s">
        <v>873</v>
      </c>
    </row>
    <row r="490" spans="1:13" x14ac:dyDescent="0.25">
      <c r="A490" t="s">
        <v>874</v>
      </c>
      <c r="B490" t="s">
        <v>875</v>
      </c>
    </row>
    <row r="491" spans="1:13" x14ac:dyDescent="0.25">
      <c r="A491" t="s">
        <v>879</v>
      </c>
      <c r="B491" t="s">
        <v>57</v>
      </c>
      <c r="C491" t="s">
        <v>41</v>
      </c>
      <c r="D491" t="s">
        <v>43</v>
      </c>
      <c r="E491" t="s">
        <v>25</v>
      </c>
      <c r="F491" t="s">
        <v>19</v>
      </c>
      <c r="G491" t="s">
        <v>15</v>
      </c>
      <c r="H491" t="s">
        <v>73</v>
      </c>
      <c r="I491" t="s">
        <v>71</v>
      </c>
      <c r="J491" t="s">
        <v>65</v>
      </c>
      <c r="K491" t="s">
        <v>67</v>
      </c>
      <c r="L491" t="s">
        <v>63</v>
      </c>
      <c r="M491" t="s">
        <v>83</v>
      </c>
    </row>
    <row r="492" spans="1:13" x14ac:dyDescent="0.25">
      <c r="A492" t="s">
        <v>881</v>
      </c>
      <c r="B492">
        <v>1</v>
      </c>
    </row>
    <row r="493" spans="1:13" x14ac:dyDescent="0.25">
      <c r="A493" t="s">
        <v>882</v>
      </c>
      <c r="B493">
        <v>2</v>
      </c>
    </row>
    <row r="494" spans="1:13" x14ac:dyDescent="0.25">
      <c r="A494" t="s">
        <v>883</v>
      </c>
      <c r="B494">
        <v>3</v>
      </c>
    </row>
    <row r="495" spans="1:13" x14ac:dyDescent="0.25">
      <c r="A495" t="s">
        <v>884</v>
      </c>
      <c r="B495">
        <v>4</v>
      </c>
    </row>
    <row r="496" spans="1:13" x14ac:dyDescent="0.25">
      <c r="A496" t="s">
        <v>885</v>
      </c>
      <c r="B496">
        <v>5</v>
      </c>
    </row>
    <row r="497" spans="1:2" x14ac:dyDescent="0.25">
      <c r="A497" t="s">
        <v>886</v>
      </c>
      <c r="B497">
        <v>6</v>
      </c>
    </row>
    <row r="498" spans="1:2" x14ac:dyDescent="0.25">
      <c r="A498" t="s">
        <v>887</v>
      </c>
      <c r="B498">
        <v>8</v>
      </c>
    </row>
    <row r="499" spans="1:2" x14ac:dyDescent="0.25">
      <c r="A499" t="s">
        <v>888</v>
      </c>
      <c r="B499">
        <v>9</v>
      </c>
    </row>
    <row r="500" spans="1:2" x14ac:dyDescent="0.25">
      <c r="A500" t="s">
        <v>889</v>
      </c>
      <c r="B500">
        <v>10</v>
      </c>
    </row>
    <row r="501" spans="1:2" x14ac:dyDescent="0.25">
      <c r="A501" t="s">
        <v>890</v>
      </c>
      <c r="B501">
        <v>11</v>
      </c>
    </row>
    <row r="502" spans="1:2" x14ac:dyDescent="0.25">
      <c r="A502" t="s">
        <v>891</v>
      </c>
      <c r="B502">
        <v>12</v>
      </c>
    </row>
    <row r="503" spans="1:2" x14ac:dyDescent="0.25">
      <c r="A503" t="s">
        <v>892</v>
      </c>
      <c r="B503">
        <v>13</v>
      </c>
    </row>
    <row r="504" spans="1:2" x14ac:dyDescent="0.25">
      <c r="A504" t="s">
        <v>893</v>
      </c>
      <c r="B504">
        <v>14</v>
      </c>
    </row>
    <row r="505" spans="1:2" x14ac:dyDescent="0.25">
      <c r="A505" t="s">
        <v>894</v>
      </c>
      <c r="B505">
        <v>15</v>
      </c>
    </row>
    <row r="506" spans="1:2" x14ac:dyDescent="0.25">
      <c r="A506" t="s">
        <v>895</v>
      </c>
      <c r="B506">
        <v>16</v>
      </c>
    </row>
    <row r="507" spans="1:2" x14ac:dyDescent="0.25">
      <c r="A507" t="s">
        <v>896</v>
      </c>
      <c r="B507">
        <v>17</v>
      </c>
    </row>
    <row r="508" spans="1:2" x14ac:dyDescent="0.25">
      <c r="A508" t="s">
        <v>897</v>
      </c>
      <c r="B508">
        <v>18</v>
      </c>
    </row>
    <row r="509" spans="1:2" x14ac:dyDescent="0.25">
      <c r="A509" t="s">
        <v>898</v>
      </c>
      <c r="B509">
        <v>19</v>
      </c>
    </row>
    <row r="510" spans="1:2" x14ac:dyDescent="0.25">
      <c r="A510" t="s">
        <v>899</v>
      </c>
      <c r="B510">
        <v>20</v>
      </c>
    </row>
    <row r="511" spans="1:2" x14ac:dyDescent="0.25">
      <c r="A511" t="s">
        <v>900</v>
      </c>
      <c r="B511">
        <v>21</v>
      </c>
    </row>
    <row r="512" spans="1:2" x14ac:dyDescent="0.25">
      <c r="A512" t="s">
        <v>901</v>
      </c>
      <c r="B512">
        <v>22</v>
      </c>
    </row>
    <row r="513" spans="1:2" x14ac:dyDescent="0.25">
      <c r="A513" t="s">
        <v>902</v>
      </c>
      <c r="B513">
        <v>23</v>
      </c>
    </row>
    <row r="514" spans="1:2" x14ac:dyDescent="0.25">
      <c r="A514" t="s">
        <v>903</v>
      </c>
      <c r="B514">
        <v>24</v>
      </c>
    </row>
    <row r="515" spans="1:2" x14ac:dyDescent="0.25">
      <c r="A515" t="s">
        <v>904</v>
      </c>
      <c r="B515">
        <v>25</v>
      </c>
    </row>
    <row r="516" spans="1:2" x14ac:dyDescent="0.25">
      <c r="A516" t="s">
        <v>905</v>
      </c>
      <c r="B516">
        <v>26</v>
      </c>
    </row>
    <row r="517" spans="1:2" x14ac:dyDescent="0.25">
      <c r="A517" t="s">
        <v>906</v>
      </c>
      <c r="B517">
        <v>27</v>
      </c>
    </row>
    <row r="518" spans="1:2" x14ac:dyDescent="0.25">
      <c r="A518" t="s">
        <v>907</v>
      </c>
      <c r="B518">
        <v>28</v>
      </c>
    </row>
    <row r="519" spans="1:2" x14ac:dyDescent="0.25">
      <c r="A519" t="s">
        <v>908</v>
      </c>
      <c r="B519">
        <v>29</v>
      </c>
    </row>
    <row r="520" spans="1:2" x14ac:dyDescent="0.25">
      <c r="A520" t="s">
        <v>909</v>
      </c>
      <c r="B520">
        <v>31</v>
      </c>
    </row>
    <row r="521" spans="1:2" x14ac:dyDescent="0.25">
      <c r="A521" t="s">
        <v>910</v>
      </c>
      <c r="B521">
        <v>32</v>
      </c>
    </row>
    <row r="522" spans="1:2" x14ac:dyDescent="0.25">
      <c r="A522" t="s">
        <v>911</v>
      </c>
      <c r="B522">
        <v>33</v>
      </c>
    </row>
    <row r="523" spans="1:2" x14ac:dyDescent="0.25">
      <c r="A523" t="s">
        <v>912</v>
      </c>
      <c r="B523">
        <v>34</v>
      </c>
    </row>
    <row r="524" spans="1:2" x14ac:dyDescent="0.25">
      <c r="A524" t="s">
        <v>913</v>
      </c>
      <c r="B524">
        <v>35</v>
      </c>
    </row>
    <row r="525" spans="1:2" x14ac:dyDescent="0.25">
      <c r="A525" t="s">
        <v>914</v>
      </c>
      <c r="B525">
        <v>36</v>
      </c>
    </row>
    <row r="526" spans="1:2" x14ac:dyDescent="0.25">
      <c r="A526" t="s">
        <v>915</v>
      </c>
      <c r="B526">
        <v>37</v>
      </c>
    </row>
    <row r="527" spans="1:2" x14ac:dyDescent="0.25">
      <c r="A527" t="s">
        <v>916</v>
      </c>
      <c r="B527">
        <v>38</v>
      </c>
    </row>
    <row r="528" spans="1:2" x14ac:dyDescent="0.25">
      <c r="A528" t="s">
        <v>917</v>
      </c>
      <c r="B528">
        <v>39</v>
      </c>
    </row>
    <row r="529" spans="1:2" x14ac:dyDescent="0.25">
      <c r="A529" t="s">
        <v>918</v>
      </c>
      <c r="B529">
        <v>40</v>
      </c>
    </row>
    <row r="530" spans="1:2" x14ac:dyDescent="0.25">
      <c r="A530" t="s">
        <v>919</v>
      </c>
      <c r="B530">
        <v>41</v>
      </c>
    </row>
    <row r="531" spans="1:2" x14ac:dyDescent="0.25">
      <c r="A531" t="s">
        <v>920</v>
      </c>
      <c r="B531">
        <v>42</v>
      </c>
    </row>
    <row r="532" spans="1:2" x14ac:dyDescent="0.25">
      <c r="A532" t="s">
        <v>921</v>
      </c>
      <c r="B532">
        <v>43</v>
      </c>
    </row>
    <row r="533" spans="1:2" x14ac:dyDescent="0.25">
      <c r="A533" t="s">
        <v>922</v>
      </c>
      <c r="B533">
        <v>44</v>
      </c>
    </row>
    <row r="534" spans="1:2" x14ac:dyDescent="0.25">
      <c r="A534" t="s">
        <v>923</v>
      </c>
      <c r="B534">
        <v>45</v>
      </c>
    </row>
    <row r="535" spans="1:2" x14ac:dyDescent="0.25">
      <c r="A535" t="s">
        <v>924</v>
      </c>
      <c r="B535">
        <v>46</v>
      </c>
    </row>
    <row r="536" spans="1:2" x14ac:dyDescent="0.25">
      <c r="A536" t="s">
        <v>925</v>
      </c>
      <c r="B536">
        <v>47</v>
      </c>
    </row>
    <row r="537" spans="1:2" x14ac:dyDescent="0.25">
      <c r="A537" t="s">
        <v>926</v>
      </c>
      <c r="B537">
        <v>48</v>
      </c>
    </row>
    <row r="538" spans="1:2" x14ac:dyDescent="0.25">
      <c r="A538" t="s">
        <v>927</v>
      </c>
      <c r="B538">
        <v>49</v>
      </c>
    </row>
    <row r="539" spans="1:2" x14ac:dyDescent="0.25">
      <c r="A539" t="s">
        <v>928</v>
      </c>
      <c r="B539">
        <v>50</v>
      </c>
    </row>
    <row r="540" spans="1:2" x14ac:dyDescent="0.25">
      <c r="A540" t="s">
        <v>929</v>
      </c>
      <c r="B540">
        <v>51</v>
      </c>
    </row>
    <row r="541" spans="1:2" x14ac:dyDescent="0.25">
      <c r="A541" t="s">
        <v>930</v>
      </c>
      <c r="B541">
        <v>52</v>
      </c>
    </row>
    <row r="542" spans="1:2" x14ac:dyDescent="0.25">
      <c r="A542" t="s">
        <v>931</v>
      </c>
      <c r="B542">
        <v>54</v>
      </c>
    </row>
    <row r="543" spans="1:2" x14ac:dyDescent="0.25">
      <c r="A543" t="s">
        <v>932</v>
      </c>
      <c r="B543">
        <v>55</v>
      </c>
    </row>
    <row r="544" spans="1:2" x14ac:dyDescent="0.25">
      <c r="A544" t="s">
        <v>933</v>
      </c>
      <c r="B544">
        <v>56</v>
      </c>
    </row>
    <row r="545" spans="1:23" x14ac:dyDescent="0.25">
      <c r="A545" t="s">
        <v>935</v>
      </c>
      <c r="B545" t="s">
        <v>936</v>
      </c>
    </row>
    <row r="546" spans="1:23" x14ac:dyDescent="0.25">
      <c r="A546" t="s">
        <v>937</v>
      </c>
      <c r="B546" t="s">
        <v>938</v>
      </c>
    </row>
    <row r="547" spans="1:23" x14ac:dyDescent="0.25">
      <c r="A547" t="s">
        <v>939</v>
      </c>
      <c r="B547" t="s">
        <v>940</v>
      </c>
    </row>
    <row r="548" spans="1:23" x14ac:dyDescent="0.25">
      <c r="A548" t="s">
        <v>941</v>
      </c>
      <c r="B548" t="s">
        <v>942</v>
      </c>
    </row>
    <row r="549" spans="1:23" x14ac:dyDescent="0.25">
      <c r="A549" t="s">
        <v>943</v>
      </c>
      <c r="B549" t="s">
        <v>944</v>
      </c>
    </row>
    <row r="550" spans="1:23" x14ac:dyDescent="0.25">
      <c r="A550" t="s">
        <v>945</v>
      </c>
      <c r="B550" t="s">
        <v>946</v>
      </c>
    </row>
    <row r="551" spans="1:23" x14ac:dyDescent="0.25">
      <c r="A551" t="s">
        <v>947</v>
      </c>
      <c r="B551" t="s">
        <v>948</v>
      </c>
    </row>
    <row r="552" spans="1:23" x14ac:dyDescent="0.25">
      <c r="A552" t="s">
        <v>952</v>
      </c>
      <c r="B552"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954</v>
      </c>
      <c r="B553">
        <v>1</v>
      </c>
    </row>
    <row r="554" spans="1:23" x14ac:dyDescent="0.25">
      <c r="A554" t="s">
        <v>955</v>
      </c>
      <c r="B554">
        <v>2</v>
      </c>
    </row>
    <row r="555" spans="1:23" x14ac:dyDescent="0.25">
      <c r="A555" t="s">
        <v>956</v>
      </c>
      <c r="B555">
        <v>3</v>
      </c>
    </row>
    <row r="556" spans="1:23" x14ac:dyDescent="0.25">
      <c r="A556" t="s">
        <v>957</v>
      </c>
      <c r="B556">
        <v>4</v>
      </c>
    </row>
    <row r="557" spans="1:23" x14ac:dyDescent="0.25">
      <c r="A557" t="s">
        <v>958</v>
      </c>
      <c r="B557">
        <v>5</v>
      </c>
    </row>
    <row r="558" spans="1:23" x14ac:dyDescent="0.25">
      <c r="A558" t="s">
        <v>959</v>
      </c>
      <c r="B558">
        <v>6</v>
      </c>
    </row>
    <row r="559" spans="1:23" x14ac:dyDescent="0.25">
      <c r="A559" t="s">
        <v>960</v>
      </c>
      <c r="B559">
        <v>8</v>
      </c>
    </row>
    <row r="560" spans="1:23" x14ac:dyDescent="0.25">
      <c r="A560" t="s">
        <v>961</v>
      </c>
      <c r="B560">
        <v>9</v>
      </c>
    </row>
    <row r="561" spans="1:2" x14ac:dyDescent="0.25">
      <c r="A561" t="s">
        <v>962</v>
      </c>
      <c r="B561">
        <v>10</v>
      </c>
    </row>
    <row r="562" spans="1:2" x14ac:dyDescent="0.25">
      <c r="A562" t="s">
        <v>963</v>
      </c>
      <c r="B562">
        <v>11</v>
      </c>
    </row>
    <row r="563" spans="1:2" x14ac:dyDescent="0.25">
      <c r="A563" t="s">
        <v>964</v>
      </c>
      <c r="B563">
        <v>12</v>
      </c>
    </row>
    <row r="564" spans="1:2" x14ac:dyDescent="0.25">
      <c r="A564" t="s">
        <v>965</v>
      </c>
      <c r="B564">
        <v>13</v>
      </c>
    </row>
    <row r="565" spans="1:2" x14ac:dyDescent="0.25">
      <c r="A565" t="s">
        <v>966</v>
      </c>
      <c r="B565">
        <v>14</v>
      </c>
    </row>
    <row r="566" spans="1:2" x14ac:dyDescent="0.25">
      <c r="A566" t="s">
        <v>967</v>
      </c>
      <c r="B566">
        <v>15</v>
      </c>
    </row>
    <row r="567" spans="1:2" x14ac:dyDescent="0.25">
      <c r="A567" t="s">
        <v>968</v>
      </c>
      <c r="B567">
        <v>17</v>
      </c>
    </row>
    <row r="568" spans="1:2" x14ac:dyDescent="0.25">
      <c r="A568" t="s">
        <v>969</v>
      </c>
      <c r="B568">
        <v>18</v>
      </c>
    </row>
    <row r="569" spans="1:2" x14ac:dyDescent="0.25">
      <c r="A569" t="s">
        <v>970</v>
      </c>
      <c r="B569">
        <v>19</v>
      </c>
    </row>
    <row r="570" spans="1:2" x14ac:dyDescent="0.25">
      <c r="A570" t="s">
        <v>971</v>
      </c>
      <c r="B570">
        <v>20</v>
      </c>
    </row>
    <row r="571" spans="1:2" x14ac:dyDescent="0.25">
      <c r="A571" t="s">
        <v>972</v>
      </c>
      <c r="B571">
        <v>21</v>
      </c>
    </row>
    <row r="572" spans="1:2" x14ac:dyDescent="0.25">
      <c r="A572" t="s">
        <v>973</v>
      </c>
      <c r="B572">
        <v>22</v>
      </c>
    </row>
    <row r="573" spans="1:2" x14ac:dyDescent="0.25">
      <c r="A573" t="s">
        <v>974</v>
      </c>
      <c r="B573">
        <v>23</v>
      </c>
    </row>
    <row r="574" spans="1:2" x14ac:dyDescent="0.25">
      <c r="A574" t="s">
        <v>975</v>
      </c>
      <c r="B574">
        <v>24</v>
      </c>
    </row>
    <row r="575" spans="1:2" x14ac:dyDescent="0.25">
      <c r="A575" t="s">
        <v>976</v>
      </c>
      <c r="B575">
        <v>26</v>
      </c>
    </row>
    <row r="576" spans="1:2" x14ac:dyDescent="0.25">
      <c r="A576" t="s">
        <v>978</v>
      </c>
      <c r="B576" t="s">
        <v>979</v>
      </c>
    </row>
    <row r="577" spans="1:9" x14ac:dyDescent="0.25">
      <c r="A577" t="s">
        <v>980</v>
      </c>
      <c r="B577" t="s">
        <v>981</v>
      </c>
    </row>
    <row r="578" spans="1:9" x14ac:dyDescent="0.25">
      <c r="A578" t="s">
        <v>983</v>
      </c>
      <c r="B578" t="s">
        <v>984</v>
      </c>
    </row>
    <row r="579" spans="1:9" x14ac:dyDescent="0.25">
      <c r="A579" t="s">
        <v>986</v>
      </c>
      <c r="B579" t="s">
        <v>987</v>
      </c>
    </row>
    <row r="580" spans="1:9" x14ac:dyDescent="0.25">
      <c r="A580" t="s">
        <v>989</v>
      </c>
      <c r="B580" t="s">
        <v>990</v>
      </c>
    </row>
    <row r="581" spans="1:9" x14ac:dyDescent="0.25">
      <c r="A581" t="s">
        <v>993</v>
      </c>
      <c r="B581" t="s">
        <v>994</v>
      </c>
    </row>
    <row r="582" spans="1:9" x14ac:dyDescent="0.25">
      <c r="A582" t="s">
        <v>996</v>
      </c>
      <c r="B582" t="s">
        <v>997</v>
      </c>
    </row>
    <row r="583" spans="1:9" x14ac:dyDescent="0.25">
      <c r="A583" t="s">
        <v>999</v>
      </c>
      <c r="B583" t="s">
        <v>1000</v>
      </c>
    </row>
    <row r="584" spans="1:9" x14ac:dyDescent="0.25">
      <c r="A584" t="s">
        <v>1007</v>
      </c>
      <c r="B584" t="s">
        <v>57</v>
      </c>
      <c r="C584" t="s">
        <v>25</v>
      </c>
      <c r="D584" t="s">
        <v>61</v>
      </c>
      <c r="E584" t="s">
        <v>39</v>
      </c>
      <c r="F584" t="s">
        <v>73</v>
      </c>
      <c r="G584" t="s">
        <v>71</v>
      </c>
      <c r="H584" t="s">
        <v>67</v>
      </c>
      <c r="I584" t="s">
        <v>83</v>
      </c>
    </row>
    <row r="585" spans="1:9" x14ac:dyDescent="0.25">
      <c r="A585" t="s">
        <v>1009</v>
      </c>
      <c r="B585">
        <v>1</v>
      </c>
    </row>
    <row r="586" spans="1:9" x14ac:dyDescent="0.25">
      <c r="A586" t="s">
        <v>1010</v>
      </c>
      <c r="B586">
        <v>2</v>
      </c>
    </row>
    <row r="587" spans="1:9" x14ac:dyDescent="0.25">
      <c r="A587" t="s">
        <v>1011</v>
      </c>
      <c r="B587">
        <v>3</v>
      </c>
    </row>
    <row r="588" spans="1:9" x14ac:dyDescent="0.25">
      <c r="A588" t="s">
        <v>1012</v>
      </c>
      <c r="B588">
        <v>4</v>
      </c>
    </row>
    <row r="589" spans="1:9" x14ac:dyDescent="0.25">
      <c r="A589" t="s">
        <v>1013</v>
      </c>
      <c r="B589">
        <v>5</v>
      </c>
    </row>
    <row r="590" spans="1:9" x14ac:dyDescent="0.25">
      <c r="A590" t="s">
        <v>1014</v>
      </c>
      <c r="B590">
        <v>6</v>
      </c>
    </row>
    <row r="591" spans="1:9" x14ac:dyDescent="0.25">
      <c r="A591" t="s">
        <v>1015</v>
      </c>
      <c r="B591">
        <v>7</v>
      </c>
    </row>
    <row r="592" spans="1:9" x14ac:dyDescent="0.25">
      <c r="A592" t="s">
        <v>1016</v>
      </c>
      <c r="B592">
        <v>9</v>
      </c>
    </row>
    <row r="593" spans="1:2" x14ac:dyDescent="0.25">
      <c r="A593" t="s">
        <v>1017</v>
      </c>
      <c r="B593">
        <v>10</v>
      </c>
    </row>
    <row r="594" spans="1:2" x14ac:dyDescent="0.25">
      <c r="A594" t="s">
        <v>1018</v>
      </c>
      <c r="B594">
        <v>11</v>
      </c>
    </row>
    <row r="595" spans="1:2" x14ac:dyDescent="0.25">
      <c r="A595" t="s">
        <v>1019</v>
      </c>
      <c r="B595">
        <v>12</v>
      </c>
    </row>
    <row r="596" spans="1:2" x14ac:dyDescent="0.25">
      <c r="A596" t="s">
        <v>1020</v>
      </c>
      <c r="B596">
        <v>13</v>
      </c>
    </row>
    <row r="597" spans="1:2" x14ac:dyDescent="0.25">
      <c r="A597" t="s">
        <v>1021</v>
      </c>
      <c r="B597">
        <v>14</v>
      </c>
    </row>
    <row r="598" spans="1:2" x14ac:dyDescent="0.25">
      <c r="A598" t="s">
        <v>1022</v>
      </c>
      <c r="B598">
        <v>15</v>
      </c>
    </row>
    <row r="599" spans="1:2" x14ac:dyDescent="0.25">
      <c r="A599" t="s">
        <v>1023</v>
      </c>
      <c r="B599">
        <v>16</v>
      </c>
    </row>
    <row r="600" spans="1:2" x14ac:dyDescent="0.25">
      <c r="A600" t="s">
        <v>1024</v>
      </c>
      <c r="B600">
        <v>17</v>
      </c>
    </row>
    <row r="601" spans="1:2" x14ac:dyDescent="0.25">
      <c r="A601" t="s">
        <v>1025</v>
      </c>
      <c r="B601">
        <v>18</v>
      </c>
    </row>
    <row r="602" spans="1:2" x14ac:dyDescent="0.25">
      <c r="A602" t="s">
        <v>1026</v>
      </c>
      <c r="B602">
        <v>19</v>
      </c>
    </row>
    <row r="603" spans="1:2" x14ac:dyDescent="0.25">
      <c r="A603" t="s">
        <v>1027</v>
      </c>
      <c r="B603">
        <v>20</v>
      </c>
    </row>
    <row r="604" spans="1:2" x14ac:dyDescent="0.25">
      <c r="A604" t="s">
        <v>1028</v>
      </c>
      <c r="B604">
        <v>22</v>
      </c>
    </row>
    <row r="605" spans="1:2" x14ac:dyDescent="0.25">
      <c r="A605" t="s">
        <v>1029</v>
      </c>
      <c r="B605">
        <v>23</v>
      </c>
    </row>
    <row r="606" spans="1:2" x14ac:dyDescent="0.25">
      <c r="A606" t="s">
        <v>1030</v>
      </c>
      <c r="B606">
        <v>24</v>
      </c>
    </row>
    <row r="607" spans="1:2" x14ac:dyDescent="0.25">
      <c r="A607" t="s">
        <v>1031</v>
      </c>
      <c r="B607">
        <v>25</v>
      </c>
    </row>
    <row r="608" spans="1:2" x14ac:dyDescent="0.25">
      <c r="A608" t="s">
        <v>1032</v>
      </c>
      <c r="B608">
        <v>26</v>
      </c>
    </row>
    <row r="609" spans="1:2" x14ac:dyDescent="0.25">
      <c r="A609" t="s">
        <v>1033</v>
      </c>
      <c r="B609">
        <v>27</v>
      </c>
    </row>
    <row r="610" spans="1:2" x14ac:dyDescent="0.25">
      <c r="A610" t="s">
        <v>1034</v>
      </c>
      <c r="B610">
        <v>28</v>
      </c>
    </row>
    <row r="611" spans="1:2" x14ac:dyDescent="0.25">
      <c r="A611" t="s">
        <v>1035</v>
      </c>
      <c r="B611">
        <v>29</v>
      </c>
    </row>
    <row r="612" spans="1:2" x14ac:dyDescent="0.25">
      <c r="A612" t="s">
        <v>1036</v>
      </c>
      <c r="B612">
        <v>30</v>
      </c>
    </row>
    <row r="613" spans="1:2" x14ac:dyDescent="0.25">
      <c r="A613" t="s">
        <v>1037</v>
      </c>
      <c r="B613">
        <v>31</v>
      </c>
    </row>
    <row r="614" spans="1:2" x14ac:dyDescent="0.25">
      <c r="A614" t="s">
        <v>1038</v>
      </c>
      <c r="B614">
        <v>32</v>
      </c>
    </row>
    <row r="615" spans="1:2" x14ac:dyDescent="0.25">
      <c r="A615" t="s">
        <v>1039</v>
      </c>
      <c r="B615">
        <v>33</v>
      </c>
    </row>
    <row r="616" spans="1:2" x14ac:dyDescent="0.25">
      <c r="A616" t="s">
        <v>1040</v>
      </c>
      <c r="B616">
        <v>35</v>
      </c>
    </row>
    <row r="617" spans="1:2" x14ac:dyDescent="0.25">
      <c r="A617" t="s">
        <v>1041</v>
      </c>
      <c r="B617">
        <v>36</v>
      </c>
    </row>
    <row r="618" spans="1:2" x14ac:dyDescent="0.25">
      <c r="A618" t="s">
        <v>1042</v>
      </c>
      <c r="B618">
        <v>37</v>
      </c>
    </row>
    <row r="619" spans="1:2" x14ac:dyDescent="0.25">
      <c r="A619" t="s">
        <v>1043</v>
      </c>
      <c r="B619">
        <v>39</v>
      </c>
    </row>
    <row r="620" spans="1:2" x14ac:dyDescent="0.25">
      <c r="A620" t="s">
        <v>1044</v>
      </c>
      <c r="B620">
        <v>40</v>
      </c>
    </row>
    <row r="621" spans="1:2" x14ac:dyDescent="0.25">
      <c r="A621" t="s">
        <v>1045</v>
      </c>
      <c r="B621">
        <v>41</v>
      </c>
    </row>
    <row r="622" spans="1:2" x14ac:dyDescent="0.25">
      <c r="A622" t="s">
        <v>1047</v>
      </c>
      <c r="B622" t="s">
        <v>1048</v>
      </c>
    </row>
    <row r="623" spans="1:2" x14ac:dyDescent="0.25">
      <c r="A623" t="s">
        <v>1049</v>
      </c>
      <c r="B623" t="s">
        <v>1050</v>
      </c>
    </row>
    <row r="624" spans="1:2" x14ac:dyDescent="0.25">
      <c r="A624" t="s">
        <v>1051</v>
      </c>
      <c r="B624" t="s">
        <v>1052</v>
      </c>
    </row>
    <row r="625" spans="1:13" x14ac:dyDescent="0.25">
      <c r="A625" t="s">
        <v>1053</v>
      </c>
      <c r="B625" t="s">
        <v>1054</v>
      </c>
    </row>
    <row r="626" spans="1:13" x14ac:dyDescent="0.25">
      <c r="A626" t="s">
        <v>1055</v>
      </c>
      <c r="B626" t="s">
        <v>1056</v>
      </c>
    </row>
    <row r="627" spans="1:13" x14ac:dyDescent="0.25">
      <c r="A627" t="s">
        <v>1059</v>
      </c>
      <c r="B627" t="s">
        <v>47</v>
      </c>
      <c r="C627" t="s">
        <v>49</v>
      </c>
      <c r="D627" t="s">
        <v>71</v>
      </c>
      <c r="E627" t="s">
        <v>11</v>
      </c>
      <c r="F627" t="s">
        <v>67</v>
      </c>
      <c r="G627" t="s">
        <v>7</v>
      </c>
      <c r="H627" t="s">
        <v>61</v>
      </c>
      <c r="I627" t="s">
        <v>25</v>
      </c>
      <c r="J627" t="s">
        <v>73</v>
      </c>
      <c r="K627" t="s">
        <v>75</v>
      </c>
      <c r="L627" t="s">
        <v>57</v>
      </c>
      <c r="M627" t="s">
        <v>39</v>
      </c>
    </row>
    <row r="628" spans="1:13" x14ac:dyDescent="0.25">
      <c r="A628" t="s">
        <v>1061</v>
      </c>
      <c r="B628">
        <v>1</v>
      </c>
    </row>
    <row r="629" spans="1:13" x14ac:dyDescent="0.25">
      <c r="A629" t="s">
        <v>1062</v>
      </c>
      <c r="B629">
        <v>2</v>
      </c>
    </row>
    <row r="630" spans="1:13" x14ac:dyDescent="0.25">
      <c r="A630" t="s">
        <v>1063</v>
      </c>
      <c r="B630">
        <v>3</v>
      </c>
    </row>
    <row r="631" spans="1:13" x14ac:dyDescent="0.25">
      <c r="A631" t="s">
        <v>1064</v>
      </c>
      <c r="B631">
        <v>4</v>
      </c>
    </row>
    <row r="632" spans="1:13" x14ac:dyDescent="0.25">
      <c r="A632" t="s">
        <v>1065</v>
      </c>
      <c r="B632">
        <v>5</v>
      </c>
    </row>
    <row r="633" spans="1:13" x14ac:dyDescent="0.25">
      <c r="A633" t="s">
        <v>1066</v>
      </c>
      <c r="B633">
        <v>6</v>
      </c>
    </row>
    <row r="634" spans="1:13" x14ac:dyDescent="0.25">
      <c r="A634" t="s">
        <v>1067</v>
      </c>
      <c r="B634">
        <v>7</v>
      </c>
    </row>
    <row r="635" spans="1:13" x14ac:dyDescent="0.25">
      <c r="A635" t="s">
        <v>1068</v>
      </c>
      <c r="B635">
        <v>9</v>
      </c>
    </row>
    <row r="636" spans="1:13" x14ac:dyDescent="0.25">
      <c r="A636" t="s">
        <v>1069</v>
      </c>
      <c r="B636">
        <v>10</v>
      </c>
    </row>
    <row r="637" spans="1:13" x14ac:dyDescent="0.25">
      <c r="A637" t="s">
        <v>1070</v>
      </c>
      <c r="B637">
        <v>11</v>
      </c>
    </row>
    <row r="638" spans="1:13" x14ac:dyDescent="0.25">
      <c r="A638" t="s">
        <v>1071</v>
      </c>
      <c r="B638">
        <v>12</v>
      </c>
    </row>
    <row r="639" spans="1:13" x14ac:dyDescent="0.25">
      <c r="A639" t="s">
        <v>1072</v>
      </c>
      <c r="B639">
        <v>13</v>
      </c>
    </row>
    <row r="640" spans="1:13" x14ac:dyDescent="0.25">
      <c r="A640" t="s">
        <v>1074</v>
      </c>
      <c r="B640">
        <v>14</v>
      </c>
    </row>
    <row r="641" spans="1:2" x14ac:dyDescent="0.25">
      <c r="A641" t="s">
        <v>1076</v>
      </c>
      <c r="B641">
        <v>15</v>
      </c>
    </row>
    <row r="642" spans="1:2" x14ac:dyDescent="0.25">
      <c r="A642" t="s">
        <v>1077</v>
      </c>
      <c r="B642">
        <v>16</v>
      </c>
    </row>
    <row r="643" spans="1:2" x14ac:dyDescent="0.25">
      <c r="A643" t="s">
        <v>1078</v>
      </c>
      <c r="B643">
        <v>17</v>
      </c>
    </row>
    <row r="644" spans="1:2" x14ac:dyDescent="0.25">
      <c r="A644" t="s">
        <v>1079</v>
      </c>
      <c r="B644">
        <v>19</v>
      </c>
    </row>
    <row r="645" spans="1:2" x14ac:dyDescent="0.25">
      <c r="A645" t="s">
        <v>1080</v>
      </c>
      <c r="B645">
        <v>20</v>
      </c>
    </row>
    <row r="646" spans="1:2" x14ac:dyDescent="0.25">
      <c r="A646" t="s">
        <v>1081</v>
      </c>
      <c r="B646">
        <v>21</v>
      </c>
    </row>
    <row r="647" spans="1:2" x14ac:dyDescent="0.25">
      <c r="A647" t="s">
        <v>1082</v>
      </c>
      <c r="B647">
        <v>22</v>
      </c>
    </row>
    <row r="648" spans="1:2" x14ac:dyDescent="0.25">
      <c r="A648" t="s">
        <v>1083</v>
      </c>
      <c r="B648">
        <v>23</v>
      </c>
    </row>
    <row r="649" spans="1:2" x14ac:dyDescent="0.25">
      <c r="A649" t="s">
        <v>1084</v>
      </c>
      <c r="B649">
        <v>24</v>
      </c>
    </row>
    <row r="650" spans="1:2" x14ac:dyDescent="0.25">
      <c r="A650" t="s">
        <v>1085</v>
      </c>
      <c r="B650">
        <v>25</v>
      </c>
    </row>
    <row r="651" spans="1:2" x14ac:dyDescent="0.25">
      <c r="A651" t="s">
        <v>1086</v>
      </c>
      <c r="B651">
        <v>26</v>
      </c>
    </row>
    <row r="652" spans="1:2" x14ac:dyDescent="0.25">
      <c r="A652" t="s">
        <v>1087</v>
      </c>
      <c r="B652">
        <v>27</v>
      </c>
    </row>
    <row r="653" spans="1:2" x14ac:dyDescent="0.25">
      <c r="A653" t="s">
        <v>1089</v>
      </c>
      <c r="B653">
        <v>29</v>
      </c>
    </row>
    <row r="654" spans="1:2" x14ac:dyDescent="0.25">
      <c r="A654" t="s">
        <v>1091</v>
      </c>
      <c r="B654">
        <v>31</v>
      </c>
    </row>
    <row r="655" spans="1:2" x14ac:dyDescent="0.25">
      <c r="A655" t="s">
        <v>1093</v>
      </c>
      <c r="B655" t="s">
        <v>1094</v>
      </c>
    </row>
    <row r="656" spans="1:2" x14ac:dyDescent="0.25">
      <c r="A656" t="s">
        <v>1095</v>
      </c>
      <c r="B656" t="s">
        <v>1096</v>
      </c>
    </row>
    <row r="657" spans="1:10" x14ac:dyDescent="0.25">
      <c r="A657" t="s">
        <v>1097</v>
      </c>
      <c r="B657" t="s">
        <v>1098</v>
      </c>
    </row>
    <row r="658" spans="1:10" x14ac:dyDescent="0.25">
      <c r="A658" t="s">
        <v>1099</v>
      </c>
      <c r="B658" t="s">
        <v>1100</v>
      </c>
    </row>
    <row r="659" spans="1:10" x14ac:dyDescent="0.25">
      <c r="A659" t="s">
        <v>1101</v>
      </c>
      <c r="B659" t="s">
        <v>1102</v>
      </c>
    </row>
    <row r="660" spans="1:10" x14ac:dyDescent="0.25">
      <c r="A660" t="s">
        <v>1106</v>
      </c>
      <c r="B660" t="s">
        <v>67</v>
      </c>
      <c r="C660" t="s">
        <v>55</v>
      </c>
      <c r="D660" t="s">
        <v>37</v>
      </c>
      <c r="E660" t="s">
        <v>73</v>
      </c>
      <c r="F660" t="s">
        <v>25</v>
      </c>
      <c r="G660" t="s">
        <v>71</v>
      </c>
      <c r="H660" t="s">
        <v>61</v>
      </c>
      <c r="I660" t="s">
        <v>39</v>
      </c>
      <c r="J660" t="s">
        <v>57</v>
      </c>
    </row>
    <row r="661" spans="1:10" x14ac:dyDescent="0.25">
      <c r="A661" t="s">
        <v>1108</v>
      </c>
      <c r="B661">
        <v>1</v>
      </c>
    </row>
    <row r="662" spans="1:10" x14ac:dyDescent="0.25">
      <c r="A662" t="s">
        <v>1109</v>
      </c>
      <c r="B662">
        <v>2</v>
      </c>
    </row>
    <row r="663" spans="1:10" x14ac:dyDescent="0.25">
      <c r="A663" t="s">
        <v>1110</v>
      </c>
      <c r="B663">
        <v>3</v>
      </c>
    </row>
    <row r="664" spans="1:10" x14ac:dyDescent="0.25">
      <c r="A664" t="s">
        <v>1111</v>
      </c>
      <c r="B664">
        <v>4</v>
      </c>
    </row>
    <row r="665" spans="1:10" x14ac:dyDescent="0.25">
      <c r="A665" t="s">
        <v>1112</v>
      </c>
      <c r="B665">
        <v>5</v>
      </c>
    </row>
    <row r="666" spans="1:10" x14ac:dyDescent="0.25">
      <c r="A666" t="s">
        <v>1113</v>
      </c>
      <c r="B666">
        <v>6</v>
      </c>
    </row>
    <row r="667" spans="1:10" x14ac:dyDescent="0.25">
      <c r="A667" t="s">
        <v>1114</v>
      </c>
      <c r="B667">
        <v>7</v>
      </c>
    </row>
    <row r="668" spans="1:10" x14ac:dyDescent="0.25">
      <c r="A668" t="s">
        <v>1115</v>
      </c>
      <c r="B668">
        <v>9</v>
      </c>
    </row>
    <row r="669" spans="1:10" x14ac:dyDescent="0.25">
      <c r="A669" t="s">
        <v>1116</v>
      </c>
      <c r="B669">
        <v>10</v>
      </c>
    </row>
    <row r="670" spans="1:10" x14ac:dyDescent="0.25">
      <c r="A670" t="s">
        <v>1117</v>
      </c>
      <c r="B670">
        <v>11</v>
      </c>
    </row>
    <row r="671" spans="1:10" x14ac:dyDescent="0.25">
      <c r="A671" t="s">
        <v>1118</v>
      </c>
      <c r="B671">
        <v>12</v>
      </c>
    </row>
    <row r="672" spans="1:10" x14ac:dyDescent="0.25">
      <c r="A672" t="s">
        <v>1119</v>
      </c>
      <c r="B672">
        <v>13</v>
      </c>
    </row>
    <row r="673" spans="1:2" x14ac:dyDescent="0.25">
      <c r="A673" t="s">
        <v>1120</v>
      </c>
      <c r="B673">
        <v>14</v>
      </c>
    </row>
    <row r="674" spans="1:2" x14ac:dyDescent="0.25">
      <c r="A674" t="s">
        <v>1121</v>
      </c>
      <c r="B674">
        <v>15</v>
      </c>
    </row>
    <row r="675" spans="1:2" x14ac:dyDescent="0.25">
      <c r="A675" t="s">
        <v>1122</v>
      </c>
      <c r="B675">
        <v>16</v>
      </c>
    </row>
    <row r="676" spans="1:2" x14ac:dyDescent="0.25">
      <c r="A676" t="s">
        <v>1123</v>
      </c>
      <c r="B676">
        <v>17</v>
      </c>
    </row>
    <row r="677" spans="1:2" x14ac:dyDescent="0.25">
      <c r="A677" t="s">
        <v>1124</v>
      </c>
      <c r="B677">
        <v>19</v>
      </c>
    </row>
    <row r="678" spans="1:2" x14ac:dyDescent="0.25">
      <c r="A678" t="s">
        <v>1125</v>
      </c>
      <c r="B678">
        <v>20</v>
      </c>
    </row>
    <row r="679" spans="1:2" x14ac:dyDescent="0.25">
      <c r="A679" t="s">
        <v>1126</v>
      </c>
      <c r="B679">
        <v>21</v>
      </c>
    </row>
    <row r="680" spans="1:2" x14ac:dyDescent="0.25">
      <c r="A680" t="s">
        <v>1127</v>
      </c>
      <c r="B680">
        <v>22</v>
      </c>
    </row>
    <row r="681" spans="1:2" x14ac:dyDescent="0.25">
      <c r="A681" t="s">
        <v>1128</v>
      </c>
      <c r="B681">
        <v>23</v>
      </c>
    </row>
    <row r="682" spans="1:2" x14ac:dyDescent="0.25">
      <c r="A682" t="s">
        <v>1129</v>
      </c>
      <c r="B682">
        <v>24</v>
      </c>
    </row>
    <row r="683" spans="1:2" x14ac:dyDescent="0.25">
      <c r="A683" t="s">
        <v>1130</v>
      </c>
      <c r="B683">
        <v>25</v>
      </c>
    </row>
    <row r="684" spans="1:2" x14ac:dyDescent="0.25">
      <c r="A684" t="s">
        <v>1131</v>
      </c>
      <c r="B684">
        <v>26</v>
      </c>
    </row>
    <row r="685" spans="1:2" x14ac:dyDescent="0.25">
      <c r="A685" t="s">
        <v>1132</v>
      </c>
      <c r="B685">
        <v>27</v>
      </c>
    </row>
    <row r="686" spans="1:2" x14ac:dyDescent="0.25">
      <c r="A686" t="s">
        <v>1133</v>
      </c>
      <c r="B686">
        <v>29</v>
      </c>
    </row>
    <row r="687" spans="1:2" x14ac:dyDescent="0.25">
      <c r="A687" t="s">
        <v>1134</v>
      </c>
      <c r="B687">
        <v>30</v>
      </c>
    </row>
    <row r="688" spans="1:2" x14ac:dyDescent="0.25">
      <c r="A688" t="s">
        <v>1136</v>
      </c>
      <c r="B688" t="s">
        <v>1137</v>
      </c>
    </row>
    <row r="689" spans="1:10" x14ac:dyDescent="0.25">
      <c r="A689" t="s">
        <v>1138</v>
      </c>
      <c r="B689" t="s">
        <v>1139</v>
      </c>
    </row>
    <row r="690" spans="1:10" x14ac:dyDescent="0.25">
      <c r="A690" t="s">
        <v>1140</v>
      </c>
      <c r="B690" t="s">
        <v>1141</v>
      </c>
    </row>
    <row r="691" spans="1:10" x14ac:dyDescent="0.25">
      <c r="A691" t="s">
        <v>1142</v>
      </c>
      <c r="B691" t="s">
        <v>1143</v>
      </c>
    </row>
    <row r="692" spans="1:10" x14ac:dyDescent="0.25">
      <c r="A692" t="s">
        <v>1144</v>
      </c>
      <c r="B692" t="s">
        <v>1145</v>
      </c>
    </row>
    <row r="693" spans="1:10" x14ac:dyDescent="0.25">
      <c r="A693" t="s">
        <v>1146</v>
      </c>
      <c r="B693" t="s">
        <v>1147</v>
      </c>
    </row>
    <row r="694" spans="1:10" x14ac:dyDescent="0.25">
      <c r="A694" t="s">
        <v>1148</v>
      </c>
      <c r="B694" t="s">
        <v>1149</v>
      </c>
    </row>
    <row r="695" spans="1:10" x14ac:dyDescent="0.25">
      <c r="A695" t="s">
        <v>1150</v>
      </c>
      <c r="B695" t="s">
        <v>1151</v>
      </c>
    </row>
    <row r="696" spans="1:10" x14ac:dyDescent="0.25">
      <c r="A696" t="s">
        <v>1155</v>
      </c>
      <c r="B696" t="s">
        <v>67</v>
      </c>
      <c r="C696" t="s">
        <v>19</v>
      </c>
      <c r="D696" t="s">
        <v>71</v>
      </c>
      <c r="E696" t="s">
        <v>73</v>
      </c>
      <c r="F696" t="s">
        <v>25</v>
      </c>
      <c r="G696" t="s">
        <v>15</v>
      </c>
      <c r="H696" t="s">
        <v>39</v>
      </c>
      <c r="I696" t="s">
        <v>61</v>
      </c>
      <c r="J696" t="s">
        <v>57</v>
      </c>
    </row>
    <row r="697" spans="1:10" x14ac:dyDescent="0.25">
      <c r="A697" t="s">
        <v>1157</v>
      </c>
      <c r="B697">
        <v>1</v>
      </c>
    </row>
    <row r="698" spans="1:10" x14ac:dyDescent="0.25">
      <c r="A698" t="s">
        <v>1158</v>
      </c>
      <c r="B698">
        <v>2</v>
      </c>
    </row>
    <row r="699" spans="1:10" x14ac:dyDescent="0.25">
      <c r="A699" t="s">
        <v>1159</v>
      </c>
      <c r="B699">
        <v>3</v>
      </c>
    </row>
    <row r="700" spans="1:10" x14ac:dyDescent="0.25">
      <c r="A700" t="s">
        <v>1160</v>
      </c>
      <c r="B700">
        <v>4</v>
      </c>
    </row>
    <row r="701" spans="1:10" x14ac:dyDescent="0.25">
      <c r="A701" t="s">
        <v>1161</v>
      </c>
      <c r="B701">
        <v>5</v>
      </c>
    </row>
    <row r="702" spans="1:10" x14ac:dyDescent="0.25">
      <c r="A702" t="s">
        <v>1162</v>
      </c>
      <c r="B702">
        <v>6</v>
      </c>
    </row>
    <row r="703" spans="1:10" x14ac:dyDescent="0.25">
      <c r="A703" t="s">
        <v>1163</v>
      </c>
      <c r="B703">
        <v>7</v>
      </c>
    </row>
    <row r="704" spans="1:10" x14ac:dyDescent="0.25">
      <c r="A704" t="s">
        <v>1164</v>
      </c>
      <c r="B704">
        <v>9</v>
      </c>
    </row>
    <row r="705" spans="1:2" x14ac:dyDescent="0.25">
      <c r="A705" t="s">
        <v>1165</v>
      </c>
      <c r="B705">
        <v>10</v>
      </c>
    </row>
    <row r="706" spans="1:2" x14ac:dyDescent="0.25">
      <c r="A706" t="s">
        <v>1166</v>
      </c>
      <c r="B706">
        <v>11</v>
      </c>
    </row>
    <row r="707" spans="1:2" x14ac:dyDescent="0.25">
      <c r="A707" t="s">
        <v>1167</v>
      </c>
      <c r="B707">
        <v>12</v>
      </c>
    </row>
    <row r="708" spans="1:2" x14ac:dyDescent="0.25">
      <c r="A708" t="s">
        <v>1168</v>
      </c>
      <c r="B708">
        <v>13</v>
      </c>
    </row>
    <row r="709" spans="1:2" x14ac:dyDescent="0.25">
      <c r="A709" t="s">
        <v>1169</v>
      </c>
      <c r="B709">
        <v>14</v>
      </c>
    </row>
    <row r="710" spans="1:2" x14ac:dyDescent="0.25">
      <c r="A710" t="s">
        <v>1170</v>
      </c>
      <c r="B710">
        <v>15</v>
      </c>
    </row>
    <row r="711" spans="1:2" x14ac:dyDescent="0.25">
      <c r="A711" t="s">
        <v>1171</v>
      </c>
      <c r="B711">
        <v>16</v>
      </c>
    </row>
    <row r="712" spans="1:2" x14ac:dyDescent="0.25">
      <c r="A712" t="s">
        <v>1172</v>
      </c>
      <c r="B712">
        <v>17</v>
      </c>
    </row>
    <row r="713" spans="1:2" x14ac:dyDescent="0.25">
      <c r="A713" t="s">
        <v>1173</v>
      </c>
      <c r="B713">
        <v>19</v>
      </c>
    </row>
    <row r="714" spans="1:2" x14ac:dyDescent="0.25">
      <c r="A714" t="s">
        <v>1174</v>
      </c>
      <c r="B714">
        <v>20</v>
      </c>
    </row>
    <row r="715" spans="1:2" x14ac:dyDescent="0.25">
      <c r="A715" t="s">
        <v>1175</v>
      </c>
      <c r="B715">
        <v>21</v>
      </c>
    </row>
    <row r="716" spans="1:2" x14ac:dyDescent="0.25">
      <c r="A716" t="s">
        <v>1176</v>
      </c>
      <c r="B716">
        <v>22</v>
      </c>
    </row>
    <row r="717" spans="1:2" x14ac:dyDescent="0.25">
      <c r="A717" t="s">
        <v>1177</v>
      </c>
      <c r="B717">
        <v>23</v>
      </c>
    </row>
    <row r="718" spans="1:2" x14ac:dyDescent="0.25">
      <c r="A718" t="s">
        <v>1178</v>
      </c>
      <c r="B718">
        <v>24</v>
      </c>
    </row>
    <row r="719" spans="1:2" x14ac:dyDescent="0.25">
      <c r="A719" t="s">
        <v>1179</v>
      </c>
      <c r="B719">
        <v>25</v>
      </c>
    </row>
    <row r="720" spans="1:2" x14ac:dyDescent="0.25">
      <c r="A720" t="s">
        <v>1180</v>
      </c>
      <c r="B720">
        <v>26</v>
      </c>
    </row>
    <row r="721" spans="1:10" x14ac:dyDescent="0.25">
      <c r="A721" t="s">
        <v>1181</v>
      </c>
      <c r="B721">
        <v>27</v>
      </c>
    </row>
    <row r="722" spans="1:10" x14ac:dyDescent="0.25">
      <c r="A722" t="s">
        <v>1182</v>
      </c>
      <c r="B722">
        <v>29</v>
      </c>
    </row>
    <row r="723" spans="1:10" x14ac:dyDescent="0.25">
      <c r="A723" t="s">
        <v>1183</v>
      </c>
      <c r="B723">
        <v>30</v>
      </c>
    </row>
    <row r="724" spans="1:10" x14ac:dyDescent="0.25">
      <c r="A724" t="s">
        <v>1185</v>
      </c>
      <c r="B724" t="s">
        <v>1186</v>
      </c>
    </row>
    <row r="725" spans="1:10" x14ac:dyDescent="0.25">
      <c r="A725" t="s">
        <v>1187</v>
      </c>
      <c r="B725" t="s">
        <v>1188</v>
      </c>
    </row>
    <row r="726" spans="1:10" x14ac:dyDescent="0.25">
      <c r="A726" t="s">
        <v>1189</v>
      </c>
      <c r="B726" t="s">
        <v>1190</v>
      </c>
    </row>
    <row r="727" spans="1:10" x14ac:dyDescent="0.25">
      <c r="A727" t="s">
        <v>1191</v>
      </c>
      <c r="B727" t="s">
        <v>1192</v>
      </c>
    </row>
    <row r="728" spans="1:10" x14ac:dyDescent="0.25">
      <c r="A728" t="s">
        <v>1193</v>
      </c>
      <c r="B728" t="s">
        <v>1194</v>
      </c>
    </row>
    <row r="729" spans="1:10" x14ac:dyDescent="0.25">
      <c r="A729" t="s">
        <v>1198</v>
      </c>
      <c r="B729" t="s">
        <v>71</v>
      </c>
      <c r="C729" t="s">
        <v>73</v>
      </c>
      <c r="D729" t="s">
        <v>39</v>
      </c>
      <c r="E729" t="s">
        <v>15</v>
      </c>
      <c r="F729" t="s">
        <v>61</v>
      </c>
      <c r="G729" t="s">
        <v>25</v>
      </c>
      <c r="H729" t="s">
        <v>57</v>
      </c>
      <c r="I729" t="s">
        <v>19</v>
      </c>
      <c r="J729" t="s">
        <v>67</v>
      </c>
    </row>
    <row r="730" spans="1:10" x14ac:dyDescent="0.25">
      <c r="A730" t="s">
        <v>1200</v>
      </c>
      <c r="B730">
        <v>1</v>
      </c>
    </row>
    <row r="731" spans="1:10" x14ac:dyDescent="0.25">
      <c r="A731" t="s">
        <v>1201</v>
      </c>
      <c r="B731">
        <v>2</v>
      </c>
    </row>
    <row r="732" spans="1:10" x14ac:dyDescent="0.25">
      <c r="A732" t="s">
        <v>1202</v>
      </c>
      <c r="B732">
        <v>3</v>
      </c>
    </row>
    <row r="733" spans="1:10" x14ac:dyDescent="0.25">
      <c r="A733" t="s">
        <v>1203</v>
      </c>
      <c r="B733">
        <v>4</v>
      </c>
    </row>
    <row r="734" spans="1:10" x14ac:dyDescent="0.25">
      <c r="A734" t="s">
        <v>1204</v>
      </c>
      <c r="B734">
        <v>5</v>
      </c>
    </row>
    <row r="735" spans="1:10" x14ac:dyDescent="0.25">
      <c r="A735" t="s">
        <v>1205</v>
      </c>
      <c r="B735">
        <v>6</v>
      </c>
    </row>
    <row r="736" spans="1:10" x14ac:dyDescent="0.25">
      <c r="A736" t="s">
        <v>1206</v>
      </c>
      <c r="B736">
        <v>7</v>
      </c>
    </row>
    <row r="737" spans="1:2" x14ac:dyDescent="0.25">
      <c r="A737" t="s">
        <v>1207</v>
      </c>
      <c r="B737">
        <v>9</v>
      </c>
    </row>
    <row r="738" spans="1:2" x14ac:dyDescent="0.25">
      <c r="A738" t="s">
        <v>1208</v>
      </c>
      <c r="B738">
        <v>10</v>
      </c>
    </row>
    <row r="739" spans="1:2" x14ac:dyDescent="0.25">
      <c r="A739" t="s">
        <v>1209</v>
      </c>
      <c r="B739">
        <v>11</v>
      </c>
    </row>
    <row r="740" spans="1:2" x14ac:dyDescent="0.25">
      <c r="A740" t="s">
        <v>1210</v>
      </c>
      <c r="B740">
        <v>12</v>
      </c>
    </row>
    <row r="741" spans="1:2" x14ac:dyDescent="0.25">
      <c r="A741" t="s">
        <v>1211</v>
      </c>
      <c r="B741">
        <v>13</v>
      </c>
    </row>
    <row r="742" spans="1:2" x14ac:dyDescent="0.25">
      <c r="A742" t="s">
        <v>1212</v>
      </c>
      <c r="B742">
        <v>14</v>
      </c>
    </row>
    <row r="743" spans="1:2" x14ac:dyDescent="0.25">
      <c r="A743" t="s">
        <v>1213</v>
      </c>
      <c r="B743">
        <v>15</v>
      </c>
    </row>
    <row r="744" spans="1:2" x14ac:dyDescent="0.25">
      <c r="A744" t="s">
        <v>1214</v>
      </c>
      <c r="B744">
        <v>16</v>
      </c>
    </row>
    <row r="745" spans="1:2" x14ac:dyDescent="0.25">
      <c r="A745" t="s">
        <v>1215</v>
      </c>
      <c r="B745">
        <v>17</v>
      </c>
    </row>
    <row r="746" spans="1:2" x14ac:dyDescent="0.25">
      <c r="A746" t="s">
        <v>1216</v>
      </c>
      <c r="B746">
        <v>18</v>
      </c>
    </row>
    <row r="747" spans="1:2" x14ac:dyDescent="0.25">
      <c r="A747" t="s">
        <v>1217</v>
      </c>
      <c r="B747">
        <v>20</v>
      </c>
    </row>
    <row r="748" spans="1:2" x14ac:dyDescent="0.25">
      <c r="A748" t="s">
        <v>1218</v>
      </c>
      <c r="B748">
        <v>21</v>
      </c>
    </row>
    <row r="749" spans="1:2" x14ac:dyDescent="0.25">
      <c r="A749" t="s">
        <v>1219</v>
      </c>
      <c r="B749">
        <v>22</v>
      </c>
    </row>
    <row r="750" spans="1:2" x14ac:dyDescent="0.25">
      <c r="A750" t="s">
        <v>1220</v>
      </c>
      <c r="B750">
        <v>23</v>
      </c>
    </row>
    <row r="751" spans="1:2" x14ac:dyDescent="0.25">
      <c r="A751" t="s">
        <v>1221</v>
      </c>
      <c r="B751">
        <v>24</v>
      </c>
    </row>
    <row r="752" spans="1:2" x14ac:dyDescent="0.25">
      <c r="A752" t="s">
        <v>1222</v>
      </c>
      <c r="B752">
        <v>25</v>
      </c>
    </row>
    <row r="753" spans="1:11" x14ac:dyDescent="0.25">
      <c r="A753" t="s">
        <v>1223</v>
      </c>
      <c r="B753">
        <v>26</v>
      </c>
    </row>
    <row r="754" spans="1:11" x14ac:dyDescent="0.25">
      <c r="A754" t="s">
        <v>1224</v>
      </c>
      <c r="B754">
        <v>27</v>
      </c>
    </row>
    <row r="755" spans="1:11" x14ac:dyDescent="0.25">
      <c r="A755" t="s">
        <v>1225</v>
      </c>
      <c r="B755">
        <v>28</v>
      </c>
    </row>
    <row r="756" spans="1:11" x14ac:dyDescent="0.25">
      <c r="A756" t="s">
        <v>1226</v>
      </c>
      <c r="B756">
        <v>29</v>
      </c>
    </row>
    <row r="757" spans="1:11" x14ac:dyDescent="0.25">
      <c r="A757" t="s">
        <v>1227</v>
      </c>
      <c r="B757">
        <v>31</v>
      </c>
    </row>
    <row r="758" spans="1:11" x14ac:dyDescent="0.25">
      <c r="A758" t="s">
        <v>1228</v>
      </c>
      <c r="B758">
        <v>32</v>
      </c>
    </row>
    <row r="759" spans="1:11" x14ac:dyDescent="0.25">
      <c r="A759" t="s">
        <v>1229</v>
      </c>
      <c r="B759">
        <v>33</v>
      </c>
    </row>
    <row r="760" spans="1:11" x14ac:dyDescent="0.25">
      <c r="A760" t="s">
        <v>1231</v>
      </c>
      <c r="B760" t="s">
        <v>1232</v>
      </c>
    </row>
    <row r="761" spans="1:11" x14ac:dyDescent="0.25">
      <c r="A761" t="s">
        <v>1233</v>
      </c>
      <c r="B761" t="s">
        <v>1234</v>
      </c>
    </row>
    <row r="762" spans="1:11" x14ac:dyDescent="0.25">
      <c r="A762" t="s">
        <v>1235</v>
      </c>
      <c r="B762" t="s">
        <v>1236</v>
      </c>
    </row>
    <row r="763" spans="1:11" x14ac:dyDescent="0.25">
      <c r="A763" t="s">
        <v>1237</v>
      </c>
      <c r="B763" t="s">
        <v>1238</v>
      </c>
    </row>
    <row r="764" spans="1:11" x14ac:dyDescent="0.25">
      <c r="A764" t="s">
        <v>1239</v>
      </c>
      <c r="B764" t="s">
        <v>1240</v>
      </c>
    </row>
    <row r="765" spans="1:11" x14ac:dyDescent="0.25">
      <c r="A765" t="s">
        <v>1244</v>
      </c>
      <c r="B765" t="s">
        <v>71</v>
      </c>
      <c r="C765" t="s">
        <v>15</v>
      </c>
      <c r="D765" t="s">
        <v>25</v>
      </c>
      <c r="E765" t="s">
        <v>67</v>
      </c>
      <c r="F765" t="s">
        <v>73</v>
      </c>
      <c r="G765" t="s">
        <v>19</v>
      </c>
      <c r="H765" t="s">
        <v>37</v>
      </c>
      <c r="I765" t="s">
        <v>39</v>
      </c>
      <c r="J765" t="s">
        <v>61</v>
      </c>
      <c r="K765" t="s">
        <v>57</v>
      </c>
    </row>
    <row r="766" spans="1:11" x14ac:dyDescent="0.25">
      <c r="A766" t="s">
        <v>1246</v>
      </c>
      <c r="B766">
        <v>1</v>
      </c>
    </row>
    <row r="767" spans="1:11" x14ac:dyDescent="0.25">
      <c r="A767" t="s">
        <v>1247</v>
      </c>
      <c r="B767">
        <v>2</v>
      </c>
    </row>
    <row r="768" spans="1:11" x14ac:dyDescent="0.25">
      <c r="A768" t="s">
        <v>1248</v>
      </c>
      <c r="B768">
        <v>3</v>
      </c>
    </row>
    <row r="769" spans="1:2" x14ac:dyDescent="0.25">
      <c r="A769" t="s">
        <v>1249</v>
      </c>
      <c r="B769">
        <v>4</v>
      </c>
    </row>
    <row r="770" spans="1:2" x14ac:dyDescent="0.25">
      <c r="A770" t="s">
        <v>1250</v>
      </c>
      <c r="B770">
        <v>5</v>
      </c>
    </row>
    <row r="771" spans="1:2" x14ac:dyDescent="0.25">
      <c r="A771" t="s">
        <v>1251</v>
      </c>
      <c r="B771">
        <v>6</v>
      </c>
    </row>
    <row r="772" spans="1:2" x14ac:dyDescent="0.25">
      <c r="A772" t="s">
        <v>1252</v>
      </c>
      <c r="B772">
        <v>7</v>
      </c>
    </row>
    <row r="773" spans="1:2" x14ac:dyDescent="0.25">
      <c r="A773" t="s">
        <v>1253</v>
      </c>
      <c r="B773">
        <v>9</v>
      </c>
    </row>
    <row r="774" spans="1:2" x14ac:dyDescent="0.25">
      <c r="A774" t="s">
        <v>1254</v>
      </c>
      <c r="B774">
        <v>10</v>
      </c>
    </row>
    <row r="775" spans="1:2" x14ac:dyDescent="0.25">
      <c r="A775" t="s">
        <v>1255</v>
      </c>
      <c r="B775">
        <v>11</v>
      </c>
    </row>
    <row r="776" spans="1:2" x14ac:dyDescent="0.25">
      <c r="A776" t="s">
        <v>1256</v>
      </c>
      <c r="B776">
        <v>12</v>
      </c>
    </row>
    <row r="777" spans="1:2" x14ac:dyDescent="0.25">
      <c r="A777" t="s">
        <v>1257</v>
      </c>
      <c r="B777">
        <v>13</v>
      </c>
    </row>
    <row r="778" spans="1:2" x14ac:dyDescent="0.25">
      <c r="A778" t="s">
        <v>1258</v>
      </c>
      <c r="B778">
        <v>14</v>
      </c>
    </row>
    <row r="779" spans="1:2" x14ac:dyDescent="0.25">
      <c r="A779" t="s">
        <v>1259</v>
      </c>
      <c r="B779">
        <v>15</v>
      </c>
    </row>
    <row r="780" spans="1:2" x14ac:dyDescent="0.25">
      <c r="A780" t="s">
        <v>1260</v>
      </c>
      <c r="B780">
        <v>16</v>
      </c>
    </row>
    <row r="781" spans="1:2" x14ac:dyDescent="0.25">
      <c r="A781" t="s">
        <v>1261</v>
      </c>
      <c r="B781">
        <v>17</v>
      </c>
    </row>
    <row r="782" spans="1:2" x14ac:dyDescent="0.25">
      <c r="A782" t="s">
        <v>1262</v>
      </c>
      <c r="B782">
        <v>18</v>
      </c>
    </row>
    <row r="783" spans="1:2" x14ac:dyDescent="0.25">
      <c r="A783" t="s">
        <v>1263</v>
      </c>
      <c r="B783">
        <v>20</v>
      </c>
    </row>
    <row r="784" spans="1:2" x14ac:dyDescent="0.25">
      <c r="A784" t="s">
        <v>1264</v>
      </c>
      <c r="B784">
        <v>21</v>
      </c>
    </row>
    <row r="785" spans="1:2" x14ac:dyDescent="0.25">
      <c r="A785" t="s">
        <v>1265</v>
      </c>
      <c r="B785">
        <v>22</v>
      </c>
    </row>
    <row r="786" spans="1:2" x14ac:dyDescent="0.25">
      <c r="A786" t="s">
        <v>1266</v>
      </c>
      <c r="B786">
        <v>23</v>
      </c>
    </row>
    <row r="787" spans="1:2" x14ac:dyDescent="0.25">
      <c r="A787" t="s">
        <v>1267</v>
      </c>
      <c r="B787">
        <v>24</v>
      </c>
    </row>
    <row r="788" spans="1:2" x14ac:dyDescent="0.25">
      <c r="A788" t="s">
        <v>1268</v>
      </c>
      <c r="B788">
        <v>25</v>
      </c>
    </row>
    <row r="789" spans="1:2" x14ac:dyDescent="0.25">
      <c r="A789" t="s">
        <v>1269</v>
      </c>
      <c r="B789">
        <v>26</v>
      </c>
    </row>
    <row r="790" spans="1:2" x14ac:dyDescent="0.25">
      <c r="A790" t="s">
        <v>1270</v>
      </c>
      <c r="B790">
        <v>27</v>
      </c>
    </row>
    <row r="791" spans="1:2" x14ac:dyDescent="0.25">
      <c r="A791" t="s">
        <v>1271</v>
      </c>
      <c r="B791">
        <v>28</v>
      </c>
    </row>
    <row r="792" spans="1:2" x14ac:dyDescent="0.25">
      <c r="A792" t="s">
        <v>1272</v>
      </c>
      <c r="B792">
        <v>29</v>
      </c>
    </row>
    <row r="793" spans="1:2" x14ac:dyDescent="0.25">
      <c r="A793" t="s">
        <v>1273</v>
      </c>
      <c r="B793">
        <v>31</v>
      </c>
    </row>
    <row r="794" spans="1:2" x14ac:dyDescent="0.25">
      <c r="A794" t="s">
        <v>1274</v>
      </c>
      <c r="B794">
        <v>32</v>
      </c>
    </row>
    <row r="795" spans="1:2" x14ac:dyDescent="0.25">
      <c r="A795" t="s">
        <v>1275</v>
      </c>
      <c r="B795">
        <v>33</v>
      </c>
    </row>
    <row r="796" spans="1:2" x14ac:dyDescent="0.25">
      <c r="A796" t="s">
        <v>1277</v>
      </c>
      <c r="B796" t="s">
        <v>1278</v>
      </c>
    </row>
    <row r="797" spans="1:2" x14ac:dyDescent="0.25">
      <c r="A797" t="s">
        <v>1279</v>
      </c>
      <c r="B797" t="s">
        <v>1280</v>
      </c>
    </row>
    <row r="798" spans="1:2" x14ac:dyDescent="0.25">
      <c r="A798" t="s">
        <v>1281</v>
      </c>
      <c r="B798" t="s">
        <v>1282</v>
      </c>
    </row>
    <row r="799" spans="1:2" x14ac:dyDescent="0.25">
      <c r="A799" t="s">
        <v>1283</v>
      </c>
      <c r="B799" t="s">
        <v>1284</v>
      </c>
    </row>
    <row r="800" spans="1:2" x14ac:dyDescent="0.25">
      <c r="A800" t="s">
        <v>1285</v>
      </c>
      <c r="B800" t="s">
        <v>1286</v>
      </c>
    </row>
    <row r="801" spans="1:11" x14ac:dyDescent="0.25">
      <c r="A801" t="s">
        <v>1290</v>
      </c>
      <c r="B801" t="s">
        <v>19</v>
      </c>
      <c r="C801" t="s">
        <v>67</v>
      </c>
      <c r="D801" t="s">
        <v>37</v>
      </c>
      <c r="E801" t="s">
        <v>15</v>
      </c>
      <c r="F801" t="s">
        <v>25</v>
      </c>
      <c r="G801" t="s">
        <v>73</v>
      </c>
      <c r="H801" t="s">
        <v>71</v>
      </c>
      <c r="I801" t="s">
        <v>61</v>
      </c>
      <c r="J801" t="s">
        <v>39</v>
      </c>
      <c r="K801" t="s">
        <v>57</v>
      </c>
    </row>
    <row r="802" spans="1:11" x14ac:dyDescent="0.25">
      <c r="A802" t="s">
        <v>1292</v>
      </c>
      <c r="B802">
        <v>1</v>
      </c>
    </row>
    <row r="803" spans="1:11" x14ac:dyDescent="0.25">
      <c r="A803" t="s">
        <v>1293</v>
      </c>
      <c r="B803">
        <v>2</v>
      </c>
    </row>
    <row r="804" spans="1:11" x14ac:dyDescent="0.25">
      <c r="A804" t="s">
        <v>1294</v>
      </c>
      <c r="B804">
        <v>3</v>
      </c>
    </row>
    <row r="805" spans="1:11" x14ac:dyDescent="0.25">
      <c r="A805" t="s">
        <v>1295</v>
      </c>
      <c r="B805">
        <v>4</v>
      </c>
    </row>
    <row r="806" spans="1:11" x14ac:dyDescent="0.25">
      <c r="A806" t="s">
        <v>1296</v>
      </c>
      <c r="B806">
        <v>6</v>
      </c>
    </row>
    <row r="807" spans="1:11" x14ac:dyDescent="0.25">
      <c r="A807" t="s">
        <v>1297</v>
      </c>
      <c r="B807">
        <v>7</v>
      </c>
    </row>
    <row r="808" spans="1:11" x14ac:dyDescent="0.25">
      <c r="A808" t="s">
        <v>1298</v>
      </c>
      <c r="B808">
        <v>8</v>
      </c>
    </row>
    <row r="809" spans="1:11" x14ac:dyDescent="0.25">
      <c r="A809" t="s">
        <v>1299</v>
      </c>
      <c r="B809">
        <v>9</v>
      </c>
    </row>
    <row r="810" spans="1:11" x14ac:dyDescent="0.25">
      <c r="A810" t="s">
        <v>1300</v>
      </c>
      <c r="B810">
        <v>10</v>
      </c>
    </row>
    <row r="811" spans="1:11" x14ac:dyDescent="0.25">
      <c r="A811" t="s">
        <v>1301</v>
      </c>
      <c r="B811">
        <v>11</v>
      </c>
    </row>
    <row r="812" spans="1:11" x14ac:dyDescent="0.25">
      <c r="A812" t="s">
        <v>1302</v>
      </c>
      <c r="B812">
        <v>12</v>
      </c>
    </row>
    <row r="813" spans="1:11" x14ac:dyDescent="0.25">
      <c r="A813" t="s">
        <v>1303</v>
      </c>
      <c r="B813">
        <v>14</v>
      </c>
    </row>
    <row r="814" spans="1:11" x14ac:dyDescent="0.25">
      <c r="A814" t="s">
        <v>1304</v>
      </c>
      <c r="B814">
        <v>15</v>
      </c>
    </row>
    <row r="815" spans="1:11" x14ac:dyDescent="0.25">
      <c r="A815" t="s">
        <v>1305</v>
      </c>
      <c r="B815">
        <v>16</v>
      </c>
    </row>
    <row r="816" spans="1:11" x14ac:dyDescent="0.25">
      <c r="A816" t="s">
        <v>1306</v>
      </c>
      <c r="B816">
        <v>17</v>
      </c>
    </row>
    <row r="817" spans="1:8" x14ac:dyDescent="0.25">
      <c r="A817" t="s">
        <v>1307</v>
      </c>
      <c r="B817">
        <v>18</v>
      </c>
    </row>
    <row r="818" spans="1:8" x14ac:dyDescent="0.25">
      <c r="A818" t="s">
        <v>1308</v>
      </c>
      <c r="B818">
        <v>19</v>
      </c>
    </row>
    <row r="819" spans="1:8" x14ac:dyDescent="0.25">
      <c r="A819" t="s">
        <v>1309</v>
      </c>
      <c r="B819">
        <v>20</v>
      </c>
    </row>
    <row r="820" spans="1:8" x14ac:dyDescent="0.25">
      <c r="A820" t="s">
        <v>1310</v>
      </c>
      <c r="B820">
        <v>22</v>
      </c>
    </row>
    <row r="821" spans="1:8" x14ac:dyDescent="0.25">
      <c r="A821" t="s">
        <v>1312</v>
      </c>
      <c r="B821" t="s">
        <v>1313</v>
      </c>
    </row>
    <row r="822" spans="1:8" x14ac:dyDescent="0.25">
      <c r="A822" t="s">
        <v>1314</v>
      </c>
      <c r="B822" t="s">
        <v>1315</v>
      </c>
    </row>
    <row r="823" spans="1:8" x14ac:dyDescent="0.25">
      <c r="A823" t="s">
        <v>1316</v>
      </c>
      <c r="B823" t="s">
        <v>1317</v>
      </c>
    </row>
    <row r="824" spans="1:8" x14ac:dyDescent="0.25">
      <c r="A824" t="s">
        <v>1318</v>
      </c>
      <c r="B824" t="s">
        <v>1319</v>
      </c>
    </row>
    <row r="825" spans="1:8" x14ac:dyDescent="0.25">
      <c r="A825" t="s">
        <v>1320</v>
      </c>
      <c r="B825" t="s">
        <v>1321</v>
      </c>
    </row>
    <row r="826" spans="1:8" x14ac:dyDescent="0.25">
      <c r="A826" t="s">
        <v>1325</v>
      </c>
      <c r="B826" t="s">
        <v>73</v>
      </c>
      <c r="C826" t="s">
        <v>71</v>
      </c>
      <c r="D826" t="s">
        <v>25</v>
      </c>
      <c r="E826" t="s">
        <v>57</v>
      </c>
      <c r="F826" t="s">
        <v>61</v>
      </c>
      <c r="G826" t="s">
        <v>39</v>
      </c>
      <c r="H826" t="s">
        <v>83</v>
      </c>
    </row>
    <row r="827" spans="1:8" x14ac:dyDescent="0.25">
      <c r="A827" t="s">
        <v>1327</v>
      </c>
      <c r="B827">
        <v>1</v>
      </c>
    </row>
    <row r="828" spans="1:8" x14ac:dyDescent="0.25">
      <c r="A828" t="s">
        <v>1328</v>
      </c>
      <c r="B828">
        <v>2</v>
      </c>
    </row>
    <row r="829" spans="1:8" x14ac:dyDescent="0.25">
      <c r="A829" t="s">
        <v>1329</v>
      </c>
      <c r="B829">
        <v>3</v>
      </c>
    </row>
    <row r="830" spans="1:8" x14ac:dyDescent="0.25">
      <c r="A830" t="s">
        <v>1330</v>
      </c>
      <c r="B830">
        <v>4</v>
      </c>
    </row>
    <row r="831" spans="1:8" x14ac:dyDescent="0.25">
      <c r="A831" t="s">
        <v>1331</v>
      </c>
      <c r="B831">
        <v>5</v>
      </c>
    </row>
    <row r="832" spans="1:8" x14ac:dyDescent="0.25">
      <c r="A832" t="s">
        <v>1332</v>
      </c>
      <c r="B832">
        <v>6</v>
      </c>
    </row>
    <row r="833" spans="1:2" x14ac:dyDescent="0.25">
      <c r="A833" t="s">
        <v>1333</v>
      </c>
      <c r="B833">
        <v>8</v>
      </c>
    </row>
    <row r="834" spans="1:2" x14ac:dyDescent="0.25">
      <c r="A834" t="s">
        <v>1334</v>
      </c>
      <c r="B834">
        <v>9</v>
      </c>
    </row>
    <row r="835" spans="1:2" x14ac:dyDescent="0.25">
      <c r="A835" t="s">
        <v>1335</v>
      </c>
      <c r="B835">
        <v>10</v>
      </c>
    </row>
    <row r="836" spans="1:2" x14ac:dyDescent="0.25">
      <c r="A836" t="s">
        <v>1336</v>
      </c>
      <c r="B836">
        <v>11</v>
      </c>
    </row>
    <row r="837" spans="1:2" x14ac:dyDescent="0.25">
      <c r="A837" t="s">
        <v>1337</v>
      </c>
      <c r="B837">
        <v>12</v>
      </c>
    </row>
    <row r="838" spans="1:2" x14ac:dyDescent="0.25">
      <c r="A838" t="s">
        <v>1338</v>
      </c>
      <c r="B838">
        <v>13</v>
      </c>
    </row>
    <row r="839" spans="1:2" x14ac:dyDescent="0.25">
      <c r="A839" t="s">
        <v>1339</v>
      </c>
      <c r="B839">
        <v>14</v>
      </c>
    </row>
    <row r="840" spans="1:2" x14ac:dyDescent="0.25">
      <c r="A840" t="s">
        <v>1340</v>
      </c>
      <c r="B840">
        <v>15</v>
      </c>
    </row>
    <row r="841" spans="1:2" x14ac:dyDescent="0.25">
      <c r="A841" t="s">
        <v>1341</v>
      </c>
      <c r="B841">
        <v>17</v>
      </c>
    </row>
    <row r="842" spans="1:2" x14ac:dyDescent="0.25">
      <c r="A842" t="s">
        <v>1342</v>
      </c>
      <c r="B842">
        <v>18</v>
      </c>
    </row>
    <row r="843" spans="1:2" x14ac:dyDescent="0.25">
      <c r="A843" t="s">
        <v>1343</v>
      </c>
      <c r="B843">
        <v>19</v>
      </c>
    </row>
    <row r="844" spans="1:2" x14ac:dyDescent="0.25">
      <c r="A844" t="s">
        <v>1344</v>
      </c>
      <c r="B844">
        <v>20</v>
      </c>
    </row>
    <row r="845" spans="1:2" x14ac:dyDescent="0.25">
      <c r="A845" t="s">
        <v>1345</v>
      </c>
      <c r="B845">
        <v>21</v>
      </c>
    </row>
    <row r="846" spans="1:2" x14ac:dyDescent="0.25">
      <c r="A846" t="s">
        <v>1346</v>
      </c>
      <c r="B846">
        <v>22</v>
      </c>
    </row>
    <row r="847" spans="1:2" x14ac:dyDescent="0.25">
      <c r="A847" t="s">
        <v>1347</v>
      </c>
      <c r="B847">
        <v>23</v>
      </c>
    </row>
    <row r="848" spans="1:2" x14ac:dyDescent="0.25">
      <c r="A848" t="s">
        <v>1348</v>
      </c>
      <c r="B848">
        <v>24</v>
      </c>
    </row>
    <row r="849" spans="1:9" x14ac:dyDescent="0.25">
      <c r="A849" t="s">
        <v>1349</v>
      </c>
      <c r="B849">
        <v>26</v>
      </c>
    </row>
    <row r="850" spans="1:9" x14ac:dyDescent="0.25">
      <c r="A850" t="s">
        <v>1351</v>
      </c>
      <c r="B850" t="s">
        <v>1352</v>
      </c>
    </row>
    <row r="851" spans="1:9" x14ac:dyDescent="0.25">
      <c r="A851" t="s">
        <v>1353</v>
      </c>
      <c r="B851" t="s">
        <v>1354</v>
      </c>
    </row>
    <row r="852" spans="1:9" x14ac:dyDescent="0.25">
      <c r="A852" t="s">
        <v>1355</v>
      </c>
      <c r="B852" t="s">
        <v>1356</v>
      </c>
    </row>
    <row r="853" spans="1:9" x14ac:dyDescent="0.25">
      <c r="A853" t="s">
        <v>1357</v>
      </c>
      <c r="B853" t="s">
        <v>1358</v>
      </c>
    </row>
    <row r="854" spans="1:9" x14ac:dyDescent="0.25">
      <c r="A854" t="s">
        <v>1359</v>
      </c>
      <c r="B854" t="s">
        <v>1360</v>
      </c>
    </row>
    <row r="855" spans="1:9" x14ac:dyDescent="0.25">
      <c r="A855" t="s">
        <v>1361</v>
      </c>
      <c r="B855" t="s">
        <v>1362</v>
      </c>
    </row>
    <row r="856" spans="1:9" x14ac:dyDescent="0.25">
      <c r="A856" t="s">
        <v>1363</v>
      </c>
      <c r="B856" t="s">
        <v>1364</v>
      </c>
    </row>
    <row r="857" spans="1:9" x14ac:dyDescent="0.25">
      <c r="A857" t="s">
        <v>1365</v>
      </c>
      <c r="B857" t="s">
        <v>1366</v>
      </c>
    </row>
    <row r="858" spans="1:9" x14ac:dyDescent="0.25">
      <c r="A858" t="s">
        <v>1370</v>
      </c>
      <c r="B858" t="s">
        <v>57</v>
      </c>
      <c r="C858" t="s">
        <v>25</v>
      </c>
      <c r="D858" t="s">
        <v>61</v>
      </c>
      <c r="E858" t="s">
        <v>39</v>
      </c>
      <c r="F858" t="s">
        <v>73</v>
      </c>
      <c r="G858" t="s">
        <v>71</v>
      </c>
      <c r="H858" t="s">
        <v>67</v>
      </c>
      <c r="I858" t="s">
        <v>83</v>
      </c>
    </row>
    <row r="859" spans="1:9" x14ac:dyDescent="0.25">
      <c r="A859" t="s">
        <v>1372</v>
      </c>
      <c r="B859">
        <v>1</v>
      </c>
    </row>
    <row r="860" spans="1:9" x14ac:dyDescent="0.25">
      <c r="A860" t="s">
        <v>1373</v>
      </c>
      <c r="B860">
        <v>2</v>
      </c>
    </row>
    <row r="861" spans="1:9" x14ac:dyDescent="0.25">
      <c r="A861" t="s">
        <v>1374</v>
      </c>
      <c r="B861">
        <v>3</v>
      </c>
    </row>
    <row r="862" spans="1:9" x14ac:dyDescent="0.25">
      <c r="A862" t="s">
        <v>1375</v>
      </c>
      <c r="B862">
        <v>4</v>
      </c>
    </row>
    <row r="863" spans="1:9" x14ac:dyDescent="0.25">
      <c r="A863" t="s">
        <v>1376</v>
      </c>
      <c r="B863">
        <v>5</v>
      </c>
    </row>
    <row r="864" spans="1:9" x14ac:dyDescent="0.25">
      <c r="A864" t="s">
        <v>1377</v>
      </c>
      <c r="B864">
        <v>7</v>
      </c>
    </row>
    <row r="865" spans="1:2" x14ac:dyDescent="0.25">
      <c r="A865" t="s">
        <v>1378</v>
      </c>
      <c r="B865">
        <v>8</v>
      </c>
    </row>
    <row r="866" spans="1:2" x14ac:dyDescent="0.25">
      <c r="A866" t="s">
        <v>1379</v>
      </c>
      <c r="B866">
        <v>9</v>
      </c>
    </row>
    <row r="867" spans="1:2" x14ac:dyDescent="0.25">
      <c r="A867" t="s">
        <v>1380</v>
      </c>
      <c r="B867">
        <v>10</v>
      </c>
    </row>
    <row r="868" spans="1:2" x14ac:dyDescent="0.25">
      <c r="A868" t="s">
        <v>1381</v>
      </c>
      <c r="B868">
        <v>11</v>
      </c>
    </row>
    <row r="869" spans="1:2" x14ac:dyDescent="0.25">
      <c r="A869" t="s">
        <v>1382</v>
      </c>
      <c r="B869">
        <v>12</v>
      </c>
    </row>
    <row r="870" spans="1:2" x14ac:dyDescent="0.25">
      <c r="A870" t="s">
        <v>1383</v>
      </c>
      <c r="B870">
        <v>13</v>
      </c>
    </row>
    <row r="871" spans="1:2" x14ac:dyDescent="0.25">
      <c r="A871" t="s">
        <v>1385</v>
      </c>
      <c r="B871">
        <v>14</v>
      </c>
    </row>
    <row r="872" spans="1:2" x14ac:dyDescent="0.25">
      <c r="A872" t="s">
        <v>1386</v>
      </c>
      <c r="B872">
        <v>15</v>
      </c>
    </row>
    <row r="873" spans="1:2" x14ac:dyDescent="0.25">
      <c r="A873" t="s">
        <v>1387</v>
      </c>
      <c r="B873">
        <v>16</v>
      </c>
    </row>
    <row r="874" spans="1:2" x14ac:dyDescent="0.25">
      <c r="A874" t="s">
        <v>1388</v>
      </c>
      <c r="B874">
        <v>17</v>
      </c>
    </row>
    <row r="875" spans="1:2" x14ac:dyDescent="0.25">
      <c r="A875" t="s">
        <v>1389</v>
      </c>
      <c r="B875">
        <v>18</v>
      </c>
    </row>
    <row r="876" spans="1:2" x14ac:dyDescent="0.25">
      <c r="A876" t="s">
        <v>1390</v>
      </c>
      <c r="B876">
        <v>20</v>
      </c>
    </row>
    <row r="877" spans="1:2" x14ac:dyDescent="0.25">
      <c r="A877" t="s">
        <v>1391</v>
      </c>
      <c r="B877">
        <v>21</v>
      </c>
    </row>
    <row r="878" spans="1:2" x14ac:dyDescent="0.25">
      <c r="A878" t="s">
        <v>1392</v>
      </c>
      <c r="B878">
        <v>22</v>
      </c>
    </row>
    <row r="879" spans="1:2" x14ac:dyDescent="0.25">
      <c r="A879" t="s">
        <v>1393</v>
      </c>
      <c r="B879">
        <v>23</v>
      </c>
    </row>
    <row r="880" spans="1:2" x14ac:dyDescent="0.25">
      <c r="A880" t="s">
        <v>1394</v>
      </c>
      <c r="B880">
        <v>24</v>
      </c>
    </row>
    <row r="881" spans="1:2" x14ac:dyDescent="0.25">
      <c r="A881" t="s">
        <v>1395</v>
      </c>
      <c r="B881">
        <v>25</v>
      </c>
    </row>
    <row r="882" spans="1:2" x14ac:dyDescent="0.25">
      <c r="A882" t="s">
        <v>1396</v>
      </c>
      <c r="B882">
        <v>26</v>
      </c>
    </row>
    <row r="883" spans="1:2" x14ac:dyDescent="0.25">
      <c r="A883" t="s">
        <v>1397</v>
      </c>
      <c r="B883">
        <v>27</v>
      </c>
    </row>
    <row r="884" spans="1:2" x14ac:dyDescent="0.25">
      <c r="A884" t="s">
        <v>1398</v>
      </c>
      <c r="B884">
        <v>28</v>
      </c>
    </row>
    <row r="885" spans="1:2" x14ac:dyDescent="0.25">
      <c r="A885" t="s">
        <v>1399</v>
      </c>
      <c r="B885">
        <v>29</v>
      </c>
    </row>
    <row r="886" spans="1:2" x14ac:dyDescent="0.25">
      <c r="A886" t="s">
        <v>1400</v>
      </c>
      <c r="B886">
        <v>30</v>
      </c>
    </row>
    <row r="887" spans="1:2" x14ac:dyDescent="0.25">
      <c r="A887" t="s">
        <v>1401</v>
      </c>
      <c r="B887">
        <v>31</v>
      </c>
    </row>
    <row r="888" spans="1:2" x14ac:dyDescent="0.25">
      <c r="A888" t="s">
        <v>1402</v>
      </c>
      <c r="B888">
        <v>33</v>
      </c>
    </row>
    <row r="889" spans="1:2" x14ac:dyDescent="0.25">
      <c r="A889" t="s">
        <v>1403</v>
      </c>
      <c r="B889">
        <v>34</v>
      </c>
    </row>
    <row r="890" spans="1:2" x14ac:dyDescent="0.25">
      <c r="A890" t="s">
        <v>1404</v>
      </c>
      <c r="B890">
        <v>35</v>
      </c>
    </row>
    <row r="891" spans="1:2" x14ac:dyDescent="0.25">
      <c r="A891" t="s">
        <v>1406</v>
      </c>
      <c r="B891">
        <v>37</v>
      </c>
    </row>
    <row r="892" spans="1:2" x14ac:dyDescent="0.25">
      <c r="A892" t="s">
        <v>1407</v>
      </c>
      <c r="B892">
        <v>38</v>
      </c>
    </row>
    <row r="893" spans="1:2" x14ac:dyDescent="0.25">
      <c r="A893" t="s">
        <v>1408</v>
      </c>
      <c r="B893">
        <v>39</v>
      </c>
    </row>
    <row r="894" spans="1:2" x14ac:dyDescent="0.25">
      <c r="A894" t="s">
        <v>1410</v>
      </c>
      <c r="B894" t="s">
        <v>1411</v>
      </c>
    </row>
    <row r="895" spans="1:2" x14ac:dyDescent="0.25">
      <c r="A895" t="s">
        <v>1412</v>
      </c>
      <c r="B895" t="s">
        <v>1413</v>
      </c>
    </row>
    <row r="896" spans="1:2" x14ac:dyDescent="0.25">
      <c r="A896" t="s">
        <v>1414</v>
      </c>
      <c r="B896" t="s">
        <v>1415</v>
      </c>
    </row>
    <row r="897" spans="1:13" x14ac:dyDescent="0.25">
      <c r="A897" t="s">
        <v>1416</v>
      </c>
      <c r="B897" t="s">
        <v>1417</v>
      </c>
    </row>
    <row r="898" spans="1:13" x14ac:dyDescent="0.25">
      <c r="A898" t="s">
        <v>1418</v>
      </c>
      <c r="B898" t="s">
        <v>1419</v>
      </c>
    </row>
    <row r="899" spans="1:13" x14ac:dyDescent="0.25">
      <c r="A899" t="s">
        <v>1423</v>
      </c>
      <c r="B899" t="s">
        <v>47</v>
      </c>
      <c r="C899" t="s">
        <v>7</v>
      </c>
      <c r="D899" t="s">
        <v>71</v>
      </c>
      <c r="E899" t="s">
        <v>11</v>
      </c>
      <c r="F899" t="s">
        <v>45</v>
      </c>
      <c r="G899" t="s">
        <v>9</v>
      </c>
      <c r="H899" t="s">
        <v>61</v>
      </c>
      <c r="I899" t="s">
        <v>5</v>
      </c>
      <c r="J899" t="s">
        <v>25</v>
      </c>
      <c r="K899" t="s">
        <v>73</v>
      </c>
      <c r="L899" t="s">
        <v>39</v>
      </c>
      <c r="M899" t="s">
        <v>57</v>
      </c>
    </row>
    <row r="900" spans="1:13" x14ac:dyDescent="0.25">
      <c r="A900" t="s">
        <v>1425</v>
      </c>
      <c r="B900">
        <v>1</v>
      </c>
    </row>
    <row r="901" spans="1:13" x14ac:dyDescent="0.25">
      <c r="A901" t="s">
        <v>1426</v>
      </c>
      <c r="B901">
        <v>2</v>
      </c>
    </row>
    <row r="902" spans="1:13" x14ac:dyDescent="0.25">
      <c r="A902" t="s">
        <v>1427</v>
      </c>
      <c r="B902">
        <v>3</v>
      </c>
    </row>
    <row r="903" spans="1:13" x14ac:dyDescent="0.25">
      <c r="A903" t="s">
        <v>1428</v>
      </c>
      <c r="B903">
        <v>4</v>
      </c>
    </row>
    <row r="904" spans="1:13" x14ac:dyDescent="0.25">
      <c r="A904" t="s">
        <v>1429</v>
      </c>
      <c r="B904">
        <v>5</v>
      </c>
    </row>
    <row r="905" spans="1:13" x14ac:dyDescent="0.25">
      <c r="A905" t="s">
        <v>1430</v>
      </c>
      <c r="B905">
        <v>6</v>
      </c>
    </row>
    <row r="906" spans="1:13" x14ac:dyDescent="0.25">
      <c r="A906" t="s">
        <v>1431</v>
      </c>
      <c r="B906">
        <v>7</v>
      </c>
    </row>
    <row r="907" spans="1:13" x14ac:dyDescent="0.25">
      <c r="A907" t="s">
        <v>1432</v>
      </c>
      <c r="B907">
        <v>9</v>
      </c>
    </row>
    <row r="908" spans="1:13" x14ac:dyDescent="0.25">
      <c r="A908" t="s">
        <v>1433</v>
      </c>
      <c r="B908">
        <v>10</v>
      </c>
    </row>
    <row r="909" spans="1:13" x14ac:dyDescent="0.25">
      <c r="A909" t="s">
        <v>1434</v>
      </c>
      <c r="B909">
        <v>11</v>
      </c>
    </row>
    <row r="910" spans="1:13" x14ac:dyDescent="0.25">
      <c r="A910" t="s">
        <v>1435</v>
      </c>
      <c r="B910">
        <v>12</v>
      </c>
    </row>
    <row r="911" spans="1:13" x14ac:dyDescent="0.25">
      <c r="A911" t="s">
        <v>1436</v>
      </c>
      <c r="B911">
        <v>13</v>
      </c>
    </row>
    <row r="912" spans="1:13" x14ac:dyDescent="0.25">
      <c r="A912" t="s">
        <v>1437</v>
      </c>
      <c r="B912">
        <v>14</v>
      </c>
    </row>
    <row r="913" spans="1:2" x14ac:dyDescent="0.25">
      <c r="A913" t="s">
        <v>1439</v>
      </c>
      <c r="B913">
        <v>15</v>
      </c>
    </row>
    <row r="914" spans="1:2" x14ac:dyDescent="0.25">
      <c r="A914" t="s">
        <v>1440</v>
      </c>
      <c r="B914">
        <v>16</v>
      </c>
    </row>
    <row r="915" spans="1:2" x14ac:dyDescent="0.25">
      <c r="A915" t="s">
        <v>1441</v>
      </c>
      <c r="B915">
        <v>17</v>
      </c>
    </row>
    <row r="916" spans="1:2" x14ac:dyDescent="0.25">
      <c r="A916" t="s">
        <v>1442</v>
      </c>
      <c r="B916">
        <v>19</v>
      </c>
    </row>
    <row r="917" spans="1:2" x14ac:dyDescent="0.25">
      <c r="A917" t="s">
        <v>1443</v>
      </c>
      <c r="B917">
        <v>20</v>
      </c>
    </row>
    <row r="918" spans="1:2" x14ac:dyDescent="0.25">
      <c r="A918" t="s">
        <v>1444</v>
      </c>
      <c r="B918">
        <v>21</v>
      </c>
    </row>
    <row r="919" spans="1:2" x14ac:dyDescent="0.25">
      <c r="A919" t="s">
        <v>1445</v>
      </c>
      <c r="B919">
        <v>22</v>
      </c>
    </row>
    <row r="920" spans="1:2" x14ac:dyDescent="0.25">
      <c r="A920" t="s">
        <v>1446</v>
      </c>
      <c r="B920">
        <v>23</v>
      </c>
    </row>
    <row r="921" spans="1:2" x14ac:dyDescent="0.25">
      <c r="A921" t="s">
        <v>1447</v>
      </c>
      <c r="B921">
        <v>24</v>
      </c>
    </row>
    <row r="922" spans="1:2" x14ac:dyDescent="0.25">
      <c r="A922" t="s">
        <v>1448</v>
      </c>
      <c r="B922">
        <v>25</v>
      </c>
    </row>
    <row r="923" spans="1:2" x14ac:dyDescent="0.25">
      <c r="A923" t="s">
        <v>1449</v>
      </c>
      <c r="B923">
        <v>26</v>
      </c>
    </row>
    <row r="924" spans="1:2" x14ac:dyDescent="0.25">
      <c r="A924" t="s">
        <v>1450</v>
      </c>
      <c r="B924">
        <v>27</v>
      </c>
    </row>
    <row r="925" spans="1:2" x14ac:dyDescent="0.25">
      <c r="A925" t="s">
        <v>1451</v>
      </c>
      <c r="B925">
        <v>29</v>
      </c>
    </row>
    <row r="926" spans="1:2" x14ac:dyDescent="0.25">
      <c r="A926" t="s">
        <v>1453</v>
      </c>
      <c r="B926">
        <v>31</v>
      </c>
    </row>
    <row r="927" spans="1:2" x14ac:dyDescent="0.25">
      <c r="A927" t="s">
        <v>1455</v>
      </c>
      <c r="B927" t="s">
        <v>1456</v>
      </c>
    </row>
    <row r="928" spans="1:2" x14ac:dyDescent="0.25">
      <c r="A928" t="s">
        <v>1457</v>
      </c>
      <c r="B928" t="s">
        <v>1458</v>
      </c>
    </row>
    <row r="929" spans="1:10" x14ac:dyDescent="0.25">
      <c r="A929" t="s">
        <v>1459</v>
      </c>
      <c r="B929" t="s">
        <v>1460</v>
      </c>
    </row>
    <row r="930" spans="1:10" x14ac:dyDescent="0.25">
      <c r="A930" t="s">
        <v>1461</v>
      </c>
      <c r="B930" t="s">
        <v>1462</v>
      </c>
    </row>
    <row r="931" spans="1:10" x14ac:dyDescent="0.25">
      <c r="A931" t="s">
        <v>1463</v>
      </c>
      <c r="B931" t="s">
        <v>1464</v>
      </c>
    </row>
    <row r="932" spans="1:10" x14ac:dyDescent="0.25">
      <c r="A932" t="s">
        <v>1465</v>
      </c>
      <c r="B932" t="s">
        <v>1466</v>
      </c>
    </row>
    <row r="933" spans="1:10" x14ac:dyDescent="0.25">
      <c r="A933" t="s">
        <v>1467</v>
      </c>
      <c r="B933" t="s">
        <v>1468</v>
      </c>
    </row>
    <row r="934" spans="1:10" x14ac:dyDescent="0.25">
      <c r="A934" t="s">
        <v>1469</v>
      </c>
      <c r="B934" t="s">
        <v>1470</v>
      </c>
    </row>
    <row r="935" spans="1:10" x14ac:dyDescent="0.25">
      <c r="A935" t="s">
        <v>1474</v>
      </c>
      <c r="B93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5" t="s">
        <v>305</v>
      </c>
      <c r="B1" s="75"/>
      <c r="C1" s="75"/>
      <c r="D1" s="75"/>
      <c r="E1" s="75"/>
      <c r="G1" s="64" t="s">
        <v>2</v>
      </c>
      <c r="H1" s="64"/>
      <c r="I1" s="64"/>
      <c r="J1" s="64"/>
      <c r="K1" s="64"/>
      <c r="L1" s="64"/>
      <c r="M1" s="64"/>
      <c r="N1" s="64"/>
      <c r="P1" s="65" t="s">
        <v>3</v>
      </c>
      <c r="Q1" s="65"/>
      <c r="R1" s="65"/>
      <c r="S1" s="65"/>
      <c r="T1" s="65"/>
      <c r="U1" s="65"/>
      <c r="V1" s="65"/>
      <c r="W1" s="65"/>
    </row>
    <row r="2" spans="1:27" ht="30" customHeight="1" x14ac:dyDescent="0.25">
      <c r="A2" s="74" t="s">
        <v>97</v>
      </c>
      <c r="B2" s="72" t="s">
        <v>99</v>
      </c>
      <c r="C2" s="74" t="s">
        <v>275</v>
      </c>
      <c r="D2" s="72" t="s">
        <v>101</v>
      </c>
      <c r="E2" s="74" t="s">
        <v>103</v>
      </c>
      <c r="G2" s="72" t="s">
        <v>279</v>
      </c>
      <c r="H2" s="74" t="s">
        <v>26</v>
      </c>
      <c r="I2" s="72" t="s">
        <v>282</v>
      </c>
      <c r="J2" s="73" t="s">
        <v>284</v>
      </c>
      <c r="K2" s="73"/>
      <c r="L2" s="73"/>
      <c r="M2" s="72" t="s">
        <v>118</v>
      </c>
      <c r="N2" s="74" t="s">
        <v>120</v>
      </c>
      <c r="P2" s="72" t="s">
        <v>279</v>
      </c>
      <c r="Q2" s="74" t="s">
        <v>26</v>
      </c>
      <c r="R2" s="72" t="s">
        <v>282</v>
      </c>
      <c r="S2" s="73" t="s">
        <v>284</v>
      </c>
      <c r="T2" s="73"/>
      <c r="U2" s="73"/>
      <c r="V2" s="72" t="s">
        <v>118</v>
      </c>
      <c r="W2" s="74" t="s">
        <v>120</v>
      </c>
      <c r="Y2" s="76" t="s">
        <v>301</v>
      </c>
      <c r="Z2" s="76"/>
      <c r="AA2" s="76"/>
    </row>
    <row r="3" spans="1:27" x14ac:dyDescent="0.25">
      <c r="A3" s="74"/>
      <c r="B3" s="72"/>
      <c r="C3" s="74"/>
      <c r="D3" s="72"/>
      <c r="E3" s="74"/>
      <c r="G3" s="72"/>
      <c r="H3" s="74"/>
      <c r="I3" s="72"/>
      <c r="J3" s="16" t="s">
        <v>285</v>
      </c>
      <c r="K3" s="16" t="s">
        <v>287</v>
      </c>
      <c r="L3" s="16" t="s">
        <v>289</v>
      </c>
      <c r="M3" s="72"/>
      <c r="N3" s="74"/>
      <c r="P3" s="72"/>
      <c r="Q3" s="74"/>
      <c r="R3" s="72"/>
      <c r="S3" s="16" t="s">
        <v>285</v>
      </c>
      <c r="T3" s="16" t="s">
        <v>287</v>
      </c>
      <c r="U3" s="16" t="s">
        <v>289</v>
      </c>
      <c r="V3" s="72"/>
      <c r="W3" s="74"/>
      <c r="Y3" s="17" t="s">
        <v>285</v>
      </c>
      <c r="Z3" s="17" t="s">
        <v>287</v>
      </c>
      <c r="AA3" s="17" t="s">
        <v>289</v>
      </c>
    </row>
    <row r="4" spans="1:27" collapsed="1"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collapsed="1"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collapsed="1"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collapsed="1"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collapsed="1"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collapsed="1"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collapsed="1"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collapsed="1"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collapsed="1"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5" t="s">
        <v>423</v>
      </c>
      <c r="B1" s="75"/>
      <c r="C1" s="75"/>
      <c r="D1" s="75"/>
      <c r="E1" s="75"/>
      <c r="G1" s="64" t="s">
        <v>2</v>
      </c>
      <c r="H1" s="64"/>
      <c r="I1" s="64"/>
      <c r="J1" s="64"/>
      <c r="K1" s="64"/>
      <c r="L1" s="64"/>
      <c r="M1" s="64"/>
      <c r="N1" s="64"/>
      <c r="O1" s="64"/>
      <c r="P1" s="64"/>
      <c r="Q1" s="64"/>
      <c r="R1" s="64"/>
      <c r="S1" s="64"/>
      <c r="T1" s="64"/>
      <c r="U1" s="64"/>
      <c r="V1" s="64"/>
      <c r="W1" s="64"/>
      <c r="X1" s="64"/>
      <c r="Y1" s="64"/>
      <c r="AA1" s="65" t="s">
        <v>3</v>
      </c>
      <c r="AB1" s="65"/>
      <c r="AC1" s="65"/>
      <c r="AD1" s="65"/>
      <c r="AE1" s="65"/>
      <c r="AF1" s="65"/>
      <c r="AG1" s="65"/>
      <c r="AH1" s="65"/>
      <c r="AI1" s="65"/>
      <c r="AJ1" s="65"/>
      <c r="AK1" s="65"/>
      <c r="AL1" s="65"/>
      <c r="AM1" s="65"/>
      <c r="AN1" s="65"/>
      <c r="AO1" s="65"/>
      <c r="AP1" s="65"/>
      <c r="AQ1" s="65"/>
      <c r="AR1" s="65"/>
      <c r="AS1" s="65"/>
    </row>
    <row r="2" spans="1:62" ht="30" customHeight="1" x14ac:dyDescent="0.25">
      <c r="A2" s="74" t="s">
        <v>97</v>
      </c>
      <c r="B2" s="72" t="s">
        <v>99</v>
      </c>
      <c r="C2" s="74" t="s">
        <v>275</v>
      </c>
      <c r="D2" s="72" t="s">
        <v>101</v>
      </c>
      <c r="E2" s="74" t="s">
        <v>103</v>
      </c>
      <c r="G2" s="72" t="s">
        <v>105</v>
      </c>
      <c r="H2" s="73" t="s">
        <v>107</v>
      </c>
      <c r="I2" s="73"/>
      <c r="J2" s="73"/>
      <c r="K2" s="72" t="s">
        <v>112</v>
      </c>
      <c r="L2" s="74" t="s">
        <v>26</v>
      </c>
      <c r="M2" s="76" t="s">
        <v>115</v>
      </c>
      <c r="N2" s="76"/>
      <c r="O2" s="76"/>
      <c r="P2" s="73" t="s">
        <v>374</v>
      </c>
      <c r="Q2" s="73"/>
      <c r="R2" s="76" t="s">
        <v>284</v>
      </c>
      <c r="S2" s="76"/>
      <c r="T2" s="76"/>
      <c r="U2" s="73" t="s">
        <v>382</v>
      </c>
      <c r="V2" s="73"/>
      <c r="W2" s="73"/>
      <c r="X2" s="72" t="s">
        <v>118</v>
      </c>
      <c r="Y2" s="74" t="s">
        <v>120</v>
      </c>
      <c r="AA2" s="72" t="s">
        <v>105</v>
      </c>
      <c r="AB2" s="73" t="s">
        <v>107</v>
      </c>
      <c r="AC2" s="73"/>
      <c r="AD2" s="73"/>
      <c r="AE2" s="72" t="s">
        <v>112</v>
      </c>
      <c r="AF2" s="74" t="s">
        <v>26</v>
      </c>
      <c r="AG2" s="76" t="s">
        <v>115</v>
      </c>
      <c r="AH2" s="76"/>
      <c r="AI2" s="76"/>
      <c r="AJ2" s="73" t="s">
        <v>374</v>
      </c>
      <c r="AK2" s="73"/>
      <c r="AL2" s="76" t="s">
        <v>284</v>
      </c>
      <c r="AM2" s="76"/>
      <c r="AN2" s="76"/>
      <c r="AO2" s="73" t="s">
        <v>382</v>
      </c>
      <c r="AP2" s="73"/>
      <c r="AQ2" s="73"/>
      <c r="AR2" s="72" t="s">
        <v>118</v>
      </c>
      <c r="AS2" s="74" t="s">
        <v>120</v>
      </c>
      <c r="AU2" s="72" t="s">
        <v>133</v>
      </c>
      <c r="AV2" s="74" t="s">
        <v>133</v>
      </c>
      <c r="AX2" s="76" t="s">
        <v>409</v>
      </c>
      <c r="AY2" s="76"/>
      <c r="AZ2" s="73" t="s">
        <v>412</v>
      </c>
      <c r="BA2" s="73"/>
      <c r="BB2" s="73"/>
      <c r="BD2" s="76" t="s">
        <v>301</v>
      </c>
      <c r="BE2" s="76"/>
      <c r="BF2" s="76"/>
      <c r="BH2" s="73" t="s">
        <v>419</v>
      </c>
      <c r="BI2" s="73"/>
      <c r="BJ2" s="73"/>
    </row>
    <row r="3" spans="1:62" x14ac:dyDescent="0.25">
      <c r="A3" s="74"/>
      <c r="B3" s="72"/>
      <c r="C3" s="74"/>
      <c r="D3" s="72"/>
      <c r="E3" s="74"/>
      <c r="G3" s="72"/>
      <c r="H3" s="16" t="s">
        <v>108</v>
      </c>
      <c r="I3" s="16" t="s">
        <v>110</v>
      </c>
      <c r="J3" s="16" t="s">
        <v>366</v>
      </c>
      <c r="K3" s="72"/>
      <c r="L3" s="74"/>
      <c r="M3" s="17" t="s">
        <v>108</v>
      </c>
      <c r="N3" s="17" t="s">
        <v>110</v>
      </c>
      <c r="O3" s="17" t="s">
        <v>372</v>
      </c>
      <c r="P3" s="16" t="s">
        <v>375</v>
      </c>
      <c r="Q3" s="16" t="s">
        <v>377</v>
      </c>
      <c r="R3" s="17" t="s">
        <v>285</v>
      </c>
      <c r="S3" s="17" t="s">
        <v>287</v>
      </c>
      <c r="T3" s="17" t="s">
        <v>289</v>
      </c>
      <c r="U3" s="16" t="s">
        <v>285</v>
      </c>
      <c r="V3" s="16" t="s">
        <v>287</v>
      </c>
      <c r="W3" s="16" t="s">
        <v>289</v>
      </c>
      <c r="X3" s="72"/>
      <c r="Y3" s="74"/>
      <c r="AA3" s="72"/>
      <c r="AB3" s="16" t="s">
        <v>108</v>
      </c>
      <c r="AC3" s="16" t="s">
        <v>110</v>
      </c>
      <c r="AD3" s="16" t="s">
        <v>366</v>
      </c>
      <c r="AE3" s="72"/>
      <c r="AF3" s="74"/>
      <c r="AG3" s="17" t="s">
        <v>108</v>
      </c>
      <c r="AH3" s="17" t="s">
        <v>110</v>
      </c>
      <c r="AI3" s="17" t="s">
        <v>372</v>
      </c>
      <c r="AJ3" s="16" t="s">
        <v>375</v>
      </c>
      <c r="AK3" s="16" t="s">
        <v>377</v>
      </c>
      <c r="AL3" s="17" t="s">
        <v>285</v>
      </c>
      <c r="AM3" s="17" t="s">
        <v>287</v>
      </c>
      <c r="AN3" s="17" t="s">
        <v>289</v>
      </c>
      <c r="AO3" s="16" t="s">
        <v>285</v>
      </c>
      <c r="AP3" s="16" t="s">
        <v>287</v>
      </c>
      <c r="AQ3" s="16" t="s">
        <v>289</v>
      </c>
      <c r="AR3" s="72"/>
      <c r="AS3" s="74"/>
      <c r="AU3" s="72"/>
      <c r="AV3" s="74"/>
      <c r="AX3" s="17" t="s">
        <v>375</v>
      </c>
      <c r="AY3" s="17" t="s">
        <v>377</v>
      </c>
      <c r="AZ3" s="16" t="s">
        <v>285</v>
      </c>
      <c r="BA3" s="16" t="s">
        <v>287</v>
      </c>
      <c r="BB3" s="16" t="s">
        <v>289</v>
      </c>
      <c r="BD3" s="17" t="s">
        <v>285</v>
      </c>
      <c r="BE3" s="17" t="s">
        <v>287</v>
      </c>
      <c r="BF3" s="17" t="s">
        <v>289</v>
      </c>
      <c r="BH3" s="16" t="s">
        <v>285</v>
      </c>
      <c r="BI3" s="16" t="s">
        <v>287</v>
      </c>
      <c r="BJ3" s="16" t="s">
        <v>289</v>
      </c>
    </row>
    <row r="4" spans="1:62" collapsed="1"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collapsed="1"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collapsed="1"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collapsed="1"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collapsed="1"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collapsed="1"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70" zoomScaleNormal="70" workbookViewId="0">
      <pane xSplit="2" topLeftCell="C1" activePane="topRight" state="frozen"/>
      <selection pane="topRight" activeCell="D34" sqref="D34"/>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5" t="s">
        <v>549</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25">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75" thickBot="1" x14ac:dyDescent="0.3">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25">
      <c r="A4" s="18" t="s">
        <v>566</v>
      </c>
      <c r="B4" s="18" t="s">
        <v>554</v>
      </c>
      <c r="C4" s="18">
        <v>238146391</v>
      </c>
      <c r="D4" s="19">
        <v>10</v>
      </c>
      <c r="E4" s="19">
        <v>32</v>
      </c>
      <c r="F4" s="19">
        <v>30</v>
      </c>
      <c r="H4" s="20">
        <f>IF(ISBLANK(M4),"·",M4/(C4*D4*3))</f>
        <v>6.398045589809785E-3</v>
      </c>
      <c r="I4" s="55">
        <f>IF(OR(ISBLANK(M4),ISBLANK(F4)),"·",M4*F4/E4/1000000)</f>
        <v>42.853259999999999</v>
      </c>
      <c r="J4" s="21">
        <f>IF(ISBLANK(M4),"·",M4/C4)</f>
        <v>0.19194136769429354</v>
      </c>
      <c r="K4" s="21">
        <f>IF(ISBLANK(M4),"·",M4/L4)</f>
        <v>1.2651638305884818</v>
      </c>
      <c r="L4" s="22">
        <v>36129822</v>
      </c>
      <c r="M4" s="23">
        <v>45710144</v>
      </c>
      <c r="N4" s="49" t="s">
        <v>1476</v>
      </c>
      <c r="O4" s="49" t="s">
        <v>1476</v>
      </c>
      <c r="P4" s="24">
        <v>162.96</v>
      </c>
      <c r="Q4" s="24">
        <v>983.10199999999998</v>
      </c>
      <c r="R4" s="24">
        <v>2.234</v>
      </c>
      <c r="S4" s="24">
        <v>8.4570000000000007</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32</v>
      </c>
      <c r="F5" s="26">
        <v>30</v>
      </c>
      <c r="H5" s="27">
        <f>IF(ISBLANK(M5),"·",M5/(C5*D5*3))</f>
        <v>8.0465462720346447E-3</v>
      </c>
      <c r="I5" s="56">
        <f>IF(OR(ISBLANK(M5),ISBLANK(F5)),"·",M5*F5/E5/1000000)</f>
        <v>49.362825000000001</v>
      </c>
      <c r="J5" s="28">
        <f>IF(ISBLANK(M5),"·",M5/C5)</f>
        <v>0.24139638816103937</v>
      </c>
      <c r="K5" s="28">
        <f>IF(ISBLANK(M5),"·",M5/L5)</f>
        <v>1.646561054375872</v>
      </c>
      <c r="L5" s="29">
        <v>31977970</v>
      </c>
      <c r="M5" s="30">
        <v>52653680</v>
      </c>
      <c r="N5" s="51" t="s">
        <v>1476</v>
      </c>
      <c r="O5" s="51" t="s">
        <v>1476</v>
      </c>
      <c r="P5" s="31">
        <v>182.60300000000001</v>
      </c>
      <c r="Q5" s="31">
        <v>970.68299999999999</v>
      </c>
      <c r="R5" s="31">
        <v>1.796</v>
      </c>
      <c r="S5" s="31">
        <v>8.2140000000000004</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32</v>
      </c>
      <c r="F6" s="19">
        <v>30</v>
      </c>
      <c r="H6" s="20">
        <f>IF(ISBLANK(M6),"·",M6/(C6*D6*3))</f>
        <v>7.8647147399347871E-3</v>
      </c>
      <c r="I6" s="55">
        <f>IF(OR(ISBLANK(M6),ISBLANK(F6)),"·",M6*F6/E6/1000000)</f>
        <v>71.355262499999995</v>
      </c>
      <c r="J6" s="21">
        <f>IF(ISBLANK(M6),"·",M6/C6)</f>
        <v>0.23594144219804361</v>
      </c>
      <c r="K6" s="21">
        <f>IF(ISBLANK(M6),"·",M6/L6)</f>
        <v>1.6055246788603854</v>
      </c>
      <c r="L6" s="22">
        <v>47406484</v>
      </c>
      <c r="M6" s="23">
        <v>76112280</v>
      </c>
      <c r="N6" s="49" t="s">
        <v>1476</v>
      </c>
      <c r="O6" s="49" t="s">
        <v>1476</v>
      </c>
      <c r="P6" s="24">
        <v>248.779</v>
      </c>
      <c r="Q6" s="24">
        <v>1133.7</v>
      </c>
      <c r="R6" s="24">
        <v>2.7839999999999998</v>
      </c>
      <c r="S6" s="24">
        <v>10.436999999999999</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32</v>
      </c>
      <c r="F7" s="33">
        <v>50</v>
      </c>
      <c r="H7" s="34">
        <f>IF(ISBLANK(M7),"·",M7/(C7*D7*3))</f>
        <v>7.7885996933690603E-3</v>
      </c>
      <c r="I7" s="57">
        <f>IF(OR(ISBLANK(M7),ISBLANK(F7)),"·",M7*F7/E7/1000000)</f>
        <v>91.492762499999998</v>
      </c>
      <c r="J7" s="35">
        <f>IF(ISBLANK(M7),"·",M7/C7)</f>
        <v>0.2336579908010718</v>
      </c>
      <c r="K7" s="35">
        <f>IF(ISBLANK(M7),"·",M7/L7)</f>
        <v>1.5326521164351807</v>
      </c>
      <c r="L7" s="36">
        <v>38205257</v>
      </c>
      <c r="M7" s="37">
        <v>58555368</v>
      </c>
      <c r="N7" s="53" t="s">
        <v>1476</v>
      </c>
      <c r="O7" s="53" t="s">
        <v>1476</v>
      </c>
      <c r="P7" s="38">
        <v>270.66199999999998</v>
      </c>
      <c r="Q7" s="38">
        <v>1115.45</v>
      </c>
      <c r="R7" s="38">
        <v>2.3690000000000002</v>
      </c>
      <c r="S7" s="38">
        <v>9.7530000000000001</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32</v>
      </c>
      <c r="F8" s="40">
        <v>30</v>
      </c>
      <c r="H8" s="41">
        <f>IF(ISBLANK(M8),"·",M8/(C8*D8*3))</f>
        <v>7.0896268941211043E-3</v>
      </c>
      <c r="I8" s="58">
        <f>IF(OR(ISBLANK(M8),ISBLANK(F8)),"·",M8*F8/E8/1000000)</f>
        <v>49.907677499999998</v>
      </c>
      <c r="J8" s="42">
        <f>IF(ISBLANK(M8),"·",M8/C8)</f>
        <v>0.21268880682363311</v>
      </c>
      <c r="K8" s="42">
        <f>IF(ISBLANK(M8),"·",M8/L8)</f>
        <v>1.4870898961752286</v>
      </c>
      <c r="L8" s="43">
        <v>35798008</v>
      </c>
      <c r="M8" s="44">
        <v>53234856</v>
      </c>
      <c r="N8" s="59" t="s">
        <v>1476</v>
      </c>
      <c r="O8" s="59" t="s">
        <v>1476</v>
      </c>
      <c r="P8" s="45">
        <v>209.476</v>
      </c>
      <c r="Q8" s="45">
        <v>987.93700000000001</v>
      </c>
      <c r="R8" s="45">
        <v>2.2440000000000002</v>
      </c>
      <c r="S8" s="45">
        <v>8.5890000000000004</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0.2257342972136121</v>
      </c>
      <c r="W9" s="47" t="e">
        <f>AVERAGE(W4:W7)</f>
        <v>#DIV/0!</v>
      </c>
      <c r="AH9" s="6" t="e">
        <f t="shared" si="0"/>
        <v>#DIV/0!</v>
      </c>
    </row>
    <row r="10" spans="1:34" x14ac:dyDescent="0.25">
      <c r="B10" s="46" t="s">
        <v>572</v>
      </c>
      <c r="J10" s="47">
        <f>AVERAGE(J8:J8)</f>
        <v>0.21268880682363311</v>
      </c>
      <c r="W10" s="47" t="e">
        <f>AVERAGE(W8:W8)</f>
        <v>#DIV/0!</v>
      </c>
      <c r="AH10" s="6" t="e">
        <f t="shared" si="0"/>
        <v>#DIV/0!</v>
      </c>
    </row>
    <row r="11" spans="1:34" collapsed="1" x14ac:dyDescent="0.25">
      <c r="B11" s="46" t="s">
        <v>258</v>
      </c>
      <c r="J11" s="47">
        <f>AVERAGE(J4:J7,J8:J8)</f>
        <v>0.22312519913561629</v>
      </c>
      <c r="W11" s="47" t="e">
        <f>AVERAGE(W4:W7,W8:W8)</f>
        <v>#DIV/0!</v>
      </c>
      <c r="AH11" s="6" t="e">
        <f t="shared" si="0"/>
        <v>#DIV/0!</v>
      </c>
    </row>
    <row r="12" spans="1:34" hidden="1" outlineLevel="2" x14ac:dyDescent="0.25">
      <c r="A12" s="46" t="s">
        <v>259</v>
      </c>
      <c r="B12" s="46" t="s">
        <v>260</v>
      </c>
      <c r="P12" s="48">
        <f>SUM(P4:P7,P8:P8)</f>
        <v>1074.48</v>
      </c>
      <c r="Q12" s="48">
        <f>SUM(Q4:Q7,Q8:Q8)</f>
        <v>5190.8719999999994</v>
      </c>
      <c r="R12" s="48">
        <f>SUM(R4:R7,R8:R8)</f>
        <v>11.427</v>
      </c>
      <c r="S12" s="48">
        <f>SUM(S4:S7,S8:S8)</f>
        <v>45.449999999999996</v>
      </c>
      <c r="AC12" s="48">
        <f>SUM(AC4:AC7,AC8:AC8)</f>
        <v>0</v>
      </c>
      <c r="AD12" s="48">
        <f>SUM(AD4:AD7,AD8:AD8)</f>
        <v>0</v>
      </c>
      <c r="AE12" s="48">
        <f>SUM(AE4:AE7,AE8:AE8)</f>
        <v>0</v>
      </c>
      <c r="AF12" s="48">
        <f>SUM(AF4:AF7,AF8:AF8)</f>
        <v>0</v>
      </c>
    </row>
    <row r="13" spans="1:34" hidden="1" outlineLevel="2" x14ac:dyDescent="0.25">
      <c r="B13" s="46" t="s">
        <v>261</v>
      </c>
      <c r="AC13" s="6">
        <f>AC12/P12</f>
        <v>0</v>
      </c>
      <c r="AD13" s="6">
        <f>AD12/Q12</f>
        <v>0</v>
      </c>
      <c r="AE13" s="6">
        <f>AE12/R12</f>
        <v>0</v>
      </c>
      <c r="AF13" s="6">
        <f>AF12/S12</f>
        <v>0</v>
      </c>
    </row>
    <row r="14" spans="1:34" hidden="1" outlineLevel="2" x14ac:dyDescent="0.25">
      <c r="B14" s="46" t="s">
        <v>262</v>
      </c>
      <c r="P14" s="48">
        <f>GEOMEAN(P4:P7,P8:P8)</f>
        <v>211.15085299913434</v>
      </c>
      <c r="Q14" s="48">
        <f>GEOMEAN(Q4:Q7,Q8:Q8)</f>
        <v>1035.787586157991</v>
      </c>
      <c r="R14" s="48">
        <f>GEOMEAN(R4:R7,R8:R8)</f>
        <v>2.2632333239688558</v>
      </c>
      <c r="S14" s="48">
        <f>GEOMEAN(S4:S7,S8:S8)</f>
        <v>9.050769567589029</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5"/>
  <sheetViews>
    <sheetView zoomScale="40" zoomScaleNormal="40" workbookViewId="0">
      <pane xSplit="2" topLeftCell="C1" activePane="topRight" state="frozen"/>
      <selection pane="topRight" activeCell="O4" sqref="O4:AB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5" t="s">
        <v>635</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4"/>
      <c r="BC3" s="72"/>
      <c r="BD3" s="74"/>
    </row>
    <row r="4" spans="1:56" collapsed="1" x14ac:dyDescent="0.25">
      <c r="A4" s="18" t="s">
        <v>566</v>
      </c>
      <c r="B4" s="18" t="s">
        <v>554</v>
      </c>
      <c r="C4" s="18">
        <v>238146391</v>
      </c>
      <c r="D4" s="19">
        <v>10</v>
      </c>
      <c r="E4" s="19">
        <v>32</v>
      </c>
      <c r="F4" s="19">
        <v>30</v>
      </c>
      <c r="H4" s="20">
        <f>IF(ISBLANK(P4),"·",P4/(C4*D4*3))</f>
        <v>3.3898645140500998E-2</v>
      </c>
      <c r="I4" s="55">
        <f>IF(OR(ISBLANK(P4),ISBLANK(F4)),"·",P4*F4/E4/1000000)</f>
        <v>227.04862499999999</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v>205.703</v>
      </c>
      <c r="Z4" s="24">
        <v>5643.69</v>
      </c>
      <c r="AA4" s="24">
        <v>2.5339999999999998</v>
      </c>
      <c r="AB4" s="24">
        <v>22.876999999999999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45709888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32</v>
      </c>
      <c r="F5" s="26">
        <v>30</v>
      </c>
      <c r="H5" s="27">
        <f>IF(ISBLANK(P5),"·",P5/(C5*D5*3))</f>
        <v>4.8821852939935122E-2</v>
      </c>
      <c r="I5" s="56">
        <f>IF(OR(ISBLANK(P5),ISBLANK(F5)),"·",P5*F5/E5/1000000)</f>
        <v>299.50546500000002</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v>221.79900000000001</v>
      </c>
      <c r="Z5" s="31">
        <v>5435.29</v>
      </c>
      <c r="AA5" s="31">
        <v>2.0979999999999999</v>
      </c>
      <c r="AB5" s="31">
        <v>24.326000000000001</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52653424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32</v>
      </c>
      <c r="F6" s="19">
        <v>30</v>
      </c>
      <c r="H6" s="20">
        <f>IF(ISBLANK(P6),"·",P6/(C6*D6*3))</f>
        <v>4.0289431349406407E-2</v>
      </c>
      <c r="I6" s="55">
        <f>IF(OR(ISBLANK(P6),ISBLANK(F6)),"·",P6*F6/E6/1000000)</f>
        <v>365.53937999999999</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v>304.60300000000001</v>
      </c>
      <c r="Z6" s="24">
        <v>7353.13</v>
      </c>
      <c r="AA6" s="24">
        <v>3.2280000000000002</v>
      </c>
      <c r="AB6" s="24">
        <v>29.093</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76112024</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32</v>
      </c>
      <c r="F7" s="33">
        <v>50</v>
      </c>
      <c r="H7" s="34">
        <f>IF(ISBLANK(P7),"·",P7/(C7*D7*3))</f>
        <v>4.0066522616452979E-2</v>
      </c>
      <c r="I7" s="57">
        <f>IF(OR(ISBLANK(P7),ISBLANK(F7)),"·",P7*F7/E7/1000000)</f>
        <v>470.66186249999998</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v>320.63099999999997</v>
      </c>
      <c r="Z7" s="38">
        <v>5920.67</v>
      </c>
      <c r="AA7" s="38">
        <v>2.7989999999999999</v>
      </c>
      <c r="AB7" s="38">
        <v>26.356000000000002</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58555112</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32</v>
      </c>
      <c r="F8" s="40">
        <v>30</v>
      </c>
      <c r="H8" s="41">
        <f>IF(ISBLANK(P8),"·",P8/(C8*D8*3))</f>
        <v>5.6079328157410936E-2</v>
      </c>
      <c r="I8" s="58">
        <f>IF(OR(ISBLANK(P8),ISBLANK(F8)),"·",P8*F8/E8/1000000)</f>
        <v>394.7724</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v>251.23500000000001</v>
      </c>
      <c r="Z8" s="45">
        <v>6394.87</v>
      </c>
      <c r="AA8" s="45">
        <v>2.5840000000000001</v>
      </c>
      <c r="AB8" s="45">
        <v>26.817</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53234600</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1.2230733903472162</v>
      </c>
      <c r="AF9" s="47" t="e">
        <f>AVERAGE(AF4:AF7)</f>
        <v>#DIV/0!</v>
      </c>
      <c r="BB9" s="6" t="e">
        <f t="shared" si="0"/>
        <v>#DIV/0!</v>
      </c>
      <c r="BD9" s="6" t="e">
        <f>AVERAGE(BD4:BD7)</f>
        <v>#VALUE!</v>
      </c>
    </row>
    <row r="10" spans="1:56" x14ac:dyDescent="0.25">
      <c r="B10" s="46" t="s">
        <v>572</v>
      </c>
      <c r="J10" s="47">
        <f>AVERAGE(J8:J8)</f>
        <v>1.6823798447223279</v>
      </c>
      <c r="AF10" s="47" t="e">
        <f>AVERAGE(AF8:AF8)</f>
        <v>#DIV/0!</v>
      </c>
      <c r="BB10" s="6" t="e">
        <f t="shared" si="0"/>
        <v>#DIV/0!</v>
      </c>
      <c r="BD10" s="6" t="e">
        <f>AVERAGE(BD8:BD8)</f>
        <v>#VALUE!</v>
      </c>
    </row>
    <row r="11" spans="1:56" x14ac:dyDescent="0.25">
      <c r="B11" s="46" t="s">
        <v>258</v>
      </c>
      <c r="J11" s="47">
        <f>AVERAGE(J4:J7,J8:J8)</f>
        <v>1.3149346812222384</v>
      </c>
      <c r="AF11" s="47" t="e">
        <f>AVERAGE(AF4:AF7,AF8:AF8)</f>
        <v>#DIV/0!</v>
      </c>
      <c r="BB11" s="6" t="e">
        <f t="shared" si="0"/>
        <v>#DIV/0!</v>
      </c>
      <c r="BD11" s="6" t="e">
        <f>AVERAGE(BD4:BD7,BD8:BD8)</f>
        <v>#VALUE!</v>
      </c>
    </row>
    <row r="12" spans="1:56" hidden="1" outlineLevel="2" x14ac:dyDescent="0.25">
      <c r="A12" s="46" t="s">
        <v>259</v>
      </c>
      <c r="B12" s="46" t="s">
        <v>260</v>
      </c>
      <c r="Y12" s="48">
        <f>SUM(Y4:Y7,Y8:Y8)</f>
        <v>1303.971</v>
      </c>
      <c r="Z12" s="48">
        <f>SUM(Z4:Z7,Z8:Z8)</f>
        <v>30747.649999999998</v>
      </c>
      <c r="AA12" s="48">
        <f>SUM(AA4:AA7,AA8:AA8)</f>
        <v>13.242999999999999</v>
      </c>
      <c r="AB12" s="48">
        <f>SUM(AB4:AB7,AB8:AB8)</f>
        <v>129.46900000000002</v>
      </c>
      <c r="AU12" s="48">
        <f>SUM(AU4:AU7,AU8:AU8)</f>
        <v>0</v>
      </c>
      <c r="AV12" s="48">
        <f>SUM(AV4:AV7,AV8:AV8)</f>
        <v>0</v>
      </c>
      <c r="AW12" s="48">
        <f>SUM(AW4:AW7,AW8:AW8)</f>
        <v>0</v>
      </c>
      <c r="AX12" s="48">
        <f>SUM(AX4:AX7,AX8:AX8)</f>
        <v>0</v>
      </c>
    </row>
    <row r="13" spans="1:56" hidden="1" outlineLevel="2" x14ac:dyDescent="0.25">
      <c r="B13" s="46" t="s">
        <v>261</v>
      </c>
      <c r="AU13" s="6">
        <f>AU12/Y12</f>
        <v>0</v>
      </c>
      <c r="AV13" s="6">
        <f>AV12/Z12</f>
        <v>0</v>
      </c>
      <c r="AW13" s="6">
        <f>AW12/AA12</f>
        <v>0</v>
      </c>
      <c r="AX13" s="6">
        <f>AX12/AB12</f>
        <v>0</v>
      </c>
    </row>
    <row r="14" spans="1:56" hidden="1" outlineLevel="2" x14ac:dyDescent="0.25">
      <c r="B14" s="46" t="s">
        <v>262</v>
      </c>
      <c r="Y14" s="48">
        <f>GEOMEAN(Y4:Y7,Y8:Y8)</f>
        <v>256.92360512592018</v>
      </c>
      <c r="Z14" s="48">
        <f>GEOMEAN(Z4:Z7,Z8:Z8)</f>
        <v>6113.5312748250726</v>
      </c>
      <c r="AA14" s="48">
        <f>GEOMEAN(AA4:AA7,AA8:AA8)</f>
        <v>2.6228183028528549</v>
      </c>
      <c r="AB14" s="48">
        <f>GEOMEAN(AB4:AB7,AB8:AB8)</f>
        <v>25.805340532584417</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35"/>
  <sheetViews>
    <sheetView zoomScale="85" zoomScaleNormal="85" workbookViewId="0">
      <pane xSplit="2" topLeftCell="M1" activePane="topRight" state="frozen"/>
      <selection pane="topRight" activeCell="O4" sqref="O4:AD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5" t="s">
        <v>723</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3</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32</v>
      </c>
      <c r="G4" s="19">
        <v>30</v>
      </c>
      <c r="I4" s="55">
        <f t="shared" ref="I4:I28" si="0">IF(OR(ISBLANK(R4),ISBLANK(G4)),"·",R4*G4/F4/1000000)</f>
        <v>2.3273475000000001</v>
      </c>
      <c r="J4" s="21">
        <f t="shared" ref="J4:J28" si="1">IF(ISBLANK(R4),"·",R4/D4)</f>
        <v>1.0424277225347497E-2</v>
      </c>
      <c r="K4" s="21">
        <f t="shared" ref="K4:K28" si="2">IF(BC4="","·",BC4/D4)</f>
        <v>6.3327434594631334E-3</v>
      </c>
      <c r="L4" s="21">
        <f t="shared" ref="L4:L28" si="3">IF(S4="","·",S4/D4)</f>
        <v>3.5987612342191656E-3</v>
      </c>
      <c r="M4" s="21">
        <f t="shared" ref="M4:M28" si="4">IF(ISBLANK(U4),"·",U4/D4)</f>
        <v>4.0904587968330786E-3</v>
      </c>
      <c r="N4" s="21">
        <f t="shared" ref="N4:N28" si="5">IF(ISBLANK(R4),"·",R4/O4)</f>
        <v>6.4659318219703291E-2</v>
      </c>
      <c r="O4" s="22">
        <v>38393600</v>
      </c>
      <c r="P4" s="22">
        <v>1199800</v>
      </c>
      <c r="Q4" s="22">
        <v>508250.65625</v>
      </c>
      <c r="R4" s="23">
        <v>2482504</v>
      </c>
      <c r="S4" s="23">
        <v>857032</v>
      </c>
      <c r="T4" s="23">
        <v>651088</v>
      </c>
      <c r="U4" s="23">
        <v>974128</v>
      </c>
      <c r="V4" s="49">
        <v>66.253784374999995</v>
      </c>
      <c r="W4" s="49">
        <v>68.155709375000001</v>
      </c>
      <c r="X4" s="49">
        <v>32.218981249999999</v>
      </c>
      <c r="Y4" s="49">
        <v>44.237709375000001</v>
      </c>
      <c r="Z4" s="49">
        <v>43.960390625000002</v>
      </c>
      <c r="AA4" s="24">
        <v>482.30399999999997</v>
      </c>
      <c r="AB4" s="24">
        <v>1319.52</v>
      </c>
      <c r="AC4" s="24">
        <v>301.14999999999998</v>
      </c>
      <c r="AD4" s="24">
        <v>25.408000000000001</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1508120</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25">
      <c r="A5" s="25"/>
      <c r="B5" s="25"/>
      <c r="C5" s="26" t="s">
        <v>311</v>
      </c>
      <c r="D5" s="25">
        <v>238146391</v>
      </c>
      <c r="E5" s="26">
        <v>10</v>
      </c>
      <c r="F5" s="26">
        <v>32</v>
      </c>
      <c r="G5" s="26">
        <v>30</v>
      </c>
      <c r="I5" s="56">
        <f t="shared" si="0"/>
        <v>3.6924975</v>
      </c>
      <c r="J5" s="28">
        <f t="shared" si="1"/>
        <v>1.6538835560182812E-2</v>
      </c>
      <c r="K5" s="28">
        <f t="shared" si="2"/>
        <v>7.9220516090038086E-3</v>
      </c>
      <c r="L5" s="28">
        <f t="shared" si="3"/>
        <v>5.1880693837598408E-3</v>
      </c>
      <c r="M5" s="28">
        <f t="shared" si="4"/>
        <v>8.6157089821277191E-3</v>
      </c>
      <c r="N5" s="28">
        <f t="shared" si="5"/>
        <v>0.10258647274545758</v>
      </c>
      <c r="O5" s="29">
        <v>38393600</v>
      </c>
      <c r="P5" s="29">
        <v>1199800</v>
      </c>
      <c r="Q5" s="29">
        <v>459961.78125</v>
      </c>
      <c r="R5" s="30">
        <v>3938664</v>
      </c>
      <c r="S5" s="30">
        <v>1235520</v>
      </c>
      <c r="T5" s="30">
        <v>651088</v>
      </c>
      <c r="U5" s="30">
        <v>2051800</v>
      </c>
      <c r="V5" s="51">
        <v>67.993778125000006</v>
      </c>
      <c r="W5" s="51">
        <v>70.104934374999999</v>
      </c>
      <c r="X5" s="51">
        <v>34.467840625000001</v>
      </c>
      <c r="Y5" s="51">
        <v>45.477253124999997</v>
      </c>
      <c r="Z5" s="51">
        <v>45.488743749999998</v>
      </c>
      <c r="AA5" s="31">
        <v>484.72800000000001</v>
      </c>
      <c r="AB5" s="31">
        <v>1407.97</v>
      </c>
      <c r="AC5" s="31">
        <v>304.67200000000003</v>
      </c>
      <c r="AD5" s="31">
        <v>25.335999999999999</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1886608</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25">
      <c r="A6" s="18"/>
      <c r="B6" s="18"/>
      <c r="C6" s="19" t="s">
        <v>312</v>
      </c>
      <c r="D6" s="18">
        <v>238146391</v>
      </c>
      <c r="E6" s="19">
        <v>10</v>
      </c>
      <c r="F6" s="19">
        <v>32</v>
      </c>
      <c r="G6" s="19">
        <v>30</v>
      </c>
      <c r="I6" s="55">
        <f t="shared" si="0"/>
        <v>6.1459124999999997</v>
      </c>
      <c r="J6" s="21">
        <f t="shared" si="1"/>
        <v>2.752777387250013E-2</v>
      </c>
      <c r="K6" s="21">
        <f t="shared" si="2"/>
        <v>1.023091716724777E-2</v>
      </c>
      <c r="L6" s="21">
        <f t="shared" si="3"/>
        <v>7.4969349420038033E-3</v>
      </c>
      <c r="M6" s="21">
        <f t="shared" si="4"/>
        <v>1.7295781736201075E-2</v>
      </c>
      <c r="N6" s="21">
        <f t="shared" si="5"/>
        <v>0.17074824970828473</v>
      </c>
      <c r="O6" s="22">
        <v>38393600</v>
      </c>
      <c r="P6" s="22">
        <v>1199800</v>
      </c>
      <c r="Q6" s="22">
        <v>407488.78125</v>
      </c>
      <c r="R6" s="23">
        <v>6555640</v>
      </c>
      <c r="S6" s="23">
        <v>1785368</v>
      </c>
      <c r="T6" s="23">
        <v>651088</v>
      </c>
      <c r="U6" s="23">
        <v>4118928</v>
      </c>
      <c r="V6" s="49">
        <v>69.338753124999997</v>
      </c>
      <c r="W6" s="49">
        <v>71.811459374999998</v>
      </c>
      <c r="X6" s="49">
        <v>36.975740625</v>
      </c>
      <c r="Y6" s="49">
        <v>46.691356249999998</v>
      </c>
      <c r="Z6" s="49">
        <v>46.701371875</v>
      </c>
      <c r="AA6" s="24">
        <v>485.77100000000002</v>
      </c>
      <c r="AB6" s="24">
        <v>1516.56</v>
      </c>
      <c r="AC6" s="24">
        <v>307.35399999999998</v>
      </c>
      <c r="AD6" s="24">
        <v>26.19</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2436456</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25">
      <c r="A7" s="25"/>
      <c r="B7" s="25"/>
      <c r="C7" s="26" t="s">
        <v>313</v>
      </c>
      <c r="D7" s="25">
        <v>238146391</v>
      </c>
      <c r="E7" s="26">
        <v>10</v>
      </c>
      <c r="F7" s="26">
        <v>32</v>
      </c>
      <c r="G7" s="26">
        <v>30</v>
      </c>
      <c r="I7" s="56">
        <f t="shared" si="0"/>
        <v>10.7783625</v>
      </c>
      <c r="J7" s="28">
        <f t="shared" si="1"/>
        <v>4.8276692129254228E-2</v>
      </c>
      <c r="K7" s="28">
        <f t="shared" si="2"/>
        <v>1.4129796323472313E-2</v>
      </c>
      <c r="L7" s="28">
        <f t="shared" si="3"/>
        <v>1.1395814098228346E-2</v>
      </c>
      <c r="M7" s="28">
        <f t="shared" si="4"/>
        <v>3.414582083673063E-2</v>
      </c>
      <c r="N7" s="28">
        <f t="shared" si="5"/>
        <v>0.29944886647774627</v>
      </c>
      <c r="O7" s="29">
        <v>38393600</v>
      </c>
      <c r="P7" s="29">
        <v>1199800</v>
      </c>
      <c r="Q7" s="29">
        <v>412398.34375</v>
      </c>
      <c r="R7" s="30">
        <v>11496920</v>
      </c>
      <c r="S7" s="30">
        <v>2713872</v>
      </c>
      <c r="T7" s="30">
        <v>651088</v>
      </c>
      <c r="U7" s="30">
        <v>8131704</v>
      </c>
      <c r="V7" s="51">
        <v>70.602696875000007</v>
      </c>
      <c r="W7" s="51">
        <v>73.491174999999998</v>
      </c>
      <c r="X7" s="51">
        <v>39.564253125</v>
      </c>
      <c r="Y7" s="51">
        <v>48.07433125</v>
      </c>
      <c r="Z7" s="51">
        <v>48.284962499999999</v>
      </c>
      <c r="AA7" s="31">
        <v>483.654</v>
      </c>
      <c r="AB7" s="31">
        <v>1680.47</v>
      </c>
      <c r="AC7" s="31">
        <v>307.67599999999999</v>
      </c>
      <c r="AD7" s="31">
        <v>27.245999999999999</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3364960</v>
      </c>
      <c r="BD7" s="25" t="str">
        <f t="shared" si="13"/>
        <v/>
      </c>
      <c r="BE7" s="27" t="e">
        <f t="shared" si="14"/>
        <v>#DIV/0!</v>
      </c>
      <c r="BF7" s="27" t="e">
        <f t="shared" si="15"/>
        <v>#VALUE!</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32</v>
      </c>
      <c r="G8" s="40">
        <v>30</v>
      </c>
      <c r="I8" s="58">
        <f t="shared" si="0"/>
        <v>19.694579999999998</v>
      </c>
      <c r="J8" s="42">
        <f t="shared" si="1"/>
        <v>8.8212766575160903E-2</v>
      </c>
      <c r="K8" s="42">
        <f t="shared" si="2"/>
        <v>2.110033235817544E-2</v>
      </c>
      <c r="L8" s="42">
        <f t="shared" si="3"/>
        <v>1.8366350132931471E-2</v>
      </c>
      <c r="M8" s="42">
        <f t="shared" si="4"/>
        <v>6.7111359247934183E-2</v>
      </c>
      <c r="N8" s="42">
        <f t="shared" si="5"/>
        <v>0.54716286047674612</v>
      </c>
      <c r="O8" s="43">
        <v>38393600</v>
      </c>
      <c r="P8" s="43">
        <v>1199800</v>
      </c>
      <c r="Q8" s="43">
        <v>407011.1875</v>
      </c>
      <c r="R8" s="44">
        <v>21007552</v>
      </c>
      <c r="S8" s="44">
        <v>4373880</v>
      </c>
      <c r="T8" s="44">
        <v>651088</v>
      </c>
      <c r="U8" s="44">
        <v>15982328</v>
      </c>
      <c r="V8" s="59">
        <v>71.649137499999995</v>
      </c>
      <c r="W8" s="59">
        <v>74.861978124999993</v>
      </c>
      <c r="X8" s="59">
        <v>42.194509375000003</v>
      </c>
      <c r="Y8" s="59">
        <v>49.657028124999997</v>
      </c>
      <c r="Z8" s="59">
        <v>49.859425000000002</v>
      </c>
      <c r="AA8" s="45">
        <v>483.39</v>
      </c>
      <c r="AB8" s="45">
        <v>1903.75</v>
      </c>
      <c r="AC8" s="45">
        <v>306.892</v>
      </c>
      <c r="AD8" s="45">
        <v>28.006</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5024968</v>
      </c>
      <c r="BD8" s="39" t="str">
        <f t="shared" si="13"/>
        <v/>
      </c>
      <c r="BE8" s="41" t="e">
        <f t="shared" si="14"/>
        <v>#DIV/0!</v>
      </c>
      <c r="BF8" s="41" t="e">
        <f t="shared" si="15"/>
        <v>#VALUE!</v>
      </c>
      <c r="BG8" s="41"/>
      <c r="BI8" s="60"/>
      <c r="BJ8" s="60"/>
      <c r="BK8" s="60"/>
      <c r="BL8" s="60"/>
      <c r="BM8" s="60"/>
      <c r="BO8" s="60"/>
      <c r="BP8" s="60"/>
      <c r="BQ8" s="60"/>
      <c r="BR8" s="60"/>
      <c r="BS8" s="60"/>
    </row>
    <row r="9" spans="1:71" x14ac:dyDescent="0.25">
      <c r="A9" s="25"/>
      <c r="B9" s="25" t="s">
        <v>557</v>
      </c>
      <c r="C9" s="26" t="s">
        <v>310</v>
      </c>
      <c r="D9" s="25">
        <v>218121242</v>
      </c>
      <c r="E9" s="26">
        <v>10</v>
      </c>
      <c r="F9" s="26">
        <v>32</v>
      </c>
      <c r="G9" s="26">
        <v>30</v>
      </c>
      <c r="I9" s="56">
        <f t="shared" si="0"/>
        <v>3.3049650000000002</v>
      </c>
      <c r="J9" s="28">
        <f t="shared" si="1"/>
        <v>1.6162093923892108E-2</v>
      </c>
      <c r="K9" s="28">
        <f t="shared" si="2"/>
        <v>7.7362478983133611E-3</v>
      </c>
      <c r="L9" s="28">
        <f t="shared" si="3"/>
        <v>4.1425034614464553E-3</v>
      </c>
      <c r="M9" s="28">
        <f t="shared" si="4"/>
        <v>8.4246723663896975E-3</v>
      </c>
      <c r="N9" s="28">
        <f t="shared" si="5"/>
        <v>0.10264357363675157</v>
      </c>
      <c r="O9" s="29">
        <v>34345024</v>
      </c>
      <c r="P9" s="29">
        <v>1073282</v>
      </c>
      <c r="Q9" s="29">
        <v>431987.0625</v>
      </c>
      <c r="R9" s="30">
        <v>3525296</v>
      </c>
      <c r="S9" s="30">
        <v>903568</v>
      </c>
      <c r="T9" s="30">
        <v>783872</v>
      </c>
      <c r="U9" s="30">
        <v>1837600</v>
      </c>
      <c r="V9" s="51">
        <v>65.833606250000003</v>
      </c>
      <c r="W9" s="51">
        <v>67.816337500000003</v>
      </c>
      <c r="X9" s="51">
        <v>32.592378125000003</v>
      </c>
      <c r="Y9" s="51">
        <v>39.333868750000001</v>
      </c>
      <c r="Z9" s="51">
        <v>32.276715625000001</v>
      </c>
      <c r="AA9" s="31">
        <v>455.77</v>
      </c>
      <c r="AB9" s="31">
        <v>1382.05</v>
      </c>
      <c r="AC9" s="31">
        <v>274.26100000000002</v>
      </c>
      <c r="AD9" s="31">
        <v>25.963000000000001</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1687440</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25">
      <c r="A10" s="18"/>
      <c r="B10" s="18"/>
      <c r="C10" s="19" t="s">
        <v>311</v>
      </c>
      <c r="D10" s="18">
        <v>218121242</v>
      </c>
      <c r="E10" s="19">
        <v>10</v>
      </c>
      <c r="F10" s="19">
        <v>32</v>
      </c>
      <c r="G10" s="19">
        <v>30</v>
      </c>
      <c r="I10" s="55">
        <f t="shared" si="0"/>
        <v>4.8896100000000002</v>
      </c>
      <c r="J10" s="21">
        <f t="shared" si="1"/>
        <v>2.3911398780683636E-2</v>
      </c>
      <c r="K10" s="21">
        <f t="shared" si="2"/>
        <v>9.6859525492707394E-3</v>
      </c>
      <c r="L10" s="21">
        <f t="shared" si="3"/>
        <v>6.0922081124038345E-3</v>
      </c>
      <c r="M10" s="21">
        <f t="shared" si="4"/>
        <v>1.4224272572223846E-2</v>
      </c>
      <c r="N10" s="21">
        <f t="shared" si="5"/>
        <v>0.15185850503409171</v>
      </c>
      <c r="O10" s="22">
        <v>34345024</v>
      </c>
      <c r="P10" s="22">
        <v>1073282</v>
      </c>
      <c r="Q10" s="22">
        <v>388048.84375</v>
      </c>
      <c r="R10" s="23">
        <v>5215584</v>
      </c>
      <c r="S10" s="23">
        <v>1328840</v>
      </c>
      <c r="T10" s="23">
        <v>783872</v>
      </c>
      <c r="U10" s="23">
        <v>3102616</v>
      </c>
      <c r="V10" s="49">
        <v>67.505971875</v>
      </c>
      <c r="W10" s="49">
        <v>69.678178125000002</v>
      </c>
      <c r="X10" s="49">
        <v>34.433678125</v>
      </c>
      <c r="Y10" s="49">
        <v>40.212687500000001</v>
      </c>
      <c r="Z10" s="49">
        <v>34.021746874999998</v>
      </c>
      <c r="AA10" s="24">
        <v>456.81900000000002</v>
      </c>
      <c r="AB10" s="24">
        <v>1502.74</v>
      </c>
      <c r="AC10" s="24">
        <v>278.04199999999997</v>
      </c>
      <c r="AD10" s="24">
        <v>27.983000000000001</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2112712</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32</v>
      </c>
      <c r="G11" s="26">
        <v>30</v>
      </c>
      <c r="I11" s="56">
        <f t="shared" si="0"/>
        <v>7.7791724999999996</v>
      </c>
      <c r="J11" s="28">
        <f t="shared" si="1"/>
        <v>3.8042072032580851E-2</v>
      </c>
      <c r="K11" s="28">
        <f t="shared" si="2"/>
        <v>1.2542308923768185E-2</v>
      </c>
      <c r="L11" s="28">
        <f t="shared" si="3"/>
        <v>8.9485644869012806E-3</v>
      </c>
      <c r="M11" s="28">
        <f t="shared" si="4"/>
        <v>2.5498589449623618E-2</v>
      </c>
      <c r="N11" s="28">
        <f t="shared" si="5"/>
        <v>0.24160076289362908</v>
      </c>
      <c r="O11" s="29">
        <v>34345024</v>
      </c>
      <c r="P11" s="29">
        <v>1073282</v>
      </c>
      <c r="Q11" s="29">
        <v>360815.21875</v>
      </c>
      <c r="R11" s="30">
        <v>8297784</v>
      </c>
      <c r="S11" s="30">
        <v>1951872</v>
      </c>
      <c r="T11" s="30">
        <v>783872</v>
      </c>
      <c r="U11" s="30">
        <v>5561784</v>
      </c>
      <c r="V11" s="51">
        <v>68.837900000000005</v>
      </c>
      <c r="W11" s="51">
        <v>71.330234375000003</v>
      </c>
      <c r="X11" s="51">
        <v>36.536099999999998</v>
      </c>
      <c r="Y11" s="51">
        <v>41.107121874999997</v>
      </c>
      <c r="Z11" s="51">
        <v>35.785018749999999</v>
      </c>
      <c r="AA11" s="31">
        <v>458.94900000000001</v>
      </c>
      <c r="AB11" s="31">
        <v>1618.98</v>
      </c>
      <c r="AC11" s="31">
        <v>279.262</v>
      </c>
      <c r="AD11" s="31">
        <v>27.811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2735744</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32</v>
      </c>
      <c r="G12" s="19">
        <v>30</v>
      </c>
      <c r="I12" s="55">
        <f t="shared" si="0"/>
        <v>13.737120000000001</v>
      </c>
      <c r="J12" s="21">
        <f t="shared" si="1"/>
        <v>6.7177904662765492E-2</v>
      </c>
      <c r="K12" s="21">
        <f t="shared" si="2"/>
        <v>1.7701861426224597E-2</v>
      </c>
      <c r="L12" s="21">
        <f t="shared" si="3"/>
        <v>1.410811698935769E-2</v>
      </c>
      <c r="M12" s="21">
        <f t="shared" si="4"/>
        <v>4.9474869577351845E-2</v>
      </c>
      <c r="N12" s="21">
        <f t="shared" si="5"/>
        <v>0.42663903801610387</v>
      </c>
      <c r="O12" s="22">
        <v>34345024</v>
      </c>
      <c r="P12" s="22">
        <v>1073282</v>
      </c>
      <c r="Q12" s="22">
        <v>365487.5625</v>
      </c>
      <c r="R12" s="23">
        <v>14652928</v>
      </c>
      <c r="S12" s="23">
        <v>3077280</v>
      </c>
      <c r="T12" s="23">
        <v>783872</v>
      </c>
      <c r="U12" s="23">
        <v>10791520</v>
      </c>
      <c r="V12" s="49">
        <v>70.010381249999995</v>
      </c>
      <c r="W12" s="49">
        <v>72.894028125000006</v>
      </c>
      <c r="X12" s="49">
        <v>38.843134374999998</v>
      </c>
      <c r="Y12" s="49">
        <v>42.274128124999997</v>
      </c>
      <c r="Z12" s="49">
        <v>37.822743750000001</v>
      </c>
      <c r="AA12" s="24">
        <v>456.38600000000002</v>
      </c>
      <c r="AB12" s="24">
        <v>1855.95</v>
      </c>
      <c r="AC12" s="24">
        <v>277.49099999999999</v>
      </c>
      <c r="AD12" s="24">
        <v>28.622</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3861152</v>
      </c>
      <c r="BD12" s="18" t="str">
        <f t="shared" si="13"/>
        <v/>
      </c>
      <c r="BE12" s="20" t="e">
        <f t="shared" si="14"/>
        <v>#DIV/0!</v>
      </c>
      <c r="BF12" s="20" t="e">
        <f t="shared" si="15"/>
        <v>#VALUE!</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32</v>
      </c>
      <c r="G13" s="33">
        <v>30</v>
      </c>
      <c r="I13" s="57">
        <f t="shared" si="0"/>
        <v>25.131585000000001</v>
      </c>
      <c r="J13" s="35">
        <f t="shared" si="1"/>
        <v>0.12289964862752799</v>
      </c>
      <c r="K13" s="35">
        <f t="shared" si="2"/>
        <v>2.6724623179983545E-2</v>
      </c>
      <c r="L13" s="35">
        <f t="shared" si="3"/>
        <v>2.3130878743116638E-2</v>
      </c>
      <c r="M13" s="35">
        <f t="shared" si="4"/>
        <v>9.6173851788355399E-2</v>
      </c>
      <c r="N13" s="35">
        <f t="shared" si="5"/>
        <v>0.78052133549244285</v>
      </c>
      <c r="O13" s="36">
        <v>34345024</v>
      </c>
      <c r="P13" s="36">
        <v>1073282</v>
      </c>
      <c r="Q13" s="36">
        <v>362532.875</v>
      </c>
      <c r="R13" s="37">
        <v>26807024</v>
      </c>
      <c r="S13" s="37">
        <v>5045336</v>
      </c>
      <c r="T13" s="37">
        <v>783872</v>
      </c>
      <c r="U13" s="37">
        <v>20977560</v>
      </c>
      <c r="V13" s="53">
        <v>71.004506250000006</v>
      </c>
      <c r="W13" s="53">
        <v>74.198378125000005</v>
      </c>
      <c r="X13" s="53">
        <v>41.2995375</v>
      </c>
      <c r="Y13" s="53">
        <v>43.623684375000003</v>
      </c>
      <c r="Z13" s="53">
        <v>39.698618750000001</v>
      </c>
      <c r="AA13" s="38">
        <v>455.35199999999998</v>
      </c>
      <c r="AB13" s="38">
        <v>2073.02</v>
      </c>
      <c r="AC13" s="38">
        <v>277.67599999999999</v>
      </c>
      <c r="AD13" s="38">
        <v>29.952000000000002</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5829208</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32</v>
      </c>
      <c r="G14" s="19">
        <v>30</v>
      </c>
      <c r="I14" s="55">
        <f t="shared" si="0"/>
        <v>4.63713</v>
      </c>
      <c r="J14" s="21">
        <f t="shared" si="1"/>
        <v>1.5333012612206619E-2</v>
      </c>
      <c r="K14" s="21">
        <f t="shared" si="2"/>
        <v>7.5614564561552154E-3</v>
      </c>
      <c r="L14" s="21">
        <f t="shared" si="3"/>
        <v>4.2034819561383146E-3</v>
      </c>
      <c r="M14" s="21">
        <f t="shared" si="4"/>
        <v>7.77076257833697E-3</v>
      </c>
      <c r="N14" s="21">
        <f t="shared" si="5"/>
        <v>9.6696863518612008E-2</v>
      </c>
      <c r="O14" s="22">
        <v>51152352</v>
      </c>
      <c r="P14" s="22">
        <v>1598511</v>
      </c>
      <c r="Q14" s="22">
        <v>643075.59375</v>
      </c>
      <c r="R14" s="23">
        <v>4946272</v>
      </c>
      <c r="S14" s="23">
        <v>1356000</v>
      </c>
      <c r="T14" s="23">
        <v>1083248</v>
      </c>
      <c r="U14" s="23">
        <v>2506768</v>
      </c>
      <c r="V14" s="49">
        <v>65.891424999999998</v>
      </c>
      <c r="W14" s="49">
        <v>67.765265624999998</v>
      </c>
      <c r="X14" s="49">
        <v>29.6486625</v>
      </c>
      <c r="Y14" s="49">
        <v>43.163418749999998</v>
      </c>
      <c r="Z14" s="49">
        <v>43.471553125</v>
      </c>
      <c r="AA14" s="24">
        <v>675.78899999999999</v>
      </c>
      <c r="AB14" s="24">
        <v>1367.1</v>
      </c>
      <c r="AC14" s="24">
        <v>427.04199999999997</v>
      </c>
      <c r="AD14" s="24">
        <v>25.379000000000001</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2439248</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25">
      <c r="A15" s="25"/>
      <c r="B15" s="25"/>
      <c r="C15" s="26" t="s">
        <v>311</v>
      </c>
      <c r="D15" s="25">
        <v>322589704</v>
      </c>
      <c r="E15" s="26">
        <v>10</v>
      </c>
      <c r="F15" s="26">
        <v>32</v>
      </c>
      <c r="G15" s="26">
        <v>30</v>
      </c>
      <c r="I15" s="56">
        <f t="shared" si="0"/>
        <v>7.6759500000000003</v>
      </c>
      <c r="J15" s="28">
        <f t="shared" si="1"/>
        <v>2.5381095237931091E-2</v>
      </c>
      <c r="K15" s="28">
        <f t="shared" si="2"/>
        <v>9.5386057330583626E-3</v>
      </c>
      <c r="L15" s="28">
        <f t="shared" si="3"/>
        <v>6.1806312330414609E-3</v>
      </c>
      <c r="M15" s="28">
        <f t="shared" si="4"/>
        <v>1.5841695927158294E-2</v>
      </c>
      <c r="N15" s="28">
        <f t="shared" si="5"/>
        <v>0.16006458510451288</v>
      </c>
      <c r="O15" s="29">
        <v>51152352</v>
      </c>
      <c r="P15" s="29">
        <v>1598511</v>
      </c>
      <c r="Q15" s="29">
        <v>581847.5</v>
      </c>
      <c r="R15" s="30">
        <v>8187680</v>
      </c>
      <c r="S15" s="30">
        <v>1993808</v>
      </c>
      <c r="T15" s="30">
        <v>1083248</v>
      </c>
      <c r="U15" s="30">
        <v>5110368</v>
      </c>
      <c r="V15" s="51">
        <v>67.672506249999998</v>
      </c>
      <c r="W15" s="51">
        <v>69.796196875000007</v>
      </c>
      <c r="X15" s="51">
        <v>32.027940624999999</v>
      </c>
      <c r="Y15" s="51">
        <v>44.182981249999997</v>
      </c>
      <c r="Z15" s="51">
        <v>44.554737500000002</v>
      </c>
      <c r="AA15" s="31">
        <v>677.28599999999994</v>
      </c>
      <c r="AB15" s="31">
        <v>1530.9</v>
      </c>
      <c r="AC15" s="31">
        <v>429.18099999999998</v>
      </c>
      <c r="AD15" s="31">
        <v>26.623000000000001</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3077056</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32</v>
      </c>
      <c r="G16" s="19">
        <v>30</v>
      </c>
      <c r="I16" s="55">
        <f t="shared" si="0"/>
        <v>13.3035075</v>
      </c>
      <c r="J16" s="21">
        <f t="shared" si="1"/>
        <v>4.3989029482478459E-2</v>
      </c>
      <c r="K16" s="21">
        <f t="shared" si="2"/>
        <v>1.2322550753200729E-2</v>
      </c>
      <c r="L16" s="21">
        <f t="shared" si="3"/>
        <v>8.9645762531838282E-3</v>
      </c>
      <c r="M16" s="21">
        <f t="shared" si="4"/>
        <v>3.1665685151563303E-2</v>
      </c>
      <c r="N16" s="21">
        <f t="shared" si="5"/>
        <v>0.27741457518903528</v>
      </c>
      <c r="O16" s="22">
        <v>51152352</v>
      </c>
      <c r="P16" s="22">
        <v>1598511</v>
      </c>
      <c r="Q16" s="22">
        <v>533697.375</v>
      </c>
      <c r="R16" s="23">
        <v>14190408</v>
      </c>
      <c r="S16" s="23">
        <v>2891880</v>
      </c>
      <c r="T16" s="23">
        <v>1083248</v>
      </c>
      <c r="U16" s="23">
        <v>10215024</v>
      </c>
      <c r="V16" s="49">
        <v>69.010446875</v>
      </c>
      <c r="W16" s="49">
        <v>71.556181249999995</v>
      </c>
      <c r="X16" s="49">
        <v>34.573387500000003</v>
      </c>
      <c r="Y16" s="49">
        <v>45.068278124999999</v>
      </c>
      <c r="Z16" s="49">
        <v>45.546578125000003</v>
      </c>
      <c r="AA16" s="24">
        <v>677.54700000000003</v>
      </c>
      <c r="AB16" s="24">
        <v>1695.3</v>
      </c>
      <c r="AC16" s="24">
        <v>431.57299999999998</v>
      </c>
      <c r="AD16" s="24">
        <v>28.344999999999999</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3975128</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32</v>
      </c>
      <c r="G17" s="26">
        <v>30</v>
      </c>
      <c r="I17" s="56">
        <f t="shared" si="0"/>
        <v>24.2368275</v>
      </c>
      <c r="J17" s="28">
        <f t="shared" si="1"/>
        <v>8.0140859052339752E-2</v>
      </c>
      <c r="K17" s="28">
        <f t="shared" si="2"/>
        <v>1.7161961250939366E-2</v>
      </c>
      <c r="L17" s="28">
        <f t="shared" si="3"/>
        <v>1.3803986750922466E-2</v>
      </c>
      <c r="M17" s="28">
        <f t="shared" si="4"/>
        <v>6.2978104223685952E-2</v>
      </c>
      <c r="N17" s="28">
        <f t="shared" si="5"/>
        <v>0.50540424807836792</v>
      </c>
      <c r="O17" s="29">
        <v>51152352</v>
      </c>
      <c r="P17" s="29">
        <v>1598511</v>
      </c>
      <c r="Q17" s="29">
        <v>537468.71875</v>
      </c>
      <c r="R17" s="30">
        <v>25852616</v>
      </c>
      <c r="S17" s="30">
        <v>4453024</v>
      </c>
      <c r="T17" s="30">
        <v>1083248</v>
      </c>
      <c r="U17" s="30">
        <v>20316088</v>
      </c>
      <c r="V17" s="51">
        <v>70.260975000000002</v>
      </c>
      <c r="W17" s="51">
        <v>73.213446875000002</v>
      </c>
      <c r="X17" s="51">
        <v>37.176384374999998</v>
      </c>
      <c r="Y17" s="51">
        <v>46.399968749999999</v>
      </c>
      <c r="Z17" s="51">
        <v>46.953353125</v>
      </c>
      <c r="AA17" s="31">
        <v>676.67899999999997</v>
      </c>
      <c r="AB17" s="31">
        <v>1980.49</v>
      </c>
      <c r="AC17" s="31">
        <v>432.28300000000002</v>
      </c>
      <c r="AD17" s="31">
        <v>29.24</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5536272</v>
      </c>
      <c r="BD17" s="25" t="str">
        <f t="shared" si="13"/>
        <v/>
      </c>
      <c r="BE17" s="27" t="e">
        <f t="shared" si="14"/>
        <v>#DIV/0!</v>
      </c>
      <c r="BF17" s="27" t="e">
        <f t="shared" si="15"/>
        <v>#VALUE!</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32</v>
      </c>
      <c r="G18" s="40">
        <v>30</v>
      </c>
      <c r="I18" s="58">
        <f t="shared" si="0"/>
        <v>44.391727500000002</v>
      </c>
      <c r="J18" s="42">
        <f t="shared" si="1"/>
        <v>0.14678452353829619</v>
      </c>
      <c r="K18" s="42">
        <f t="shared" si="2"/>
        <v>2.5482177199307017E-2</v>
      </c>
      <c r="L18" s="42">
        <f t="shared" si="3"/>
        <v>2.2124202699290118E-2</v>
      </c>
      <c r="M18" s="42">
        <f t="shared" si="4"/>
        <v>0.12130155276127473</v>
      </c>
      <c r="N18" s="42">
        <f t="shared" si="5"/>
        <v>0.92568912569259765</v>
      </c>
      <c r="O18" s="43">
        <v>51152352</v>
      </c>
      <c r="P18" s="43">
        <v>1598511</v>
      </c>
      <c r="Q18" s="43">
        <v>529290.78125</v>
      </c>
      <c r="R18" s="44">
        <v>47351176</v>
      </c>
      <c r="S18" s="44">
        <v>7137040</v>
      </c>
      <c r="T18" s="44">
        <v>1083248</v>
      </c>
      <c r="U18" s="44">
        <v>39130632</v>
      </c>
      <c r="V18" s="59">
        <v>71.268156250000004</v>
      </c>
      <c r="W18" s="59">
        <v>74.516315625000004</v>
      </c>
      <c r="X18" s="59">
        <v>39.518621875000001</v>
      </c>
      <c r="Y18" s="59">
        <v>48.224759374999998</v>
      </c>
      <c r="Z18" s="59">
        <v>48.85750625</v>
      </c>
      <c r="AA18" s="45">
        <v>675.10699999999997</v>
      </c>
      <c r="AB18" s="45">
        <v>2384.2800000000002</v>
      </c>
      <c r="AC18" s="45">
        <v>431.77699999999999</v>
      </c>
      <c r="AD18" s="45">
        <v>30.69</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8220288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32</v>
      </c>
      <c r="G19" s="26">
        <v>50</v>
      </c>
      <c r="I19" s="56">
        <f t="shared" si="0"/>
        <v>5.54345</v>
      </c>
      <c r="J19" s="28">
        <f t="shared" si="1"/>
        <v>1.4157091268352526E-2</v>
      </c>
      <c r="K19" s="28">
        <f t="shared" si="2"/>
        <v>7.0535818359733129E-3</v>
      </c>
      <c r="L19" s="28">
        <f t="shared" si="3"/>
        <v>3.7054321133110951E-3</v>
      </c>
      <c r="M19" s="28">
        <f t="shared" si="4"/>
        <v>7.1024878958798601E-3</v>
      </c>
      <c r="N19" s="28">
        <f t="shared" si="5"/>
        <v>8.8220573315562281E-2</v>
      </c>
      <c r="O19" s="29">
        <v>40215200</v>
      </c>
      <c r="P19" s="29">
        <v>1256725</v>
      </c>
      <c r="Q19" s="29">
        <v>291720.5</v>
      </c>
      <c r="R19" s="30">
        <v>3547808</v>
      </c>
      <c r="S19" s="30">
        <v>928592</v>
      </c>
      <c r="T19" s="30">
        <v>839056</v>
      </c>
      <c r="U19" s="30">
        <v>1779904</v>
      </c>
      <c r="V19" s="51">
        <v>66.799634374999997</v>
      </c>
      <c r="W19" s="51">
        <v>68.463306250000002</v>
      </c>
      <c r="X19" s="51">
        <v>30.264518750000001</v>
      </c>
      <c r="Y19" s="51">
        <v>39.134384375000003</v>
      </c>
      <c r="Z19" s="51">
        <v>37.941653125000002</v>
      </c>
      <c r="AA19" s="31">
        <v>624.57799999999997</v>
      </c>
      <c r="AB19" s="31">
        <v>1541.76</v>
      </c>
      <c r="AC19" s="31">
        <v>350.536</v>
      </c>
      <c r="AD19" s="31">
        <v>27.577999999999999</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1767648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25">
      <c r="A20" s="18"/>
      <c r="B20" s="18"/>
      <c r="C20" s="19" t="s">
        <v>311</v>
      </c>
      <c r="D20" s="18">
        <v>250602891</v>
      </c>
      <c r="E20" s="19">
        <v>10</v>
      </c>
      <c r="F20" s="19">
        <v>32</v>
      </c>
      <c r="G20" s="19">
        <v>50</v>
      </c>
      <c r="I20" s="55">
        <f t="shared" si="0"/>
        <v>9.2362874999999995</v>
      </c>
      <c r="J20" s="21">
        <f t="shared" si="1"/>
        <v>2.3588011999430607E-2</v>
      </c>
      <c r="K20" s="21">
        <f t="shared" si="2"/>
        <v>8.8728106492594293E-3</v>
      </c>
      <c r="L20" s="21">
        <f t="shared" si="3"/>
        <v>5.5246609265972111E-3</v>
      </c>
      <c r="M20" s="21">
        <f t="shared" si="4"/>
        <v>1.4714179813671822E-2</v>
      </c>
      <c r="N20" s="21">
        <f t="shared" si="5"/>
        <v>0.1469897949034196</v>
      </c>
      <c r="O20" s="22">
        <v>40215200</v>
      </c>
      <c r="P20" s="22">
        <v>1256725</v>
      </c>
      <c r="Q20" s="22">
        <v>270442.53125</v>
      </c>
      <c r="R20" s="23">
        <v>5911224</v>
      </c>
      <c r="S20" s="23">
        <v>1384496</v>
      </c>
      <c r="T20" s="23">
        <v>839056</v>
      </c>
      <c r="U20" s="23">
        <v>3687416</v>
      </c>
      <c r="V20" s="49">
        <v>68.297399999999996</v>
      </c>
      <c r="W20" s="49">
        <v>70.390356249999996</v>
      </c>
      <c r="X20" s="49">
        <v>32.507693750000001</v>
      </c>
      <c r="Y20" s="49">
        <v>40.305128125000003</v>
      </c>
      <c r="Z20" s="49">
        <v>39.337556249999999</v>
      </c>
      <c r="AA20" s="24">
        <v>623.75900000000001</v>
      </c>
      <c r="AB20" s="24">
        <v>1670.48</v>
      </c>
      <c r="AC20" s="24">
        <v>352.46100000000001</v>
      </c>
      <c r="AD20" s="24">
        <v>28.408000000000001</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2223552</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32</v>
      </c>
      <c r="G21" s="26">
        <v>50</v>
      </c>
      <c r="I21" s="56">
        <f t="shared" si="0"/>
        <v>15.3263625</v>
      </c>
      <c r="J21" s="28">
        <f t="shared" si="1"/>
        <v>3.9141096740180861E-2</v>
      </c>
      <c r="K21" s="28">
        <f t="shared" si="2"/>
        <v>1.155309896245371E-2</v>
      </c>
      <c r="L21" s="28">
        <f t="shared" si="3"/>
        <v>8.2049492397914918E-3</v>
      </c>
      <c r="M21" s="28">
        <f t="shared" si="4"/>
        <v>2.7586976241227801E-2</v>
      </c>
      <c r="N21" s="28">
        <f t="shared" si="5"/>
        <v>0.24390956653205753</v>
      </c>
      <c r="O21" s="29">
        <v>40215200</v>
      </c>
      <c r="P21" s="29">
        <v>1256725</v>
      </c>
      <c r="Q21" s="29">
        <v>268628.84375</v>
      </c>
      <c r="R21" s="30">
        <v>9808872</v>
      </c>
      <c r="S21" s="30">
        <v>2056184</v>
      </c>
      <c r="T21" s="30">
        <v>839056</v>
      </c>
      <c r="U21" s="30">
        <v>6913376</v>
      </c>
      <c r="V21" s="51">
        <v>69.555921874999996</v>
      </c>
      <c r="W21" s="51">
        <v>72.113778124999996</v>
      </c>
      <c r="X21" s="51">
        <v>34.320124999999997</v>
      </c>
      <c r="Y21" s="51">
        <v>41.384078125000002</v>
      </c>
      <c r="Z21" s="51">
        <v>40.497690624999997</v>
      </c>
      <c r="AA21" s="31">
        <v>622.18100000000004</v>
      </c>
      <c r="AB21" s="31">
        <v>1809.72</v>
      </c>
      <c r="AC21" s="31">
        <v>350.041</v>
      </c>
      <c r="AD21" s="31">
        <v>29.076000000000001</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2895240</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32</v>
      </c>
      <c r="G22" s="19">
        <v>50</v>
      </c>
      <c r="I22" s="55">
        <f t="shared" si="0"/>
        <v>26.605237500000001</v>
      </c>
      <c r="J22" s="21">
        <f t="shared" si="1"/>
        <v>6.7945552950544372E-2</v>
      </c>
      <c r="K22" s="21">
        <f t="shared" si="2"/>
        <v>1.6527024023836979E-2</v>
      </c>
      <c r="L22" s="21">
        <f t="shared" si="3"/>
        <v>1.3178874301174762E-2</v>
      </c>
      <c r="M22" s="21">
        <f t="shared" si="4"/>
        <v>5.1417507390208041E-2</v>
      </c>
      <c r="N22" s="21">
        <f t="shared" si="5"/>
        <v>0.42340587638504845</v>
      </c>
      <c r="O22" s="22">
        <v>40215200</v>
      </c>
      <c r="P22" s="22">
        <v>1256725</v>
      </c>
      <c r="Q22" s="22">
        <v>278078.53125</v>
      </c>
      <c r="R22" s="23">
        <v>17027352</v>
      </c>
      <c r="S22" s="23">
        <v>3302664</v>
      </c>
      <c r="T22" s="23">
        <v>839056</v>
      </c>
      <c r="U22" s="23">
        <v>12885376</v>
      </c>
      <c r="V22" s="49">
        <v>70.649096874999998</v>
      </c>
      <c r="W22" s="49">
        <v>73.670559374999996</v>
      </c>
      <c r="X22" s="49">
        <v>35.895443749999998</v>
      </c>
      <c r="Y22" s="49">
        <v>42.501021874999999</v>
      </c>
      <c r="Z22" s="49">
        <v>41.601996874999998</v>
      </c>
      <c r="AA22" s="24">
        <v>619.56700000000001</v>
      </c>
      <c r="AB22" s="24">
        <v>1990.86</v>
      </c>
      <c r="AC22" s="24">
        <v>350.036</v>
      </c>
      <c r="AD22" s="24">
        <v>30.117000000000001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4141720</v>
      </c>
      <c r="BD22" s="18" t="str">
        <f t="shared" si="13"/>
        <v/>
      </c>
      <c r="BE22" s="20" t="e">
        <f t="shared" si="14"/>
        <v>#DIV/0!</v>
      </c>
      <c r="BF22" s="20" t="e">
        <f t="shared" si="15"/>
        <v>#VALUE!</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32</v>
      </c>
      <c r="G23" s="33">
        <v>50</v>
      </c>
      <c r="I23" s="57">
        <f t="shared" si="0"/>
        <v>46.561675000000001</v>
      </c>
      <c r="J23" s="35">
        <f t="shared" si="1"/>
        <v>0.11891112620883532</v>
      </c>
      <c r="K23" s="35">
        <f t="shared" si="2"/>
        <v>2.5699144867406976E-2</v>
      </c>
      <c r="L23" s="35">
        <f t="shared" si="3"/>
        <v>2.235099514474476E-2</v>
      </c>
      <c r="M23" s="35">
        <f t="shared" si="4"/>
        <v>9.3210959804928981E-2</v>
      </c>
      <c r="N23" s="35">
        <f t="shared" si="5"/>
        <v>0.7410002188227337</v>
      </c>
      <c r="O23" s="36">
        <v>40215200</v>
      </c>
      <c r="P23" s="36">
        <v>1256725</v>
      </c>
      <c r="Q23" s="36">
        <v>276706.59375</v>
      </c>
      <c r="R23" s="37">
        <v>29799472</v>
      </c>
      <c r="S23" s="37">
        <v>5601224</v>
      </c>
      <c r="T23" s="37">
        <v>839056</v>
      </c>
      <c r="U23" s="37">
        <v>23358936</v>
      </c>
      <c r="V23" s="53">
        <v>71.688637499999999</v>
      </c>
      <c r="W23" s="53">
        <v>75.056862499999994</v>
      </c>
      <c r="X23" s="53">
        <v>37.406912499999997</v>
      </c>
      <c r="Y23" s="53">
        <v>43.464740624999997</v>
      </c>
      <c r="Z23" s="53">
        <v>42.482553125000003</v>
      </c>
      <c r="AA23" s="38">
        <v>616.58500000000004</v>
      </c>
      <c r="AB23" s="38">
        <v>2249.2199999999998</v>
      </c>
      <c r="AC23" s="38">
        <v>349.06400000000002</v>
      </c>
      <c r="AD23" s="38">
        <v>31.206</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6440280</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32</v>
      </c>
      <c r="G24" s="19">
        <v>30</v>
      </c>
      <c r="I24" s="55">
        <f t="shared" si="0"/>
        <v>5.0224500000000001</v>
      </c>
      <c r="J24" s="21">
        <f t="shared" si="1"/>
        <v>2.1403899186279631E-2</v>
      </c>
      <c r="K24" s="21">
        <f t="shared" si="2"/>
        <v>6.6949591421839091E-3</v>
      </c>
      <c r="L24" s="21">
        <f t="shared" si="3"/>
        <v>3.7769894675546752E-3</v>
      </c>
      <c r="M24" s="21">
        <f t="shared" si="4"/>
        <v>1.4707917249283487E-2</v>
      </c>
      <c r="N24" s="21">
        <f t="shared" si="5"/>
        <v>0.14099506308837426</v>
      </c>
      <c r="O24" s="22">
        <v>37996224</v>
      </c>
      <c r="P24" s="22">
        <v>1187382</v>
      </c>
      <c r="Q24" s="22">
        <v>472518.40625</v>
      </c>
      <c r="R24" s="23">
        <v>5357280</v>
      </c>
      <c r="S24" s="23">
        <v>945360</v>
      </c>
      <c r="T24" s="23">
        <v>730352</v>
      </c>
      <c r="U24" s="23">
        <v>3681312</v>
      </c>
      <c r="V24" s="49">
        <v>66.109203124999993</v>
      </c>
      <c r="W24" s="49">
        <v>67.998446874999999</v>
      </c>
      <c r="X24" s="49">
        <v>27.499949999999998</v>
      </c>
      <c r="Y24" s="49">
        <v>33.338709375000001</v>
      </c>
      <c r="Z24" s="49">
        <v>32.76653125</v>
      </c>
      <c r="AA24" s="24">
        <v>509.41800000000001</v>
      </c>
      <c r="AB24" s="24">
        <v>1380.63</v>
      </c>
      <c r="AC24" s="24">
        <v>307.887</v>
      </c>
      <c r="AD24" s="24">
        <v>25.172000000000001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1675712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25">
      <c r="A25" s="25"/>
      <c r="B25" s="25"/>
      <c r="C25" s="26" t="s">
        <v>311</v>
      </c>
      <c r="D25" s="25">
        <v>250294582</v>
      </c>
      <c r="E25" s="26">
        <v>10</v>
      </c>
      <c r="F25" s="26">
        <v>32</v>
      </c>
      <c r="G25" s="26">
        <v>30</v>
      </c>
      <c r="I25" s="56">
        <f t="shared" si="0"/>
        <v>8.8112549999999992</v>
      </c>
      <c r="J25" s="28">
        <f t="shared" si="1"/>
        <v>3.7550441263646692E-2</v>
      </c>
      <c r="K25" s="28">
        <f t="shared" si="2"/>
        <v>8.4139575981712622E-3</v>
      </c>
      <c r="L25" s="28">
        <f t="shared" si="3"/>
        <v>5.4959879235420284E-3</v>
      </c>
      <c r="M25" s="28">
        <f t="shared" si="4"/>
        <v>2.9135460870663193E-2</v>
      </c>
      <c r="N25" s="28">
        <f t="shared" si="5"/>
        <v>0.24735805326339796</v>
      </c>
      <c r="O25" s="29">
        <v>37996224</v>
      </c>
      <c r="P25" s="29">
        <v>1187382</v>
      </c>
      <c r="Q25" s="29">
        <v>427835.15625</v>
      </c>
      <c r="R25" s="30">
        <v>9398672</v>
      </c>
      <c r="S25" s="30">
        <v>1375616</v>
      </c>
      <c r="T25" s="30">
        <v>730352</v>
      </c>
      <c r="U25" s="30">
        <v>7292448</v>
      </c>
      <c r="V25" s="51">
        <v>67.814868750000002</v>
      </c>
      <c r="W25" s="51">
        <v>69.949540624999997</v>
      </c>
      <c r="X25" s="51">
        <v>29.8384125</v>
      </c>
      <c r="Y25" s="51">
        <v>34.492193749999998</v>
      </c>
      <c r="Z25" s="51">
        <v>34.073365625000001</v>
      </c>
      <c r="AA25" s="31">
        <v>509.90300000000002</v>
      </c>
      <c r="AB25" s="31">
        <v>1527.1</v>
      </c>
      <c r="AC25" s="31">
        <v>310.40100000000001</v>
      </c>
      <c r="AD25" s="31">
        <v>25.818999999999999</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2105968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32</v>
      </c>
      <c r="G26" s="19">
        <v>30</v>
      </c>
      <c r="I26" s="55">
        <f t="shared" si="0"/>
        <v>16.263494999999999</v>
      </c>
      <c r="J26" s="21">
        <f t="shared" si="1"/>
        <v>6.9309242978339819E-2</v>
      </c>
      <c r="K26" s="21">
        <f t="shared" si="2"/>
        <v>1.0903887643880361E-2</v>
      </c>
      <c r="L26" s="21">
        <f t="shared" si="3"/>
        <v>7.9859179692511276E-3</v>
      </c>
      <c r="M26" s="21">
        <f t="shared" si="4"/>
        <v>5.8404332539647226E-2</v>
      </c>
      <c r="N26" s="21">
        <f t="shared" si="5"/>
        <v>0.45656452599079317</v>
      </c>
      <c r="O26" s="22">
        <v>37996224</v>
      </c>
      <c r="P26" s="22">
        <v>1187382</v>
      </c>
      <c r="Q26" s="22">
        <v>391191.78125</v>
      </c>
      <c r="R26" s="23">
        <v>17347728</v>
      </c>
      <c r="S26" s="23">
        <v>1998832</v>
      </c>
      <c r="T26" s="23">
        <v>730352</v>
      </c>
      <c r="U26" s="23">
        <v>14618288</v>
      </c>
      <c r="V26" s="49">
        <v>69.144087499999998</v>
      </c>
      <c r="W26" s="49">
        <v>71.664940625</v>
      </c>
      <c r="X26" s="49">
        <v>32.333671875</v>
      </c>
      <c r="Y26" s="49">
        <v>35.759203124999999</v>
      </c>
      <c r="Z26" s="49">
        <v>35.399637499999997</v>
      </c>
      <c r="AA26" s="24">
        <v>510.077</v>
      </c>
      <c r="AB26" s="24">
        <v>1713.87</v>
      </c>
      <c r="AC26" s="24">
        <v>311.77199999999999</v>
      </c>
      <c r="AD26" s="24">
        <v>27.472999999999999</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2729184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32</v>
      </c>
      <c r="G27" s="26">
        <v>30</v>
      </c>
      <c r="I27" s="56">
        <f t="shared" si="0"/>
        <v>30.533684999999998</v>
      </c>
      <c r="J27" s="28">
        <f t="shared" si="1"/>
        <v>0.13012372756834184</v>
      </c>
      <c r="K27" s="28">
        <f t="shared" si="2"/>
        <v>1.5253098846542351E-2</v>
      </c>
      <c r="L27" s="28">
        <f t="shared" si="3"/>
        <v>1.2335129171913118E-2</v>
      </c>
      <c r="M27" s="28">
        <f t="shared" si="4"/>
        <v>0.11486960592698726</v>
      </c>
      <c r="N27" s="28">
        <f t="shared" si="5"/>
        <v>0.85717107047268692</v>
      </c>
      <c r="O27" s="29">
        <v>37996224</v>
      </c>
      <c r="P27" s="29">
        <v>1187382</v>
      </c>
      <c r="Q27" s="29">
        <v>397767.59375</v>
      </c>
      <c r="R27" s="30">
        <v>32569264</v>
      </c>
      <c r="S27" s="30">
        <v>3087416</v>
      </c>
      <c r="T27" s="30">
        <v>730352</v>
      </c>
      <c r="U27" s="30">
        <v>28751240</v>
      </c>
      <c r="V27" s="51">
        <v>70.382068750000002</v>
      </c>
      <c r="W27" s="51">
        <v>73.316634375000007</v>
      </c>
      <c r="X27" s="51">
        <v>34.95349375</v>
      </c>
      <c r="Y27" s="51">
        <v>37.545731250000003</v>
      </c>
      <c r="Z27" s="51">
        <v>37.135987499999999</v>
      </c>
      <c r="AA27" s="31">
        <v>509.173</v>
      </c>
      <c r="AB27" s="31">
        <v>2010.87</v>
      </c>
      <c r="AC27" s="31">
        <v>312.39299999999997</v>
      </c>
      <c r="AD27" s="31">
        <v>28.417999999999999</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3817768</v>
      </c>
      <c r="BD27" s="25" t="str">
        <f t="shared" si="13"/>
        <v/>
      </c>
      <c r="BE27" s="27" t="e">
        <f t="shared" si="14"/>
        <v>#DIV/0!</v>
      </c>
      <c r="BF27" s="27" t="e">
        <f t="shared" si="15"/>
        <v>#VALUE!</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32</v>
      </c>
      <c r="G28" s="40">
        <v>30</v>
      </c>
      <c r="I28" s="58">
        <f t="shared" si="0"/>
        <v>53.781127499999997</v>
      </c>
      <c r="J28" s="42">
        <f t="shared" si="1"/>
        <v>0.22919607584634014</v>
      </c>
      <c r="K28" s="42">
        <f t="shared" si="2"/>
        <v>2.2695912770496967E-2</v>
      </c>
      <c r="L28" s="42">
        <f t="shared" si="3"/>
        <v>1.9777943095867733E-2</v>
      </c>
      <c r="M28" s="42">
        <f t="shared" si="4"/>
        <v>0.20649914028103095</v>
      </c>
      <c r="N28" s="42">
        <f t="shared" si="5"/>
        <v>1.5097957102263635</v>
      </c>
      <c r="O28" s="43">
        <v>37996224</v>
      </c>
      <c r="P28" s="43">
        <v>1187382</v>
      </c>
      <c r="Q28" s="43">
        <v>393729.75</v>
      </c>
      <c r="R28" s="44">
        <v>57366536</v>
      </c>
      <c r="S28" s="44">
        <v>4950312</v>
      </c>
      <c r="T28" s="44">
        <v>730352</v>
      </c>
      <c r="U28" s="44">
        <v>51685616</v>
      </c>
      <c r="V28" s="59">
        <v>71.407509375000004</v>
      </c>
      <c r="W28" s="59">
        <v>74.653009374999996</v>
      </c>
      <c r="X28" s="59">
        <v>36.836946875000002</v>
      </c>
      <c r="Y28" s="59">
        <v>39.636318750000001</v>
      </c>
      <c r="Z28" s="59">
        <v>39.033887499999999</v>
      </c>
      <c r="AA28" s="45">
        <v>506.76</v>
      </c>
      <c r="AB28" s="45">
        <v>2366.23</v>
      </c>
      <c r="AC28" s="45">
        <v>311.29899999999998</v>
      </c>
      <c r="AD28" s="45">
        <v>30.445</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5680664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25">
      <c r="B29" s="46" t="s">
        <v>571</v>
      </c>
      <c r="J29" s="47">
        <f>AVERAGE(J4:J23)</f>
        <v>5.1727243124024568E-2</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25">
      <c r="B30" s="46" t="s">
        <v>572</v>
      </c>
      <c r="J30" s="47">
        <f>AVERAGE(J24:J28)</f>
        <v>9.7516677368589627E-2</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25">
      <c r="B31" s="46" t="s">
        <v>258</v>
      </c>
      <c r="J31" s="47">
        <f>AVERAGE(J4:J23,J24:J28)</f>
        <v>6.0885129972937574E-2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25">
      <c r="A32" s="46" t="s">
        <v>259</v>
      </c>
      <c r="B32" s="46" t="s">
        <v>260</v>
      </c>
      <c r="AA32" s="48">
        <f>SUM(AA4:AA23,AA24:AA28)</f>
        <v>13737.531999999997</v>
      </c>
      <c r="AB32" s="48">
        <f>SUM(AB4:AB23,AB24:AB28)</f>
        <v>43479.820000000007</v>
      </c>
      <c r="AC32" s="48">
        <f>SUM(AC4:AC23,AC24:AC28)</f>
        <v>8372.2220000000016</v>
      </c>
      <c r="AD32" s="48">
        <f>SUM(AD4:AD23,AD24:AD28)</f>
        <v>696.50600000000009</v>
      </c>
      <c r="AX32" s="48">
        <f>SUM(AX4:AX23,AX24:AX28)</f>
        <v>0</v>
      </c>
      <c r="AY32" s="48">
        <f>SUM(AY4:AY23,AY24:AY28)</f>
        <v>0</v>
      </c>
      <c r="AZ32" s="48">
        <f>SUM(AZ4:AZ23,AZ24:AZ28)</f>
        <v>0</v>
      </c>
      <c r="BA32" s="48">
        <f>SUM(BA4:BA23,BA24:BA28)</f>
        <v>0</v>
      </c>
    </row>
    <row r="33" spans="2:53" hidden="1" outlineLevel="2" x14ac:dyDescent="0.25">
      <c r="B33" s="46" t="s">
        <v>261</v>
      </c>
      <c r="AX33" s="6">
        <f>AX32/AA32</f>
        <v>0</v>
      </c>
      <c r="AY33" s="6">
        <f>AY32/AB32</f>
        <v>0</v>
      </c>
      <c r="AZ33" s="6">
        <f>AZ32/AC32</f>
        <v>0</v>
      </c>
      <c r="BA33" s="6">
        <f>BA32/AD32</f>
        <v>0</v>
      </c>
    </row>
    <row r="34" spans="2:53" hidden="1" outlineLevel="2" x14ac:dyDescent="0.25">
      <c r="B34" s="46" t="s">
        <v>262</v>
      </c>
      <c r="AA34" s="48">
        <f>GEOMEAN(AA4:AA23,AA24:AA28)</f>
        <v>543.18837204157728</v>
      </c>
      <c r="AB34" s="48">
        <f>GEOMEAN(AB4:AB23,AB24:AB28)</f>
        <v>1713.2877579318681</v>
      </c>
      <c r="AC34" s="48">
        <f>GEOMEAN(AC4:AC23,AC24:AC28)</f>
        <v>330.96680693503436</v>
      </c>
      <c r="AD34" s="48">
        <f>GEOMEAN(AD4:AD23,AD24:AD28)</f>
        <v>27.803872615104346</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35"/>
  <sheetViews>
    <sheetView tabSelected="1" zoomScale="55" zoomScaleNormal="55" workbookViewId="0">
      <pane xSplit="2" topLeftCell="W1" activePane="topRight" state="frozen"/>
      <selection pane="topRight" activeCell="AF2" sqref="AF2:AF3"/>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5" t="s">
        <v>810</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1477</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32</v>
      </c>
      <c r="G4" s="19">
        <v>30</v>
      </c>
      <c r="I4" s="55">
        <f t="shared" ref="I4:I28" si="0">IF(OR(ISBLANK(R4),ISBLANK(G4)),"·",R4*G4/F4/1000000)</f>
        <v>1.8279825000000001</v>
      </c>
      <c r="J4" s="21">
        <f t="shared" ref="J4:J28" si="1">IF(ISBLANK(R4),"·",R4/D4)</f>
        <v>8.1876025574538318E-3</v>
      </c>
      <c r="K4" s="21">
        <f t="shared" ref="K4:K28" si="2">IF(BC4="","·",BC4/D4)</f>
        <v>5.7607591458314397E-3</v>
      </c>
      <c r="L4" s="21">
        <f t="shared" ref="L4:L28" si="3">IF(S4="","·",S4/D4)</f>
        <v>3.0267769205874718E-3</v>
      </c>
      <c r="M4" s="21">
        <f t="shared" ref="M4:M28" si="4">IF(ISBLANK(U4),"·",U4/D4)</f>
        <v>2.4257684425711074E-3</v>
      </c>
      <c r="N4" s="21">
        <f t="shared" ref="N4:N28" si="5">IF(ISBLANK(R4),"·",R4/O4)</f>
        <v>5.0785755959326558E-2</v>
      </c>
      <c r="O4" s="22">
        <v>38393600</v>
      </c>
      <c r="P4" s="22">
        <v>1199800</v>
      </c>
      <c r="Q4" s="22">
        <v>475463.625</v>
      </c>
      <c r="R4" s="23">
        <v>1949848</v>
      </c>
      <c r="S4" s="23">
        <v>720816</v>
      </c>
      <c r="T4" s="23">
        <v>651088</v>
      </c>
      <c r="U4" s="23">
        <v>577688</v>
      </c>
      <c r="V4" s="49">
        <v>66.269562500000006</v>
      </c>
      <c r="W4" s="49">
        <v>67.826503125000002</v>
      </c>
      <c r="X4" s="49">
        <v>32.385878124999998</v>
      </c>
      <c r="Y4" s="49">
        <v>44.748800000000003</v>
      </c>
      <c r="Z4" s="49">
        <v>44.496090625000001</v>
      </c>
      <c r="AA4" s="24">
        <v>486.166</v>
      </c>
      <c r="AB4" s="24">
        <v>2942.18</v>
      </c>
      <c r="AC4" s="24">
        <v>304.976</v>
      </c>
      <c r="AD4" s="24">
        <v>24.741</v>
      </c>
      <c r="AF4" s="55">
        <f t="shared" ref="AF4:AF28" si="6">IF(OR(ISBLANK(AO4),ISBLANK(G4)),"·",AO4*G4/F4/1000000)</f>
        <v>1.5731850000000001</v>
      </c>
      <c r="AG4" s="21">
        <f t="shared" ref="AG4:AG28" si="7">IF(ISBLANK(AO4),"·",AO4/D4)</f>
        <v>7.0463549456015063E-3</v>
      </c>
      <c r="AH4" s="21">
        <f t="shared" ref="AH4:AH28" si="8">IF(BD4="","·",BD4/D4)</f>
        <v>5.6959250749258677E-3</v>
      </c>
      <c r="AI4" s="21">
        <f t="shared" ref="AI4:AI28" si="9">IF(AP4="","·",AP4/D4)</f>
        <v>2.9619428496818999E-3</v>
      </c>
      <c r="AJ4" s="21">
        <f t="shared" ref="AJ4:AJ28" si="10">IF(ISBLANK(AR4),"·",AR4/D4)</f>
        <v>1.3493549016243543E-3</v>
      </c>
      <c r="AK4" s="21" t="e">
        <f t="shared" ref="AK4:AK28" si="11">IF(ISBLANK(AO4),"·",AO4/AL4)</f>
        <v>#DIV/0!</v>
      </c>
      <c r="AL4" s="22"/>
      <c r="AM4" s="22">
        <v>1199800</v>
      </c>
      <c r="AN4" s="22">
        <v>474466</v>
      </c>
      <c r="AO4" s="23">
        <v>1678064</v>
      </c>
      <c r="AP4" s="23">
        <v>705376</v>
      </c>
      <c r="AQ4" s="23">
        <v>651088</v>
      </c>
      <c r="AR4" s="23">
        <v>321344</v>
      </c>
      <c r="AS4" s="49">
        <v>66.454599999999999</v>
      </c>
      <c r="AT4" s="49">
        <v>68.099100000000007</v>
      </c>
      <c r="AU4" s="49">
        <v>31.451599999999999</v>
      </c>
      <c r="AV4" s="49">
        <v>43.868099999999998</v>
      </c>
      <c r="AW4" s="49">
        <v>43.602899999999998</v>
      </c>
      <c r="AX4" s="24"/>
      <c r="AY4" s="24"/>
      <c r="AZ4" s="24"/>
      <c r="BA4" s="24"/>
      <c r="BC4" s="18">
        <f t="shared" ref="BC4:BC28" si="12">IF(OR(ISBLANK(S4),ISBLANK(T4)),"",S4+T4)</f>
        <v>1371904</v>
      </c>
      <c r="BD4" s="18">
        <f t="shared" ref="BD4:BD28" si="13">IF(OR(ISBLANK(AP4),ISBLANK(AQ4)),"",AP4+AQ4)</f>
        <v>1356464</v>
      </c>
      <c r="BE4" s="20">
        <f t="shared" ref="BE4:BE28" si="14">(AN4/AM4) - (Q4/P4)</f>
        <v>-8.3149274879146251E-4</v>
      </c>
      <c r="BF4" s="20">
        <f t="shared" ref="BF4:BF28" si="15">(BD4/AO4) - (BC4/R4)</f>
        <v>0.10475521824845413</v>
      </c>
      <c r="BG4" s="20">
        <f t="array" ref="BG4">AVERAGE(BD4:BD8/AO4:AO8) - AVERAGE(BC4:BC8/R4:R8)</f>
        <v>0.14630874063862798</v>
      </c>
      <c r="BI4" s="50">
        <f>bdRateExtend( R4:R8,V4:V8, AO4:AO8,AS4:AS8)</f>
        <v>-0.26106719490090913</v>
      </c>
      <c r="BJ4" s="50">
        <f>bdRateExtend( R4:R8,W4:W8, AO4:AO8,AT4:AT8)</f>
        <v>-0.26041598215044359</v>
      </c>
      <c r="BK4" s="50">
        <f>bdRateExtend( R4:R8,X4:X8, AO4:AO8,AU4:AU8)</f>
        <v>-4.5265527190625932E-2</v>
      </c>
      <c r="BL4" s="50">
        <f>bdRateExtend( R4:R8,Y4:Y8, AO4:AO8,AV4:AV8)</f>
        <v>-5.522378946367823E-2</v>
      </c>
      <c r="BM4" s="50">
        <f>bdRateExtend( R4:R8,Z4:Z8, AO4:AO8,AW4:AW8)</f>
        <v>-3.2009049884016427E-2</v>
      </c>
      <c r="BO4" s="50">
        <f>bdRateExtend( BC4:BC8,V4:V8, BD4:BD8,AS4:AS8)</f>
        <v>-1.7920931237441207E-2</v>
      </c>
      <c r="BP4" s="50">
        <f>bdRateExtend( BC4:BC8,W4:W8, BD4:BD8,AT4:AT8)</f>
        <v>-1.5856219836083096E-2</v>
      </c>
      <c r="BQ4" s="50">
        <f>bdRateExtend( U4:U8,X4:X8, AR4:AR8,AU4:AU8)</f>
        <v>-0.26648464718634768</v>
      </c>
      <c r="BR4" s="50">
        <f>bdRateExtend( U4:U8,Y4:Y8, AR4:AR8,AV4:AV8)</f>
        <v>-0.26495785675773009</v>
      </c>
      <c r="BS4" s="50">
        <f>bdRateExtend( U4:U8,Z4:Z8, AR4:AR8,AW4:AW8)</f>
        <v>-0.23880600327984458</v>
      </c>
    </row>
    <row r="5" spans="1:71" outlineLevel="1" x14ac:dyDescent="0.25">
      <c r="A5" s="25"/>
      <c r="B5" s="25"/>
      <c r="C5" s="26" t="s">
        <v>311</v>
      </c>
      <c r="D5" s="25">
        <v>238146391</v>
      </c>
      <c r="E5" s="26">
        <v>10</v>
      </c>
      <c r="F5" s="26">
        <v>32</v>
      </c>
      <c r="G5" s="26">
        <v>30</v>
      </c>
      <c r="I5" s="56">
        <f t="shared" si="0"/>
        <v>2.5714350000000001</v>
      </c>
      <c r="J5" s="28">
        <f t="shared" si="1"/>
        <v>1.1517554343286268E-2</v>
      </c>
      <c r="K5" s="28">
        <f t="shared" si="2"/>
        <v>7.1706146493733768E-3</v>
      </c>
      <c r="L5" s="28">
        <f t="shared" si="3"/>
        <v>4.4366324241294089E-3</v>
      </c>
      <c r="M5" s="28">
        <f t="shared" si="4"/>
        <v>4.3458647248616087E-3</v>
      </c>
      <c r="N5" s="28">
        <f t="shared" si="5"/>
        <v>7.144065677612936E-2</v>
      </c>
      <c r="O5" s="29">
        <v>38393600</v>
      </c>
      <c r="P5" s="29">
        <v>1199800</v>
      </c>
      <c r="Q5" s="29">
        <v>426976.59375</v>
      </c>
      <c r="R5" s="30">
        <v>2742864</v>
      </c>
      <c r="S5" s="30">
        <v>1056568</v>
      </c>
      <c r="T5" s="30">
        <v>651088</v>
      </c>
      <c r="U5" s="30">
        <v>1034952</v>
      </c>
      <c r="V5" s="51">
        <v>67.885971874999996</v>
      </c>
      <c r="W5" s="51">
        <v>69.870931249999998</v>
      </c>
      <c r="X5" s="51">
        <v>34.607296875000003</v>
      </c>
      <c r="Y5" s="51">
        <v>45.862946874999999</v>
      </c>
      <c r="Z5" s="51">
        <v>45.86285625</v>
      </c>
      <c r="AA5" s="31">
        <v>486.95100000000002</v>
      </c>
      <c r="AB5" s="31">
        <v>3208.52</v>
      </c>
      <c r="AC5" s="31">
        <v>306.58499999999998</v>
      </c>
      <c r="AD5" s="31">
        <v>24.922999999999998</v>
      </c>
      <c r="AF5" s="56">
        <f t="shared" si="6"/>
        <v>2.1051600000000001</v>
      </c>
      <c r="AG5" s="28">
        <f t="shared" si="7"/>
        <v>9.4290910333383968E-3</v>
      </c>
      <c r="AH5" s="28">
        <f t="shared" si="8"/>
        <v>7.0630841514621144E-3</v>
      </c>
      <c r="AI5" s="28">
        <f t="shared" si="9"/>
        <v>4.3291019262181474E-3</v>
      </c>
      <c r="AJ5" s="28">
        <f t="shared" si="10"/>
        <v>2.3649319128249986E-3</v>
      </c>
      <c r="AK5" s="28" t="e">
        <f t="shared" si="11"/>
        <v>#DIV/0!</v>
      </c>
      <c r="AL5" s="29"/>
      <c r="AM5" s="29">
        <v>1199800</v>
      </c>
      <c r="AN5" s="29">
        <v>446520</v>
      </c>
      <c r="AO5" s="30">
        <v>2245504</v>
      </c>
      <c r="AP5" s="30">
        <v>1030960</v>
      </c>
      <c r="AQ5" s="30">
        <v>651088</v>
      </c>
      <c r="AR5" s="30">
        <v>563200</v>
      </c>
      <c r="AS5" s="51">
        <v>67.969300000000004</v>
      </c>
      <c r="AT5" s="51">
        <v>69.977500000000006</v>
      </c>
      <c r="AU5" s="51">
        <v>33.524799999999999</v>
      </c>
      <c r="AV5" s="51">
        <v>45.116399999999999</v>
      </c>
      <c r="AW5" s="51">
        <v>44.951599999999999</v>
      </c>
      <c r="AX5" s="31"/>
      <c r="AY5" s="31"/>
      <c r="AZ5" s="31"/>
      <c r="BA5" s="31"/>
      <c r="BC5" s="25">
        <f t="shared" si="12"/>
        <v>1707656</v>
      </c>
      <c r="BD5" s="25">
        <f t="shared" si="13"/>
        <v>1682048</v>
      </c>
      <c r="BE5" s="27">
        <f t="shared" si="14"/>
        <v>1.6288886689448223E-2</v>
      </c>
      <c r="BF5" s="27">
        <f t="shared" si="15"/>
        <v>0.12649234439825985</v>
      </c>
      <c r="BG5" s="27"/>
      <c r="BI5" s="52"/>
      <c r="BJ5" s="52"/>
      <c r="BK5" s="52"/>
      <c r="BL5" s="52"/>
      <c r="BM5" s="52"/>
      <c r="BO5" s="52"/>
      <c r="BP5" s="52"/>
      <c r="BQ5" s="52"/>
      <c r="BR5" s="52"/>
      <c r="BS5" s="52"/>
    </row>
    <row r="6" spans="1:71" outlineLevel="1" x14ac:dyDescent="0.25">
      <c r="A6" s="18"/>
      <c r="B6" s="18"/>
      <c r="C6" s="19" t="s">
        <v>312</v>
      </c>
      <c r="D6" s="18">
        <v>238146391</v>
      </c>
      <c r="E6" s="19">
        <v>10</v>
      </c>
      <c r="F6" s="19">
        <v>32</v>
      </c>
      <c r="G6" s="19">
        <v>30</v>
      </c>
      <c r="I6" s="55">
        <f t="shared" si="0"/>
        <v>3.9527925000000002</v>
      </c>
      <c r="J6" s="21">
        <f t="shared" si="1"/>
        <v>1.7704706681866113E-2</v>
      </c>
      <c r="K6" s="21">
        <f t="shared" si="2"/>
        <v>8.9911083305058356E-3</v>
      </c>
      <c r="L6" s="21">
        <f t="shared" si="3"/>
        <v>6.2571261052618678E-3</v>
      </c>
      <c r="M6" s="21">
        <f t="shared" si="4"/>
        <v>8.7125233823089933E-3</v>
      </c>
      <c r="N6" s="21">
        <f t="shared" si="5"/>
        <v>0.10981809468244708</v>
      </c>
      <c r="O6" s="22">
        <v>38393600</v>
      </c>
      <c r="P6" s="22">
        <v>1199800</v>
      </c>
      <c r="Q6" s="22">
        <v>401866.59375</v>
      </c>
      <c r="R6" s="23">
        <v>4216312</v>
      </c>
      <c r="S6" s="23">
        <v>1490112</v>
      </c>
      <c r="T6" s="23">
        <v>651088</v>
      </c>
      <c r="U6" s="23">
        <v>2074856</v>
      </c>
      <c r="V6" s="49">
        <v>69.134437500000004</v>
      </c>
      <c r="W6" s="49">
        <v>71.533903124999995</v>
      </c>
      <c r="X6" s="49">
        <v>37.167468749999998</v>
      </c>
      <c r="Y6" s="49">
        <v>47.205943750000003</v>
      </c>
      <c r="Z6" s="49">
        <v>47.181756249999999</v>
      </c>
      <c r="AA6" s="24">
        <v>485.33800000000002</v>
      </c>
      <c r="AB6" s="24">
        <v>3527.8</v>
      </c>
      <c r="AC6" s="24">
        <v>306.88299999999998</v>
      </c>
      <c r="AD6" s="24">
        <v>26.437000000000001</v>
      </c>
      <c r="AF6" s="55">
        <f t="shared" si="6"/>
        <v>3.0133200000000002</v>
      </c>
      <c r="AG6" s="21">
        <f t="shared" si="7"/>
        <v>1.3496773923397395E-2</v>
      </c>
      <c r="AH6" s="21">
        <f t="shared" si="8"/>
        <v>8.9628232073439233E-3</v>
      </c>
      <c r="AI6" s="21">
        <f t="shared" si="9"/>
        <v>6.2288409820999554E-3</v>
      </c>
      <c r="AJ6" s="21">
        <f t="shared" si="10"/>
        <v>4.5328757470021871E-3</v>
      </c>
      <c r="AK6" s="21" t="e">
        <f t="shared" si="11"/>
        <v>#DIV/0!</v>
      </c>
      <c r="AL6" s="22"/>
      <c r="AM6" s="22">
        <v>1199800</v>
      </c>
      <c r="AN6" s="22">
        <v>403659</v>
      </c>
      <c r="AO6" s="23">
        <v>3214208</v>
      </c>
      <c r="AP6" s="23">
        <v>1483376</v>
      </c>
      <c r="AQ6" s="23">
        <v>651088</v>
      </c>
      <c r="AR6" s="23">
        <v>1079488</v>
      </c>
      <c r="AS6" s="49">
        <v>69.231200000000001</v>
      </c>
      <c r="AT6" s="49">
        <v>71.643699999999995</v>
      </c>
      <c r="AU6" s="49">
        <v>35.92</v>
      </c>
      <c r="AV6" s="49">
        <v>46.425699999999999</v>
      </c>
      <c r="AW6" s="49">
        <v>46.289499999999997</v>
      </c>
      <c r="AX6" s="24"/>
      <c r="AY6" s="24"/>
      <c r="AZ6" s="24"/>
      <c r="BA6" s="24"/>
      <c r="BC6" s="18">
        <f t="shared" si="12"/>
        <v>2141200</v>
      </c>
      <c r="BD6" s="18">
        <f t="shared" si="13"/>
        <v>2134464</v>
      </c>
      <c r="BE6" s="20">
        <f t="shared" si="14"/>
        <v>1.4939208618103272E-3</v>
      </c>
      <c r="BF6" s="20">
        <f t="shared" si="15"/>
        <v>0.15623434151068027</v>
      </c>
      <c r="BG6" s="20"/>
      <c r="BI6" s="50"/>
      <c r="BJ6" s="50"/>
      <c r="BK6" s="50"/>
      <c r="BL6" s="50"/>
      <c r="BM6" s="50"/>
      <c r="BO6" s="50"/>
      <c r="BP6" s="50"/>
      <c r="BQ6" s="50"/>
      <c r="BR6" s="50"/>
      <c r="BS6" s="50"/>
    </row>
    <row r="7" spans="1:71" outlineLevel="1" x14ac:dyDescent="0.25">
      <c r="A7" s="25"/>
      <c r="B7" s="25"/>
      <c r="C7" s="26" t="s">
        <v>313</v>
      </c>
      <c r="D7" s="25">
        <v>238146391</v>
      </c>
      <c r="E7" s="26">
        <v>10</v>
      </c>
      <c r="F7" s="26">
        <v>32</v>
      </c>
      <c r="G7" s="26">
        <v>30</v>
      </c>
      <c r="I7" s="56">
        <f t="shared" si="0"/>
        <v>7.5366825000000004</v>
      </c>
      <c r="J7" s="28">
        <f t="shared" si="1"/>
        <v>3.3757085153560025E-2</v>
      </c>
      <c r="K7" s="28">
        <f t="shared" si="2"/>
        <v>1.2874937920012401E-2</v>
      </c>
      <c r="L7" s="28">
        <f t="shared" si="3"/>
        <v>1.0140955694768434E-2</v>
      </c>
      <c r="M7" s="28">
        <f t="shared" si="4"/>
        <v>2.0881072264496335E-2</v>
      </c>
      <c r="N7" s="28">
        <f t="shared" si="5"/>
        <v>0.20938718953158861</v>
      </c>
      <c r="O7" s="29">
        <v>38393600</v>
      </c>
      <c r="P7" s="29">
        <v>1199800</v>
      </c>
      <c r="Q7" s="29">
        <v>410735.125</v>
      </c>
      <c r="R7" s="30">
        <v>8039128</v>
      </c>
      <c r="S7" s="30">
        <v>2415032</v>
      </c>
      <c r="T7" s="30">
        <v>651088</v>
      </c>
      <c r="U7" s="30">
        <v>4972752</v>
      </c>
      <c r="V7" s="51">
        <v>70.408112500000001</v>
      </c>
      <c r="W7" s="51">
        <v>73.225959375000002</v>
      </c>
      <c r="X7" s="51">
        <v>39.681818749999998</v>
      </c>
      <c r="Y7" s="51">
        <v>48.367865625</v>
      </c>
      <c r="Z7" s="51">
        <v>48.514768750000002</v>
      </c>
      <c r="AA7" s="31">
        <v>482.56099999999998</v>
      </c>
      <c r="AB7" s="31">
        <v>3912.78</v>
      </c>
      <c r="AC7" s="31">
        <v>305.73099999999999</v>
      </c>
      <c r="AD7" s="31">
        <v>26.8</v>
      </c>
      <c r="AF7" s="56">
        <f t="shared" si="6"/>
        <v>5.0319075</v>
      </c>
      <c r="AG7" s="28">
        <f t="shared" si="7"/>
        <v>2.2538103464267909E-2</v>
      </c>
      <c r="AH7" s="28">
        <f t="shared" si="8"/>
        <v>1.2994864154796282E-2</v>
      </c>
      <c r="AI7" s="28">
        <f t="shared" si="9"/>
        <v>1.0260881929552315E-2</v>
      </c>
      <c r="AJ7" s="28">
        <f t="shared" si="10"/>
        <v>9.5421643404203418E-3</v>
      </c>
      <c r="AK7" s="28" t="e">
        <f t="shared" si="11"/>
        <v>#DIV/0!</v>
      </c>
      <c r="AL7" s="29"/>
      <c r="AM7" s="29">
        <v>1199800</v>
      </c>
      <c r="AN7" s="29">
        <v>406784</v>
      </c>
      <c r="AO7" s="30">
        <v>5367368</v>
      </c>
      <c r="AP7" s="30">
        <v>2443592</v>
      </c>
      <c r="AQ7" s="30">
        <v>651088</v>
      </c>
      <c r="AR7" s="30">
        <v>2272432</v>
      </c>
      <c r="AS7" s="51">
        <v>70.430599999999998</v>
      </c>
      <c r="AT7" s="51">
        <v>73.240600000000001</v>
      </c>
      <c r="AU7" s="51">
        <v>38.380099999999999</v>
      </c>
      <c r="AV7" s="51">
        <v>47.787500000000001</v>
      </c>
      <c r="AW7" s="51">
        <v>47.8279</v>
      </c>
      <c r="AX7" s="31"/>
      <c r="AY7" s="31"/>
      <c r="AZ7" s="31"/>
      <c r="BA7" s="31"/>
      <c r="BC7" s="25">
        <f t="shared" si="12"/>
        <v>3066120</v>
      </c>
      <c r="BD7" s="25">
        <f t="shared" si="13"/>
        <v>3094680</v>
      </c>
      <c r="BE7" s="27">
        <f t="shared" si="14"/>
        <v>-3.2931530255042585E-3</v>
      </c>
      <c r="BF7" s="27">
        <f t="shared" si="15"/>
        <v>0.19517352408995908</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32</v>
      </c>
      <c r="G8" s="40">
        <v>30</v>
      </c>
      <c r="I8" s="58">
        <f t="shared" si="0"/>
        <v>15.142860000000001</v>
      </c>
      <c r="J8" s="42">
        <f t="shared" si="1"/>
        <v>6.7825441033032494E-2</v>
      </c>
      <c r="K8" s="42">
        <f t="shared" si="2"/>
        <v>2.0169341974197712E-2</v>
      </c>
      <c r="L8" s="42">
        <f t="shared" si="3"/>
        <v>1.7435359748953744E-2</v>
      </c>
      <c r="M8" s="42">
        <f t="shared" si="4"/>
        <v>4.7655024089783497E-2</v>
      </c>
      <c r="N8" s="42">
        <f t="shared" si="5"/>
        <v>0.42070511751958661</v>
      </c>
      <c r="O8" s="43">
        <v>38393600</v>
      </c>
      <c r="P8" s="43">
        <v>1199800</v>
      </c>
      <c r="Q8" s="43">
        <v>407327.46875</v>
      </c>
      <c r="R8" s="44">
        <v>16152384</v>
      </c>
      <c r="S8" s="44">
        <v>4152168</v>
      </c>
      <c r="T8" s="44">
        <v>651088</v>
      </c>
      <c r="U8" s="44">
        <v>11348872</v>
      </c>
      <c r="V8" s="59">
        <v>71.506918749999997</v>
      </c>
      <c r="W8" s="59">
        <v>74.669775000000001</v>
      </c>
      <c r="X8" s="59">
        <v>42.167787500000003</v>
      </c>
      <c r="Y8" s="59">
        <v>49.991206249999998</v>
      </c>
      <c r="Z8" s="59">
        <v>50.162418750000001</v>
      </c>
      <c r="AA8" s="45">
        <v>482.19799999999998</v>
      </c>
      <c r="AB8" s="45">
        <v>4375.1499999999996</v>
      </c>
      <c r="AC8" s="45">
        <v>306.74</v>
      </c>
      <c r="AD8" s="45">
        <v>27.552</v>
      </c>
      <c r="AF8" s="58">
        <f t="shared" si="6"/>
        <v>10.25067</v>
      </c>
      <c r="AG8" s="42">
        <f t="shared" si="7"/>
        <v>4.5913137520526184E-2</v>
      </c>
      <c r="AH8" s="42">
        <f t="shared" si="8"/>
        <v>2.048917885973758E-2</v>
      </c>
      <c r="AI8" s="42">
        <f t="shared" si="9"/>
        <v>1.7755196634493611E-2</v>
      </c>
      <c r="AJ8" s="42">
        <f t="shared" si="10"/>
        <v>2.5422883691737324E-2</v>
      </c>
      <c r="AK8" s="42" t="e">
        <f t="shared" si="11"/>
        <v>#DIV/0!</v>
      </c>
      <c r="AL8" s="43"/>
      <c r="AM8" s="43">
        <v>1199800</v>
      </c>
      <c r="AN8" s="43">
        <v>406138</v>
      </c>
      <c r="AO8" s="44">
        <v>10934048</v>
      </c>
      <c r="AP8" s="44">
        <v>4228336</v>
      </c>
      <c r="AQ8" s="44">
        <v>651088</v>
      </c>
      <c r="AR8" s="44">
        <v>6054368</v>
      </c>
      <c r="AS8" s="59">
        <v>71.535499999999999</v>
      </c>
      <c r="AT8" s="59">
        <v>74.693200000000004</v>
      </c>
      <c r="AU8" s="59">
        <v>41.003500000000003</v>
      </c>
      <c r="AV8" s="59">
        <v>49.4559</v>
      </c>
      <c r="AW8" s="59">
        <v>49.590400000000002</v>
      </c>
      <c r="AX8" s="45"/>
      <c r="AY8" s="45"/>
      <c r="AZ8" s="45"/>
      <c r="BA8" s="45"/>
      <c r="BC8" s="39">
        <f t="shared" si="12"/>
        <v>4803256</v>
      </c>
      <c r="BD8" s="39">
        <f t="shared" si="13"/>
        <v>4879424</v>
      </c>
      <c r="BE8" s="41">
        <f t="shared" si="14"/>
        <v>-9.9138918986496627E-4</v>
      </c>
      <c r="BF8" s="41">
        <f t="shared" si="15"/>
        <v>0.14888827494578633</v>
      </c>
      <c r="BG8" s="41"/>
      <c r="BI8" s="60"/>
      <c r="BJ8" s="60"/>
      <c r="BK8" s="60"/>
      <c r="BL8" s="60"/>
      <c r="BM8" s="60"/>
      <c r="BO8" s="60"/>
      <c r="BP8" s="60"/>
      <c r="BQ8" s="60"/>
      <c r="BR8" s="60"/>
      <c r="BS8" s="60"/>
    </row>
    <row r="9" spans="1:71" x14ac:dyDescent="0.25">
      <c r="A9" s="25"/>
      <c r="B9" s="25" t="s">
        <v>557</v>
      </c>
      <c r="C9" s="26" t="s">
        <v>310</v>
      </c>
      <c r="D9" s="25">
        <v>218121242</v>
      </c>
      <c r="E9" s="26">
        <v>10</v>
      </c>
      <c r="F9" s="26">
        <v>32</v>
      </c>
      <c r="G9" s="26">
        <v>30</v>
      </c>
      <c r="I9" s="56">
        <f t="shared" si="0"/>
        <v>2.8004175</v>
      </c>
      <c r="J9" s="28">
        <f t="shared" si="1"/>
        <v>1.3694732216864968E-2</v>
      </c>
      <c r="K9" s="28">
        <f t="shared" si="2"/>
        <v>7.7250247823180832E-3</v>
      </c>
      <c r="L9" s="28">
        <f t="shared" si="3"/>
        <v>4.1312803454511783E-3</v>
      </c>
      <c r="M9" s="28">
        <f t="shared" si="4"/>
        <v>5.9685337753578351E-3</v>
      </c>
      <c r="N9" s="28">
        <f t="shared" si="5"/>
        <v>8.6973647186853034E-2</v>
      </c>
      <c r="O9" s="29">
        <v>34345024</v>
      </c>
      <c r="P9" s="29">
        <v>1073282</v>
      </c>
      <c r="Q9" s="29">
        <v>422493.0625</v>
      </c>
      <c r="R9" s="30">
        <v>2987112</v>
      </c>
      <c r="S9" s="30">
        <v>901120</v>
      </c>
      <c r="T9" s="30">
        <v>783872</v>
      </c>
      <c r="U9" s="30">
        <v>1301864</v>
      </c>
      <c r="V9" s="51">
        <v>65.871990624999995</v>
      </c>
      <c r="W9" s="51">
        <v>67.746165625000003</v>
      </c>
      <c r="X9" s="51">
        <v>32.620512499999997</v>
      </c>
      <c r="Y9" s="51">
        <v>39.547240625000001</v>
      </c>
      <c r="Z9" s="51">
        <v>32.229071875000002</v>
      </c>
      <c r="AA9" s="31">
        <v>457.21600000000001</v>
      </c>
      <c r="AB9" s="31">
        <v>3775.78</v>
      </c>
      <c r="AC9" s="31">
        <v>275.74599999999998</v>
      </c>
      <c r="AD9" s="31">
        <v>25.812999999999999</v>
      </c>
      <c r="AF9" s="56">
        <f t="shared" si="6"/>
        <v>2.2684275</v>
      </c>
      <c r="AG9" s="28">
        <f t="shared" si="7"/>
        <v>1.1093169916940048E-2</v>
      </c>
      <c r="AH9" s="28">
        <f t="shared" si="8"/>
        <v>7.6570992567518937E-3</v>
      </c>
      <c r="AI9" s="28">
        <f t="shared" si="9"/>
        <v>4.0633548198849888E-3</v>
      </c>
      <c r="AJ9" s="28">
        <f t="shared" si="10"/>
        <v>3.434897000999105E-3</v>
      </c>
      <c r="AK9" s="28" t="e">
        <f t="shared" si="11"/>
        <v>#DIV/0!</v>
      </c>
      <c r="AL9" s="29"/>
      <c r="AM9" s="29">
        <v>1073282</v>
      </c>
      <c r="AN9" s="29">
        <v>428510</v>
      </c>
      <c r="AO9" s="30">
        <v>2419656</v>
      </c>
      <c r="AP9" s="30">
        <v>886304</v>
      </c>
      <c r="AQ9" s="30">
        <v>783872</v>
      </c>
      <c r="AR9" s="30">
        <v>749224</v>
      </c>
      <c r="AS9" s="51">
        <v>65.854100000000003</v>
      </c>
      <c r="AT9" s="51">
        <v>67.761399999999995</v>
      </c>
      <c r="AU9" s="51">
        <v>30.907599999999999</v>
      </c>
      <c r="AV9" s="51">
        <v>38.380099999999999</v>
      </c>
      <c r="AW9" s="51">
        <v>30.027200000000001</v>
      </c>
      <c r="AX9" s="31"/>
      <c r="AY9" s="31"/>
      <c r="AZ9" s="31"/>
      <c r="BA9" s="31"/>
      <c r="BC9" s="25">
        <f t="shared" si="12"/>
        <v>1684992</v>
      </c>
      <c r="BD9" s="25">
        <f t="shared" si="13"/>
        <v>1670176</v>
      </c>
      <c r="BE9" s="27">
        <f t="shared" si="14"/>
        <v>5.606110509633111E-3</v>
      </c>
      <c r="BF9" s="27">
        <f t="shared" si="15"/>
        <v>0.12616617145587394</v>
      </c>
      <c r="BG9" s="27">
        <f t="array" ref="BG9">AVERAGE(BD9:BD13/AO9:AO13) - AVERAGE(BC9:BC13/R9:R13)</f>
        <v>0.13121183684631776</v>
      </c>
      <c r="BI9" s="52">
        <f>bdRateExtend( R9:R13,V9:V13, AO9:AO13,AS9:AS13)</f>
        <v>-0.25006883915565004</v>
      </c>
      <c r="BJ9" s="52">
        <f>bdRateExtend( R9:R13,W9:W13, AO9:AO13,AT9:AT13)</f>
        <v>-0.25704077477607612</v>
      </c>
      <c r="BK9" s="52">
        <f>bdRateExtend( R9:R13,X9:X13, AO9:AO13,AU9:AU13)</f>
        <v>9.6781958491368059E-2</v>
      </c>
      <c r="BL9" s="52">
        <f>bdRateExtend( R9:R13,Y9:Y13, AO9:AO13,AV9:AV13)</f>
        <v>6.0143188207705922E-2</v>
      </c>
      <c r="BM9" s="52">
        <f>bdRateExtend( R9:R13,Z9:Z13, AO9:AO13,AW9:AW13)</f>
        <v>0.10160997454375553</v>
      </c>
      <c r="BO9" s="52">
        <f>bdRateExtend( BC9:BC13,V9:V13, BD9:BD13,AS9:AS13)</f>
        <v>-4.3138804010619536E-3</v>
      </c>
      <c r="BP9" s="52">
        <f>bdRateExtend( BC9:BC13,W9:W13, BD9:BD13,AT9:AT13)</f>
        <v>-7.5280119506095922E-3</v>
      </c>
      <c r="BQ9" s="52">
        <f>bdRateExtend( U9:U13,X9:X13, AR9:AR13,AU9:AU13)</f>
        <v>-4.4716525445104516E-2</v>
      </c>
      <c r="BR9" s="52">
        <f>bdRateExtend( U9:U13,Y9:Y13, AR9:AR13,AV9:AV13)</f>
        <v>-8.3636454418923978E-2</v>
      </c>
      <c r="BS9" s="52">
        <f>bdRateExtend( U9:U13,Z9:Z13, AR9:AR13,AW9:AW13)</f>
        <v>-3.8392863232327712E-2</v>
      </c>
    </row>
    <row r="10" spans="1:71" outlineLevel="1" x14ac:dyDescent="0.25">
      <c r="A10" s="18"/>
      <c r="B10" s="18"/>
      <c r="C10" s="19" t="s">
        <v>311</v>
      </c>
      <c r="D10" s="18">
        <v>218121242</v>
      </c>
      <c r="E10" s="19">
        <v>10</v>
      </c>
      <c r="F10" s="19">
        <v>32</v>
      </c>
      <c r="G10" s="19">
        <v>30</v>
      </c>
      <c r="I10" s="55">
        <f t="shared" si="0"/>
        <v>3.9408824999999998</v>
      </c>
      <c r="J10" s="21">
        <f t="shared" si="1"/>
        <v>1.9271887329524742E-2</v>
      </c>
      <c r="K10" s="21">
        <f t="shared" si="2"/>
        <v>9.7011367650290566E-3</v>
      </c>
      <c r="L10" s="21">
        <f t="shared" si="3"/>
        <v>6.1073923281621508E-3</v>
      </c>
      <c r="M10" s="21">
        <f t="shared" si="4"/>
        <v>9.5695769053066367E-3</v>
      </c>
      <c r="N10" s="21">
        <f t="shared" si="5"/>
        <v>0.12239350888210182</v>
      </c>
      <c r="O10" s="22">
        <v>34345024</v>
      </c>
      <c r="P10" s="22">
        <v>1073282</v>
      </c>
      <c r="Q10" s="22">
        <v>385741.09375</v>
      </c>
      <c r="R10" s="23">
        <v>4203608</v>
      </c>
      <c r="S10" s="23">
        <v>1332152</v>
      </c>
      <c r="T10" s="23">
        <v>783872</v>
      </c>
      <c r="U10" s="23">
        <v>2087328</v>
      </c>
      <c r="V10" s="49">
        <v>67.508315624999994</v>
      </c>
      <c r="W10" s="49">
        <v>69.624300000000005</v>
      </c>
      <c r="X10" s="49">
        <v>34.506628124999999</v>
      </c>
      <c r="Y10" s="49">
        <v>40.397100000000002</v>
      </c>
      <c r="Z10" s="49">
        <v>33.94225625</v>
      </c>
      <c r="AA10" s="24">
        <v>459.02699999999999</v>
      </c>
      <c r="AB10" s="24">
        <v>4121.25</v>
      </c>
      <c r="AC10" s="24">
        <v>277.82299999999998</v>
      </c>
      <c r="AD10" s="24">
        <v>26.352</v>
      </c>
      <c r="AF10" s="55">
        <f t="shared" si="6"/>
        <v>3.1507350000000001</v>
      </c>
      <c r="AG10" s="21">
        <f t="shared" si="7"/>
        <v>1.5407871187529731E-2</v>
      </c>
      <c r="AH10" s="21">
        <f t="shared" si="8"/>
        <v>9.574674987409066E-3</v>
      </c>
      <c r="AI10" s="21">
        <f t="shared" si="9"/>
        <v>5.9809305505421611E-3</v>
      </c>
      <c r="AJ10" s="21">
        <f t="shared" si="10"/>
        <v>5.8320225409316164E-3</v>
      </c>
      <c r="AK10" s="21" t="e">
        <f t="shared" si="11"/>
        <v>#DIV/0!</v>
      </c>
      <c r="AL10" s="22"/>
      <c r="AM10" s="22">
        <v>1073282</v>
      </c>
      <c r="AN10" s="22">
        <v>399111</v>
      </c>
      <c r="AO10" s="23">
        <v>3360784</v>
      </c>
      <c r="AP10" s="23">
        <v>1304568</v>
      </c>
      <c r="AQ10" s="23">
        <v>783872</v>
      </c>
      <c r="AR10" s="23">
        <v>1272088</v>
      </c>
      <c r="AS10" s="49">
        <v>67.452399999999997</v>
      </c>
      <c r="AT10" s="49">
        <v>69.623099999999994</v>
      </c>
      <c r="AU10" s="49">
        <v>32.796599999999998</v>
      </c>
      <c r="AV10" s="49">
        <v>39.6203</v>
      </c>
      <c r="AW10" s="49">
        <v>32.279299999999999</v>
      </c>
      <c r="AX10" s="24"/>
      <c r="AY10" s="24"/>
      <c r="AZ10" s="24"/>
      <c r="BA10" s="24"/>
      <c r="BC10" s="18">
        <f t="shared" si="12"/>
        <v>2116024</v>
      </c>
      <c r="BD10" s="18">
        <f t="shared" si="13"/>
        <v>2088440</v>
      </c>
      <c r="BE10" s="20">
        <f t="shared" si="14"/>
        <v>1.2457030165417826E-2</v>
      </c>
      <c r="BF10" s="20">
        <f t="shared" si="15"/>
        <v>0.11803171879423191</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32</v>
      </c>
      <c r="G11" s="26">
        <v>30</v>
      </c>
      <c r="I11" s="56">
        <f t="shared" si="0"/>
        <v>6.1459200000000003</v>
      </c>
      <c r="J11" s="28">
        <f t="shared" si="1"/>
        <v>3.0055064513157322E-2</v>
      </c>
      <c r="K11" s="28">
        <f t="shared" si="2"/>
        <v>1.2508346160985092E-2</v>
      </c>
      <c r="L11" s="28">
        <f t="shared" si="3"/>
        <v>8.914601724118185E-3</v>
      </c>
      <c r="M11" s="28">
        <f t="shared" si="4"/>
        <v>1.7545544692983181E-2</v>
      </c>
      <c r="N11" s="28">
        <f t="shared" si="5"/>
        <v>0.19087620960754023</v>
      </c>
      <c r="O11" s="29">
        <v>34345024</v>
      </c>
      <c r="P11" s="29">
        <v>1073282</v>
      </c>
      <c r="Q11" s="29">
        <v>357398.1875</v>
      </c>
      <c r="R11" s="30">
        <v>6555648</v>
      </c>
      <c r="S11" s="30">
        <v>1944464</v>
      </c>
      <c r="T11" s="30">
        <v>783872</v>
      </c>
      <c r="U11" s="30">
        <v>3827056</v>
      </c>
      <c r="V11" s="51">
        <v>68.781321875000003</v>
      </c>
      <c r="W11" s="51">
        <v>71.254831249999995</v>
      </c>
      <c r="X11" s="51">
        <v>36.624259375000001</v>
      </c>
      <c r="Y11" s="51">
        <v>41.349571875000002</v>
      </c>
      <c r="Z11" s="51">
        <v>35.725368750000001</v>
      </c>
      <c r="AA11" s="31">
        <v>457.392</v>
      </c>
      <c r="AB11" s="31">
        <v>4483.99</v>
      </c>
      <c r="AC11" s="31">
        <v>277.53100000000001</v>
      </c>
      <c r="AD11" s="31">
        <v>27.161000000000001</v>
      </c>
      <c r="AF11" s="56">
        <f t="shared" si="6"/>
        <v>4.5712650000000004</v>
      </c>
      <c r="AG11" s="28">
        <f t="shared" si="7"/>
        <v>2.2354613220109943E-2</v>
      </c>
      <c r="AH11" s="28">
        <f t="shared" si="8"/>
        <v>1.2456118327072427E-2</v>
      </c>
      <c r="AI11" s="28">
        <f t="shared" si="9"/>
        <v>8.8623738902055219E-3</v>
      </c>
      <c r="AJ11" s="28">
        <f t="shared" si="10"/>
        <v>9.8973212338484672E-3</v>
      </c>
      <c r="AK11" s="28" t="e">
        <f t="shared" si="11"/>
        <v>#DIV/0!</v>
      </c>
      <c r="AL11" s="29"/>
      <c r="AM11" s="29">
        <v>1073282</v>
      </c>
      <c r="AN11" s="29">
        <v>358247</v>
      </c>
      <c r="AO11" s="30">
        <v>4876016</v>
      </c>
      <c r="AP11" s="30">
        <v>1933072</v>
      </c>
      <c r="AQ11" s="30">
        <v>783872</v>
      </c>
      <c r="AR11" s="30">
        <v>2158816</v>
      </c>
      <c r="AS11" s="51">
        <v>68.802499999999995</v>
      </c>
      <c r="AT11" s="51">
        <v>71.279300000000006</v>
      </c>
      <c r="AU11" s="51">
        <v>34.825800000000001</v>
      </c>
      <c r="AV11" s="51">
        <v>40.548200000000001</v>
      </c>
      <c r="AW11" s="51">
        <v>34.144100000000002</v>
      </c>
      <c r="AX11" s="31"/>
      <c r="AY11" s="31"/>
      <c r="AZ11" s="31"/>
      <c r="BA11" s="31"/>
      <c r="BC11" s="25">
        <f t="shared" si="12"/>
        <v>2728336</v>
      </c>
      <c r="BD11" s="25">
        <f t="shared" si="13"/>
        <v>2716944</v>
      </c>
      <c r="BE11" s="27">
        <f t="shared" si="14"/>
        <v>7.9085692297081733E-4</v>
      </c>
      <c r="BF11" s="27">
        <f t="shared" si="15"/>
        <v>0.14102474016668731</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32</v>
      </c>
      <c r="G12" s="19">
        <v>30</v>
      </c>
      <c r="I12" s="55">
        <f t="shared" si="0"/>
        <v>11.356005</v>
      </c>
      <c r="J12" s="21">
        <f t="shared" si="1"/>
        <v>5.5533665079717451E-2</v>
      </c>
      <c r="K12" s="21">
        <f t="shared" si="2"/>
        <v>1.781130514560338E-2</v>
      </c>
      <c r="L12" s="21">
        <f t="shared" si="3"/>
        <v>1.4217560708736475E-2</v>
      </c>
      <c r="M12" s="21">
        <f t="shared" si="4"/>
        <v>3.7721186274925024E-2</v>
      </c>
      <c r="N12" s="21">
        <f t="shared" si="5"/>
        <v>0.35268783041176505</v>
      </c>
      <c r="O12" s="22">
        <v>34345024</v>
      </c>
      <c r="P12" s="22">
        <v>1073282</v>
      </c>
      <c r="Q12" s="22">
        <v>364633.15625</v>
      </c>
      <c r="R12" s="23">
        <v>12113072</v>
      </c>
      <c r="S12" s="23">
        <v>3101152</v>
      </c>
      <c r="T12" s="23">
        <v>783872</v>
      </c>
      <c r="U12" s="23">
        <v>8227792</v>
      </c>
      <c r="V12" s="49">
        <v>69.946584375</v>
      </c>
      <c r="W12" s="49">
        <v>72.806884374999996</v>
      </c>
      <c r="X12" s="49">
        <v>38.888734374999999</v>
      </c>
      <c r="Y12" s="49">
        <v>42.424409375000003</v>
      </c>
      <c r="Z12" s="49">
        <v>37.746043749999998</v>
      </c>
      <c r="AA12" s="24">
        <v>456.36399999999998</v>
      </c>
      <c r="AB12" s="24">
        <v>4891.5</v>
      </c>
      <c r="AC12" s="24">
        <v>276.62799999999999</v>
      </c>
      <c r="AD12" s="24">
        <v>28.096</v>
      </c>
      <c r="AF12" s="55">
        <f t="shared" si="6"/>
        <v>7.6165200000000004</v>
      </c>
      <c r="AG12" s="21">
        <f t="shared" si="7"/>
        <v>3.7246661194052802E-2</v>
      </c>
      <c r="AH12" s="21">
        <f t="shared" si="8"/>
        <v>1.783613537282169E-2</v>
      </c>
      <c r="AI12" s="21">
        <f t="shared" si="9"/>
        <v>1.4242390935954785E-2</v>
      </c>
      <c r="AJ12" s="21">
        <f t="shared" si="10"/>
        <v>1.9409352162042062E-2</v>
      </c>
      <c r="AK12" s="21" t="e">
        <f t="shared" si="11"/>
        <v>#DIV/0!</v>
      </c>
      <c r="AL12" s="22"/>
      <c r="AM12" s="22">
        <v>1073282</v>
      </c>
      <c r="AN12" s="22">
        <v>363160</v>
      </c>
      <c r="AO12" s="23">
        <v>8124288</v>
      </c>
      <c r="AP12" s="23">
        <v>3106568</v>
      </c>
      <c r="AQ12" s="23">
        <v>783872</v>
      </c>
      <c r="AR12" s="23">
        <v>4233592</v>
      </c>
      <c r="AS12" s="49">
        <v>69.955600000000004</v>
      </c>
      <c r="AT12" s="49">
        <v>72.8172</v>
      </c>
      <c r="AU12" s="49">
        <v>37.040100000000002</v>
      </c>
      <c r="AV12" s="49">
        <v>41.612499999999997</v>
      </c>
      <c r="AW12" s="49">
        <v>36.116599999999998</v>
      </c>
      <c r="AX12" s="24"/>
      <c r="AY12" s="24"/>
      <c r="AZ12" s="24"/>
      <c r="BA12" s="24"/>
      <c r="BC12" s="18">
        <f t="shared" si="12"/>
        <v>3885024</v>
      </c>
      <c r="BD12" s="18">
        <f t="shared" si="13"/>
        <v>3890440</v>
      </c>
      <c r="BE12" s="20">
        <f t="shared" si="14"/>
        <v>-1.3725714677036982E-3</v>
      </c>
      <c r="BF12" s="20">
        <f t="shared" si="15"/>
        <v>0.15813547860312238</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32</v>
      </c>
      <c r="G13" s="33">
        <v>30</v>
      </c>
      <c r="I13" s="57">
        <f t="shared" si="0"/>
        <v>22.08249</v>
      </c>
      <c r="J13" s="35">
        <f t="shared" si="1"/>
        <v>0.10798882210656036</v>
      </c>
      <c r="K13" s="35">
        <f t="shared" si="2"/>
        <v>2.7068541999224451E-2</v>
      </c>
      <c r="L13" s="35">
        <f t="shared" si="3"/>
        <v>2.3474797562357545E-2</v>
      </c>
      <c r="M13" s="35">
        <f t="shared" si="4"/>
        <v>8.0919106448146857E-2</v>
      </c>
      <c r="N13" s="35">
        <f t="shared" si="5"/>
        <v>0.68582441520495074</v>
      </c>
      <c r="O13" s="36">
        <v>34345024</v>
      </c>
      <c r="P13" s="36">
        <v>1073282</v>
      </c>
      <c r="Q13" s="36">
        <v>362078.8125</v>
      </c>
      <c r="R13" s="37">
        <v>23554656</v>
      </c>
      <c r="S13" s="37">
        <v>5120352</v>
      </c>
      <c r="T13" s="37">
        <v>783872</v>
      </c>
      <c r="U13" s="37">
        <v>17650176</v>
      </c>
      <c r="V13" s="53">
        <v>70.939449999999994</v>
      </c>
      <c r="W13" s="53">
        <v>74.1043375</v>
      </c>
      <c r="X13" s="53">
        <v>41.301409374999999</v>
      </c>
      <c r="Y13" s="53">
        <v>43.7074</v>
      </c>
      <c r="Z13" s="53">
        <v>39.667693749999998</v>
      </c>
      <c r="AA13" s="38">
        <v>455.79599999999999</v>
      </c>
      <c r="AB13" s="38">
        <v>5415.99</v>
      </c>
      <c r="AC13" s="38">
        <v>275.745</v>
      </c>
      <c r="AD13" s="38">
        <v>28.99</v>
      </c>
      <c r="AF13" s="57">
        <f t="shared" si="6"/>
        <v>15.316867500000001</v>
      </c>
      <c r="AG13" s="35">
        <f t="shared" si="7"/>
        <v>7.4903259536730493E-2</v>
      </c>
      <c r="AH13" s="35">
        <f t="shared" si="8"/>
        <v>2.7216973209789445E-2</v>
      </c>
      <c r="AI13" s="35">
        <f t="shared" si="9"/>
        <v>2.3623228772922538E-2</v>
      </c>
      <c r="AJ13" s="35">
        <f t="shared" si="10"/>
        <v>4.7685112667752001E-2</v>
      </c>
      <c r="AK13" s="35" t="e">
        <f t="shared" si="11"/>
        <v>#DIV/0!</v>
      </c>
      <c r="AL13" s="36"/>
      <c r="AM13" s="36">
        <v>1073282</v>
      </c>
      <c r="AN13" s="36">
        <v>360314</v>
      </c>
      <c r="AO13" s="37">
        <v>16337992</v>
      </c>
      <c r="AP13" s="37">
        <v>5152728</v>
      </c>
      <c r="AQ13" s="37">
        <v>783872</v>
      </c>
      <c r="AR13" s="37">
        <v>10401136</v>
      </c>
      <c r="AS13" s="53">
        <v>70.940600000000003</v>
      </c>
      <c r="AT13" s="53">
        <v>74.1083</v>
      </c>
      <c r="AU13" s="53">
        <v>39.6922</v>
      </c>
      <c r="AV13" s="53">
        <v>42.993400000000001</v>
      </c>
      <c r="AW13" s="53">
        <v>38.4679</v>
      </c>
      <c r="AX13" s="38"/>
      <c r="AY13" s="38"/>
      <c r="AZ13" s="38"/>
      <c r="BA13" s="38"/>
      <c r="BC13" s="32">
        <f t="shared" si="12"/>
        <v>5904224</v>
      </c>
      <c r="BD13" s="32">
        <f t="shared" si="13"/>
        <v>5936600</v>
      </c>
      <c r="BE13" s="34">
        <f t="shared" si="14"/>
        <v>-1.6443138895462783E-3</v>
      </c>
      <c r="BF13" s="34">
        <f t="shared" si="15"/>
        <v>0.112701075211673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32</v>
      </c>
      <c r="G14" s="19">
        <v>30</v>
      </c>
      <c r="I14" s="55">
        <f t="shared" si="0"/>
        <v>3.2638124999999998</v>
      </c>
      <c r="J14" s="21">
        <f t="shared" si="1"/>
        <v>1.0792036933702013E-2</v>
      </c>
      <c r="K14" s="21">
        <f t="shared" si="2"/>
        <v>6.593266845243145E-3</v>
      </c>
      <c r="L14" s="21">
        <f t="shared" si="3"/>
        <v>3.2352923452262446E-3</v>
      </c>
      <c r="M14" s="21">
        <f t="shared" si="4"/>
        <v>4.1979765107444346E-3</v>
      </c>
      <c r="N14" s="21">
        <f t="shared" si="5"/>
        <v>6.805943155849413E-2</v>
      </c>
      <c r="O14" s="22">
        <v>51152352</v>
      </c>
      <c r="P14" s="22">
        <v>1598511</v>
      </c>
      <c r="Q14" s="22">
        <v>596532.96875</v>
      </c>
      <c r="R14" s="23">
        <v>3481400</v>
      </c>
      <c r="S14" s="23">
        <v>1043672</v>
      </c>
      <c r="T14" s="23">
        <v>1083248</v>
      </c>
      <c r="U14" s="23">
        <v>1354224</v>
      </c>
      <c r="V14" s="49">
        <v>66.059456249999997</v>
      </c>
      <c r="W14" s="49">
        <v>67.702784374999993</v>
      </c>
      <c r="X14" s="49">
        <v>29.8489875</v>
      </c>
      <c r="Y14" s="49">
        <v>43.540609375000003</v>
      </c>
      <c r="Z14" s="49">
        <v>43.801746874999999</v>
      </c>
      <c r="AA14" s="24">
        <v>683.96699999999998</v>
      </c>
      <c r="AB14" s="24">
        <v>3317.6</v>
      </c>
      <c r="AC14" s="24">
        <v>431.13499999999999</v>
      </c>
      <c r="AD14" s="24">
        <v>25.29</v>
      </c>
      <c r="AF14" s="55">
        <f t="shared" si="6"/>
        <v>2.602125</v>
      </c>
      <c r="AG14" s="21">
        <f t="shared" si="7"/>
        <v>8.6041183757061268E-3</v>
      </c>
      <c r="AH14" s="21">
        <f t="shared" si="8"/>
        <v>6.4358904647496126E-3</v>
      </c>
      <c r="AI14" s="21">
        <f t="shared" si="9"/>
        <v>3.0779159647327122E-3</v>
      </c>
      <c r="AJ14" s="21">
        <f t="shared" si="10"/>
        <v>2.16743433324208E-3</v>
      </c>
      <c r="AK14" s="21" t="e">
        <f t="shared" si="11"/>
        <v>#DIV/0!</v>
      </c>
      <c r="AL14" s="22"/>
      <c r="AM14" s="22">
        <v>1598511</v>
      </c>
      <c r="AN14" s="22">
        <v>603082</v>
      </c>
      <c r="AO14" s="23">
        <v>2775600</v>
      </c>
      <c r="AP14" s="23">
        <v>992904</v>
      </c>
      <c r="AQ14" s="23">
        <v>1083248</v>
      </c>
      <c r="AR14" s="23">
        <v>699192</v>
      </c>
      <c r="AS14" s="49">
        <v>66.165099999999995</v>
      </c>
      <c r="AT14" s="49">
        <v>67.842500000000001</v>
      </c>
      <c r="AU14" s="49">
        <v>28.511700000000001</v>
      </c>
      <c r="AV14" s="49">
        <v>42.482100000000003</v>
      </c>
      <c r="AW14" s="49">
        <v>42.539900000000003</v>
      </c>
      <c r="AX14" s="24"/>
      <c r="AY14" s="24"/>
      <c r="AZ14" s="24"/>
      <c r="BA14" s="24"/>
      <c r="BC14" s="18">
        <f t="shared" si="12"/>
        <v>2126920</v>
      </c>
      <c r="BD14" s="18">
        <f t="shared" si="13"/>
        <v>2076152</v>
      </c>
      <c r="BE14" s="20">
        <f t="shared" si="14"/>
        <v>4.0969572621020189E-3</v>
      </c>
      <c r="BF14" s="20">
        <f t="shared" si="15"/>
        <v>0.13706302456470265</v>
      </c>
      <c r="BG14" s="20">
        <f t="array" ref="BG14">AVERAGE(BD14:BD18/AO14:AO18) - AVERAGE(BC14:BC18/R14:R18)</f>
        <v>0.14690514274053518</v>
      </c>
      <c r="BI14" s="50">
        <f>bdRateExtend( R14:R18,V14:V18, AO14:AO18,AS14:AS18)</f>
        <v>-0.32897110443300659</v>
      </c>
      <c r="BJ14" s="50">
        <f>bdRateExtend( R14:R18,W14:W18, AO14:AO18,AT14:AT18)</f>
        <v>-0.32770395681077436</v>
      </c>
      <c r="BK14" s="50">
        <f>bdRateExtend( R14:R18,X14:X18, AO14:AO18,AU14:AU18)</f>
        <v>-7.2553411367968668E-2</v>
      </c>
      <c r="BL14" s="50">
        <f>bdRateExtend( R14:R18,Y14:Y18, AO14:AO18,AV14:AV18)</f>
        <v>-7.613009436676077E-2</v>
      </c>
      <c r="BM14" s="50">
        <f>bdRateExtend( R14:R18,Z14:Z18, AO14:AO18,AW14:AW18)</f>
        <v>-6.7155249774033976E-2</v>
      </c>
      <c r="BO14" s="50">
        <f>bdRateExtend( BC14:BC18,V14:V18, BD14:BD18,AS14:AS18)</f>
        <v>-3.1289064690756541E-2</v>
      </c>
      <c r="BP14" s="50">
        <f>bdRateExtend( BC14:BC18,W14:W18, BD14:BD18,AT14:AT18)</f>
        <v>-2.944050715851132E-2</v>
      </c>
      <c r="BQ14" s="50">
        <f>bdRateExtend( U14:U18,X14:X18, AR14:AR18,AU14:AU18)</f>
        <v>-0.22423737264235122</v>
      </c>
      <c r="BR14" s="50">
        <f>bdRateExtend( U14:U18,Y14:Y18, AR14:AR18,AV14:AV18)</f>
        <v>-0.20821757409984609</v>
      </c>
      <c r="BS14" s="50">
        <f>bdRateExtend( U14:U18,Z14:Z18, AR14:AR18,AW14:AW18)</f>
        <v>-0.19889990596487095</v>
      </c>
    </row>
    <row r="15" spans="1:71" outlineLevel="1" x14ac:dyDescent="0.25">
      <c r="A15" s="25"/>
      <c r="B15" s="25"/>
      <c r="C15" s="26" t="s">
        <v>311</v>
      </c>
      <c r="D15" s="25">
        <v>322589704</v>
      </c>
      <c r="E15" s="26">
        <v>10</v>
      </c>
      <c r="F15" s="26">
        <v>32</v>
      </c>
      <c r="G15" s="26">
        <v>30</v>
      </c>
      <c r="I15" s="56">
        <f t="shared" si="0"/>
        <v>4.8365850000000004</v>
      </c>
      <c r="J15" s="28">
        <f t="shared" si="1"/>
        <v>1.5992525291507752E-2</v>
      </c>
      <c r="K15" s="28">
        <f t="shared" si="2"/>
        <v>8.0082655086846782E-3</v>
      </c>
      <c r="L15" s="28">
        <f t="shared" si="3"/>
        <v>4.6502910086677783E-3</v>
      </c>
      <c r="M15" s="28">
        <f t="shared" si="4"/>
        <v>7.9834662051086417E-3</v>
      </c>
      <c r="N15" s="28">
        <f t="shared" si="5"/>
        <v>0.10085604665842149</v>
      </c>
      <c r="O15" s="29">
        <v>51152352</v>
      </c>
      <c r="P15" s="29">
        <v>1598511</v>
      </c>
      <c r="Q15" s="29">
        <v>570848.21875</v>
      </c>
      <c r="R15" s="30">
        <v>5159024</v>
      </c>
      <c r="S15" s="30">
        <v>1500136</v>
      </c>
      <c r="T15" s="30">
        <v>1083248</v>
      </c>
      <c r="U15" s="30">
        <v>2575384</v>
      </c>
      <c r="V15" s="51">
        <v>67.73165625</v>
      </c>
      <c r="W15" s="51">
        <v>69.833265624999996</v>
      </c>
      <c r="X15" s="51">
        <v>32.269734374999999</v>
      </c>
      <c r="Y15" s="51">
        <v>44.453618749999997</v>
      </c>
      <c r="Z15" s="51">
        <v>44.871193750000003</v>
      </c>
      <c r="AA15" s="31">
        <v>682.89</v>
      </c>
      <c r="AB15" s="31">
        <v>3605.13</v>
      </c>
      <c r="AC15" s="31">
        <v>430.45600000000002</v>
      </c>
      <c r="AD15" s="31">
        <v>25.806999999999999</v>
      </c>
      <c r="AF15" s="56">
        <f t="shared" si="6"/>
        <v>3.6076725000000001</v>
      </c>
      <c r="AG15" s="28">
        <f t="shared" si="7"/>
        <v>1.192903540405617E-2</v>
      </c>
      <c r="AH15" s="28">
        <f t="shared" si="8"/>
        <v>7.807267153200897E-3</v>
      </c>
      <c r="AI15" s="28">
        <f t="shared" si="9"/>
        <v>4.4492926531839961E-3</v>
      </c>
      <c r="AJ15" s="28">
        <f t="shared" si="10"/>
        <v>4.1209746731408394E-3</v>
      </c>
      <c r="AK15" s="28" t="e">
        <f t="shared" si="11"/>
        <v>#DIV/0!</v>
      </c>
      <c r="AL15" s="29"/>
      <c r="AM15" s="29">
        <v>1598511</v>
      </c>
      <c r="AN15" s="29">
        <v>582510</v>
      </c>
      <c r="AO15" s="30">
        <v>3848184</v>
      </c>
      <c r="AP15" s="30">
        <v>1435296</v>
      </c>
      <c r="AQ15" s="30">
        <v>1083248</v>
      </c>
      <c r="AR15" s="30">
        <v>1329384</v>
      </c>
      <c r="AS15" s="51">
        <v>67.717699999999994</v>
      </c>
      <c r="AT15" s="51">
        <v>69.830699999999993</v>
      </c>
      <c r="AU15" s="51">
        <v>30.8185</v>
      </c>
      <c r="AV15" s="51">
        <v>43.590600000000002</v>
      </c>
      <c r="AW15" s="51">
        <v>43.9709</v>
      </c>
      <c r="AX15" s="31"/>
      <c r="AY15" s="31"/>
      <c r="AZ15" s="31"/>
      <c r="BA15" s="31"/>
      <c r="BC15" s="25">
        <f t="shared" si="12"/>
        <v>2583384</v>
      </c>
      <c r="BD15" s="25">
        <f t="shared" si="13"/>
        <v>2518544</v>
      </c>
      <c r="BE15" s="27">
        <f t="shared" si="14"/>
        <v>7.2954025652622878E-3</v>
      </c>
      <c r="BF15" s="27">
        <f t="shared" si="15"/>
        <v>0.15372545184045017</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32</v>
      </c>
      <c r="G16" s="19">
        <v>30</v>
      </c>
      <c r="I16" s="55">
        <f t="shared" si="0"/>
        <v>8.1266400000000001</v>
      </c>
      <c r="J16" s="21">
        <f t="shared" si="1"/>
        <v>2.687133498842232E-2</v>
      </c>
      <c r="K16" s="21">
        <f t="shared" si="2"/>
        <v>9.8356021926849849E-3</v>
      </c>
      <c r="L16" s="21">
        <f t="shared" si="3"/>
        <v>6.4776276926680832E-3</v>
      </c>
      <c r="M16" s="21">
        <f t="shared" si="4"/>
        <v>1.7034939218022904E-2</v>
      </c>
      <c r="N16" s="21">
        <f t="shared" si="5"/>
        <v>0.16946270623098622</v>
      </c>
      <c r="O16" s="22">
        <v>51152352</v>
      </c>
      <c r="P16" s="22">
        <v>1598511</v>
      </c>
      <c r="Q16" s="22">
        <v>529561.125</v>
      </c>
      <c r="R16" s="23">
        <v>8668416</v>
      </c>
      <c r="S16" s="23">
        <v>2089616</v>
      </c>
      <c r="T16" s="23">
        <v>1083248</v>
      </c>
      <c r="U16" s="23">
        <v>5495296</v>
      </c>
      <c r="V16" s="49">
        <v>68.949493750000002</v>
      </c>
      <c r="W16" s="49">
        <v>71.469956249999996</v>
      </c>
      <c r="X16" s="49">
        <v>34.818568749999997</v>
      </c>
      <c r="Y16" s="49">
        <v>45.468506249999997</v>
      </c>
      <c r="Z16" s="49">
        <v>45.973350000000003</v>
      </c>
      <c r="AA16" s="24">
        <v>680.67899999999997</v>
      </c>
      <c r="AB16" s="24">
        <v>3995.74</v>
      </c>
      <c r="AC16" s="24">
        <v>431.57299999999998</v>
      </c>
      <c r="AD16" s="24">
        <v>26.844999999999999</v>
      </c>
      <c r="AF16" s="55">
        <f t="shared" si="6"/>
        <v>5.4715875</v>
      </c>
      <c r="AG16" s="21">
        <f t="shared" si="7"/>
        <v>1.8092207927380099E-2</v>
      </c>
      <c r="AH16" s="21">
        <f t="shared" si="8"/>
        <v>9.6862111879429356E-3</v>
      </c>
      <c r="AI16" s="21">
        <f t="shared" si="9"/>
        <v>6.3282366879260348E-3</v>
      </c>
      <c r="AJ16" s="21">
        <f t="shared" si="10"/>
        <v>8.4052031617227307E-3</v>
      </c>
      <c r="AK16" s="21" t="e">
        <f t="shared" si="11"/>
        <v>#DIV/0!</v>
      </c>
      <c r="AL16" s="22"/>
      <c r="AM16" s="22">
        <v>1598511</v>
      </c>
      <c r="AN16" s="22">
        <v>529917</v>
      </c>
      <c r="AO16" s="23">
        <v>5836360</v>
      </c>
      <c r="AP16" s="23">
        <v>2041424</v>
      </c>
      <c r="AQ16" s="23">
        <v>1083248</v>
      </c>
      <c r="AR16" s="23">
        <v>2711432</v>
      </c>
      <c r="AS16" s="49">
        <v>69.027100000000004</v>
      </c>
      <c r="AT16" s="49">
        <v>71.559899999999999</v>
      </c>
      <c r="AU16" s="49">
        <v>33.320700000000002</v>
      </c>
      <c r="AV16" s="49">
        <v>44.744799999999998</v>
      </c>
      <c r="AW16" s="49">
        <v>45.105499999999999</v>
      </c>
      <c r="AX16" s="24"/>
      <c r="AY16" s="24"/>
      <c r="AZ16" s="24"/>
      <c r="BA16" s="24"/>
      <c r="BC16" s="18">
        <f t="shared" si="12"/>
        <v>3172864</v>
      </c>
      <c r="BD16" s="18">
        <f t="shared" si="13"/>
        <v>3124672</v>
      </c>
      <c r="BE16" s="20">
        <f t="shared" si="14"/>
        <v>2.2262905916820008E-4</v>
      </c>
      <c r="BF16" s="20">
        <f t="shared" si="15"/>
        <v>0.16935445985951486</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32</v>
      </c>
      <c r="G17" s="26">
        <v>30</v>
      </c>
      <c r="I17" s="56">
        <f t="shared" si="0"/>
        <v>16.519357500000002</v>
      </c>
      <c r="J17" s="28">
        <f t="shared" si="1"/>
        <v>5.4622474869811713E-2</v>
      </c>
      <c r="K17" s="28">
        <f t="shared" si="2"/>
        <v>1.3982715331794966E-2</v>
      </c>
      <c r="L17" s="28">
        <f t="shared" si="3"/>
        <v>1.0624740831778065E-2</v>
      </c>
      <c r="M17" s="28">
        <f t="shared" si="4"/>
        <v>4.0638965960302316E-2</v>
      </c>
      <c r="N17" s="28">
        <f t="shared" si="5"/>
        <v>0.3444738572333878</v>
      </c>
      <c r="O17" s="29">
        <v>51152352</v>
      </c>
      <c r="P17" s="29">
        <v>1598511</v>
      </c>
      <c r="Q17" s="29">
        <v>536708.03125</v>
      </c>
      <c r="R17" s="30">
        <v>17620648</v>
      </c>
      <c r="S17" s="30">
        <v>3427432</v>
      </c>
      <c r="T17" s="30">
        <v>1083248</v>
      </c>
      <c r="U17" s="30">
        <v>13109712</v>
      </c>
      <c r="V17" s="51">
        <v>70.125387500000002</v>
      </c>
      <c r="W17" s="51">
        <v>73.036337500000002</v>
      </c>
      <c r="X17" s="51">
        <v>37.288668749999999</v>
      </c>
      <c r="Y17" s="51">
        <v>46.802671875000001</v>
      </c>
      <c r="Z17" s="51">
        <v>47.275859375000003</v>
      </c>
      <c r="AA17" s="31">
        <v>679.81200000000001</v>
      </c>
      <c r="AB17" s="31">
        <v>4541.26</v>
      </c>
      <c r="AC17" s="31">
        <v>431.31299999999999</v>
      </c>
      <c r="AD17" s="31">
        <v>28.488</v>
      </c>
      <c r="AF17" s="56">
        <f t="shared" si="6"/>
        <v>9.8969249999999995</v>
      </c>
      <c r="AG17" s="28">
        <f t="shared" si="7"/>
        <v>3.2724913005903002E-2</v>
      </c>
      <c r="AH17" s="28">
        <f t="shared" si="8"/>
        <v>1.3923395397641085E-2</v>
      </c>
      <c r="AI17" s="28">
        <f t="shared" si="9"/>
        <v>1.0565420897624184E-2</v>
      </c>
      <c r="AJ17" s="28">
        <f t="shared" si="10"/>
        <v>1.8800724030547486E-2</v>
      </c>
      <c r="AK17" s="28" t="e">
        <f t="shared" si="11"/>
        <v>#DIV/0!</v>
      </c>
      <c r="AL17" s="29"/>
      <c r="AM17" s="29">
        <v>1598511</v>
      </c>
      <c r="AN17" s="29">
        <v>534095</v>
      </c>
      <c r="AO17" s="30">
        <v>10556720</v>
      </c>
      <c r="AP17" s="30">
        <v>3408296</v>
      </c>
      <c r="AQ17" s="30">
        <v>1083248</v>
      </c>
      <c r="AR17" s="30">
        <v>6064920</v>
      </c>
      <c r="AS17" s="51">
        <v>70.220100000000002</v>
      </c>
      <c r="AT17" s="51">
        <v>73.138300000000001</v>
      </c>
      <c r="AU17" s="51">
        <v>35.8142</v>
      </c>
      <c r="AV17" s="51">
        <v>46.000900000000001</v>
      </c>
      <c r="AW17" s="51">
        <v>46.476700000000001</v>
      </c>
      <c r="AX17" s="31"/>
      <c r="AY17" s="31"/>
      <c r="AZ17" s="31"/>
      <c r="BA17" s="31"/>
      <c r="BC17" s="25">
        <f t="shared" si="12"/>
        <v>4510680</v>
      </c>
      <c r="BD17" s="25">
        <f t="shared" si="13"/>
        <v>4491544</v>
      </c>
      <c r="BE17" s="27">
        <f t="shared" si="14"/>
        <v>-1.6346657921027519E-3</v>
      </c>
      <c r="BF17" s="27">
        <f t="shared" si="15"/>
        <v>0.16947944339892662</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32</v>
      </c>
      <c r="G18" s="40">
        <v>30</v>
      </c>
      <c r="I18" s="58">
        <f t="shared" si="0"/>
        <v>33.389077499999999</v>
      </c>
      <c r="J18" s="42">
        <f t="shared" si="1"/>
        <v>0.11040344920617801</v>
      </c>
      <c r="K18" s="42">
        <f t="shared" si="2"/>
        <v>2.1594762367245297E-2</v>
      </c>
      <c r="L18" s="42">
        <f t="shared" si="3"/>
        <v>1.8236787867228398E-2</v>
      </c>
      <c r="M18" s="42">
        <f t="shared" si="4"/>
        <v>8.8807893261218282E-2</v>
      </c>
      <c r="N18" s="42">
        <f t="shared" si="5"/>
        <v>0.6962537323796959</v>
      </c>
      <c r="O18" s="43">
        <v>51152352</v>
      </c>
      <c r="P18" s="43">
        <v>1598511</v>
      </c>
      <c r="Q18" s="43">
        <v>534794.40625</v>
      </c>
      <c r="R18" s="44">
        <v>35615016</v>
      </c>
      <c r="S18" s="44">
        <v>5883000</v>
      </c>
      <c r="T18" s="44">
        <v>1083248</v>
      </c>
      <c r="U18" s="44">
        <v>28648512</v>
      </c>
      <c r="V18" s="59">
        <v>71.131628125000006</v>
      </c>
      <c r="W18" s="59">
        <v>74.342675</v>
      </c>
      <c r="X18" s="59">
        <v>39.466412499999997</v>
      </c>
      <c r="Y18" s="59">
        <v>48.573009374999998</v>
      </c>
      <c r="Z18" s="59">
        <v>49.192203124999999</v>
      </c>
      <c r="AA18" s="45">
        <v>675.53300000000002</v>
      </c>
      <c r="AB18" s="45">
        <v>5233.3900000000003</v>
      </c>
      <c r="AC18" s="45">
        <v>429.69099999999997</v>
      </c>
      <c r="AD18" s="45">
        <v>30.815000000000001</v>
      </c>
      <c r="AF18" s="58">
        <f t="shared" si="6"/>
        <v>21.735532500000001</v>
      </c>
      <c r="AG18" s="42">
        <f t="shared" si="7"/>
        <v>7.1870142513909871E-2</v>
      </c>
      <c r="AH18" s="42">
        <f t="shared" si="8"/>
        <v>2.159711830108502E-2</v>
      </c>
      <c r="AI18" s="42">
        <f t="shared" si="9"/>
        <v>1.8239143801068121E-2</v>
      </c>
      <c r="AJ18" s="42">
        <f t="shared" si="10"/>
        <v>5.027223063511041E-2</v>
      </c>
      <c r="AK18" s="42" t="e">
        <f t="shared" si="11"/>
        <v>#DIV/0!</v>
      </c>
      <c r="AL18" s="43"/>
      <c r="AM18" s="43">
        <v>1598511</v>
      </c>
      <c r="AN18" s="43">
        <v>530472</v>
      </c>
      <c r="AO18" s="44">
        <v>23184568</v>
      </c>
      <c r="AP18" s="44">
        <v>5883760</v>
      </c>
      <c r="AQ18" s="44">
        <v>1083248</v>
      </c>
      <c r="AR18" s="44">
        <v>16217304</v>
      </c>
      <c r="AS18" s="59">
        <v>71.207300000000004</v>
      </c>
      <c r="AT18" s="59">
        <v>74.421099999999996</v>
      </c>
      <c r="AU18" s="59">
        <v>38.6111</v>
      </c>
      <c r="AV18" s="59">
        <v>47.929200000000002</v>
      </c>
      <c r="AW18" s="59">
        <v>48.449800000000003</v>
      </c>
      <c r="AX18" s="45"/>
      <c r="AY18" s="45"/>
      <c r="AZ18" s="45"/>
      <c r="BA18" s="45"/>
      <c r="BC18" s="39">
        <f t="shared" si="12"/>
        <v>6966248</v>
      </c>
      <c r="BD18" s="39">
        <f t="shared" si="13"/>
        <v>6967008</v>
      </c>
      <c r="BE18" s="41">
        <f t="shared" si="14"/>
        <v>-2.7040203351744174E-3</v>
      </c>
      <c r="BF18" s="41">
        <f t="shared" si="15"/>
        <v>0.1049033340390815</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32</v>
      </c>
      <c r="G19" s="26">
        <v>50</v>
      </c>
      <c r="I19" s="56">
        <f t="shared" si="0"/>
        <v>4.5878750000000004</v>
      </c>
      <c r="J19" s="28">
        <f t="shared" si="1"/>
        <v>1.171670441742829E-2</v>
      </c>
      <c r="K19" s="28">
        <f t="shared" si="2"/>
        <v>6.224636889763574E-3</v>
      </c>
      <c r="L19" s="28">
        <f t="shared" si="3"/>
        <v>2.8764871671013562E-3</v>
      </c>
      <c r="M19" s="28">
        <f t="shared" si="4"/>
        <v>5.4910459911653615E-3</v>
      </c>
      <c r="N19" s="28">
        <f t="shared" si="5"/>
        <v>7.3013189042948928E-2</v>
      </c>
      <c r="O19" s="29">
        <v>40215200</v>
      </c>
      <c r="P19" s="29">
        <v>1256725</v>
      </c>
      <c r="Q19" s="29">
        <v>290928.4375</v>
      </c>
      <c r="R19" s="30">
        <v>2936240</v>
      </c>
      <c r="S19" s="30">
        <v>720856</v>
      </c>
      <c r="T19" s="30">
        <v>839056</v>
      </c>
      <c r="U19" s="30">
        <v>1376072</v>
      </c>
      <c r="V19" s="51">
        <v>66.795406249999999</v>
      </c>
      <c r="W19" s="51">
        <v>68.464796875000005</v>
      </c>
      <c r="X19" s="51">
        <v>30.291812499999999</v>
      </c>
      <c r="Y19" s="51">
        <v>39.347296874999998</v>
      </c>
      <c r="Z19" s="51">
        <v>38.089746875000003</v>
      </c>
      <c r="AA19" s="31">
        <v>623.12699999999995</v>
      </c>
      <c r="AB19" s="31">
        <v>2988.1</v>
      </c>
      <c r="AC19" s="31">
        <v>350.95800000000003</v>
      </c>
      <c r="AD19" s="31">
        <v>27.568000000000001</v>
      </c>
      <c r="AF19" s="56">
        <f t="shared" si="6"/>
        <v>3.3642875000000001</v>
      </c>
      <c r="AG19" s="28">
        <f t="shared" si="7"/>
        <v>8.5918561889216198E-3</v>
      </c>
      <c r="AH19" s="28">
        <f t="shared" si="8"/>
        <v>6.1996411685450187E-3</v>
      </c>
      <c r="AI19" s="28">
        <f t="shared" si="9"/>
        <v>2.851491445882801E-3</v>
      </c>
      <c r="AJ19" s="28">
        <f t="shared" si="10"/>
        <v>2.3911934838772471E-3</v>
      </c>
      <c r="AK19" s="28" t="e">
        <f t="shared" si="11"/>
        <v>#DIV/0!</v>
      </c>
      <c r="AL19" s="29"/>
      <c r="AM19" s="29">
        <v>1256725</v>
      </c>
      <c r="AN19" s="29">
        <v>306969</v>
      </c>
      <c r="AO19" s="30">
        <v>2153144</v>
      </c>
      <c r="AP19" s="30">
        <v>714592</v>
      </c>
      <c r="AQ19" s="30">
        <v>839056</v>
      </c>
      <c r="AR19" s="30">
        <v>599240</v>
      </c>
      <c r="AS19" s="51">
        <v>66.872</v>
      </c>
      <c r="AT19" s="51">
        <v>68.564800000000005</v>
      </c>
      <c r="AU19" s="51">
        <v>28.881699999999999</v>
      </c>
      <c r="AV19" s="51">
        <v>38.243400000000001</v>
      </c>
      <c r="AW19" s="51">
        <v>36.852499999999999</v>
      </c>
      <c r="AX19" s="31"/>
      <c r="AY19" s="31"/>
      <c r="AZ19" s="31"/>
      <c r="BA19" s="31"/>
      <c r="BC19" s="25">
        <f t="shared" si="12"/>
        <v>1559912</v>
      </c>
      <c r="BD19" s="25">
        <f t="shared" si="13"/>
        <v>1553648</v>
      </c>
      <c r="BE19" s="27">
        <f t="shared" si="14"/>
        <v>1.2763780858978696E-2</v>
      </c>
      <c r="BF19" s="27">
        <f t="shared" si="15"/>
        <v>0.19031005411589086</v>
      </c>
      <c r="BG19" s="27">
        <f t="array" ref="BG19">AVERAGE(BD19:BD23/AO19:AO23) - AVERAGE(BC19:BC23/R19:R23)</f>
        <v>0.15778152909502652</v>
      </c>
      <c r="BI19" s="52">
        <f>bdRateExtend( R19:R23,V19:V23, AO19:AO23,AS19:AS23)</f>
        <v>-0.33504680376095108</v>
      </c>
      <c r="BJ19" s="52">
        <f>bdRateExtend( R19:R23,W19:W23, AO19:AO23,AT19:AT23)</f>
        <v>-0.32663292932056998</v>
      </c>
      <c r="BK19" s="52">
        <f>bdRateExtend( R19:R23,X19:X23, AO19:AO23,AU19:AU23)</f>
        <v>-4.6376150080945977E-2</v>
      </c>
      <c r="BL19" s="52">
        <f>bdRateExtend( R19:R23,Y19:Y23, AO19:AO23,AV19:AV23)</f>
        <v>-8.3357680731181549E-2</v>
      </c>
      <c r="BM19" s="52">
        <f>bdRateExtend( R19:R23,Z19:Z23, AO19:AO23,AW19:AW23)</f>
        <v>-6.5195155655580095E-2</v>
      </c>
      <c r="BO19" s="52">
        <f>bdRateExtend( BC19:BC23,V19:V23, BD19:BD23,AS19:AS23)</f>
        <v>-1.6278505653007924E-3</v>
      </c>
      <c r="BP19" s="52">
        <f>bdRateExtend( BC19:BC23,W19:W23, BD19:BD23,AT19:AT23)</f>
        <v>6.9192530506814176E-3</v>
      </c>
      <c r="BQ19" s="52">
        <f>bdRateExtend( U19:U23,X19:X23, AR19:AR23,AU19:AU23)</f>
        <v>-0.19798133389759232</v>
      </c>
      <c r="BR19" s="52">
        <f>bdRateExtend( U19:U23,Y19:Y23, AR19:AR23,AV19:AV23)</f>
        <v>-0.25040483231935906</v>
      </c>
      <c r="BS19" s="52">
        <f>bdRateExtend( U19:U23,Z19:Z23, AR19:AR23,AW19:AW23)</f>
        <v>-0.23287267547530566</v>
      </c>
    </row>
    <row r="20" spans="1:71" outlineLevel="1" x14ac:dyDescent="0.25">
      <c r="A20" s="18"/>
      <c r="B20" s="18"/>
      <c r="C20" s="19" t="s">
        <v>311</v>
      </c>
      <c r="D20" s="18">
        <v>250602891</v>
      </c>
      <c r="E20" s="19">
        <v>10</v>
      </c>
      <c r="F20" s="19">
        <v>32</v>
      </c>
      <c r="G20" s="19">
        <v>50</v>
      </c>
      <c r="I20" s="55">
        <f t="shared" si="0"/>
        <v>7.4311875000000001</v>
      </c>
      <c r="J20" s="21">
        <f t="shared" si="1"/>
        <v>1.8978073161973218E-2</v>
      </c>
      <c r="K20" s="21">
        <f t="shared" si="2"/>
        <v>7.6035515488127392E-3</v>
      </c>
      <c r="L20" s="21">
        <f t="shared" si="3"/>
        <v>4.2554018261505211E-3</v>
      </c>
      <c r="M20" s="21">
        <f t="shared" si="4"/>
        <v>1.1373500076661127E-2</v>
      </c>
      <c r="N20" s="21">
        <f t="shared" si="5"/>
        <v>0.11826274642423761</v>
      </c>
      <c r="O20" s="22">
        <v>40215200</v>
      </c>
      <c r="P20" s="22">
        <v>1256725</v>
      </c>
      <c r="Q20" s="22">
        <v>279247.75</v>
      </c>
      <c r="R20" s="23">
        <v>4755960</v>
      </c>
      <c r="S20" s="23">
        <v>1066416</v>
      </c>
      <c r="T20" s="23">
        <v>839056</v>
      </c>
      <c r="U20" s="23">
        <v>2850232</v>
      </c>
      <c r="V20" s="49">
        <v>68.335300000000004</v>
      </c>
      <c r="W20" s="49">
        <v>70.462868749999998</v>
      </c>
      <c r="X20" s="49">
        <v>32.597528124999997</v>
      </c>
      <c r="Y20" s="49">
        <v>40.458465625000002</v>
      </c>
      <c r="Z20" s="49">
        <v>39.531687499999997</v>
      </c>
      <c r="AA20" s="24">
        <v>623.774</v>
      </c>
      <c r="AB20" s="24">
        <v>3364.08</v>
      </c>
      <c r="AC20" s="24">
        <v>351.49900000000002</v>
      </c>
      <c r="AD20" s="24">
        <v>27.934000000000001</v>
      </c>
      <c r="AF20" s="55">
        <f t="shared" si="6"/>
        <v>4.7725249999999999</v>
      </c>
      <c r="AG20" s="21">
        <f t="shared" si="7"/>
        <v>1.2188271203942336E-2</v>
      </c>
      <c r="AH20" s="21">
        <f t="shared" si="8"/>
        <v>7.5443982008970515E-3</v>
      </c>
      <c r="AI20" s="21">
        <f t="shared" si="9"/>
        <v>4.1962484782348342E-3</v>
      </c>
      <c r="AJ20" s="21">
        <f t="shared" si="10"/>
        <v>4.6428514665459303E-3</v>
      </c>
      <c r="AK20" s="21" t="e">
        <f t="shared" si="11"/>
        <v>#DIV/0!</v>
      </c>
      <c r="AL20" s="22"/>
      <c r="AM20" s="22">
        <v>1256725</v>
      </c>
      <c r="AN20" s="22">
        <v>276047</v>
      </c>
      <c r="AO20" s="23">
        <v>3054416</v>
      </c>
      <c r="AP20" s="23">
        <v>1051592</v>
      </c>
      <c r="AQ20" s="23">
        <v>839056</v>
      </c>
      <c r="AR20" s="23">
        <v>1163512</v>
      </c>
      <c r="AS20" s="49">
        <v>68.346699999999998</v>
      </c>
      <c r="AT20" s="49">
        <v>70.455100000000002</v>
      </c>
      <c r="AU20" s="49">
        <v>30.6464</v>
      </c>
      <c r="AV20" s="49">
        <v>39.734699999999997</v>
      </c>
      <c r="AW20" s="49">
        <v>38.532200000000003</v>
      </c>
      <c r="AX20" s="24"/>
      <c r="AY20" s="24"/>
      <c r="AZ20" s="24"/>
      <c r="BA20" s="24"/>
      <c r="BC20" s="18">
        <f t="shared" si="12"/>
        <v>1905472</v>
      </c>
      <c r="BD20" s="18">
        <f t="shared" si="13"/>
        <v>1890648</v>
      </c>
      <c r="BE20" s="20">
        <f t="shared" si="14"/>
        <v>-2.546897690425487E-3</v>
      </c>
      <c r="BF20" s="20">
        <f t="shared" si="15"/>
        <v>0.2183390855996849</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32</v>
      </c>
      <c r="G21" s="26">
        <v>50</v>
      </c>
      <c r="I21" s="56">
        <f t="shared" si="0"/>
        <v>11.725425</v>
      </c>
      <c r="J21" s="28">
        <f t="shared" si="1"/>
        <v>2.9944874019829246E-2</v>
      </c>
      <c r="K21" s="28">
        <f t="shared" si="2"/>
        <v>9.2914809989163294E-3</v>
      </c>
      <c r="L21" s="28">
        <f t="shared" si="3"/>
        <v>5.9433312762541112E-3</v>
      </c>
      <c r="M21" s="28">
        <f t="shared" si="4"/>
        <v>2.0652371484413561E-2</v>
      </c>
      <c r="N21" s="28">
        <f t="shared" si="5"/>
        <v>0.18660287652429927</v>
      </c>
      <c r="O21" s="29">
        <v>40215200</v>
      </c>
      <c r="P21" s="29">
        <v>1256725</v>
      </c>
      <c r="Q21" s="29">
        <v>273402.875</v>
      </c>
      <c r="R21" s="30">
        <v>7504272</v>
      </c>
      <c r="S21" s="30">
        <v>1489416</v>
      </c>
      <c r="T21" s="30">
        <v>839056</v>
      </c>
      <c r="U21" s="30">
        <v>5175544</v>
      </c>
      <c r="V21" s="51">
        <v>69.594946875000005</v>
      </c>
      <c r="W21" s="51">
        <v>72.1974625</v>
      </c>
      <c r="X21" s="51">
        <v>34.404034375000002</v>
      </c>
      <c r="Y21" s="51">
        <v>41.596112499999997</v>
      </c>
      <c r="Z21" s="51">
        <v>40.755274999999997</v>
      </c>
      <c r="AA21" s="31">
        <v>622.91600000000005</v>
      </c>
      <c r="AB21" s="31">
        <v>3698.07</v>
      </c>
      <c r="AC21" s="31">
        <v>349.91500000000002</v>
      </c>
      <c r="AD21" s="31">
        <v>28.417999999999999</v>
      </c>
      <c r="AF21" s="56">
        <f t="shared" si="6"/>
        <v>7.6864499999999998</v>
      </c>
      <c r="AG21" s="28">
        <f t="shared" si="7"/>
        <v>1.9629973063638759E-2</v>
      </c>
      <c r="AH21" s="28">
        <f t="shared" si="8"/>
        <v>9.2695498871958344E-3</v>
      </c>
      <c r="AI21" s="28">
        <f t="shared" si="9"/>
        <v>5.921400164533617E-3</v>
      </c>
      <c r="AJ21" s="28">
        <f t="shared" si="10"/>
        <v>1.0359401639943571E-2</v>
      </c>
      <c r="AK21" s="28" t="e">
        <f t="shared" si="11"/>
        <v>#DIV/0!</v>
      </c>
      <c r="AL21" s="29"/>
      <c r="AM21" s="29">
        <v>1256725</v>
      </c>
      <c r="AN21" s="29">
        <v>269775</v>
      </c>
      <c r="AO21" s="30">
        <v>4919328</v>
      </c>
      <c r="AP21" s="30">
        <v>1483920</v>
      </c>
      <c r="AQ21" s="30">
        <v>839056</v>
      </c>
      <c r="AR21" s="30">
        <v>2596096</v>
      </c>
      <c r="AS21" s="51">
        <v>69.604900000000001</v>
      </c>
      <c r="AT21" s="51">
        <v>72.184700000000007</v>
      </c>
      <c r="AU21" s="51">
        <v>32.964199999999998</v>
      </c>
      <c r="AV21" s="51">
        <v>40.924999999999997</v>
      </c>
      <c r="AW21" s="51">
        <v>39.967599999999997</v>
      </c>
      <c r="AX21" s="31"/>
      <c r="AY21" s="31"/>
      <c r="AZ21" s="31"/>
      <c r="BA21" s="31"/>
      <c r="BC21" s="25">
        <f t="shared" si="12"/>
        <v>2328472</v>
      </c>
      <c r="BD21" s="25">
        <f t="shared" si="13"/>
        <v>2322976</v>
      </c>
      <c r="BE21" s="27">
        <f t="shared" si="14"/>
        <v>-2.8867691818018903E-3</v>
      </c>
      <c r="BF21" s="27">
        <f t="shared" si="15"/>
        <v>0.16192789671326924</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32</v>
      </c>
      <c r="G22" s="19">
        <v>50</v>
      </c>
      <c r="I22" s="55">
        <f t="shared" si="0"/>
        <v>19.901462500000001</v>
      </c>
      <c r="J22" s="21">
        <f t="shared" si="1"/>
        <v>5.0825175835661048E-2</v>
      </c>
      <c r="K22" s="21">
        <f t="shared" si="2"/>
        <v>1.3219608069086482E-2</v>
      </c>
      <c r="L22" s="21">
        <f t="shared" si="3"/>
        <v>9.8714583464242639E-3</v>
      </c>
      <c r="M22" s="21">
        <f t="shared" si="4"/>
        <v>3.7604546230075211E-2</v>
      </c>
      <c r="N22" s="21">
        <f t="shared" si="5"/>
        <v>0.31671944936243013</v>
      </c>
      <c r="O22" s="22">
        <v>40215200</v>
      </c>
      <c r="P22" s="22">
        <v>1256725</v>
      </c>
      <c r="Q22" s="22">
        <v>279650.375</v>
      </c>
      <c r="R22" s="23">
        <v>12736936</v>
      </c>
      <c r="S22" s="23">
        <v>2473816</v>
      </c>
      <c r="T22" s="23">
        <v>839056</v>
      </c>
      <c r="U22" s="23">
        <v>9423808</v>
      </c>
      <c r="V22" s="49">
        <v>70.675684375000003</v>
      </c>
      <c r="W22" s="49">
        <v>73.726103124999995</v>
      </c>
      <c r="X22" s="49">
        <v>36.037937499999998</v>
      </c>
      <c r="Y22" s="49">
        <v>42.662943749999997</v>
      </c>
      <c r="Z22" s="49">
        <v>41.746121875</v>
      </c>
      <c r="AA22" s="24">
        <v>615.774</v>
      </c>
      <c r="AB22" s="24">
        <v>3993.84</v>
      </c>
      <c r="AC22" s="24">
        <v>332.654</v>
      </c>
      <c r="AD22" s="24">
        <v>27.34</v>
      </c>
      <c r="AF22" s="55">
        <f t="shared" si="6"/>
        <v>13.529462499999999</v>
      </c>
      <c r="AG22" s="21">
        <f t="shared" si="7"/>
        <v>3.4552099400960226E-2</v>
      </c>
      <c r="AH22" s="21">
        <f t="shared" si="8"/>
        <v>1.3592309276272476E-2</v>
      </c>
      <c r="AI22" s="21">
        <f t="shared" si="9"/>
        <v>1.0244159553610258E-2</v>
      </c>
      <c r="AJ22" s="21">
        <f t="shared" si="10"/>
        <v>2.0958768588188393E-2</v>
      </c>
      <c r="AK22" s="21" t="e">
        <f t="shared" si="11"/>
        <v>#DIV/0!</v>
      </c>
      <c r="AL22" s="22"/>
      <c r="AM22" s="22">
        <v>1256725</v>
      </c>
      <c r="AN22" s="22">
        <v>276259</v>
      </c>
      <c r="AO22" s="23">
        <v>8658856</v>
      </c>
      <c r="AP22" s="23">
        <v>2567216</v>
      </c>
      <c r="AQ22" s="23">
        <v>839056</v>
      </c>
      <c r="AR22" s="23">
        <v>5252328</v>
      </c>
      <c r="AS22" s="49">
        <v>70.717799999999997</v>
      </c>
      <c r="AT22" s="49">
        <v>73.715599999999995</v>
      </c>
      <c r="AU22" s="49">
        <v>35.046199999999999</v>
      </c>
      <c r="AV22" s="49">
        <v>41.970700000000001</v>
      </c>
      <c r="AW22" s="49">
        <v>41.0623</v>
      </c>
      <c r="AX22" s="24"/>
      <c r="AY22" s="24"/>
      <c r="AZ22" s="24"/>
      <c r="BA22" s="24"/>
      <c r="BC22" s="18">
        <f t="shared" si="12"/>
        <v>3312872</v>
      </c>
      <c r="BD22" s="18">
        <f t="shared" si="13"/>
        <v>3406272</v>
      </c>
      <c r="BE22" s="20">
        <f t="shared" si="14"/>
        <v>-2.6985816308261468E-3</v>
      </c>
      <c r="BF22" s="20">
        <f t="shared" si="15"/>
        <v>0.13328631287448545</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32</v>
      </c>
      <c r="G23" s="33">
        <v>50</v>
      </c>
      <c r="I23" s="57">
        <f t="shared" si="0"/>
        <v>34.3014625</v>
      </c>
      <c r="J23" s="35">
        <f t="shared" si="1"/>
        <v>8.7600489812386079E-2</v>
      </c>
      <c r="K23" s="35">
        <f t="shared" si="2"/>
        <v>2.0604167730850321E-2</v>
      </c>
      <c r="L23" s="35">
        <f t="shared" si="3"/>
        <v>1.7256018008188101E-2</v>
      </c>
      <c r="M23" s="35">
        <f t="shared" si="4"/>
        <v>6.6995300545036413E-2</v>
      </c>
      <c r="N23" s="35">
        <f t="shared" si="5"/>
        <v>0.54588653046609237</v>
      </c>
      <c r="O23" s="36">
        <v>40215200</v>
      </c>
      <c r="P23" s="36">
        <v>1256725</v>
      </c>
      <c r="Q23" s="36">
        <v>278971.3125</v>
      </c>
      <c r="R23" s="37">
        <v>21952936</v>
      </c>
      <c r="S23" s="37">
        <v>4324408</v>
      </c>
      <c r="T23" s="37">
        <v>839056</v>
      </c>
      <c r="U23" s="37">
        <v>16789216</v>
      </c>
      <c r="V23" s="53">
        <v>71.711784374999993</v>
      </c>
      <c r="W23" s="53">
        <v>75.140881250000007</v>
      </c>
      <c r="X23" s="53">
        <v>37.475653125000001</v>
      </c>
      <c r="Y23" s="53">
        <v>43.552553125000003</v>
      </c>
      <c r="Z23" s="53">
        <v>42.555696875000002</v>
      </c>
      <c r="AA23" s="38">
        <v>616.25800000000004</v>
      </c>
      <c r="AB23" s="38">
        <v>4561.28</v>
      </c>
      <c r="AC23" s="38">
        <v>349.38200000000001</v>
      </c>
      <c r="AD23" s="38">
        <v>29.51</v>
      </c>
      <c r="AF23" s="57">
        <f t="shared" si="6"/>
        <v>26.076862500000001</v>
      </c>
      <c r="AG23" s="35">
        <f t="shared" si="7"/>
        <v>6.659616708092965E-2</v>
      </c>
      <c r="AH23" s="35">
        <f t="shared" si="8"/>
        <v>2.1327447495408183E-2</v>
      </c>
      <c r="AI23" s="35">
        <f t="shared" si="9"/>
        <v>1.7979297772745966E-2</v>
      </c>
      <c r="AJ23" s="35">
        <f t="shared" si="10"/>
        <v>4.5267698049022108E-2</v>
      </c>
      <c r="AK23" s="35" t="e">
        <f t="shared" si="11"/>
        <v>#DIV/0!</v>
      </c>
      <c r="AL23" s="36"/>
      <c r="AM23" s="36">
        <v>1256725</v>
      </c>
      <c r="AN23" s="36">
        <v>277325</v>
      </c>
      <c r="AO23" s="37">
        <v>16689192</v>
      </c>
      <c r="AP23" s="37">
        <v>4505664</v>
      </c>
      <c r="AQ23" s="37">
        <v>839056</v>
      </c>
      <c r="AR23" s="37">
        <v>11344216</v>
      </c>
      <c r="AS23" s="53">
        <v>71.748900000000006</v>
      </c>
      <c r="AT23" s="53">
        <v>75.139899999999997</v>
      </c>
      <c r="AU23" s="53">
        <v>36.952199999999998</v>
      </c>
      <c r="AV23" s="53">
        <v>43.095399999999998</v>
      </c>
      <c r="AW23" s="53">
        <v>42.158499999999997</v>
      </c>
      <c r="AX23" s="38"/>
      <c r="AY23" s="38"/>
      <c r="AZ23" s="38"/>
      <c r="BA23" s="38"/>
      <c r="BC23" s="32">
        <f t="shared" si="12"/>
        <v>5163464</v>
      </c>
      <c r="BD23" s="32">
        <f t="shared" si="13"/>
        <v>5344720</v>
      </c>
      <c r="BE23" s="34">
        <f t="shared" si="14"/>
        <v>-1.3100021882273272E-3</v>
      </c>
      <c r="BF23" s="34">
        <f t="shared" si="15"/>
        <v>8.5044296171801842E-2</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32</v>
      </c>
      <c r="G24" s="19">
        <v>30</v>
      </c>
      <c r="I24" s="55">
        <f t="shared" si="0"/>
        <v>3.7350374999999998</v>
      </c>
      <c r="J24" s="21">
        <f t="shared" si="1"/>
        <v>1.5917404077088651E-2</v>
      </c>
      <c r="K24" s="21">
        <f t="shared" si="2"/>
        <v>6.6374908586714831E-3</v>
      </c>
      <c r="L24" s="21">
        <f t="shared" si="3"/>
        <v>3.7195211840422497E-3</v>
      </c>
      <c r="M24" s="21">
        <f t="shared" si="4"/>
        <v>9.2788904236049338E-3</v>
      </c>
      <c r="N24" s="21">
        <f t="shared" si="5"/>
        <v>0.10485357702912795</v>
      </c>
      <c r="O24" s="22">
        <v>37996224</v>
      </c>
      <c r="P24" s="22">
        <v>1187382</v>
      </c>
      <c r="Q24" s="22">
        <v>463943.375</v>
      </c>
      <c r="R24" s="23">
        <v>3984040</v>
      </c>
      <c r="S24" s="23">
        <v>930976</v>
      </c>
      <c r="T24" s="23">
        <v>730352</v>
      </c>
      <c r="U24" s="23">
        <v>2322456</v>
      </c>
      <c r="V24" s="49">
        <v>66.10920625</v>
      </c>
      <c r="W24" s="49">
        <v>67.856090624999993</v>
      </c>
      <c r="X24" s="49">
        <v>27.587503125000001</v>
      </c>
      <c r="Y24" s="49">
        <v>33.513156250000002</v>
      </c>
      <c r="Z24" s="49">
        <v>32.891462500000003</v>
      </c>
      <c r="AA24" s="24">
        <v>512.31500000000005</v>
      </c>
      <c r="AB24" s="24">
        <v>3902.33</v>
      </c>
      <c r="AC24" s="24">
        <v>310.74799999999999</v>
      </c>
      <c r="AD24" s="24">
        <v>25.375</v>
      </c>
      <c r="AF24" s="55">
        <f t="shared" si="6"/>
        <v>2.6688825</v>
      </c>
      <c r="AG24" s="21">
        <f t="shared" si="7"/>
        <v>1.1373829897764228E-2</v>
      </c>
      <c r="AH24" s="21">
        <f t="shared" si="8"/>
        <v>6.5881090466432873E-3</v>
      </c>
      <c r="AI24" s="21">
        <f t="shared" si="9"/>
        <v>3.6701393720140535E-3</v>
      </c>
      <c r="AJ24" s="21">
        <f t="shared" si="10"/>
        <v>4.7846980563087055E-3</v>
      </c>
      <c r="AK24" s="21" t="e">
        <f t="shared" si="11"/>
        <v>#DIV/0!</v>
      </c>
      <c r="AL24" s="22"/>
      <c r="AM24" s="22">
        <v>1187382</v>
      </c>
      <c r="AN24" s="22">
        <v>466247</v>
      </c>
      <c r="AO24" s="23">
        <v>2846808</v>
      </c>
      <c r="AP24" s="23">
        <v>918616</v>
      </c>
      <c r="AQ24" s="23">
        <v>730352</v>
      </c>
      <c r="AR24" s="23">
        <v>1197584</v>
      </c>
      <c r="AS24" s="49">
        <v>66.125500000000002</v>
      </c>
      <c r="AT24" s="49">
        <v>67.918400000000005</v>
      </c>
      <c r="AU24" s="49">
        <v>25.8216</v>
      </c>
      <c r="AV24" s="49">
        <v>32.3339</v>
      </c>
      <c r="AW24" s="49">
        <v>31.5502</v>
      </c>
      <c r="AX24" s="24"/>
      <c r="AY24" s="24"/>
      <c r="AZ24" s="24"/>
      <c r="BA24" s="24"/>
      <c r="BC24" s="18">
        <f t="shared" si="12"/>
        <v>1661328</v>
      </c>
      <c r="BD24" s="18">
        <f t="shared" si="13"/>
        <v>1648968</v>
      </c>
      <c r="BE24" s="20">
        <f t="shared" si="14"/>
        <v>1.9400875202756906E-3</v>
      </c>
      <c r="BF24" s="20">
        <f t="shared" si="15"/>
        <v>0.16223819194872052</v>
      </c>
      <c r="BG24" s="20">
        <f t="array" ref="BG24">AVERAGE(BD24:BD28/AO24:AO28) - AVERAGE(BC24:BC28/R24:R28)</f>
        <v>0.13174240078441082</v>
      </c>
      <c r="BI24" s="50">
        <f>bdRateExtend( R24:R28,V24:V28, AO24:AO28,AS24:AS28)</f>
        <v>-0.40185840417530239</v>
      </c>
      <c r="BJ24" s="50">
        <f>bdRateExtend( R24:R28,W24:W28, AO24:AO28,AT24:AT28)</f>
        <v>-0.40664510537440424</v>
      </c>
      <c r="BK24" s="50">
        <f>bdRateExtend( R24:R28,X24:X28, AO24:AO28,AU24:AU28)</f>
        <v>2.6769834937487413E-2</v>
      </c>
      <c r="BL24" s="50">
        <f>bdRateExtend( R24:R28,Y24:Y28, AO24:AO28,AV24:AV28)</f>
        <v>-7.6649373981894864E-2</v>
      </c>
      <c r="BM24" s="50">
        <f>bdRateExtend( R24:R28,Z24:Z28, AO24:AO28,AW24:AW28)</f>
        <v>-5.3903869489266731E-2</v>
      </c>
      <c r="BO24" s="50">
        <f>bdRateExtend( BC24:BC28,V24:V28, BD24:BD28,AS24:AS28)</f>
        <v>-7.6571194176149326E-3</v>
      </c>
      <c r="BP24" s="50">
        <f>bdRateExtend( BC24:BC28,W24:W28, BD24:BD28,AT24:AT28)</f>
        <v>-9.1318839317388045E-3</v>
      </c>
      <c r="BQ24" s="50">
        <f>bdRateExtend( U24:U28,X24:X28, AR24:AR28,AU24:AU28)</f>
        <v>-5.5086572983510163E-2</v>
      </c>
      <c r="BR24" s="50">
        <f>bdRateExtend( U24:U28,Y24:Y28, AR24:AR28,AV24:AV28)</f>
        <v>-0.16125644635522063</v>
      </c>
      <c r="BS24" s="50">
        <f>bdRateExtend( U24:U28,Z24:Z28, AR24:AR28,AW24:AW28)</f>
        <v>-0.13848504647146853</v>
      </c>
    </row>
    <row r="25" spans="1:71" outlineLevel="1" x14ac:dyDescent="0.25">
      <c r="A25" s="25"/>
      <c r="B25" s="25"/>
      <c r="C25" s="26" t="s">
        <v>311</v>
      </c>
      <c r="D25" s="25">
        <v>250294582</v>
      </c>
      <c r="E25" s="26">
        <v>10</v>
      </c>
      <c r="F25" s="26">
        <v>32</v>
      </c>
      <c r="G25" s="26">
        <v>30</v>
      </c>
      <c r="I25" s="56">
        <f t="shared" si="0"/>
        <v>6.6061199999999998</v>
      </c>
      <c r="J25" s="28">
        <f t="shared" si="1"/>
        <v>2.8152938604160436E-2</v>
      </c>
      <c r="K25" s="28">
        <f t="shared" si="2"/>
        <v>8.3785752901355259E-3</v>
      </c>
      <c r="L25" s="28">
        <f t="shared" si="3"/>
        <v>5.4606056155062921E-3</v>
      </c>
      <c r="M25" s="28">
        <f t="shared" si="4"/>
        <v>1.9773340519212677E-2</v>
      </c>
      <c r="N25" s="28">
        <f t="shared" si="5"/>
        <v>0.18545337557753108</v>
      </c>
      <c r="O25" s="29">
        <v>37996224</v>
      </c>
      <c r="P25" s="29">
        <v>1187382</v>
      </c>
      <c r="Q25" s="29">
        <v>423667.3125</v>
      </c>
      <c r="R25" s="30">
        <v>7046528</v>
      </c>
      <c r="S25" s="30">
        <v>1366760</v>
      </c>
      <c r="T25" s="30">
        <v>730352</v>
      </c>
      <c r="U25" s="30">
        <v>4949160</v>
      </c>
      <c r="V25" s="51">
        <v>67.776509375000003</v>
      </c>
      <c r="W25" s="51">
        <v>69.882850000000005</v>
      </c>
      <c r="X25" s="51">
        <v>29.955040624999999</v>
      </c>
      <c r="Y25" s="51">
        <v>34.690281249999998</v>
      </c>
      <c r="Z25" s="51">
        <v>34.167059375000001</v>
      </c>
      <c r="AA25" s="31">
        <v>510.18099999999998</v>
      </c>
      <c r="AB25" s="31">
        <v>4266.1099999999997</v>
      </c>
      <c r="AC25" s="31">
        <v>312.26400000000001</v>
      </c>
      <c r="AD25" s="31">
        <v>26.175999999999998</v>
      </c>
      <c r="AF25" s="56">
        <f t="shared" si="6"/>
        <v>4.1793300000000002</v>
      </c>
      <c r="AG25" s="28">
        <f t="shared" si="7"/>
        <v>1.7810821010899869E-2</v>
      </c>
      <c r="AH25" s="28">
        <f t="shared" si="8"/>
        <v>8.2741223699360784E-3</v>
      </c>
      <c r="AI25" s="28">
        <f t="shared" si="9"/>
        <v>5.3561526953068445E-3</v>
      </c>
      <c r="AJ25" s="28">
        <f t="shared" si="10"/>
        <v>9.5356758461515555E-3</v>
      </c>
      <c r="AK25" s="28" t="e">
        <f t="shared" si="11"/>
        <v>#DIV/0!</v>
      </c>
      <c r="AL25" s="29"/>
      <c r="AM25" s="29">
        <v>1187382</v>
      </c>
      <c r="AN25" s="29">
        <v>433109</v>
      </c>
      <c r="AO25" s="30">
        <v>4457952</v>
      </c>
      <c r="AP25" s="30">
        <v>1340616</v>
      </c>
      <c r="AQ25" s="30">
        <v>730352</v>
      </c>
      <c r="AR25" s="30">
        <v>2386728</v>
      </c>
      <c r="AS25" s="51">
        <v>67.756500000000003</v>
      </c>
      <c r="AT25" s="51">
        <v>69.889700000000005</v>
      </c>
      <c r="AU25" s="51">
        <v>27.834399999999999</v>
      </c>
      <c r="AV25" s="51">
        <v>33.666499999999999</v>
      </c>
      <c r="AW25" s="51">
        <v>33.03</v>
      </c>
      <c r="AX25" s="31"/>
      <c r="AY25" s="31"/>
      <c r="AZ25" s="31"/>
      <c r="BA25" s="31"/>
      <c r="BC25" s="25">
        <f t="shared" si="12"/>
        <v>2097112</v>
      </c>
      <c r="BD25" s="25">
        <f t="shared" si="13"/>
        <v>2070968</v>
      </c>
      <c r="BE25" s="27">
        <f t="shared" si="14"/>
        <v>7.9516848832136278E-3</v>
      </c>
      <c r="BF25" s="27">
        <f t="shared" si="15"/>
        <v>0.16694665932254898</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32</v>
      </c>
      <c r="G26" s="19">
        <v>30</v>
      </c>
      <c r="I26" s="55">
        <f t="shared" si="0"/>
        <v>13.240237499999999</v>
      </c>
      <c r="J26" s="21">
        <f t="shared" si="1"/>
        <v>5.6425192615635604E-2</v>
      </c>
      <c r="K26" s="21">
        <f t="shared" si="2"/>
        <v>1.0824716932945835E-2</v>
      </c>
      <c r="L26" s="21">
        <f t="shared" si="3"/>
        <v>7.9067472583166029E-3</v>
      </c>
      <c r="M26" s="21">
        <f t="shared" si="4"/>
        <v>4.5599452887877534E-2</v>
      </c>
      <c r="N26" s="21">
        <f t="shared" si="5"/>
        <v>0.37169272399278414</v>
      </c>
      <c r="O26" s="22">
        <v>37996224</v>
      </c>
      <c r="P26" s="22">
        <v>1187382</v>
      </c>
      <c r="Q26" s="22">
        <v>390313.34375</v>
      </c>
      <c r="R26" s="23">
        <v>14122920</v>
      </c>
      <c r="S26" s="23">
        <v>1979016</v>
      </c>
      <c r="T26" s="23">
        <v>730352</v>
      </c>
      <c r="U26" s="23">
        <v>11413296</v>
      </c>
      <c r="V26" s="49">
        <v>69.090146875000002</v>
      </c>
      <c r="W26" s="49">
        <v>71.594106249999996</v>
      </c>
      <c r="X26" s="49">
        <v>32.410762499999997</v>
      </c>
      <c r="Y26" s="49">
        <v>35.969668749999997</v>
      </c>
      <c r="Z26" s="49">
        <v>35.531537499999999</v>
      </c>
      <c r="AA26" s="24">
        <v>507.74299999999999</v>
      </c>
      <c r="AB26" s="24">
        <v>4628.6899999999996</v>
      </c>
      <c r="AC26" s="24">
        <v>294.95600000000002</v>
      </c>
      <c r="AD26" s="24">
        <v>25.701000000000001</v>
      </c>
      <c r="AF26" s="55">
        <f t="shared" si="6"/>
        <v>7.2226724999999998</v>
      </c>
      <c r="AG26" s="21">
        <f t="shared" si="7"/>
        <v>3.0780466514452959E-2</v>
      </c>
      <c r="AH26" s="21">
        <f t="shared" si="8"/>
        <v>1.0768974615679057E-2</v>
      </c>
      <c r="AI26" s="21">
        <f t="shared" si="9"/>
        <v>7.8510049410498231E-3</v>
      </c>
      <c r="AJ26" s="21">
        <f t="shared" si="10"/>
        <v>2.0010469103961669E-2</v>
      </c>
      <c r="AK26" s="21" t="e">
        <f t="shared" si="11"/>
        <v>#DIV/0!</v>
      </c>
      <c r="AL26" s="22"/>
      <c r="AM26" s="22">
        <v>1187382</v>
      </c>
      <c r="AN26" s="22">
        <v>390594</v>
      </c>
      <c r="AO26" s="23">
        <v>7704184</v>
      </c>
      <c r="AP26" s="23">
        <v>1965064</v>
      </c>
      <c r="AQ26" s="23">
        <v>730352</v>
      </c>
      <c r="AR26" s="23">
        <v>5008512</v>
      </c>
      <c r="AS26" s="49">
        <v>69.113600000000005</v>
      </c>
      <c r="AT26" s="49">
        <v>71.621600000000001</v>
      </c>
      <c r="AU26" s="49">
        <v>30.136199999999999</v>
      </c>
      <c r="AV26" s="49">
        <v>34.938400000000001</v>
      </c>
      <c r="AW26" s="49">
        <v>34.404899999999998</v>
      </c>
      <c r="AX26" s="24"/>
      <c r="AY26" s="24"/>
      <c r="AZ26" s="24"/>
      <c r="BA26" s="24"/>
      <c r="BC26" s="18">
        <f t="shared" si="12"/>
        <v>2709368</v>
      </c>
      <c r="BD26" s="18">
        <f t="shared" si="13"/>
        <v>2695416</v>
      </c>
      <c r="BE26" s="20">
        <f t="shared" si="14"/>
        <v>2.3636559253886746E-4</v>
      </c>
      <c r="BF26" s="20">
        <f t="shared" si="15"/>
        <v>0.15802200438767247</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32</v>
      </c>
      <c r="G27" s="26">
        <v>30</v>
      </c>
      <c r="I27" s="56">
        <f t="shared" si="0"/>
        <v>26.570654999999999</v>
      </c>
      <c r="J27" s="28">
        <f t="shared" si="1"/>
        <v>0.11323470038196831</v>
      </c>
      <c r="K27" s="28">
        <f t="shared" si="2"/>
        <v>1.5266235367411988E-2</v>
      </c>
      <c r="L27" s="28">
        <f t="shared" si="3"/>
        <v>1.2348265692782755E-2</v>
      </c>
      <c r="M27" s="28">
        <f t="shared" si="4"/>
        <v>9.79674422197441E-2</v>
      </c>
      <c r="N27" s="28">
        <f t="shared" si="5"/>
        <v>0.74591706796970136</v>
      </c>
      <c r="O27" s="29">
        <v>37996224</v>
      </c>
      <c r="P27" s="29">
        <v>1187382</v>
      </c>
      <c r="Q27" s="29">
        <v>395881.96875</v>
      </c>
      <c r="R27" s="30">
        <v>28342032</v>
      </c>
      <c r="S27" s="30">
        <v>3090704</v>
      </c>
      <c r="T27" s="30">
        <v>730352</v>
      </c>
      <c r="U27" s="30">
        <v>24520720</v>
      </c>
      <c r="V27" s="51">
        <v>70.304653125000002</v>
      </c>
      <c r="W27" s="51">
        <v>73.211762500000006</v>
      </c>
      <c r="X27" s="51">
        <v>34.960953125000003</v>
      </c>
      <c r="Y27" s="51">
        <v>37.621837499999998</v>
      </c>
      <c r="Z27" s="51">
        <v>37.188487500000001</v>
      </c>
      <c r="AA27" s="31">
        <v>507.34399999999999</v>
      </c>
      <c r="AB27" s="31">
        <v>5269.69</v>
      </c>
      <c r="AC27" s="31">
        <v>309.54899999999998</v>
      </c>
      <c r="AD27" s="31">
        <v>29.344000000000001</v>
      </c>
      <c r="AF27" s="56">
        <f t="shared" si="6"/>
        <v>14.30742</v>
      </c>
      <c r="AG27" s="28">
        <f t="shared" si="7"/>
        <v>6.0973145635249908E-2</v>
      </c>
      <c r="AH27" s="28">
        <f t="shared" si="8"/>
        <v>1.5278828528537625E-2</v>
      </c>
      <c r="AI27" s="28">
        <f t="shared" si="9"/>
        <v>1.2360858853908393E-2</v>
      </c>
      <c r="AJ27" s="28">
        <f t="shared" si="10"/>
        <v>4.569329431190005E-2</v>
      </c>
      <c r="AK27" s="28" t="e">
        <f t="shared" si="11"/>
        <v>#DIV/0!</v>
      </c>
      <c r="AL27" s="29"/>
      <c r="AM27" s="29">
        <v>1187382</v>
      </c>
      <c r="AN27" s="29">
        <v>395172</v>
      </c>
      <c r="AO27" s="30">
        <v>15261248</v>
      </c>
      <c r="AP27" s="30">
        <v>3093856</v>
      </c>
      <c r="AQ27" s="30">
        <v>730352</v>
      </c>
      <c r="AR27" s="30">
        <v>11436784</v>
      </c>
      <c r="AS27" s="51">
        <v>70.3249</v>
      </c>
      <c r="AT27" s="51">
        <v>73.234200000000001</v>
      </c>
      <c r="AU27" s="51">
        <v>32.658799999999999</v>
      </c>
      <c r="AV27" s="51">
        <v>36.410200000000003</v>
      </c>
      <c r="AW27" s="51">
        <v>35.914400000000001</v>
      </c>
      <c r="AX27" s="31"/>
      <c r="AY27" s="31"/>
      <c r="AZ27" s="31"/>
      <c r="BA27" s="31"/>
      <c r="BC27" s="25">
        <f t="shared" si="12"/>
        <v>3821056</v>
      </c>
      <c r="BD27" s="25">
        <f t="shared" si="13"/>
        <v>3824208</v>
      </c>
      <c r="BE27" s="27">
        <f t="shared" si="14"/>
        <v>-5.9792783619760925E-4</v>
      </c>
      <c r="BF27" s="27">
        <f t="shared" si="15"/>
        <v>0.11576350546461148</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32</v>
      </c>
      <c r="G28" s="40">
        <v>30</v>
      </c>
      <c r="I28" s="58">
        <f t="shared" si="0"/>
        <v>48.565102500000002</v>
      </c>
      <c r="J28" s="42">
        <f t="shared" si="1"/>
        <v>0.20696722871931764</v>
      </c>
      <c r="K28" s="42">
        <f t="shared" si="2"/>
        <v>2.2944771533248771E-2</v>
      </c>
      <c r="L28" s="42">
        <f t="shared" si="3"/>
        <v>2.0026801858619537E-2</v>
      </c>
      <c r="M28" s="42">
        <f t="shared" si="4"/>
        <v>0.18402143439125662</v>
      </c>
      <c r="N28" s="42">
        <f t="shared" si="5"/>
        <v>1.3633664229371845</v>
      </c>
      <c r="O28" s="43">
        <v>37996224</v>
      </c>
      <c r="P28" s="43">
        <v>1187382</v>
      </c>
      <c r="Q28" s="43">
        <v>393211.21875</v>
      </c>
      <c r="R28" s="44">
        <v>51802776</v>
      </c>
      <c r="S28" s="44">
        <v>5012600</v>
      </c>
      <c r="T28" s="44">
        <v>730352</v>
      </c>
      <c r="U28" s="44">
        <v>46059568</v>
      </c>
      <c r="V28" s="59">
        <v>71.339443750000001</v>
      </c>
      <c r="W28" s="59">
        <v>74.554571874999993</v>
      </c>
      <c r="X28" s="59">
        <v>36.81465</v>
      </c>
      <c r="Y28" s="59">
        <v>39.633584374999998</v>
      </c>
      <c r="Z28" s="59">
        <v>39.030349999999999</v>
      </c>
      <c r="AA28" s="45">
        <v>506.12799999999999</v>
      </c>
      <c r="AB28" s="45">
        <v>5717.42</v>
      </c>
      <c r="AC28" s="45">
        <v>284.45400000000001</v>
      </c>
      <c r="AD28" s="45">
        <v>27.32</v>
      </c>
      <c r="AF28" s="58">
        <f t="shared" si="6"/>
        <v>32.4344775</v>
      </c>
      <c r="AG28" s="42">
        <f t="shared" si="7"/>
        <v>0.13822423051890112</v>
      </c>
      <c r="AH28" s="42">
        <f t="shared" si="8"/>
        <v>2.3028640707851999E-2</v>
      </c>
      <c r="AI28" s="42">
        <f t="shared" si="9"/>
        <v>2.0110671033222765E-2</v>
      </c>
      <c r="AJ28" s="42">
        <f t="shared" si="10"/>
        <v>0.1151945670162369</v>
      </c>
      <c r="AK28" s="42" t="e">
        <f t="shared" si="11"/>
        <v>#DIV/0!</v>
      </c>
      <c r="AL28" s="43"/>
      <c r="AM28" s="43">
        <v>1187382</v>
      </c>
      <c r="AN28" s="43">
        <v>391215</v>
      </c>
      <c r="AO28" s="44">
        <v>34596776</v>
      </c>
      <c r="AP28" s="44">
        <v>5033592</v>
      </c>
      <c r="AQ28" s="44">
        <v>730352</v>
      </c>
      <c r="AR28" s="44">
        <v>28832576</v>
      </c>
      <c r="AS28" s="59">
        <v>71.333200000000005</v>
      </c>
      <c r="AT28" s="59">
        <v>74.548199999999994</v>
      </c>
      <c r="AU28" s="59">
        <v>35.6785</v>
      </c>
      <c r="AV28" s="59">
        <v>38.508600000000001</v>
      </c>
      <c r="AW28" s="59">
        <v>37.960700000000003</v>
      </c>
      <c r="AX28" s="45"/>
      <c r="AY28" s="45"/>
      <c r="AZ28" s="45"/>
      <c r="BA28" s="45"/>
      <c r="BC28" s="39">
        <f t="shared" si="12"/>
        <v>5742952</v>
      </c>
      <c r="BD28" s="39">
        <f t="shared" si="13"/>
        <v>5763944</v>
      </c>
      <c r="BE28" s="41">
        <f t="shared" si="14"/>
        <v>-1.6811933733204554E-3</v>
      </c>
      <c r="BF28" s="41">
        <f t="shared" si="15"/>
        <v>5.5741642798500426E-2</v>
      </c>
      <c r="BG28" s="41"/>
      <c r="BI28" s="60"/>
      <c r="BJ28" s="60"/>
      <c r="BK28" s="60"/>
      <c r="BL28" s="60"/>
      <c r="BM28" s="60"/>
      <c r="BO28" s="60"/>
      <c r="BP28" s="60"/>
      <c r="BQ28" s="60"/>
      <c r="BR28" s="60"/>
      <c r="BS28" s="60"/>
    </row>
    <row r="29" spans="1:71" x14ac:dyDescent="0.25">
      <c r="B29" s="46" t="s">
        <v>571</v>
      </c>
      <c r="J29" s="47">
        <f>AVERAGE(J4:J23)</f>
        <v>3.9164184977596168E-2</v>
      </c>
      <c r="AG29" s="47">
        <f>AVERAGE(AG4:AG23)</f>
        <v>2.7210391005392114E-2</v>
      </c>
      <c r="BG29" s="6">
        <f>AVERAGE(BG4:BG23)</f>
        <v>0.14555181233012687</v>
      </c>
      <c r="BI29" s="11">
        <f>AVERAGE(BI4:BI23)</f>
        <v>-0.29378848556262921</v>
      </c>
      <c r="BJ29" s="11">
        <f>AVERAGE(BJ4:BJ23)</f>
        <v>-0.29294841076446598</v>
      </c>
      <c r="BK29" s="11">
        <f>AVERAGE(BK4:BK23)</f>
        <v>-1.6853282537043129E-2</v>
      </c>
      <c r="BL29" s="11">
        <f>AVERAGE(BL4:BL23)</f>
        <v>-3.8642094088478657E-2</v>
      </c>
      <c r="BM29" s="11">
        <f>AVERAGE(BM4:BM23)</f>
        <v>-1.5687370192468741E-2</v>
      </c>
      <c r="BO29" s="11">
        <f>AVERAGE(BO4:BO23)</f>
        <v>-1.3787931723640123E-2</v>
      </c>
      <c r="BP29" s="11">
        <f>AVERAGE(BP4:BP23)</f>
        <v>-1.1476371473630648E-2</v>
      </c>
      <c r="BQ29" s="11">
        <f>AVERAGE(BQ4:BQ23)</f>
        <v>-0.18335496979284893</v>
      </c>
      <c r="BR29" s="11">
        <f>AVERAGE(BR4:BR23)</f>
        <v>-0.20180417939896481</v>
      </c>
      <c r="BS29" s="11">
        <f>AVERAGE(BS4:BS23)</f>
        <v>-0.17724286198808722</v>
      </c>
    </row>
    <row r="30" spans="1:71" x14ac:dyDescent="0.25">
      <c r="B30" s="46" t="s">
        <v>572</v>
      </c>
      <c r="J30" s="47">
        <f>AVERAGE(J24:J28)</f>
        <v>8.4139492879634126E-2</v>
      </c>
      <c r="AG30" s="47">
        <f>AVERAGE(AG24:AG28)</f>
        <v>5.1832498715453611E-2</v>
      </c>
      <c r="BG30" s="6">
        <f>AVERAGE(BG24:BG28)</f>
        <v>0.13174240078441082</v>
      </c>
      <c r="BI30" s="11">
        <f>AVERAGE(BI24:BI28)</f>
        <v>-0.40185840417530239</v>
      </c>
      <c r="BJ30" s="11">
        <f>AVERAGE(BJ24:BJ28)</f>
        <v>-0.40664510537440424</v>
      </c>
      <c r="BK30" s="11">
        <f>AVERAGE(BK24:BK28)</f>
        <v>2.6769834937487413E-2</v>
      </c>
      <c r="BL30" s="11">
        <f>AVERAGE(BL24:BL28)</f>
        <v>-7.6649373981894864E-2</v>
      </c>
      <c r="BM30" s="11">
        <f>AVERAGE(BM24:BM28)</f>
        <v>-5.3903869489266731E-2</v>
      </c>
      <c r="BO30" s="11">
        <f>AVERAGE(BO24:BO28)</f>
        <v>-7.6571194176149326E-3</v>
      </c>
      <c r="BP30" s="11">
        <f>AVERAGE(BP24:BP28)</f>
        <v>-9.1318839317388045E-3</v>
      </c>
      <c r="BQ30" s="11">
        <f>AVERAGE(BQ24:BQ28)</f>
        <v>-5.5086572983510163E-2</v>
      </c>
      <c r="BR30" s="11">
        <f>AVERAGE(BR24:BR28)</f>
        <v>-0.16125644635522063</v>
      </c>
      <c r="BS30" s="11">
        <f>AVERAGE(BS24:BS28)</f>
        <v>-0.13848504647146853</v>
      </c>
    </row>
    <row r="31" spans="1:71" collapsed="1" x14ac:dyDescent="0.25">
      <c r="B31" s="46" t="s">
        <v>258</v>
      </c>
      <c r="J31" s="47">
        <f>AVERAGE(J4:J23,J24:J28)</f>
        <v>4.8159246558003757E-2</v>
      </c>
      <c r="AG31" s="47">
        <f>AVERAGE(AG4:AG23,AG24:AG28)</f>
        <v>3.2134812547404412E-2</v>
      </c>
      <c r="BG31" s="6">
        <f>AVERAGE(BG4:BG23,BG24:BG28)</f>
        <v>0.14278993002098367</v>
      </c>
      <c r="BI31" s="11">
        <f>AVERAGE(BI4:BI23,BI24:BI28)</f>
        <v>-0.31540246928516386</v>
      </c>
      <c r="BJ31" s="11">
        <f>AVERAGE(BJ4:BJ23,BJ24:BJ28)</f>
        <v>-0.31568774968645363</v>
      </c>
      <c r="BK31" s="11">
        <f>AVERAGE(BK4:BK23,BK24:BK28)</f>
        <v>-8.1286590421370212E-3</v>
      </c>
      <c r="BL31" s="11">
        <f>AVERAGE(BL4:BL23,BL24:BL28)</f>
        <v>-4.6243550067161895E-2</v>
      </c>
      <c r="BM31" s="11">
        <f>AVERAGE(BM4:BM23,BM24:BM28)</f>
        <v>-2.3330670051828338E-2</v>
      </c>
      <c r="BO31" s="11">
        <f>AVERAGE(BO4:BO23,BO24:BO28)</f>
        <v>-1.2561769262435084E-2</v>
      </c>
      <c r="BP31" s="11">
        <f>AVERAGE(BP4:BP23,BP24:BP28)</f>
        <v>-1.1007473965252279E-2</v>
      </c>
      <c r="BQ31" s="11">
        <f>AVERAGE(BQ4:BQ23,BQ24:BQ28)</f>
        <v>-0.15770129043098119</v>
      </c>
      <c r="BR31" s="11">
        <f>AVERAGE(BR4:BR23,BR24:BR28)</f>
        <v>-0.19369463279021598</v>
      </c>
      <c r="BS31" s="11">
        <f>AVERAGE(BS4:BS23,BS24:BS28)</f>
        <v>-0.1694912988847635</v>
      </c>
    </row>
    <row r="32" spans="1:71" hidden="1" outlineLevel="2" x14ac:dyDescent="0.25">
      <c r="A32" s="46" t="s">
        <v>259</v>
      </c>
      <c r="B32" s="46" t="s">
        <v>260</v>
      </c>
      <c r="AA32" s="48">
        <f>SUM(AA4:AA23,AA24:AA28)</f>
        <v>13757.449999999999</v>
      </c>
      <c r="AB32" s="48">
        <f>SUM(AB4:AB23,AB24:AB28)</f>
        <v>103737.67</v>
      </c>
      <c r="AC32" s="48">
        <f>SUM(AC4:AC23,AC24:AC28)</f>
        <v>8314.9349999999995</v>
      </c>
      <c r="AD32" s="48">
        <f>SUM(AD4:AD23,AD24:AD28)</f>
        <v>678.79600000000016</v>
      </c>
      <c r="AX32" s="48">
        <f>SUM(AX4:AX23,AX24:AX28)</f>
        <v>0</v>
      </c>
      <c r="AY32" s="48">
        <f>SUM(AY4:AY23,AY24:AY28)</f>
        <v>0</v>
      </c>
      <c r="AZ32" s="48">
        <f>SUM(AZ4:AZ23,AZ24:AZ28)</f>
        <v>0</v>
      </c>
      <c r="BA32" s="48">
        <f>SUM(BA4:BA23,BA24:BA28)</f>
        <v>0</v>
      </c>
    </row>
    <row r="33" spans="2:53" hidden="1" outlineLevel="2" x14ac:dyDescent="0.25">
      <c r="B33" s="46" t="s">
        <v>261</v>
      </c>
      <c r="AX33" s="6">
        <f>AX32/AA32</f>
        <v>0</v>
      </c>
      <c r="AY33" s="6">
        <f>AY32/AB32</f>
        <v>0</v>
      </c>
      <c r="AZ33" s="6">
        <f>AZ32/AC32</f>
        <v>0</v>
      </c>
      <c r="BA33" s="6">
        <f>BA32/AD32</f>
        <v>0</v>
      </c>
    </row>
    <row r="34" spans="2:53" hidden="1" outlineLevel="2" x14ac:dyDescent="0.25">
      <c r="B34" s="46" t="s">
        <v>262</v>
      </c>
      <c r="AA34" s="48">
        <f>GEOMEAN(AA4:AA23,AA24:AA28)</f>
        <v>543.87467655545129</v>
      </c>
      <c r="AB34" s="48">
        <f>GEOMEAN(AB4:AB23,AB24:AB28)</f>
        <v>4083.0402089100726</v>
      </c>
      <c r="AC34" s="48">
        <f>GEOMEAN(AC4:AC23,AC24:AC28)</f>
        <v>328.49748222240004</v>
      </c>
      <c r="AD34" s="48">
        <f>GEOMEAN(AD4:AD23,AD24:AD28)</f>
        <v>27.109758110963796</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55" zoomScaleNormal="55" workbookViewId="0">
      <pane xSplit="2" topLeftCell="E1" activePane="topRight" state="frozen"/>
      <selection pane="topRight" activeCell="L4" sqref="L4:S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5" t="s">
        <v>861</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25">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75" thickBot="1" x14ac:dyDescent="0.3">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25">
      <c r="A4" s="18" t="s">
        <v>566</v>
      </c>
      <c r="B4" s="18" t="s">
        <v>554</v>
      </c>
      <c r="C4" s="18">
        <v>238146391</v>
      </c>
      <c r="D4" s="19">
        <v>10</v>
      </c>
      <c r="E4" s="19">
        <v>32</v>
      </c>
      <c r="F4" s="19">
        <v>30</v>
      </c>
      <c r="H4" s="20">
        <f>IF(ISBLANK(M4),"·",M4/(C4*D4*3))</f>
        <v>6.2684222383757784E-3</v>
      </c>
      <c r="I4" s="55">
        <f>IF(OR(ISBLANK(M4),ISBLANK(F4)),"·",M4*F4/E4/1000000)</f>
        <v>41.985059999999997</v>
      </c>
      <c r="J4" s="21">
        <f>IF(ISBLANK(M4),"·",M4/C4)</f>
        <v>0.18805266715127336</v>
      </c>
      <c r="K4" s="21">
        <f>IF(ISBLANK(M4),"·",M4/L4)</f>
        <v>1.239531819448211</v>
      </c>
      <c r="L4" s="22">
        <v>36129822</v>
      </c>
      <c r="M4" s="23">
        <v>44784064</v>
      </c>
      <c r="N4" s="49" t="s">
        <v>1476</v>
      </c>
      <c r="O4" s="49" t="s">
        <v>1476</v>
      </c>
      <c r="P4" s="24">
        <v>163.155</v>
      </c>
      <c r="Q4" s="24">
        <v>2294.4699999999998</v>
      </c>
      <c r="R4" s="24">
        <v>2.25</v>
      </c>
      <c r="S4" s="24">
        <v>8.3889999999999993</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32</v>
      </c>
      <c r="F5" s="26">
        <v>30</v>
      </c>
      <c r="H5" s="27">
        <f>IF(ISBLANK(M5),"·",M5/(C5*D5*3))</f>
        <v>7.9636015765335993E-3</v>
      </c>
      <c r="I5" s="56">
        <f>IF(OR(ISBLANK(M5),ISBLANK(F5)),"·",M5*F5/E5/1000000)</f>
        <v>48.853987500000002</v>
      </c>
      <c r="J5" s="28">
        <f>IF(ISBLANK(M5),"·",M5/C5)</f>
        <v>0.23890804729600798</v>
      </c>
      <c r="K5" s="28">
        <f>IF(ISBLANK(M5),"·",M5/L5)</f>
        <v>1.6295881195710673</v>
      </c>
      <c r="L5" s="29">
        <v>31977970</v>
      </c>
      <c r="M5" s="30">
        <v>52110920</v>
      </c>
      <c r="N5" s="51" t="s">
        <v>1476</v>
      </c>
      <c r="O5" s="51" t="s">
        <v>1476</v>
      </c>
      <c r="P5" s="31">
        <v>182.80199999999999</v>
      </c>
      <c r="Q5" s="31">
        <v>2595.9</v>
      </c>
      <c r="R5" s="31">
        <v>1.829</v>
      </c>
      <c r="S5" s="31">
        <v>8.3490000000000002</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32</v>
      </c>
      <c r="F6" s="19">
        <v>30</v>
      </c>
      <c r="H6" s="20">
        <f>IF(ISBLANK(M6),"·",M6/(C6*D6*3))</f>
        <v>7.441256711652521E-3</v>
      </c>
      <c r="I6" s="55">
        <f>IF(OR(ISBLANK(M6),ISBLANK(F6)),"·",M6*F6/E6/1000000)</f>
        <v>67.513297499999993</v>
      </c>
      <c r="J6" s="21">
        <f>IF(ISBLANK(M6),"·",M6/C6)</f>
        <v>0.22323770134957563</v>
      </c>
      <c r="K6" s="21">
        <f>IF(ISBLANK(M6),"·",M6/L6)</f>
        <v>1.5190787825564114</v>
      </c>
      <c r="L6" s="22">
        <v>47406484</v>
      </c>
      <c r="M6" s="23">
        <v>72014184</v>
      </c>
      <c r="N6" s="49" t="s">
        <v>1476</v>
      </c>
      <c r="O6" s="49" t="s">
        <v>1476</v>
      </c>
      <c r="P6" s="24">
        <v>248.839</v>
      </c>
      <c r="Q6" s="24">
        <v>2522.02</v>
      </c>
      <c r="R6" s="24">
        <v>2.7610000000000001</v>
      </c>
      <c r="S6" s="24">
        <v>9.984</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32</v>
      </c>
      <c r="F7" s="33">
        <v>50</v>
      </c>
      <c r="H7" s="34">
        <f>IF(ISBLANK(M7),"·",M7/(C7*D7*3))</f>
        <v>6.636370368129552E-3</v>
      </c>
      <c r="I7" s="57">
        <f>IF(OR(ISBLANK(M7),ISBLANK(F7)),"·",M7*F7/E7/1000000)</f>
        <v>77.957512500000007</v>
      </c>
      <c r="J7" s="35">
        <f>IF(ISBLANK(M7),"·",M7/C7)</f>
        <v>0.19909111104388655</v>
      </c>
      <c r="K7" s="35">
        <f>IF(ISBLANK(M7),"·",M7/L7)</f>
        <v>1.3059147331478493</v>
      </c>
      <c r="L7" s="36">
        <v>38205257</v>
      </c>
      <c r="M7" s="37">
        <v>49892808</v>
      </c>
      <c r="N7" s="53" t="s">
        <v>1476</v>
      </c>
      <c r="O7" s="53" t="s">
        <v>1476</v>
      </c>
      <c r="P7" s="38">
        <v>267.96300000000002</v>
      </c>
      <c r="Q7" s="38">
        <v>2385.5100000000002</v>
      </c>
      <c r="R7" s="38">
        <v>2.3679999999999999</v>
      </c>
      <c r="S7" s="38">
        <v>8.843</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32</v>
      </c>
      <c r="F8" s="40">
        <v>30</v>
      </c>
      <c r="H8" s="41">
        <f>IF(ISBLANK(M8),"·",M8/(C8*D8*3))</f>
        <v>7.0090636906661712E-3</v>
      </c>
      <c r="I8" s="58">
        <f>IF(OR(ISBLANK(M8),ISBLANK(F8)),"·",M8*F8/E8/1000000)</f>
        <v>49.34055</v>
      </c>
      <c r="J8" s="42">
        <f>IF(ISBLANK(M8),"·",M8/C8)</f>
        <v>0.21027191071998513</v>
      </c>
      <c r="K8" s="42">
        <f>IF(ISBLANK(M8),"·",M8/L8)</f>
        <v>1.47019130226464</v>
      </c>
      <c r="L8" s="43">
        <v>35798008</v>
      </c>
      <c r="M8" s="44">
        <v>52629920</v>
      </c>
      <c r="N8" s="59" t="s">
        <v>1476</v>
      </c>
      <c r="O8" s="59" t="s">
        <v>1476</v>
      </c>
      <c r="P8" s="45">
        <v>209.76900000000001</v>
      </c>
      <c r="Q8" s="45">
        <v>2611.5100000000002</v>
      </c>
      <c r="R8" s="45">
        <v>2.2320000000000002</v>
      </c>
      <c r="S8" s="45">
        <v>8.5980000000000008</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0.21232238171018589</v>
      </c>
      <c r="W9" s="47" t="e">
        <f>AVERAGE(W4:W7)</f>
        <v>#DIV/0!</v>
      </c>
      <c r="AH9" s="6" t="e">
        <f t="shared" si="0"/>
        <v>#DIV/0!</v>
      </c>
    </row>
    <row r="10" spans="1:34" x14ac:dyDescent="0.25">
      <c r="B10" s="46" t="s">
        <v>572</v>
      </c>
      <c r="J10" s="47">
        <f>AVERAGE(J8:J8)</f>
        <v>0.21027191071998513</v>
      </c>
      <c r="W10" s="47" t="e">
        <f>AVERAGE(W8:W8)</f>
        <v>#DIV/0!</v>
      </c>
      <c r="AH10" s="6" t="e">
        <f t="shared" si="0"/>
        <v>#DIV/0!</v>
      </c>
    </row>
    <row r="11" spans="1:34" x14ac:dyDescent="0.25">
      <c r="B11" s="46" t="s">
        <v>258</v>
      </c>
      <c r="J11" s="47">
        <f>AVERAGE(J4:J7,J8:J8)</f>
        <v>0.21191228751214575</v>
      </c>
      <c r="W11" s="47" t="e">
        <f>AVERAGE(W4:W7,W8:W8)</f>
        <v>#DIV/0!</v>
      </c>
      <c r="AH11" s="6" t="e">
        <f t="shared" si="0"/>
        <v>#DIV/0!</v>
      </c>
    </row>
    <row r="12" spans="1:34" hidden="1" outlineLevel="2" x14ac:dyDescent="0.25">
      <c r="A12" s="46" t="s">
        <v>259</v>
      </c>
      <c r="B12" s="46" t="s">
        <v>260</v>
      </c>
      <c r="P12" s="48">
        <f>SUM(P4:P7,P8:P8)</f>
        <v>1072.528</v>
      </c>
      <c r="Q12" s="48">
        <f>SUM(Q4:Q7,Q8:Q8)</f>
        <v>12409.41</v>
      </c>
      <c r="R12" s="48">
        <f>SUM(R4:R7,R8:R8)</f>
        <v>11.440000000000001</v>
      </c>
      <c r="S12" s="48">
        <f>SUM(S4:S7,S8:S8)</f>
        <v>44.162999999999997</v>
      </c>
      <c r="AC12" s="48">
        <f>SUM(AC4:AC7,AC8:AC8)</f>
        <v>0</v>
      </c>
      <c r="AD12" s="48">
        <f>SUM(AD4:AD7,AD8:AD8)</f>
        <v>0</v>
      </c>
      <c r="AE12" s="48">
        <f>SUM(AE4:AE7,AE8:AE8)</f>
        <v>0</v>
      </c>
      <c r="AF12" s="48">
        <f>SUM(AF4:AF7,AF8:AF8)</f>
        <v>0</v>
      </c>
    </row>
    <row r="13" spans="1:34" hidden="1" outlineLevel="2" x14ac:dyDescent="0.25">
      <c r="B13" s="46" t="s">
        <v>261</v>
      </c>
      <c r="AC13" s="6">
        <f>AC12/P12</f>
        <v>0</v>
      </c>
      <c r="AD13" s="6">
        <f>AD12/Q12</f>
        <v>0</v>
      </c>
      <c r="AE13" s="6">
        <f>AE12/R12</f>
        <v>0</v>
      </c>
      <c r="AF13" s="6">
        <f>AF12/S12</f>
        <v>0</v>
      </c>
    </row>
    <row r="14" spans="1:34" hidden="1" outlineLevel="2" x14ac:dyDescent="0.25">
      <c r="B14" s="46" t="s">
        <v>262</v>
      </c>
      <c r="P14" s="48">
        <f>GEOMEAN(P4:P7,P8:P8)</f>
        <v>210.8934946457552</v>
      </c>
      <c r="Q14" s="48">
        <f>GEOMEAN(Q4:Q7,Q8:Q8)</f>
        <v>2478.7821529921125</v>
      </c>
      <c r="R14" s="48">
        <f>GEOMEAN(R4:R7,R8:R8)</f>
        <v>2.26833766265002</v>
      </c>
      <c r="S14" s="48">
        <f>GEOMEAN(S4:S7,S8:S8)</f>
        <v>8.8131113790156039</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5"/>
  <sheetViews>
    <sheetView zoomScale="55" zoomScaleNormal="55" workbookViewId="0">
      <pane xSplit="2" topLeftCell="C1" activePane="topRight" state="frozen"/>
      <selection pane="topRight" activeCell="O4" sqref="O4:AB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5" t="s">
        <v>934</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4"/>
      <c r="BC3" s="72"/>
      <c r="BD3" s="74"/>
    </row>
    <row r="4" spans="1:56" collapsed="1" x14ac:dyDescent="0.25">
      <c r="A4" s="18" t="s">
        <v>566</v>
      </c>
      <c r="B4" s="18" t="s">
        <v>554</v>
      </c>
      <c r="C4" s="18">
        <v>238146391</v>
      </c>
      <c r="D4" s="19">
        <v>10</v>
      </c>
      <c r="E4" s="19">
        <v>32</v>
      </c>
      <c r="F4" s="19">
        <v>30</v>
      </c>
      <c r="H4" s="20">
        <f>IF(ISBLANK(P4),"·",P4/(C4*D4*3))</f>
        <v>3.3539891016026356E-2</v>
      </c>
      <c r="I4" s="55">
        <f>IF(OR(ISBLANK(P4),ISBLANK(F4)),"·",P4*F4/E4/1000000)</f>
        <v>224.6457375</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v>204.47900000000001</v>
      </c>
      <c r="Z4" s="24">
        <v>7204.49</v>
      </c>
      <c r="AA4" s="24">
        <v>2.589</v>
      </c>
      <c r="AB4" s="24">
        <v>23.664999999999999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44783808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32</v>
      </c>
      <c r="F5" s="26">
        <v>30</v>
      </c>
      <c r="H5" s="27">
        <f>IF(ISBLANK(P5),"·",P5/(C5*D5*3))</f>
        <v>4.8477140678179952E-2</v>
      </c>
      <c r="I5" s="56">
        <f>IF(OR(ISBLANK(P5),ISBLANK(F5)),"·",P5*F5/E5/1000000)</f>
        <v>297.39077250000003</v>
      </c>
      <c r="J5" s="28">
        <f>IF(ISBLANK(P5),"·",P5/C5)</f>
        <v>1.4543142203453985</v>
      </c>
      <c r="K5" s="28">
        <f>IF(AZ5="","·",AZ5/C5)</f>
        <v>0.23890687363681892</v>
      </c>
      <c r="L5" s="28">
        <f>IF(Q5="","·",Q5/C5)</f>
        <v>0.2241960459770351</v>
      </c>
      <c r="M5" s="28">
        <f>IF(ISBLANK(S5),"·",S5/C5)</f>
        <v>1.2154061730493906</v>
      </c>
      <c r="N5" s="28">
        <f>IF(ISBLANK(P5),"·",P5/O5)</f>
        <v>9.9198549501422377</v>
      </c>
      <c r="O5" s="29">
        <v>31977970</v>
      </c>
      <c r="P5" s="30">
        <v>317216824</v>
      </c>
      <c r="Q5" s="30">
        <v>48901920</v>
      </c>
      <c r="R5" s="30">
        <v>3208744</v>
      </c>
      <c r="S5" s="30">
        <v>265105904</v>
      </c>
      <c r="T5" s="51" t="s">
        <v>1476</v>
      </c>
      <c r="U5" s="51" t="s">
        <v>1476</v>
      </c>
      <c r="V5" s="51" t="s">
        <v>1476</v>
      </c>
      <c r="W5" s="51" t="s">
        <v>1476</v>
      </c>
      <c r="X5" s="51" t="s">
        <v>1476</v>
      </c>
      <c r="Y5" s="31">
        <v>220.626</v>
      </c>
      <c r="Z5" s="31">
        <v>7565.3</v>
      </c>
      <c r="AA5" s="31">
        <v>2.1539999999999999</v>
      </c>
      <c r="AB5" s="31">
        <v>24.183</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52110664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32</v>
      </c>
      <c r="F6" s="19">
        <v>30</v>
      </c>
      <c r="H6" s="20">
        <f>IF(ISBLANK(P6),"·",P6/(C6*D6*3))</f>
        <v>3.8905873243038576E-2</v>
      </c>
      <c r="I6" s="55">
        <f>IF(OR(ISBLANK(P6),ISBLANK(F6)),"·",P6*F6/E6/1000000)</f>
        <v>352.98658499999999</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v>305.053</v>
      </c>
      <c r="Z6" s="24">
        <v>9039.9699999999993</v>
      </c>
      <c r="AA6" s="24">
        <v>3.1829999999999998</v>
      </c>
      <c r="AB6" s="24">
        <v>28.228000000000002</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72013928</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32</v>
      </c>
      <c r="F7" s="33">
        <v>50</v>
      </c>
      <c r="H7" s="34">
        <f>IF(ISBLANK(P7),"·",P7/(C7*D7*3))</f>
        <v>3.6883824563167814E-2</v>
      </c>
      <c r="I7" s="57">
        <f>IF(OR(ISBLANK(P7),ISBLANK(F7)),"·",P7*F7/E7/1000000)</f>
        <v>433.274675</v>
      </c>
      <c r="J7" s="35">
        <f>IF(ISBLANK(P7),"·",P7/C7)</f>
        <v>1.1065147368950345</v>
      </c>
      <c r="K7" s="35">
        <f>IF(AZ7="","·",AZ7/C7)</f>
        <v>0.19909008950738721</v>
      </c>
      <c r="L7" s="35">
        <f>IF(Q7="","·",Q7/C7)</f>
        <v>0.18225302915599645</v>
      </c>
      <c r="M7" s="35">
        <f>IF(ISBLANK(S7),"·",S7/C7)</f>
        <v>0.90742362585114789</v>
      </c>
      <c r="N7" s="35">
        <f>IF(ISBLANK(P7),"·",P7/O7)</f>
        <v>7.2580533092605553</v>
      </c>
      <c r="O7" s="36">
        <v>38205257</v>
      </c>
      <c r="P7" s="37">
        <v>277295792</v>
      </c>
      <c r="Q7" s="37">
        <v>45673136</v>
      </c>
      <c r="R7" s="37">
        <v>4219416</v>
      </c>
      <c r="S7" s="37">
        <v>227402984</v>
      </c>
      <c r="T7" s="53" t="s">
        <v>1476</v>
      </c>
      <c r="U7" s="53" t="s">
        <v>1476</v>
      </c>
      <c r="V7" s="53" t="s">
        <v>1476</v>
      </c>
      <c r="W7" s="53" t="s">
        <v>1476</v>
      </c>
      <c r="X7" s="53" t="s">
        <v>1476</v>
      </c>
      <c r="Y7" s="38">
        <v>323.49</v>
      </c>
      <c r="Z7" s="38">
        <v>7340.4</v>
      </c>
      <c r="AA7" s="38">
        <v>2.7450000000000001</v>
      </c>
      <c r="AB7" s="38">
        <v>24.257000000000001</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49892552</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32</v>
      </c>
      <c r="F8" s="40">
        <v>30</v>
      </c>
      <c r="H8" s="41">
        <f>IF(ISBLANK(P8),"·",P8/(C8*D8*3))</f>
        <v>5.5716589715606925E-2</v>
      </c>
      <c r="I8" s="58">
        <f>IF(OR(ISBLANK(P8),ISBLANK(F8)),"·",P8*F8/E8/1000000)</f>
        <v>392.21888999999999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v>251.49299999999999</v>
      </c>
      <c r="Z8" s="45">
        <v>8437.23</v>
      </c>
      <c r="AA8" s="45">
        <v>2.5760000000000001</v>
      </c>
      <c r="AB8" s="45">
        <v>26.78</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52629664</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1.1835504712530951</v>
      </c>
      <c r="AF9" s="47" t="e">
        <f>AVERAGE(AF4:AF7)</f>
        <v>#DIV/0!</v>
      </c>
      <c r="BB9" s="6" t="e">
        <f t="shared" si="0"/>
        <v>#DIV/0!</v>
      </c>
      <c r="BD9" s="6" t="e">
        <f>AVERAGE(BD4:BD7)</f>
        <v>#VALUE!</v>
      </c>
    </row>
    <row r="10" spans="1:56" x14ac:dyDescent="0.25">
      <c r="B10" s="46" t="s">
        <v>572</v>
      </c>
      <c r="J10" s="47">
        <f>AVERAGE(J8:J8)</f>
        <v>1.6714976914682076</v>
      </c>
      <c r="AF10" s="47" t="e">
        <f>AVERAGE(AF8:AF8)</f>
        <v>#DIV/0!</v>
      </c>
      <c r="BB10" s="6" t="e">
        <f t="shared" si="0"/>
        <v>#DIV/0!</v>
      </c>
      <c r="BD10" s="6" t="e">
        <f>AVERAGE(BD8:BD8)</f>
        <v>#VALUE!</v>
      </c>
    </row>
    <row r="11" spans="1:56" x14ac:dyDescent="0.25">
      <c r="B11" s="46" t="s">
        <v>258</v>
      </c>
      <c r="J11" s="47">
        <f>AVERAGE(J4:J7,J8:J8)</f>
        <v>1.2811399152961176</v>
      </c>
      <c r="AF11" s="47" t="e">
        <f>AVERAGE(AF4:AF7,AF8:AF8)</f>
        <v>#DIV/0!</v>
      </c>
      <c r="BB11" s="6" t="e">
        <f t="shared" si="0"/>
        <v>#DIV/0!</v>
      </c>
      <c r="BD11" s="6" t="e">
        <f>AVERAGE(BD4:BD7,BD8:BD8)</f>
        <v>#VALUE!</v>
      </c>
    </row>
    <row r="12" spans="1:56" hidden="1" outlineLevel="2" x14ac:dyDescent="0.25">
      <c r="A12" s="46" t="s">
        <v>259</v>
      </c>
      <c r="B12" s="46" t="s">
        <v>260</v>
      </c>
      <c r="Y12" s="48">
        <f>SUM(Y4:Y7,Y8:Y8)</f>
        <v>1305.1410000000001</v>
      </c>
      <c r="Z12" s="48">
        <f>SUM(Z4:Z7,Z8:Z8)</f>
        <v>39587.39</v>
      </c>
      <c r="AA12" s="48">
        <f>SUM(AA4:AA7,AA8:AA8)</f>
        <v>13.247</v>
      </c>
      <c r="AB12" s="48">
        <f>SUM(AB4:AB7,AB8:AB8)</f>
        <v>127.113</v>
      </c>
      <c r="AU12" s="48">
        <f>SUM(AU4:AU7,AU8:AU8)</f>
        <v>0</v>
      </c>
      <c r="AV12" s="48">
        <f>SUM(AV4:AV7,AV8:AV8)</f>
        <v>0</v>
      </c>
      <c r="AW12" s="48">
        <f>SUM(AW4:AW7,AW8:AW8)</f>
        <v>0</v>
      </c>
      <c r="AX12" s="48">
        <f>SUM(AX4:AX7,AX8:AX8)</f>
        <v>0</v>
      </c>
    </row>
    <row r="13" spans="1:56" hidden="1" outlineLevel="2" x14ac:dyDescent="0.25">
      <c r="B13" s="46" t="s">
        <v>261</v>
      </c>
      <c r="AU13" s="6">
        <f>AU12/Y12</f>
        <v>0</v>
      </c>
      <c r="AV13" s="6">
        <f>AV12/Z12</f>
        <v>0</v>
      </c>
      <c r="AW13" s="6">
        <f>AW12/AA12</f>
        <v>0</v>
      </c>
      <c r="AX13" s="6">
        <f>AX12/AB12</f>
        <v>0</v>
      </c>
    </row>
    <row r="14" spans="1:56" hidden="1" outlineLevel="2" x14ac:dyDescent="0.25">
      <c r="B14" s="46" t="s">
        <v>262</v>
      </c>
      <c r="Y14" s="48">
        <f>GEOMEAN(Y4:Y7,Y8:Y8)</f>
        <v>256.92921684896675</v>
      </c>
      <c r="Z14" s="48">
        <f>GEOMEAN(Z4:Z7,Z8:Z8)</f>
        <v>7886.843084980741</v>
      </c>
      <c r="AA14" s="48">
        <f>GEOMEAN(AA4:AA7,AA8:AA8)</f>
        <v>2.6286969370261652</v>
      </c>
      <c r="AB14" s="48">
        <f>GEOMEAN(AB4:AB7,AB8:AB8)</f>
        <v>25.362314922867583</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5" t="s">
        <v>977</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25">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25">
      <c r="A3" s="74"/>
      <c r="B3" s="72"/>
      <c r="C3" s="74"/>
      <c r="D3" s="72"/>
      <c r="E3" s="74"/>
      <c r="F3" s="72"/>
      <c r="H3" s="74"/>
      <c r="I3" s="72"/>
      <c r="J3" s="74"/>
      <c r="K3" s="72"/>
      <c r="L3" s="74"/>
      <c r="M3" s="72"/>
      <c r="N3" s="74"/>
      <c r="O3" s="72"/>
      <c r="Q3" s="74"/>
      <c r="R3" s="72"/>
      <c r="S3" s="74"/>
      <c r="T3" s="72"/>
      <c r="U3" s="74"/>
      <c r="V3" s="72"/>
      <c r="W3" s="74"/>
      <c r="X3" s="72"/>
      <c r="Z3" s="74"/>
    </row>
    <row r="4" spans="1:26" collapsed="1" x14ac:dyDescent="0.25">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1002</v>
      </c>
      <c r="J10" s="47" t="e">
        <f>AVERAGE(J4:J6)</f>
        <v>#DIV/0!</v>
      </c>
      <c r="S10" s="47" t="e">
        <f>AVERAGE(S4:S6)</f>
        <v>#DIV/0!</v>
      </c>
      <c r="Z10" s="6" t="e">
        <f t="shared" si="8"/>
        <v>#DIV/0!</v>
      </c>
    </row>
    <row r="11" spans="1:26" x14ac:dyDescent="0.25">
      <c r="B11" s="46" t="s">
        <v>1003</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qref="A1:G1"/>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5" t="s">
        <v>1046</v>
      </c>
      <c r="B1" s="75"/>
      <c r="C1" s="75"/>
      <c r="D1" s="75"/>
      <c r="E1" s="75"/>
      <c r="F1" s="75"/>
      <c r="G1" s="75"/>
      <c r="I1" s="64" t="s">
        <v>2</v>
      </c>
      <c r="J1" s="64"/>
      <c r="K1" s="64"/>
      <c r="L1" s="64"/>
      <c r="M1" s="64"/>
      <c r="N1" s="64"/>
      <c r="O1" s="64"/>
      <c r="P1" s="64"/>
      <c r="Q1" s="64"/>
      <c r="R1" s="64"/>
      <c r="S1" s="64"/>
      <c r="T1" s="64"/>
      <c r="V1" s="65" t="s">
        <v>3</v>
      </c>
      <c r="W1" s="65"/>
      <c r="X1" s="65"/>
      <c r="Y1" s="65"/>
      <c r="Z1" s="65"/>
      <c r="AA1" s="65"/>
      <c r="AB1" s="65"/>
      <c r="AC1" s="65"/>
      <c r="AD1" s="65"/>
      <c r="AE1" s="65"/>
      <c r="AF1" s="65"/>
      <c r="AG1" s="65"/>
    </row>
    <row r="2" spans="1:41" ht="30" customHeight="1" x14ac:dyDescent="0.25">
      <c r="A2" s="74" t="s">
        <v>97</v>
      </c>
      <c r="B2" s="72" t="s">
        <v>99</v>
      </c>
      <c r="C2" s="74" t="s">
        <v>275</v>
      </c>
      <c r="D2" s="72" t="s">
        <v>101</v>
      </c>
      <c r="E2" s="74" t="s">
        <v>103</v>
      </c>
      <c r="F2" s="72" t="s">
        <v>513</v>
      </c>
      <c r="G2" s="74" t="s">
        <v>515</v>
      </c>
      <c r="I2" s="72" t="s">
        <v>518</v>
      </c>
      <c r="J2" s="73" t="s">
        <v>107</v>
      </c>
      <c r="K2" s="73"/>
      <c r="L2" s="72" t="s">
        <v>112</v>
      </c>
      <c r="M2" s="74" t="s">
        <v>26</v>
      </c>
      <c r="N2" s="76" t="s">
        <v>115</v>
      </c>
      <c r="O2" s="76"/>
      <c r="P2" s="73" t="s">
        <v>284</v>
      </c>
      <c r="Q2" s="73"/>
      <c r="R2" s="73"/>
      <c r="S2" s="72" t="s">
        <v>118</v>
      </c>
      <c r="T2" s="74" t="s">
        <v>120</v>
      </c>
      <c r="V2" s="72" t="s">
        <v>518</v>
      </c>
      <c r="W2" s="73" t="s">
        <v>107</v>
      </c>
      <c r="X2" s="73"/>
      <c r="Y2" s="72" t="s">
        <v>112</v>
      </c>
      <c r="Z2" s="74" t="s">
        <v>26</v>
      </c>
      <c r="AA2" s="76" t="s">
        <v>115</v>
      </c>
      <c r="AB2" s="76"/>
      <c r="AC2" s="73" t="s">
        <v>284</v>
      </c>
      <c r="AD2" s="73"/>
      <c r="AE2" s="73"/>
      <c r="AF2" s="72" t="s">
        <v>118</v>
      </c>
      <c r="AG2" s="74" t="s">
        <v>120</v>
      </c>
      <c r="AI2" s="76" t="s">
        <v>412</v>
      </c>
      <c r="AJ2" s="76"/>
      <c r="AK2" s="76"/>
      <c r="AM2" s="73" t="s">
        <v>301</v>
      </c>
      <c r="AN2" s="73"/>
      <c r="AO2" s="73"/>
    </row>
    <row r="3" spans="1:41" x14ac:dyDescent="0.25">
      <c r="A3" s="74"/>
      <c r="B3" s="72"/>
      <c r="C3" s="74"/>
      <c r="D3" s="72"/>
      <c r="E3" s="74"/>
      <c r="F3" s="72"/>
      <c r="G3" s="74"/>
      <c r="I3" s="72"/>
      <c r="J3" s="16" t="s">
        <v>108</v>
      </c>
      <c r="K3" s="16" t="s">
        <v>366</v>
      </c>
      <c r="L3" s="72"/>
      <c r="M3" s="74"/>
      <c r="N3" s="17" t="s">
        <v>108</v>
      </c>
      <c r="O3" s="17" t="s">
        <v>372</v>
      </c>
      <c r="P3" s="16" t="s">
        <v>285</v>
      </c>
      <c r="Q3" s="16" t="s">
        <v>287</v>
      </c>
      <c r="R3" s="16" t="s">
        <v>289</v>
      </c>
      <c r="S3" s="72"/>
      <c r="T3" s="74"/>
      <c r="V3" s="72"/>
      <c r="W3" s="16" t="s">
        <v>108</v>
      </c>
      <c r="X3" s="16" t="s">
        <v>366</v>
      </c>
      <c r="Y3" s="72"/>
      <c r="Z3" s="74"/>
      <c r="AA3" s="17" t="s">
        <v>108</v>
      </c>
      <c r="AB3" s="17" t="s">
        <v>372</v>
      </c>
      <c r="AC3" s="16" t="s">
        <v>285</v>
      </c>
      <c r="AD3" s="16" t="s">
        <v>287</v>
      </c>
      <c r="AE3" s="16" t="s">
        <v>289</v>
      </c>
      <c r="AF3" s="72"/>
      <c r="AG3" s="74"/>
      <c r="AI3" s="17" t="s">
        <v>285</v>
      </c>
      <c r="AJ3" s="17" t="s">
        <v>287</v>
      </c>
      <c r="AK3" s="17" t="s">
        <v>289</v>
      </c>
      <c r="AM3" s="16" t="s">
        <v>285</v>
      </c>
      <c r="AN3" s="16" t="s">
        <v>287</v>
      </c>
      <c r="AO3" s="16" t="s">
        <v>289</v>
      </c>
    </row>
    <row r="4" spans="1:41" x14ac:dyDescent="0.25">
      <c r="A4" s="18" t="s">
        <v>991</v>
      </c>
      <c r="B4" s="18" t="s">
        <v>982</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x14ac:dyDescent="0.25">
      <c r="A10" s="18"/>
      <c r="B10" s="18" t="s">
        <v>985</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x14ac:dyDescent="0.25">
      <c r="A16" s="18"/>
      <c r="B16" s="18" t="s">
        <v>988</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5" t="s">
        <v>1092</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25">
      <c r="A2" s="74" t="s">
        <v>97</v>
      </c>
      <c r="B2" s="72" t="s">
        <v>99</v>
      </c>
      <c r="C2" s="74" t="s">
        <v>275</v>
      </c>
      <c r="D2" s="72" t="s">
        <v>101</v>
      </c>
      <c r="E2" s="74" t="s">
        <v>103</v>
      </c>
      <c r="F2" s="72" t="s">
        <v>513</v>
      </c>
      <c r="G2" s="74" t="s">
        <v>515</v>
      </c>
      <c r="I2" s="72" t="s">
        <v>518</v>
      </c>
      <c r="J2" s="74" t="s">
        <v>520</v>
      </c>
      <c r="K2" s="72" t="s">
        <v>112</v>
      </c>
      <c r="L2" s="74" t="s">
        <v>26</v>
      </c>
      <c r="M2" s="76" t="s">
        <v>115</v>
      </c>
      <c r="N2" s="76"/>
      <c r="O2" s="74" t="s">
        <v>1075</v>
      </c>
      <c r="P2" s="72" t="s">
        <v>118</v>
      </c>
      <c r="Q2" s="74" t="s">
        <v>120</v>
      </c>
      <c r="S2" s="72" t="s">
        <v>518</v>
      </c>
      <c r="T2" s="74" t="s">
        <v>520</v>
      </c>
      <c r="U2" s="72" t="s">
        <v>112</v>
      </c>
      <c r="V2" s="74" t="s">
        <v>26</v>
      </c>
      <c r="W2" s="76" t="s">
        <v>115</v>
      </c>
      <c r="X2" s="76"/>
      <c r="Y2" s="74" t="s">
        <v>1075</v>
      </c>
      <c r="Z2" s="72" t="s">
        <v>118</v>
      </c>
      <c r="AA2" s="74" t="s">
        <v>120</v>
      </c>
      <c r="AC2" s="72" t="s">
        <v>1088</v>
      </c>
      <c r="AE2" s="74" t="s">
        <v>1090</v>
      </c>
    </row>
    <row r="3" spans="1:31" x14ac:dyDescent="0.25">
      <c r="A3" s="74"/>
      <c r="B3" s="72"/>
      <c r="C3" s="74"/>
      <c r="D3" s="72"/>
      <c r="E3" s="74"/>
      <c r="F3" s="72"/>
      <c r="G3" s="74"/>
      <c r="I3" s="72"/>
      <c r="J3" s="74"/>
      <c r="K3" s="72"/>
      <c r="L3" s="74"/>
      <c r="M3" s="17" t="s">
        <v>108</v>
      </c>
      <c r="N3" s="17" t="s">
        <v>1073</v>
      </c>
      <c r="O3" s="74"/>
      <c r="P3" s="72"/>
      <c r="Q3" s="74"/>
      <c r="S3" s="72"/>
      <c r="T3" s="74"/>
      <c r="U3" s="72"/>
      <c r="V3" s="74"/>
      <c r="W3" s="17" t="s">
        <v>108</v>
      </c>
      <c r="X3" s="17" t="s">
        <v>1073</v>
      </c>
      <c r="Y3" s="74"/>
      <c r="Z3" s="72"/>
      <c r="AA3" s="74"/>
      <c r="AC3" s="72"/>
      <c r="AE3" s="74"/>
    </row>
    <row r="4" spans="1:31" collapsed="1" x14ac:dyDescent="0.25">
      <c r="A4" s="18" t="s">
        <v>991</v>
      </c>
      <c r="B4" s="18" t="s">
        <v>982</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985</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988</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5" t="s">
        <v>1135</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25">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25">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25">
      <c r="A4" s="18" t="s">
        <v>991</v>
      </c>
      <c r="B4" s="18" t="s">
        <v>982</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985</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988</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1001</v>
      </c>
      <c r="B22" s="18" t="s">
        <v>992</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995</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998</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1002</v>
      </c>
      <c r="J40" s="47" t="e">
        <f>AVERAGE(J4:J21)</f>
        <v>#DIV/0!</v>
      </c>
      <c r="T40" s="47" t="e">
        <f>AVERAGE(T4:T21)</f>
        <v>#DIV/0!</v>
      </c>
      <c r="AC40" s="11" t="e">
        <f>AVERAGE(AC4:AC21)</f>
        <v>#VALUE!</v>
      </c>
      <c r="AD40" s="11" t="e">
        <f>AVERAGE(AD4:AD21)</f>
        <v>#VALUE!</v>
      </c>
    </row>
    <row r="41" spans="1:30" x14ac:dyDescent="0.25">
      <c r="B41" s="46" t="s">
        <v>1003</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5" t="s">
        <v>1184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25">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25">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5" t="s">
        <v>1230</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25">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25">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5" t="s">
        <v>1276</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25">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25">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25">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5" t="s">
        <v>1311</v>
      </c>
      <c r="B1" s="75"/>
      <c r="C1" s="75"/>
      <c r="D1" s="75"/>
      <c r="F1" s="64" t="s">
        <v>2</v>
      </c>
      <c r="G1" s="64"/>
      <c r="H1" s="64"/>
      <c r="I1" s="64"/>
      <c r="J1" s="64"/>
      <c r="K1" s="64"/>
      <c r="L1" s="64"/>
      <c r="N1" s="65" t="s">
        <v>3</v>
      </c>
      <c r="O1" s="65"/>
      <c r="P1" s="65"/>
      <c r="Q1" s="65"/>
      <c r="R1" s="65"/>
      <c r="S1" s="65"/>
      <c r="T1" s="65"/>
    </row>
    <row r="2" spans="1:22" ht="30" customHeight="1" x14ac:dyDescent="0.25">
      <c r="A2" s="74" t="s">
        <v>97</v>
      </c>
      <c r="B2" s="72" t="s">
        <v>99</v>
      </c>
      <c r="C2" s="74" t="s">
        <v>101</v>
      </c>
      <c r="D2" s="72" t="s">
        <v>103</v>
      </c>
      <c r="F2" s="74" t="s">
        <v>105</v>
      </c>
      <c r="G2" s="72" t="s">
        <v>520</v>
      </c>
      <c r="H2" s="74" t="s">
        <v>112</v>
      </c>
      <c r="I2" s="72" t="s">
        <v>26</v>
      </c>
      <c r="J2" s="74" t="s">
        <v>524</v>
      </c>
      <c r="K2" s="72" t="s">
        <v>118</v>
      </c>
      <c r="L2" s="74" t="s">
        <v>120</v>
      </c>
      <c r="N2" s="72" t="s">
        <v>105</v>
      </c>
      <c r="O2" s="74" t="s">
        <v>520</v>
      </c>
      <c r="P2" s="72" t="s">
        <v>112</v>
      </c>
      <c r="Q2" s="74" t="s">
        <v>26</v>
      </c>
      <c r="R2" s="72" t="s">
        <v>524</v>
      </c>
      <c r="S2" s="74" t="s">
        <v>118</v>
      </c>
      <c r="T2" s="72" t="s">
        <v>120</v>
      </c>
      <c r="V2" s="74" t="s">
        <v>131</v>
      </c>
    </row>
    <row r="3" spans="1:22" x14ac:dyDescent="0.25">
      <c r="A3" s="74"/>
      <c r="B3" s="72"/>
      <c r="C3" s="74"/>
      <c r="D3" s="72"/>
      <c r="F3" s="74"/>
      <c r="G3" s="72"/>
      <c r="H3" s="74"/>
      <c r="I3" s="72"/>
      <c r="J3" s="74"/>
      <c r="K3" s="72"/>
      <c r="L3" s="74"/>
      <c r="N3" s="72"/>
      <c r="O3" s="74"/>
      <c r="P3" s="72"/>
      <c r="Q3" s="74"/>
      <c r="R3" s="72"/>
      <c r="S3" s="74"/>
      <c r="T3" s="72"/>
      <c r="V3" s="74"/>
    </row>
    <row r="4" spans="1:22" collapsed="1" x14ac:dyDescent="0.25">
      <c r="A4" s="18" t="s">
        <v>991</v>
      </c>
      <c r="B4" s="18" t="s">
        <v>982</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985</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988</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5" t="s">
        <v>1350</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25">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25">
      <c r="A3" s="74"/>
      <c r="B3" s="72"/>
      <c r="C3" s="74"/>
      <c r="D3" s="72"/>
      <c r="E3" s="74"/>
      <c r="F3" s="72"/>
      <c r="H3" s="74"/>
      <c r="I3" s="72"/>
      <c r="J3" s="74"/>
      <c r="K3" s="72"/>
      <c r="L3" s="74"/>
      <c r="M3" s="72"/>
      <c r="N3" s="74"/>
      <c r="O3" s="72"/>
      <c r="Q3" s="74"/>
      <c r="R3" s="72"/>
      <c r="S3" s="74"/>
      <c r="T3" s="72"/>
      <c r="U3" s="74"/>
      <c r="V3" s="72"/>
      <c r="W3" s="74"/>
      <c r="X3" s="72"/>
      <c r="Z3" s="74"/>
    </row>
    <row r="4" spans="1:26" collapsed="1" x14ac:dyDescent="0.25">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1002</v>
      </c>
      <c r="J10" s="47" t="e">
        <f>AVERAGE(J4:J6)</f>
        <v>#DIV/0!</v>
      </c>
      <c r="S10" s="47" t="e">
        <f>AVERAGE(S4:S6)</f>
        <v>#DIV/0!</v>
      </c>
      <c r="Z10" s="6" t="e">
        <f t="shared" si="8"/>
        <v>#DIV/0!</v>
      </c>
    </row>
    <row r="11" spans="1:26" x14ac:dyDescent="0.25">
      <c r="B11" s="46" t="s">
        <v>1003</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5" t="s">
        <v>1409</v>
      </c>
      <c r="B1" s="75"/>
      <c r="C1" s="75"/>
      <c r="D1" s="75"/>
      <c r="E1" s="75"/>
      <c r="G1" s="64" t="s">
        <v>2</v>
      </c>
      <c r="H1" s="64"/>
      <c r="I1" s="64"/>
      <c r="J1" s="64"/>
      <c r="K1" s="64"/>
      <c r="L1" s="64"/>
      <c r="M1" s="64"/>
      <c r="N1" s="64"/>
      <c r="O1" s="64"/>
      <c r="P1" s="64"/>
      <c r="Q1" s="64"/>
      <c r="R1" s="64"/>
      <c r="T1" s="65" t="s">
        <v>3</v>
      </c>
      <c r="U1" s="65"/>
      <c r="V1" s="65"/>
      <c r="W1" s="65"/>
      <c r="X1" s="65"/>
      <c r="Y1" s="65"/>
      <c r="Z1" s="65"/>
      <c r="AA1" s="65"/>
      <c r="AB1" s="65"/>
      <c r="AC1" s="65"/>
      <c r="AD1" s="65"/>
      <c r="AE1" s="65"/>
    </row>
    <row r="2" spans="1:39" ht="30" customHeight="1" x14ac:dyDescent="0.25">
      <c r="A2" s="74" t="s">
        <v>97</v>
      </c>
      <c r="B2" s="72" t="s">
        <v>99</v>
      </c>
      <c r="C2" s="74" t="s">
        <v>275</v>
      </c>
      <c r="D2" s="72" t="s">
        <v>101</v>
      </c>
      <c r="E2" s="74" t="s">
        <v>103</v>
      </c>
      <c r="G2" s="72" t="s">
        <v>520</v>
      </c>
      <c r="H2" s="74" t="s">
        <v>112</v>
      </c>
      <c r="I2" s="72" t="s">
        <v>26</v>
      </c>
      <c r="J2" s="74" t="s">
        <v>524</v>
      </c>
      <c r="K2" s="76" t="s">
        <v>284</v>
      </c>
      <c r="L2" s="76"/>
      <c r="M2" s="76"/>
      <c r="N2" s="73" t="s">
        <v>1384</v>
      </c>
      <c r="O2" s="73"/>
      <c r="P2" s="73"/>
      <c r="Q2" s="72" t="s">
        <v>118</v>
      </c>
      <c r="R2" s="74" t="s">
        <v>120</v>
      </c>
      <c r="T2" s="72" t="s">
        <v>520</v>
      </c>
      <c r="U2" s="74" t="s">
        <v>112</v>
      </c>
      <c r="V2" s="72" t="s">
        <v>26</v>
      </c>
      <c r="W2" s="74" t="s">
        <v>524</v>
      </c>
      <c r="X2" s="76" t="s">
        <v>284</v>
      </c>
      <c r="Y2" s="76"/>
      <c r="Z2" s="76"/>
      <c r="AA2" s="73" t="s">
        <v>1384</v>
      </c>
      <c r="AB2" s="73"/>
      <c r="AC2" s="73"/>
      <c r="AD2" s="72" t="s">
        <v>118</v>
      </c>
      <c r="AE2" s="74" t="s">
        <v>120</v>
      </c>
      <c r="AG2" s="76" t="s">
        <v>412</v>
      </c>
      <c r="AH2" s="76"/>
      <c r="AI2" s="76"/>
      <c r="AK2" s="73" t="s">
        <v>1405</v>
      </c>
      <c r="AL2" s="73"/>
      <c r="AM2" s="73"/>
    </row>
    <row r="3" spans="1:39" x14ac:dyDescent="0.25">
      <c r="A3" s="74"/>
      <c r="B3" s="72"/>
      <c r="C3" s="74"/>
      <c r="D3" s="72"/>
      <c r="E3" s="74"/>
      <c r="G3" s="72"/>
      <c r="H3" s="74"/>
      <c r="I3" s="72"/>
      <c r="J3" s="74"/>
      <c r="K3" s="17" t="s">
        <v>285</v>
      </c>
      <c r="L3" s="17" t="s">
        <v>287</v>
      </c>
      <c r="M3" s="17" t="s">
        <v>289</v>
      </c>
      <c r="N3" s="16" t="s">
        <v>285</v>
      </c>
      <c r="O3" s="16" t="s">
        <v>287</v>
      </c>
      <c r="P3" s="16" t="s">
        <v>289</v>
      </c>
      <c r="Q3" s="72"/>
      <c r="R3" s="74"/>
      <c r="T3" s="72"/>
      <c r="U3" s="74"/>
      <c r="V3" s="72"/>
      <c r="W3" s="74"/>
      <c r="X3" s="17" t="s">
        <v>285</v>
      </c>
      <c r="Y3" s="17" t="s">
        <v>287</v>
      </c>
      <c r="Z3" s="17" t="s">
        <v>289</v>
      </c>
      <c r="AA3" s="16" t="s">
        <v>285</v>
      </c>
      <c r="AB3" s="16" t="s">
        <v>287</v>
      </c>
      <c r="AC3" s="16" t="s">
        <v>289</v>
      </c>
      <c r="AD3" s="72"/>
      <c r="AE3" s="74"/>
      <c r="AG3" s="17" t="s">
        <v>285</v>
      </c>
      <c r="AH3" s="17" t="s">
        <v>287</v>
      </c>
      <c r="AI3" s="17" t="s">
        <v>289</v>
      </c>
      <c r="AK3" s="16" t="s">
        <v>285</v>
      </c>
      <c r="AL3" s="16" t="s">
        <v>287</v>
      </c>
      <c r="AM3" s="16" t="s">
        <v>289</v>
      </c>
    </row>
    <row r="4" spans="1:39" collapsed="1" x14ac:dyDescent="0.25">
      <c r="A4" s="18" t="s">
        <v>991</v>
      </c>
      <c r="B4" s="18" t="s">
        <v>982</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985</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988</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5" t="s">
        <v>1454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25">
      <c r="A2" s="74" t="s">
        <v>97</v>
      </c>
      <c r="B2" s="72" t="s">
        <v>99</v>
      </c>
      <c r="C2" s="74" t="s">
        <v>275</v>
      </c>
      <c r="D2" s="72" t="s">
        <v>101</v>
      </c>
      <c r="E2" s="74" t="s">
        <v>103</v>
      </c>
      <c r="F2" s="72" t="s">
        <v>513</v>
      </c>
      <c r="G2" s="74" t="s">
        <v>515</v>
      </c>
      <c r="I2" s="72" t="s">
        <v>518</v>
      </c>
      <c r="J2" s="74" t="s">
        <v>520</v>
      </c>
      <c r="K2" s="72" t="s">
        <v>112</v>
      </c>
      <c r="L2" s="74" t="s">
        <v>26</v>
      </c>
      <c r="M2" s="72" t="s">
        <v>524</v>
      </c>
      <c r="N2" s="74" t="s">
        <v>1075</v>
      </c>
      <c r="O2" s="72" t="s">
        <v>1438</v>
      </c>
      <c r="P2" s="74" t="s">
        <v>118</v>
      </c>
      <c r="Q2" s="72" t="s">
        <v>120</v>
      </c>
      <c r="S2" s="74" t="s">
        <v>518</v>
      </c>
      <c r="T2" s="72" t="s">
        <v>520</v>
      </c>
      <c r="U2" s="74" t="s">
        <v>112</v>
      </c>
      <c r="V2" s="72" t="s">
        <v>26</v>
      </c>
      <c r="W2" s="74" t="s">
        <v>524</v>
      </c>
      <c r="X2" s="72" t="s">
        <v>1075</v>
      </c>
      <c r="Y2" s="74" t="s">
        <v>1438</v>
      </c>
      <c r="Z2" s="72" t="s">
        <v>118</v>
      </c>
      <c r="AA2" s="74" t="s">
        <v>120</v>
      </c>
      <c r="AC2" s="72" t="s">
        <v>1088</v>
      </c>
      <c r="AE2" s="74" t="s">
        <v>1452</v>
      </c>
    </row>
    <row r="3" spans="1:31" x14ac:dyDescent="0.25">
      <c r="A3" s="74"/>
      <c r="B3" s="72"/>
      <c r="C3" s="74"/>
      <c r="D3" s="72"/>
      <c r="E3" s="74"/>
      <c r="F3" s="72"/>
      <c r="G3" s="74"/>
      <c r="I3" s="72"/>
      <c r="J3" s="74"/>
      <c r="K3" s="72"/>
      <c r="L3" s="74"/>
      <c r="M3" s="72"/>
      <c r="N3" s="74"/>
      <c r="O3" s="72"/>
      <c r="P3" s="74"/>
      <c r="Q3" s="72"/>
      <c r="S3" s="74"/>
      <c r="T3" s="72"/>
      <c r="U3" s="74"/>
      <c r="V3" s="72"/>
      <c r="W3" s="74"/>
      <c r="X3" s="72"/>
      <c r="Y3" s="74"/>
      <c r="Z3" s="72"/>
      <c r="AA3" s="74"/>
      <c r="AC3" s="72"/>
      <c r="AE3" s="74"/>
    </row>
    <row r="4" spans="1:31" collapsed="1" x14ac:dyDescent="0.25">
      <c r="A4" s="18" t="s">
        <v>991</v>
      </c>
      <c r="B4" s="18" t="s">
        <v>982</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985</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988</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1001</v>
      </c>
      <c r="B19" s="25" t="s">
        <v>992</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995</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998</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1002</v>
      </c>
      <c r="J34" s="47" t="e">
        <f>AVERAGE(J4:J18)</f>
        <v>#DIV/0!</v>
      </c>
      <c r="T34" s="47" t="e">
        <f>AVERAGE(T4:T18)</f>
        <v>#DIV/0!</v>
      </c>
      <c r="AC34" s="11" t="e">
        <f>AVERAGE(AC4:AC18)</f>
        <v>#VALUE!</v>
      </c>
      <c r="AE34" s="11" t="e">
        <f>AVERAGE(AE4:AE18)</f>
        <v>#VALUE!</v>
      </c>
    </row>
    <row r="35" spans="1:31" x14ac:dyDescent="0.25">
      <c r="B35" s="46" t="s">
        <v>1003</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
  <cp:lastModifiedBy>Vladyslav Zakharchenko</cp:lastModifiedBy>
  <dcterms:created xsi:type="dcterms:W3CDTF">2018-06-01T10:45:41Z</dcterms:created>
  <dcterms:modified xsi:type="dcterms:W3CDTF">2018-07-22T21:42:05Z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_readonly">
    <vt:lpwstr/>
  </property>
  <property fmtid="{D5CDD505-2E9C-101B-9397-08002B2CF9AE}" pid="5" name="_change">
    <vt:lpwstr/>
  </property>
  <property fmtid="{D5CDD505-2E9C-101B-9397-08002B2CF9AE}" pid="6" name="_full-control">
    <vt:lpwstr/>
  </property>
  <property fmtid="{D5CDD505-2E9C-101B-9397-08002B2CF9AE}" pid="7" name="sflag">
    <vt:lpwstr>1532295687</vt:lpwstr>
  </property>
</Properties>
</file>