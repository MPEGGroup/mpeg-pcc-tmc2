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211" codeName="{61638066-69CD-5DBD-CD94-FFEC8A4DF156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jkim/Works/TMCv3_dn15/mpeg-pcc-tmc2/test/results_F32/"/>
    </mc:Choice>
  </mc:AlternateContent>
  <bookViews>
    <workbookView xWindow="6340" yWindow="5740" windowWidth="39120" windowHeight="20000" tabRatio="916" firstSheet="1" activeTab="8"/>
  </bookViews>
  <sheets>
    <sheet name="Summary" sheetId="1" r:id="rId1"/>
    <sheet name="Graphs" sheetId="2" r:id="rId2"/>
    <sheet name="names" sheetId="4" state="hidden" r:id="rId3"/>
    <sheet name="C2.1 losslG,noAttr" sheetId="7" r:id="rId4"/>
    <sheet name="C2.2 losslG,losslAttr" sheetId="8" r:id="rId5"/>
    <sheet name="C2.3 lossyG,lossyAttr" sheetId="9" r:id="rId6"/>
    <sheet name="C2.4 lossyG,lossyAttr,interRA" sheetId="10" r:id="rId7"/>
    <sheet name="C2.5 losslG,noAttr,interRA" sheetId="11" r:id="rId8"/>
    <sheet name="C2.6 losslG,losslAttr,interRA" sheetId="12" r:id="rId9"/>
  </sheets>
  <definedNames>
    <definedName name="all_cols" localSheetId="1">Graphs!$I$2:$I$41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4" i="10" l="1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A32" i="9"/>
  <c r="AB32" i="9"/>
  <c r="AA34" i="9"/>
  <c r="AB34" i="9"/>
  <c r="C166" i="1"/>
  <c r="C160" i="1"/>
  <c r="C151" i="1"/>
  <c r="C137" i="1"/>
  <c r="C106" i="1"/>
  <c r="AX14" i="12"/>
  <c r="AW14" i="12"/>
  <c r="AA14" i="12"/>
  <c r="AW15" i="12"/>
  <c r="C89" i="1"/>
  <c r="AV14" i="12"/>
  <c r="AU14" i="12"/>
  <c r="AB14" i="12"/>
  <c r="Z14" i="12"/>
  <c r="Y14" i="12"/>
  <c r="AX12" i="12"/>
  <c r="AW12" i="12"/>
  <c r="AV12" i="12"/>
  <c r="AU12" i="12"/>
  <c r="AB12" i="12"/>
  <c r="AA12" i="12"/>
  <c r="Z12" i="12"/>
  <c r="Y12" i="12"/>
  <c r="BA8" i="12"/>
  <c r="AG8" i="12"/>
  <c r="AJ8" i="12"/>
  <c r="AI8" i="12"/>
  <c r="AH8" i="12"/>
  <c r="AF8" i="12"/>
  <c r="AF10" i="12"/>
  <c r="AE8" i="12"/>
  <c r="AD8" i="12"/>
  <c r="AZ8" i="12"/>
  <c r="K8" i="12"/>
  <c r="N8" i="12"/>
  <c r="M8" i="12"/>
  <c r="L8" i="12"/>
  <c r="J8" i="12"/>
  <c r="J10" i="12"/>
  <c r="I8" i="12"/>
  <c r="H8" i="12"/>
  <c r="BA7" i="12"/>
  <c r="AG7" i="12"/>
  <c r="AJ7" i="12"/>
  <c r="AI7" i="12"/>
  <c r="AH7" i="12"/>
  <c r="AF7" i="12"/>
  <c r="AE7" i="12"/>
  <c r="AD7" i="12"/>
  <c r="AZ7" i="12"/>
  <c r="K7" i="12"/>
  <c r="N7" i="12"/>
  <c r="M7" i="12"/>
  <c r="L7" i="12"/>
  <c r="J7" i="12"/>
  <c r="I7" i="12"/>
  <c r="H7" i="12"/>
  <c r="BA6" i="12"/>
  <c r="AG6" i="12"/>
  <c r="AJ6" i="12"/>
  <c r="AI6" i="12"/>
  <c r="AH6" i="12"/>
  <c r="AF6" i="12"/>
  <c r="J6" i="12"/>
  <c r="BB6" i="12"/>
  <c r="AE6" i="12"/>
  <c r="AD6" i="12"/>
  <c r="AZ6" i="12"/>
  <c r="K6" i="12"/>
  <c r="N6" i="12"/>
  <c r="M6" i="12"/>
  <c r="L6" i="12"/>
  <c r="I6" i="12"/>
  <c r="H6" i="12"/>
  <c r="BA5" i="12"/>
  <c r="AG5" i="12"/>
  <c r="AJ5" i="12"/>
  <c r="AI5" i="12"/>
  <c r="AH5" i="12"/>
  <c r="AF5" i="12"/>
  <c r="AE5" i="12"/>
  <c r="AD5" i="12"/>
  <c r="AZ5" i="12"/>
  <c r="K5" i="12"/>
  <c r="N5" i="12"/>
  <c r="M5" i="12"/>
  <c r="L5" i="12"/>
  <c r="J5" i="12"/>
  <c r="I5" i="12"/>
  <c r="H5" i="12"/>
  <c r="BA4" i="12"/>
  <c r="AJ4" i="12"/>
  <c r="AI4" i="12"/>
  <c r="AH4" i="12"/>
  <c r="AF4" i="12"/>
  <c r="AE4" i="12"/>
  <c r="AD4" i="12"/>
  <c r="AZ4" i="12"/>
  <c r="K4" i="12"/>
  <c r="N4" i="12"/>
  <c r="M4" i="12"/>
  <c r="L4" i="12"/>
  <c r="J4" i="12"/>
  <c r="I4" i="12"/>
  <c r="H4" i="12"/>
  <c r="AF14" i="11"/>
  <c r="AE14" i="11"/>
  <c r="AD14" i="11"/>
  <c r="AC14" i="11"/>
  <c r="S14" i="11"/>
  <c r="R14" i="11"/>
  <c r="Q14" i="11"/>
  <c r="P14" i="11"/>
  <c r="S12" i="11"/>
  <c r="AF12" i="11"/>
  <c r="AF13" i="11"/>
  <c r="AE12" i="11"/>
  <c r="AD12" i="11"/>
  <c r="AC12" i="11"/>
  <c r="R12" i="11"/>
  <c r="Q12" i="11"/>
  <c r="P12" i="11"/>
  <c r="X8" i="11"/>
  <c r="W8" i="11"/>
  <c r="V8" i="11"/>
  <c r="U8" i="11"/>
  <c r="K8" i="11"/>
  <c r="J8" i="11"/>
  <c r="J10" i="11"/>
  <c r="I8" i="11"/>
  <c r="H8" i="11"/>
  <c r="X7" i="11"/>
  <c r="W7" i="11"/>
  <c r="V7" i="11"/>
  <c r="U7" i="11"/>
  <c r="K7" i="11"/>
  <c r="J7" i="11"/>
  <c r="I7" i="11"/>
  <c r="H7" i="11"/>
  <c r="X6" i="11"/>
  <c r="W6" i="11"/>
  <c r="V6" i="11"/>
  <c r="U6" i="11"/>
  <c r="K6" i="11"/>
  <c r="J6" i="11"/>
  <c r="I6" i="11"/>
  <c r="H6" i="11"/>
  <c r="X5" i="11"/>
  <c r="W5" i="11"/>
  <c r="J5" i="11"/>
  <c r="AH5" i="11"/>
  <c r="V5" i="11"/>
  <c r="U5" i="11"/>
  <c r="K5" i="11"/>
  <c r="I5" i="11"/>
  <c r="H5" i="11"/>
  <c r="X4" i="11"/>
  <c r="W4" i="11"/>
  <c r="V4" i="11"/>
  <c r="U4" i="11"/>
  <c r="K4" i="11"/>
  <c r="J4" i="11"/>
  <c r="I4" i="11"/>
  <c r="H4" i="11"/>
  <c r="BA34" i="10"/>
  <c r="AZ34" i="10"/>
  <c r="AY34" i="10"/>
  <c r="AX34" i="10"/>
  <c r="AD34" i="10"/>
  <c r="AC34" i="10"/>
  <c r="AB34" i="10"/>
  <c r="AA34" i="10"/>
  <c r="BA32" i="10"/>
  <c r="AZ32" i="10"/>
  <c r="AY32" i="10"/>
  <c r="AX32" i="10"/>
  <c r="AD32" i="10"/>
  <c r="AC32" i="10"/>
  <c r="AB32" i="10"/>
  <c r="AA32" i="10"/>
  <c r="BE28" i="10"/>
  <c r="BD28" i="10"/>
  <c r="AH28" i="10"/>
  <c r="AK28" i="10"/>
  <c r="AJ28" i="10"/>
  <c r="AI28" i="10"/>
  <c r="AG28" i="10"/>
  <c r="AF28" i="10"/>
  <c r="BC28" i="10"/>
  <c r="K28" i="10"/>
  <c r="N28" i="10"/>
  <c r="M28" i="10"/>
  <c r="L28" i="10"/>
  <c r="J28" i="10"/>
  <c r="I28" i="10"/>
  <c r="BE27" i="10"/>
  <c r="BD27" i="10"/>
  <c r="AH27" i="10"/>
  <c r="AK27" i="10"/>
  <c r="AJ27" i="10"/>
  <c r="AI27" i="10"/>
  <c r="AG27" i="10"/>
  <c r="AF27" i="10"/>
  <c r="BC27" i="10"/>
  <c r="K27" i="10"/>
  <c r="N27" i="10"/>
  <c r="M27" i="10"/>
  <c r="L27" i="10"/>
  <c r="J27" i="10"/>
  <c r="I27" i="10"/>
  <c r="BE26" i="10"/>
  <c r="BD26" i="10"/>
  <c r="AH26" i="10"/>
  <c r="AK26" i="10"/>
  <c r="AJ26" i="10"/>
  <c r="AI26" i="10"/>
  <c r="AG26" i="10"/>
  <c r="AF26" i="10"/>
  <c r="BC26" i="10"/>
  <c r="K26" i="10"/>
  <c r="N26" i="10"/>
  <c r="M26" i="10"/>
  <c r="L26" i="10"/>
  <c r="J26" i="10"/>
  <c r="I26" i="10"/>
  <c r="BE25" i="10"/>
  <c r="BD25" i="10"/>
  <c r="AK25" i="10"/>
  <c r="AJ25" i="10"/>
  <c r="AI25" i="10"/>
  <c r="AG25" i="10"/>
  <c r="AF25" i="10"/>
  <c r="BC25" i="10"/>
  <c r="K25" i="10"/>
  <c r="N25" i="10"/>
  <c r="M25" i="10"/>
  <c r="L25" i="10"/>
  <c r="J25" i="10"/>
  <c r="I25" i="10"/>
  <c r="BE24" i="10"/>
  <c r="BD24" i="10"/>
  <c r="AK24" i="10"/>
  <c r="AJ24" i="10"/>
  <c r="AI24" i="10"/>
  <c r="AG24" i="10"/>
  <c r="AF24" i="10"/>
  <c r="BC24" i="10"/>
  <c r="K24" i="10"/>
  <c r="N24" i="10"/>
  <c r="M24" i="10"/>
  <c r="L24" i="10"/>
  <c r="J24" i="10"/>
  <c r="I24" i="10"/>
  <c r="BE23" i="10"/>
  <c r="BD23" i="10"/>
  <c r="AH23" i="10"/>
  <c r="AK23" i="10"/>
  <c r="AJ23" i="10"/>
  <c r="AI23" i="10"/>
  <c r="AG23" i="10"/>
  <c r="AF23" i="10"/>
  <c r="BC23" i="10"/>
  <c r="K23" i="10"/>
  <c r="N23" i="10"/>
  <c r="M23" i="10"/>
  <c r="L23" i="10"/>
  <c r="J23" i="10"/>
  <c r="I23" i="10"/>
  <c r="BE22" i="10"/>
  <c r="BD22" i="10"/>
  <c r="AK22" i="10"/>
  <c r="AJ22" i="10"/>
  <c r="AI22" i="10"/>
  <c r="AG22" i="10"/>
  <c r="AF22" i="10"/>
  <c r="BC22" i="10"/>
  <c r="K22" i="10"/>
  <c r="N22" i="10"/>
  <c r="M22" i="10"/>
  <c r="L22" i="10"/>
  <c r="J22" i="10"/>
  <c r="I22" i="10"/>
  <c r="BE21" i="10"/>
  <c r="BD21" i="10"/>
  <c r="AK21" i="10"/>
  <c r="AJ21" i="10"/>
  <c r="AI21" i="10"/>
  <c r="AG21" i="10"/>
  <c r="AF21" i="10"/>
  <c r="BC21" i="10"/>
  <c r="K21" i="10"/>
  <c r="N21" i="10"/>
  <c r="M21" i="10"/>
  <c r="L21" i="10"/>
  <c r="J21" i="10"/>
  <c r="I21" i="10"/>
  <c r="BE20" i="10"/>
  <c r="BD20" i="10"/>
  <c r="AH20" i="10"/>
  <c r="AK20" i="10"/>
  <c r="AJ20" i="10"/>
  <c r="AI20" i="10"/>
  <c r="AG20" i="10"/>
  <c r="AF20" i="10"/>
  <c r="BC20" i="10"/>
  <c r="K20" i="10"/>
  <c r="N20" i="10"/>
  <c r="M20" i="10"/>
  <c r="L20" i="10"/>
  <c r="J20" i="10"/>
  <c r="I20" i="10"/>
  <c r="BE19" i="10"/>
  <c r="BD19" i="10"/>
  <c r="AK19" i="10"/>
  <c r="AJ19" i="10"/>
  <c r="AI19" i="10"/>
  <c r="AG19" i="10"/>
  <c r="AF19" i="10"/>
  <c r="BC19" i="10"/>
  <c r="K19" i="10"/>
  <c r="N19" i="10"/>
  <c r="M19" i="10"/>
  <c r="L19" i="10"/>
  <c r="J19" i="10"/>
  <c r="I19" i="10"/>
  <c r="BE18" i="10"/>
  <c r="BD18" i="10"/>
  <c r="AH18" i="10"/>
  <c r="AK18" i="10"/>
  <c r="AJ18" i="10"/>
  <c r="AI18" i="10"/>
  <c r="AG18" i="10"/>
  <c r="AF18" i="10"/>
  <c r="BC18" i="10"/>
  <c r="N18" i="10"/>
  <c r="M18" i="10"/>
  <c r="L18" i="10"/>
  <c r="K18" i="10"/>
  <c r="J18" i="10"/>
  <c r="I18" i="10"/>
  <c r="BE17" i="10"/>
  <c r="BD17" i="10"/>
  <c r="AH17" i="10"/>
  <c r="AK17" i="10"/>
  <c r="AJ17" i="10"/>
  <c r="AI17" i="10"/>
  <c r="AG17" i="10"/>
  <c r="AF17" i="10"/>
  <c r="BC17" i="10"/>
  <c r="K17" i="10"/>
  <c r="N17" i="10"/>
  <c r="M17" i="10"/>
  <c r="L17" i="10"/>
  <c r="J17" i="10"/>
  <c r="I17" i="10"/>
  <c r="BE16" i="10"/>
  <c r="BD16" i="10"/>
  <c r="AH16" i="10"/>
  <c r="AK16" i="10"/>
  <c r="AJ16" i="10"/>
  <c r="AI16" i="10"/>
  <c r="AG16" i="10"/>
  <c r="AF16" i="10"/>
  <c r="BC16" i="10"/>
  <c r="K16" i="10"/>
  <c r="N16" i="10"/>
  <c r="M16" i="10"/>
  <c r="L16" i="10"/>
  <c r="J16" i="10"/>
  <c r="I16" i="10"/>
  <c r="BE15" i="10"/>
  <c r="BD15" i="10"/>
  <c r="AH15" i="10"/>
  <c r="AK15" i="10"/>
  <c r="AJ15" i="10"/>
  <c r="AI15" i="10"/>
  <c r="AG15" i="10"/>
  <c r="AF15" i="10"/>
  <c r="BC15" i="10"/>
  <c r="K15" i="10"/>
  <c r="N15" i="10"/>
  <c r="M15" i="10"/>
  <c r="L15" i="10"/>
  <c r="J15" i="10"/>
  <c r="I15" i="10"/>
  <c r="BE14" i="10"/>
  <c r="BD14" i="10"/>
  <c r="AH14" i="10"/>
  <c r="AK14" i="10"/>
  <c r="AJ14" i="10"/>
  <c r="AI14" i="10"/>
  <c r="AG14" i="10"/>
  <c r="AF14" i="10"/>
  <c r="BC14" i="10"/>
  <c r="K14" i="10"/>
  <c r="N14" i="10"/>
  <c r="M14" i="10"/>
  <c r="L14" i="10"/>
  <c r="J14" i="10"/>
  <c r="I14" i="10"/>
  <c r="BE13" i="10"/>
  <c r="BD13" i="10"/>
  <c r="AK13" i="10"/>
  <c r="AJ13" i="10"/>
  <c r="AI13" i="10"/>
  <c r="AG13" i="10"/>
  <c r="AF13" i="10"/>
  <c r="BC13" i="10"/>
  <c r="K13" i="10"/>
  <c r="N13" i="10"/>
  <c r="M13" i="10"/>
  <c r="L13" i="10"/>
  <c r="J13" i="10"/>
  <c r="I13" i="10"/>
  <c r="BE12" i="10"/>
  <c r="BD12" i="10"/>
  <c r="AK12" i="10"/>
  <c r="AJ12" i="10"/>
  <c r="AI12" i="10"/>
  <c r="AG12" i="10"/>
  <c r="AF12" i="10"/>
  <c r="BC12" i="10"/>
  <c r="K12" i="10"/>
  <c r="N12" i="10"/>
  <c r="M12" i="10"/>
  <c r="L12" i="10"/>
  <c r="J12" i="10"/>
  <c r="I12" i="10"/>
  <c r="BE11" i="10"/>
  <c r="BD11" i="10"/>
  <c r="AH11" i="10"/>
  <c r="AK11" i="10"/>
  <c r="AJ11" i="10"/>
  <c r="AI11" i="10"/>
  <c r="AG11" i="10"/>
  <c r="AF11" i="10"/>
  <c r="BC11" i="10"/>
  <c r="K11" i="10"/>
  <c r="N11" i="10"/>
  <c r="M11" i="10"/>
  <c r="L11" i="10"/>
  <c r="J11" i="10"/>
  <c r="I11" i="10"/>
  <c r="BE10" i="10"/>
  <c r="BD10" i="10"/>
  <c r="AH10" i="10"/>
  <c r="AK10" i="10"/>
  <c r="AJ10" i="10"/>
  <c r="AI10" i="10"/>
  <c r="AG10" i="10"/>
  <c r="AF10" i="10"/>
  <c r="BC10" i="10"/>
  <c r="K10" i="10"/>
  <c r="N10" i="10"/>
  <c r="M10" i="10"/>
  <c r="L10" i="10"/>
  <c r="J10" i="10"/>
  <c r="I10" i="10"/>
  <c r="BE9" i="10"/>
  <c r="BD9" i="10"/>
  <c r="AH9" i="10"/>
  <c r="AK9" i="10"/>
  <c r="AJ9" i="10"/>
  <c r="AI9" i="10"/>
  <c r="AG9" i="10"/>
  <c r="AF9" i="10"/>
  <c r="BC9" i="10"/>
  <c r="N9" i="10"/>
  <c r="M9" i="10"/>
  <c r="L9" i="10"/>
  <c r="K9" i="10"/>
  <c r="J9" i="10"/>
  <c r="I9" i="10"/>
  <c r="BE8" i="10"/>
  <c r="BD8" i="10"/>
  <c r="AK8" i="10"/>
  <c r="AJ8" i="10"/>
  <c r="AI8" i="10"/>
  <c r="AH8" i="10"/>
  <c r="AG8" i="10"/>
  <c r="AF8" i="10"/>
  <c r="BC8" i="10"/>
  <c r="N8" i="10"/>
  <c r="M8" i="10"/>
  <c r="L8" i="10"/>
  <c r="J8" i="10"/>
  <c r="I8" i="10"/>
  <c r="BE7" i="10"/>
  <c r="BD7" i="10"/>
  <c r="AH7" i="10"/>
  <c r="AK7" i="10"/>
  <c r="AJ7" i="10"/>
  <c r="AI7" i="10"/>
  <c r="AG7" i="10"/>
  <c r="AF7" i="10"/>
  <c r="BC7" i="10"/>
  <c r="N7" i="10"/>
  <c r="M7" i="10"/>
  <c r="L7" i="10"/>
  <c r="J7" i="10"/>
  <c r="I7" i="10"/>
  <c r="BE6" i="10"/>
  <c r="BD6" i="10"/>
  <c r="AH6" i="10"/>
  <c r="AK6" i="10"/>
  <c r="AJ6" i="10"/>
  <c r="AI6" i="10"/>
  <c r="AG6" i="10"/>
  <c r="AF6" i="10"/>
  <c r="BC6" i="10"/>
  <c r="N6" i="10"/>
  <c r="M6" i="10"/>
  <c r="L6" i="10"/>
  <c r="J6" i="10"/>
  <c r="I6" i="10"/>
  <c r="BE5" i="10"/>
  <c r="BD5" i="10"/>
  <c r="AH5" i="10"/>
  <c r="AK5" i="10"/>
  <c r="AJ5" i="10"/>
  <c r="AI5" i="10"/>
  <c r="AG5" i="10"/>
  <c r="AF5" i="10"/>
  <c r="BC5" i="10"/>
  <c r="N5" i="10"/>
  <c r="M5" i="10"/>
  <c r="L5" i="10"/>
  <c r="J5" i="10"/>
  <c r="I5" i="10"/>
  <c r="BE4" i="10"/>
  <c r="BD4" i="10"/>
  <c r="AH4" i="10"/>
  <c r="AK4" i="10"/>
  <c r="AJ4" i="10"/>
  <c r="AI4" i="10"/>
  <c r="AG4" i="10"/>
  <c r="AF4" i="10"/>
  <c r="BC4" i="10"/>
  <c r="N4" i="10"/>
  <c r="M4" i="10"/>
  <c r="L4" i="10"/>
  <c r="K4" i="10"/>
  <c r="J4" i="10"/>
  <c r="I4" i="10"/>
  <c r="BA34" i="9"/>
  <c r="AZ34" i="9"/>
  <c r="AY34" i="9"/>
  <c r="AX34" i="9"/>
  <c r="AD34" i="9"/>
  <c r="AC34" i="9"/>
  <c r="BA32" i="9"/>
  <c r="AZ32" i="9"/>
  <c r="AY32" i="9"/>
  <c r="AX32" i="9"/>
  <c r="AD32" i="9"/>
  <c r="AC32" i="9"/>
  <c r="BE28" i="9"/>
  <c r="BD28" i="9"/>
  <c r="AK28" i="9"/>
  <c r="AJ28" i="9"/>
  <c r="AI28" i="9"/>
  <c r="AG28" i="9"/>
  <c r="AF28" i="9"/>
  <c r="BC28" i="9"/>
  <c r="K28" i="9"/>
  <c r="N28" i="9"/>
  <c r="M28" i="9"/>
  <c r="L28" i="9"/>
  <c r="J28" i="9"/>
  <c r="I28" i="9"/>
  <c r="BE27" i="9"/>
  <c r="BD27" i="9"/>
  <c r="AH27" i="9"/>
  <c r="AK27" i="9"/>
  <c r="AJ27" i="9"/>
  <c r="AI27" i="9"/>
  <c r="AG27" i="9"/>
  <c r="AF27" i="9"/>
  <c r="BC27" i="9"/>
  <c r="K27" i="9"/>
  <c r="N27" i="9"/>
  <c r="M27" i="9"/>
  <c r="L27" i="9"/>
  <c r="J27" i="9"/>
  <c r="I27" i="9"/>
  <c r="BE26" i="9"/>
  <c r="BD26" i="9"/>
  <c r="AH26" i="9"/>
  <c r="AK26" i="9"/>
  <c r="AJ26" i="9"/>
  <c r="AI26" i="9"/>
  <c r="AG26" i="9"/>
  <c r="AF26" i="9"/>
  <c r="BC26" i="9"/>
  <c r="N26" i="9"/>
  <c r="M26" i="9"/>
  <c r="L26" i="9"/>
  <c r="K26" i="9"/>
  <c r="J26" i="9"/>
  <c r="I26" i="9"/>
  <c r="BE25" i="9"/>
  <c r="BD25" i="9"/>
  <c r="AK25" i="9"/>
  <c r="AJ25" i="9"/>
  <c r="AI25" i="9"/>
  <c r="AH25" i="9"/>
  <c r="AG25" i="9"/>
  <c r="AF25" i="9"/>
  <c r="BC25" i="9"/>
  <c r="N25" i="9"/>
  <c r="M25" i="9"/>
  <c r="L25" i="9"/>
  <c r="K25" i="9"/>
  <c r="J25" i="9"/>
  <c r="I25" i="9"/>
  <c r="BE24" i="9"/>
  <c r="BD24" i="9"/>
  <c r="AK24" i="9"/>
  <c r="AJ24" i="9"/>
  <c r="AI24" i="9"/>
  <c r="AH24" i="9"/>
  <c r="AG24" i="9"/>
  <c r="AG30" i="9"/>
  <c r="AF24" i="9"/>
  <c r="BC24" i="9"/>
  <c r="K24" i="9"/>
  <c r="N24" i="9"/>
  <c r="M24" i="9"/>
  <c r="L24" i="9"/>
  <c r="J24" i="9"/>
  <c r="I24" i="9"/>
  <c r="BE23" i="9"/>
  <c r="BD23" i="9"/>
  <c r="AK23" i="9"/>
  <c r="AJ23" i="9"/>
  <c r="AI23" i="9"/>
  <c r="AG23" i="9"/>
  <c r="AF23" i="9"/>
  <c r="BC23" i="9"/>
  <c r="K23" i="9"/>
  <c r="N23" i="9"/>
  <c r="M23" i="9"/>
  <c r="L23" i="9"/>
  <c r="J23" i="9"/>
  <c r="I23" i="9"/>
  <c r="BE22" i="9"/>
  <c r="BD22" i="9"/>
  <c r="AH22" i="9"/>
  <c r="AK22" i="9"/>
  <c r="AJ22" i="9"/>
  <c r="AI22" i="9"/>
  <c r="AG22" i="9"/>
  <c r="AF22" i="9"/>
  <c r="BC22" i="9"/>
  <c r="K22" i="9"/>
  <c r="N22" i="9"/>
  <c r="M22" i="9"/>
  <c r="L22" i="9"/>
  <c r="J22" i="9"/>
  <c r="I22" i="9"/>
  <c r="BE21" i="9"/>
  <c r="BD21" i="9"/>
  <c r="AH21" i="9"/>
  <c r="AK21" i="9"/>
  <c r="AJ21" i="9"/>
  <c r="AI21" i="9"/>
  <c r="AG21" i="9"/>
  <c r="AF21" i="9"/>
  <c r="BC21" i="9"/>
  <c r="K21" i="9"/>
  <c r="N21" i="9"/>
  <c r="M21" i="9"/>
  <c r="L21" i="9"/>
  <c r="J21" i="9"/>
  <c r="I21" i="9"/>
  <c r="BE20" i="9"/>
  <c r="BD20" i="9"/>
  <c r="AH20" i="9"/>
  <c r="AK20" i="9"/>
  <c r="AJ20" i="9"/>
  <c r="AI20" i="9"/>
  <c r="AG20" i="9"/>
  <c r="AF20" i="9"/>
  <c r="BC20" i="9"/>
  <c r="K20" i="9"/>
  <c r="N20" i="9"/>
  <c r="M20" i="9"/>
  <c r="L20" i="9"/>
  <c r="J20" i="9"/>
  <c r="I20" i="9"/>
  <c r="BE19" i="9"/>
  <c r="BD19" i="9"/>
  <c r="AH19" i="9"/>
  <c r="AK19" i="9"/>
  <c r="AJ19" i="9"/>
  <c r="AI19" i="9"/>
  <c r="AG19" i="9"/>
  <c r="AF19" i="9"/>
  <c r="BC19" i="9"/>
  <c r="K19" i="9"/>
  <c r="N19" i="9"/>
  <c r="M19" i="9"/>
  <c r="L19" i="9"/>
  <c r="J19" i="9"/>
  <c r="I19" i="9"/>
  <c r="BE18" i="9"/>
  <c r="BD18" i="9"/>
  <c r="AK18" i="9"/>
  <c r="AJ18" i="9"/>
  <c r="AI18" i="9"/>
  <c r="AG18" i="9"/>
  <c r="AF18" i="9"/>
  <c r="BC18" i="9"/>
  <c r="K18" i="9"/>
  <c r="N18" i="9"/>
  <c r="M18" i="9"/>
  <c r="L18" i="9"/>
  <c r="J18" i="9"/>
  <c r="I18" i="9"/>
  <c r="BE17" i="9"/>
  <c r="BD17" i="9"/>
  <c r="AH17" i="9"/>
  <c r="AK17" i="9"/>
  <c r="AJ17" i="9"/>
  <c r="AI17" i="9"/>
  <c r="AG17" i="9"/>
  <c r="AF17" i="9"/>
  <c r="BC17" i="9"/>
  <c r="K17" i="9"/>
  <c r="N17" i="9"/>
  <c r="M17" i="9"/>
  <c r="L17" i="9"/>
  <c r="J17" i="9"/>
  <c r="I17" i="9"/>
  <c r="BE16" i="9"/>
  <c r="BD16" i="9"/>
  <c r="AH16" i="9"/>
  <c r="AK16" i="9"/>
  <c r="AJ16" i="9"/>
  <c r="AI16" i="9"/>
  <c r="AG16" i="9"/>
  <c r="AF16" i="9"/>
  <c r="BC16" i="9"/>
  <c r="K16" i="9"/>
  <c r="N16" i="9"/>
  <c r="M16" i="9"/>
  <c r="L16" i="9"/>
  <c r="J16" i="9"/>
  <c r="I16" i="9"/>
  <c r="BE15" i="9"/>
  <c r="BD15" i="9"/>
  <c r="AK15" i="9"/>
  <c r="AJ15" i="9"/>
  <c r="AI15" i="9"/>
  <c r="AG15" i="9"/>
  <c r="AF15" i="9"/>
  <c r="BC15" i="9"/>
  <c r="N15" i="9"/>
  <c r="M15" i="9"/>
  <c r="L15" i="9"/>
  <c r="K15" i="9"/>
  <c r="J15" i="9"/>
  <c r="I15" i="9"/>
  <c r="BE14" i="9"/>
  <c r="BD14" i="9"/>
  <c r="AK14" i="9"/>
  <c r="AJ14" i="9"/>
  <c r="AI14" i="9"/>
  <c r="AH14" i="9"/>
  <c r="AG14" i="9"/>
  <c r="AF14" i="9"/>
  <c r="BC14" i="9"/>
  <c r="K14" i="9"/>
  <c r="N14" i="9"/>
  <c r="M14" i="9"/>
  <c r="L14" i="9"/>
  <c r="J14" i="9"/>
  <c r="I14" i="9"/>
  <c r="BE13" i="9"/>
  <c r="BD13" i="9"/>
  <c r="AH13" i="9"/>
  <c r="AK13" i="9"/>
  <c r="AJ13" i="9"/>
  <c r="AI13" i="9"/>
  <c r="AG13" i="9"/>
  <c r="AF13" i="9"/>
  <c r="BC13" i="9"/>
  <c r="K13" i="9"/>
  <c r="N13" i="9"/>
  <c r="M13" i="9"/>
  <c r="L13" i="9"/>
  <c r="J13" i="9"/>
  <c r="I13" i="9"/>
  <c r="BE12" i="9"/>
  <c r="BD12" i="9"/>
  <c r="AH12" i="9"/>
  <c r="AK12" i="9"/>
  <c r="AJ12" i="9"/>
  <c r="AI12" i="9"/>
  <c r="AG12" i="9"/>
  <c r="AF12" i="9"/>
  <c r="BC12" i="9"/>
  <c r="K12" i="9"/>
  <c r="N12" i="9"/>
  <c r="M12" i="9"/>
  <c r="L12" i="9"/>
  <c r="J12" i="9"/>
  <c r="I12" i="9"/>
  <c r="BE11" i="9"/>
  <c r="BD11" i="9"/>
  <c r="AH11" i="9"/>
  <c r="AK11" i="9"/>
  <c r="AJ11" i="9"/>
  <c r="AI11" i="9"/>
  <c r="AG11" i="9"/>
  <c r="AF11" i="9"/>
  <c r="BC11" i="9"/>
  <c r="K11" i="9"/>
  <c r="N11" i="9"/>
  <c r="M11" i="9"/>
  <c r="L11" i="9"/>
  <c r="J11" i="9"/>
  <c r="I11" i="9"/>
  <c r="BE10" i="9"/>
  <c r="BD10" i="9"/>
  <c r="AH10" i="9"/>
  <c r="AK10" i="9"/>
  <c r="AJ10" i="9"/>
  <c r="AI10" i="9"/>
  <c r="AG10" i="9"/>
  <c r="AF10" i="9"/>
  <c r="BC10" i="9"/>
  <c r="K10" i="9"/>
  <c r="N10" i="9"/>
  <c r="M10" i="9"/>
  <c r="L10" i="9"/>
  <c r="J10" i="9"/>
  <c r="I10" i="9"/>
  <c r="BE9" i="9"/>
  <c r="BD9" i="9"/>
  <c r="AH9" i="9"/>
  <c r="AK9" i="9"/>
  <c r="AJ9" i="9"/>
  <c r="AI9" i="9"/>
  <c r="AG9" i="9"/>
  <c r="AF9" i="9"/>
  <c r="BC9" i="9"/>
  <c r="K9" i="9"/>
  <c r="N9" i="9"/>
  <c r="M9" i="9"/>
  <c r="L9" i="9"/>
  <c r="J9" i="9"/>
  <c r="I9" i="9"/>
  <c r="BE8" i="9"/>
  <c r="BD8" i="9"/>
  <c r="AH8" i="9"/>
  <c r="AK8" i="9"/>
  <c r="AJ8" i="9"/>
  <c r="AI8" i="9"/>
  <c r="AG8" i="9"/>
  <c r="AF8" i="9"/>
  <c r="BC8" i="9"/>
  <c r="K8" i="9"/>
  <c r="N8" i="9"/>
  <c r="M8" i="9"/>
  <c r="L8" i="9"/>
  <c r="J8" i="9"/>
  <c r="I8" i="9"/>
  <c r="BE7" i="9"/>
  <c r="BD7" i="9"/>
  <c r="AK7" i="9"/>
  <c r="AJ7" i="9"/>
  <c r="AI7" i="9"/>
  <c r="AG7" i="9"/>
  <c r="AF7" i="9"/>
  <c r="BC7" i="9"/>
  <c r="K7" i="9"/>
  <c r="N7" i="9"/>
  <c r="M7" i="9"/>
  <c r="L7" i="9"/>
  <c r="J7" i="9"/>
  <c r="I7" i="9"/>
  <c r="BE6" i="9"/>
  <c r="BD6" i="9"/>
  <c r="AK6" i="9"/>
  <c r="AJ6" i="9"/>
  <c r="AI6" i="9"/>
  <c r="AG6" i="9"/>
  <c r="AF6" i="9"/>
  <c r="BC6" i="9"/>
  <c r="K6" i="9"/>
  <c r="N6" i="9"/>
  <c r="M6" i="9"/>
  <c r="L6" i="9"/>
  <c r="J6" i="9"/>
  <c r="I6" i="9"/>
  <c r="BE5" i="9"/>
  <c r="BD5" i="9"/>
  <c r="AK5" i="9"/>
  <c r="AJ5" i="9"/>
  <c r="AI5" i="9"/>
  <c r="AG5" i="9"/>
  <c r="AF5" i="9"/>
  <c r="BC5" i="9"/>
  <c r="K5" i="9"/>
  <c r="N5" i="9"/>
  <c r="M5" i="9"/>
  <c r="L5" i="9"/>
  <c r="J5" i="9"/>
  <c r="I5" i="9"/>
  <c r="BE4" i="9"/>
  <c r="BD4" i="9"/>
  <c r="AH4" i="9"/>
  <c r="AK4" i="9"/>
  <c r="AJ4" i="9"/>
  <c r="AI4" i="9"/>
  <c r="AG4" i="9"/>
  <c r="AF4" i="9"/>
  <c r="BC4" i="9"/>
  <c r="K4" i="9"/>
  <c r="N4" i="9"/>
  <c r="M4" i="9"/>
  <c r="L4" i="9"/>
  <c r="J4" i="9"/>
  <c r="I4" i="9"/>
  <c r="AX14" i="8"/>
  <c r="AW14" i="8"/>
  <c r="AV14" i="8"/>
  <c r="AU14" i="8"/>
  <c r="AB14" i="8"/>
  <c r="AA14" i="8"/>
  <c r="Z14" i="8"/>
  <c r="Y14" i="8"/>
  <c r="AX12" i="8"/>
  <c r="AW12" i="8"/>
  <c r="AV12" i="8"/>
  <c r="Z12" i="8"/>
  <c r="AV13" i="8"/>
  <c r="AU12" i="8"/>
  <c r="AB12" i="8"/>
  <c r="AA12" i="8"/>
  <c r="Y12" i="8"/>
  <c r="BA8" i="8"/>
  <c r="AJ8" i="8"/>
  <c r="AI8" i="8"/>
  <c r="AH8" i="8"/>
  <c r="AF8" i="8"/>
  <c r="AE8" i="8"/>
  <c r="AD8" i="8"/>
  <c r="AZ8" i="8"/>
  <c r="K8" i="8"/>
  <c r="N8" i="8"/>
  <c r="M8" i="8"/>
  <c r="L8" i="8"/>
  <c r="J8" i="8"/>
  <c r="J10" i="8"/>
  <c r="I8" i="8"/>
  <c r="H8" i="8"/>
  <c r="BA7" i="8"/>
  <c r="AG7" i="8"/>
  <c r="AJ7" i="8"/>
  <c r="AI7" i="8"/>
  <c r="AH7" i="8"/>
  <c r="AF7" i="8"/>
  <c r="AE7" i="8"/>
  <c r="AD7" i="8"/>
  <c r="AZ7" i="8"/>
  <c r="K7" i="8"/>
  <c r="N7" i="8"/>
  <c r="M7" i="8"/>
  <c r="L7" i="8"/>
  <c r="J7" i="8"/>
  <c r="I7" i="8"/>
  <c r="H7" i="8"/>
  <c r="BA6" i="8"/>
  <c r="BD6" i="8" a="1"/>
  <c r="AZ6" i="8"/>
  <c r="BD6" i="8"/>
  <c r="AJ6" i="8"/>
  <c r="AI6" i="8"/>
  <c r="AH6" i="8"/>
  <c r="AF6" i="8"/>
  <c r="AE6" i="8"/>
  <c r="AD6" i="8"/>
  <c r="K6" i="8"/>
  <c r="N6" i="8"/>
  <c r="M6" i="8"/>
  <c r="L6" i="8"/>
  <c r="J6" i="8"/>
  <c r="I6" i="8"/>
  <c r="H6" i="8"/>
  <c r="BA5" i="8"/>
  <c r="AG5" i="8"/>
  <c r="AJ5" i="8"/>
  <c r="AI5" i="8"/>
  <c r="AH5" i="8"/>
  <c r="AF5" i="8"/>
  <c r="AE5" i="8"/>
  <c r="AD5" i="8"/>
  <c r="AZ5" i="8"/>
  <c r="K5" i="8"/>
  <c r="N5" i="8"/>
  <c r="M5" i="8"/>
  <c r="L5" i="8"/>
  <c r="J5" i="8"/>
  <c r="I5" i="8"/>
  <c r="H5" i="8"/>
  <c r="BA4" i="8"/>
  <c r="AG4" i="8"/>
  <c r="AJ4" i="8"/>
  <c r="AI4" i="8"/>
  <c r="AH4" i="8"/>
  <c r="AF4" i="8"/>
  <c r="AE4" i="8"/>
  <c r="AD4" i="8"/>
  <c r="AZ4" i="8"/>
  <c r="K4" i="8"/>
  <c r="N4" i="8"/>
  <c r="M4" i="8"/>
  <c r="L4" i="8"/>
  <c r="J4" i="8"/>
  <c r="I4" i="8"/>
  <c r="H4" i="8"/>
  <c r="AF14" i="7"/>
  <c r="AE14" i="7"/>
  <c r="AD14" i="7"/>
  <c r="AC14" i="7"/>
  <c r="S14" i="7"/>
  <c r="R14" i="7"/>
  <c r="Q14" i="7"/>
  <c r="P14" i="7"/>
  <c r="Q12" i="7"/>
  <c r="AD12" i="7"/>
  <c r="AD13" i="7"/>
  <c r="AF12" i="7"/>
  <c r="S12" i="7"/>
  <c r="AF13" i="7"/>
  <c r="AE12" i="7"/>
  <c r="AC12" i="7"/>
  <c r="R12" i="7"/>
  <c r="P12" i="7"/>
  <c r="J8" i="7"/>
  <c r="J10" i="7"/>
  <c r="X8" i="7"/>
  <c r="W8" i="7"/>
  <c r="V8" i="7"/>
  <c r="U8" i="7"/>
  <c r="K8" i="7"/>
  <c r="I8" i="7"/>
  <c r="H8" i="7"/>
  <c r="X7" i="7"/>
  <c r="W7" i="7"/>
  <c r="V7" i="7"/>
  <c r="U7" i="7"/>
  <c r="K7" i="7"/>
  <c r="J7" i="7"/>
  <c r="I7" i="7"/>
  <c r="H7" i="7"/>
  <c r="X6" i="7"/>
  <c r="W6" i="7"/>
  <c r="V6" i="7"/>
  <c r="U6" i="7"/>
  <c r="K6" i="7"/>
  <c r="J6" i="7"/>
  <c r="I6" i="7"/>
  <c r="H6" i="7"/>
  <c r="X5" i="7"/>
  <c r="W5" i="7"/>
  <c r="V5" i="7"/>
  <c r="U5" i="7"/>
  <c r="K5" i="7"/>
  <c r="J5" i="7"/>
  <c r="I5" i="7"/>
  <c r="H5" i="7"/>
  <c r="X4" i="7"/>
  <c r="W4" i="7"/>
  <c r="V4" i="7"/>
  <c r="U4" i="7"/>
  <c r="K4" i="7"/>
  <c r="J4" i="7"/>
  <c r="I4" i="7"/>
  <c r="H4" i="7"/>
  <c r="C33" i="1"/>
  <c r="C23" i="1"/>
  <c r="B1" i="2"/>
  <c r="B2" i="2"/>
  <c r="C130" i="1"/>
  <c r="BM9" i="10"/>
  <c r="BP14" i="10"/>
  <c r="BQ4" i="10"/>
  <c r="BR19" i="10"/>
  <c r="BS19" i="9"/>
  <c r="BI24" i="10"/>
  <c r="BM4" i="10"/>
  <c r="BI9" i="10"/>
  <c r="BQ24" i="10"/>
  <c r="BS9" i="10"/>
  <c r="BL9" i="9"/>
  <c r="BL9" i="10"/>
  <c r="BJ19" i="10"/>
  <c r="BI9" i="9"/>
  <c r="BQ14" i="9"/>
  <c r="BK24" i="9"/>
  <c r="BO19" i="9"/>
  <c r="BJ9" i="9"/>
  <c r="BQ14" i="10"/>
  <c r="BR9" i="9"/>
  <c r="BS14" i="9"/>
  <c r="BL4" i="10"/>
  <c r="BI14" i="9"/>
  <c r="BJ24" i="9"/>
  <c r="BL24" i="10"/>
  <c r="BR19" i="9"/>
  <c r="BM19" i="9"/>
  <c r="BS24" i="10"/>
  <c r="BJ14" i="9"/>
  <c r="BQ4" i="9"/>
  <c r="BQ19" i="9"/>
  <c r="BO9" i="10"/>
  <c r="BR14" i="10"/>
  <c r="BR14" i="9"/>
  <c r="BR4" i="9"/>
  <c r="BJ24" i="10"/>
  <c r="BL24" i="9"/>
  <c r="BP14" i="9"/>
  <c r="BK14" i="10"/>
  <c r="BP24" i="9"/>
  <c r="BS14" i="10"/>
  <c r="BK9" i="9"/>
  <c r="BK24" i="10"/>
  <c r="BS4" i="10"/>
  <c r="BO4" i="9"/>
  <c r="BL19" i="9"/>
  <c r="BJ14" i="10"/>
  <c r="BS19" i="10"/>
  <c r="BO14" i="10"/>
  <c r="BJ9" i="10"/>
  <c r="BP19" i="10"/>
  <c r="BK4" i="10"/>
  <c r="BL4" i="9"/>
  <c r="BI14" i="10"/>
  <c r="BS9" i="9"/>
  <c r="BQ9" i="9"/>
  <c r="BM19" i="10"/>
  <c r="BK14" i="9"/>
  <c r="BI24" i="9"/>
  <c r="BM4" i="9"/>
  <c r="BK19" i="10"/>
  <c r="BO4" i="10"/>
  <c r="BM24" i="10"/>
  <c r="BP19" i="9"/>
  <c r="BS24" i="9"/>
  <c r="BL14" i="10"/>
  <c r="BL14" i="9"/>
  <c r="BO24" i="9"/>
  <c r="BL19" i="10"/>
  <c r="BR24" i="10"/>
  <c r="BM14" i="10"/>
  <c r="BP4" i="10"/>
  <c r="BI19" i="10"/>
  <c r="BK9" i="10"/>
  <c r="BR24" i="9"/>
  <c r="BK4" i="9"/>
  <c r="BJ4" i="10"/>
  <c r="BP9" i="9"/>
  <c r="BM14" i="9"/>
  <c r="BP4" i="9"/>
  <c r="BJ19" i="9"/>
  <c r="BI4" i="10"/>
  <c r="BQ19" i="10"/>
  <c r="BO14" i="9"/>
  <c r="BS4" i="9"/>
  <c r="BP24" i="10"/>
  <c r="BJ4" i="9"/>
  <c r="BQ9" i="10"/>
  <c r="BI19" i="9"/>
  <c r="BO9" i="9"/>
  <c r="BR9" i="10"/>
  <c r="BQ24" i="9"/>
  <c r="BP9" i="10"/>
  <c r="BO19" i="10"/>
  <c r="BO24" i="10"/>
  <c r="BK19" i="9"/>
  <c r="BR4" i="10"/>
  <c r="BM24" i="9"/>
  <c r="BI4" i="9"/>
  <c r="BM9" i="9"/>
  <c r="BB8" i="12"/>
  <c r="AX13" i="12"/>
  <c r="BF18" i="9"/>
  <c r="AH18" i="9"/>
  <c r="BF6" i="9"/>
  <c r="BF16" i="10"/>
  <c r="BF7" i="9"/>
  <c r="AH7" i="9"/>
  <c r="BF23" i="10"/>
  <c r="BD8" i="12" a="1"/>
  <c r="BD8" i="12"/>
  <c r="BD10" i="12"/>
  <c r="BF15" i="10"/>
  <c r="AH22" i="10"/>
  <c r="BF22" i="10"/>
  <c r="BF24" i="10"/>
  <c r="C13" i="1"/>
  <c r="AG8" i="8"/>
  <c r="BC8" i="8"/>
  <c r="AH21" i="10"/>
  <c r="BF21" i="10"/>
  <c r="BF6" i="10"/>
  <c r="K6" i="10"/>
  <c r="BF7" i="10"/>
  <c r="K7" i="10"/>
  <c r="BF17" i="10"/>
  <c r="AG4" i="12"/>
  <c r="BD4" i="12" a="1"/>
  <c r="BD4" i="12"/>
  <c r="BD5" i="12"/>
  <c r="BD6" i="12"/>
  <c r="BD7" i="12"/>
  <c r="BD11" i="12"/>
  <c r="BF15" i="9"/>
  <c r="AH15" i="9"/>
  <c r="BF5" i="10"/>
  <c r="K5" i="10"/>
  <c r="BF13" i="10"/>
  <c r="AH13" i="10"/>
  <c r="BG19" i="10" a="1"/>
  <c r="BG19" i="10"/>
  <c r="AH19" i="10"/>
  <c r="BF23" i="9"/>
  <c r="AH23" i="9"/>
  <c r="BF8" i="10"/>
  <c r="K8" i="10"/>
  <c r="BF20" i="10"/>
  <c r="BF28" i="9"/>
  <c r="AH28" i="9"/>
  <c r="BF19" i="10"/>
  <c r="BF25" i="10"/>
  <c r="AH25" i="10"/>
  <c r="BC6" i="8"/>
  <c r="AG6" i="8"/>
  <c r="BF5" i="9"/>
  <c r="AH5" i="9"/>
  <c r="AH4" i="7"/>
  <c r="W10" i="7"/>
  <c r="AH10" i="7"/>
  <c r="C41" i="1"/>
  <c r="AH8" i="7"/>
  <c r="AH6" i="9"/>
  <c r="BF12" i="10"/>
  <c r="AH12" i="10"/>
  <c r="BF18" i="10"/>
  <c r="BG24" i="10" a="1"/>
  <c r="BG24" i="10"/>
  <c r="BG30" i="10"/>
  <c r="AH24" i="10"/>
  <c r="C32" i="1"/>
  <c r="BF12" i="9"/>
  <c r="BF27" i="9"/>
  <c r="BF11" i="10"/>
  <c r="C114" i="1"/>
  <c r="C123" i="1"/>
  <c r="C136" i="1"/>
  <c r="BF17" i="9"/>
  <c r="BF27" i="10"/>
  <c r="C159" i="1"/>
  <c r="BF8" i="9"/>
  <c r="BF9" i="10"/>
  <c r="BF26" i="10"/>
  <c r="BD7" i="8" a="1"/>
  <c r="BD7" i="8"/>
  <c r="BF4" i="9"/>
  <c r="BG4" i="9" a="1"/>
  <c r="BG4" i="9"/>
  <c r="BG31" i="9"/>
  <c r="AC13" i="11"/>
  <c r="AC13" i="7"/>
  <c r="AE15" i="7"/>
  <c r="C44" i="1"/>
  <c r="AX13" i="8"/>
  <c r="AW15" i="8"/>
  <c r="C53" i="1"/>
  <c r="BG19" i="9" a="1"/>
  <c r="BG19" i="9"/>
  <c r="BF19" i="9"/>
  <c r="BA33" i="10"/>
  <c r="BA35" i="10"/>
  <c r="AH6" i="11"/>
  <c r="AH8" i="11"/>
  <c r="BD6" i="12" a="1"/>
  <c r="BB7" i="12"/>
  <c r="AF15" i="7"/>
  <c r="AU13" i="8"/>
  <c r="BF11" i="9"/>
  <c r="AZ33" i="9"/>
  <c r="AZ35" i="9"/>
  <c r="C62" i="1"/>
  <c r="BF4" i="10"/>
  <c r="J30" i="10"/>
  <c r="AX33" i="10"/>
  <c r="AX35" i="10"/>
  <c r="C70" i="1"/>
  <c r="AU13" i="12"/>
  <c r="AX15" i="12"/>
  <c r="AG29" i="9"/>
  <c r="BG9" i="9" a="1"/>
  <c r="BG9" i="9"/>
  <c r="BF9" i="9"/>
  <c r="BF21" i="9"/>
  <c r="BF25" i="9"/>
  <c r="AG31" i="9"/>
  <c r="BA35" i="9"/>
  <c r="W10" i="11"/>
  <c r="AE15" i="11"/>
  <c r="C80" i="1"/>
  <c r="AV13" i="12"/>
  <c r="AU15" i="12"/>
  <c r="C88" i="1"/>
  <c r="C22" i="1"/>
  <c r="AC15" i="7"/>
  <c r="C43" i="1"/>
  <c r="BF10" i="9"/>
  <c r="BF14" i="9"/>
  <c r="J30" i="9"/>
  <c r="AX33" i="9"/>
  <c r="AX35" i="9"/>
  <c r="C61" i="1"/>
  <c r="AY33" i="10"/>
  <c r="AY35" i="10"/>
  <c r="AD13" i="11"/>
  <c r="AC15" i="11"/>
  <c r="C79" i="1"/>
  <c r="AW13" i="12"/>
  <c r="AV15" i="12"/>
  <c r="C107" i="1"/>
  <c r="C129" i="1"/>
  <c r="C144" i="1"/>
  <c r="C175" i="1"/>
  <c r="C14" i="1"/>
  <c r="J11" i="7"/>
  <c r="W11" i="7"/>
  <c r="BD8" i="8" a="1"/>
  <c r="BD8" i="8"/>
  <c r="BD10" i="8"/>
  <c r="AU15" i="8"/>
  <c r="C52" i="1"/>
  <c r="BF13" i="9"/>
  <c r="BF16" i="9"/>
  <c r="BF26" i="9"/>
  <c r="AY33" i="9"/>
  <c r="AY35" i="9"/>
  <c r="AG31" i="10"/>
  <c r="BG9" i="10" a="1"/>
  <c r="BG9" i="10"/>
  <c r="J29" i="10"/>
  <c r="BF10" i="10"/>
  <c r="BF28" i="10"/>
  <c r="AZ33" i="10"/>
  <c r="AZ35" i="10"/>
  <c r="C71" i="1"/>
  <c r="AD15" i="11"/>
  <c r="C99" i="1"/>
  <c r="C113" i="1"/>
  <c r="C122" i="1"/>
  <c r="C143" i="1"/>
  <c r="C150" i="1"/>
  <c r="C167" i="1"/>
  <c r="C176" i="1"/>
  <c r="C29" i="1"/>
  <c r="C31" i="1"/>
  <c r="C28" i="1"/>
  <c r="D19" i="1"/>
  <c r="D21" i="1"/>
  <c r="C20" i="1"/>
  <c r="E30" i="1"/>
  <c r="BS29" i="9"/>
  <c r="BS31" i="9"/>
  <c r="BJ29" i="9"/>
  <c r="D58" i="1"/>
  <c r="BJ31" i="9"/>
  <c r="D60" i="1"/>
  <c r="BP29" i="10"/>
  <c r="BP31" i="10"/>
  <c r="D121" i="1"/>
  <c r="D119" i="1"/>
  <c r="C165" i="1"/>
  <c r="C19" i="1"/>
  <c r="C21" i="1"/>
  <c r="E28" i="1"/>
  <c r="E31" i="1"/>
  <c r="BO29" i="9"/>
  <c r="BO31" i="9"/>
  <c r="D120" i="1"/>
  <c r="D135" i="1"/>
  <c r="E142" i="1"/>
  <c r="BJ30" i="9"/>
  <c r="D59" i="1"/>
  <c r="BK30" i="10"/>
  <c r="E68" i="1"/>
  <c r="C112" i="1"/>
  <c r="E20" i="1"/>
  <c r="E29" i="1"/>
  <c r="BQ30" i="9"/>
  <c r="BJ31" i="10"/>
  <c r="D69" i="1"/>
  <c r="BJ29" i="10"/>
  <c r="D67" i="1"/>
  <c r="C105" i="1"/>
  <c r="E21" i="1"/>
  <c r="E19" i="1"/>
  <c r="D20" i="1"/>
  <c r="D28" i="1"/>
  <c r="D31" i="1"/>
  <c r="D29" i="1"/>
  <c r="D30" i="1"/>
  <c r="BI29" i="9"/>
  <c r="C58" i="1"/>
  <c r="BI31" i="9"/>
  <c r="C60" i="1"/>
  <c r="BQ31" i="9"/>
  <c r="BQ29" i="9"/>
  <c r="BI30" i="9"/>
  <c r="C59" i="1"/>
  <c r="BO31" i="10"/>
  <c r="BO29" i="10"/>
  <c r="D128" i="1"/>
  <c r="BM29" i="9"/>
  <c r="G58" i="1"/>
  <c r="BM31" i="9"/>
  <c r="G60" i="1"/>
  <c r="BO30" i="9"/>
  <c r="BI29" i="10"/>
  <c r="C67" i="1"/>
  <c r="BI31" i="10"/>
  <c r="C69" i="1"/>
  <c r="BO30" i="10"/>
  <c r="D105" i="1"/>
  <c r="C120" i="1"/>
  <c r="BL31" i="9"/>
  <c r="F60" i="1"/>
  <c r="BL29" i="9"/>
  <c r="F58" i="1"/>
  <c r="BR31" i="9"/>
  <c r="BR29" i="9"/>
  <c r="BL30" i="9"/>
  <c r="F59" i="1"/>
  <c r="BR30" i="9"/>
  <c r="BK31" i="10"/>
  <c r="E69" i="1"/>
  <c r="BK29" i="10"/>
  <c r="E67" i="1"/>
  <c r="BR29" i="10"/>
  <c r="BR31" i="10"/>
  <c r="BP30" i="10"/>
  <c r="BM30" i="9"/>
  <c r="G59" i="1"/>
  <c r="BS30" i="9"/>
  <c r="BM31" i="10"/>
  <c r="G69" i="1"/>
  <c r="BM29" i="10"/>
  <c r="G67" i="1"/>
  <c r="BS31" i="10"/>
  <c r="BS29" i="10"/>
  <c r="BJ30" i="10"/>
  <c r="D68" i="1"/>
  <c r="BQ30" i="10"/>
  <c r="D142" i="1"/>
  <c r="C30" i="1"/>
  <c r="BK31" i="9"/>
  <c r="E60" i="1"/>
  <c r="BK29" i="9"/>
  <c r="E58" i="1"/>
  <c r="BP31" i="9"/>
  <c r="BP29" i="9"/>
  <c r="BK30" i="9"/>
  <c r="E59" i="1"/>
  <c r="BP30" i="9"/>
  <c r="BL29" i="10"/>
  <c r="F67" i="1"/>
  <c r="BL31" i="10"/>
  <c r="F69" i="1"/>
  <c r="BQ29" i="10"/>
  <c r="BQ31" i="10"/>
  <c r="BL30" i="10"/>
  <c r="F68" i="1"/>
  <c r="BS30" i="10"/>
  <c r="C135" i="1"/>
  <c r="D165" i="1"/>
  <c r="BI30" i="10"/>
  <c r="C68" i="1"/>
  <c r="BM30" i="10"/>
  <c r="G68" i="1"/>
  <c r="BR30" i="10"/>
  <c r="E105" i="1"/>
  <c r="C121" i="1"/>
  <c r="C119" i="1"/>
  <c r="C128" i="1"/>
  <c r="E135" i="1"/>
  <c r="C142" i="1"/>
  <c r="E165" i="1"/>
  <c r="C174" i="1"/>
  <c r="C172" i="1"/>
  <c r="C173" i="1"/>
  <c r="C12" i="1"/>
  <c r="BB8" i="8"/>
  <c r="AF10" i="8"/>
  <c r="BB10" i="8"/>
  <c r="C50" i="1"/>
  <c r="AX15" i="8"/>
  <c r="AH11" i="7"/>
  <c r="C42" i="1"/>
  <c r="J9" i="7"/>
  <c r="AH5" i="7"/>
  <c r="AE13" i="7"/>
  <c r="BC4" i="8"/>
  <c r="BB7" i="8"/>
  <c r="AV15" i="8"/>
  <c r="BF14" i="10"/>
  <c r="BG14" i="10" a="1"/>
  <c r="BG14" i="10"/>
  <c r="J11" i="11"/>
  <c r="J9" i="11"/>
  <c r="AH4" i="11"/>
  <c r="W9" i="11"/>
  <c r="AH9" i="11"/>
  <c r="C76" i="1"/>
  <c r="J9" i="12"/>
  <c r="J11" i="12"/>
  <c r="AF11" i="12"/>
  <c r="AF9" i="12"/>
  <c r="BB4" i="12"/>
  <c r="AD15" i="7"/>
  <c r="BD4" i="8" a="1"/>
  <c r="BD4" i="8"/>
  <c r="BD5" i="8" a="1"/>
  <c r="BD5" i="8"/>
  <c r="BC5" i="8"/>
  <c r="AF9" i="8"/>
  <c r="J29" i="9"/>
  <c r="J31" i="9"/>
  <c r="BG14" i="9" a="1"/>
  <c r="BG14" i="9"/>
  <c r="BA33" i="9"/>
  <c r="AG29" i="10"/>
  <c r="C149" i="1"/>
  <c r="W11" i="11"/>
  <c r="AH11" i="11"/>
  <c r="C78" i="1"/>
  <c r="BB5" i="12"/>
  <c r="C157" i="1"/>
  <c r="C10" i="1"/>
  <c r="AH6" i="7"/>
  <c r="AH7" i="7"/>
  <c r="J11" i="8"/>
  <c r="J9" i="8"/>
  <c r="BB4" i="8"/>
  <c r="AF11" i="8"/>
  <c r="BB6" i="8"/>
  <c r="BC7" i="8"/>
  <c r="BF22" i="9"/>
  <c r="BG4" i="10" a="1"/>
  <c r="BG4" i="10"/>
  <c r="AH10" i="11"/>
  <c r="C77" i="1"/>
  <c r="AE13" i="11"/>
  <c r="BC7" i="12"/>
  <c r="BD7" i="12" a="1"/>
  <c r="AW13" i="8"/>
  <c r="BF20" i="9"/>
  <c r="BG24" i="9" a="1"/>
  <c r="BG24" i="9"/>
  <c r="BG30" i="9"/>
  <c r="BF24" i="9"/>
  <c r="AF15" i="11"/>
  <c r="BC5" i="12"/>
  <c r="BD5" i="12" a="1"/>
  <c r="C98" i="1"/>
  <c r="W9" i="7"/>
  <c r="BB5" i="8"/>
  <c r="BB10" i="12"/>
  <c r="C86" i="1"/>
  <c r="C156" i="1"/>
  <c r="AH7" i="11"/>
  <c r="BC6" i="12"/>
  <c r="C97" i="1"/>
  <c r="C100" i="1"/>
  <c r="J31" i="10"/>
  <c r="AG30" i="10"/>
  <c r="BC4" i="12"/>
  <c r="BC8" i="12"/>
  <c r="BB11" i="12"/>
  <c r="C87" i="1"/>
  <c r="BD9" i="12"/>
  <c r="BG29" i="9"/>
  <c r="AH9" i="7"/>
  <c r="C40" i="1"/>
  <c r="BB9" i="8"/>
  <c r="C49" i="1"/>
  <c r="C158" i="1"/>
  <c r="BB11" i="8"/>
  <c r="C51" i="1"/>
  <c r="C9" i="1"/>
  <c r="BB9" i="12"/>
  <c r="C85" i="1"/>
  <c r="C96" i="1"/>
  <c r="BG29" i="10"/>
  <c r="BG31" i="10"/>
  <c r="C11" i="1"/>
  <c r="BD9" i="8"/>
  <c r="BD11" i="8"/>
</calcChain>
</file>

<file path=xl/sharedStrings.xml><?xml version="1.0" encoding="utf-8"?>
<sst xmlns="http://schemas.openxmlformats.org/spreadsheetml/2006/main" count="2444" uniqueCount="1444">
  <si>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</si>
  <si>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</si>
  <si>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</si>
  <si>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</si>
  <si>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</si>
  <si>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</si>
  <si>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</si>
  <si>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</si>
  <si>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</si>
  <si>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</si>
  <si>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</si>
  <si>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</si>
  <si>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</si>
  <si>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</si>
  <si>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</si>
  <si>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</si>
  <si>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</si>
  <si>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</si>
  <si>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</si>
  <si>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</si>
  <si>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</si>
  <si>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dec.ext.maxrssk</t>
  </si>
  <si>
    <t>Decoder max RSS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</si>
  <si>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</si>
  <si>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</si>
  <si>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</si>
  <si>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</si>
  <si>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</si>
  <si>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</si>
  <si>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</si>
  <si>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</si>
  <si>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</si>
  <si>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</si>
  <si>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</si>
  <si>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</si>
  <si>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</si>
  <si>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</si>
  <si>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</si>
  <si>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</si>
  <si>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</si>
  <si>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</si>
  <si>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</si>
  <si>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</si>
  <si>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</si>
  <si>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</si>
  <si>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</si>
  <si>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</si>
  <si>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</si>
  <si>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</si>
  <si>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</si>
  <si>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</si>
  <si>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</si>
  <si>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</si>
  <si>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</si>
  <si>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</si>
  <si>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</si>
  <si>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</si>
  <si>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</si>
  <si>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</si>
  <si>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enc.ext.maxrssk</t>
  </si>
  <si>
    <t>Encoder max RSS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</si>
  <si>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</si>
  <si>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</si>
  <si>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</si>
  <si>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</si>
  <si>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</si>
  <si>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</si>
  <si>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</si>
  <si>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</si>
  <si>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</si>
  <si>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</si>
  <si>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</si>
  <si>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</si>
  <si>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</si>
  <si>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</si>
  <si>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</si>
  <si>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</si>
  <si>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</si>
  <si>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</si>
  <si>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</si>
  <si>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</si>
  <si>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</si>
  <si>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</si>
  <si>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</si>
  <si>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</si>
  <si>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</si>
  <si>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</si>
  <si>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</si>
  <si>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</si>
  <si>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</si>
  <si>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</si>
  <si>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</si>
  <si>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</si>
  <si>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</si>
  <si>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</si>
  <si>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</si>
  <si>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</si>
  <si>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</si>
  <si>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col.C1.1 losslG,noAttr.class</t>
  </si>
  <si>
    <t>Sequence</t>
  </si>
  <si>
    <t>col.C1.1 losslG,noAttr.sequence</t>
  </si>
  <si>
    <t>№ input points</t>
  </si>
  <si>
    <t>col.C1.1 losslG,noAttr.src.numpoints</t>
  </si>
  <si>
    <t>Geometry precision [bits]</t>
  </si>
  <si>
    <t>col.C1.1 losslG,noAttr.src.geometry-precision</t>
  </si>
  <si>
    <t>Comp. ratio [%]</t>
  </si>
  <si>
    <t>col.C1.1 losslG,noAttr.A.eqn.compratio</t>
  </si>
  <si>
    <t>Bits per input point [bpip]</t>
  </si>
  <si>
    <t>Total</t>
  </si>
  <si>
    <t>col.C1.1 losslG,noAttr.A.eqn.bpp</t>
  </si>
  <si>
    <t>Geometry</t>
  </si>
  <si>
    <t>col.C1.1 losslG,noAttr.A.eqn.bpp.geometry</t>
  </si>
  <si>
    <t>Total Bits per output point [bpop]</t>
  </si>
  <si>
    <t>col.C1.1 losslG,noAttr.A.eqn.bpop</t>
  </si>
  <si>
    <t>col.C1.1 losslG,noAttr.A.dec.numpoints</t>
  </si>
  <si>
    <t>Bitstream [bits]</t>
  </si>
  <si>
    <t>col.C1.1 losslG,noAttr.A.enc.ext.bits</t>
  </si>
  <si>
    <t>col.C1.1 losslG,noAttr.A.enc.bits.geometry</t>
  </si>
  <si>
    <t>col.C1.1 losslG,noAttr.A.enc.utime</t>
  </si>
  <si>
    <t>col.C1.1 losslG,noAttr.A.dec.utime</t>
  </si>
  <si>
    <t>col.C1.1 losslG,noAttr.B.eqn.compratio</t>
  </si>
  <si>
    <t>col.C1.1 losslG,noAttr.B.eqn.bpp</t>
  </si>
  <si>
    <t>col.C1.1 losslG,noAttr.B.eqn.bpp.geometry</t>
  </si>
  <si>
    <t>col.C1.1 losslG,noAttr.B.eqn.bpop</t>
  </si>
  <si>
    <t>col.C1.1 losslG,noAttr.B.dec.numpoints</t>
  </si>
  <si>
    <t>col.C1.1 losslG,noAttr.B.enc.ext.bits</t>
  </si>
  <si>
    <t>col.C1.1 losslG,noAttr.B.enc.bits.geometry</t>
  </si>
  <si>
    <t>col.C1.1 losslG,noAttr.B.enc.utime</t>
  </si>
  <si>
    <t>col.C1.1 losslG,noAttr.B.dec.utime</t>
  </si>
  <si>
    <t>bpp ratio [%]</t>
  </si>
  <si>
    <t>col.C1.1 losslG,noAttr.eqn.ab.ratio-bpp</t>
  </si>
  <si>
    <t>Shift in G:T bits ratio [pp]</t>
  </si>
  <si>
    <t>col.C1.1 losslG,noAttr.eqn.ab.delta-geom_texture_bits_ratio</t>
  </si>
  <si>
    <t>col.C1.1 losslG,noAttr.eqn.ab.summary-delta-geom_texture_bits_ratio</t>
  </si>
  <si>
    <t>name.A.C1.1 losslG,noAttr</t>
  </si>
  <si>
    <t>'C1.1 losslG,noAttr'!$F$1</t>
  </si>
  <si>
    <t>name.B.C1.1 losslG,noAttr</t>
  </si>
  <si>
    <t>'C1.1 losslG,noAttr'!$P$1</t>
  </si>
  <si>
    <t>arco_valentino_dense_vox12</t>
  </si>
  <si>
    <t>range.C1.1 losslG,noAttr.arco_valentino_dense_vox12</t>
  </si>
  <si>
    <t>'C1.1 losslG,noAttr'!$A$4:$AB$4</t>
  </si>
  <si>
    <t>arco_valentino_dense_vox20</t>
  </si>
  <si>
    <t>range.C1.1 losslG,noAttr.arco_valentino_dense_vox20</t>
  </si>
  <si>
    <t>'C1.1 losslG,noAttr'!$A$5:$AB$5</t>
  </si>
  <si>
    <t>egyptian_mask_vox12</t>
  </si>
  <si>
    <t>range.C1.1 losslG,noAttr.egyptian_mask_vox12</t>
  </si>
  <si>
    <t>'C1.1 losslG,noAttr'!$A$6:$AB$6</t>
  </si>
  <si>
    <t>egyptian_mask_vox20</t>
  </si>
  <si>
    <t>range.C1.1 losslG,noAttr.egyptian_mask_vox20</t>
  </si>
  <si>
    <t>'C1.1 losslG,noAttr'!$A$7:$AB$7</t>
  </si>
  <si>
    <t>facade_00009_vox12</t>
  </si>
  <si>
    <t>range.C1.1 losslG,noAttr.facade_00009_vox12</t>
  </si>
  <si>
    <t>'C1.1 losslG,noAttr'!$A$8:$AB$8</t>
  </si>
  <si>
    <t>facade_00009_vox20</t>
  </si>
  <si>
    <t>range.C1.1 losslG,noAttr.facade_00009_vox20</t>
  </si>
  <si>
    <t>'C1.1 losslG,noAttr'!$A$9:$AB$9</t>
  </si>
  <si>
    <t>facade_00015_vox14</t>
  </si>
  <si>
    <t>range.C1.1 losslG,noAttr.facade_00015_vox14</t>
  </si>
  <si>
    <t>'C1.1 losslG,noAttr'!$A$10:$AB$10</t>
  </si>
  <si>
    <t>facade_00015_vox20</t>
  </si>
  <si>
    <t>range.C1.1 losslG,noAttr.facade_00015_vox20</t>
  </si>
  <si>
    <t>'C1.1 losslG,noAttr'!$A$11:$AB$11</t>
  </si>
  <si>
    <t>facade_00064_vox14</t>
  </si>
  <si>
    <t>range.C1.1 losslG,noAttr.facade_00064_vox14</t>
  </si>
  <si>
    <t>'C1.1 losslG,noAttr'!$A$12:$AB$12</t>
  </si>
  <si>
    <t>facade_00064_vox20</t>
  </si>
  <si>
    <t>range.C1.1 losslG,noAttr.facade_00064_vox20</t>
  </si>
  <si>
    <t>'C1.1 losslG,noAttr'!$A$13:$AB$13</t>
  </si>
  <si>
    <t>frog_00067_vox12</t>
  </si>
  <si>
    <t>range.C1.1 losslG,noAttr.frog_00067_vox12</t>
  </si>
  <si>
    <t>'C1.1 losslG,noAttr'!$A$14:$AB$14</t>
  </si>
  <si>
    <t>frog_00067_vox20</t>
  </si>
  <si>
    <t>range.C1.1 losslG,noAttr.frog_00067_vox20</t>
  </si>
  <si>
    <t>'C1.1 losslG,noAttr'!$A$15:$AB$15</t>
  </si>
  <si>
    <t>loot_vox10_1200</t>
  </si>
  <si>
    <t>range.C1.1 losslG,noAttr.loot_vox10_1200</t>
  </si>
  <si>
    <t>'C1.1 losslG,noAttr'!$A$16:$AB$16</t>
  </si>
  <si>
    <t>queen_0200</t>
  </si>
  <si>
    <t>range.C1.1 losslG,noAttr.queen_0200</t>
  </si>
  <si>
    <t>'C1.1 losslG,noAttr'!$A$17:$AB$17</t>
  </si>
  <si>
    <t>redandblack_vox10_1550</t>
  </si>
  <si>
    <t>range.C1.1 losslG,noAttr.redandblack_vox10_1550</t>
  </si>
  <si>
    <t>'C1.1 losslG,noAttr'!$A$18:$AB$18</t>
  </si>
  <si>
    <t>soldier_vox10_0690</t>
  </si>
  <si>
    <t>range.C1.1 losslG,noAttr.soldier_vox10_0690</t>
  </si>
  <si>
    <t>'C1.1 losslG,noAttr'!$A$19:$AB$19</t>
  </si>
  <si>
    <t>staue_klimt_vox12</t>
  </si>
  <si>
    <t>range.C1.1 losslG,noAttr.staue_klimt_vox12</t>
  </si>
  <si>
    <t>'C1.1 losslG,noAttr'!$A$20:$AB$20</t>
  </si>
  <si>
    <t>staue_klimt_vox20</t>
  </si>
  <si>
    <t>range.C1.1 losslG,noAttr.staue_klimt_vox20</t>
  </si>
  <si>
    <t>'C1.1 losslG,noAttr'!$A$21:$AB$21</t>
  </si>
  <si>
    <t>ulb_unicorn_vox13</t>
  </si>
  <si>
    <t>range.C1.1 losslG,noAttr.ulb_unicorn_vox13</t>
  </si>
  <si>
    <t>'C1.1 losslG,noAttr'!$A$22:$AB$22</t>
  </si>
  <si>
    <t>ulb_unicorn_vox20</t>
  </si>
  <si>
    <t>range.C1.1 losslG,noAttr.ulb_unicorn_vox20</t>
  </si>
  <si>
    <t>'C1.1 losslG,noAttr'!$A$23:$AB$23</t>
  </si>
  <si>
    <t>head_00039_vox12</t>
  </si>
  <si>
    <t>range.C1.1 losslG,noAttr.head_00039_vox12</t>
  </si>
  <si>
    <t>'C1.1 losslG,noAttr'!$A$24:$AB$24</t>
  </si>
  <si>
    <t>head_00039_vox20</t>
  </si>
  <si>
    <t>range.C1.1 losslG,noAttr.head_00039_vox20</t>
  </si>
  <si>
    <t>'C1.1 losslG,noAttr'!$A$25:$AB$25</t>
  </si>
  <si>
    <t>house_without_roof_00057_vox12</t>
  </si>
  <si>
    <t>range.C1.1 losslG,noAttr.house_without_roof_00057_vox12</t>
  </si>
  <si>
    <t>'C1.1 losslG,noAttr'!$A$26:$AB$26</t>
  </si>
  <si>
    <t>house_without_roof_00057_vox20</t>
  </si>
  <si>
    <t>range.C1.1 losslG,noAttr.house_without_roof_00057_vox20</t>
  </si>
  <si>
    <t>'C1.1 losslG,noAttr'!$A$27:$AB$27</t>
  </si>
  <si>
    <t>longdress_vox10_1300</t>
  </si>
  <si>
    <t>range.C1.1 losslG,noAttr.longdress_vox10_1300</t>
  </si>
  <si>
    <t>'C1.1 losslG,noAttr'!$A$28:$AB$28</t>
  </si>
  <si>
    <t>palazzo_carignano_dense_vox14</t>
  </si>
  <si>
    <t>range.C1.1 losslG,noAttr.palazzo_carignano_dense_vox14</t>
  </si>
  <si>
    <t>'C1.1 losslG,noAttr'!$A$29:$AB$29</t>
  </si>
  <si>
    <t>palazzo_carignano_dense_vox20</t>
  </si>
  <si>
    <t>range.C1.1 losslG,noAttr.palazzo_carignano_dense_vox20</t>
  </si>
  <si>
    <t>'C1.1 losslG,noAttr'!$A$30:$AB$30</t>
  </si>
  <si>
    <t>shiva_00035_vox12</t>
  </si>
  <si>
    <t>range.C1.1 losslG,noAttr.shiva_00035_vox12</t>
  </si>
  <si>
    <t>'C1.1 losslG,noAttr'!$A$31:$AB$31</t>
  </si>
  <si>
    <t>shiva_00035_vox20</t>
  </si>
  <si>
    <t>range.C1.1 losslG,noAttr.shiva_00035_vox20</t>
  </si>
  <si>
    <t>'C1.1 losslG,noAttr'!$A$32:$AB$32</t>
  </si>
  <si>
    <t>landscape_00014_vox14</t>
  </si>
  <si>
    <t>range.C1.1 losslG,noAttr.landscape_00014_vox14</t>
  </si>
  <si>
    <t>'C1.1 losslG,noAttr'!$A$33:$AB$33</t>
  </si>
  <si>
    <t>landscape_00014_vox20</t>
  </si>
  <si>
    <t>range.C1.1 losslG,noAttr.landscape_00014_vox20</t>
  </si>
  <si>
    <t>'C1.1 losslG,noAttr'!$A$34:$AB$34</t>
  </si>
  <si>
    <t>stanford_area_2_vox16</t>
  </si>
  <si>
    <t>range.C1.1 losslG,noAttr.stanford_area_2_vox16</t>
  </si>
  <si>
    <t>'C1.1 losslG,noAttr'!$A$35:$AB$35</t>
  </si>
  <si>
    <t>stanford_area_2_vox20</t>
  </si>
  <si>
    <t>range.C1.1 losslG,noAttr.stanford_area_2_vox20</t>
  </si>
  <si>
    <t>'C1.1 losslG,noAttr'!$A$36:$AB$36</t>
  </si>
  <si>
    <t>stanford_area_4_vox16</t>
  </si>
  <si>
    <t>range.C1.1 losslG,noAttr.stanford_area_4_vox16</t>
  </si>
  <si>
    <t>'C1.1 losslG,noAttr'!$A$37:$AB$37</t>
  </si>
  <si>
    <t>stanford_area_4_vox20</t>
  </si>
  <si>
    <t>range.C1.1 losslG,noAttr.stanford_area_4_vox20</t>
  </si>
  <si>
    <t>'C1.1 losslG,noAttr'!$A$38:$AB$38</t>
  </si>
  <si>
    <t>ulb_unicorn_hires_vox15</t>
  </si>
  <si>
    <t>range.C1.1 losslG,noAttr.ulb_unicorn_hires_vox15</t>
  </si>
  <si>
    <t>'C1.1 losslG,noAttr'!$A$39:$AB$39</t>
  </si>
  <si>
    <t>ulb_unicorn_hires_vox20</t>
  </si>
  <si>
    <t>range.C1.1 losslG,noAttr.ulb_unicorn_hires_vox20</t>
  </si>
  <si>
    <t>'C1.1 losslG,noAttr'!$A$40:$AB$40</t>
  </si>
  <si>
    <t>Cat1-A average</t>
  </si>
  <si>
    <t>Cat1-B average</t>
  </si>
  <si>
    <t>Cat1-C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</si>
  <si>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</si>
  <si>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</si>
  <si>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</si>
  <si>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</si>
  <si>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</si>
  <si>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</si>
  <si>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Cat1</t>
  </si>
  <si>
    <t>1.1</t>
  </si>
  <si>
    <t>lossless geometry, no attributes [all intra]</t>
  </si>
  <si>
    <t>bpp ratio</t>
  </si>
  <si>
    <t>Avg. Enc Time [%]</t>
  </si>
  <si>
    <t>Avg. Dec Time [%]</t>
  </si>
  <si>
    <t>C1.1 losslG,noAttr</t>
  </si>
  <si>
    <t>cols.C1.1 losslG,noAttr</t>
  </si>
  <si>
    <t>names!$B$65:$J$65</t>
  </si>
  <si>
    <t>col.C1.2 losslG,lossyC.class</t>
  </si>
  <si>
    <t>col.C1.2 losslG,lossyC.sequence</t>
  </si>
  <si>
    <t>Variant</t>
  </si>
  <si>
    <t>col.C1.2 losslG,lossyC.variant</t>
  </si>
  <si>
    <t>col.C1.2 losslG,lossyC.src.numpoints</t>
  </si>
  <si>
    <t>col.C1.2 losslG,lossyC.src.geometry-precision</t>
  </si>
  <si>
    <t>col.C1.2 losslG,lossyC.A.eqn.bpp.colour</t>
  </si>
  <si>
    <t>col.C1.2 losslG,lossyC.A.dec.numpoints</t>
  </si>
  <si>
    <t>col.C1.2 losslG,lossyC.A.enc.bits.colour</t>
  </si>
  <si>
    <t>End-to-end PSNR [dB]</t>
  </si>
  <si>
    <t>Luma</t>
  </si>
  <si>
    <t>col.C1.2 losslG,lossyC.A.dec.y-psnr</t>
  </si>
  <si>
    <t>Chroma Cb</t>
  </si>
  <si>
    <t>col.C1.2 losslG,lossyC.A.dec.cb-psnr</t>
  </si>
  <si>
    <t>Chroma Cr</t>
  </si>
  <si>
    <t>col.C1.2 losslG,lossyC.A.dec.cr-psnr</t>
  </si>
  <si>
    <t>col.C1.2 losslG,lossyC.A.enc.utime</t>
  </si>
  <si>
    <t>col.C1.2 losslG,lossyC.A.dec.utime</t>
  </si>
  <si>
    <t>col.C1.2 losslG,lossyC.B.eqn.bpp.colour</t>
  </si>
  <si>
    <t>col.C1.2 losslG,lossyC.B.dec.numpoints</t>
  </si>
  <si>
    <t>col.C1.2 losslG,lossyC.B.enc.bits.colour</t>
  </si>
  <si>
    <t>col.C1.2 losslG,lossyC.B.dec.y-psnr</t>
  </si>
  <si>
    <t>col.C1.2 losslG,lossyC.B.dec.cb-psnr</t>
  </si>
  <si>
    <t>col.C1.2 losslG,lossyC.B.dec.cr-psnr</t>
  </si>
  <si>
    <t>col.C1.2 losslG,lossyC.B.enc.utime</t>
  </si>
  <si>
    <t>col.C1.2 losslG,lossyC.B.dec.utime</t>
  </si>
  <si>
    <t>End-to-End BD‑AttrRate [%]</t>
  </si>
  <si>
    <t>col.C1.2 losslG,lossyC.eqn.ab.bdrate-y-attrrate</t>
  </si>
  <si>
    <t>col.C1.2 losslG,lossyC.eqn.ab.bdrate-cb-attrrate</t>
  </si>
  <si>
    <t>col.C1.2 losslG,lossyC.eqn.ab.bdrate-cr-attrrate</t>
  </si>
  <si>
    <t>name.A.C1.2 losslG,lossyC</t>
  </si>
  <si>
    <t>'C1.2 losslG,lossyC'!$G$1</t>
  </si>
  <si>
    <t>name.B.C1.2 losslG,lossyC</t>
  </si>
  <si>
    <t>'C1.2 losslG,lossyC'!$P$1</t>
  </si>
  <si>
    <t>r01</t>
  </si>
  <si>
    <t>r02</t>
  </si>
  <si>
    <t>r03</t>
  </si>
  <si>
    <t>r04</t>
  </si>
  <si>
    <t>range.C1.2 losslG,lossyC.egyptian_mask_vox12</t>
  </si>
  <si>
    <t>'C1.2 losslG,lossyC'!$A$4:$AA$7</t>
  </si>
  <si>
    <t>range.C1.2 losslG,lossyC.facade_00009_vox12</t>
  </si>
  <si>
    <t>'C1.2 losslG,lossyC'!$A$8:$AA$11</t>
  </si>
  <si>
    <t>range.C1.2 losslG,lossyC.facade_00015_vox14</t>
  </si>
  <si>
    <t>'C1.2 losslG,lossyC'!$A$12:$AA$15</t>
  </si>
  <si>
    <t>range.C1.2 losslG,lossyC.facade_00015_vox20</t>
  </si>
  <si>
    <t>'C1.2 losslG,lossyC'!$A$16:$AA$19</t>
  </si>
  <si>
    <t>facade_00064_vox11</t>
  </si>
  <si>
    <t>range.C1.2 losslG,lossyC.facade_00064_vox11</t>
  </si>
  <si>
    <t>'C1.2 losslG,lossyC'!$A$20:$AA$23</t>
  </si>
  <si>
    <t>range.C1.2 losslG,lossyC.frog_00067_vox12</t>
  </si>
  <si>
    <t>'C1.2 losslG,lossyC'!$A$24:$AA$27</t>
  </si>
  <si>
    <t>range.C1.2 losslG,lossyC.loot_vox10_1200</t>
  </si>
  <si>
    <t>'C1.2 losslG,lossyC'!$A$28:$AA$31</t>
  </si>
  <si>
    <t>range.C1.2 losslG,lossyC.queen_0200</t>
  </si>
  <si>
    <t>'C1.2 losslG,lossyC'!$A$32:$AA$35</t>
  </si>
  <si>
    <t>range.C1.2 losslG,lossyC.redandblack_vox10_1550</t>
  </si>
  <si>
    <t>'C1.2 losslG,lossyC'!$A$36:$AA$39</t>
  </si>
  <si>
    <t>range.C1.2 losslG,lossyC.soldier_vox10_0690</t>
  </si>
  <si>
    <t>'C1.2 losslG,lossyC'!$A$40:$AA$43</t>
  </si>
  <si>
    <t>range.C1.2 losslG,lossyC.ulb_unicorn_vox13</t>
  </si>
  <si>
    <t>'C1.2 losslG,lossyC'!$A$44:$AA$47</t>
  </si>
  <si>
    <t>range.C1.2 losslG,lossyC.head_00039_vox12</t>
  </si>
  <si>
    <t>'C1.2 losslG,lossyC'!$A$48:$AA$51</t>
  </si>
  <si>
    <t>range.C1.2 losslG,lossyC.house_without_roof_00057_vox12</t>
  </si>
  <si>
    <t>'C1.2 losslG,lossyC'!$A$52:$AA$55</t>
  </si>
  <si>
    <t>range.C1.2 losslG,lossyC.longdress_vox10_1300</t>
  </si>
  <si>
    <t>'C1.2 losslG,lossyC'!$A$56:$AA$59</t>
  </si>
  <si>
    <t>range.C1.2 losslG,lossyC.shiva_00035_vox12</t>
  </si>
  <si>
    <t>'C1.2 losslG,lossyC'!$A$60:$AA$63</t>
  </si>
  <si>
    <t>range.C1.2 losslG,lossyC.shiva_00035_vox20</t>
  </si>
  <si>
    <t>'C1.2 losslG,lossyC'!$A$64:$AA$67</t>
  </si>
  <si>
    <t>Cat1-A2 average</t>
  </si>
  <si>
    <t>Cat1-B2 average</t>
  </si>
  <si>
    <t>1.2</t>
  </si>
  <si>
    <t>lossless geometry, lossy colour [all intra]</t>
  </si>
  <si>
    <t>Chroma Cb [%]</t>
  </si>
  <si>
    <t>Chroma Cr [%]</t>
  </si>
  <si>
    <t>C1.2 losslG,lossyC</t>
  </si>
  <si>
    <t>cols.C1.2 losslG,lossyC</t>
  </si>
  <si>
    <t>names!$B$108:$I$108</t>
  </si>
  <si>
    <t>col.C1.3 lossyG,lossyC.class</t>
  </si>
  <si>
    <t>col.C1.3 lossyG,lossyC.sequence</t>
  </si>
  <si>
    <t>col.C1.3 lossyG,lossyC.variant</t>
  </si>
  <si>
    <t>col.C1.3 lossyG,lossyC.src.numpoints</t>
  </si>
  <si>
    <t>col.C1.3 lossyG,lossyC.src.geometry-precision</t>
  </si>
  <si>
    <t>col.C1.3 lossyG,lossyC.A.eqn.compratio</t>
  </si>
  <si>
    <t>col.C1.3 lossyG,lossyC.A.eqn.bpp</t>
  </si>
  <si>
    <t>col.C1.3 lossyG,lossyC.A.eqn.bpp.geometry</t>
  </si>
  <si>
    <t xml:space="preserve">Colour </t>
  </si>
  <si>
    <t>col.C1.3 lossyG,lossyC.A.eqn.bpp.colour</t>
  </si>
  <si>
    <t>col.C1.3 lossyG,lossyC.A.eqn.bpop</t>
  </si>
  <si>
    <t>col.C1.3 lossyG,lossyC.A.dec.numpoints</t>
  </si>
  <si>
    <t>col.C1.3 lossyG,lossyC.A.enc.ext.bits</t>
  </si>
  <si>
    <t>col.C1.3 lossyG,lossyC.A.enc.bits.geometry</t>
  </si>
  <si>
    <t>Colour</t>
  </si>
  <si>
    <t>col.C1.3 lossyG,lossyC.A.enc.bits.colour</t>
  </si>
  <si>
    <t>Geometry PSNR [dB]</t>
  </si>
  <si>
    <t>D1</t>
  </si>
  <si>
    <t>col.C1.3 lossyG,lossyC.A.dec.d1-psnr</t>
  </si>
  <si>
    <t>D2</t>
  </si>
  <si>
    <t>col.C1.3 lossyG,lossyC.A.dec.d2-psnr</t>
  </si>
  <si>
    <t>col.C1.3 lossyG,lossyC.A.dec.y-psnr</t>
  </si>
  <si>
    <t>col.C1.3 lossyG,lossyC.A.dec.cb-psnr</t>
  </si>
  <si>
    <t>col.C1.3 lossyG,lossyC.A.dec.cr-psnr</t>
  </si>
  <si>
    <t>col.C1.3 lossyG,lossyC.A.dec.post-recolour.y-psnr</t>
  </si>
  <si>
    <t>col.C1.3 lossyG,lossyC.A.dec.post-recolour.cb-psnr</t>
  </si>
  <si>
    <t>col.C1.3 lossyG,lossyC.A.dec.post-recolour.cr-psnr</t>
  </si>
  <si>
    <t>col.C1.3 lossyG,lossyC.A.enc.utime</t>
  </si>
  <si>
    <t>col.C1.3 lossyG,lossyC.A.dec.utime</t>
  </si>
  <si>
    <t>col.C1.3 lossyG,lossyC.B.eqn.compratio</t>
  </si>
  <si>
    <t>col.C1.3 lossyG,lossyC.B.eqn.bpp</t>
  </si>
  <si>
    <t>col.C1.3 lossyG,lossyC.B.eqn.bpp.geometry</t>
  </si>
  <si>
    <t>col.C1.3 lossyG,lossyC.B.eqn.bpp.colour</t>
  </si>
  <si>
    <t>col.C1.3 lossyG,lossyC.B.eqn.bpop</t>
  </si>
  <si>
    <t>col.C1.3 lossyG,lossyC.B.dec.numpoints</t>
  </si>
  <si>
    <t>col.C1.3 lossyG,lossyC.B.enc.ext.bits</t>
  </si>
  <si>
    <t>col.C1.3 lossyG,lossyC.B.enc.bits.geometry</t>
  </si>
  <si>
    <t>col.C1.3 lossyG,lossyC.B.enc.bits.colour</t>
  </si>
  <si>
    <t>col.C1.3 lossyG,lossyC.B.dec.d1-psnr</t>
  </si>
  <si>
    <t>col.C1.3 lossyG,lossyC.B.dec.d2-psnr</t>
  </si>
  <si>
    <t>col.C1.3 lossyG,lossyC.B.dec.y-psnr</t>
  </si>
  <si>
    <t>col.C1.3 lossyG,lossyC.B.dec.cb-psnr</t>
  </si>
  <si>
    <t>col.C1.3 lossyG,lossyC.B.dec.cr-psnr</t>
  </si>
  <si>
    <t>col.C1.3 lossyG,lossyC.B.dec.post-recolour.y-psnr</t>
  </si>
  <si>
    <t>col.C1.3 lossyG,lossyC.B.dec.post-recolour.cb-psnr</t>
  </si>
  <si>
    <t>col.C1.3 lossyG,lossyC.B.dec.post-recolour.cr-psnr</t>
  </si>
  <si>
    <t>col.C1.3 lossyG,lossyC.B.enc.utime</t>
  </si>
  <si>
    <t>col.C1.3 lossyG,lossyC.B.dec.utime</t>
  </si>
  <si>
    <t>col.C1.3 lossyG,lossyC.eqn.ab.delta-geom_texture_bits_ratio</t>
  </si>
  <si>
    <t>col.C1.3 lossyG,lossyC.eqn.ab.summary-delta-geom_texture_bits_ratio</t>
  </si>
  <si>
    <t>Geom. BD‑TotalRate [%]</t>
  </si>
  <si>
    <t>col.C1.3 lossyG,lossyC.eqn.ab.bdrate-d1</t>
  </si>
  <si>
    <t>col.C1.3 lossyG,lossyC.eqn.ab.bdrate-d2</t>
  </si>
  <si>
    <t>End-to-End BD‑TotalRate [%]</t>
  </si>
  <si>
    <t>col.C1.3 lossyG,lossyC.eqn.ab.bdrate-y</t>
  </si>
  <si>
    <t>col.C1.3 lossyG,lossyC.eqn.ab.bdrate-cb</t>
  </si>
  <si>
    <t>col.C1.3 lossyG,lossyC.eqn.ab.bdrate-cr</t>
  </si>
  <si>
    <t>col.C1.3 lossyG,lossyC.eqn.ab.bdrate-y-attrrate</t>
  </si>
  <si>
    <t>col.C1.3 lossyG,lossyC.eqn.ab.bdrate-cb-attrrate</t>
  </si>
  <si>
    <t>col.C1.3 lossyG,lossyC.eqn.ab.bdrate-cr-attrrate</t>
  </si>
  <si>
    <t>col.C1.3 lossyG,lossyC.eqn.ab.post-recolour.bdrate-y-attrrate</t>
  </si>
  <si>
    <t>col.C1.3 lossyG,lossyC.eqn.ab.post-recolour.bdrate-cb-attrrate</t>
  </si>
  <si>
    <t>col.C1.3 lossyG,lossyC.eqn.ab.post-recolour.bdrate-cr-attrrate</t>
  </si>
  <si>
    <t>name.A.C1.3 lossyG,lossyC</t>
  </si>
  <si>
    <t>'C1.3 lossyG,lossyC'!$G$1</t>
  </si>
  <si>
    <t>name.B.C1.3 lossyG,lossyC</t>
  </si>
  <si>
    <t>'C1.3 lossyG,lossyC'!$AA$1</t>
  </si>
  <si>
    <t>r05</t>
  </si>
  <si>
    <t>range.C1.3 lossyG,lossyC.arco_valentino_dense_vox12</t>
  </si>
  <si>
    <t>'C1.3 lossyG,lossyC'!$A$4:$BJ$9</t>
  </si>
  <si>
    <t>range.C1.3 lossyG,lossyC.arco_valentino_dense_vox20</t>
  </si>
  <si>
    <t>'C1.3 lossyG,lossyC'!$A$10:$BJ$15</t>
  </si>
  <si>
    <t>range.C1.3 lossyG,lossyC.egyptian_mask_vox12</t>
  </si>
  <si>
    <t>'C1.3 lossyG,lossyC'!$A$16:$BJ$21</t>
  </si>
  <si>
    <t>range.C1.3 lossyG,lossyC.egyptian_mask_vox20</t>
  </si>
  <si>
    <t>'C1.3 lossyG,lossyC'!$A$22:$BJ$27</t>
  </si>
  <si>
    <t>range.C1.3 lossyG,lossyC.facade_00009_vox12</t>
  </si>
  <si>
    <t>'C1.3 lossyG,lossyC'!$A$28:$BJ$33</t>
  </si>
  <si>
    <t>range.C1.3 lossyG,lossyC.facade_00009_vox20</t>
  </si>
  <si>
    <t>'C1.3 lossyG,lossyC'!$A$34:$BJ$39</t>
  </si>
  <si>
    <t>range.C1.3 lossyG,lossyC.facade_00015_vox14</t>
  </si>
  <si>
    <t>'C1.3 lossyG,lossyC'!$A$40:$BJ$45</t>
  </si>
  <si>
    <t>range.C1.3 lossyG,lossyC.facade_00015_vox20</t>
  </si>
  <si>
    <t>'C1.3 lossyG,lossyC'!$A$46:$BJ$51</t>
  </si>
  <si>
    <t>range.C1.3 lossyG,lossyC.facade_00064_vox14</t>
  </si>
  <si>
    <t>'C1.3 lossyG,lossyC'!$A$52:$BJ$57</t>
  </si>
  <si>
    <t>range.C1.3 lossyG,lossyC.facade_00064_vox20</t>
  </si>
  <si>
    <t>'C1.3 lossyG,lossyC'!$A$58:$BJ$63</t>
  </si>
  <si>
    <t>range.C1.3 lossyG,lossyC.frog_00067_vox12</t>
  </si>
  <si>
    <t>'C1.3 lossyG,lossyC'!$A$64:$BJ$69</t>
  </si>
  <si>
    <t>range.C1.3 lossyG,lossyC.frog_00067_vox20</t>
  </si>
  <si>
    <t>'C1.3 lossyG,lossyC'!$A$70:$BJ$75</t>
  </si>
  <si>
    <t>range.C1.3 lossyG,lossyC.loot_vox10_1200</t>
  </si>
  <si>
    <t>'C1.3 lossyG,lossyC'!$A$76:$BJ$81</t>
  </si>
  <si>
    <t>range.C1.3 lossyG,lossyC.queen_0200</t>
  </si>
  <si>
    <t>'C1.3 lossyG,lossyC'!$A$82:$BJ$87</t>
  </si>
  <si>
    <t>range.C1.3 lossyG,lossyC.redandblack_vox10_1550</t>
  </si>
  <si>
    <t>'C1.3 lossyG,lossyC'!$A$88:$BJ$93</t>
  </si>
  <si>
    <t>range.C1.3 lossyG,lossyC.soldier_vox10_0690</t>
  </si>
  <si>
    <t>'C1.3 lossyG,lossyC'!$A$94:$BJ$99</t>
  </si>
  <si>
    <t>range.C1.3 lossyG,lossyC.staue_klimt_vox12</t>
  </si>
  <si>
    <t>'C1.3 lossyG,lossyC'!$A$100:$BJ$105</t>
  </si>
  <si>
    <t>range.C1.3 lossyG,lossyC.staue_klimt_vox20</t>
  </si>
  <si>
    <t>'C1.3 lossyG,lossyC'!$A$106:$BJ$111</t>
  </si>
  <si>
    <t>range.C1.3 lossyG,lossyC.ulb_unicorn_vox13</t>
  </si>
  <si>
    <t>'C1.3 lossyG,lossyC'!$A$112:$BJ$117</t>
  </si>
  <si>
    <t>range.C1.3 lossyG,lossyC.ulb_unicorn_vox20</t>
  </si>
  <si>
    <t>'C1.3 lossyG,lossyC'!$A$118:$BJ$123</t>
  </si>
  <si>
    <t>range.C1.3 lossyG,lossyC.head_00039_vox12</t>
  </si>
  <si>
    <t>'C1.3 lossyG,lossyC'!$A$124:$BJ$129</t>
  </si>
  <si>
    <t>range.C1.3 lossyG,lossyC.head_00039_vox20</t>
  </si>
  <si>
    <t>'C1.3 lossyG,lossyC'!$A$130:$BJ$135</t>
  </si>
  <si>
    <t>range.C1.3 lossyG,lossyC.house_without_roof_00057_vox12</t>
  </si>
  <si>
    <t>'C1.3 lossyG,lossyC'!$A$136:$BJ$141</t>
  </si>
  <si>
    <t>range.C1.3 lossyG,lossyC.house_without_roof_00057_vox20</t>
  </si>
  <si>
    <t>'C1.3 lossyG,lossyC'!$A$142:$BJ$147</t>
  </si>
  <si>
    <t>range.C1.3 lossyG,lossyC.longdress_vox10_1300</t>
  </si>
  <si>
    <t>'C1.3 lossyG,lossyC'!$A$148:$BJ$153</t>
  </si>
  <si>
    <t>range.C1.3 lossyG,lossyC.palazzo_carignano_dense_vox14</t>
  </si>
  <si>
    <t>'C1.3 lossyG,lossyC'!$A$154:$BJ$159</t>
  </si>
  <si>
    <t>range.C1.3 lossyG,lossyC.palazzo_carignano_dense_vox20</t>
  </si>
  <si>
    <t>'C1.3 lossyG,lossyC'!$A$160:$BJ$165</t>
  </si>
  <si>
    <t>range.C1.3 lossyG,lossyC.shiva_00035_vox12</t>
  </si>
  <si>
    <t>'C1.3 lossyG,lossyC'!$A$166:$BJ$171</t>
  </si>
  <si>
    <t>range.C1.3 lossyG,lossyC.shiva_00035_vox20</t>
  </si>
  <si>
    <t>'C1.3 lossyG,lossyC'!$A$172:$BJ$177</t>
  </si>
  <si>
    <t>range.C1.3 lossyG,lossyC.landscape_00014_vox14</t>
  </si>
  <si>
    <t>'C1.3 lossyG,lossyC'!$A$178:$BJ$183</t>
  </si>
  <si>
    <t>range.C1.3 lossyG,lossyC.landscape_00014_vox20</t>
  </si>
  <si>
    <t>'C1.3 lossyG,lossyC'!$A$184:$BJ$189</t>
  </si>
  <si>
    <t>range.C1.3 lossyG,lossyC.stanford_area_2_vox16</t>
  </si>
  <si>
    <t>'C1.3 lossyG,lossyC'!$A$190:$BJ$195</t>
  </si>
  <si>
    <t>range.C1.3 lossyG,lossyC.stanford_area_2_vox20</t>
  </si>
  <si>
    <t>'C1.3 lossyG,lossyC'!$A$196:$BJ$201</t>
  </si>
  <si>
    <t>range.C1.3 lossyG,lossyC.stanford_area_4_vox16</t>
  </si>
  <si>
    <t>'C1.3 lossyG,lossyC'!$A$202:$BJ$207</t>
  </si>
  <si>
    <t>range.C1.3 lossyG,lossyC.stanford_area_4_vox20</t>
  </si>
  <si>
    <t>'C1.3 lossyG,lossyC'!$A$208:$BJ$213</t>
  </si>
  <si>
    <t>range.C1.3 lossyG,lossyC.ulb_unicorn_hires_vox15</t>
  </si>
  <si>
    <t>'C1.3 lossyG,lossyC'!$A$214:$BJ$219</t>
  </si>
  <si>
    <t>range.C1.3 lossyG,lossyC.ulb_unicorn_hires_vox20</t>
  </si>
  <si>
    <t>'C1.3 lossyG,lossyC'!$A$220:$BJ$225</t>
  </si>
  <si>
    <t>1.3</t>
  </si>
  <si>
    <t>lossy geometry, lossy colour [all intra]</t>
  </si>
  <si>
    <t>C1.3 lossyG,lossyC</t>
  </si>
  <si>
    <t>cols.C1.3 lossyG,lossyC</t>
  </si>
  <si>
    <t>names!$B$204:$T$204</t>
  </si>
  <si>
    <t>col.C2.1 losslG,noAttr.class</t>
  </si>
  <si>
    <t>col.C2.1 losslG,noAttr.sequence</t>
  </si>
  <si>
    <t>col.C2.1 losslG,noAttr.src.numpoints</t>
  </si>
  <si>
    <t>col.C2.1 losslG,noAttr.src.geometry-precision</t>
  </si>
  <si>
    <t>№ frames</t>
  </si>
  <si>
    <t>col.C2.1 losslG,noAttr.src.framecount</t>
  </si>
  <si>
    <t>Frame rate [fps]</t>
  </si>
  <si>
    <t>col.C2.1 losslG,noAttr.src.framerate</t>
  </si>
  <si>
    <t>col.C2.1 losslG,noAttr.A.eqn.compratio</t>
  </si>
  <si>
    <t>Rate [Mbps]</t>
  </si>
  <si>
    <t>col.C2.1 losslG,noAttr.A.eqn.bitrate</t>
  </si>
  <si>
    <t>Total Bits per input point [bpip]</t>
  </si>
  <si>
    <t>col.C2.1 losslG,noAttr.A.eqn.bpp</t>
  </si>
  <si>
    <t>col.C2.1 losslG,noAttr.A.eqn.bpop</t>
  </si>
  <si>
    <t>col.C2.1 losslG,noAttr.A.dec.numpoints</t>
  </si>
  <si>
    <t>Total Bitstream [bits]</t>
  </si>
  <si>
    <t>col.C2.1 losslG,noAttr.A.enc.ext.bits</t>
  </si>
  <si>
    <t>col.C2.1 losslG,noAttr.A.dec.d1-psnr</t>
  </si>
  <si>
    <t>col.C2.1 losslG,noAttr.A.dec.d2-psnr</t>
  </si>
  <si>
    <t>Encoder runtime [s]</t>
  </si>
  <si>
    <t>Self</t>
  </si>
  <si>
    <t>col.C2.1 losslG,noAttr.A.enc.utime.self</t>
  </si>
  <si>
    <t>Child</t>
  </si>
  <si>
    <t>col.C2.1 losslG,noAttr.A.enc.utime.children</t>
  </si>
  <si>
    <t>Decoder runtime [s]</t>
  </si>
  <si>
    <t>col.C2.1 losslG,noAttr.A.dec.utime.self</t>
  </si>
  <si>
    <t>col.C2.1 losslG,noAttr.A.dec.utime.children</t>
  </si>
  <si>
    <t>col.C2.1 losslG,noAttr.B.eqn.compratio</t>
  </si>
  <si>
    <t>col.C2.1 losslG,noAttr.B.eqn.bitrate</t>
  </si>
  <si>
    <t>col.C2.1 losslG,noAttr.B.eqn.bpp</t>
  </si>
  <si>
    <t>col.C2.1 losslG,noAttr.B.eqn.bpop</t>
  </si>
  <si>
    <t>col.C2.1 losslG,noAttr.B.dec.numpoints</t>
  </si>
  <si>
    <t>col.C2.1 losslG,noAttr.B.enc.ext.bits</t>
  </si>
  <si>
    <t>col.C2.1 losslG,noAttr.B.dec.d1-psnr</t>
  </si>
  <si>
    <t>col.C2.1 losslG,noAttr.B.dec.d2-psnr</t>
  </si>
  <si>
    <t>col.C2.1 losslG,noAttr.B.enc.utime.self</t>
  </si>
  <si>
    <t>col.C2.1 losslG,noAttr.B.enc.utime.children</t>
  </si>
  <si>
    <t>col.C2.1 losslG,noAttr.B.dec.utime.self</t>
  </si>
  <si>
    <t>col.C2.1 losslG,noAttr.B.dec.utime.children</t>
  </si>
  <si>
    <t>col.C2.1 losslG,noAttr.eqn.ab.ratio-bpp</t>
  </si>
  <si>
    <t>2.1 — lossless geometry, no attributes [all intra]</t>
  </si>
  <si>
    <t>name.A.C2.1 losslG,noAttr</t>
  </si>
  <si>
    <t>'C2.1 losslG,noAttr'!$H$1</t>
  </si>
  <si>
    <t>name.B.C2.1 losslG,noAttr</t>
  </si>
  <si>
    <t>'C2.1 losslG,noAttr'!$U$1</t>
  </si>
  <si>
    <t>8ivfbv2_loot_vox10</t>
  </si>
  <si>
    <t>range.C2.1 losslG,noAttr.8ivfbv2_loot_vox10</t>
  </si>
  <si>
    <t>'C2.1 losslG,noAttr'!$A$4:$AH$4</t>
  </si>
  <si>
    <t>8ivfbv2_redandblack_vox10</t>
  </si>
  <si>
    <t>range.C2.1 losslG,noAttr.8ivfbv2_redandblack_vox10</t>
  </si>
  <si>
    <t>'C2.1 losslG,noAttr'!$A$5:$AH$5</t>
  </si>
  <si>
    <t>8ivfbv2_soldier_vox10</t>
  </si>
  <si>
    <t>range.C2.1 losslG,noAttr.8ivfbv2_soldier_vox10</t>
  </si>
  <si>
    <t>'C2.1 losslG,noAttr'!$A$6:$AH$6</t>
  </si>
  <si>
    <t>queen</t>
  </si>
  <si>
    <t>range.C2.1 losslG,noAttr.queen</t>
  </si>
  <si>
    <t>'C2.1 losslG,noAttr'!$A$7:$AH$7</t>
  </si>
  <si>
    <t>cat2-A</t>
  </si>
  <si>
    <t>8ivfbv2_longdress_vox10</t>
  </si>
  <si>
    <t>range.C2.1 losslG,noAttr.8ivfbv2_longdress_vox10</t>
  </si>
  <si>
    <t>'C2.1 losslG,noAttr'!$A$8:$AH$8</t>
  </si>
  <si>
    <t>cat2-B</t>
  </si>
  <si>
    <t>Cat2-A average</t>
  </si>
  <si>
    <t>Cat2-B average</t>
  </si>
  <si>
    <t>Cat2</t>
  </si>
  <si>
    <t>2.1</t>
  </si>
  <si>
    <t>C2.1 losslG,noAttr</t>
  </si>
  <si>
    <t>cols.C2.1 losslG,noAttr</t>
  </si>
  <si>
    <t>names!$B$243:$M$243</t>
  </si>
  <si>
    <t>col.C2.2 losslG,losslAttr.class</t>
  </si>
  <si>
    <t>col.C2.2 losslG,losslAttr.sequence</t>
  </si>
  <si>
    <t>col.C2.2 losslG,losslAttr.src.numpoints</t>
  </si>
  <si>
    <t>col.C2.2 losslG,losslAttr.src.geometry-precision</t>
  </si>
  <si>
    <t>col.C2.2 losslG,losslAttr.src.framecount</t>
  </si>
  <si>
    <t>col.C2.2 losslG,losslAttr.src.framerate</t>
  </si>
  <si>
    <t>col.C2.2 losslG,losslAttr.A.eqn.compratio</t>
  </si>
  <si>
    <t>col.C2.2 losslG,losslAttr.A.eqn.bitrate</t>
  </si>
  <si>
    <t>col.C2.2 losslG,losslAttr.A.eqn.bpp</t>
  </si>
  <si>
    <t>Tot.Geom</t>
  </si>
  <si>
    <t>col.C2.2 losslG,losslAttr.A.eqn.bpp.geometry+occ+patch</t>
  </si>
  <si>
    <t>col.C2.2 losslG,losslAttr.A.eqn.bpp.geometry</t>
  </si>
  <si>
    <t>col.C2.2 losslG,losslAttr.A.eqn.bpp.colour</t>
  </si>
  <si>
    <t>col.C2.2 losslG,losslAttr.A.eqn.bpop</t>
  </si>
  <si>
    <t>col.C2.2 losslG,losslAttr.A.dec.numpoints</t>
  </si>
  <si>
    <t>col.C2.2 losslG,losslAttr.A.enc.ext.bits</t>
  </si>
  <si>
    <t>col.C2.2 losslG,losslAttr.A.enc.bits.geometry</t>
  </si>
  <si>
    <t>A.eqn.bits.totalgeometry</t>
  </si>
  <si>
    <t>col.C2.2 losslG,losslAttr.A.eqn.bits.totalgeometry</t>
  </si>
  <si>
    <t>Occ+Patch</t>
  </si>
  <si>
    <t>col.C2.2 losslG,losslAttr.A.enc.bits.occ+patch</t>
  </si>
  <si>
    <t>col.C2.2 losslG,losslAttr.A.enc.bits.colour</t>
  </si>
  <si>
    <t>col.C2.2 losslG,losslAttr.A.dec.d1-psnr</t>
  </si>
  <si>
    <t>col.C2.2 losslG,losslAttr.A.dec.d2-psnr</t>
  </si>
  <si>
    <t>col.C2.2 losslG,losslAttr.A.dec.y-psnr</t>
  </si>
  <si>
    <t>col.C2.2 losslG,losslAttr.A.dec.cb-psnr</t>
  </si>
  <si>
    <t>col.C2.2 losslG,losslAttr.A.dec.cr-psnr</t>
  </si>
  <si>
    <t>col.C2.2 losslG,losslAttr.A.enc.utime.self</t>
  </si>
  <si>
    <t>col.C2.2 losslG,losslAttr.A.enc.utime.children</t>
  </si>
  <si>
    <t>col.C2.2 losslG,losslAttr.A.dec.utime.self</t>
  </si>
  <si>
    <t>col.C2.2 losslG,losslAttr.A.dec.utime.children</t>
  </si>
  <si>
    <t>col.C2.2 losslG,losslAttr.B.eqn.compratio</t>
  </si>
  <si>
    <t>col.C2.2 losslG,losslAttr.B.eqn.bitrate</t>
  </si>
  <si>
    <t>col.C2.2 losslG,losslAttr.B.eqn.bpp</t>
  </si>
  <si>
    <t>col.C2.2 losslG,losslAttr.B.eqn.bpp.geometry+occ+patch</t>
  </si>
  <si>
    <t>col.C2.2 losslG,losslAttr.B.eqn.bpp.geometry</t>
  </si>
  <si>
    <t>col.C2.2 losslG,losslAttr.B.eqn.bpp.colour</t>
  </si>
  <si>
    <t>col.C2.2 losslG,losslAttr.B.eqn.bpop</t>
  </si>
  <si>
    <t>col.C2.2 losslG,losslAttr.B.dec.numpoints</t>
  </si>
  <si>
    <t>col.C2.2 losslG,losslAttr.B.enc.ext.bits</t>
  </si>
  <si>
    <t>col.C2.2 losslG,losslAttr.B.enc.bits.geometry</t>
  </si>
  <si>
    <t>B.eqn.bits.totalgeometry</t>
  </si>
  <si>
    <t>col.C2.2 losslG,losslAttr.B.eqn.bits.totalgeometry</t>
  </si>
  <si>
    <t>col.C2.2 losslG,losslAttr.B.enc.bits.occ+patch</t>
  </si>
  <si>
    <t>col.C2.2 losslG,losslAttr.B.enc.bits.colour</t>
  </si>
  <si>
    <t>col.C2.2 losslG,losslAttr.B.dec.d1-psnr</t>
  </si>
  <si>
    <t>col.C2.2 losslG,losslAttr.B.dec.d2-psnr</t>
  </si>
  <si>
    <t>col.C2.2 losslG,losslAttr.B.dec.y-psnr</t>
  </si>
  <si>
    <t>col.C2.2 losslG,losslAttr.B.dec.cb-psnr</t>
  </si>
  <si>
    <t>col.C2.2 losslG,losslAttr.B.dec.cr-psnr</t>
  </si>
  <si>
    <t>col.C2.2 losslG,losslAttr.B.enc.utime.self</t>
  </si>
  <si>
    <t>col.C2.2 losslG,losslAttr.B.enc.utime.children</t>
  </si>
  <si>
    <t>col.C2.2 losslG,losslAttr.B.dec.utime.self</t>
  </si>
  <si>
    <t>col.C2.2 losslG,losslAttr.B.dec.utime.children</t>
  </si>
  <si>
    <t>col.C2.2 losslG,losslAttr.eqn.ab.ratio-bpp</t>
  </si>
  <si>
    <t>col.C2.2 losslG,losslAttr.eqn.ab.delta-geom_texture_bits_ratio</t>
  </si>
  <si>
    <t>col.C2.2 losslG,losslAttr.eqn.ab.summary-delta-geom_texture_bits_ratio</t>
  </si>
  <si>
    <t>2.2 — lossless geometry, lossless attributes [all intra]</t>
  </si>
  <si>
    <t>name.A.C2.2 losslG,losslAttr</t>
  </si>
  <si>
    <t>'C2.2 losslG,losslAttr'!$H$1</t>
  </si>
  <si>
    <t>name.B.C2.2 losslG,losslAttr</t>
  </si>
  <si>
    <t>'C2.2 losslG,losslAttr'!$AE$1</t>
  </si>
  <si>
    <t>range.C2.2 losslG,losslAttr.8ivfbv2_loot_vox10</t>
  </si>
  <si>
    <t>'C2.2 losslG,losslAttr'!$A$4:$BD$4</t>
  </si>
  <si>
    <t>range.C2.2 losslG,losslAttr.8ivfbv2_redandblack_vox10</t>
  </si>
  <si>
    <t>'C2.2 losslG,losslAttr'!$A$5:$BD$5</t>
  </si>
  <si>
    <t>range.C2.2 losslG,losslAttr.8ivfbv2_soldier_vox10</t>
  </si>
  <si>
    <t>'C2.2 losslG,losslAttr'!$A$6:$BD$6</t>
  </si>
  <si>
    <t>range.C2.2 losslG,losslAttr.queen</t>
  </si>
  <si>
    <t>'C2.2 losslG,losslAttr'!$A$7:$BD$7</t>
  </si>
  <si>
    <t>range.C2.2 losslG,losslAttr.8ivfbv2_longdress_vox10</t>
  </si>
  <si>
    <t>'C2.2 losslG,losslAttr'!$A$8:$BD$8</t>
  </si>
  <si>
    <t>2.2</t>
  </si>
  <si>
    <t>lossless geometry, lossless attributes [all intra]</t>
  </si>
  <si>
    <t>C2.2 losslG,losslAttr</t>
  </si>
  <si>
    <t>cols.C2.2 losslG,losslAttr</t>
  </si>
  <si>
    <t>names!$B$304:$W$304</t>
  </si>
  <si>
    <t>col.C2.3 lossyG,lossyAttr.class</t>
  </si>
  <si>
    <t>col.C2.3 lossyG,lossyAttr.sequence</t>
  </si>
  <si>
    <t>col.C2.3 lossyG,lossyAttr.variant</t>
  </si>
  <si>
    <t>col.C2.3 lossyG,lossyAttr.src.numpoints</t>
  </si>
  <si>
    <t>col.C2.3 lossyG,lossyAttr.src.geometry-precision</t>
  </si>
  <si>
    <t>col.C2.3 lossyG,lossyAttr.src.framecount</t>
  </si>
  <si>
    <t>col.C2.3 lossyG,lossyAttr.src.framerate</t>
  </si>
  <si>
    <t>col.C2.3 lossyG,lossyAttr.A.eqn.bitrate</t>
  </si>
  <si>
    <t>col.C2.3 lossyG,lossyAttr.A.eqn.bpp</t>
  </si>
  <si>
    <t>col.C2.3 lossyG,lossyAttr.A.eqn.bpp.geometry+occ+patch</t>
  </si>
  <si>
    <t>col.C2.3 lossyG,lossyAttr.A.eqn.bpp.geometry</t>
  </si>
  <si>
    <t>col.C2.3 lossyG,lossyAttr.A.eqn.bpp.colour</t>
  </si>
  <si>
    <t>col.C2.3 lossyG,lossyAttr.A.eqn.bpop</t>
  </si>
  <si>
    <t>col.C2.3 lossyG,lossyAttr.A.dec.numpoints</t>
  </si>
  <si>
    <t>col.C2.3 lossyG,lossyAttr.A.dec.numpoints.mean</t>
  </si>
  <si>
    <t>col.C2.3 lossyG,lossyAttr.A.dec.numduppoints.mean</t>
  </si>
  <si>
    <t>col.C2.3 lossyG,lossyAttr.A.enc.ext.bits</t>
  </si>
  <si>
    <t>col.C2.3 lossyG,lossyAttr.A.enc.bits.geometry</t>
  </si>
  <si>
    <t>col.C2.3 lossyG,lossyAttr.A.eqn.bits.totalgeometry</t>
  </si>
  <si>
    <t>col.C2.3 lossyG,lossyAttr.A.enc.bits.occ+patch</t>
  </si>
  <si>
    <t>col.C2.3 lossyG,lossyAttr.A.enc.bits.colour</t>
  </si>
  <si>
    <t>col.C2.3 lossyG,lossyAttr.A.dec.d1-psnr</t>
  </si>
  <si>
    <t>col.C2.3 lossyG,lossyAttr.A.dec.d2-psnr</t>
  </si>
  <si>
    <t>col.C2.3 lossyG,lossyAttr.A.dec.y-psnr</t>
  </si>
  <si>
    <t>col.C2.3 lossyG,lossyAttr.A.dec.cb-psnr</t>
  </si>
  <si>
    <t>col.C2.3 lossyG,lossyAttr.A.dec.cr-psnr</t>
  </si>
  <si>
    <t>col.C2.3 lossyG,lossyAttr.A.enc.utime.self</t>
  </si>
  <si>
    <t>col.C2.3 lossyG,lossyAttr.A.enc.utime.children</t>
  </si>
  <si>
    <t>col.C2.3 lossyG,lossyAttr.A.dec.utime.self</t>
  </si>
  <si>
    <t>col.C2.3 lossyG,lossyAttr.A.dec.utime.children</t>
  </si>
  <si>
    <t>col.C2.3 lossyG,lossyAttr.B.eqn.bitrate</t>
  </si>
  <si>
    <t>col.C2.3 lossyG,lossyAttr.B.eqn.bpp</t>
  </si>
  <si>
    <t>col.C2.3 lossyG,lossyAttr.B.eqn.bpp.geometry+occ+patch</t>
  </si>
  <si>
    <t>col.C2.3 lossyG,lossyAttr.B.eqn.bpp.geometry</t>
  </si>
  <si>
    <t>col.C2.3 lossyG,lossyAttr.B.eqn.bpp.colour</t>
  </si>
  <si>
    <t>col.C2.3 lossyG,lossyAttr.B.eqn.bpop</t>
  </si>
  <si>
    <t>col.C2.3 lossyG,lossyAttr.B.dec.numpoints</t>
  </si>
  <si>
    <t>col.C2.3 lossyG,lossyAttr.B.dec.numpoints.mean</t>
  </si>
  <si>
    <t>col.C2.3 lossyG,lossyAttr.B.dec.numduppoints.mean</t>
  </si>
  <si>
    <t>col.C2.3 lossyG,lossyAttr.B.enc.ext.bits</t>
  </si>
  <si>
    <t>col.C2.3 lossyG,lossyAttr.B.enc.bits.geometry</t>
  </si>
  <si>
    <t>col.C2.3 lossyG,lossyAttr.B.eqn.bits.totalgeometry</t>
  </si>
  <si>
    <t>col.C2.3 lossyG,lossyAttr.B.enc.bits.occ+patch</t>
  </si>
  <si>
    <t>col.C2.3 lossyG,lossyAttr.B.enc.bits.colour</t>
  </si>
  <si>
    <t>col.C2.3 lossyG,lossyAttr.B.dec.d1-psnr</t>
  </si>
  <si>
    <t>col.C2.3 lossyG,lossyAttr.B.dec.d2-psnr</t>
  </si>
  <si>
    <t>col.C2.3 lossyG,lossyAttr.B.dec.y-psnr</t>
  </si>
  <si>
    <t>col.C2.3 lossyG,lossyAttr.B.dec.cb-psnr</t>
  </si>
  <si>
    <t>col.C2.3 lossyG,lossyAttr.B.dec.cr-psnr</t>
  </si>
  <si>
    <t>col.C2.3 lossyG,lossyAttr.B.enc.utime.self</t>
  </si>
  <si>
    <t>col.C2.3 lossyG,lossyAttr.B.enc.utime.children</t>
  </si>
  <si>
    <t>col.C2.3 lossyG,lossyAttr.B.dec.utime.self</t>
  </si>
  <si>
    <t>col.C2.3 lossyG,lossyAttr.B.dec.utime.children</t>
  </si>
  <si>
    <t>Shift in duppoint ratio [pp]</t>
  </si>
  <si>
    <t>col.C2.3 lossyG,lossyAttr.eqn.ab.delta-duppoints_ratio</t>
  </si>
  <si>
    <t>col.C2.3 lossyG,lossyAttr.eqn.ab.delta-geom_texture_bits_ratio</t>
  </si>
  <si>
    <t>col.C2.3 lossyG,lossyAttr.eqn.ab.summary-delta-geom_texture_bits_ratio</t>
  </si>
  <si>
    <t>col.C2.3 lossyG,lossyAttr.eqn.ab.bdrate-d1</t>
  </si>
  <si>
    <t>col.C2.3 lossyG,lossyAttr.eqn.ab.bdrate-d2</t>
  </si>
  <si>
    <t>col.C2.3 lossyG,lossyAttr.eqn.ab.bdrate-y</t>
  </si>
  <si>
    <t>col.C2.3 lossyG,lossyAttr.eqn.ab.bdrate-cb</t>
  </si>
  <si>
    <t>col.C2.3 lossyG,lossyAttr.eqn.ab.bdrate-cr</t>
  </si>
  <si>
    <t>Geom. BD‑TotGeomRate [%]</t>
  </si>
  <si>
    <t>col.C2.3 lossyG,lossyAttr.eqn.ab.bdrate-d1-geomrate</t>
  </si>
  <si>
    <t>col.C2.3 lossyG,lossyAttr.eqn.ab.bdrate-d2-geomrate</t>
  </si>
  <si>
    <t>col.C2.3 lossyG,lossyAttr.eqn.ab.bdrate-y-attrrate</t>
  </si>
  <si>
    <t>col.C2.3 lossyG,lossyAttr.eqn.ab.bdrate-cb-attrrate</t>
  </si>
  <si>
    <t>col.C2.3 lossyG,lossyAttr.eqn.ab.bdrate-cr-attrrate</t>
  </si>
  <si>
    <t>2.3 — lossy geometry, lossy attributes [all intra]</t>
  </si>
  <si>
    <t>name.A.C2.3 lossyG,lossyAttr</t>
  </si>
  <si>
    <t>'C2.3 lossyG,lossyAttr'!$I$1</t>
  </si>
  <si>
    <t>name.B.C2.3 lossyG,lossyAttr</t>
  </si>
  <si>
    <t>'C2.3 lossyG,lossyAttr'!$AG$1</t>
  </si>
  <si>
    <t>range.C2.3 lossyG,lossyAttr.8ivfbv2_loot_vox10</t>
  </si>
  <si>
    <t>'C2.3 lossyG,lossyAttr'!$A$4:$BS$8</t>
  </si>
  <si>
    <t>range.C2.3 lossyG,lossyAttr.8ivfbv2_redandblack_vox10</t>
  </si>
  <si>
    <t>'C2.3 lossyG,lossyAttr'!$A$9:$BS$13</t>
  </si>
  <si>
    <t>range.C2.3 lossyG,lossyAttr.8ivfbv2_soldier_vox10</t>
  </si>
  <si>
    <t>'C2.3 lossyG,lossyAttr'!$A$14:$BS$18</t>
  </si>
  <si>
    <t>range.C2.3 lossyG,lossyAttr.queen</t>
  </si>
  <si>
    <t>'C2.3 lossyG,lossyAttr'!$A$19:$BS$23</t>
  </si>
  <si>
    <t>range.C2.3 lossyG,lossyAttr.8ivfbv2_longdress_vox10</t>
  </si>
  <si>
    <t>'C2.3 lossyG,lossyAttr'!$A$24:$BS$28</t>
  </si>
  <si>
    <t>2.3</t>
  </si>
  <si>
    <t>lossy geometry, lossy attributes [all intra]</t>
  </si>
  <si>
    <t>D2 [%]</t>
  </si>
  <si>
    <t>C2.3 lossyG,lossyAttr</t>
  </si>
  <si>
    <t>cols.C2.3 lossyG,lossyAttr</t>
  </si>
  <si>
    <t>names!$B$378:$X$378</t>
  </si>
  <si>
    <t>col.C2.4 lossyG,lossyAttr,interRA.class</t>
  </si>
  <si>
    <t>col.C2.4 lossyG,lossyAttr,interRA.sequence</t>
  </si>
  <si>
    <t>col.C2.4 lossyG,lossyAttr,interRA.variant</t>
  </si>
  <si>
    <t>col.C2.4 lossyG,lossyAttr,interRA.src.numpoints</t>
  </si>
  <si>
    <t>col.C2.4 lossyG,lossyAttr,interRA.src.geometry-precision</t>
  </si>
  <si>
    <t>col.C2.4 lossyG,lossyAttr,interRA.src.framecount</t>
  </si>
  <si>
    <t>col.C2.4 lossyG,lossyAttr,interRA.src.framerate</t>
  </si>
  <si>
    <t>col.C2.4 lossyG,lossyAttr,interRA.A.eqn.bitrate</t>
  </si>
  <si>
    <t>col.C2.4 lossyG,lossyAttr,interRA.A.eqn.bpp</t>
  </si>
  <si>
    <t>col.C2.4 lossyG,lossyAttr,interRA.A.eqn.bpp.geometry+occ+patch</t>
  </si>
  <si>
    <t>col.C2.4 lossyG,lossyAttr,interRA.A.eqn.bpp.geometry</t>
  </si>
  <si>
    <t>col.C2.4 lossyG,lossyAttr,interRA.A.eqn.bpp.colour</t>
  </si>
  <si>
    <t>col.C2.4 lossyG,lossyAttr,interRA.A.eqn.bpop</t>
  </si>
  <si>
    <t>col.C2.4 lossyG,lossyAttr,interRA.A.dec.numpoints</t>
  </si>
  <si>
    <t>col.C2.4 lossyG,lossyAttr,interRA.A.dec.numpoints.mean</t>
  </si>
  <si>
    <t>col.C2.4 lossyG,lossyAttr,interRA.A.dec.numduppoints.mean</t>
  </si>
  <si>
    <t>col.C2.4 lossyG,lossyAttr,interRA.A.enc.ext.bits</t>
  </si>
  <si>
    <t>col.C2.4 lossyG,lossyAttr,interRA.A.enc.bits.geometry</t>
  </si>
  <si>
    <t>col.C2.4 lossyG,lossyAttr,interRA.A.eqn.bits.totalgeometry</t>
  </si>
  <si>
    <t>col.C2.4 lossyG,lossyAttr,interRA.A.enc.bits.occ+patch</t>
  </si>
  <si>
    <t>col.C2.4 lossyG,lossyAttr,interRA.A.enc.bits.colour</t>
  </si>
  <si>
    <t>col.C2.4 lossyG,lossyAttr,interRA.A.dec.d1-psnr</t>
  </si>
  <si>
    <t>col.C2.4 lossyG,lossyAttr,interRA.A.dec.d2-psnr</t>
  </si>
  <si>
    <t>col.C2.4 lossyG,lossyAttr,interRA.A.dec.y-psnr</t>
  </si>
  <si>
    <t>col.C2.4 lossyG,lossyAttr,interRA.A.dec.cb-psnr</t>
  </si>
  <si>
    <t>col.C2.4 lossyG,lossyAttr,interRA.A.dec.cr-psnr</t>
  </si>
  <si>
    <t>col.C2.4 lossyG,lossyAttr,interRA.A.enc.utime.self</t>
  </si>
  <si>
    <t>col.C2.4 lossyG,lossyAttr,interRA.A.enc.utime.children</t>
  </si>
  <si>
    <t>col.C2.4 lossyG,lossyAttr,interRA.A.dec.utime.self</t>
  </si>
  <si>
    <t>col.C2.4 lossyG,lossyAttr,interRA.A.dec.utime.children</t>
  </si>
  <si>
    <t>col.C2.4 lossyG,lossyAttr,interRA.B.eqn.bitrate</t>
  </si>
  <si>
    <t>col.C2.4 lossyG,lossyAttr,interRA.B.eqn.bpp</t>
  </si>
  <si>
    <t>col.C2.4 lossyG,lossyAttr,interRA.B.eqn.bpp.geometry+occ+patch</t>
  </si>
  <si>
    <t>col.C2.4 lossyG,lossyAttr,interRA.B.eqn.bpp.geometry</t>
  </si>
  <si>
    <t>col.C2.4 lossyG,lossyAttr,interRA.B.eqn.bpp.colour</t>
  </si>
  <si>
    <t>col.C2.4 lossyG,lossyAttr,interRA.B.eqn.bpop</t>
  </si>
  <si>
    <t>col.C2.4 lossyG,lossyAttr,interRA.B.dec.numpoints</t>
  </si>
  <si>
    <t>col.C2.4 lossyG,lossyAttr,interRA.B.dec.numpoints.mean</t>
  </si>
  <si>
    <t>col.C2.4 lossyG,lossyAttr,interRA.B.dec.numduppoints.mean</t>
  </si>
  <si>
    <t>col.C2.4 lossyG,lossyAttr,interRA.B.enc.ext.bits</t>
  </si>
  <si>
    <t>col.C2.4 lossyG,lossyAttr,interRA.B.enc.bits.geometry</t>
  </si>
  <si>
    <t>col.C2.4 lossyG,lossyAttr,interRA.B.eqn.bits.totalgeometry</t>
  </si>
  <si>
    <t>col.C2.4 lossyG,lossyAttr,interRA.B.enc.bits.occ+patch</t>
  </si>
  <si>
    <t>col.C2.4 lossyG,lossyAttr,interRA.B.enc.bits.colour</t>
  </si>
  <si>
    <t>col.C2.4 lossyG,lossyAttr,interRA.B.dec.d1-psnr</t>
  </si>
  <si>
    <t>col.C2.4 lossyG,lossyAttr,interRA.B.dec.d2-psnr</t>
  </si>
  <si>
    <t>col.C2.4 lossyG,lossyAttr,interRA.B.dec.y-psnr</t>
  </si>
  <si>
    <t>col.C2.4 lossyG,lossyAttr,interRA.B.dec.cb-psnr</t>
  </si>
  <si>
    <t>col.C2.4 lossyG,lossyAttr,interRA.B.dec.cr-psnr</t>
  </si>
  <si>
    <t>col.C2.4 lossyG,lossyAttr,interRA.B.enc.utime.self</t>
  </si>
  <si>
    <t>col.C2.4 lossyG,lossyAttr,interRA.B.enc.utime.children</t>
  </si>
  <si>
    <t>col.C2.4 lossyG,lossyAttr,interRA.B.dec.utime.self</t>
  </si>
  <si>
    <t>col.C2.4 lossyG,lossyAttr,interRA.B.dec.utime.children</t>
  </si>
  <si>
    <t>col.C2.4 lossyG,lossyAttr,interRA.eqn.ab.delta-duppoints_ratio</t>
  </si>
  <si>
    <t>col.C2.4 lossyG,lossyAttr,interRA.eqn.ab.delta-geom_texture_bits_ratio</t>
  </si>
  <si>
    <t>col.C2.4 lossyG,lossyAttr,interRA.eqn.ab.summary-delta-geom_texture_bits_ratio</t>
  </si>
  <si>
    <t>col.C2.4 lossyG,lossyAttr,interRA.eqn.ab.bdrate-d1</t>
  </si>
  <si>
    <t>col.C2.4 lossyG,lossyAttr,interRA.eqn.ab.bdrate-d2</t>
  </si>
  <si>
    <t>col.C2.4 lossyG,lossyAttr,interRA.eqn.ab.bdrate-y</t>
  </si>
  <si>
    <t>col.C2.4 lossyG,lossyAttr,interRA.eqn.ab.bdrate-cb</t>
  </si>
  <si>
    <t>col.C2.4 lossyG,lossyAttr,interRA.eqn.ab.bdrate-cr</t>
  </si>
  <si>
    <t>col.C2.4 lossyG,lossyAttr,interRA.eqn.ab.bdrate-d1-geomrate</t>
  </si>
  <si>
    <t>col.C2.4 lossyG,lossyAttr,interRA.eqn.ab.bdrate-d2-geomrate</t>
  </si>
  <si>
    <t>col.C2.4 lossyG,lossyAttr,interRA.eqn.ab.bdrate-y-attrrate</t>
  </si>
  <si>
    <t>col.C2.4 lossyG,lossyAttr,interRA.eqn.ab.bdrate-cb-attrrate</t>
  </si>
  <si>
    <t>col.C2.4 lossyG,lossyAttr,interRA.eqn.ab.bdrate-cr-attrrate</t>
  </si>
  <si>
    <t>2.4 — lossy geometry, lossy attributes [inter, random access]</t>
  </si>
  <si>
    <t>name.A.C2.4 lossyG,lossyAttr,interRA</t>
  </si>
  <si>
    <t>'C2.4 lossyG,lossyAttr,interRA'!$I$1</t>
  </si>
  <si>
    <t>name.B.C2.4 lossyG,lossyAttr,interRA</t>
  </si>
  <si>
    <t>'C2.4 lossyG,lossyAttr,interRA'!$AG$1</t>
  </si>
  <si>
    <t>range.C2.4 lossyG,lossyAttr,interRA.8ivfbv2_loot_vox10</t>
  </si>
  <si>
    <t>'C2.4 lossyG,lossyAttr,interRA'!$A$4:$BS$8</t>
  </si>
  <si>
    <t>range.C2.4 lossyG,lossyAttr,interRA.8ivfbv2_redandblack_vox10</t>
  </si>
  <si>
    <t>'C2.4 lossyG,lossyAttr,interRA'!$A$9:$BS$13</t>
  </si>
  <si>
    <t>range.C2.4 lossyG,lossyAttr,interRA.8ivfbv2_soldier_vox10</t>
  </si>
  <si>
    <t>'C2.4 lossyG,lossyAttr,interRA'!$A$14:$BS$18</t>
  </si>
  <si>
    <t>range.C2.4 lossyG,lossyAttr,interRA.queen</t>
  </si>
  <si>
    <t>'C2.4 lossyG,lossyAttr,interRA'!$A$19:$BS$23</t>
  </si>
  <si>
    <t>range.C2.4 lossyG,lossyAttr,interRA.8ivfbv2_longdress_vox10</t>
  </si>
  <si>
    <t>'C2.4 lossyG,lossyAttr,interRA'!$A$24:$BS$28</t>
  </si>
  <si>
    <t>2.4</t>
  </si>
  <si>
    <t>lossy geometry, lossy attributes [inter, random access]</t>
  </si>
  <si>
    <t>C2.4 lossyG,lossyAttr,interRA</t>
  </si>
  <si>
    <t>cols.C2.4 lossyG,lossyAttr,interRA</t>
  </si>
  <si>
    <t>names!$B$452:$X$452</t>
  </si>
  <si>
    <t>col.C2.5 losslG,noAttr,interRA.class</t>
  </si>
  <si>
    <t>col.C2.5 losslG,noAttr,interRA.sequence</t>
  </si>
  <si>
    <t>col.C2.5 losslG,noAttr,interRA.src.numpoints</t>
  </si>
  <si>
    <t>col.C2.5 losslG,noAttr,interRA.src.geometry-precision</t>
  </si>
  <si>
    <t>col.C2.5 losslG,noAttr,interRA.src.framecount</t>
  </si>
  <si>
    <t>col.C2.5 losslG,noAttr,interRA.src.framerate</t>
  </si>
  <si>
    <t>col.C2.5 losslG,noAttr,interRA.A.eqn.compratio</t>
  </si>
  <si>
    <t>col.C2.5 losslG,noAttr,interRA.A.eqn.bitrate</t>
  </si>
  <si>
    <t>col.C2.5 losslG,noAttr,interRA.A.eqn.bpp</t>
  </si>
  <si>
    <t>col.C2.5 losslG,noAttr,interRA.A.eqn.bpop</t>
  </si>
  <si>
    <t>col.C2.5 losslG,noAttr,interRA.A.dec.numpoints</t>
  </si>
  <si>
    <t>col.C2.5 losslG,noAttr,interRA.A.enc.ext.bits</t>
  </si>
  <si>
    <t>col.C2.5 losslG,noAttr,interRA.A.dec.d1-psnr</t>
  </si>
  <si>
    <t>col.C2.5 losslG,noAttr,interRA.A.dec.d2-psnr</t>
  </si>
  <si>
    <t>col.C2.5 losslG,noAttr,interRA.A.enc.utime.self</t>
  </si>
  <si>
    <t>col.C2.5 losslG,noAttr,interRA.A.enc.utime.children</t>
  </si>
  <si>
    <t>col.C2.5 losslG,noAttr,interRA.A.dec.utime.self</t>
  </si>
  <si>
    <t>col.C2.5 losslG,noAttr,interRA.A.dec.utime.children</t>
  </si>
  <si>
    <t>col.C2.5 losslG,noAttr,interRA.B.eqn.compratio</t>
  </si>
  <si>
    <t>col.C2.5 losslG,noAttr,interRA.B.eqn.bitrate</t>
  </si>
  <si>
    <t>col.C2.5 losslG,noAttr,interRA.B.eqn.bpp</t>
  </si>
  <si>
    <t>col.C2.5 losslG,noAttr,interRA.B.eqn.bpop</t>
  </si>
  <si>
    <t>col.C2.5 losslG,noAttr,interRA.B.dec.numpoints</t>
  </si>
  <si>
    <t>col.C2.5 losslG,noAttr,interRA.B.enc.ext.bits</t>
  </si>
  <si>
    <t>col.C2.5 losslG,noAttr,interRA.B.dec.d1-psnr</t>
  </si>
  <si>
    <t>col.C2.5 losslG,noAttr,interRA.B.dec.d2-psnr</t>
  </si>
  <si>
    <t>col.C2.5 losslG,noAttr,interRA.B.enc.utime.self</t>
  </si>
  <si>
    <t>col.C2.5 losslG,noAttr,interRA.B.enc.utime.children</t>
  </si>
  <si>
    <t>col.C2.5 losslG,noAttr,interRA.B.dec.utime.self</t>
  </si>
  <si>
    <t>col.C2.5 losslG,noAttr,interRA.B.dec.utime.children</t>
  </si>
  <si>
    <t>col.C2.5 losslG,noAttr,interRA.eqn.ab.ratio-bpp</t>
  </si>
  <si>
    <t>2.5 — lossless geometry, no attributes [inter, random access]</t>
  </si>
  <si>
    <t>name.A.C2.5 losslG,noAttr,interRA</t>
  </si>
  <si>
    <t>'C2.5 losslG,noAttr,interRA'!$H$1</t>
  </si>
  <si>
    <t>name.B.C2.5 losslG,noAttr,interRA</t>
  </si>
  <si>
    <t>'C2.5 losslG,noAttr,interRA'!$U$1</t>
  </si>
  <si>
    <t>range.C2.5 losslG,noAttr,interRA.8ivfbv2_loot_vox10</t>
  </si>
  <si>
    <t>'C2.5 losslG,noAttr,interRA'!$A$4:$AH$4</t>
  </si>
  <si>
    <t>range.C2.5 losslG,noAttr,interRA.8ivfbv2_redandblack_vox10</t>
  </si>
  <si>
    <t>'C2.5 losslG,noAttr,interRA'!$A$5:$AH$5</t>
  </si>
  <si>
    <t>range.C2.5 losslG,noAttr,interRA.8ivfbv2_soldier_vox10</t>
  </si>
  <si>
    <t>'C2.5 losslG,noAttr,interRA'!$A$6:$AH$6</t>
  </si>
  <si>
    <t>range.C2.5 losslG,noAttr,interRA.queen</t>
  </si>
  <si>
    <t>'C2.5 losslG,noAttr,interRA'!$A$7:$AH$7</t>
  </si>
  <si>
    <t>range.C2.5 losslG,noAttr,interRA.8ivfbv2_longdress_vox10</t>
  </si>
  <si>
    <t>'C2.5 losslG,noAttr,interRA'!$A$8:$AH$8</t>
  </si>
  <si>
    <t>2.5</t>
  </si>
  <si>
    <t>lossless geometry, no attributes [inter, random access]</t>
  </si>
  <si>
    <t>C2.5 losslG,noAttr,interRA</t>
  </si>
  <si>
    <t>cols.C2.5 losslG,noAttr,interRA</t>
  </si>
  <si>
    <t>names!$B$491:$M$491</t>
  </si>
  <si>
    <t>col.C2.6 losslG,losslAttr,interRA.class</t>
  </si>
  <si>
    <t>col.C2.6 losslG,losslAttr,interRA.sequence</t>
  </si>
  <si>
    <t>col.C2.6 losslG,losslAttr,interRA.src.numpoints</t>
  </si>
  <si>
    <t>col.C2.6 losslG,losslAttr,interRA.src.geometry-precision</t>
  </si>
  <si>
    <t>col.C2.6 losslG,losslAttr,interRA.src.framecount</t>
  </si>
  <si>
    <t>col.C2.6 losslG,losslAttr,interRA.src.framerate</t>
  </si>
  <si>
    <t>col.C2.6 losslG,losslAttr,interRA.A.eqn.compratio</t>
  </si>
  <si>
    <t>col.C2.6 losslG,losslAttr,interRA.A.eqn.bitrate</t>
  </si>
  <si>
    <t>col.C2.6 losslG,losslAttr,interRA.A.eqn.bpp</t>
  </si>
  <si>
    <t>col.C2.6 losslG,losslAttr,interRA.A.eqn.bpp.geometry+occ+patch</t>
  </si>
  <si>
    <t>col.C2.6 losslG,losslAttr,interRA.A.eqn.bpp.geometry</t>
  </si>
  <si>
    <t>col.C2.6 losslG,losslAttr,interRA.A.eqn.bpp.colour</t>
  </si>
  <si>
    <t>col.C2.6 losslG,losslAttr,interRA.A.eqn.bpop</t>
  </si>
  <si>
    <t>col.C2.6 losslG,losslAttr,interRA.A.dec.numpoints</t>
  </si>
  <si>
    <t>col.C2.6 losslG,losslAttr,interRA.A.enc.ext.bits</t>
  </si>
  <si>
    <t>col.C2.6 losslG,losslAttr,interRA.A.enc.bits.geometry</t>
  </si>
  <si>
    <t>col.C2.6 losslG,losslAttr,interRA.A.eqn.bits.totalgeometry</t>
  </si>
  <si>
    <t>col.C2.6 losslG,losslAttr,interRA.A.enc.bits.occ+patch</t>
  </si>
  <si>
    <t>col.C2.6 losslG,losslAttr,interRA.A.enc.bits.colour</t>
  </si>
  <si>
    <t>col.C2.6 losslG,losslAttr,interRA.A.dec.d1-psnr</t>
  </si>
  <si>
    <t>col.C2.6 losslG,losslAttr,interRA.A.dec.d2-psnr</t>
  </si>
  <si>
    <t>col.C2.6 losslG,losslAttr,interRA.A.dec.y-psnr</t>
  </si>
  <si>
    <t>col.C2.6 losslG,losslAttr,interRA.A.dec.cb-psnr</t>
  </si>
  <si>
    <t>col.C2.6 losslG,losslAttr,interRA.A.dec.cr-psnr</t>
  </si>
  <si>
    <t>col.C2.6 losslG,losslAttr,interRA.A.enc.utime.self</t>
  </si>
  <si>
    <t>col.C2.6 losslG,losslAttr,interRA.A.enc.utime.children</t>
  </si>
  <si>
    <t>col.C2.6 losslG,losslAttr,interRA.A.dec.utime.self</t>
  </si>
  <si>
    <t>col.C2.6 losslG,losslAttr,interRA.A.dec.utime.children</t>
  </si>
  <si>
    <t>col.C2.6 losslG,losslAttr,interRA.B.eqn.compratio</t>
  </si>
  <si>
    <t>col.C2.6 losslG,losslAttr,interRA.B.eqn.bitrate</t>
  </si>
  <si>
    <t>col.C2.6 losslG,losslAttr,interRA.B.eqn.bpp</t>
  </si>
  <si>
    <t>col.C2.6 losslG,losslAttr,interRA.B.eqn.bpp.geometry+occ+patch</t>
  </si>
  <si>
    <t>col.C2.6 losslG,losslAttr,interRA.B.eqn.bpp.geometry</t>
  </si>
  <si>
    <t>col.C2.6 losslG,losslAttr,interRA.B.eqn.bpp.colour</t>
  </si>
  <si>
    <t>col.C2.6 losslG,losslAttr,interRA.B.eqn.bpop</t>
  </si>
  <si>
    <t>col.C2.6 losslG,losslAttr,interRA.B.dec.numpoints</t>
  </si>
  <si>
    <t>col.C2.6 losslG,losslAttr,interRA.B.enc.ext.bits</t>
  </si>
  <si>
    <t>col.C2.6 losslG,losslAttr,interRA.B.enc.bits.geometry</t>
  </si>
  <si>
    <t>col.C2.6 losslG,losslAttr,interRA.B.eqn.bits.totalgeometry</t>
  </si>
  <si>
    <t>col.C2.6 losslG,losslAttr,interRA.B.enc.bits.occ+patch</t>
  </si>
  <si>
    <t>col.C2.6 losslG,losslAttr,interRA.B.enc.bits.colour</t>
  </si>
  <si>
    <t>col.C2.6 losslG,losslAttr,interRA.B.dec.d1-psnr</t>
  </si>
  <si>
    <t>col.C2.6 losslG,losslAttr,interRA.B.dec.d2-psnr</t>
  </si>
  <si>
    <t>col.C2.6 losslG,losslAttr,interRA.B.dec.y-psnr</t>
  </si>
  <si>
    <t>col.C2.6 losslG,losslAttr,interRA.B.dec.cb-psnr</t>
  </si>
  <si>
    <t>col.C2.6 losslG,losslAttr,interRA.B.dec.cr-psnr</t>
  </si>
  <si>
    <t>col.C2.6 losslG,losslAttr,interRA.B.enc.utime.self</t>
  </si>
  <si>
    <t>col.C2.6 losslG,losslAttr,interRA.B.enc.utime.children</t>
  </si>
  <si>
    <t>col.C2.6 losslG,losslAttr,interRA.B.dec.utime.self</t>
  </si>
  <si>
    <t>col.C2.6 losslG,losslAttr,interRA.B.dec.utime.children</t>
  </si>
  <si>
    <t>col.C2.6 losslG,losslAttr,interRA.eqn.ab.ratio-bpp</t>
  </si>
  <si>
    <t>col.C2.6 losslG,losslAttr,interRA.eqn.ab.delta-geom_texture_bits_ratio</t>
  </si>
  <si>
    <t>col.C2.6 losslG,losslAttr,interRA.eqn.ab.summary-delta-geom_texture_bits_ratio</t>
  </si>
  <si>
    <t>2.6 — lossless geometry, lossless attributes [inter, random access]</t>
  </si>
  <si>
    <t>name.A.C2.6 losslG,losslAttr,interRA</t>
  </si>
  <si>
    <t>'C2.6 losslG,losslAttr,interRA'!$H$1</t>
  </si>
  <si>
    <t>name.B.C2.6 losslG,losslAttr,interRA</t>
  </si>
  <si>
    <t>'C2.6 losslG,losslAttr,interRA'!$AE$1</t>
  </si>
  <si>
    <t>range.C2.6 losslG,losslAttr,interRA.8ivfbv2_loot_vox10</t>
  </si>
  <si>
    <t>'C2.6 losslG,losslAttr,interRA'!$A$4:$BD$4</t>
  </si>
  <si>
    <t>range.C2.6 losslG,losslAttr,interRA.8ivfbv2_redandblack_vox10</t>
  </si>
  <si>
    <t>'C2.6 losslG,losslAttr,interRA'!$A$5:$BD$5</t>
  </si>
  <si>
    <t>range.C2.6 losslG,losslAttr,interRA.8ivfbv2_soldier_vox10</t>
  </si>
  <si>
    <t>'C2.6 losslG,losslAttr,interRA'!$A$6:$BD$6</t>
  </si>
  <si>
    <t>range.C2.6 losslG,losslAttr,interRA.queen</t>
  </si>
  <si>
    <t>'C2.6 losslG,losslAttr,interRA'!$A$7:$BD$7</t>
  </si>
  <si>
    <t>range.C2.6 losslG,losslAttr,interRA.8ivfbv2_longdress_vox10</t>
  </si>
  <si>
    <t>'C2.6 losslG,losslAttr,interRA'!$A$8:$BD$8</t>
  </si>
  <si>
    <t>2.6</t>
  </si>
  <si>
    <t>lossless geometry, lossless attributes [inter, random access]</t>
  </si>
  <si>
    <t>C2.6 losslG,losslAttr,interRA</t>
  </si>
  <si>
    <t>cols.C2.6 losslG,losslAttr,interRA</t>
  </si>
  <si>
    <t>names!$B$552:$W$552</t>
  </si>
  <si>
    <t>col.C3.1 losslG,noAttr.class</t>
  </si>
  <si>
    <t>col.C3.1 losslG,noAttr.sequence</t>
  </si>
  <si>
    <t>col.C3.1 losslG,noAttr.src.numpoints</t>
  </si>
  <si>
    <t>col.C3.1 losslG,noAttr.src.geometry-precision</t>
  </si>
  <si>
    <t>col.C3.1 losslG,noAttr.src.framecount</t>
  </si>
  <si>
    <t>col.C3.1 losslG,noAttr.src.framerate</t>
  </si>
  <si>
    <t>col.C3.1 losslG,noAttr.A.eqn.compratio</t>
  </si>
  <si>
    <t>col.C3.1 losslG,noAttr.A.eqn.bitrate</t>
  </si>
  <si>
    <t>col.C3.1 losslG,noAttr.A.eqn.bpp</t>
  </si>
  <si>
    <t>col.C3.1 losslG,noAttr.A.eqn.bpop</t>
  </si>
  <si>
    <t>col.C3.1 losslG,noAttr.A.dec.numpoints</t>
  </si>
  <si>
    <t>col.C3.1 losslG,noAttr.A.enc.ext.bits</t>
  </si>
  <si>
    <t>col.C3.1 losslG,noAttr.A.enc.utime</t>
  </si>
  <si>
    <t>col.C3.1 losslG,noAttr.A.dec.utime</t>
  </si>
  <si>
    <t>col.C3.1 losslG,noAttr.B.eqn.compratio</t>
  </si>
  <si>
    <t>col.C3.1 losslG,noAttr.B.eqn.bitrate</t>
  </si>
  <si>
    <t>col.C3.1 losslG,noAttr.B.eqn.bpp</t>
  </si>
  <si>
    <t>col.C3.1 losslG,noAttr.B.eqn.bpop</t>
  </si>
  <si>
    <t>col.C3.1 losslG,noAttr.B.dec.numpoints</t>
  </si>
  <si>
    <t>col.C3.1 losslG,noAttr.B.enc.ext.bits</t>
  </si>
  <si>
    <t>col.C3.1 losslG,noAttr.B.enc.utime</t>
  </si>
  <si>
    <t>col.C3.1 losslG,noAttr.B.dec.utime</t>
  </si>
  <si>
    <t>col.C3.1 losslG,noAttr.eqn.ab.ratio-bpp</t>
  </si>
  <si>
    <t>name.A.C3.1 losslG,noAttr</t>
  </si>
  <si>
    <t>'C3.1 losslG,noAttr'!$H$1</t>
  </si>
  <si>
    <t>name.B.C3.1 losslG,noAttr</t>
  </si>
  <si>
    <t>'C3.1 losslG,noAttr'!$Q$1</t>
  </si>
  <si>
    <t>citytunnel_q1mm</t>
  </si>
  <si>
    <t>range.C3.1 losslG,noAttr.citytunnel_q1mm</t>
  </si>
  <si>
    <t>'C3.1 losslG,noAttr'!$A$4:$Z$4</t>
  </si>
  <si>
    <t>overpass_q1mm</t>
  </si>
  <si>
    <t>range.C3.1 losslG,noAttr.overpass_q1mm</t>
  </si>
  <si>
    <t>'C3.1 losslG,noAttr'!$A$5:$Z$5</t>
  </si>
  <si>
    <t>tollbooth_q1mm</t>
  </si>
  <si>
    <t>range.C3.1 losslG,noAttr.tollbooth_q1mm</t>
  </si>
  <si>
    <t>'C3.1 losslG,noAttr'!$A$6:$Z$6</t>
  </si>
  <si>
    <t>ford_01_q1mm</t>
  </si>
  <si>
    <t>range.C3.1 losslG,noAttr.ford_01_q1mm</t>
  </si>
  <si>
    <t>'C3.1 losslG,noAttr'!$A$7:$Z$7</t>
  </si>
  <si>
    <t>ford_02_q1mm</t>
  </si>
  <si>
    <t>range.C3.1 losslG,noAttr.ford_02_q1mm</t>
  </si>
  <si>
    <t>'C3.1 losslG,noAttr'!$A$8:$Z$8</t>
  </si>
  <si>
    <t>ford_03_q1mm</t>
  </si>
  <si>
    <t>range.C3.1 losslG,noAttr.ford_03_q1mm</t>
  </si>
  <si>
    <t>'C3.1 losslG,noAttr'!$A$9:$Z$9</t>
  </si>
  <si>
    <t>Cat3-fused average</t>
  </si>
  <si>
    <t>Cat3-frame average</t>
  </si>
  <si>
    <t>Cat3</t>
  </si>
  <si>
    <t>3.1</t>
  </si>
  <si>
    <t>C3.1 losslG,noAttr</t>
  </si>
  <si>
    <t>cols.C3.1 losslG,noAttr</t>
  </si>
  <si>
    <t>names!$B$584:$I$584</t>
  </si>
  <si>
    <t>col.C3.2 losslG,lossyC.class</t>
  </si>
  <si>
    <t>col.C3.2 losslG,lossyC.sequence</t>
  </si>
  <si>
    <t>col.C3.2 losslG,lossyC.variant</t>
  </si>
  <si>
    <t>col.C3.2 losslG,lossyC.src.numpoints</t>
  </si>
  <si>
    <t>col.C3.2 losslG,lossyC.src.geometry-precision</t>
  </si>
  <si>
    <t>col.C3.2 losslG,lossyC.src.framecount</t>
  </si>
  <si>
    <t>col.C3.2 losslG,lossyC.src.framerate</t>
  </si>
  <si>
    <t>col.C3.2 losslG,lossyC.A.eqn.bitrate</t>
  </si>
  <si>
    <t>col.C3.2 losslG,lossyC.A.eqn.bpp</t>
  </si>
  <si>
    <t>col.C3.2 losslG,lossyC.A.eqn.bpp.colour</t>
  </si>
  <si>
    <t>col.C3.2 losslG,lossyC.A.eqn.bpop</t>
  </si>
  <si>
    <t>col.C3.2 losslG,lossyC.A.dec.numpoints</t>
  </si>
  <si>
    <t>col.C3.2 losslG,lossyC.A.enc.ext.bits</t>
  </si>
  <si>
    <t>col.C3.2 losslG,lossyC.A.enc.bits.colour</t>
  </si>
  <si>
    <t>col.C3.2 losslG,lossyC.A.dec.y-psnr</t>
  </si>
  <si>
    <t>col.C3.2 losslG,lossyC.A.dec.cb-psnr</t>
  </si>
  <si>
    <t>col.C3.2 losslG,lossyC.A.dec.cr-psnr</t>
  </si>
  <si>
    <t>col.C3.2 losslG,lossyC.A.enc.utime</t>
  </si>
  <si>
    <t>col.C3.2 losslG,lossyC.A.dec.utime</t>
  </si>
  <si>
    <t>col.C3.2 losslG,lossyC.B.eqn.bitrate</t>
  </si>
  <si>
    <t>col.C3.2 losslG,lossyC.B.eqn.bpp</t>
  </si>
  <si>
    <t>col.C3.2 losslG,lossyC.B.eqn.bpp.colour</t>
  </si>
  <si>
    <t>col.C3.2 losslG,lossyC.B.eqn.bpop</t>
  </si>
  <si>
    <t>col.C3.2 losslG,lossyC.B.dec.numpoints</t>
  </si>
  <si>
    <t>col.C3.2 losslG,lossyC.B.enc.ext.bits</t>
  </si>
  <si>
    <t>col.C3.2 losslG,lossyC.B.enc.bits.colour</t>
  </si>
  <si>
    <t>col.C3.2 losslG,lossyC.B.dec.y-psnr</t>
  </si>
  <si>
    <t>col.C3.2 losslG,lossyC.B.dec.cb-psnr</t>
  </si>
  <si>
    <t>col.C3.2 losslG,lossyC.B.dec.cr-psnr</t>
  </si>
  <si>
    <t>col.C3.2 losslG,lossyC.B.enc.utime</t>
  </si>
  <si>
    <t>col.C3.2 losslG,lossyC.B.dec.utime</t>
  </si>
  <si>
    <t>col.C3.2 losslG,lossyC.eqn.ab.bdrate-y</t>
  </si>
  <si>
    <t>col.C3.2 losslG,lossyC.eqn.ab.bdrate-cb</t>
  </si>
  <si>
    <t>col.C3.2 losslG,lossyC.eqn.ab.bdrate-cr</t>
  </si>
  <si>
    <t>col.C3.2 losslG,lossyC.eqn.ab.bdrate-y-attrrate</t>
  </si>
  <si>
    <t>col.C3.2 losslG,lossyC.eqn.ab.bdrate-cb-attrrate</t>
  </si>
  <si>
    <t>col.C3.2 losslG,lossyC.eqn.ab.bdrate-cr-attrrate</t>
  </si>
  <si>
    <t>name.A.C3.2 losslG,lossyC</t>
  </si>
  <si>
    <t>'C3.2 losslG,lossyC'!$I$1</t>
  </si>
  <si>
    <t>name.B.C3.2 losslG,lossyC</t>
  </si>
  <si>
    <t>'C3.2 losslG,lossyC'!$V$1</t>
  </si>
  <si>
    <t>range.C3.2 losslG,lossyC.citytunnel_q1mm</t>
  </si>
  <si>
    <t>'C3.2 losslG,lossyC'!$A$4:$AO$9</t>
  </si>
  <si>
    <t>range.C3.2 losslG,lossyC.overpass_q1mm</t>
  </si>
  <si>
    <t>'C3.2 losslG,lossyC'!$A$10:$AO$15</t>
  </si>
  <si>
    <t>range.C3.2 losslG,lossyC.tollbooth_q1mm</t>
  </si>
  <si>
    <t>'C3.2 losslG,lossyC'!$A$16:$AO$21</t>
  </si>
  <si>
    <t>3.2</t>
  </si>
  <si>
    <t>C3.2 losslG,lossyC</t>
  </si>
  <si>
    <t>cols.C3.2 losslG,lossyC</t>
  </si>
  <si>
    <t>names!$B$627:$M$627</t>
  </si>
  <si>
    <t>col.C3.3 losslG,lossyR.class</t>
  </si>
  <si>
    <t>col.C3.3 losslG,lossyR.sequence</t>
  </si>
  <si>
    <t>col.C3.3 losslG,lossyR.variant</t>
  </si>
  <si>
    <t>col.C3.3 losslG,lossyR.src.numpoints</t>
  </si>
  <si>
    <t>col.C3.3 losslG,lossyR.src.geometry-precision</t>
  </si>
  <si>
    <t>col.C3.3 losslG,lossyR.src.framecount</t>
  </si>
  <si>
    <t>col.C3.3 losslG,lossyR.src.framerate</t>
  </si>
  <si>
    <t>col.C3.3 losslG,lossyR.A.eqn.bitrate</t>
  </si>
  <si>
    <t>col.C3.3 losslG,lossyR.A.eqn.bpp</t>
  </si>
  <si>
    <t>col.C3.3 losslG,lossyR.A.eqn.bpop</t>
  </si>
  <si>
    <t>col.C3.3 losslG,lossyR.A.dec.numpoints</t>
  </si>
  <si>
    <t>col.C3.3 losslG,lossyR.A.enc.ext.bits</t>
  </si>
  <si>
    <t>Reflectance</t>
  </si>
  <si>
    <t>col.C3.3 losslG,lossyR.A.enc.bits.reflectance</t>
  </si>
  <si>
    <t>col.C3.3 losslG,lossyR.A.dec.reflectance-psnr</t>
  </si>
  <si>
    <t>col.C3.3 losslG,lossyR.A.enc.utime</t>
  </si>
  <si>
    <t>col.C3.3 losslG,lossyR.A.dec.utime</t>
  </si>
  <si>
    <t>col.C3.3 losslG,lossyR.B.eqn.bitrate</t>
  </si>
  <si>
    <t>col.C3.3 losslG,lossyR.B.eqn.bpp</t>
  </si>
  <si>
    <t>col.C3.3 losslG,lossyR.B.eqn.bpop</t>
  </si>
  <si>
    <t>col.C3.3 losslG,lossyR.B.dec.numpoints</t>
  </si>
  <si>
    <t>col.C3.3 losslG,lossyR.B.enc.ext.bits</t>
  </si>
  <si>
    <t>col.C3.3 losslG,lossyR.B.enc.bits.reflectance</t>
  </si>
  <si>
    <t>col.C3.3 losslG,lossyR.B.dec.reflectance-psnr</t>
  </si>
  <si>
    <t>col.C3.3 losslG,lossyR.B.enc.utime</t>
  </si>
  <si>
    <t>col.C3.3 losslG,lossyR.B.dec.utime</t>
  </si>
  <si>
    <t>col.C3.3 losslG,lossyR.eqn.ab.bdrate-reflectance</t>
  </si>
  <si>
    <t>col.C3.3 losslG,lossyR.eqn.ab.bdrate-reflectance-attrrate</t>
  </si>
  <si>
    <t>name.A.C3.3 losslG,lossyR</t>
  </si>
  <si>
    <t>'C3.3 losslG,lossyR'!$I$1</t>
  </si>
  <si>
    <t>name.B.C3.3 losslG,lossyR</t>
  </si>
  <si>
    <t>'C3.3 losslG,lossyR'!$S$1</t>
  </si>
  <si>
    <t>range.C3.3 losslG,lossyR.citytunnel_q1mm</t>
  </si>
  <si>
    <t>'C3.3 losslG,lossyR'!$A$4:$AE$9</t>
  </si>
  <si>
    <t>range.C3.3 losslG,lossyR.overpass_q1mm</t>
  </si>
  <si>
    <t>'C3.3 losslG,lossyR'!$A$10:$AE$15</t>
  </si>
  <si>
    <t>range.C3.3 losslG,lossyR.tollbooth_q1mm</t>
  </si>
  <si>
    <t>'C3.3 losslG,lossyR'!$A$16:$AE$21</t>
  </si>
  <si>
    <t>3.3</t>
  </si>
  <si>
    <t>lossless geometry, lossy reflectance [all intra]</t>
  </si>
  <si>
    <t>C3.3 losslG,lossyR</t>
  </si>
  <si>
    <t>cols.C3.3 losslG,lossyR</t>
  </si>
  <si>
    <t>names!$B$660:$J$660</t>
  </si>
  <si>
    <t>col.C3.4 lossyG,noAttr.class</t>
  </si>
  <si>
    <t>col.C3.4 lossyG,noAttr.sequence</t>
  </si>
  <si>
    <t>col.C3.4 lossyG,noAttr.variant</t>
  </si>
  <si>
    <t>col.C3.4 lossyG,noAttr.src.numpoints</t>
  </si>
  <si>
    <t>col.C3.4 lossyG,noAttr.src.geometry-precision</t>
  </si>
  <si>
    <t>col.C3.4 lossyG,noAttr.src.framecount</t>
  </si>
  <si>
    <t>col.C3.4 lossyG,noAttr.src.framerate</t>
  </si>
  <si>
    <t>col.C3.4 lossyG,noAttr.A.eqn.bitrate</t>
  </si>
  <si>
    <t>col.C3.4 lossyG,noAttr.A.eqn.bpp</t>
  </si>
  <si>
    <t>col.C3.4 lossyG,noAttr.A.eqn.bpop</t>
  </si>
  <si>
    <t>col.C3.4 lossyG,noAttr.A.dec.numpoints</t>
  </si>
  <si>
    <t>col.C3.4 lossyG,noAttr.A.enc.ext.bits</t>
  </si>
  <si>
    <t>col.C3.4 lossyG,noAttr.A.dec.d1-psnr</t>
  </si>
  <si>
    <t>col.C3.4 lossyG,noAttr.A.dec.d2-psnr</t>
  </si>
  <si>
    <t>col.C3.4 lossyG,noAttr.A.enc.utime</t>
  </si>
  <si>
    <t>col.C3.4 lossyG,noAttr.A.dec.utime</t>
  </si>
  <si>
    <t>col.C3.4 lossyG,noAttr.B.eqn.bitrate</t>
  </si>
  <si>
    <t>col.C3.4 lossyG,noAttr.B.eqn.bpp</t>
  </si>
  <si>
    <t>col.C3.4 lossyG,noAttr.B.eqn.bpop</t>
  </si>
  <si>
    <t>col.C3.4 lossyG,noAttr.B.dec.numpoints</t>
  </si>
  <si>
    <t>col.C3.4 lossyG,noAttr.B.enc.ext.bits</t>
  </si>
  <si>
    <t>col.C3.4 lossyG,noAttr.B.dec.d1-psnr</t>
  </si>
  <si>
    <t>col.C3.4 lossyG,noAttr.B.dec.d2-psnr</t>
  </si>
  <si>
    <t>col.C3.4 lossyG,noAttr.B.enc.utime</t>
  </si>
  <si>
    <t>col.C3.4 lossyG,noAttr.B.dec.utime</t>
  </si>
  <si>
    <t>col.C3.4 lossyG,noAttr.eqn.ab.bdrate-d1</t>
  </si>
  <si>
    <t>col.C3.4 lossyG,noAttr.eqn.ab.bdrate-d2</t>
  </si>
  <si>
    <t>name.A.C3.4 lossyG,noAttr</t>
  </si>
  <si>
    <t>'C3.4 lossyG,noAttr'!$I$1</t>
  </si>
  <si>
    <t>name.B.C3.4 lossyG,noAttr</t>
  </si>
  <si>
    <t>'C3.4 lossyG,noAttr'!$S$1</t>
  </si>
  <si>
    <t>range.C3.4 lossyG,noAttr.citytunnel_q1mm</t>
  </si>
  <si>
    <t>'C3.4 lossyG,noAttr'!$A$4:$AD$9</t>
  </si>
  <si>
    <t>range.C3.4 lossyG,noAttr.overpass_q1mm</t>
  </si>
  <si>
    <t>'C3.4 lossyG,noAttr'!$A$10:$AD$15</t>
  </si>
  <si>
    <t>range.C3.4 lossyG,noAttr.tollbooth_q1mm</t>
  </si>
  <si>
    <t>'C3.4 lossyG,noAttr'!$A$16:$AD$21</t>
  </si>
  <si>
    <t>range.C3.4 lossyG,noAttr.ford_01_q1mm</t>
  </si>
  <si>
    <t>'C3.4 lossyG,noAttr'!$A$22:$AD$27</t>
  </si>
  <si>
    <t>range.C3.4 lossyG,noAttr.ford_02_q1mm</t>
  </si>
  <si>
    <t>'C3.4 lossyG,noAttr'!$A$28:$AD$33</t>
  </si>
  <si>
    <t>range.C3.4 lossyG,noAttr.ford_03_q1mm</t>
  </si>
  <si>
    <t>'C3.4 lossyG,noAttr'!$A$34:$AD$39</t>
  </si>
  <si>
    <t>3.4</t>
  </si>
  <si>
    <t>lossy geometry, no attributes [all intra]</t>
  </si>
  <si>
    <t>C3.4 lossyG,noAttr</t>
  </si>
  <si>
    <t>cols.C3.4 lossyG,noAttr</t>
  </si>
  <si>
    <t>names!$B$696:$J$696</t>
  </si>
  <si>
    <t>col.C3.5 lossyG,noAttr,interRA.class</t>
  </si>
  <si>
    <t>col.C3.5 lossyG,noAttr,interRA.sequence</t>
  </si>
  <si>
    <t>col.C3.5 lossyG,noAttr,interRA.variant</t>
  </si>
  <si>
    <t>col.C3.5 lossyG,noAttr,interRA.src.numpoints</t>
  </si>
  <si>
    <t>col.C3.5 lossyG,noAttr,interRA.src.geometry-precision</t>
  </si>
  <si>
    <t>col.C3.5 lossyG,noAttr,interRA.src.framecount</t>
  </si>
  <si>
    <t>col.C3.5 lossyG,noAttr,interRA.src.framerate</t>
  </si>
  <si>
    <t>col.C3.5 lossyG,noAttr,interRA.A.eqn.bitrate</t>
  </si>
  <si>
    <t>col.C3.5 lossyG,noAttr,interRA.A.eqn.bpp</t>
  </si>
  <si>
    <t>col.C3.5 lossyG,noAttr,interRA.A.eqn.bpop</t>
  </si>
  <si>
    <t>col.C3.5 lossyG,noAttr,interRA.A.dec.numpoints</t>
  </si>
  <si>
    <t>col.C3.5 lossyG,noAttr,interRA.A.enc.ext.bits</t>
  </si>
  <si>
    <t>col.C3.5 lossyG,noAttr,interRA.A.dec.d1-psnr</t>
  </si>
  <si>
    <t>col.C3.5 lossyG,noAttr,interRA.A.dec.d2-psnr</t>
  </si>
  <si>
    <t>col.C3.5 lossyG,noAttr,interRA.A.enc.utime</t>
  </si>
  <si>
    <t>col.C3.5 lossyG,noAttr,interRA.A.dec.utime</t>
  </si>
  <si>
    <t>col.C3.5 lossyG,noAttr,interRA.B.eqn.bitrate</t>
  </si>
  <si>
    <t>col.C3.5 lossyG,noAttr,interRA.B.eqn.bpp</t>
  </si>
  <si>
    <t>col.C3.5 lossyG,noAttr,interRA.B.eqn.bpop</t>
  </si>
  <si>
    <t>col.C3.5 lossyG,noAttr,interRA.B.dec.numpoints</t>
  </si>
  <si>
    <t>col.C3.5 lossyG,noAttr,interRA.B.enc.ext.bits</t>
  </si>
  <si>
    <t>col.C3.5 lossyG,noAttr,interRA.B.dec.d1-psnr</t>
  </si>
  <si>
    <t>col.C3.5 lossyG,noAttr,interRA.B.dec.d2-psnr</t>
  </si>
  <si>
    <t>col.C3.5 lossyG,noAttr,interRA.B.enc.utime</t>
  </si>
  <si>
    <t>col.C3.5 lossyG,noAttr,interRA.B.dec.utime</t>
  </si>
  <si>
    <t>col.C3.5 lossyG,noAttr,interRA.eqn.ab.bdrate-d1</t>
  </si>
  <si>
    <t>col.C3.5 lossyG,noAttr,interRA.eqn.ab.bdrate-d2</t>
  </si>
  <si>
    <t>name.A.C3.5 lossyG,noAttr,interRA</t>
  </si>
  <si>
    <t>'C3.5 lossyG,noAttr,interRA'!$I$1</t>
  </si>
  <si>
    <t>name.B.C3.5 lossyG,noAttr,interRA</t>
  </si>
  <si>
    <t>'C3.5 lossyG,noAttr,interRA'!$S$1</t>
  </si>
  <si>
    <t>range.C3.5 lossyG,noAttr,interRA.ford_01_q1mm</t>
  </si>
  <si>
    <t>'C3.5 lossyG,noAttr,interRA'!$A$4:$AD$9</t>
  </si>
  <si>
    <t>range.C3.5 lossyG,noAttr,interRA.ford_02_q1mm</t>
  </si>
  <si>
    <t>'C3.5 lossyG,noAttr,interRA'!$A$10:$AD$15</t>
  </si>
  <si>
    <t>range.C3.5 lossyG,noAttr,interRA.ford_03_q1mm</t>
  </si>
  <si>
    <t>'C3.5 lossyG,noAttr,interRA'!$A$16:$AD$21</t>
  </si>
  <si>
    <t>3.5</t>
  </si>
  <si>
    <t>lossy geometry, no attributes [random access]</t>
  </si>
  <si>
    <t>C3.5 lossyG,noAttr,interRA</t>
  </si>
  <si>
    <t>cols.C3.5 lossyG,noAttr,interRA</t>
  </si>
  <si>
    <t>names!$B$729:$J$729</t>
  </si>
  <si>
    <t>col.C3.6 lossyG,lossyR.class</t>
  </si>
  <si>
    <t>col.C3.6 lossyG,lossyR.sequence</t>
  </si>
  <si>
    <t>col.C3.6 lossyG,lossyR.variant</t>
  </si>
  <si>
    <t>col.C3.6 lossyG,lossyR.src.numpoints</t>
  </si>
  <si>
    <t>col.C3.6 lossyG,lossyR.src.geometry-precision</t>
  </si>
  <si>
    <t>col.C3.6 lossyG,lossyR.src.framecount</t>
  </si>
  <si>
    <t>col.C3.6 lossyG,lossyR.src.framerate</t>
  </si>
  <si>
    <t>col.C3.6 lossyG,lossyR.A.eqn.bitrate</t>
  </si>
  <si>
    <t>col.C3.6 lossyG,lossyR.A.eqn.bpp</t>
  </si>
  <si>
    <t>col.C3.6 lossyG,lossyR.A.eqn.bpop</t>
  </si>
  <si>
    <t>col.C3.6 lossyG,lossyR.A.dec.numpoints</t>
  </si>
  <si>
    <t>col.C3.6 lossyG,lossyR.A.enc.ext.bits</t>
  </si>
  <si>
    <t>col.C3.6 lossyG,lossyR.A.dec.d1-psnr</t>
  </si>
  <si>
    <t>col.C3.6 lossyG,lossyR.A.dec.d2-psnr</t>
  </si>
  <si>
    <t>col.C3.6 lossyG,lossyR.A.dec.reflectance-psnr</t>
  </si>
  <si>
    <t>col.C3.6 lossyG,lossyR.A.enc.utime</t>
  </si>
  <si>
    <t>col.C3.6 lossyG,lossyR.A.dec.utime</t>
  </si>
  <si>
    <t>col.C3.6 lossyG,lossyR.B.eqn.bitrate</t>
  </si>
  <si>
    <t>col.C3.6 lossyG,lossyR.B.eqn.bpp</t>
  </si>
  <si>
    <t>col.C3.6 lossyG,lossyR.B.eqn.bpop</t>
  </si>
  <si>
    <t>col.C3.6 lossyG,lossyR.B.dec.numpoints</t>
  </si>
  <si>
    <t>col.C3.6 lossyG,lossyR.B.enc.ext.bits</t>
  </si>
  <si>
    <t>col.C3.6 lossyG,lossyR.B.dec.d1-psnr</t>
  </si>
  <si>
    <t>col.C3.6 lossyG,lossyR.B.dec.d2-psnr</t>
  </si>
  <si>
    <t>col.C3.6 lossyG,lossyR.B.dec.reflectance-psnr</t>
  </si>
  <si>
    <t>col.C3.6 lossyG,lossyR.B.enc.utime</t>
  </si>
  <si>
    <t>col.C3.6 lossyG,lossyR.B.dec.utime</t>
  </si>
  <si>
    <t>col.C3.6 lossyG,lossyR.eqn.ab.bdrate-d1</t>
  </si>
  <si>
    <t>col.C3.6 lossyG,lossyR.eqn.ab.bdrate-d2</t>
  </si>
  <si>
    <t>col.C3.6 lossyG,lossyR.eqn.ab.bdrate-reflectance</t>
  </si>
  <si>
    <t>name.A.C3.6 lossyG,lossyR</t>
  </si>
  <si>
    <t>'C3.6 lossyG,lossyR'!$I$1</t>
  </si>
  <si>
    <t>name.B.C3.6 lossyG,lossyR</t>
  </si>
  <si>
    <t>'C3.6 lossyG,lossyR'!$T$1</t>
  </si>
  <si>
    <t>range.C3.6 lossyG,lossyR.ford_01_q1mm</t>
  </si>
  <si>
    <t>'C3.6 lossyG,lossyR'!$A$4:$AG$9</t>
  </si>
  <si>
    <t>range.C3.6 lossyG,lossyR.ford_02_q1mm</t>
  </si>
  <si>
    <t>'C3.6 lossyG,lossyR'!$A$10:$AG$15</t>
  </si>
  <si>
    <t>range.C3.6 lossyG,lossyR.ford_03_q1mm</t>
  </si>
  <si>
    <t>'C3.6 lossyG,lossyR'!$A$16:$AG$21</t>
  </si>
  <si>
    <t>3.6</t>
  </si>
  <si>
    <t>lossy geometry and reflectance [all intra]</t>
  </si>
  <si>
    <t>C3.6 lossyG,lossyR</t>
  </si>
  <si>
    <t>cols.C3.6 lossyG,lossyR</t>
  </si>
  <si>
    <t>names!$B$765:$K$765</t>
  </si>
  <si>
    <t>col.C3.7 lossyG,lossyR,interRA.class</t>
  </si>
  <si>
    <t>col.C3.7 lossyG,lossyR,interRA.sequence</t>
  </si>
  <si>
    <t>col.C3.7 lossyG,lossyR,interRA.variant</t>
  </si>
  <si>
    <t>col.C3.7 lossyG,lossyR,interRA.src.numpoints</t>
  </si>
  <si>
    <t>col.C3.7 lossyG,lossyR,interRA.src.geometry-precision</t>
  </si>
  <si>
    <t>col.C3.7 lossyG,lossyR,interRA.src.framecount</t>
  </si>
  <si>
    <t>col.C3.7 lossyG,lossyR,interRA.src.framerate</t>
  </si>
  <si>
    <t>col.C3.7 lossyG,lossyR,interRA.A.eqn.bitrate</t>
  </si>
  <si>
    <t>col.C3.7 lossyG,lossyR,interRA.A.eqn.bpp</t>
  </si>
  <si>
    <t>col.C3.7 lossyG,lossyR,interRA.A.eqn.bpop</t>
  </si>
  <si>
    <t>col.C3.7 lossyG,lossyR,interRA.A.dec.numpoints</t>
  </si>
  <si>
    <t>col.C3.7 lossyG,lossyR,interRA.A.enc.ext.bits</t>
  </si>
  <si>
    <t>col.C3.7 lossyG,lossyR,interRA.A.dec.d1-psnr</t>
  </si>
  <si>
    <t>col.C3.7 lossyG,lossyR,interRA.A.dec.d2-psnr</t>
  </si>
  <si>
    <t>col.C3.7 lossyG,lossyR,interRA.A.dec.reflectance-psnr</t>
  </si>
  <si>
    <t>col.C3.7 lossyG,lossyR,interRA.A.enc.utime</t>
  </si>
  <si>
    <t>col.C3.7 lossyG,lossyR,interRA.A.dec.utime</t>
  </si>
  <si>
    <t>col.C3.7 lossyG,lossyR,interRA.B.eqn.bitrate</t>
  </si>
  <si>
    <t>col.C3.7 lossyG,lossyR,interRA.B.eqn.bpp</t>
  </si>
  <si>
    <t>col.C3.7 lossyG,lossyR,interRA.B.eqn.bpop</t>
  </si>
  <si>
    <t>col.C3.7 lossyG,lossyR,interRA.B.dec.numpoints</t>
  </si>
  <si>
    <t>col.C3.7 lossyG,lossyR,interRA.B.enc.ext.bits</t>
  </si>
  <si>
    <t>col.C3.7 lossyG,lossyR,interRA.B.dec.d1-psnr</t>
  </si>
  <si>
    <t>col.C3.7 lossyG,lossyR,interRA.B.dec.d2-psnr</t>
  </si>
  <si>
    <t>col.C3.7 lossyG,lossyR,interRA.B.dec.reflectance-psnr</t>
  </si>
  <si>
    <t>col.C3.7 lossyG,lossyR,interRA.B.enc.utime</t>
  </si>
  <si>
    <t>col.C3.7 lossyG,lossyR,interRA.B.dec.utime</t>
  </si>
  <si>
    <t>col.C3.7 lossyG,lossyR,interRA.eqn.ab.bdrate-d1</t>
  </si>
  <si>
    <t>col.C3.7 lossyG,lossyR,interRA.eqn.ab.bdrate-d2</t>
  </si>
  <si>
    <t>col.C3.7 lossyG,lossyR,interRA.eqn.ab.bdrate-reflectance</t>
  </si>
  <si>
    <t>name.A.C3.7 lossyG,lossyR,interRA</t>
  </si>
  <si>
    <t>'C3.7 lossyG,lossyR,interRA'!$I$1</t>
  </si>
  <si>
    <t>name.B.C3.7 lossyG,lossyR,interRA</t>
  </si>
  <si>
    <t>'C3.7 lossyG,lossyR,interRA'!$T$1</t>
  </si>
  <si>
    <t>range.C3.7 lossyG,lossyR,interRA.ford_01_q1mm</t>
  </si>
  <si>
    <t>'C3.7 lossyG,lossyR,interRA'!$A$4:$AG$9</t>
  </si>
  <si>
    <t>range.C3.7 lossyG,lossyR,interRA.ford_02_q1mm</t>
  </si>
  <si>
    <t>'C3.7 lossyG,lossyR,interRA'!$A$10:$AG$15</t>
  </si>
  <si>
    <t>range.C3.7 lossyG,lossyR,interRA.ford_03_q1mm</t>
  </si>
  <si>
    <t>'C3.7 lossyG,lossyR,interRA'!$A$16:$AG$21</t>
  </si>
  <si>
    <t>3.7</t>
  </si>
  <si>
    <t>lossy geometry and reflectance [random access]</t>
  </si>
  <si>
    <t>C3.7 lossyG,lossyR,interRA</t>
  </si>
  <si>
    <t>cols.C3.7 lossyG,lossyR,interRA</t>
  </si>
  <si>
    <t>names!$B$801:$K$801</t>
  </si>
  <si>
    <t>col.C3.W losslG,losslC.class</t>
  </si>
  <si>
    <t>col.C3.W losslG,losslC.sequence</t>
  </si>
  <si>
    <t>col.C3.W losslG,losslC.src.numpoints</t>
  </si>
  <si>
    <t>col.C3.W losslG,losslC.src.geometry-precision</t>
  </si>
  <si>
    <t>col.C3.W losslG,losslC.A.eqn.compratio</t>
  </si>
  <si>
    <t>col.C3.W losslG,losslC.A.eqn.bpp</t>
  </si>
  <si>
    <t>col.C3.W losslG,losslC.A.eqn.bpop</t>
  </si>
  <si>
    <t>col.C3.W losslG,losslC.A.dec.numpoints</t>
  </si>
  <si>
    <t>col.C3.W losslG,losslC.A.enc.ext.bits</t>
  </si>
  <si>
    <t>col.C3.W losslG,losslC.A.enc.utime</t>
  </si>
  <si>
    <t>col.C3.W losslG,losslC.A.dec.utime</t>
  </si>
  <si>
    <t>col.C3.W losslG,losslC.B.eqn.compratio</t>
  </si>
  <si>
    <t>col.C3.W losslG,losslC.B.eqn.bpp</t>
  </si>
  <si>
    <t>col.C3.W losslG,losslC.B.eqn.bpop</t>
  </si>
  <si>
    <t>col.C3.W losslG,losslC.B.dec.numpoints</t>
  </si>
  <si>
    <t>col.C3.W losslG,losslC.B.enc.ext.bits</t>
  </si>
  <si>
    <t>col.C3.W losslG,losslC.B.enc.utime</t>
  </si>
  <si>
    <t>col.C3.W losslG,losslC.B.dec.utime</t>
  </si>
  <si>
    <t>col.C3.W losslG,losslC.eqn.ab.ratio-bpp</t>
  </si>
  <si>
    <t>name.A.C3.W losslG,losslC</t>
  </si>
  <si>
    <t>'C3.W losslG,losslC'!$F$1</t>
  </si>
  <si>
    <t>name.B.C3.W losslG,losslC</t>
  </si>
  <si>
    <t>'C3.W losslG,losslC'!$N$1</t>
  </si>
  <si>
    <t>range.C3.W losslG,losslC.citytunnel_q1mm</t>
  </si>
  <si>
    <t>'C3.W losslG,losslC'!$A$4:$V$4</t>
  </si>
  <si>
    <t>range.C3.W losslG,losslC.overpass_q1mm</t>
  </si>
  <si>
    <t>'C3.W losslG,losslC'!$A$5:$V$5</t>
  </si>
  <si>
    <t>range.C3.W losslG,losslC.tollbooth_q1mm</t>
  </si>
  <si>
    <t>'C3.W losslG,losslC'!$A$6:$V$6</t>
  </si>
  <si>
    <t>3.W</t>
  </si>
  <si>
    <t>lossless geometry and lossless colour [all intra]</t>
  </si>
  <si>
    <t>C3.W losslG,losslC</t>
  </si>
  <si>
    <t>cols.C3.W losslG,losslC</t>
  </si>
  <si>
    <t>names!$B$826:$H$826</t>
  </si>
  <si>
    <t>col.C3.X losslG,losslR.class</t>
  </si>
  <si>
    <t>col.C3.X losslG,losslR.sequence</t>
  </si>
  <si>
    <t>col.C3.X losslG,losslR.src.numpoints</t>
  </si>
  <si>
    <t>col.C3.X losslG,losslR.src.geometry-precision</t>
  </si>
  <si>
    <t>col.C3.X losslG,losslR.src.framecount</t>
  </si>
  <si>
    <t>col.C3.X losslG,losslR.src.framerate</t>
  </si>
  <si>
    <t>col.C3.X losslG,losslR.A.eqn.compratio</t>
  </si>
  <si>
    <t>col.C3.X losslG,losslR.A.eqn.bitrate</t>
  </si>
  <si>
    <t>col.C3.X losslG,losslR.A.eqn.bpp</t>
  </si>
  <si>
    <t>col.C3.X losslG,losslR.A.eqn.bpop</t>
  </si>
  <si>
    <t>col.C3.X losslG,losslR.A.dec.numpoints</t>
  </si>
  <si>
    <t>col.C3.X losslG,losslR.A.enc.ext.bits</t>
  </si>
  <si>
    <t>col.C3.X losslG,losslR.A.enc.utime</t>
  </si>
  <si>
    <t>col.C3.X losslG,losslR.A.dec.utime</t>
  </si>
  <si>
    <t>col.C3.X losslG,losslR.B.eqn.compratio</t>
  </si>
  <si>
    <t>col.C3.X losslG,losslR.B.eqn.bitrate</t>
  </si>
  <si>
    <t>col.C3.X losslG,losslR.B.eqn.bpp</t>
  </si>
  <si>
    <t>col.C3.X losslG,losslR.B.eqn.bpop</t>
  </si>
  <si>
    <t>col.C3.X losslG,losslR.B.dec.numpoints</t>
  </si>
  <si>
    <t>col.C3.X losslG,losslR.B.enc.ext.bits</t>
  </si>
  <si>
    <t>col.C3.X losslG,losslR.B.enc.utime</t>
  </si>
  <si>
    <t>col.C3.X losslG,losslR.B.dec.utime</t>
  </si>
  <si>
    <t>col.C3.X losslG,losslR.eqn.ab.ratio-bpp</t>
  </si>
  <si>
    <t>name.A.C3.X losslG,losslR</t>
  </si>
  <si>
    <t>'C3.X losslG,losslR'!$H$1</t>
  </si>
  <si>
    <t>name.B.C3.X losslG,losslR</t>
  </si>
  <si>
    <t>'C3.X losslG,losslR'!$Q$1</t>
  </si>
  <si>
    <t>range.C3.X losslG,losslR.citytunnel_q1mm</t>
  </si>
  <si>
    <t>'C3.X losslG,losslR'!$A$4:$Z$4</t>
  </si>
  <si>
    <t>range.C3.X losslG,losslR.overpass_q1mm</t>
  </si>
  <si>
    <t>'C3.X losslG,losslR'!$A$5:$Z$5</t>
  </si>
  <si>
    <t>range.C3.X losslG,losslR.tollbooth_q1mm</t>
  </si>
  <si>
    <t>'C3.X losslG,losslR'!$A$6:$Z$6</t>
  </si>
  <si>
    <t>range.C3.X losslG,losslR.ford_01_q1mm</t>
  </si>
  <si>
    <t>'C3.X losslG,losslR'!$A$7:$Z$7</t>
  </si>
  <si>
    <t>range.C3.X losslG,losslR.ford_02_q1mm</t>
  </si>
  <si>
    <t>'C3.X losslG,losslR'!$A$8:$Z$8</t>
  </si>
  <si>
    <t>range.C3.X losslG,losslR.ford_03_q1mm</t>
  </si>
  <si>
    <t>'C3.X losslG,losslR'!$A$9:$Z$9</t>
  </si>
  <si>
    <t>3.X</t>
  </si>
  <si>
    <t>lossless geometry and lossless reflectance [all intra]</t>
  </si>
  <si>
    <t>C3.X losslG,losslR</t>
  </si>
  <si>
    <t>cols.C3.X losslG,losslR</t>
  </si>
  <si>
    <t>names!$B$858:$I$858</t>
  </si>
  <si>
    <t>col.C3.Y losslG,nearllC.class</t>
  </si>
  <si>
    <t>col.C3.Y losslG,nearllC.sequence</t>
  </si>
  <si>
    <t>col.C3.Y losslG,nearllC.variant</t>
  </si>
  <si>
    <t>col.C3.Y losslG,nearllC.src.numpoints</t>
  </si>
  <si>
    <t>col.C3.Y losslG,nearllC.src.geometry-precision</t>
  </si>
  <si>
    <t>col.C3.Y losslG,nearllC.A.eqn.bpp</t>
  </si>
  <si>
    <t>col.C3.Y losslG,nearllC.A.eqn.bpop</t>
  </si>
  <si>
    <t>col.C3.Y losslG,nearllC.A.dec.numpoints</t>
  </si>
  <si>
    <t>col.C3.Y losslG,nearllC.A.enc.ext.bits</t>
  </si>
  <si>
    <t>col.C3.Y losslG,nearllC.A.dec.y-psnr</t>
  </si>
  <si>
    <t>col.C3.Y losslG,nearllC.A.dec.cb-psnr</t>
  </si>
  <si>
    <t>col.C3.Y losslG,nearllC.A.dec.cr-psnr</t>
  </si>
  <si>
    <t>col.C3.Y losslG,nearllC.A.dec.y-hpsnr</t>
  </si>
  <si>
    <t>col.C3.Y losslG,nearllC.A.dec.cb-hpsnr</t>
  </si>
  <si>
    <t>col.C3.Y losslG,nearllC.A.dec.cr-hpsnr</t>
  </si>
  <si>
    <t>col.C3.Y losslG,nearllC.A.enc.utime</t>
  </si>
  <si>
    <t>col.C3.Y losslG,nearllC.A.dec.utime</t>
  </si>
  <si>
    <t>col.C3.Y losslG,nearllC.B.eqn.bpp</t>
  </si>
  <si>
    <t>col.C3.Y losslG,nearllC.B.eqn.bpop</t>
  </si>
  <si>
    <t>col.C3.Y losslG,nearllC.B.dec.numpoints</t>
  </si>
  <si>
    <t>col.C3.Y losslG,nearllC.B.enc.ext.bits</t>
  </si>
  <si>
    <t>col.C3.Y losslG,nearllC.B.dec.y-psnr</t>
  </si>
  <si>
    <t>col.C3.Y losslG,nearllC.B.dec.cb-psnr</t>
  </si>
  <si>
    <t>col.C3.Y losslG,nearllC.B.dec.cr-psnr</t>
  </si>
  <si>
    <t>col.C3.Y losslG,nearllC.B.dec.y-hpsnr</t>
  </si>
  <si>
    <t>col.C3.Y losslG,nearllC.B.dec.cb-hpsnr</t>
  </si>
  <si>
    <t>col.C3.Y losslG,nearllC.B.dec.cr-hpsnr</t>
  </si>
  <si>
    <t>col.C3.Y losslG,nearllC.B.enc.utime</t>
  </si>
  <si>
    <t>col.C3.Y losslG,nearllC.B.dec.utime</t>
  </si>
  <si>
    <t>col.C3.Y losslG,nearllC.eqn.ab.bdrate-y</t>
  </si>
  <si>
    <t>col.C3.Y losslG,nearllC.eqn.ab.bdrate-cb</t>
  </si>
  <si>
    <t>col.C3.Y losslG,nearllC.eqn.ab.bdrate-cr</t>
  </si>
  <si>
    <t>EtE Hausdorff BD‑TotalRate [%]</t>
  </si>
  <si>
    <t>col.C3.Y losslG,nearllC.eqn.ab.bdrate-hy</t>
  </si>
  <si>
    <t>col.C3.Y losslG,nearllC.eqn.ab.bdrate-hcb</t>
  </si>
  <si>
    <t>col.C3.Y losslG,nearllC.eqn.ab.bdrate-hcr</t>
  </si>
  <si>
    <t>name.A.C3.Y losslG,nearllC</t>
  </si>
  <si>
    <t>'C3.Y losslG,nearllC'!$G$1</t>
  </si>
  <si>
    <t>name.B.C3.Y losslG,nearllC</t>
  </si>
  <si>
    <t>'C3.Y losslG,nearllC'!$T$1</t>
  </si>
  <si>
    <t>range.C3.Y losslG,nearllC.citytunnel_q1mm</t>
  </si>
  <si>
    <t>'C3.Y losslG,nearllC'!$A$4:$AM$8</t>
  </si>
  <si>
    <t>range.C3.Y losslG,nearllC.overpass_q1mm</t>
  </si>
  <si>
    <t>'C3.Y losslG,nearllC'!$A$9:$AM$13</t>
  </si>
  <si>
    <t>range.C3.Y losslG,nearllC.tollbooth_q1mm</t>
  </si>
  <si>
    <t>'C3.Y losslG,nearllC'!$A$14:$AM$18</t>
  </si>
  <si>
    <t>3.Y</t>
  </si>
  <si>
    <t>lossless geometry and near lossless colour [all intra]</t>
  </si>
  <si>
    <t>C3.Y losslG,nearllC</t>
  </si>
  <si>
    <t>cols.C3.Y losslG,nearllC</t>
  </si>
  <si>
    <t>names!$B$899:$M$899</t>
  </si>
  <si>
    <t>col.C3.Z losslG,nearllR.class</t>
  </si>
  <si>
    <t>col.C3.Z losslG,nearllR.sequence</t>
  </si>
  <si>
    <t>col.C3.Z losslG,nearllR.variant</t>
  </si>
  <si>
    <t>col.C3.Z losslG,nearllR.src.numpoints</t>
  </si>
  <si>
    <t>col.C3.Z losslG,nearllR.src.geometry-precision</t>
  </si>
  <si>
    <t>col.C3.Z losslG,nearllR.src.framecount</t>
  </si>
  <si>
    <t>col.C3.Z losslG,nearllR.src.framerate</t>
  </si>
  <si>
    <t>col.C3.Z losslG,nearllR.A.eqn.bitrate</t>
  </si>
  <si>
    <t>col.C3.Z losslG,nearllR.A.eqn.bpp</t>
  </si>
  <si>
    <t>col.C3.Z losslG,nearllR.A.eqn.bpop</t>
  </si>
  <si>
    <t>col.C3.Z losslG,nearllR.A.dec.numpoints</t>
  </si>
  <si>
    <t>col.C3.Z losslG,nearllR.A.enc.ext.bits</t>
  </si>
  <si>
    <t>col.C3.Z losslG,nearllR.A.dec.reflectance-psnr</t>
  </si>
  <si>
    <t>col.C3.Z losslG,nearllR.A.dec.reflectance-hpsnr</t>
  </si>
  <si>
    <t>col.C3.Z losslG,nearllR.A.enc.utime</t>
  </si>
  <si>
    <t>col.C3.Z losslG,nearllR.A.dec.utime</t>
  </si>
  <si>
    <t>col.C3.Z losslG,nearllR.B.eqn.bitrate</t>
  </si>
  <si>
    <t>col.C3.Z losslG,nearllR.B.eqn.bpp</t>
  </si>
  <si>
    <t>col.C3.Z losslG,nearllR.B.eqn.bpop</t>
  </si>
  <si>
    <t>col.C3.Z losslG,nearllR.B.dec.numpoints</t>
  </si>
  <si>
    <t>col.C3.Z losslG,nearllR.B.enc.ext.bits</t>
  </si>
  <si>
    <t>col.C3.Z losslG,nearllR.B.dec.reflectance-psnr</t>
  </si>
  <si>
    <t>col.C3.Z losslG,nearllR.B.dec.reflectance-hpsnr</t>
  </si>
  <si>
    <t>col.C3.Z losslG,nearllR.B.enc.utime</t>
  </si>
  <si>
    <t>col.C3.Z losslG,nearllR.B.dec.utime</t>
  </si>
  <si>
    <t>col.C3.Z losslG,nearllR.eqn.ab.bdrate-reflectance</t>
  </si>
  <si>
    <t>col.C3.Z losslG,nearllR.eqn.ab.bdrate-hreflectance</t>
  </si>
  <si>
    <t>name.A.C3.Z losslG,nearllR</t>
  </si>
  <si>
    <t>'C3.Z losslG,nearllR'!$I$1</t>
  </si>
  <si>
    <t>name.B.C3.Z losslG,nearllR</t>
  </si>
  <si>
    <t>'C3.Z losslG,nearllR'!$S$1</t>
  </si>
  <si>
    <t>range.C3.Z losslG,nearllR.citytunnel_q1mm</t>
  </si>
  <si>
    <t>'C3.Z losslG,nearllR'!$A$4:$AE$8</t>
  </si>
  <si>
    <t>range.C3.Z losslG,nearllR.overpass_q1mm</t>
  </si>
  <si>
    <t>'C3.Z losslG,nearllR'!$A$9:$AE$13</t>
  </si>
  <si>
    <t>range.C3.Z losslG,nearllR.tollbooth_q1mm</t>
  </si>
  <si>
    <t>'C3.Z losslG,nearllR'!$A$14:$AE$18</t>
  </si>
  <si>
    <t>range.C3.Z losslG,nearllR.ford_01_q1mm</t>
  </si>
  <si>
    <t>'C3.Z losslG,nearllR'!$A$19:$AE$23</t>
  </si>
  <si>
    <t>range.C3.Z losslG,nearllR.ford_02_q1mm</t>
  </si>
  <si>
    <t>'C3.Z losslG,nearllR'!$A$24:$AE$28</t>
  </si>
  <si>
    <t>range.C3.Z losslG,nearllR.ford_03_q1mm</t>
  </si>
  <si>
    <t>'C3.Z losslG,nearllR'!$A$29:$AE$33</t>
  </si>
  <si>
    <t>3.Z</t>
  </si>
  <si>
    <t>lossless geometry and near lossless reflectance [all intra]</t>
  </si>
  <si>
    <t>C3.Z losslG,nearllR</t>
  </si>
  <si>
    <t>cols.C3.Z losslG,nearllR</t>
  </si>
  <si>
    <t>names!$B$935:$J$935</t>
  </si>
  <si>
    <t>reference - release_3.0_rc0.14_32frames-id1516</t>
  </si>
  <si>
    <t>rc0.15(useMissedPointsVideo=0)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</si>
</sst>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[&gt;1000]0;[&gt;100]0.0;0.0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/>
    <xf numFmtId="9" fontId="0" fillId="0" borderId="0" xfId="0" applyNumberFormat="1" applyAlignment="1">
      <alignment horizontal="center"/>
    </xf>
    <xf numFmtId="0" fontId="1" fillId="0" borderId="4" xfId="0" applyFont="1" applyBorder="1"/>
    <xf numFmtId="9" fontId="0" fillId="0" borderId="4" xfId="0" applyNumberFormat="1" applyBorder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9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0" fillId="3" borderId="0" xfId="0" applyFill="1"/>
    <xf numFmtId="0" fontId="0" fillId="2" borderId="0" xfId="0" applyFill="1"/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</cellXfs>
  <cellStyles count="1">
    <cellStyle name="Normal" xfId="0" builtinId="0"/>
  </cellStyles>
  <dxfs count="13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DA9694"/>
      <color rgb="FFC4D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697168"/>
        <c:axId val="-2079693376"/>
      </c:scatterChart>
      <c:valAx>
        <c:axId val="-2079697168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9693376"/>
        <c:crosses val="autoZero"/>
        <c:crossBetween val="midCat"/>
      </c:valAx>
      <c:valAx>
        <c:axId val="-2079693376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96971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625024"/>
        <c:axId val="-2077619904"/>
      </c:scatterChart>
      <c:valAx>
        <c:axId val="-2077625024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7619904"/>
        <c:crosses val="autoZero"/>
        <c:crossBetween val="midCat"/>
      </c:valAx>
      <c:valAx>
        <c:axId val="-2077619904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76250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003120"/>
        <c:axId val="-2083987168"/>
      </c:scatterChart>
      <c:valAx>
        <c:axId val="-2084003120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987168"/>
        <c:crosses val="autoZero"/>
        <c:crossBetween val="midCat"/>
      </c:valAx>
      <c:valAx>
        <c:axId val="-2083987168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40031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585664"/>
        <c:axId val="-2077580608"/>
      </c:scatterChart>
      <c:valAx>
        <c:axId val="-2077585664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7580608"/>
        <c:crosses val="autoZero"/>
        <c:crossBetween val="midCat"/>
      </c:valAx>
      <c:valAx>
        <c:axId val="-2077580608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75856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672224"/>
        <c:axId val="-2083667104"/>
      </c:scatterChart>
      <c:valAx>
        <c:axId val="-2083672224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667104"/>
        <c:crosses val="autoZero"/>
        <c:crossBetween val="midCat"/>
      </c:valAx>
      <c:valAx>
        <c:axId val="-2083667104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672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627536"/>
        <c:axId val="-2083622416"/>
      </c:scatterChart>
      <c:valAx>
        <c:axId val="-2083627536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622416"/>
        <c:crosses val="autoZero"/>
        <c:crossBetween val="midCat"/>
      </c:valAx>
      <c:valAx>
        <c:axId val="-2083622416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6275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6"/>
  <sheetViews>
    <sheetView workbookViewId="0"/>
  </sheetViews>
  <sheetFormatPr baseColWidth="10" defaultColWidth="8.83203125" defaultRowHeight="15" x14ac:dyDescent="0.2"/>
  <cols>
    <col min="2" max="2" width="16.6640625" customWidth="1"/>
    <col min="3" max="7" width="24.6640625" customWidth="1"/>
  </cols>
  <sheetData>
    <row r="1" spans="2:5" x14ac:dyDescent="0.2">
      <c r="B1" t="s">
        <v>0</v>
      </c>
      <c r="C1" s="64" t="s">
        <v>2</v>
      </c>
      <c r="D1" s="64"/>
      <c r="E1" s="64"/>
    </row>
    <row r="2" spans="2:5" x14ac:dyDescent="0.2">
      <c r="B2" t="s">
        <v>1</v>
      </c>
      <c r="C2" s="65" t="s">
        <v>3</v>
      </c>
      <c r="D2" s="65"/>
      <c r="E2" s="65"/>
    </row>
    <row r="4" spans="2:5" s="1" customFormat="1" x14ac:dyDescent="0.2">
      <c r="B4" s="1" t="s">
        <v>258</v>
      </c>
    </row>
    <row r="6" spans="2:5" ht="30" x14ac:dyDescent="0.2">
      <c r="B6" s="66" t="s">
        <v>259</v>
      </c>
      <c r="C6" s="2" t="s">
        <v>260</v>
      </c>
    </row>
    <row r="7" spans="2:5" x14ac:dyDescent="0.2">
      <c r="B7" s="66"/>
      <c r="C7" s="3"/>
    </row>
    <row r="8" spans="2:5" x14ac:dyDescent="0.2">
      <c r="B8" s="66"/>
      <c r="C8" s="4" t="s">
        <v>261</v>
      </c>
    </row>
    <row r="9" spans="2:5" x14ac:dyDescent="0.2">
      <c r="B9" s="5" t="s">
        <v>249</v>
      </c>
      <c r="C9" s="6" t="e">
        <f>#REF!</f>
        <v>#REF!</v>
      </c>
    </row>
    <row r="10" spans="2:5" x14ac:dyDescent="0.2">
      <c r="B10" s="5" t="s">
        <v>250</v>
      </c>
      <c r="C10" s="6" t="e">
        <f>#REF!</f>
        <v>#REF!</v>
      </c>
    </row>
    <row r="11" spans="2:5" x14ac:dyDescent="0.2">
      <c r="B11" s="5" t="s">
        <v>251</v>
      </c>
      <c r="C11" s="6" t="e">
        <f>#REF!</f>
        <v>#REF!</v>
      </c>
    </row>
    <row r="12" spans="2:5" x14ac:dyDescent="0.2">
      <c r="B12" s="7" t="s">
        <v>252</v>
      </c>
      <c r="C12" s="8" t="e">
        <f>#REF!</f>
        <v>#REF!</v>
      </c>
    </row>
    <row r="13" spans="2:5" x14ac:dyDescent="0.2">
      <c r="B13" t="s">
        <v>262</v>
      </c>
      <c r="C13" s="6" t="e">
        <f>#REF!</f>
        <v>#REF!</v>
      </c>
    </row>
    <row r="14" spans="2:5" x14ac:dyDescent="0.2">
      <c r="B14" s="9" t="s">
        <v>263</v>
      </c>
      <c r="C14" s="10" t="e">
        <f>#REF!</f>
        <v>#REF!</v>
      </c>
    </row>
    <row r="16" spans="2:5" x14ac:dyDescent="0.2">
      <c r="B16" s="66" t="s">
        <v>340</v>
      </c>
      <c r="C16" s="67" t="s">
        <v>341</v>
      </c>
      <c r="D16" s="67"/>
      <c r="E16" s="67"/>
    </row>
    <row r="17" spans="2:5" x14ac:dyDescent="0.2">
      <c r="B17" s="66"/>
      <c r="C17" s="68" t="s">
        <v>293</v>
      </c>
      <c r="D17" s="68"/>
      <c r="E17" s="68"/>
    </row>
    <row r="18" spans="2:5" x14ac:dyDescent="0.2">
      <c r="B18" s="66"/>
      <c r="C18" s="4" t="s">
        <v>277</v>
      </c>
      <c r="D18" s="4" t="s">
        <v>342</v>
      </c>
      <c r="E18" s="4" t="s">
        <v>343</v>
      </c>
    </row>
    <row r="19" spans="2:5" x14ac:dyDescent="0.2">
      <c r="B19" s="5" t="s">
        <v>338</v>
      </c>
      <c r="C19" s="11" t="e">
        <f>#REF!</f>
        <v>#REF!</v>
      </c>
      <c r="D19" s="11" t="e">
        <f>#REF!</f>
        <v>#REF!</v>
      </c>
      <c r="E19" s="11" t="e">
        <f>#REF!</f>
        <v>#REF!</v>
      </c>
    </row>
    <row r="20" spans="2:5" x14ac:dyDescent="0.2">
      <c r="B20" s="5" t="s">
        <v>339</v>
      </c>
      <c r="C20" s="11" t="e">
        <f>#REF!</f>
        <v>#REF!</v>
      </c>
      <c r="D20" s="11" t="e">
        <f>#REF!</f>
        <v>#REF!</v>
      </c>
      <c r="E20" s="11" t="e">
        <f>#REF!</f>
        <v>#REF!</v>
      </c>
    </row>
    <row r="21" spans="2:5" x14ac:dyDescent="0.2">
      <c r="B21" s="7" t="s">
        <v>252</v>
      </c>
      <c r="C21" s="12" t="e">
        <f>#REF!</f>
        <v>#REF!</v>
      </c>
      <c r="D21" s="12" t="e">
        <f>#REF!</f>
        <v>#REF!</v>
      </c>
      <c r="E21" s="12" t="e">
        <f>#REF!</f>
        <v>#REF!</v>
      </c>
    </row>
    <row r="22" spans="2:5" x14ac:dyDescent="0.2">
      <c r="B22" t="s">
        <v>262</v>
      </c>
      <c r="C22" s="69" t="e">
        <f>#REF!</f>
        <v>#REF!</v>
      </c>
      <c r="D22" s="69"/>
      <c r="E22" s="69"/>
    </row>
    <row r="23" spans="2:5" x14ac:dyDescent="0.2">
      <c r="B23" s="9" t="s">
        <v>263</v>
      </c>
      <c r="C23" s="70" t="e">
        <f>#REF!</f>
        <v>#REF!</v>
      </c>
      <c r="D23" s="70"/>
      <c r="E23" s="70"/>
    </row>
    <row r="25" spans="2:5" x14ac:dyDescent="0.2">
      <c r="B25" s="66" t="s">
        <v>489</v>
      </c>
      <c r="C25" s="67" t="s">
        <v>490</v>
      </c>
      <c r="D25" s="67"/>
      <c r="E25" s="67"/>
    </row>
    <row r="26" spans="2:5" x14ac:dyDescent="0.2">
      <c r="B26" s="66"/>
      <c r="C26" s="68" t="s">
        <v>293</v>
      </c>
      <c r="D26" s="68"/>
      <c r="E26" s="68"/>
    </row>
    <row r="27" spans="2:5" x14ac:dyDescent="0.2">
      <c r="B27" s="66"/>
      <c r="C27" s="4" t="s">
        <v>277</v>
      </c>
      <c r="D27" s="4" t="s">
        <v>342</v>
      </c>
      <c r="E27" s="4" t="s">
        <v>343</v>
      </c>
    </row>
    <row r="28" spans="2:5" x14ac:dyDescent="0.2">
      <c r="B28" s="5" t="s">
        <v>249</v>
      </c>
      <c r="C28" s="11" t="e">
        <f>#REF!</f>
        <v>#REF!</v>
      </c>
      <c r="D28" s="11" t="e">
        <f>#REF!</f>
        <v>#REF!</v>
      </c>
      <c r="E28" s="11" t="e">
        <f>#REF!</f>
        <v>#REF!</v>
      </c>
    </row>
    <row r="29" spans="2:5" x14ac:dyDescent="0.2">
      <c r="B29" s="5" t="s">
        <v>250</v>
      </c>
      <c r="C29" s="11" t="e">
        <f>#REF!</f>
        <v>#REF!</v>
      </c>
      <c r="D29" s="11" t="e">
        <f>#REF!</f>
        <v>#REF!</v>
      </c>
      <c r="E29" s="11" t="e">
        <f>#REF!</f>
        <v>#REF!</v>
      </c>
    </row>
    <row r="30" spans="2:5" x14ac:dyDescent="0.2">
      <c r="B30" s="5" t="s">
        <v>251</v>
      </c>
      <c r="C30" s="11" t="e">
        <f>#REF!</f>
        <v>#REF!</v>
      </c>
      <c r="D30" s="11" t="e">
        <f>#REF!</f>
        <v>#REF!</v>
      </c>
      <c r="E30" s="11" t="e">
        <f>#REF!</f>
        <v>#REF!</v>
      </c>
    </row>
    <row r="31" spans="2:5" x14ac:dyDescent="0.2">
      <c r="B31" s="7" t="s">
        <v>252</v>
      </c>
      <c r="C31" s="12" t="e">
        <f>#REF!</f>
        <v>#REF!</v>
      </c>
      <c r="D31" s="12" t="e">
        <f>#REF!</f>
        <v>#REF!</v>
      </c>
      <c r="E31" s="12" t="e">
        <f>#REF!</f>
        <v>#REF!</v>
      </c>
    </row>
    <row r="32" spans="2:5" x14ac:dyDescent="0.2">
      <c r="B32" t="s">
        <v>262</v>
      </c>
      <c r="C32" s="69" t="e">
        <f>#REF!</f>
        <v>#REF!</v>
      </c>
      <c r="D32" s="69"/>
      <c r="E32" s="69"/>
    </row>
    <row r="33" spans="2:5" x14ac:dyDescent="0.2">
      <c r="B33" s="9" t="s">
        <v>263</v>
      </c>
      <c r="C33" s="70" t="e">
        <f>#REF!</f>
        <v>#REF!</v>
      </c>
      <c r="D33" s="70"/>
      <c r="E33" s="70"/>
    </row>
    <row r="35" spans="2:5" s="1" customFormat="1" x14ac:dyDescent="0.2">
      <c r="B35" s="1" t="s">
        <v>558</v>
      </c>
    </row>
    <row r="37" spans="2:5" ht="30" x14ac:dyDescent="0.2">
      <c r="B37" s="66" t="s">
        <v>559</v>
      </c>
      <c r="C37" s="2" t="s">
        <v>260</v>
      </c>
    </row>
    <row r="38" spans="2:5" x14ac:dyDescent="0.2">
      <c r="B38" s="66"/>
      <c r="C38" s="3"/>
    </row>
    <row r="39" spans="2:5" x14ac:dyDescent="0.2">
      <c r="B39" s="66"/>
      <c r="C39" s="4" t="s">
        <v>261</v>
      </c>
    </row>
    <row r="40" spans="2:5" x14ac:dyDescent="0.2">
      <c r="B40" s="5" t="s">
        <v>556</v>
      </c>
      <c r="C40" s="6">
        <f>'C2.1 losslG,noAttr'!AH9</f>
        <v>1.0000001621442034</v>
      </c>
    </row>
    <row r="41" spans="2:5" x14ac:dyDescent="0.2">
      <c r="B41" s="5" t="s">
        <v>557</v>
      </c>
      <c r="C41" s="6">
        <f>'C2.1 losslG,noAttr'!AH10</f>
        <v>1.0000001730181336</v>
      </c>
    </row>
    <row r="42" spans="2:5" x14ac:dyDescent="0.2">
      <c r="B42" s="7" t="s">
        <v>252</v>
      </c>
      <c r="C42" s="8">
        <f>'C2.1 losslG,noAttr'!AH11</f>
        <v>1.0000001642195278</v>
      </c>
    </row>
    <row r="43" spans="2:5" x14ac:dyDescent="0.2">
      <c r="B43" t="s">
        <v>262</v>
      </c>
      <c r="C43" s="6">
        <f>'C2.1 losslG,noAttr'!AC15</f>
        <v>0.91681439469850456</v>
      </c>
    </row>
    <row r="44" spans="2:5" x14ac:dyDescent="0.2">
      <c r="B44" s="9" t="s">
        <v>263</v>
      </c>
      <c r="C44" s="10">
        <f>'C2.1 losslG,noAttr'!AE15</f>
        <v>0.87135813882036917</v>
      </c>
    </row>
    <row r="46" spans="2:5" ht="30" x14ac:dyDescent="0.2">
      <c r="B46" s="66" t="s">
        <v>635</v>
      </c>
      <c r="C46" s="2" t="s">
        <v>636</v>
      </c>
    </row>
    <row r="47" spans="2:5" x14ac:dyDescent="0.2">
      <c r="B47" s="66"/>
      <c r="C47" s="3"/>
    </row>
    <row r="48" spans="2:5" x14ac:dyDescent="0.2">
      <c r="B48" s="66"/>
      <c r="C48" s="4" t="s">
        <v>261</v>
      </c>
    </row>
    <row r="49" spans="2:7" x14ac:dyDescent="0.2">
      <c r="B49" s="5" t="s">
        <v>556</v>
      </c>
      <c r="C49" s="6">
        <f>'C2.2 losslG,losslAttr'!BB9</f>
        <v>1.0000000280065937</v>
      </c>
    </row>
    <row r="50" spans="2:7" x14ac:dyDescent="0.2">
      <c r="B50" s="5" t="s">
        <v>557</v>
      </c>
      <c r="C50" s="6">
        <f>'C2.2 losslG,losslAttr'!BB10</f>
        <v>1.0000000205924098</v>
      </c>
    </row>
    <row r="51" spans="2:7" x14ac:dyDescent="0.2">
      <c r="B51" s="7" t="s">
        <v>252</v>
      </c>
      <c r="C51" s="8">
        <f>'C2.2 losslG,losslAttr'!BB11</f>
        <v>1.0000000261158744</v>
      </c>
    </row>
    <row r="52" spans="2:7" x14ac:dyDescent="0.2">
      <c r="B52" t="s">
        <v>262</v>
      </c>
      <c r="C52" s="6">
        <f>'C2.2 losslG,losslAttr'!AU15</f>
        <v>0.88458910132190705</v>
      </c>
    </row>
    <row r="53" spans="2:7" x14ac:dyDescent="0.2">
      <c r="B53" s="9" t="s">
        <v>263</v>
      </c>
      <c r="C53" s="10">
        <f>'C2.2 losslG,losslAttr'!AW15</f>
        <v>0.71082592712687132</v>
      </c>
    </row>
    <row r="55" spans="2:7" x14ac:dyDescent="0.2">
      <c r="B55" s="66" t="s">
        <v>723</v>
      </c>
      <c r="C55" s="67" t="s">
        <v>724</v>
      </c>
      <c r="D55" s="67"/>
      <c r="E55" s="67"/>
      <c r="F55" s="67"/>
      <c r="G55" s="67"/>
    </row>
    <row r="56" spans="2:7" x14ac:dyDescent="0.2">
      <c r="B56" s="66"/>
      <c r="C56" s="68" t="s">
        <v>397</v>
      </c>
      <c r="D56" s="68"/>
      <c r="E56" s="71" t="s">
        <v>400</v>
      </c>
      <c r="F56" s="71"/>
      <c r="G56" s="71"/>
    </row>
    <row r="57" spans="2:7" x14ac:dyDescent="0.2">
      <c r="B57" s="66"/>
      <c r="C57" s="4" t="s">
        <v>364</v>
      </c>
      <c r="D57" s="4" t="s">
        <v>725</v>
      </c>
      <c r="E57" s="14" t="s">
        <v>277</v>
      </c>
      <c r="F57" s="14" t="s">
        <v>342</v>
      </c>
      <c r="G57" s="14" t="s">
        <v>343</v>
      </c>
    </row>
    <row r="58" spans="2:7" x14ac:dyDescent="0.2">
      <c r="B58" s="5" t="s">
        <v>556</v>
      </c>
      <c r="C58" s="11" t="e">
        <f>'C2.3 lossyG,lossyAttr'!$BI$29:$BI$29</f>
        <v>#VALUE!</v>
      </c>
      <c r="D58" s="11" t="e">
        <f>'C2.3 lossyG,lossyAttr'!$BJ$29:$BJ$29</f>
        <v>#VALUE!</v>
      </c>
      <c r="E58" s="11" t="e">
        <f>'C2.3 lossyG,lossyAttr'!$BK$29:$BK$29</f>
        <v>#VALUE!</v>
      </c>
      <c r="F58" s="11" t="e">
        <f>'C2.3 lossyG,lossyAttr'!$BL$29:$BL$29</f>
        <v>#VALUE!</v>
      </c>
      <c r="G58" s="11" t="e">
        <f>'C2.3 lossyG,lossyAttr'!$BM$29:$BM$29</f>
        <v>#VALUE!</v>
      </c>
    </row>
    <row r="59" spans="2:7" x14ac:dyDescent="0.2">
      <c r="B59" s="5" t="s">
        <v>557</v>
      </c>
      <c r="C59" s="11" t="e">
        <f>'C2.3 lossyG,lossyAttr'!$BI$30:$BI$30</f>
        <v>#VALUE!</v>
      </c>
      <c r="D59" s="11" t="e">
        <f>'C2.3 lossyG,lossyAttr'!$BJ$30:$BJ$30</f>
        <v>#VALUE!</v>
      </c>
      <c r="E59" s="11" t="e">
        <f>'C2.3 lossyG,lossyAttr'!$BK$30:$BK$30</f>
        <v>#VALUE!</v>
      </c>
      <c r="F59" s="11" t="e">
        <f>'C2.3 lossyG,lossyAttr'!$BL$30:$BL$30</f>
        <v>#VALUE!</v>
      </c>
      <c r="G59" s="11" t="e">
        <f>'C2.3 lossyG,lossyAttr'!$BM$30:$BM$30</f>
        <v>#VALUE!</v>
      </c>
    </row>
    <row r="60" spans="2:7" x14ac:dyDescent="0.2">
      <c r="B60" s="7" t="s">
        <v>252</v>
      </c>
      <c r="C60" s="12" t="e">
        <f>'C2.3 lossyG,lossyAttr'!$BI$31:$BI$31</f>
        <v>#VALUE!</v>
      </c>
      <c r="D60" s="12" t="e">
        <f>'C2.3 lossyG,lossyAttr'!$BJ$31:$BJ$31</f>
        <v>#VALUE!</v>
      </c>
      <c r="E60" s="12" t="e">
        <f>'C2.3 lossyG,lossyAttr'!$BK$31:$BK$31</f>
        <v>#VALUE!</v>
      </c>
      <c r="F60" s="12" t="e">
        <f>'C2.3 lossyG,lossyAttr'!$BL$31:$BL$31</f>
        <v>#VALUE!</v>
      </c>
      <c r="G60" s="12" t="e">
        <f>'C2.3 lossyG,lossyAttr'!$BM$31:$BM$31</f>
        <v>#VALUE!</v>
      </c>
    </row>
    <row r="61" spans="2:7" x14ac:dyDescent="0.2">
      <c r="B61" t="s">
        <v>262</v>
      </c>
      <c r="C61" s="69" t="e">
        <f>'C2.3 lossyG,lossyAttr'!AX35</f>
        <v>#REF!</v>
      </c>
      <c r="D61" s="69"/>
      <c r="E61" s="69"/>
      <c r="F61" s="69"/>
      <c r="G61" s="69"/>
    </row>
    <row r="62" spans="2:7" x14ac:dyDescent="0.2">
      <c r="B62" s="9" t="s">
        <v>263</v>
      </c>
      <c r="C62" s="70" t="e">
        <f>'C2.3 lossyG,lossyAttr'!AZ35</f>
        <v>#REF!</v>
      </c>
      <c r="D62" s="70"/>
      <c r="E62" s="70"/>
      <c r="F62" s="70"/>
      <c r="G62" s="70"/>
    </row>
    <row r="64" spans="2:7" x14ac:dyDescent="0.2">
      <c r="B64" s="66" t="s">
        <v>810</v>
      </c>
      <c r="C64" s="67" t="s">
        <v>811</v>
      </c>
      <c r="D64" s="67"/>
      <c r="E64" s="67"/>
      <c r="F64" s="67"/>
      <c r="G64" s="67"/>
    </row>
    <row r="65" spans="2:7" x14ac:dyDescent="0.2">
      <c r="B65" s="66"/>
      <c r="C65" s="68" t="s">
        <v>397</v>
      </c>
      <c r="D65" s="68"/>
      <c r="E65" s="71" t="s">
        <v>400</v>
      </c>
      <c r="F65" s="71"/>
      <c r="G65" s="71"/>
    </row>
    <row r="66" spans="2:7" x14ac:dyDescent="0.2">
      <c r="B66" s="66"/>
      <c r="C66" s="4" t="s">
        <v>364</v>
      </c>
      <c r="D66" s="4" t="s">
        <v>725</v>
      </c>
      <c r="E66" s="14" t="s">
        <v>277</v>
      </c>
      <c r="F66" s="14" t="s">
        <v>342</v>
      </c>
      <c r="G66" s="14" t="s">
        <v>343</v>
      </c>
    </row>
    <row r="67" spans="2:7" x14ac:dyDescent="0.2">
      <c r="B67" s="5" t="s">
        <v>556</v>
      </c>
      <c r="C67" s="11" t="e">
        <f>'C2.4 lossyG,lossyAttr,interRA'!$BI$29:$BI$29</f>
        <v>#VALUE!</v>
      </c>
      <c r="D67" s="11" t="e">
        <f>'C2.4 lossyG,lossyAttr,interRA'!$BJ$29:$BJ$29</f>
        <v>#VALUE!</v>
      </c>
      <c r="E67" s="11" t="e">
        <f>'C2.4 lossyG,lossyAttr,interRA'!$BK$29:$BK$29</f>
        <v>#VALUE!</v>
      </c>
      <c r="F67" s="11" t="e">
        <f>'C2.4 lossyG,lossyAttr,interRA'!$BL$29:$BL$29</f>
        <v>#VALUE!</v>
      </c>
      <c r="G67" s="11" t="e">
        <f>'C2.4 lossyG,lossyAttr,interRA'!$BM$29:$BM$29</f>
        <v>#VALUE!</v>
      </c>
    </row>
    <row r="68" spans="2:7" x14ac:dyDescent="0.2">
      <c r="B68" s="5" t="s">
        <v>557</v>
      </c>
      <c r="C68" s="11" t="e">
        <f>'C2.4 lossyG,lossyAttr,interRA'!$BI$30:$BI$30</f>
        <v>#VALUE!</v>
      </c>
      <c r="D68" s="11" t="e">
        <f>'C2.4 lossyG,lossyAttr,interRA'!$BJ$30:$BJ$30</f>
        <v>#VALUE!</v>
      </c>
      <c r="E68" s="11" t="e">
        <f>'C2.4 lossyG,lossyAttr,interRA'!$BK$30:$BK$30</f>
        <v>#VALUE!</v>
      </c>
      <c r="F68" s="11" t="e">
        <f>'C2.4 lossyG,lossyAttr,interRA'!$BL$30:$BL$30</f>
        <v>#VALUE!</v>
      </c>
      <c r="G68" s="11" t="e">
        <f>'C2.4 lossyG,lossyAttr,interRA'!$BM$30:$BM$30</f>
        <v>#VALUE!</v>
      </c>
    </row>
    <row r="69" spans="2:7" x14ac:dyDescent="0.2">
      <c r="B69" s="7" t="s">
        <v>252</v>
      </c>
      <c r="C69" s="12" t="e">
        <f>'C2.4 lossyG,lossyAttr,interRA'!$BI$31:$BI$31</f>
        <v>#VALUE!</v>
      </c>
      <c r="D69" s="12" t="e">
        <f>'C2.4 lossyG,lossyAttr,interRA'!$BJ$31:$BJ$31</f>
        <v>#VALUE!</v>
      </c>
      <c r="E69" s="12" t="e">
        <f>'C2.4 lossyG,lossyAttr,interRA'!$BK$31:$BK$31</f>
        <v>#VALUE!</v>
      </c>
      <c r="F69" s="12" t="e">
        <f>'C2.4 lossyG,lossyAttr,interRA'!$BL$31:$BL$31</f>
        <v>#VALUE!</v>
      </c>
      <c r="G69" s="12" t="e">
        <f>'C2.4 lossyG,lossyAttr,interRA'!$BM$31:$BM$31</f>
        <v>#VALUE!</v>
      </c>
    </row>
    <row r="70" spans="2:7" x14ac:dyDescent="0.2">
      <c r="B70" t="s">
        <v>262</v>
      </c>
      <c r="C70" s="69" t="e">
        <f>'C2.4 lossyG,lossyAttr,interRA'!AX35</f>
        <v>#REF!</v>
      </c>
      <c r="D70" s="69"/>
      <c r="E70" s="69"/>
      <c r="F70" s="69"/>
      <c r="G70" s="69"/>
    </row>
    <row r="71" spans="2:7" x14ac:dyDescent="0.2">
      <c r="B71" s="9" t="s">
        <v>263</v>
      </c>
      <c r="C71" s="70" t="e">
        <f>'C2.4 lossyG,lossyAttr,interRA'!AZ35</f>
        <v>#REF!</v>
      </c>
      <c r="D71" s="70"/>
      <c r="E71" s="70"/>
      <c r="F71" s="70"/>
      <c r="G71" s="70"/>
    </row>
    <row r="73" spans="2:7" ht="45" x14ac:dyDescent="0.2">
      <c r="B73" s="66" t="s">
        <v>861</v>
      </c>
      <c r="C73" s="2" t="s">
        <v>862</v>
      </c>
    </row>
    <row r="74" spans="2:7" x14ac:dyDescent="0.2">
      <c r="B74" s="66"/>
      <c r="C74" s="3"/>
    </row>
    <row r="75" spans="2:7" x14ac:dyDescent="0.2">
      <c r="B75" s="66"/>
      <c r="C75" s="4" t="s">
        <v>261</v>
      </c>
    </row>
    <row r="76" spans="2:7" x14ac:dyDescent="0.2">
      <c r="B76" s="5" t="s">
        <v>556</v>
      </c>
      <c r="C76" s="6">
        <f>'C2.5 losslG,noAttr,interRA'!AH9</f>
        <v>1.0000001738640685</v>
      </c>
    </row>
    <row r="77" spans="2:7" x14ac:dyDescent="0.2">
      <c r="B77" s="5" t="s">
        <v>557</v>
      </c>
      <c r="C77" s="6">
        <f>'C2.5 losslG,noAttr,interRA'!AH10</f>
        <v>1.0000001753667269</v>
      </c>
    </row>
    <row r="78" spans="2:7" x14ac:dyDescent="0.2">
      <c r="B78" s="7" t="s">
        <v>252</v>
      </c>
      <c r="C78" s="8">
        <f>'C2.5 losslG,noAttr,interRA'!AH11</f>
        <v>1.0000001741641493</v>
      </c>
    </row>
    <row r="79" spans="2:7" x14ac:dyDescent="0.2">
      <c r="B79" t="s">
        <v>262</v>
      </c>
      <c r="C79" s="6">
        <f>'C2.5 losslG,noAttr,interRA'!AC15</f>
        <v>0.97290310900770649</v>
      </c>
    </row>
    <row r="80" spans="2:7" x14ac:dyDescent="0.2">
      <c r="B80" s="9" t="s">
        <v>263</v>
      </c>
      <c r="C80" s="10">
        <f>'C2.5 losslG,noAttr,interRA'!AE15</f>
        <v>0.79739738117305703</v>
      </c>
    </row>
    <row r="82" spans="2:3" ht="45" x14ac:dyDescent="0.2">
      <c r="B82" s="66" t="s">
        <v>934</v>
      </c>
      <c r="C82" s="2" t="s">
        <v>935</v>
      </c>
    </row>
    <row r="83" spans="2:3" x14ac:dyDescent="0.2">
      <c r="B83" s="66"/>
      <c r="C83" s="3"/>
    </row>
    <row r="84" spans="2:3" x14ac:dyDescent="0.2">
      <c r="B84" s="66"/>
      <c r="C84" s="4" t="s">
        <v>261</v>
      </c>
    </row>
    <row r="85" spans="2:3" x14ac:dyDescent="0.2">
      <c r="B85" s="5" t="s">
        <v>556</v>
      </c>
      <c r="C85" s="6">
        <f>'C2.6 losslG,losslAttr,interRA'!BB9</f>
        <v>1.0000000290673206</v>
      </c>
    </row>
    <row r="86" spans="2:3" x14ac:dyDescent="0.2">
      <c r="B86" s="5" t="s">
        <v>557</v>
      </c>
      <c r="C86" s="6">
        <f>'C2.6 losslG,losslAttr,interRA'!BB10</f>
        <v>1.0000000207662394</v>
      </c>
    </row>
    <row r="87" spans="2:3" x14ac:dyDescent="0.2">
      <c r="B87" s="7" t="s">
        <v>252</v>
      </c>
      <c r="C87" s="8">
        <f>'C2.6 losslG,losslAttr,interRA'!BB11</f>
        <v>1.0000000269047418</v>
      </c>
    </row>
    <row r="88" spans="2:3" x14ac:dyDescent="0.2">
      <c r="B88" t="s">
        <v>262</v>
      </c>
      <c r="C88" s="6">
        <f>'C2.6 losslG,losslAttr,interRA'!AU15</f>
        <v>1.0174538535194804</v>
      </c>
    </row>
    <row r="89" spans="2:3" x14ac:dyDescent="0.2">
      <c r="B89" s="9" t="s">
        <v>263</v>
      </c>
      <c r="C89" s="10">
        <f>'C2.6 losslG,losslAttr,interRA'!AW15</f>
        <v>1.5237177420580499</v>
      </c>
    </row>
    <row r="91" spans="2:3" s="1" customFormat="1" x14ac:dyDescent="0.2">
      <c r="B91" s="1" t="s">
        <v>986</v>
      </c>
    </row>
    <row r="93" spans="2:3" ht="30" x14ac:dyDescent="0.2">
      <c r="B93" s="66" t="s">
        <v>987</v>
      </c>
      <c r="C93" s="2" t="s">
        <v>260</v>
      </c>
    </row>
    <row r="94" spans="2:3" x14ac:dyDescent="0.2">
      <c r="B94" s="66"/>
      <c r="C94" s="3"/>
    </row>
    <row r="95" spans="2:3" x14ac:dyDescent="0.2">
      <c r="B95" s="66"/>
      <c r="C95" s="4" t="s">
        <v>261</v>
      </c>
    </row>
    <row r="96" spans="2:3" x14ac:dyDescent="0.2">
      <c r="B96" s="5" t="s">
        <v>984</v>
      </c>
      <c r="C96" s="6" t="e">
        <f>#REF!</f>
        <v>#REF!</v>
      </c>
    </row>
    <row r="97" spans="2:5" x14ac:dyDescent="0.2">
      <c r="B97" s="5" t="s">
        <v>985</v>
      </c>
      <c r="C97" s="6" t="e">
        <f>#REF!</f>
        <v>#REF!</v>
      </c>
    </row>
    <row r="98" spans="2:5" x14ac:dyDescent="0.2">
      <c r="B98" s="7" t="s">
        <v>252</v>
      </c>
      <c r="C98" s="8" t="e">
        <f>#REF!</f>
        <v>#REF!</v>
      </c>
    </row>
    <row r="99" spans="2:5" x14ac:dyDescent="0.2">
      <c r="B99" t="s">
        <v>262</v>
      </c>
      <c r="C99" s="6" t="e">
        <f>#REF!</f>
        <v>#REF!</v>
      </c>
    </row>
    <row r="100" spans="2:5" x14ac:dyDescent="0.2">
      <c r="B100" s="9" t="s">
        <v>263</v>
      </c>
      <c r="C100" s="10" t="e">
        <f>#REF!</f>
        <v>#REF!</v>
      </c>
    </row>
    <row r="102" spans="2:5" x14ac:dyDescent="0.2">
      <c r="B102" s="66" t="s">
        <v>1038</v>
      </c>
      <c r="C102" s="67" t="s">
        <v>341</v>
      </c>
      <c r="D102" s="67"/>
      <c r="E102" s="67"/>
    </row>
    <row r="103" spans="2:5" x14ac:dyDescent="0.2">
      <c r="B103" s="66"/>
      <c r="C103" s="68" t="s">
        <v>400</v>
      </c>
      <c r="D103" s="68"/>
      <c r="E103" s="68"/>
    </row>
    <row r="104" spans="2:5" x14ac:dyDescent="0.2">
      <c r="B104" s="66"/>
      <c r="C104" s="4" t="s">
        <v>277</v>
      </c>
      <c r="D104" s="4" t="s">
        <v>342</v>
      </c>
      <c r="E104" s="4" t="s">
        <v>343</v>
      </c>
    </row>
    <row r="105" spans="2:5" x14ac:dyDescent="0.2">
      <c r="B105" s="7" t="s">
        <v>252</v>
      </c>
      <c r="C105" s="12" t="e">
        <f>#REF!</f>
        <v>#REF!</v>
      </c>
      <c r="D105" s="12" t="e">
        <f>#REF!</f>
        <v>#REF!</v>
      </c>
      <c r="E105" s="12" t="e">
        <f>#REF!</f>
        <v>#REF!</v>
      </c>
    </row>
    <row r="106" spans="2:5" x14ac:dyDescent="0.2">
      <c r="B106" t="s">
        <v>262</v>
      </c>
      <c r="C106" s="69" t="e">
        <f>#REF!</f>
        <v>#REF!</v>
      </c>
      <c r="D106" s="69"/>
      <c r="E106" s="69"/>
    </row>
    <row r="107" spans="2:5" x14ac:dyDescent="0.2">
      <c r="B107" s="9" t="s">
        <v>263</v>
      </c>
      <c r="C107" s="70" t="e">
        <f>#REF!</f>
        <v>#REF!</v>
      </c>
      <c r="D107" s="70"/>
      <c r="E107" s="70"/>
    </row>
    <row r="109" spans="2:5" ht="30" x14ac:dyDescent="0.2">
      <c r="B109" s="66" t="s">
        <v>1080</v>
      </c>
      <c r="C109" s="2" t="s">
        <v>1081</v>
      </c>
    </row>
    <row r="110" spans="2:5" x14ac:dyDescent="0.2">
      <c r="B110" s="66"/>
      <c r="C110" s="3" t="s">
        <v>400</v>
      </c>
    </row>
    <row r="111" spans="2:5" x14ac:dyDescent="0.2">
      <c r="B111" s="66"/>
      <c r="C111" s="4" t="s">
        <v>1054</v>
      </c>
    </row>
    <row r="112" spans="2:5" x14ac:dyDescent="0.2">
      <c r="B112" s="7" t="s">
        <v>252</v>
      </c>
      <c r="C112" s="12" t="e">
        <f>#REF!</f>
        <v>#REF!</v>
      </c>
    </row>
    <row r="113" spans="2:4" x14ac:dyDescent="0.2">
      <c r="B113" t="s">
        <v>262</v>
      </c>
      <c r="C113" s="6" t="e">
        <f>#REF!</f>
        <v>#REF!</v>
      </c>
    </row>
    <row r="114" spans="2:4" x14ac:dyDescent="0.2">
      <c r="B114" s="9" t="s">
        <v>263</v>
      </c>
      <c r="C114" s="10" t="e">
        <f>#REF!</f>
        <v>#REF!</v>
      </c>
    </row>
    <row r="116" spans="2:4" x14ac:dyDescent="0.2">
      <c r="B116" s="66" t="s">
        <v>1128</v>
      </c>
      <c r="C116" s="67" t="s">
        <v>1129</v>
      </c>
      <c r="D116" s="67"/>
    </row>
    <row r="117" spans="2:4" x14ac:dyDescent="0.2">
      <c r="B117" s="66"/>
      <c r="C117" s="68" t="s">
        <v>397</v>
      </c>
      <c r="D117" s="68"/>
    </row>
    <row r="118" spans="2:4" x14ac:dyDescent="0.2">
      <c r="B118" s="66"/>
      <c r="C118" s="4" t="s">
        <v>364</v>
      </c>
      <c r="D118" s="4" t="s">
        <v>725</v>
      </c>
    </row>
    <row r="119" spans="2:4" x14ac:dyDescent="0.2">
      <c r="B119" s="5" t="s">
        <v>984</v>
      </c>
      <c r="C119" s="11" t="e">
        <f>#REF!</f>
        <v>#REF!</v>
      </c>
      <c r="D119" s="11" t="e">
        <f>#REF!</f>
        <v>#REF!</v>
      </c>
    </row>
    <row r="120" spans="2:4" x14ac:dyDescent="0.2">
      <c r="B120" s="5" t="s">
        <v>985</v>
      </c>
      <c r="C120" s="11" t="e">
        <f>#REF!</f>
        <v>#REF!</v>
      </c>
      <c r="D120" s="11" t="e">
        <f>#REF!</f>
        <v>#REF!</v>
      </c>
    </row>
    <row r="121" spans="2:4" x14ac:dyDescent="0.2">
      <c r="B121" s="7" t="s">
        <v>252</v>
      </c>
      <c r="C121" s="12" t="e">
        <f>#REF!</f>
        <v>#REF!</v>
      </c>
      <c r="D121" s="12" t="e">
        <f>#REF!</f>
        <v>#REF!</v>
      </c>
    </row>
    <row r="122" spans="2:4" x14ac:dyDescent="0.2">
      <c r="B122" t="s">
        <v>262</v>
      </c>
      <c r="C122" s="69" t="e">
        <f>#REF!</f>
        <v>#REF!</v>
      </c>
      <c r="D122" s="69"/>
    </row>
    <row r="123" spans="2:4" x14ac:dyDescent="0.2">
      <c r="B123" s="9" t="s">
        <v>263</v>
      </c>
      <c r="C123" s="70" t="e">
        <f>#REF!</f>
        <v>#REF!</v>
      </c>
      <c r="D123" s="70"/>
    </row>
    <row r="125" spans="2:4" x14ac:dyDescent="0.2">
      <c r="B125" s="66" t="s">
        <v>1170</v>
      </c>
      <c r="C125" s="67" t="s">
        <v>1171</v>
      </c>
      <c r="D125" s="67"/>
    </row>
    <row r="126" spans="2:4" x14ac:dyDescent="0.2">
      <c r="B126" s="66"/>
      <c r="C126" s="68" t="s">
        <v>397</v>
      </c>
      <c r="D126" s="68"/>
    </row>
    <row r="127" spans="2:4" x14ac:dyDescent="0.2">
      <c r="B127" s="66"/>
      <c r="C127" s="4" t="s">
        <v>364</v>
      </c>
      <c r="D127" s="4" t="s">
        <v>725</v>
      </c>
    </row>
    <row r="128" spans="2:4" x14ac:dyDescent="0.2">
      <c r="B128" s="7" t="s">
        <v>252</v>
      </c>
      <c r="C128" s="12" t="e">
        <f>#REF!</f>
        <v>#REF!</v>
      </c>
      <c r="D128" s="12" t="e">
        <f>#REF!</f>
        <v>#REF!</v>
      </c>
    </row>
    <row r="129" spans="2:5" x14ac:dyDescent="0.2">
      <c r="B129" t="s">
        <v>262</v>
      </c>
      <c r="C129" s="69" t="e">
        <f>#REF!</f>
        <v>#REF!</v>
      </c>
      <c r="D129" s="69"/>
    </row>
    <row r="130" spans="2:5" x14ac:dyDescent="0.2">
      <c r="B130" s="9" t="s">
        <v>263</v>
      </c>
      <c r="C130" s="70" t="e">
        <f>#REF!</f>
        <v>#REF!</v>
      </c>
      <c r="D130" s="70"/>
    </row>
    <row r="132" spans="2:5" x14ac:dyDescent="0.2">
      <c r="B132" s="66" t="s">
        <v>1215</v>
      </c>
      <c r="C132" s="67" t="s">
        <v>1216</v>
      </c>
      <c r="D132" s="67"/>
      <c r="E132" s="67"/>
    </row>
    <row r="133" spans="2:5" x14ac:dyDescent="0.2">
      <c r="B133" s="66"/>
      <c r="C133" s="68" t="s">
        <v>397</v>
      </c>
      <c r="D133" s="68"/>
      <c r="E133" s="13" t="s">
        <v>400</v>
      </c>
    </row>
    <row r="134" spans="2:5" x14ac:dyDescent="0.2">
      <c r="B134" s="66"/>
      <c r="C134" s="4" t="s">
        <v>364</v>
      </c>
      <c r="D134" s="4" t="s">
        <v>725</v>
      </c>
      <c r="E134" s="14" t="s">
        <v>1054</v>
      </c>
    </row>
    <row r="135" spans="2:5" x14ac:dyDescent="0.2">
      <c r="B135" s="7" t="s">
        <v>252</v>
      </c>
      <c r="C135" s="12" t="e">
        <f>#REF!</f>
        <v>#REF!</v>
      </c>
      <c r="D135" s="12" t="e">
        <f>#REF!</f>
        <v>#REF!</v>
      </c>
      <c r="E135" s="12" t="e">
        <f>#REF!</f>
        <v>#REF!</v>
      </c>
    </row>
    <row r="136" spans="2:5" x14ac:dyDescent="0.2">
      <c r="B136" t="s">
        <v>262</v>
      </c>
      <c r="C136" s="69" t="e">
        <f>#REF!</f>
        <v>#REF!</v>
      </c>
      <c r="D136" s="69"/>
      <c r="E136" s="69"/>
    </row>
    <row r="137" spans="2:5" x14ac:dyDescent="0.2">
      <c r="B137" s="9" t="s">
        <v>263</v>
      </c>
      <c r="C137" s="70" t="e">
        <f>#REF!</f>
        <v>#REF!</v>
      </c>
      <c r="D137" s="70"/>
      <c r="E137" s="70"/>
    </row>
    <row r="139" spans="2:5" x14ac:dyDescent="0.2">
      <c r="B139" s="66" t="s">
        <v>1260</v>
      </c>
      <c r="C139" s="67" t="s">
        <v>1261</v>
      </c>
      <c r="D139" s="67"/>
      <c r="E139" s="67"/>
    </row>
    <row r="140" spans="2:5" x14ac:dyDescent="0.2">
      <c r="B140" s="66"/>
      <c r="C140" s="68" t="s">
        <v>397</v>
      </c>
      <c r="D140" s="68"/>
      <c r="E140" s="13" t="s">
        <v>400</v>
      </c>
    </row>
    <row r="141" spans="2:5" x14ac:dyDescent="0.2">
      <c r="B141" s="66"/>
      <c r="C141" s="4" t="s">
        <v>364</v>
      </c>
      <c r="D141" s="4" t="s">
        <v>725</v>
      </c>
      <c r="E141" s="14" t="s">
        <v>1054</v>
      </c>
    </row>
    <row r="142" spans="2:5" x14ac:dyDescent="0.2">
      <c r="B142" s="7" t="s">
        <v>252</v>
      </c>
      <c r="C142" s="12" t="e">
        <f>#REF!</f>
        <v>#REF!</v>
      </c>
      <c r="D142" s="12" t="e">
        <f>#REF!</f>
        <v>#REF!</v>
      </c>
      <c r="E142" s="12" t="e">
        <f>#REF!</f>
        <v>#REF!</v>
      </c>
    </row>
    <row r="143" spans="2:5" x14ac:dyDescent="0.2">
      <c r="B143" t="s">
        <v>262</v>
      </c>
      <c r="C143" s="69" t="e">
        <f>#REF!</f>
        <v>#REF!</v>
      </c>
      <c r="D143" s="69"/>
      <c r="E143" s="69"/>
    </row>
    <row r="144" spans="2:5" x14ac:dyDescent="0.2">
      <c r="B144" s="9" t="s">
        <v>263</v>
      </c>
      <c r="C144" s="70" t="e">
        <f>#REF!</f>
        <v>#REF!</v>
      </c>
      <c r="D144" s="70"/>
      <c r="E144" s="70"/>
    </row>
    <row r="146" spans="2:3" ht="30" x14ac:dyDescent="0.2">
      <c r="B146" s="66" t="s">
        <v>1294</v>
      </c>
      <c r="C146" s="2" t="s">
        <v>1295</v>
      </c>
    </row>
    <row r="147" spans="2:3" x14ac:dyDescent="0.2">
      <c r="B147" s="66"/>
      <c r="C147" s="3"/>
    </row>
    <row r="148" spans="2:3" x14ac:dyDescent="0.2">
      <c r="B148" s="66"/>
      <c r="C148" s="4" t="s">
        <v>261</v>
      </c>
    </row>
    <row r="149" spans="2:3" x14ac:dyDescent="0.2">
      <c r="B149" s="7" t="s">
        <v>252</v>
      </c>
      <c r="C149" s="8" t="e">
        <f>#REF!</f>
        <v>#REF!</v>
      </c>
    </row>
    <row r="150" spans="2:3" x14ac:dyDescent="0.2">
      <c r="B150" t="s">
        <v>262</v>
      </c>
      <c r="C150" s="6" t="e">
        <f>#REF!</f>
        <v>#REF!</v>
      </c>
    </row>
    <row r="151" spans="2:3" x14ac:dyDescent="0.2">
      <c r="B151" s="9" t="s">
        <v>263</v>
      </c>
      <c r="C151" s="10" t="e">
        <f>#REF!</f>
        <v>#REF!</v>
      </c>
    </row>
    <row r="153" spans="2:3" ht="30" x14ac:dyDescent="0.2">
      <c r="B153" s="66" t="s">
        <v>1338</v>
      </c>
      <c r="C153" s="2" t="s">
        <v>1339</v>
      </c>
    </row>
    <row r="154" spans="2:3" x14ac:dyDescent="0.2">
      <c r="B154" s="66"/>
      <c r="C154" s="3"/>
    </row>
    <row r="155" spans="2:3" x14ac:dyDescent="0.2">
      <c r="B155" s="66"/>
      <c r="C155" s="4" t="s">
        <v>261</v>
      </c>
    </row>
    <row r="156" spans="2:3" x14ac:dyDescent="0.2">
      <c r="B156" s="5" t="s">
        <v>984</v>
      </c>
      <c r="C156" s="6" t="e">
        <f>#REF!</f>
        <v>#REF!</v>
      </c>
    </row>
    <row r="157" spans="2:3" x14ac:dyDescent="0.2">
      <c r="B157" s="5" t="s">
        <v>985</v>
      </c>
      <c r="C157" s="6" t="e">
        <f>#REF!</f>
        <v>#REF!</v>
      </c>
    </row>
    <row r="158" spans="2:3" x14ac:dyDescent="0.2">
      <c r="B158" s="7" t="s">
        <v>252</v>
      </c>
      <c r="C158" s="8" t="e">
        <f>#REF!</f>
        <v>#REF!</v>
      </c>
    </row>
    <row r="159" spans="2:3" x14ac:dyDescent="0.2">
      <c r="B159" t="s">
        <v>262</v>
      </c>
      <c r="C159" s="6" t="e">
        <f>#REF!</f>
        <v>#REF!</v>
      </c>
    </row>
    <row r="160" spans="2:3" x14ac:dyDescent="0.2">
      <c r="B160" s="9" t="s">
        <v>263</v>
      </c>
      <c r="C160" s="10" t="e">
        <f>#REF!</f>
        <v>#REF!</v>
      </c>
    </row>
    <row r="162" spans="2:5" x14ac:dyDescent="0.2">
      <c r="B162" s="66" t="s">
        <v>1389</v>
      </c>
      <c r="C162" s="67" t="s">
        <v>1390</v>
      </c>
      <c r="D162" s="67"/>
      <c r="E162" s="67"/>
    </row>
    <row r="163" spans="2:5" x14ac:dyDescent="0.2">
      <c r="B163" s="66"/>
      <c r="C163" s="68" t="s">
        <v>1375</v>
      </c>
      <c r="D163" s="68"/>
      <c r="E163" s="68"/>
    </row>
    <row r="164" spans="2:5" x14ac:dyDescent="0.2">
      <c r="B164" s="66"/>
      <c r="C164" s="4" t="s">
        <v>277</v>
      </c>
      <c r="D164" s="4" t="s">
        <v>342</v>
      </c>
      <c r="E164" s="4" t="s">
        <v>343</v>
      </c>
    </row>
    <row r="165" spans="2:5" x14ac:dyDescent="0.2">
      <c r="B165" s="7" t="s">
        <v>252</v>
      </c>
      <c r="C165" s="12" t="e">
        <f>#REF!</f>
        <v>#REF!</v>
      </c>
      <c r="D165" s="12" t="e">
        <f>#REF!</f>
        <v>#REF!</v>
      </c>
      <c r="E165" s="12" t="e">
        <f>#REF!</f>
        <v>#REF!</v>
      </c>
    </row>
    <row r="166" spans="2:5" x14ac:dyDescent="0.2">
      <c r="B166" t="s">
        <v>262</v>
      </c>
      <c r="C166" s="69" t="e">
        <f>#REF!</f>
        <v>#REF!</v>
      </c>
      <c r="D166" s="69"/>
      <c r="E166" s="69"/>
    </row>
    <row r="167" spans="2:5" x14ac:dyDescent="0.2">
      <c r="B167" s="9" t="s">
        <v>263</v>
      </c>
      <c r="C167" s="70" t="e">
        <f>#REF!</f>
        <v>#REF!</v>
      </c>
      <c r="D167" s="70"/>
      <c r="E167" s="70"/>
    </row>
    <row r="169" spans="2:5" ht="30" x14ac:dyDescent="0.2">
      <c r="B169" s="66" t="s">
        <v>1437</v>
      </c>
      <c r="C169" s="2" t="s">
        <v>1438</v>
      </c>
    </row>
    <row r="170" spans="2:5" ht="30" x14ac:dyDescent="0.2">
      <c r="B170" s="66"/>
      <c r="C170" s="3" t="s">
        <v>1375</v>
      </c>
    </row>
    <row r="171" spans="2:5" x14ac:dyDescent="0.2">
      <c r="B171" s="66"/>
      <c r="C171" s="4" t="s">
        <v>1054</v>
      </c>
    </row>
    <row r="172" spans="2:5" x14ac:dyDescent="0.2">
      <c r="B172" s="5" t="s">
        <v>984</v>
      </c>
      <c r="C172" s="11" t="e">
        <f>#REF!</f>
        <v>#REF!</v>
      </c>
    </row>
    <row r="173" spans="2:5" x14ac:dyDescent="0.2">
      <c r="B173" s="5" t="s">
        <v>985</v>
      </c>
      <c r="C173" s="11" t="e">
        <f>#REF!</f>
        <v>#REF!</v>
      </c>
    </row>
    <row r="174" spans="2:5" x14ac:dyDescent="0.2">
      <c r="B174" s="7" t="s">
        <v>252</v>
      </c>
      <c r="C174" s="12" t="e">
        <f>#REF!</f>
        <v>#REF!</v>
      </c>
    </row>
    <row r="175" spans="2:5" x14ac:dyDescent="0.2">
      <c r="B175" t="s">
        <v>262</v>
      </c>
      <c r="C175" s="6" t="e">
        <f>#REF!</f>
        <v>#REF!</v>
      </c>
    </row>
    <row r="176" spans="2:5" x14ac:dyDescent="0.2">
      <c r="B176" s="9" t="s">
        <v>263</v>
      </c>
      <c r="C176" s="10" t="e">
        <f>#REF!</f>
        <v>#REF!</v>
      </c>
    </row>
  </sheetData>
  <mergeCells count="64">
    <mergeCell ref="C166:E166"/>
    <mergeCell ref="C167:E167"/>
    <mergeCell ref="B169:B171"/>
    <mergeCell ref="C144:E144"/>
    <mergeCell ref="B146:B148"/>
    <mergeCell ref="B153:B155"/>
    <mergeCell ref="B162:B164"/>
    <mergeCell ref="C162:E162"/>
    <mergeCell ref="C163:E163"/>
    <mergeCell ref="C137:E137"/>
    <mergeCell ref="B139:B141"/>
    <mergeCell ref="C139:E139"/>
    <mergeCell ref="C140:D140"/>
    <mergeCell ref="C143:E143"/>
    <mergeCell ref="C130:D130"/>
    <mergeCell ref="B132:B134"/>
    <mergeCell ref="C132:E132"/>
    <mergeCell ref="C133:D133"/>
    <mergeCell ref="C136:E136"/>
    <mergeCell ref="C123:D123"/>
    <mergeCell ref="B125:B127"/>
    <mergeCell ref="C125:D125"/>
    <mergeCell ref="C126:D126"/>
    <mergeCell ref="C129:D129"/>
    <mergeCell ref="B109:B111"/>
    <mergeCell ref="B116:B118"/>
    <mergeCell ref="C116:D116"/>
    <mergeCell ref="C117:D117"/>
    <mergeCell ref="C122:D122"/>
    <mergeCell ref="B102:B104"/>
    <mergeCell ref="C102:E102"/>
    <mergeCell ref="C103:E103"/>
    <mergeCell ref="C106:E106"/>
    <mergeCell ref="C107:E107"/>
    <mergeCell ref="C70:G70"/>
    <mergeCell ref="C71:G71"/>
    <mergeCell ref="B73:B75"/>
    <mergeCell ref="B82:B84"/>
    <mergeCell ref="B93:B95"/>
    <mergeCell ref="C61:G61"/>
    <mergeCell ref="C62:G62"/>
    <mergeCell ref="B64:B66"/>
    <mergeCell ref="C64:G64"/>
    <mergeCell ref="C65:D65"/>
    <mergeCell ref="E65:G65"/>
    <mergeCell ref="C32:E32"/>
    <mergeCell ref="C33:E33"/>
    <mergeCell ref="B37:B39"/>
    <mergeCell ref="B46:B48"/>
    <mergeCell ref="B55:B57"/>
    <mergeCell ref="C55:G55"/>
    <mergeCell ref="C56:D56"/>
    <mergeCell ref="E56:G56"/>
    <mergeCell ref="C22:E22"/>
    <mergeCell ref="C23:E23"/>
    <mergeCell ref="B25:B27"/>
    <mergeCell ref="C25:E25"/>
    <mergeCell ref="C26:E26"/>
    <mergeCell ref="C1:E1"/>
    <mergeCell ref="C2:E2"/>
    <mergeCell ref="B6:B8"/>
    <mergeCell ref="B16:B18"/>
    <mergeCell ref="C16:E16"/>
    <mergeCell ref="C17:E17"/>
  </mergeCells>
  <conditionalFormatting sqref="C105">
    <cfRule type="cellIs" dxfId="133" priority="49" operator="greaterThanOrEqual">
      <formula>0.03</formula>
    </cfRule>
    <cfRule type="cellIs" dxfId="132" priority="50" operator="lessThanOrEqual">
      <formula>-0.03</formula>
    </cfRule>
  </conditionalFormatting>
  <conditionalFormatting sqref="C112">
    <cfRule type="cellIs" dxfId="131" priority="51" operator="greaterThanOrEqual">
      <formula>0.03</formula>
    </cfRule>
    <cfRule type="cellIs" dxfId="130" priority="52" operator="lessThanOrEqual">
      <formula>-0.03</formula>
    </cfRule>
  </conditionalFormatting>
  <conditionalFormatting sqref="C119 C120 C121">
    <cfRule type="cellIs" dxfId="129" priority="55" operator="greaterThanOrEqual">
      <formula>0.03</formula>
    </cfRule>
    <cfRule type="cellIs" dxfId="128" priority="56" operator="lessThanOrEqual">
      <formula>-0.03</formula>
    </cfRule>
  </conditionalFormatting>
  <conditionalFormatting sqref="C128">
    <cfRule type="cellIs" dxfId="127" priority="59" operator="greaterThanOrEqual">
      <formula>0.03</formula>
    </cfRule>
    <cfRule type="cellIs" dxfId="126" priority="60" operator="lessThanOrEqual">
      <formula>-0.03</formula>
    </cfRule>
  </conditionalFormatting>
  <conditionalFormatting sqref="C135">
    <cfRule type="cellIs" dxfId="125" priority="61" operator="greaterThanOrEqual">
      <formula>0.03</formula>
    </cfRule>
    <cfRule type="cellIs" dxfId="124" priority="62" operator="lessThanOrEqual">
      <formula>-0.03</formula>
    </cfRule>
  </conditionalFormatting>
  <conditionalFormatting sqref="C142">
    <cfRule type="cellIs" dxfId="123" priority="67" operator="greaterThanOrEqual">
      <formula>0.03</formula>
    </cfRule>
    <cfRule type="cellIs" dxfId="122" priority="68" operator="lessThanOrEqual">
      <formula>-0.03</formula>
    </cfRule>
  </conditionalFormatting>
  <conditionalFormatting sqref="C149">
    <cfRule type="cellIs" dxfId="121" priority="73" operator="greaterThanOrEqual">
      <formula>1.03</formula>
    </cfRule>
    <cfRule type="cellIs" dxfId="120" priority="74" operator="lessThanOrEqual">
      <formula>0.97</formula>
    </cfRule>
  </conditionalFormatting>
  <conditionalFormatting sqref="C156 C157 C158">
    <cfRule type="cellIs" dxfId="119" priority="75" operator="greaterThanOrEqual">
      <formula>1.03</formula>
    </cfRule>
    <cfRule type="cellIs" dxfId="118" priority="76" operator="lessThanOrEqual">
      <formula>0.97</formula>
    </cfRule>
  </conditionalFormatting>
  <conditionalFormatting sqref="C165">
    <cfRule type="cellIs" dxfId="117" priority="77" operator="greaterThanOrEqual">
      <formula>0.03</formula>
    </cfRule>
    <cfRule type="cellIs" dxfId="116" priority="78" operator="lessThanOrEqual">
      <formula>-0.03</formula>
    </cfRule>
  </conditionalFormatting>
  <conditionalFormatting sqref="C172 C173 C174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C19 C20 C21">
    <cfRule type="cellIs" dxfId="113" priority="7" operator="greaterThanOrEqual">
      <formula>0.03</formula>
    </cfRule>
    <cfRule type="cellIs" dxfId="112" priority="8" operator="lessThanOrEqual">
      <formula>-0.03</formula>
    </cfRule>
  </conditionalFormatting>
  <conditionalFormatting sqref="C28 C29 C30 C31">
    <cfRule type="cellIs" dxfId="111" priority="13" operator="greaterThanOrEqual">
      <formula>0.03</formula>
    </cfRule>
    <cfRule type="cellIs" dxfId="110" priority="14" operator="lessThanOrEqual">
      <formula>-0.03</formula>
    </cfRule>
  </conditionalFormatting>
  <conditionalFormatting sqref="C40 C41 C42">
    <cfRule type="cellIs" dxfId="109" priority="15" operator="greaterThanOrEqual">
      <formula>1.03</formula>
    </cfRule>
    <cfRule type="cellIs" dxfId="108" priority="16" operator="lessThanOrEqual">
      <formula>0.97</formula>
    </cfRule>
  </conditionalFormatting>
  <conditionalFormatting sqref="C49 C50 C51">
    <cfRule type="cellIs" dxfId="107" priority="17" operator="greaterThanOrEqual">
      <formula>1.03</formula>
    </cfRule>
    <cfRule type="cellIs" dxfId="106" priority="18" operator="lessThanOrEqual">
      <formula>0.97</formula>
    </cfRule>
  </conditionalFormatting>
  <conditionalFormatting sqref="C58 C59 C60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C67 C68 C69">
    <cfRule type="cellIs" dxfId="103" priority="31" operator="greaterThanOrEqual">
      <formula>0.03</formula>
    </cfRule>
    <cfRule type="cellIs" dxfId="102" priority="32" operator="lessThanOrEqual">
      <formula>-0.03</formula>
    </cfRule>
  </conditionalFormatting>
  <conditionalFormatting sqref="C76 C77 C78">
    <cfRule type="cellIs" dxfId="101" priority="39" operator="greaterThanOrEqual">
      <formula>1.03</formula>
    </cfRule>
    <cfRule type="cellIs" dxfId="100" priority="40" operator="lessThanOrEqual">
      <formula>0.97</formula>
    </cfRule>
  </conditionalFormatting>
  <conditionalFormatting sqref="C85 C86 C87">
    <cfRule type="cellIs" dxfId="99" priority="41" operator="greaterThanOrEqual">
      <formula>1.03</formula>
    </cfRule>
    <cfRule type="cellIs" dxfId="98" priority="42" operator="lessThanOrEqual">
      <formula>0.97</formula>
    </cfRule>
  </conditionalFormatting>
  <conditionalFormatting sqref="C9 C10 C11 C12">
    <cfRule type="cellIs" dxfId="97" priority="1" operator="greaterThanOrEqual">
      <formula>1.03</formula>
    </cfRule>
    <cfRule type="cellIs" dxfId="96" priority="2" operator="lessThanOrEqual">
      <formula>0.97</formula>
    </cfRule>
  </conditionalFormatting>
  <conditionalFormatting sqref="C96 C97 C98">
    <cfRule type="cellIs" dxfId="95" priority="43" operator="greaterThanOrEqual">
      <formula>1.03</formula>
    </cfRule>
    <cfRule type="cellIs" dxfId="94" priority="44" operator="lessThanOrEqual">
      <formula>0.97</formula>
    </cfRule>
  </conditionalFormatting>
  <conditionalFormatting sqref="D105">
    <cfRule type="cellIs" dxfId="93" priority="47" operator="greaterThanOrEqual">
      <formula>0.03</formula>
    </cfRule>
    <cfRule type="cellIs" dxfId="92" priority="48" operator="lessThanOrEqual">
      <formula>-0.03</formula>
    </cfRule>
  </conditionalFormatting>
  <conditionalFormatting sqref="D119 D120 D121">
    <cfRule type="cellIs" dxfId="91" priority="53" operator="greaterThanOrEqual">
      <formula>0.03</formula>
    </cfRule>
    <cfRule type="cellIs" dxfId="90" priority="54" operator="lessThanOrEqual">
      <formula>-0.03</formula>
    </cfRule>
  </conditionalFormatting>
  <conditionalFormatting sqref="D128">
    <cfRule type="cellIs" dxfId="89" priority="57" operator="greaterThanOrEqual">
      <formula>0.03</formula>
    </cfRule>
    <cfRule type="cellIs" dxfId="88" priority="58" operator="lessThanOrEqual">
      <formula>-0.03</formula>
    </cfRule>
  </conditionalFormatting>
  <conditionalFormatting sqref="D135">
    <cfRule type="cellIs" dxfId="87" priority="65" operator="greaterThanOrEqual">
      <formula>0.03</formula>
    </cfRule>
    <cfRule type="cellIs" dxfId="86" priority="66" operator="lessThanOrEqual">
      <formula>-0.03</formula>
    </cfRule>
  </conditionalFormatting>
  <conditionalFormatting sqref="D142">
    <cfRule type="cellIs" dxfId="85" priority="71" operator="greaterThanOrEqual">
      <formula>0.03</formula>
    </cfRule>
    <cfRule type="cellIs" dxfId="84" priority="72" operator="lessThanOrEqual">
      <formula>-0.03</formula>
    </cfRule>
  </conditionalFormatting>
  <conditionalFormatting sqref="D165">
    <cfRule type="cellIs" dxfId="83" priority="79" operator="greaterThanOrEqual">
      <formula>0.03</formula>
    </cfRule>
    <cfRule type="cellIs" dxfId="82" priority="80" operator="lessThanOrEqual">
      <formula>-0.03</formula>
    </cfRule>
  </conditionalFormatting>
  <conditionalFormatting sqref="D19 D20 D21">
    <cfRule type="cellIs" dxfId="81" priority="3" operator="greaterThanOrEqual">
      <formula>0.03</formula>
    </cfRule>
    <cfRule type="cellIs" dxfId="80" priority="4" operator="lessThanOrEqual">
      <formula>-0.03</formula>
    </cfRule>
  </conditionalFormatting>
  <conditionalFormatting sqref="D28 D29 D30 D31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D58 D59 D60">
    <cfRule type="cellIs" dxfId="77" priority="23" operator="greaterThanOrEqual">
      <formula>0.03</formula>
    </cfRule>
    <cfRule type="cellIs" dxfId="76" priority="24" operator="lessThanOrEqual">
      <formula>-0.03</formula>
    </cfRule>
  </conditionalFormatting>
  <conditionalFormatting sqref="D67 D68 D69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E105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E135">
    <cfRule type="cellIs" dxfId="71" priority="63" operator="greaterThanOrEqual">
      <formula>0.03</formula>
    </cfRule>
    <cfRule type="cellIs" dxfId="70" priority="64" operator="lessThanOrEqual">
      <formula>-0.03</formula>
    </cfRule>
  </conditionalFormatting>
  <conditionalFormatting sqref="E142">
    <cfRule type="cellIs" dxfId="69" priority="69" operator="greaterThanOrEqual">
      <formula>0.03</formula>
    </cfRule>
    <cfRule type="cellIs" dxfId="68" priority="70" operator="lessThanOrEqual">
      <formula>-0.03</formula>
    </cfRule>
  </conditionalFormatting>
  <conditionalFormatting sqref="E165">
    <cfRule type="cellIs" dxfId="67" priority="81" operator="greaterThanOrEqual">
      <formula>0.03</formula>
    </cfRule>
    <cfRule type="cellIs" dxfId="66" priority="82" operator="lessThanOrEqual">
      <formula>-0.03</formula>
    </cfRule>
  </conditionalFormatting>
  <conditionalFormatting sqref="E19 E20 E21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E28 E29 E30 E31">
    <cfRule type="cellIs" dxfId="63" priority="11" operator="greaterThanOrEqual">
      <formula>0.03</formula>
    </cfRule>
    <cfRule type="cellIs" dxfId="62" priority="12" operator="lessThanOrEqual">
      <formula>-0.03</formula>
    </cfRule>
  </conditionalFormatting>
  <conditionalFormatting sqref="E58 E59 E60">
    <cfRule type="cellIs" dxfId="61" priority="21" operator="greaterThanOrEqual">
      <formula>0.03</formula>
    </cfRule>
    <cfRule type="cellIs" dxfId="60" priority="22" operator="lessThanOrEqual">
      <formula>-0.03</formula>
    </cfRule>
  </conditionalFormatting>
  <conditionalFormatting sqref="E67 E68 E6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F58 F59 F60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F67 F68 F69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G58 G59 G60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G67 G68 G69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32" x14ac:dyDescent="0.2">
      <c r="A1" t="s">
        <v>85</v>
      </c>
      <c r="B1" s="15" t="str">
        <f>M1</f>
        <v>C1.1 losslG,noAttr</v>
      </c>
      <c r="C1" t="s">
        <v>86</v>
      </c>
      <c r="I1" t="s">
        <v>4</v>
      </c>
      <c r="M1" t="s">
        <v>264</v>
      </c>
      <c r="N1" t="s">
        <v>344</v>
      </c>
      <c r="O1" t="s">
        <v>491</v>
      </c>
      <c r="P1" t="s">
        <v>560</v>
      </c>
      <c r="Q1" t="s">
        <v>637</v>
      </c>
      <c r="R1" t="s">
        <v>726</v>
      </c>
      <c r="S1" t="s">
        <v>812</v>
      </c>
      <c r="T1" t="s">
        <v>863</v>
      </c>
      <c r="U1" t="s">
        <v>936</v>
      </c>
      <c r="V1" t="s">
        <v>988</v>
      </c>
      <c r="W1" t="s">
        <v>1039</v>
      </c>
      <c r="X1" t="s">
        <v>1082</v>
      </c>
      <c r="Y1" t="s">
        <v>1130</v>
      </c>
      <c r="Z1" t="s">
        <v>1172</v>
      </c>
      <c r="AA1" t="s">
        <v>1217</v>
      </c>
      <c r="AB1" t="s">
        <v>1262</v>
      </c>
      <c r="AC1" t="s">
        <v>1296</v>
      </c>
      <c r="AD1" t="s">
        <v>1340</v>
      </c>
      <c r="AE1" t="s">
        <v>1391</v>
      </c>
      <c r="AF1" t="s">
        <v>1439</v>
      </c>
    </row>
    <row r="2" spans="1:32" x14ac:dyDescent="0.2">
      <c r="A2" t="s">
        <v>87</v>
      </c>
      <c r="B2" s="15" t="str">
        <f>HLOOKUP(B1,M1:ZZ3,3,0)</f>
        <v>arco_valentino_dense_vox12</v>
      </c>
      <c r="C2" t="s">
        <v>88</v>
      </c>
      <c r="I2" t="s">
        <v>5</v>
      </c>
      <c r="J2" t="s">
        <v>6</v>
      </c>
      <c r="M2" t="s">
        <v>266</v>
      </c>
      <c r="N2" t="s">
        <v>346</v>
      </c>
      <c r="O2" t="s">
        <v>493</v>
      </c>
      <c r="P2" t="s">
        <v>562</v>
      </c>
      <c r="Q2" t="s">
        <v>639</v>
      </c>
      <c r="R2" t="s">
        <v>728</v>
      </c>
      <c r="S2" t="s">
        <v>814</v>
      </c>
      <c r="T2" t="s">
        <v>865</v>
      </c>
      <c r="U2" t="s">
        <v>938</v>
      </c>
      <c r="V2" t="s">
        <v>990</v>
      </c>
      <c r="W2" t="s">
        <v>1041</v>
      </c>
      <c r="X2" t="s">
        <v>1084</v>
      </c>
      <c r="Y2" t="s">
        <v>1132</v>
      </c>
      <c r="Z2" t="s">
        <v>1174</v>
      </c>
      <c r="AA2" t="s">
        <v>1219</v>
      </c>
      <c r="AB2" t="s">
        <v>1264</v>
      </c>
      <c r="AC2" t="s">
        <v>1298</v>
      </c>
      <c r="AD2" t="s">
        <v>1342</v>
      </c>
      <c r="AE2" t="s">
        <v>1393</v>
      </c>
      <c r="AF2" t="s">
        <v>1441</v>
      </c>
    </row>
    <row r="3" spans="1:32" x14ac:dyDescent="0.2">
      <c r="I3" t="s">
        <v>7</v>
      </c>
      <c r="J3" t="s">
        <v>8</v>
      </c>
      <c r="M3" t="s">
        <v>138</v>
      </c>
      <c r="N3" t="s">
        <v>144</v>
      </c>
      <c r="O3" t="s">
        <v>138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966</v>
      </c>
      <c r="W3" t="s">
        <v>966</v>
      </c>
      <c r="X3" t="s">
        <v>966</v>
      </c>
      <c r="Y3" t="s">
        <v>966</v>
      </c>
      <c r="Z3" t="s">
        <v>975</v>
      </c>
      <c r="AA3" t="s">
        <v>975</v>
      </c>
      <c r="AB3" t="s">
        <v>975</v>
      </c>
      <c r="AC3" t="s">
        <v>966</v>
      </c>
      <c r="AD3" t="s">
        <v>966</v>
      </c>
      <c r="AE3" t="s">
        <v>966</v>
      </c>
      <c r="AF3" t="s">
        <v>966</v>
      </c>
    </row>
    <row r="4" spans="1:32" x14ac:dyDescent="0.2">
      <c r="A4" t="s">
        <v>89</v>
      </c>
      <c r="B4" s="15" t="s">
        <v>73</v>
      </c>
      <c r="C4" t="s">
        <v>90</v>
      </c>
      <c r="D4" s="15" t="s">
        <v>15</v>
      </c>
      <c r="E4" t="s">
        <v>91</v>
      </c>
      <c r="I4" t="s">
        <v>9</v>
      </c>
      <c r="J4" t="s">
        <v>10</v>
      </c>
      <c r="M4" t="s">
        <v>141</v>
      </c>
      <c r="N4" t="s">
        <v>150</v>
      </c>
      <c r="O4" t="s">
        <v>141</v>
      </c>
      <c r="P4" t="s">
        <v>542</v>
      </c>
      <c r="Q4" t="s">
        <v>542</v>
      </c>
      <c r="R4" t="s">
        <v>542</v>
      </c>
      <c r="S4" t="s">
        <v>542</v>
      </c>
      <c r="T4" t="s">
        <v>542</v>
      </c>
      <c r="U4" t="s">
        <v>542</v>
      </c>
      <c r="V4" t="s">
        <v>969</v>
      </c>
      <c r="W4" t="s">
        <v>969</v>
      </c>
      <c r="X4" t="s">
        <v>969</v>
      </c>
      <c r="Y4" t="s">
        <v>969</v>
      </c>
      <c r="Z4" t="s">
        <v>978</v>
      </c>
      <c r="AA4" t="s">
        <v>978</v>
      </c>
      <c r="AB4" t="s">
        <v>978</v>
      </c>
      <c r="AC4" t="s">
        <v>969</v>
      </c>
      <c r="AD4" t="s">
        <v>969</v>
      </c>
      <c r="AE4" t="s">
        <v>969</v>
      </c>
      <c r="AF4" t="s">
        <v>969</v>
      </c>
    </row>
    <row r="5" spans="1:32" x14ac:dyDescent="0.2">
      <c r="A5" t="s">
        <v>89</v>
      </c>
      <c r="B5" s="15" t="s">
        <v>73</v>
      </c>
      <c r="C5" t="s">
        <v>90</v>
      </c>
      <c r="D5" s="15" t="s">
        <v>19</v>
      </c>
      <c r="E5" t="s">
        <v>92</v>
      </c>
      <c r="I5" t="s">
        <v>11</v>
      </c>
      <c r="J5" t="s">
        <v>12</v>
      </c>
      <c r="M5" t="s">
        <v>144</v>
      </c>
      <c r="N5" t="s">
        <v>156</v>
      </c>
      <c r="O5" t="s">
        <v>144</v>
      </c>
      <c r="P5" t="s">
        <v>545</v>
      </c>
      <c r="Q5" t="s">
        <v>545</v>
      </c>
      <c r="R5" t="s">
        <v>545</v>
      </c>
      <c r="S5" t="s">
        <v>545</v>
      </c>
      <c r="T5" t="s">
        <v>545</v>
      </c>
      <c r="U5" t="s">
        <v>545</v>
      </c>
      <c r="V5" t="s">
        <v>972</v>
      </c>
      <c r="W5" t="s">
        <v>972</v>
      </c>
      <c r="X5" t="s">
        <v>972</v>
      </c>
      <c r="Y5" t="s">
        <v>972</v>
      </c>
      <c r="Z5" t="s">
        <v>981</v>
      </c>
      <c r="AA5" t="s">
        <v>981</v>
      </c>
      <c r="AB5" t="s">
        <v>981</v>
      </c>
      <c r="AC5" t="s">
        <v>972</v>
      </c>
      <c r="AD5" t="s">
        <v>972</v>
      </c>
      <c r="AE5" t="s">
        <v>972</v>
      </c>
      <c r="AF5" t="s">
        <v>972</v>
      </c>
    </row>
    <row r="6" spans="1:32" x14ac:dyDescent="0.2">
      <c r="A6" t="s">
        <v>89</v>
      </c>
      <c r="B6" s="15" t="s">
        <v>73</v>
      </c>
      <c r="C6" t="s">
        <v>90</v>
      </c>
      <c r="D6" s="15" t="s">
        <v>47</v>
      </c>
      <c r="E6" t="s">
        <v>93</v>
      </c>
      <c r="I6" t="s">
        <v>13</v>
      </c>
      <c r="J6" t="s">
        <v>14</v>
      </c>
      <c r="M6" t="s">
        <v>147</v>
      </c>
      <c r="N6" t="s">
        <v>159</v>
      </c>
      <c r="O6" t="s">
        <v>147</v>
      </c>
      <c r="P6" t="s">
        <v>548</v>
      </c>
      <c r="Q6" t="s">
        <v>548</v>
      </c>
      <c r="R6" t="s">
        <v>548</v>
      </c>
      <c r="S6" t="s">
        <v>548</v>
      </c>
      <c r="T6" t="s">
        <v>548</v>
      </c>
      <c r="U6" t="s">
        <v>548</v>
      </c>
      <c r="V6" t="s">
        <v>975</v>
      </c>
      <c r="Y6" t="s">
        <v>975</v>
      </c>
      <c r="AD6" t="s">
        <v>975</v>
      </c>
      <c r="AF6" t="s">
        <v>975</v>
      </c>
    </row>
    <row r="7" spans="1:32" x14ac:dyDescent="0.2">
      <c r="A7" t="s">
        <v>89</v>
      </c>
      <c r="B7" s="15" t="s">
        <v>73</v>
      </c>
      <c r="C7" t="s">
        <v>90</v>
      </c>
      <c r="D7" s="15" t="s">
        <v>7</v>
      </c>
      <c r="E7" t="s">
        <v>94</v>
      </c>
      <c r="I7" t="s">
        <v>15</v>
      </c>
      <c r="J7" t="s">
        <v>16</v>
      </c>
      <c r="M7" t="s">
        <v>150</v>
      </c>
      <c r="N7" t="s">
        <v>313</v>
      </c>
      <c r="O7" t="s">
        <v>150</v>
      </c>
      <c r="P7" t="s">
        <v>552</v>
      </c>
      <c r="Q7" t="s">
        <v>552</v>
      </c>
      <c r="R7" t="s">
        <v>552</v>
      </c>
      <c r="S7" t="s">
        <v>552</v>
      </c>
      <c r="T7" t="s">
        <v>552</v>
      </c>
      <c r="U7" t="s">
        <v>552</v>
      </c>
      <c r="V7" t="s">
        <v>978</v>
      </c>
      <c r="Y7" t="s">
        <v>978</v>
      </c>
      <c r="AD7" t="s">
        <v>978</v>
      </c>
      <c r="AF7" t="s">
        <v>978</v>
      </c>
    </row>
    <row r="8" spans="1:32" x14ac:dyDescent="0.2">
      <c r="A8" t="s">
        <v>89</v>
      </c>
      <c r="B8" s="15" t="s">
        <v>73</v>
      </c>
      <c r="C8" t="s">
        <v>90</v>
      </c>
      <c r="D8" s="15" t="s">
        <v>11</v>
      </c>
      <c r="E8" t="s">
        <v>95</v>
      </c>
      <c r="I8" t="s">
        <v>17</v>
      </c>
      <c r="J8" t="s">
        <v>18</v>
      </c>
      <c r="M8" t="s">
        <v>153</v>
      </c>
      <c r="N8" t="s">
        <v>168</v>
      </c>
      <c r="O8" t="s">
        <v>153</v>
      </c>
      <c r="V8" t="s">
        <v>981</v>
      </c>
      <c r="Y8" t="s">
        <v>981</v>
      </c>
      <c r="AD8" t="s">
        <v>981</v>
      </c>
      <c r="AF8" t="s">
        <v>981</v>
      </c>
    </row>
    <row r="9" spans="1:32" x14ac:dyDescent="0.2">
      <c r="A9" t="s">
        <v>89</v>
      </c>
      <c r="B9" s="15" t="s">
        <v>73</v>
      </c>
      <c r="C9" t="s">
        <v>90</v>
      </c>
      <c r="D9" s="15" t="s">
        <v>37</v>
      </c>
      <c r="E9" t="s">
        <v>96</v>
      </c>
      <c r="I9" t="s">
        <v>19</v>
      </c>
      <c r="J9" t="s">
        <v>20</v>
      </c>
      <c r="M9" t="s">
        <v>156</v>
      </c>
      <c r="N9" t="s">
        <v>174</v>
      </c>
      <c r="O9" t="s">
        <v>156</v>
      </c>
    </row>
    <row r="10" spans="1:32" x14ac:dyDescent="0.2">
      <c r="I10" t="s">
        <v>21</v>
      </c>
      <c r="J10" t="s">
        <v>22</v>
      </c>
      <c r="M10" t="s">
        <v>159</v>
      </c>
      <c r="N10" t="s">
        <v>177</v>
      </c>
      <c r="O10" t="s">
        <v>159</v>
      </c>
    </row>
    <row r="11" spans="1:32" x14ac:dyDescent="0.2">
      <c r="I11" t="s">
        <v>23</v>
      </c>
      <c r="J11" t="s">
        <v>24</v>
      </c>
      <c r="M11" t="s">
        <v>162</v>
      </c>
      <c r="N11" t="s">
        <v>180</v>
      </c>
      <c r="O11" t="s">
        <v>162</v>
      </c>
    </row>
    <row r="12" spans="1:32" x14ac:dyDescent="0.2">
      <c r="I12" t="s">
        <v>25</v>
      </c>
      <c r="J12" t="s">
        <v>26</v>
      </c>
      <c r="M12" t="s">
        <v>165</v>
      </c>
      <c r="N12" t="s">
        <v>183</v>
      </c>
      <c r="O12" t="s">
        <v>165</v>
      </c>
    </row>
    <row r="13" spans="1:32" x14ac:dyDescent="0.2">
      <c r="I13" t="s">
        <v>27</v>
      </c>
      <c r="J13" t="s">
        <v>28</v>
      </c>
      <c r="M13" t="s">
        <v>168</v>
      </c>
      <c r="N13" t="s">
        <v>192</v>
      </c>
      <c r="O13" t="s">
        <v>168</v>
      </c>
    </row>
    <row r="14" spans="1:32" x14ac:dyDescent="0.2">
      <c r="I14" t="s">
        <v>29</v>
      </c>
      <c r="J14" t="s">
        <v>30</v>
      </c>
      <c r="M14" t="s">
        <v>171</v>
      </c>
      <c r="N14" t="s">
        <v>198</v>
      </c>
      <c r="O14" t="s">
        <v>171</v>
      </c>
    </row>
    <row r="15" spans="1:32" x14ac:dyDescent="0.2">
      <c r="I15" t="s">
        <v>31</v>
      </c>
      <c r="J15" t="s">
        <v>32</v>
      </c>
      <c r="M15" t="s">
        <v>174</v>
      </c>
      <c r="N15" t="s">
        <v>204</v>
      </c>
      <c r="O15" t="s">
        <v>174</v>
      </c>
    </row>
    <row r="16" spans="1:32" x14ac:dyDescent="0.2">
      <c r="I16" t="s">
        <v>33</v>
      </c>
      <c r="J16" t="s">
        <v>34</v>
      </c>
      <c r="M16" t="s">
        <v>177</v>
      </c>
      <c r="N16" t="s">
        <v>210</v>
      </c>
      <c r="O16" t="s">
        <v>177</v>
      </c>
    </row>
    <row r="17" spans="9:15" x14ac:dyDescent="0.2">
      <c r="I17" t="s">
        <v>35</v>
      </c>
      <c r="J17" t="s">
        <v>36</v>
      </c>
      <c r="M17" t="s">
        <v>180</v>
      </c>
      <c r="N17" t="s">
        <v>219</v>
      </c>
      <c r="O17" t="s">
        <v>180</v>
      </c>
    </row>
    <row r="18" spans="9:15" x14ac:dyDescent="0.2">
      <c r="I18" t="s">
        <v>37</v>
      </c>
      <c r="J18" t="s">
        <v>38</v>
      </c>
      <c r="M18" t="s">
        <v>183</v>
      </c>
      <c r="N18" t="s">
        <v>222</v>
      </c>
      <c r="O18" t="s">
        <v>183</v>
      </c>
    </row>
    <row r="19" spans="9:15" x14ac:dyDescent="0.2">
      <c r="I19" t="s">
        <v>39</v>
      </c>
      <c r="J19" t="s">
        <v>40</v>
      </c>
      <c r="M19" t="s">
        <v>186</v>
      </c>
      <c r="O19" t="s">
        <v>186</v>
      </c>
    </row>
    <row r="20" spans="9:15" x14ac:dyDescent="0.2">
      <c r="I20" t="s">
        <v>41</v>
      </c>
      <c r="J20" t="s">
        <v>42</v>
      </c>
      <c r="M20" t="s">
        <v>189</v>
      </c>
      <c r="O20" t="s">
        <v>189</v>
      </c>
    </row>
    <row r="21" spans="9:15" x14ac:dyDescent="0.2">
      <c r="I21" t="s">
        <v>43</v>
      </c>
      <c r="J21" t="s">
        <v>44</v>
      </c>
      <c r="M21" t="s">
        <v>192</v>
      </c>
      <c r="O21" t="s">
        <v>192</v>
      </c>
    </row>
    <row r="22" spans="9:15" x14ac:dyDescent="0.2">
      <c r="I22" t="s">
        <v>45</v>
      </c>
      <c r="J22" t="s">
        <v>46</v>
      </c>
      <c r="M22" t="s">
        <v>195</v>
      </c>
      <c r="O22" t="s">
        <v>195</v>
      </c>
    </row>
    <row r="23" spans="9:15" x14ac:dyDescent="0.2">
      <c r="I23" t="s">
        <v>47</v>
      </c>
      <c r="J23" t="s">
        <v>48</v>
      </c>
      <c r="M23" t="s">
        <v>198</v>
      </c>
      <c r="O23" t="s">
        <v>198</v>
      </c>
    </row>
    <row r="24" spans="9:15" x14ac:dyDescent="0.2">
      <c r="I24" t="s">
        <v>49</v>
      </c>
      <c r="J24" t="s">
        <v>50</v>
      </c>
      <c r="M24" t="s">
        <v>201</v>
      </c>
      <c r="O24" t="s">
        <v>201</v>
      </c>
    </row>
    <row r="25" spans="9:15" x14ac:dyDescent="0.2">
      <c r="I25" t="s">
        <v>51</v>
      </c>
      <c r="J25" t="s">
        <v>52</v>
      </c>
      <c r="M25" t="s">
        <v>204</v>
      </c>
      <c r="O25" t="s">
        <v>204</v>
      </c>
    </row>
    <row r="26" spans="9:15" x14ac:dyDescent="0.2">
      <c r="I26" t="s">
        <v>53</v>
      </c>
      <c r="J26" t="s">
        <v>54</v>
      </c>
      <c r="M26" t="s">
        <v>207</v>
      </c>
      <c r="O26" t="s">
        <v>207</v>
      </c>
    </row>
    <row r="27" spans="9:15" x14ac:dyDescent="0.2">
      <c r="I27" t="s">
        <v>55</v>
      </c>
      <c r="J27" t="s">
        <v>56</v>
      </c>
      <c r="M27" t="s">
        <v>210</v>
      </c>
      <c r="O27" t="s">
        <v>210</v>
      </c>
    </row>
    <row r="28" spans="9:15" x14ac:dyDescent="0.2">
      <c r="I28" t="s">
        <v>57</v>
      </c>
      <c r="J28" t="s">
        <v>58</v>
      </c>
      <c r="M28" t="s">
        <v>213</v>
      </c>
      <c r="O28" t="s">
        <v>213</v>
      </c>
    </row>
    <row r="29" spans="9:15" x14ac:dyDescent="0.2">
      <c r="I29" t="s">
        <v>59</v>
      </c>
      <c r="J29" t="s">
        <v>60</v>
      </c>
      <c r="M29" t="s">
        <v>216</v>
      </c>
      <c r="O29" t="s">
        <v>216</v>
      </c>
    </row>
    <row r="30" spans="9:15" x14ac:dyDescent="0.2">
      <c r="I30" t="s">
        <v>61</v>
      </c>
      <c r="J30" t="s">
        <v>62</v>
      </c>
      <c r="M30" t="s">
        <v>219</v>
      </c>
      <c r="O30" t="s">
        <v>219</v>
      </c>
    </row>
    <row r="31" spans="9:15" x14ac:dyDescent="0.2">
      <c r="I31" t="s">
        <v>63</v>
      </c>
      <c r="J31" t="s">
        <v>64</v>
      </c>
      <c r="M31" t="s">
        <v>222</v>
      </c>
      <c r="O31" t="s">
        <v>222</v>
      </c>
    </row>
    <row r="32" spans="9:15" x14ac:dyDescent="0.2">
      <c r="I32" t="s">
        <v>65</v>
      </c>
      <c r="J32" t="s">
        <v>66</v>
      </c>
      <c r="M32" t="s">
        <v>225</v>
      </c>
      <c r="O32" t="s">
        <v>225</v>
      </c>
    </row>
    <row r="33" spans="9:15" x14ac:dyDescent="0.2">
      <c r="I33" t="s">
        <v>67</v>
      </c>
      <c r="J33" t="s">
        <v>68</v>
      </c>
      <c r="M33" t="s">
        <v>228</v>
      </c>
      <c r="O33" t="s">
        <v>228</v>
      </c>
    </row>
    <row r="34" spans="9:15" x14ac:dyDescent="0.2">
      <c r="I34" t="s">
        <v>69</v>
      </c>
      <c r="J34" t="s">
        <v>70</v>
      </c>
      <c r="M34" t="s">
        <v>231</v>
      </c>
      <c r="O34" t="s">
        <v>231</v>
      </c>
    </row>
    <row r="35" spans="9:15" x14ac:dyDescent="0.2">
      <c r="I35" t="s">
        <v>71</v>
      </c>
      <c r="J35" t="s">
        <v>72</v>
      </c>
      <c r="M35" t="s">
        <v>234</v>
      </c>
      <c r="O35" t="s">
        <v>234</v>
      </c>
    </row>
    <row r="36" spans="9:15" x14ac:dyDescent="0.2">
      <c r="I36" t="s">
        <v>73</v>
      </c>
      <c r="J36" t="s">
        <v>74</v>
      </c>
      <c r="M36" t="s">
        <v>237</v>
      </c>
      <c r="O36" t="s">
        <v>237</v>
      </c>
    </row>
    <row r="37" spans="9:15" x14ac:dyDescent="0.2">
      <c r="I37" t="s">
        <v>75</v>
      </c>
      <c r="J37" t="s">
        <v>76</v>
      </c>
      <c r="M37" t="s">
        <v>240</v>
      </c>
      <c r="O37" t="s">
        <v>240</v>
      </c>
    </row>
    <row r="38" spans="9:15" x14ac:dyDescent="0.2">
      <c r="I38" t="s">
        <v>77</v>
      </c>
      <c r="J38" t="s">
        <v>78</v>
      </c>
      <c r="M38" t="s">
        <v>243</v>
      </c>
      <c r="O38" t="s">
        <v>243</v>
      </c>
    </row>
    <row r="39" spans="9:15" x14ac:dyDescent="0.2">
      <c r="I39" t="s">
        <v>79</v>
      </c>
      <c r="J39" t="s">
        <v>80</v>
      </c>
      <c r="M39" t="s">
        <v>246</v>
      </c>
      <c r="O39" t="s">
        <v>246</v>
      </c>
    </row>
    <row r="40" spans="9:15" x14ac:dyDescent="0.2">
      <c r="I40" t="s">
        <v>81</v>
      </c>
      <c r="J40" t="s">
        <v>82</v>
      </c>
    </row>
    <row r="41" spans="9:15" x14ac:dyDescent="0.2">
      <c r="I41" t="s">
        <v>83</v>
      </c>
      <c r="J41" t="s">
        <v>84</v>
      </c>
    </row>
  </sheetData>
  <conditionalFormatting sqref="B2">
    <cfRule type="expression" dxfId="4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48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5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98</v>
      </c>
      <c r="B1">
        <v>1</v>
      </c>
    </row>
    <row r="2" spans="1:2" x14ac:dyDescent="0.2">
      <c r="A2" t="s">
        <v>100</v>
      </c>
      <c r="B2">
        <v>2</v>
      </c>
    </row>
    <row r="3" spans="1:2" x14ac:dyDescent="0.2">
      <c r="A3" t="s">
        <v>102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106</v>
      </c>
      <c r="B5">
        <v>6</v>
      </c>
    </row>
    <row r="6" spans="1:2" x14ac:dyDescent="0.2">
      <c r="A6" t="s">
        <v>109</v>
      </c>
      <c r="B6">
        <v>7</v>
      </c>
    </row>
    <row r="7" spans="1:2" x14ac:dyDescent="0.2">
      <c r="A7" t="s">
        <v>111</v>
      </c>
      <c r="B7">
        <v>8</v>
      </c>
    </row>
    <row r="8" spans="1:2" x14ac:dyDescent="0.2">
      <c r="A8" t="s">
        <v>113</v>
      </c>
      <c r="B8">
        <v>9</v>
      </c>
    </row>
    <row r="9" spans="1:2" x14ac:dyDescent="0.2">
      <c r="A9" t="s">
        <v>114</v>
      </c>
      <c r="B9">
        <v>10</v>
      </c>
    </row>
    <row r="10" spans="1:2" x14ac:dyDescent="0.2">
      <c r="A10" t="s">
        <v>116</v>
      </c>
      <c r="B10">
        <v>11</v>
      </c>
    </row>
    <row r="11" spans="1:2" x14ac:dyDescent="0.2">
      <c r="A11" t="s">
        <v>117</v>
      </c>
      <c r="B11">
        <v>12</v>
      </c>
    </row>
    <row r="12" spans="1:2" x14ac:dyDescent="0.2">
      <c r="A12" t="s">
        <v>118</v>
      </c>
      <c r="B12">
        <v>13</v>
      </c>
    </row>
    <row r="13" spans="1:2" x14ac:dyDescent="0.2">
      <c r="A13" t="s">
        <v>119</v>
      </c>
      <c r="B13">
        <v>14</v>
      </c>
    </row>
    <row r="14" spans="1:2" x14ac:dyDescent="0.2">
      <c r="A14" t="s">
        <v>120</v>
      </c>
      <c r="B14">
        <v>16</v>
      </c>
    </row>
    <row r="15" spans="1:2" x14ac:dyDescent="0.2">
      <c r="A15" t="s">
        <v>121</v>
      </c>
      <c r="B15">
        <v>17</v>
      </c>
    </row>
    <row r="16" spans="1:2" x14ac:dyDescent="0.2">
      <c r="A16" t="s">
        <v>122</v>
      </c>
      <c r="B16">
        <v>18</v>
      </c>
    </row>
    <row r="17" spans="1:2" x14ac:dyDescent="0.2">
      <c r="A17" t="s">
        <v>123</v>
      </c>
      <c r="B17">
        <v>19</v>
      </c>
    </row>
    <row r="18" spans="1:2" x14ac:dyDescent="0.2">
      <c r="A18" t="s">
        <v>124</v>
      </c>
      <c r="B18">
        <v>20</v>
      </c>
    </row>
    <row r="19" spans="1:2" x14ac:dyDescent="0.2">
      <c r="A19" t="s">
        <v>125</v>
      </c>
      <c r="B19">
        <v>21</v>
      </c>
    </row>
    <row r="20" spans="1:2" x14ac:dyDescent="0.2">
      <c r="A20" t="s">
        <v>126</v>
      </c>
      <c r="B20">
        <v>22</v>
      </c>
    </row>
    <row r="21" spans="1:2" x14ac:dyDescent="0.2">
      <c r="A21" t="s">
        <v>127</v>
      </c>
      <c r="B21">
        <v>23</v>
      </c>
    </row>
    <row r="22" spans="1:2" x14ac:dyDescent="0.2">
      <c r="A22" t="s">
        <v>128</v>
      </c>
      <c r="B22">
        <v>24</v>
      </c>
    </row>
    <row r="23" spans="1:2" x14ac:dyDescent="0.2">
      <c r="A23" t="s">
        <v>130</v>
      </c>
      <c r="B23">
        <v>26</v>
      </c>
    </row>
    <row r="24" spans="1:2" x14ac:dyDescent="0.2">
      <c r="A24" t="s">
        <v>132</v>
      </c>
      <c r="B24">
        <v>27</v>
      </c>
    </row>
    <row r="25" spans="1:2" x14ac:dyDescent="0.2">
      <c r="A25" t="s">
        <v>133</v>
      </c>
      <c r="B25">
        <v>28</v>
      </c>
    </row>
    <row r="26" spans="1:2" x14ac:dyDescent="0.2">
      <c r="A26" t="s">
        <v>134</v>
      </c>
      <c r="B26" t="s">
        <v>135</v>
      </c>
    </row>
    <row r="27" spans="1:2" x14ac:dyDescent="0.2">
      <c r="A27" t="s">
        <v>136</v>
      </c>
      <c r="B27" t="s">
        <v>137</v>
      </c>
    </row>
    <row r="28" spans="1:2" x14ac:dyDescent="0.2">
      <c r="A28" t="s">
        <v>139</v>
      </c>
      <c r="B28" t="s">
        <v>140</v>
      </c>
    </row>
    <row r="29" spans="1:2" x14ac:dyDescent="0.2">
      <c r="A29" t="s">
        <v>142</v>
      </c>
      <c r="B29" t="s">
        <v>143</v>
      </c>
    </row>
    <row r="30" spans="1:2" x14ac:dyDescent="0.2">
      <c r="A30" t="s">
        <v>145</v>
      </c>
      <c r="B30" t="s">
        <v>146</v>
      </c>
    </row>
    <row r="31" spans="1:2" x14ac:dyDescent="0.2">
      <c r="A31" t="s">
        <v>148</v>
      </c>
      <c r="B31" t="s">
        <v>149</v>
      </c>
    </row>
    <row r="32" spans="1:2" x14ac:dyDescent="0.2">
      <c r="A32" t="s">
        <v>151</v>
      </c>
      <c r="B32" t="s">
        <v>152</v>
      </c>
    </row>
    <row r="33" spans="1:2" x14ac:dyDescent="0.2">
      <c r="A33" t="s">
        <v>154</v>
      </c>
      <c r="B33" t="s">
        <v>155</v>
      </c>
    </row>
    <row r="34" spans="1:2" x14ac:dyDescent="0.2">
      <c r="A34" t="s">
        <v>157</v>
      </c>
      <c r="B34" t="s">
        <v>158</v>
      </c>
    </row>
    <row r="35" spans="1:2" x14ac:dyDescent="0.2">
      <c r="A35" t="s">
        <v>160</v>
      </c>
      <c r="B35" t="s">
        <v>161</v>
      </c>
    </row>
    <row r="36" spans="1:2" x14ac:dyDescent="0.2">
      <c r="A36" t="s">
        <v>163</v>
      </c>
      <c r="B36" t="s">
        <v>164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169</v>
      </c>
      <c r="B38" t="s">
        <v>170</v>
      </c>
    </row>
    <row r="39" spans="1:2" x14ac:dyDescent="0.2">
      <c r="A39" t="s">
        <v>172</v>
      </c>
      <c r="B39" t="s">
        <v>173</v>
      </c>
    </row>
    <row r="40" spans="1:2" x14ac:dyDescent="0.2">
      <c r="A40" t="s">
        <v>175</v>
      </c>
      <c r="B40" t="s">
        <v>176</v>
      </c>
    </row>
    <row r="41" spans="1:2" x14ac:dyDescent="0.2">
      <c r="A41" t="s">
        <v>178</v>
      </c>
      <c r="B41" t="s">
        <v>179</v>
      </c>
    </row>
    <row r="42" spans="1:2" x14ac:dyDescent="0.2">
      <c r="A42" t="s">
        <v>181</v>
      </c>
      <c r="B42" t="s">
        <v>182</v>
      </c>
    </row>
    <row r="43" spans="1:2" x14ac:dyDescent="0.2">
      <c r="A43" t="s">
        <v>184</v>
      </c>
      <c r="B43" t="s">
        <v>185</v>
      </c>
    </row>
    <row r="44" spans="1:2" x14ac:dyDescent="0.2">
      <c r="A44" t="s">
        <v>187</v>
      </c>
      <c r="B44" t="s">
        <v>188</v>
      </c>
    </row>
    <row r="45" spans="1:2" x14ac:dyDescent="0.2">
      <c r="A45" t="s">
        <v>190</v>
      </c>
      <c r="B45" t="s">
        <v>191</v>
      </c>
    </row>
    <row r="46" spans="1:2" x14ac:dyDescent="0.2">
      <c r="A46" t="s">
        <v>193</v>
      </c>
      <c r="B46" t="s">
        <v>194</v>
      </c>
    </row>
    <row r="47" spans="1:2" x14ac:dyDescent="0.2">
      <c r="A47" t="s">
        <v>196</v>
      </c>
      <c r="B47" t="s">
        <v>197</v>
      </c>
    </row>
    <row r="48" spans="1:2" x14ac:dyDescent="0.2">
      <c r="A48" t="s">
        <v>199</v>
      </c>
      <c r="B48" t="s">
        <v>200</v>
      </c>
    </row>
    <row r="49" spans="1:2" x14ac:dyDescent="0.2">
      <c r="A49" t="s">
        <v>202</v>
      </c>
      <c r="B49" t="s">
        <v>203</v>
      </c>
    </row>
    <row r="50" spans="1:2" x14ac:dyDescent="0.2">
      <c r="A50" t="s">
        <v>205</v>
      </c>
      <c r="B50" t="s">
        <v>206</v>
      </c>
    </row>
    <row r="51" spans="1:2" x14ac:dyDescent="0.2">
      <c r="A51" t="s">
        <v>208</v>
      </c>
      <c r="B51" t="s">
        <v>209</v>
      </c>
    </row>
    <row r="52" spans="1:2" x14ac:dyDescent="0.2">
      <c r="A52" t="s">
        <v>211</v>
      </c>
      <c r="B52" t="s">
        <v>212</v>
      </c>
    </row>
    <row r="53" spans="1:2" x14ac:dyDescent="0.2">
      <c r="A53" t="s">
        <v>214</v>
      </c>
      <c r="B53" t="s">
        <v>215</v>
      </c>
    </row>
    <row r="54" spans="1:2" x14ac:dyDescent="0.2">
      <c r="A54" t="s">
        <v>217</v>
      </c>
      <c r="B54" t="s">
        <v>218</v>
      </c>
    </row>
    <row r="55" spans="1:2" x14ac:dyDescent="0.2">
      <c r="A55" t="s">
        <v>220</v>
      </c>
      <c r="B55" t="s">
        <v>221</v>
      </c>
    </row>
    <row r="56" spans="1:2" x14ac:dyDescent="0.2">
      <c r="A56" t="s">
        <v>223</v>
      </c>
      <c r="B56" t="s">
        <v>224</v>
      </c>
    </row>
    <row r="57" spans="1:2" x14ac:dyDescent="0.2">
      <c r="A57" t="s">
        <v>226</v>
      </c>
      <c r="B57" t="s">
        <v>227</v>
      </c>
    </row>
    <row r="58" spans="1:2" x14ac:dyDescent="0.2">
      <c r="A58" t="s">
        <v>229</v>
      </c>
      <c r="B58" t="s">
        <v>230</v>
      </c>
    </row>
    <row r="59" spans="1:2" x14ac:dyDescent="0.2">
      <c r="A59" t="s">
        <v>232</v>
      </c>
      <c r="B59" t="s">
        <v>233</v>
      </c>
    </row>
    <row r="60" spans="1:2" x14ac:dyDescent="0.2">
      <c r="A60" t="s">
        <v>235</v>
      </c>
      <c r="B60" t="s">
        <v>236</v>
      </c>
    </row>
    <row r="61" spans="1:2" x14ac:dyDescent="0.2">
      <c r="A61" t="s">
        <v>238</v>
      </c>
      <c r="B61" t="s">
        <v>239</v>
      </c>
    </row>
    <row r="62" spans="1:2" x14ac:dyDescent="0.2">
      <c r="A62" t="s">
        <v>241</v>
      </c>
      <c r="B62" t="s">
        <v>242</v>
      </c>
    </row>
    <row r="63" spans="1:2" x14ac:dyDescent="0.2">
      <c r="A63" t="s">
        <v>244</v>
      </c>
      <c r="B63" t="s">
        <v>245</v>
      </c>
    </row>
    <row r="64" spans="1:2" x14ac:dyDescent="0.2">
      <c r="A64" t="s">
        <v>247</v>
      </c>
      <c r="B64" t="s">
        <v>248</v>
      </c>
    </row>
    <row r="65" spans="1:10" x14ac:dyDescent="0.2">
      <c r="A65" t="s">
        <v>265</v>
      </c>
      <c r="B65" t="s">
        <v>83</v>
      </c>
      <c r="C65" t="s">
        <v>77</v>
      </c>
      <c r="D65" t="s">
        <v>25</v>
      </c>
      <c r="E65" t="s">
        <v>73</v>
      </c>
      <c r="F65" t="s">
        <v>51</v>
      </c>
      <c r="G65" t="s">
        <v>71</v>
      </c>
      <c r="H65" t="s">
        <v>61</v>
      </c>
      <c r="I65" t="s">
        <v>39</v>
      </c>
      <c r="J65" t="s">
        <v>57</v>
      </c>
    </row>
    <row r="66" spans="1:10" x14ac:dyDescent="0.2">
      <c r="A66" t="s">
        <v>267</v>
      </c>
      <c r="B66">
        <v>1</v>
      </c>
    </row>
    <row r="67" spans="1:10" x14ac:dyDescent="0.2">
      <c r="A67" t="s">
        <v>268</v>
      </c>
      <c r="B67">
        <v>2</v>
      </c>
    </row>
    <row r="68" spans="1:10" x14ac:dyDescent="0.2">
      <c r="A68" t="s">
        <v>270</v>
      </c>
      <c r="B68">
        <v>3</v>
      </c>
    </row>
    <row r="69" spans="1:10" x14ac:dyDescent="0.2">
      <c r="A69" t="s">
        <v>271</v>
      </c>
      <c r="B69">
        <v>4</v>
      </c>
    </row>
    <row r="70" spans="1:10" x14ac:dyDescent="0.2">
      <c r="A70" t="s">
        <v>272</v>
      </c>
      <c r="B70">
        <v>5</v>
      </c>
    </row>
    <row r="71" spans="1:10" x14ac:dyDescent="0.2">
      <c r="A71" t="s">
        <v>273</v>
      </c>
      <c r="B71">
        <v>7</v>
      </c>
    </row>
    <row r="72" spans="1:10" x14ac:dyDescent="0.2">
      <c r="A72" t="s">
        <v>274</v>
      </c>
      <c r="B72">
        <v>8</v>
      </c>
    </row>
    <row r="73" spans="1:10" x14ac:dyDescent="0.2">
      <c r="A73" t="s">
        <v>275</v>
      </c>
      <c r="B73">
        <v>9</v>
      </c>
    </row>
    <row r="74" spans="1:10" x14ac:dyDescent="0.2">
      <c r="A74" t="s">
        <v>278</v>
      </c>
      <c r="B74">
        <v>10</v>
      </c>
    </row>
    <row r="75" spans="1:10" x14ac:dyDescent="0.2">
      <c r="A75" t="s">
        <v>280</v>
      </c>
      <c r="B75">
        <v>11</v>
      </c>
    </row>
    <row r="76" spans="1:10" x14ac:dyDescent="0.2">
      <c r="A76" t="s">
        <v>282</v>
      </c>
      <c r="B76">
        <v>12</v>
      </c>
    </row>
    <row r="77" spans="1:10" x14ac:dyDescent="0.2">
      <c r="A77" t="s">
        <v>283</v>
      </c>
      <c r="B77">
        <v>13</v>
      </c>
    </row>
    <row r="78" spans="1:10" x14ac:dyDescent="0.2">
      <c r="A78" t="s">
        <v>284</v>
      </c>
      <c r="B78">
        <v>14</v>
      </c>
    </row>
    <row r="79" spans="1:10" x14ac:dyDescent="0.2">
      <c r="A79" t="s">
        <v>285</v>
      </c>
      <c r="B79">
        <v>16</v>
      </c>
    </row>
    <row r="80" spans="1:10" x14ac:dyDescent="0.2">
      <c r="A80" t="s">
        <v>286</v>
      </c>
      <c r="B80">
        <v>17</v>
      </c>
    </row>
    <row r="81" spans="1:2" x14ac:dyDescent="0.2">
      <c r="A81" t="s">
        <v>287</v>
      </c>
      <c r="B81">
        <v>18</v>
      </c>
    </row>
    <row r="82" spans="1:2" x14ac:dyDescent="0.2">
      <c r="A82" t="s">
        <v>288</v>
      </c>
      <c r="B82">
        <v>19</v>
      </c>
    </row>
    <row r="83" spans="1:2" x14ac:dyDescent="0.2">
      <c r="A83" t="s">
        <v>289</v>
      </c>
      <c r="B83">
        <v>20</v>
      </c>
    </row>
    <row r="84" spans="1:2" x14ac:dyDescent="0.2">
      <c r="A84" t="s">
        <v>290</v>
      </c>
      <c r="B84">
        <v>21</v>
      </c>
    </row>
    <row r="85" spans="1:2" x14ac:dyDescent="0.2">
      <c r="A85" t="s">
        <v>291</v>
      </c>
      <c r="B85">
        <v>22</v>
      </c>
    </row>
    <row r="86" spans="1:2" x14ac:dyDescent="0.2">
      <c r="A86" t="s">
        <v>292</v>
      </c>
      <c r="B86">
        <v>23</v>
      </c>
    </row>
    <row r="87" spans="1:2" x14ac:dyDescent="0.2">
      <c r="A87" t="s">
        <v>294</v>
      </c>
      <c r="B87">
        <v>25</v>
      </c>
    </row>
    <row r="88" spans="1:2" x14ac:dyDescent="0.2">
      <c r="A88" t="s">
        <v>295</v>
      </c>
      <c r="B88">
        <v>26</v>
      </c>
    </row>
    <row r="89" spans="1:2" x14ac:dyDescent="0.2">
      <c r="A89" t="s">
        <v>296</v>
      </c>
      <c r="B89">
        <v>27</v>
      </c>
    </row>
    <row r="90" spans="1:2" x14ac:dyDescent="0.2">
      <c r="A90" t="s">
        <v>297</v>
      </c>
      <c r="B90" t="s">
        <v>298</v>
      </c>
    </row>
    <row r="91" spans="1:2" x14ac:dyDescent="0.2">
      <c r="A91" t="s">
        <v>299</v>
      </c>
      <c r="B91" t="s">
        <v>300</v>
      </c>
    </row>
    <row r="92" spans="1:2" x14ac:dyDescent="0.2">
      <c r="A92" t="s">
        <v>305</v>
      </c>
      <c r="B92" t="s">
        <v>306</v>
      </c>
    </row>
    <row r="93" spans="1:2" x14ac:dyDescent="0.2">
      <c r="A93" t="s">
        <v>307</v>
      </c>
      <c r="B93" t="s">
        <v>308</v>
      </c>
    </row>
    <row r="94" spans="1:2" x14ac:dyDescent="0.2">
      <c r="A94" t="s">
        <v>309</v>
      </c>
      <c r="B94" t="s">
        <v>310</v>
      </c>
    </row>
    <row r="95" spans="1:2" x14ac:dyDescent="0.2">
      <c r="A95" t="s">
        <v>311</v>
      </c>
      <c r="B95" t="s">
        <v>312</v>
      </c>
    </row>
    <row r="96" spans="1:2" x14ac:dyDescent="0.2">
      <c r="A96" t="s">
        <v>314</v>
      </c>
      <c r="B96" t="s">
        <v>315</v>
      </c>
    </row>
    <row r="97" spans="1:9" x14ac:dyDescent="0.2">
      <c r="A97" t="s">
        <v>316</v>
      </c>
      <c r="B97" t="s">
        <v>317</v>
      </c>
    </row>
    <row r="98" spans="1:9" x14ac:dyDescent="0.2">
      <c r="A98" t="s">
        <v>318</v>
      </c>
      <c r="B98" t="s">
        <v>319</v>
      </c>
    </row>
    <row r="99" spans="1:9" x14ac:dyDescent="0.2">
      <c r="A99" t="s">
        <v>320</v>
      </c>
      <c r="B99" t="s">
        <v>321</v>
      </c>
    </row>
    <row r="100" spans="1:9" x14ac:dyDescent="0.2">
      <c r="A100" t="s">
        <v>322</v>
      </c>
      <c r="B100" t="s">
        <v>323</v>
      </c>
    </row>
    <row r="101" spans="1:9" x14ac:dyDescent="0.2">
      <c r="A101" t="s">
        <v>324</v>
      </c>
      <c r="B101" t="s">
        <v>325</v>
      </c>
    </row>
    <row r="102" spans="1:9" x14ac:dyDescent="0.2">
      <c r="A102" t="s">
        <v>326</v>
      </c>
      <c r="B102" t="s">
        <v>327</v>
      </c>
    </row>
    <row r="103" spans="1:9" x14ac:dyDescent="0.2">
      <c r="A103" t="s">
        <v>328</v>
      </c>
      <c r="B103" t="s">
        <v>329</v>
      </c>
    </row>
    <row r="104" spans="1:9" x14ac:dyDescent="0.2">
      <c r="A104" t="s">
        <v>330</v>
      </c>
      <c r="B104" t="s">
        <v>331</v>
      </c>
    </row>
    <row r="105" spans="1:9" x14ac:dyDescent="0.2">
      <c r="A105" t="s">
        <v>332</v>
      </c>
      <c r="B105" t="s">
        <v>333</v>
      </c>
    </row>
    <row r="106" spans="1:9" x14ac:dyDescent="0.2">
      <c r="A106" t="s">
        <v>334</v>
      </c>
      <c r="B106" t="s">
        <v>335</v>
      </c>
    </row>
    <row r="107" spans="1:9" x14ac:dyDescent="0.2">
      <c r="A107" t="s">
        <v>336</v>
      </c>
      <c r="B107" t="s">
        <v>337</v>
      </c>
    </row>
    <row r="108" spans="1:9" x14ac:dyDescent="0.2">
      <c r="A108" t="s">
        <v>345</v>
      </c>
      <c r="B108" t="s">
        <v>47</v>
      </c>
      <c r="C108" t="s">
        <v>49</v>
      </c>
      <c r="D108" t="s">
        <v>11</v>
      </c>
      <c r="E108" t="s">
        <v>25</v>
      </c>
      <c r="F108" t="s">
        <v>7</v>
      </c>
      <c r="G108" t="s">
        <v>75</v>
      </c>
      <c r="H108" t="s">
        <v>61</v>
      </c>
      <c r="I108" t="s">
        <v>39</v>
      </c>
    </row>
    <row r="109" spans="1:9" x14ac:dyDescent="0.2">
      <c r="A109" t="s">
        <v>347</v>
      </c>
      <c r="B109">
        <v>1</v>
      </c>
    </row>
    <row r="110" spans="1:9" x14ac:dyDescent="0.2">
      <c r="A110" t="s">
        <v>348</v>
      </c>
      <c r="B110">
        <v>2</v>
      </c>
    </row>
    <row r="111" spans="1:9" x14ac:dyDescent="0.2">
      <c r="A111" t="s">
        <v>349</v>
      </c>
      <c r="B111">
        <v>3</v>
      </c>
    </row>
    <row r="112" spans="1:9" x14ac:dyDescent="0.2">
      <c r="A112" t="s">
        <v>350</v>
      </c>
      <c r="B112">
        <v>4</v>
      </c>
    </row>
    <row r="113" spans="1:2" x14ac:dyDescent="0.2">
      <c r="A113" t="s">
        <v>351</v>
      </c>
      <c r="B113">
        <v>5</v>
      </c>
    </row>
    <row r="114" spans="1:2" x14ac:dyDescent="0.2">
      <c r="A114" t="s">
        <v>352</v>
      </c>
      <c r="B114">
        <v>7</v>
      </c>
    </row>
    <row r="115" spans="1:2" x14ac:dyDescent="0.2">
      <c r="A115" t="s">
        <v>353</v>
      </c>
      <c r="B115">
        <v>8</v>
      </c>
    </row>
    <row r="116" spans="1:2" x14ac:dyDescent="0.2">
      <c r="A116" t="s">
        <v>354</v>
      </c>
      <c r="B116">
        <v>9</v>
      </c>
    </row>
    <row r="117" spans="1:2" x14ac:dyDescent="0.2">
      <c r="A117" t="s">
        <v>356</v>
      </c>
      <c r="B117">
        <v>10</v>
      </c>
    </row>
    <row r="118" spans="1:2" x14ac:dyDescent="0.2">
      <c r="A118" t="s">
        <v>357</v>
      </c>
      <c r="B118">
        <v>11</v>
      </c>
    </row>
    <row r="119" spans="1:2" x14ac:dyDescent="0.2">
      <c r="A119" t="s">
        <v>358</v>
      </c>
      <c r="B119">
        <v>12</v>
      </c>
    </row>
    <row r="120" spans="1:2" x14ac:dyDescent="0.2">
      <c r="A120" t="s">
        <v>359</v>
      </c>
      <c r="B120">
        <v>13</v>
      </c>
    </row>
    <row r="121" spans="1:2" x14ac:dyDescent="0.2">
      <c r="A121" t="s">
        <v>360</v>
      </c>
      <c r="B121">
        <v>14</v>
      </c>
    </row>
    <row r="122" spans="1:2" x14ac:dyDescent="0.2">
      <c r="A122" t="s">
        <v>362</v>
      </c>
      <c r="B122">
        <v>15</v>
      </c>
    </row>
    <row r="123" spans="1:2" x14ac:dyDescent="0.2">
      <c r="A123" t="s">
        <v>365</v>
      </c>
      <c r="B123">
        <v>16</v>
      </c>
    </row>
    <row r="124" spans="1:2" x14ac:dyDescent="0.2">
      <c r="A124" t="s">
        <v>367</v>
      </c>
      <c r="B124">
        <v>17</v>
      </c>
    </row>
    <row r="125" spans="1:2" x14ac:dyDescent="0.2">
      <c r="A125" t="s">
        <v>368</v>
      </c>
      <c r="B125">
        <v>18</v>
      </c>
    </row>
    <row r="126" spans="1:2" x14ac:dyDescent="0.2">
      <c r="A126" t="s">
        <v>369</v>
      </c>
      <c r="B126">
        <v>19</v>
      </c>
    </row>
    <row r="127" spans="1:2" x14ac:dyDescent="0.2">
      <c r="A127" t="s">
        <v>370</v>
      </c>
      <c r="B127">
        <v>20</v>
      </c>
    </row>
    <row r="128" spans="1:2" x14ac:dyDescent="0.2">
      <c r="A128" t="s">
        <v>371</v>
      </c>
      <c r="B128">
        <v>21</v>
      </c>
    </row>
    <row r="129" spans="1:2" x14ac:dyDescent="0.2">
      <c r="A129" t="s">
        <v>372</v>
      </c>
      <c r="B129">
        <v>22</v>
      </c>
    </row>
    <row r="130" spans="1:2" x14ac:dyDescent="0.2">
      <c r="A130" t="s">
        <v>373</v>
      </c>
      <c r="B130">
        <v>23</v>
      </c>
    </row>
    <row r="131" spans="1:2" x14ac:dyDescent="0.2">
      <c r="A131" t="s">
        <v>374</v>
      </c>
      <c r="B131">
        <v>24</v>
      </c>
    </row>
    <row r="132" spans="1:2" x14ac:dyDescent="0.2">
      <c r="A132" t="s">
        <v>375</v>
      </c>
      <c r="B132">
        <v>25</v>
      </c>
    </row>
    <row r="133" spans="1:2" x14ac:dyDescent="0.2">
      <c r="A133" t="s">
        <v>376</v>
      </c>
      <c r="B133">
        <v>27</v>
      </c>
    </row>
    <row r="134" spans="1:2" x14ac:dyDescent="0.2">
      <c r="A134" t="s">
        <v>377</v>
      </c>
      <c r="B134">
        <v>28</v>
      </c>
    </row>
    <row r="135" spans="1:2" x14ac:dyDescent="0.2">
      <c r="A135" t="s">
        <v>378</v>
      </c>
      <c r="B135">
        <v>29</v>
      </c>
    </row>
    <row r="136" spans="1:2" x14ac:dyDescent="0.2">
      <c r="A136" t="s">
        <v>379</v>
      </c>
      <c r="B136">
        <v>30</v>
      </c>
    </row>
    <row r="137" spans="1:2" x14ac:dyDescent="0.2">
      <c r="A137" t="s">
        <v>380</v>
      </c>
      <c r="B137">
        <v>31</v>
      </c>
    </row>
    <row r="138" spans="1:2" x14ac:dyDescent="0.2">
      <c r="A138" t="s">
        <v>381</v>
      </c>
      <c r="B138">
        <v>32</v>
      </c>
    </row>
    <row r="139" spans="1:2" x14ac:dyDescent="0.2">
      <c r="A139" t="s">
        <v>382</v>
      </c>
      <c r="B139">
        <v>33</v>
      </c>
    </row>
    <row r="140" spans="1:2" x14ac:dyDescent="0.2">
      <c r="A140" t="s">
        <v>383</v>
      </c>
      <c r="B140">
        <v>34</v>
      </c>
    </row>
    <row r="141" spans="1:2" x14ac:dyDescent="0.2">
      <c r="A141" t="s">
        <v>384</v>
      </c>
      <c r="B141">
        <v>35</v>
      </c>
    </row>
    <row r="142" spans="1:2" x14ac:dyDescent="0.2">
      <c r="A142" t="s">
        <v>385</v>
      </c>
      <c r="B142">
        <v>36</v>
      </c>
    </row>
    <row r="143" spans="1:2" x14ac:dyDescent="0.2">
      <c r="A143" t="s">
        <v>386</v>
      </c>
      <c r="B143">
        <v>37</v>
      </c>
    </row>
    <row r="144" spans="1:2" x14ac:dyDescent="0.2">
      <c r="A144" t="s">
        <v>387</v>
      </c>
      <c r="B144">
        <v>38</v>
      </c>
    </row>
    <row r="145" spans="1:2" x14ac:dyDescent="0.2">
      <c r="A145" t="s">
        <v>388</v>
      </c>
      <c r="B145">
        <v>39</v>
      </c>
    </row>
    <row r="146" spans="1:2" x14ac:dyDescent="0.2">
      <c r="A146" t="s">
        <v>389</v>
      </c>
      <c r="B146">
        <v>40</v>
      </c>
    </row>
    <row r="147" spans="1:2" x14ac:dyDescent="0.2">
      <c r="A147" t="s">
        <v>390</v>
      </c>
      <c r="B147">
        <v>41</v>
      </c>
    </row>
    <row r="148" spans="1:2" x14ac:dyDescent="0.2">
      <c r="A148" t="s">
        <v>391</v>
      </c>
      <c r="B148">
        <v>42</v>
      </c>
    </row>
    <row r="149" spans="1:2" x14ac:dyDescent="0.2">
      <c r="A149" t="s">
        <v>392</v>
      </c>
      <c r="B149">
        <v>43</v>
      </c>
    </row>
    <row r="150" spans="1:2" x14ac:dyDescent="0.2">
      <c r="A150" t="s">
        <v>393</v>
      </c>
      <c r="B150">
        <v>44</v>
      </c>
    </row>
    <row r="151" spans="1:2" x14ac:dyDescent="0.2">
      <c r="A151" t="s">
        <v>394</v>
      </c>
      <c r="B151">
        <v>45</v>
      </c>
    </row>
    <row r="152" spans="1:2" x14ac:dyDescent="0.2">
      <c r="A152" t="s">
        <v>395</v>
      </c>
      <c r="B152">
        <v>47</v>
      </c>
    </row>
    <row r="153" spans="1:2" x14ac:dyDescent="0.2">
      <c r="A153" t="s">
        <v>396</v>
      </c>
      <c r="B153">
        <v>48</v>
      </c>
    </row>
    <row r="154" spans="1:2" x14ac:dyDescent="0.2">
      <c r="A154" t="s">
        <v>398</v>
      </c>
      <c r="B154">
        <v>50</v>
      </c>
    </row>
    <row r="155" spans="1:2" x14ac:dyDescent="0.2">
      <c r="A155" t="s">
        <v>399</v>
      </c>
      <c r="B155">
        <v>51</v>
      </c>
    </row>
    <row r="156" spans="1:2" x14ac:dyDescent="0.2">
      <c r="A156" t="s">
        <v>401</v>
      </c>
      <c r="B156">
        <v>52</v>
      </c>
    </row>
    <row r="157" spans="1:2" x14ac:dyDescent="0.2">
      <c r="A157" t="s">
        <v>402</v>
      </c>
      <c r="B157">
        <v>53</v>
      </c>
    </row>
    <row r="158" spans="1:2" x14ac:dyDescent="0.2">
      <c r="A158" t="s">
        <v>403</v>
      </c>
      <c r="B158">
        <v>54</v>
      </c>
    </row>
    <row r="159" spans="1:2" x14ac:dyDescent="0.2">
      <c r="A159" t="s">
        <v>404</v>
      </c>
      <c r="B159">
        <v>56</v>
      </c>
    </row>
    <row r="160" spans="1:2" x14ac:dyDescent="0.2">
      <c r="A160" t="s">
        <v>405</v>
      </c>
      <c r="B160">
        <v>57</v>
      </c>
    </row>
    <row r="161" spans="1:2" x14ac:dyDescent="0.2">
      <c r="A161" t="s">
        <v>406</v>
      </c>
      <c r="B161">
        <v>58</v>
      </c>
    </row>
    <row r="162" spans="1:2" x14ac:dyDescent="0.2">
      <c r="A162" t="s">
        <v>407</v>
      </c>
      <c r="B162">
        <v>60</v>
      </c>
    </row>
    <row r="163" spans="1:2" x14ac:dyDescent="0.2">
      <c r="A163" t="s">
        <v>408</v>
      </c>
      <c r="B163">
        <v>61</v>
      </c>
    </row>
    <row r="164" spans="1:2" x14ac:dyDescent="0.2">
      <c r="A164" t="s">
        <v>409</v>
      </c>
      <c r="B164">
        <v>62</v>
      </c>
    </row>
    <row r="165" spans="1:2" x14ac:dyDescent="0.2">
      <c r="A165" t="s">
        <v>410</v>
      </c>
      <c r="B165" t="s">
        <v>411</v>
      </c>
    </row>
    <row r="166" spans="1:2" x14ac:dyDescent="0.2">
      <c r="A166" t="s">
        <v>412</v>
      </c>
      <c r="B166" t="s">
        <v>413</v>
      </c>
    </row>
    <row r="167" spans="1:2" x14ac:dyDescent="0.2">
      <c r="A167" t="s">
        <v>415</v>
      </c>
      <c r="B167" t="s">
        <v>416</v>
      </c>
    </row>
    <row r="168" spans="1:2" x14ac:dyDescent="0.2">
      <c r="A168" t="s">
        <v>417</v>
      </c>
      <c r="B168" t="s">
        <v>418</v>
      </c>
    </row>
    <row r="169" spans="1:2" x14ac:dyDescent="0.2">
      <c r="A169" t="s">
        <v>419</v>
      </c>
      <c r="B169" t="s">
        <v>420</v>
      </c>
    </row>
    <row r="170" spans="1:2" x14ac:dyDescent="0.2">
      <c r="A170" t="s">
        <v>421</v>
      </c>
      <c r="B170" t="s">
        <v>422</v>
      </c>
    </row>
    <row r="171" spans="1:2" x14ac:dyDescent="0.2">
      <c r="A171" t="s">
        <v>423</v>
      </c>
      <c r="B171" t="s">
        <v>424</v>
      </c>
    </row>
    <row r="172" spans="1:2" x14ac:dyDescent="0.2">
      <c r="A172" t="s">
        <v>425</v>
      </c>
      <c r="B172" t="s">
        <v>426</v>
      </c>
    </row>
    <row r="173" spans="1:2" x14ac:dyDescent="0.2">
      <c r="A173" t="s">
        <v>427</v>
      </c>
      <c r="B173" t="s">
        <v>428</v>
      </c>
    </row>
    <row r="174" spans="1:2" x14ac:dyDescent="0.2">
      <c r="A174" t="s">
        <v>429</v>
      </c>
      <c r="B174" t="s">
        <v>430</v>
      </c>
    </row>
    <row r="175" spans="1:2" x14ac:dyDescent="0.2">
      <c r="A175" t="s">
        <v>431</v>
      </c>
      <c r="B175" t="s">
        <v>432</v>
      </c>
    </row>
    <row r="176" spans="1:2" x14ac:dyDescent="0.2">
      <c r="A176" t="s">
        <v>433</v>
      </c>
      <c r="B176" t="s">
        <v>434</v>
      </c>
    </row>
    <row r="177" spans="1:2" x14ac:dyDescent="0.2">
      <c r="A177" t="s">
        <v>435</v>
      </c>
      <c r="B177" t="s">
        <v>436</v>
      </c>
    </row>
    <row r="178" spans="1:2" x14ac:dyDescent="0.2">
      <c r="A178" t="s">
        <v>437</v>
      </c>
      <c r="B178" t="s">
        <v>438</v>
      </c>
    </row>
    <row r="179" spans="1:2" x14ac:dyDescent="0.2">
      <c r="A179" t="s">
        <v>439</v>
      </c>
      <c r="B179" t="s">
        <v>440</v>
      </c>
    </row>
    <row r="180" spans="1:2" x14ac:dyDescent="0.2">
      <c r="A180" t="s">
        <v>441</v>
      </c>
      <c r="B180" t="s">
        <v>442</v>
      </c>
    </row>
    <row r="181" spans="1:2" x14ac:dyDescent="0.2">
      <c r="A181" t="s">
        <v>443</v>
      </c>
      <c r="B181" t="s">
        <v>444</v>
      </c>
    </row>
    <row r="182" spans="1:2" x14ac:dyDescent="0.2">
      <c r="A182" t="s">
        <v>445</v>
      </c>
      <c r="B182" t="s">
        <v>446</v>
      </c>
    </row>
    <row r="183" spans="1:2" x14ac:dyDescent="0.2">
      <c r="A183" t="s">
        <v>447</v>
      </c>
      <c r="B183" t="s">
        <v>448</v>
      </c>
    </row>
    <row r="184" spans="1:2" x14ac:dyDescent="0.2">
      <c r="A184" t="s">
        <v>449</v>
      </c>
      <c r="B184" t="s">
        <v>450</v>
      </c>
    </row>
    <row r="185" spans="1:2" x14ac:dyDescent="0.2">
      <c r="A185" t="s">
        <v>451</v>
      </c>
      <c r="B185" t="s">
        <v>452</v>
      </c>
    </row>
    <row r="186" spans="1:2" x14ac:dyDescent="0.2">
      <c r="A186" t="s">
        <v>453</v>
      </c>
      <c r="B186" t="s">
        <v>454</v>
      </c>
    </row>
    <row r="187" spans="1:2" x14ac:dyDescent="0.2">
      <c r="A187" t="s">
        <v>455</v>
      </c>
      <c r="B187" t="s">
        <v>456</v>
      </c>
    </row>
    <row r="188" spans="1:2" x14ac:dyDescent="0.2">
      <c r="A188" t="s">
        <v>457</v>
      </c>
      <c r="B188" t="s">
        <v>458</v>
      </c>
    </row>
    <row r="189" spans="1:2" x14ac:dyDescent="0.2">
      <c r="A189" t="s">
        <v>459</v>
      </c>
      <c r="B189" t="s">
        <v>460</v>
      </c>
    </row>
    <row r="190" spans="1:2" x14ac:dyDescent="0.2">
      <c r="A190" t="s">
        <v>461</v>
      </c>
      <c r="B190" t="s">
        <v>462</v>
      </c>
    </row>
    <row r="191" spans="1:2" x14ac:dyDescent="0.2">
      <c r="A191" t="s">
        <v>463</v>
      </c>
      <c r="B191" t="s">
        <v>464</v>
      </c>
    </row>
    <row r="192" spans="1:2" x14ac:dyDescent="0.2">
      <c r="A192" t="s">
        <v>465</v>
      </c>
      <c r="B192" t="s">
        <v>466</v>
      </c>
    </row>
    <row r="193" spans="1:20" x14ac:dyDescent="0.2">
      <c r="A193" t="s">
        <v>467</v>
      </c>
      <c r="B193" t="s">
        <v>468</v>
      </c>
    </row>
    <row r="194" spans="1:20" x14ac:dyDescent="0.2">
      <c r="A194" t="s">
        <v>469</v>
      </c>
      <c r="B194" t="s">
        <v>470</v>
      </c>
    </row>
    <row r="195" spans="1:20" x14ac:dyDescent="0.2">
      <c r="A195" t="s">
        <v>471</v>
      </c>
      <c r="B195" t="s">
        <v>472</v>
      </c>
    </row>
    <row r="196" spans="1:20" x14ac:dyDescent="0.2">
      <c r="A196" t="s">
        <v>473</v>
      </c>
      <c r="B196" t="s">
        <v>474</v>
      </c>
    </row>
    <row r="197" spans="1:20" x14ac:dyDescent="0.2">
      <c r="A197" t="s">
        <v>475</v>
      </c>
      <c r="B197" t="s">
        <v>476</v>
      </c>
    </row>
    <row r="198" spans="1:20" x14ac:dyDescent="0.2">
      <c r="A198" t="s">
        <v>477</v>
      </c>
      <c r="B198" t="s">
        <v>478</v>
      </c>
    </row>
    <row r="199" spans="1:20" x14ac:dyDescent="0.2">
      <c r="A199" t="s">
        <v>479</v>
      </c>
      <c r="B199" t="s">
        <v>480</v>
      </c>
    </row>
    <row r="200" spans="1:20" x14ac:dyDescent="0.2">
      <c r="A200" t="s">
        <v>481</v>
      </c>
      <c r="B200" t="s">
        <v>482</v>
      </c>
    </row>
    <row r="201" spans="1:20" x14ac:dyDescent="0.2">
      <c r="A201" t="s">
        <v>483</v>
      </c>
      <c r="B201" t="s">
        <v>484</v>
      </c>
    </row>
    <row r="202" spans="1:20" x14ac:dyDescent="0.2">
      <c r="A202" t="s">
        <v>485</v>
      </c>
      <c r="B202" t="s">
        <v>486</v>
      </c>
    </row>
    <row r="203" spans="1:20" x14ac:dyDescent="0.2">
      <c r="A203" t="s">
        <v>487</v>
      </c>
      <c r="B203" t="s">
        <v>488</v>
      </c>
    </row>
    <row r="204" spans="1:20" x14ac:dyDescent="0.2">
      <c r="A204" t="s">
        <v>492</v>
      </c>
      <c r="B204" t="s">
        <v>29</v>
      </c>
      <c r="C204" t="s">
        <v>25</v>
      </c>
      <c r="D204" t="s">
        <v>15</v>
      </c>
      <c r="E204" t="s">
        <v>73</v>
      </c>
      <c r="F204" t="s">
        <v>51</v>
      </c>
      <c r="G204" t="s">
        <v>77</v>
      </c>
      <c r="H204" t="s">
        <v>75</v>
      </c>
      <c r="I204" t="s">
        <v>7</v>
      </c>
      <c r="J204" t="s">
        <v>57</v>
      </c>
      <c r="K204" t="s">
        <v>19</v>
      </c>
      <c r="L204" t="s">
        <v>31</v>
      </c>
      <c r="M204" t="s">
        <v>47</v>
      </c>
      <c r="N204" t="s">
        <v>61</v>
      </c>
      <c r="O204" t="s">
        <v>39</v>
      </c>
      <c r="P204" t="s">
        <v>33</v>
      </c>
      <c r="Q204" t="s">
        <v>83</v>
      </c>
      <c r="R204" t="s">
        <v>49</v>
      </c>
      <c r="S204" t="s">
        <v>71</v>
      </c>
      <c r="T204" t="s">
        <v>11</v>
      </c>
    </row>
    <row r="205" spans="1:20" x14ac:dyDescent="0.2">
      <c r="A205" t="s">
        <v>494</v>
      </c>
      <c r="B205">
        <v>1</v>
      </c>
    </row>
    <row r="206" spans="1:20" x14ac:dyDescent="0.2">
      <c r="A206" t="s">
        <v>495</v>
      </c>
      <c r="B206">
        <v>2</v>
      </c>
    </row>
    <row r="207" spans="1:20" x14ac:dyDescent="0.2">
      <c r="A207" t="s">
        <v>496</v>
      </c>
      <c r="B207">
        <v>3</v>
      </c>
    </row>
    <row r="208" spans="1:20" x14ac:dyDescent="0.2">
      <c r="A208" t="s">
        <v>497</v>
      </c>
      <c r="B208">
        <v>4</v>
      </c>
    </row>
    <row r="209" spans="1:2" x14ac:dyDescent="0.2">
      <c r="A209" t="s">
        <v>499</v>
      </c>
      <c r="B209">
        <v>5</v>
      </c>
    </row>
    <row r="210" spans="1:2" x14ac:dyDescent="0.2">
      <c r="A210" t="s">
        <v>501</v>
      </c>
      <c r="B210">
        <v>6</v>
      </c>
    </row>
    <row r="211" spans="1:2" x14ac:dyDescent="0.2">
      <c r="A211" t="s">
        <v>502</v>
      </c>
      <c r="B211">
        <v>8</v>
      </c>
    </row>
    <row r="212" spans="1:2" x14ac:dyDescent="0.2">
      <c r="A212" t="s">
        <v>504</v>
      </c>
      <c r="B212">
        <v>9</v>
      </c>
    </row>
    <row r="213" spans="1:2" x14ac:dyDescent="0.2">
      <c r="A213" t="s">
        <v>506</v>
      </c>
      <c r="B213">
        <v>10</v>
      </c>
    </row>
    <row r="214" spans="1:2" x14ac:dyDescent="0.2">
      <c r="A214" t="s">
        <v>507</v>
      </c>
      <c r="B214">
        <v>11</v>
      </c>
    </row>
    <row r="215" spans="1:2" x14ac:dyDescent="0.2">
      <c r="A215" t="s">
        <v>508</v>
      </c>
      <c r="B215">
        <v>12</v>
      </c>
    </row>
    <row r="216" spans="1:2" x14ac:dyDescent="0.2">
      <c r="A216" t="s">
        <v>510</v>
      </c>
      <c r="B216">
        <v>13</v>
      </c>
    </row>
    <row r="217" spans="1:2" x14ac:dyDescent="0.2">
      <c r="A217" t="s">
        <v>511</v>
      </c>
      <c r="B217">
        <v>14</v>
      </c>
    </row>
    <row r="218" spans="1:2" x14ac:dyDescent="0.2">
      <c r="A218" t="s">
        <v>512</v>
      </c>
      <c r="B218">
        <v>15</v>
      </c>
    </row>
    <row r="219" spans="1:2" x14ac:dyDescent="0.2">
      <c r="A219" t="s">
        <v>515</v>
      </c>
      <c r="B219">
        <v>16</v>
      </c>
    </row>
    <row r="220" spans="1:2" x14ac:dyDescent="0.2">
      <c r="A220" t="s">
        <v>517</v>
      </c>
      <c r="B220">
        <v>17</v>
      </c>
    </row>
    <row r="221" spans="1:2" x14ac:dyDescent="0.2">
      <c r="A221" t="s">
        <v>519</v>
      </c>
      <c r="B221">
        <v>18</v>
      </c>
    </row>
    <row r="222" spans="1:2" x14ac:dyDescent="0.2">
      <c r="A222" t="s">
        <v>520</v>
      </c>
      <c r="B222">
        <v>19</v>
      </c>
    </row>
    <row r="223" spans="1:2" x14ac:dyDescent="0.2">
      <c r="A223" t="s">
        <v>521</v>
      </c>
      <c r="B223">
        <v>21</v>
      </c>
    </row>
    <row r="224" spans="1:2" x14ac:dyDescent="0.2">
      <c r="A224" t="s">
        <v>522</v>
      </c>
      <c r="B224">
        <v>22</v>
      </c>
    </row>
    <row r="225" spans="1:2" x14ac:dyDescent="0.2">
      <c r="A225" t="s">
        <v>523</v>
      </c>
      <c r="B225">
        <v>23</v>
      </c>
    </row>
    <row r="226" spans="1:2" x14ac:dyDescent="0.2">
      <c r="A226" t="s">
        <v>524</v>
      </c>
      <c r="B226">
        <v>24</v>
      </c>
    </row>
    <row r="227" spans="1:2" x14ac:dyDescent="0.2">
      <c r="A227" t="s">
        <v>525</v>
      </c>
      <c r="B227">
        <v>25</v>
      </c>
    </row>
    <row r="228" spans="1:2" x14ac:dyDescent="0.2">
      <c r="A228" t="s">
        <v>526</v>
      </c>
      <c r="B228">
        <v>26</v>
      </c>
    </row>
    <row r="229" spans="1:2" x14ac:dyDescent="0.2">
      <c r="A229" t="s">
        <v>527</v>
      </c>
      <c r="B229">
        <v>27</v>
      </c>
    </row>
    <row r="230" spans="1:2" x14ac:dyDescent="0.2">
      <c r="A230" t="s">
        <v>528</v>
      </c>
      <c r="B230">
        <v>28</v>
      </c>
    </row>
    <row r="231" spans="1:2" x14ac:dyDescent="0.2">
      <c r="A231" t="s">
        <v>529</v>
      </c>
      <c r="B231">
        <v>29</v>
      </c>
    </row>
    <row r="232" spans="1:2" x14ac:dyDescent="0.2">
      <c r="A232" t="s">
        <v>530</v>
      </c>
      <c r="B232">
        <v>30</v>
      </c>
    </row>
    <row r="233" spans="1:2" x14ac:dyDescent="0.2">
      <c r="A233" t="s">
        <v>531</v>
      </c>
      <c r="B233">
        <v>31</v>
      </c>
    </row>
    <row r="234" spans="1:2" x14ac:dyDescent="0.2">
      <c r="A234" t="s">
        <v>532</v>
      </c>
      <c r="B234">
        <v>32</v>
      </c>
    </row>
    <row r="235" spans="1:2" x14ac:dyDescent="0.2">
      <c r="A235" t="s">
        <v>533</v>
      </c>
      <c r="B235">
        <v>34</v>
      </c>
    </row>
    <row r="236" spans="1:2" x14ac:dyDescent="0.2">
      <c r="A236" t="s">
        <v>535</v>
      </c>
      <c r="B236" t="s">
        <v>536</v>
      </c>
    </row>
    <row r="237" spans="1:2" x14ac:dyDescent="0.2">
      <c r="A237" t="s">
        <v>537</v>
      </c>
      <c r="B237" t="s">
        <v>538</v>
      </c>
    </row>
    <row r="238" spans="1:2" x14ac:dyDescent="0.2">
      <c r="A238" t="s">
        <v>540</v>
      </c>
      <c r="B238" t="s">
        <v>541</v>
      </c>
    </row>
    <row r="239" spans="1:2" x14ac:dyDescent="0.2">
      <c r="A239" t="s">
        <v>543</v>
      </c>
      <c r="B239" t="s">
        <v>544</v>
      </c>
    </row>
    <row r="240" spans="1:2" x14ac:dyDescent="0.2">
      <c r="A240" t="s">
        <v>546</v>
      </c>
      <c r="B240" t="s">
        <v>547</v>
      </c>
    </row>
    <row r="241" spans="1:13" x14ac:dyDescent="0.2">
      <c r="A241" t="s">
        <v>549</v>
      </c>
      <c r="B241" t="s">
        <v>550</v>
      </c>
    </row>
    <row r="242" spans="1:13" x14ac:dyDescent="0.2">
      <c r="A242" t="s">
        <v>553</v>
      </c>
      <c r="B242" t="s">
        <v>554</v>
      </c>
    </row>
    <row r="243" spans="1:13" x14ac:dyDescent="0.2">
      <c r="A243" t="s">
        <v>561</v>
      </c>
      <c r="B243" t="s">
        <v>71</v>
      </c>
      <c r="C243" t="s">
        <v>73</v>
      </c>
      <c r="D243" t="s">
        <v>15</v>
      </c>
      <c r="E243" t="s">
        <v>43</v>
      </c>
      <c r="F243" t="s">
        <v>41</v>
      </c>
      <c r="G243" t="s">
        <v>57</v>
      </c>
      <c r="H243" t="s">
        <v>19</v>
      </c>
      <c r="I243" t="s">
        <v>25</v>
      </c>
      <c r="J243" t="s">
        <v>67</v>
      </c>
      <c r="K243" t="s">
        <v>65</v>
      </c>
      <c r="L243" t="s">
        <v>83</v>
      </c>
      <c r="M243" t="s">
        <v>63</v>
      </c>
    </row>
    <row r="244" spans="1:13" x14ac:dyDescent="0.2">
      <c r="A244" t="s">
        <v>563</v>
      </c>
      <c r="B244">
        <v>1</v>
      </c>
    </row>
    <row r="245" spans="1:13" x14ac:dyDescent="0.2">
      <c r="A245" t="s">
        <v>564</v>
      </c>
      <c r="B245">
        <v>2</v>
      </c>
    </row>
    <row r="246" spans="1:13" x14ac:dyDescent="0.2">
      <c r="A246" t="s">
        <v>565</v>
      </c>
      <c r="B246">
        <v>3</v>
      </c>
    </row>
    <row r="247" spans="1:13" x14ac:dyDescent="0.2">
      <c r="A247" t="s">
        <v>566</v>
      </c>
      <c r="B247">
        <v>4</v>
      </c>
    </row>
    <row r="248" spans="1:13" x14ac:dyDescent="0.2">
      <c r="A248" t="s">
        <v>567</v>
      </c>
      <c r="B248">
        <v>5</v>
      </c>
    </row>
    <row r="249" spans="1:13" x14ac:dyDescent="0.2">
      <c r="A249" t="s">
        <v>568</v>
      </c>
      <c r="B249">
        <v>6</v>
      </c>
    </row>
    <row r="250" spans="1:13" x14ac:dyDescent="0.2">
      <c r="A250" t="s">
        <v>569</v>
      </c>
      <c r="B250">
        <v>8</v>
      </c>
    </row>
    <row r="251" spans="1:13" x14ac:dyDescent="0.2">
      <c r="A251" t="s">
        <v>570</v>
      </c>
      <c r="B251">
        <v>9</v>
      </c>
    </row>
    <row r="252" spans="1:13" x14ac:dyDescent="0.2">
      <c r="A252" t="s">
        <v>571</v>
      </c>
      <c r="B252">
        <v>10</v>
      </c>
    </row>
    <row r="253" spans="1:13" x14ac:dyDescent="0.2">
      <c r="A253" t="s">
        <v>573</v>
      </c>
      <c r="B253">
        <v>11</v>
      </c>
    </row>
    <row r="254" spans="1:13" x14ac:dyDescent="0.2">
      <c r="A254" t="s">
        <v>574</v>
      </c>
      <c r="B254">
        <v>12</v>
      </c>
    </row>
    <row r="255" spans="1:13" x14ac:dyDescent="0.2">
      <c r="A255" t="s">
        <v>575</v>
      </c>
      <c r="B255">
        <v>13</v>
      </c>
    </row>
    <row r="256" spans="1:13" x14ac:dyDescent="0.2">
      <c r="A256" t="s">
        <v>576</v>
      </c>
      <c r="B256">
        <v>14</v>
      </c>
    </row>
    <row r="257" spans="1:2" x14ac:dyDescent="0.2">
      <c r="A257" t="s">
        <v>577</v>
      </c>
      <c r="B257">
        <v>15</v>
      </c>
    </row>
    <row r="258" spans="1:2" x14ac:dyDescent="0.2">
      <c r="A258" t="s">
        <v>578</v>
      </c>
      <c r="B258">
        <v>16</v>
      </c>
    </row>
    <row r="259" spans="1:2" x14ac:dyDescent="0.2">
      <c r="A259" t="s">
        <v>579</v>
      </c>
      <c r="B259">
        <v>17</v>
      </c>
    </row>
    <row r="260" spans="1:2" x14ac:dyDescent="0.2">
      <c r="A260" t="s">
        <v>581</v>
      </c>
      <c r="B260">
        <v>18</v>
      </c>
    </row>
    <row r="261" spans="1:2" x14ac:dyDescent="0.2">
      <c r="A261" t="s">
        <v>583</v>
      </c>
      <c r="B261">
        <v>19</v>
      </c>
    </row>
    <row r="262" spans="1:2" x14ac:dyDescent="0.2">
      <c r="A262" t="s">
        <v>584</v>
      </c>
      <c r="B262">
        <v>20</v>
      </c>
    </row>
    <row r="263" spans="1:2" x14ac:dyDescent="0.2">
      <c r="A263" t="s">
        <v>585</v>
      </c>
      <c r="B263">
        <v>21</v>
      </c>
    </row>
    <row r="264" spans="1:2" x14ac:dyDescent="0.2">
      <c r="A264" t="s">
        <v>586</v>
      </c>
      <c r="B264">
        <v>22</v>
      </c>
    </row>
    <row r="265" spans="1:2" x14ac:dyDescent="0.2">
      <c r="A265" t="s">
        <v>587</v>
      </c>
      <c r="B265">
        <v>23</v>
      </c>
    </row>
    <row r="266" spans="1:2" x14ac:dyDescent="0.2">
      <c r="A266" t="s">
        <v>588</v>
      </c>
      <c r="B266">
        <v>24</v>
      </c>
    </row>
    <row r="267" spans="1:2" x14ac:dyDescent="0.2">
      <c r="A267" t="s">
        <v>589</v>
      </c>
      <c r="B267">
        <v>25</v>
      </c>
    </row>
    <row r="268" spans="1:2" x14ac:dyDescent="0.2">
      <c r="A268" t="s">
        <v>590</v>
      </c>
      <c r="B268">
        <v>26</v>
      </c>
    </row>
    <row r="269" spans="1:2" x14ac:dyDescent="0.2">
      <c r="A269" t="s">
        <v>591</v>
      </c>
      <c r="B269">
        <v>27</v>
      </c>
    </row>
    <row r="270" spans="1:2" x14ac:dyDescent="0.2">
      <c r="A270" t="s">
        <v>592</v>
      </c>
      <c r="B270">
        <v>28</v>
      </c>
    </row>
    <row r="271" spans="1:2" x14ac:dyDescent="0.2">
      <c r="A271" t="s">
        <v>593</v>
      </c>
      <c r="B271">
        <v>29</v>
      </c>
    </row>
    <row r="272" spans="1:2" x14ac:dyDescent="0.2">
      <c r="A272" t="s">
        <v>594</v>
      </c>
      <c r="B272">
        <v>31</v>
      </c>
    </row>
    <row r="273" spans="1:2" x14ac:dyDescent="0.2">
      <c r="A273" t="s">
        <v>595</v>
      </c>
      <c r="B273">
        <v>32</v>
      </c>
    </row>
    <row r="274" spans="1:2" x14ac:dyDescent="0.2">
      <c r="A274" t="s">
        <v>596</v>
      </c>
      <c r="B274">
        <v>33</v>
      </c>
    </row>
    <row r="275" spans="1:2" x14ac:dyDescent="0.2">
      <c r="A275" t="s">
        <v>597</v>
      </c>
      <c r="B275">
        <v>34</v>
      </c>
    </row>
    <row r="276" spans="1:2" x14ac:dyDescent="0.2">
      <c r="A276" t="s">
        <v>598</v>
      </c>
      <c r="B276">
        <v>35</v>
      </c>
    </row>
    <row r="277" spans="1:2" x14ac:dyDescent="0.2">
      <c r="A277" t="s">
        <v>599</v>
      </c>
      <c r="B277">
        <v>36</v>
      </c>
    </row>
    <row r="278" spans="1:2" x14ac:dyDescent="0.2">
      <c r="A278" t="s">
        <v>600</v>
      </c>
      <c r="B278">
        <v>37</v>
      </c>
    </row>
    <row r="279" spans="1:2" x14ac:dyDescent="0.2">
      <c r="A279" t="s">
        <v>601</v>
      </c>
      <c r="B279">
        <v>38</v>
      </c>
    </row>
    <row r="280" spans="1:2" x14ac:dyDescent="0.2">
      <c r="A280" t="s">
        <v>602</v>
      </c>
      <c r="B280">
        <v>39</v>
      </c>
    </row>
    <row r="281" spans="1:2" x14ac:dyDescent="0.2">
      <c r="A281" t="s">
        <v>603</v>
      </c>
      <c r="B281">
        <v>40</v>
      </c>
    </row>
    <row r="282" spans="1:2" x14ac:dyDescent="0.2">
      <c r="A282" t="s">
        <v>605</v>
      </c>
      <c r="B282">
        <v>41</v>
      </c>
    </row>
    <row r="283" spans="1:2" x14ac:dyDescent="0.2">
      <c r="A283" t="s">
        <v>606</v>
      </c>
      <c r="B283">
        <v>42</v>
      </c>
    </row>
    <row r="284" spans="1:2" x14ac:dyDescent="0.2">
      <c r="A284" t="s">
        <v>607</v>
      </c>
      <c r="B284">
        <v>43</v>
      </c>
    </row>
    <row r="285" spans="1:2" x14ac:dyDescent="0.2">
      <c r="A285" t="s">
        <v>608</v>
      </c>
      <c r="B285">
        <v>44</v>
      </c>
    </row>
    <row r="286" spans="1:2" x14ac:dyDescent="0.2">
      <c r="A286" t="s">
        <v>609</v>
      </c>
      <c r="B286">
        <v>45</v>
      </c>
    </row>
    <row r="287" spans="1:2" x14ac:dyDescent="0.2">
      <c r="A287" t="s">
        <v>610</v>
      </c>
      <c r="B287">
        <v>46</v>
      </c>
    </row>
    <row r="288" spans="1:2" x14ac:dyDescent="0.2">
      <c r="A288" t="s">
        <v>611</v>
      </c>
      <c r="B288">
        <v>47</v>
      </c>
    </row>
    <row r="289" spans="1:23" x14ac:dyDescent="0.2">
      <c r="A289" t="s">
        <v>612</v>
      </c>
      <c r="B289">
        <v>48</v>
      </c>
    </row>
    <row r="290" spans="1:23" x14ac:dyDescent="0.2">
      <c r="A290" t="s">
        <v>613</v>
      </c>
      <c r="B290">
        <v>49</v>
      </c>
    </row>
    <row r="291" spans="1:23" x14ac:dyDescent="0.2">
      <c r="A291" t="s">
        <v>614</v>
      </c>
      <c r="B291">
        <v>50</v>
      </c>
    </row>
    <row r="292" spans="1:23" x14ac:dyDescent="0.2">
      <c r="A292" t="s">
        <v>615</v>
      </c>
      <c r="B292">
        <v>51</v>
      </c>
    </row>
    <row r="293" spans="1:23" x14ac:dyDescent="0.2">
      <c r="A293" t="s">
        <v>616</v>
      </c>
      <c r="B293">
        <v>52</v>
      </c>
    </row>
    <row r="294" spans="1:23" x14ac:dyDescent="0.2">
      <c r="A294" t="s">
        <v>617</v>
      </c>
      <c r="B294">
        <v>54</v>
      </c>
    </row>
    <row r="295" spans="1:23" x14ac:dyDescent="0.2">
      <c r="A295" t="s">
        <v>618</v>
      </c>
      <c r="B295">
        <v>55</v>
      </c>
    </row>
    <row r="296" spans="1:23" x14ac:dyDescent="0.2">
      <c r="A296" t="s">
        <v>619</v>
      </c>
      <c r="B296">
        <v>56</v>
      </c>
    </row>
    <row r="297" spans="1:23" x14ac:dyDescent="0.2">
      <c r="A297" t="s">
        <v>621</v>
      </c>
      <c r="B297" t="s">
        <v>622</v>
      </c>
    </row>
    <row r="298" spans="1:23" x14ac:dyDescent="0.2">
      <c r="A298" t="s">
        <v>623</v>
      </c>
      <c r="B298" t="s">
        <v>624</v>
      </c>
    </row>
    <row r="299" spans="1:23" x14ac:dyDescent="0.2">
      <c r="A299" t="s">
        <v>625</v>
      </c>
      <c r="B299" t="s">
        <v>626</v>
      </c>
    </row>
    <row r="300" spans="1:23" x14ac:dyDescent="0.2">
      <c r="A300" t="s">
        <v>627</v>
      </c>
      <c r="B300" t="s">
        <v>628</v>
      </c>
    </row>
    <row r="301" spans="1:23" x14ac:dyDescent="0.2">
      <c r="A301" t="s">
        <v>629</v>
      </c>
      <c r="B301" t="s">
        <v>630</v>
      </c>
    </row>
    <row r="302" spans="1:23" x14ac:dyDescent="0.2">
      <c r="A302" t="s">
        <v>631</v>
      </c>
      <c r="B302" t="s">
        <v>632</v>
      </c>
    </row>
    <row r="303" spans="1:23" x14ac:dyDescent="0.2">
      <c r="A303" t="s">
        <v>633</v>
      </c>
      <c r="B303" t="s">
        <v>634</v>
      </c>
    </row>
    <row r="304" spans="1:23" x14ac:dyDescent="0.2">
      <c r="A304" t="s">
        <v>638</v>
      </c>
      <c r="B304" t="s">
        <v>77</v>
      </c>
      <c r="C304" t="s">
        <v>49</v>
      </c>
      <c r="D304" t="s">
        <v>71</v>
      </c>
      <c r="E304" t="s">
        <v>79</v>
      </c>
      <c r="F304" t="s">
        <v>11</v>
      </c>
      <c r="G304" t="s">
        <v>15</v>
      </c>
      <c r="H304" t="s">
        <v>43</v>
      </c>
      <c r="I304" t="s">
        <v>47</v>
      </c>
      <c r="J304" t="s">
        <v>83</v>
      </c>
      <c r="K304" t="s">
        <v>19</v>
      </c>
      <c r="L304" t="s">
        <v>63</v>
      </c>
      <c r="M304" t="s">
        <v>69</v>
      </c>
      <c r="N304" t="s">
        <v>67</v>
      </c>
      <c r="O304" t="s">
        <v>7</v>
      </c>
      <c r="P304" t="s">
        <v>75</v>
      </c>
      <c r="Q304" t="s">
        <v>73</v>
      </c>
      <c r="R304" t="s">
        <v>51</v>
      </c>
      <c r="S304" t="s">
        <v>25</v>
      </c>
      <c r="T304" t="s">
        <v>57</v>
      </c>
      <c r="U304" t="s">
        <v>41</v>
      </c>
      <c r="V304" t="s">
        <v>65</v>
      </c>
      <c r="W304" t="s">
        <v>53</v>
      </c>
    </row>
    <row r="305" spans="1:2" x14ac:dyDescent="0.2">
      <c r="A305" t="s">
        <v>640</v>
      </c>
      <c r="B305">
        <v>1</v>
      </c>
    </row>
    <row r="306" spans="1:2" x14ac:dyDescent="0.2">
      <c r="A306" t="s">
        <v>641</v>
      </c>
      <c r="B306">
        <v>2</v>
      </c>
    </row>
    <row r="307" spans="1:2" x14ac:dyDescent="0.2">
      <c r="A307" t="s">
        <v>642</v>
      </c>
      <c r="B307">
        <v>3</v>
      </c>
    </row>
    <row r="308" spans="1:2" x14ac:dyDescent="0.2">
      <c r="A308" t="s">
        <v>643</v>
      </c>
      <c r="B308">
        <v>4</v>
      </c>
    </row>
    <row r="309" spans="1:2" x14ac:dyDescent="0.2">
      <c r="A309" t="s">
        <v>644</v>
      </c>
      <c r="B309">
        <v>5</v>
      </c>
    </row>
    <row r="310" spans="1:2" x14ac:dyDescent="0.2">
      <c r="A310" t="s">
        <v>645</v>
      </c>
      <c r="B310">
        <v>6</v>
      </c>
    </row>
    <row r="311" spans="1:2" x14ac:dyDescent="0.2">
      <c r="A311" t="s">
        <v>646</v>
      </c>
      <c r="B311">
        <v>7</v>
      </c>
    </row>
    <row r="312" spans="1:2" x14ac:dyDescent="0.2">
      <c r="A312" t="s">
        <v>647</v>
      </c>
      <c r="B312">
        <v>9</v>
      </c>
    </row>
    <row r="313" spans="1:2" x14ac:dyDescent="0.2">
      <c r="A313" t="s">
        <v>648</v>
      </c>
      <c r="B313">
        <v>10</v>
      </c>
    </row>
    <row r="314" spans="1:2" x14ac:dyDescent="0.2">
      <c r="A314" t="s">
        <v>649</v>
      </c>
      <c r="B314">
        <v>11</v>
      </c>
    </row>
    <row r="315" spans="1:2" x14ac:dyDescent="0.2">
      <c r="A315" t="s">
        <v>650</v>
      </c>
      <c r="B315">
        <v>12</v>
      </c>
    </row>
    <row r="316" spans="1:2" x14ac:dyDescent="0.2">
      <c r="A316" t="s">
        <v>651</v>
      </c>
      <c r="B316">
        <v>13</v>
      </c>
    </row>
    <row r="317" spans="1:2" x14ac:dyDescent="0.2">
      <c r="A317" t="s">
        <v>652</v>
      </c>
      <c r="B317">
        <v>14</v>
      </c>
    </row>
    <row r="318" spans="1:2" x14ac:dyDescent="0.2">
      <c r="A318" t="s">
        <v>653</v>
      </c>
      <c r="B318">
        <v>15</v>
      </c>
    </row>
    <row r="319" spans="1:2" x14ac:dyDescent="0.2">
      <c r="A319" t="s">
        <v>654</v>
      </c>
      <c r="B319">
        <v>16</v>
      </c>
    </row>
    <row r="320" spans="1:2" x14ac:dyDescent="0.2">
      <c r="A320" t="s">
        <v>655</v>
      </c>
      <c r="B320">
        <v>17</v>
      </c>
    </row>
    <row r="321" spans="1:2" x14ac:dyDescent="0.2">
      <c r="A321" t="s">
        <v>656</v>
      </c>
      <c r="B321">
        <v>18</v>
      </c>
    </row>
    <row r="322" spans="1:2" x14ac:dyDescent="0.2">
      <c r="A322" t="s">
        <v>657</v>
      </c>
      <c r="B322">
        <v>19</v>
      </c>
    </row>
    <row r="323" spans="1:2" x14ac:dyDescent="0.2">
      <c r="A323" t="s">
        <v>658</v>
      </c>
      <c r="B323">
        <v>20</v>
      </c>
    </row>
    <row r="324" spans="1:2" x14ac:dyDescent="0.2">
      <c r="A324" t="s">
        <v>659</v>
      </c>
      <c r="B324">
        <v>21</v>
      </c>
    </row>
    <row r="325" spans="1:2" x14ac:dyDescent="0.2">
      <c r="A325" t="s">
        <v>660</v>
      </c>
      <c r="B325">
        <v>22</v>
      </c>
    </row>
    <row r="326" spans="1:2" x14ac:dyDescent="0.2">
      <c r="A326" t="s">
        <v>661</v>
      </c>
      <c r="B326">
        <v>23</v>
      </c>
    </row>
    <row r="327" spans="1:2" x14ac:dyDescent="0.2">
      <c r="A327" t="s">
        <v>662</v>
      </c>
      <c r="B327">
        <v>24</v>
      </c>
    </row>
    <row r="328" spans="1:2" x14ac:dyDescent="0.2">
      <c r="A328" t="s">
        <v>663</v>
      </c>
      <c r="B328">
        <v>25</v>
      </c>
    </row>
    <row r="329" spans="1:2" x14ac:dyDescent="0.2">
      <c r="A329" t="s">
        <v>664</v>
      </c>
      <c r="B329">
        <v>26</v>
      </c>
    </row>
    <row r="330" spans="1:2" x14ac:dyDescent="0.2">
      <c r="A330" t="s">
        <v>665</v>
      </c>
      <c r="B330">
        <v>27</v>
      </c>
    </row>
    <row r="331" spans="1:2" x14ac:dyDescent="0.2">
      <c r="A331" t="s">
        <v>666</v>
      </c>
      <c r="B331">
        <v>28</v>
      </c>
    </row>
    <row r="332" spans="1:2" x14ac:dyDescent="0.2">
      <c r="A332" t="s">
        <v>667</v>
      </c>
      <c r="B332">
        <v>29</v>
      </c>
    </row>
    <row r="333" spans="1:2" x14ac:dyDescent="0.2">
      <c r="A333" t="s">
        <v>668</v>
      </c>
      <c r="B333">
        <v>30</v>
      </c>
    </row>
    <row r="334" spans="1:2" x14ac:dyDescent="0.2">
      <c r="A334" t="s">
        <v>669</v>
      </c>
      <c r="B334">
        <v>31</v>
      </c>
    </row>
    <row r="335" spans="1:2" x14ac:dyDescent="0.2">
      <c r="A335" t="s">
        <v>670</v>
      </c>
      <c r="B335">
        <v>33</v>
      </c>
    </row>
    <row r="336" spans="1:2" x14ac:dyDescent="0.2">
      <c r="A336" t="s">
        <v>671</v>
      </c>
      <c r="B336">
        <v>34</v>
      </c>
    </row>
    <row r="337" spans="1:2" x14ac:dyDescent="0.2">
      <c r="A337" t="s">
        <v>672</v>
      </c>
      <c r="B337">
        <v>35</v>
      </c>
    </row>
    <row r="338" spans="1:2" x14ac:dyDescent="0.2">
      <c r="A338" t="s">
        <v>673</v>
      </c>
      <c r="B338">
        <v>36</v>
      </c>
    </row>
    <row r="339" spans="1:2" x14ac:dyDescent="0.2">
      <c r="A339" t="s">
        <v>674</v>
      </c>
      <c r="B339">
        <v>37</v>
      </c>
    </row>
    <row r="340" spans="1:2" x14ac:dyDescent="0.2">
      <c r="A340" t="s">
        <v>675</v>
      </c>
      <c r="B340">
        <v>38</v>
      </c>
    </row>
    <row r="341" spans="1:2" x14ac:dyDescent="0.2">
      <c r="A341" t="s">
        <v>676</v>
      </c>
      <c r="B341">
        <v>39</v>
      </c>
    </row>
    <row r="342" spans="1:2" x14ac:dyDescent="0.2">
      <c r="A342" t="s">
        <v>677</v>
      </c>
      <c r="B342">
        <v>40</v>
      </c>
    </row>
    <row r="343" spans="1:2" x14ac:dyDescent="0.2">
      <c r="A343" t="s">
        <v>678</v>
      </c>
      <c r="B343">
        <v>41</v>
      </c>
    </row>
    <row r="344" spans="1:2" x14ac:dyDescent="0.2">
      <c r="A344" t="s">
        <v>679</v>
      </c>
      <c r="B344">
        <v>42</v>
      </c>
    </row>
    <row r="345" spans="1:2" x14ac:dyDescent="0.2">
      <c r="A345" t="s">
        <v>680</v>
      </c>
      <c r="B345">
        <v>43</v>
      </c>
    </row>
    <row r="346" spans="1:2" x14ac:dyDescent="0.2">
      <c r="A346" t="s">
        <v>681</v>
      </c>
      <c r="B346">
        <v>44</v>
      </c>
    </row>
    <row r="347" spans="1:2" x14ac:dyDescent="0.2">
      <c r="A347" t="s">
        <v>682</v>
      </c>
      <c r="B347">
        <v>45</v>
      </c>
    </row>
    <row r="348" spans="1:2" x14ac:dyDescent="0.2">
      <c r="A348" t="s">
        <v>683</v>
      </c>
      <c r="B348">
        <v>46</v>
      </c>
    </row>
    <row r="349" spans="1:2" x14ac:dyDescent="0.2">
      <c r="A349" t="s">
        <v>684</v>
      </c>
      <c r="B349">
        <v>47</v>
      </c>
    </row>
    <row r="350" spans="1:2" x14ac:dyDescent="0.2">
      <c r="A350" t="s">
        <v>685</v>
      </c>
      <c r="B350">
        <v>48</v>
      </c>
    </row>
    <row r="351" spans="1:2" x14ac:dyDescent="0.2">
      <c r="A351" t="s">
        <v>686</v>
      </c>
      <c r="B351">
        <v>49</v>
      </c>
    </row>
    <row r="352" spans="1:2" x14ac:dyDescent="0.2">
      <c r="A352" t="s">
        <v>687</v>
      </c>
      <c r="B352">
        <v>50</v>
      </c>
    </row>
    <row r="353" spans="1:2" x14ac:dyDescent="0.2">
      <c r="A353" t="s">
        <v>688</v>
      </c>
      <c r="B353">
        <v>51</v>
      </c>
    </row>
    <row r="354" spans="1:2" x14ac:dyDescent="0.2">
      <c r="A354" t="s">
        <v>689</v>
      </c>
      <c r="B354">
        <v>52</v>
      </c>
    </row>
    <row r="355" spans="1:2" x14ac:dyDescent="0.2">
      <c r="A355" t="s">
        <v>690</v>
      </c>
      <c r="B355">
        <v>53</v>
      </c>
    </row>
    <row r="356" spans="1:2" x14ac:dyDescent="0.2">
      <c r="A356" t="s">
        <v>691</v>
      </c>
      <c r="B356">
        <v>54</v>
      </c>
    </row>
    <row r="357" spans="1:2" x14ac:dyDescent="0.2">
      <c r="A357" t="s">
        <v>692</v>
      </c>
      <c r="B357">
        <v>55</v>
      </c>
    </row>
    <row r="358" spans="1:2" x14ac:dyDescent="0.2">
      <c r="A358" t="s">
        <v>694</v>
      </c>
      <c r="B358">
        <v>57</v>
      </c>
    </row>
    <row r="359" spans="1:2" x14ac:dyDescent="0.2">
      <c r="A359" t="s">
        <v>695</v>
      </c>
      <c r="B359">
        <v>58</v>
      </c>
    </row>
    <row r="360" spans="1:2" x14ac:dyDescent="0.2">
      <c r="A360" t="s">
        <v>696</v>
      </c>
      <c r="B360">
        <v>59</v>
      </c>
    </row>
    <row r="361" spans="1:2" x14ac:dyDescent="0.2">
      <c r="A361" t="s">
        <v>697</v>
      </c>
      <c r="B361">
        <v>61</v>
      </c>
    </row>
    <row r="362" spans="1:2" x14ac:dyDescent="0.2">
      <c r="A362" t="s">
        <v>698</v>
      </c>
      <c r="B362">
        <v>62</v>
      </c>
    </row>
    <row r="363" spans="1:2" x14ac:dyDescent="0.2">
      <c r="A363" t="s">
        <v>699</v>
      </c>
      <c r="B363">
        <v>63</v>
      </c>
    </row>
    <row r="364" spans="1:2" x14ac:dyDescent="0.2">
      <c r="A364" t="s">
        <v>700</v>
      </c>
      <c r="B364">
        <v>64</v>
      </c>
    </row>
    <row r="365" spans="1:2" x14ac:dyDescent="0.2">
      <c r="A365" t="s">
        <v>701</v>
      </c>
      <c r="B365">
        <v>65</v>
      </c>
    </row>
    <row r="366" spans="1:2" x14ac:dyDescent="0.2">
      <c r="A366" t="s">
        <v>703</v>
      </c>
      <c r="B366">
        <v>67</v>
      </c>
    </row>
    <row r="367" spans="1:2" x14ac:dyDescent="0.2">
      <c r="A367" t="s">
        <v>704</v>
      </c>
      <c r="B367">
        <v>68</v>
      </c>
    </row>
    <row r="368" spans="1:2" x14ac:dyDescent="0.2">
      <c r="A368" t="s">
        <v>705</v>
      </c>
      <c r="B368">
        <v>69</v>
      </c>
    </row>
    <row r="369" spans="1:24" x14ac:dyDescent="0.2">
      <c r="A369" t="s">
        <v>706</v>
      </c>
      <c r="B369">
        <v>70</v>
      </c>
    </row>
    <row r="370" spans="1:24" x14ac:dyDescent="0.2">
      <c r="A370" t="s">
        <v>707</v>
      </c>
      <c r="B370">
        <v>71</v>
      </c>
    </row>
    <row r="371" spans="1:24" x14ac:dyDescent="0.2">
      <c r="A371" t="s">
        <v>709</v>
      </c>
      <c r="B371" t="s">
        <v>710</v>
      </c>
    </row>
    <row r="372" spans="1:24" x14ac:dyDescent="0.2">
      <c r="A372" t="s">
        <v>711</v>
      </c>
      <c r="B372" t="s">
        <v>712</v>
      </c>
    </row>
    <row r="373" spans="1:24" x14ac:dyDescent="0.2">
      <c r="A373" t="s">
        <v>713</v>
      </c>
      <c r="B373" t="s">
        <v>714</v>
      </c>
    </row>
    <row r="374" spans="1:24" x14ac:dyDescent="0.2">
      <c r="A374" t="s">
        <v>715</v>
      </c>
      <c r="B374" t="s">
        <v>716</v>
      </c>
    </row>
    <row r="375" spans="1:24" x14ac:dyDescent="0.2">
      <c r="A375" t="s">
        <v>717</v>
      </c>
      <c r="B375" t="s">
        <v>718</v>
      </c>
    </row>
    <row r="376" spans="1:24" x14ac:dyDescent="0.2">
      <c r="A376" t="s">
        <v>719</v>
      </c>
      <c r="B376" t="s">
        <v>720</v>
      </c>
    </row>
    <row r="377" spans="1:24" x14ac:dyDescent="0.2">
      <c r="A377" t="s">
        <v>721</v>
      </c>
      <c r="B377" t="s">
        <v>722</v>
      </c>
    </row>
    <row r="378" spans="1:24" x14ac:dyDescent="0.2">
      <c r="A378" t="s">
        <v>727</v>
      </c>
      <c r="B378" t="s">
        <v>73</v>
      </c>
      <c r="C378" t="s">
        <v>69</v>
      </c>
      <c r="D378" t="s">
        <v>15</v>
      </c>
      <c r="E378" t="s">
        <v>23</v>
      </c>
      <c r="F378" t="s">
        <v>51</v>
      </c>
      <c r="G378" t="s">
        <v>41</v>
      </c>
      <c r="H378" t="s">
        <v>63</v>
      </c>
      <c r="I378" t="s">
        <v>77</v>
      </c>
      <c r="J378" t="s">
        <v>53</v>
      </c>
      <c r="K378" t="s">
        <v>43</v>
      </c>
      <c r="L378" t="s">
        <v>19</v>
      </c>
      <c r="M378" t="s">
        <v>47</v>
      </c>
      <c r="N378" t="s">
        <v>75</v>
      </c>
      <c r="O378" t="s">
        <v>67</v>
      </c>
      <c r="P378" t="s">
        <v>11</v>
      </c>
      <c r="Q378" t="s">
        <v>7</v>
      </c>
      <c r="R378" t="s">
        <v>27</v>
      </c>
      <c r="S378" t="s">
        <v>71</v>
      </c>
      <c r="T378" t="s">
        <v>65</v>
      </c>
      <c r="U378" t="s">
        <v>25</v>
      </c>
      <c r="V378" t="s">
        <v>57</v>
      </c>
      <c r="W378" t="s">
        <v>79</v>
      </c>
      <c r="X378" t="s">
        <v>49</v>
      </c>
    </row>
    <row r="379" spans="1:24" x14ac:dyDescent="0.2">
      <c r="A379" t="s">
        <v>729</v>
      </c>
      <c r="B379">
        <v>1</v>
      </c>
    </row>
    <row r="380" spans="1:24" x14ac:dyDescent="0.2">
      <c r="A380" t="s">
        <v>730</v>
      </c>
      <c r="B380">
        <v>2</v>
      </c>
    </row>
    <row r="381" spans="1:24" x14ac:dyDescent="0.2">
      <c r="A381" t="s">
        <v>731</v>
      </c>
      <c r="B381">
        <v>3</v>
      </c>
    </row>
    <row r="382" spans="1:24" x14ac:dyDescent="0.2">
      <c r="A382" t="s">
        <v>732</v>
      </c>
      <c r="B382">
        <v>4</v>
      </c>
    </row>
    <row r="383" spans="1:24" x14ac:dyDescent="0.2">
      <c r="A383" t="s">
        <v>733</v>
      </c>
      <c r="B383">
        <v>5</v>
      </c>
    </row>
    <row r="384" spans="1:24" x14ac:dyDescent="0.2">
      <c r="A384" t="s">
        <v>734</v>
      </c>
      <c r="B384">
        <v>6</v>
      </c>
    </row>
    <row r="385" spans="1:2" x14ac:dyDescent="0.2">
      <c r="A385" t="s">
        <v>735</v>
      </c>
      <c r="B385">
        <v>7</v>
      </c>
    </row>
    <row r="386" spans="1:2" x14ac:dyDescent="0.2">
      <c r="A386" t="s">
        <v>736</v>
      </c>
      <c r="B386">
        <v>9</v>
      </c>
    </row>
    <row r="387" spans="1:2" x14ac:dyDescent="0.2">
      <c r="A387" t="s">
        <v>737</v>
      </c>
      <c r="B387">
        <v>10</v>
      </c>
    </row>
    <row r="388" spans="1:2" x14ac:dyDescent="0.2">
      <c r="A388" t="s">
        <v>738</v>
      </c>
      <c r="B388">
        <v>11</v>
      </c>
    </row>
    <row r="389" spans="1:2" x14ac:dyDescent="0.2">
      <c r="A389" t="s">
        <v>739</v>
      </c>
      <c r="B389">
        <v>12</v>
      </c>
    </row>
    <row r="390" spans="1:2" x14ac:dyDescent="0.2">
      <c r="A390" t="s">
        <v>740</v>
      </c>
      <c r="B390">
        <v>13</v>
      </c>
    </row>
    <row r="391" spans="1:2" x14ac:dyDescent="0.2">
      <c r="A391" t="s">
        <v>741</v>
      </c>
      <c r="B391">
        <v>14</v>
      </c>
    </row>
    <row r="392" spans="1:2" x14ac:dyDescent="0.2">
      <c r="A392" t="s">
        <v>742</v>
      </c>
      <c r="B392">
        <v>15</v>
      </c>
    </row>
    <row r="393" spans="1:2" x14ac:dyDescent="0.2">
      <c r="A393" t="s">
        <v>743</v>
      </c>
      <c r="B393">
        <v>16</v>
      </c>
    </row>
    <row r="394" spans="1:2" x14ac:dyDescent="0.2">
      <c r="A394" t="s">
        <v>744</v>
      </c>
      <c r="B394">
        <v>17</v>
      </c>
    </row>
    <row r="395" spans="1:2" x14ac:dyDescent="0.2">
      <c r="A395" t="s">
        <v>745</v>
      </c>
      <c r="B395">
        <v>18</v>
      </c>
    </row>
    <row r="396" spans="1:2" x14ac:dyDescent="0.2">
      <c r="A396" t="s">
        <v>746</v>
      </c>
      <c r="B396">
        <v>19</v>
      </c>
    </row>
    <row r="397" spans="1:2" x14ac:dyDescent="0.2">
      <c r="A397" t="s">
        <v>747</v>
      </c>
      <c r="B397">
        <v>20</v>
      </c>
    </row>
    <row r="398" spans="1:2" x14ac:dyDescent="0.2">
      <c r="A398" t="s">
        <v>748</v>
      </c>
      <c r="B398">
        <v>21</v>
      </c>
    </row>
    <row r="399" spans="1:2" x14ac:dyDescent="0.2">
      <c r="A399" t="s">
        <v>749</v>
      </c>
      <c r="B399">
        <v>22</v>
      </c>
    </row>
    <row r="400" spans="1:2" x14ac:dyDescent="0.2">
      <c r="A400" t="s">
        <v>750</v>
      </c>
      <c r="B400">
        <v>23</v>
      </c>
    </row>
    <row r="401" spans="1:2" x14ac:dyDescent="0.2">
      <c r="A401" t="s">
        <v>751</v>
      </c>
      <c r="B401">
        <v>24</v>
      </c>
    </row>
    <row r="402" spans="1:2" x14ac:dyDescent="0.2">
      <c r="A402" t="s">
        <v>752</v>
      </c>
      <c r="B402">
        <v>25</v>
      </c>
    </row>
    <row r="403" spans="1:2" x14ac:dyDescent="0.2">
      <c r="A403" t="s">
        <v>753</v>
      </c>
      <c r="B403">
        <v>26</v>
      </c>
    </row>
    <row r="404" spans="1:2" x14ac:dyDescent="0.2">
      <c r="A404" t="s">
        <v>754</v>
      </c>
      <c r="B404">
        <v>27</v>
      </c>
    </row>
    <row r="405" spans="1:2" x14ac:dyDescent="0.2">
      <c r="A405" t="s">
        <v>755</v>
      </c>
      <c r="B405">
        <v>28</v>
      </c>
    </row>
    <row r="406" spans="1:2" x14ac:dyDescent="0.2">
      <c r="A406" t="s">
        <v>756</v>
      </c>
      <c r="B406">
        <v>29</v>
      </c>
    </row>
    <row r="407" spans="1:2" x14ac:dyDescent="0.2">
      <c r="A407" t="s">
        <v>757</v>
      </c>
      <c r="B407">
        <v>30</v>
      </c>
    </row>
    <row r="408" spans="1:2" x14ac:dyDescent="0.2">
      <c r="A408" t="s">
        <v>758</v>
      </c>
      <c r="B408">
        <v>31</v>
      </c>
    </row>
    <row r="409" spans="1:2" x14ac:dyDescent="0.2">
      <c r="A409" t="s">
        <v>759</v>
      </c>
      <c r="B409">
        <v>33</v>
      </c>
    </row>
    <row r="410" spans="1:2" x14ac:dyDescent="0.2">
      <c r="A410" t="s">
        <v>760</v>
      </c>
      <c r="B410">
        <v>34</v>
      </c>
    </row>
    <row r="411" spans="1:2" x14ac:dyDescent="0.2">
      <c r="A411" t="s">
        <v>761</v>
      </c>
      <c r="B411">
        <v>35</v>
      </c>
    </row>
    <row r="412" spans="1:2" x14ac:dyDescent="0.2">
      <c r="A412" t="s">
        <v>762</v>
      </c>
      <c r="B412">
        <v>36</v>
      </c>
    </row>
    <row r="413" spans="1:2" x14ac:dyDescent="0.2">
      <c r="A413" t="s">
        <v>763</v>
      </c>
      <c r="B413">
        <v>37</v>
      </c>
    </row>
    <row r="414" spans="1:2" x14ac:dyDescent="0.2">
      <c r="A414" t="s">
        <v>764</v>
      </c>
      <c r="B414">
        <v>38</v>
      </c>
    </row>
    <row r="415" spans="1:2" x14ac:dyDescent="0.2">
      <c r="A415" t="s">
        <v>765</v>
      </c>
      <c r="B415">
        <v>39</v>
      </c>
    </row>
    <row r="416" spans="1:2" x14ac:dyDescent="0.2">
      <c r="A416" t="s">
        <v>766</v>
      </c>
      <c r="B416">
        <v>40</v>
      </c>
    </row>
    <row r="417" spans="1:2" x14ac:dyDescent="0.2">
      <c r="A417" t="s">
        <v>767</v>
      </c>
      <c r="B417">
        <v>41</v>
      </c>
    </row>
    <row r="418" spans="1:2" x14ac:dyDescent="0.2">
      <c r="A418" t="s">
        <v>768</v>
      </c>
      <c r="B418">
        <v>42</v>
      </c>
    </row>
    <row r="419" spans="1:2" x14ac:dyDescent="0.2">
      <c r="A419" t="s">
        <v>769</v>
      </c>
      <c r="B419">
        <v>43</v>
      </c>
    </row>
    <row r="420" spans="1:2" x14ac:dyDescent="0.2">
      <c r="A420" t="s">
        <v>770</v>
      </c>
      <c r="B420">
        <v>44</v>
      </c>
    </row>
    <row r="421" spans="1:2" x14ac:dyDescent="0.2">
      <c r="A421" t="s">
        <v>771</v>
      </c>
      <c r="B421">
        <v>45</v>
      </c>
    </row>
    <row r="422" spans="1:2" x14ac:dyDescent="0.2">
      <c r="A422" t="s">
        <v>772</v>
      </c>
      <c r="B422">
        <v>46</v>
      </c>
    </row>
    <row r="423" spans="1:2" x14ac:dyDescent="0.2">
      <c r="A423" t="s">
        <v>773</v>
      </c>
      <c r="B423">
        <v>47</v>
      </c>
    </row>
    <row r="424" spans="1:2" x14ac:dyDescent="0.2">
      <c r="A424" t="s">
        <v>774</v>
      </c>
      <c r="B424">
        <v>48</v>
      </c>
    </row>
    <row r="425" spans="1:2" x14ac:dyDescent="0.2">
      <c r="A425" t="s">
        <v>775</v>
      </c>
      <c r="B425">
        <v>49</v>
      </c>
    </row>
    <row r="426" spans="1:2" x14ac:dyDescent="0.2">
      <c r="A426" t="s">
        <v>776</v>
      </c>
      <c r="B426">
        <v>50</v>
      </c>
    </row>
    <row r="427" spans="1:2" x14ac:dyDescent="0.2">
      <c r="A427" t="s">
        <v>777</v>
      </c>
      <c r="B427">
        <v>51</v>
      </c>
    </row>
    <row r="428" spans="1:2" x14ac:dyDescent="0.2">
      <c r="A428" t="s">
        <v>778</v>
      </c>
      <c r="B428">
        <v>52</v>
      </c>
    </row>
    <row r="429" spans="1:2" x14ac:dyDescent="0.2">
      <c r="A429" t="s">
        <v>779</v>
      </c>
      <c r="B429">
        <v>53</v>
      </c>
    </row>
    <row r="430" spans="1:2" x14ac:dyDescent="0.2">
      <c r="A430" t="s">
        <v>780</v>
      </c>
      <c r="B430">
        <v>54</v>
      </c>
    </row>
    <row r="431" spans="1:2" x14ac:dyDescent="0.2">
      <c r="A431" t="s">
        <v>781</v>
      </c>
      <c r="B431">
        <v>55</v>
      </c>
    </row>
    <row r="432" spans="1:2" x14ac:dyDescent="0.2">
      <c r="A432" t="s">
        <v>782</v>
      </c>
      <c r="B432">
        <v>57</v>
      </c>
    </row>
    <row r="433" spans="1:2" x14ac:dyDescent="0.2">
      <c r="A433" t="s">
        <v>783</v>
      </c>
      <c r="B433">
        <v>58</v>
      </c>
    </row>
    <row r="434" spans="1:2" x14ac:dyDescent="0.2">
      <c r="A434" t="s">
        <v>784</v>
      </c>
      <c r="B434">
        <v>59</v>
      </c>
    </row>
    <row r="435" spans="1:2" x14ac:dyDescent="0.2">
      <c r="A435" t="s">
        <v>785</v>
      </c>
      <c r="B435">
        <v>61</v>
      </c>
    </row>
    <row r="436" spans="1:2" x14ac:dyDescent="0.2">
      <c r="A436" t="s">
        <v>786</v>
      </c>
      <c r="B436">
        <v>62</v>
      </c>
    </row>
    <row r="437" spans="1:2" x14ac:dyDescent="0.2">
      <c r="A437" t="s">
        <v>787</v>
      </c>
      <c r="B437">
        <v>63</v>
      </c>
    </row>
    <row r="438" spans="1:2" x14ac:dyDescent="0.2">
      <c r="A438" t="s">
        <v>788</v>
      </c>
      <c r="B438">
        <v>64</v>
      </c>
    </row>
    <row r="439" spans="1:2" x14ac:dyDescent="0.2">
      <c r="A439" t="s">
        <v>789</v>
      </c>
      <c r="B439">
        <v>65</v>
      </c>
    </row>
    <row r="440" spans="1:2" x14ac:dyDescent="0.2">
      <c r="A440" t="s">
        <v>790</v>
      </c>
      <c r="B440">
        <v>67</v>
      </c>
    </row>
    <row r="441" spans="1:2" x14ac:dyDescent="0.2">
      <c r="A441" t="s">
        <v>791</v>
      </c>
      <c r="B441">
        <v>68</v>
      </c>
    </row>
    <row r="442" spans="1:2" x14ac:dyDescent="0.2">
      <c r="A442" t="s">
        <v>792</v>
      </c>
      <c r="B442">
        <v>69</v>
      </c>
    </row>
    <row r="443" spans="1:2" x14ac:dyDescent="0.2">
      <c r="A443" t="s">
        <v>793</v>
      </c>
      <c r="B443">
        <v>70</v>
      </c>
    </row>
    <row r="444" spans="1:2" x14ac:dyDescent="0.2">
      <c r="A444" t="s">
        <v>794</v>
      </c>
      <c r="B444">
        <v>71</v>
      </c>
    </row>
    <row r="445" spans="1:2" x14ac:dyDescent="0.2">
      <c r="A445" t="s">
        <v>796</v>
      </c>
      <c r="B445" t="s">
        <v>797</v>
      </c>
    </row>
    <row r="446" spans="1:2" x14ac:dyDescent="0.2">
      <c r="A446" t="s">
        <v>798</v>
      </c>
      <c r="B446" t="s">
        <v>799</v>
      </c>
    </row>
    <row r="447" spans="1:2" x14ac:dyDescent="0.2">
      <c r="A447" t="s">
        <v>800</v>
      </c>
      <c r="B447" t="s">
        <v>801</v>
      </c>
    </row>
    <row r="448" spans="1:2" x14ac:dyDescent="0.2">
      <c r="A448" t="s">
        <v>802</v>
      </c>
      <c r="B448" t="s">
        <v>803</v>
      </c>
    </row>
    <row r="449" spans="1:24" x14ac:dyDescent="0.2">
      <c r="A449" t="s">
        <v>804</v>
      </c>
      <c r="B449" t="s">
        <v>805</v>
      </c>
    </row>
    <row r="450" spans="1:24" x14ac:dyDescent="0.2">
      <c r="A450" t="s">
        <v>806</v>
      </c>
      <c r="B450" t="s">
        <v>807</v>
      </c>
    </row>
    <row r="451" spans="1:24" x14ac:dyDescent="0.2">
      <c r="A451" t="s">
        <v>808</v>
      </c>
      <c r="B451" t="s">
        <v>809</v>
      </c>
    </row>
    <row r="452" spans="1:24" x14ac:dyDescent="0.2">
      <c r="A452" t="s">
        <v>813</v>
      </c>
      <c r="B452" t="s">
        <v>27</v>
      </c>
      <c r="C452" t="s">
        <v>41</v>
      </c>
      <c r="D452" t="s">
        <v>57</v>
      </c>
      <c r="E452" t="s">
        <v>25</v>
      </c>
      <c r="F452" t="s">
        <v>7</v>
      </c>
      <c r="G452" t="s">
        <v>75</v>
      </c>
      <c r="H452" t="s">
        <v>51</v>
      </c>
      <c r="I452" t="s">
        <v>73</v>
      </c>
      <c r="J452" t="s">
        <v>65</v>
      </c>
      <c r="K452" t="s">
        <v>53</v>
      </c>
      <c r="L452" t="s">
        <v>67</v>
      </c>
      <c r="M452" t="s">
        <v>11</v>
      </c>
      <c r="N452" t="s">
        <v>15</v>
      </c>
      <c r="O452" t="s">
        <v>79</v>
      </c>
      <c r="P452" t="s">
        <v>49</v>
      </c>
      <c r="Q452" t="s">
        <v>63</v>
      </c>
      <c r="R452" t="s">
        <v>71</v>
      </c>
      <c r="S452" t="s">
        <v>19</v>
      </c>
      <c r="T452" t="s">
        <v>47</v>
      </c>
      <c r="U452" t="s">
        <v>23</v>
      </c>
      <c r="V452" t="s">
        <v>43</v>
      </c>
      <c r="W452" t="s">
        <v>77</v>
      </c>
      <c r="X452" t="s">
        <v>69</v>
      </c>
    </row>
    <row r="453" spans="1:24" x14ac:dyDescent="0.2">
      <c r="A453" t="s">
        <v>815</v>
      </c>
      <c r="B453">
        <v>1</v>
      </c>
    </row>
    <row r="454" spans="1:24" x14ac:dyDescent="0.2">
      <c r="A454" t="s">
        <v>816</v>
      </c>
      <c r="B454">
        <v>2</v>
      </c>
    </row>
    <row r="455" spans="1:24" x14ac:dyDescent="0.2">
      <c r="A455" t="s">
        <v>817</v>
      </c>
      <c r="B455">
        <v>3</v>
      </c>
    </row>
    <row r="456" spans="1:24" x14ac:dyDescent="0.2">
      <c r="A456" t="s">
        <v>818</v>
      </c>
      <c r="B456">
        <v>4</v>
      </c>
    </row>
    <row r="457" spans="1:24" x14ac:dyDescent="0.2">
      <c r="A457" t="s">
        <v>819</v>
      </c>
      <c r="B457">
        <v>5</v>
      </c>
    </row>
    <row r="458" spans="1:24" x14ac:dyDescent="0.2">
      <c r="A458" t="s">
        <v>820</v>
      </c>
      <c r="B458">
        <v>6</v>
      </c>
    </row>
    <row r="459" spans="1:24" x14ac:dyDescent="0.2">
      <c r="A459" t="s">
        <v>821</v>
      </c>
      <c r="B459">
        <v>8</v>
      </c>
    </row>
    <row r="460" spans="1:24" x14ac:dyDescent="0.2">
      <c r="A460" t="s">
        <v>822</v>
      </c>
      <c r="B460">
        <v>9</v>
      </c>
    </row>
    <row r="461" spans="1:24" x14ac:dyDescent="0.2">
      <c r="A461" t="s">
        <v>823</v>
      </c>
      <c r="B461">
        <v>10</v>
      </c>
    </row>
    <row r="462" spans="1:24" x14ac:dyDescent="0.2">
      <c r="A462" t="s">
        <v>824</v>
      </c>
      <c r="B462">
        <v>11</v>
      </c>
    </row>
    <row r="463" spans="1:24" x14ac:dyDescent="0.2">
      <c r="A463" t="s">
        <v>825</v>
      </c>
      <c r="B463">
        <v>12</v>
      </c>
    </row>
    <row r="464" spans="1:24" x14ac:dyDescent="0.2">
      <c r="A464" t="s">
        <v>826</v>
      </c>
      <c r="B464">
        <v>13</v>
      </c>
    </row>
    <row r="465" spans="1:2" x14ac:dyDescent="0.2">
      <c r="A465" t="s">
        <v>827</v>
      </c>
      <c r="B465">
        <v>14</v>
      </c>
    </row>
    <row r="466" spans="1:2" x14ac:dyDescent="0.2">
      <c r="A466" t="s">
        <v>828</v>
      </c>
      <c r="B466">
        <v>15</v>
      </c>
    </row>
    <row r="467" spans="1:2" x14ac:dyDescent="0.2">
      <c r="A467" t="s">
        <v>829</v>
      </c>
      <c r="B467">
        <v>16</v>
      </c>
    </row>
    <row r="468" spans="1:2" x14ac:dyDescent="0.2">
      <c r="A468" t="s">
        <v>830</v>
      </c>
      <c r="B468">
        <v>17</v>
      </c>
    </row>
    <row r="469" spans="1:2" x14ac:dyDescent="0.2">
      <c r="A469" t="s">
        <v>831</v>
      </c>
      <c r="B469">
        <v>18</v>
      </c>
    </row>
    <row r="470" spans="1:2" x14ac:dyDescent="0.2">
      <c r="A470" t="s">
        <v>832</v>
      </c>
      <c r="B470">
        <v>19</v>
      </c>
    </row>
    <row r="471" spans="1:2" x14ac:dyDescent="0.2">
      <c r="A471" t="s">
        <v>833</v>
      </c>
      <c r="B471">
        <v>21</v>
      </c>
    </row>
    <row r="472" spans="1:2" x14ac:dyDescent="0.2">
      <c r="A472" t="s">
        <v>834</v>
      </c>
      <c r="B472">
        <v>22</v>
      </c>
    </row>
    <row r="473" spans="1:2" x14ac:dyDescent="0.2">
      <c r="A473" t="s">
        <v>835</v>
      </c>
      <c r="B473">
        <v>23</v>
      </c>
    </row>
    <row r="474" spans="1:2" x14ac:dyDescent="0.2">
      <c r="A474" t="s">
        <v>836</v>
      </c>
      <c r="B474">
        <v>24</v>
      </c>
    </row>
    <row r="475" spans="1:2" x14ac:dyDescent="0.2">
      <c r="A475" t="s">
        <v>837</v>
      </c>
      <c r="B475">
        <v>25</v>
      </c>
    </row>
    <row r="476" spans="1:2" x14ac:dyDescent="0.2">
      <c r="A476" t="s">
        <v>838</v>
      </c>
      <c r="B476">
        <v>26</v>
      </c>
    </row>
    <row r="477" spans="1:2" x14ac:dyDescent="0.2">
      <c r="A477" t="s">
        <v>839</v>
      </c>
      <c r="B477">
        <v>27</v>
      </c>
    </row>
    <row r="478" spans="1:2" x14ac:dyDescent="0.2">
      <c r="A478" t="s">
        <v>840</v>
      </c>
      <c r="B478">
        <v>28</v>
      </c>
    </row>
    <row r="479" spans="1:2" x14ac:dyDescent="0.2">
      <c r="A479" t="s">
        <v>841</v>
      </c>
      <c r="B479">
        <v>29</v>
      </c>
    </row>
    <row r="480" spans="1:2" x14ac:dyDescent="0.2">
      <c r="A480" t="s">
        <v>842</v>
      </c>
      <c r="B480">
        <v>30</v>
      </c>
    </row>
    <row r="481" spans="1:13" x14ac:dyDescent="0.2">
      <c r="A481" t="s">
        <v>843</v>
      </c>
      <c r="B481">
        <v>31</v>
      </c>
    </row>
    <row r="482" spans="1:13" x14ac:dyDescent="0.2">
      <c r="A482" t="s">
        <v>844</v>
      </c>
      <c r="B482">
        <v>32</v>
      </c>
    </row>
    <row r="483" spans="1:13" x14ac:dyDescent="0.2">
      <c r="A483" t="s">
        <v>845</v>
      </c>
      <c r="B483">
        <v>34</v>
      </c>
    </row>
    <row r="484" spans="1:13" x14ac:dyDescent="0.2">
      <c r="A484" t="s">
        <v>847</v>
      </c>
      <c r="B484" t="s">
        <v>848</v>
      </c>
    </row>
    <row r="485" spans="1:13" x14ac:dyDescent="0.2">
      <c r="A485" t="s">
        <v>849</v>
      </c>
      <c r="B485" t="s">
        <v>850</v>
      </c>
    </row>
    <row r="486" spans="1:13" x14ac:dyDescent="0.2">
      <c r="A486" t="s">
        <v>851</v>
      </c>
      <c r="B486" t="s">
        <v>852</v>
      </c>
    </row>
    <row r="487" spans="1:13" x14ac:dyDescent="0.2">
      <c r="A487" t="s">
        <v>853</v>
      </c>
      <c r="B487" t="s">
        <v>854</v>
      </c>
    </row>
    <row r="488" spans="1:13" x14ac:dyDescent="0.2">
      <c r="A488" t="s">
        <v>855</v>
      </c>
      <c r="B488" t="s">
        <v>856</v>
      </c>
    </row>
    <row r="489" spans="1:13" x14ac:dyDescent="0.2">
      <c r="A489" t="s">
        <v>857</v>
      </c>
      <c r="B489" t="s">
        <v>858</v>
      </c>
    </row>
    <row r="490" spans="1:13" x14ac:dyDescent="0.2">
      <c r="A490" t="s">
        <v>859</v>
      </c>
      <c r="B490" t="s">
        <v>860</v>
      </c>
    </row>
    <row r="491" spans="1:13" x14ac:dyDescent="0.2">
      <c r="A491" t="s">
        <v>864</v>
      </c>
      <c r="B491" t="s">
        <v>57</v>
      </c>
      <c r="C491" t="s">
        <v>41</v>
      </c>
      <c r="D491" t="s">
        <v>43</v>
      </c>
      <c r="E491" t="s">
        <v>25</v>
      </c>
      <c r="F491" t="s">
        <v>19</v>
      </c>
      <c r="G491" t="s">
        <v>15</v>
      </c>
      <c r="H491" t="s">
        <v>73</v>
      </c>
      <c r="I491" t="s">
        <v>71</v>
      </c>
      <c r="J491" t="s">
        <v>65</v>
      </c>
      <c r="K491" t="s">
        <v>67</v>
      </c>
      <c r="L491" t="s">
        <v>63</v>
      </c>
      <c r="M491" t="s">
        <v>83</v>
      </c>
    </row>
    <row r="492" spans="1:13" x14ac:dyDescent="0.2">
      <c r="A492" t="s">
        <v>866</v>
      </c>
      <c r="B492">
        <v>1</v>
      </c>
    </row>
    <row r="493" spans="1:13" x14ac:dyDescent="0.2">
      <c r="A493" t="s">
        <v>867</v>
      </c>
      <c r="B493">
        <v>2</v>
      </c>
    </row>
    <row r="494" spans="1:13" x14ac:dyDescent="0.2">
      <c r="A494" t="s">
        <v>868</v>
      </c>
      <c r="B494">
        <v>3</v>
      </c>
    </row>
    <row r="495" spans="1:13" x14ac:dyDescent="0.2">
      <c r="A495" t="s">
        <v>869</v>
      </c>
      <c r="B495">
        <v>4</v>
      </c>
    </row>
    <row r="496" spans="1:13" x14ac:dyDescent="0.2">
      <c r="A496" t="s">
        <v>870</v>
      </c>
      <c r="B496">
        <v>5</v>
      </c>
    </row>
    <row r="497" spans="1:2" x14ac:dyDescent="0.2">
      <c r="A497" t="s">
        <v>871</v>
      </c>
      <c r="B497">
        <v>6</v>
      </c>
    </row>
    <row r="498" spans="1:2" x14ac:dyDescent="0.2">
      <c r="A498" t="s">
        <v>872</v>
      </c>
      <c r="B498">
        <v>8</v>
      </c>
    </row>
    <row r="499" spans="1:2" x14ac:dyDescent="0.2">
      <c r="A499" t="s">
        <v>873</v>
      </c>
      <c r="B499">
        <v>9</v>
      </c>
    </row>
    <row r="500" spans="1:2" x14ac:dyDescent="0.2">
      <c r="A500" t="s">
        <v>874</v>
      </c>
      <c r="B500">
        <v>10</v>
      </c>
    </row>
    <row r="501" spans="1:2" x14ac:dyDescent="0.2">
      <c r="A501" t="s">
        <v>875</v>
      </c>
      <c r="B501">
        <v>11</v>
      </c>
    </row>
    <row r="502" spans="1:2" x14ac:dyDescent="0.2">
      <c r="A502" t="s">
        <v>876</v>
      </c>
      <c r="B502">
        <v>12</v>
      </c>
    </row>
    <row r="503" spans="1:2" x14ac:dyDescent="0.2">
      <c r="A503" t="s">
        <v>877</v>
      </c>
      <c r="B503">
        <v>13</v>
      </c>
    </row>
    <row r="504" spans="1:2" x14ac:dyDescent="0.2">
      <c r="A504" t="s">
        <v>878</v>
      </c>
      <c r="B504">
        <v>14</v>
      </c>
    </row>
    <row r="505" spans="1:2" x14ac:dyDescent="0.2">
      <c r="A505" t="s">
        <v>879</v>
      </c>
      <c r="B505">
        <v>15</v>
      </c>
    </row>
    <row r="506" spans="1:2" x14ac:dyDescent="0.2">
      <c r="A506" t="s">
        <v>880</v>
      </c>
      <c r="B506">
        <v>16</v>
      </c>
    </row>
    <row r="507" spans="1:2" x14ac:dyDescent="0.2">
      <c r="A507" t="s">
        <v>881</v>
      </c>
      <c r="B507">
        <v>17</v>
      </c>
    </row>
    <row r="508" spans="1:2" x14ac:dyDescent="0.2">
      <c r="A508" t="s">
        <v>882</v>
      </c>
      <c r="B508">
        <v>18</v>
      </c>
    </row>
    <row r="509" spans="1:2" x14ac:dyDescent="0.2">
      <c r="A509" t="s">
        <v>883</v>
      </c>
      <c r="B509">
        <v>19</v>
      </c>
    </row>
    <row r="510" spans="1:2" x14ac:dyDescent="0.2">
      <c r="A510" t="s">
        <v>884</v>
      </c>
      <c r="B510">
        <v>20</v>
      </c>
    </row>
    <row r="511" spans="1:2" x14ac:dyDescent="0.2">
      <c r="A511" t="s">
        <v>885</v>
      </c>
      <c r="B511">
        <v>21</v>
      </c>
    </row>
    <row r="512" spans="1:2" x14ac:dyDescent="0.2">
      <c r="A512" t="s">
        <v>886</v>
      </c>
      <c r="B512">
        <v>22</v>
      </c>
    </row>
    <row r="513" spans="1:2" x14ac:dyDescent="0.2">
      <c r="A513" t="s">
        <v>887</v>
      </c>
      <c r="B513">
        <v>23</v>
      </c>
    </row>
    <row r="514" spans="1:2" x14ac:dyDescent="0.2">
      <c r="A514" t="s">
        <v>888</v>
      </c>
      <c r="B514">
        <v>24</v>
      </c>
    </row>
    <row r="515" spans="1:2" x14ac:dyDescent="0.2">
      <c r="A515" t="s">
        <v>889</v>
      </c>
      <c r="B515">
        <v>25</v>
      </c>
    </row>
    <row r="516" spans="1:2" x14ac:dyDescent="0.2">
      <c r="A516" t="s">
        <v>890</v>
      </c>
      <c r="B516">
        <v>26</v>
      </c>
    </row>
    <row r="517" spans="1:2" x14ac:dyDescent="0.2">
      <c r="A517" t="s">
        <v>891</v>
      </c>
      <c r="B517">
        <v>27</v>
      </c>
    </row>
    <row r="518" spans="1:2" x14ac:dyDescent="0.2">
      <c r="A518" t="s">
        <v>892</v>
      </c>
      <c r="B518">
        <v>28</v>
      </c>
    </row>
    <row r="519" spans="1:2" x14ac:dyDescent="0.2">
      <c r="A519" t="s">
        <v>893</v>
      </c>
      <c r="B519">
        <v>29</v>
      </c>
    </row>
    <row r="520" spans="1:2" x14ac:dyDescent="0.2">
      <c r="A520" t="s">
        <v>894</v>
      </c>
      <c r="B520">
        <v>31</v>
      </c>
    </row>
    <row r="521" spans="1:2" x14ac:dyDescent="0.2">
      <c r="A521" t="s">
        <v>895</v>
      </c>
      <c r="B521">
        <v>32</v>
      </c>
    </row>
    <row r="522" spans="1:2" x14ac:dyDescent="0.2">
      <c r="A522" t="s">
        <v>896</v>
      </c>
      <c r="B522">
        <v>33</v>
      </c>
    </row>
    <row r="523" spans="1:2" x14ac:dyDescent="0.2">
      <c r="A523" t="s">
        <v>897</v>
      </c>
      <c r="B523">
        <v>34</v>
      </c>
    </row>
    <row r="524" spans="1:2" x14ac:dyDescent="0.2">
      <c r="A524" t="s">
        <v>898</v>
      </c>
      <c r="B524">
        <v>35</v>
      </c>
    </row>
    <row r="525" spans="1:2" x14ac:dyDescent="0.2">
      <c r="A525" t="s">
        <v>899</v>
      </c>
      <c r="B525">
        <v>36</v>
      </c>
    </row>
    <row r="526" spans="1:2" x14ac:dyDescent="0.2">
      <c r="A526" t="s">
        <v>900</v>
      </c>
      <c r="B526">
        <v>37</v>
      </c>
    </row>
    <row r="527" spans="1:2" x14ac:dyDescent="0.2">
      <c r="A527" t="s">
        <v>901</v>
      </c>
      <c r="B527">
        <v>38</v>
      </c>
    </row>
    <row r="528" spans="1:2" x14ac:dyDescent="0.2">
      <c r="A528" t="s">
        <v>902</v>
      </c>
      <c r="B528">
        <v>39</v>
      </c>
    </row>
    <row r="529" spans="1:2" x14ac:dyDescent="0.2">
      <c r="A529" t="s">
        <v>903</v>
      </c>
      <c r="B529">
        <v>40</v>
      </c>
    </row>
    <row r="530" spans="1:2" x14ac:dyDescent="0.2">
      <c r="A530" t="s">
        <v>904</v>
      </c>
      <c r="B530">
        <v>41</v>
      </c>
    </row>
    <row r="531" spans="1:2" x14ac:dyDescent="0.2">
      <c r="A531" t="s">
        <v>905</v>
      </c>
      <c r="B531">
        <v>42</v>
      </c>
    </row>
    <row r="532" spans="1:2" x14ac:dyDescent="0.2">
      <c r="A532" t="s">
        <v>906</v>
      </c>
      <c r="B532">
        <v>43</v>
      </c>
    </row>
    <row r="533" spans="1:2" x14ac:dyDescent="0.2">
      <c r="A533" t="s">
        <v>907</v>
      </c>
      <c r="B533">
        <v>44</v>
      </c>
    </row>
    <row r="534" spans="1:2" x14ac:dyDescent="0.2">
      <c r="A534" t="s">
        <v>908</v>
      </c>
      <c r="B534">
        <v>45</v>
      </c>
    </row>
    <row r="535" spans="1:2" x14ac:dyDescent="0.2">
      <c r="A535" t="s">
        <v>909</v>
      </c>
      <c r="B535">
        <v>46</v>
      </c>
    </row>
    <row r="536" spans="1:2" x14ac:dyDescent="0.2">
      <c r="A536" t="s">
        <v>910</v>
      </c>
      <c r="B536">
        <v>47</v>
      </c>
    </row>
    <row r="537" spans="1:2" x14ac:dyDescent="0.2">
      <c r="A537" t="s">
        <v>911</v>
      </c>
      <c r="B537">
        <v>48</v>
      </c>
    </row>
    <row r="538" spans="1:2" x14ac:dyDescent="0.2">
      <c r="A538" t="s">
        <v>912</v>
      </c>
      <c r="B538">
        <v>49</v>
      </c>
    </row>
    <row r="539" spans="1:2" x14ac:dyDescent="0.2">
      <c r="A539" t="s">
        <v>913</v>
      </c>
      <c r="B539">
        <v>50</v>
      </c>
    </row>
    <row r="540" spans="1:2" x14ac:dyDescent="0.2">
      <c r="A540" t="s">
        <v>914</v>
      </c>
      <c r="B540">
        <v>51</v>
      </c>
    </row>
    <row r="541" spans="1:2" x14ac:dyDescent="0.2">
      <c r="A541" t="s">
        <v>915</v>
      </c>
      <c r="B541">
        <v>52</v>
      </c>
    </row>
    <row r="542" spans="1:2" x14ac:dyDescent="0.2">
      <c r="A542" t="s">
        <v>916</v>
      </c>
      <c r="B542">
        <v>54</v>
      </c>
    </row>
    <row r="543" spans="1:2" x14ac:dyDescent="0.2">
      <c r="A543" t="s">
        <v>917</v>
      </c>
      <c r="B543">
        <v>55</v>
      </c>
    </row>
    <row r="544" spans="1:2" x14ac:dyDescent="0.2">
      <c r="A544" t="s">
        <v>918</v>
      </c>
      <c r="B544">
        <v>56</v>
      </c>
    </row>
    <row r="545" spans="1:23" x14ac:dyDescent="0.2">
      <c r="A545" t="s">
        <v>920</v>
      </c>
      <c r="B545" t="s">
        <v>921</v>
      </c>
    </row>
    <row r="546" spans="1:23" x14ac:dyDescent="0.2">
      <c r="A546" t="s">
        <v>922</v>
      </c>
      <c r="B546" t="s">
        <v>923</v>
      </c>
    </row>
    <row r="547" spans="1:23" x14ac:dyDescent="0.2">
      <c r="A547" t="s">
        <v>924</v>
      </c>
      <c r="B547" t="s">
        <v>925</v>
      </c>
    </row>
    <row r="548" spans="1:23" x14ac:dyDescent="0.2">
      <c r="A548" t="s">
        <v>926</v>
      </c>
      <c r="B548" t="s">
        <v>927</v>
      </c>
    </row>
    <row r="549" spans="1:23" x14ac:dyDescent="0.2">
      <c r="A549" t="s">
        <v>928</v>
      </c>
      <c r="B549" t="s">
        <v>929</v>
      </c>
    </row>
    <row r="550" spans="1:23" x14ac:dyDescent="0.2">
      <c r="A550" t="s">
        <v>930</v>
      </c>
      <c r="B550" t="s">
        <v>931</v>
      </c>
    </row>
    <row r="551" spans="1:23" x14ac:dyDescent="0.2">
      <c r="A551" t="s">
        <v>932</v>
      </c>
      <c r="B551" t="s">
        <v>933</v>
      </c>
    </row>
    <row r="552" spans="1:23" x14ac:dyDescent="0.2">
      <c r="A552" t="s">
        <v>937</v>
      </c>
      <c r="B552" t="s">
        <v>43</v>
      </c>
      <c r="C552" t="s">
        <v>41</v>
      </c>
      <c r="D552" t="s">
        <v>57</v>
      </c>
      <c r="E552" t="s">
        <v>25</v>
      </c>
      <c r="F552" t="s">
        <v>19</v>
      </c>
      <c r="G552" t="s">
        <v>47</v>
      </c>
      <c r="H552" t="s">
        <v>75</v>
      </c>
      <c r="I552" t="s">
        <v>73</v>
      </c>
      <c r="J552" t="s">
        <v>51</v>
      </c>
      <c r="K552" t="s">
        <v>7</v>
      </c>
      <c r="L552" t="s">
        <v>15</v>
      </c>
      <c r="M552" t="s">
        <v>69</v>
      </c>
      <c r="N552" t="s">
        <v>65</v>
      </c>
      <c r="O552" t="s">
        <v>53</v>
      </c>
      <c r="P552" t="s">
        <v>63</v>
      </c>
      <c r="Q552" t="s">
        <v>77</v>
      </c>
      <c r="R552" t="s">
        <v>67</v>
      </c>
      <c r="S552" t="s">
        <v>79</v>
      </c>
      <c r="T552" t="s">
        <v>11</v>
      </c>
      <c r="U552" t="s">
        <v>71</v>
      </c>
      <c r="V552" t="s">
        <v>49</v>
      </c>
      <c r="W552" t="s">
        <v>83</v>
      </c>
    </row>
    <row r="553" spans="1:23" x14ac:dyDescent="0.2">
      <c r="A553" t="s">
        <v>939</v>
      </c>
      <c r="B553">
        <v>1</v>
      </c>
    </row>
    <row r="554" spans="1:23" x14ac:dyDescent="0.2">
      <c r="A554" t="s">
        <v>940</v>
      </c>
      <c r="B554">
        <v>2</v>
      </c>
    </row>
    <row r="555" spans="1:23" x14ac:dyDescent="0.2">
      <c r="A555" t="s">
        <v>941</v>
      </c>
      <c r="B555">
        <v>3</v>
      </c>
    </row>
    <row r="556" spans="1:23" x14ac:dyDescent="0.2">
      <c r="A556" t="s">
        <v>942</v>
      </c>
      <c r="B556">
        <v>4</v>
      </c>
    </row>
    <row r="557" spans="1:23" x14ac:dyDescent="0.2">
      <c r="A557" t="s">
        <v>943</v>
      </c>
      <c r="B557">
        <v>5</v>
      </c>
    </row>
    <row r="558" spans="1:23" x14ac:dyDescent="0.2">
      <c r="A558" t="s">
        <v>944</v>
      </c>
      <c r="B558">
        <v>6</v>
      </c>
    </row>
    <row r="559" spans="1:23" x14ac:dyDescent="0.2">
      <c r="A559" t="s">
        <v>945</v>
      </c>
      <c r="B559">
        <v>8</v>
      </c>
    </row>
    <row r="560" spans="1:23" x14ac:dyDescent="0.2">
      <c r="A560" t="s">
        <v>946</v>
      </c>
      <c r="B560">
        <v>9</v>
      </c>
    </row>
    <row r="561" spans="1:2" x14ac:dyDescent="0.2">
      <c r="A561" t="s">
        <v>947</v>
      </c>
      <c r="B561">
        <v>10</v>
      </c>
    </row>
    <row r="562" spans="1:2" x14ac:dyDescent="0.2">
      <c r="A562" t="s">
        <v>948</v>
      </c>
      <c r="B562">
        <v>11</v>
      </c>
    </row>
    <row r="563" spans="1:2" x14ac:dyDescent="0.2">
      <c r="A563" t="s">
        <v>949</v>
      </c>
      <c r="B563">
        <v>12</v>
      </c>
    </row>
    <row r="564" spans="1:2" x14ac:dyDescent="0.2">
      <c r="A564" t="s">
        <v>950</v>
      </c>
      <c r="B564">
        <v>13</v>
      </c>
    </row>
    <row r="565" spans="1:2" x14ac:dyDescent="0.2">
      <c r="A565" t="s">
        <v>951</v>
      </c>
      <c r="B565">
        <v>14</v>
      </c>
    </row>
    <row r="566" spans="1:2" x14ac:dyDescent="0.2">
      <c r="A566" t="s">
        <v>952</v>
      </c>
      <c r="B566">
        <v>15</v>
      </c>
    </row>
    <row r="567" spans="1:2" x14ac:dyDescent="0.2">
      <c r="A567" t="s">
        <v>953</v>
      </c>
      <c r="B567">
        <v>17</v>
      </c>
    </row>
    <row r="568" spans="1:2" x14ac:dyDescent="0.2">
      <c r="A568" t="s">
        <v>954</v>
      </c>
      <c r="B568">
        <v>18</v>
      </c>
    </row>
    <row r="569" spans="1:2" x14ac:dyDescent="0.2">
      <c r="A569" t="s">
        <v>955</v>
      </c>
      <c r="B569">
        <v>19</v>
      </c>
    </row>
    <row r="570" spans="1:2" x14ac:dyDescent="0.2">
      <c r="A570" t="s">
        <v>956</v>
      </c>
      <c r="B570">
        <v>20</v>
      </c>
    </row>
    <row r="571" spans="1:2" x14ac:dyDescent="0.2">
      <c r="A571" t="s">
        <v>957</v>
      </c>
      <c r="B571">
        <v>21</v>
      </c>
    </row>
    <row r="572" spans="1:2" x14ac:dyDescent="0.2">
      <c r="A572" t="s">
        <v>958</v>
      </c>
      <c r="B572">
        <v>22</v>
      </c>
    </row>
    <row r="573" spans="1:2" x14ac:dyDescent="0.2">
      <c r="A573" t="s">
        <v>959</v>
      </c>
      <c r="B573">
        <v>23</v>
      </c>
    </row>
    <row r="574" spans="1:2" x14ac:dyDescent="0.2">
      <c r="A574" t="s">
        <v>960</v>
      </c>
      <c r="B574">
        <v>24</v>
      </c>
    </row>
    <row r="575" spans="1:2" x14ac:dyDescent="0.2">
      <c r="A575" t="s">
        <v>961</v>
      </c>
      <c r="B575">
        <v>26</v>
      </c>
    </row>
    <row r="576" spans="1:2" x14ac:dyDescent="0.2">
      <c r="A576" t="s">
        <v>962</v>
      </c>
      <c r="B576" t="s">
        <v>963</v>
      </c>
    </row>
    <row r="577" spans="1:9" x14ac:dyDescent="0.2">
      <c r="A577" t="s">
        <v>964</v>
      </c>
      <c r="B577" t="s">
        <v>965</v>
      </c>
    </row>
    <row r="578" spans="1:9" x14ac:dyDescent="0.2">
      <c r="A578" t="s">
        <v>967</v>
      </c>
      <c r="B578" t="s">
        <v>968</v>
      </c>
    </row>
    <row r="579" spans="1:9" x14ac:dyDescent="0.2">
      <c r="A579" t="s">
        <v>970</v>
      </c>
      <c r="B579" t="s">
        <v>971</v>
      </c>
    </row>
    <row r="580" spans="1:9" x14ac:dyDescent="0.2">
      <c r="A580" t="s">
        <v>973</v>
      </c>
      <c r="B580" t="s">
        <v>974</v>
      </c>
    </row>
    <row r="581" spans="1:9" x14ac:dyDescent="0.2">
      <c r="A581" t="s">
        <v>976</v>
      </c>
      <c r="B581" t="s">
        <v>977</v>
      </c>
    </row>
    <row r="582" spans="1:9" x14ac:dyDescent="0.2">
      <c r="A582" t="s">
        <v>979</v>
      </c>
      <c r="B582" t="s">
        <v>980</v>
      </c>
    </row>
    <row r="583" spans="1:9" x14ac:dyDescent="0.2">
      <c r="A583" t="s">
        <v>982</v>
      </c>
      <c r="B583" t="s">
        <v>983</v>
      </c>
    </row>
    <row r="584" spans="1:9" x14ac:dyDescent="0.2">
      <c r="A584" t="s">
        <v>989</v>
      </c>
      <c r="B584" t="s">
        <v>57</v>
      </c>
      <c r="C584" t="s">
        <v>25</v>
      </c>
      <c r="D584" t="s">
        <v>61</v>
      </c>
      <c r="E584" t="s">
        <v>39</v>
      </c>
      <c r="F584" t="s">
        <v>73</v>
      </c>
      <c r="G584" t="s">
        <v>71</v>
      </c>
      <c r="H584" t="s">
        <v>67</v>
      </c>
      <c r="I584" t="s">
        <v>83</v>
      </c>
    </row>
    <row r="585" spans="1:9" x14ac:dyDescent="0.2">
      <c r="A585" t="s">
        <v>991</v>
      </c>
      <c r="B585">
        <v>1</v>
      </c>
    </row>
    <row r="586" spans="1:9" x14ac:dyDescent="0.2">
      <c r="A586" t="s">
        <v>992</v>
      </c>
      <c r="B586">
        <v>2</v>
      </c>
    </row>
    <row r="587" spans="1:9" x14ac:dyDescent="0.2">
      <c r="A587" t="s">
        <v>993</v>
      </c>
      <c r="B587">
        <v>3</v>
      </c>
    </row>
    <row r="588" spans="1:9" x14ac:dyDescent="0.2">
      <c r="A588" t="s">
        <v>994</v>
      </c>
      <c r="B588">
        <v>4</v>
      </c>
    </row>
    <row r="589" spans="1:9" x14ac:dyDescent="0.2">
      <c r="A589" t="s">
        <v>995</v>
      </c>
      <c r="B589">
        <v>5</v>
      </c>
    </row>
    <row r="590" spans="1:9" x14ac:dyDescent="0.2">
      <c r="A590" t="s">
        <v>996</v>
      </c>
      <c r="B590">
        <v>6</v>
      </c>
    </row>
    <row r="591" spans="1:9" x14ac:dyDescent="0.2">
      <c r="A591" t="s">
        <v>997</v>
      </c>
      <c r="B591">
        <v>7</v>
      </c>
    </row>
    <row r="592" spans="1:9" x14ac:dyDescent="0.2">
      <c r="A592" t="s">
        <v>998</v>
      </c>
      <c r="B592">
        <v>9</v>
      </c>
    </row>
    <row r="593" spans="1:2" x14ac:dyDescent="0.2">
      <c r="A593" t="s">
        <v>999</v>
      </c>
      <c r="B593">
        <v>10</v>
      </c>
    </row>
    <row r="594" spans="1:2" x14ac:dyDescent="0.2">
      <c r="A594" t="s">
        <v>1000</v>
      </c>
      <c r="B594">
        <v>11</v>
      </c>
    </row>
    <row r="595" spans="1:2" x14ac:dyDescent="0.2">
      <c r="A595" t="s">
        <v>1001</v>
      </c>
      <c r="B595">
        <v>12</v>
      </c>
    </row>
    <row r="596" spans="1:2" x14ac:dyDescent="0.2">
      <c r="A596" t="s">
        <v>1002</v>
      </c>
      <c r="B596">
        <v>13</v>
      </c>
    </row>
    <row r="597" spans="1:2" x14ac:dyDescent="0.2">
      <c r="A597" t="s">
        <v>1003</v>
      </c>
      <c r="B597">
        <v>14</v>
      </c>
    </row>
    <row r="598" spans="1:2" x14ac:dyDescent="0.2">
      <c r="A598" t="s">
        <v>1004</v>
      </c>
      <c r="B598">
        <v>15</v>
      </c>
    </row>
    <row r="599" spans="1:2" x14ac:dyDescent="0.2">
      <c r="A599" t="s">
        <v>1005</v>
      </c>
      <c r="B599">
        <v>16</v>
      </c>
    </row>
    <row r="600" spans="1:2" x14ac:dyDescent="0.2">
      <c r="A600" t="s">
        <v>1006</v>
      </c>
      <c r="B600">
        <v>17</v>
      </c>
    </row>
    <row r="601" spans="1:2" x14ac:dyDescent="0.2">
      <c r="A601" t="s">
        <v>1007</v>
      </c>
      <c r="B601">
        <v>18</v>
      </c>
    </row>
    <row r="602" spans="1:2" x14ac:dyDescent="0.2">
      <c r="A602" t="s">
        <v>1008</v>
      </c>
      <c r="B602">
        <v>19</v>
      </c>
    </row>
    <row r="603" spans="1:2" x14ac:dyDescent="0.2">
      <c r="A603" t="s">
        <v>1009</v>
      </c>
      <c r="B603">
        <v>20</v>
      </c>
    </row>
    <row r="604" spans="1:2" x14ac:dyDescent="0.2">
      <c r="A604" t="s">
        <v>1010</v>
      </c>
      <c r="B604">
        <v>22</v>
      </c>
    </row>
    <row r="605" spans="1:2" x14ac:dyDescent="0.2">
      <c r="A605" t="s">
        <v>1011</v>
      </c>
      <c r="B605">
        <v>23</v>
      </c>
    </row>
    <row r="606" spans="1:2" x14ac:dyDescent="0.2">
      <c r="A606" t="s">
        <v>1012</v>
      </c>
      <c r="B606">
        <v>24</v>
      </c>
    </row>
    <row r="607" spans="1:2" x14ac:dyDescent="0.2">
      <c r="A607" t="s">
        <v>1013</v>
      </c>
      <c r="B607">
        <v>25</v>
      </c>
    </row>
    <row r="608" spans="1:2" x14ac:dyDescent="0.2">
      <c r="A608" t="s">
        <v>1014</v>
      </c>
      <c r="B608">
        <v>26</v>
      </c>
    </row>
    <row r="609" spans="1:2" x14ac:dyDescent="0.2">
      <c r="A609" t="s">
        <v>1015</v>
      </c>
      <c r="B609">
        <v>27</v>
      </c>
    </row>
    <row r="610" spans="1:2" x14ac:dyDescent="0.2">
      <c r="A610" t="s">
        <v>1016</v>
      </c>
      <c r="B610">
        <v>28</v>
      </c>
    </row>
    <row r="611" spans="1:2" x14ac:dyDescent="0.2">
      <c r="A611" t="s">
        <v>1017</v>
      </c>
      <c r="B611">
        <v>29</v>
      </c>
    </row>
    <row r="612" spans="1:2" x14ac:dyDescent="0.2">
      <c r="A612" t="s">
        <v>1018</v>
      </c>
      <c r="B612">
        <v>30</v>
      </c>
    </row>
    <row r="613" spans="1:2" x14ac:dyDescent="0.2">
      <c r="A613" t="s">
        <v>1019</v>
      </c>
      <c r="B613">
        <v>31</v>
      </c>
    </row>
    <row r="614" spans="1:2" x14ac:dyDescent="0.2">
      <c r="A614" t="s">
        <v>1020</v>
      </c>
      <c r="B614">
        <v>32</v>
      </c>
    </row>
    <row r="615" spans="1:2" x14ac:dyDescent="0.2">
      <c r="A615" t="s">
        <v>1021</v>
      </c>
      <c r="B615">
        <v>33</v>
      </c>
    </row>
    <row r="616" spans="1:2" x14ac:dyDescent="0.2">
      <c r="A616" t="s">
        <v>1022</v>
      </c>
      <c r="B616">
        <v>35</v>
      </c>
    </row>
    <row r="617" spans="1:2" x14ac:dyDescent="0.2">
      <c r="A617" t="s">
        <v>1023</v>
      </c>
      <c r="B617">
        <v>36</v>
      </c>
    </row>
    <row r="618" spans="1:2" x14ac:dyDescent="0.2">
      <c r="A618" t="s">
        <v>1024</v>
      </c>
      <c r="B618">
        <v>37</v>
      </c>
    </row>
    <row r="619" spans="1:2" x14ac:dyDescent="0.2">
      <c r="A619" t="s">
        <v>1025</v>
      </c>
      <c r="B619">
        <v>39</v>
      </c>
    </row>
    <row r="620" spans="1:2" x14ac:dyDescent="0.2">
      <c r="A620" t="s">
        <v>1026</v>
      </c>
      <c r="B620">
        <v>40</v>
      </c>
    </row>
    <row r="621" spans="1:2" x14ac:dyDescent="0.2">
      <c r="A621" t="s">
        <v>1027</v>
      </c>
      <c r="B621">
        <v>41</v>
      </c>
    </row>
    <row r="622" spans="1:2" x14ac:dyDescent="0.2">
      <c r="A622" t="s">
        <v>1028</v>
      </c>
      <c r="B622" t="s">
        <v>1029</v>
      </c>
    </row>
    <row r="623" spans="1:2" x14ac:dyDescent="0.2">
      <c r="A623" t="s">
        <v>1030</v>
      </c>
      <c r="B623" t="s">
        <v>1031</v>
      </c>
    </row>
    <row r="624" spans="1:2" x14ac:dyDescent="0.2">
      <c r="A624" t="s">
        <v>1032</v>
      </c>
      <c r="B624" t="s">
        <v>1033</v>
      </c>
    </row>
    <row r="625" spans="1:13" x14ac:dyDescent="0.2">
      <c r="A625" t="s">
        <v>1034</v>
      </c>
      <c r="B625" t="s">
        <v>1035</v>
      </c>
    </row>
    <row r="626" spans="1:13" x14ac:dyDescent="0.2">
      <c r="A626" t="s">
        <v>1036</v>
      </c>
      <c r="B626" t="s">
        <v>1037</v>
      </c>
    </row>
    <row r="627" spans="1:13" x14ac:dyDescent="0.2">
      <c r="A627" t="s">
        <v>1040</v>
      </c>
      <c r="B627" t="s">
        <v>47</v>
      </c>
      <c r="C627" t="s">
        <v>49</v>
      </c>
      <c r="D627" t="s">
        <v>71</v>
      </c>
      <c r="E627" t="s">
        <v>11</v>
      </c>
      <c r="F627" t="s">
        <v>67</v>
      </c>
      <c r="G627" t="s">
        <v>7</v>
      </c>
      <c r="H627" t="s">
        <v>61</v>
      </c>
      <c r="I627" t="s">
        <v>25</v>
      </c>
      <c r="J627" t="s">
        <v>73</v>
      </c>
      <c r="K627" t="s">
        <v>75</v>
      </c>
      <c r="L627" t="s">
        <v>57</v>
      </c>
      <c r="M627" t="s">
        <v>39</v>
      </c>
    </row>
    <row r="628" spans="1:13" x14ac:dyDescent="0.2">
      <c r="A628" t="s">
        <v>1042</v>
      </c>
      <c r="B628">
        <v>1</v>
      </c>
    </row>
    <row r="629" spans="1:13" x14ac:dyDescent="0.2">
      <c r="A629" t="s">
        <v>1043</v>
      </c>
      <c r="B629">
        <v>2</v>
      </c>
    </row>
    <row r="630" spans="1:13" x14ac:dyDescent="0.2">
      <c r="A630" t="s">
        <v>1044</v>
      </c>
      <c r="B630">
        <v>3</v>
      </c>
    </row>
    <row r="631" spans="1:13" x14ac:dyDescent="0.2">
      <c r="A631" t="s">
        <v>1045</v>
      </c>
      <c r="B631">
        <v>4</v>
      </c>
    </row>
    <row r="632" spans="1:13" x14ac:dyDescent="0.2">
      <c r="A632" t="s">
        <v>1046</v>
      </c>
      <c r="B632">
        <v>5</v>
      </c>
    </row>
    <row r="633" spans="1:13" x14ac:dyDescent="0.2">
      <c r="A633" t="s">
        <v>1047</v>
      </c>
      <c r="B633">
        <v>6</v>
      </c>
    </row>
    <row r="634" spans="1:13" x14ac:dyDescent="0.2">
      <c r="A634" t="s">
        <v>1048</v>
      </c>
      <c r="B634">
        <v>7</v>
      </c>
    </row>
    <row r="635" spans="1:13" x14ac:dyDescent="0.2">
      <c r="A635" t="s">
        <v>1049</v>
      </c>
      <c r="B635">
        <v>9</v>
      </c>
    </row>
    <row r="636" spans="1:13" x14ac:dyDescent="0.2">
      <c r="A636" t="s">
        <v>1050</v>
      </c>
      <c r="B636">
        <v>10</v>
      </c>
    </row>
    <row r="637" spans="1:13" x14ac:dyDescent="0.2">
      <c r="A637" t="s">
        <v>1051</v>
      </c>
      <c r="B637">
        <v>11</v>
      </c>
    </row>
    <row r="638" spans="1:13" x14ac:dyDescent="0.2">
      <c r="A638" t="s">
        <v>1052</v>
      </c>
      <c r="B638">
        <v>12</v>
      </c>
    </row>
    <row r="639" spans="1:13" x14ac:dyDescent="0.2">
      <c r="A639" t="s">
        <v>1053</v>
      </c>
      <c r="B639">
        <v>13</v>
      </c>
    </row>
    <row r="640" spans="1:13" x14ac:dyDescent="0.2">
      <c r="A640" t="s">
        <v>1055</v>
      </c>
      <c r="B640">
        <v>14</v>
      </c>
    </row>
    <row r="641" spans="1:2" x14ac:dyDescent="0.2">
      <c r="A641" t="s">
        <v>1056</v>
      </c>
      <c r="B641">
        <v>15</v>
      </c>
    </row>
    <row r="642" spans="1:2" x14ac:dyDescent="0.2">
      <c r="A642" t="s">
        <v>1057</v>
      </c>
      <c r="B642">
        <v>16</v>
      </c>
    </row>
    <row r="643" spans="1:2" x14ac:dyDescent="0.2">
      <c r="A643" t="s">
        <v>1058</v>
      </c>
      <c r="B643">
        <v>17</v>
      </c>
    </row>
    <row r="644" spans="1:2" x14ac:dyDescent="0.2">
      <c r="A644" t="s">
        <v>1059</v>
      </c>
      <c r="B644">
        <v>19</v>
      </c>
    </row>
    <row r="645" spans="1:2" x14ac:dyDescent="0.2">
      <c r="A645" t="s">
        <v>1060</v>
      </c>
      <c r="B645">
        <v>20</v>
      </c>
    </row>
    <row r="646" spans="1:2" x14ac:dyDescent="0.2">
      <c r="A646" t="s">
        <v>1061</v>
      </c>
      <c r="B646">
        <v>21</v>
      </c>
    </row>
    <row r="647" spans="1:2" x14ac:dyDescent="0.2">
      <c r="A647" t="s">
        <v>1062</v>
      </c>
      <c r="B647">
        <v>22</v>
      </c>
    </row>
    <row r="648" spans="1:2" x14ac:dyDescent="0.2">
      <c r="A648" t="s">
        <v>1063</v>
      </c>
      <c r="B648">
        <v>23</v>
      </c>
    </row>
    <row r="649" spans="1:2" x14ac:dyDescent="0.2">
      <c r="A649" t="s">
        <v>1064</v>
      </c>
      <c r="B649">
        <v>24</v>
      </c>
    </row>
    <row r="650" spans="1:2" x14ac:dyDescent="0.2">
      <c r="A650" t="s">
        <v>1065</v>
      </c>
      <c r="B650">
        <v>25</v>
      </c>
    </row>
    <row r="651" spans="1:2" x14ac:dyDescent="0.2">
      <c r="A651" t="s">
        <v>1066</v>
      </c>
      <c r="B651">
        <v>26</v>
      </c>
    </row>
    <row r="652" spans="1:2" x14ac:dyDescent="0.2">
      <c r="A652" t="s">
        <v>1067</v>
      </c>
      <c r="B652">
        <v>27</v>
      </c>
    </row>
    <row r="653" spans="1:2" x14ac:dyDescent="0.2">
      <c r="A653" t="s">
        <v>1068</v>
      </c>
      <c r="B653">
        <v>29</v>
      </c>
    </row>
    <row r="654" spans="1:2" x14ac:dyDescent="0.2">
      <c r="A654" t="s">
        <v>1069</v>
      </c>
      <c r="B654">
        <v>31</v>
      </c>
    </row>
    <row r="655" spans="1:2" x14ac:dyDescent="0.2">
      <c r="A655" t="s">
        <v>1070</v>
      </c>
      <c r="B655" t="s">
        <v>1071</v>
      </c>
    </row>
    <row r="656" spans="1:2" x14ac:dyDescent="0.2">
      <c r="A656" t="s">
        <v>1072</v>
      </c>
      <c r="B656" t="s">
        <v>1073</v>
      </c>
    </row>
    <row r="657" spans="1:10" x14ac:dyDescent="0.2">
      <c r="A657" t="s">
        <v>1074</v>
      </c>
      <c r="B657" t="s">
        <v>1075</v>
      </c>
    </row>
    <row r="658" spans="1:10" x14ac:dyDescent="0.2">
      <c r="A658" t="s">
        <v>1076</v>
      </c>
      <c r="B658" t="s">
        <v>1077</v>
      </c>
    </row>
    <row r="659" spans="1:10" x14ac:dyDescent="0.2">
      <c r="A659" t="s">
        <v>1078</v>
      </c>
      <c r="B659" t="s">
        <v>1079</v>
      </c>
    </row>
    <row r="660" spans="1:10" x14ac:dyDescent="0.2">
      <c r="A660" t="s">
        <v>1083</v>
      </c>
      <c r="B660" t="s">
        <v>67</v>
      </c>
      <c r="C660" t="s">
        <v>55</v>
      </c>
      <c r="D660" t="s">
        <v>37</v>
      </c>
      <c r="E660" t="s">
        <v>73</v>
      </c>
      <c r="F660" t="s">
        <v>25</v>
      </c>
      <c r="G660" t="s">
        <v>71</v>
      </c>
      <c r="H660" t="s">
        <v>61</v>
      </c>
      <c r="I660" t="s">
        <v>39</v>
      </c>
      <c r="J660" t="s">
        <v>57</v>
      </c>
    </row>
    <row r="661" spans="1:10" x14ac:dyDescent="0.2">
      <c r="A661" t="s">
        <v>1085</v>
      </c>
      <c r="B661">
        <v>1</v>
      </c>
    </row>
    <row r="662" spans="1:10" x14ac:dyDescent="0.2">
      <c r="A662" t="s">
        <v>1086</v>
      </c>
      <c r="B662">
        <v>2</v>
      </c>
    </row>
    <row r="663" spans="1:10" x14ac:dyDescent="0.2">
      <c r="A663" t="s">
        <v>1087</v>
      </c>
      <c r="B663">
        <v>3</v>
      </c>
    </row>
    <row r="664" spans="1:10" x14ac:dyDescent="0.2">
      <c r="A664" t="s">
        <v>1088</v>
      </c>
      <c r="B664">
        <v>4</v>
      </c>
    </row>
    <row r="665" spans="1:10" x14ac:dyDescent="0.2">
      <c r="A665" t="s">
        <v>1089</v>
      </c>
      <c r="B665">
        <v>5</v>
      </c>
    </row>
    <row r="666" spans="1:10" x14ac:dyDescent="0.2">
      <c r="A666" t="s">
        <v>1090</v>
      </c>
      <c r="B666">
        <v>6</v>
      </c>
    </row>
    <row r="667" spans="1:10" x14ac:dyDescent="0.2">
      <c r="A667" t="s">
        <v>1091</v>
      </c>
      <c r="B667">
        <v>7</v>
      </c>
    </row>
    <row r="668" spans="1:10" x14ac:dyDescent="0.2">
      <c r="A668" t="s">
        <v>1092</v>
      </c>
      <c r="B668">
        <v>9</v>
      </c>
    </row>
    <row r="669" spans="1:10" x14ac:dyDescent="0.2">
      <c r="A669" t="s">
        <v>1093</v>
      </c>
      <c r="B669">
        <v>10</v>
      </c>
    </row>
    <row r="670" spans="1:10" x14ac:dyDescent="0.2">
      <c r="A670" t="s">
        <v>1094</v>
      </c>
      <c r="B670">
        <v>11</v>
      </c>
    </row>
    <row r="671" spans="1:10" x14ac:dyDescent="0.2">
      <c r="A671" t="s">
        <v>1095</v>
      </c>
      <c r="B671">
        <v>12</v>
      </c>
    </row>
    <row r="672" spans="1:10" x14ac:dyDescent="0.2">
      <c r="A672" t="s">
        <v>1096</v>
      </c>
      <c r="B672">
        <v>13</v>
      </c>
    </row>
    <row r="673" spans="1:2" x14ac:dyDescent="0.2">
      <c r="A673" t="s">
        <v>1097</v>
      </c>
      <c r="B673">
        <v>14</v>
      </c>
    </row>
    <row r="674" spans="1:2" x14ac:dyDescent="0.2">
      <c r="A674" t="s">
        <v>1098</v>
      </c>
      <c r="B674">
        <v>15</v>
      </c>
    </row>
    <row r="675" spans="1:2" x14ac:dyDescent="0.2">
      <c r="A675" t="s">
        <v>1099</v>
      </c>
      <c r="B675">
        <v>16</v>
      </c>
    </row>
    <row r="676" spans="1:2" x14ac:dyDescent="0.2">
      <c r="A676" t="s">
        <v>1100</v>
      </c>
      <c r="B676">
        <v>17</v>
      </c>
    </row>
    <row r="677" spans="1:2" x14ac:dyDescent="0.2">
      <c r="A677" t="s">
        <v>1101</v>
      </c>
      <c r="B677">
        <v>19</v>
      </c>
    </row>
    <row r="678" spans="1:2" x14ac:dyDescent="0.2">
      <c r="A678" t="s">
        <v>1102</v>
      </c>
      <c r="B678">
        <v>20</v>
      </c>
    </row>
    <row r="679" spans="1:2" x14ac:dyDescent="0.2">
      <c r="A679" t="s">
        <v>1103</v>
      </c>
      <c r="B679">
        <v>21</v>
      </c>
    </row>
    <row r="680" spans="1:2" x14ac:dyDescent="0.2">
      <c r="A680" t="s">
        <v>1104</v>
      </c>
      <c r="B680">
        <v>22</v>
      </c>
    </row>
    <row r="681" spans="1:2" x14ac:dyDescent="0.2">
      <c r="A681" t="s">
        <v>1105</v>
      </c>
      <c r="B681">
        <v>23</v>
      </c>
    </row>
    <row r="682" spans="1:2" x14ac:dyDescent="0.2">
      <c r="A682" t="s">
        <v>1106</v>
      </c>
      <c r="B682">
        <v>24</v>
      </c>
    </row>
    <row r="683" spans="1:2" x14ac:dyDescent="0.2">
      <c r="A683" t="s">
        <v>1107</v>
      </c>
      <c r="B683">
        <v>25</v>
      </c>
    </row>
    <row r="684" spans="1:2" x14ac:dyDescent="0.2">
      <c r="A684" t="s">
        <v>1108</v>
      </c>
      <c r="B684">
        <v>26</v>
      </c>
    </row>
    <row r="685" spans="1:2" x14ac:dyDescent="0.2">
      <c r="A685" t="s">
        <v>1109</v>
      </c>
      <c r="B685">
        <v>27</v>
      </c>
    </row>
    <row r="686" spans="1:2" x14ac:dyDescent="0.2">
      <c r="A686" t="s">
        <v>1110</v>
      </c>
      <c r="B686">
        <v>29</v>
      </c>
    </row>
    <row r="687" spans="1:2" x14ac:dyDescent="0.2">
      <c r="A687" t="s">
        <v>1111</v>
      </c>
      <c r="B687">
        <v>30</v>
      </c>
    </row>
    <row r="688" spans="1:2" x14ac:dyDescent="0.2">
      <c r="A688" t="s">
        <v>1112</v>
      </c>
      <c r="B688" t="s">
        <v>1113</v>
      </c>
    </row>
    <row r="689" spans="1:10" x14ac:dyDescent="0.2">
      <c r="A689" t="s">
        <v>1114</v>
      </c>
      <c r="B689" t="s">
        <v>1115</v>
      </c>
    </row>
    <row r="690" spans="1:10" x14ac:dyDescent="0.2">
      <c r="A690" t="s">
        <v>1116</v>
      </c>
      <c r="B690" t="s">
        <v>1117</v>
      </c>
    </row>
    <row r="691" spans="1:10" x14ac:dyDescent="0.2">
      <c r="A691" t="s">
        <v>1118</v>
      </c>
      <c r="B691" t="s">
        <v>1119</v>
      </c>
    </row>
    <row r="692" spans="1:10" x14ac:dyDescent="0.2">
      <c r="A692" t="s">
        <v>1120</v>
      </c>
      <c r="B692" t="s">
        <v>1121</v>
      </c>
    </row>
    <row r="693" spans="1:10" x14ac:dyDescent="0.2">
      <c r="A693" t="s">
        <v>1122</v>
      </c>
      <c r="B693" t="s">
        <v>1123</v>
      </c>
    </row>
    <row r="694" spans="1:10" x14ac:dyDescent="0.2">
      <c r="A694" t="s">
        <v>1124</v>
      </c>
      <c r="B694" t="s">
        <v>1125</v>
      </c>
    </row>
    <row r="695" spans="1:10" x14ac:dyDescent="0.2">
      <c r="A695" t="s">
        <v>1126</v>
      </c>
      <c r="B695" t="s">
        <v>1127</v>
      </c>
    </row>
    <row r="696" spans="1:10" x14ac:dyDescent="0.2">
      <c r="A696" t="s">
        <v>1131</v>
      </c>
      <c r="B696" t="s">
        <v>67</v>
      </c>
      <c r="C696" t="s">
        <v>19</v>
      </c>
      <c r="D696" t="s">
        <v>71</v>
      </c>
      <c r="E696" t="s">
        <v>73</v>
      </c>
      <c r="F696" t="s">
        <v>25</v>
      </c>
      <c r="G696" t="s">
        <v>15</v>
      </c>
      <c r="H696" t="s">
        <v>39</v>
      </c>
      <c r="I696" t="s">
        <v>61</v>
      </c>
      <c r="J696" t="s">
        <v>57</v>
      </c>
    </row>
    <row r="697" spans="1:10" x14ac:dyDescent="0.2">
      <c r="A697" t="s">
        <v>1133</v>
      </c>
      <c r="B697">
        <v>1</v>
      </c>
    </row>
    <row r="698" spans="1:10" x14ac:dyDescent="0.2">
      <c r="A698" t="s">
        <v>1134</v>
      </c>
      <c r="B698">
        <v>2</v>
      </c>
    </row>
    <row r="699" spans="1:10" x14ac:dyDescent="0.2">
      <c r="A699" t="s">
        <v>1135</v>
      </c>
      <c r="B699">
        <v>3</v>
      </c>
    </row>
    <row r="700" spans="1:10" x14ac:dyDescent="0.2">
      <c r="A700" t="s">
        <v>1136</v>
      </c>
      <c r="B700">
        <v>4</v>
      </c>
    </row>
    <row r="701" spans="1:10" x14ac:dyDescent="0.2">
      <c r="A701" t="s">
        <v>1137</v>
      </c>
      <c r="B701">
        <v>5</v>
      </c>
    </row>
    <row r="702" spans="1:10" x14ac:dyDescent="0.2">
      <c r="A702" t="s">
        <v>1138</v>
      </c>
      <c r="B702">
        <v>6</v>
      </c>
    </row>
    <row r="703" spans="1:10" x14ac:dyDescent="0.2">
      <c r="A703" t="s">
        <v>1139</v>
      </c>
      <c r="B703">
        <v>7</v>
      </c>
    </row>
    <row r="704" spans="1:10" x14ac:dyDescent="0.2">
      <c r="A704" t="s">
        <v>1140</v>
      </c>
      <c r="B704">
        <v>9</v>
      </c>
    </row>
    <row r="705" spans="1:2" x14ac:dyDescent="0.2">
      <c r="A705" t="s">
        <v>1141</v>
      </c>
      <c r="B705">
        <v>10</v>
      </c>
    </row>
    <row r="706" spans="1:2" x14ac:dyDescent="0.2">
      <c r="A706" t="s">
        <v>1142</v>
      </c>
      <c r="B706">
        <v>11</v>
      </c>
    </row>
    <row r="707" spans="1:2" x14ac:dyDescent="0.2">
      <c r="A707" t="s">
        <v>1143</v>
      </c>
      <c r="B707">
        <v>12</v>
      </c>
    </row>
    <row r="708" spans="1:2" x14ac:dyDescent="0.2">
      <c r="A708" t="s">
        <v>1144</v>
      </c>
      <c r="B708">
        <v>13</v>
      </c>
    </row>
    <row r="709" spans="1:2" x14ac:dyDescent="0.2">
      <c r="A709" t="s">
        <v>1145</v>
      </c>
      <c r="B709">
        <v>14</v>
      </c>
    </row>
    <row r="710" spans="1:2" x14ac:dyDescent="0.2">
      <c r="A710" t="s">
        <v>1146</v>
      </c>
      <c r="B710">
        <v>15</v>
      </c>
    </row>
    <row r="711" spans="1:2" x14ac:dyDescent="0.2">
      <c r="A711" t="s">
        <v>1147</v>
      </c>
      <c r="B711">
        <v>16</v>
      </c>
    </row>
    <row r="712" spans="1:2" x14ac:dyDescent="0.2">
      <c r="A712" t="s">
        <v>1148</v>
      </c>
      <c r="B712">
        <v>17</v>
      </c>
    </row>
    <row r="713" spans="1:2" x14ac:dyDescent="0.2">
      <c r="A713" t="s">
        <v>1149</v>
      </c>
      <c r="B713">
        <v>19</v>
      </c>
    </row>
    <row r="714" spans="1:2" x14ac:dyDescent="0.2">
      <c r="A714" t="s">
        <v>1150</v>
      </c>
      <c r="B714">
        <v>20</v>
      </c>
    </row>
    <row r="715" spans="1:2" x14ac:dyDescent="0.2">
      <c r="A715" t="s">
        <v>1151</v>
      </c>
      <c r="B715">
        <v>21</v>
      </c>
    </row>
    <row r="716" spans="1:2" x14ac:dyDescent="0.2">
      <c r="A716" t="s">
        <v>1152</v>
      </c>
      <c r="B716">
        <v>22</v>
      </c>
    </row>
    <row r="717" spans="1:2" x14ac:dyDescent="0.2">
      <c r="A717" t="s">
        <v>1153</v>
      </c>
      <c r="B717">
        <v>23</v>
      </c>
    </row>
    <row r="718" spans="1:2" x14ac:dyDescent="0.2">
      <c r="A718" t="s">
        <v>1154</v>
      </c>
      <c r="B718">
        <v>24</v>
      </c>
    </row>
    <row r="719" spans="1:2" x14ac:dyDescent="0.2">
      <c r="A719" t="s">
        <v>1155</v>
      </c>
      <c r="B719">
        <v>25</v>
      </c>
    </row>
    <row r="720" spans="1:2" x14ac:dyDescent="0.2">
      <c r="A720" t="s">
        <v>1156</v>
      </c>
      <c r="B720">
        <v>26</v>
      </c>
    </row>
    <row r="721" spans="1:10" x14ac:dyDescent="0.2">
      <c r="A721" t="s">
        <v>1157</v>
      </c>
      <c r="B721">
        <v>27</v>
      </c>
    </row>
    <row r="722" spans="1:10" x14ac:dyDescent="0.2">
      <c r="A722" t="s">
        <v>1158</v>
      </c>
      <c r="B722">
        <v>29</v>
      </c>
    </row>
    <row r="723" spans="1:10" x14ac:dyDescent="0.2">
      <c r="A723" t="s">
        <v>1159</v>
      </c>
      <c r="B723">
        <v>30</v>
      </c>
    </row>
    <row r="724" spans="1:10" x14ac:dyDescent="0.2">
      <c r="A724" t="s">
        <v>1160</v>
      </c>
      <c r="B724" t="s">
        <v>1161</v>
      </c>
    </row>
    <row r="725" spans="1:10" x14ac:dyDescent="0.2">
      <c r="A725" t="s">
        <v>1162</v>
      </c>
      <c r="B725" t="s">
        <v>1163</v>
      </c>
    </row>
    <row r="726" spans="1:10" x14ac:dyDescent="0.2">
      <c r="A726" t="s">
        <v>1164</v>
      </c>
      <c r="B726" t="s">
        <v>1165</v>
      </c>
    </row>
    <row r="727" spans="1:10" x14ac:dyDescent="0.2">
      <c r="A727" t="s">
        <v>1166</v>
      </c>
      <c r="B727" t="s">
        <v>1167</v>
      </c>
    </row>
    <row r="728" spans="1:10" x14ac:dyDescent="0.2">
      <c r="A728" t="s">
        <v>1168</v>
      </c>
      <c r="B728" t="s">
        <v>1169</v>
      </c>
    </row>
    <row r="729" spans="1:10" x14ac:dyDescent="0.2">
      <c r="A729" t="s">
        <v>1173</v>
      </c>
      <c r="B729" t="s">
        <v>71</v>
      </c>
      <c r="C729" t="s">
        <v>73</v>
      </c>
      <c r="D729" t="s">
        <v>39</v>
      </c>
      <c r="E729" t="s">
        <v>15</v>
      </c>
      <c r="F729" t="s">
        <v>61</v>
      </c>
      <c r="G729" t="s">
        <v>25</v>
      </c>
      <c r="H729" t="s">
        <v>57</v>
      </c>
      <c r="I729" t="s">
        <v>19</v>
      </c>
      <c r="J729" t="s">
        <v>67</v>
      </c>
    </row>
    <row r="730" spans="1:10" x14ac:dyDescent="0.2">
      <c r="A730" t="s">
        <v>1175</v>
      </c>
      <c r="B730">
        <v>1</v>
      </c>
    </row>
    <row r="731" spans="1:10" x14ac:dyDescent="0.2">
      <c r="A731" t="s">
        <v>1176</v>
      </c>
      <c r="B731">
        <v>2</v>
      </c>
    </row>
    <row r="732" spans="1:10" x14ac:dyDescent="0.2">
      <c r="A732" t="s">
        <v>1177</v>
      </c>
      <c r="B732">
        <v>3</v>
      </c>
    </row>
    <row r="733" spans="1:10" x14ac:dyDescent="0.2">
      <c r="A733" t="s">
        <v>1178</v>
      </c>
      <c r="B733">
        <v>4</v>
      </c>
    </row>
    <row r="734" spans="1:10" x14ac:dyDescent="0.2">
      <c r="A734" t="s">
        <v>1179</v>
      </c>
      <c r="B734">
        <v>5</v>
      </c>
    </row>
    <row r="735" spans="1:10" x14ac:dyDescent="0.2">
      <c r="A735" t="s">
        <v>1180</v>
      </c>
      <c r="B735">
        <v>6</v>
      </c>
    </row>
    <row r="736" spans="1:10" x14ac:dyDescent="0.2">
      <c r="A736" t="s">
        <v>1181</v>
      </c>
      <c r="B736">
        <v>7</v>
      </c>
    </row>
    <row r="737" spans="1:2" x14ac:dyDescent="0.2">
      <c r="A737" t="s">
        <v>1182</v>
      </c>
      <c r="B737">
        <v>9</v>
      </c>
    </row>
    <row r="738" spans="1:2" x14ac:dyDescent="0.2">
      <c r="A738" t="s">
        <v>1183</v>
      </c>
      <c r="B738">
        <v>10</v>
      </c>
    </row>
    <row r="739" spans="1:2" x14ac:dyDescent="0.2">
      <c r="A739" t="s">
        <v>1184</v>
      </c>
      <c r="B739">
        <v>11</v>
      </c>
    </row>
    <row r="740" spans="1:2" x14ac:dyDescent="0.2">
      <c r="A740" t="s">
        <v>1185</v>
      </c>
      <c r="B740">
        <v>12</v>
      </c>
    </row>
    <row r="741" spans="1:2" x14ac:dyDescent="0.2">
      <c r="A741" t="s">
        <v>1186</v>
      </c>
      <c r="B741">
        <v>13</v>
      </c>
    </row>
    <row r="742" spans="1:2" x14ac:dyDescent="0.2">
      <c r="A742" t="s">
        <v>1187</v>
      </c>
      <c r="B742">
        <v>14</v>
      </c>
    </row>
    <row r="743" spans="1:2" x14ac:dyDescent="0.2">
      <c r="A743" t="s">
        <v>1188</v>
      </c>
      <c r="B743">
        <v>15</v>
      </c>
    </row>
    <row r="744" spans="1:2" x14ac:dyDescent="0.2">
      <c r="A744" t="s">
        <v>1189</v>
      </c>
      <c r="B744">
        <v>16</v>
      </c>
    </row>
    <row r="745" spans="1:2" x14ac:dyDescent="0.2">
      <c r="A745" t="s">
        <v>1190</v>
      </c>
      <c r="B745">
        <v>17</v>
      </c>
    </row>
    <row r="746" spans="1:2" x14ac:dyDescent="0.2">
      <c r="A746" t="s">
        <v>1191</v>
      </c>
      <c r="B746">
        <v>18</v>
      </c>
    </row>
    <row r="747" spans="1:2" x14ac:dyDescent="0.2">
      <c r="A747" t="s">
        <v>1192</v>
      </c>
      <c r="B747">
        <v>20</v>
      </c>
    </row>
    <row r="748" spans="1:2" x14ac:dyDescent="0.2">
      <c r="A748" t="s">
        <v>1193</v>
      </c>
      <c r="B748">
        <v>21</v>
      </c>
    </row>
    <row r="749" spans="1:2" x14ac:dyDescent="0.2">
      <c r="A749" t="s">
        <v>1194</v>
      </c>
      <c r="B749">
        <v>22</v>
      </c>
    </row>
    <row r="750" spans="1:2" x14ac:dyDescent="0.2">
      <c r="A750" t="s">
        <v>1195</v>
      </c>
      <c r="B750">
        <v>23</v>
      </c>
    </row>
    <row r="751" spans="1:2" x14ac:dyDescent="0.2">
      <c r="A751" t="s">
        <v>1196</v>
      </c>
      <c r="B751">
        <v>24</v>
      </c>
    </row>
    <row r="752" spans="1:2" x14ac:dyDescent="0.2">
      <c r="A752" t="s">
        <v>1197</v>
      </c>
      <c r="B752">
        <v>25</v>
      </c>
    </row>
    <row r="753" spans="1:11" x14ac:dyDescent="0.2">
      <c r="A753" t="s">
        <v>1198</v>
      </c>
      <c r="B753">
        <v>26</v>
      </c>
    </row>
    <row r="754" spans="1:11" x14ac:dyDescent="0.2">
      <c r="A754" t="s">
        <v>1199</v>
      </c>
      <c r="B754">
        <v>27</v>
      </c>
    </row>
    <row r="755" spans="1:11" x14ac:dyDescent="0.2">
      <c r="A755" t="s">
        <v>1200</v>
      </c>
      <c r="B755">
        <v>28</v>
      </c>
    </row>
    <row r="756" spans="1:11" x14ac:dyDescent="0.2">
      <c r="A756" t="s">
        <v>1201</v>
      </c>
      <c r="B756">
        <v>29</v>
      </c>
    </row>
    <row r="757" spans="1:11" x14ac:dyDescent="0.2">
      <c r="A757" t="s">
        <v>1202</v>
      </c>
      <c r="B757">
        <v>31</v>
      </c>
    </row>
    <row r="758" spans="1:11" x14ac:dyDescent="0.2">
      <c r="A758" t="s">
        <v>1203</v>
      </c>
      <c r="B758">
        <v>32</v>
      </c>
    </row>
    <row r="759" spans="1:11" x14ac:dyDescent="0.2">
      <c r="A759" t="s">
        <v>1204</v>
      </c>
      <c r="B759">
        <v>33</v>
      </c>
    </row>
    <row r="760" spans="1:11" x14ac:dyDescent="0.2">
      <c r="A760" t="s">
        <v>1205</v>
      </c>
      <c r="B760" t="s">
        <v>1206</v>
      </c>
    </row>
    <row r="761" spans="1:11" x14ac:dyDescent="0.2">
      <c r="A761" t="s">
        <v>1207</v>
      </c>
      <c r="B761" t="s">
        <v>1208</v>
      </c>
    </row>
    <row r="762" spans="1:11" x14ac:dyDescent="0.2">
      <c r="A762" t="s">
        <v>1209</v>
      </c>
      <c r="B762" t="s">
        <v>1210</v>
      </c>
    </row>
    <row r="763" spans="1:11" x14ac:dyDescent="0.2">
      <c r="A763" t="s">
        <v>1211</v>
      </c>
      <c r="B763" t="s">
        <v>1212</v>
      </c>
    </row>
    <row r="764" spans="1:11" x14ac:dyDescent="0.2">
      <c r="A764" t="s">
        <v>1213</v>
      </c>
      <c r="B764" t="s">
        <v>1214</v>
      </c>
    </row>
    <row r="765" spans="1:11" x14ac:dyDescent="0.2">
      <c r="A765" t="s">
        <v>1218</v>
      </c>
      <c r="B765" t="s">
        <v>71</v>
      </c>
      <c r="C765" t="s">
        <v>15</v>
      </c>
      <c r="D765" t="s">
        <v>25</v>
      </c>
      <c r="E765" t="s">
        <v>67</v>
      </c>
      <c r="F765" t="s">
        <v>73</v>
      </c>
      <c r="G765" t="s">
        <v>19</v>
      </c>
      <c r="H765" t="s">
        <v>37</v>
      </c>
      <c r="I765" t="s">
        <v>39</v>
      </c>
      <c r="J765" t="s">
        <v>61</v>
      </c>
      <c r="K765" t="s">
        <v>57</v>
      </c>
    </row>
    <row r="766" spans="1:11" x14ac:dyDescent="0.2">
      <c r="A766" t="s">
        <v>1220</v>
      </c>
      <c r="B766">
        <v>1</v>
      </c>
    </row>
    <row r="767" spans="1:11" x14ac:dyDescent="0.2">
      <c r="A767" t="s">
        <v>1221</v>
      </c>
      <c r="B767">
        <v>2</v>
      </c>
    </row>
    <row r="768" spans="1:11" x14ac:dyDescent="0.2">
      <c r="A768" t="s">
        <v>1222</v>
      </c>
      <c r="B768">
        <v>3</v>
      </c>
    </row>
    <row r="769" spans="1:2" x14ac:dyDescent="0.2">
      <c r="A769" t="s">
        <v>1223</v>
      </c>
      <c r="B769">
        <v>4</v>
      </c>
    </row>
    <row r="770" spans="1:2" x14ac:dyDescent="0.2">
      <c r="A770" t="s">
        <v>1224</v>
      </c>
      <c r="B770">
        <v>5</v>
      </c>
    </row>
    <row r="771" spans="1:2" x14ac:dyDescent="0.2">
      <c r="A771" t="s">
        <v>1225</v>
      </c>
      <c r="B771">
        <v>6</v>
      </c>
    </row>
    <row r="772" spans="1:2" x14ac:dyDescent="0.2">
      <c r="A772" t="s">
        <v>1226</v>
      </c>
      <c r="B772">
        <v>7</v>
      </c>
    </row>
    <row r="773" spans="1:2" x14ac:dyDescent="0.2">
      <c r="A773" t="s">
        <v>1227</v>
      </c>
      <c r="B773">
        <v>9</v>
      </c>
    </row>
    <row r="774" spans="1:2" x14ac:dyDescent="0.2">
      <c r="A774" t="s">
        <v>1228</v>
      </c>
      <c r="B774">
        <v>10</v>
      </c>
    </row>
    <row r="775" spans="1:2" x14ac:dyDescent="0.2">
      <c r="A775" t="s">
        <v>1229</v>
      </c>
      <c r="B775">
        <v>11</v>
      </c>
    </row>
    <row r="776" spans="1:2" x14ac:dyDescent="0.2">
      <c r="A776" t="s">
        <v>1230</v>
      </c>
      <c r="B776">
        <v>12</v>
      </c>
    </row>
    <row r="777" spans="1:2" x14ac:dyDescent="0.2">
      <c r="A777" t="s">
        <v>1231</v>
      </c>
      <c r="B777">
        <v>13</v>
      </c>
    </row>
    <row r="778" spans="1:2" x14ac:dyDescent="0.2">
      <c r="A778" t="s">
        <v>1232</v>
      </c>
      <c r="B778">
        <v>14</v>
      </c>
    </row>
    <row r="779" spans="1:2" x14ac:dyDescent="0.2">
      <c r="A779" t="s">
        <v>1233</v>
      </c>
      <c r="B779">
        <v>15</v>
      </c>
    </row>
    <row r="780" spans="1:2" x14ac:dyDescent="0.2">
      <c r="A780" t="s">
        <v>1234</v>
      </c>
      <c r="B780">
        <v>16</v>
      </c>
    </row>
    <row r="781" spans="1:2" x14ac:dyDescent="0.2">
      <c r="A781" t="s">
        <v>1235</v>
      </c>
      <c r="B781">
        <v>17</v>
      </c>
    </row>
    <row r="782" spans="1:2" x14ac:dyDescent="0.2">
      <c r="A782" t="s">
        <v>1236</v>
      </c>
      <c r="B782">
        <v>18</v>
      </c>
    </row>
    <row r="783" spans="1:2" x14ac:dyDescent="0.2">
      <c r="A783" t="s">
        <v>1237</v>
      </c>
      <c r="B783">
        <v>20</v>
      </c>
    </row>
    <row r="784" spans="1:2" x14ac:dyDescent="0.2">
      <c r="A784" t="s">
        <v>1238</v>
      </c>
      <c r="B784">
        <v>21</v>
      </c>
    </row>
    <row r="785" spans="1:2" x14ac:dyDescent="0.2">
      <c r="A785" t="s">
        <v>1239</v>
      </c>
      <c r="B785">
        <v>22</v>
      </c>
    </row>
    <row r="786" spans="1:2" x14ac:dyDescent="0.2">
      <c r="A786" t="s">
        <v>1240</v>
      </c>
      <c r="B786">
        <v>23</v>
      </c>
    </row>
    <row r="787" spans="1:2" x14ac:dyDescent="0.2">
      <c r="A787" t="s">
        <v>1241</v>
      </c>
      <c r="B787">
        <v>24</v>
      </c>
    </row>
    <row r="788" spans="1:2" x14ac:dyDescent="0.2">
      <c r="A788" t="s">
        <v>1242</v>
      </c>
      <c r="B788">
        <v>25</v>
      </c>
    </row>
    <row r="789" spans="1:2" x14ac:dyDescent="0.2">
      <c r="A789" t="s">
        <v>1243</v>
      </c>
      <c r="B789">
        <v>26</v>
      </c>
    </row>
    <row r="790" spans="1:2" x14ac:dyDescent="0.2">
      <c r="A790" t="s">
        <v>1244</v>
      </c>
      <c r="B790">
        <v>27</v>
      </c>
    </row>
    <row r="791" spans="1:2" x14ac:dyDescent="0.2">
      <c r="A791" t="s">
        <v>1245</v>
      </c>
      <c r="B791">
        <v>28</v>
      </c>
    </row>
    <row r="792" spans="1:2" x14ac:dyDescent="0.2">
      <c r="A792" t="s">
        <v>1246</v>
      </c>
      <c r="B792">
        <v>29</v>
      </c>
    </row>
    <row r="793" spans="1:2" x14ac:dyDescent="0.2">
      <c r="A793" t="s">
        <v>1247</v>
      </c>
      <c r="B793">
        <v>31</v>
      </c>
    </row>
    <row r="794" spans="1:2" x14ac:dyDescent="0.2">
      <c r="A794" t="s">
        <v>1248</v>
      </c>
      <c r="B794">
        <v>32</v>
      </c>
    </row>
    <row r="795" spans="1:2" x14ac:dyDescent="0.2">
      <c r="A795" t="s">
        <v>1249</v>
      </c>
      <c r="B795">
        <v>33</v>
      </c>
    </row>
    <row r="796" spans="1:2" x14ac:dyDescent="0.2">
      <c r="A796" t="s">
        <v>1250</v>
      </c>
      <c r="B796" t="s">
        <v>1251</v>
      </c>
    </row>
    <row r="797" spans="1:2" x14ac:dyDescent="0.2">
      <c r="A797" t="s">
        <v>1252</v>
      </c>
      <c r="B797" t="s">
        <v>1253</v>
      </c>
    </row>
    <row r="798" spans="1:2" x14ac:dyDescent="0.2">
      <c r="A798" t="s">
        <v>1254</v>
      </c>
      <c r="B798" t="s">
        <v>1255</v>
      </c>
    </row>
    <row r="799" spans="1:2" x14ac:dyDescent="0.2">
      <c r="A799" t="s">
        <v>1256</v>
      </c>
      <c r="B799" t="s">
        <v>1257</v>
      </c>
    </row>
    <row r="800" spans="1:2" x14ac:dyDescent="0.2">
      <c r="A800" t="s">
        <v>1258</v>
      </c>
      <c r="B800" t="s">
        <v>1259</v>
      </c>
    </row>
    <row r="801" spans="1:11" x14ac:dyDescent="0.2">
      <c r="A801" t="s">
        <v>1263</v>
      </c>
      <c r="B801" t="s">
        <v>19</v>
      </c>
      <c r="C801" t="s">
        <v>67</v>
      </c>
      <c r="D801" t="s">
        <v>37</v>
      </c>
      <c r="E801" t="s">
        <v>15</v>
      </c>
      <c r="F801" t="s">
        <v>25</v>
      </c>
      <c r="G801" t="s">
        <v>73</v>
      </c>
      <c r="H801" t="s">
        <v>71</v>
      </c>
      <c r="I801" t="s">
        <v>61</v>
      </c>
      <c r="J801" t="s">
        <v>39</v>
      </c>
      <c r="K801" t="s">
        <v>57</v>
      </c>
    </row>
    <row r="802" spans="1:11" x14ac:dyDescent="0.2">
      <c r="A802" t="s">
        <v>1265</v>
      </c>
      <c r="B802">
        <v>1</v>
      </c>
    </row>
    <row r="803" spans="1:11" x14ac:dyDescent="0.2">
      <c r="A803" t="s">
        <v>1266</v>
      </c>
      <c r="B803">
        <v>2</v>
      </c>
    </row>
    <row r="804" spans="1:11" x14ac:dyDescent="0.2">
      <c r="A804" t="s">
        <v>1267</v>
      </c>
      <c r="B804">
        <v>3</v>
      </c>
    </row>
    <row r="805" spans="1:11" x14ac:dyDescent="0.2">
      <c r="A805" t="s">
        <v>1268</v>
      </c>
      <c r="B805">
        <v>4</v>
      </c>
    </row>
    <row r="806" spans="1:11" x14ac:dyDescent="0.2">
      <c r="A806" t="s">
        <v>1269</v>
      </c>
      <c r="B806">
        <v>6</v>
      </c>
    </row>
    <row r="807" spans="1:11" x14ac:dyDescent="0.2">
      <c r="A807" t="s">
        <v>1270</v>
      </c>
      <c r="B807">
        <v>7</v>
      </c>
    </row>
    <row r="808" spans="1:11" x14ac:dyDescent="0.2">
      <c r="A808" t="s">
        <v>1271</v>
      </c>
      <c r="B808">
        <v>8</v>
      </c>
    </row>
    <row r="809" spans="1:11" x14ac:dyDescent="0.2">
      <c r="A809" t="s">
        <v>1272</v>
      </c>
      <c r="B809">
        <v>9</v>
      </c>
    </row>
    <row r="810" spans="1:11" x14ac:dyDescent="0.2">
      <c r="A810" t="s">
        <v>1273</v>
      </c>
      <c r="B810">
        <v>10</v>
      </c>
    </row>
    <row r="811" spans="1:11" x14ac:dyDescent="0.2">
      <c r="A811" t="s">
        <v>1274</v>
      </c>
      <c r="B811">
        <v>11</v>
      </c>
    </row>
    <row r="812" spans="1:11" x14ac:dyDescent="0.2">
      <c r="A812" t="s">
        <v>1275</v>
      </c>
      <c r="B812">
        <v>12</v>
      </c>
    </row>
    <row r="813" spans="1:11" x14ac:dyDescent="0.2">
      <c r="A813" t="s">
        <v>1276</v>
      </c>
      <c r="B813">
        <v>14</v>
      </c>
    </row>
    <row r="814" spans="1:11" x14ac:dyDescent="0.2">
      <c r="A814" t="s">
        <v>1277</v>
      </c>
      <c r="B814">
        <v>15</v>
      </c>
    </row>
    <row r="815" spans="1:11" x14ac:dyDescent="0.2">
      <c r="A815" t="s">
        <v>1278</v>
      </c>
      <c r="B815">
        <v>16</v>
      </c>
    </row>
    <row r="816" spans="1:11" x14ac:dyDescent="0.2">
      <c r="A816" t="s">
        <v>1279</v>
      </c>
      <c r="B816">
        <v>17</v>
      </c>
    </row>
    <row r="817" spans="1:8" x14ac:dyDescent="0.2">
      <c r="A817" t="s">
        <v>1280</v>
      </c>
      <c r="B817">
        <v>18</v>
      </c>
    </row>
    <row r="818" spans="1:8" x14ac:dyDescent="0.2">
      <c r="A818" t="s">
        <v>1281</v>
      </c>
      <c r="B818">
        <v>19</v>
      </c>
    </row>
    <row r="819" spans="1:8" x14ac:dyDescent="0.2">
      <c r="A819" t="s">
        <v>1282</v>
      </c>
      <c r="B819">
        <v>20</v>
      </c>
    </row>
    <row r="820" spans="1:8" x14ac:dyDescent="0.2">
      <c r="A820" t="s">
        <v>1283</v>
      </c>
      <c r="B820">
        <v>22</v>
      </c>
    </row>
    <row r="821" spans="1:8" x14ac:dyDescent="0.2">
      <c r="A821" t="s">
        <v>1284</v>
      </c>
      <c r="B821" t="s">
        <v>1285</v>
      </c>
    </row>
    <row r="822" spans="1:8" x14ac:dyDescent="0.2">
      <c r="A822" t="s">
        <v>1286</v>
      </c>
      <c r="B822" t="s">
        <v>1287</v>
      </c>
    </row>
    <row r="823" spans="1:8" x14ac:dyDescent="0.2">
      <c r="A823" t="s">
        <v>1288</v>
      </c>
      <c r="B823" t="s">
        <v>1289</v>
      </c>
    </row>
    <row r="824" spans="1:8" x14ac:dyDescent="0.2">
      <c r="A824" t="s">
        <v>1290</v>
      </c>
      <c r="B824" t="s">
        <v>1291</v>
      </c>
    </row>
    <row r="825" spans="1:8" x14ac:dyDescent="0.2">
      <c r="A825" t="s">
        <v>1292</v>
      </c>
      <c r="B825" t="s">
        <v>1293</v>
      </c>
    </row>
    <row r="826" spans="1:8" x14ac:dyDescent="0.2">
      <c r="A826" t="s">
        <v>1297</v>
      </c>
      <c r="B826" t="s">
        <v>73</v>
      </c>
      <c r="C826" t="s">
        <v>71</v>
      </c>
      <c r="D826" t="s">
        <v>25</v>
      </c>
      <c r="E826" t="s">
        <v>57</v>
      </c>
      <c r="F826" t="s">
        <v>61</v>
      </c>
      <c r="G826" t="s">
        <v>39</v>
      </c>
      <c r="H826" t="s">
        <v>83</v>
      </c>
    </row>
    <row r="827" spans="1:8" x14ac:dyDescent="0.2">
      <c r="A827" t="s">
        <v>1299</v>
      </c>
      <c r="B827">
        <v>1</v>
      </c>
    </row>
    <row r="828" spans="1:8" x14ac:dyDescent="0.2">
      <c r="A828" t="s">
        <v>1300</v>
      </c>
      <c r="B828">
        <v>2</v>
      </c>
    </row>
    <row r="829" spans="1:8" x14ac:dyDescent="0.2">
      <c r="A829" t="s">
        <v>1301</v>
      </c>
      <c r="B829">
        <v>3</v>
      </c>
    </row>
    <row r="830" spans="1:8" x14ac:dyDescent="0.2">
      <c r="A830" t="s">
        <v>1302</v>
      </c>
      <c r="B830">
        <v>4</v>
      </c>
    </row>
    <row r="831" spans="1:8" x14ac:dyDescent="0.2">
      <c r="A831" t="s">
        <v>1303</v>
      </c>
      <c r="B831">
        <v>5</v>
      </c>
    </row>
    <row r="832" spans="1:8" x14ac:dyDescent="0.2">
      <c r="A832" t="s">
        <v>1304</v>
      </c>
      <c r="B832">
        <v>6</v>
      </c>
    </row>
    <row r="833" spans="1:2" x14ac:dyDescent="0.2">
      <c r="A833" t="s">
        <v>1305</v>
      </c>
      <c r="B833">
        <v>8</v>
      </c>
    </row>
    <row r="834" spans="1:2" x14ac:dyDescent="0.2">
      <c r="A834" t="s">
        <v>1306</v>
      </c>
      <c r="B834">
        <v>9</v>
      </c>
    </row>
    <row r="835" spans="1:2" x14ac:dyDescent="0.2">
      <c r="A835" t="s">
        <v>1307</v>
      </c>
      <c r="B835">
        <v>10</v>
      </c>
    </row>
    <row r="836" spans="1:2" x14ac:dyDescent="0.2">
      <c r="A836" t="s">
        <v>1308</v>
      </c>
      <c r="B836">
        <v>11</v>
      </c>
    </row>
    <row r="837" spans="1:2" x14ac:dyDescent="0.2">
      <c r="A837" t="s">
        <v>1309</v>
      </c>
      <c r="B837">
        <v>12</v>
      </c>
    </row>
    <row r="838" spans="1:2" x14ac:dyDescent="0.2">
      <c r="A838" t="s">
        <v>1310</v>
      </c>
      <c r="B838">
        <v>13</v>
      </c>
    </row>
    <row r="839" spans="1:2" x14ac:dyDescent="0.2">
      <c r="A839" t="s">
        <v>1311</v>
      </c>
      <c r="B839">
        <v>14</v>
      </c>
    </row>
    <row r="840" spans="1:2" x14ac:dyDescent="0.2">
      <c r="A840" t="s">
        <v>1312</v>
      </c>
      <c r="B840">
        <v>15</v>
      </c>
    </row>
    <row r="841" spans="1:2" x14ac:dyDescent="0.2">
      <c r="A841" t="s">
        <v>1313</v>
      </c>
      <c r="B841">
        <v>17</v>
      </c>
    </row>
    <row r="842" spans="1:2" x14ac:dyDescent="0.2">
      <c r="A842" t="s">
        <v>1314</v>
      </c>
      <c r="B842">
        <v>18</v>
      </c>
    </row>
    <row r="843" spans="1:2" x14ac:dyDescent="0.2">
      <c r="A843" t="s">
        <v>1315</v>
      </c>
      <c r="B843">
        <v>19</v>
      </c>
    </row>
    <row r="844" spans="1:2" x14ac:dyDescent="0.2">
      <c r="A844" t="s">
        <v>1316</v>
      </c>
      <c r="B844">
        <v>20</v>
      </c>
    </row>
    <row r="845" spans="1:2" x14ac:dyDescent="0.2">
      <c r="A845" t="s">
        <v>1317</v>
      </c>
      <c r="B845">
        <v>21</v>
      </c>
    </row>
    <row r="846" spans="1:2" x14ac:dyDescent="0.2">
      <c r="A846" t="s">
        <v>1318</v>
      </c>
      <c r="B846">
        <v>22</v>
      </c>
    </row>
    <row r="847" spans="1:2" x14ac:dyDescent="0.2">
      <c r="A847" t="s">
        <v>1319</v>
      </c>
      <c r="B847">
        <v>23</v>
      </c>
    </row>
    <row r="848" spans="1:2" x14ac:dyDescent="0.2">
      <c r="A848" t="s">
        <v>1320</v>
      </c>
      <c r="B848">
        <v>24</v>
      </c>
    </row>
    <row r="849" spans="1:9" x14ac:dyDescent="0.2">
      <c r="A849" t="s">
        <v>1321</v>
      </c>
      <c r="B849">
        <v>26</v>
      </c>
    </row>
    <row r="850" spans="1:9" x14ac:dyDescent="0.2">
      <c r="A850" t="s">
        <v>1322</v>
      </c>
      <c r="B850" t="s">
        <v>1323</v>
      </c>
    </row>
    <row r="851" spans="1:9" x14ac:dyDescent="0.2">
      <c r="A851" t="s">
        <v>1324</v>
      </c>
      <c r="B851" t="s">
        <v>1325</v>
      </c>
    </row>
    <row r="852" spans="1:9" x14ac:dyDescent="0.2">
      <c r="A852" t="s">
        <v>1326</v>
      </c>
      <c r="B852" t="s">
        <v>1327</v>
      </c>
    </row>
    <row r="853" spans="1:9" x14ac:dyDescent="0.2">
      <c r="A853" t="s">
        <v>1328</v>
      </c>
      <c r="B853" t="s">
        <v>1329</v>
      </c>
    </row>
    <row r="854" spans="1:9" x14ac:dyDescent="0.2">
      <c r="A854" t="s">
        <v>1330</v>
      </c>
      <c r="B854" t="s">
        <v>1331</v>
      </c>
    </row>
    <row r="855" spans="1:9" x14ac:dyDescent="0.2">
      <c r="A855" t="s">
        <v>1332</v>
      </c>
      <c r="B855" t="s">
        <v>1333</v>
      </c>
    </row>
    <row r="856" spans="1:9" x14ac:dyDescent="0.2">
      <c r="A856" t="s">
        <v>1334</v>
      </c>
      <c r="B856" t="s">
        <v>1335</v>
      </c>
    </row>
    <row r="857" spans="1:9" x14ac:dyDescent="0.2">
      <c r="A857" t="s">
        <v>1336</v>
      </c>
      <c r="B857" t="s">
        <v>1337</v>
      </c>
    </row>
    <row r="858" spans="1:9" x14ac:dyDescent="0.2">
      <c r="A858" t="s">
        <v>1341</v>
      </c>
      <c r="B858" t="s">
        <v>57</v>
      </c>
      <c r="C858" t="s">
        <v>25</v>
      </c>
      <c r="D858" t="s">
        <v>61</v>
      </c>
      <c r="E858" t="s">
        <v>39</v>
      </c>
      <c r="F858" t="s">
        <v>73</v>
      </c>
      <c r="G858" t="s">
        <v>71</v>
      </c>
      <c r="H858" t="s">
        <v>67</v>
      </c>
      <c r="I858" t="s">
        <v>83</v>
      </c>
    </row>
    <row r="859" spans="1:9" x14ac:dyDescent="0.2">
      <c r="A859" t="s">
        <v>1343</v>
      </c>
      <c r="B859">
        <v>1</v>
      </c>
    </row>
    <row r="860" spans="1:9" x14ac:dyDescent="0.2">
      <c r="A860" t="s">
        <v>1344</v>
      </c>
      <c r="B860">
        <v>2</v>
      </c>
    </row>
    <row r="861" spans="1:9" x14ac:dyDescent="0.2">
      <c r="A861" t="s">
        <v>1345</v>
      </c>
      <c r="B861">
        <v>3</v>
      </c>
    </row>
    <row r="862" spans="1:9" x14ac:dyDescent="0.2">
      <c r="A862" t="s">
        <v>1346</v>
      </c>
      <c r="B862">
        <v>4</v>
      </c>
    </row>
    <row r="863" spans="1:9" x14ac:dyDescent="0.2">
      <c r="A863" t="s">
        <v>1347</v>
      </c>
      <c r="B863">
        <v>5</v>
      </c>
    </row>
    <row r="864" spans="1:9" x14ac:dyDescent="0.2">
      <c r="A864" t="s">
        <v>1348</v>
      </c>
      <c r="B864">
        <v>7</v>
      </c>
    </row>
    <row r="865" spans="1:2" x14ac:dyDescent="0.2">
      <c r="A865" t="s">
        <v>1349</v>
      </c>
      <c r="B865">
        <v>8</v>
      </c>
    </row>
    <row r="866" spans="1:2" x14ac:dyDescent="0.2">
      <c r="A866" t="s">
        <v>1350</v>
      </c>
      <c r="B866">
        <v>9</v>
      </c>
    </row>
    <row r="867" spans="1:2" x14ac:dyDescent="0.2">
      <c r="A867" t="s">
        <v>1351</v>
      </c>
      <c r="B867">
        <v>10</v>
      </c>
    </row>
    <row r="868" spans="1:2" x14ac:dyDescent="0.2">
      <c r="A868" t="s">
        <v>1352</v>
      </c>
      <c r="B868">
        <v>11</v>
      </c>
    </row>
    <row r="869" spans="1:2" x14ac:dyDescent="0.2">
      <c r="A869" t="s">
        <v>1353</v>
      </c>
      <c r="B869">
        <v>12</v>
      </c>
    </row>
    <row r="870" spans="1:2" x14ac:dyDescent="0.2">
      <c r="A870" t="s">
        <v>1354</v>
      </c>
      <c r="B870">
        <v>13</v>
      </c>
    </row>
    <row r="871" spans="1:2" x14ac:dyDescent="0.2">
      <c r="A871" t="s">
        <v>1355</v>
      </c>
      <c r="B871">
        <v>14</v>
      </c>
    </row>
    <row r="872" spans="1:2" x14ac:dyDescent="0.2">
      <c r="A872" t="s">
        <v>1356</v>
      </c>
      <c r="B872">
        <v>15</v>
      </c>
    </row>
    <row r="873" spans="1:2" x14ac:dyDescent="0.2">
      <c r="A873" t="s">
        <v>1357</v>
      </c>
      <c r="B873">
        <v>16</v>
      </c>
    </row>
    <row r="874" spans="1:2" x14ac:dyDescent="0.2">
      <c r="A874" t="s">
        <v>1358</v>
      </c>
      <c r="B874">
        <v>17</v>
      </c>
    </row>
    <row r="875" spans="1:2" x14ac:dyDescent="0.2">
      <c r="A875" t="s">
        <v>1359</v>
      </c>
      <c r="B875">
        <v>18</v>
      </c>
    </row>
    <row r="876" spans="1:2" x14ac:dyDescent="0.2">
      <c r="A876" t="s">
        <v>1360</v>
      </c>
      <c r="B876">
        <v>20</v>
      </c>
    </row>
    <row r="877" spans="1:2" x14ac:dyDescent="0.2">
      <c r="A877" t="s">
        <v>1361</v>
      </c>
      <c r="B877">
        <v>21</v>
      </c>
    </row>
    <row r="878" spans="1:2" x14ac:dyDescent="0.2">
      <c r="A878" t="s">
        <v>1362</v>
      </c>
      <c r="B878">
        <v>22</v>
      </c>
    </row>
    <row r="879" spans="1:2" x14ac:dyDescent="0.2">
      <c r="A879" t="s">
        <v>1363</v>
      </c>
      <c r="B879">
        <v>23</v>
      </c>
    </row>
    <row r="880" spans="1:2" x14ac:dyDescent="0.2">
      <c r="A880" t="s">
        <v>1364</v>
      </c>
      <c r="B880">
        <v>24</v>
      </c>
    </row>
    <row r="881" spans="1:2" x14ac:dyDescent="0.2">
      <c r="A881" t="s">
        <v>1365</v>
      </c>
      <c r="B881">
        <v>25</v>
      </c>
    </row>
    <row r="882" spans="1:2" x14ac:dyDescent="0.2">
      <c r="A882" t="s">
        <v>1366</v>
      </c>
      <c r="B882">
        <v>26</v>
      </c>
    </row>
    <row r="883" spans="1:2" x14ac:dyDescent="0.2">
      <c r="A883" t="s">
        <v>1367</v>
      </c>
      <c r="B883">
        <v>27</v>
      </c>
    </row>
    <row r="884" spans="1:2" x14ac:dyDescent="0.2">
      <c r="A884" t="s">
        <v>1368</v>
      </c>
      <c r="B884">
        <v>28</v>
      </c>
    </row>
    <row r="885" spans="1:2" x14ac:dyDescent="0.2">
      <c r="A885" t="s">
        <v>1369</v>
      </c>
      <c r="B885">
        <v>29</v>
      </c>
    </row>
    <row r="886" spans="1:2" x14ac:dyDescent="0.2">
      <c r="A886" t="s">
        <v>1370</v>
      </c>
      <c r="B886">
        <v>30</v>
      </c>
    </row>
    <row r="887" spans="1:2" x14ac:dyDescent="0.2">
      <c r="A887" t="s">
        <v>1371</v>
      </c>
      <c r="B887">
        <v>31</v>
      </c>
    </row>
    <row r="888" spans="1:2" x14ac:dyDescent="0.2">
      <c r="A888" t="s">
        <v>1372</v>
      </c>
      <c r="B888">
        <v>33</v>
      </c>
    </row>
    <row r="889" spans="1:2" x14ac:dyDescent="0.2">
      <c r="A889" t="s">
        <v>1373</v>
      </c>
      <c r="B889">
        <v>34</v>
      </c>
    </row>
    <row r="890" spans="1:2" x14ac:dyDescent="0.2">
      <c r="A890" t="s">
        <v>1374</v>
      </c>
      <c r="B890">
        <v>35</v>
      </c>
    </row>
    <row r="891" spans="1:2" x14ac:dyDescent="0.2">
      <c r="A891" t="s">
        <v>1376</v>
      </c>
      <c r="B891">
        <v>37</v>
      </c>
    </row>
    <row r="892" spans="1:2" x14ac:dyDescent="0.2">
      <c r="A892" t="s">
        <v>1377</v>
      </c>
      <c r="B892">
        <v>38</v>
      </c>
    </row>
    <row r="893" spans="1:2" x14ac:dyDescent="0.2">
      <c r="A893" t="s">
        <v>1378</v>
      </c>
      <c r="B893">
        <v>39</v>
      </c>
    </row>
    <row r="894" spans="1:2" x14ac:dyDescent="0.2">
      <c r="A894" t="s">
        <v>1379</v>
      </c>
      <c r="B894" t="s">
        <v>1380</v>
      </c>
    </row>
    <row r="895" spans="1:2" x14ac:dyDescent="0.2">
      <c r="A895" t="s">
        <v>1381</v>
      </c>
      <c r="B895" t="s">
        <v>1382</v>
      </c>
    </row>
    <row r="896" spans="1:2" x14ac:dyDescent="0.2">
      <c r="A896" t="s">
        <v>1383</v>
      </c>
      <c r="B896" t="s">
        <v>1384</v>
      </c>
    </row>
    <row r="897" spans="1:13" x14ac:dyDescent="0.2">
      <c r="A897" t="s">
        <v>1385</v>
      </c>
      <c r="B897" t="s">
        <v>1386</v>
      </c>
    </row>
    <row r="898" spans="1:13" x14ac:dyDescent="0.2">
      <c r="A898" t="s">
        <v>1387</v>
      </c>
      <c r="B898" t="s">
        <v>1388</v>
      </c>
    </row>
    <row r="899" spans="1:13" x14ac:dyDescent="0.2">
      <c r="A899" t="s">
        <v>1392</v>
      </c>
      <c r="B899" t="s">
        <v>47</v>
      </c>
      <c r="C899" t="s">
        <v>7</v>
      </c>
      <c r="D899" t="s">
        <v>71</v>
      </c>
      <c r="E899" t="s">
        <v>11</v>
      </c>
      <c r="F899" t="s">
        <v>45</v>
      </c>
      <c r="G899" t="s">
        <v>9</v>
      </c>
      <c r="H899" t="s">
        <v>61</v>
      </c>
      <c r="I899" t="s">
        <v>5</v>
      </c>
      <c r="J899" t="s">
        <v>25</v>
      </c>
      <c r="K899" t="s">
        <v>73</v>
      </c>
      <c r="L899" t="s">
        <v>39</v>
      </c>
      <c r="M899" t="s">
        <v>57</v>
      </c>
    </row>
    <row r="900" spans="1:13" x14ac:dyDescent="0.2">
      <c r="A900" t="s">
        <v>1394</v>
      </c>
      <c r="B900">
        <v>1</v>
      </c>
    </row>
    <row r="901" spans="1:13" x14ac:dyDescent="0.2">
      <c r="A901" t="s">
        <v>1395</v>
      </c>
      <c r="B901">
        <v>2</v>
      </c>
    </row>
    <row r="902" spans="1:13" x14ac:dyDescent="0.2">
      <c r="A902" t="s">
        <v>1396</v>
      </c>
      <c r="B902">
        <v>3</v>
      </c>
    </row>
    <row r="903" spans="1:13" x14ac:dyDescent="0.2">
      <c r="A903" t="s">
        <v>1397</v>
      </c>
      <c r="B903">
        <v>4</v>
      </c>
    </row>
    <row r="904" spans="1:13" x14ac:dyDescent="0.2">
      <c r="A904" t="s">
        <v>1398</v>
      </c>
      <c r="B904">
        <v>5</v>
      </c>
    </row>
    <row r="905" spans="1:13" x14ac:dyDescent="0.2">
      <c r="A905" t="s">
        <v>1399</v>
      </c>
      <c r="B905">
        <v>6</v>
      </c>
    </row>
    <row r="906" spans="1:13" x14ac:dyDescent="0.2">
      <c r="A906" t="s">
        <v>1400</v>
      </c>
      <c r="B906">
        <v>7</v>
      </c>
    </row>
    <row r="907" spans="1:13" x14ac:dyDescent="0.2">
      <c r="A907" t="s">
        <v>1401</v>
      </c>
      <c r="B907">
        <v>9</v>
      </c>
    </row>
    <row r="908" spans="1:13" x14ac:dyDescent="0.2">
      <c r="A908" t="s">
        <v>1402</v>
      </c>
      <c r="B908">
        <v>10</v>
      </c>
    </row>
    <row r="909" spans="1:13" x14ac:dyDescent="0.2">
      <c r="A909" t="s">
        <v>1403</v>
      </c>
      <c r="B909">
        <v>11</v>
      </c>
    </row>
    <row r="910" spans="1:13" x14ac:dyDescent="0.2">
      <c r="A910" t="s">
        <v>1404</v>
      </c>
      <c r="B910">
        <v>12</v>
      </c>
    </row>
    <row r="911" spans="1:13" x14ac:dyDescent="0.2">
      <c r="A911" t="s">
        <v>1405</v>
      </c>
      <c r="B911">
        <v>13</v>
      </c>
    </row>
    <row r="912" spans="1:13" x14ac:dyDescent="0.2">
      <c r="A912" t="s">
        <v>1406</v>
      </c>
      <c r="B912">
        <v>14</v>
      </c>
    </row>
    <row r="913" spans="1:2" x14ac:dyDescent="0.2">
      <c r="A913" t="s">
        <v>1407</v>
      </c>
      <c r="B913">
        <v>15</v>
      </c>
    </row>
    <row r="914" spans="1:2" x14ac:dyDescent="0.2">
      <c r="A914" t="s">
        <v>1408</v>
      </c>
      <c r="B914">
        <v>16</v>
      </c>
    </row>
    <row r="915" spans="1:2" x14ac:dyDescent="0.2">
      <c r="A915" t="s">
        <v>1409</v>
      </c>
      <c r="B915">
        <v>17</v>
      </c>
    </row>
    <row r="916" spans="1:2" x14ac:dyDescent="0.2">
      <c r="A916" t="s">
        <v>1410</v>
      </c>
      <c r="B916">
        <v>19</v>
      </c>
    </row>
    <row r="917" spans="1:2" x14ac:dyDescent="0.2">
      <c r="A917" t="s">
        <v>1411</v>
      </c>
      <c r="B917">
        <v>20</v>
      </c>
    </row>
    <row r="918" spans="1:2" x14ac:dyDescent="0.2">
      <c r="A918" t="s">
        <v>1412</v>
      </c>
      <c r="B918">
        <v>21</v>
      </c>
    </row>
    <row r="919" spans="1:2" x14ac:dyDescent="0.2">
      <c r="A919" t="s">
        <v>1413</v>
      </c>
      <c r="B919">
        <v>22</v>
      </c>
    </row>
    <row r="920" spans="1:2" x14ac:dyDescent="0.2">
      <c r="A920" t="s">
        <v>1414</v>
      </c>
      <c r="B920">
        <v>23</v>
      </c>
    </row>
    <row r="921" spans="1:2" x14ac:dyDescent="0.2">
      <c r="A921" t="s">
        <v>1415</v>
      </c>
      <c r="B921">
        <v>24</v>
      </c>
    </row>
    <row r="922" spans="1:2" x14ac:dyDescent="0.2">
      <c r="A922" t="s">
        <v>1416</v>
      </c>
      <c r="B922">
        <v>25</v>
      </c>
    </row>
    <row r="923" spans="1:2" x14ac:dyDescent="0.2">
      <c r="A923" t="s">
        <v>1417</v>
      </c>
      <c r="B923">
        <v>26</v>
      </c>
    </row>
    <row r="924" spans="1:2" x14ac:dyDescent="0.2">
      <c r="A924" t="s">
        <v>1418</v>
      </c>
      <c r="B924">
        <v>27</v>
      </c>
    </row>
    <row r="925" spans="1:2" x14ac:dyDescent="0.2">
      <c r="A925" t="s">
        <v>1419</v>
      </c>
      <c r="B925">
        <v>29</v>
      </c>
    </row>
    <row r="926" spans="1:2" x14ac:dyDescent="0.2">
      <c r="A926" t="s">
        <v>1420</v>
      </c>
      <c r="B926">
        <v>31</v>
      </c>
    </row>
    <row r="927" spans="1:2" x14ac:dyDescent="0.2">
      <c r="A927" t="s">
        <v>1421</v>
      </c>
      <c r="B927" t="s">
        <v>1422</v>
      </c>
    </row>
    <row r="928" spans="1:2" x14ac:dyDescent="0.2">
      <c r="A928" t="s">
        <v>1423</v>
      </c>
      <c r="B928" t="s">
        <v>1424</v>
      </c>
    </row>
    <row r="929" spans="1:10" x14ac:dyDescent="0.2">
      <c r="A929" t="s">
        <v>1425</v>
      </c>
      <c r="B929" t="s">
        <v>1426</v>
      </c>
    </row>
    <row r="930" spans="1:10" x14ac:dyDescent="0.2">
      <c r="A930" t="s">
        <v>1427</v>
      </c>
      <c r="B930" t="s">
        <v>1428</v>
      </c>
    </row>
    <row r="931" spans="1:10" x14ac:dyDescent="0.2">
      <c r="A931" t="s">
        <v>1429</v>
      </c>
      <c r="B931" t="s">
        <v>1430</v>
      </c>
    </row>
    <row r="932" spans="1:10" x14ac:dyDescent="0.2">
      <c r="A932" t="s">
        <v>1431</v>
      </c>
      <c r="B932" t="s">
        <v>1432</v>
      </c>
    </row>
    <row r="933" spans="1:10" x14ac:dyDescent="0.2">
      <c r="A933" t="s">
        <v>1433</v>
      </c>
      <c r="B933" t="s">
        <v>1434</v>
      </c>
    </row>
    <row r="934" spans="1:10" x14ac:dyDescent="0.2">
      <c r="A934" t="s">
        <v>1435</v>
      </c>
      <c r="B934" t="s">
        <v>1436</v>
      </c>
    </row>
    <row r="935" spans="1:10" x14ac:dyDescent="0.2">
      <c r="A935" t="s">
        <v>1440</v>
      </c>
      <c r="B935" t="s">
        <v>37</v>
      </c>
      <c r="C935" t="s">
        <v>67</v>
      </c>
      <c r="D935" t="s">
        <v>71</v>
      </c>
      <c r="E935" t="s">
        <v>73</v>
      </c>
      <c r="F935" t="s">
        <v>25</v>
      </c>
      <c r="G935" t="s">
        <v>35</v>
      </c>
      <c r="H935" t="s">
        <v>57</v>
      </c>
      <c r="I935" t="s">
        <v>61</v>
      </c>
      <c r="J935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C1" activePane="topRight" state="frozen"/>
      <selection pane="topRight" activeCell="X15" sqref="X15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4" t="s">
        <v>534</v>
      </c>
      <c r="B1" s="74"/>
      <c r="C1" s="74"/>
      <c r="D1" s="74"/>
      <c r="E1" s="74"/>
      <c r="F1" s="74"/>
      <c r="H1" s="64" t="s">
        <v>1442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U1" s="65" t="s">
        <v>1443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</row>
    <row r="2" spans="1:34" ht="30" customHeight="1" x14ac:dyDescent="0.2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3" t="s">
        <v>505</v>
      </c>
      <c r="K2" s="72" t="s">
        <v>112</v>
      </c>
      <c r="L2" s="73" t="s">
        <v>26</v>
      </c>
      <c r="M2" s="72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2" t="s">
        <v>105</v>
      </c>
      <c r="V2" s="73" t="s">
        <v>503</v>
      </c>
      <c r="W2" s="72" t="s">
        <v>505</v>
      </c>
      <c r="X2" s="73" t="s">
        <v>112</v>
      </c>
      <c r="Y2" s="72" t="s">
        <v>26</v>
      </c>
      <c r="Z2" s="73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3" t="s">
        <v>129</v>
      </c>
    </row>
    <row r="3" spans="1:34" ht="16" thickBot="1" x14ac:dyDescent="0.25">
      <c r="A3" s="73"/>
      <c r="B3" s="72"/>
      <c r="C3" s="73"/>
      <c r="D3" s="72"/>
      <c r="E3" s="73"/>
      <c r="F3" s="72"/>
      <c r="H3" s="73"/>
      <c r="I3" s="72"/>
      <c r="J3" s="73"/>
      <c r="K3" s="72"/>
      <c r="L3" s="73"/>
      <c r="M3" s="72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2"/>
      <c r="V3" s="73"/>
      <c r="W3" s="72"/>
      <c r="X3" s="73"/>
      <c r="Y3" s="72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5.7450612384044066E-3</v>
      </c>
      <c r="I4" s="55">
        <f>IF(OR(ISBLANK(M4),ISBLANK(F4)),"·",M4*F4/E4/1000000)</f>
        <v>4.1044967999999997</v>
      </c>
      <c r="J4" s="21">
        <f>IF(ISBLANK(M4),"·",M4/C4)</f>
        <v>0.1723518371521322</v>
      </c>
      <c r="K4" s="21">
        <f>IF(ISBLANK(M4),"·",M4/L4)</f>
        <v>1.1362952703420059</v>
      </c>
      <c r="L4" s="22">
        <v>36121745</v>
      </c>
      <c r="M4" s="23">
        <v>41044968</v>
      </c>
      <c r="N4" s="49"/>
      <c r="O4" s="49"/>
      <c r="P4" s="24">
        <v>6565.29</v>
      </c>
      <c r="Q4" s="24">
        <v>493.2</v>
      </c>
      <c r="R4" s="24">
        <v>3.4580000000000002</v>
      </c>
      <c r="S4" s="24">
        <v>6.3609999999999998</v>
      </c>
      <c r="U4" s="20">
        <f>IF(ISBLANK(Z4),"·",Z4/(C4*D4*3))</f>
        <v>5.745062358163835E-3</v>
      </c>
      <c r="V4" s="55">
        <f>IF(OR(ISBLANK(Z4),ISBLANK(F4)),"·",Z4*F4/E4/1000000)</f>
        <v>4.1044976000000002</v>
      </c>
      <c r="W4" s="21">
        <f>IF(ISBLANK(Z4),"·",Z4/C4)</f>
        <v>0.17235187074491504</v>
      </c>
      <c r="X4" s="21">
        <f>IF(ISBLANK(Z4),"·",Z4/Y4)</f>
        <v>1.1362954918152486</v>
      </c>
      <c r="Y4" s="22">
        <v>36121745</v>
      </c>
      <c r="Z4" s="23">
        <v>41044976</v>
      </c>
      <c r="AA4" s="49"/>
      <c r="AB4" s="49"/>
      <c r="AC4" s="24">
        <v>8185.39</v>
      </c>
      <c r="AD4" s="24">
        <v>955.12199999999996</v>
      </c>
      <c r="AE4" s="24">
        <v>6.4850000000000003</v>
      </c>
      <c r="AF4" s="24">
        <v>12.388</v>
      </c>
      <c r="AH4" s="20">
        <f t="shared" ref="AH4:AH11" si="0">W4/J4</f>
        <v>1.0000001949081796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6.9282581229143502E-3</v>
      </c>
      <c r="I5" s="56">
        <f>IF(OR(ISBLANK(M5),ISBLANK(F5)),"·",M5*F5/E5/1000000)</f>
        <v>4.5336007999999994</v>
      </c>
      <c r="J5" s="28">
        <f>IF(ISBLANK(M5),"·",M5/C5)</f>
        <v>0.2078477436874305</v>
      </c>
      <c r="K5" s="28">
        <f>IF(ISBLANK(M5),"·",M5/L5)</f>
        <v>1.4222490202746367</v>
      </c>
      <c r="L5" s="29">
        <v>31876280</v>
      </c>
      <c r="M5" s="30">
        <v>45336008</v>
      </c>
      <c r="N5" s="51"/>
      <c r="O5" s="51"/>
      <c r="P5" s="31">
        <v>7248.84</v>
      </c>
      <c r="Q5" s="31">
        <v>827.31200000000001</v>
      </c>
      <c r="R5" s="31">
        <v>5.0140000000000002</v>
      </c>
      <c r="S5" s="31">
        <v>10.914</v>
      </c>
      <c r="U5" s="27">
        <f>IF(ISBLANK(Z5),"·",Z5/(C5*D5*3))</f>
        <v>6.9282593454760054E-3</v>
      </c>
      <c r="V5" s="56">
        <f>IF(OR(ISBLANK(Z5),ISBLANK(F5)),"·",Z5*F5/E5/1000000)</f>
        <v>4.5336015999999999</v>
      </c>
      <c r="W5" s="28">
        <f>IF(ISBLANK(Z5),"·",Z5/C5)</f>
        <v>0.20784778036428014</v>
      </c>
      <c r="X5" s="28">
        <f>IF(ISBLANK(Z5),"·",Z5/Y5)</f>
        <v>1.4222492712449508</v>
      </c>
      <c r="Y5" s="29">
        <v>31876280</v>
      </c>
      <c r="Z5" s="30">
        <v>45336016</v>
      </c>
      <c r="AA5" s="51"/>
      <c r="AB5" s="51"/>
      <c r="AC5" s="31">
        <v>6765.88</v>
      </c>
      <c r="AD5" s="31">
        <v>741.53200000000004</v>
      </c>
      <c r="AE5" s="31">
        <v>3.887</v>
      </c>
      <c r="AF5" s="31">
        <v>8.6539999999999999</v>
      </c>
      <c r="AH5" s="27">
        <f t="shared" si="0"/>
        <v>1.0000001764601769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6.8383343898249975E-3</v>
      </c>
      <c r="I6" s="55">
        <f>IF(OR(ISBLANK(M6),ISBLANK(F6)),"·",M6*F6/E6/1000000)</f>
        <v>6.6179287999999996</v>
      </c>
      <c r="J6" s="21">
        <f>IF(ISBLANK(M6),"·",M6/C6)</f>
        <v>0.20515003169474993</v>
      </c>
      <c r="K6" s="21">
        <f>IF(ISBLANK(M6),"·",M6/L6)</f>
        <v>1.3970553353859727</v>
      </c>
      <c r="L6" s="22">
        <v>47370556</v>
      </c>
      <c r="M6" s="23">
        <v>66179288</v>
      </c>
      <c r="N6" s="49"/>
      <c r="O6" s="49"/>
      <c r="P6" s="24">
        <v>11588.2</v>
      </c>
      <c r="Q6" s="24">
        <v>1135.33</v>
      </c>
      <c r="R6" s="24">
        <v>7.6440000000000001</v>
      </c>
      <c r="S6" s="24">
        <v>15.839</v>
      </c>
      <c r="U6" s="20">
        <f>IF(ISBLANK(Z6),"·",Z6/(C6*D6*3))</f>
        <v>6.83833521646845E-3</v>
      </c>
      <c r="V6" s="55">
        <f>IF(OR(ISBLANK(Z6),ISBLANK(F6)),"·",Z6*F6/E6/1000000)</f>
        <v>6.6179295999999992</v>
      </c>
      <c r="W6" s="21">
        <f>IF(ISBLANK(Z6),"·",Z6/C6)</f>
        <v>0.20515005649405352</v>
      </c>
      <c r="X6" s="21">
        <f>IF(ISBLANK(Z6),"·",Z6/Y6)</f>
        <v>1.3970555042672499</v>
      </c>
      <c r="Y6" s="22">
        <v>47370556</v>
      </c>
      <c r="Z6" s="23">
        <v>66179296</v>
      </c>
      <c r="AA6" s="49"/>
      <c r="AB6" s="49"/>
      <c r="AC6" s="24">
        <v>9586.61</v>
      </c>
      <c r="AD6" s="24">
        <v>633.76800000000003</v>
      </c>
      <c r="AE6" s="24">
        <v>4.2590000000000003</v>
      </c>
      <c r="AF6" s="24">
        <v>7.8369999999999997</v>
      </c>
      <c r="AH6" s="20">
        <f t="shared" si="0"/>
        <v>1.0000001208837423</v>
      </c>
    </row>
    <row r="7" spans="1:34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6.5951386011743971E-3</v>
      </c>
      <c r="I7" s="57">
        <f>IF(OR(ISBLANK(M7),ISBLANK(F7)),"·",M7*F7/E7/1000000)</f>
        <v>9.9165648000000015</v>
      </c>
      <c r="J7" s="35">
        <f>IF(ISBLANK(M7),"·",M7/C7)</f>
        <v>0.19785415803523193</v>
      </c>
      <c r="K7" s="35">
        <f>IF(ISBLANK(M7),"·",M7/L7)</f>
        <v>1.308385425859818</v>
      </c>
      <c r="L7" s="36">
        <v>37896191</v>
      </c>
      <c r="M7" s="37">
        <v>49582824</v>
      </c>
      <c r="N7" s="53"/>
      <c r="O7" s="53"/>
      <c r="P7" s="38">
        <v>10855.8</v>
      </c>
      <c r="Q7" s="38">
        <v>939.96699999999998</v>
      </c>
      <c r="R7" s="38">
        <v>5.8179999999999996</v>
      </c>
      <c r="S7" s="38">
        <v>12.112</v>
      </c>
      <c r="U7" s="34">
        <f>IF(ISBLANK(Z7),"·",Z7/(C7*D7*3))</f>
        <v>6.5951396652749175E-3</v>
      </c>
      <c r="V7" s="57">
        <f>IF(OR(ISBLANK(Z7),ISBLANK(F7)),"·",Z7*F7/E7/1000000)</f>
        <v>9.9165664000000007</v>
      </c>
      <c r="W7" s="35">
        <f>IF(ISBLANK(Z7),"·",Z7/C7)</f>
        <v>0.19785418995824752</v>
      </c>
      <c r="X7" s="35">
        <f>IF(ISBLANK(Z7),"·",Z7/Y7)</f>
        <v>1.3083856369628282</v>
      </c>
      <c r="Y7" s="36">
        <v>37896191</v>
      </c>
      <c r="Z7" s="37">
        <v>49582832</v>
      </c>
      <c r="AA7" s="53"/>
      <c r="AB7" s="53"/>
      <c r="AC7" s="38">
        <v>8293.5300000000007</v>
      </c>
      <c r="AD7" s="38">
        <v>561.75099999999998</v>
      </c>
      <c r="AE7" s="38">
        <v>3.6219999999999999</v>
      </c>
      <c r="AF7" s="38">
        <v>7.2089999999999996</v>
      </c>
      <c r="AH7" s="34">
        <f t="shared" si="0"/>
        <v>1.0000001613461951</v>
      </c>
    </row>
    <row r="8" spans="1:34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6.1578011571447704E-3</v>
      </c>
      <c r="I8" s="58">
        <f>IF(OR(ISBLANK(M8),ISBLANK(F8)),"·",M8*F8/E8/1000000)</f>
        <v>4.6237927999999995</v>
      </c>
      <c r="J8" s="42">
        <f>IF(ISBLANK(M8),"·",M8/C8)</f>
        <v>0.1847340347143431</v>
      </c>
      <c r="K8" s="42">
        <f>IF(ISBLANK(M8),"·",M8/L8)</f>
        <v>1.2932595836535627</v>
      </c>
      <c r="L8" s="43">
        <v>35753014</v>
      </c>
      <c r="M8" s="44">
        <v>46237928</v>
      </c>
      <c r="N8" s="59"/>
      <c r="O8" s="59"/>
      <c r="P8" s="45">
        <v>8144.47</v>
      </c>
      <c r="Q8" s="45">
        <v>894.66399999999999</v>
      </c>
      <c r="R8" s="45">
        <v>6.1669999999999998</v>
      </c>
      <c r="S8" s="45">
        <v>11.696</v>
      </c>
      <c r="U8" s="41">
        <f>IF(ISBLANK(Z8),"·",Z8/(C8*D8*3))</f>
        <v>6.157802222556033E-3</v>
      </c>
      <c r="V8" s="58">
        <f>IF(OR(ISBLANK(Z8),ISBLANK(F8)),"·",Z8*F8/E8/1000000)</f>
        <v>4.6237935999999999</v>
      </c>
      <c r="W8" s="42">
        <f>IF(ISBLANK(Z8),"·",Z8/C8)</f>
        <v>0.18473406667668099</v>
      </c>
      <c r="X8" s="42">
        <f>IF(ISBLANK(Z8),"·",Z8/Y8)</f>
        <v>1.2932598074109221</v>
      </c>
      <c r="Y8" s="43">
        <v>35753014</v>
      </c>
      <c r="Z8" s="44">
        <v>46237936</v>
      </c>
      <c r="AA8" s="59"/>
      <c r="AB8" s="59"/>
      <c r="AC8" s="45">
        <v>7173.02</v>
      </c>
      <c r="AD8" s="45">
        <v>791.41499999999996</v>
      </c>
      <c r="AE8" s="45">
        <v>6.1429999999999998</v>
      </c>
      <c r="AF8" s="45">
        <v>12.359</v>
      </c>
      <c r="AH8" s="41">
        <f t="shared" si="0"/>
        <v>1.0000001730181336</v>
      </c>
    </row>
    <row r="9" spans="1:34" x14ac:dyDescent="0.2">
      <c r="B9" s="46" t="s">
        <v>556</v>
      </c>
      <c r="J9" s="47">
        <f>AVERAGE(J4:J7)</f>
        <v>0.19580094264238618</v>
      </c>
      <c r="W9" s="47">
        <f>AVERAGE(W4:W7)</f>
        <v>0.19580097439037406</v>
      </c>
      <c r="AH9" s="6">
        <f t="shared" si="0"/>
        <v>1.0000001621442034</v>
      </c>
    </row>
    <row r="10" spans="1:34" x14ac:dyDescent="0.2">
      <c r="B10" s="46" t="s">
        <v>557</v>
      </c>
      <c r="J10" s="47">
        <f>AVERAGE(J8:J8)</f>
        <v>0.1847340347143431</v>
      </c>
      <c r="W10" s="47">
        <f>AVERAGE(W8:W8)</f>
        <v>0.18473406667668099</v>
      </c>
      <c r="AH10" s="6">
        <f t="shared" si="0"/>
        <v>1.0000001730181336</v>
      </c>
    </row>
    <row r="11" spans="1:34" collapsed="1" x14ac:dyDescent="0.2">
      <c r="B11" s="46" t="s">
        <v>252</v>
      </c>
      <c r="J11" s="47">
        <f>AVERAGE(J4:J7,J8:J8)</f>
        <v>0.19358756105677757</v>
      </c>
      <c r="W11" s="47">
        <f>AVERAGE(W4:W7,W8:W8)</f>
        <v>0.19358759284763544</v>
      </c>
      <c r="AH11" s="6">
        <f t="shared" si="0"/>
        <v>1.0000001642195278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44402.600000000006</v>
      </c>
      <c r="Q12" s="48">
        <f>SUM(Q4:Q7,Q8:Q8)</f>
        <v>4290.473</v>
      </c>
      <c r="R12" s="48">
        <f>SUM(R4:R7,R8:R8)</f>
        <v>28.100999999999999</v>
      </c>
      <c r="S12" s="48">
        <f>SUM(S4:S7,S8:S8)</f>
        <v>56.921999999999997</v>
      </c>
      <c r="AC12" s="48">
        <f>SUM(AC4:AC7,AC8:AC8)</f>
        <v>40004.430000000008</v>
      </c>
      <c r="AD12" s="48">
        <f>SUM(AD4:AD7,AD8:AD8)</f>
        <v>3683.5879999999997</v>
      </c>
      <c r="AE12" s="48">
        <f>SUM(AE4:AE7,AE8:AE8)</f>
        <v>24.396000000000001</v>
      </c>
      <c r="AF12" s="48">
        <f>SUM(AF4:AF7,AF8:AF8)</f>
        <v>48.447000000000003</v>
      </c>
    </row>
    <row r="13" spans="1:34" hidden="1" outlineLevel="2" x14ac:dyDescent="0.2">
      <c r="B13" s="46" t="s">
        <v>255</v>
      </c>
      <c r="AC13" s="6">
        <f>AC12/P12</f>
        <v>0.9009479174642927</v>
      </c>
      <c r="AD13" s="6">
        <f>AD12/Q12</f>
        <v>0.85855056074237035</v>
      </c>
      <c r="AE13" s="6">
        <f>AE12/R12</f>
        <v>0.86815415821501019</v>
      </c>
      <c r="AF13" s="6">
        <f>AF12/S12</f>
        <v>0.85111204806577434</v>
      </c>
    </row>
    <row r="14" spans="1:34" hidden="1" outlineLevel="2" x14ac:dyDescent="0.2">
      <c r="B14" s="46" t="s">
        <v>256</v>
      </c>
      <c r="P14" s="48">
        <f>GEOMEAN(P4:P7,P8:P8)</f>
        <v>8661.8890062493865</v>
      </c>
      <c r="Q14" s="48">
        <f>GEOMEAN(Q4:Q7,Q8:Q8)</f>
        <v>828.16603463312231</v>
      </c>
      <c r="R14" s="48">
        <f>GEOMEAN(R4:R7,R8:R8)</f>
        <v>5.4379540364848307</v>
      </c>
      <c r="S14" s="48">
        <f>GEOMEAN(S4:S7,S8:S8)</f>
        <v>10.926927589852957</v>
      </c>
      <c r="AC14" s="48">
        <f>GEOMEAN(AC4:AC7,AC8:AC8)</f>
        <v>7941.3445262101623</v>
      </c>
      <c r="AD14" s="48">
        <f>GEOMEAN(AD4:AD7,AD8:AD8)</f>
        <v>724.45837421223109</v>
      </c>
      <c r="AE14" s="48">
        <f>GEOMEAN(AE4:AE7,AE8:AE8)</f>
        <v>4.7384055082221357</v>
      </c>
      <c r="AF14" s="48">
        <f>GEOMEAN(AF4:AF7,AF8:AF8)</f>
        <v>9.4372456196526713</v>
      </c>
    </row>
    <row r="15" spans="1:34" outlineLevel="2" collapsed="1" x14ac:dyDescent="0.2">
      <c r="B15" s="46" t="s">
        <v>257</v>
      </c>
      <c r="AC15" s="6">
        <f>AC14/P14</f>
        <v>0.91681439469850456</v>
      </c>
      <c r="AD15" s="6">
        <f>AD14/Q14</f>
        <v>0.8747743132609469</v>
      </c>
      <c r="AE15" s="6">
        <f>AE14/R14</f>
        <v>0.87135813882036917</v>
      </c>
      <c r="AF15" s="6">
        <f>AF14/S14</f>
        <v>0.86366872499606895</v>
      </c>
    </row>
  </sheetData>
  <mergeCells count="28"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  <mergeCell ref="AH2:AH3"/>
    <mergeCell ref="U2:U3"/>
    <mergeCell ref="V2:V3"/>
    <mergeCell ref="W2:W3"/>
    <mergeCell ref="X2:X3"/>
    <mergeCell ref="Y2:Y3"/>
    <mergeCell ref="K2:K3"/>
    <mergeCell ref="A2:A3"/>
    <mergeCell ref="B2:B3"/>
    <mergeCell ref="C2:C3"/>
    <mergeCell ref="D2:D3"/>
    <mergeCell ref="E2:E3"/>
  </mergeCells>
  <conditionalFormatting sqref="AH9 AH10 AH11">
    <cfRule type="cellIs" dxfId="47" priority="1" operator="greaterThanOrEqual">
      <formula>1.03</formula>
    </cfRule>
    <cfRule type="cellIs" dxfId="46" priority="2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C1" activePane="topRight" state="frozen"/>
      <selection pane="topRight" activeCell="J27" sqref="J27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4" t="s">
        <v>620</v>
      </c>
      <c r="B1" s="74"/>
      <c r="C1" s="74"/>
      <c r="D1" s="74"/>
      <c r="E1" s="74"/>
      <c r="F1" s="74"/>
      <c r="H1" s="64" t="s">
        <v>1442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D1" s="65" t="s">
        <v>1443</v>
      </c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3" t="s">
        <v>105</v>
      </c>
      <c r="AE2" s="72" t="s">
        <v>503</v>
      </c>
      <c r="AF2" s="76" t="s">
        <v>107</v>
      </c>
      <c r="AG2" s="76"/>
      <c r="AH2" s="76"/>
      <c r="AI2" s="76"/>
      <c r="AJ2" s="72" t="s">
        <v>112</v>
      </c>
      <c r="AK2" s="73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2" t="s">
        <v>115</v>
      </c>
      <c r="BA2" s="72"/>
      <c r="BB2" s="73" t="s">
        <v>129</v>
      </c>
      <c r="BC2" s="72" t="s">
        <v>131</v>
      </c>
      <c r="BD2" s="73" t="s">
        <v>131</v>
      </c>
    </row>
    <row r="3" spans="1:56" ht="30" customHeight="1" thickBot="1" x14ac:dyDescent="0.25">
      <c r="A3" s="73"/>
      <c r="B3" s="72"/>
      <c r="C3" s="73"/>
      <c r="D3" s="72"/>
      <c r="E3" s="73"/>
      <c r="F3" s="72"/>
      <c r="H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2"/>
      <c r="AF3" s="16" t="s">
        <v>108</v>
      </c>
      <c r="AG3" s="16" t="s">
        <v>572</v>
      </c>
      <c r="AH3" s="16" t="s">
        <v>110</v>
      </c>
      <c r="AI3" s="16" t="s">
        <v>355</v>
      </c>
      <c r="AJ3" s="72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17" t="s">
        <v>580</v>
      </c>
      <c r="BA3" s="17" t="s">
        <v>604</v>
      </c>
      <c r="BB3" s="73"/>
      <c r="BC3" s="72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3.2060649619502314E-2</v>
      </c>
      <c r="I4" s="55">
        <f>IF(OR(ISBLANK(P4),ISBLANK(F4)),"·",P4*F4/E4/1000000)</f>
        <v>22.905384000000002</v>
      </c>
      <c r="J4" s="21">
        <f>IF(ISBLANK(P4),"·",P4/C4)</f>
        <v>0.96181948858506949</v>
      </c>
      <c r="K4" s="21">
        <f>IF(AZ4="","·",AZ4/C4)</f>
        <v>0.17235009032742385</v>
      </c>
      <c r="L4" s="21">
        <f>IF(Q4="","·",Q4/C4)</f>
        <v>0.16284000709462779</v>
      </c>
      <c r="M4" s="21">
        <f>IF(ISBLANK(S4),"·",S4/C4)</f>
        <v>0.78946765143293729</v>
      </c>
      <c r="N4" s="21">
        <f>IF(ISBLANK(P4),"·",P4/O4)</f>
        <v>6.3411620894837721</v>
      </c>
      <c r="O4" s="22">
        <v>36121745</v>
      </c>
      <c r="P4" s="23">
        <v>229053840</v>
      </c>
      <c r="Q4" s="23">
        <v>38779760</v>
      </c>
      <c r="R4" s="23">
        <v>2264792</v>
      </c>
      <c r="S4" s="23">
        <v>188008872</v>
      </c>
      <c r="T4" s="49"/>
      <c r="U4" s="49"/>
      <c r="V4" s="49"/>
      <c r="W4" s="49"/>
      <c r="X4" s="49"/>
      <c r="Y4" s="24">
        <v>8057.48</v>
      </c>
      <c r="Z4" s="24">
        <v>6178.23</v>
      </c>
      <c r="AA4" s="24">
        <v>7.7450000000000001</v>
      </c>
      <c r="AB4" s="24">
        <v>33.652999999999999</v>
      </c>
      <c r="AD4" s="20">
        <f>IF(ISBLANK(AL4),"·",AL4/(C4*D4*3))</f>
        <v>3.2060650739261745E-2</v>
      </c>
      <c r="AE4" s="55">
        <f>IF(OR(ISBLANK(AL4),ISBLANK(F4)),"·",AL4*F4/E4/1000000)</f>
        <v>22.9053848</v>
      </c>
      <c r="AF4" s="21">
        <f>IF(ISBLANK(AL4),"·",AL4/C4)</f>
        <v>0.96181952217785238</v>
      </c>
      <c r="AG4" s="21">
        <f>IF(BA4="","·",BA4/C4)</f>
        <v>0.17235009032742385</v>
      </c>
      <c r="AH4" s="21">
        <f>IF(AM4="","·",AM4/C4)</f>
        <v>0.16284000709462779</v>
      </c>
      <c r="AI4" s="21">
        <f>IF(ISBLANK(AO4),"·",AO4/C4)</f>
        <v>0.78946765143293729</v>
      </c>
      <c r="AJ4" s="21">
        <f>IF(ISBLANK(AL4),"·",AL4/AK4)</f>
        <v>6.3411623109570145</v>
      </c>
      <c r="AK4" s="22">
        <v>36121745</v>
      </c>
      <c r="AL4" s="23">
        <v>229053848</v>
      </c>
      <c r="AM4" s="23">
        <v>38779760</v>
      </c>
      <c r="AN4" s="23">
        <v>2264792</v>
      </c>
      <c r="AO4" s="23">
        <v>188008872</v>
      </c>
      <c r="AP4" s="49"/>
      <c r="AQ4" s="49"/>
      <c r="AR4" s="49"/>
      <c r="AS4" s="49"/>
      <c r="AT4" s="49"/>
      <c r="AU4" s="24">
        <v>6689.11</v>
      </c>
      <c r="AV4" s="24">
        <v>3471.72</v>
      </c>
      <c r="AW4" s="24">
        <v>4.2930000000000001</v>
      </c>
      <c r="AX4" s="24">
        <v>18.012</v>
      </c>
      <c r="AZ4" s="18">
        <f>IF(OR(ISBLANK(Q4),ISBLANK(R4)),"",Q4+R4)</f>
        <v>41044552</v>
      </c>
      <c r="BA4" s="18">
        <f>IF(OR(ISBLANK(AM4),ISBLANK(AN4)),"",AM4+AN4)</f>
        <v>41044552</v>
      </c>
      <c r="BB4" s="20">
        <f t="shared" ref="BB4:BB11" si="0">AF4/J4</f>
        <v>1.0000000349262863</v>
      </c>
      <c r="BC4" s="20">
        <f>(BA4/AL4) - (AZ4/P4)</f>
        <v>-6.2585011895155418E-9</v>
      </c>
      <c r="BD4" s="20">
        <f t="array" ref="BD4">AVERAGE(BA4:BA4/AL4:AL4) - AVERAGE(AZ4:AZ4/P4:P4)</f>
        <v>-6.2585011895155418E-9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4.5476342311798625E-2</v>
      </c>
      <c r="I5" s="56">
        <f>IF(OR(ISBLANK(P5),ISBLANK(F5)),"·",P5*F5/E5/1000000)</f>
        <v>29.7580688</v>
      </c>
      <c r="J5" s="28">
        <f>IF(ISBLANK(P5),"·",P5/C5)</f>
        <v>1.3642902693539587</v>
      </c>
      <c r="K5" s="28">
        <f>IF(AZ5="","·",AZ5/C5)</f>
        <v>0.2078458364912483</v>
      </c>
      <c r="L5" s="28">
        <f>IF(Q5="","·",Q5/C5)</f>
        <v>0.19448068244540803</v>
      </c>
      <c r="M5" s="28">
        <f>IF(ISBLANK(S5),"·",S5/C5)</f>
        <v>1.1564425256665281</v>
      </c>
      <c r="N5" s="28">
        <f>IF(ISBLANK(P5),"·",P5/O5)</f>
        <v>9.3354898375845607</v>
      </c>
      <c r="O5" s="29">
        <v>31876280</v>
      </c>
      <c r="P5" s="30">
        <v>297580688</v>
      </c>
      <c r="Q5" s="30">
        <v>42420368</v>
      </c>
      <c r="R5" s="30">
        <v>2915224</v>
      </c>
      <c r="S5" s="30">
        <v>252244680</v>
      </c>
      <c r="T5" s="51"/>
      <c r="U5" s="51"/>
      <c r="V5" s="51"/>
      <c r="W5" s="51"/>
      <c r="X5" s="51"/>
      <c r="Y5" s="31">
        <v>6654.57</v>
      </c>
      <c r="Z5" s="31">
        <v>3875.92</v>
      </c>
      <c r="AA5" s="31">
        <v>3.5960000000000001</v>
      </c>
      <c r="AB5" s="31">
        <v>20.844999999999999</v>
      </c>
      <c r="AD5" s="27">
        <f>IF(ISBLANK(AL5),"·",AL5/(C5*D5*3))</f>
        <v>4.5476343534360274E-2</v>
      </c>
      <c r="AE5" s="56">
        <f>IF(OR(ISBLANK(AL5),ISBLANK(F5)),"·",AL5*F5/E5/1000000)</f>
        <v>29.758069600000002</v>
      </c>
      <c r="AF5" s="28">
        <f>IF(ISBLANK(AL5),"·",AL5/C5)</f>
        <v>1.3642903060308083</v>
      </c>
      <c r="AG5" s="28">
        <f>IF(BA5="","·",BA5/C5)</f>
        <v>0.2078458364912483</v>
      </c>
      <c r="AH5" s="28">
        <f>IF(AM5="","·",AM5/C5)</f>
        <v>0.19448068244540803</v>
      </c>
      <c r="AI5" s="28">
        <f>IF(ISBLANK(AO5),"·",AO5/C5)</f>
        <v>1.1564425256665281</v>
      </c>
      <c r="AJ5" s="28">
        <f>IF(ISBLANK(AL5),"·",AL5/AK5)</f>
        <v>9.3354900885548755</v>
      </c>
      <c r="AK5" s="29">
        <v>31876280</v>
      </c>
      <c r="AL5" s="30">
        <v>297580696</v>
      </c>
      <c r="AM5" s="30">
        <v>42420368</v>
      </c>
      <c r="AN5" s="30">
        <v>2915224</v>
      </c>
      <c r="AO5" s="30">
        <v>252244680</v>
      </c>
      <c r="AP5" s="51"/>
      <c r="AQ5" s="51"/>
      <c r="AR5" s="51"/>
      <c r="AS5" s="51"/>
      <c r="AT5" s="51"/>
      <c r="AU5" s="31">
        <v>6010.84</v>
      </c>
      <c r="AV5" s="31">
        <v>3507.63</v>
      </c>
      <c r="AW5" s="31">
        <v>3.2749999999999999</v>
      </c>
      <c r="AX5" s="31">
        <v>19.151</v>
      </c>
      <c r="AZ5" s="25">
        <f>IF(OR(ISBLANK(Q5),ISBLANK(R5)),"",Q5+R5)</f>
        <v>45335592</v>
      </c>
      <c r="BA5" s="25">
        <f>IF(OR(ISBLANK(AM5),ISBLANK(AN5)),"",AM5+AN5)</f>
        <v>45335592</v>
      </c>
      <c r="BB5" s="27">
        <f t="shared" si="0"/>
        <v>1.0000000268834648</v>
      </c>
      <c r="BC5" s="27">
        <f>(BA5/AL5) - (AZ5/P5)</f>
        <v>-4.0956211755371896E-9</v>
      </c>
      <c r="BD5" s="27">
        <f t="array" ref="BD5">AVERAGE(BA5:BA5/AL5:AL5) - AVERAGE(AZ5:AZ5/P5:P5)</f>
        <v>-4.0956211755371896E-9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3.6819573964662761E-2</v>
      </c>
      <c r="I6" s="55">
        <f>IF(OR(ISBLANK(P6),ISBLANK(F6)),"·",P6*F6/E6/1000000)</f>
        <v>35.632846399999998</v>
      </c>
      <c r="J6" s="21">
        <f>IF(ISBLANK(P6),"·",P6/C6)</f>
        <v>1.1045872189398829</v>
      </c>
      <c r="K6" s="21">
        <f>IF(AZ6="","·",AZ6/C6)</f>
        <v>0.20514874213096398</v>
      </c>
      <c r="L6" s="21">
        <f>IF(Q6="","·",Q6/C6)</f>
        <v>0.192485771337575</v>
      </c>
      <c r="M6" s="21">
        <f>IF(ISBLANK(S6),"·",S6/C6)</f>
        <v>0.89943718724513289</v>
      </c>
      <c r="N6" s="21">
        <f>IF(ISBLANK(P6),"·",P6/O6)</f>
        <v>7.5221507638626832</v>
      </c>
      <c r="O6" s="22">
        <v>47370556</v>
      </c>
      <c r="P6" s="23">
        <v>356328464</v>
      </c>
      <c r="Q6" s="23">
        <v>62093928</v>
      </c>
      <c r="R6" s="23">
        <v>4084944</v>
      </c>
      <c r="S6" s="23">
        <v>290149176</v>
      </c>
      <c r="T6" s="49"/>
      <c r="U6" s="49"/>
      <c r="V6" s="49"/>
      <c r="W6" s="49"/>
      <c r="X6" s="49"/>
      <c r="Y6" s="24">
        <v>9526.74</v>
      </c>
      <c r="Z6" s="24">
        <v>5054.53</v>
      </c>
      <c r="AA6" s="24">
        <v>4.6710000000000003</v>
      </c>
      <c r="AB6" s="24">
        <v>22.17</v>
      </c>
      <c r="AD6" s="20">
        <f>IF(ISBLANK(AL6),"·",AL6/(C6*D6*3))</f>
        <v>3.6819574791306216E-2</v>
      </c>
      <c r="AE6" s="55">
        <f>IF(OR(ISBLANK(AL6),ISBLANK(F6)),"·",AL6*F6/E6/1000000)</f>
        <v>35.6328472</v>
      </c>
      <c r="AF6" s="21">
        <f>IF(ISBLANK(AL6),"·",AL6/C6)</f>
        <v>1.1045872437391864</v>
      </c>
      <c r="AG6" s="21">
        <f>IF(BA6="","·",BA6/C6)</f>
        <v>0.20514874213096398</v>
      </c>
      <c r="AH6" s="21">
        <f>IF(AM6="","·",AM6/C6)</f>
        <v>0.192485771337575</v>
      </c>
      <c r="AI6" s="21">
        <f>IF(ISBLANK(AO6),"·",AO6/C6)</f>
        <v>0.89943718724513289</v>
      </c>
      <c r="AJ6" s="21">
        <f>IF(ISBLANK(AL6),"·",AL6/AK6)</f>
        <v>7.5221509327439602</v>
      </c>
      <c r="AK6" s="22">
        <v>47370556</v>
      </c>
      <c r="AL6" s="23">
        <v>356328472</v>
      </c>
      <c r="AM6" s="23">
        <v>62093928</v>
      </c>
      <c r="AN6" s="23">
        <v>4084944</v>
      </c>
      <c r="AO6" s="23">
        <v>290149176</v>
      </c>
      <c r="AP6" s="49"/>
      <c r="AQ6" s="49"/>
      <c r="AR6" s="49"/>
      <c r="AS6" s="49"/>
      <c r="AT6" s="49"/>
      <c r="AU6" s="24">
        <v>9799.1200000000008</v>
      </c>
      <c r="AV6" s="24">
        <v>5453.26</v>
      </c>
      <c r="AW6" s="24">
        <v>5.1150000000000002</v>
      </c>
      <c r="AX6" s="24">
        <v>24.343</v>
      </c>
      <c r="AZ6" s="18">
        <f>IF(OR(ISBLANK(Q6),ISBLANK(R6)),"",Q6+R6)</f>
        <v>66178872</v>
      </c>
      <c r="BA6" s="18">
        <f>IF(OR(ISBLANK(AM6),ISBLANK(AN6)),"",AM6+AN6)</f>
        <v>66178872</v>
      </c>
      <c r="BB6" s="20">
        <f t="shared" si="0"/>
        <v>1.0000000224511953</v>
      </c>
      <c r="BC6" s="20">
        <f>(BA6/AL6) - (AZ6/P6)</f>
        <v>-4.1697335861901053E-9</v>
      </c>
      <c r="BD6" s="20">
        <f t="array" ref="BD6">AVERAGE(BA6:BA6/AL6:AL6) - AVERAGE(AZ6:AZ6/P6:P6)</f>
        <v>-4.1697335861901053E-9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3.6788735476585809E-2</v>
      </c>
      <c r="I7" s="57">
        <f>IF(OR(ISBLANK(P7),ISBLANK(F7)),"·",P7*F7/E7/1000000)</f>
        <v>55.316180799999998</v>
      </c>
      <c r="J7" s="35">
        <f>IF(ISBLANK(P7),"·",P7/C7)</f>
        <v>1.1036620642975743</v>
      </c>
      <c r="K7" s="35">
        <f>IF(AZ7="","·",AZ7/C7)</f>
        <v>0.19785249803842048</v>
      </c>
      <c r="L7" s="35">
        <f>IF(Q7="","·",Q7/C7)</f>
        <v>0.18281410807826634</v>
      </c>
      <c r="M7" s="35">
        <f>IF(ISBLANK(S7),"·",S7/C7)</f>
        <v>0.90580790626234231</v>
      </c>
      <c r="N7" s="35">
        <f>IF(ISBLANK(P7),"·",P7/O7)</f>
        <v>7.2983826791457744</v>
      </c>
      <c r="O7" s="36">
        <v>37896191</v>
      </c>
      <c r="P7" s="37">
        <v>276580904</v>
      </c>
      <c r="Q7" s="37">
        <v>45813744</v>
      </c>
      <c r="R7" s="37">
        <v>3768664</v>
      </c>
      <c r="S7" s="37">
        <v>226998080</v>
      </c>
      <c r="T7" s="53"/>
      <c r="U7" s="53"/>
      <c r="V7" s="53"/>
      <c r="W7" s="53"/>
      <c r="X7" s="53"/>
      <c r="Y7" s="38">
        <v>10951</v>
      </c>
      <c r="Z7" s="38">
        <v>6386.95</v>
      </c>
      <c r="AA7" s="38">
        <v>8.2059999999999995</v>
      </c>
      <c r="AB7" s="38">
        <v>36.048999999999999</v>
      </c>
      <c r="AD7" s="34">
        <f>IF(ISBLANK(AL7),"·",AL7/(C7*D7*3))</f>
        <v>3.6788736540686331E-2</v>
      </c>
      <c r="AE7" s="57">
        <f>IF(OR(ISBLANK(AL7),ISBLANK(F7)),"·",AL7*F7/E7/1000000)</f>
        <v>55.316182399999995</v>
      </c>
      <c r="AF7" s="35">
        <f>IF(ISBLANK(AL7),"·",AL7/C7)</f>
        <v>1.1036620962205899</v>
      </c>
      <c r="AG7" s="35">
        <f>IF(BA7="","·",BA7/C7)</f>
        <v>0.19785249803842048</v>
      </c>
      <c r="AH7" s="35">
        <f>IF(AM7="","·",AM7/C7)</f>
        <v>0.18281410807826634</v>
      </c>
      <c r="AI7" s="35">
        <f>IF(ISBLANK(AO7),"·",AO7/C7)</f>
        <v>0.90580790626234231</v>
      </c>
      <c r="AJ7" s="35">
        <f>IF(ISBLANK(AL7),"·",AL7/AK7)</f>
        <v>7.2983828902487851</v>
      </c>
      <c r="AK7" s="36">
        <v>37896191</v>
      </c>
      <c r="AL7" s="37">
        <v>276580912</v>
      </c>
      <c r="AM7" s="37">
        <v>45813744</v>
      </c>
      <c r="AN7" s="37">
        <v>3768664</v>
      </c>
      <c r="AO7" s="37">
        <v>226998080</v>
      </c>
      <c r="AP7" s="53"/>
      <c r="AQ7" s="53"/>
      <c r="AR7" s="53"/>
      <c r="AS7" s="53"/>
      <c r="AT7" s="53"/>
      <c r="AU7" s="38">
        <v>9178.5400000000009</v>
      </c>
      <c r="AV7" s="38">
        <v>4182.43</v>
      </c>
      <c r="AW7" s="38">
        <v>4.726</v>
      </c>
      <c r="AX7" s="38">
        <v>22.768999999999998</v>
      </c>
      <c r="AZ7" s="32">
        <f>IF(OR(ISBLANK(Q7),ISBLANK(R7)),"",Q7+R7)</f>
        <v>49582408</v>
      </c>
      <c r="BA7" s="32">
        <f>IF(OR(ISBLANK(AM7),ISBLANK(AN7)),"",AM7+AN7)</f>
        <v>49582408</v>
      </c>
      <c r="BB7" s="34">
        <f t="shared" si="0"/>
        <v>1.0000000289246289</v>
      </c>
      <c r="BC7" s="34">
        <f>(BA7/AL7) - (AZ7/P7)</f>
        <v>-5.1852918625527877E-9</v>
      </c>
      <c r="BD7" s="34">
        <f t="array" ref="BD7">AVERAGE(BA7:BA7/AL7:AL7) - AVERAGE(AZ7:AZ7/P7:P7)</f>
        <v>-5.1852918625527877E-9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5.1738056399478913E-2</v>
      </c>
      <c r="I8" s="58">
        <f>IF(OR(ISBLANK(P8),ISBLANK(F8)),"·",P8*F8/E8/1000000)</f>
        <v>38.849265600000003</v>
      </c>
      <c r="J8" s="42">
        <f>IF(ISBLANK(P8),"·",P8/C8)</f>
        <v>1.5521416919843674</v>
      </c>
      <c r="K8" s="42">
        <f>IF(AZ8="","·",AZ8/C8)</f>
        <v>0.18473237267277323</v>
      </c>
      <c r="L8" s="42">
        <f>IF(Q8="","·",Q8/C8)</f>
        <v>0.17424642455904218</v>
      </c>
      <c r="M8" s="42">
        <f>IF(ISBLANK(S8),"·",S8/C8)</f>
        <v>1.3674076572700242</v>
      </c>
      <c r="N8" s="42">
        <f>IF(ISBLANK(P8),"·",P8/O8)</f>
        <v>10.866011352217745</v>
      </c>
      <c r="O8" s="43">
        <v>35753014</v>
      </c>
      <c r="P8" s="44">
        <v>388492656</v>
      </c>
      <c r="Q8" s="44">
        <v>43612936</v>
      </c>
      <c r="R8" s="44">
        <v>2624576</v>
      </c>
      <c r="S8" s="44">
        <v>342254728</v>
      </c>
      <c r="T8" s="59"/>
      <c r="U8" s="59"/>
      <c r="V8" s="59"/>
      <c r="W8" s="59"/>
      <c r="X8" s="59"/>
      <c r="Y8" s="45">
        <v>8476.44</v>
      </c>
      <c r="Z8" s="45">
        <v>6401.45</v>
      </c>
      <c r="AA8" s="45">
        <v>7.3840000000000003</v>
      </c>
      <c r="AB8" s="45">
        <v>37.506</v>
      </c>
      <c r="AD8" s="41">
        <f>IF(ISBLANK(AL8),"·",AL8/(C8*D8*3))</f>
        <v>5.1738057464890179E-2</v>
      </c>
      <c r="AE8" s="58">
        <f>IF(OR(ISBLANK(AL8),ISBLANK(F8)),"·",AL8*F8/E8/1000000)</f>
        <v>38.849266399999998</v>
      </c>
      <c r="AF8" s="42">
        <f>IF(ISBLANK(AL8),"·",AL8/C8)</f>
        <v>1.5521417239467052</v>
      </c>
      <c r="AG8" s="42">
        <f>IF(BA8="","·",BA8/C8)</f>
        <v>0.18473237267277323</v>
      </c>
      <c r="AH8" s="42">
        <f>IF(AM8="","·",AM8/C8)</f>
        <v>0.17424642455904218</v>
      </c>
      <c r="AI8" s="42">
        <f>IF(ISBLANK(AO8),"·",AO8/C8)</f>
        <v>1.3674076572700242</v>
      </c>
      <c r="AJ8" s="42">
        <f>IF(ISBLANK(AL8),"·",AL8/AK8)</f>
        <v>10.866011575975104</v>
      </c>
      <c r="AK8" s="43">
        <v>35753014</v>
      </c>
      <c r="AL8" s="44">
        <v>388492664</v>
      </c>
      <c r="AM8" s="44">
        <v>43612936</v>
      </c>
      <c r="AN8" s="44">
        <v>2624576</v>
      </c>
      <c r="AO8" s="44">
        <v>342254728</v>
      </c>
      <c r="AP8" s="59"/>
      <c r="AQ8" s="59"/>
      <c r="AR8" s="59"/>
      <c r="AS8" s="59"/>
      <c r="AT8" s="59"/>
      <c r="AU8" s="45">
        <v>7101.9</v>
      </c>
      <c r="AV8" s="45">
        <v>4100.45</v>
      </c>
      <c r="AW8" s="45">
        <v>4.2089999999999996</v>
      </c>
      <c r="AX8" s="45">
        <v>22.228000000000002</v>
      </c>
      <c r="AZ8" s="39">
        <f>IF(OR(ISBLANK(Q8),ISBLANK(R8)),"",Q8+R8)</f>
        <v>46237512</v>
      </c>
      <c r="BA8" s="39">
        <f>IF(OR(ISBLANK(AM8),ISBLANK(AN8)),"",AM8+AN8)</f>
        <v>46237512</v>
      </c>
      <c r="BB8" s="41">
        <f t="shared" si="0"/>
        <v>1.0000000205924098</v>
      </c>
      <c r="BC8" s="41">
        <f>(BA8/AL8) - (AZ8/P8)</f>
        <v>-2.4508617080254425E-9</v>
      </c>
      <c r="BD8" s="41">
        <f t="array" ref="BD8">AVERAGE(BA8:BA8/AL8:AL8) - AVERAGE(AZ8:AZ8/P8:P8)</f>
        <v>-2.4508617080254425E-9</v>
      </c>
    </row>
    <row r="9" spans="1:56" x14ac:dyDescent="0.2">
      <c r="B9" s="46" t="s">
        <v>556</v>
      </c>
      <c r="J9" s="47">
        <f>AVERAGE(J4:J7)</f>
        <v>1.1335897602941214</v>
      </c>
      <c r="AF9" s="47">
        <f>AVERAGE(AF4:AF7)</f>
        <v>1.1335897920421092</v>
      </c>
      <c r="BB9" s="6">
        <f t="shared" si="0"/>
        <v>1.0000000280065937</v>
      </c>
      <c r="BD9" s="6">
        <f>AVERAGE(BD4:BD7)</f>
        <v>-4.9272869534489061E-9</v>
      </c>
    </row>
    <row r="10" spans="1:56" x14ac:dyDescent="0.2">
      <c r="B10" s="46" t="s">
        <v>557</v>
      </c>
      <c r="J10" s="47">
        <f>AVERAGE(J8:J8)</f>
        <v>1.5521416919843674</v>
      </c>
      <c r="AF10" s="47">
        <f>AVERAGE(AF8:AF8)</f>
        <v>1.5521417239467052</v>
      </c>
      <c r="BB10" s="6">
        <f t="shared" si="0"/>
        <v>1.0000000205924098</v>
      </c>
      <c r="BD10" s="6">
        <f>AVERAGE(BD8:BD8)</f>
        <v>-2.4508617080254425E-9</v>
      </c>
    </row>
    <row r="11" spans="1:56" collapsed="1" x14ac:dyDescent="0.2">
      <c r="B11" s="46" t="s">
        <v>252</v>
      </c>
      <c r="J11" s="47">
        <f>AVERAGE(J4:J7,J8:J8)</f>
        <v>1.2173001466321707</v>
      </c>
      <c r="AF11" s="47">
        <f>AVERAGE(AF4:AF7,AF8:AF8)</f>
        <v>1.2173001784230284</v>
      </c>
      <c r="BB11" s="6">
        <f t="shared" si="0"/>
        <v>1.0000000261158744</v>
      </c>
      <c r="BD11" s="6">
        <f>AVERAGE(BD4:BD7,BD8:BD8)</f>
        <v>-4.4320019043642134E-9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43666.23</v>
      </c>
      <c r="Z12" s="48">
        <f>SUM(Z4:Z7,Z8:Z8)</f>
        <v>27897.08</v>
      </c>
      <c r="AA12" s="48">
        <f>SUM(AA4:AA7,AA8:AA8)</f>
        <v>31.602</v>
      </c>
      <c r="AB12" s="48">
        <f>SUM(AB4:AB7,AB8:AB8)</f>
        <v>150.22300000000001</v>
      </c>
      <c r="AU12" s="48">
        <f>SUM(AU4:AU7,AU8:AU8)</f>
        <v>38779.51</v>
      </c>
      <c r="AV12" s="48">
        <f>SUM(AV4:AV7,AV8:AV8)</f>
        <v>20715.490000000002</v>
      </c>
      <c r="AW12" s="48">
        <f>SUM(AW4:AW7,AW8:AW8)</f>
        <v>21.617999999999999</v>
      </c>
      <c r="AX12" s="48">
        <f>SUM(AX4:AX7,AX8:AX8)</f>
        <v>106.50300000000001</v>
      </c>
    </row>
    <row r="13" spans="1:56" hidden="1" outlineLevel="2" x14ac:dyDescent="0.2">
      <c r="B13" s="46" t="s">
        <v>255</v>
      </c>
      <c r="AU13" s="6">
        <f>AU12/Y12</f>
        <v>0.88808926257201504</v>
      </c>
      <c r="AV13" s="6">
        <f>AV12/Z12</f>
        <v>0.74256839783948714</v>
      </c>
      <c r="AW13" s="6">
        <f>AW12/AA12</f>
        <v>0.68407062844123789</v>
      </c>
      <c r="AX13" s="6">
        <f>AX12/AB12</f>
        <v>0.70896600387424036</v>
      </c>
    </row>
    <row r="14" spans="1:56" hidden="1" outlineLevel="2" x14ac:dyDescent="0.2">
      <c r="B14" s="46" t="s">
        <v>256</v>
      </c>
      <c r="Y14" s="48">
        <f>GEOMEAN(Y4:Y7,Y8:Y8)</f>
        <v>8613.6290274685634</v>
      </c>
      <c r="Z14" s="48">
        <f>GEOMEAN(Z4:Z7,Z8:Z8)</f>
        <v>5481.4859566885607</v>
      </c>
      <c r="AA14" s="48">
        <f>GEOMEAN(AA4:AA7,AA8:AA8)</f>
        <v>6.0163741225856464</v>
      </c>
      <c r="AB14" s="48">
        <f>GEOMEAN(AB4:AB7,AB8:AB8)</f>
        <v>29.144530926128667</v>
      </c>
      <c r="AU14" s="48">
        <f>GEOMEAN(AU4:AU7,AU8:AU8)</f>
        <v>7619.5223605287083</v>
      </c>
      <c r="AV14" s="48">
        <f>GEOMEAN(AV4:AV7,AV8:AV8)</f>
        <v>4085.9681278993521</v>
      </c>
      <c r="AW14" s="48">
        <f>GEOMEAN(AW4:AW7,AW8:AW8)</f>
        <v>4.2765947136290592</v>
      </c>
      <c r="AX14" s="48">
        <f>GEOMEAN(AX4:AX7,AX8:AX8)</f>
        <v>21.167733920427683</v>
      </c>
    </row>
    <row r="15" spans="1:56" outlineLevel="2" collapsed="1" x14ac:dyDescent="0.2">
      <c r="B15" s="46" t="s">
        <v>257</v>
      </c>
      <c r="AU15" s="6">
        <f>AU14/Y14</f>
        <v>0.88458910132190705</v>
      </c>
      <c r="AV15" s="6">
        <f>AV14/Z14</f>
        <v>0.74541249584222968</v>
      </c>
      <c r="AW15" s="6">
        <f>AW14/AA14</f>
        <v>0.71082592712687132</v>
      </c>
      <c r="AX15" s="6">
        <f>AX14/AB14</f>
        <v>0.72630209674949264</v>
      </c>
    </row>
  </sheetData>
  <mergeCells count="33"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  <mergeCell ref="P2:S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  <mergeCell ref="V2:X2"/>
    <mergeCell ref="BB2:BB3"/>
    <mergeCell ref="BC2:BC3"/>
    <mergeCell ref="BD2:BD3"/>
    <mergeCell ref="AZ2:BA2"/>
    <mergeCell ref="AJ2:AJ3"/>
  </mergeCells>
  <conditionalFormatting sqref="BB9:BB11">
    <cfRule type="cellIs" dxfId="45" priority="1" operator="greaterThanOrEqual">
      <formula>1.03</formula>
    </cfRule>
    <cfRule type="cellIs" dxfId="44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M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4" t="s">
        <v>708</v>
      </c>
      <c r="B1" s="74"/>
      <c r="C1" s="74"/>
      <c r="D1" s="74"/>
      <c r="E1" s="74"/>
      <c r="F1" s="74"/>
      <c r="G1" s="74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F1" s="65" t="s">
        <v>3</v>
      </c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2" t="s">
        <v>99</v>
      </c>
      <c r="C2" s="73" t="s">
        <v>269</v>
      </c>
      <c r="D2" s="72" t="s">
        <v>101</v>
      </c>
      <c r="E2" s="73" t="s">
        <v>103</v>
      </c>
      <c r="F2" s="72" t="s">
        <v>498</v>
      </c>
      <c r="G2" s="73" t="s">
        <v>500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2" t="s">
        <v>28</v>
      </c>
      <c r="Q2" s="73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3" t="s">
        <v>503</v>
      </c>
      <c r="AG2" s="75" t="s">
        <v>107</v>
      </c>
      <c r="AH2" s="75"/>
      <c r="AI2" s="75"/>
      <c r="AJ2" s="75"/>
      <c r="AK2" s="73" t="s">
        <v>112</v>
      </c>
      <c r="AL2" s="72" t="s">
        <v>26</v>
      </c>
      <c r="AM2" s="73" t="s">
        <v>28</v>
      </c>
      <c r="AN2" s="72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2" t="s">
        <v>115</v>
      </c>
      <c r="BD2" s="72"/>
      <c r="BE2" s="72" t="s">
        <v>693</v>
      </c>
      <c r="BF2" s="73" t="s">
        <v>131</v>
      </c>
      <c r="BG2" s="72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3"/>
      <c r="B3" s="72"/>
      <c r="C3" s="73"/>
      <c r="D3" s="72"/>
      <c r="E3" s="73"/>
      <c r="F3" s="72"/>
      <c r="G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72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2"/>
      <c r="AM3" s="73"/>
      <c r="AN3" s="72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2"/>
      <c r="BF3" s="73"/>
      <c r="BG3" s="72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t="15" hidden="1" customHeight="1" outlineLevel="2" x14ac:dyDescent="0.2">
      <c r="A32" s="46" t="s">
        <v>253</v>
      </c>
      <c r="B32" s="46" t="s">
        <v>254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t="15" hidden="1" customHeight="1" outlineLevel="2" x14ac:dyDescent="0.2">
      <c r="B33" s="46" t="s">
        <v>255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t="15" hidden="1" customHeight="1" outlineLevel="2" x14ac:dyDescent="0.2">
      <c r="B34" s="46" t="s">
        <v>256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  <mergeCell ref="AM2:AM3"/>
    <mergeCell ref="AN2:AN3"/>
    <mergeCell ref="AO2:AR2"/>
    <mergeCell ref="X2:Z2"/>
    <mergeCell ref="AA2:AB2"/>
    <mergeCell ref="AC2:AD2"/>
    <mergeCell ref="AF2:AF3"/>
    <mergeCell ref="AG2:AJ2"/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</mergeCells>
  <conditionalFormatting sqref="BI4:BI31">
    <cfRule type="cellIs" dxfId="43" priority="7" operator="greaterThanOrEqual">
      <formula>0.03</formula>
    </cfRule>
    <cfRule type="cellIs" dxfId="42" priority="8" operator="lessThanOrEqual">
      <formula>-0.03</formula>
    </cfRule>
  </conditionalFormatting>
  <conditionalFormatting sqref="BJ4:BJ31">
    <cfRule type="cellIs" dxfId="41" priority="9" operator="greaterThanOrEqual">
      <formula>0.03</formula>
    </cfRule>
    <cfRule type="cellIs" dxfId="40" priority="10" operator="lessThanOrEqual">
      <formula>-0.03</formula>
    </cfRule>
  </conditionalFormatting>
  <conditionalFormatting sqref="BK4:BK31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L4:BL31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4:BM31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O4:BO31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P4:BP31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BQ4:BQ31">
    <cfRule type="cellIs" dxfId="29" priority="17" operator="greaterThanOrEqual">
      <formula>0.03</formula>
    </cfRule>
    <cfRule type="cellIs" dxfId="28" priority="18" operator="lessThanOrEqual">
      <formula>-0.03</formula>
    </cfRule>
  </conditionalFormatting>
  <conditionalFormatting sqref="BR4:BR31">
    <cfRule type="cellIs" dxfId="27" priority="15" operator="greaterThanOrEqual">
      <formula>0.03</formula>
    </cfRule>
    <cfRule type="cellIs" dxfId="26" priority="16" operator="lessThanOrEqual">
      <formula>-0.03</formula>
    </cfRule>
  </conditionalFormatting>
  <conditionalFormatting sqref="BS4:BS31">
    <cfRule type="cellIs" dxfId="25" priority="3" operator="greaterThanOrEqual">
      <formula>0.03</formula>
    </cfRule>
    <cfRule type="cellIs" dxfId="24" priority="4" operator="lessThanOrEqual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W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4" t="s">
        <v>795</v>
      </c>
      <c r="B1" s="74"/>
      <c r="C1" s="74"/>
      <c r="D1" s="74"/>
      <c r="E1" s="74"/>
      <c r="F1" s="74"/>
      <c r="G1" s="74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F1" s="65" t="s">
        <v>3</v>
      </c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2" t="s">
        <v>99</v>
      </c>
      <c r="C2" s="73" t="s">
        <v>269</v>
      </c>
      <c r="D2" s="72" t="s">
        <v>101</v>
      </c>
      <c r="E2" s="73" t="s">
        <v>103</v>
      </c>
      <c r="F2" s="72" t="s">
        <v>498</v>
      </c>
      <c r="G2" s="73" t="s">
        <v>500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2" t="s">
        <v>28</v>
      </c>
      <c r="Q2" s="73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3" t="s">
        <v>503</v>
      </c>
      <c r="AG2" s="75" t="s">
        <v>107</v>
      </c>
      <c r="AH2" s="75"/>
      <c r="AI2" s="75"/>
      <c r="AJ2" s="75"/>
      <c r="AK2" s="73" t="s">
        <v>112</v>
      </c>
      <c r="AL2" s="72" t="s">
        <v>26</v>
      </c>
      <c r="AM2" s="73" t="s">
        <v>28</v>
      </c>
      <c r="AN2" s="72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2" t="s">
        <v>115</v>
      </c>
      <c r="BD2" s="72"/>
      <c r="BE2" s="72" t="s">
        <v>693</v>
      </c>
      <c r="BF2" s="73" t="s">
        <v>131</v>
      </c>
      <c r="BG2" s="72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3"/>
      <c r="B3" s="72"/>
      <c r="C3" s="73"/>
      <c r="D3" s="72"/>
      <c r="E3" s="73"/>
      <c r="F3" s="72"/>
      <c r="G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72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2"/>
      <c r="AM3" s="73"/>
      <c r="AN3" s="72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2"/>
      <c r="BF3" s="73"/>
      <c r="BG3" s="72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idden="1" outlineLevel="2" x14ac:dyDescent="0.2">
      <c r="A32" s="46" t="s">
        <v>253</v>
      </c>
      <c r="B32" s="46" t="s">
        <v>254</v>
      </c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idden="1" outlineLevel="2" x14ac:dyDescent="0.2">
      <c r="B33" s="46" t="s">
        <v>255</v>
      </c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idden="1" outlineLevel="2" x14ac:dyDescent="0.2">
      <c r="B34" s="46" t="s">
        <v>256</v>
      </c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  <mergeCell ref="AM2:AM3"/>
    <mergeCell ref="AN2:AN3"/>
    <mergeCell ref="AO2:AR2"/>
    <mergeCell ref="X2:Z2"/>
    <mergeCell ref="AA2:AB2"/>
    <mergeCell ref="AC2:AD2"/>
    <mergeCell ref="AF2:AF3"/>
    <mergeCell ref="AG2:AJ2"/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</mergeCells>
  <conditionalFormatting sqref="BI4:BI31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J4:BJ31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K4:BK31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4:BL31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conditionalFormatting sqref="BM4:BM31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O4:BO31">
    <cfRule type="cellIs" dxfId="13" priority="17" operator="greaterThanOrEqual">
      <formula>0.03</formula>
    </cfRule>
    <cfRule type="cellIs" dxfId="12" priority="18" operator="lessThanOrEqual">
      <formula>-0.03</formula>
    </cfRule>
  </conditionalFormatting>
  <conditionalFormatting sqref="BP4:BP31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Q4:BQ31">
    <cfRule type="cellIs" dxfId="9" priority="15" operator="greaterThanOrEqual">
      <formula>0.03</formula>
    </cfRule>
    <cfRule type="cellIs" dxfId="8" priority="16" operator="lessThanOrEqual">
      <formula>-0.03</formula>
    </cfRule>
  </conditionalFormatting>
  <conditionalFormatting sqref="BR4:BR31">
    <cfRule type="cellIs" dxfId="7" priority="19" operator="greaterThanOrEqual">
      <formula>0.03</formula>
    </cfRule>
    <cfRule type="cellIs" dxfId="6" priority="20" operator="lessThanOrEqual">
      <formula>-0.03</formula>
    </cfRule>
  </conditionalFormatting>
  <conditionalFormatting sqref="BS4:BS31">
    <cfRule type="cellIs" dxfId="5" priority="1" operator="greaterThanOrEqual">
      <formula>0.03</formula>
    </cfRule>
    <cfRule type="cellIs" dxfId="4" priority="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J1" activePane="topRight" state="frozen"/>
      <selection pane="topRight" activeCell="U1" sqref="U1:AF1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4" t="s">
        <v>846</v>
      </c>
      <c r="B1" s="74"/>
      <c r="C1" s="74"/>
      <c r="D1" s="74"/>
      <c r="E1" s="74"/>
      <c r="F1" s="74"/>
      <c r="H1" s="64" t="s">
        <v>1442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U1" s="65" t="s">
        <v>1443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</row>
    <row r="2" spans="1:34" ht="30" customHeight="1" x14ac:dyDescent="0.2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3" t="s">
        <v>505</v>
      </c>
      <c r="K2" s="72" t="s">
        <v>112</v>
      </c>
      <c r="L2" s="73" t="s">
        <v>26</v>
      </c>
      <c r="M2" s="72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2" t="s">
        <v>105</v>
      </c>
      <c r="V2" s="73" t="s">
        <v>503</v>
      </c>
      <c r="W2" s="72" t="s">
        <v>505</v>
      </c>
      <c r="X2" s="73" t="s">
        <v>112</v>
      </c>
      <c r="Y2" s="72" t="s">
        <v>26</v>
      </c>
      <c r="Z2" s="73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3" t="s">
        <v>129</v>
      </c>
    </row>
    <row r="3" spans="1:34" x14ac:dyDescent="0.2">
      <c r="A3" s="73"/>
      <c r="B3" s="72"/>
      <c r="C3" s="73"/>
      <c r="D3" s="72"/>
      <c r="E3" s="73"/>
      <c r="F3" s="72"/>
      <c r="H3" s="73"/>
      <c r="I3" s="72"/>
      <c r="J3" s="73"/>
      <c r="K3" s="72"/>
      <c r="L3" s="73"/>
      <c r="M3" s="72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2"/>
      <c r="V3" s="73"/>
      <c r="W3" s="72"/>
      <c r="X3" s="73"/>
      <c r="Y3" s="72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5.6155252282058168E-3</v>
      </c>
      <c r="I4" s="55">
        <f>IF(OR(ISBLANK(M4),ISBLANK(F4)),"·",M4*F4/E4/1000000)</f>
        <v>4.0119512000000004</v>
      </c>
      <c r="J4" s="21">
        <f>IF(ISBLANK(M4),"·",M4/C4)</f>
        <v>0.16846575684617451</v>
      </c>
      <c r="K4" s="21">
        <f>IF(ISBLANK(M4),"·",M4/L4)</f>
        <v>1.1106748026708011</v>
      </c>
      <c r="L4" s="22">
        <v>36121745</v>
      </c>
      <c r="M4" s="23">
        <v>40119512</v>
      </c>
      <c r="N4" s="49"/>
      <c r="O4" s="49"/>
      <c r="P4" s="24">
        <v>6866.6</v>
      </c>
      <c r="Q4" s="24">
        <v>1529.55</v>
      </c>
      <c r="R4" s="24">
        <v>3.617</v>
      </c>
      <c r="S4" s="24">
        <v>6.742</v>
      </c>
      <c r="U4" s="20">
        <f>IF(ISBLANK(Z4),"·",Z4/(C4*D4*3))</f>
        <v>5.6155263479652452E-3</v>
      </c>
      <c r="V4" s="55">
        <f>IF(OR(ISBLANK(Z4),ISBLANK(F4)),"·",Z4*F4/E4/1000000)</f>
        <v>4.011952</v>
      </c>
      <c r="W4" s="21">
        <f>IF(ISBLANK(Z4),"·",Z4/C4)</f>
        <v>0.16846579043895735</v>
      </c>
      <c r="X4" s="21">
        <f>IF(ISBLANK(Z4),"·",Z4/Y4)</f>
        <v>1.110675024144044</v>
      </c>
      <c r="Y4" s="22">
        <v>36121745</v>
      </c>
      <c r="Z4" s="23">
        <v>40119520</v>
      </c>
      <c r="AA4" s="49"/>
      <c r="AB4" s="49"/>
      <c r="AC4" s="24">
        <v>6746.05</v>
      </c>
      <c r="AD4" s="24">
        <v>2090.3200000000002</v>
      </c>
      <c r="AE4" s="24">
        <v>4.9809999999999999</v>
      </c>
      <c r="AF4" s="24">
        <v>9.2319999999999993</v>
      </c>
      <c r="AH4" s="20">
        <f t="shared" ref="AH4:AH11" si="0">W4/J4</f>
        <v>1.00000019940422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6.8463232633405478E-3</v>
      </c>
      <c r="I5" s="56">
        <f>IF(OR(ISBLANK(M5),ISBLANK(F5)),"·",M5*F5/E5/1000000)</f>
        <v>4.4799856</v>
      </c>
      <c r="J5" s="28">
        <f>IF(ISBLANK(M5),"·",M5/C5)</f>
        <v>0.20538969790021644</v>
      </c>
      <c r="K5" s="28">
        <f>IF(ISBLANK(M5),"·",M5/L5)</f>
        <v>1.4054292408022517</v>
      </c>
      <c r="L5" s="29">
        <v>31876280</v>
      </c>
      <c r="M5" s="30">
        <v>44799856</v>
      </c>
      <c r="N5" s="51"/>
      <c r="O5" s="51"/>
      <c r="P5" s="31">
        <v>6833.93</v>
      </c>
      <c r="Q5" s="31">
        <v>2640.94</v>
      </c>
      <c r="R5" s="31">
        <v>4.6559999999999997</v>
      </c>
      <c r="S5" s="31">
        <v>10.519</v>
      </c>
      <c r="U5" s="27">
        <f>IF(ISBLANK(Z5),"·",Z5/(C5*D5*3))</f>
        <v>6.846324485902203E-3</v>
      </c>
      <c r="V5" s="56">
        <f>IF(OR(ISBLANK(Z5),ISBLANK(F5)),"·",Z5*F5/E5/1000000)</f>
        <v>4.4799864000000005</v>
      </c>
      <c r="W5" s="28">
        <f>IF(ISBLANK(Z5),"·",Z5/C5)</f>
        <v>0.20538973457706608</v>
      </c>
      <c r="X5" s="28">
        <f>IF(ISBLANK(Z5),"·",Z5/Y5)</f>
        <v>1.4054294917725656</v>
      </c>
      <c r="Y5" s="29">
        <v>31876280</v>
      </c>
      <c r="Z5" s="30">
        <v>44799864</v>
      </c>
      <c r="AA5" s="51"/>
      <c r="AB5" s="51"/>
      <c r="AC5" s="31">
        <v>6531.22</v>
      </c>
      <c r="AD5" s="31">
        <v>1711.25</v>
      </c>
      <c r="AE5" s="31">
        <v>2.9609999999999999</v>
      </c>
      <c r="AF5" s="31">
        <v>6.468</v>
      </c>
      <c r="AH5" s="27">
        <f t="shared" si="0"/>
        <v>1.0000001785720025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6.4142026471289155E-3</v>
      </c>
      <c r="I6" s="55">
        <f>IF(OR(ISBLANK(M6),ISBLANK(F6)),"·",M6*F6/E6/1000000)</f>
        <v>6.2074672</v>
      </c>
      <c r="J6" s="21">
        <f>IF(ISBLANK(M6),"·",M6/C6)</f>
        <v>0.19242607941386747</v>
      </c>
      <c r="K6" s="21">
        <f>IF(ISBLANK(M6),"·",M6/L6)</f>
        <v>1.3104062363127003</v>
      </c>
      <c r="L6" s="22">
        <v>47370556</v>
      </c>
      <c r="M6" s="23">
        <v>62074672</v>
      </c>
      <c r="N6" s="49"/>
      <c r="O6" s="49"/>
      <c r="P6" s="24">
        <v>9522.61</v>
      </c>
      <c r="Q6" s="24">
        <v>2423.0300000000002</v>
      </c>
      <c r="R6" s="24">
        <v>6.5490000000000004</v>
      </c>
      <c r="S6" s="24">
        <v>11.523999999999999</v>
      </c>
      <c r="U6" s="20">
        <f>IF(ISBLANK(Z6),"·",Z6/(C6*D6*3))</f>
        <v>6.414203473772368E-3</v>
      </c>
      <c r="V6" s="55">
        <f>IF(OR(ISBLANK(Z6),ISBLANK(F6)),"·",Z6*F6/E6/1000000)</f>
        <v>6.2074680000000004</v>
      </c>
      <c r="W6" s="21">
        <f>IF(ISBLANK(Z6),"·",Z6/C6)</f>
        <v>0.19242610421317105</v>
      </c>
      <c r="X6" s="21">
        <f>IF(ISBLANK(Z6),"·",Z6/Y6)</f>
        <v>1.3104064051939774</v>
      </c>
      <c r="Y6" s="22">
        <v>47370556</v>
      </c>
      <c r="Z6" s="23">
        <v>62074680</v>
      </c>
      <c r="AA6" s="49"/>
      <c r="AB6" s="49"/>
      <c r="AC6" s="24">
        <v>9597.27</v>
      </c>
      <c r="AD6" s="24">
        <v>1608.11</v>
      </c>
      <c r="AE6" s="24">
        <v>4.2160000000000002</v>
      </c>
      <c r="AF6" s="24">
        <v>7.5919999999999996</v>
      </c>
      <c r="AH6" s="20">
        <f t="shared" si="0"/>
        <v>1.0000001288770402</v>
      </c>
    </row>
    <row r="7" spans="1:34" collapsed="1" x14ac:dyDescent="0.2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5.4709291708317388E-3</v>
      </c>
      <c r="I7" s="57">
        <f>IF(OR(ISBLANK(M7),ISBLANK(F7)),"·",M7*F7/E7/1000000)</f>
        <v>8.2261839999999999</v>
      </c>
      <c r="J7" s="35">
        <f>IF(ISBLANK(M7),"·",M7/C7)</f>
        <v>0.16412787512495217</v>
      </c>
      <c r="K7" s="35">
        <f>IF(ISBLANK(M7),"·",M7/L7)</f>
        <v>1.0853576286862181</v>
      </c>
      <c r="L7" s="36">
        <v>37896191</v>
      </c>
      <c r="M7" s="37">
        <v>41130920</v>
      </c>
      <c r="N7" s="53"/>
      <c r="O7" s="53"/>
      <c r="P7" s="38">
        <v>9053.18</v>
      </c>
      <c r="Q7" s="38">
        <v>1492.34</v>
      </c>
      <c r="R7" s="38">
        <v>3.8660000000000001</v>
      </c>
      <c r="S7" s="38">
        <v>6.9480000000000004</v>
      </c>
      <c r="U7" s="34">
        <f>IF(ISBLANK(Z7),"·",Z7/(C7*D7*3))</f>
        <v>5.4709302349322591E-3</v>
      </c>
      <c r="V7" s="57">
        <f>IF(OR(ISBLANK(Z7),ISBLANK(F7)),"·",Z7*F7/E7/1000000)</f>
        <v>8.2261855999999991</v>
      </c>
      <c r="W7" s="35">
        <f>IF(ISBLANK(Z7),"·",Z7/C7)</f>
        <v>0.16412790704796779</v>
      </c>
      <c r="X7" s="35">
        <f>IF(ISBLANK(Z7),"·",Z7/Y7)</f>
        <v>1.0853578397892285</v>
      </c>
      <c r="Y7" s="36">
        <v>37896191</v>
      </c>
      <c r="Z7" s="37">
        <v>41130928</v>
      </c>
      <c r="AA7" s="53"/>
      <c r="AB7" s="53"/>
      <c r="AC7" s="38">
        <v>8928.51</v>
      </c>
      <c r="AD7" s="38">
        <v>1484.97</v>
      </c>
      <c r="AE7" s="38">
        <v>3.7170000000000001</v>
      </c>
      <c r="AF7" s="38">
        <v>6.8250000000000002</v>
      </c>
      <c r="AH7" s="34">
        <f t="shared" si="0"/>
        <v>1.0000001945008767</v>
      </c>
    </row>
    <row r="8" spans="1:34" collapsed="1" x14ac:dyDescent="0.2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6.0753329983520513E-3</v>
      </c>
      <c r="I8" s="58">
        <f>IF(OR(ISBLANK(M8),ISBLANK(F8)),"·",M8*F8/E8/1000000)</f>
        <v>4.5618688000000001</v>
      </c>
      <c r="J8" s="42">
        <f>IF(ISBLANK(M8),"·",M8/C8)</f>
        <v>0.18225998995056153</v>
      </c>
      <c r="K8" s="42">
        <f>IF(ISBLANK(M8),"·",M8/L8)</f>
        <v>1.2759396452562013</v>
      </c>
      <c r="L8" s="43">
        <v>35753014</v>
      </c>
      <c r="M8" s="44">
        <v>45618688</v>
      </c>
      <c r="N8" s="59"/>
      <c r="O8" s="59"/>
      <c r="P8" s="45">
        <v>7880.59</v>
      </c>
      <c r="Q8" s="45">
        <v>2847.29</v>
      </c>
      <c r="R8" s="45">
        <v>6.3070000000000004</v>
      </c>
      <c r="S8" s="45">
        <v>12.404999999999999</v>
      </c>
      <c r="U8" s="41">
        <f>IF(ISBLANK(Z8),"·",Z8/(C8*D8*3))</f>
        <v>6.075334063763314E-3</v>
      </c>
      <c r="V8" s="58">
        <f>IF(OR(ISBLANK(Z8),ISBLANK(F8)),"·",Z8*F8/E8/1000000)</f>
        <v>4.5618695999999996</v>
      </c>
      <c r="W8" s="42">
        <f>IF(ISBLANK(Z8),"·",Z8/C8)</f>
        <v>0.18226002191289942</v>
      </c>
      <c r="X8" s="42">
        <f>IF(ISBLANK(Z8),"·",Z8/Y8)</f>
        <v>1.2759398690135606</v>
      </c>
      <c r="Y8" s="43">
        <v>35753014</v>
      </c>
      <c r="Z8" s="44">
        <v>45618696</v>
      </c>
      <c r="AA8" s="59"/>
      <c r="AB8" s="59"/>
      <c r="AC8" s="45">
        <v>7360.47</v>
      </c>
      <c r="AD8" s="45">
        <v>1787.96</v>
      </c>
      <c r="AE8" s="45">
        <v>3.7509999999999999</v>
      </c>
      <c r="AF8" s="45">
        <v>7.0419999999999998</v>
      </c>
      <c r="AH8" s="41">
        <f t="shared" si="0"/>
        <v>1.0000001753667269</v>
      </c>
    </row>
    <row r="9" spans="1:34" x14ac:dyDescent="0.2">
      <c r="B9" s="46" t="s">
        <v>556</v>
      </c>
      <c r="J9" s="47">
        <f>AVERAGE(J4:J7)</f>
        <v>0.18260235232130265</v>
      </c>
      <c r="W9" s="47">
        <f>AVERAGE(W4:W7)</f>
        <v>0.18260238406929055</v>
      </c>
      <c r="AH9" s="6">
        <f t="shared" si="0"/>
        <v>1.0000001738640685</v>
      </c>
    </row>
    <row r="10" spans="1:34" x14ac:dyDescent="0.2">
      <c r="B10" s="46" t="s">
        <v>557</v>
      </c>
      <c r="J10" s="47">
        <f>AVERAGE(J8:J8)</f>
        <v>0.18225998995056153</v>
      </c>
      <c r="W10" s="47">
        <f>AVERAGE(W8:W8)</f>
        <v>0.18226002191289942</v>
      </c>
      <c r="AH10" s="6">
        <f t="shared" si="0"/>
        <v>1.0000001753667269</v>
      </c>
    </row>
    <row r="11" spans="1:34" collapsed="1" x14ac:dyDescent="0.2">
      <c r="B11" s="46" t="s">
        <v>252</v>
      </c>
      <c r="J11" s="47">
        <f>AVERAGE(J4:J7,J8:J8)</f>
        <v>0.18253387984715444</v>
      </c>
      <c r="W11" s="47">
        <f>AVERAGE(W4:W7,W8:W8)</f>
        <v>0.18253391163801233</v>
      </c>
      <c r="AH11" s="6">
        <f t="shared" si="0"/>
        <v>1.0000001741641493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40156.910000000003</v>
      </c>
      <c r="Q12" s="48">
        <f>SUM(Q4:Q7,Q8:Q8)</f>
        <v>10933.150000000001</v>
      </c>
      <c r="R12" s="48">
        <f>SUM(R4:R7,R8:R8)</f>
        <v>24.994999999999997</v>
      </c>
      <c r="S12" s="48">
        <f>SUM(S4:S7,S8:S8)</f>
        <v>48.137999999999998</v>
      </c>
      <c r="AC12" s="48">
        <f>SUM(AC4:AC7,AC8:AC8)</f>
        <v>39163.520000000004</v>
      </c>
      <c r="AD12" s="48">
        <f>SUM(AD4:AD7,AD8:AD8)</f>
        <v>8682.61</v>
      </c>
      <c r="AE12" s="48">
        <f>SUM(AE4:AE7,AE8:AE8)</f>
        <v>19.626000000000001</v>
      </c>
      <c r="AF12" s="48">
        <f>SUM(AF4:AF7,AF8:AF8)</f>
        <v>37.158999999999999</v>
      </c>
    </row>
    <row r="13" spans="1:34" hidden="1" outlineLevel="2" x14ac:dyDescent="0.2">
      <c r="B13" s="46" t="s">
        <v>255</v>
      </c>
      <c r="AC13" s="6">
        <f>AC12/P12</f>
        <v>0.9752622898524812</v>
      </c>
      <c r="AD13" s="6">
        <f>AD12/Q12</f>
        <v>0.79415447515126014</v>
      </c>
      <c r="AE13" s="6">
        <f>AE12/R12</f>
        <v>0.78519703940788166</v>
      </c>
      <c r="AF13" s="6">
        <f>AF12/S12</f>
        <v>0.77192654451784459</v>
      </c>
    </row>
    <row r="14" spans="1:34" hidden="1" outlineLevel="2" x14ac:dyDescent="0.2">
      <c r="B14" s="46" t="s">
        <v>256</v>
      </c>
      <c r="P14" s="48">
        <f>GEOMEAN(P4:P7,P8:P8)</f>
        <v>7956.1989126452645</v>
      </c>
      <c r="Q14" s="48">
        <f>GEOMEAN(Q4:Q7,Q8:Q8)</f>
        <v>2107.6383746024612</v>
      </c>
      <c r="R14" s="48">
        <f>GEOMEAN(R4:R7,R8:R8)</f>
        <v>4.8520384111979586</v>
      </c>
      <c r="S14" s="48">
        <f>GEOMEAN(S4:S7,S8:S8)</f>
        <v>9.3231915313320872</v>
      </c>
      <c r="AC14" s="48">
        <f>GEOMEAN(AC4:AC7,AC8:AC8)</f>
        <v>7740.6106579963116</v>
      </c>
      <c r="AD14" s="48">
        <f>GEOMEAN(AD4:AD7,AD8:AD8)</f>
        <v>1724.9777342067814</v>
      </c>
      <c r="AE14" s="48">
        <f>GEOMEAN(AE4:AE7,AE8:AE8)</f>
        <v>3.8690027224403325</v>
      </c>
      <c r="AF14" s="48">
        <f>GEOMEAN(AF4:AF7,AF8:AF8)</f>
        <v>7.372998347791321</v>
      </c>
    </row>
    <row r="15" spans="1:34" outlineLevel="2" collapsed="1" x14ac:dyDescent="0.2">
      <c r="B15" s="46" t="s">
        <v>257</v>
      </c>
      <c r="AC15" s="6">
        <f>AC14/P14</f>
        <v>0.97290310900770649</v>
      </c>
      <c r="AD15" s="6">
        <f>AD14/Q14</f>
        <v>0.81844103570762872</v>
      </c>
      <c r="AE15" s="6">
        <f>AE14/R14</f>
        <v>0.79739738117305703</v>
      </c>
      <c r="AF15" s="6">
        <f>AF14/S14</f>
        <v>0.79082343455169535</v>
      </c>
    </row>
  </sheetData>
  <mergeCells count="28"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  <mergeCell ref="AH2:AH3"/>
    <mergeCell ref="U2:U3"/>
    <mergeCell ref="V2:V3"/>
    <mergeCell ref="W2:W3"/>
    <mergeCell ref="X2:X3"/>
    <mergeCell ref="Y2:Y3"/>
    <mergeCell ref="K2:K3"/>
    <mergeCell ref="A2:A3"/>
    <mergeCell ref="B2:B3"/>
    <mergeCell ref="C2:C3"/>
    <mergeCell ref="D2:D3"/>
    <mergeCell ref="E2:E3"/>
  </mergeCells>
  <conditionalFormatting sqref="AH9 AH10 AH11">
    <cfRule type="cellIs" dxfId="3" priority="1" operator="greaterThanOrEqual">
      <formula>1.03</formula>
    </cfRule>
    <cfRule type="cellIs" dxfId="2" priority="2" operator="lessThanOrEqual">
      <formula>0.97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tabSelected="1" workbookViewId="0">
      <pane xSplit="2" topLeftCell="H1" activePane="topRight" state="frozen"/>
      <selection pane="topRight" activeCell="AG19" sqref="AG19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4" t="s">
        <v>919</v>
      </c>
      <c r="B1" s="74"/>
      <c r="C1" s="74"/>
      <c r="D1" s="74"/>
      <c r="E1" s="74"/>
      <c r="F1" s="74"/>
      <c r="H1" s="64" t="s">
        <v>1442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D1" s="65" t="s">
        <v>1443</v>
      </c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3" t="s">
        <v>105</v>
      </c>
      <c r="AE2" s="72" t="s">
        <v>503</v>
      </c>
      <c r="AF2" s="76" t="s">
        <v>107</v>
      </c>
      <c r="AG2" s="76"/>
      <c r="AH2" s="76"/>
      <c r="AI2" s="76"/>
      <c r="AJ2" s="72" t="s">
        <v>112</v>
      </c>
      <c r="AK2" s="73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2" t="s">
        <v>115</v>
      </c>
      <c r="BA2" s="72"/>
      <c r="BB2" s="73" t="s">
        <v>129</v>
      </c>
      <c r="BC2" s="72" t="s">
        <v>131</v>
      </c>
      <c r="BD2" s="73" t="s">
        <v>131</v>
      </c>
    </row>
    <row r="3" spans="1:56" ht="30" customHeight="1" thickBot="1" x14ac:dyDescent="0.25">
      <c r="A3" s="73"/>
      <c r="B3" s="72"/>
      <c r="C3" s="73"/>
      <c r="D3" s="72"/>
      <c r="E3" s="73"/>
      <c r="F3" s="72"/>
      <c r="H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2"/>
      <c r="AF3" s="16" t="s">
        <v>108</v>
      </c>
      <c r="AG3" s="16" t="s">
        <v>572</v>
      </c>
      <c r="AH3" s="16" t="s">
        <v>110</v>
      </c>
      <c r="AI3" s="16" t="s">
        <v>355</v>
      </c>
      <c r="AJ3" s="72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61" t="s">
        <v>580</v>
      </c>
      <c r="BA3" s="61" t="s">
        <v>604</v>
      </c>
      <c r="BB3" s="73"/>
      <c r="BC3" s="72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3.1683111530615919E-2</v>
      </c>
      <c r="I4" s="55">
        <f>IF(OR(ISBLANK(P4),ISBLANK(F4)),"·",P4*F4/E4/1000000)</f>
        <v>22.635656000000001</v>
      </c>
      <c r="J4" s="21">
        <f>IF(ISBLANK(P4),"·",P4/C4)</f>
        <v>0.95049334591847756</v>
      </c>
      <c r="K4" s="21">
        <f>IF(AZ4="","·",AZ4/C4)</f>
        <v>0.16846401002146616</v>
      </c>
      <c r="L4" s="21">
        <f>IF(Q4="","·",Q4/C4)</f>
        <v>0.15894102716005468</v>
      </c>
      <c r="M4" s="21">
        <f>IF(ISBLANK(S4),"·",S4/C4)</f>
        <v>0.78202758907230296</v>
      </c>
      <c r="N4" s="21">
        <f>IF(ISBLANK(P4),"·",P4/O4)</f>
        <v>6.2664901709482752</v>
      </c>
      <c r="O4" s="22">
        <v>36121745</v>
      </c>
      <c r="P4" s="23">
        <v>226356560</v>
      </c>
      <c r="Q4" s="23">
        <v>37851232</v>
      </c>
      <c r="R4" s="23">
        <v>2267864</v>
      </c>
      <c r="S4" s="23">
        <v>186237048</v>
      </c>
      <c r="T4" s="49"/>
      <c r="U4" s="49"/>
      <c r="V4" s="49"/>
      <c r="W4" s="49"/>
      <c r="X4" s="49"/>
      <c r="Y4" s="24">
        <v>6664.4</v>
      </c>
      <c r="Z4" s="24">
        <v>6992.98</v>
      </c>
      <c r="AA4" s="24">
        <v>6.2649999999999997</v>
      </c>
      <c r="AB4" s="24">
        <v>28.65</v>
      </c>
      <c r="AD4" s="20">
        <f>IF(ISBLANK(AL4),"·",AL4/(C4*D4*3))</f>
        <v>3.1683112650375343E-2</v>
      </c>
      <c r="AE4" s="55">
        <f>IF(OR(ISBLANK(AL4),ISBLANK(F4)),"·",AL4*F4/E4/1000000)</f>
        <v>22.6356568</v>
      </c>
      <c r="AF4" s="21">
        <f>IF(ISBLANK(AL4),"·",AL4/C4)</f>
        <v>0.95049337951126034</v>
      </c>
      <c r="AG4" s="21">
        <f>IF(BA4="","·",BA4/C4)</f>
        <v>0.16846401002146616</v>
      </c>
      <c r="AH4" s="21">
        <f>IF(AM4="","·",AM4/C4)</f>
        <v>0.15894102716005468</v>
      </c>
      <c r="AI4" s="21">
        <f>IF(ISBLANK(AO4),"·",AO4/C4)</f>
        <v>0.78202758907230296</v>
      </c>
      <c r="AJ4" s="21">
        <f>IF(ISBLANK(AL4),"·",AL4/AK4)</f>
        <v>6.2664903924215176</v>
      </c>
      <c r="AK4" s="22">
        <v>36121745</v>
      </c>
      <c r="AL4" s="23">
        <v>226356568</v>
      </c>
      <c r="AM4" s="23">
        <v>37851232</v>
      </c>
      <c r="AN4" s="23">
        <v>2267864</v>
      </c>
      <c r="AO4" s="23">
        <v>186237048</v>
      </c>
      <c r="AP4" s="49"/>
      <c r="AQ4" s="49"/>
      <c r="AR4" s="49"/>
      <c r="AS4" s="49"/>
      <c r="AT4" s="49"/>
      <c r="AU4" s="24">
        <v>7193.7</v>
      </c>
      <c r="AV4" s="24">
        <v>4989.2700000000004</v>
      </c>
      <c r="AW4" s="24">
        <v>4.3869999999999996</v>
      </c>
      <c r="AX4" s="24">
        <v>19.786000000000001</v>
      </c>
      <c r="AZ4" s="18">
        <f>IF(OR(ISBLANK(Q4),ISBLANK(R4)),"",Q4+R4)</f>
        <v>40119096</v>
      </c>
      <c r="BA4" s="18">
        <f>IF(OR(ISBLANK(AM4),ISBLANK(AN4)),"",AM4+AN4)</f>
        <v>40119096</v>
      </c>
      <c r="BB4" s="20">
        <f t="shared" ref="BB4:BB11" si="0">AF4/J4</f>
        <v>1.0000000353424703</v>
      </c>
      <c r="BC4" s="20">
        <f>(BA4/AL4) - (AZ4/P4)</f>
        <v>-6.2640460041230028E-9</v>
      </c>
      <c r="BD4" s="20">
        <f t="array" ref="BD4">AVERAGE(BA4:BA4/AL4:AL4) - AVERAGE(AZ4:AZ4/P4:P4)</f>
        <v>-6.2640460041230028E-9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4.505730563677364E-2</v>
      </c>
      <c r="I5" s="56">
        <f>IF(OR(ISBLANK(P5),ISBLANK(F5)),"·",P5*F5/E5/1000000)</f>
        <v>29.4838664</v>
      </c>
      <c r="J5" s="28">
        <f>IF(ISBLANK(P5),"·",P5/C5)</f>
        <v>1.3517191691032091</v>
      </c>
      <c r="K5" s="28">
        <f>IF(AZ5="","·",AZ5/C5)</f>
        <v>0.20538779070403423</v>
      </c>
      <c r="L5" s="28">
        <f>IF(Q5="","·",Q5/C5)</f>
        <v>0.19197143577607173</v>
      </c>
      <c r="M5" s="28">
        <f>IF(ISBLANK(S5),"·",S5/C5)</f>
        <v>1.1463294712029928</v>
      </c>
      <c r="N5" s="28">
        <f>IF(ISBLANK(P5),"·",P5/O5)</f>
        <v>9.2494690095582044</v>
      </c>
      <c r="O5" s="29">
        <v>31876280</v>
      </c>
      <c r="P5" s="30">
        <v>294838664</v>
      </c>
      <c r="Q5" s="30">
        <v>41873048</v>
      </c>
      <c r="R5" s="30">
        <v>2926392</v>
      </c>
      <c r="S5" s="30">
        <v>250038808</v>
      </c>
      <c r="T5" s="51"/>
      <c r="U5" s="51"/>
      <c r="V5" s="51"/>
      <c r="W5" s="51"/>
      <c r="X5" s="51"/>
      <c r="Y5" s="31">
        <v>6614.09</v>
      </c>
      <c r="Z5" s="31">
        <v>5105.6099999999997</v>
      </c>
      <c r="AA5" s="31">
        <v>3.33</v>
      </c>
      <c r="AB5" s="31">
        <v>19.399999999999999</v>
      </c>
      <c r="AD5" s="27">
        <f>IF(ISBLANK(AL5),"·",AL5/(C5*D5*3))</f>
        <v>4.5057306859335296E-2</v>
      </c>
      <c r="AE5" s="56">
        <f>IF(OR(ISBLANK(AL5),ISBLANK(F5)),"·",AL5*F5/E5/1000000)</f>
        <v>29.483867199999999</v>
      </c>
      <c r="AF5" s="28">
        <f>IF(ISBLANK(AL5),"·",AL5/C5)</f>
        <v>1.3517192057800589</v>
      </c>
      <c r="AG5" s="28">
        <f>IF(BA5="","·",BA5/C5)</f>
        <v>0.20538779070403423</v>
      </c>
      <c r="AH5" s="28">
        <f>IF(AM5="","·",AM5/C5)</f>
        <v>0.19197143577607173</v>
      </c>
      <c r="AI5" s="28">
        <f>IF(ISBLANK(AO5),"·",AO5/C5)</f>
        <v>1.1463294712029928</v>
      </c>
      <c r="AJ5" s="28">
        <f>IF(ISBLANK(AL5),"·",AL5/AK5)</f>
        <v>9.2494692605285191</v>
      </c>
      <c r="AK5" s="29">
        <v>31876280</v>
      </c>
      <c r="AL5" s="30">
        <v>294838672</v>
      </c>
      <c r="AM5" s="30">
        <v>41873048</v>
      </c>
      <c r="AN5" s="30">
        <v>2926392</v>
      </c>
      <c r="AO5" s="30">
        <v>250038808</v>
      </c>
      <c r="AP5" s="51"/>
      <c r="AQ5" s="51"/>
      <c r="AR5" s="51"/>
      <c r="AS5" s="51"/>
      <c r="AT5" s="51"/>
      <c r="AU5" s="31">
        <v>7297.5</v>
      </c>
      <c r="AV5" s="31">
        <v>5.7359999999999998</v>
      </c>
      <c r="AW5" s="31">
        <v>30.42</v>
      </c>
      <c r="AX5" s="31" t="e">
        <v>#REF!</v>
      </c>
      <c r="AZ5" s="25">
        <f>IF(OR(ISBLANK(Q5),ISBLANK(R5)),"",Q5+R5)</f>
        <v>44799440</v>
      </c>
      <c r="BA5" s="25">
        <f>IF(OR(ISBLANK(AM5),ISBLANK(AN5)),"",AM5+AN5)</f>
        <v>44799440</v>
      </c>
      <c r="BB5" s="27">
        <f t="shared" si="0"/>
        <v>1.0000000271334835</v>
      </c>
      <c r="BC5" s="27">
        <f>(BA5/AL5) - (AZ5/P5)</f>
        <v>-4.1228135072568506E-9</v>
      </c>
      <c r="BD5" s="27">
        <f t="array" ref="BD5">AVERAGE(BA5:BA5/AL5:AL5) - AVERAGE(AZ5:AZ5/P5:P5)</f>
        <v>-4.1228135072568506E-9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3.5268741249100746E-2</v>
      </c>
      <c r="I6" s="55">
        <f>IF(OR(ISBLANK(P6),ISBLANK(F6)),"·",P6*F6/E6/1000000)</f>
        <v>34.131998400000001</v>
      </c>
      <c r="J6" s="21">
        <f>IF(ISBLANK(P6),"·",P6/C6)</f>
        <v>1.0580622374730224</v>
      </c>
      <c r="K6" s="21">
        <f>IF(AZ6="","·",AZ6/C6)</f>
        <v>0.19242478985008152</v>
      </c>
      <c r="L6" s="21">
        <f>IF(Q6="","·",Q6/C6)</f>
        <v>0.17971095568505807</v>
      </c>
      <c r="M6" s="21">
        <f>IF(ISBLANK(S6),"·",S6/C6)</f>
        <v>0.86563615805915495</v>
      </c>
      <c r="N6" s="21">
        <f>IF(ISBLANK(P6),"·",P6/O6)</f>
        <v>7.2053193549174299</v>
      </c>
      <c r="O6" s="22">
        <v>47370556</v>
      </c>
      <c r="P6" s="23">
        <v>341319984</v>
      </c>
      <c r="Q6" s="23">
        <v>57972904</v>
      </c>
      <c r="R6" s="23">
        <v>4101352</v>
      </c>
      <c r="S6" s="23">
        <v>279245312</v>
      </c>
      <c r="T6" s="49"/>
      <c r="U6" s="49"/>
      <c r="V6" s="49"/>
      <c r="W6" s="49"/>
      <c r="X6" s="49"/>
      <c r="Y6" s="24">
        <v>10645.4</v>
      </c>
      <c r="Z6" s="24">
        <v>6480.15</v>
      </c>
      <c r="AA6" s="24">
        <v>5.0860000000000003</v>
      </c>
      <c r="AB6" s="24">
        <v>22.692</v>
      </c>
      <c r="AD6" s="20">
        <f>IF(ISBLANK(AL6),"·",AL6/(C6*D6*3))</f>
        <v>3.5268742075744201E-2</v>
      </c>
      <c r="AE6" s="55">
        <f>IF(OR(ISBLANK(AL6),ISBLANK(F6)),"·",AL6*F6/E6/1000000)</f>
        <v>34.131999200000003</v>
      </c>
      <c r="AF6" s="21">
        <f>IF(ISBLANK(AL6),"·",AL6/C6)</f>
        <v>1.0580622622723259</v>
      </c>
      <c r="AG6" s="21">
        <f>IF(BA6="","·",BA6/C6)</f>
        <v>0.19242478985008152</v>
      </c>
      <c r="AH6" s="21">
        <f>IF(AM6="","·",AM6/C6)</f>
        <v>0.17971095568505807</v>
      </c>
      <c r="AI6" s="21">
        <f>IF(ISBLANK(AO6),"·",AO6/C6)</f>
        <v>0.86563615805915495</v>
      </c>
      <c r="AJ6" s="21">
        <f>IF(ISBLANK(AL6),"·",AL6/AK6)</f>
        <v>7.2053195237987078</v>
      </c>
      <c r="AK6" s="22">
        <v>47370556</v>
      </c>
      <c r="AL6" s="23">
        <v>341319992</v>
      </c>
      <c r="AM6" s="23">
        <v>57972904</v>
      </c>
      <c r="AN6" s="23">
        <v>4101352</v>
      </c>
      <c r="AO6" s="23">
        <v>279245312</v>
      </c>
      <c r="AP6" s="49"/>
      <c r="AQ6" s="49"/>
      <c r="AR6" s="49"/>
      <c r="AS6" s="49"/>
      <c r="AT6" s="49"/>
      <c r="AU6" s="24">
        <v>9619.39</v>
      </c>
      <c r="AV6" s="24">
        <v>6228.52</v>
      </c>
      <c r="AW6" s="24">
        <v>5.0759999999999996</v>
      </c>
      <c r="AX6" s="24">
        <v>21.798999999999999</v>
      </c>
      <c r="AZ6" s="18">
        <f>IF(OR(ISBLANK(Q6),ISBLANK(R6)),"",Q6+R6)</f>
        <v>62074256</v>
      </c>
      <c r="BA6" s="18">
        <f>IF(OR(ISBLANK(AM6),ISBLANK(AN6)),"",AM6+AN6)</f>
        <v>62074256</v>
      </c>
      <c r="BB6" s="20">
        <f t="shared" si="0"/>
        <v>1.0000000234384165</v>
      </c>
      <c r="BC6" s="20">
        <f>(BA6/AL6) - (AZ6/P6)</f>
        <v>-4.2626342178220256E-9</v>
      </c>
      <c r="BD6" s="20">
        <f t="array" ref="BD6">AVERAGE(BA6:BA6/AL6:AL6) - AVERAGE(AZ6:AZ6/P6:P6)</f>
        <v>-4.2626342178220256E-9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3.3620538985189387E-2</v>
      </c>
      <c r="I7" s="57">
        <f>IF(OR(ISBLANK(P7),ISBLANK(F7)),"·",P7*F7/E7/1000000)</f>
        <v>50.552425599999999</v>
      </c>
      <c r="J7" s="35">
        <f>IF(ISBLANK(P7),"·",P7/C7)</f>
        <v>1.0086161695556817</v>
      </c>
      <c r="K7" s="35">
        <f>IF(AZ7="","·",AZ7/C7)</f>
        <v>0.16412621512814071</v>
      </c>
      <c r="L7" s="35">
        <f>IF(Q7="","·",Q7/C7)</f>
        <v>0.1490691821268734</v>
      </c>
      <c r="M7" s="35">
        <f>IF(ISBLANK(S7),"·",S7/C7)</f>
        <v>0.84448829443072948</v>
      </c>
      <c r="N7" s="35">
        <f>IF(ISBLANK(P7),"·",P7/O7)</f>
        <v>6.6698557646598307</v>
      </c>
      <c r="O7" s="36">
        <v>37896191</v>
      </c>
      <c r="P7" s="37">
        <v>252762128</v>
      </c>
      <c r="Q7" s="37">
        <v>37357168</v>
      </c>
      <c r="R7" s="37">
        <v>3773336</v>
      </c>
      <c r="S7" s="37">
        <v>211631208</v>
      </c>
      <c r="T7" s="53"/>
      <c r="U7" s="53"/>
      <c r="V7" s="53"/>
      <c r="W7" s="53"/>
      <c r="X7" s="53"/>
      <c r="Y7" s="38">
        <v>9770.89</v>
      </c>
      <c r="Z7" s="38">
        <v>4938.8500000000004</v>
      </c>
      <c r="AA7" s="38">
        <v>4.6390000000000002</v>
      </c>
      <c r="AB7" s="38">
        <v>20.494</v>
      </c>
      <c r="AD7" s="34">
        <f>IF(ISBLANK(AL7),"·",AL7/(C7*D7*3))</f>
        <v>3.362054004928991E-2</v>
      </c>
      <c r="AE7" s="57">
        <f>IF(OR(ISBLANK(AL7),ISBLANK(F7)),"·",AL7*F7/E7/1000000)</f>
        <v>50.552427200000004</v>
      </c>
      <c r="AF7" s="35">
        <f>IF(ISBLANK(AL7),"·",AL7/C7)</f>
        <v>1.0086162014786972</v>
      </c>
      <c r="AG7" s="35">
        <f>IF(BA7="","·",BA7/C7)</f>
        <v>0.16412621512814071</v>
      </c>
      <c r="AH7" s="35">
        <f>IF(AM7="","·",AM7/C7)</f>
        <v>0.1490691821268734</v>
      </c>
      <c r="AI7" s="35">
        <f>IF(ISBLANK(AO7),"·",AO7/C7)</f>
        <v>0.84448829443072948</v>
      </c>
      <c r="AJ7" s="35">
        <f>IF(ISBLANK(AL7),"·",AL7/AK7)</f>
        <v>6.6698559757628413</v>
      </c>
      <c r="AK7" s="36">
        <v>37896191</v>
      </c>
      <c r="AL7" s="37">
        <v>252762136</v>
      </c>
      <c r="AM7" s="37">
        <v>37357168</v>
      </c>
      <c r="AN7" s="37">
        <v>3773336</v>
      </c>
      <c r="AO7" s="37">
        <v>211631208</v>
      </c>
      <c r="AP7" s="53"/>
      <c r="AQ7" s="53"/>
      <c r="AR7" s="53"/>
      <c r="AS7" s="53"/>
      <c r="AT7" s="53"/>
      <c r="AU7" s="38">
        <v>9724.73</v>
      </c>
      <c r="AV7" s="38">
        <v>7435.64</v>
      </c>
      <c r="AW7" s="38">
        <v>6.383</v>
      </c>
      <c r="AX7" s="38">
        <v>28.334</v>
      </c>
      <c r="AZ7" s="32">
        <f>IF(OR(ISBLANK(Q7),ISBLANK(R7)),"",Q7+R7)</f>
        <v>41130504</v>
      </c>
      <c r="BA7" s="32">
        <f>IF(OR(ISBLANK(AM7),ISBLANK(AN7)),"",AM7+AN7)</f>
        <v>41130504</v>
      </c>
      <c r="BB7" s="34">
        <f t="shared" si="0"/>
        <v>1.000000031650311</v>
      </c>
      <c r="BC7" s="34">
        <f>(BA7/AL7) - (AZ7/P7)</f>
        <v>-5.1502700160188652E-9</v>
      </c>
      <c r="BD7" s="34">
        <f t="array" ref="BD7">AVERAGE(BA7:BA7/AL7:AL7) - AVERAGE(AZ7:AZ7/P7:P7)</f>
        <v>-5.1502700160188652E-9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5.1304968851995897E-2</v>
      </c>
      <c r="I8" s="58">
        <f>IF(OR(ISBLANK(P8),ISBLANK(F8)),"·",P8*F8/E8/1000000)</f>
        <v>38.524067200000005</v>
      </c>
      <c r="J8" s="42">
        <f>IF(ISBLANK(P8),"·",P8/C8)</f>
        <v>1.539149065559877</v>
      </c>
      <c r="K8" s="42">
        <f>IF(AZ8="","·",AZ8/C8)</f>
        <v>0.18225832790899166</v>
      </c>
      <c r="L8" s="42">
        <f>IF(Q8="","·",Q8/C8)</f>
        <v>0.17172053688321548</v>
      </c>
      <c r="M8" s="42">
        <f>IF(ISBLANK(S8),"·",S8/C8)</f>
        <v>1.3568890756093155</v>
      </c>
      <c r="N8" s="42">
        <f>IF(ISBLANK(P8),"·",P8/O8)</f>
        <v>10.775054433173102</v>
      </c>
      <c r="O8" s="43">
        <v>35753014</v>
      </c>
      <c r="P8" s="44">
        <v>385240672</v>
      </c>
      <c r="Q8" s="44">
        <v>42980720</v>
      </c>
      <c r="R8" s="44">
        <v>2637552</v>
      </c>
      <c r="S8" s="44">
        <v>339621984</v>
      </c>
      <c r="T8" s="59"/>
      <c r="U8" s="59"/>
      <c r="V8" s="59"/>
      <c r="W8" s="59"/>
      <c r="X8" s="59"/>
      <c r="Y8" s="45">
        <v>7477.35</v>
      </c>
      <c r="Z8" s="45">
        <v>5739.84</v>
      </c>
      <c r="AA8" s="45">
        <v>4.3390000000000004</v>
      </c>
      <c r="AB8" s="45">
        <v>22.303999999999998</v>
      </c>
      <c r="AD8" s="41">
        <f>IF(ISBLANK(AL8),"·",AL8/(C8*D8*3))</f>
        <v>5.1304969917407163E-2</v>
      </c>
      <c r="AE8" s="58">
        <f>IF(OR(ISBLANK(AL8),ISBLANK(F8)),"·",AL8*F8/E8/1000000)</f>
        <v>38.524068</v>
      </c>
      <c r="AF8" s="42">
        <f>IF(ISBLANK(AL8),"·",AL8/C8)</f>
        <v>1.5391490975222148</v>
      </c>
      <c r="AG8" s="42">
        <f>IF(BA8="","·",BA8/C8)</f>
        <v>0.18225832790899166</v>
      </c>
      <c r="AH8" s="42">
        <f>IF(AM8="","·",AM8/C8)</f>
        <v>0.17172053688321548</v>
      </c>
      <c r="AI8" s="42">
        <f>IF(ISBLANK(AO8),"·",AO8/C8)</f>
        <v>1.3568890756093155</v>
      </c>
      <c r="AJ8" s="42">
        <f>IF(ISBLANK(AL8),"·",AL8/AK8)</f>
        <v>10.775054656930461</v>
      </c>
      <c r="AK8" s="43">
        <v>35753014</v>
      </c>
      <c r="AL8" s="44">
        <v>385240680</v>
      </c>
      <c r="AM8" s="44">
        <v>42980720</v>
      </c>
      <c r="AN8" s="44">
        <v>2637552</v>
      </c>
      <c r="AO8" s="44">
        <v>339621984</v>
      </c>
      <c r="AP8" s="59"/>
      <c r="AQ8" s="59"/>
      <c r="AR8" s="59"/>
      <c r="AS8" s="59"/>
      <c r="AT8" s="59"/>
      <c r="AU8" s="45">
        <v>7611.97</v>
      </c>
      <c r="AV8" s="45">
        <v>5497.97</v>
      </c>
      <c r="AW8" s="45">
        <v>4.0570000000000004</v>
      </c>
      <c r="AX8" s="45">
        <v>21.143000000000001</v>
      </c>
      <c r="AZ8" s="39">
        <f>IF(OR(ISBLANK(Q8),ISBLANK(R8)),"",Q8+R8)</f>
        <v>45618272</v>
      </c>
      <c r="BA8" s="39">
        <f>IF(OR(ISBLANK(AM8),ISBLANK(AN8)),"",AM8+AN8)</f>
        <v>45618272</v>
      </c>
      <c r="BB8" s="41">
        <f t="shared" si="0"/>
        <v>1.0000000207662394</v>
      </c>
      <c r="BC8" s="41">
        <f>(BA8/AL8) - (AZ8/P8)</f>
        <v>-2.4590340597097082E-9</v>
      </c>
      <c r="BD8" s="41">
        <f t="array" ref="BD8">AVERAGE(BA8:BA8/AL8:AL8) - AVERAGE(AZ8:AZ8/P8:P8)</f>
        <v>-2.4590340597097082E-9</v>
      </c>
    </row>
    <row r="9" spans="1:56" x14ac:dyDescent="0.2">
      <c r="B9" s="46" t="s">
        <v>556</v>
      </c>
      <c r="J9" s="47">
        <f>AVERAGE(J4:J7)</f>
        <v>1.0922227305125976</v>
      </c>
      <c r="AF9" s="47">
        <f>AVERAGE(AF4:AF7)</f>
        <v>1.0922227622605858</v>
      </c>
      <c r="BB9" s="6">
        <f t="shared" si="0"/>
        <v>1.0000000290673206</v>
      </c>
      <c r="BD9" s="6">
        <f>AVERAGE(BD4:BD7)</f>
        <v>-4.9499409363051861E-9</v>
      </c>
    </row>
    <row r="10" spans="1:56" x14ac:dyDescent="0.2">
      <c r="B10" s="46" t="s">
        <v>557</v>
      </c>
      <c r="J10" s="47">
        <f>AVERAGE(J8:J8)</f>
        <v>1.539149065559877</v>
      </c>
      <c r="AF10" s="47">
        <f>AVERAGE(AF8:AF8)</f>
        <v>1.5391490975222148</v>
      </c>
      <c r="BB10" s="6">
        <f t="shared" si="0"/>
        <v>1.0000000207662394</v>
      </c>
      <c r="BD10" s="6">
        <f>AVERAGE(BD8:BD8)</f>
        <v>-2.4590340597097082E-9</v>
      </c>
    </row>
    <row r="11" spans="1:56" collapsed="1" x14ac:dyDescent="0.2">
      <c r="B11" s="46" t="s">
        <v>252</v>
      </c>
      <c r="J11" s="47">
        <f>AVERAGE(J4:J7,J8:J8)</f>
        <v>1.1816079975220535</v>
      </c>
      <c r="AF11" s="47">
        <f>AVERAGE(AF4:AF7,AF8:AF8)</f>
        <v>1.1816080293129114</v>
      </c>
      <c r="BB11" s="6">
        <f t="shared" si="0"/>
        <v>1.0000000269047418</v>
      </c>
      <c r="BD11" s="6">
        <f>AVERAGE(BD4:BD7,BD8:BD8)</f>
        <v>-4.4517595609860903E-9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41172.129999999997</v>
      </c>
      <c r="Z12" s="48">
        <f>SUM(Z4:Z7,Z8:Z8)</f>
        <v>29257.429999999997</v>
      </c>
      <c r="AA12" s="48">
        <f>SUM(AA4:AA7,AA8:AA8)</f>
        <v>23.658999999999999</v>
      </c>
      <c r="AB12" s="48">
        <f>SUM(AB4:AB7,AB8:AB8)</f>
        <v>113.53999999999999</v>
      </c>
      <c r="AU12" s="48">
        <f>SUM(AU4:AU7,AU8:AU8)</f>
        <v>41447.29</v>
      </c>
      <c r="AV12" s="48">
        <f>SUM(AV4:AV7,AV8:AV8)</f>
        <v>24157.136000000002</v>
      </c>
      <c r="AW12" s="48">
        <f>SUM(AW4:AW7,AW8:AW8)</f>
        <v>50.323000000000008</v>
      </c>
      <c r="AX12" s="48" t="e">
        <f>SUM(AX4:AX7,AX8:AX8)</f>
        <v>#REF!</v>
      </c>
    </row>
    <row r="13" spans="1:56" hidden="1" outlineLevel="2" x14ac:dyDescent="0.2">
      <c r="B13" s="46" t="s">
        <v>255</v>
      </c>
      <c r="AU13" s="6">
        <f>AU12/Y12</f>
        <v>1.0066831616435683</v>
      </c>
      <c r="AV13" s="6">
        <f>AV12/Z12</f>
        <v>0.82567525582390544</v>
      </c>
      <c r="AW13" s="6">
        <f>AW12/AA12</f>
        <v>2.1270129760344902</v>
      </c>
      <c r="AX13" s="6" t="e">
        <f>AX12/AB12</f>
        <v>#REF!</v>
      </c>
    </row>
    <row r="14" spans="1:56" hidden="1" outlineLevel="2" x14ac:dyDescent="0.2">
      <c r="B14" s="46" t="s">
        <v>256</v>
      </c>
      <c r="Y14" s="48">
        <f>GEOMEAN(Y4:Y7,Y8:Y8)</f>
        <v>8072.6290205522746</v>
      </c>
      <c r="Z14" s="48">
        <f>GEOMEAN(Z4:Z7,Z8:Z8)</f>
        <v>5799.1470455029585</v>
      </c>
      <c r="AA14" s="48">
        <f>GEOMEAN(AA4:AA7,AA8:AA8)</f>
        <v>4.6335210191819263</v>
      </c>
      <c r="AB14" s="48">
        <f>GEOMEAN(AB4:AB7,AB8:AB8)</f>
        <v>22.498922714982204</v>
      </c>
      <c r="AU14" s="48">
        <f>GEOMEAN(AU4:AU7,AU8:AU8)</f>
        <v>8213.527504994101</v>
      </c>
      <c r="AV14" s="48">
        <f>GEOMEAN(AV4:AV7,AV8:AV8)</f>
        <v>1487.6828165785639</v>
      </c>
      <c r="AW14" s="48">
        <f>GEOMEAN(AW4:AW7,AW8:AW8)</f>
        <v>7.0601781851263983</v>
      </c>
      <c r="AX14" s="48" t="e">
        <f>GEOMEAN(AX4:AX7,AX8:AX8)</f>
        <v>#REF!</v>
      </c>
    </row>
    <row r="15" spans="1:56" outlineLevel="2" collapsed="1" x14ac:dyDescent="0.2">
      <c r="B15" s="46" t="s">
        <v>257</v>
      </c>
      <c r="AU15" s="6">
        <f>AU14/Y14</f>
        <v>1.0174538535194804</v>
      </c>
      <c r="AV15" s="6">
        <f>AV14/Z14</f>
        <v>0.25653476363083627</v>
      </c>
      <c r="AW15" s="6">
        <f>AW14/AA14</f>
        <v>1.5237177420580499</v>
      </c>
      <c r="AX15" s="6" t="e">
        <f>AX14/AB14</f>
        <v>#REF!</v>
      </c>
    </row>
  </sheetData>
  <mergeCells count="33"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  <mergeCell ref="P2:S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  <mergeCell ref="V2:X2"/>
    <mergeCell ref="BB2:BB3"/>
    <mergeCell ref="BC2:BC3"/>
    <mergeCell ref="BD2:BD3"/>
    <mergeCell ref="AZ2:BA2"/>
    <mergeCell ref="AJ2:AJ3"/>
  </mergeCells>
  <conditionalFormatting sqref="BB9:BB11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Graphs</vt:lpstr>
      <vt:lpstr>names</vt:lpstr>
      <vt:lpstr>C2.1 losslG,noAttr</vt:lpstr>
      <vt:lpstr>C2.2 losslG,losslAttr</vt:lpstr>
      <vt:lpstr>C2.3 lossyG,lossyAttr</vt:lpstr>
      <vt:lpstr>C2.4 lossyG,lossyAttr,interRA</vt:lpstr>
      <vt:lpstr>C2.5 losslG,noAttr,interRA</vt:lpstr>
      <vt:lpstr>C2.6 losslG,losslAttr,interRA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Microsoft Office User</cp:lastModifiedBy>
  <dcterms:created xsi:type="dcterms:W3CDTF">2018-06-01T10:45:41Z</dcterms:created>
  <dcterms:modified xsi:type="dcterms:W3CDTF">2018-08-14T00:23:11Z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2018-06-01T10:45:41Z</vt:filetime>
  </property>
</Properties>
</file>